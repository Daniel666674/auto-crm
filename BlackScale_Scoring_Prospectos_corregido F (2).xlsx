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onfiguración" sheetId="2" r:id="rId5"/>
    <sheet state="visible" name="Contactos" sheetId="3" r:id="rId6"/>
    <sheet state="visible" name="Resumen y Top 500" sheetId="4" r:id="rId7"/>
    <sheet state="visible" name="Instrucciones VA" sheetId="5" r:id="rId8"/>
  </sheets>
  <definedNames/>
  <calcPr/>
  <extLst>
    <ext uri="GoogleSheetsCustomDataVersion2">
      <go:sheetsCustomData xmlns:go="http://customooxmlschemas.google.com/" r:id="rId9" roundtripDataChecksum="sj8Qkzy6b0EdsLN7Vjb9vVC99ScbAVuwtYbABXvZPyY="/>
    </ext>
  </extLst>
</workbook>
</file>

<file path=xl/sharedStrings.xml><?xml version="1.0" encoding="utf-8"?>
<sst xmlns="http://schemas.openxmlformats.org/spreadsheetml/2006/main" count="18654" uniqueCount="11892">
  <si>
    <t>BlackScale — Sistema de Scoring de Prospectos</t>
  </si>
  <si>
    <t>De 2.000 contactos a 500 mejores | Plataforma principal: LinkedIn Ads</t>
  </si>
  <si>
    <t>CÓMO FUNCIONA ESTA HOJA</t>
  </si>
  <si>
    <t>1. Pega tus 2.000 contactos de Apollo en la hoja 'Contactos' (columnas B–J, azul claro)</t>
  </si>
  <si>
    <t>2. El VA (o tú) llena las columnas K–R verificando señales en LinkedIn, Meta y Google (amarillo)</t>
  </si>
  <si>
    <t>3. El Score y el Tier se calculan AUTOMÁTICAMENTE (verde claro)</t>
  </si>
  <si>
    <t>4. La hoja 'Top 500' filtra automáticamente los mejores</t>
  </si>
  <si>
    <t>5. La hoja 'Configuración' permite ajustar los pesos del scoring si quieres recalibrar</t>
  </si>
  <si>
    <t>CÓDIGO DE COLORES EN HOJA 'CONTACTOS'</t>
  </si>
  <si>
    <t>AZUL CLARO (col B–J)</t>
  </si>
  <si>
    <t>Datos que vienen de Apollo. Pegas y listo.</t>
  </si>
  <si>
    <t>AMARILLO (col K–R)</t>
  </si>
  <si>
    <t>Datos que llena el VA verificando señales en LinkedIn, Meta y Google.</t>
  </si>
  <si>
    <t>VERDE CLARO (col S–W)</t>
  </si>
  <si>
    <t>Score Tamaño, Score Industria, Score Cargo, Score Total y Tier — calculados AUTOMÁTICAMENTE. NO TOCAR.</t>
  </si>
  <si>
    <t>DEFINICIÓN DE TIERS</t>
  </si>
  <si>
    <t>Tier A — Score ≥ 12</t>
  </si>
  <si>
    <t>Test manual esta semana. 30 mejores van directo.</t>
  </si>
  <si>
    <t>Tier B — Score 8 a 11</t>
  </si>
  <si>
    <t>Cold email cuando tengas Smartlead. Cadencia 5 touches.</t>
  </si>
  <si>
    <t>Tier C — Score 6 a 7</t>
  </si>
  <si>
    <t>Cold email volumen medio. Mensaje más genérico por industria.</t>
  </si>
  <si>
    <t>Descarte — Score &lt; 6</t>
  </si>
  <si>
    <t>Fuera de esta ronda. Considerar para nurturing pasivo.</t>
  </si>
  <si>
    <t>FLUJO RECOMENDADO</t>
  </si>
  <si>
    <t>Día 1</t>
  </si>
  <si>
    <t>Pegar los 2.000 contactos en hoja 'Contactos'.</t>
  </si>
  <si>
    <t>Día 2-7</t>
  </si>
  <si>
    <t>VA enriquece columnas K–R (5-7 días, ~$200 USD).</t>
  </si>
  <si>
    <t>Día 8</t>
  </si>
  <si>
    <t>Aplicar filtro automático en hoja 'Top 500'. Validar tier A.</t>
  </si>
  <si>
    <t>Día 9</t>
  </si>
  <si>
    <t>Arrancar test manual con 30 contactos top tier A.</t>
  </si>
  <si>
    <t>INSTRUCCIONES PARA EL VA</t>
  </si>
  <si>
    <t>Ver hoja 'Instrucciones VA' →</t>
  </si>
  <si>
    <t>Copia y pega esa hoja completa al VA.</t>
  </si>
  <si>
    <t>Pesos del Scoring</t>
  </si>
  <si>
    <t>Edita los valores en columna B para recalibrar. El scoring se actualiza solo.</t>
  </si>
  <si>
    <t>Criterio</t>
  </si>
  <si>
    <t>Puntos</t>
  </si>
  <si>
    <t>Notas</t>
  </si>
  <si>
    <t>Pauta activa en LinkedIn Ads</t>
  </si>
  <si>
    <t>Señal más fuerte. Ya invierte en plataforma. SUPER importante.</t>
  </si>
  <si>
    <t>Posts empresa: Semanal</t>
  </si>
  <si>
    <t>Cuando 'Frecuencia posts' = 'Semanal'</t>
  </si>
  <si>
    <t>Posts empresa: Mensual</t>
  </si>
  <si>
    <t>Cuando 'Frecuencia posts' = 'Mensual'</t>
  </si>
  <si>
    <t>Decision maker activo en LinkedIn (30 días)</t>
  </si>
  <si>
    <t>Si publicó o comentó algo último mes</t>
  </si>
  <si>
    <t>Pauta activa en Meta Ads</t>
  </si>
  <si>
    <t>Verificable en facebook.com/ads/library</t>
  </si>
  <si>
    <t>Pauta activa en Google Ads</t>
  </si>
  <si>
    <t>Verificable en adstransparency.google.com</t>
  </si>
  <si>
    <t>Marketing Manager sin Head/Director</t>
  </si>
  <si>
    <t>Equipo sub-estructurado, listo para tercerizar</t>
  </si>
  <si>
    <t>Vacante abierta en Marketing</t>
  </si>
  <si>
    <t>Ya está intentando solucionar el dolor</t>
  </si>
  <si>
    <t>Score máximo posible</t>
  </si>
  <si>
    <t>Asume Semanal + Cargo CEO/CMO + Tamaño 1-10 + Industria Tech</t>
  </si>
  <si>
    <t>Umbrales de Tier</t>
  </si>
  <si>
    <t>Tier A (mínimo)</t>
  </si>
  <si>
    <t>Tier B (mínimo)</t>
  </si>
  <si>
    <t>Tier C (mínimo)</t>
  </si>
  <si>
    <t>Tamaño empresa: 1-10 empleados</t>
  </si>
  <si>
    <t>Startup / micro empresa — alta probabilidad de tercerizar marketing</t>
  </si>
  <si>
    <t>Tamaño empresa: 11-50 empleados</t>
  </si>
  <si>
    <t>Empresa pequeña — buen fit para BlackScale</t>
  </si>
  <si>
    <t>Tamaño empresa: 51-200 empleados</t>
  </si>
  <si>
    <t>Mediana empresa — ciclo de venta más largo</t>
  </si>
  <si>
    <t>Industria: Tech / SaaS / IT / Fintech (prioridad alta)</t>
  </si>
  <si>
    <t>Mayor presupuesto para marketing digital</t>
  </si>
  <si>
    <t>Industria: Otras industrias</t>
  </si>
  <si>
    <t>Prioridad estándar — menor probabilidad de fit inmediato</t>
  </si>
  <si>
    <t>Cargo del decisor</t>
  </si>
  <si>
    <t>Criterio de relevancia para contratar agencia</t>
  </si>
  <si>
    <t>Cargo: CEO / Founder / Owner / Director General / Presidente</t>
  </si>
  <si>
    <t>Decisor final en empresas medianas/pequeñas — máxima autoridad</t>
  </si>
  <si>
    <t>Cargo: CMO / VP Marketing / Director de Marketing / Head of Marketing</t>
  </si>
  <si>
    <t>Comprador directo del servicio — es su área</t>
  </si>
  <si>
    <t>Cargo: Marketing Manager / Gerente de Marketing / Growth / Demand Gen</t>
  </si>
  <si>
    <t>Influenciador clave — puede recomendar o liderar la decisión</t>
  </si>
  <si>
    <t>Cargo: COO / CFO / CTO / Gerente General / General Manager</t>
  </si>
  <si>
    <t>Involucrado en aprobación de presupuesto pero no es su área directa</t>
  </si>
  <si>
    <t>Cargo: Otro (Ventas, Ops, Técnico, etc.)</t>
  </si>
  <si>
    <t>Bajo poder de decisión sobre marketing</t>
  </si>
  <si>
    <t xml:space="preserve"> h</t>
  </si>
  <si>
    <t>Nombre</t>
  </si>
  <si>
    <t>Cargo</t>
  </si>
  <si>
    <t>Empresa</t>
  </si>
  <si>
    <t>Email</t>
  </si>
  <si>
    <t>LinkedIn URL persona</t>
  </si>
  <si>
    <t>LinkedIn URL empresa</t>
  </si>
  <si>
    <t>Web empresa</t>
  </si>
  <si>
    <t>Industria</t>
  </si>
  <si>
    <t>Tamaño empresa</t>
  </si>
  <si>
    <t>Pauta LinkedIn</t>
  </si>
  <si>
    <t>Frecuencia posts empresa</t>
  </si>
  <si>
    <t>Decision maker activo LI</t>
  </si>
  <si>
    <t>Pauta Meta</t>
  </si>
  <si>
    <t>Pauta Google</t>
  </si>
  <si>
    <t>Marketing Manager sin Head</t>
  </si>
  <si>
    <t>Vacante Marketing</t>
  </si>
  <si>
    <t>Score Tamaño</t>
  </si>
  <si>
    <t>Score Industria</t>
  </si>
  <si>
    <t>Score Cargo</t>
  </si>
  <si>
    <t>Score</t>
  </si>
  <si>
    <t>Tier</t>
  </si>
  <si>
    <t>Auto</t>
  </si>
  <si>
    <t>VA llena</t>
  </si>
  <si>
    <t>Mario</t>
  </si>
  <si>
    <t>Co-Founder &amp; COO</t>
  </si>
  <si>
    <t>Plataform</t>
  </si>
  <si>
    <t>mario@plataform.com</t>
  </si>
  <si>
    <t>http://www.linkedin.com/in/mario-jose-marquez-olier</t>
  </si>
  <si>
    <t>http://www.linkedin.com/company/plataform</t>
  </si>
  <si>
    <t>https://plataform.com</t>
  </si>
  <si>
    <t>financial services</t>
  </si>
  <si>
    <t>Sí</t>
  </si>
  <si>
    <t>Semanal</t>
  </si>
  <si>
    <t>No</t>
  </si>
  <si>
    <t>Daniel</t>
  </si>
  <si>
    <t>CEO &amp; Founder</t>
  </si>
  <si>
    <t>Talk Eva</t>
  </si>
  <si>
    <t>dani@talkeva.com</t>
  </si>
  <si>
    <t>http://www.linkedin.com/in/daniel-gonz%c3%a1lez-rico-65366ab1</t>
  </si>
  <si>
    <t>http://www.linkedin.com/company/talk-eva</t>
  </si>
  <si>
    <t>https://talkeva.com</t>
  </si>
  <si>
    <t>information technology &amp; services</t>
  </si>
  <si>
    <t>Inactivo</t>
  </si>
  <si>
    <t>Posible Tier 1 por ser Startup y el CEO es experto en marketing digital</t>
  </si>
  <si>
    <t>Viviana</t>
  </si>
  <si>
    <t>CEO</t>
  </si>
  <si>
    <t>OfficeFacil</t>
  </si>
  <si>
    <t>vbecerra@officefacil.com</t>
  </si>
  <si>
    <t>http://www.linkedin.com/in/viviana-becerra-239364322</t>
  </si>
  <si>
    <t>http://www.linkedin.com/company/officefacil-com</t>
  </si>
  <si>
    <t>https://officefacil.com</t>
  </si>
  <si>
    <t>professional training &amp; coaching</t>
  </si>
  <si>
    <t>Carlos</t>
  </si>
  <si>
    <t>CEO - Cofundador</t>
  </si>
  <si>
    <t>Faroo Legal</t>
  </si>
  <si>
    <t>carlosfarias@faroolegal.com</t>
  </si>
  <si>
    <t>http://www.linkedin.com/in/carlos-felipe-arias-avila-6675b98a</t>
  </si>
  <si>
    <t>http://www.linkedin.com/company/faroolegal</t>
  </si>
  <si>
    <t>https://faroolegal.com</t>
  </si>
  <si>
    <t>legal services</t>
  </si>
  <si>
    <t>Chief Executive Officer</t>
  </si>
  <si>
    <t>CAXDAC</t>
  </si>
  <si>
    <t>danino@caxdac.com</t>
  </si>
  <si>
    <t>http://www.linkedin.com/in/daniel-ni%c3%b1o-tarazona-89980082</t>
  </si>
  <si>
    <t>http://www.linkedin.com/company/caxdac-caja-de-auxilios-y-de-prestaciones-de-acdac</t>
  </si>
  <si>
    <t>https://caxdac.com</t>
  </si>
  <si>
    <t>Co - Founder</t>
  </si>
  <si>
    <t>Inkoms</t>
  </si>
  <si>
    <t>daniel@inkoms.com</t>
  </si>
  <si>
    <t>http://www.linkedin.com/in/danielgomezvelez</t>
  </si>
  <si>
    <t>http://www.linkedin.com/company/inkoms</t>
  </si>
  <si>
    <t>https://inkoms.com</t>
  </si>
  <si>
    <t>investment management</t>
  </si>
  <si>
    <t>Sebastian</t>
  </si>
  <si>
    <t>Head of Sales Colombia</t>
  </si>
  <si>
    <t>Finnecto</t>
  </si>
  <si>
    <t>sebastian.gasca@finnecto.com</t>
  </si>
  <si>
    <t>http://www.linkedin.com/in/sebastian-gasca</t>
  </si>
  <si>
    <t>http://www.linkedin.com/company/finnecto</t>
  </si>
  <si>
    <t>https://finnecto.com</t>
  </si>
  <si>
    <t>Jorge</t>
  </si>
  <si>
    <t>ELSA</t>
  </si>
  <si>
    <t>juribe@elsa360.com</t>
  </si>
  <si>
    <t>http://www.linkedin.com/in/jorge-uribe-cardozo-16466740</t>
  </si>
  <si>
    <t>http://www.linkedin.com/company/elsa360</t>
  </si>
  <si>
    <t>https://elsa360.com</t>
  </si>
  <si>
    <t>sports</t>
  </si>
  <si>
    <t>Mensual</t>
  </si>
  <si>
    <t>Juan</t>
  </si>
  <si>
    <t>Founder</t>
  </si>
  <si>
    <t>Complemento 360 Colombia</t>
  </si>
  <si>
    <t>jacobo.paramo@complemento360.com</t>
  </si>
  <si>
    <t>http://www.linkedin.com/in/juan-jacobo-p%c3%a1ramo-b47a1322</t>
  </si>
  <si>
    <t>http://www.linkedin.com/company/complemento360colombia</t>
  </si>
  <si>
    <t>https://complemento360.com</t>
  </si>
  <si>
    <t>Andres</t>
  </si>
  <si>
    <t>Co-founder &amp; Chief Corporate Officer</t>
  </si>
  <si>
    <t>Pantera Makers</t>
  </si>
  <si>
    <t>andres@panteramakers.com</t>
  </si>
  <si>
    <t>http://www.linkedin.com/in/andres-mejia-99337215</t>
  </si>
  <si>
    <t>http://www.linkedin.com/company/panteramakers</t>
  </si>
  <si>
    <t>https://panteramakers.com</t>
  </si>
  <si>
    <t>management consulting</t>
  </si>
  <si>
    <t>The Talent Tree S.A.S</t>
  </si>
  <si>
    <t>andres.morales@thetalenttree.com.co</t>
  </si>
  <si>
    <t>http://www.linkedin.com/in/andres-mauricio-morales</t>
  </si>
  <si>
    <t>http://www.linkedin.com/school/thetalenttreebyikenga-finanzaspersonales</t>
  </si>
  <si>
    <t>https://thetalenttree.com.co</t>
  </si>
  <si>
    <t>Dora</t>
  </si>
  <si>
    <t>PlugIT Solutions</t>
  </si>
  <si>
    <t>dora.mejia@plugitsolutions.com.co</t>
  </si>
  <si>
    <t>http://www.linkedin.com/in/dora-mejia-1231302a</t>
  </si>
  <si>
    <t>http://www.linkedin.com/company/plugit-solutions</t>
  </si>
  <si>
    <t>https://plugitsolutions.com.co</t>
  </si>
  <si>
    <t xml:space="preserve">No se encuentra el perfil en Linkedin ni la página de la empresa </t>
  </si>
  <si>
    <t>Julian</t>
  </si>
  <si>
    <t>Co-Founder</t>
  </si>
  <si>
    <t>Legal E-Solutions</t>
  </si>
  <si>
    <t>julian-robayo@legalesolutions.com</t>
  </si>
  <si>
    <t>http://www.linkedin.com/in/juli%c3%a1n-robayo-19ab2073</t>
  </si>
  <si>
    <t>http://www.linkedin.com/company/legal-e-solutions</t>
  </si>
  <si>
    <t>https://legalesolutions.com</t>
  </si>
  <si>
    <t>CO-FOUNDER Ya no trabaja ahí</t>
  </si>
  <si>
    <t>Adriana</t>
  </si>
  <si>
    <t>CoFunder/CEO</t>
  </si>
  <si>
    <t>Cres-ko</t>
  </si>
  <si>
    <t>adriana@cres-ko.com</t>
  </si>
  <si>
    <t>http://www.linkedin.com/in/adriana-garcia-serrano</t>
  </si>
  <si>
    <t>http://www.linkedin.com/company/cres-ko</t>
  </si>
  <si>
    <t>https://cres-ko.com</t>
  </si>
  <si>
    <t>CEO Talenta Learning</t>
  </si>
  <si>
    <t>Talenta Learning</t>
  </si>
  <si>
    <t>jmcardona@talentalearning.com</t>
  </si>
  <si>
    <t>http://www.linkedin.com/in/juanmcardona</t>
  </si>
  <si>
    <t>http://www.linkedin.com/company/talenta-learning</t>
  </si>
  <si>
    <t>https://talentalearning.com</t>
  </si>
  <si>
    <t>e-learning</t>
  </si>
  <si>
    <t>Camilo</t>
  </si>
  <si>
    <t>Co-founder</t>
  </si>
  <si>
    <t>Rentmies</t>
  </si>
  <si>
    <t>camilo@rentmies.com</t>
  </si>
  <si>
    <t>http://www.linkedin.com/in/camilo-gonzalez-alvarez-1514a615b</t>
  </si>
  <si>
    <t>http://www.linkedin.com/company/rentmies</t>
  </si>
  <si>
    <t>https://rentmies.com</t>
  </si>
  <si>
    <t>Posible Tier 1</t>
  </si>
  <si>
    <t>Dantai Labs</t>
  </si>
  <si>
    <t>andres@dantailabs.com</t>
  </si>
  <si>
    <t>http://www.linkedin.com/in/andressarmiento</t>
  </si>
  <si>
    <t>http://www.linkedin.com/company/dantai-labs</t>
  </si>
  <si>
    <t>https://dantailabs.com</t>
  </si>
  <si>
    <t>Santiago</t>
  </si>
  <si>
    <t>Falcon</t>
  </si>
  <si>
    <t>santiago@falconapp.ai</t>
  </si>
  <si>
    <t>http://www.linkedin.com/in/aboutsantiago</t>
  </si>
  <si>
    <t>http://www.linkedin.com/company/falconapp</t>
  </si>
  <si>
    <t>https://falconapp.ai</t>
  </si>
  <si>
    <t>Mariana</t>
  </si>
  <si>
    <t>Founder and Director</t>
  </si>
  <si>
    <t>Poderosas Colombia</t>
  </si>
  <si>
    <t>msanzdesantamaria@poderosascolombia.org</t>
  </si>
  <si>
    <t>http://www.linkedin.com/in/mariana-sanz-de-santamar%c3%ada-franco-72849b19a</t>
  </si>
  <si>
    <t>http://www.linkedin.com/company/poderosascolombia</t>
  </si>
  <si>
    <t>https://poderosascolombia.org</t>
  </si>
  <si>
    <t>civic &amp; social organization</t>
  </si>
  <si>
    <t>Laura</t>
  </si>
  <si>
    <t>Fundadora &amp; CEO</t>
  </si>
  <si>
    <t>Kiper.ai</t>
  </si>
  <si>
    <t>laura@kiper.ai</t>
  </si>
  <si>
    <t>http://www.linkedin.com/in/lauranavarro91</t>
  </si>
  <si>
    <t>http://www.linkedin.com/company/kiper-ai</t>
  </si>
  <si>
    <t>https://kipertienda.com</t>
  </si>
  <si>
    <t>Keep Up</t>
  </si>
  <si>
    <t>svilladiego@keepup.news</t>
  </si>
  <si>
    <t>http://www.linkedin.com/in/santiagovilladiegomogollon</t>
  </si>
  <si>
    <t>http://www.linkedin.com/company/keepupagencia</t>
  </si>
  <si>
    <t>https://keepup.news</t>
  </si>
  <si>
    <t>Felipe</t>
  </si>
  <si>
    <t>Seeri</t>
  </si>
  <si>
    <t>fr@seeri.co</t>
  </si>
  <si>
    <t>http://www.linkedin.com/in/feliperacines</t>
  </si>
  <si>
    <t>http://www.linkedin.com/company/seeri</t>
  </si>
  <si>
    <t>https://seeri.co</t>
  </si>
  <si>
    <t>Fibek</t>
  </si>
  <si>
    <t>felipe@fibek.co</t>
  </si>
  <si>
    <t>http://www.linkedin.com/in/felipesalcedob</t>
  </si>
  <si>
    <t>http://www.linkedin.com/company/fibekco</t>
  </si>
  <si>
    <t>https://fibek.co</t>
  </si>
  <si>
    <t>Eivar</t>
  </si>
  <si>
    <t>Game Developer, Coffee Barista at Red Minas Coffee and Co-Founder</t>
  </si>
  <si>
    <t>Efecto Studios</t>
  </si>
  <si>
    <t>eivar.rojas@efectostudios.com</t>
  </si>
  <si>
    <t>http://www.linkedin.com/in/eivarrocas</t>
  </si>
  <si>
    <t>http://www.linkedin.com/company/efecto-studios</t>
  </si>
  <si>
    <t>https://efectostudios.com</t>
  </si>
  <si>
    <t>computer games</t>
  </si>
  <si>
    <t>Claudia</t>
  </si>
  <si>
    <t>Founder | Senior Executive Producer</t>
  </si>
  <si>
    <t>PROUD CONTENT</t>
  </si>
  <si>
    <t>claudia@minkafilms.co</t>
  </si>
  <si>
    <t>http://www.linkedin.com/in/claudiacanoncarrillo</t>
  </si>
  <si>
    <t>http://www.linkedin.com/company/minka-films</t>
  </si>
  <si>
    <t>https://minkafilms.co</t>
  </si>
  <si>
    <t>media production</t>
  </si>
  <si>
    <t>Executive Vice President Sales Marketing</t>
  </si>
  <si>
    <t>Las Américas Hotels Group</t>
  </si>
  <si>
    <t>juan.gomez@lasamericashg.com</t>
  </si>
  <si>
    <t>http://www.linkedin.com/in/juanfdo77</t>
  </si>
  <si>
    <t>http://www.linkedin.com/company/lasamericashotels</t>
  </si>
  <si>
    <t>https://lasamericashotels.com</t>
  </si>
  <si>
    <t>hospitality</t>
  </si>
  <si>
    <t>Diego</t>
  </si>
  <si>
    <t>Principal Chief Executive Officer</t>
  </si>
  <si>
    <t>Bits</t>
  </si>
  <si>
    <t>diego@grupobits.co</t>
  </si>
  <si>
    <t>http://www.linkedin.com/in/diegoluisherrera</t>
  </si>
  <si>
    <t>http://www.linkedin.com/company/grupobits</t>
  </si>
  <si>
    <t>https://grupobits.co</t>
  </si>
  <si>
    <t>Bertha</t>
  </si>
  <si>
    <t>Sales Director</t>
  </si>
  <si>
    <t>Épica Inmobiliaria®</t>
  </si>
  <si>
    <t>bvillegas@epicainmobiliaria.com.co</t>
  </si>
  <si>
    <t>http://www.linkedin.com/in/bertha-in%c3%a9s-duque-villegas-2165b0a6</t>
  </si>
  <si>
    <t>http://www.linkedin.com/company/epicainmobiliaria</t>
  </si>
  <si>
    <t>https://epicainmobiliaria.com</t>
  </si>
  <si>
    <t>real estate</t>
  </si>
  <si>
    <t>CEO &amp; Co-Founder</t>
  </si>
  <si>
    <t>ClosetUp</t>
  </si>
  <si>
    <t>sbarrios@closetup.com</t>
  </si>
  <si>
    <t>http://www.linkedin.com/in/santiago-barrios-9a83a5250</t>
  </si>
  <si>
    <t>http://www.linkedin.com/company/closet-up</t>
  </si>
  <si>
    <t>https://closetup.com</t>
  </si>
  <si>
    <t>wholesale</t>
  </si>
  <si>
    <t>Chief Operating Officer</t>
  </si>
  <si>
    <t>Mis Propias Finanzas</t>
  </si>
  <si>
    <t>fzuluaga@mispropiasfinanzas.com</t>
  </si>
  <si>
    <t>http://www.linkedin.com/in/felipe-zuluaga-piedrahita</t>
  </si>
  <si>
    <t>http://www.linkedin.com/company/mis-propias-finanzas</t>
  </si>
  <si>
    <t>https://mispropiasfinanzas.com</t>
  </si>
  <si>
    <t>Jose</t>
  </si>
  <si>
    <t>Founder &amp; Executive Advisor</t>
  </si>
  <si>
    <t>JoseNanez</t>
  </si>
  <si>
    <t>jose@josenanez.com</t>
  </si>
  <si>
    <t>http://www.linkedin.com/in/jfnanezg</t>
  </si>
  <si>
    <t>http://www.linkedin.com/company/josenanez</t>
  </si>
  <si>
    <t>https://josenanez.com</t>
  </si>
  <si>
    <t>Alberto</t>
  </si>
  <si>
    <t>Setenta Veces Siete</t>
  </si>
  <si>
    <t>aospina@70v7.com</t>
  </si>
  <si>
    <t>http://www.linkedin.com/in/albertoospina</t>
  </si>
  <si>
    <t>http://www.linkedin.com/company/setenta-veces-siete</t>
  </si>
  <si>
    <t>https://70v7.com</t>
  </si>
  <si>
    <t>health, wellness &amp; fitness</t>
  </si>
  <si>
    <t>Cuantico</t>
  </si>
  <si>
    <t>daniel.medina@cuantico.com</t>
  </si>
  <si>
    <t>http://www.linkedin.com/in/daniel-medina-b1126727</t>
  </si>
  <si>
    <t>http://www.linkedin.com/company/cuanticore</t>
  </si>
  <si>
    <t>https://cuantico.com</t>
  </si>
  <si>
    <t>Rodrigo</t>
  </si>
  <si>
    <t>Co Founder Business Owner - Business Development</t>
  </si>
  <si>
    <t>Ingennova SAS</t>
  </si>
  <si>
    <t>rodrigo.villamil@ingennova.com</t>
  </si>
  <si>
    <t>http://www.linkedin.com/in/villamilrodrigo</t>
  </si>
  <si>
    <t>http://www.linkedin.com/company/ingennova-sas</t>
  </si>
  <si>
    <t>https://ingennova.com</t>
  </si>
  <si>
    <t>machinery</t>
  </si>
  <si>
    <t>Mauricio</t>
  </si>
  <si>
    <t>CEO | Fintech Especializada en Créditos de Libranza | Experto Modelos de Riesgo Crediticios</t>
  </si>
  <si>
    <t>LiberTec</t>
  </si>
  <si>
    <t>mauricio@libertec.co</t>
  </si>
  <si>
    <t>http://www.linkedin.com/in/mauricio-anjel-87590664</t>
  </si>
  <si>
    <t>http://www.linkedin.com/company/libertec-co</t>
  </si>
  <si>
    <t>https://libertec.co</t>
  </si>
  <si>
    <t>jgarzon@keepup.news</t>
  </si>
  <si>
    <t>http://www.linkedin.com/in/juan-sebastian-garzon-cano-729618b3</t>
  </si>
  <si>
    <t>Empresa repetida</t>
  </si>
  <si>
    <t>Chief Operations Officer</t>
  </si>
  <si>
    <t>RODDOS®️</t>
  </si>
  <si>
    <t>andres@roddos.com</t>
  </si>
  <si>
    <t>http://www.linkedin.com/in/andres-san-juan-03105643</t>
  </si>
  <si>
    <t>http://www.linkedin.com/company/roddos%c2%ae%ef%b8%8f</t>
  </si>
  <si>
    <t>https://roddos.com</t>
  </si>
  <si>
    <t>Henry</t>
  </si>
  <si>
    <t>CEO - Cofounder</t>
  </si>
  <si>
    <t>Seika ai</t>
  </si>
  <si>
    <t>henry@seika.ai</t>
  </si>
  <si>
    <t>http://www.linkedin.com/in/henry-bravo-b9315583</t>
  </si>
  <si>
    <t>http://www.linkedin.com/company/seika-ai</t>
  </si>
  <si>
    <t>https://seika.ai</t>
  </si>
  <si>
    <t>Co-Founder and CSO</t>
  </si>
  <si>
    <t>Sporalys</t>
  </si>
  <si>
    <t>juan@sporalys.com</t>
  </si>
  <si>
    <t>http://www.linkedin.com/in/juansrubiano</t>
  </si>
  <si>
    <t>http://www.linkedin.com/company/kojilabco</t>
  </si>
  <si>
    <t>https://koji.com.co</t>
  </si>
  <si>
    <t>research</t>
  </si>
  <si>
    <t>Chief Revenue Officer</t>
  </si>
  <si>
    <t>NanoFreeze</t>
  </si>
  <si>
    <t>santiago@nanofreeze.com.co</t>
  </si>
  <si>
    <t>http://www.linkedin.com/in/santiagosaenzariza</t>
  </si>
  <si>
    <t>http://www.linkedin.com/company/nanofreeze</t>
  </si>
  <si>
    <t>https://nanofreeze.com.co</t>
  </si>
  <si>
    <t>CEO - Co-Founder</t>
  </si>
  <si>
    <t>Saggio ESG</t>
  </si>
  <si>
    <t>juseche@saggioesg.com</t>
  </si>
  <si>
    <t>http://www.linkedin.com/in/jorge-alfonso-useche-goenaga-00045a86</t>
  </si>
  <si>
    <t>http://www.linkedin.com/company/saggio-esg-software</t>
  </si>
  <si>
    <t>https://saggioesg.com</t>
  </si>
  <si>
    <t>Estrategias Comerciales y de Mercadeo</t>
  </si>
  <si>
    <t>j.arenas@estrategiascomerciales.co</t>
  </si>
  <si>
    <t>http://www.linkedin.com/in/julian-camilo-arenas-torres-38147135</t>
  </si>
  <si>
    <t>http://www.linkedin.com/company/estrategias-comerciales-y-de-mercadeo</t>
  </si>
  <si>
    <t>https://estrategiascomerciales.co</t>
  </si>
  <si>
    <t>Orlando</t>
  </si>
  <si>
    <t>HCX SAS</t>
  </si>
  <si>
    <t>orlando.garcia@hcx.com.co</t>
  </si>
  <si>
    <t>http://www.linkedin.com/in/orlando-garcia-monroy-b303a272</t>
  </si>
  <si>
    <t>http://www.linkedin.com/company/hcx-sas</t>
  </si>
  <si>
    <t>https://hcx.com.co</t>
  </si>
  <si>
    <t>Emerson</t>
  </si>
  <si>
    <t>Co-founder &amp; Executive Director</t>
  </si>
  <si>
    <t>Cluster Orinoco TIC</t>
  </si>
  <si>
    <t>emerson.duran@orinocotic.org</t>
  </si>
  <si>
    <t>http://www.linkedin.com/in/emerson-duran-rodriguez-49953b28</t>
  </si>
  <si>
    <t>http://www.linkedin.com/company/orinocotic</t>
  </si>
  <si>
    <t>https://orinocotic.org</t>
  </si>
  <si>
    <t>Raddar Studios</t>
  </si>
  <si>
    <t>daniel.forerop@raddarstudios.com</t>
  </si>
  <si>
    <t>http://www.linkedin.com/in/daniforero</t>
  </si>
  <si>
    <t>http://www.linkedin.com/company/raddarstudios</t>
  </si>
  <si>
    <t>https://raddarstudios.com</t>
  </si>
  <si>
    <t>CTO &amp; Co- Founder</t>
  </si>
  <si>
    <t>KastorFinance</t>
  </si>
  <si>
    <t>carlos@kastorfinance.com</t>
  </si>
  <si>
    <t>http://www.linkedin.com/in/carlos-andr%c3%a9s-serna-carvajal-38b1b7111</t>
  </si>
  <si>
    <t>http://www.linkedin.com/company/kastor-fi</t>
  </si>
  <si>
    <t>https://kastorfinance.com</t>
  </si>
  <si>
    <t>Hanna</t>
  </si>
  <si>
    <t>Teamco Consulting SAS</t>
  </si>
  <si>
    <t>hanna.vivas@teamco.com.co</t>
  </si>
  <si>
    <t>http://www.linkedin.com/in/hannacarolinavivaslopez</t>
  </si>
  <si>
    <t>http://www.linkedin.com/company/teamcoconsulting</t>
  </si>
  <si>
    <t>https://teamco.com.co</t>
  </si>
  <si>
    <t>telecommunications</t>
  </si>
  <si>
    <t>CO-CEO</t>
  </si>
  <si>
    <t>ORKID</t>
  </si>
  <si>
    <t>diego@orkid.tech</t>
  </si>
  <si>
    <t>http://www.linkedin.com/in/diego-pinzon-paz-097a6223</t>
  </si>
  <si>
    <t>http://www.linkedin.com/company/orkid-tech</t>
  </si>
  <si>
    <t>https://orkid.tech</t>
  </si>
  <si>
    <t>aviation &amp; aerospace</t>
  </si>
  <si>
    <t>Ines</t>
  </si>
  <si>
    <t>Co-Founder and CFO - Ecoguard Energy PTE Ltd</t>
  </si>
  <si>
    <t>Ecoguard Energy</t>
  </si>
  <si>
    <t>i.delgado@ecoguardenergy.com</t>
  </si>
  <si>
    <t>http://www.linkedin.com/in/ines-cecilia-delgado-fl%c3%b3rez-6aa5318</t>
  </si>
  <si>
    <t>http://www.linkedin.com/company/ecoguardenergy</t>
  </si>
  <si>
    <t>https://ecoguardenergy.com</t>
  </si>
  <si>
    <t>mining &amp; metals</t>
  </si>
  <si>
    <t>CEO and Co-founder</t>
  </si>
  <si>
    <t>datapeers</t>
  </si>
  <si>
    <t>juan.urrea@datapeers.co</t>
  </si>
  <si>
    <t>http://www.linkedin.com/in/juandurrea</t>
  </si>
  <si>
    <t>http://www.linkedin.com/company/datapeers-ai</t>
  </si>
  <si>
    <t>https://datapeers.co</t>
  </si>
  <si>
    <t>information services</t>
  </si>
  <si>
    <t>Herman</t>
  </si>
  <si>
    <t>Founder &amp; COO, Founder &amp; CEO</t>
  </si>
  <si>
    <t>HTI Hub</t>
  </si>
  <si>
    <t>herman.rojas@htihub.com</t>
  </si>
  <si>
    <t>http://www.linkedin.com/in/herman-rojas-amaya-6154a920</t>
  </si>
  <si>
    <t>http://www.linkedin.com/company/hti-hub</t>
  </si>
  <si>
    <t>https://htihub.com</t>
  </si>
  <si>
    <t>think tanks</t>
  </si>
  <si>
    <t>Katie</t>
  </si>
  <si>
    <t>Prometryx Accounting</t>
  </si>
  <si>
    <t>katie@prometryx.com</t>
  </si>
  <si>
    <t>http://www.linkedin.com/in/katie-ellinger</t>
  </si>
  <si>
    <t>http://www.linkedin.com/company/prometryx</t>
  </si>
  <si>
    <t>https://prometryx.com</t>
  </si>
  <si>
    <t>accounting</t>
  </si>
  <si>
    <t>Ricardo</t>
  </si>
  <si>
    <t>Head of Sales</t>
  </si>
  <si>
    <t>duppla</t>
  </si>
  <si>
    <t>rarenas@duppla.co</t>
  </si>
  <si>
    <t>http://www.linkedin.com/in/ricardo-arenas-hurtado-49160b148</t>
  </si>
  <si>
    <t>http://www.linkedin.com/company/duppla-com-co</t>
  </si>
  <si>
    <t>https://duppla.co</t>
  </si>
  <si>
    <t>Nicolas</t>
  </si>
  <si>
    <t>Operations Director &amp; Co Founder - Project Strategist &amp; Consultant</t>
  </si>
  <si>
    <t>Lil Horse</t>
  </si>
  <si>
    <t>nicolas@lilhorselab.com</t>
  </si>
  <si>
    <t>http://www.linkedin.com/in/nicolas-useche-landinez</t>
  </si>
  <si>
    <t>http://www.linkedin.com/company/lil-horse</t>
  </si>
  <si>
    <t>https://lilhorselab.com</t>
  </si>
  <si>
    <t>design</t>
  </si>
  <si>
    <t>Rafael</t>
  </si>
  <si>
    <t>Co-Founder | Managing Partner</t>
  </si>
  <si>
    <t>EX-View Solar</t>
  </si>
  <si>
    <t>http://www.linkedin.com/in/rafael-aar%c3%b3n-v%c3%a1squez</t>
  </si>
  <si>
    <t>http://www.linkedin.com/company/ex-viewsolar</t>
  </si>
  <si>
    <t>https://ex-view.com</t>
  </si>
  <si>
    <t>Chief CEO</t>
  </si>
  <si>
    <t>ISSAC SAS</t>
  </si>
  <si>
    <t>ricardo.puentes@issac.co</t>
  </si>
  <si>
    <t>http://www.linkedin.com/in/ricardo-puentes-231212263</t>
  </si>
  <si>
    <t>http://www.linkedin.com/company/issac-sas</t>
  </si>
  <si>
    <t>https://issac.co</t>
  </si>
  <si>
    <t>Marcela</t>
  </si>
  <si>
    <t>Marketing Director</t>
  </si>
  <si>
    <t>Primero</t>
  </si>
  <si>
    <t>msalinas@primero.com.co</t>
  </si>
  <si>
    <t>http://www.linkedin.com/in/marcela-salinas-r-bb100125</t>
  </si>
  <si>
    <t>http://www.linkedin.com/company/somos-primero</t>
  </si>
  <si>
    <t>https://primero.com.co</t>
  </si>
  <si>
    <t>individual &amp; family services</t>
  </si>
  <si>
    <t>Luis</t>
  </si>
  <si>
    <t>C.E.O</t>
  </si>
  <si>
    <t>ATLANTIC LATAM CORREDORES DE SEGUROS</t>
  </si>
  <si>
    <t>alejandro.fuentes@atlanticrebrokers.com</t>
  </si>
  <si>
    <t>http://www.linkedin.com/in/luis-alejandro-fuentes-vargas-46302069</t>
  </si>
  <si>
    <t>http://www.linkedin.com/company/atlantic-latam-corredores-de-seguros</t>
  </si>
  <si>
    <t>https://atlanticrebrokers.com</t>
  </si>
  <si>
    <t>insurance</t>
  </si>
  <si>
    <t>Aurora</t>
  </si>
  <si>
    <t>Marketing, Corporate Communications &amp; Research Director</t>
  </si>
  <si>
    <t>Newmark Colombia</t>
  </si>
  <si>
    <t>aurora.turriago@nmrk.com</t>
  </si>
  <si>
    <t>http://www.linkedin.com/in/aurora-turriago-72b41772</t>
  </si>
  <si>
    <t>http://www.linkedin.com/company/newmarkco</t>
  </si>
  <si>
    <t>https://newmark.com.co</t>
  </si>
  <si>
    <t>Head of Growth</t>
  </si>
  <si>
    <t>Isitec</t>
  </si>
  <si>
    <t>atorres@isi.com.co</t>
  </si>
  <si>
    <t>http://www.linkedin.com/in/andrestorres455</t>
  </si>
  <si>
    <t>http://www.linkedin.com/company/isitecgroup</t>
  </si>
  <si>
    <t>https://isitec.co</t>
  </si>
  <si>
    <t>Mrudula</t>
  </si>
  <si>
    <t>Innovex International SAS</t>
  </si>
  <si>
    <t>mrudula@innovexinternational.com</t>
  </si>
  <si>
    <t>http://www.linkedin.com/in/mrudula-wattamwar-798bb211</t>
  </si>
  <si>
    <t>http://www.linkedin.com/company/innovex-international-sas</t>
  </si>
  <si>
    <t>https://innovexinternational.com</t>
  </si>
  <si>
    <t>pharmaceuticals</t>
  </si>
  <si>
    <t>Maria</t>
  </si>
  <si>
    <t>Co Founder - Desarrollo Creativo</t>
  </si>
  <si>
    <t>FAUNO Beauty</t>
  </si>
  <si>
    <t>marialopez@fauno.com.co</t>
  </si>
  <si>
    <t>http://www.linkedin.com/in/maria-isabel-l%c3%b3pez-puerta-63750776</t>
  </si>
  <si>
    <t>http://www.linkedin.com/company/beauty-brands-sas</t>
  </si>
  <si>
    <t>https://fauno.com.co</t>
  </si>
  <si>
    <t>Juan Pablo</t>
  </si>
  <si>
    <t>Greenwood Energy</t>
  </si>
  <si>
    <t>juan.crane@greenwood.energy</t>
  </si>
  <si>
    <t>http://www.linkedin.com/in/juan-pablo-crane-665191</t>
  </si>
  <si>
    <t>http://www.linkedin.com/company/greenwoodenergy</t>
  </si>
  <si>
    <t>https://greenwood.energy</t>
  </si>
  <si>
    <t>environmental services</t>
  </si>
  <si>
    <t>Ingrid</t>
  </si>
  <si>
    <t>Deloria Research</t>
  </si>
  <si>
    <t>ingrid@deloria.com.co</t>
  </si>
  <si>
    <t>http://www.linkedin.com/in/ingrid-l%c3%b3pez-b56926242</t>
  </si>
  <si>
    <t>http://www.linkedin.com/company/deloria-research</t>
  </si>
  <si>
    <t>https://deloria.com.co</t>
  </si>
  <si>
    <t>Yily</t>
  </si>
  <si>
    <t>CEO de FioraSoft</t>
  </si>
  <si>
    <t>FioraSoft-SAS</t>
  </si>
  <si>
    <t>yaparicio@fiorasoft.com</t>
  </si>
  <si>
    <t>http://www.linkedin.com/in/yily-aparicio-fiorasoft</t>
  </si>
  <si>
    <t>http://www.linkedin.com/company/fiorasoft</t>
  </si>
  <si>
    <t>https://fiorasoft.co</t>
  </si>
  <si>
    <t>David</t>
  </si>
  <si>
    <t>Co-Founder &amp; Managing Partner</t>
  </si>
  <si>
    <t>Tripact Advisory</t>
  </si>
  <si>
    <t>david@tripactadvisory.com</t>
  </si>
  <si>
    <t>http://www.linkedin.com/in/david-dewez-</t>
  </si>
  <si>
    <t>http://www.linkedin.com/company/tripactadvisory</t>
  </si>
  <si>
    <t>https://tripactadvisory.com</t>
  </si>
  <si>
    <t>capital markets</t>
  </si>
  <si>
    <t>Javier</t>
  </si>
  <si>
    <t>CEO | Asociado</t>
  </si>
  <si>
    <t>Finance Group</t>
  </si>
  <si>
    <t>javiercardenas@financegroup.com.co</t>
  </si>
  <si>
    <t>http://www.linkedin.com/in/javiercardenasl</t>
  </si>
  <si>
    <t>http://www.linkedin.com/company/financegroupcol</t>
  </si>
  <si>
    <t>https://financegroup.com.co</t>
  </si>
  <si>
    <t>Lorenz</t>
  </si>
  <si>
    <t>Co-Founder &amp; CPO</t>
  </si>
  <si>
    <t>Cotierra</t>
  </si>
  <si>
    <t>lorenz.buser@cotierra.com</t>
  </si>
  <si>
    <t>http://www.linkedin.com/in/lorenz-buser-22031bb9</t>
  </si>
  <si>
    <t>http://www.linkedin.com/company/cotierra-ag</t>
  </si>
  <si>
    <t>https://cotierra.com</t>
  </si>
  <si>
    <t>Manuel</t>
  </si>
  <si>
    <t>ArkNova S.A.S</t>
  </si>
  <si>
    <t>manuel.guzman@arknova.co</t>
  </si>
  <si>
    <t>http://www.linkedin.com/in/manguzm</t>
  </si>
  <si>
    <t>http://www.linkedin.com/company/arknovasas</t>
  </si>
  <si>
    <t>https://arknova.co</t>
  </si>
  <si>
    <t>Estefania</t>
  </si>
  <si>
    <t>Cofounder and CEO</t>
  </si>
  <si>
    <t>AURORA</t>
  </si>
  <si>
    <t>estefania@auroraglobal.com.co</t>
  </si>
  <si>
    <t>http://www.linkedin.com/in/estefania-grajales</t>
  </si>
  <si>
    <t>http://www.linkedin.com/company/aurora-comunidad</t>
  </si>
  <si>
    <t>https://auroraglobal.com.co</t>
  </si>
  <si>
    <t>Founder - CEO</t>
  </si>
  <si>
    <t>JP Tactical Trading</t>
  </si>
  <si>
    <t>jvieira@ttrading.co</t>
  </si>
  <si>
    <t>http://www.linkedin.com/in/juan-pablo-vieira-ttrading</t>
  </si>
  <si>
    <t>http://www.linkedin.com/company/jptacticaltrading</t>
  </si>
  <si>
    <t>https://ttrading.co</t>
  </si>
  <si>
    <t>Co-Founder &amp; CEO</t>
  </si>
  <si>
    <t>Cocotero</t>
  </si>
  <si>
    <t>juan@cocotero.com.co</t>
  </si>
  <si>
    <t>http://www.linkedin.com/in/juan-carlos-martinez-sabbagh-42990464</t>
  </si>
  <si>
    <t>http://www.linkedin.com/company/cocoteroapp</t>
  </si>
  <si>
    <t>https://cocotero.com.co</t>
  </si>
  <si>
    <t>Jonathan</t>
  </si>
  <si>
    <t>Founder &amp; CTO</t>
  </si>
  <si>
    <t>Walix</t>
  </si>
  <si>
    <t>jonathan.waldo@walix.co</t>
  </si>
  <si>
    <t>http://www.linkedin.com/in/jonathan-waldo</t>
  </si>
  <si>
    <t>http://www.linkedin.com/company/walix</t>
  </si>
  <si>
    <t>https://walix.co</t>
  </si>
  <si>
    <t>Alejandro</t>
  </si>
  <si>
    <t>PaLaTierra</t>
  </si>
  <si>
    <t>alejandro.gutierrez@palatierra.com</t>
  </si>
  <si>
    <t>http://www.linkedin.com/in/alejandro-gutierrez-diaz</t>
  </si>
  <si>
    <t>http://www.linkedin.com/company/palatierra</t>
  </si>
  <si>
    <t>https://palatierra.com</t>
  </si>
  <si>
    <t>farming</t>
  </si>
  <si>
    <t>⦵ omnierp.app</t>
  </si>
  <si>
    <t>diego.avalos@incore.club</t>
  </si>
  <si>
    <t>http://www.linkedin.com/in/diego-avalos</t>
  </si>
  <si>
    <t>http://www.linkedin.com/company/controltotal</t>
  </si>
  <si>
    <t>https://omnierp.app</t>
  </si>
  <si>
    <t>Founder &amp; CEO</t>
  </si>
  <si>
    <t>Creditop</t>
  </si>
  <si>
    <t>daniel@creditop.com</t>
  </si>
  <si>
    <t>http://www.linkedin.com/in/daniel-garz%c3%b3n-1a570a70</t>
  </si>
  <si>
    <t>http://www.linkedin.com/company/creditopcompany</t>
  </si>
  <si>
    <t>https://creditop.com</t>
  </si>
  <si>
    <t>banking</t>
  </si>
  <si>
    <t>Gustavo</t>
  </si>
  <si>
    <t>Gerente General / Founder &amp; CEO</t>
  </si>
  <si>
    <t>Ajustecol SAS Avalúos Comerciales</t>
  </si>
  <si>
    <t>gerencia@ajustecol.com</t>
  </si>
  <si>
    <t>http://www.linkedin.com/in/gustavo-bedoya-nordmann-90065547</t>
  </si>
  <si>
    <t>http://www.linkedin.com/company/ajustecol-sas</t>
  </si>
  <si>
    <t>https://ajustecol.com</t>
  </si>
  <si>
    <t>Ecolegalia</t>
  </si>
  <si>
    <t>adrianavergara@ecolegalia.com</t>
  </si>
  <si>
    <t>http://www.linkedin.com/in/adriana-carolina-vergara-avila-809352a1</t>
  </si>
  <si>
    <t>http://www.linkedin.com/company/ecolegalia</t>
  </si>
  <si>
    <t>https://ecolegalia.com</t>
  </si>
  <si>
    <t>Ginna</t>
  </si>
  <si>
    <t>Con Sentido Consulting</t>
  </si>
  <si>
    <t>ginnap@consentidoconsulting.com</t>
  </si>
  <si>
    <t>http://www.linkedin.com/in/ginna-pena</t>
  </si>
  <si>
    <t>http://www.linkedin.com/company/consentidoconsulting</t>
  </si>
  <si>
    <t>https://consentidoconsulting.com</t>
  </si>
  <si>
    <t>Jonnathan</t>
  </si>
  <si>
    <t>Evolutech Consulting S.A.S</t>
  </si>
  <si>
    <t>jonnathan.nino@evolutechconsul.com</t>
  </si>
  <si>
    <t>http://www.linkedin.com/in/jonnathanni%c3%b1o</t>
  </si>
  <si>
    <t>http://www.linkedin.com/company/evolutech-consulting-s-a-s</t>
  </si>
  <si>
    <t>https://evolutechconsul.com</t>
  </si>
  <si>
    <t>Co- Founder &amp; CEO Kinnto.ai</t>
  </si>
  <si>
    <t>Kinnto</t>
  </si>
  <si>
    <t>d@kinnto.ai</t>
  </si>
  <si>
    <t>http://www.linkedin.com/in/danielgualtero</t>
  </si>
  <si>
    <t>http://www.linkedin.com/company/kinnto</t>
  </si>
  <si>
    <t>https://kinnto.ai</t>
  </si>
  <si>
    <t>human resources</t>
  </si>
  <si>
    <t>cetus</t>
  </si>
  <si>
    <t>andres.fonseca@cetus.ai</t>
  </si>
  <si>
    <t>http://www.linkedin.com/in/andresfonsecad</t>
  </si>
  <si>
    <t>http://www.linkedin.com/company/cetus-ai</t>
  </si>
  <si>
    <t>https://cetus.ai</t>
  </si>
  <si>
    <t>Cristina</t>
  </si>
  <si>
    <t>Chief Executive Officer - Founder</t>
  </si>
  <si>
    <t>InspirandoT SAS BIC</t>
  </si>
  <si>
    <t>dearmas.c@inspirandot.com</t>
  </si>
  <si>
    <t>http://www.linkedin.com/in/cristinadearmasp</t>
  </si>
  <si>
    <t>http://www.linkedin.com/company/inspirandot</t>
  </si>
  <si>
    <t>https://inspirandot.com</t>
  </si>
  <si>
    <t>Frank</t>
  </si>
  <si>
    <t>Bigview Analytics</t>
  </si>
  <si>
    <t>frank.figueroa@bigview.com.co</t>
  </si>
  <si>
    <t>http://www.linkedin.com/in/frank-figueroa-bb044b12</t>
  </si>
  <si>
    <t>http://www.linkedin.com/company/bigview-latam</t>
  </si>
  <si>
    <t>https://bigview.com.co</t>
  </si>
  <si>
    <t>Otto</t>
  </si>
  <si>
    <t>Founder / CEO</t>
  </si>
  <si>
    <t>Uxtar</t>
  </si>
  <si>
    <t>otto.ruiz@uxtar.com</t>
  </si>
  <si>
    <t>http://www.linkedin.com/in/ottoruizv</t>
  </si>
  <si>
    <t>http://www.linkedin.com/company/uxtarecosistema</t>
  </si>
  <si>
    <t>https://uxtar.com</t>
  </si>
  <si>
    <t>Loto LatAm</t>
  </si>
  <si>
    <t>daniel@lotolatam.com</t>
  </si>
  <si>
    <t>http://www.linkedin.com/in/daniel-camacho-b2b881b6</t>
  </si>
  <si>
    <t>http://www.linkedin.com/company/loto-latam</t>
  </si>
  <si>
    <t>https://lotolatam.com</t>
  </si>
  <si>
    <t>Chief Sales &amp; Marketing Officer Cent Am. Ec-col</t>
  </si>
  <si>
    <t>Vermeer Ve Group</t>
  </si>
  <si>
    <t>agutierrez@vedelivers.com</t>
  </si>
  <si>
    <t>http://www.linkedin.com/in/alejandro-guti%c3%a9rrez-ram%c3%adrez-07728a33</t>
  </si>
  <si>
    <t>http://www.linkedin.com/company/vermeer-ve-group</t>
  </si>
  <si>
    <t>https://vedelivers.com</t>
  </si>
  <si>
    <t>Socio &amp; CMO</t>
  </si>
  <si>
    <t>KOMPENSITY</t>
  </si>
  <si>
    <t>mpaula.nieto@kompensity.com</t>
  </si>
  <si>
    <t>http://www.linkedin.com/in/mar%c3%ada-paula-nieto-corredor-08102068</t>
  </si>
  <si>
    <t>http://www.linkedin.com/company/kompensity</t>
  </si>
  <si>
    <t>https://kompensity.com</t>
  </si>
  <si>
    <t>Spoon GG</t>
  </si>
  <si>
    <t>carlos@spoonmg.com</t>
  </si>
  <si>
    <t>http://www.linkedin.com/in/carlos-manuel-vidal-barrueco-53330b94</t>
  </si>
  <si>
    <t>http://www.linkedin.com/company/spoon-media-group</t>
  </si>
  <si>
    <t>https://spoongg.com</t>
  </si>
  <si>
    <t>Korneel</t>
  </si>
  <si>
    <t>Re-Treated</t>
  </si>
  <si>
    <t>korneel@re-treated.com</t>
  </si>
  <si>
    <t>http://www.linkedin.com/in/korneeldesmet</t>
  </si>
  <si>
    <t>http://www.linkedin.com/company/re-treated</t>
  </si>
  <si>
    <t>https://re-treated.com</t>
  </si>
  <si>
    <t>CEO | Emprendedor</t>
  </si>
  <si>
    <t>AV Brokers</t>
  </si>
  <si>
    <t>diego.almeyda@av-brokers.com</t>
  </si>
  <si>
    <t>http://www.linkedin.com/in/diegoalmeyda</t>
  </si>
  <si>
    <t>http://www.linkedin.com/company/av-brokers</t>
  </si>
  <si>
    <t>https://av-brokers.com</t>
  </si>
  <si>
    <t>Co-founder &amp; CEO</t>
  </si>
  <si>
    <t>CALMIO</t>
  </si>
  <si>
    <t>camilo@calmio.co</t>
  </si>
  <si>
    <t>http://www.linkedin.com/in/camilo-ospina</t>
  </si>
  <si>
    <t>http://www.linkedin.com/company/calmio-co</t>
  </si>
  <si>
    <t>https://calmio.co</t>
  </si>
  <si>
    <t>Victor</t>
  </si>
  <si>
    <t>VTSAS</t>
  </si>
  <si>
    <t>victor.tamayo@vtsas.co</t>
  </si>
  <si>
    <t>http://www.linkedin.com/in/v%c3%adctor-manuel-tamayo-bustamante-b1923030</t>
  </si>
  <si>
    <t>http://www.linkedin.com/company/vtsasco</t>
  </si>
  <si>
    <t>https://vtsas.co</t>
  </si>
  <si>
    <t>COO &amp; Co-founder</t>
  </si>
  <si>
    <t>Sempli</t>
  </si>
  <si>
    <t>fll@sempli.co</t>
  </si>
  <si>
    <t>http://www.linkedin.com/in/felipellanoalvis</t>
  </si>
  <si>
    <t>http://www.linkedin.com/company/sempli.co</t>
  </si>
  <si>
    <t>https://sempli.co</t>
  </si>
  <si>
    <t>Jeisson</t>
  </si>
  <si>
    <t>Golf y Turf S.A.S</t>
  </si>
  <si>
    <t>jeisson.arevalo@golfyturf.com</t>
  </si>
  <si>
    <t>http://www.linkedin.com/in/jeissonarevaloabril</t>
  </si>
  <si>
    <t>http://www.linkedin.com/company/golf-y-turf-s-a-s</t>
  </si>
  <si>
    <t>https://golfyturf.co</t>
  </si>
  <si>
    <t>recreational facilities &amp; services</t>
  </si>
  <si>
    <t>ProfileP</t>
  </si>
  <si>
    <t>ssilva@talentp.com</t>
  </si>
  <si>
    <t>http://www.linkedin.com/in/santiago-silva-betancourt-49316917</t>
  </si>
  <si>
    <t>http://www.linkedin.com/company/profilep</t>
  </si>
  <si>
    <t>https://profilep.co</t>
  </si>
  <si>
    <t>Esteban</t>
  </si>
  <si>
    <t>Prix</t>
  </si>
  <si>
    <t>esteban@prix.com.co</t>
  </si>
  <si>
    <t>http://www.linkedin.com/in/estebangarcia27</t>
  </si>
  <si>
    <t>http://www.linkedin.com/company/prixpagos</t>
  </si>
  <si>
    <t>https://prix.la</t>
  </si>
  <si>
    <t>Mateo</t>
  </si>
  <si>
    <t>Co-Founder, CEO</t>
  </si>
  <si>
    <t>TREA</t>
  </si>
  <si>
    <t>mateo@trea.pro</t>
  </si>
  <si>
    <t>http://www.linkedin.com/in/mateobenavides</t>
  </si>
  <si>
    <t>http://www.linkedin.com/company/trea-the-real-estate-agency</t>
  </si>
  <si>
    <t>https://trea.com.co</t>
  </si>
  <si>
    <t>Diana</t>
  </si>
  <si>
    <t>CEO and Founder</t>
  </si>
  <si>
    <t>BIOESTRUCTURAS S.A.S</t>
  </si>
  <si>
    <t>presupuestos@bioestructuras.com</t>
  </si>
  <si>
    <t>http://www.linkedin.com/in/diana-monsalve-83581aa6</t>
  </si>
  <si>
    <t>http://www.linkedin.com/company/bioestructurassas</t>
  </si>
  <si>
    <t>https://bioestructuras.com</t>
  </si>
  <si>
    <t>construction</t>
  </si>
  <si>
    <t>Valerio</t>
  </si>
  <si>
    <t>LookApp</t>
  </si>
  <si>
    <t>valerio@150porciento.com</t>
  </si>
  <si>
    <t>http://www.linkedin.com/in/valeriotedesco</t>
  </si>
  <si>
    <t>http://www.linkedin.com/company/lookapp-co</t>
  </si>
  <si>
    <t>https://lookapp.com.co</t>
  </si>
  <si>
    <t>market research</t>
  </si>
  <si>
    <t>Guillermo</t>
  </si>
  <si>
    <t>CEO / Socio</t>
  </si>
  <si>
    <t>Locknet S.A</t>
  </si>
  <si>
    <t>gsaad@locknet.com.co</t>
  </si>
  <si>
    <t>http://www.linkedin.com/in/guillermo-saad-l%c2%b4hoeste-3476b8b7</t>
  </si>
  <si>
    <t>http://www.linkedin.com/company/locknet-s-a-</t>
  </si>
  <si>
    <t>https://locknet.com.co</t>
  </si>
  <si>
    <t>Gabriela</t>
  </si>
  <si>
    <t>Jefe de Marketing y Unidad de Negocios</t>
  </si>
  <si>
    <t>Insoexa Maquinaria Surámerica IMS</t>
  </si>
  <si>
    <t>ventasims@maquinariaparaplasticos.com</t>
  </si>
  <si>
    <t>http://www.linkedin.com/in/gabriela-castano</t>
  </si>
  <si>
    <t>http://www.linkedin.com/company/insoexa-maquinaria-sur%c3%a1merica-ims</t>
  </si>
  <si>
    <t>https://maquinariaparaplasticos.com</t>
  </si>
  <si>
    <t>Phylo Legal</t>
  </si>
  <si>
    <t>camilo@phylo.co</t>
  </si>
  <si>
    <t>http://www.linkedin.com/in/camilogomezabogadophylolegal</t>
  </si>
  <si>
    <t>http://www.linkedin.com/company/phylo-law</t>
  </si>
  <si>
    <t>https://phylo.co</t>
  </si>
  <si>
    <t>Cofounder &amp; CEO</t>
  </si>
  <si>
    <t>NEXT TALENT SOLUTIONS</t>
  </si>
  <si>
    <t>joseb@nexttalentsolutions.com</t>
  </si>
  <si>
    <t>http://www.linkedin.com/in/jose-bustamante-santoya-1ab92852</t>
  </si>
  <si>
    <t>http://www.linkedin.com/company/next-talent-solutions</t>
  </si>
  <si>
    <t>https://nexttalentsolutions.com</t>
  </si>
  <si>
    <t>Top Closing</t>
  </si>
  <si>
    <t>mauricio@closertop.com</t>
  </si>
  <si>
    <t>http://www.linkedin.com/in/mauricio-zabala-802b1739</t>
  </si>
  <si>
    <t>http://www.linkedin.com/company/top-closing</t>
  </si>
  <si>
    <t>https://closertop.com</t>
  </si>
  <si>
    <t>CEO Newsol</t>
  </si>
  <si>
    <t>NewSol Consulting</t>
  </si>
  <si>
    <t>mauricio.cuellar@newsol.com.co</t>
  </si>
  <si>
    <t>http://www.linkedin.com/in/mauricio-cuellar-907bba63</t>
  </si>
  <si>
    <t>http://www.linkedin.com/company/newsol-consulting</t>
  </si>
  <si>
    <t>https://newsol.com.co</t>
  </si>
  <si>
    <t>Natalia</t>
  </si>
  <si>
    <t>TeeRead</t>
  </si>
  <si>
    <t>natalia@teeread.com</t>
  </si>
  <si>
    <t>http://www.linkedin.com/in/natalia-carvajal-gonz%c3%a1lez-192536218</t>
  </si>
  <si>
    <t>http://www.linkedin.com/company/teeread</t>
  </si>
  <si>
    <t>https://teeread.com</t>
  </si>
  <si>
    <t>Nayla</t>
  </si>
  <si>
    <t>Sr. Manager, Head of Marketing</t>
  </si>
  <si>
    <t>Zelery-Med</t>
  </si>
  <si>
    <t>nayla.gandur@zelery.net</t>
  </si>
  <si>
    <t>http://www.linkedin.com/in/naylagandur</t>
  </si>
  <si>
    <t>http://www.linkedin.com/company/zelery-medcorporation</t>
  </si>
  <si>
    <t>https://zelery.net</t>
  </si>
  <si>
    <t>Sierra</t>
  </si>
  <si>
    <t>Red Thread Publishing</t>
  </si>
  <si>
    <t>sierra@redthreadbooks.com</t>
  </si>
  <si>
    <t>http://www.linkedin.com/in/sierra-melcher</t>
  </si>
  <si>
    <t>http://www.linkedin.com/company/red-thread-publishing</t>
  </si>
  <si>
    <t>https://redthreadbooks.com</t>
  </si>
  <si>
    <t>publishing</t>
  </si>
  <si>
    <t>Loni</t>
  </si>
  <si>
    <t>Titán Cemento</t>
  </si>
  <si>
    <t>landerson@titancemento.com</t>
  </si>
  <si>
    <t>http://www.linkedin.com/in/lonianderson</t>
  </si>
  <si>
    <t>http://www.linkedin.com/company/tit%c3%a1n-cemento</t>
  </si>
  <si>
    <t>https://titancemento.com</t>
  </si>
  <si>
    <t>glass, ceramics &amp; concrete</t>
  </si>
  <si>
    <t xml:space="preserve">Segunda cuenta: https://www.linkedin.com/company/titan-prefabricados-en-concreto/posts/?feedView=all
</t>
  </si>
  <si>
    <t>Cofundador &amp; CEO</t>
  </si>
  <si>
    <t>Ecologic Ingenieria SAS</t>
  </si>
  <si>
    <t>csalamanca@ecologicingenieria.com</t>
  </si>
  <si>
    <t>http://www.linkedin.com/in/camilo-salamanca-florez-bb512138</t>
  </si>
  <si>
    <t>http://www.linkedin.com/company/ecologic-ingenieria-sas</t>
  </si>
  <si>
    <t>https://ecologicingenieria.com</t>
  </si>
  <si>
    <t>renewables &amp; environment</t>
  </si>
  <si>
    <t>Katherine</t>
  </si>
  <si>
    <t>Director of Business Development, Latin America</t>
  </si>
  <si>
    <t>Springshot</t>
  </si>
  <si>
    <t>katherine.villamil@springshot.com</t>
  </si>
  <si>
    <t>http://www.linkedin.com/in/katherine-villamil1988</t>
  </si>
  <si>
    <t>http://www.linkedin.com/company/springshot-inc-</t>
  </si>
  <si>
    <t>https://springshot.com</t>
  </si>
  <si>
    <t>Interim Chief Executive Officer</t>
  </si>
  <si>
    <t>Innova Family Solutions</t>
  </si>
  <si>
    <t>gtorres@ifs.com.co</t>
  </si>
  <si>
    <t>http://www.linkedin.com/in/gugatorres</t>
  </si>
  <si>
    <t>http://www.linkedin.com/company/innova-family-solutions</t>
  </si>
  <si>
    <t>https://ifs.com.co</t>
  </si>
  <si>
    <t>Gina</t>
  </si>
  <si>
    <t>Maat®</t>
  </si>
  <si>
    <t>ginajuliana@maat.com.co</t>
  </si>
  <si>
    <t>http://www.linkedin.com/in/ginajuliana13</t>
  </si>
  <si>
    <t>http://www.linkedin.com/company/maat-soluciones-ambientales</t>
  </si>
  <si>
    <t>https://maat.com.co</t>
  </si>
  <si>
    <t>Roberto</t>
  </si>
  <si>
    <t>30X</t>
  </si>
  <si>
    <t>roberto@30x.org</t>
  </si>
  <si>
    <t>http://www.linkedin.com/in/roberto-amaya-0a036b236</t>
  </si>
  <si>
    <t>http://www.linkedin.com/company/crece30x</t>
  </si>
  <si>
    <t>https://30x.org</t>
  </si>
  <si>
    <t>education management</t>
  </si>
  <si>
    <t>Julio</t>
  </si>
  <si>
    <t>Munily App</t>
  </si>
  <si>
    <t>jbossa@munily.com</t>
  </si>
  <si>
    <t>http://www.linkedin.com/in/juliobossavelez</t>
  </si>
  <si>
    <t>http://www.linkedin.com/company/munilyapp</t>
  </si>
  <si>
    <t>https://munily.com</t>
  </si>
  <si>
    <t>Marketing Director - CMO</t>
  </si>
  <si>
    <t>United Roofing</t>
  </si>
  <si>
    <t>claudiacardona@uc-roofing.com</t>
  </si>
  <si>
    <t>http://www.linkedin.com/in/claudiacardonagomez</t>
  </si>
  <si>
    <t>http://www.linkedin.com/company/unitedcroofing</t>
  </si>
  <si>
    <t>https://unitedroofing.ai</t>
  </si>
  <si>
    <t>Neoland</t>
  </si>
  <si>
    <t>jherrera@neolandsas.com</t>
  </si>
  <si>
    <t>http://www.linkedin.com/in/juancamiloherrera</t>
  </si>
  <si>
    <t>http://www.linkedin.com/company/neolandsas</t>
  </si>
  <si>
    <t>https://neoland.com.co</t>
  </si>
  <si>
    <t>Grupo IRT</t>
  </si>
  <si>
    <t>andrestapia@grupoirt.com</t>
  </si>
  <si>
    <t>http://www.linkedin.com/in/andres-tapia-alvarado-27638571</t>
  </si>
  <si>
    <t>http://www.linkedin.com/company/grupo-irt-co</t>
  </si>
  <si>
    <t>https://grupoirt.com</t>
  </si>
  <si>
    <t>civil engineering</t>
  </si>
  <si>
    <t>Pablo</t>
  </si>
  <si>
    <t>Peakr</t>
  </si>
  <si>
    <t>pablo@peakr.app</t>
  </si>
  <si>
    <t>http://www.linkedin.com/in/pablo-carbonell-73a00149</t>
  </si>
  <si>
    <t>http://www.linkedin.com/company/peakr</t>
  </si>
  <si>
    <t>https://peakr.app</t>
  </si>
  <si>
    <t>Gian</t>
  </si>
  <si>
    <t>Zpazio Design &amp; Brands</t>
  </si>
  <si>
    <t>gerencia@zpazio.co</t>
  </si>
  <si>
    <t>http://www.linkedin.com/in/gianmoralesm</t>
  </si>
  <si>
    <t>http://www.linkedin.com/company/zpaziodesignb</t>
  </si>
  <si>
    <t>https://zpazio.co</t>
  </si>
  <si>
    <t>CEO Cáceres &amp; Asociados</t>
  </si>
  <si>
    <t>Cáceres y Moya ConsultGlobal sas</t>
  </si>
  <si>
    <t>ccaceres@caceresyasociados.com.co</t>
  </si>
  <si>
    <t>http://www.linkedin.com/in/carlos-eduardo-c%c3%a1ceres-gonz%c3%a1lez-0b7471225</t>
  </si>
  <si>
    <t>http://www.linkedin.com/company/c%c3%a1ceresyasociadossas</t>
  </si>
  <si>
    <t>https://caceresyasociados.net.co</t>
  </si>
  <si>
    <t>CEO/Founder Reditum Group</t>
  </si>
  <si>
    <t>INGRESARIOS</t>
  </si>
  <si>
    <t>contenido@ingresarios.com</t>
  </si>
  <si>
    <t>http://www.linkedin.com/in/juan-villegas-b7a77033</t>
  </si>
  <si>
    <t>http://www.linkedin.com/company/reditum</t>
  </si>
  <si>
    <t>https://ingresarios.com</t>
  </si>
  <si>
    <t>Founder &amp; CFO</t>
  </si>
  <si>
    <t>elementoalpha</t>
  </si>
  <si>
    <t>srocha@elementoalpha.com</t>
  </si>
  <si>
    <t>http://www.linkedin.com/in/sebasti%c3%a1n-rocha-a96585100</t>
  </si>
  <si>
    <t>http://www.linkedin.com/company/elementoalpha</t>
  </si>
  <si>
    <t>https://elementoalpha.com</t>
  </si>
  <si>
    <t>Quimiboy SAS</t>
  </si>
  <si>
    <t>gerencia@quimiboy.com</t>
  </si>
  <si>
    <t>http://www.linkedin.com/in/diego-rinc%c3%b3n-b4b56625</t>
  </si>
  <si>
    <t>http://www.linkedin.com/company/quimiboy-sas</t>
  </si>
  <si>
    <t>https://quimiboy.com</t>
  </si>
  <si>
    <t>chemicals</t>
  </si>
  <si>
    <t>Hoffman</t>
  </si>
  <si>
    <t>Founder and CEO</t>
  </si>
  <si>
    <t>Scitis</t>
  </si>
  <si>
    <t>hoffman.tejada@scitisgroup.com</t>
  </si>
  <si>
    <t>http://www.linkedin.com/in/hoffman-tejada</t>
  </si>
  <si>
    <t>http://www.linkedin.com/company/scitis-group</t>
  </si>
  <si>
    <t>https://scitisgroup.com</t>
  </si>
  <si>
    <t>Sara</t>
  </si>
  <si>
    <t>MESA BAJA AGROINDUSTRIA</t>
  </si>
  <si>
    <t>sara.grisales@mesabaja.com</t>
  </si>
  <si>
    <t>http://www.linkedin.com/in/saragrisales</t>
  </si>
  <si>
    <t>http://www.linkedin.com/company/mesa-baja-agroindustria</t>
  </si>
  <si>
    <t>https://mesabaja.com</t>
  </si>
  <si>
    <t>food &amp; beverages</t>
  </si>
  <si>
    <t>Jhon</t>
  </si>
  <si>
    <t>LAFER Soluciones Masivas de Seguros</t>
  </si>
  <si>
    <t>jhon.arevaloj@lafer.com.co</t>
  </si>
  <si>
    <t>http://www.linkedin.com/in/jhon-h-ar%c3%a9valo-j-8a314b175</t>
  </si>
  <si>
    <t>http://www.linkedin.com/company/lafer-massive-solutions-insurance</t>
  </si>
  <si>
    <t>https://lafer.com.co</t>
  </si>
  <si>
    <t>COO / Founder</t>
  </si>
  <si>
    <t>Ecowindows</t>
  </si>
  <si>
    <t>rmercado@ecowindows.com.co</t>
  </si>
  <si>
    <t>http://www.linkedin.com/in/roberto-elias-mercado-casij-1909b134</t>
  </si>
  <si>
    <t>http://www.linkedin.com/company/ecowindows-llc</t>
  </si>
  <si>
    <t>https://ecowindows.com</t>
  </si>
  <si>
    <t>Trandecol SAS</t>
  </si>
  <si>
    <t>julio.tabordajaramillo@trandecol.com</t>
  </si>
  <si>
    <t>http://www.linkedin.com/in/juliocesar-tabordajaramillo-logistica-ventas-kam</t>
  </si>
  <si>
    <t>http://www.linkedin.com/company/trandecolsas</t>
  </si>
  <si>
    <t>https://trandecol.com</t>
  </si>
  <si>
    <t>transportation/trucking/railroad</t>
  </si>
  <si>
    <t>Gerente General, Co-Founder</t>
  </si>
  <si>
    <t>Servitdesk</t>
  </si>
  <si>
    <t>lvarela@servitdesk.com</t>
  </si>
  <si>
    <t>http://www.linkedin.com/in/luis-hector-varela-guevara-07145850</t>
  </si>
  <si>
    <t>http://www.linkedin.com/company/servitdesk</t>
  </si>
  <si>
    <t>https://servitdesk.com</t>
  </si>
  <si>
    <t>Brian</t>
  </si>
  <si>
    <t>CEO - Fundador</t>
  </si>
  <si>
    <t>ALIGO Defensores Informáticos</t>
  </si>
  <si>
    <t>brian.martinez@aligo.com.co</t>
  </si>
  <si>
    <t>http://www.linkedin.com/in/brian-david-martinez-9559302</t>
  </si>
  <si>
    <t>http://www.linkedin.com/company/aligo-sas</t>
  </si>
  <si>
    <t>https://aligo.com.co</t>
  </si>
  <si>
    <t>Tito</t>
  </si>
  <si>
    <t>Kika Vargas</t>
  </si>
  <si>
    <t>tito@kikavargas.com</t>
  </si>
  <si>
    <t>http://www.linkedin.com/in/tito-fern%c3%a1ndez-reyes-34602010</t>
  </si>
  <si>
    <t>http://www.linkedin.com/company/kika-vargas</t>
  </si>
  <si>
    <t>https://kikavargas.com</t>
  </si>
  <si>
    <t>Nelson</t>
  </si>
  <si>
    <t>Waruwa</t>
  </si>
  <si>
    <t>nrodriguez@waruwa.com</t>
  </si>
  <si>
    <t>http://www.linkedin.com/in/nelson-rodriguez-hernandez-31282a138</t>
  </si>
  <si>
    <t>http://www.linkedin.com/company/waruwa</t>
  </si>
  <si>
    <t>https://waruwa.com</t>
  </si>
  <si>
    <t>retail</t>
  </si>
  <si>
    <t>CEO Founder</t>
  </si>
  <si>
    <t>Innovus</t>
  </si>
  <si>
    <t>carlos@innovusbs.com</t>
  </si>
  <si>
    <t>http://www.linkedin.com/in/carlos-fernando-suarez</t>
  </si>
  <si>
    <t>http://www.linkedin.com/company/innovus-business-school</t>
  </si>
  <si>
    <t>https://innovusbs.com</t>
  </si>
  <si>
    <t>Roca Ingenieria y Climatizacion</t>
  </si>
  <si>
    <t>luis.carranza@rocaingenieria.com</t>
  </si>
  <si>
    <t>http://www.linkedin.com/in/luis-alfredo-carranza-hern%c3%a1ndez-0a9a944a</t>
  </si>
  <si>
    <t>http://www.linkedin.com/company/roca-ingenieria-de-climatizacion-sas</t>
  </si>
  <si>
    <t>https://rocaingenieria.com</t>
  </si>
  <si>
    <t>Clementina</t>
  </si>
  <si>
    <t>Dots &amp; Tech</t>
  </si>
  <si>
    <t>clemen@dotsandtech.com</t>
  </si>
  <si>
    <t>http://www.linkedin.com/in/clemengiraldo</t>
  </si>
  <si>
    <t>http://www.linkedin.com/company/dotsandtech</t>
  </si>
  <si>
    <t>https://dotsandtech.com</t>
  </si>
  <si>
    <t>Cesar</t>
  </si>
  <si>
    <t>TuSocio</t>
  </si>
  <si>
    <t>cesar.cadavid@platano.com.co</t>
  </si>
  <si>
    <t>http://www.linkedin.com/in/cesarcadavid</t>
  </si>
  <si>
    <t>http://www.linkedin.com/company/platano-credit</t>
  </si>
  <si>
    <t>https://platano.com.co</t>
  </si>
  <si>
    <t>CTO &amp; Co Founder</t>
  </si>
  <si>
    <t>Quix</t>
  </si>
  <si>
    <t>carlos@quix.work</t>
  </si>
  <si>
    <t>http://www.linkedin.com/in/alarcon7a</t>
  </si>
  <si>
    <t>http://www.linkedin.com/company/quix-la</t>
  </si>
  <si>
    <t>https://quix.work</t>
  </si>
  <si>
    <t>Augusto</t>
  </si>
  <si>
    <t>Founder &amp; Comercial Director</t>
  </si>
  <si>
    <t>Shareagraphic</t>
  </si>
  <si>
    <t>augusto@shareagraphic.com</t>
  </si>
  <si>
    <t>http://www.linkedin.com/in/augusto-jaramillo-623b8431</t>
  </si>
  <si>
    <t>http://www.linkedin.com/company/share-a-graphic</t>
  </si>
  <si>
    <t>https://shareagraphic.com</t>
  </si>
  <si>
    <t>graphic design</t>
  </si>
  <si>
    <t>Miguel</t>
  </si>
  <si>
    <t>Invertrade</t>
  </si>
  <si>
    <t>gerencia@invertrade.co</t>
  </si>
  <si>
    <t>http://www.linkedin.com/in/migueldavilad</t>
  </si>
  <si>
    <t>http://www.linkedin.com/company/invertrade</t>
  </si>
  <si>
    <t>https://invertrade.co</t>
  </si>
  <si>
    <t>food production</t>
  </si>
  <si>
    <t>Gordon</t>
  </si>
  <si>
    <t>Founder &amp; Security Director</t>
  </si>
  <si>
    <t>Black Mountain Solutions</t>
  </si>
  <si>
    <t>gw@blackmountain-solutions.com</t>
  </si>
  <si>
    <t>http://www.linkedin.com/in/gordon-wells-5a35b218</t>
  </si>
  <si>
    <t>http://www.linkedin.com/company/black-mountain-solutions</t>
  </si>
  <si>
    <t>https://blackmountain-solutions.com</t>
  </si>
  <si>
    <t>security &amp; investigations</t>
  </si>
  <si>
    <t>minteo</t>
  </si>
  <si>
    <t>sebastian@minteo.com</t>
  </si>
  <si>
    <t>http://www.linkedin.com/in/sebastian-salazar-b5308159</t>
  </si>
  <si>
    <t>http://www.linkedin.com/company/minteo</t>
  </si>
  <si>
    <t>https://minteo.com</t>
  </si>
  <si>
    <t>Oscar</t>
  </si>
  <si>
    <t>COO and Co-founder</t>
  </si>
  <si>
    <t>aluri</t>
  </si>
  <si>
    <t>oscar@aluri.co</t>
  </si>
  <si>
    <t>http://www.linkedin.com/in/oscar-tarazona-9b46149b</t>
  </si>
  <si>
    <t>http://www.linkedin.com/company/aluri</t>
  </si>
  <si>
    <t>https://aluri.co</t>
  </si>
  <si>
    <t>PENGY</t>
  </si>
  <si>
    <t>ricardo@pengy.com.co</t>
  </si>
  <si>
    <t>http://www.linkedin.com/in/ricardoarmentacuello</t>
  </si>
  <si>
    <t>http://www.linkedin.com/company/pengy</t>
  </si>
  <si>
    <t>https://pengy.com.co</t>
  </si>
  <si>
    <t>CEO &amp; Founder | Premium Properties | Power Brokers</t>
  </si>
  <si>
    <t>Propiedades Premium Colombia</t>
  </si>
  <si>
    <t>natalia@nataliabotero.com</t>
  </si>
  <si>
    <t>http://www.linkedin.com/in/natalia-botero-8a2b8996</t>
  </si>
  <si>
    <t>http://www.linkedin.com/company/natalia-botero</t>
  </si>
  <si>
    <t>https://propiedadespremiumcolombia.com</t>
  </si>
  <si>
    <t>Cofounder - CEO</t>
  </si>
  <si>
    <t>Coink</t>
  </si>
  <si>
    <t>mario@coink.com</t>
  </si>
  <si>
    <t>http://www.linkedin.com/in/mario-castro-97358a11a</t>
  </si>
  <si>
    <t>http://www.linkedin.com/company/coink</t>
  </si>
  <si>
    <t>https://coink.com</t>
  </si>
  <si>
    <t>Carolina</t>
  </si>
  <si>
    <t>Joyería Bauer</t>
  </si>
  <si>
    <t>carolina.gomez@bauer.com.co</t>
  </si>
  <si>
    <t>http://www.linkedin.com/in/carolina-gomez-s</t>
  </si>
  <si>
    <t>http://www.linkedin.com/company/joyer%c3%ada-bauer</t>
  </si>
  <si>
    <t>https://bauer.com.co</t>
  </si>
  <si>
    <t>luxury goods &amp; jewelry</t>
  </si>
  <si>
    <t>Leonardo</t>
  </si>
  <si>
    <t>Tekus</t>
  </si>
  <si>
    <t>leonardo.arango@tekus.co</t>
  </si>
  <si>
    <t>http://www.linkedin.com/in/leonardoarangobaena</t>
  </si>
  <si>
    <t>http://www.linkedin.com/company/tekus</t>
  </si>
  <si>
    <t>https://tekus.co</t>
  </si>
  <si>
    <t>program development</t>
  </si>
  <si>
    <t>Tpaga</t>
  </si>
  <si>
    <t>andres@tpaga.co</t>
  </si>
  <si>
    <t>http://www.linkedin.com/in/andres-gutierrez-8516588</t>
  </si>
  <si>
    <t>http://www.linkedin.com/company/tpaga</t>
  </si>
  <si>
    <t>https://tpaga.co</t>
  </si>
  <si>
    <t>DiiT Consultores</t>
  </si>
  <si>
    <t>mbecerra@diit.com.co</t>
  </si>
  <si>
    <t>http://www.linkedin.com/in/miguelbecerraz</t>
  </si>
  <si>
    <t>http://www.linkedin.com/company/diit-consultores-s.a.s</t>
  </si>
  <si>
    <t>https://diit.com.co</t>
  </si>
  <si>
    <t>Keudys</t>
  </si>
  <si>
    <t>CEO Denova Solutions Latam</t>
  </si>
  <si>
    <t>Denova Consulting &amp; Solutions</t>
  </si>
  <si>
    <t>kalvarado@denova.com.co</t>
  </si>
  <si>
    <t>http://www.linkedin.com/in/keudysalvarado</t>
  </si>
  <si>
    <t>http://www.linkedin.com/company/denova-consulting-solutions</t>
  </si>
  <si>
    <t>https://denova.com.co</t>
  </si>
  <si>
    <t>Sandra</t>
  </si>
  <si>
    <t>CEO / Especialista en Empleabilidad</t>
  </si>
  <si>
    <t>SMG-Imagen Laboral</t>
  </si>
  <si>
    <t>http://www.linkedin.com/in/sandra-milena-moncada-vacca</t>
  </si>
  <si>
    <t>http://www.linkedin.com/company/smg-imagen-laboral</t>
  </si>
  <si>
    <t>https://smgimagen.com.co</t>
  </si>
  <si>
    <t>Valeria</t>
  </si>
  <si>
    <t>Family Office Club</t>
  </si>
  <si>
    <t>valeria@familyoffices.com</t>
  </si>
  <si>
    <t>http://www.linkedin.com/in/valeria-buitrago-626027158</t>
  </si>
  <si>
    <t>http://www.linkedin.com/company/familyoffices</t>
  </si>
  <si>
    <t>https://familyoffices.com</t>
  </si>
  <si>
    <t>Uptime Analytics</t>
  </si>
  <si>
    <t>oscar.h@uptimeanalytics.com</t>
  </si>
  <si>
    <t>http://www.linkedin.com/in/oscarhoyosv</t>
  </si>
  <si>
    <t>http://www.linkedin.com/company/uptime-analytics</t>
  </si>
  <si>
    <t>https://uptimeanalytics.com</t>
  </si>
  <si>
    <t>Sales and Marketing Director</t>
  </si>
  <si>
    <t>EnvaPack.Com</t>
  </si>
  <si>
    <t>direccioncomercial@envapack.com</t>
  </si>
  <si>
    <t>http://www.linkedin.com/in/maria-andrea-ortiz-paez</t>
  </si>
  <si>
    <t>http://www.linkedin.com/company/envapack-com</t>
  </si>
  <si>
    <t>https://envapack.com</t>
  </si>
  <si>
    <t>packaging &amp; containers</t>
  </si>
  <si>
    <t>Bluite</t>
  </si>
  <si>
    <t>carlos@bluite.co</t>
  </si>
  <si>
    <t>http://www.linkedin.com/in/carlospaternina</t>
  </si>
  <si>
    <t>http://www.linkedin.com/company/bluite</t>
  </si>
  <si>
    <t>https://bluite.co</t>
  </si>
  <si>
    <t>TBBC</t>
  </si>
  <si>
    <t>javier.suarez@thebitbang.company</t>
  </si>
  <si>
    <t>http://www.linkedin.com/in/javi-suarez-m</t>
  </si>
  <si>
    <t>http://www.linkedin.com/company/tbbcai</t>
  </si>
  <si>
    <t>https://tbbc.ai</t>
  </si>
  <si>
    <t>Daniela</t>
  </si>
  <si>
    <t>Thraive</t>
  </si>
  <si>
    <t>danielacmerlano@thraive.io</t>
  </si>
  <si>
    <t>http://www.linkedin.com/in/daniela-c-merlano-</t>
  </si>
  <si>
    <t>http://www.linkedin.com/company/thraive</t>
  </si>
  <si>
    <t>https://thraive.io</t>
  </si>
  <si>
    <t>Innovati</t>
  </si>
  <si>
    <t>pablo@innovati.com.co</t>
  </si>
  <si>
    <t>http://www.linkedin.com/in/pabloejaramillo</t>
  </si>
  <si>
    <t>http://www.linkedin.com/company/innovati-software</t>
  </si>
  <si>
    <t>https://innovati.com.co</t>
  </si>
  <si>
    <t>Director of Communications &amp; Sales</t>
  </si>
  <si>
    <t>Mediamos F&amp;M</t>
  </si>
  <si>
    <t>dquiroga@mediamosfym.com</t>
  </si>
  <si>
    <t>http://www.linkedin.com/in/dquirogacasella</t>
  </si>
  <si>
    <t>http://www.linkedin.com/company/mediamosfym</t>
  </si>
  <si>
    <t>https://mediamosfym.com</t>
  </si>
  <si>
    <t>Whale &amp; Jaguar</t>
  </si>
  <si>
    <t>luis@whaleandjaguar.co</t>
  </si>
  <si>
    <t>http://www.linkedin.com/in/luisanibalgarciawj</t>
  </si>
  <si>
    <t>http://www.linkedin.com/company/whaleandjaguar</t>
  </si>
  <si>
    <t>https://whaleandjaguar.co</t>
  </si>
  <si>
    <t>Jaime</t>
  </si>
  <si>
    <t>Gerente General (CEO)</t>
  </si>
  <si>
    <t>KONCILIA</t>
  </si>
  <si>
    <t>jgarcia@koncilia.com.co</t>
  </si>
  <si>
    <t>http://www.linkedin.com/in/jaimegarc%c3%adacepeda-82457722</t>
  </si>
  <si>
    <t>http://www.linkedin.com/company/koncilia-co</t>
  </si>
  <si>
    <t>https://koncilia.com.co</t>
  </si>
  <si>
    <t>PROFINE</t>
  </si>
  <si>
    <t>juan.sanfeliuyanesmaestroenhseq@profinehseq.com</t>
  </si>
  <si>
    <t>http://www.linkedin.com/in/juan-sanfeliu-yanes-maestro-en-hseq-68501235</t>
  </si>
  <si>
    <t>http://www.linkedin.com/company/profine-procesos-de-formaci%c3%b3n-integrales-especializados</t>
  </si>
  <si>
    <t>https://profinehseq.com</t>
  </si>
  <si>
    <t>Pedro</t>
  </si>
  <si>
    <t>Licify.ai</t>
  </si>
  <si>
    <t>pedro@licify.co</t>
  </si>
  <si>
    <t>http://www.linkedin.com/in/pedro-celia-7b3b1b92</t>
  </si>
  <si>
    <t>http://www.linkedin.com/company/licifylicify</t>
  </si>
  <si>
    <t>https://licify.ai</t>
  </si>
  <si>
    <t>Founder &amp; General Manager</t>
  </si>
  <si>
    <t>Ibex Consultores de Seguros Ltda</t>
  </si>
  <si>
    <t>jmarulanda@ibexconsultores.com</t>
  </si>
  <si>
    <t>http://www.linkedin.com/in/jaime-marulanda-4a250938</t>
  </si>
  <si>
    <t>http://www.linkedin.com/company/ibexconsultoressdeseguros</t>
  </si>
  <si>
    <t>https://ibexconsultores.com</t>
  </si>
  <si>
    <t>Yezid</t>
  </si>
  <si>
    <t>SOFU</t>
  </si>
  <si>
    <t>yezid@sofu.com.co</t>
  </si>
  <si>
    <t>http://www.linkedin.com/in/yezidricaurte</t>
  </si>
  <si>
    <t>http://www.linkedin.com/company/sofu</t>
  </si>
  <si>
    <t>https://sofu.com.co</t>
  </si>
  <si>
    <t>Postearon hace 1 mes la vacante, no se sabe si ya se cerro la postulación</t>
  </si>
  <si>
    <t>Director Comercial y de Marketing</t>
  </si>
  <si>
    <t>Organización Analfe</t>
  </si>
  <si>
    <t>direccioncomercial@analfe.org.co</t>
  </si>
  <si>
    <t>http://www.linkedin.com/in/juan-camilo-rojas-mantilla</t>
  </si>
  <si>
    <t>http://www.linkedin.com/company/organizacionanalfe</t>
  </si>
  <si>
    <t>https://analfe.org.co</t>
  </si>
  <si>
    <t>nonprofit organization management</t>
  </si>
  <si>
    <t>Identica S.A</t>
  </si>
  <si>
    <t>nbotero@identica-sa.com</t>
  </si>
  <si>
    <t>http://www.linkedin.com/in/nicolasbotpa</t>
  </si>
  <si>
    <t>http://www.linkedin.com/company/identicasas</t>
  </si>
  <si>
    <t>https://identica-sa.com</t>
  </si>
  <si>
    <t>AGREGA VALOR</t>
  </si>
  <si>
    <t>gerencia@agregavalor.net</t>
  </si>
  <si>
    <t>http://www.linkedin.com/in/jvmartinezd</t>
  </si>
  <si>
    <t>http://www.linkedin.com/company/agrega-valor</t>
  </si>
  <si>
    <t>https://agregavalor.net</t>
  </si>
  <si>
    <t>Yessenia</t>
  </si>
  <si>
    <t>CEO | Experto en Estudios de Confiabilidad Para la Selección Estratégica de Personal</t>
  </si>
  <si>
    <t>OBEX Colombia</t>
  </si>
  <si>
    <t>yessenia@obexcolombia.com</t>
  </si>
  <si>
    <t>http://www.linkedin.com/in/yesseniahernandezgarcia</t>
  </si>
  <si>
    <t>http://www.linkedin.com/company/obexcolombia</t>
  </si>
  <si>
    <t>https://obexcolombia.com</t>
  </si>
  <si>
    <t>Founder &amp; Managing Partner</t>
  </si>
  <si>
    <t>FlipIt Network</t>
  </si>
  <si>
    <t>diego@flipit.network</t>
  </si>
  <si>
    <t>http://www.linkedin.com/in/ditovar</t>
  </si>
  <si>
    <t>http://www.linkedin.com/company/flipit-network</t>
  </si>
  <si>
    <t>https://flipit.network</t>
  </si>
  <si>
    <t>Alejandra</t>
  </si>
  <si>
    <t>Head of Operations</t>
  </si>
  <si>
    <t>Mappa</t>
  </si>
  <si>
    <t>alejandra@mappa.ai</t>
  </si>
  <si>
    <t>http://www.linkedin.com/in/alejandra-caro-42b84a217</t>
  </si>
  <si>
    <t>http://www.linkedin.com/company/mappa-ai</t>
  </si>
  <si>
    <t>https://mappa.ai</t>
  </si>
  <si>
    <t>John</t>
  </si>
  <si>
    <t>ITK Soluciones</t>
  </si>
  <si>
    <t>jespinal@itksoluciones.com</t>
  </si>
  <si>
    <t>http://www.linkedin.com/in/john-a-espinal-a-735409146</t>
  </si>
  <si>
    <t>http://www.linkedin.com/company/itksoluciones</t>
  </si>
  <si>
    <t>https://itksoluciones.com</t>
  </si>
  <si>
    <t>Natalie</t>
  </si>
  <si>
    <t>Marketing &amp; Sales Director | Dermatology &amp; Aesthetics Industry</t>
  </si>
  <si>
    <t>Corponovo</t>
  </si>
  <si>
    <t>natalievasquez@corponovo.com.co</t>
  </si>
  <si>
    <t>http://www.linkedin.com/in/nataliev%c3%a1squezortizmarketingandsales</t>
  </si>
  <si>
    <t>http://www.linkedin.com/company/corponovo</t>
  </si>
  <si>
    <t>https://corponovo.com.co</t>
  </si>
  <si>
    <t>Konfíe</t>
  </si>
  <si>
    <t>juan.mejia@konfie.com</t>
  </si>
  <si>
    <t>http://www.linkedin.com/in/juan-david-mejia-47b03226</t>
  </si>
  <si>
    <t>http://www.linkedin.com/company/konfieia</t>
  </si>
  <si>
    <t>https://konfie.com</t>
  </si>
  <si>
    <t>logistics &amp; supply chain</t>
  </si>
  <si>
    <t>Nicolai</t>
  </si>
  <si>
    <t>Chief Growth Officer &amp; Co-Founder</t>
  </si>
  <si>
    <t>Estratek Ventures</t>
  </si>
  <si>
    <t>nicolai.eslava@estratek.com.co</t>
  </si>
  <si>
    <t>http://www.linkedin.com/in/nicolai-eslava-barajas-86430b34</t>
  </si>
  <si>
    <t>http://www.linkedin.com/company/estratekventures</t>
  </si>
  <si>
    <t>https://estratek.com.co</t>
  </si>
  <si>
    <t>Blake</t>
  </si>
  <si>
    <t>The Emerald Company</t>
  </si>
  <si>
    <t>blake.becher@emerald.rocks</t>
  </si>
  <si>
    <t>http://www.linkedin.com/in/blake-becher-9a2524170</t>
  </si>
  <si>
    <t>http://www.linkedin.com/company/the-emerald-company</t>
  </si>
  <si>
    <t>https://emerald.rocks</t>
  </si>
  <si>
    <t>OPEX S.A.S</t>
  </si>
  <si>
    <t>alejandro@opex.com.co</t>
  </si>
  <si>
    <t>http://www.linkedin.com/in/alejandro-rend%c3%b3n-%c3%a1lvarez-5112a5b5</t>
  </si>
  <si>
    <t>http://www.linkedin.com/company/opex-sas</t>
  </si>
  <si>
    <t>https://opex.com.co</t>
  </si>
  <si>
    <t>Susana</t>
  </si>
  <si>
    <t>Marketing &amp; Sales Director</t>
  </si>
  <si>
    <t>Nattivo Collection Hotel</t>
  </si>
  <si>
    <t>susana.ladino@nattivocollectionhotel.com</t>
  </si>
  <si>
    <t>http://www.linkedin.com/in/susana-ladino-yanez-b1a073143</t>
  </si>
  <si>
    <t>http://www.linkedin.com/company/nattivo-collection-hotel</t>
  </si>
  <si>
    <t>https://nattivocollectionhotel.com</t>
  </si>
  <si>
    <t>CEO Chief Executive Officer</t>
  </si>
  <si>
    <t>Emma Colombia</t>
  </si>
  <si>
    <t>miguel.rodriguez@inlotrans.com.co</t>
  </si>
  <si>
    <t>http://www.linkedin.com/in/miguel-rodriguez-director-general</t>
  </si>
  <si>
    <t>http://www.linkedin.com/company/emma-colombia1</t>
  </si>
  <si>
    <t>https://emmacolombia.com</t>
  </si>
  <si>
    <t>mechanical or industrial engineering</t>
  </si>
  <si>
    <t>Co-founder CEO</t>
  </si>
  <si>
    <t>Milio</t>
  </si>
  <si>
    <t>juan@miliopay.com</t>
  </si>
  <si>
    <t>http://www.linkedin.com/in/juan-luis-perez-escobar-079869104</t>
  </si>
  <si>
    <t>http://www.linkedin.com/company/miliopay</t>
  </si>
  <si>
    <t>https://milio.com.co</t>
  </si>
  <si>
    <t>Teia Invest</t>
  </si>
  <si>
    <t>daniela@teiainvest.co</t>
  </si>
  <si>
    <t>http://www.linkedin.com/in/daniela-rojas-osorio</t>
  </si>
  <si>
    <t>http://www.linkedin.com/company/teia-invest</t>
  </si>
  <si>
    <t>https://teiainvest.co</t>
  </si>
  <si>
    <t>GrupoTusMaquinas.com</t>
  </si>
  <si>
    <t>acorrea@grupotusmaquinas.com</t>
  </si>
  <si>
    <t>http://www.linkedin.com/in/andrescmonteiro</t>
  </si>
  <si>
    <t>http://www.linkedin.com/company/grupotusmaquinas-com</t>
  </si>
  <si>
    <t>https://grupotusmaquinas.com</t>
  </si>
  <si>
    <t>Angelica</t>
  </si>
  <si>
    <t>Directora de Marketing y Ventas</t>
  </si>
  <si>
    <t>Business Alliance Group BAG SAS</t>
  </si>
  <si>
    <t>angelica.barrios@bagsas.com</t>
  </si>
  <si>
    <t>http://www.linkedin.com/in/angelicabarriosbeltran02</t>
  </si>
  <si>
    <t>http://www.linkedin.com/company/business-alliance-group-bag-sas</t>
  </si>
  <si>
    <t>https://bagsas.com</t>
  </si>
  <si>
    <t>Lapelotona</t>
  </si>
  <si>
    <t>ricardo@lapelotona.com</t>
  </si>
  <si>
    <t>http://www.linkedin.com/in/rigar23</t>
  </si>
  <si>
    <t>http://www.linkedin.com/company/lapelotona</t>
  </si>
  <si>
    <t>https://lapelotona.com</t>
  </si>
  <si>
    <t>Karen</t>
  </si>
  <si>
    <t>Director de Mercadeo y Comunicaciones</t>
  </si>
  <si>
    <t>DRET</t>
  </si>
  <si>
    <t>karen.duque@dret.legal</t>
  </si>
  <si>
    <t>http://www.linkedin.com/in/karen-duque-ramirez</t>
  </si>
  <si>
    <t>http://www.linkedin.com/company/dretlegal</t>
  </si>
  <si>
    <t>https://dret.legal</t>
  </si>
  <si>
    <t>Co-founder / COO</t>
  </si>
  <si>
    <t>Crem de la Crem</t>
  </si>
  <si>
    <t>laura@crem-delacrem.com</t>
  </si>
  <si>
    <t>http://www.linkedin.com/in/laura-velandia-m</t>
  </si>
  <si>
    <t>http://www.linkedin.com/company/crem-de-la-crem</t>
  </si>
  <si>
    <t>https://cremedelacremeparis.com</t>
  </si>
  <si>
    <t>ANKATech Solutions</t>
  </si>
  <si>
    <t>javier@ankatech.co</t>
  </si>
  <si>
    <t>http://www.linkedin.com/in/javier-galindo-ceo</t>
  </si>
  <si>
    <t>http://www.linkedin.com/company/ankatechsolutions</t>
  </si>
  <si>
    <t>https://ankatech.co</t>
  </si>
  <si>
    <t>Manuela</t>
  </si>
  <si>
    <t>Head of Marketing</t>
  </si>
  <si>
    <t>Swiset</t>
  </si>
  <si>
    <t>mpalacio@swiset.com</t>
  </si>
  <si>
    <t>http://www.linkedin.com/in/manuelapalaciorojas</t>
  </si>
  <si>
    <t>http://www.linkedin.com/company/swiset</t>
  </si>
  <si>
    <t>https://swiset.com</t>
  </si>
  <si>
    <t>Paola</t>
  </si>
  <si>
    <t>Grupo Ser northe</t>
  </si>
  <si>
    <t>paolatatianasanchez@sernorthe.com</t>
  </si>
  <si>
    <t>http://www.linkedin.com/in/paola-tatiana-sanchez-montoya</t>
  </si>
  <si>
    <t>http://www.linkedin.com/company/sernorthe</t>
  </si>
  <si>
    <t>https://sernorthe.com</t>
  </si>
  <si>
    <t>Program Director Latin America</t>
  </si>
  <si>
    <t>Building Markets</t>
  </si>
  <si>
    <t>duran@buildingmarkets.org</t>
  </si>
  <si>
    <t>http://www.linkedin.com/in/carolina-duran-pena</t>
  </si>
  <si>
    <t>http://www.linkedin.com/company/buildingmarkets</t>
  </si>
  <si>
    <t>https://buildingmarkets.org</t>
  </si>
  <si>
    <t>international trade &amp; development</t>
  </si>
  <si>
    <t>Gerente CEO</t>
  </si>
  <si>
    <t>Lan Security Networks S.A.S</t>
  </si>
  <si>
    <t>juan.castro@lsn.com.co</t>
  </si>
  <si>
    <t>http://www.linkedin.com/in/juan-fernando-castro-sierra-02961626</t>
  </si>
  <si>
    <t>http://www.linkedin.com/company/lsnsecurity</t>
  </si>
  <si>
    <t>https://lsn.com.co</t>
  </si>
  <si>
    <t>Director Ejecutivo - Founder</t>
  </si>
  <si>
    <t>Brainhub</t>
  </si>
  <si>
    <t>juan.carreno@chroma-studio.net</t>
  </si>
  <si>
    <t>http://www.linkedin.com/in/juan-pablo-carre%c3%b1o-rosas-9a258b11b</t>
  </si>
  <si>
    <t>http://www.linkedin.com/company/brainhubsas</t>
  </si>
  <si>
    <t>https://chroma-studio.net</t>
  </si>
  <si>
    <t>architecture &amp; planning</t>
  </si>
  <si>
    <t>CEO / Cofounder</t>
  </si>
  <si>
    <t>Neurona Tecnología Financiera</t>
  </si>
  <si>
    <t>manuelsicard@neurona.com.co</t>
  </si>
  <si>
    <t>http://www.linkedin.com/in/manuelsicard</t>
  </si>
  <si>
    <t>http://www.linkedin.com/company/neurona-tecnologia-financiera</t>
  </si>
  <si>
    <t>https://neurona.com.co</t>
  </si>
  <si>
    <t>COO | Ecommerce Manager</t>
  </si>
  <si>
    <t>FULPPI</t>
  </si>
  <si>
    <t>paola.martinez@fulppi.com</t>
  </si>
  <si>
    <t>http://www.linkedin.com/in/paolite</t>
  </si>
  <si>
    <t>http://www.linkedin.com/company/fulppi</t>
  </si>
  <si>
    <t>https://fulppi.com</t>
  </si>
  <si>
    <t>Director de Producción y Ventas</t>
  </si>
  <si>
    <t>indupro soluciones SAS</t>
  </si>
  <si>
    <t>santiago.idarraga@indupro.com.co</t>
  </si>
  <si>
    <t>http://www.linkedin.com/in/santiago-idarraga</t>
  </si>
  <si>
    <t>http://www.linkedin.com/company/induprosoluciones</t>
  </si>
  <si>
    <t>https://indupro.com.co</t>
  </si>
  <si>
    <t>Director de Operaciones (COO)</t>
  </si>
  <si>
    <t>Andina Compañia de Seguros de Vida S.A</t>
  </si>
  <si>
    <t>juquintero@andinavidaseguros.com.co</t>
  </si>
  <si>
    <t>http://www.linkedin.com/in/juan-carlos-quintero-cubillos-931b86106</t>
  </si>
  <si>
    <t>http://www.linkedin.com/company/andina-compa%c3%b1ia-de-seguros-de-vida-s-a</t>
  </si>
  <si>
    <t>https://andinavidaseguros.com.co</t>
  </si>
  <si>
    <t>CEO &amp; Co Founder</t>
  </si>
  <si>
    <t>CISNE</t>
  </si>
  <si>
    <t>cvargas@cisne.com.co</t>
  </si>
  <si>
    <t>http://www.linkedin.com/in/c%c3%a9sar-vargas-mu%c3%b1oz-3019386a</t>
  </si>
  <si>
    <t>http://www.linkedin.com/company/cisneconsultoria</t>
  </si>
  <si>
    <t>https://cisne.com.co</t>
  </si>
  <si>
    <t>Sabrina</t>
  </si>
  <si>
    <t>HAS Companies</t>
  </si>
  <si>
    <t>smorales@hascompanies.com</t>
  </si>
  <si>
    <t>http://www.linkedin.com/in/sabrina-morales-arbelaez-7a901a108</t>
  </si>
  <si>
    <t>http://www.linkedin.com/company/has-companies</t>
  </si>
  <si>
    <t>https://hascompanies.com</t>
  </si>
  <si>
    <t>consumer services</t>
  </si>
  <si>
    <t>Microbioxa Laboratorio</t>
  </si>
  <si>
    <t>juanvalencia@microbioxa.com</t>
  </si>
  <si>
    <t>http://www.linkedin.com/in/juan-david-valencia-914b30109</t>
  </si>
  <si>
    <t>http://www.linkedin.com/company/microbioxa-laboratorio</t>
  </si>
  <si>
    <t>https://microbioxa.com</t>
  </si>
  <si>
    <t>Bumii AI</t>
  </si>
  <si>
    <t>andres.gomez@soybumii.com</t>
  </si>
  <si>
    <t>http://www.linkedin.com/in/andresgom</t>
  </si>
  <si>
    <t>http://www.linkedin.com/company/soybumii</t>
  </si>
  <si>
    <t>https://bumii.ai</t>
  </si>
  <si>
    <t>mental health care</t>
  </si>
  <si>
    <t>CEO - Socio Latinoamerica</t>
  </si>
  <si>
    <t>Enetres</t>
  </si>
  <si>
    <t>carlos.galeano@enetres.net</t>
  </si>
  <si>
    <t>http://www.linkedin.com/in/carlos-galeano-97a41a53</t>
  </si>
  <si>
    <t>http://www.linkedin.com/company/enetresmedia</t>
  </si>
  <si>
    <t>https://enetres.net</t>
  </si>
  <si>
    <t>Consultora &amp; Cofundadora</t>
  </si>
  <si>
    <t>Lyvia</t>
  </si>
  <si>
    <t>carolina@lyvia.app</t>
  </si>
  <si>
    <t>http://www.linkedin.com/in/carolina-avendano-imoblo</t>
  </si>
  <si>
    <t>http://www.linkedin.com/company/lyviaoficial</t>
  </si>
  <si>
    <t>https://lyvia.app</t>
  </si>
  <si>
    <t>Salvador</t>
  </si>
  <si>
    <t>uTriper</t>
  </si>
  <si>
    <t>salvador@utriper.com</t>
  </si>
  <si>
    <t>http://www.linkedin.com/in/salvador-dell-acqua-a99694b7</t>
  </si>
  <si>
    <t>http://www.linkedin.com/company/utriper</t>
  </si>
  <si>
    <t>https://utriper.com</t>
  </si>
  <si>
    <t>Chief Marketing &amp; Brand Officer</t>
  </si>
  <si>
    <t>AC Estudios en el Exterior</t>
  </si>
  <si>
    <t>mariapaulahenao@acestudiosenelexterior.com</t>
  </si>
  <si>
    <t>http://www.linkedin.com/in/mariapaulahenaocastro</t>
  </si>
  <si>
    <t>http://www.linkedin.com/company/ac-estudios-en-el-exterior</t>
  </si>
  <si>
    <t>https://acestudiosenelexterior.com</t>
  </si>
  <si>
    <t>government administration</t>
  </si>
  <si>
    <t>Director of Client Operations &amp; Marketing</t>
  </si>
  <si>
    <t>dexFreight</t>
  </si>
  <si>
    <t>laura@dexfreight.io</t>
  </si>
  <si>
    <t>http://www.linkedin.com/in/lpulgarin1</t>
  </si>
  <si>
    <t>http://www.linkedin.com/company/dexfreight</t>
  </si>
  <si>
    <t>https://dexfreight.io</t>
  </si>
  <si>
    <t>Mawesi</t>
  </si>
  <si>
    <t>jose.valencia@mawesi.net</t>
  </si>
  <si>
    <t>http://www.linkedin.com/in/jose-mvalencia</t>
  </si>
  <si>
    <t>http://www.linkedin.com/company/mawesi-design-development</t>
  </si>
  <si>
    <t>https://mawesi.net</t>
  </si>
  <si>
    <t>TravelBus</t>
  </si>
  <si>
    <t>gerencia@travelbus.com.co</t>
  </si>
  <si>
    <t>http://www.linkedin.com/in/luisjavierbedoyao</t>
  </si>
  <si>
    <t>http://www.linkedin.com/company/travelbus</t>
  </si>
  <si>
    <t>https://travelbus.com.co</t>
  </si>
  <si>
    <t>leisure, travel &amp; tourism</t>
  </si>
  <si>
    <t>Shantal</t>
  </si>
  <si>
    <t>Royal Imports</t>
  </si>
  <si>
    <t>shantal@royalimports.com</t>
  </si>
  <si>
    <t>http://www.linkedin.com/in/shantalerlich</t>
  </si>
  <si>
    <t>http://www.linkedin.com/company/royal-imports</t>
  </si>
  <si>
    <t>https://royalimports.com</t>
  </si>
  <si>
    <t>Co Founder - Commercial Realtor</t>
  </si>
  <si>
    <t>Accion Comercial Aliados SAS</t>
  </si>
  <si>
    <t>a.zapata@accion-comercial.com</t>
  </si>
  <si>
    <t>http://www.linkedin.com/in/andreszapataar</t>
  </si>
  <si>
    <t>http://www.linkedin.com/company/accioncomercial</t>
  </si>
  <si>
    <t>https://accion-comercial.com</t>
  </si>
  <si>
    <t>ServiceBots</t>
  </si>
  <si>
    <t>crojas@servicebots.ai</t>
  </si>
  <si>
    <t>http://www.linkedin.com/in/carlos-rojas-a056414</t>
  </si>
  <si>
    <t>http://www.linkedin.com/company/servicebots</t>
  </si>
  <si>
    <t>https://servicebots.ai</t>
  </si>
  <si>
    <t>Yoser</t>
  </si>
  <si>
    <t>COO</t>
  </si>
  <si>
    <t>Meru</t>
  </si>
  <si>
    <t>y@getmeru.com</t>
  </si>
  <si>
    <t>http://www.linkedin.com/in/yoser-marcel-rodriguez-erazo-740521178</t>
  </si>
  <si>
    <t>http://www.linkedin.com/company/meru-r3mit-solutions-inc</t>
  </si>
  <si>
    <t>https://getmeru.com</t>
  </si>
  <si>
    <t>Co-Founder/ CEO</t>
  </si>
  <si>
    <t>Niilo</t>
  </si>
  <si>
    <t>felipe@niilo.co</t>
  </si>
  <si>
    <t>http://www.linkedin.com/in/felipesantamariap</t>
  </si>
  <si>
    <t>http://www.linkedin.com/company/niilo-co</t>
  </si>
  <si>
    <t>https://niilo.co</t>
  </si>
  <si>
    <t>Nicole</t>
  </si>
  <si>
    <t>Blum</t>
  </si>
  <si>
    <t>nicole@somosblum.com</t>
  </si>
  <si>
    <t>http://www.linkedin.com/in/nicoleperezcueter</t>
  </si>
  <si>
    <t>http://www.linkedin.com/company/somosblum</t>
  </si>
  <si>
    <t>https://somosblum.com</t>
  </si>
  <si>
    <t>laura.jimenez@uxtar.com</t>
  </si>
  <si>
    <t>http://www.linkedin.com/in/laura-jimenez-332006143</t>
  </si>
  <si>
    <t>CASAS RIEGNER</t>
  </si>
  <si>
    <t>daniela@casasriegner.com</t>
  </si>
  <si>
    <t>http://www.linkedin.com/in/daniela-g%c3%b3mez-4b3ba05a</t>
  </si>
  <si>
    <t>http://www.linkedin.com/company/galeria-casas-riegner</t>
  </si>
  <si>
    <t>https://casasriegner.com</t>
  </si>
  <si>
    <t>Inmoga S.A.S</t>
  </si>
  <si>
    <t>amorenog@inmoga.com.co</t>
  </si>
  <si>
    <t>http://www.linkedin.com/in/andres-moreno-garcia</t>
  </si>
  <si>
    <t>http://www.linkedin.com/company/inmoga-s-a-s</t>
  </si>
  <si>
    <t>https://inmoga.com.co</t>
  </si>
  <si>
    <t>Ciudad Tecnópolis</t>
  </si>
  <si>
    <t>gerencia@ciudadtecnopolis.com</t>
  </si>
  <si>
    <t>http://www.linkedin.com/in/ciudadtecnopolis</t>
  </si>
  <si>
    <t>http://www.linkedin.com/company/ciudadtecnopolis</t>
  </si>
  <si>
    <t>https://ciudadtecnopolis.com</t>
  </si>
  <si>
    <t>Jump Cube</t>
  </si>
  <si>
    <t>mlince@jumpcube.io</t>
  </si>
  <si>
    <t>http://www.linkedin.com/in/mauricio-lince-arango-38355864</t>
  </si>
  <si>
    <t>http://www.linkedin.com/company/jumpcubetechnologies</t>
  </si>
  <si>
    <t>https://jumpcube.io</t>
  </si>
  <si>
    <t>Plexos Project PPM</t>
  </si>
  <si>
    <t>jl.ponz@plexosproject.com</t>
  </si>
  <si>
    <t>http://www.linkedin.com/in/jose-luis-ponz-tienda-31042827</t>
  </si>
  <si>
    <t>http://www.linkedin.com/company/plexosproject</t>
  </si>
  <si>
    <t>https://plexosproject.com</t>
  </si>
  <si>
    <t>Fernando</t>
  </si>
  <si>
    <t>Founder, CEO</t>
  </si>
  <si>
    <t>Heincke Group</t>
  </si>
  <si>
    <t>fernando@heincke.co</t>
  </si>
  <si>
    <t>http://www.linkedin.com/in/fernando-heincke-5ba96184</t>
  </si>
  <si>
    <t>http://www.linkedin.com/company/heincke-group</t>
  </si>
  <si>
    <t>https://heincke.co</t>
  </si>
  <si>
    <t>Fogo Energía Solar</t>
  </si>
  <si>
    <t>guillermo@fogo.com.co</t>
  </si>
  <si>
    <t>http://www.linkedin.com/in/guillermorodriguezc</t>
  </si>
  <si>
    <t>http://www.linkedin.com/company/fogo-energia-solar</t>
  </si>
  <si>
    <t>https://fogo.com.co</t>
  </si>
  <si>
    <t>CEO Colombia</t>
  </si>
  <si>
    <t>Reditus Group</t>
  </si>
  <si>
    <t>alopez@reditusgroup.net</t>
  </si>
  <si>
    <t>http://www.linkedin.com/in/andr%c3%a9s-l%c3%b3pez-gonz%c3%a1lez-a49129101</t>
  </si>
  <si>
    <t>http://www.linkedin.com/company/reditus-groupre</t>
  </si>
  <si>
    <t>https://reditusgroup.net</t>
  </si>
  <si>
    <t>Liliana</t>
  </si>
  <si>
    <t>BioSphere Solutions</t>
  </si>
  <si>
    <t>lili.martinez@biospheresolutions.co</t>
  </si>
  <si>
    <t>http://www.linkedin.com/in/liliana-andrea-martinez-sarmiento-820b9741</t>
  </si>
  <si>
    <t>http://www.linkedin.com/company/biosphere-solutions</t>
  </si>
  <si>
    <t>https://biospheresolutions.co</t>
  </si>
  <si>
    <t>Catalina</t>
  </si>
  <si>
    <t>CMO</t>
  </si>
  <si>
    <t>PIT Process</t>
  </si>
  <si>
    <t>catalina.murad.b@pit.com.co</t>
  </si>
  <si>
    <t>http://www.linkedin.com/in/catalina-murad</t>
  </si>
  <si>
    <t>http://www.linkedin.com/company/pitmanagement</t>
  </si>
  <si>
    <t>https://pit.com.co</t>
  </si>
  <si>
    <t>Shirley</t>
  </si>
  <si>
    <t>CEO - Cross-Cultural, Diversity, Equity and Inclusion Expert</t>
  </si>
  <si>
    <t>Iceberg Cultures of Inclusion</t>
  </si>
  <si>
    <t>shirley.saenz@icebergci.com</t>
  </si>
  <si>
    <t>http://www.linkedin.com/in/shirleyjsaenz</t>
  </si>
  <si>
    <t>http://www.linkedin.com/company/iceberg-cultures-of-inclusion</t>
  </si>
  <si>
    <t>https://icebergci.com</t>
  </si>
  <si>
    <t>Alvaro</t>
  </si>
  <si>
    <t>VP of Sales</t>
  </si>
  <si>
    <t>Secure SmartData</t>
  </si>
  <si>
    <t>alvaro@securesmartdata.com</t>
  </si>
  <si>
    <t>http://www.linkedin.com/in/altoga27</t>
  </si>
  <si>
    <t>http://www.linkedin.com/company/secure-smartdata</t>
  </si>
  <si>
    <t>https://securesmartdata.com</t>
  </si>
  <si>
    <t>Global Public Investment Network</t>
  </si>
  <si>
    <t>jonathan.glennie@globalnation.world</t>
  </si>
  <si>
    <t>http://www.linkedin.com/in/jonathan-glennie-a8b0b025</t>
  </si>
  <si>
    <t>http://www.linkedin.com/company/global-public-investment-gpi</t>
  </si>
  <si>
    <t>https://globalpublicinvestment.net</t>
  </si>
  <si>
    <t>Angelly</t>
  </si>
  <si>
    <t>Global Marketing Director</t>
  </si>
  <si>
    <t>MCC USA</t>
  </si>
  <si>
    <t>asepulveda@mccusa.co</t>
  </si>
  <si>
    <t>http://www.linkedin.com/in/angelly-sepulveda-r-58493916</t>
  </si>
  <si>
    <t>http://www.linkedin.com/company/mccusavisas</t>
  </si>
  <si>
    <t>https://mccusa.co</t>
  </si>
  <si>
    <t>Alex</t>
  </si>
  <si>
    <t>Cercarbono</t>
  </si>
  <si>
    <t>alexsaer@cercarbono.com</t>
  </si>
  <si>
    <t>http://www.linkedin.com/in/alexsaer</t>
  </si>
  <si>
    <t>http://www.linkedin.com/company/cercarbono</t>
  </si>
  <si>
    <t>https://cercarbono.com</t>
  </si>
  <si>
    <t>Co-founder | Executive Director</t>
  </si>
  <si>
    <t>Plataforma Diálogos Improbables</t>
  </si>
  <si>
    <t>djunca@dialogoimprobable.org</t>
  </si>
  <si>
    <t>http://www.linkedin.com/in/diegojunca</t>
  </si>
  <si>
    <t>http://www.linkedin.com/company/dialogosimprobables</t>
  </si>
  <si>
    <t>https://dialogoimprobable.org</t>
  </si>
  <si>
    <t>SEOS Energy</t>
  </si>
  <si>
    <t>juan@seosenergy.co</t>
  </si>
  <si>
    <t>http://www.linkedin.com/in/juanpfeiffer</t>
  </si>
  <si>
    <t>http://www.linkedin.com/company/seosenergy</t>
  </si>
  <si>
    <t>https://seosenergy.co</t>
  </si>
  <si>
    <t>Commercial Manager</t>
  </si>
  <si>
    <t>Porsche Movilidad</t>
  </si>
  <si>
    <t>fernando.escallon@porsche-movilidad.co</t>
  </si>
  <si>
    <t>http://www.linkedin.com/in/fernandoescall%c3%b3nrosselli</t>
  </si>
  <si>
    <t>http://www.linkedin.com/company/porsche-movilidad</t>
  </si>
  <si>
    <t>https://porsche-movilidad.co</t>
  </si>
  <si>
    <t>CMO, Socio Estratégico &amp; Co-fundador Desarrollando Talento</t>
  </si>
  <si>
    <t>Desarrollando Ando</t>
  </si>
  <si>
    <t>luis@desarrollandoando.com</t>
  </si>
  <si>
    <t>http://www.linkedin.com/in/luisalbertorestrepo</t>
  </si>
  <si>
    <t>http://www.linkedin.com/company/desarrollando-ando</t>
  </si>
  <si>
    <t>https://desarrollandoando.com</t>
  </si>
  <si>
    <t>Kargoru</t>
  </si>
  <si>
    <t>ricardo.wills@kargoru.com</t>
  </si>
  <si>
    <t>http://www.linkedin.com/in/ricardo-wills-1a6706112</t>
  </si>
  <si>
    <t>http://www.linkedin.com/company/kargoru2020</t>
  </si>
  <si>
    <t>https://kargoru.com</t>
  </si>
  <si>
    <t>Edwin</t>
  </si>
  <si>
    <t>Softcomputo</t>
  </si>
  <si>
    <t>gerencia@softcomputo.com.co</t>
  </si>
  <si>
    <t>http://www.linkedin.com/in/edwin-quintana-a810593a</t>
  </si>
  <si>
    <t>http://www.linkedin.com/company/softcomputo</t>
  </si>
  <si>
    <t>https://softcomputo.com.co</t>
  </si>
  <si>
    <t>guane emerging</t>
  </si>
  <si>
    <t>leonardo@guane.com.co</t>
  </si>
  <si>
    <t>http://www.linkedin.com/in/lapachonc</t>
  </si>
  <si>
    <t>http://www.linkedin.com/company/guaneai</t>
  </si>
  <si>
    <t>https://guane.com.co</t>
  </si>
  <si>
    <t>GRILLO CORREA CONSULTORIAS SAS</t>
  </si>
  <si>
    <t>agrillo@adrianagrillo.com</t>
  </si>
  <si>
    <t>http://www.linkedin.com/in/adriana-grillo-correa-8014aa64</t>
  </si>
  <si>
    <t>http://www.linkedin.com/company/grillo-correa-consultorias-sas</t>
  </si>
  <si>
    <t>https://adrianagrillo.com</t>
  </si>
  <si>
    <t>CEO - Founder</t>
  </si>
  <si>
    <t>Páramo Digital</t>
  </si>
  <si>
    <t>diego@paramodigital.co</t>
  </si>
  <si>
    <t>http://www.linkedin.com/in/garzon-diego</t>
  </si>
  <si>
    <t>http://www.linkedin.com/company/paramo-digital-co</t>
  </si>
  <si>
    <t>https://paramodigital.co</t>
  </si>
  <si>
    <t>Ivan</t>
  </si>
  <si>
    <t>Grupo Trinity</t>
  </si>
  <si>
    <t>itrujillo@grupotrinity.co</t>
  </si>
  <si>
    <t>http://www.linkedin.com/in/ivan-trujillo-90130222</t>
  </si>
  <si>
    <t>http://www.linkedin.com/company/grupotrinityco</t>
  </si>
  <si>
    <t>https://grupotrinity.co</t>
  </si>
  <si>
    <t>Co-founder, CEO</t>
  </si>
  <si>
    <t>Wonder Travel</t>
  </si>
  <si>
    <t>jp@wondertravel.co</t>
  </si>
  <si>
    <t>http://www.linkedin.com/in/juan-pablo-gaviria-526407b5</t>
  </si>
  <si>
    <t>http://www.linkedin.com/company/wonder-travel-latam</t>
  </si>
  <si>
    <t>https://wondertravel.co</t>
  </si>
  <si>
    <t>Dani</t>
  </si>
  <si>
    <t>CEO at Factos</t>
  </si>
  <si>
    <t>Factos</t>
  </si>
  <si>
    <t>djimenez@factos.com.co</t>
  </si>
  <si>
    <t>http://www.linkedin.com/in/dani-jim%c3%a9nez-97b53223</t>
  </si>
  <si>
    <t>http://www.linkedin.com/company/factos</t>
  </si>
  <si>
    <t>https://factos.com.co</t>
  </si>
  <si>
    <t>Dando Cuerda</t>
  </si>
  <si>
    <t>henry.david@coltanques.com.co</t>
  </si>
  <si>
    <t>http://www.linkedin.com/in/henry-david-cubides-13b13294</t>
  </si>
  <si>
    <t>http://www.linkedin.com/company/dando-cuerda</t>
  </si>
  <si>
    <t>https://coltanques.com.co</t>
  </si>
  <si>
    <t>Jorgen</t>
  </si>
  <si>
    <t>SafeNav</t>
  </si>
  <si>
    <t>jorgen.grindevoll@safenavsystem.com</t>
  </si>
  <si>
    <t>http://www.linkedin.com/in/jorgen-grindevoll-2382b893</t>
  </si>
  <si>
    <t>http://www.linkedin.com/company/safenavsystem</t>
  </si>
  <si>
    <t>https://safenavsystem.com</t>
  </si>
  <si>
    <t>maritime</t>
  </si>
  <si>
    <t>josebaquero@faroolegal.com</t>
  </si>
  <si>
    <t>http://www.linkedin.com/in/joseabaquero</t>
  </si>
  <si>
    <t>Co Founder</t>
  </si>
  <si>
    <t>Puntospoint</t>
  </si>
  <si>
    <t>felipe.broitman@puntospoint.com</t>
  </si>
  <si>
    <t>http://www.linkedin.com/in/felipebroitman</t>
  </si>
  <si>
    <t>http://www.linkedin.com/company/puntospoint</t>
  </si>
  <si>
    <t>https://puntospoint.com</t>
  </si>
  <si>
    <t>Sales &amp; Marketing Director</t>
  </si>
  <si>
    <t>therealfund</t>
  </si>
  <si>
    <t>maria.perilla@therealfund.com</t>
  </si>
  <si>
    <t>http://www.linkedin.com/in/mar%c3%ada-alejandra-perilla-jerez-29091b137</t>
  </si>
  <si>
    <t>http://www.linkedin.com/company/therealfund</t>
  </si>
  <si>
    <t>https://therealfund.com</t>
  </si>
  <si>
    <t>Fundador - CEO</t>
  </si>
  <si>
    <t>biodinamika</t>
  </si>
  <si>
    <t>flimongi@biodinamika.co</t>
  </si>
  <si>
    <t>http://www.linkedin.com/in/felipe-limongi-84983656</t>
  </si>
  <si>
    <t>http://www.linkedin.com/company/biodinamika</t>
  </si>
  <si>
    <t>https://biodinamika.co</t>
  </si>
  <si>
    <t>Juliana</t>
  </si>
  <si>
    <t>Pacifico Snacks</t>
  </si>
  <si>
    <t>juliana.botero@pacificosnacks.com</t>
  </si>
  <si>
    <t>http://www.linkedin.com/in/juliana-botero-2a438838</t>
  </si>
  <si>
    <t>http://www.linkedin.com/company/pacifico-snacks</t>
  </si>
  <si>
    <t>https://pacificosnacks.com</t>
  </si>
  <si>
    <t>CEO CO-founder Sapháros</t>
  </si>
  <si>
    <t>Sapháros</t>
  </si>
  <si>
    <t>nelsonrojas@sapharos.com</t>
  </si>
  <si>
    <t>http://www.linkedin.com/in/nelson-rojas-52492b4b</t>
  </si>
  <si>
    <t>http://www.linkedin.com/company/sapharos</t>
  </si>
  <si>
    <t>https://sapharos.com</t>
  </si>
  <si>
    <t>Francisco</t>
  </si>
  <si>
    <t>Co-founder and COO</t>
  </si>
  <si>
    <t>Settee</t>
  </si>
  <si>
    <t>francisco@settee.io</t>
  </si>
  <si>
    <t>http://www.linkedin.com/in/franlitvay</t>
  </si>
  <si>
    <t>http://www.linkedin.com/company/setteeio</t>
  </si>
  <si>
    <t>https://settee.io</t>
  </si>
  <si>
    <t>outsourcing/offshoring</t>
  </si>
  <si>
    <t>Nivelics SAS</t>
  </si>
  <si>
    <t>camilo.villanueva@nivelics.com</t>
  </si>
  <si>
    <t>http://www.linkedin.com/in/camilovillanueva</t>
  </si>
  <si>
    <t>http://www.linkedin.com/company/nivelics</t>
  </si>
  <si>
    <t>https://nivelics.com</t>
  </si>
  <si>
    <t>Silvia</t>
  </si>
  <si>
    <t>CEO - Head Director - Executive Producer</t>
  </si>
  <si>
    <t>Lucy Animation Studio</t>
  </si>
  <si>
    <t>sprietov@lucyanimationstudio.com</t>
  </si>
  <si>
    <t>http://www.linkedin.com/in/silvia-prietov</t>
  </si>
  <si>
    <t>http://www.linkedin.com/company/lucy-animation-studio</t>
  </si>
  <si>
    <t>https://lucyanimationstudio.com</t>
  </si>
  <si>
    <t>animation</t>
  </si>
  <si>
    <t>Higgs Foods®</t>
  </si>
  <si>
    <t>juan@ifnlab.com</t>
  </si>
  <si>
    <t>http://www.linkedin.com/in/juanguillermolatorre</t>
  </si>
  <si>
    <t>http://www.linkedin.com/company/higgsfoods</t>
  </si>
  <si>
    <t>https://higgsfoods.com</t>
  </si>
  <si>
    <t>tryatria.ai</t>
  </si>
  <si>
    <t>ricardo@tryatria.ai</t>
  </si>
  <si>
    <t>http://www.linkedin.com/in/ricardo-echavarria-villegas-24ab44157</t>
  </si>
  <si>
    <t>http://www.linkedin.com/company/tryatria-ai</t>
  </si>
  <si>
    <t>https://tryatria.ai</t>
  </si>
  <si>
    <t>Deisy</t>
  </si>
  <si>
    <t>Humanos con Talento.col</t>
  </si>
  <si>
    <t>dbotero@humanoscontalento.com.co</t>
  </si>
  <si>
    <t>http://www.linkedin.com/in/deisy-botero-b61846331</t>
  </si>
  <si>
    <t>http://www.linkedin.com/company/humanos-con-talento-col</t>
  </si>
  <si>
    <t>https://humanoscontalento.com.co</t>
  </si>
  <si>
    <t>AstraTec</t>
  </si>
  <si>
    <t>juan.mancera@astratec.co</t>
  </si>
  <si>
    <t>http://www.linkedin.com/in/juancmancera</t>
  </si>
  <si>
    <t>http://www.linkedin.com/company/astratecoficialcol</t>
  </si>
  <si>
    <t>https://astratec.app</t>
  </si>
  <si>
    <t>Sales Generation</t>
  </si>
  <si>
    <t>juan@thedigitalbranch.com</t>
  </si>
  <si>
    <t>http://www.linkedin.com/in/juandavidhurtadoacero-salesmanager</t>
  </si>
  <si>
    <t>http://www.linkedin.com/company/sales-gen</t>
  </si>
  <si>
    <t>https://salesgeneration.ai</t>
  </si>
  <si>
    <t>Vureloapp</t>
  </si>
  <si>
    <t>camilo.suarez@vureloapp.com</t>
  </si>
  <si>
    <t>http://www.linkedin.com/in/camilo-su%c3%a1rez-venegas-a703b91a7</t>
  </si>
  <si>
    <t>http://www.linkedin.com/company/vureloapp</t>
  </si>
  <si>
    <t>https://vureloapp.com</t>
  </si>
  <si>
    <t>Educación Estrella®</t>
  </si>
  <si>
    <t>lcedeno@shmacapital.com</t>
  </si>
  <si>
    <t>http://www.linkedin.com/in/luiscedeno1</t>
  </si>
  <si>
    <t>http://www.linkedin.com/company/educacion-estrella</t>
  </si>
  <si>
    <t>https://educacionestrella.com</t>
  </si>
  <si>
    <t>Chief Executive Officer - CEO</t>
  </si>
  <si>
    <t>Cyberis</t>
  </si>
  <si>
    <t>diego.caro@cyberis.co</t>
  </si>
  <si>
    <t>http://www.linkedin.com/in/diego-andres-caro-martinez-a7617057</t>
  </si>
  <si>
    <t>http://www.linkedin.com/company/cyberisco</t>
  </si>
  <si>
    <t>https://cyberis.co</t>
  </si>
  <si>
    <t>Hawktesters</t>
  </si>
  <si>
    <t>luis.jacome@hawktesters.com</t>
  </si>
  <si>
    <t>http://www.linkedin.com/in/mortalpoison</t>
  </si>
  <si>
    <t>http://www.linkedin.com/company/hawktesters</t>
  </si>
  <si>
    <t>https://hawktesters.com</t>
  </si>
  <si>
    <t>Reform AI</t>
  </si>
  <si>
    <t>david.trebilcock@ngc.com.co</t>
  </si>
  <si>
    <t>http://www.linkedin.com/in/david-trebilcock-67438b109</t>
  </si>
  <si>
    <t>http://www.linkedin.com/company/reform-ai</t>
  </si>
  <si>
    <t>https://reformai.eu</t>
  </si>
  <si>
    <t>Jisseth</t>
  </si>
  <si>
    <t>COO y Co- Founder</t>
  </si>
  <si>
    <t>Imubli</t>
  </si>
  <si>
    <t>jgomez@imubli.com</t>
  </si>
  <si>
    <t>http://www.linkedin.com/in/jisseth-gomez</t>
  </si>
  <si>
    <t>http://www.linkedin.com/company/imubli</t>
  </si>
  <si>
    <t>https://imubli.com</t>
  </si>
  <si>
    <t>Andrew</t>
  </si>
  <si>
    <t>Director of Sales &amp; Marketing</t>
  </si>
  <si>
    <t>WeCollabify</t>
  </si>
  <si>
    <t>andrewc@wecollabify.com</t>
  </si>
  <si>
    <t>http://www.linkedin.com/in/andrewcampion</t>
  </si>
  <si>
    <t>http://www.linkedin.com/company/wecollabify</t>
  </si>
  <si>
    <t>https://wecollabify.com</t>
  </si>
  <si>
    <t>ConexaLab</t>
  </si>
  <si>
    <t>iramirez@conexalab.com</t>
  </si>
  <si>
    <t>http://www.linkedin.com/in/iv%c3%a1n-guillermo-ram%c3%adrez-zambrano-b7b62235</t>
  </si>
  <si>
    <t>http://www.linkedin.com/company/conexalab</t>
  </si>
  <si>
    <t>https://conexalab.com</t>
  </si>
  <si>
    <t>Paula</t>
  </si>
  <si>
    <t>Head of Operations and Customer Success</t>
  </si>
  <si>
    <t>Ponte</t>
  </si>
  <si>
    <t>paula@pontelabor.com</t>
  </si>
  <si>
    <t>http://www.linkedin.com/in/paulaacero</t>
  </si>
  <si>
    <t>http://www.linkedin.com/company/pontelabor</t>
  </si>
  <si>
    <t>https://pontelabor.com</t>
  </si>
  <si>
    <t>staffing &amp; recruiting</t>
  </si>
  <si>
    <t>Tiendana</t>
  </si>
  <si>
    <t>vabril@tiendana.com</t>
  </si>
  <si>
    <t>http://www.linkedin.com/in/victor-manuel-abril-99581055</t>
  </si>
  <si>
    <t>http://www.linkedin.com/company/tiendana</t>
  </si>
  <si>
    <t>https://tiendana.com</t>
  </si>
  <si>
    <t>NEWSOFT S.A.S</t>
  </si>
  <si>
    <t>jfgarcia@newsoft.com.co</t>
  </si>
  <si>
    <t>http://www.linkedin.com/in/john-fredy-garc%c3%ada-martinez</t>
  </si>
  <si>
    <t>http://www.linkedin.com/company/newsoft-s-a-s-</t>
  </si>
  <si>
    <t>https://newsoft.com.co</t>
  </si>
  <si>
    <t>CEO| Fundador| Conferencista</t>
  </si>
  <si>
    <t>Spl Abogados y Consultores</t>
  </si>
  <si>
    <t>csalgado@splabogados.com</t>
  </si>
  <si>
    <t>http://www.linkedin.com/in/carlos-mario-salgado-morales-9b790351</t>
  </si>
  <si>
    <t>http://www.linkedin.com/company/spl-salgado-abogados</t>
  </si>
  <si>
    <t>https://splabogados.com</t>
  </si>
  <si>
    <t>Cadence Consultoria</t>
  </si>
  <si>
    <t>juan@cadenceconsultoria.com</t>
  </si>
  <si>
    <t>http://www.linkedin.com/in/juan-david-pastor-g-994814109</t>
  </si>
  <si>
    <t>http://www.linkedin.com/company/cadence-consultoria</t>
  </si>
  <si>
    <t>https://cadenceconsultoria.com</t>
  </si>
  <si>
    <t>Joshert</t>
  </si>
  <si>
    <t>Principal Consultant &amp; CEO</t>
  </si>
  <si>
    <t>Joshert Advisory S.A.S</t>
  </si>
  <si>
    <t>gerencia@joshert.com</t>
  </si>
  <si>
    <t>http://www.linkedin.com/in/joshert</t>
  </si>
  <si>
    <t>http://www.linkedin.com/company/joshert-advisory</t>
  </si>
  <si>
    <t>https://joshert.com</t>
  </si>
  <si>
    <t>Sergio</t>
  </si>
  <si>
    <t>Co-Founder &amp; CTO</t>
  </si>
  <si>
    <t>Newpatt</t>
  </si>
  <si>
    <t>sergio@newpatt.com</t>
  </si>
  <si>
    <t>http://www.linkedin.com/in/sergiomora37</t>
  </si>
  <si>
    <t>http://www.linkedin.com/company/newpatt</t>
  </si>
  <si>
    <t>https://newpatt.com</t>
  </si>
  <si>
    <t>Cristian</t>
  </si>
  <si>
    <t>Director de Marketing y Servicliente</t>
  </si>
  <si>
    <t>Business Intelligence Latam Group</t>
  </si>
  <si>
    <t>cristian.chaconlara@biccrm.com</t>
  </si>
  <si>
    <t>http://www.linkedin.com/in/cristian-chac%c3%b3n-lara-89097617</t>
  </si>
  <si>
    <t>http://www.linkedin.com/company/business-intelligence-corporate</t>
  </si>
  <si>
    <t>https://biccrm.com</t>
  </si>
  <si>
    <t>Tysa SAS</t>
  </si>
  <si>
    <t>jsalazar@tysa.co</t>
  </si>
  <si>
    <t>http://www.linkedin.com/in/juanfelipesalazar</t>
  </si>
  <si>
    <t>http://www.linkedin.com/company/tysa-sas</t>
  </si>
  <si>
    <t>https://tysa.co</t>
  </si>
  <si>
    <t>CTO/Owner/Co-Founder</t>
  </si>
  <si>
    <t>Reva</t>
  </si>
  <si>
    <t>miguel@joinreva.com</t>
  </si>
  <si>
    <t>http://www.linkedin.com/in/mferrerisaza</t>
  </si>
  <si>
    <t>http://www.linkedin.com/company/revahospitality</t>
  </si>
  <si>
    <t>https://joinreva.com</t>
  </si>
  <si>
    <t>Cofundador y CEO</t>
  </si>
  <si>
    <t>Valora Analitik</t>
  </si>
  <si>
    <t>csilva@grupovalora.com.co</t>
  </si>
  <si>
    <t>http://www.linkedin.com/in/camilo-silva-jaramillo-943b0533</t>
  </si>
  <si>
    <t>http://www.linkedin.com/company/valora-analitik</t>
  </si>
  <si>
    <t>https://valoraanalitik.com</t>
  </si>
  <si>
    <t>online media</t>
  </si>
  <si>
    <t>Vivian</t>
  </si>
  <si>
    <t>Co-Founder &amp; CRO</t>
  </si>
  <si>
    <t>MonaBit</t>
  </si>
  <si>
    <t>jones@monabit.io</t>
  </si>
  <si>
    <t>http://www.linkedin.com/in/vivianjonesr</t>
  </si>
  <si>
    <t>http://www.linkedin.com/company/monabit</t>
  </si>
  <si>
    <t>https://monabit.io</t>
  </si>
  <si>
    <t>Podium Worldwide Group</t>
  </si>
  <si>
    <t>presidencia@grupopodium.com</t>
  </si>
  <si>
    <t>http://www.linkedin.com/in/ingcesarlozano</t>
  </si>
  <si>
    <t>http://www.linkedin.com/company/digital-change-advisors</t>
  </si>
  <si>
    <t>https://digitalchangemanagement.com</t>
  </si>
  <si>
    <t>Roxana</t>
  </si>
  <si>
    <t>General Director/ CEO</t>
  </si>
  <si>
    <t>BBE Languages</t>
  </si>
  <si>
    <t>roxana@bbelanguages.com</t>
  </si>
  <si>
    <t>http://www.linkedin.com/in/roxana-irimiea-95461587</t>
  </si>
  <si>
    <t>http://www.linkedin.com/company/bbelanguages</t>
  </si>
  <si>
    <t>https://bbelanguages.com</t>
  </si>
  <si>
    <t>Founder and Engineer</t>
  </si>
  <si>
    <t>Constructora Colombia</t>
  </si>
  <si>
    <t>javierpardo@constructoracolombia.com</t>
  </si>
  <si>
    <t>http://www.linkedin.com/in/javierpardoch</t>
  </si>
  <si>
    <t>http://www.linkedin.com/company/constructoracolombia</t>
  </si>
  <si>
    <t>https://constructoracolombia.com</t>
  </si>
  <si>
    <t>Director General (CEO)</t>
  </si>
  <si>
    <t>Xphera Group S.A.S</t>
  </si>
  <si>
    <t>ricardo.lora@xphera.co</t>
  </si>
  <si>
    <t>http://www.linkedin.com/in/ricardo-lora-figueroa-9b093932</t>
  </si>
  <si>
    <t>http://www.linkedin.com/company/xphera-group</t>
  </si>
  <si>
    <t>https://xphera.co</t>
  </si>
  <si>
    <t>Gooms</t>
  </si>
  <si>
    <t>sebastian@gooms.com.co</t>
  </si>
  <si>
    <t>http://www.linkedin.com/in/sebasti%c3%a1n-canal-953b419b</t>
  </si>
  <si>
    <t>http://www.linkedin.com/company/gooms</t>
  </si>
  <si>
    <t>https://gooms.com.co</t>
  </si>
  <si>
    <t>Christian</t>
  </si>
  <si>
    <t>trades.org</t>
  </si>
  <si>
    <t>chris@trades.org</t>
  </si>
  <si>
    <t>http://www.linkedin.com/in/mrchrisrodriguez</t>
  </si>
  <si>
    <t>http://www.linkedin.com/company/trades-org</t>
  </si>
  <si>
    <t>https://trades.org</t>
  </si>
  <si>
    <t>Alekio</t>
  </si>
  <si>
    <t>luisgui@alekio.com</t>
  </si>
  <si>
    <t>http://www.linkedin.com/in/luisguio</t>
  </si>
  <si>
    <t>http://www.linkedin.com/company/alekio</t>
  </si>
  <si>
    <t>https://alekio.com</t>
  </si>
  <si>
    <t>NousWare</t>
  </si>
  <si>
    <t>cesar.echeverria@nousware.ai</t>
  </si>
  <si>
    <t>http://www.linkedin.com/in/cesarecheverria</t>
  </si>
  <si>
    <t>http://www.linkedin.com/company/nousware</t>
  </si>
  <si>
    <t>https://nousware.ai</t>
  </si>
  <si>
    <t>CEO and Co-Founder</t>
  </si>
  <si>
    <t>Qwestar AI</t>
  </si>
  <si>
    <t>jn@qwestar.ai</t>
  </si>
  <si>
    <t>http://www.linkedin.com/in/juannates</t>
  </si>
  <si>
    <t>http://www.linkedin.com/company/qwestar-ai</t>
  </si>
  <si>
    <t>https://qwestar.ai</t>
  </si>
  <si>
    <t>NUBILA SOLUTIONS</t>
  </si>
  <si>
    <t>gerencia@nubilasas.com</t>
  </si>
  <si>
    <t>http://www.linkedin.com/in/cristian-bedoya-gerente</t>
  </si>
  <si>
    <t>http://www.linkedin.com/company/nubilasolutions</t>
  </si>
  <si>
    <t>https://nubilasas.com</t>
  </si>
  <si>
    <t>furniture</t>
  </si>
  <si>
    <t>Head of Sales Latam</t>
  </si>
  <si>
    <t>Anzi Finance</t>
  </si>
  <si>
    <t>sandra@anzi.finance</t>
  </si>
  <si>
    <t>http://www.linkedin.com/in/sandra-villafa%c3%b1e-torres-979abb58</t>
  </si>
  <si>
    <t>http://www.linkedin.com/company/anzi-finance</t>
  </si>
  <si>
    <t>https://anzi.finance</t>
  </si>
  <si>
    <t>Co-Founder &amp; CEO @dmfmedics @vetmedics @Clubvivalavida</t>
  </si>
  <si>
    <t>DMF MEDICS</t>
  </si>
  <si>
    <t>gerencia@dmfmedics.com</t>
  </si>
  <si>
    <t>http://www.linkedin.com/in/diana-fino-93643830</t>
  </si>
  <si>
    <t>http://www.linkedin.com/company/dmfmedics</t>
  </si>
  <si>
    <t>https://dmfmedics.com</t>
  </si>
  <si>
    <t>hospital &amp; health care</t>
  </si>
  <si>
    <t>Fruit4U</t>
  </si>
  <si>
    <t>http://www.linkedin.com/in/vivianadelgadodiaz</t>
  </si>
  <si>
    <t>http://www.linkedin.com/company/fruit4uco</t>
  </si>
  <si>
    <t>https://fruit4u.co</t>
  </si>
  <si>
    <t>Eduardo</t>
  </si>
  <si>
    <t>:Diptongo</t>
  </si>
  <si>
    <t>e.arango@diptongo.net</t>
  </si>
  <si>
    <t>http://www.linkedin.com/in/eduardo-arango-b43a9852</t>
  </si>
  <si>
    <t>http://www.linkedin.com/company/diptongo</t>
  </si>
  <si>
    <t>https://diptongo.net</t>
  </si>
  <si>
    <t>PIPELINE Business School</t>
  </si>
  <si>
    <t>jorge.conde@globalinfluence.co</t>
  </si>
  <si>
    <t>http://www.linkedin.com/in/jorge-andres-conde</t>
  </si>
  <si>
    <t>http://www.linkedin.com/company/pipelinebusinessschool</t>
  </si>
  <si>
    <t>https://pipelinebusinessschool.com</t>
  </si>
  <si>
    <t>CEO &amp; Cofounder</t>
  </si>
  <si>
    <t>IncluirTec</t>
  </si>
  <si>
    <t>angelica.acosta@incluirtec.co</t>
  </si>
  <si>
    <t>http://www.linkedin.com/in/angelica-acosta-quiroga</t>
  </si>
  <si>
    <t>http://www.linkedin.com/company/incluirtec</t>
  </si>
  <si>
    <t>https://incluirtec.co</t>
  </si>
  <si>
    <t>Accounts and Customer Experience Vice President</t>
  </si>
  <si>
    <t>SmartPR</t>
  </si>
  <si>
    <t>laura.narino@smartpr.com.co</t>
  </si>
  <si>
    <t>http://www.linkedin.com/in/lauranarinomolina</t>
  </si>
  <si>
    <t>http://www.linkedin.com/company/agenciasmartpr</t>
  </si>
  <si>
    <t>https://smartpr.com.co</t>
  </si>
  <si>
    <t>public relations &amp; communications</t>
  </si>
  <si>
    <t>cristian@duppla.co</t>
  </si>
  <si>
    <t>http://www.linkedin.com/in/cristian-villamizar-673bb410</t>
  </si>
  <si>
    <t>CEO &amp; Co-founder</t>
  </si>
  <si>
    <t>mauricio.cajiao@lookapp.com.co</t>
  </si>
  <si>
    <t>http://www.linkedin.com/in/mauricio-cajiao-809629329</t>
  </si>
  <si>
    <t>cawi</t>
  </si>
  <si>
    <t>cami@cawiapp.com</t>
  </si>
  <si>
    <t>http://www.linkedin.com/in/juancamilovillegas</t>
  </si>
  <si>
    <t>http://www.linkedin.com/company/cawiapp</t>
  </si>
  <si>
    <t>https://cawiapp.com</t>
  </si>
  <si>
    <t>Freddy</t>
  </si>
  <si>
    <t>Director Ejecutivo. CEO</t>
  </si>
  <si>
    <t>AIV Asociación Internacional de Ventas</t>
  </si>
  <si>
    <t>fguevara@aivlatam.com</t>
  </si>
  <si>
    <t>http://www.linkedin.com/in/freddyaguevarab4b</t>
  </si>
  <si>
    <t>http://www.linkedin.com/company/asociacioninternacionaldeventas</t>
  </si>
  <si>
    <t>https://aivlatam.com</t>
  </si>
  <si>
    <t>Muno Labs</t>
  </si>
  <si>
    <t>daniela@munolabs.com</t>
  </si>
  <si>
    <t>http://www.linkedin.com/in/daniela-estefania-g%c3%b3mez-de-almada</t>
  </si>
  <si>
    <t>http://www.linkedin.com/company/muno-labs</t>
  </si>
  <si>
    <t>https://munolabs.com</t>
  </si>
  <si>
    <t>Choucair Solutions</t>
  </si>
  <si>
    <t>mcchoucair@choucairtesting.com</t>
  </si>
  <si>
    <t>http://www.linkedin.com/in/maria-clara-choucair</t>
  </si>
  <si>
    <t>http://www.linkedin.com/company/choucair-solutions-inc</t>
  </si>
  <si>
    <t>https://choucairsolutions.ca</t>
  </si>
  <si>
    <t>Group CEO</t>
  </si>
  <si>
    <t>ORGANIZACION GDC</t>
  </si>
  <si>
    <t>jpuentes@organizaciongdc.com</t>
  </si>
  <si>
    <t>http://www.linkedin.com/in/juli%c3%a1n-andr%c3%a9s-puentes-b-cpp-psp-67358128</t>
  </si>
  <si>
    <t>http://www.linkedin.com/company/organizacion-gdc</t>
  </si>
  <si>
    <t>https://organizaciongdc.com</t>
  </si>
  <si>
    <t>Director of Strategy</t>
  </si>
  <si>
    <t>john.robles@konfie.com</t>
  </si>
  <si>
    <t>http://www.linkedin.com/in/john-robles-ab36a52bb</t>
  </si>
  <si>
    <t>Proteck Tech</t>
  </si>
  <si>
    <t>jorge.cardona@protecktech.com</t>
  </si>
  <si>
    <t>http://www.linkedin.com/in/jorgecardonatechinnovation</t>
  </si>
  <si>
    <t>http://www.linkedin.com/company/proteck-tech</t>
  </si>
  <si>
    <t>https://protecktech.com</t>
  </si>
  <si>
    <t>SLABCODE S.A.S</t>
  </si>
  <si>
    <t>nicastroco@slabcode.com</t>
  </si>
  <si>
    <t>http://www.linkedin.com/in/nicolas-castro-correa</t>
  </si>
  <si>
    <t>http://www.linkedin.com/company/slabcode</t>
  </si>
  <si>
    <t>https://slabcode.com</t>
  </si>
  <si>
    <t>CEO | Socio Fundador</t>
  </si>
  <si>
    <t>BONDS &amp; CREDIT</t>
  </si>
  <si>
    <t>amora@bycseguros.com</t>
  </si>
  <si>
    <t>http://www.linkedin.com/in/alvaro-mora-r%c3%ados-0b08304b</t>
  </si>
  <si>
    <t>http://www.linkedin.com/company/bonds-credit-seguros-especializados</t>
  </si>
  <si>
    <t>https://bycseguros.com</t>
  </si>
  <si>
    <t>CEO Cámara Lúcida</t>
  </si>
  <si>
    <t>Cámara Lúcida</t>
  </si>
  <si>
    <t>oscar@camaralucida.com</t>
  </si>
  <si>
    <t>http://www.linkedin.com/in/oscargarces</t>
  </si>
  <si>
    <t>http://www.linkedin.com/company/camara-lucida</t>
  </si>
  <si>
    <t>https://camaralucida.com</t>
  </si>
  <si>
    <t>photography</t>
  </si>
  <si>
    <t>Sentidos Comunicaciones</t>
  </si>
  <si>
    <t>catalina@sentidoscomunicaciones.com</t>
  </si>
  <si>
    <t>http://www.linkedin.com/in/catalinajimenezcombariza</t>
  </si>
  <si>
    <t>http://www.linkedin.com/company/sentidos-comunicaciones</t>
  </si>
  <si>
    <t>https://sentidoscomunicaciones.com</t>
  </si>
  <si>
    <t>CEO Consultor De Seguridad</t>
  </si>
  <si>
    <t>HSRC</t>
  </si>
  <si>
    <t>edumedinas@hsregionalcaribe.co</t>
  </si>
  <si>
    <t>http://www.linkedin.com/in/edumedinas</t>
  </si>
  <si>
    <t>http://www.linkedin.com/company/hsr-corp.com</t>
  </si>
  <si>
    <t>https://hsrcorp.com</t>
  </si>
  <si>
    <t>Bink</t>
  </si>
  <si>
    <t>mmejia@binkcard.com</t>
  </si>
  <si>
    <t>http://www.linkedin.com/in/miguelmejiasuden</t>
  </si>
  <si>
    <t>http://www.linkedin.com/company/binkcard</t>
  </si>
  <si>
    <t>https://binkcard.com</t>
  </si>
  <si>
    <t>Ignia</t>
  </si>
  <si>
    <t>camilo@ignia.lat</t>
  </si>
  <si>
    <t>http://www.linkedin.com/in/camilo-bonilla-5b2084b2</t>
  </si>
  <si>
    <t>http://www.linkedin.com/company/igniaeducation</t>
  </si>
  <si>
    <t>https://ignia.lat</t>
  </si>
  <si>
    <t>higher education</t>
  </si>
  <si>
    <t>Rollup Consulting</t>
  </si>
  <si>
    <t>ohiguera@rollupconsulting.com</t>
  </si>
  <si>
    <t>http://www.linkedin.com/in/oscar-higuera-lozano-48919a77</t>
  </si>
  <si>
    <t>http://www.linkedin.com/company/rollup-consulting</t>
  </si>
  <si>
    <t>https://rollupconsulting.com</t>
  </si>
  <si>
    <t>Agua En Caja</t>
  </si>
  <si>
    <t>davidzorro@aguaencaja.co</t>
  </si>
  <si>
    <t>http://www.linkedin.com/in/david-zorro</t>
  </si>
  <si>
    <t>http://www.linkedin.com/company/aguaencaja</t>
  </si>
  <si>
    <t>https://aguaencaja.co</t>
  </si>
  <si>
    <t>Lina</t>
  </si>
  <si>
    <t>SISTEGRA</t>
  </si>
  <si>
    <t>gerencia@talentoconsultores.com.co</t>
  </si>
  <si>
    <t>http://www.linkedin.com/in/lina-maria-sierra-mejia-2686923a</t>
  </si>
  <si>
    <t>http://www.linkedin.com/company/sistegra</t>
  </si>
  <si>
    <t>https://sistegra.com</t>
  </si>
  <si>
    <t>Crearia</t>
  </si>
  <si>
    <t>andres.ruiz@crearia.co</t>
  </si>
  <si>
    <t>http://www.linkedin.com/in/andres-ruiz-358003115</t>
  </si>
  <si>
    <t>http://www.linkedin.com/company/crearia</t>
  </si>
  <si>
    <t>https://crearia.co</t>
  </si>
  <si>
    <t>Co Founder - Partner</t>
  </si>
  <si>
    <t>Promosumma</t>
  </si>
  <si>
    <t>aruiz@promosumma.com</t>
  </si>
  <si>
    <t>http://www.linkedin.com/in/alejandro-ruiz-45382834</t>
  </si>
  <si>
    <t>http://www.linkedin.com/company/promosumma</t>
  </si>
  <si>
    <t>https://promosumma.com</t>
  </si>
  <si>
    <t>Director de Ventas, Canales y Alianzas Estratégicas</t>
  </si>
  <si>
    <t>MaiaHR</t>
  </si>
  <si>
    <t>luis.alberto.marin@maiahr.com</t>
  </si>
  <si>
    <t>http://www.linkedin.com/in/luisalbertomarinmartinez</t>
  </si>
  <si>
    <t>http://www.linkedin.com/company/maia-hr</t>
  </si>
  <si>
    <t>https://maiahr.com</t>
  </si>
  <si>
    <t>Veronica</t>
  </si>
  <si>
    <t>CMO &amp; Co-founder Doclick</t>
  </si>
  <si>
    <t>Doclick</t>
  </si>
  <si>
    <t>veronica.bustamante@doclick.com.co</t>
  </si>
  <si>
    <t>http://www.linkedin.com/in/v-btte</t>
  </si>
  <si>
    <t>http://www.linkedin.com/company/doclick</t>
  </si>
  <si>
    <t>https://doclick.com.co</t>
  </si>
  <si>
    <t>Gisela</t>
  </si>
  <si>
    <t>van Dillewijn</t>
  </si>
  <si>
    <t>gisela@vandillewijn.com.co</t>
  </si>
  <si>
    <t>http://www.linkedin.com/in/giselavandillewijn</t>
  </si>
  <si>
    <t>http://www.linkedin.com/company/vandillewijn</t>
  </si>
  <si>
    <t>https://vandillewijn.com.co</t>
  </si>
  <si>
    <t>AIMCORP</t>
  </si>
  <si>
    <t>mauricio.moreno@aimcorp.com.co</t>
  </si>
  <si>
    <t>http://www.linkedin.com/in/mauricio-moreno-pmp-mgobit-smc-sfc-80282742</t>
  </si>
  <si>
    <t>http://www.linkedin.com/company/aimcorp-advanced-improvement-corporation</t>
  </si>
  <si>
    <t>https://aimcorp.com.co</t>
  </si>
  <si>
    <t>Entey SAS</t>
  </si>
  <si>
    <t>mauro@entey.net</t>
  </si>
  <si>
    <t>http://www.linkedin.com/in/maurosamper</t>
  </si>
  <si>
    <t>http://www.linkedin.com/company/entey-sas</t>
  </si>
  <si>
    <t>https://entey.net</t>
  </si>
  <si>
    <t>Sasha</t>
  </si>
  <si>
    <t>Mimeia</t>
  </si>
  <si>
    <t>sasha@mimeia.com</t>
  </si>
  <si>
    <t>http://www.linkedin.com/in/sashanclrp</t>
  </si>
  <si>
    <t>http://www.linkedin.com/company/mimeia</t>
  </si>
  <si>
    <t>https://indau.co</t>
  </si>
  <si>
    <t>Omar</t>
  </si>
  <si>
    <t>Chief Executive Officer and Founder</t>
  </si>
  <si>
    <t>NGDS</t>
  </si>
  <si>
    <t>omar.ladino@ngds.ai</t>
  </si>
  <si>
    <t>http://www.linkedin.com/in/omar-ladino-gomez</t>
  </si>
  <si>
    <t>http://www.linkedin.com/company/next-generation-digital-services-sas</t>
  </si>
  <si>
    <t>https://ngds.ai</t>
  </si>
  <si>
    <t>Raad Sports</t>
  </si>
  <si>
    <t>ivan@raadsports.co</t>
  </si>
  <si>
    <t>http://www.linkedin.com/in/ivan-raad-gilede-0577a1184</t>
  </si>
  <si>
    <t>http://www.linkedin.com/company/raad-sports</t>
  </si>
  <si>
    <t>https://raadsports.co</t>
  </si>
  <si>
    <t>Docente Especialización Comunicación Organizacional</t>
  </si>
  <si>
    <t>Pontificia Universidad Javeriana</t>
  </si>
  <si>
    <t>djaramillo@javeriana.edu.co</t>
  </si>
  <si>
    <t>http://www.linkedin.com/in/diana-jaramillo724</t>
  </si>
  <si>
    <t>http://www.linkedin.com/school/pontificia-universidad-javeriana</t>
  </si>
  <si>
    <t>https://javeriana.edu.co</t>
  </si>
  <si>
    <t>Chief Executive Officer (CEO)</t>
  </si>
  <si>
    <t>Mingu•App</t>
  </si>
  <si>
    <t>carolina.almeyda@mingu.co</t>
  </si>
  <si>
    <t>http://www.linkedin.com/in/caroalmeyda</t>
  </si>
  <si>
    <t>http://www.linkedin.com/company/minguapp</t>
  </si>
  <si>
    <t>https://mingu.co</t>
  </si>
  <si>
    <t>VariaCode</t>
  </si>
  <si>
    <t>andres.echavarria@variacode.com</t>
  </si>
  <si>
    <t>http://www.linkedin.com/in/andres-echavarria-4540321aa</t>
  </si>
  <si>
    <t>http://www.linkedin.com/company/variacode</t>
  </si>
  <si>
    <t>https://variacode.com</t>
  </si>
  <si>
    <t>CEO / Gerente General</t>
  </si>
  <si>
    <t>Isarco Oficial</t>
  </si>
  <si>
    <t>andres.isaza@isarco.com.co</t>
  </si>
  <si>
    <t>http://www.linkedin.com/in/andres-isaza-valencia-aa099453</t>
  </si>
  <si>
    <t>http://www.linkedin.com/company/isarco-oficial</t>
  </si>
  <si>
    <t>https://isarco.com.co</t>
  </si>
  <si>
    <t>Cofounder</t>
  </si>
  <si>
    <t>Ubidots</t>
  </si>
  <si>
    <t>woakas@ubidots.com</t>
  </si>
  <si>
    <t>http://www.linkedin.com/in/woakas</t>
  </si>
  <si>
    <t>http://www.linkedin.com/company/ubidots</t>
  </si>
  <si>
    <t>https://ubidots.com</t>
  </si>
  <si>
    <t>Balam Legal</t>
  </si>
  <si>
    <t>alberto.bravo@balamlegal.co</t>
  </si>
  <si>
    <t>http://www.linkedin.com/in/alberto-bravo-a368a636</t>
  </si>
  <si>
    <t>http://www.linkedin.com/company/balam-legal-sas</t>
  </si>
  <si>
    <t>https://balamlegal.co</t>
  </si>
  <si>
    <t>Mara</t>
  </si>
  <si>
    <t>muraby</t>
  </si>
  <si>
    <t>mara.angarita@muraby.io</t>
  </si>
  <si>
    <t>http://www.linkedin.com/in/mara-angarita</t>
  </si>
  <si>
    <t>http://www.linkedin.com/company/muraby-io</t>
  </si>
  <si>
    <t>https://muraby.io</t>
  </si>
  <si>
    <t>Principal and Head of Colombia and Latam Operation</t>
  </si>
  <si>
    <t>Impact Point</t>
  </si>
  <si>
    <t>dcastillo@impactpoint.com</t>
  </si>
  <si>
    <t>http://www.linkedin.com/in/diego-castillo-08b4a72b</t>
  </si>
  <si>
    <t>http://www.linkedin.com/company/impact-point-co</t>
  </si>
  <si>
    <t>https://impactpoint.com</t>
  </si>
  <si>
    <t>Founder - Managing Director</t>
  </si>
  <si>
    <t>Strategy Colombia</t>
  </si>
  <si>
    <t>natalia.sanabria@strategy.com.co</t>
  </si>
  <si>
    <t>http://www.linkedin.com/in/natalia-sanabria-jerez-7a581559</t>
  </si>
  <si>
    <t>http://www.linkedin.com/company/strategycolombia</t>
  </si>
  <si>
    <t>https://strategy.com.co</t>
  </si>
  <si>
    <t>AgriLink Co</t>
  </si>
  <si>
    <t>mmadrid@agrilink.co</t>
  </si>
  <si>
    <t>http://www.linkedin.com/in/maria-alejandra-madrid-ram%c3%adrez-937b08107</t>
  </si>
  <si>
    <t>http://www.linkedin.com/company/agrilink-co</t>
  </si>
  <si>
    <t>https://agrilink.co</t>
  </si>
  <si>
    <t>Jamm</t>
  </si>
  <si>
    <t>Chief Engineer and Founder</t>
  </si>
  <si>
    <t>Pralogy SAS</t>
  </si>
  <si>
    <t>deivymg@pralogy.co</t>
  </si>
  <si>
    <t>http://www.linkedin.com/in/jammdeivymartinez</t>
  </si>
  <si>
    <t>http://www.linkedin.com/company/pralogy-sas</t>
  </si>
  <si>
    <t>https://pralogy.co</t>
  </si>
  <si>
    <t>computer &amp; network security</t>
  </si>
  <si>
    <t>Alexandro</t>
  </si>
  <si>
    <t>Lunes Naranja</t>
  </si>
  <si>
    <t>alexandro@lunesnaranja.com</t>
  </si>
  <si>
    <t>http://www.linkedin.com/in/alexandrorendon</t>
  </si>
  <si>
    <t>http://www.linkedin.com/company/lunesnaranja</t>
  </si>
  <si>
    <t>https://lunesnaranja.com</t>
  </si>
  <si>
    <t>Prismategy</t>
  </si>
  <si>
    <t>david@prismategy.com</t>
  </si>
  <si>
    <t>http://www.linkedin.com/in/david-salazar-botero-a7671938</t>
  </si>
  <si>
    <t>http://www.linkedin.com/company/prismategy</t>
  </si>
  <si>
    <t>https://prismategy.com</t>
  </si>
  <si>
    <t>Martin</t>
  </si>
  <si>
    <t>Turicum Consultoría SAS</t>
  </si>
  <si>
    <t>martin.kleiner@turicumconsultoria.com</t>
  </si>
  <si>
    <t>http://www.linkedin.com/in/martin-kleiner-56bb814</t>
  </si>
  <si>
    <t>http://www.linkedin.com/company/turicum-consultoria-sas</t>
  </si>
  <si>
    <t>https://turicumconsultoria.com</t>
  </si>
  <si>
    <t>Managing Partner - CoFounder</t>
  </si>
  <si>
    <t>Internodes Consulting</t>
  </si>
  <si>
    <t>acardona@internodes-consulting.com</t>
  </si>
  <si>
    <t>http://www.linkedin.com/in/alejandro-cardona-a7857725</t>
  </si>
  <si>
    <t>http://www.linkedin.com/company/internodes-consulting</t>
  </si>
  <si>
    <t>https://internodes-consulting.com</t>
  </si>
  <si>
    <t>PERSÉ Sparkling Coffee</t>
  </si>
  <si>
    <t>camilo@drinkperse.com</t>
  </si>
  <si>
    <t>http://www.linkedin.com/in/camilo-velez-0424a47</t>
  </si>
  <si>
    <t>http://www.linkedin.com/company/pers%c3%a9-sparkling-coffee</t>
  </si>
  <si>
    <t>https://drinkperse.us</t>
  </si>
  <si>
    <t>Fredy</t>
  </si>
  <si>
    <t>Principal Chief Executive Officer - Owner</t>
  </si>
  <si>
    <t>IDEQS S.A.S</t>
  </si>
  <si>
    <t>gerencia@ideqs.com</t>
  </si>
  <si>
    <t>http://www.linkedin.com/in/fredy-laserna-93859539</t>
  </si>
  <si>
    <t>http://www.linkedin.com/company/ideqssas</t>
  </si>
  <si>
    <t>https://ideqs.com</t>
  </si>
  <si>
    <t>Alexander</t>
  </si>
  <si>
    <t>Founder Commercial &amp; Operations Head</t>
  </si>
  <si>
    <t>AndenDNA</t>
  </si>
  <si>
    <t>alexander.wittich@andendna.ch</t>
  </si>
  <si>
    <t>http://www.linkedin.com/in/alexander-wittich-0b039451</t>
  </si>
  <si>
    <t>http://www.linkedin.com/company/andendna-gmbh</t>
  </si>
  <si>
    <t>https://andendna.ch</t>
  </si>
  <si>
    <t>TACTIKA</t>
  </si>
  <si>
    <t>jorjuela@tactikasas.com</t>
  </si>
  <si>
    <t>http://www.linkedin.com/in/joseorjuelae</t>
  </si>
  <si>
    <t>http://www.linkedin.com/company/tactikasas</t>
  </si>
  <si>
    <t>https://tactikasas.com</t>
  </si>
  <si>
    <t>mauricio.ramirez@xphera.co</t>
  </si>
  <si>
    <t>http://www.linkedin.com/in/mauricio-ramirez-e-5901661</t>
  </si>
  <si>
    <t>ONE running</t>
  </si>
  <si>
    <t>andres.ramirez@onerunning.io</t>
  </si>
  <si>
    <t>http://www.linkedin.com/in/andresramirezcoach</t>
  </si>
  <si>
    <t>http://www.linkedin.com/company/onerunning</t>
  </si>
  <si>
    <t>https://onerunning.io</t>
  </si>
  <si>
    <t>Raissa</t>
  </si>
  <si>
    <t>Founder &amp; Co-CEO</t>
  </si>
  <si>
    <t>Vaki</t>
  </si>
  <si>
    <t>raissa@vaki.co</t>
  </si>
  <si>
    <t>http://www.linkedin.com/in/raissamj</t>
  </si>
  <si>
    <t>http://www.linkedin.com/company/vakiglobal</t>
  </si>
  <si>
    <t>https://vaki.co</t>
  </si>
  <si>
    <t>Co-founder &amp; CFO</t>
  </si>
  <si>
    <t>EAT COFFEE CO</t>
  </si>
  <si>
    <t>alejandro.ospina@travesiacoffee.com</t>
  </si>
  <si>
    <t>http://www.linkedin.com/in/alejandro-ospina-marulanda</t>
  </si>
  <si>
    <t>http://www.linkedin.com/company/eatcompany</t>
  </si>
  <si>
    <t>https://eatcoffee.co</t>
  </si>
  <si>
    <t>Movigo360</t>
  </si>
  <si>
    <t>gerencia@movigo360.com</t>
  </si>
  <si>
    <t>http://www.linkedin.com/in/carlos-mario-rodriguez-posada-6a9555</t>
  </si>
  <si>
    <t>http://www.linkedin.com/company/movigo360</t>
  </si>
  <si>
    <t>https://movigo360.com</t>
  </si>
  <si>
    <t>Founder &amp; Account Manager Para Latam</t>
  </si>
  <si>
    <t>Nivelar</t>
  </si>
  <si>
    <t>juan.zuluaga@nivelarapp.co</t>
  </si>
  <si>
    <t>http://www.linkedin.com/in/juan-pablo-zuluaga-giraldo-11155211a</t>
  </si>
  <si>
    <t>http://www.linkedin.com/company/nivelar</t>
  </si>
  <si>
    <t>https://nivelarapp.com</t>
  </si>
  <si>
    <t>Innova Foods</t>
  </si>
  <si>
    <t>sflorez@pacificproducts.co</t>
  </si>
  <si>
    <t>http://www.linkedin.com/in/santiago-florez-millan-865579a0</t>
  </si>
  <si>
    <t>http://www.linkedin.com/company/pacific-products-s-a-s</t>
  </si>
  <si>
    <t>https://innovafoodsco.com</t>
  </si>
  <si>
    <t>pedro@lotolatam.com</t>
  </si>
  <si>
    <t>http://www.linkedin.com/in/pedro-ignacio-morales-hernandez</t>
  </si>
  <si>
    <t>Finovalis</t>
  </si>
  <si>
    <t>jreyes@finovalis.com</t>
  </si>
  <si>
    <t>http://www.linkedin.com/in/juanestebanreyesmartinez</t>
  </si>
  <si>
    <t>http://www.linkedin.com/company/finovalis</t>
  </si>
  <si>
    <t>https://finovalis.com</t>
  </si>
  <si>
    <t>MubOn</t>
  </si>
  <si>
    <t>natalia@mubon.co</t>
  </si>
  <si>
    <t>http://www.linkedin.com/in/nataliaortiz4</t>
  </si>
  <si>
    <t>http://www.linkedin.com/company/mubonco</t>
  </si>
  <si>
    <t>https://mubon.co</t>
  </si>
  <si>
    <t>Co-Founder and CEO</t>
  </si>
  <si>
    <t>Mentu Labs</t>
  </si>
  <si>
    <t>jose@mentu.co</t>
  </si>
  <si>
    <t>http://www.linkedin.com/in/joserespinosar</t>
  </si>
  <si>
    <t>http://www.linkedin.com/company/mentu-co</t>
  </si>
  <si>
    <t>https://mentu.co</t>
  </si>
  <si>
    <t>primary/secondary education</t>
  </si>
  <si>
    <t>Cofundador y CEO Agricapital</t>
  </si>
  <si>
    <t>AgriCapital S.A.S</t>
  </si>
  <si>
    <t>scorrea@agricapital.com.co</t>
  </si>
  <si>
    <t>http://www.linkedin.com/in/juan-sebastian-correa-correa</t>
  </si>
  <si>
    <t>http://www.linkedin.com/company/agricapitalsas</t>
  </si>
  <si>
    <t>https://agricapital.com.co</t>
  </si>
  <si>
    <t>Co-Founder and CEO at Provi</t>
  </si>
  <si>
    <t>Provi</t>
  </si>
  <si>
    <t>laura@realprovi.com</t>
  </si>
  <si>
    <t>http://www.linkedin.com/in/laura-cadena-sanchez-84571682</t>
  </si>
  <si>
    <t>http://www.linkedin.com/company/provi-investments</t>
  </si>
  <si>
    <t>https://realprovi.com</t>
  </si>
  <si>
    <t>Fundador y CEO</t>
  </si>
  <si>
    <t>The Mindsellerz</t>
  </si>
  <si>
    <t>alex@themindsellerz.com</t>
  </si>
  <si>
    <t>http://www.linkedin.com/in/alex-mindsellerz-708b94113</t>
  </si>
  <si>
    <t>http://www.linkedin.com/company/the-mindsellerz</t>
  </si>
  <si>
    <t>https://themindsellerz.com</t>
  </si>
  <si>
    <t>CEO y Consultor de Estratégico Talento Humano</t>
  </si>
  <si>
    <t>Estratégico Talento Humano</t>
  </si>
  <si>
    <t>mauricio@estrategicoth.com</t>
  </si>
  <si>
    <t>http://www.linkedin.com/in/mauricio-jaramillo-montoya</t>
  </si>
  <si>
    <t>http://www.linkedin.com/company/estrat%c3%a9gico-talento-humano</t>
  </si>
  <si>
    <t>https://estrategicoth.com</t>
  </si>
  <si>
    <t>Founder CEO</t>
  </si>
  <si>
    <t>Hola Amigo</t>
  </si>
  <si>
    <t>mateo@holaamigo.ai</t>
  </si>
  <si>
    <t>http://www.linkedin.com/in/mateofh</t>
  </si>
  <si>
    <t>http://www.linkedin.com/company/holaamigo</t>
  </si>
  <si>
    <t>https://holaamigo.ai</t>
  </si>
  <si>
    <t>Jan</t>
  </si>
  <si>
    <t>Principal Founder</t>
  </si>
  <si>
    <t>Biofique Cauca Proyecto</t>
  </si>
  <si>
    <t>janwillem@biofique.co</t>
  </si>
  <si>
    <t>http://www.linkedin.com/in/jwvanotterlo</t>
  </si>
  <si>
    <t>http://www.linkedin.com/company/www.biofique.co</t>
  </si>
  <si>
    <t>https://biofique.co</t>
  </si>
  <si>
    <t>Mentes a la Carta</t>
  </si>
  <si>
    <t>alejandro@mentesalacarta.com</t>
  </si>
  <si>
    <t>http://www.linkedin.com/in/ambradchalela</t>
  </si>
  <si>
    <t>http://www.linkedin.com/company/mentesalacarta</t>
  </si>
  <si>
    <t>https://mentesalacarta.com</t>
  </si>
  <si>
    <t>Liberr</t>
  </si>
  <si>
    <t>jorge@liberr.com</t>
  </si>
  <si>
    <t>http://www.linkedin.com/in/liberrapp</t>
  </si>
  <si>
    <t>http://www.linkedin.com/company/liberr-app</t>
  </si>
  <si>
    <t>https://liberr.com</t>
  </si>
  <si>
    <t>CEO Latin America North &amp; Caribbean</t>
  </si>
  <si>
    <t>nBC Services</t>
  </si>
  <si>
    <t>jvelasquez@nbc.services</t>
  </si>
  <si>
    <t>http://www.linkedin.com/in/juliandavidvelasquez</t>
  </si>
  <si>
    <t>http://www.linkedin.com/company/nbc-services</t>
  </si>
  <si>
    <t>https://nbc.services</t>
  </si>
  <si>
    <t>COO &amp; Co-Founder</t>
  </si>
  <si>
    <t>david.quintero@incluirtec.co</t>
  </si>
  <si>
    <t>http://www.linkedin.com/in/daquinsa</t>
  </si>
  <si>
    <t>Progerente</t>
  </si>
  <si>
    <t>gerencia@progerente.com</t>
  </si>
  <si>
    <t>http://www.linkedin.com/in/ivancarrizosa</t>
  </si>
  <si>
    <t>http://www.linkedin.com/company/progerente</t>
  </si>
  <si>
    <t>https://progerente.com</t>
  </si>
  <si>
    <t>CEO and Cofounder</t>
  </si>
  <si>
    <t>Human2Human.ai</t>
  </si>
  <si>
    <t>juan.montoya@human2human.ai</t>
  </si>
  <si>
    <t>http://www.linkedin.com/in/juancamilom</t>
  </si>
  <si>
    <t>http://www.linkedin.com/company/human2human-ai</t>
  </si>
  <si>
    <t>https://human2human.ai</t>
  </si>
  <si>
    <t>Agentic Dream</t>
  </si>
  <si>
    <t>jonathan.pardo@agiledreamteam.com</t>
  </si>
  <si>
    <t>http://www.linkedin.com/in/jonathan-pardo-fuentes-0a644030</t>
  </si>
  <si>
    <t>http://www.linkedin.com/company/agenticdream</t>
  </si>
  <si>
    <t>https://agenticdream.com</t>
  </si>
  <si>
    <t>Sugar Valley</t>
  </si>
  <si>
    <t>julian@sugarvalley.co</t>
  </si>
  <si>
    <t>http://www.linkedin.com/in/julianmsanchez</t>
  </si>
  <si>
    <t>http://www.linkedin.com/company/sugarvalley-co</t>
  </si>
  <si>
    <t>https://sugarvalley.co</t>
  </si>
  <si>
    <t>venture capital &amp; private equity</t>
  </si>
  <si>
    <t>Eddie</t>
  </si>
  <si>
    <t>Strategy &amp; Stack</t>
  </si>
  <si>
    <t>eddie@strategyandstack.com</t>
  </si>
  <si>
    <t>http://www.linkedin.com/in/eddiebello</t>
  </si>
  <si>
    <t>http://www.linkedin.com/company/strategyandstack</t>
  </si>
  <si>
    <t>https://strategyandstack.com</t>
  </si>
  <si>
    <t>Loopay</t>
  </si>
  <si>
    <t>luis@loopay.com</t>
  </si>
  <si>
    <t>http://www.linkedin.com/in/luisnaranjoduplat</t>
  </si>
  <si>
    <t>http://www.linkedin.com/company/somosloopay</t>
  </si>
  <si>
    <t>https://loopay.com</t>
  </si>
  <si>
    <t>Founder and Chief Executive Officer</t>
  </si>
  <si>
    <t>EduLabs</t>
  </si>
  <si>
    <t>juan.saenz@edu-labs.co</t>
  </si>
  <si>
    <t>http://www.linkedin.com/in/juan-gabriel-saenz</t>
  </si>
  <si>
    <t>http://www.linkedin.com/company/edu-labs</t>
  </si>
  <si>
    <t>https://edu-labs.co</t>
  </si>
  <si>
    <t>Goodman</t>
  </si>
  <si>
    <t>juanpabloalvarez@goodman.com.co</t>
  </si>
  <si>
    <t>http://www.linkedin.com/in/juan-pablo-alvarez-b55baa61</t>
  </si>
  <si>
    <t>http://www.linkedin.com/company/thegoodman</t>
  </si>
  <si>
    <t>https://thegoodman.com.co</t>
  </si>
  <si>
    <t>Co-Founder CSO Transformente</t>
  </si>
  <si>
    <t>Transformente</t>
  </si>
  <si>
    <t>jose@transformente.com</t>
  </si>
  <si>
    <t>http://www.linkedin.com/in/joserodriguezroa</t>
  </si>
  <si>
    <t>http://www.linkedin.com/company/transformente</t>
  </si>
  <si>
    <t>https://transformente.com</t>
  </si>
  <si>
    <t>Aliia</t>
  </si>
  <si>
    <t>alejandroreyes@aliabpo.com</t>
  </si>
  <si>
    <t>http://www.linkedin.com/in/alejandro-reyes-aliia</t>
  </si>
  <si>
    <t>http://www.linkedin.com/company/aliia</t>
  </si>
  <si>
    <t>https://aliia.co</t>
  </si>
  <si>
    <t>Isabel</t>
  </si>
  <si>
    <t>CTO &amp; Co-Founder</t>
  </si>
  <si>
    <t>Ettos</t>
  </si>
  <si>
    <t>isabel@ettos.co</t>
  </si>
  <si>
    <t>http://www.linkedin.com/in/isabel-arango-mesa-974b0954</t>
  </si>
  <si>
    <t>http://www.linkedin.com/company/ettos</t>
  </si>
  <si>
    <t>https://ettos.co</t>
  </si>
  <si>
    <t>Daki</t>
  </si>
  <si>
    <t>carlos.murillo@dataknow.co</t>
  </si>
  <si>
    <t>http://www.linkedin.com/in/carlosmurillog</t>
  </si>
  <si>
    <t>http://www.linkedin.com/company/daki-ai</t>
  </si>
  <si>
    <t>https://daki.ai</t>
  </si>
  <si>
    <t>Simon</t>
  </si>
  <si>
    <t>Aken Capital</t>
  </si>
  <si>
    <t>simon.franco@akencapital.com</t>
  </si>
  <si>
    <t>http://www.linkedin.com/in/simon-franco-95771a5</t>
  </si>
  <si>
    <t>http://www.linkedin.com/company/aken-capital</t>
  </si>
  <si>
    <t>https://akencapital.com</t>
  </si>
  <si>
    <t>Co-founder - CTO</t>
  </si>
  <si>
    <t>Respira Run</t>
  </si>
  <si>
    <t>lina@respira.run</t>
  </si>
  <si>
    <t>http://www.linkedin.com/in/lina-sanchez-2aa3a739</t>
  </si>
  <si>
    <t>http://www.linkedin.com/company/respira-run</t>
  </si>
  <si>
    <t>https://respira.run</t>
  </si>
  <si>
    <t>Co-Founder / CEO</t>
  </si>
  <si>
    <t>Insylux Cybersecurity</t>
  </si>
  <si>
    <t>jalzate@insylux.co</t>
  </si>
  <si>
    <t>http://www.linkedin.com/in/jhonjalzate</t>
  </si>
  <si>
    <t>http://www.linkedin.com/company/insyluxcs</t>
  </si>
  <si>
    <t>https://insylux.co</t>
  </si>
  <si>
    <t>Fluvia SAS</t>
  </si>
  <si>
    <t>julianramos@fluvia.co</t>
  </si>
  <si>
    <t>http://www.linkedin.com/in/juliandrs</t>
  </si>
  <si>
    <t>http://www.linkedin.com/company/fluviasas</t>
  </si>
  <si>
    <t>https://fluvia.co</t>
  </si>
  <si>
    <t>Novus Code</t>
  </si>
  <si>
    <t>mlega@novuscodeapp.com</t>
  </si>
  <si>
    <t>http://www.linkedin.com/in/mariolegabarco</t>
  </si>
  <si>
    <t>http://www.linkedin.com/company/novus-code-llc</t>
  </si>
  <si>
    <t>https://novuscodeapp.com</t>
  </si>
  <si>
    <t>X-Cargo</t>
  </si>
  <si>
    <t>andres.osorio@x-cargo.co</t>
  </si>
  <si>
    <t>http://www.linkedin.com/in/andresosorio</t>
  </si>
  <si>
    <t>http://www.linkedin.com/company/x-cargo</t>
  </si>
  <si>
    <t>https://x-cargo.co</t>
  </si>
  <si>
    <t>Jesus</t>
  </si>
  <si>
    <t>CEO &amp; Founder at Alcyon Cloud LLC</t>
  </si>
  <si>
    <t>Alcyon Cloud</t>
  </si>
  <si>
    <t>jesus@smsdirectos.com</t>
  </si>
  <si>
    <t>http://www.linkedin.com/in/jesusvegasms</t>
  </si>
  <si>
    <t>http://www.linkedin.com/company/alcyoncloud</t>
  </si>
  <si>
    <t>https://alcyon.cloud</t>
  </si>
  <si>
    <t>JENNi</t>
  </si>
  <si>
    <t>mateo@jennipro.com</t>
  </si>
  <si>
    <t>http://www.linkedin.com/in/mateoalbarracinduque</t>
  </si>
  <si>
    <t>http://www.linkedin.com/company/jenni-pro</t>
  </si>
  <si>
    <t>https://jennipro.com</t>
  </si>
  <si>
    <t>Maximiliano</t>
  </si>
  <si>
    <t>Director of Business Development</t>
  </si>
  <si>
    <t>Shapiro Negotiations Institute</t>
  </si>
  <si>
    <t>berger@sniteam.com</t>
  </si>
  <si>
    <t>http://www.linkedin.com/in/maximilianoberger</t>
  </si>
  <si>
    <t>http://www.linkedin.com/company/shapiro-negotiations-institute</t>
  </si>
  <si>
    <t>https://shapironegotiations.com</t>
  </si>
  <si>
    <t>Gloria</t>
  </si>
  <si>
    <t>Soluciones Ambientales Estratégicas LTDA</t>
  </si>
  <si>
    <t>galvarez@solames.co</t>
  </si>
  <si>
    <t>http://www.linkedin.com/in/gloria-luc%c3%ada-%c3%a1lvarez-pinz%c3%b3n-482636a5</t>
  </si>
  <si>
    <t>http://www.linkedin.com/company/soluciones-ambientales-estrat%c3%a9gicas-ltda-solames</t>
  </si>
  <si>
    <t>https://solames.co</t>
  </si>
  <si>
    <t>Onetotree</t>
  </si>
  <si>
    <t>andres@onetotree.co</t>
  </si>
  <si>
    <t>http://www.linkedin.com/in/andresronderos-sustainability</t>
  </si>
  <si>
    <t>http://www.linkedin.com/company/onetotree</t>
  </si>
  <si>
    <t>https://onetotree.co</t>
  </si>
  <si>
    <t>Co-Founder &amp; CFO</t>
  </si>
  <si>
    <t>Hey Kid!™ Studio</t>
  </si>
  <si>
    <t>santiago.quinche@heykidstudio.com</t>
  </si>
  <si>
    <t>http://www.linkedin.com/in/santiagoquinche</t>
  </si>
  <si>
    <t>http://www.linkedin.com/company/hey-kid</t>
  </si>
  <si>
    <t>https://heykidstudio.com</t>
  </si>
  <si>
    <t>EXIT83 Consulting</t>
  </si>
  <si>
    <t>isabel@exit83.com</t>
  </si>
  <si>
    <t>http://www.linkedin.com/in/isabel-matas</t>
  </si>
  <si>
    <t>http://www.linkedin.com/company/exit83-consulting</t>
  </si>
  <si>
    <t>https://exit83.com</t>
  </si>
  <si>
    <t>Omer</t>
  </si>
  <si>
    <t>Remote Latinos</t>
  </si>
  <si>
    <t>omer@remotelatinos.com</t>
  </si>
  <si>
    <t>http://www.linkedin.com/in/omer-bloch</t>
  </si>
  <si>
    <t>http://www.linkedin.com/company/remote-latinos</t>
  </si>
  <si>
    <t>https://remotelatinos.com</t>
  </si>
  <si>
    <t>Founder / CEO / Financial Counselor</t>
  </si>
  <si>
    <t>Olmos Financiero</t>
  </si>
  <si>
    <t>juancaolmos@happypocket.com.co</t>
  </si>
  <si>
    <t>http://www.linkedin.com/in/juan-carlos-olmos</t>
  </si>
  <si>
    <t>http://www.linkedin.com/company/happypocketcolombia</t>
  </si>
  <si>
    <t>https://happypocket.com.co</t>
  </si>
  <si>
    <t>Salma</t>
  </si>
  <si>
    <t>Business Owner</t>
  </si>
  <si>
    <t>Smart Global Invest Ltda</t>
  </si>
  <si>
    <t>sosejo@smartglobalinvest.com</t>
  </si>
  <si>
    <t>http://www.linkedin.com/in/salma-osejo-jabbour-70585a49</t>
  </si>
  <si>
    <t>http://www.linkedin.com/company/smart-global-invest-ltda</t>
  </si>
  <si>
    <t>https://smartglobalinvest.com.co</t>
  </si>
  <si>
    <t>MettaConsultores</t>
  </si>
  <si>
    <t>carolinagonzalez@mettaconsultores.com</t>
  </si>
  <si>
    <t>http://www.linkedin.com/in/carolina-mu%c3%b1oz-gonzalez</t>
  </si>
  <si>
    <t>http://www.linkedin.com/company/mettaconsultores</t>
  </si>
  <si>
    <t>https://mettaconsultores.com</t>
  </si>
  <si>
    <t>Raul</t>
  </si>
  <si>
    <t>Selective Crew Founder</t>
  </si>
  <si>
    <t>Selective Crew</t>
  </si>
  <si>
    <t>rpolo@selectivecrew.com</t>
  </si>
  <si>
    <t>http://www.linkedin.com/in/raul-polo-jay-a6b18818</t>
  </si>
  <si>
    <t>http://www.linkedin.com/company/selective-crew</t>
  </si>
  <si>
    <t>https://selectivecrew.com</t>
  </si>
  <si>
    <t>Co-founder &amp; Director</t>
  </si>
  <si>
    <t>Simbiosis</t>
  </si>
  <si>
    <t>miguel.gomez@efectosimbiosis.com</t>
  </si>
  <si>
    <t>http://www.linkedin.com/in/miguelangel-gomez</t>
  </si>
  <si>
    <t>http://www.linkedin.com/company/efectosimbiosis</t>
  </si>
  <si>
    <t>https://efectosimbiosis.com</t>
  </si>
  <si>
    <t>Kastor</t>
  </si>
  <si>
    <t>gerencia@kastor.com.co</t>
  </si>
  <si>
    <t>http://www.linkedin.com/in/julianacardonacadavid</t>
  </si>
  <si>
    <t>http://www.linkedin.com/company/kastor-ventas-al-exterior</t>
  </si>
  <si>
    <t>https://kastor.com.co</t>
  </si>
  <si>
    <t>Luigi</t>
  </si>
  <si>
    <t>Homesale Colombia</t>
  </si>
  <si>
    <t>luigi@homesale.com.co</t>
  </si>
  <si>
    <t>http://www.linkedin.com/in/luigi-rodriguez-brice%c3%b1o-08b237a1</t>
  </si>
  <si>
    <t>http://www.linkedin.com/company/homesale-colombia</t>
  </si>
  <si>
    <t>https://homesale.com.co</t>
  </si>
  <si>
    <t>SELTIKA Seguridad de la Información</t>
  </si>
  <si>
    <t>ctovar@seltika.com</t>
  </si>
  <si>
    <t>http://www.linkedin.com/in/carlos-julio-tovar-034a588</t>
  </si>
  <si>
    <t>http://www.linkedin.com/company/seltika-seguridad-inform-tica</t>
  </si>
  <si>
    <t>https://seltika.com</t>
  </si>
  <si>
    <t>BLASTINGMAR</t>
  </si>
  <si>
    <t>juandaniel@blastingmar.com</t>
  </si>
  <si>
    <t>http://www.linkedin.com/in/juan-daniel-medina-43b06222</t>
  </si>
  <si>
    <t>http://www.linkedin.com/company/blastingmar</t>
  </si>
  <si>
    <t>https://blastingmar.com</t>
  </si>
  <si>
    <t>Co - Founder &amp; Country Manager</t>
  </si>
  <si>
    <t>Numbi</t>
  </si>
  <si>
    <t>dfonseca@numbi.ai</t>
  </si>
  <si>
    <t>http://www.linkedin.com/in/daniel-fonseca-a4a74494</t>
  </si>
  <si>
    <t>http://www.linkedin.com/company/numbiai</t>
  </si>
  <si>
    <t>https://numbi.ai</t>
  </si>
  <si>
    <t>Turit</t>
  </si>
  <si>
    <t>s@turit.co</t>
  </si>
  <si>
    <t>http://www.linkedin.com/in/sergio-leal-5793a8a6</t>
  </si>
  <si>
    <t>http://www.linkedin.com/company/turitagency</t>
  </si>
  <si>
    <t>https://turit.co</t>
  </si>
  <si>
    <t>Pinbus.com</t>
  </si>
  <si>
    <t>azuluaga@pinbus.com</t>
  </si>
  <si>
    <t>http://www.linkedin.com/in/azuluagamaya</t>
  </si>
  <si>
    <t>http://www.linkedin.com/company/pinbus.com</t>
  </si>
  <si>
    <t>https://pinbus.com</t>
  </si>
  <si>
    <t>Marco</t>
  </si>
  <si>
    <t>Fundador y CFO</t>
  </si>
  <si>
    <t>SaleADS</t>
  </si>
  <si>
    <t>marco.lezama@saleads.ai</t>
  </si>
  <si>
    <t>http://www.linkedin.com/in/marcolezama</t>
  </si>
  <si>
    <t>http://www.linkedin.com/company/saleads</t>
  </si>
  <si>
    <t>https://saleads.ai</t>
  </si>
  <si>
    <t>Chief Marketing Officer</t>
  </si>
  <si>
    <t>FriFlou</t>
  </si>
  <si>
    <t>julian@friflou.com</t>
  </si>
  <si>
    <t>http://www.linkedin.com/in/julianerodriguezo</t>
  </si>
  <si>
    <t>http://www.linkedin.com/company/friflou</t>
  </si>
  <si>
    <t>https://friflou.com</t>
  </si>
  <si>
    <t>CEO Latam</t>
  </si>
  <si>
    <t>Softipal</t>
  </si>
  <si>
    <t>pablo.molina@softipal.com</t>
  </si>
  <si>
    <t>http://www.linkedin.com/in/pablo-alejandro-molina-r-82845a38</t>
  </si>
  <si>
    <t>http://www.linkedin.com/company/softipal</t>
  </si>
  <si>
    <t>https://softipal.com</t>
  </si>
  <si>
    <t>Co-Founder - CEO</t>
  </si>
  <si>
    <t>dondoctor</t>
  </si>
  <si>
    <t>nacosta@dondoctor.com</t>
  </si>
  <si>
    <t>http://www.linkedin.com/in/nicol%c3%a1s-acosta-98080983</t>
  </si>
  <si>
    <t>http://www.linkedin.com/company/dondoctor</t>
  </si>
  <si>
    <t>https://dondoctor.com</t>
  </si>
  <si>
    <t>juan@respira.run</t>
  </si>
  <si>
    <t>http://www.linkedin.com/in/juanmarinqubit</t>
  </si>
  <si>
    <t>Clínica Genezen</t>
  </si>
  <si>
    <t>gerencia@clinicagenezen.com</t>
  </si>
  <si>
    <t>http://www.linkedin.com/in/juan-camilo-bastidas-montero-5439a288</t>
  </si>
  <si>
    <t>http://www.linkedin.com/company/cl%c3%adnica-genezen</t>
  </si>
  <si>
    <t>https://clinicagenezen.com</t>
  </si>
  <si>
    <t>Accelerate Colombia</t>
  </si>
  <si>
    <t>oscar.tobon@acceleratecolombia.com</t>
  </si>
  <si>
    <t>http://www.linkedin.com/in/oscar-d-tobon-n</t>
  </si>
  <si>
    <t>http://www.linkedin.com/company/accelerate-colombia-sas</t>
  </si>
  <si>
    <t>https://acceleratecolombia.com</t>
  </si>
  <si>
    <t>Alpapel</t>
  </si>
  <si>
    <t>glt@alpapel.com</t>
  </si>
  <si>
    <t>http://www.linkedin.com/in/gustavolopez-alpapel-juntasdirectivas</t>
  </si>
  <si>
    <t>http://www.linkedin.com/company/alpapel</t>
  </si>
  <si>
    <t>https://alpapel.com</t>
  </si>
  <si>
    <t>General Manager</t>
  </si>
  <si>
    <t>Metroser</t>
  </si>
  <si>
    <t>gerencia@metroserservicios.com</t>
  </si>
  <si>
    <t>http://www.linkedin.com/in/juan-camilo-bocanegra</t>
  </si>
  <si>
    <t>http://www.linkedin.com/company/metroser</t>
  </si>
  <si>
    <t>https://metroser.co</t>
  </si>
  <si>
    <t>Dave</t>
  </si>
  <si>
    <t>Pareja y Finanzas</t>
  </si>
  <si>
    <t>dave@parejayfinanzas.com</t>
  </si>
  <si>
    <t>http://www.linkedin.com/in/davidandresrincon</t>
  </si>
  <si>
    <t>http://www.linkedin.com/company/parejayfinanzas</t>
  </si>
  <si>
    <t>https://parejayfinanzas.com</t>
  </si>
  <si>
    <t>actX</t>
  </si>
  <si>
    <t>jose@actx.com.co</t>
  </si>
  <si>
    <t>http://www.linkedin.com/in/josealejandrodiaz</t>
  </si>
  <si>
    <t>http://www.linkedin.com/company/actxnow</t>
  </si>
  <si>
    <t>https://actx.com.co</t>
  </si>
  <si>
    <t>Ana</t>
  </si>
  <si>
    <t>Sales VP</t>
  </si>
  <si>
    <t>Volantio</t>
  </si>
  <si>
    <t>anamaria.escobar@volantio.com</t>
  </si>
  <si>
    <t>http://www.linkedin.com/in/escobaranamaria</t>
  </si>
  <si>
    <t>http://www.linkedin.com/company/volantio-inc-</t>
  </si>
  <si>
    <t>https://volantio.com</t>
  </si>
  <si>
    <t>airlines/aviation</t>
  </si>
  <si>
    <t>Timba Games</t>
  </si>
  <si>
    <t>julian.alvarez@timba.co</t>
  </si>
  <si>
    <t>http://www.linkedin.com/in/julian-alvarezasdf</t>
  </si>
  <si>
    <t>http://www.linkedin.com/company/timba</t>
  </si>
  <si>
    <t>https://timba.co</t>
  </si>
  <si>
    <t>Ernesto</t>
  </si>
  <si>
    <t>Socio Fundador - Consultor y Coach de Organizaciones</t>
  </si>
  <si>
    <t>Ágora Dynamic Consulting</t>
  </si>
  <si>
    <t>ernestoaparicio@agoragroup.com.co</t>
  </si>
  <si>
    <t>http://www.linkedin.com/in/ernesto-aparicio-24579419</t>
  </si>
  <si>
    <t>http://www.linkedin.com/company/agoradynamic</t>
  </si>
  <si>
    <t>https://agoragroup.com.co</t>
  </si>
  <si>
    <t>Chief of Staff to the CEO</t>
  </si>
  <si>
    <t>Generous Industries</t>
  </si>
  <si>
    <t>natalia@generousindustries.com</t>
  </si>
  <si>
    <t>http://www.linkedin.com/in/natalia-buitrago-gomez</t>
  </si>
  <si>
    <t>http://www.linkedin.com/company/generous-industries</t>
  </si>
  <si>
    <t>https://generousindustries.com</t>
  </si>
  <si>
    <t>Zouhair</t>
  </si>
  <si>
    <t>Bluebird Invest</t>
  </si>
  <si>
    <t>elhelou@bluebirdinvst.com</t>
  </si>
  <si>
    <t>http://www.linkedin.com/in/elhelouzouhair</t>
  </si>
  <si>
    <t>http://www.linkedin.com/company/bluebirdinvest</t>
  </si>
  <si>
    <t>https://bluebirdinvst.com</t>
  </si>
  <si>
    <t>America CEO</t>
  </si>
  <si>
    <t>Argos Assistance S.r.l</t>
  </si>
  <si>
    <t>andres.mejia@argosassistance.com</t>
  </si>
  <si>
    <t>http://www.linkedin.com/in/andres-f-mejia-76506299</t>
  </si>
  <si>
    <t>http://www.linkedin.com/company/argos-assistance-s-r-l-</t>
  </si>
  <si>
    <t>https://argosassistance.com</t>
  </si>
  <si>
    <t>Trepsi</t>
  </si>
  <si>
    <t>juanpcasas@trepsi.co</t>
  </si>
  <si>
    <t>http://www.linkedin.com/in/juanpcasas1019</t>
  </si>
  <si>
    <t>http://www.linkedin.com/company/trepsi</t>
  </si>
  <si>
    <t>https://trepsi.co</t>
  </si>
  <si>
    <t>Píntala Cuadros</t>
  </si>
  <si>
    <t>lau@pintalacuadros.com</t>
  </si>
  <si>
    <t>http://www.linkedin.com/in/laura-reina-neira</t>
  </si>
  <si>
    <t>http://www.linkedin.com/company/pintala-cuadros</t>
  </si>
  <si>
    <t>https://pintalacuadros.com</t>
  </si>
  <si>
    <t>events services</t>
  </si>
  <si>
    <t>CEO y Directora de Comunicación Estratégica</t>
  </si>
  <si>
    <t>Go Social</t>
  </si>
  <si>
    <t>daniela.palma@gosocial.com.co</t>
  </si>
  <si>
    <t>http://www.linkedin.com/in/danielapalmap</t>
  </si>
  <si>
    <t>http://www.linkedin.com/company/gosocial-es</t>
  </si>
  <si>
    <t>https://gosocial.com.co</t>
  </si>
  <si>
    <t>Salud y Bienestar</t>
  </si>
  <si>
    <t>gerencia@saludybienestarcol.com.co</t>
  </si>
  <si>
    <t>http://www.linkedin.com/in/daniela-paola-diazgranados-jimenez-53796b288</t>
  </si>
  <si>
    <t>http://www.linkedin.com/company/salud-y-binenestar</t>
  </si>
  <si>
    <t>https://saludybienestar.com.co</t>
  </si>
  <si>
    <t>CEO and Founder Automaxia</t>
  </si>
  <si>
    <t>Agencia Digital AMD</t>
  </si>
  <si>
    <t>david@agenciadigitalamd.com</t>
  </si>
  <si>
    <t>http://www.linkedin.com/in/davidgutierrezamd</t>
  </si>
  <si>
    <t>http://www.linkedin.com/company/agencia-marketing-digital-amd</t>
  </si>
  <si>
    <t>https://agenciadigitalamd.com</t>
  </si>
  <si>
    <t>marketing &amp; advertising</t>
  </si>
  <si>
    <t>Wiger</t>
  </si>
  <si>
    <t>CEO en Wequips Perú</t>
  </si>
  <si>
    <t>Wequips</t>
  </si>
  <si>
    <t>wfranke@wequips.com</t>
  </si>
  <si>
    <t>http://www.linkedin.com/in/wigerfrankewequips</t>
  </si>
  <si>
    <t>http://www.linkedin.com/company/wequips</t>
  </si>
  <si>
    <t>https://wequips.com</t>
  </si>
  <si>
    <t>Tatiana</t>
  </si>
  <si>
    <t>CEO &amp; Talent Director</t>
  </si>
  <si>
    <t>Global TalentSphere</t>
  </si>
  <si>
    <t>tatiana@global-talentsphere.com</t>
  </si>
  <si>
    <t>http://www.linkedin.com/in/tatiana-gallo-hernandez</t>
  </si>
  <si>
    <t>http://www.linkedin.com/company/global-talentsphere</t>
  </si>
  <si>
    <t>https://globaltalentsphere.com</t>
  </si>
  <si>
    <t>HVB Ingeniería &amp; Consulta</t>
  </si>
  <si>
    <t>henry.vergara@hvb.com.co</t>
  </si>
  <si>
    <t>http://www.linkedin.com/in/henryvergarabarreto</t>
  </si>
  <si>
    <t>http://www.linkedin.com/company/hvb-ingenieria-y-consulta-s-a-s</t>
  </si>
  <si>
    <t>https://hvb.com.co</t>
  </si>
  <si>
    <t>Rayo Energia</t>
  </si>
  <si>
    <t>andres.salas@rayoenergia.com</t>
  </si>
  <si>
    <t>http://www.linkedin.com/in/andres-salas-a20b4910</t>
  </si>
  <si>
    <t>http://www.linkedin.com/company/rayoenergia</t>
  </si>
  <si>
    <t>https://rayoenergia.com</t>
  </si>
  <si>
    <t>oil &amp; energy</t>
  </si>
  <si>
    <t>Co Founder &amp; CEO</t>
  </si>
  <si>
    <t>Wallib</t>
  </si>
  <si>
    <t>cpenaranda@wallib.com</t>
  </si>
  <si>
    <t>http://www.linkedin.com/in/cristian-penaranda</t>
  </si>
  <si>
    <t>http://www.linkedin.com/company/wallib</t>
  </si>
  <si>
    <t>https://wallib.com</t>
  </si>
  <si>
    <t>Hachi</t>
  </si>
  <si>
    <t>carlos.castro@hachi.co</t>
  </si>
  <si>
    <t>http://www.linkedin.com/in/carloscaci</t>
  </si>
  <si>
    <t>http://www.linkedin.com/company/hachi</t>
  </si>
  <si>
    <t>https://hachi.co</t>
  </si>
  <si>
    <t>Head of Business Development</t>
  </si>
  <si>
    <t>MeetAlfred.com</t>
  </si>
  <si>
    <t>adriana@meetalfred.com</t>
  </si>
  <si>
    <t>http://www.linkedin.com/in/adriana-vergara-89b428339</t>
  </si>
  <si>
    <t>http://www.linkedin.com/company/meetalfredofficial</t>
  </si>
  <si>
    <t>https://meetalfred.com</t>
  </si>
  <si>
    <t>Founder &amp; Strategy</t>
  </si>
  <si>
    <t>Datmind</t>
  </si>
  <si>
    <t>julian@datmindgroup.com</t>
  </si>
  <si>
    <t>http://www.linkedin.com/in/julian-rodriguez-analytics</t>
  </si>
  <si>
    <t>http://www.linkedin.com/company/datmind</t>
  </si>
  <si>
    <t>https://datmindgroup.com</t>
  </si>
  <si>
    <t>DEICOMPANY</t>
  </si>
  <si>
    <t>javiercasella@deicosas.com</t>
  </si>
  <si>
    <t>http://www.linkedin.com/in/javier-casella</t>
  </si>
  <si>
    <t>http://www.linkedin.com/company/deicompany</t>
  </si>
  <si>
    <t>https://deicosas.com</t>
  </si>
  <si>
    <t>Nasha</t>
  </si>
  <si>
    <t>Co-Founder - NGO Director</t>
  </si>
  <si>
    <t>Sustentabilidad Sin Fronteras</t>
  </si>
  <si>
    <t>nashac@sustentabilidadsf.org.ar</t>
  </si>
  <si>
    <t>http://www.linkedin.com/in/nashacuello</t>
  </si>
  <si>
    <t>http://www.linkedin.com/company/sustentabilidad-sin-fronteras</t>
  </si>
  <si>
    <t>https://sustentabilidadsf.org.ar</t>
  </si>
  <si>
    <t>Fitpal</t>
  </si>
  <si>
    <t>dpardo@fitpal.co</t>
  </si>
  <si>
    <t>http://www.linkedin.com/in/daniel-felipe-pardo-rocha-6837b227</t>
  </si>
  <si>
    <t>http://www.linkedin.com/company/fitpal-</t>
  </si>
  <si>
    <t>https://fitpal.co</t>
  </si>
  <si>
    <t>GG's.VC</t>
  </si>
  <si>
    <t>nicolas@ggs.vc</t>
  </si>
  <si>
    <t>http://www.linkedin.com/in/nicolas-cortes-acosta</t>
  </si>
  <si>
    <t>http://www.linkedin.com/company/ggsio</t>
  </si>
  <si>
    <t>https://ggs.vc</t>
  </si>
  <si>
    <t>Andrea</t>
  </si>
  <si>
    <t>CEO | Cofounder</t>
  </si>
  <si>
    <t>Ingeteknia</t>
  </si>
  <si>
    <t>damorales@ingeteknia.com</t>
  </si>
  <si>
    <t>http://www.linkedin.com/in/andrea-morales-segura-37597039</t>
  </si>
  <si>
    <t>http://www.linkedin.com/company/ingeteknia</t>
  </si>
  <si>
    <t>https://ingeteknia.com</t>
  </si>
  <si>
    <t>Vozy</t>
  </si>
  <si>
    <t>lgomez@vozy.co</t>
  </si>
  <si>
    <t>http://www.linkedin.com/in/laura-g%c3%b3mez-6882b8b7</t>
  </si>
  <si>
    <t>http://www.linkedin.com/company/vozy</t>
  </si>
  <si>
    <t>https://vozy.ai</t>
  </si>
  <si>
    <t>koggi</t>
  </si>
  <si>
    <t>juan@koggi.co</t>
  </si>
  <si>
    <t>http://www.linkedin.com/in/juandiaze</t>
  </si>
  <si>
    <t>http://www.linkedin.com/company/koggi</t>
  </si>
  <si>
    <t>https://koggi.co</t>
  </si>
  <si>
    <t>Ariel</t>
  </si>
  <si>
    <t>CEO E-Takeoff S.A.S-Ambulance to Go App</t>
  </si>
  <si>
    <t>E-TAKEOFF S.A.S</t>
  </si>
  <si>
    <t>arielmoreno@e-takeoff.com</t>
  </si>
  <si>
    <t>http://www.linkedin.com/in/arielmorenoroa</t>
  </si>
  <si>
    <t>http://www.linkedin.com/company/e-takeoff-s-a-s</t>
  </si>
  <si>
    <t>https://e-takeoff.com</t>
  </si>
  <si>
    <t>Co-founder &amp; Managing Partner</t>
  </si>
  <si>
    <t>MatterScale Ventures</t>
  </si>
  <si>
    <t>adriana@matterscale.com</t>
  </si>
  <si>
    <t>http://www.linkedin.com/in/adriana-suarez-b4b86722b</t>
  </si>
  <si>
    <t>http://www.linkedin.com/company/matterscale</t>
  </si>
  <si>
    <t>https://matterscale.com</t>
  </si>
  <si>
    <t>Socio Fundador - Chief Technology Officer</t>
  </si>
  <si>
    <t>Eatcloud</t>
  </si>
  <si>
    <t>juan.correa@eatcloud.com</t>
  </si>
  <si>
    <t>http://www.linkedin.com/in/juandacorrea</t>
  </si>
  <si>
    <t>http://www.linkedin.com/company/eatcloud</t>
  </si>
  <si>
    <t>https://eatcloud.com</t>
  </si>
  <si>
    <t>Camila</t>
  </si>
  <si>
    <t>Mekan</t>
  </si>
  <si>
    <t>camila@somosmekan.com</t>
  </si>
  <si>
    <t>http://www.linkedin.com/in/camila-ramirez-</t>
  </si>
  <si>
    <t>http://www.linkedin.com/company/somosmekan</t>
  </si>
  <si>
    <t>https://somosmekan.com</t>
  </si>
  <si>
    <t>Gerente de Marketing / Head de Liderazgo</t>
  </si>
  <si>
    <t>Lean Institute Co</t>
  </si>
  <si>
    <t>angelica@institutolean.co</t>
  </si>
  <si>
    <t>http://www.linkedin.com/in/ang%c3%a9lica-mar%c3%ada-gutierrez-camacho-7467a5120</t>
  </si>
  <si>
    <t>http://www.linkedin.com/company/instituto-lean-colombia</t>
  </si>
  <si>
    <t>https://institutolean.co</t>
  </si>
  <si>
    <t>Luisa</t>
  </si>
  <si>
    <t>Fundadora/Gerente General/CEO</t>
  </si>
  <si>
    <t>Human One</t>
  </si>
  <si>
    <t>lmontoya@humanbpo.com</t>
  </si>
  <si>
    <t>http://www.linkedin.com/in/luisafernandamontoyabernal</t>
  </si>
  <si>
    <t>http://www.linkedin.com/company/humanbpo</t>
  </si>
  <si>
    <t>https://humanbpo.com</t>
  </si>
  <si>
    <t>Founder and Digital Creator</t>
  </si>
  <si>
    <t>Daunjilero</t>
  </si>
  <si>
    <t>leonardo_pineda@daunjilero.com</t>
  </si>
  <si>
    <t>http://www.linkedin.com/in/leopineda</t>
  </si>
  <si>
    <t>http://www.linkedin.com/company/daunjilero</t>
  </si>
  <si>
    <t>https://daunjilero.com</t>
  </si>
  <si>
    <t>The Tree School</t>
  </si>
  <si>
    <t>juliana@thetreeschool.org</t>
  </si>
  <si>
    <t>http://www.linkedin.com/in/juliana-acosta-jaramillo-8619233a</t>
  </si>
  <si>
    <t>http://www.linkedin.com/company/the-tree-school</t>
  </si>
  <si>
    <t>https://thetreeschool.org</t>
  </si>
  <si>
    <t>Founder &amp; Consultant</t>
  </si>
  <si>
    <t>Consultoría Carolina Medina</t>
  </si>
  <si>
    <t>carolina@carolinamedina.co</t>
  </si>
  <si>
    <t>http://www.linkedin.com/in/caromedina</t>
  </si>
  <si>
    <t>http://www.linkedin.com/company/consultor%c3%ada-carolina-medina</t>
  </si>
  <si>
    <t>https://carolinamedina.co</t>
  </si>
  <si>
    <t>Novo Fútbol</t>
  </si>
  <si>
    <t>fmaldonado@novofutbol.com</t>
  </si>
  <si>
    <t>http://www.linkedin.com/in/felipe-maldonado-jacobsen-7073a385</t>
  </si>
  <si>
    <t>http://www.linkedin.com/company/novo-f%c3%batbol</t>
  </si>
  <si>
    <t>https://novofutbol.com</t>
  </si>
  <si>
    <t>CEO (Co-Founder)</t>
  </si>
  <si>
    <t>HEFY</t>
  </si>
  <si>
    <t>laura@efy.com.co</t>
  </si>
  <si>
    <t>http://www.linkedin.com/in/laura-serrano-b1ba80a5</t>
  </si>
  <si>
    <t>http://www.linkedin.com/company/hefycolombia</t>
  </si>
  <si>
    <t>https://efy.com.co</t>
  </si>
  <si>
    <t>Socio Consultor CEO - People Link Consulting Group</t>
  </si>
  <si>
    <t>People Link Consulting Group</t>
  </si>
  <si>
    <t>luis@people-link.com.co</t>
  </si>
  <si>
    <t>http://www.linkedin.com/in/luisgermanquintero</t>
  </si>
  <si>
    <t>http://www.linkedin.com/company/people-link-consulting</t>
  </si>
  <si>
    <t>https://peoplelink.com.co</t>
  </si>
  <si>
    <t>Cíclico</t>
  </si>
  <si>
    <t>santiago@ciclico.com.co</t>
  </si>
  <si>
    <t>http://www.linkedin.com/in/santiago-fajardo-bocanegra</t>
  </si>
  <si>
    <t>http://www.linkedin.com/company/ciclicol</t>
  </si>
  <si>
    <t>https://ciclico.com.co</t>
  </si>
  <si>
    <t>textiles</t>
  </si>
  <si>
    <t>To LEAD</t>
  </si>
  <si>
    <t>lilianaescobar@tolead.co</t>
  </si>
  <si>
    <t>http://www.linkedin.com/in/lilianaescobarloaiza</t>
  </si>
  <si>
    <t>http://www.linkedin.com/company/somostolead</t>
  </si>
  <si>
    <t>https://tolead.co</t>
  </si>
  <si>
    <t>Synergie TH</t>
  </si>
  <si>
    <t>emm@synergie.com.co</t>
  </si>
  <si>
    <t>http://www.linkedin.com/in/murcia-mora-abogados</t>
  </si>
  <si>
    <t>http://www.linkedin.com/company/synergie-th</t>
  </si>
  <si>
    <t>https://synergie.com.co</t>
  </si>
  <si>
    <t>Enric</t>
  </si>
  <si>
    <t>carolina@enric.ai</t>
  </si>
  <si>
    <t>http://www.linkedin.com/in/carolinatorourrea</t>
  </si>
  <si>
    <t>http://www.linkedin.com/company/enricai</t>
  </si>
  <si>
    <t>https://enric.ai</t>
  </si>
  <si>
    <t>Sammy</t>
  </si>
  <si>
    <t>Unicorn Medical Weight Loss &amp; Medi Spa</t>
  </si>
  <si>
    <t>sammy@unicornmedispa.com</t>
  </si>
  <si>
    <t>http://www.linkedin.com/in/sammy-shaheen</t>
  </si>
  <si>
    <t>http://www.linkedin.com/company/unicorn-medical-weight-loss</t>
  </si>
  <si>
    <t>https://unicornmedispa.com</t>
  </si>
  <si>
    <t>medical practice</t>
  </si>
  <si>
    <t>Neil</t>
  </si>
  <si>
    <t>Lakuenta</t>
  </si>
  <si>
    <t>neil@lakuenta.com</t>
  </si>
  <si>
    <t>http://www.linkedin.com/in/neil-y-41a14a1b4</t>
  </si>
  <si>
    <t>http://www.linkedin.com/company/lakuenta</t>
  </si>
  <si>
    <t>https://lakuenta.com</t>
  </si>
  <si>
    <t>CFO &amp; Co-Founder</t>
  </si>
  <si>
    <t>ColocaPayments</t>
  </si>
  <si>
    <t>pedro@colocapayments.com</t>
  </si>
  <si>
    <t>http://www.linkedin.com/in/pedrodiazmejia</t>
  </si>
  <si>
    <t>http://www.linkedin.com/company/colocapayments</t>
  </si>
  <si>
    <t>https://colocapayments.com</t>
  </si>
  <si>
    <t>CEO en Ryctel</t>
  </si>
  <si>
    <t>RYCTEL</t>
  </si>
  <si>
    <t>jramirez@ryctel.com</t>
  </si>
  <si>
    <t>http://www.linkedin.com/in/juan-c-ramirez-69015a29</t>
  </si>
  <si>
    <t>http://www.linkedin.com/company/ryctel</t>
  </si>
  <si>
    <t>https://ryctel.com</t>
  </si>
  <si>
    <t>Partner &amp; CEO</t>
  </si>
  <si>
    <t>TAURUS CAPITAL S A S</t>
  </si>
  <si>
    <t>jpcadavid@tcapital.com.co</t>
  </si>
  <si>
    <t>http://www.linkedin.com/in/juan-pablo-cadavid-0ab5a6a</t>
  </si>
  <si>
    <t>http://www.linkedin.com/company/taurus-capital-s-a-s</t>
  </si>
  <si>
    <t>https://tcapital.com.co</t>
  </si>
  <si>
    <t>CCG Consultoría e ingeniería</t>
  </si>
  <si>
    <t>cristian.gonzalez@ccgconsultoria.com.co</t>
  </si>
  <si>
    <t>http://www.linkedin.com/in/ingcristiangonzalez</t>
  </si>
  <si>
    <t>http://www.linkedin.com/company/ccg-consultoria-e-ingenieria</t>
  </si>
  <si>
    <t>https://ccgconsultoria.com.co</t>
  </si>
  <si>
    <t>The Gardens SAS</t>
  </si>
  <si>
    <t>lina@thegardenscorp.com</t>
  </si>
  <si>
    <t>http://www.linkedin.com/in/linamariavasquez</t>
  </si>
  <si>
    <t>http://www.linkedin.com/company/the-gardens-sas</t>
  </si>
  <si>
    <t>https://thegardenscorp.com</t>
  </si>
  <si>
    <t>INFOLOGIC COLOMBIA</t>
  </si>
  <si>
    <t>jose.contreras@infologic.com.co</t>
  </si>
  <si>
    <t>http://www.linkedin.com/in/jose-antonio-contreras-a015044a</t>
  </si>
  <si>
    <t>http://www.linkedin.com/company/infologic-colombia</t>
  </si>
  <si>
    <t>https://infologic.com.co</t>
  </si>
  <si>
    <t>computer networking</t>
  </si>
  <si>
    <t>Federico</t>
  </si>
  <si>
    <t>Coo-cfo and Partner</t>
  </si>
  <si>
    <t>Perrenque Media Lab</t>
  </si>
  <si>
    <t>federico@perrenquemedialab.com</t>
  </si>
  <si>
    <t>http://www.linkedin.com/in/fnietoelgazi</t>
  </si>
  <si>
    <t>http://www.linkedin.com/company/perrenquemedialab</t>
  </si>
  <si>
    <t>https://perrenquemedialab.com</t>
  </si>
  <si>
    <t>entertainment</t>
  </si>
  <si>
    <t>aah! Factor</t>
  </si>
  <si>
    <t>mcancino@aahfactor.com.co</t>
  </si>
  <si>
    <t>http://www.linkedin.com/in/mar%c3%ada-isabel-cancino-20153276</t>
  </si>
  <si>
    <t>http://www.linkedin.com/company/aahfactor</t>
  </si>
  <si>
    <t>https://aahfactor.com.co</t>
  </si>
  <si>
    <t>Yampi</t>
  </si>
  <si>
    <t>oscar.arango@yampi.co</t>
  </si>
  <si>
    <t>http://www.linkedin.com/in/oscarandresarango</t>
  </si>
  <si>
    <t>http://www.linkedin.com/company/yampi</t>
  </si>
  <si>
    <t>https://yampi.com</t>
  </si>
  <si>
    <t>SEREX CORP. Siempre hay nuevos caminos</t>
  </si>
  <si>
    <t>ricardo.namen@serex.co</t>
  </si>
  <si>
    <t>http://www.linkedin.com/in/ricardo-namen-escruceria-27b89079</t>
  </si>
  <si>
    <t>http://www.linkedin.com/company/serex-corp</t>
  </si>
  <si>
    <t>https://serex.co</t>
  </si>
  <si>
    <t>Cofounder &amp; Tech Specialist</t>
  </si>
  <si>
    <t>Robin House</t>
  </si>
  <si>
    <t>vizcaya@robinhouse.co</t>
  </si>
  <si>
    <t>http://www.linkedin.com/in/jdvizcaya</t>
  </si>
  <si>
    <t>http://www.linkedin.com/company/robin-house</t>
  </si>
  <si>
    <t>https://robinhouse.co</t>
  </si>
  <si>
    <t>Archivo y Logistica SAS</t>
  </si>
  <si>
    <t>victor.marin@laproff.com</t>
  </si>
  <si>
    <t>http://www.linkedin.com/in/victorhugomarincortes</t>
  </si>
  <si>
    <t>http://www.linkedin.com/company/archivo-y-logistica</t>
  </si>
  <si>
    <t>https://archivoylogistica.com</t>
  </si>
  <si>
    <t>Emmanuel</t>
  </si>
  <si>
    <t>Click+Clack</t>
  </si>
  <si>
    <t>emmanuel@click-clack.la</t>
  </si>
  <si>
    <t>http://www.linkedin.com/in/emmanuel-neisa-13859373</t>
  </si>
  <si>
    <t>http://www.linkedin.com/company/click-arte-sas</t>
  </si>
  <si>
    <t>https://click-clack.la</t>
  </si>
  <si>
    <t>The BenchLab</t>
  </si>
  <si>
    <t>chaparro.c@thebenchlab.com</t>
  </si>
  <si>
    <t>http://www.linkedin.com/in/carolina-chaparro-310943a</t>
  </si>
  <si>
    <t>http://www.linkedin.com/company/the-benchlab</t>
  </si>
  <si>
    <t>https://thebenchlab.com</t>
  </si>
  <si>
    <t>COO and Co-Founder</t>
  </si>
  <si>
    <t>Tree Immersion</t>
  </si>
  <si>
    <t>alvaro@treeimmersion.com</t>
  </si>
  <si>
    <t>http://www.linkedin.com/in/zeimbeekor</t>
  </si>
  <si>
    <t>http://www.linkedin.com/company/treeimmersion</t>
  </si>
  <si>
    <t>https://treeimmersion.com</t>
  </si>
  <si>
    <t>Mike</t>
  </si>
  <si>
    <t>HG BPO Services</t>
  </si>
  <si>
    <t>mike.starbuck@hgbposervices.com</t>
  </si>
  <si>
    <t>http://www.linkedin.com/in/mike-starbuck-huembes-navarrete-20464595</t>
  </si>
  <si>
    <t>http://www.linkedin.com/company/hg-bpo-services</t>
  </si>
  <si>
    <t>https://hgbposervices.com</t>
  </si>
  <si>
    <t>IN SILICO STEM</t>
  </si>
  <si>
    <t>tatiana.gomez@insilicose.com</t>
  </si>
  <si>
    <t>http://www.linkedin.com/in/tatiana-gomez-bustamante</t>
  </si>
  <si>
    <t>http://www.linkedin.com/company/insilicostem</t>
  </si>
  <si>
    <t>https://insilicostem.com</t>
  </si>
  <si>
    <t>Co-Founder / CCO at MÓVE</t>
  </si>
  <si>
    <t>Móve Proyectos</t>
  </si>
  <si>
    <t>jc.malagon@mo-ve.co</t>
  </si>
  <si>
    <t>http://www.linkedin.com/in/juan-camilo-malagon-7b6a4b20</t>
  </si>
  <si>
    <t>http://www.linkedin.com/company/moveproyectos</t>
  </si>
  <si>
    <t>https://mo-ve.co</t>
  </si>
  <si>
    <t>SANTA FE ENERGY</t>
  </si>
  <si>
    <t>oscar.lozano@santafeenergy.com.co</t>
  </si>
  <si>
    <t>http://www.linkedin.com/in/davidlozano-ceo</t>
  </si>
  <si>
    <t>http://www.linkedin.com/company/santafeenergy</t>
  </si>
  <si>
    <t>https://santafeenergy.com.co</t>
  </si>
  <si>
    <t>Blokay</t>
  </si>
  <si>
    <t>juan@blokay.com</t>
  </si>
  <si>
    <t>http://www.linkedin.com/in/judare</t>
  </si>
  <si>
    <t>http://www.linkedin.com/company/blokay</t>
  </si>
  <si>
    <t>https://blokay.com</t>
  </si>
  <si>
    <t>Distecsa S.A.S</t>
  </si>
  <si>
    <t>alexander.mesa@distecsa.com</t>
  </si>
  <si>
    <t>http://www.linkedin.com/in/alexander-mesa-g-485b432b</t>
  </si>
  <si>
    <t>http://www.linkedin.com/company/distecsa-s-a-s</t>
  </si>
  <si>
    <t>https://distecsa.com</t>
  </si>
  <si>
    <t>electrical/electronic manufacturing</t>
  </si>
  <si>
    <t>CTO and Co-founder</t>
  </si>
  <si>
    <t>Racionalist</t>
  </si>
  <si>
    <t>edwinreyes@racionalist.com</t>
  </si>
  <si>
    <t>http://www.linkedin.com/in/edwin-reyes-me</t>
  </si>
  <si>
    <t>http://www.linkedin.com/company/racionalist</t>
  </si>
  <si>
    <t>https://racionalist.com</t>
  </si>
  <si>
    <t>CEO &amp; Co-Founder -Helping Medical Professionals Master Spanish Communication Skills-</t>
  </si>
  <si>
    <t>ESPANOVO</t>
  </si>
  <si>
    <t>liliana@espanovo.com</t>
  </si>
  <si>
    <t>http://www.linkedin.com/in/liliana-urrego-jim%c3%a9nez-13952497</t>
  </si>
  <si>
    <t>http://www.linkedin.com/company/espanovo</t>
  </si>
  <si>
    <t>https://espanovo.com</t>
  </si>
  <si>
    <t>Cristhian</t>
  </si>
  <si>
    <t>cquintero@fruit4u.co</t>
  </si>
  <si>
    <t>http://www.linkedin.com/in/cristhian-quintero-1b190431</t>
  </si>
  <si>
    <t>CEO Manager</t>
  </si>
  <si>
    <t>PRLCOL</t>
  </si>
  <si>
    <t>jrgomez@prlcol.co</t>
  </si>
  <si>
    <t>http://www.linkedin.com/in/juli%c3%a1n-roberto-g%c3%b3mez-mantilla-aaa4919a</t>
  </si>
  <si>
    <t>http://www.linkedin.com/company/prlcol</t>
  </si>
  <si>
    <t>https://prlcol.co</t>
  </si>
  <si>
    <t>Lucio</t>
  </si>
  <si>
    <t>Co-Founder | CEO</t>
  </si>
  <si>
    <t>TotalCode</t>
  </si>
  <si>
    <t>lquijano@totalcode.com</t>
  </si>
  <si>
    <t>http://www.linkedin.com/in/lucio-quijano-8973a05</t>
  </si>
  <si>
    <t>http://www.linkedin.com/company/totalcode</t>
  </si>
  <si>
    <t>https://totalcode.com</t>
  </si>
  <si>
    <t>Yady</t>
  </si>
  <si>
    <t>yantolinez@nbc.services</t>
  </si>
  <si>
    <t>http://www.linkedin.com/in/yadyantolinez</t>
  </si>
  <si>
    <t>Clio Circle AI</t>
  </si>
  <si>
    <t>ariel@cliocircle.com</t>
  </si>
  <si>
    <t>http://www.linkedin.com/in/arielsanchezrojas</t>
  </si>
  <si>
    <t>http://www.linkedin.com/company/cliocircleai</t>
  </si>
  <si>
    <t>https://cliocircle.ai</t>
  </si>
  <si>
    <t>K</t>
  </si>
  <si>
    <t>Novus Tech Solutions</t>
  </si>
  <si>
    <t>kamal.kishore@novussolutions.com</t>
  </si>
  <si>
    <t>http://www.linkedin.com/in/kamalsharma1401</t>
  </si>
  <si>
    <t>http://www.linkedin.com/company/novus-solutions-us</t>
  </si>
  <si>
    <t>https://novussolutions.com</t>
  </si>
  <si>
    <t>Eric</t>
  </si>
  <si>
    <t>TAKTIK CLOUD</t>
  </si>
  <si>
    <t>eduport@duportabogados.com</t>
  </si>
  <si>
    <t>http://www.linkedin.com/in/eric-duport-jaramillo-962b979</t>
  </si>
  <si>
    <t>http://www.linkedin.com/company/taktikcloud</t>
  </si>
  <si>
    <t>https://taktikcloud.com</t>
  </si>
  <si>
    <t>Busqo.com</t>
  </si>
  <si>
    <t>juan.ayala@busqo.com</t>
  </si>
  <si>
    <t>http://www.linkedin.com/in/juan-camilo-ayala-99968516</t>
  </si>
  <si>
    <t>http://www.linkedin.com/company/busqo</t>
  </si>
  <si>
    <t>https://busqo.com</t>
  </si>
  <si>
    <t>Co-Chief Executive Officer</t>
  </si>
  <si>
    <t>SENZA</t>
  </si>
  <si>
    <t>create@senzaclub.com</t>
  </si>
  <si>
    <t>http://www.linkedin.com/in/juan-camilo-garz%c3%b3n-06b482162</t>
  </si>
  <si>
    <t>http://www.linkedin.com/company/senza-club</t>
  </si>
  <si>
    <t>https://senzaclub.com</t>
  </si>
  <si>
    <t>DTrueStar</t>
  </si>
  <si>
    <t>david.plaza@dtruestar.com.co</t>
  </si>
  <si>
    <t>http://www.linkedin.com/in/david-plaza-ramirez-a9a64350</t>
  </si>
  <si>
    <t>http://www.linkedin.com/company/dtruestar</t>
  </si>
  <si>
    <t>https://dtruestar.com.co</t>
  </si>
  <si>
    <t>Co-founder &amp; CTO</t>
  </si>
  <si>
    <t>LinkedAI</t>
  </si>
  <si>
    <t>diego@linkedai.co</t>
  </si>
  <si>
    <t>http://www.linkedin.com/in/dalejoparra</t>
  </si>
  <si>
    <t>http://www.linkedin.com/company/linked-ai-machinelearning</t>
  </si>
  <si>
    <t>https://linkedai.co</t>
  </si>
  <si>
    <t>Milton</t>
  </si>
  <si>
    <t>ACCION RAIZ</t>
  </si>
  <si>
    <t>mfvelez@hotmail.com</t>
  </si>
  <si>
    <t>http://www.linkedin.com/in/miltonelurbanista</t>
  </si>
  <si>
    <t>http://www.linkedin.com/company/accion-raiz</t>
  </si>
  <si>
    <t>https://accionraiz.com</t>
  </si>
  <si>
    <t>Co-Founder, Chief Executive Officer (CEO)</t>
  </si>
  <si>
    <t>Bacon Games</t>
  </si>
  <si>
    <t>alejandro@bacongames.co</t>
  </si>
  <si>
    <t>http://www.linkedin.com/in/alejobrainz</t>
  </si>
  <si>
    <t>http://www.linkedin.com/company/bacon-games</t>
  </si>
  <si>
    <t>https://bacongames.co</t>
  </si>
  <si>
    <t>Mercedes</t>
  </si>
  <si>
    <t>Autonomic Mind</t>
  </si>
  <si>
    <t>mlarrazabal@autonomicmind.com</t>
  </si>
  <si>
    <t>http://www.linkedin.com/in/mercedes-larrazabal-3816a7267</t>
  </si>
  <si>
    <t>http://www.linkedin.com/company/autonomicmind</t>
  </si>
  <si>
    <t>https://autonomicmind.com</t>
  </si>
  <si>
    <t>Monet</t>
  </si>
  <si>
    <t>sebastian.beltran@monet.com.co</t>
  </si>
  <si>
    <t>http://www.linkedin.com/in/sebastianbeltrangarzon</t>
  </si>
  <si>
    <t>http://www.linkedin.com/company/monet-app-col</t>
  </si>
  <si>
    <t>https://monet.com.co</t>
  </si>
  <si>
    <t>Shivam Colombia</t>
  </si>
  <si>
    <t>cpenagos@shivam.com.co</t>
  </si>
  <si>
    <t>http://www.linkedin.com/in/carlospenagos</t>
  </si>
  <si>
    <t>http://www.linkedin.com/company/shivam-colombia-sas</t>
  </si>
  <si>
    <t>https://shivam.com.co</t>
  </si>
  <si>
    <t>Co Founder and CEO</t>
  </si>
  <si>
    <t>Croper</t>
  </si>
  <si>
    <t>rj@croper.com</t>
  </si>
  <si>
    <t>http://www.linkedin.com/in/ricardo-jaramillo-a1178323</t>
  </si>
  <si>
    <t>http://www.linkedin.com/company/agrofuturo</t>
  </si>
  <si>
    <t>https://croper.com</t>
  </si>
  <si>
    <t>Zonamerica Colombia</t>
  </si>
  <si>
    <t>cjaramillo@zonamerica.com</t>
  </si>
  <si>
    <t>http://www.linkedin.com/in/camilo-jaramillo-botero-7b89232a</t>
  </si>
  <si>
    <t>http://www.linkedin.com/company/zonamericacolombia</t>
  </si>
  <si>
    <t>https://zonamerica.com</t>
  </si>
  <si>
    <t>Founder &amp; Chief Happenings Officer</t>
  </si>
  <si>
    <t>VAOVA Travel</t>
  </si>
  <si>
    <t>juanpablo@vaovatravel.com</t>
  </si>
  <si>
    <t>http://www.linkedin.com/in/juanpablotorovaova</t>
  </si>
  <si>
    <t>http://www.linkedin.com/company/vaova-sas</t>
  </si>
  <si>
    <t>https://vaovatravel.com</t>
  </si>
  <si>
    <t>Aura</t>
  </si>
  <si>
    <t>VelocityGo</t>
  </si>
  <si>
    <t>aura.sarmiento@velocity-x.co</t>
  </si>
  <si>
    <t>http://www.linkedin.com/in/auramariasarmiento</t>
  </si>
  <si>
    <t>http://www.linkedin.com/company/velocitygo</t>
  </si>
  <si>
    <t>https://velocitygo.co</t>
  </si>
  <si>
    <t>CEO de MetNet</t>
  </si>
  <si>
    <t>MetNet</t>
  </si>
  <si>
    <t>jose.escobar@metnet.co</t>
  </si>
  <si>
    <t>http://www.linkedin.com/in/jose-manuel-escobar-g%c3%b3mez-3ab897113</t>
  </si>
  <si>
    <t>http://www.linkedin.com/company/metnet-s-a-s</t>
  </si>
  <si>
    <t>https://metnet.co</t>
  </si>
  <si>
    <t>Wilmer</t>
  </si>
  <si>
    <t>DOMAT Plantas de Concreto</t>
  </si>
  <si>
    <t>asesorcomercial2@domatltda.com</t>
  </si>
  <si>
    <t>http://www.linkedin.com/in/wilmer-rincon-pineda-331a1a140</t>
  </si>
  <si>
    <t>http://www.linkedin.com/company/domat-s-a-s</t>
  </si>
  <si>
    <t>https://domatltda.com</t>
  </si>
  <si>
    <t>Clinihogar</t>
  </si>
  <si>
    <t>nalejandrosalazar@clinihogar.co</t>
  </si>
  <si>
    <t>http://www.linkedin.com/in/nelson-alejandro-brice%c3%b1o-salazar-752279196</t>
  </si>
  <si>
    <t>http://www.linkedin.com/company/clinihogar</t>
  </si>
  <si>
    <t>https://clinihogar.co</t>
  </si>
  <si>
    <t>Arturo</t>
  </si>
  <si>
    <t>Founder/ CEO</t>
  </si>
  <si>
    <t>CloudFI LLC The Fastest Hardware &amp; Software Solutions for Your Remote Workforce in Latin America</t>
  </si>
  <si>
    <t>arturo.esguerra@advanceit.co</t>
  </si>
  <si>
    <t>http://www.linkedin.com/in/arturo-e-586a064</t>
  </si>
  <si>
    <t>http://www.linkedin.com/company/cloudfi-llc</t>
  </si>
  <si>
    <t>https://cloudfi.ai</t>
  </si>
  <si>
    <t>Proyecto Ítaca</t>
  </si>
  <si>
    <t>gpinzon@proyectoitaca.co</t>
  </si>
  <si>
    <t>http://www.linkedin.com/in/gustavo-pinz%c3%b3n-784a014b</t>
  </si>
  <si>
    <t>http://www.linkedin.com/company/proyectoitaca</t>
  </si>
  <si>
    <t>https://proyectoitaca.co</t>
  </si>
  <si>
    <t>minka_</t>
  </si>
  <si>
    <t>camilo@minka.io</t>
  </si>
  <si>
    <t>http://www.linkedin.com/in/camilo-arango-davila</t>
  </si>
  <si>
    <t>http://www.linkedin.com/company/minkainc</t>
  </si>
  <si>
    <t>https://minka.io</t>
  </si>
  <si>
    <t>Diandra</t>
  </si>
  <si>
    <t>Co Founder - Strategy &amp; Growth</t>
  </si>
  <si>
    <t>SustentaBe</t>
  </si>
  <si>
    <t>diandra@sustentabe.com</t>
  </si>
  <si>
    <t>http://www.linkedin.com/in/diandra-ruiz-f</t>
  </si>
  <si>
    <t>http://www.linkedin.com/company/sustentabe</t>
  </si>
  <si>
    <t>https://sustentabe.com</t>
  </si>
  <si>
    <t>Magda</t>
  </si>
  <si>
    <t>Ekii Foods</t>
  </si>
  <si>
    <t>mfonseca@ekiifoods.com</t>
  </si>
  <si>
    <t>http://www.linkedin.com/in/magda-m-fonseca-gerencia-comercial</t>
  </si>
  <si>
    <t>http://www.linkedin.com/company/ekii-foods</t>
  </si>
  <si>
    <t>https://ekiifoods.com</t>
  </si>
  <si>
    <t>sergio@ciclico.com.co</t>
  </si>
  <si>
    <t>http://www.linkedin.com/in/sergio-revollo-gaviria-795bbb103</t>
  </si>
  <si>
    <t>Joe</t>
  </si>
  <si>
    <t>Design School for Regenerating Earth</t>
  </si>
  <si>
    <t>joebrewer@mn.co</t>
  </si>
  <si>
    <t>http://www.linkedin.com/in/joe-brewer-4957925</t>
  </si>
  <si>
    <t>http://www.linkedin.com/company/design-school-for-regenerating-earth</t>
  </si>
  <si>
    <t>https://mn.co</t>
  </si>
  <si>
    <t>JASAR HEALTH GROUP</t>
  </si>
  <si>
    <t>alberto@checkdr.io</t>
  </si>
  <si>
    <t>http://www.linkedin.com/in/alberto-anaya-revolledo-701a2451</t>
  </si>
  <si>
    <t>http://www.linkedin.com/company/jasar-health-group</t>
  </si>
  <si>
    <t>https://checkdr.io</t>
  </si>
  <si>
    <t>Wizzer</t>
  </si>
  <si>
    <t>cristo@wizzerapp.com</t>
  </si>
  <si>
    <t>http://www.linkedin.com/in/cristobalcaicedo</t>
  </si>
  <si>
    <t>http://www.linkedin.com/company/wizzerapp</t>
  </si>
  <si>
    <t>https://wizzerapp.com</t>
  </si>
  <si>
    <t>Gabriel</t>
  </si>
  <si>
    <t>CEO Go Bilingual</t>
  </si>
  <si>
    <t>GO BILINGUAL</t>
  </si>
  <si>
    <t>go@gobilingual.co</t>
  </si>
  <si>
    <t>http://www.linkedin.com/in/gabriel-jaime-aristiz%c3%a1bal-correa-552775198</t>
  </si>
  <si>
    <t>http://www.linkedin.com/company/go-bilingual</t>
  </si>
  <si>
    <t>https://gobilingual.co</t>
  </si>
  <si>
    <t>translation &amp; localization</t>
  </si>
  <si>
    <t>AGROCLICK</t>
  </si>
  <si>
    <t>mauricio@agroclick.org</t>
  </si>
  <si>
    <t>http://www.linkedin.com/in/mauricio-campuzano</t>
  </si>
  <si>
    <t>http://www.linkedin.com/company/agroclicklatam</t>
  </si>
  <si>
    <t>https://agroclick.org</t>
  </si>
  <si>
    <t>CargaYa SAS BIC</t>
  </si>
  <si>
    <t>carlos@cargaya.com.co</t>
  </si>
  <si>
    <t>http://www.linkedin.com/in/carlosaloperam</t>
  </si>
  <si>
    <t>http://www.linkedin.com/company/cargaya</t>
  </si>
  <si>
    <t>https://cargaya.com</t>
  </si>
  <si>
    <t>Comanager</t>
  </si>
  <si>
    <t>gabriel.cristancho@comanager.co</t>
  </si>
  <si>
    <t>http://www.linkedin.com/in/gabriel-cristancho</t>
  </si>
  <si>
    <t>http://www.linkedin.com/company/comanager-co</t>
  </si>
  <si>
    <t>https://comanager.co</t>
  </si>
  <si>
    <t>Trust Investment</t>
  </si>
  <si>
    <t>oscar.manco@tisas.co</t>
  </si>
  <si>
    <t>http://www.linkedin.com/in/oscarmanco</t>
  </si>
  <si>
    <t>http://www.linkedin.com/company/tisas-co</t>
  </si>
  <si>
    <t>https://tisas.co</t>
  </si>
  <si>
    <t>Secretario General / Managing Director</t>
  </si>
  <si>
    <t>Asociación Latinoamericana de Suscriptores Marítimos</t>
  </si>
  <si>
    <t>lumana@alsum.co</t>
  </si>
  <si>
    <t>http://www.linkedin.com/in/leonardo-umana</t>
  </si>
  <si>
    <t>http://www.linkedin.com/company/asociacion-latinoamericana-de-suscriptores-maritimos-alsum</t>
  </si>
  <si>
    <t>https://alsum.co</t>
  </si>
  <si>
    <t>Bibisoft</t>
  </si>
  <si>
    <t>julian@bibisoft.co</t>
  </si>
  <si>
    <t>http://www.linkedin.com/in/julian-echeverri-s</t>
  </si>
  <si>
    <t>http://www.linkedin.com/company/bibisoft</t>
  </si>
  <si>
    <t>https://bibisoft.co</t>
  </si>
  <si>
    <t>Associate Founder</t>
  </si>
  <si>
    <t>Orrery Consulting</t>
  </si>
  <si>
    <t>jcastillo@orrery.com.co</t>
  </si>
  <si>
    <t>http://www.linkedin.com/in/john-freddy-castillo-vargas</t>
  </si>
  <si>
    <t>http://www.linkedin.com/company/orrery-consultoria</t>
  </si>
  <si>
    <t>https://orrery.com.co</t>
  </si>
  <si>
    <t>facilities services</t>
  </si>
  <si>
    <t>Agustin</t>
  </si>
  <si>
    <t>Fundador / Automatización + IA Para Escalar Negocios de Servicios y Consultoría</t>
  </si>
  <si>
    <t>Ninja Performance</t>
  </si>
  <si>
    <t>agustin@ninjasuite.ai</t>
  </si>
  <si>
    <t>http://www.linkedin.com/in/agucasorzo-marketing-ai</t>
  </si>
  <si>
    <t>http://www.linkedin.com/company/ninjaperformance</t>
  </si>
  <si>
    <t>https://ninjaperformance.ai</t>
  </si>
  <si>
    <t>dbarrios@closetup.com</t>
  </si>
  <si>
    <t>http://www.linkedin.com/in/danielabarrios097</t>
  </si>
  <si>
    <t>Yanira</t>
  </si>
  <si>
    <t>CEO - Meeting Planner</t>
  </si>
  <si>
    <t>Colombia Activa</t>
  </si>
  <si>
    <t>yanira.garcia@colombiaactiva.co</t>
  </si>
  <si>
    <t>http://www.linkedin.com/in/yanira-garcia-60862220</t>
  </si>
  <si>
    <t>http://www.linkedin.com/company/colombia-activa</t>
  </si>
  <si>
    <t>https://colombiaactiva.co</t>
  </si>
  <si>
    <t>Alexandra</t>
  </si>
  <si>
    <t>Gerente General - CEO</t>
  </si>
  <si>
    <t>Centro Comercial Sandiego</t>
  </si>
  <si>
    <t>amolina@sandiego.com.co</t>
  </si>
  <si>
    <t>http://www.linkedin.com/in/alexandramolina-ceo-marketing</t>
  </si>
  <si>
    <t>http://www.linkedin.com/company/centro-comercial-sandiego</t>
  </si>
  <si>
    <t>https://sandiego.com.co</t>
  </si>
  <si>
    <t>Founder-CEO</t>
  </si>
  <si>
    <t>Beat INDEX</t>
  </si>
  <si>
    <t>oscarperez@thebeatindex.com</t>
  </si>
  <si>
    <t>http://www.linkedin.com/in/oscarperezosorio</t>
  </si>
  <si>
    <t>http://www.linkedin.com/company/company-beat-index</t>
  </si>
  <si>
    <t>https://thebeatindex.com</t>
  </si>
  <si>
    <t>Greenfuel Colombia</t>
  </si>
  <si>
    <t>ebenavides@greenfuel.com.co</t>
  </si>
  <si>
    <t>http://www.linkedin.com/in/esteban-benavides-rueda-99108036</t>
  </si>
  <si>
    <t>http://www.linkedin.com/company/greenfuel-colombia</t>
  </si>
  <si>
    <t>https://greenfuel.com.co</t>
  </si>
  <si>
    <t>MiComercio</t>
  </si>
  <si>
    <t>carolina.lopez@micomercio.co</t>
  </si>
  <si>
    <t>http://www.linkedin.com/in/carolopez</t>
  </si>
  <si>
    <t>http://www.linkedin.com/company/micomercio</t>
  </si>
  <si>
    <t>https://micomercio.co</t>
  </si>
  <si>
    <t>Founder, President &amp; CEO.</t>
  </si>
  <si>
    <t>Midland Oil Tools</t>
  </si>
  <si>
    <t>francisco.azpurua@midlandoiltools.com</t>
  </si>
  <si>
    <t>http://www.linkedin.com/in/francisco-azp%c3%barua</t>
  </si>
  <si>
    <t>http://www.linkedin.com/company/midland-oil-tools</t>
  </si>
  <si>
    <t>https://midlandoiltools.com</t>
  </si>
  <si>
    <t>Treli</t>
  </si>
  <si>
    <t>gabriel@treli.co</t>
  </si>
  <si>
    <t>http://www.linkedin.com/in/gabriel-meisel-1b71736b</t>
  </si>
  <si>
    <t>http://www.linkedin.com/company/trelico</t>
  </si>
  <si>
    <t>https://treli.co</t>
  </si>
  <si>
    <t>SSAR SAS</t>
  </si>
  <si>
    <t>raul.medina@ssar.co</t>
  </si>
  <si>
    <t>http://www.linkedin.com/in/raul-alexander-medina-diaz</t>
  </si>
  <si>
    <t>http://www.linkedin.com/company/ssar-sas</t>
  </si>
  <si>
    <t>https://ssar.co</t>
  </si>
  <si>
    <t>DeltaPro Advisors</t>
  </si>
  <si>
    <t>gerencia@deltapro.com.co</t>
  </si>
  <si>
    <t>http://www.linkedin.com/in/maria-camila-rodr%c3%adguez-calder%c3%b3n-6b4019138</t>
  </si>
  <si>
    <t>http://www.linkedin.com/company/deltaproadvisors</t>
  </si>
  <si>
    <t>https://deltaproadvisors.com</t>
  </si>
  <si>
    <t>ITEspacios</t>
  </si>
  <si>
    <t>lina.quintero@itespacios.com</t>
  </si>
  <si>
    <t>http://www.linkedin.com/in/lina-maria-quintero-romero-4366a454</t>
  </si>
  <si>
    <t>http://www.linkedin.com/company/itespacios</t>
  </si>
  <si>
    <t>https://itespacios.co</t>
  </si>
  <si>
    <t>ESQUISSO</t>
  </si>
  <si>
    <t>josemiguel@esquisso.co</t>
  </si>
  <si>
    <t>http://www.linkedin.com/in/jos%c3%a9-miguel-vieira-neves-896797105</t>
  </si>
  <si>
    <t>http://www.linkedin.com/company/esquisso</t>
  </si>
  <si>
    <t>https://esquisso.co</t>
  </si>
  <si>
    <t>Jurgen</t>
  </si>
  <si>
    <t>Pitts.app</t>
  </si>
  <si>
    <t>jurgen@pitts.app</t>
  </si>
  <si>
    <t>http://www.linkedin.com/in/jurgen-farfanpitts</t>
  </si>
  <si>
    <t>http://www.linkedin.com/company/pittsapp</t>
  </si>
  <si>
    <t>https://pitts.app</t>
  </si>
  <si>
    <t>Regional Sales Director</t>
  </si>
  <si>
    <t>Do Payment</t>
  </si>
  <si>
    <t>julian@do-payment.com</t>
  </si>
  <si>
    <t>http://www.linkedin.com/in/julian-david-alba-corredor-45077019</t>
  </si>
  <si>
    <t>http://www.linkedin.com/company/do-payment</t>
  </si>
  <si>
    <t>https://do-payment.com</t>
  </si>
  <si>
    <t>Brainy SAS</t>
  </si>
  <si>
    <t>jrodriguez@brainysas.com</t>
  </si>
  <si>
    <t>http://www.linkedin.com/in/javier-rodriguez-48712983</t>
  </si>
  <si>
    <t>http://www.linkedin.com/company/brainy-sas</t>
  </si>
  <si>
    <t>https://brainysas.co</t>
  </si>
  <si>
    <t>Founder &amp; CEO – Healthtech &amp; Services Structuring Lead</t>
  </si>
  <si>
    <t>Clínicas White</t>
  </si>
  <si>
    <t>gerencia@clinicaswhite.com</t>
  </si>
  <si>
    <t>http://www.linkedin.com/in/franzuluaga</t>
  </si>
  <si>
    <t>http://www.linkedin.com/company/clinicaswhite</t>
  </si>
  <si>
    <t>https://clinicaswhite.com</t>
  </si>
  <si>
    <t>Ilya</t>
  </si>
  <si>
    <t>Head of Growth and Analytics</t>
  </si>
  <si>
    <t>Synthetic Turing Experience</t>
  </si>
  <si>
    <t>ilya@syntheticturing.com</t>
  </si>
  <si>
    <t>http://www.linkedin.com/in/icherepanov</t>
  </si>
  <si>
    <t>http://www.linkedin.com/company/synthetic-turing-experience-technologies</t>
  </si>
  <si>
    <t>https://syntheticturing.com</t>
  </si>
  <si>
    <t>Co-Founder &amp; General Manager</t>
  </si>
  <si>
    <t>TechHeroes LATAM</t>
  </si>
  <si>
    <t>camilo.forero@techheroes.co</t>
  </si>
  <si>
    <t>http://www.linkedin.com/in/camilo-forero-villamizar-634a2223</t>
  </si>
  <si>
    <t>http://www.linkedin.com/company/techheroes-latam</t>
  </si>
  <si>
    <t>https://techheroes.co</t>
  </si>
  <si>
    <t>Directora de Desarrollo de Negocios Colombia &amp; Perú</t>
  </si>
  <si>
    <t>PROVETECMAR S.A</t>
  </si>
  <si>
    <t>mduran@provetecmar.com</t>
  </si>
  <si>
    <t>http://www.linkedin.com/in/marcela-duran-blanco-77320032</t>
  </si>
  <si>
    <t>http://www.linkedin.com/company/provetecmar-s-a-</t>
  </si>
  <si>
    <t>https://provetecmar.com</t>
  </si>
  <si>
    <t>TECNELEC DE ANTIOQUIA S.A</t>
  </si>
  <si>
    <t>federicoe@tecnelec.com.co</t>
  </si>
  <si>
    <t>http://www.linkedin.com/in/federicoecheverrir</t>
  </si>
  <si>
    <t>http://www.linkedin.com/company/tecnelec-de-antioquia-s-a</t>
  </si>
  <si>
    <t>https://tecnelec.com.co</t>
  </si>
  <si>
    <t>Lead Data Scientist &amp; Founder</t>
  </si>
  <si>
    <t>Predizer.ai</t>
  </si>
  <si>
    <t>jaime.reinoso@predizer.ai</t>
  </si>
  <si>
    <t>http://www.linkedin.com/in/jaimeareinoso</t>
  </si>
  <si>
    <t>http://www.linkedin.com/company/predizer-ai</t>
  </si>
  <si>
    <t>https://predizer.ai</t>
  </si>
  <si>
    <t>Principal Cofounder - CEO</t>
  </si>
  <si>
    <t>Connecto APP</t>
  </si>
  <si>
    <t>sebastian@connectoapp.com</t>
  </si>
  <si>
    <t>http://www.linkedin.com/in/sebastian-sevillano-61b310128</t>
  </si>
  <si>
    <t>http://www.linkedin.com/company/connecto-app</t>
  </si>
  <si>
    <t>https://connectoapp.com</t>
  </si>
  <si>
    <t>We Power Latam</t>
  </si>
  <si>
    <t>http://www.linkedin.com/in/juan-carlos-de-la-torre-flori%c3%a1n-b7a46b6b</t>
  </si>
  <si>
    <t>http://www.linkedin.com/company/we-power-latam</t>
  </si>
  <si>
    <t>https://wepower.com.co</t>
  </si>
  <si>
    <t>Piyion</t>
  </si>
  <si>
    <t>lina.espinosa@piyion.com</t>
  </si>
  <si>
    <t>http://www.linkedin.com/in/linaespinosaarias</t>
  </si>
  <si>
    <t>http://www.linkedin.com/company/piyion</t>
  </si>
  <si>
    <t>https://piyion.com</t>
  </si>
  <si>
    <t>QUIEROMAC</t>
  </si>
  <si>
    <t>juan@quieromac.com</t>
  </si>
  <si>
    <t>http://www.linkedin.com/in/juan-camilo-salazar-pimienta-71275759</t>
  </si>
  <si>
    <t>http://www.linkedin.com/company/quieromac</t>
  </si>
  <si>
    <t>https://quieromac.com</t>
  </si>
  <si>
    <t>nebulabanking.io</t>
  </si>
  <si>
    <t>andres@nebulabanking.io</t>
  </si>
  <si>
    <t>http://www.linkedin.com/in/andresmauriciov00</t>
  </si>
  <si>
    <t>http://www.linkedin.com/company/nebulabanking</t>
  </si>
  <si>
    <t>https://nebulabanking.io</t>
  </si>
  <si>
    <t>Cobru</t>
  </si>
  <si>
    <t>juanguillermo@cobru.co</t>
  </si>
  <si>
    <t>http://www.linkedin.com/in/juan-gabriel-reyes-sanchez-404a70109</t>
  </si>
  <si>
    <t>http://www.linkedin.com/company/cobru</t>
  </si>
  <si>
    <t>https://cobru.co</t>
  </si>
  <si>
    <t>Commercial Director | Founder</t>
  </si>
  <si>
    <t>Energia Visible</t>
  </si>
  <si>
    <t>frengifo@energiavisible.com</t>
  </si>
  <si>
    <t>http://www.linkedin.com/in/felipe-rengifo-41049717</t>
  </si>
  <si>
    <t>http://www.linkedin.com/company/energia-visible</t>
  </si>
  <si>
    <t>https://energiavisible.com</t>
  </si>
  <si>
    <t>Esfera Latam</t>
  </si>
  <si>
    <t>http://www.linkedin.com/in/gabriel-calderon-rendon-10491a126</t>
  </si>
  <si>
    <t>http://www.linkedin.com/company/esfera-latam</t>
  </si>
  <si>
    <t>https://esferalatam.com</t>
  </si>
  <si>
    <t>Latam Fintech Hub</t>
  </si>
  <si>
    <t>edwin@mibank.co</t>
  </si>
  <si>
    <t>http://www.linkedin.com/in/edwinzacipa</t>
  </si>
  <si>
    <t>http://www.linkedin.com/company/latamfintechhub</t>
  </si>
  <si>
    <t>https://latamfintech.co</t>
  </si>
  <si>
    <t>Director, Founder</t>
  </si>
  <si>
    <t>Lead Colombia</t>
  </si>
  <si>
    <t>conexion@leadcolombia.co</t>
  </si>
  <si>
    <t>http://www.linkedin.com/in/paola-garcia-castillo-21b55a39</t>
  </si>
  <si>
    <t>http://www.linkedin.com/company/lead-colombia</t>
  </si>
  <si>
    <t>https://leadcolombia.co</t>
  </si>
  <si>
    <t>Jay</t>
  </si>
  <si>
    <t>Jay Daron Group</t>
  </si>
  <si>
    <t>jay@jaydaron.com</t>
  </si>
  <si>
    <t>http://www.linkedin.com/in/jaydaron</t>
  </si>
  <si>
    <t>http://www.linkedin.com/company/jaydarongroup</t>
  </si>
  <si>
    <t>https://jaydaron.com</t>
  </si>
  <si>
    <t>executive office</t>
  </si>
  <si>
    <t>CollectPay</t>
  </si>
  <si>
    <t>john@collectpay.co</t>
  </si>
  <si>
    <t>http://www.linkedin.com/in/john-sacristan-castro</t>
  </si>
  <si>
    <t>http://www.linkedin.com/company/collectpay</t>
  </si>
  <si>
    <t>https://collectpay.co</t>
  </si>
  <si>
    <t>Margarita</t>
  </si>
  <si>
    <t>Multiflora</t>
  </si>
  <si>
    <t>museche@multiflora.com</t>
  </si>
  <si>
    <t>http://www.linkedin.com/in/margaritauseche</t>
  </si>
  <si>
    <t>http://www.linkedin.com/company/multiflora</t>
  </si>
  <si>
    <t>https://multiflora.com.br</t>
  </si>
  <si>
    <t>Co-Founder, Product Management</t>
  </si>
  <si>
    <t>andres@anzi.finance</t>
  </si>
  <si>
    <t>http://www.linkedin.com/in/androsd4</t>
  </si>
  <si>
    <t>Aaron</t>
  </si>
  <si>
    <t>Head of Global Growth and Partnerships</t>
  </si>
  <si>
    <t>Secret Walls</t>
  </si>
  <si>
    <t>aaron@thesecretwalls.com</t>
  </si>
  <si>
    <t>http://www.linkedin.com/in/aaron-firestein-3a94b844</t>
  </si>
  <si>
    <t>http://www.linkedin.com/company/secret-walls</t>
  </si>
  <si>
    <t>https://secretwalls.world</t>
  </si>
  <si>
    <t>Founder &amp; Managing Partner Consultant</t>
  </si>
  <si>
    <t>Smart Process Co</t>
  </si>
  <si>
    <t>natalia@decisionrm.net</t>
  </si>
  <si>
    <t>http://www.linkedin.com/in/natalia-garcia-gonzalez-</t>
  </si>
  <si>
    <t>http://www.linkedin.com/company/smart-process-co</t>
  </si>
  <si>
    <t>https://smartprocessco.com</t>
  </si>
  <si>
    <t>Lucia</t>
  </si>
  <si>
    <t>Director Internacional de Ventas y Marketing</t>
  </si>
  <si>
    <t>Andina Link Expo</t>
  </si>
  <si>
    <t>lucia@andinalink.com</t>
  </si>
  <si>
    <t>http://www.linkedin.com/in/lucia-morales-2322a858</t>
  </si>
  <si>
    <t>http://www.linkedin.com/company/andinalink</t>
  </si>
  <si>
    <t>https://andinalink.com</t>
  </si>
  <si>
    <t>SOS Ingeniería</t>
  </si>
  <si>
    <t>gerencia@sos-ingenieria.com</t>
  </si>
  <si>
    <t>http://www.linkedin.com/in/juan-carlos-tarapuez-881a5218</t>
  </si>
  <si>
    <t>http://www.linkedin.com/company/sos-ingenieria</t>
  </si>
  <si>
    <t>https://sos-ingenieria.com</t>
  </si>
  <si>
    <t>Alter</t>
  </si>
  <si>
    <t>juanse@myalter.ai</t>
  </si>
  <si>
    <t>http://www.linkedin.com/in/juan-sebastian-gonzalez-huertas</t>
  </si>
  <si>
    <t>http://www.linkedin.com/company/myalter-ai</t>
  </si>
  <si>
    <t>https://myalter.ai</t>
  </si>
  <si>
    <t>Airtecnica Ingenieria sas</t>
  </si>
  <si>
    <t>jorgemontoya@airtecnica.co</t>
  </si>
  <si>
    <t>http://www.linkedin.com/in/jorge-andres-moreno-montoya-56138a4b</t>
  </si>
  <si>
    <t>http://www.linkedin.com/company/airtecnica</t>
  </si>
  <si>
    <t>https://airtecnica.co</t>
  </si>
  <si>
    <t>Educambio</t>
  </si>
  <si>
    <t>mgonzalez@educambio.org</t>
  </si>
  <si>
    <t>http://www.linkedin.com/in/mariantoniagonzaleze</t>
  </si>
  <si>
    <t>http://www.linkedin.com/company/educambio</t>
  </si>
  <si>
    <t>https://educambio.org</t>
  </si>
  <si>
    <t>Adsoft</t>
  </si>
  <si>
    <t>jonathanchamizo@adsoft.company</t>
  </si>
  <si>
    <t>http://www.linkedin.com/in/jonathan-chamizo-9b415a12a</t>
  </si>
  <si>
    <t>http://www.linkedin.com/company/adsoftcompany</t>
  </si>
  <si>
    <t>https://adsoft.company</t>
  </si>
  <si>
    <t>Wava</t>
  </si>
  <si>
    <t>carlos.agudelo@wava.co</t>
  </si>
  <si>
    <t>http://www.linkedin.com/in/carloseduardoagudelo</t>
  </si>
  <si>
    <t>http://www.linkedin.com/company/wavacheckout</t>
  </si>
  <si>
    <t>https://wava.co</t>
  </si>
  <si>
    <t>Peregrino</t>
  </si>
  <si>
    <t>rodrigo@peregrino.co</t>
  </si>
  <si>
    <t>http://www.linkedin.com/in/rodrigo-de-angulo-332534b</t>
  </si>
  <si>
    <t>http://www.linkedin.com/company/call-peregrino</t>
  </si>
  <si>
    <t>https://peregrino.co</t>
  </si>
  <si>
    <t>Ian</t>
  </si>
  <si>
    <t>Outcrop Silver</t>
  </si>
  <si>
    <t>harris@outcropsilverandgold.com</t>
  </si>
  <si>
    <t>http://www.linkedin.com/in/ianrharris</t>
  </si>
  <si>
    <t>http://www.linkedin.com/company/outcrop-silver-gold</t>
  </si>
  <si>
    <t>https://outcropsilverandgold.com</t>
  </si>
  <si>
    <t>Katty</t>
  </si>
  <si>
    <t>Fundadora, CEO y Curadora</t>
  </si>
  <si>
    <t>Charlas Motivacionales</t>
  </si>
  <si>
    <t>knieto@charlasmotivacionales.com.co</t>
  </si>
  <si>
    <t>http://www.linkedin.com/in/katty-nieto-ab9097135</t>
  </si>
  <si>
    <t>http://www.linkedin.com/company/charlas-motivacionales-colombia</t>
  </si>
  <si>
    <t>https://charlasmotivacionales.com.co</t>
  </si>
  <si>
    <t>Channel &amp; Marketing Director Konsultera</t>
  </si>
  <si>
    <t>Konsultera</t>
  </si>
  <si>
    <t>daniela.amaya@konsultera.com.co</t>
  </si>
  <si>
    <t>http://www.linkedin.com/in/daniela-amaya-izquierdo</t>
  </si>
  <si>
    <t>http://www.linkedin.com/company/konsultera</t>
  </si>
  <si>
    <t>https://konsultera.com.co</t>
  </si>
  <si>
    <t>BIMP SAS</t>
  </si>
  <si>
    <t>liderbim@bimpsas.com</t>
  </si>
  <si>
    <t>http://www.linkedin.com/in/mateocabanzo</t>
  </si>
  <si>
    <t>http://www.linkedin.com/company/bimpsas</t>
  </si>
  <si>
    <t>https://bimpsas.com</t>
  </si>
  <si>
    <t>PROSENSA SAS</t>
  </si>
  <si>
    <t>ernesto.santoyo@prosensa.co</t>
  </si>
  <si>
    <t>http://www.linkedin.com/in/ernestosantoyo</t>
  </si>
  <si>
    <t>http://www.linkedin.com/company/prosensa-sas</t>
  </si>
  <si>
    <t>https://prosensa.co</t>
  </si>
  <si>
    <t>Angela</t>
  </si>
  <si>
    <t>HUMS</t>
  </si>
  <si>
    <t>angelapaez@humansolutionscorp.com</t>
  </si>
  <si>
    <t>http://www.linkedin.com/in/angela-mar%c3%ada-p%c3%a1ez-d%c3%adaz-15394969</t>
  </si>
  <si>
    <t>http://www.linkedin.com/company/humansolutionsgroup</t>
  </si>
  <si>
    <t>https://humansolutionscorp.com</t>
  </si>
  <si>
    <t>Cipriano</t>
  </si>
  <si>
    <t>Palomma</t>
  </si>
  <si>
    <t>cipriano@palomma.com</t>
  </si>
  <si>
    <t>http://www.linkedin.com/in/cipriano-echavarria-3729a9105</t>
  </si>
  <si>
    <t>http://www.linkedin.com/company/palomma</t>
  </si>
  <si>
    <t>https://palomma.com</t>
  </si>
  <si>
    <t>CEO- Founder</t>
  </si>
  <si>
    <t>CoimpactoB</t>
  </si>
  <si>
    <t>andreamayorga@coimpactob.com</t>
  </si>
  <si>
    <t>http://www.linkedin.com/in/andrea-mayorga</t>
  </si>
  <si>
    <t>http://www.linkedin.com/company/coimpactob</t>
  </si>
  <si>
    <t>https://coimpactob.com</t>
  </si>
  <si>
    <t>Vanessa</t>
  </si>
  <si>
    <t>CEO - Fundadora</t>
  </si>
  <si>
    <t>Soul Talent</t>
  </si>
  <si>
    <t>vanessa.navarro@soultalents.com</t>
  </si>
  <si>
    <t>http://www.linkedin.com/in/vanessa-navarro-jim%c3%a9nez-23718681</t>
  </si>
  <si>
    <t>http://www.linkedin.com/company/soul-talent</t>
  </si>
  <si>
    <t>https://soultalents.com</t>
  </si>
  <si>
    <t>Biva</t>
  </si>
  <si>
    <t>daniela@biva.com.co</t>
  </si>
  <si>
    <t>http://www.linkedin.com/in/daniela-p%c3%a9rez-jaramillo-82925317a</t>
  </si>
  <si>
    <t>http://www.linkedin.com/company/biva-health</t>
  </si>
  <si>
    <t>https://biva.co</t>
  </si>
  <si>
    <t>Beyond Sales Latam</t>
  </si>
  <si>
    <t>santiagob@meta.com</t>
  </si>
  <si>
    <t>http://www.linkedin.com/in/santiagobenavidesferreira</t>
  </si>
  <si>
    <t>http://www.linkedin.com/company/beyond-sales-latam</t>
  </si>
  <si>
    <t>https://meta.com</t>
  </si>
  <si>
    <t>CarbonBox</t>
  </si>
  <si>
    <t>viviana.bohorquez@carbonbox.app</t>
  </si>
  <si>
    <t>http://www.linkedin.com/in/viviana-boh%c3%b3rquez-l</t>
  </si>
  <si>
    <t>http://www.linkedin.com/company/carbonbox</t>
  </si>
  <si>
    <t>https://carbonbox.app</t>
  </si>
  <si>
    <t>Technoapes</t>
  </si>
  <si>
    <t>daniel@technoapes.co</t>
  </si>
  <si>
    <t>http://www.linkedin.com/in/drodriguezg1</t>
  </si>
  <si>
    <t>http://www.linkedin.com/company/technoapes-de-colombia-s-a-s</t>
  </si>
  <si>
    <t>https://technoapes.co</t>
  </si>
  <si>
    <t>Saldos a Huevo</t>
  </si>
  <si>
    <t>julian.sanchez@saldosahuevo.com</t>
  </si>
  <si>
    <t>http://www.linkedin.com/in/julian-sanchez-zapata</t>
  </si>
  <si>
    <t>http://www.linkedin.com/company/saldosahuevo</t>
  </si>
  <si>
    <t>https://saldosahuevo.com</t>
  </si>
  <si>
    <t>Lesek</t>
  </si>
  <si>
    <t>bithotels</t>
  </si>
  <si>
    <t>lplevac@bithotels.co</t>
  </si>
  <si>
    <t>http://www.linkedin.com/in/lesek-plevac-v-ab877936</t>
  </si>
  <si>
    <t>http://www.linkedin.com/company/bithotels</t>
  </si>
  <si>
    <t>https://bithotels.co</t>
  </si>
  <si>
    <t>Founder, CEO and GPM</t>
  </si>
  <si>
    <t>jc@swiset.com</t>
  </si>
  <si>
    <t>http://www.linkedin.com/in/camilotobarn</t>
  </si>
  <si>
    <t>Head of Customer Success &amp; Sales</t>
  </si>
  <si>
    <t>rafael.narvaez@velocity-x.co</t>
  </si>
  <si>
    <t>http://www.linkedin.com/in/rafael-narvaez-logreira-20aa95199</t>
  </si>
  <si>
    <t>Sofia</t>
  </si>
  <si>
    <t>Nerit'e</t>
  </si>
  <si>
    <t>sofia@nerite.tech</t>
  </si>
  <si>
    <t>http://www.linkedin.com/in/sofia-chaves-c</t>
  </si>
  <si>
    <t>http://www.linkedin.com/company/nerit-e</t>
  </si>
  <si>
    <t>https://nerite.tech</t>
  </si>
  <si>
    <t>Ignacio</t>
  </si>
  <si>
    <t>GlobalTeam</t>
  </si>
  <si>
    <t>ignacio@globalteam.com</t>
  </si>
  <si>
    <t>http://www.linkedin.com/in/ignaciorojasentrepreneur</t>
  </si>
  <si>
    <t>http://www.linkedin.com/company/yourglobalteam</t>
  </si>
  <si>
    <t>https://globalteam.com</t>
  </si>
  <si>
    <t>Calvin</t>
  </si>
  <si>
    <t>Awana</t>
  </si>
  <si>
    <t>calvin@awana.io</t>
  </si>
  <si>
    <t>http://www.linkedin.com/in/calvinssmith</t>
  </si>
  <si>
    <t>http://www.linkedin.com/company/awanagrow</t>
  </si>
  <si>
    <t>https://awana.io</t>
  </si>
  <si>
    <t>CEO Revista Emprender</t>
  </si>
  <si>
    <t>TODO EN COMERCIO INTERNACIONAL SAS</t>
  </si>
  <si>
    <t>presidencia@revistaemprender.co</t>
  </si>
  <si>
    <t>http://www.linkedin.com/in/eduardo6</t>
  </si>
  <si>
    <t>http://www.linkedin.com/company/todo-en-comercio-internacional-sas</t>
  </si>
  <si>
    <t>https://todoencomerciointernacional.com</t>
  </si>
  <si>
    <t>Ceo/editor</t>
  </si>
  <si>
    <t>DataiFX</t>
  </si>
  <si>
    <t>jpgomez@dataifx.com</t>
  </si>
  <si>
    <t>http://www.linkedin.com/in/juan-g%c3%b3mez-ab1a8325</t>
  </si>
  <si>
    <t>http://www.linkedin.com/company/dataifx</t>
  </si>
  <si>
    <t>https://dataifx.com</t>
  </si>
  <si>
    <t>Anthony</t>
  </si>
  <si>
    <t>NAVIS LOGISTICS</t>
  </si>
  <si>
    <t>gerencia.operaciones@navislogistics.com.co</t>
  </si>
  <si>
    <t>http://www.linkedin.com/in/anthony-sacrist%c3%a1n-giraldo-a0440170</t>
  </si>
  <si>
    <t>http://www.linkedin.com/company/navis-logistics-solutions-sas</t>
  </si>
  <si>
    <t>https://navislogistics.com.co</t>
  </si>
  <si>
    <t>Confa</t>
  </si>
  <si>
    <t>juan@confa.ai</t>
  </si>
  <si>
    <t>http://www.linkedin.com/in/juan-eduardo-zuluaga-962b9127</t>
  </si>
  <si>
    <t>http://www.linkedin.com/company/confaai</t>
  </si>
  <si>
    <t>https://confa.ai</t>
  </si>
  <si>
    <t>Senior Consultant and Managing Director</t>
  </si>
  <si>
    <t>Portavoz</t>
  </si>
  <si>
    <t>carlos.villa@portavoz.co</t>
  </si>
  <si>
    <t>http://www.linkedin.com/in/carlos-villa-guerra</t>
  </si>
  <si>
    <t>http://www.linkedin.com/company/portavozmarketing</t>
  </si>
  <si>
    <t>https://portavozmarketing.com</t>
  </si>
  <si>
    <t>Human to Human Hub</t>
  </si>
  <si>
    <t>ggonzalez@humantohumanhub.com</t>
  </si>
  <si>
    <t>http://www.linkedin.com/in/guillermo-gonzalez-pimiento</t>
  </si>
  <si>
    <t>http://www.linkedin.com/company/humantohumanhub</t>
  </si>
  <si>
    <t>https://humantohumanhub.com</t>
  </si>
  <si>
    <t>Investor and Manager</t>
  </si>
  <si>
    <t>Sytla</t>
  </si>
  <si>
    <t>jpnavia@sytla.com</t>
  </si>
  <si>
    <t>http://www.linkedin.com/in/jnavia</t>
  </si>
  <si>
    <t>http://www.linkedin.com/company/sytla</t>
  </si>
  <si>
    <t>https://sytla.com</t>
  </si>
  <si>
    <t>NeSad 360</t>
  </si>
  <si>
    <t>http://www.linkedin.com/in/pf-diegodiazgomez</t>
  </si>
  <si>
    <t>http://www.linkedin.com/company/nesad-360</t>
  </si>
  <si>
    <t>https://nesad360.com</t>
  </si>
  <si>
    <t>Marcelo</t>
  </si>
  <si>
    <t>Head of Sales at Festo Colombia, Chile and Perú</t>
  </si>
  <si>
    <t>Festo Colombia</t>
  </si>
  <si>
    <t>marcelo.jodar@festo.com</t>
  </si>
  <si>
    <t>http://www.linkedin.com/in/marcelo-jodar</t>
  </si>
  <si>
    <t>http://www.linkedin.com/company/festo-colombia</t>
  </si>
  <si>
    <t>https://festo.com</t>
  </si>
  <si>
    <t>Brandon</t>
  </si>
  <si>
    <t>Sphynx Links</t>
  </si>
  <si>
    <t>brandon@sphynxlinks.com</t>
  </si>
  <si>
    <t>http://www.linkedin.com/in/brandon-kaitschuck-65477815b</t>
  </si>
  <si>
    <t>http://www.linkedin.com/company/sphynx-link</t>
  </si>
  <si>
    <t>https://sphynxlinks.com</t>
  </si>
  <si>
    <t>Gil</t>
  </si>
  <si>
    <t>Trove</t>
  </si>
  <si>
    <t>gil@troveventures.com</t>
  </si>
  <si>
    <t>http://www.linkedin.com/in/gil-l-b118103</t>
  </si>
  <si>
    <t>http://www.linkedin.com/company/trove-ventures-ltd</t>
  </si>
  <si>
    <t>https://thebusinesstrove.com</t>
  </si>
  <si>
    <t>COO Visum Capital</t>
  </si>
  <si>
    <t>Visum Capital Colombia</t>
  </si>
  <si>
    <t>alexandra.ortegon@visumcap.com</t>
  </si>
  <si>
    <t>http://www.linkedin.com/in/alexandraortegon</t>
  </si>
  <si>
    <t>http://www.linkedin.com/company/visum-capital-colombia</t>
  </si>
  <si>
    <t>https://visumcap.com</t>
  </si>
  <si>
    <t>Huascar</t>
  </si>
  <si>
    <t>eSMART Tek</t>
  </si>
  <si>
    <t>huascar.sabino@esmart-tek.com</t>
  </si>
  <si>
    <t>http://www.linkedin.com/in/huascar-sabino-41a40022</t>
  </si>
  <si>
    <t>http://www.linkedin.com/company/esmart-tek</t>
  </si>
  <si>
    <t>https://esmart-tek.com</t>
  </si>
  <si>
    <t>Co-Founder &amp; CCO</t>
  </si>
  <si>
    <t>WIWO CONECTA</t>
  </si>
  <si>
    <t>diego.garcia@wiwo.com.co</t>
  </si>
  <si>
    <t>http://www.linkedin.com/in/diego-garcia-gitterle</t>
  </si>
  <si>
    <t>http://www.linkedin.com/company/wiwo-conecta</t>
  </si>
  <si>
    <t>https://wiwo.com.co</t>
  </si>
  <si>
    <t>Lógika</t>
  </si>
  <si>
    <t>mario@logika.app</t>
  </si>
  <si>
    <t>http://www.linkedin.com/in/mario-cossio</t>
  </si>
  <si>
    <t>http://www.linkedin.com/company/logika-evolucion-empresarial</t>
  </si>
  <si>
    <t>https://logika.app</t>
  </si>
  <si>
    <t>Rodolfo</t>
  </si>
  <si>
    <t>Peña Molina &amp; Asociados</t>
  </si>
  <si>
    <t>rpena@pma.com.co</t>
  </si>
  <si>
    <t>http://www.linkedin.com/in/rodolfopena</t>
  </si>
  <si>
    <t>http://www.linkedin.com/company/pe%c3%b1a-molina-asociados</t>
  </si>
  <si>
    <t>https://pma.com.co</t>
  </si>
  <si>
    <t>Valor Percibido</t>
  </si>
  <si>
    <t>eduardo.quiroz@valorpercibido.com</t>
  </si>
  <si>
    <t>http://www.linkedin.com/in/eduardoquiroz</t>
  </si>
  <si>
    <t>http://www.linkedin.com/company/valor-percibido</t>
  </si>
  <si>
    <t>https://valorpercibido.com</t>
  </si>
  <si>
    <t>Pierre-Alain</t>
  </si>
  <si>
    <t>Whatelse?</t>
  </si>
  <si>
    <t>pierre@whatelse.education</t>
  </si>
  <si>
    <t>http://www.linkedin.com/in/pierre-alain-branger-354633a8</t>
  </si>
  <si>
    <t>http://www.linkedin.com/school/whatelse-</t>
  </si>
  <si>
    <t>https://whatelse.education</t>
  </si>
  <si>
    <t>Ruby</t>
  </si>
  <si>
    <t>Strallie Group</t>
  </si>
  <si>
    <t>http://www.linkedin.com/in/ruby-marquez-rodriguez-737368143</t>
  </si>
  <si>
    <t>http://www.linkedin.com/company/mandesolutions</t>
  </si>
  <si>
    <t>https://strallie.com</t>
  </si>
  <si>
    <t>Steven</t>
  </si>
  <si>
    <t>Lunova Lab</t>
  </si>
  <si>
    <t>steven@lunovalab.com</t>
  </si>
  <si>
    <t>http://www.linkedin.com/in/stevenchavezr</t>
  </si>
  <si>
    <t>http://www.linkedin.com/company/lunovalab</t>
  </si>
  <si>
    <t>https://lunovalab.com</t>
  </si>
  <si>
    <t>Enerlítica</t>
  </si>
  <si>
    <t>esteban.jaramillo@enerlitica.co</t>
  </si>
  <si>
    <t>http://www.linkedin.com/in/esteban-jaramillo-gait%c3%a1n-00183845</t>
  </si>
  <si>
    <t>http://www.linkedin.com/company/enerlitica</t>
  </si>
  <si>
    <t>https://enerlitica.co</t>
  </si>
  <si>
    <t>CEO - Cofounder Gestora Fondo Capital Privado</t>
  </si>
  <si>
    <t>Revaliu</t>
  </si>
  <si>
    <t>aarcila@revaliu.com</t>
  </si>
  <si>
    <t>http://www.linkedin.com/in/angelica-arcila-mart%c3%adnez-703ba61b2</t>
  </si>
  <si>
    <t>http://www.linkedin.com/company/revaliu</t>
  </si>
  <si>
    <t>https://revaliu.com</t>
  </si>
  <si>
    <t>UPLIFT</t>
  </si>
  <si>
    <t>angelalozada@uplift.com.co</t>
  </si>
  <si>
    <t>http://www.linkedin.com/in/angela-lozada-v</t>
  </si>
  <si>
    <t>http://www.linkedin.com/company/upliftlegal</t>
  </si>
  <si>
    <t>https://upliftlegal.org</t>
  </si>
  <si>
    <t>Misha</t>
  </si>
  <si>
    <t>Wip</t>
  </si>
  <si>
    <t>misha@wiptool.com</t>
  </si>
  <si>
    <t>http://www.linkedin.com/in/mifobe</t>
  </si>
  <si>
    <t>http://www.linkedin.com/company/wip-tool</t>
  </si>
  <si>
    <t>https://wiptool.com</t>
  </si>
  <si>
    <t>CENTRO COMERCIAL PREMIUM PLAZA</t>
  </si>
  <si>
    <t>operativo@ccpremiumplaza.com</t>
  </si>
  <si>
    <t>http://www.linkedin.com/in/daniel-eduardo-giraldo-casta%c3%b1o-0b3a343b</t>
  </si>
  <si>
    <t>http://www.linkedin.com/company/centro-comercial-premium-plaza</t>
  </si>
  <si>
    <t>https://ccpremiumplaza.com</t>
  </si>
  <si>
    <t>Good Group S.A.S</t>
  </si>
  <si>
    <t>gerencia@goodgroup.com.co</t>
  </si>
  <si>
    <t>http://www.linkedin.com/in/luis-c-bueno-p-4b969656</t>
  </si>
  <si>
    <t>http://www.linkedin.com/company/good-group-s.a.s</t>
  </si>
  <si>
    <t>https://goodgroup.com.co</t>
  </si>
  <si>
    <t>Camú</t>
  </si>
  <si>
    <t>daniela@camudecor.com</t>
  </si>
  <si>
    <t>http://www.linkedin.com/in/daniela-charry-935b4a59</t>
  </si>
  <si>
    <t>http://www.linkedin.com/company/camudecor</t>
  </si>
  <si>
    <t>https://camudecor.com</t>
  </si>
  <si>
    <t>Preciosa Media</t>
  </si>
  <si>
    <t>claudia@preciosamedia.com</t>
  </si>
  <si>
    <t>http://www.linkedin.com/in/claudiarodriguezvalencia</t>
  </si>
  <si>
    <t>http://www.linkedin.com/company/preciosa-media</t>
  </si>
  <si>
    <t>https://preciosamedia.com</t>
  </si>
  <si>
    <t>Somos Orion</t>
  </si>
  <si>
    <t>luis.rojastorrado@orion.com</t>
  </si>
  <si>
    <t>http://www.linkedin.com/in/luisalejandrorojastorrado</t>
  </si>
  <si>
    <t>http://www.linkedin.com/company/somos-orion</t>
  </si>
  <si>
    <t>https://entradasinteligentes.com</t>
  </si>
  <si>
    <t>Director de Desarrollo de Negocios</t>
  </si>
  <si>
    <t>Supportical</t>
  </si>
  <si>
    <t>david.villarreal@supportical.com</t>
  </si>
  <si>
    <t>http://www.linkedin.com/in/david-villarreal-3743a331</t>
  </si>
  <si>
    <t>http://www.linkedin.com/company/supportical</t>
  </si>
  <si>
    <t>https://supportical.com</t>
  </si>
  <si>
    <t>Etivi</t>
  </si>
  <si>
    <t>carlos.guampe@etivi.com</t>
  </si>
  <si>
    <t>http://www.linkedin.com/in/carlos-guampe-a4a455b0</t>
  </si>
  <si>
    <t>http://www.linkedin.com/company/etivi</t>
  </si>
  <si>
    <t>https://etivi.com</t>
  </si>
  <si>
    <t>cloudFleet</t>
  </si>
  <si>
    <t>alejandra.guanchez@cloudfleet.com</t>
  </si>
  <si>
    <t>http://www.linkedin.com/in/alejandra-guanchez-velasquez</t>
  </si>
  <si>
    <t>http://www.linkedin.com/company/cloudfleetcom</t>
  </si>
  <si>
    <t>https://cloudfleet.com</t>
  </si>
  <si>
    <t>Hiram</t>
  </si>
  <si>
    <t>INTREXCO BPO &amp; RECRUITMENT</t>
  </si>
  <si>
    <t>hiram.preston@intrexco.com</t>
  </si>
  <si>
    <t>http://www.linkedin.com/in/hiram-preston-a0227729</t>
  </si>
  <si>
    <t>http://www.linkedin.com/company/intrexco-bpo-recruitment</t>
  </si>
  <si>
    <t>https://intrexco.com</t>
  </si>
  <si>
    <t>OsadiaLab</t>
  </si>
  <si>
    <t>gerencia@osadialab.com</t>
  </si>
  <si>
    <t>http://www.linkedin.com/in/adrianacarolinadiazosadialab</t>
  </si>
  <si>
    <t>http://www.linkedin.com/company/osadialab</t>
  </si>
  <si>
    <t>https://osadialab.com</t>
  </si>
  <si>
    <t>Movinova</t>
  </si>
  <si>
    <t>carlos.triana@movinova.com</t>
  </si>
  <si>
    <t>http://www.linkedin.com/in/carlos-alberto-triana-zapata-371a4474</t>
  </si>
  <si>
    <t>http://www.linkedin.com/company/movinova-td</t>
  </si>
  <si>
    <t>https://movinova.com</t>
  </si>
  <si>
    <t>Chief Growth Officer / CEO</t>
  </si>
  <si>
    <t>Turbotraffic</t>
  </si>
  <si>
    <t>jgallo@turbotraffic.com</t>
  </si>
  <si>
    <t>http://www.linkedin.com/in/juanjgallo</t>
  </si>
  <si>
    <t>http://www.linkedin.com/company/turbotraffic</t>
  </si>
  <si>
    <t>https://turbotraffic.com</t>
  </si>
  <si>
    <t>Marketing &amp; Growth Director</t>
  </si>
  <si>
    <t>Semillas Arroyave S.A.S</t>
  </si>
  <si>
    <t>camilo.arroyave@semillasarroyave.com</t>
  </si>
  <si>
    <t>http://www.linkedin.com/in/camilo-arroyave-a91039b4</t>
  </si>
  <si>
    <t>http://www.linkedin.com/company/semillas-arroyave</t>
  </si>
  <si>
    <t>https://semillasarroyave.com</t>
  </si>
  <si>
    <t>360Lateral</t>
  </si>
  <si>
    <t>pablo.tirado@360lateral.com</t>
  </si>
  <si>
    <t>http://www.linkedin.com/in/pablo-tirado-ruiz-5bbbb755</t>
  </si>
  <si>
    <t>http://www.linkedin.com/company/360lateral</t>
  </si>
  <si>
    <t>https://360lateral.com</t>
  </si>
  <si>
    <t>CEO and President</t>
  </si>
  <si>
    <t>Ferreteria Vallejo</t>
  </si>
  <si>
    <t>gerencia@ferreteriavallejo.co</t>
  </si>
  <si>
    <t>http://www.linkedin.com/in/alex-vallejo-9b01244</t>
  </si>
  <si>
    <t>http://www.linkedin.com/company/ferreteria-vallejo</t>
  </si>
  <si>
    <t>https://ferreteriavallejoltda.com.co</t>
  </si>
  <si>
    <t>Medea Interactiva</t>
  </si>
  <si>
    <t>aecheverri@medeainteractiva.com</t>
  </si>
  <si>
    <t>http://www.linkedin.com/in/anaecheverri</t>
  </si>
  <si>
    <t>http://www.linkedin.com/company/medea-interactiva</t>
  </si>
  <si>
    <t>https://medeainteractiva.com</t>
  </si>
  <si>
    <t>Green Factory</t>
  </si>
  <si>
    <t>diegoprada@greenfactory.com.co</t>
  </si>
  <si>
    <t>http://www.linkedin.com/in/diego-felipe-prada-samudio-2047952a</t>
  </si>
  <si>
    <t>http://www.linkedin.com/company/green-factory-col</t>
  </si>
  <si>
    <t>https://greenfactory.com.co</t>
  </si>
  <si>
    <t>Managing Director | Building Scalable SaaS for Social Listening &amp; Advocacy Marketing</t>
  </si>
  <si>
    <t>Magnetic</t>
  </si>
  <si>
    <t>carlos@magneticsuite.com</t>
  </si>
  <si>
    <t>http://www.linkedin.com/in/carlosalbertosantana</t>
  </si>
  <si>
    <t>http://www.linkedin.com/company/magneticsuite</t>
  </si>
  <si>
    <t>https://magneticsuite.com</t>
  </si>
  <si>
    <t>President &amp; CEO of Seguridad Financiera CTA</t>
  </si>
  <si>
    <t>Seguridad Financiera</t>
  </si>
  <si>
    <t>presidencia@seguridadfinanciera.com</t>
  </si>
  <si>
    <t>http://www.linkedin.com/in/andresagredo</t>
  </si>
  <si>
    <t>http://www.linkedin.com/company/cafe-trading-advisors</t>
  </si>
  <si>
    <t>https://seguridadfinanciera.com</t>
  </si>
  <si>
    <t>Arquitectura del Talento</t>
  </si>
  <si>
    <t>aestrada@arquitecturadeltalento.com</t>
  </si>
  <si>
    <t>http://www.linkedin.com/in/andreaestradaadt</t>
  </si>
  <si>
    <t>http://www.linkedin.com/company/arquitecturadeltalento</t>
  </si>
  <si>
    <t>https://arquitecturadeltalento.com</t>
  </si>
  <si>
    <t>Klik</t>
  </si>
  <si>
    <t>e.quintana@klikenergy.com</t>
  </si>
  <si>
    <t>http://www.linkedin.com/in/sequintana</t>
  </si>
  <si>
    <t>http://www.linkedin.com/company/klikenergy</t>
  </si>
  <si>
    <t>https://klikenergy.com</t>
  </si>
  <si>
    <t>utilities</t>
  </si>
  <si>
    <t>Imagunet</t>
  </si>
  <si>
    <t>gabriela.reiner@imagunet.com</t>
  </si>
  <si>
    <t>http://www.linkedin.com/in/gabriela-reiner</t>
  </si>
  <si>
    <t>http://www.linkedin.com/company/imagunet</t>
  </si>
  <si>
    <t>https://imagunet.com</t>
  </si>
  <si>
    <t>Joaquin</t>
  </si>
  <si>
    <t>Sales Director Latam</t>
  </si>
  <si>
    <t>Innovile</t>
  </si>
  <si>
    <t>joaquin.villamizar@innovile.com</t>
  </si>
  <si>
    <t>http://www.linkedin.com/in/joaquin-villamizar-6982145</t>
  </si>
  <si>
    <t>http://www.linkedin.com/company/innovile</t>
  </si>
  <si>
    <t>https://innovile.com</t>
  </si>
  <si>
    <t>Nutricol</t>
  </si>
  <si>
    <t>gcabrales@acnutricol.com</t>
  </si>
  <si>
    <t>http://www.linkedin.com/in/gustavojose</t>
  </si>
  <si>
    <t>http://www.linkedin.com/company/agencia-comercial-nutricol</t>
  </si>
  <si>
    <t>https://acnutricol.com</t>
  </si>
  <si>
    <t>COMERCIALIZADORA SAMOT SAS</t>
  </si>
  <si>
    <t>smogollon@samotgroup.com</t>
  </si>
  <si>
    <t>http://www.linkedin.com/in/santiago-mogollon-otero-09bb63106</t>
  </si>
  <si>
    <t>http://www.linkedin.com/company/comercializadora-samot-sas</t>
  </si>
  <si>
    <t>https://samotgroup.com</t>
  </si>
  <si>
    <t>import &amp; export</t>
  </si>
  <si>
    <t>Rombo</t>
  </si>
  <si>
    <t>santiago@rombo.tech</t>
  </si>
  <si>
    <t>http://www.linkedin.com/in/santiago-ricaurte-silva-31251426</t>
  </si>
  <si>
    <t>http://www.linkedin.com/company/rombo-tech</t>
  </si>
  <si>
    <t>https://rombo.tech</t>
  </si>
  <si>
    <t>Co-founder &amp; Chief Technology Officer</t>
  </si>
  <si>
    <t>javier@minteo.com</t>
  </si>
  <si>
    <t>http://www.linkedin.com/in/jasalo</t>
  </si>
  <si>
    <t>fb@munolabs.com</t>
  </si>
  <si>
    <t>http://www.linkedin.com/in/federico-benitez</t>
  </si>
  <si>
    <t>Ludwig</t>
  </si>
  <si>
    <t>Appropia</t>
  </si>
  <si>
    <t>dzuluaga@appropia.com</t>
  </si>
  <si>
    <t>http://www.linkedin.com/in/davidzuluaga5</t>
  </si>
  <si>
    <t>http://www.linkedin.com/company/appropia</t>
  </si>
  <si>
    <t>https://appropia.com</t>
  </si>
  <si>
    <t>Prolibu</t>
  </si>
  <si>
    <t>juan.prieto@prolibu.com</t>
  </si>
  <si>
    <t>http://www.linkedin.com/in/juan-carlos-prieto-24190b7</t>
  </si>
  <si>
    <t>http://www.linkedin.com/company/prolibu</t>
  </si>
  <si>
    <t>https://prolibu.com</t>
  </si>
  <si>
    <t>CEO | CoFundador</t>
  </si>
  <si>
    <t>Autocore</t>
  </si>
  <si>
    <t>miguel@autocore.pro</t>
  </si>
  <si>
    <t>http://www.linkedin.com/in/miguel-celis-autocore</t>
  </si>
  <si>
    <t>http://www.linkedin.com/company/autocore</t>
  </si>
  <si>
    <t>https://autocore.pro</t>
  </si>
  <si>
    <t>(Cofounder) Revenue &amp; Growth</t>
  </si>
  <si>
    <t>luis.giraldo@velocity-x.co</t>
  </si>
  <si>
    <t>http://www.linkedin.com/in/luisfelipegiraldo</t>
  </si>
  <si>
    <t>Finity</t>
  </si>
  <si>
    <t>nicolas@finity.com.co</t>
  </si>
  <si>
    <t>http://www.linkedin.com/in/nicol%c3%a1s-zuleta-londo%c3%b1o-519a97169</t>
  </si>
  <si>
    <t>http://www.linkedin.com/company/finityco</t>
  </si>
  <si>
    <t>https://finity.com.co</t>
  </si>
  <si>
    <t>COO &amp; Cofounder + Strategy</t>
  </si>
  <si>
    <t>Drimup</t>
  </si>
  <si>
    <t>andres.gutierrez@drimup.co</t>
  </si>
  <si>
    <t>http://www.linkedin.com/in/andresguti3rr3z</t>
  </si>
  <si>
    <t>http://www.linkedin.com/company/drimup</t>
  </si>
  <si>
    <t>https://drimup.co</t>
  </si>
  <si>
    <t>Jairo</t>
  </si>
  <si>
    <t>Chief Operating Officer/Co-Funder</t>
  </si>
  <si>
    <t>Gexterra</t>
  </si>
  <si>
    <t>jairo.torres@gexterra.com</t>
  </si>
  <si>
    <t>http://www.linkedin.com/in/jairo-a-torres-r-68332283</t>
  </si>
  <si>
    <t>http://www.linkedin.com/company/gexterra</t>
  </si>
  <si>
    <t>https://gexterra.com</t>
  </si>
  <si>
    <t>Chief Revenue Officer (CRO)</t>
  </si>
  <si>
    <t>Dapta</t>
  </si>
  <si>
    <t>felipe@daptatech.com</t>
  </si>
  <si>
    <t>http://www.linkedin.com/in/fegome1</t>
  </si>
  <si>
    <t>http://www.linkedin.com/company/dapta-ai</t>
  </si>
  <si>
    <t>https://dapta.ai</t>
  </si>
  <si>
    <t>Ágata</t>
  </si>
  <si>
    <t>samador@agatadata.com</t>
  </si>
  <si>
    <t>http://www.linkedin.com/in/santiago-amador-91b1733b</t>
  </si>
  <si>
    <t>http://www.linkedin.com/company/agatadata</t>
  </si>
  <si>
    <t>https://agatadata.com</t>
  </si>
  <si>
    <t>Vitapp</t>
  </si>
  <si>
    <t>juanpablo@vitapp.com</t>
  </si>
  <si>
    <t>http://www.linkedin.com/in/juanpis</t>
  </si>
  <si>
    <t>http://www.linkedin.com/company/vitapp</t>
  </si>
  <si>
    <t>https://vitapp.com</t>
  </si>
  <si>
    <t>One Source</t>
  </si>
  <si>
    <t>juan.segura@onesource.com.co</t>
  </si>
  <si>
    <t>http://www.linkedin.com/in/juansegura16</t>
  </si>
  <si>
    <t>http://www.linkedin.com/company/onesource-co</t>
  </si>
  <si>
    <t>https://onesource.com.co</t>
  </si>
  <si>
    <t>Glen</t>
  </si>
  <si>
    <t>President &amp; Founder</t>
  </si>
  <si>
    <t>Minga House Foundation</t>
  </si>
  <si>
    <t>glen@mingahouse.org</t>
  </si>
  <si>
    <t>http://www.linkedin.com/in/teachusa</t>
  </si>
  <si>
    <t>http://www.linkedin.com/company/minga-house-foundation</t>
  </si>
  <si>
    <t>https://mingahouse.org</t>
  </si>
  <si>
    <t>Raquel</t>
  </si>
  <si>
    <t>Firefly Software Consulting</t>
  </si>
  <si>
    <t>raquel.canon@firefly-e.com</t>
  </si>
  <si>
    <t>http://www.linkedin.com/in/raquelcanon</t>
  </si>
  <si>
    <t>http://www.linkedin.com/company/fireflysoftwareconsulting</t>
  </si>
  <si>
    <t>https://firefly-e.com</t>
  </si>
  <si>
    <t>Head &amp; Founder</t>
  </si>
  <si>
    <t>Turisteo</t>
  </si>
  <si>
    <t>jaime@turisteo.com</t>
  </si>
  <si>
    <t>http://www.linkedin.com/in/jaimespaillat</t>
  </si>
  <si>
    <t>http://www.linkedin.com/company/turisteo</t>
  </si>
  <si>
    <t>https://turisteo.com</t>
  </si>
  <si>
    <t>Comercializadora REVI SAS</t>
  </si>
  <si>
    <t>carlos.vieira@revi.com.co</t>
  </si>
  <si>
    <t>http://www.linkedin.com/in/carlos-augusto-vieira-aguirre-1983156a</t>
  </si>
  <si>
    <t>http://www.linkedin.com/company/comercializadorarevi</t>
  </si>
  <si>
    <t>https://revi.com.co</t>
  </si>
  <si>
    <t>XTS Commodities</t>
  </si>
  <si>
    <t>andres.arango@xtscommodities.com</t>
  </si>
  <si>
    <t>http://www.linkedin.com/in/andres-arango-maldonado</t>
  </si>
  <si>
    <t>http://www.linkedin.com/company/xts-commodities</t>
  </si>
  <si>
    <t>https://xtscommodities.com</t>
  </si>
  <si>
    <t>Matteo</t>
  </si>
  <si>
    <t>Head of Growth &amp; Co-founder</t>
  </si>
  <si>
    <t>TROOP</t>
  </si>
  <si>
    <t>marango@troop.com.co</t>
  </si>
  <si>
    <t>http://www.linkedin.com/in/matteo-arango-gatti-21b87892</t>
  </si>
  <si>
    <t>http://www.linkedin.com/company/troopco</t>
  </si>
  <si>
    <t>https://troop.com.co</t>
  </si>
  <si>
    <t>CEO y Fundador Quieroemplearmeya</t>
  </si>
  <si>
    <t>QuieroEmplearmeYA empleabilidad</t>
  </si>
  <si>
    <t>http://www.linkedin.com/in/laura-miranda-grosso-empleabilidad</t>
  </si>
  <si>
    <t>http://www.linkedin.com/company/quieroemplearmeya-empleabilidad</t>
  </si>
  <si>
    <t>https://quieroempearmeya.com.co</t>
  </si>
  <si>
    <t>Senior Regional Sales Director</t>
  </si>
  <si>
    <t>Blue Ocean Technologies SAC</t>
  </si>
  <si>
    <t>david.bahamon@blueocean.la</t>
  </si>
  <si>
    <t>http://www.linkedin.com/in/davidbahamonlatam</t>
  </si>
  <si>
    <t>http://www.linkedin.com/company/blue-ocean-technologies-sac</t>
  </si>
  <si>
    <t>https://blueocean.la</t>
  </si>
  <si>
    <t>Okorum</t>
  </si>
  <si>
    <t>felipe.ortiz@okorum.com</t>
  </si>
  <si>
    <t>http://www.linkedin.com/in/felipeortizmarin</t>
  </si>
  <si>
    <t>http://www.linkedin.com/company/okorum-technologies</t>
  </si>
  <si>
    <t>https://okorum.com</t>
  </si>
  <si>
    <t>CurubaTech</t>
  </si>
  <si>
    <t>paula@curuba.tech</t>
  </si>
  <si>
    <t>http://www.linkedin.com/in/paulaaponte</t>
  </si>
  <si>
    <t>http://www.linkedin.com/company/curubatech</t>
  </si>
  <si>
    <t>https://curuba.tech</t>
  </si>
  <si>
    <t>Welbin</t>
  </si>
  <si>
    <t>daniel@welbin.org</t>
  </si>
  <si>
    <t>http://www.linkedin.com/in/danieltobongarcia</t>
  </si>
  <si>
    <t>http://www.linkedin.com/company/welbin</t>
  </si>
  <si>
    <t>https://welbin.org</t>
  </si>
  <si>
    <t>ExperTech</t>
  </si>
  <si>
    <t>edwin.medina@expertech.com.co</t>
  </si>
  <si>
    <t>http://www.linkedin.com/in/edwin-andres-medina</t>
  </si>
  <si>
    <t>http://www.linkedin.com/company/expertech-medellin</t>
  </si>
  <si>
    <t>https://expertech.com.co</t>
  </si>
  <si>
    <t>Valorix.com</t>
  </si>
  <si>
    <t>juan@valorix.com</t>
  </si>
  <si>
    <t>http://www.linkedin.com/in/juan-esteban-saldarriaga-767216</t>
  </si>
  <si>
    <t>http://www.linkedin.com/company/valorix-com</t>
  </si>
  <si>
    <t>https://valorix.com</t>
  </si>
  <si>
    <t>Pierre</t>
  </si>
  <si>
    <t>3 Sixty Padel</t>
  </si>
  <si>
    <t>p@3sixtypadel.com</t>
  </si>
  <si>
    <t>http://www.linkedin.com/in/pierrecuevas</t>
  </si>
  <si>
    <t>http://www.linkedin.com/company/3-sixty-padel</t>
  </si>
  <si>
    <t>https://3sixtypadel.com</t>
  </si>
  <si>
    <t>Faisal</t>
  </si>
  <si>
    <t>Founder &amp; CEO (Colombia)</t>
  </si>
  <si>
    <t>DXB Perfume</t>
  </si>
  <si>
    <t>faisal@dxbperfume.co.uk</t>
  </si>
  <si>
    <t>http://www.linkedin.com/in/faisaldarr</t>
  </si>
  <si>
    <t>http://www.linkedin.com/company/dxb-perfume</t>
  </si>
  <si>
    <t>https://dxbperfume.co.uk</t>
  </si>
  <si>
    <t>Agility Changes</t>
  </si>
  <si>
    <t>sandra.arias@agilitychanges.com</t>
  </si>
  <si>
    <t>http://www.linkedin.com/in/sandraariasandrade</t>
  </si>
  <si>
    <t>http://www.linkedin.com/company/agilitychanges</t>
  </si>
  <si>
    <t>https://agilitychanges.com</t>
  </si>
  <si>
    <t>Fundador - Director - Consultor</t>
  </si>
  <si>
    <t>Alineamiento</t>
  </si>
  <si>
    <t>rm@alineamiento.co</t>
  </si>
  <si>
    <t>http://www.linkedin.com/in/ricardo-mejia-saenz</t>
  </si>
  <si>
    <t>http://www.linkedin.com/company/alineamiento</t>
  </si>
  <si>
    <t>https://alineamiento.co</t>
  </si>
  <si>
    <t>German</t>
  </si>
  <si>
    <t>VISIONAR COLOMBIA</t>
  </si>
  <si>
    <t>german.nieto@vision-ar.com</t>
  </si>
  <si>
    <t>http://www.linkedin.com/in/german-nieto-8a23641b</t>
  </si>
  <si>
    <t>http://www.linkedin.com/company/pixeleye-studio</t>
  </si>
  <si>
    <t>https://vision-ar.com</t>
  </si>
  <si>
    <t>Tinoco Navarro</t>
  </si>
  <si>
    <t>luistinoco@tinoconavarro.com</t>
  </si>
  <si>
    <t>http://www.linkedin.com/in/luis-ernesto-tinoco-navarro-ba461250</t>
  </si>
  <si>
    <t>http://www.linkedin.com/company/tinoco-navarro</t>
  </si>
  <si>
    <t>https://tinoconavarro.com</t>
  </si>
  <si>
    <t>Director of Sales and Operations Projects</t>
  </si>
  <si>
    <t>Aseneg Recruiting</t>
  </si>
  <si>
    <t>jsaray@aseneg.com</t>
  </si>
  <si>
    <t>http://www.linkedin.com/in/jose-luis-saray-23335222</t>
  </si>
  <si>
    <t>http://www.linkedin.com/company/aseneg-recruiting</t>
  </si>
  <si>
    <t>https://aseneg.com</t>
  </si>
  <si>
    <t>Awaio.la</t>
  </si>
  <si>
    <t>sergio@awaio.la</t>
  </si>
  <si>
    <t>http://www.linkedin.com/in/nauffals</t>
  </si>
  <si>
    <t>http://www.linkedin.com/company/awaio-la</t>
  </si>
  <si>
    <t>https://awaio.la</t>
  </si>
  <si>
    <t>Mister Mark</t>
  </si>
  <si>
    <t>nsegovia@mistermarkagency.com</t>
  </si>
  <si>
    <t>http://www.linkedin.com/in/nicolassegovia23</t>
  </si>
  <si>
    <t>http://www.linkedin.com/company/mister-mark</t>
  </si>
  <si>
    <t>https://mistermark.ca</t>
  </si>
  <si>
    <t>Richard</t>
  </si>
  <si>
    <t>Director Sales &amp; Field Services</t>
  </si>
  <si>
    <t>Well Groomed Opportunities</t>
  </si>
  <si>
    <t>rreiter@wellgroomedopportunities.com</t>
  </si>
  <si>
    <t>http://www.linkedin.com/in/richardreiter</t>
  </si>
  <si>
    <t>http://www.linkedin.com/company/wellgroomedopportunities</t>
  </si>
  <si>
    <t>https://wellgroomedopportunities.com</t>
  </si>
  <si>
    <t>Co-founder and CEO at Bialtec SAS | Manager of Technology</t>
  </si>
  <si>
    <t>BIALTEC</t>
  </si>
  <si>
    <t>mauricio.agudelo@bialtec.co</t>
  </si>
  <si>
    <t>http://www.linkedin.com/in/mauricio-agudelo-r</t>
  </si>
  <si>
    <t>http://www.linkedin.com/company/bialtec-sas</t>
  </si>
  <si>
    <t>https://bialtec.co</t>
  </si>
  <si>
    <t>Sales and Revenue Director</t>
  </si>
  <si>
    <t>QPAlliance</t>
  </si>
  <si>
    <t>jcastro@qpalliance.co</t>
  </si>
  <si>
    <t>http://www.linkedin.com/in/juliana-castro-d%c3%adaz-4716856a</t>
  </si>
  <si>
    <t>http://www.linkedin.com/company/qpalliance</t>
  </si>
  <si>
    <t>https://qpalliance.co</t>
  </si>
  <si>
    <t>FIT CONSULTING SAS</t>
  </si>
  <si>
    <t>nplazas@fitconsulting.biz</t>
  </si>
  <si>
    <t>http://www.linkedin.com/in/nicolasplazas</t>
  </si>
  <si>
    <t>http://www.linkedin.com/company/fitconsulting-colombia</t>
  </si>
  <si>
    <t>https://fitconsulting.com.co</t>
  </si>
  <si>
    <t>Ancestral Organics</t>
  </si>
  <si>
    <t>mateo@ancestralfoods.co</t>
  </si>
  <si>
    <t>http://www.linkedin.com/in/mateo-ospina-mej%c3%ada-464256b3</t>
  </si>
  <si>
    <t>http://www.linkedin.com/company/ancestral-organics</t>
  </si>
  <si>
    <t>https://ancestralfoods.co</t>
  </si>
  <si>
    <t>Chief Product Officer &amp; Founder</t>
  </si>
  <si>
    <t>GatekeeperX</t>
  </si>
  <si>
    <t>diego@gatekeeperx.com</t>
  </si>
  <si>
    <t>http://www.linkedin.com/in/diego-mauricio-nieto-ardila-4aa73868</t>
  </si>
  <si>
    <t>http://www.linkedin.com/company/gatekeeperx</t>
  </si>
  <si>
    <t>https://gatekeeperx.com</t>
  </si>
  <si>
    <t>Story Factory</t>
  </si>
  <si>
    <t>andres.soler@storyfactory.co</t>
  </si>
  <si>
    <t>http://www.linkedin.com/in/andressoler</t>
  </si>
  <si>
    <t>http://www.linkedin.com/company/story-factory</t>
  </si>
  <si>
    <t>https://storyfactory.co</t>
  </si>
  <si>
    <t>SIOMA</t>
  </si>
  <si>
    <t>santiago@sioma.app</t>
  </si>
  <si>
    <t>http://www.linkedin.com/in/santiago-correa-b8263b61</t>
  </si>
  <si>
    <t>http://www.linkedin.com/company/sioma</t>
  </si>
  <si>
    <t>https://sioma.store</t>
  </si>
  <si>
    <t>CEO Contento Latam</t>
  </si>
  <si>
    <t>Subbi</t>
  </si>
  <si>
    <t>albertomartinez@contentolatam.com</t>
  </si>
  <si>
    <t>http://www.linkedin.com/in/albertomartinezmartina</t>
  </si>
  <si>
    <t>http://www.linkedin.com/company/subbi</t>
  </si>
  <si>
    <t>https://subbi.com.co</t>
  </si>
  <si>
    <t>Tulipan 1637</t>
  </si>
  <si>
    <t>jatuesta@tulipan1637.com</t>
  </si>
  <si>
    <t>http://www.linkedin.com/in/jfatuesta</t>
  </si>
  <si>
    <t>http://www.linkedin.com/company/tulipan-1637</t>
  </si>
  <si>
    <t>https://tulipan1637.com</t>
  </si>
  <si>
    <t>MAN-GO</t>
  </si>
  <si>
    <t>paola.carcamo@man-go.co</t>
  </si>
  <si>
    <t>http://www.linkedin.com/in/paola-c%c3%a1rcamo-458610126</t>
  </si>
  <si>
    <t>http://www.linkedin.com/company/man-go-bitcoco</t>
  </si>
  <si>
    <t>https://man-go.co</t>
  </si>
  <si>
    <t>Aventi Solutions</t>
  </si>
  <si>
    <t>mvieira@aventi.co</t>
  </si>
  <si>
    <t>http://www.linkedin.com/in/mateo-vieira-bustamante-053389208</t>
  </si>
  <si>
    <t>http://www.linkedin.com/company/aventi-solutions</t>
  </si>
  <si>
    <t>https://aventi.co</t>
  </si>
  <si>
    <t>MULTIFOX ERP</t>
  </si>
  <si>
    <t>camilodeandreis@multifoxnet.com</t>
  </si>
  <si>
    <t>http://www.linkedin.com/in/camilo-de-andreis-caycedo-39610761</t>
  </si>
  <si>
    <t>http://www.linkedin.com/company/multifox</t>
  </si>
  <si>
    <t>https://multifox.com.co</t>
  </si>
  <si>
    <t>Founding Partner - Innovation / Marketing</t>
  </si>
  <si>
    <t>Simbiotic</t>
  </si>
  <si>
    <t>jsandoval@redsimbiotic.com</t>
  </si>
  <si>
    <t>http://www.linkedin.com/in/jorgesimbiotic</t>
  </si>
  <si>
    <t>http://www.linkedin.com/company/simbiotic-s-a-s</t>
  </si>
  <si>
    <t>https://redsimbiotic.com</t>
  </si>
  <si>
    <t>TumiPay</t>
  </si>
  <si>
    <t>http://www.linkedin.com/in/marcela-santiago-rizo-tumipay</t>
  </si>
  <si>
    <t>http://www.linkedin.com/company/tumipay</t>
  </si>
  <si>
    <t>https://tumipay.co</t>
  </si>
  <si>
    <t>ColWork</t>
  </si>
  <si>
    <t>jose.guarnizo@colwork.com.co</t>
  </si>
  <si>
    <t>http://www.linkedin.com/in/jose-guarnizo</t>
  </si>
  <si>
    <t>http://www.linkedin.com/company/colwork-co</t>
  </si>
  <si>
    <t>https://colwork.com.co</t>
  </si>
  <si>
    <t>Lorena</t>
  </si>
  <si>
    <t>Key Executives Headhunter</t>
  </si>
  <si>
    <t>lorena.castro@keyexecutives.co</t>
  </si>
  <si>
    <t>http://www.linkedin.com/in/lorecastroa</t>
  </si>
  <si>
    <t>http://www.linkedin.com/company/keypreneurs</t>
  </si>
  <si>
    <t>https://keyexecutives.co</t>
  </si>
  <si>
    <t>DragonJAR</t>
  </si>
  <si>
    <t>lnieto@dragonjar.org</t>
  </si>
  <si>
    <t>http://www.linkedin.com/in/dragonjar</t>
  </si>
  <si>
    <t>http://www.linkedin.com/company/dragonjar</t>
  </si>
  <si>
    <t>https://dragonjar.org</t>
  </si>
  <si>
    <t>CEO Presidente Heli Salud by Health &amp; Life IPS</t>
  </si>
  <si>
    <t>Health and Life IPS</t>
  </si>
  <si>
    <t>mariana.rodriguez@hlips.com.co</t>
  </si>
  <si>
    <t>http://www.linkedin.com/in/mariana-rodriguez-70729b5b</t>
  </si>
  <si>
    <t>http://www.linkedin.com/company/helisalud</t>
  </si>
  <si>
    <t>https://hlips.com.co</t>
  </si>
  <si>
    <t>Decisiones Logísticas</t>
  </si>
  <si>
    <t>nmarino@dl.com.co</t>
  </si>
  <si>
    <t>http://www.linkedin.com/in/nelson-fernando-mari%c3%b1o-fonseca-6a85831a</t>
  </si>
  <si>
    <t>http://www.linkedin.com/company/decisiones-log%c3%adsticas</t>
  </si>
  <si>
    <t>https://dl.com.co</t>
  </si>
  <si>
    <t>Viktor</t>
  </si>
  <si>
    <t>Chief Operating Officer (COO)</t>
  </si>
  <si>
    <t>Lean Service</t>
  </si>
  <si>
    <t>viktor.betancur@leanservice.com.co</t>
  </si>
  <si>
    <t>http://www.linkedin.com/in/viktor-betancur</t>
  </si>
  <si>
    <t>http://www.linkedin.com/company/leanservice</t>
  </si>
  <si>
    <t>https://leanservice.com.co</t>
  </si>
  <si>
    <t>Hector</t>
  </si>
  <si>
    <t>CMO &amp; Co-Founder</t>
  </si>
  <si>
    <t>Venditori</t>
  </si>
  <si>
    <t>hector@venditori.co</t>
  </si>
  <si>
    <t>http://www.linkedin.com/in/hyepes</t>
  </si>
  <si>
    <t>http://www.linkedin.com/company/venditori</t>
  </si>
  <si>
    <t>https://venditori.co</t>
  </si>
  <si>
    <t>CEO &amp; Co-Fundadora</t>
  </si>
  <si>
    <t>diana@prismategy.com</t>
  </si>
  <si>
    <t>http://www.linkedin.com/in/dianaprismategy</t>
  </si>
  <si>
    <t>reteki</t>
  </si>
  <si>
    <t>camilo.bravo@smartrent.com.co</t>
  </si>
  <si>
    <t>http://www.linkedin.com/in/camilobravoarango</t>
  </si>
  <si>
    <t>http://www.linkedin.com/company/reteki-sas</t>
  </si>
  <si>
    <t>https://reteki.com</t>
  </si>
  <si>
    <t>CENTIC SAS</t>
  </si>
  <si>
    <t>c.diaz@centicsas.com</t>
  </si>
  <si>
    <t>http://www.linkedin.com/in/carolina-diaz-ariza-6b3aaaa6</t>
  </si>
  <si>
    <t>http://www.linkedin.com/company/centic-sas</t>
  </si>
  <si>
    <t>https://centicsas.com.co</t>
  </si>
  <si>
    <t>CUCU</t>
  </si>
  <si>
    <t>danielr@cucu.us</t>
  </si>
  <si>
    <t>http://www.linkedin.com/in/daniel-reyes-6b43373a</t>
  </si>
  <si>
    <t>http://www.linkedin.com/company/cucu</t>
  </si>
  <si>
    <t>https://cucu.us</t>
  </si>
  <si>
    <t>WELLI</t>
  </si>
  <si>
    <t>felipe.jaramillo@welli.com.co</t>
  </si>
  <si>
    <t>http://www.linkedin.com/in/jaramillofelipe</t>
  </si>
  <si>
    <t>http://www.linkedin.com/company/welli</t>
  </si>
  <si>
    <t>https://welli.com.co</t>
  </si>
  <si>
    <t>Clevercel</t>
  </si>
  <si>
    <t>japalacio@clevercel.co</t>
  </si>
  <si>
    <t>http://www.linkedin.com/in/jorgeapalacio</t>
  </si>
  <si>
    <t>http://www.linkedin.com/company/clevercel</t>
  </si>
  <si>
    <t>https://clevercel.co</t>
  </si>
  <si>
    <t>internet</t>
  </si>
  <si>
    <t>Stable®</t>
  </si>
  <si>
    <t>camilo@stable-app.com</t>
  </si>
  <si>
    <t>http://www.linkedin.com/in/camilomatiz</t>
  </si>
  <si>
    <t>http://www.linkedin.com/company/stable%c2%ae</t>
  </si>
  <si>
    <t>https://stable-life.com</t>
  </si>
  <si>
    <t>Yuresky</t>
  </si>
  <si>
    <t>Regional Director of Sales &amp; Operations</t>
  </si>
  <si>
    <t>Planet Time</t>
  </si>
  <si>
    <t>latam@proietti.it</t>
  </si>
  <si>
    <t>http://www.linkedin.com/in/yuresky-rojas</t>
  </si>
  <si>
    <t>http://www.linkedin.com/company/proietti-tech-latam</t>
  </si>
  <si>
    <t>https://proietti.it</t>
  </si>
  <si>
    <t>Fabrice</t>
  </si>
  <si>
    <t>2060.io</t>
  </si>
  <si>
    <t>fabrice.rochette@2060.io</t>
  </si>
  <si>
    <t>http://www.linkedin.com/in/fabricerochette</t>
  </si>
  <si>
    <t>http://www.linkedin.com/company/2060-io</t>
  </si>
  <si>
    <t>https://2060.io</t>
  </si>
  <si>
    <t>VicVal Logistics ✅️</t>
  </si>
  <si>
    <t>sergioperez@vicval.co</t>
  </si>
  <si>
    <t>http://www.linkedin.com/in/sergioperez-vicval</t>
  </si>
  <si>
    <t>http://www.linkedin.com/company/vicval-logistics</t>
  </si>
  <si>
    <t>https://vicval.co</t>
  </si>
  <si>
    <t>Saludtools</t>
  </si>
  <si>
    <t>camilonaranjo@saludtools.com</t>
  </si>
  <si>
    <t>http://www.linkedin.com/in/camilonaranjokairuz</t>
  </si>
  <si>
    <t>http://www.linkedin.com/company/saludtools</t>
  </si>
  <si>
    <t>https://saludtools.com</t>
  </si>
  <si>
    <t>Clinikals</t>
  </si>
  <si>
    <t>gerencia@clinikals.com</t>
  </si>
  <si>
    <t>http://www.linkedin.com/in/juanpablosoriom</t>
  </si>
  <si>
    <t>http://www.linkedin.com/company/clinikals</t>
  </si>
  <si>
    <t>https://clinikals.com</t>
  </si>
  <si>
    <t>DonRep</t>
  </si>
  <si>
    <t>carlos@donrep.co</t>
  </si>
  <si>
    <t>http://www.linkedin.com/in/cmichelsen-1992</t>
  </si>
  <si>
    <t>http://www.linkedin.com/company/donrep</t>
  </si>
  <si>
    <t>https://donrep.co</t>
  </si>
  <si>
    <t>Founder General and Commercial Manager</t>
  </si>
  <si>
    <t>Trust Capital Advisors Ltda</t>
  </si>
  <si>
    <t>oscarbincos@trustcapitaladvisors.com</t>
  </si>
  <si>
    <t>http://www.linkedin.com/in/oscarbincosuribe</t>
  </si>
  <si>
    <t>http://www.linkedin.com/company/trust-capital-advisors-ltda</t>
  </si>
  <si>
    <t>https://trustcapitaladvisors.com</t>
  </si>
  <si>
    <t>CEO / Director Ejecutivo</t>
  </si>
  <si>
    <t>WaMa Pharma SAS</t>
  </si>
  <si>
    <t>miguel.rodriguez@wamapharma.com</t>
  </si>
  <si>
    <t>http://www.linkedin.com/in/miguel-%c3%a1ngel-rodr%c3%adguez-11886a42</t>
  </si>
  <si>
    <t>http://www.linkedin.com/company/wama-pharma-sas</t>
  </si>
  <si>
    <t>https://wamapharma.com</t>
  </si>
  <si>
    <t>Camara</t>
  </si>
  <si>
    <t>Cámara de Comercio Árabe Colombiana</t>
  </si>
  <si>
    <t>presidencia@ccac.com.co</t>
  </si>
  <si>
    <t>http://www.linkedin.com/in/c%c3%a1mara-de-comercio-%c3%a1rabe-colombiana</t>
  </si>
  <si>
    <t>http://www.linkedin.com/company/arab-colombian-chamber-of-commerce</t>
  </si>
  <si>
    <t>https://ccac.com.co</t>
  </si>
  <si>
    <t>Business Intelligence 360</t>
  </si>
  <si>
    <t>carango@bi360.ai</t>
  </si>
  <si>
    <t>http://www.linkedin.com/in/camilo-arango-hoyos-39522250</t>
  </si>
  <si>
    <t>http://www.linkedin.com/company/business-intelligence-360</t>
  </si>
  <si>
    <t>https://bi360.com.co</t>
  </si>
  <si>
    <t>Eduar</t>
  </si>
  <si>
    <t>CEO y Founder en Mawii ¡Enfócate en tu Negocio, Nosotros lo Mantenemos en Orden!</t>
  </si>
  <si>
    <t>Mawii</t>
  </si>
  <si>
    <t>e@mawii.com.co</t>
  </si>
  <si>
    <t>http://www.linkedin.com/in/eduar-mauricio-tovar-lugo</t>
  </si>
  <si>
    <t>http://www.linkedin.com/company/mawii</t>
  </si>
  <si>
    <t>https://mawii.com.co</t>
  </si>
  <si>
    <t>Colombia Cuida a Colombia</t>
  </si>
  <si>
    <t>http://www.linkedin.com/in/maria-jose-rubio-de-hart-94ba019</t>
  </si>
  <si>
    <t>http://www.linkedin.com/company/colombiacuidaacolombia</t>
  </si>
  <si>
    <t>https://colombiacuidacolombia.com</t>
  </si>
  <si>
    <t>COO Chief Operating Officer</t>
  </si>
  <si>
    <t>JM Asesores</t>
  </si>
  <si>
    <t>javiermogollon@jmasesoress.com</t>
  </si>
  <si>
    <t>http://www.linkedin.com/in/javier-roberto-mogollon-mendoza-79094935</t>
  </si>
  <si>
    <t>http://www.linkedin.com/company/jm-asesores</t>
  </si>
  <si>
    <t>https://jmasesores.com.mx</t>
  </si>
  <si>
    <t>Dreams Uncorporated</t>
  </si>
  <si>
    <t>carlos@uncorporated.co</t>
  </si>
  <si>
    <t>http://www.linkedin.com/in/carlosdreams</t>
  </si>
  <si>
    <t>http://www.linkedin.com/company/dreams-uncorporated</t>
  </si>
  <si>
    <t>https://uncorporated.co</t>
  </si>
  <si>
    <t>CFO &amp; Co-founder</t>
  </si>
  <si>
    <t>MUTA</t>
  </si>
  <si>
    <t>estefania@mutaworld.com</t>
  </si>
  <si>
    <t>http://www.linkedin.com/in/estefania-abello-plata</t>
  </si>
  <si>
    <t>http://www.linkedin.com/company/muta-app</t>
  </si>
  <si>
    <t>https://mutaworld.com</t>
  </si>
  <si>
    <t>Uniflow App</t>
  </si>
  <si>
    <t>jorge@uniflowapp.com</t>
  </si>
  <si>
    <t>http://www.linkedin.com/in/jorge-tarazona-b2b479a3</t>
  </si>
  <si>
    <t>http://www.linkedin.com/company/uniflow-app</t>
  </si>
  <si>
    <t>https://uniflowapp.com</t>
  </si>
  <si>
    <t>Co-Founder - COB - Chief Legal Officer &amp; Head Investors Officer Reteki SAS</t>
  </si>
  <si>
    <t>guillermo.gonzalez@reteki.com</t>
  </si>
  <si>
    <t>http://www.linkedin.com/in/guillermo-gonzalez-79534925</t>
  </si>
  <si>
    <t>Callbook AI</t>
  </si>
  <si>
    <t>diego@callbook.ai</t>
  </si>
  <si>
    <t>http://www.linkedin.com/in/diegoavellaneda</t>
  </si>
  <si>
    <t>http://www.linkedin.com/company/callbook-ai</t>
  </si>
  <si>
    <t>https://callbook.ai</t>
  </si>
  <si>
    <t>Marketing Manager - Product Owner</t>
  </si>
  <si>
    <t>Takúm</t>
  </si>
  <si>
    <t>maria.saldarriaga@takum.co</t>
  </si>
  <si>
    <t>http://www.linkedin.com/in/maria-ximena-saldarriaga-cuartas-</t>
  </si>
  <si>
    <t>http://www.linkedin.com/company/takum</t>
  </si>
  <si>
    <t>https://takum.co</t>
  </si>
  <si>
    <t>Co-Founder and CPO, Chief Product Officer</t>
  </si>
  <si>
    <t>O-lab App</t>
  </si>
  <si>
    <t>jesus@o-lab.app</t>
  </si>
  <si>
    <t>http://www.linkedin.com/in/jesusrojasrojas</t>
  </si>
  <si>
    <t>http://www.linkedin.com/company/o-lab-ai</t>
  </si>
  <si>
    <t>https://o-lab.ai</t>
  </si>
  <si>
    <t>Director of Product &amp; Marketing | Product Leadership</t>
  </si>
  <si>
    <t>Global Authenticity</t>
  </si>
  <si>
    <t>lina.rojas@globalauthenticity.com</t>
  </si>
  <si>
    <t>http://www.linkedin.com/in/linamar-rojas</t>
  </si>
  <si>
    <t>http://www.linkedin.com/company/global-authenticity-llc</t>
  </si>
  <si>
    <t>https://globalauthenticity.com</t>
  </si>
  <si>
    <t>Russell</t>
  </si>
  <si>
    <t>Gaia Compost Capital</t>
  </si>
  <si>
    <t>russ@gaiacc.com</t>
  </si>
  <si>
    <t>http://www.linkedin.com/in/russ-manning</t>
  </si>
  <si>
    <t>http://www.linkedin.com/company/gaia-compost-capital</t>
  </si>
  <si>
    <t>https://gaiacc.com</t>
  </si>
  <si>
    <t>VP of International Operations</t>
  </si>
  <si>
    <t>Total Protection</t>
  </si>
  <si>
    <t>ana.obando@thetotalprotection.com</t>
  </si>
  <si>
    <t>http://www.linkedin.com/in/ana-lucia-obando-29ab0a167</t>
  </si>
  <si>
    <t>http://www.linkedin.com/company/thetotalprotection</t>
  </si>
  <si>
    <t>https://thetotalprotection.com</t>
  </si>
  <si>
    <t>Next Leap</t>
  </si>
  <si>
    <t>miguel@nxlp.space</t>
  </si>
  <si>
    <t>http://www.linkedin.com/in/miguelmar99</t>
  </si>
  <si>
    <t>http://www.linkedin.com/company/nxlpspace</t>
  </si>
  <si>
    <t>https://nxlp.space</t>
  </si>
  <si>
    <t>Cacao Hunters</t>
  </si>
  <si>
    <t>c.velasco@cacaohunters.com</t>
  </si>
  <si>
    <t>http://www.linkedin.com/in/carlos-ignacio-velasco-castrill%c3%b3n-3588b713</t>
  </si>
  <si>
    <t>http://www.linkedin.com/company/cacao-hunters</t>
  </si>
  <si>
    <t>https://cacaohunters.com</t>
  </si>
  <si>
    <t>Vicepresident of Sales</t>
  </si>
  <si>
    <t>JIC Powercomm Xperts</t>
  </si>
  <si>
    <t>andres.contreras@jicxperts.com</t>
  </si>
  <si>
    <t>http://www.linkedin.com/in/andres-felipe-contreras-castro-a4512b266</t>
  </si>
  <si>
    <t>http://www.linkedin.com/company/jic-powercomm-xperts</t>
  </si>
  <si>
    <t>https://jicxperts.com</t>
  </si>
  <si>
    <t>Logyg S.A.S</t>
  </si>
  <si>
    <t>rarias@logisticaygps.com.co</t>
  </si>
  <si>
    <t>http://www.linkedin.com/in/rodrigo-arias-obando</t>
  </si>
  <si>
    <t>http://www.linkedin.com/company/logyg</t>
  </si>
  <si>
    <t>https://logisticaygps.com.co</t>
  </si>
  <si>
    <t>VP Operations &amp; Procurement</t>
  </si>
  <si>
    <t>The Play Initiative</t>
  </si>
  <si>
    <t>andrea@theplayinitiative.com</t>
  </si>
  <si>
    <t>http://www.linkedin.com/in/andreaheppolette</t>
  </si>
  <si>
    <t>http://www.linkedin.com/company/the-play-initiative</t>
  </si>
  <si>
    <t>https://theplayinitiative.com</t>
  </si>
  <si>
    <t>CEO / Intra-emprendedor / CO-Founder</t>
  </si>
  <si>
    <t>Finko</t>
  </si>
  <si>
    <t>juan@agrofinko.com</t>
  </si>
  <si>
    <t>http://www.linkedin.com/in/juestrad</t>
  </si>
  <si>
    <t>http://www.linkedin.com/company/agrofinko</t>
  </si>
  <si>
    <t>https://agrofinko.com</t>
  </si>
  <si>
    <t>HUB Soluciones Inmobiliarias</t>
  </si>
  <si>
    <t>gerencia@hubsas.com</t>
  </si>
  <si>
    <t>http://www.linkedin.com/in/vivianaelias</t>
  </si>
  <si>
    <t>http://www.linkedin.com/company/hub-soluciones-inmobiliarias</t>
  </si>
  <si>
    <t>https://hubsas.com</t>
  </si>
  <si>
    <t>Fused Form</t>
  </si>
  <si>
    <t>juan.blanco@fusedformcorp.com</t>
  </si>
  <si>
    <t>http://www.linkedin.com/in/juan-blanco-77413b74</t>
  </si>
  <si>
    <t>http://www.linkedin.com/company/fusedform</t>
  </si>
  <si>
    <t>https://fusedformcorp.com</t>
  </si>
  <si>
    <t>Solarwin Colombia</t>
  </si>
  <si>
    <t>santiago@solarwin.co</t>
  </si>
  <si>
    <t>http://www.linkedin.com/in/santiago-garcia-bourg-ab825834</t>
  </si>
  <si>
    <t>http://www.linkedin.com/company/solarwin-colombia</t>
  </si>
  <si>
    <t>https://solarwin.co</t>
  </si>
  <si>
    <t>Director de Desarrollo de Nuevos Negocios</t>
  </si>
  <si>
    <t>Custom</t>
  </si>
  <si>
    <t>lrestrepo@custom.com.co</t>
  </si>
  <si>
    <t>http://www.linkedin.com/in/luis-enrique-restrepo-arcieri-ab52a62b</t>
  </si>
  <si>
    <t>http://www.linkedin.com/company/custom-logistica-servicio</t>
  </si>
  <si>
    <t>https://custom.com.co</t>
  </si>
  <si>
    <t>Active Cloud CRM</t>
  </si>
  <si>
    <t>jaime@activegroupcloud.com</t>
  </si>
  <si>
    <t>http://www.linkedin.com/in/jaime-mart%c3%adnez-torres-94063426</t>
  </si>
  <si>
    <t>http://www.linkedin.com/company/active-group-cloud</t>
  </si>
  <si>
    <t>https://activegroupcloud.com</t>
  </si>
  <si>
    <t>juan@numbi.ai</t>
  </si>
  <si>
    <t>http://www.linkedin.com/in/juancamilocanal</t>
  </si>
  <si>
    <t>mundo común</t>
  </si>
  <si>
    <t>isabelcavelier@mundocomun.org</t>
  </si>
  <si>
    <t>http://www.linkedin.com/in/isabel-cavelier-adarve</t>
  </si>
  <si>
    <t>http://www.linkedin.com/company/mundo-comun</t>
  </si>
  <si>
    <t>https://mundocomun.org</t>
  </si>
  <si>
    <t>Alliances &amp; Marketing Head</t>
  </si>
  <si>
    <t>RSec Group</t>
  </si>
  <si>
    <t>paola.arbelaez@rsecgroup.com</t>
  </si>
  <si>
    <t>http://www.linkedin.com/in/paola-arbelaez-436679207</t>
  </si>
  <si>
    <t>http://www.linkedin.com/company/rsec-americas</t>
  </si>
  <si>
    <t>https://rsec.ai</t>
  </si>
  <si>
    <t>Paulo</t>
  </si>
  <si>
    <t>Director Ejecutivo (CEO)</t>
  </si>
  <si>
    <t>Zavior Consulting</t>
  </si>
  <si>
    <t>pvergara@zavior.co</t>
  </si>
  <si>
    <t>http://www.linkedin.com/in/paulo-vergara-741b49b</t>
  </si>
  <si>
    <t>http://www.linkedin.com/company/zavior-consulting</t>
  </si>
  <si>
    <t>https://zavior.app</t>
  </si>
  <si>
    <t>Vicente</t>
  </si>
  <si>
    <t>Co-Founder and CTO</t>
  </si>
  <si>
    <t>Flexi Wires</t>
  </si>
  <si>
    <t>vicente@crandon.partners</t>
  </si>
  <si>
    <t>http://www.linkedin.com/in/vicentebustamante</t>
  </si>
  <si>
    <t>http://www.linkedin.com/company/flexi-wires</t>
  </si>
  <si>
    <t>https://crandon.partners</t>
  </si>
  <si>
    <t>SI SEÑORA Edtech</t>
  </si>
  <si>
    <t>natalia.gonzalez@sisenoragencia.com</t>
  </si>
  <si>
    <t>http://www.linkedin.com/in/natalia-gonzalez-sanchez</t>
  </si>
  <si>
    <t>http://www.linkedin.com/company/si-se%c3%b1ora-bootcamp</t>
  </si>
  <si>
    <t>https://sisenora.com</t>
  </si>
  <si>
    <t>CTO &amp; CoFounder</t>
  </si>
  <si>
    <t>Kuadra®</t>
  </si>
  <si>
    <t>milton@kuadra.com.co</t>
  </si>
  <si>
    <t>http://www.linkedin.com/in/milton-yesid-fernandez-gonzalez</t>
  </si>
  <si>
    <t>http://www.linkedin.com/company/kuadralatam</t>
  </si>
  <si>
    <t>https://kuadra.com</t>
  </si>
  <si>
    <t>Allan</t>
  </si>
  <si>
    <t>CEO at ExceEd Workshops</t>
  </si>
  <si>
    <t>ExceEd Workshops</t>
  </si>
  <si>
    <t>allantaggart@exceedworkshops.com</t>
  </si>
  <si>
    <t>http://www.linkedin.com/in/allan-taggart-4b199912</t>
  </si>
  <si>
    <t>http://www.linkedin.com/company/exceedworkshops</t>
  </si>
  <si>
    <t>https://exceedworkshops.com</t>
  </si>
  <si>
    <t>Loto Punto</t>
  </si>
  <si>
    <t>victor@lotopunto.co</t>
  </si>
  <si>
    <t>http://www.linkedin.com/in/victor-espinosa-2237311a</t>
  </si>
  <si>
    <t>http://www.linkedin.com/company/loto-punto</t>
  </si>
  <si>
    <t>https://lotopunto.co</t>
  </si>
  <si>
    <t>Capitalizando Datos</t>
  </si>
  <si>
    <t>rafael.gonzalez@capitalizandodatos.com.co</t>
  </si>
  <si>
    <t>http://www.linkedin.com/in/rafael-gonz%c3%a1lez-24662730</t>
  </si>
  <si>
    <t>http://www.linkedin.com/company/capitalizandodatos</t>
  </si>
  <si>
    <t>https://capitalizandodatos.com.co</t>
  </si>
  <si>
    <t>Bram</t>
  </si>
  <si>
    <t>Founder and Co-director of Amazon Underworld</t>
  </si>
  <si>
    <t>Amazon Underworld</t>
  </si>
  <si>
    <t>bram.ebus@amazonunderworld.org</t>
  </si>
  <si>
    <t>http://www.linkedin.com/in/bram-ebus-6aa204102</t>
  </si>
  <si>
    <t>http://www.linkedin.com/company/amazon-underworld</t>
  </si>
  <si>
    <t>https://amazonunderworld.org</t>
  </si>
  <si>
    <t>hismart copilot</t>
  </si>
  <si>
    <t>andresbotero@hismart.com.co</t>
  </si>
  <si>
    <t>http://www.linkedin.com/in/andresboterofranco</t>
  </si>
  <si>
    <t>http://www.linkedin.com/company/hismartmedical</t>
  </si>
  <si>
    <t>https://hismart.com.co</t>
  </si>
  <si>
    <t>Yonaira</t>
  </si>
  <si>
    <t>Marketing and Sales Director</t>
  </si>
  <si>
    <t>Impactar</t>
  </si>
  <si>
    <t>http://www.linkedin.com/in/yonaira-ram%c3%adrez-964a471a7</t>
  </si>
  <si>
    <t>http://www.linkedin.com/company/impactar</t>
  </si>
  <si>
    <t>https://impactar.com.co</t>
  </si>
  <si>
    <t>CEO &amp; Founder PROforum.biz</t>
  </si>
  <si>
    <t>CxOforum</t>
  </si>
  <si>
    <t>presidencia@cxoforum.net</t>
  </si>
  <si>
    <t>http://www.linkedin.com/in/ricardoolarte</t>
  </si>
  <si>
    <t>http://www.linkedin.com/company/cxoforum-net</t>
  </si>
  <si>
    <t>https://cxoforum.net</t>
  </si>
  <si>
    <t>Aztec Lab</t>
  </si>
  <si>
    <t>martin@azteclab.co</t>
  </si>
  <si>
    <t>http://www.linkedin.com/in/martin-vasquez-escobar</t>
  </si>
  <si>
    <t>http://www.linkedin.com/company/azteclab</t>
  </si>
  <si>
    <t>https://azteclab.co</t>
  </si>
  <si>
    <t>Valentina</t>
  </si>
  <si>
    <t>Marathon Talent</t>
  </si>
  <si>
    <t>valentina.gutierrez@mkcorp.com</t>
  </si>
  <si>
    <t>http://www.linkedin.com/in/valentinaguti%c3%a9rrezsokoloff</t>
  </si>
  <si>
    <t>http://www.linkedin.com/company/marathon-talent-agency</t>
  </si>
  <si>
    <t>https://marathontalent.com</t>
  </si>
  <si>
    <t>Sourcing Experts</t>
  </si>
  <si>
    <t>jferrer@sourcing-experts.co</t>
  </si>
  <si>
    <t>http://www.linkedin.com/in/jaime-andres-ferrer-53996539</t>
  </si>
  <si>
    <t>http://www.linkedin.com/company/sourcing-experts</t>
  </si>
  <si>
    <t>https://sourcing-experts.co</t>
  </si>
  <si>
    <t>VP of Growth</t>
  </si>
  <si>
    <t>Prestigio</t>
  </si>
  <si>
    <t>arturo.mejia@prestigio.com.co</t>
  </si>
  <si>
    <t>http://www.linkedin.com/in/arturo-mejia-avila-talento-rrhh</t>
  </si>
  <si>
    <t>http://www.linkedin.com/company/prestigio-la</t>
  </si>
  <si>
    <t>https://prestigio.com.co</t>
  </si>
  <si>
    <t>santiago@minteo.com</t>
  </si>
  <si>
    <t>http://www.linkedin.com/in/santiagorodriguezortiz</t>
  </si>
  <si>
    <t>Melissa</t>
  </si>
  <si>
    <t>País de Raíz</t>
  </si>
  <si>
    <t>melissa.castrillon@paisderaiz.com</t>
  </si>
  <si>
    <t>http://www.linkedin.com/in/melissacastrillonmontealegre</t>
  </si>
  <si>
    <t>http://www.linkedin.com/company/pais-de-raiz</t>
  </si>
  <si>
    <t>https://paisderaiz.com</t>
  </si>
  <si>
    <t>Creative Director</t>
  </si>
  <si>
    <t>GRUPO RI</t>
  </si>
  <si>
    <t>fgiraldo@grupori.com</t>
  </si>
  <si>
    <t>http://www.linkedin.com/in/felipe-giraldo-cardoso-4278b641</t>
  </si>
  <si>
    <t>http://www.linkedin.com/company/grupo-ri</t>
  </si>
  <si>
    <t>https://grupori.com</t>
  </si>
  <si>
    <t>Ambana</t>
  </si>
  <si>
    <t>diego@ambana.com</t>
  </si>
  <si>
    <t>http://www.linkedin.com/in/diegovarelaambana</t>
  </si>
  <si>
    <t>http://www.linkedin.com/company/ambana</t>
  </si>
  <si>
    <t>https://ambana.com</t>
  </si>
  <si>
    <t>Luma Cloud</t>
  </si>
  <si>
    <t>juanalvarez@lumacloud.co</t>
  </si>
  <si>
    <t>http://www.linkedin.com/in/juancarlosalvarez85</t>
  </si>
  <si>
    <t>http://www.linkedin.com/company/grupolumacloud</t>
  </si>
  <si>
    <t>https://lumacloud.co</t>
  </si>
  <si>
    <t>Cofounder &amp; Innovation Director</t>
  </si>
  <si>
    <t>Emergente</t>
  </si>
  <si>
    <t>santiago.ortega@emergente.com.co</t>
  </si>
  <si>
    <t>http://www.linkedin.com/in/santiago-ortega-arango</t>
  </si>
  <si>
    <t>http://www.linkedin.com/company/emergente</t>
  </si>
  <si>
    <t>https://emergente.com.co</t>
  </si>
  <si>
    <t>Parques Infantiles de Colombia by Grupo AZLO</t>
  </si>
  <si>
    <t>gerencia@parquesinfantilesdecolombia.com</t>
  </si>
  <si>
    <t>http://www.linkedin.com/in/juan-camilo-ortiz-lievano-70353b69</t>
  </si>
  <si>
    <t>http://www.linkedin.com/company/parques-infantiles-de-colombia---grupo-azlo</t>
  </si>
  <si>
    <t>https://parquesinfantilesdecolombia.com</t>
  </si>
  <si>
    <t>Tomas</t>
  </si>
  <si>
    <t>Aleph</t>
  </si>
  <si>
    <t>tconcha@aleph.com.co</t>
  </si>
  <si>
    <t>http://www.linkedin.com/in/tom%c3%a1s-concha-llorente-ba787986</t>
  </si>
  <si>
    <t>http://www.linkedin.com/company/ialeph</t>
  </si>
  <si>
    <t>https://aleph.com.co</t>
  </si>
  <si>
    <t>ONBEE</t>
  </si>
  <si>
    <t>salvarez@qpros.co</t>
  </si>
  <si>
    <t>http://www.linkedin.com/in/santiagojoaquinalvarez</t>
  </si>
  <si>
    <t>http://www.linkedin.com/company/onbee-ar</t>
  </si>
  <si>
    <t>https://qpros.co</t>
  </si>
  <si>
    <t>Johanna</t>
  </si>
  <si>
    <t>TxC iMPACT</t>
  </si>
  <si>
    <t>johanna@tirandoxcolombia.com</t>
  </si>
  <si>
    <t>http://www.linkedin.com/in/johannacordovez</t>
  </si>
  <si>
    <t>http://www.linkedin.com/company/tirandoxcolombia</t>
  </si>
  <si>
    <t>https://tirandoxcolombia.com</t>
  </si>
  <si>
    <t>Starter Company</t>
  </si>
  <si>
    <t>jgabriel@starter.com.co</t>
  </si>
  <si>
    <t>http://www.linkedin.com/in/juan-gabriel-arboleda-13998645</t>
  </si>
  <si>
    <t>http://www.linkedin.com/company/startco</t>
  </si>
  <si>
    <t>https://startco.com.co</t>
  </si>
  <si>
    <t>Ausum Cloud</t>
  </si>
  <si>
    <t>jose.cifuentes@ausum.cloud</t>
  </si>
  <si>
    <t>http://www.linkedin.com/in/josevcifuentes</t>
  </si>
  <si>
    <t>http://www.linkedin.com/company/ausum-cloud</t>
  </si>
  <si>
    <t>https://ausum.cloud</t>
  </si>
  <si>
    <t>Ximena</t>
  </si>
  <si>
    <t>EQUIIS SAS</t>
  </si>
  <si>
    <t>ximena.acosta@equiis.com.co</t>
  </si>
  <si>
    <t>http://www.linkedin.com/in/ximena-acosta-santos-6206a187</t>
  </si>
  <si>
    <t>http://www.linkedin.com/company/equiis-sas</t>
  </si>
  <si>
    <t>https://equiis.com.co</t>
  </si>
  <si>
    <t>Karolynn</t>
  </si>
  <si>
    <t>Founding Chief Medical Officer</t>
  </si>
  <si>
    <t>bioXcellerator</t>
  </si>
  <si>
    <t>karolynn@bioxcellerator.com</t>
  </si>
  <si>
    <t>http://www.linkedin.com/in/karolynn-halpert-b5a58773</t>
  </si>
  <si>
    <t>http://www.linkedin.com/company/bioxcellerator-com</t>
  </si>
  <si>
    <t>https://bioxcellerator.com</t>
  </si>
  <si>
    <t>Founder Partner</t>
  </si>
  <si>
    <t>OpenAtlas</t>
  </si>
  <si>
    <t>sergio@openatlas.tech</t>
  </si>
  <si>
    <t>http://www.linkedin.com/in/sergioleon</t>
  </si>
  <si>
    <t>http://www.linkedin.com/company/openatlas</t>
  </si>
  <si>
    <t>https://openatlas.tech</t>
  </si>
  <si>
    <t>CEO &amp; Consultora Gestión Humana</t>
  </si>
  <si>
    <t>HR Management S.A.S</t>
  </si>
  <si>
    <t>abarreto@hrmanagement.com.co</t>
  </si>
  <si>
    <t>http://www.linkedin.com/in/adriana-barreto-aldana-2b531325</t>
  </si>
  <si>
    <t>http://www.linkedin.com/company/hrmanagementsas</t>
  </si>
  <si>
    <t>https://hrmanagement.com.co</t>
  </si>
  <si>
    <t>Co-founder and CEO</t>
  </si>
  <si>
    <t>Dogma Biotech</t>
  </si>
  <si>
    <t>sergio@dogmabiotech.bio</t>
  </si>
  <si>
    <t>http://www.linkedin.com/in/sergio-mario-del-risco-41993a107</t>
  </si>
  <si>
    <t>http://www.linkedin.com/company/dogma-biotech</t>
  </si>
  <si>
    <t>https://dogmabiotech.bio</t>
  </si>
  <si>
    <t>Elyssa App</t>
  </si>
  <si>
    <t>diego@elyssa.app</t>
  </si>
  <si>
    <t>http://www.linkedin.com/in/diego-parra-00175b141</t>
  </si>
  <si>
    <t>http://www.linkedin.com/company/elyssa-app</t>
  </si>
  <si>
    <t>https://elyssa.app</t>
  </si>
  <si>
    <t>Duberney</t>
  </si>
  <si>
    <t>Ahorro y Eficiencia Energética SAS</t>
  </si>
  <si>
    <t>dcamargo@ahorroyeficienciaenergetica.com.co</t>
  </si>
  <si>
    <t>http://www.linkedin.com/in/duberney-camargo</t>
  </si>
  <si>
    <t>http://www.linkedin.com/company/ahorro-y-eficiencia-energetica-sas</t>
  </si>
  <si>
    <t>https://ahorroyeficienciaenergetica.com.co</t>
  </si>
  <si>
    <t>semiconductors</t>
  </si>
  <si>
    <t>Monica</t>
  </si>
  <si>
    <t>SER EN ACCIÓN</t>
  </si>
  <si>
    <t>monicalopez@serenaccion.com.co</t>
  </si>
  <si>
    <t>http://www.linkedin.com/in/monicamarialopezsanchez</t>
  </si>
  <si>
    <t>http://www.linkedin.com/company/serenaccion</t>
  </si>
  <si>
    <t>https://serenaccion.com.co</t>
  </si>
  <si>
    <t>Red Collision Studios</t>
  </si>
  <si>
    <t>sebastian@redcollisionstudios.com</t>
  </si>
  <si>
    <t>http://www.linkedin.com/in/sebasti%c3%a1n-caballero-162832b6</t>
  </si>
  <si>
    <t>http://www.linkedin.com/company/red-collision-studios</t>
  </si>
  <si>
    <t>https://redcollisionstudios.com</t>
  </si>
  <si>
    <t>Latitud Consultores</t>
  </si>
  <si>
    <t>gerencia@latitudconsultores.com.co</t>
  </si>
  <si>
    <t>http://www.linkedin.com/in/diego-luengas</t>
  </si>
  <si>
    <t>http://www.linkedin.com/company/latitud-consultores</t>
  </si>
  <si>
    <t>https://latitudconsultores.com.co</t>
  </si>
  <si>
    <t>Cofounder &amp; CEO at Babylon</t>
  </si>
  <si>
    <t>Babylon-Plataforma de seguros</t>
  </si>
  <si>
    <t>oscar.reyes@babylon.com.co</t>
  </si>
  <si>
    <t>http://www.linkedin.com/in/oscar-fabian-reyes-ca%c3%b1on-a17a6b91</t>
  </si>
  <si>
    <t>http://www.linkedin.com/company/babylon-plataforma-de-seguros</t>
  </si>
  <si>
    <t>https://babylon.com.co</t>
  </si>
  <si>
    <t>Asegúrate Mejor</t>
  </si>
  <si>
    <t>alejandro@aseguratemejor.com.co</t>
  </si>
  <si>
    <t>http://www.linkedin.com/in/aseguratemejor</t>
  </si>
  <si>
    <t>http://www.linkedin.com/company/aseguratemejor</t>
  </si>
  <si>
    <t>https://aseguratemejor.com.co</t>
  </si>
  <si>
    <t>InsightPlay.ai</t>
  </si>
  <si>
    <t>cbarbosa@insightplay.ai</t>
  </si>
  <si>
    <t>http://www.linkedin.com/in/cristian-barbosa-61761187</t>
  </si>
  <si>
    <t>http://www.linkedin.com/company/insightplayai</t>
  </si>
  <si>
    <t>https://insightplay.ai</t>
  </si>
  <si>
    <t>Autos &amp; Diseños</t>
  </si>
  <si>
    <t>gerencia@autosydisenos.com</t>
  </si>
  <si>
    <t>http://www.linkedin.com/in/luisfbetancourt</t>
  </si>
  <si>
    <t>http://www.linkedin.com/company/autos-dise%c3%b1os</t>
  </si>
  <si>
    <t>https://autosydiseno.com</t>
  </si>
  <si>
    <t>automotive</t>
  </si>
  <si>
    <t>William</t>
  </si>
  <si>
    <t>Siticom S.A.S</t>
  </si>
  <si>
    <t>gerencia@siticom.co</t>
  </si>
  <si>
    <t>http://www.linkedin.com/in/williamamayasaavedra</t>
  </si>
  <si>
    <t>http://www.linkedin.com/company/siticom-sas</t>
  </si>
  <si>
    <t>https://siticom.co</t>
  </si>
  <si>
    <t>Vladimir</t>
  </si>
  <si>
    <t>BRAINS TESTING</t>
  </si>
  <si>
    <t>vladimirberriogarcia@brainstesting.com</t>
  </si>
  <si>
    <t>http://www.linkedin.com/in/vladimir-berrio-garcia-022b96a6</t>
  </si>
  <si>
    <t>http://www.linkedin.com/company/brainstesting</t>
  </si>
  <si>
    <t>https://brainstesting.com</t>
  </si>
  <si>
    <t>ÍDOLO</t>
  </si>
  <si>
    <t>jorge@idolo.club</t>
  </si>
  <si>
    <t>http://www.linkedin.com/in/jorge-macias-3b25995</t>
  </si>
  <si>
    <t>http://www.linkedin.com/company/idoloredsocial</t>
  </si>
  <si>
    <t>https://idolo.club</t>
  </si>
  <si>
    <t>Founder Kloustr Labs</t>
  </si>
  <si>
    <t>Kloustr Labs</t>
  </si>
  <si>
    <t>gerencia@kloustr.com</t>
  </si>
  <si>
    <t>http://www.linkedin.com/in/camiloariasg</t>
  </si>
  <si>
    <t>http://www.linkedin.com/company/kloustr-labs</t>
  </si>
  <si>
    <t>https://kloustrlabs.com</t>
  </si>
  <si>
    <t>Sabio.CX</t>
  </si>
  <si>
    <t>cesar@sabiocx.co</t>
  </si>
  <si>
    <t>http://www.linkedin.com/in/cesarflet</t>
  </si>
  <si>
    <t>http://www.linkedin.com/company/sabio-cx</t>
  </si>
  <si>
    <t>https://sabiocx.co</t>
  </si>
  <si>
    <t>Astrid</t>
  </si>
  <si>
    <t>CEO Huellas con Impacto SpA Chile</t>
  </si>
  <si>
    <t>Mi manual del bebé</t>
  </si>
  <si>
    <t>astrid.castaneda@mimanualdelbebe.com</t>
  </si>
  <si>
    <t>http://www.linkedin.com/in/astrid-castaneda-1a225230</t>
  </si>
  <si>
    <t>http://www.linkedin.com/company/huellas-con-impacto</t>
  </si>
  <si>
    <t>https://mimanualdelbebe.com</t>
  </si>
  <si>
    <t>Fundador &amp; CEO</t>
  </si>
  <si>
    <t>Armatuvaca Alcancías</t>
  </si>
  <si>
    <t>pgaviria@armatuvaca.com</t>
  </si>
  <si>
    <t>http://www.linkedin.com/in/pedro-gaviria-4649552b</t>
  </si>
  <si>
    <t>http://www.linkedin.com/company/alcancias-armatuvaca</t>
  </si>
  <si>
    <t>https://armatuvaca.com</t>
  </si>
  <si>
    <t>Director Ejecutivo (CEO), Cofundador</t>
  </si>
  <si>
    <t>Excenergy</t>
  </si>
  <si>
    <t>andres.perez@excenergy.co</t>
  </si>
  <si>
    <t>http://www.linkedin.com/in/andr%c3%a9s-p%c3%a9rez-91628957</t>
  </si>
  <si>
    <t>http://www.linkedin.com/company/excenergy</t>
  </si>
  <si>
    <t>https://excenergy.co</t>
  </si>
  <si>
    <t>Founder &amp; Chief Executive Compumarketing de Colombia S.A.S.</t>
  </si>
  <si>
    <t>Compumarketing de Colombia S.A.S</t>
  </si>
  <si>
    <t>cjmarinb@compumarketing.net</t>
  </si>
  <si>
    <t>http://www.linkedin.com/in/carlos-julio-marin-bermeo-6743644b</t>
  </si>
  <si>
    <t>http://www.linkedin.com/company/compumarketingsas</t>
  </si>
  <si>
    <t>https://compumarketing.net</t>
  </si>
  <si>
    <t>Legal Bud</t>
  </si>
  <si>
    <t>mariap.bermudez@legalbud.com.co</t>
  </si>
  <si>
    <t>http://www.linkedin.com/in/maria-paula-bermudez</t>
  </si>
  <si>
    <t>http://www.linkedin.com/company/legal-bud</t>
  </si>
  <si>
    <t>https://legalbud.com.co</t>
  </si>
  <si>
    <t>Co-founder &amp; Product Director</t>
  </si>
  <si>
    <t>Bito</t>
  </si>
  <si>
    <t>sebastianburitica@bitoinc.net</t>
  </si>
  <si>
    <t>http://www.linkedin.com/in/sebasby</t>
  </si>
  <si>
    <t>http://www.linkedin.com/company/bito-inc</t>
  </si>
  <si>
    <t>https://bitoinc.co</t>
  </si>
  <si>
    <t>Partner / VP of Production</t>
  </si>
  <si>
    <t>Jaguar Bite</t>
  </si>
  <si>
    <t>juanpablo@jaguarbite.com</t>
  </si>
  <si>
    <t>http://www.linkedin.com/in/juanpsolano</t>
  </si>
  <si>
    <t>http://www.linkedin.com/company/jaguarbite</t>
  </si>
  <si>
    <t>https://jaguarbite.com</t>
  </si>
  <si>
    <t>CANOA-Impacto</t>
  </si>
  <si>
    <t>jpacheco@canoaimpacto.com</t>
  </si>
  <si>
    <t>http://www.linkedin.com/in/pachecoejuan</t>
  </si>
  <si>
    <t>http://www.linkedin.com/company/canoa-impacto</t>
  </si>
  <si>
    <t>https://canoaimpacto.com</t>
  </si>
  <si>
    <t>investment banking</t>
  </si>
  <si>
    <t>VP Cuentas, Innovación y Nuevos Negocios</t>
  </si>
  <si>
    <t>daniel.espana@smartpr.com.co</t>
  </si>
  <si>
    <t>http://www.linkedin.com/in/danielsmartpr</t>
  </si>
  <si>
    <t>LG Consultores</t>
  </si>
  <si>
    <t>lgutierrez@lgconsultores.com.co</t>
  </si>
  <si>
    <t>http://www.linkedin.com/in/lilianagutierrezvelez</t>
  </si>
  <si>
    <t>http://www.linkedin.com/company/lg-consultores-sas</t>
  </si>
  <si>
    <t>https://lgconsultores.com.co</t>
  </si>
  <si>
    <t>Co-Fundador &amp; (CEO) Director Ejecutivo</t>
  </si>
  <si>
    <t>Meteor IA</t>
  </si>
  <si>
    <t>a@meteor.com.co</t>
  </si>
  <si>
    <t>http://www.linkedin.com/in/alejandro-kratc</t>
  </si>
  <si>
    <t>http://www.linkedin.com/company/meteor-ia</t>
  </si>
  <si>
    <t>https://meteor.com.co</t>
  </si>
  <si>
    <t>Icon Consulting &amp;</t>
  </si>
  <si>
    <t>alejandro.farfan@iconconsulting.com.co</t>
  </si>
  <si>
    <t>http://www.linkedin.com/in/alejandrofarfancorrea</t>
  </si>
  <si>
    <t>http://www.linkedin.com/company/iconconsultingpro</t>
  </si>
  <si>
    <t>https://iconconsulting.com.co</t>
  </si>
  <si>
    <t>And</t>
  </si>
  <si>
    <t>Steerr</t>
  </si>
  <si>
    <t>and@steerr.com</t>
  </si>
  <si>
    <t>http://www.linkedin.com/in/and-%c3%a7etin-5a0b212b</t>
  </si>
  <si>
    <t>http://www.linkedin.com/company/steerr</t>
  </si>
  <si>
    <t>https://steerr.com</t>
  </si>
  <si>
    <t>Hernan</t>
  </si>
  <si>
    <t>DIALECT4U</t>
  </si>
  <si>
    <t>mauricio@dialect4u.com</t>
  </si>
  <si>
    <t>http://www.linkedin.com/in/dialect4u</t>
  </si>
  <si>
    <t>http://www.linkedin.com/company/dialect4u</t>
  </si>
  <si>
    <t>https://dialect4u.com</t>
  </si>
  <si>
    <t>Owner - Principal Consultant</t>
  </si>
  <si>
    <t>Synergy TPC S.A.S</t>
  </si>
  <si>
    <t>mmendoza@synergytpc.com</t>
  </si>
  <si>
    <t>http://www.linkedin.com/in/miguelemendoza</t>
  </si>
  <si>
    <t>http://www.linkedin.com/company/synergytpc</t>
  </si>
  <si>
    <t>https://synergytpc.com</t>
  </si>
  <si>
    <t>Herduin</t>
  </si>
  <si>
    <t>LiveConnect® Chat todo en uno WhatsApp Multiagente Instagram Telegram Facebook y LiveChat Web</t>
  </si>
  <si>
    <t>hrivera@exusmultimedia.com</t>
  </si>
  <si>
    <t>http://www.linkedin.com/in/herduin</t>
  </si>
  <si>
    <t>http://www.linkedin.com/company/liveconnect-chat</t>
  </si>
  <si>
    <t>https://liveconnect.chat</t>
  </si>
  <si>
    <t>pablo.ospina@mispropiasfinanzas.com</t>
  </si>
  <si>
    <t>http://www.linkedin.com/in/pabloospina</t>
  </si>
  <si>
    <t>Yesica</t>
  </si>
  <si>
    <t>Favorcito</t>
  </si>
  <si>
    <t>yesica@tufavorcito.com</t>
  </si>
  <si>
    <t>http://www.linkedin.com/in/yesicaquispea</t>
  </si>
  <si>
    <t>http://www.linkedin.com/company/favorcito</t>
  </si>
  <si>
    <t>https://tufavorcito.com</t>
  </si>
  <si>
    <t>Director Nacional de Marketing y Ventas</t>
  </si>
  <si>
    <t>2Group</t>
  </si>
  <si>
    <t>directorventas@2group.us</t>
  </si>
  <si>
    <t>http://www.linkedin.com/in/julianmerlano-ventas</t>
  </si>
  <si>
    <t>http://www.linkedin.com/company/2groupllc</t>
  </si>
  <si>
    <t>https://2group.us</t>
  </si>
  <si>
    <t>Nina</t>
  </si>
  <si>
    <t>Osteobiomed S.A.S</t>
  </si>
  <si>
    <t>nina.orozco@osteobiomed.com</t>
  </si>
  <si>
    <t>http://www.linkedin.com/in/nina-orozco-438735b4</t>
  </si>
  <si>
    <t>http://www.linkedin.com/company/osteobiomed-s.a.s.</t>
  </si>
  <si>
    <t>https://osteobiomed.com</t>
  </si>
  <si>
    <t>Gretty</t>
  </si>
  <si>
    <t>Directora de Marketing Creación de Estrategias Efectivas</t>
  </si>
  <si>
    <t>Unicentro Pereira</t>
  </si>
  <si>
    <t>mercadeo@unicentropereira.com</t>
  </si>
  <si>
    <t>http://www.linkedin.com/in/gretty-ospina-hurtado-450053168</t>
  </si>
  <si>
    <t>http://www.linkedin.com/company/unicentropereira</t>
  </si>
  <si>
    <t>https://unicentropereira.com</t>
  </si>
  <si>
    <t>Luz</t>
  </si>
  <si>
    <t>CEO IPA S.A.S Innovación Agropecuaria</t>
  </si>
  <si>
    <t>IPA</t>
  </si>
  <si>
    <t>gerencia@ipasas.net</t>
  </si>
  <si>
    <t>http://www.linkedin.com/in/luz-elena-mar%c3%adn-cer%c3%b3n-8a28b7175</t>
  </si>
  <si>
    <t>http://www.linkedin.com/company/ipasas</t>
  </si>
  <si>
    <t>https://ipasas.co</t>
  </si>
  <si>
    <t>Lenny</t>
  </si>
  <si>
    <t>CEO Dekin</t>
  </si>
  <si>
    <t>Grupo Estrenar Vivienda</t>
  </si>
  <si>
    <t>lennygomez@tramiti.com.co</t>
  </si>
  <si>
    <t>http://www.linkedin.com/in/lenny-g%c3%b3mez-865379222</t>
  </si>
  <si>
    <t>http://www.linkedin.com/company/estrenar-vivienda</t>
  </si>
  <si>
    <t>https://estrenarvivienda.com</t>
  </si>
  <si>
    <t>Zenta Leader Lab</t>
  </si>
  <si>
    <t>maria.naranjo@pentaconsultoria.com</t>
  </si>
  <si>
    <t>http://www.linkedin.com/in/mariaadelaidanaranjo</t>
  </si>
  <si>
    <t>http://www.linkedin.com/company/laboratorio-liderazgo</t>
  </si>
  <si>
    <t>https://pentaconsultoria.com</t>
  </si>
  <si>
    <t>Aurora Pixel Studio</t>
  </si>
  <si>
    <t>sebastian@aurorapixelstudio.com</t>
  </si>
  <si>
    <t>http://www.linkedin.com/in/sebastianalba</t>
  </si>
  <si>
    <t>http://www.linkedin.com/company/aurora-pixel-studio</t>
  </si>
  <si>
    <t>https://aurorapixelstudio.com</t>
  </si>
  <si>
    <t>CEO - Gerente</t>
  </si>
  <si>
    <t>ICONOI S.A</t>
  </si>
  <si>
    <t>rnassar@iconoi.com</t>
  </si>
  <si>
    <t>http://www.linkedin.com/in/rodrigo-nassar-montoya-8265b810</t>
  </si>
  <si>
    <t>http://www.linkedin.com/company/iconoi-s-a-</t>
  </si>
  <si>
    <t>https://iconoi.com</t>
  </si>
  <si>
    <t>Kevin</t>
  </si>
  <si>
    <t>Entrebell</t>
  </si>
  <si>
    <t>mercadeo@entrebell.com</t>
  </si>
  <si>
    <t>http://www.linkedin.com/in/kevglopez</t>
  </si>
  <si>
    <t>http://www.linkedin.com/company/entrebell</t>
  </si>
  <si>
    <t>https://ducolombia.com</t>
  </si>
  <si>
    <t>Mainkore</t>
  </si>
  <si>
    <t>luis.gamboa@mainkoreglobal.com</t>
  </si>
  <si>
    <t>http://www.linkedin.com/in/luis-fernando-gamboa-perdigon-856a9a47</t>
  </si>
  <si>
    <t>http://www.linkedin.com/company/mainkore</t>
  </si>
  <si>
    <t>https://mainkoreglobal.com</t>
  </si>
  <si>
    <t>Co-Founder and COO</t>
  </si>
  <si>
    <t>Valle Solutions</t>
  </si>
  <si>
    <t>simon@vallesolutions.co</t>
  </si>
  <si>
    <t>http://www.linkedin.com/in/sim%c3%b3n-rodr%c3%adguez-orozco-9615a911b</t>
  </si>
  <si>
    <t>http://www.linkedin.com/company/valle-solutions</t>
  </si>
  <si>
    <t>https://vallesolutions.co</t>
  </si>
  <si>
    <t>Mirko</t>
  </si>
  <si>
    <t>HASP GLOBAL</t>
  </si>
  <si>
    <t>mirko@haspglobal.com</t>
  </si>
  <si>
    <t>http://www.linkedin.com/in/mirko-hofmann-3b54ba6</t>
  </si>
  <si>
    <t>http://www.linkedin.com/company/hasp-global</t>
  </si>
  <si>
    <t>https://haspglobal.com</t>
  </si>
  <si>
    <t>Jefe de Producto y Mercadeo</t>
  </si>
  <si>
    <t>Envases Puros International</t>
  </si>
  <si>
    <t>daniela.salazar@envasespuros.com.co</t>
  </si>
  <si>
    <t>http://www.linkedin.com/in/daniela-salazar-25909b76</t>
  </si>
  <si>
    <t>http://www.linkedin.com/company/envasespurosinternational</t>
  </si>
  <si>
    <t>https://envasespuros.com.co</t>
  </si>
  <si>
    <t>Hernando</t>
  </si>
  <si>
    <t>HGC Arquitectos</t>
  </si>
  <si>
    <t>h.perilla@hgcarquitectos.com</t>
  </si>
  <si>
    <t>http://www.linkedin.com/in/hernando-perilla-a9090654</t>
  </si>
  <si>
    <t>http://www.linkedin.com/company/hgc-arquitectos</t>
  </si>
  <si>
    <t>https://hgcarquitectos.com</t>
  </si>
  <si>
    <t>Aicotravel</t>
  </si>
  <si>
    <t>alejandro@aicotravel.com</t>
  </si>
  <si>
    <t>http://www.linkedin.com/in/alejandro-estrada-99536859</t>
  </si>
  <si>
    <t>http://www.linkedin.com/company/aicotravel</t>
  </si>
  <si>
    <t>https://aicotravel.com</t>
  </si>
  <si>
    <t>Co-Founder, Chief Creative Officer (CCO)</t>
  </si>
  <si>
    <t>jairo@bacongames.co</t>
  </si>
  <si>
    <t>http://www.linkedin.com/in/jairo-nieto-04b76024</t>
  </si>
  <si>
    <t>Co-Founder &amp; Co-CEO</t>
  </si>
  <si>
    <t>TheMadFox</t>
  </si>
  <si>
    <t>daniel@themadfox.com</t>
  </si>
  <si>
    <t>http://www.linkedin.com/in/daniel-vizcaya</t>
  </si>
  <si>
    <t>http://www.linkedin.com/company/themadfox-ai</t>
  </si>
  <si>
    <t>https://themadfox.com</t>
  </si>
  <si>
    <t>Melody Colombia</t>
  </si>
  <si>
    <t>mercadeo@melodycolombia.com.co</t>
  </si>
  <si>
    <t>http://www.linkedin.com/in/johanna-carolina-forero-gaitan</t>
  </si>
  <si>
    <t>http://www.linkedin.com/company/melody-colombia</t>
  </si>
  <si>
    <t>https://melodycolombia.com.co</t>
  </si>
  <si>
    <t>FluxPoint</t>
  </si>
  <si>
    <t>liliana.montero@origen.com.co</t>
  </si>
  <si>
    <t>http://www.linkedin.com/in/liliana-montero-a45a28288</t>
  </si>
  <si>
    <t>http://www.linkedin.com/company/fluxpoint</t>
  </si>
  <si>
    <t>https://fluxpoint.co</t>
  </si>
  <si>
    <t>payGO</t>
  </si>
  <si>
    <t>alejandro.guzman@paygo.cards</t>
  </si>
  <si>
    <t>http://www.linkedin.com/in/alejandro-guzman</t>
  </si>
  <si>
    <t>http://www.linkedin.com/company/paygocards</t>
  </si>
  <si>
    <t>https://paygo.com.co</t>
  </si>
  <si>
    <t>FIFA Licensed Player Agent License no. 202309-4080 Co-Founder</t>
  </si>
  <si>
    <t>Sportainment</t>
  </si>
  <si>
    <t>mbuitrago@sportainment.com.co</t>
  </si>
  <si>
    <t>http://www.linkedin.com/in/mario-andr%c3%a9s-buitrago-87897a14a</t>
  </si>
  <si>
    <t>http://www.linkedin.com/company/sportainmentco</t>
  </si>
  <si>
    <t>https://sportainment.com.co</t>
  </si>
  <si>
    <t>Zabi</t>
  </si>
  <si>
    <t>http://www.linkedin.com/in/nicolas-hoyos-177b47a8</t>
  </si>
  <si>
    <t>http://www.linkedin.com/company/pointwayhq</t>
  </si>
  <si>
    <t>https://pointway.co</t>
  </si>
  <si>
    <t>Gonzalo</t>
  </si>
  <si>
    <t>AKIRI</t>
  </si>
  <si>
    <t>gonzalo.sanchez@centergroupsa.com</t>
  </si>
  <si>
    <t>http://www.linkedin.com/in/gonzalo-sanchez-portela-35648835</t>
  </si>
  <si>
    <t>http://www.linkedin.com/company/akiri-com-co</t>
  </si>
  <si>
    <t>https://akiri.com.co</t>
  </si>
  <si>
    <t>CEO Icrea</t>
  </si>
  <si>
    <t>ICREA International</t>
  </si>
  <si>
    <t>ccortes@icrea-international.org</t>
  </si>
  <si>
    <t>http://www.linkedin.com/in/carolina-cort%c3%a9s-castillo</t>
  </si>
  <si>
    <t>http://www.linkedin.com/company/icrea-international</t>
  </si>
  <si>
    <t>https://icrea-international.org</t>
  </si>
  <si>
    <t>Angelo</t>
  </si>
  <si>
    <t>AuditBrain</t>
  </si>
  <si>
    <t>arodriguez@auditbrain.com</t>
  </si>
  <si>
    <t>http://www.linkedin.com/in/angelo-rodriguez-939ba757</t>
  </si>
  <si>
    <t>http://www.linkedin.com/company/auditbrain</t>
  </si>
  <si>
    <t>https://auditbrain.com</t>
  </si>
  <si>
    <t>Fundador y CEO de ¡Urgent!</t>
  </si>
  <si>
    <t>Urgent</t>
  </si>
  <si>
    <t>carlosandres@urgent.com.co</t>
  </si>
  <si>
    <t>http://www.linkedin.com/in/carloslanch</t>
  </si>
  <si>
    <t>http://www.linkedin.com/company/urgentcol</t>
  </si>
  <si>
    <t>https://urgent.com.co</t>
  </si>
  <si>
    <t>IP Analyst</t>
  </si>
  <si>
    <t>PatentVest</t>
  </si>
  <si>
    <t>http://www.linkedin.com/in/david-licenciarte</t>
  </si>
  <si>
    <t>http://www.linkedin.com/company/patentvest-inc.</t>
  </si>
  <si>
    <t>https://patentvest.com</t>
  </si>
  <si>
    <t>Fabian</t>
  </si>
  <si>
    <t>Intek Group</t>
  </si>
  <si>
    <t>fespinel@intekgroup.com.co</t>
  </si>
  <si>
    <t>http://www.linkedin.com/in/fabian-espinel-b3098552</t>
  </si>
  <si>
    <t>http://www.linkedin.com/company/intek-group-sas</t>
  </si>
  <si>
    <t>https://intekgroup.com.co</t>
  </si>
  <si>
    <t>biotechnology</t>
  </si>
  <si>
    <t>Principal Chief Executive Officer - Cofounder</t>
  </si>
  <si>
    <t>inciti.co</t>
  </si>
  <si>
    <t>pedro@inciti.co</t>
  </si>
  <si>
    <t>http://www.linkedin.com/in/pedroterogris</t>
  </si>
  <si>
    <t>http://www.linkedin.com/company/inciti-co</t>
  </si>
  <si>
    <t>https://inciti.co</t>
  </si>
  <si>
    <t>GrowITalent</t>
  </si>
  <si>
    <t>german.rios@growitalent.com</t>
  </si>
  <si>
    <t>http://www.linkedin.com/in/germanariostrekker</t>
  </si>
  <si>
    <t>http://www.linkedin.com/company/growitalent</t>
  </si>
  <si>
    <t>https://growitalent.com</t>
  </si>
  <si>
    <t>Icebergdata</t>
  </si>
  <si>
    <t>david@iceberg-data.com</t>
  </si>
  <si>
    <t>http://www.linkedin.com/in/david-martin-riveros</t>
  </si>
  <si>
    <t>http://www.linkedin.com/company/icebergdataio</t>
  </si>
  <si>
    <t>https://icebergdata.co</t>
  </si>
  <si>
    <t>nelson@mubon.co</t>
  </si>
  <si>
    <t>http://www.linkedin.com/in/phndavid</t>
  </si>
  <si>
    <t>CEO | coFounder</t>
  </si>
  <si>
    <t>suplAi</t>
  </si>
  <si>
    <t>javier@suplai.app</t>
  </si>
  <si>
    <t>http://www.linkedin.com/in/javier-cohenar-42507416</t>
  </si>
  <si>
    <t>http://www.linkedin.com/company/suplai-app</t>
  </si>
  <si>
    <t>https://suplai.app</t>
  </si>
  <si>
    <t>Consultoría y Diseño en Climatización</t>
  </si>
  <si>
    <t>consultoria@ernestoporras.com</t>
  </si>
  <si>
    <t>http://www.linkedin.com/in/ernesto-porras-consultor</t>
  </si>
  <si>
    <t>http://www.linkedin.com/company/consultoria-en-climatizacion</t>
  </si>
  <si>
    <t>https://consultoriaenclimatizacion.com</t>
  </si>
  <si>
    <t>CEO &amp; Co- Founder</t>
  </si>
  <si>
    <t>Sense Digital</t>
  </si>
  <si>
    <t>carlosabondano@sense-digital.co</t>
  </si>
  <si>
    <t>http://www.linkedin.com/in/ceabondano</t>
  </si>
  <si>
    <t>http://www.linkedin.com/company/sense-digital-colombia</t>
  </si>
  <si>
    <t>https://sense-digital.co</t>
  </si>
  <si>
    <t>General Manager – CEO | Legal Rep</t>
  </si>
  <si>
    <t>Granulados Reciclados de Colombia Greco</t>
  </si>
  <si>
    <t>avalencia@recicladosgreco.com</t>
  </si>
  <si>
    <t>http://www.linkedin.com/in/alejandro-valencia-gomez</t>
  </si>
  <si>
    <t>http://www.linkedin.com/company/reciclados-greco</t>
  </si>
  <si>
    <t>https://recicladosgreco.com</t>
  </si>
  <si>
    <t>building materials</t>
  </si>
  <si>
    <t>Yourz</t>
  </si>
  <si>
    <t>juan@yourz.co</t>
  </si>
  <si>
    <t>http://www.linkedin.com/in/juanyounes-yourz</t>
  </si>
  <si>
    <t>http://www.linkedin.com/company/mindfulness-yourz</t>
  </si>
  <si>
    <t>https://yourz.co</t>
  </si>
  <si>
    <t>Alexis</t>
  </si>
  <si>
    <t>E-TIC</t>
  </si>
  <si>
    <t>alexis.garcia@e-solucionestic.com</t>
  </si>
  <si>
    <t>http://www.linkedin.com/in/alexis-garcia-monroy-etic</t>
  </si>
  <si>
    <t>http://www.linkedin.com/company/eticoficial</t>
  </si>
  <si>
    <t>https://e-tic.co</t>
  </si>
  <si>
    <t>Nestor</t>
  </si>
  <si>
    <t>QUESOS RAROS</t>
  </si>
  <si>
    <t>nestor@quesosraros.com.co</t>
  </si>
  <si>
    <t>http://www.linkedin.com/in/nestorlaverde</t>
  </si>
  <si>
    <t>http://www.linkedin.com/company/quesos-raros</t>
  </si>
  <si>
    <t>https://quesosraros.com.co</t>
  </si>
  <si>
    <t>VP Finance, Sales and Corporate Development</t>
  </si>
  <si>
    <t>Kodiak Intl</t>
  </si>
  <si>
    <t>ldiaz@kodiakintl.com</t>
  </si>
  <si>
    <t>http://www.linkedin.com/in/luis-diaz-18668730</t>
  </si>
  <si>
    <t>http://www.linkedin.com/company/kodiakintl</t>
  </si>
  <si>
    <t>https://kodiakintl.com</t>
  </si>
  <si>
    <t>Stefhania</t>
  </si>
  <si>
    <t>CEO Inspyra - Comunidad F</t>
  </si>
  <si>
    <t>Inspyra</t>
  </si>
  <si>
    <t>smora@inspyra.co</t>
  </si>
  <si>
    <t>http://www.linkedin.com/in/stefhania-mora</t>
  </si>
  <si>
    <t>http://www.linkedin.com/company/inspyra</t>
  </si>
  <si>
    <t>https://inspyra.co</t>
  </si>
  <si>
    <t>Blik</t>
  </si>
  <si>
    <t>sergio@blik.com.co</t>
  </si>
  <si>
    <t>http://www.linkedin.com/in/sergiosanchezrivera</t>
  </si>
  <si>
    <t>http://www.linkedin.com/company/blik-cre</t>
  </si>
  <si>
    <t>https://blik.com.co</t>
  </si>
  <si>
    <t>Cofounder &amp; CDO</t>
  </si>
  <si>
    <t>Betriax</t>
  </si>
  <si>
    <t>andres.amador@betriax.com</t>
  </si>
  <si>
    <t>http://www.linkedin.com/in/andresamadorg</t>
  </si>
  <si>
    <t>http://www.linkedin.com/company/betriax</t>
  </si>
  <si>
    <t>https://betriax.com</t>
  </si>
  <si>
    <t>Elsa</t>
  </si>
  <si>
    <t>Tree-a Enterprises SAS</t>
  </si>
  <si>
    <t>gerente.comercial@tree-a.com.co</t>
  </si>
  <si>
    <t>http://www.linkedin.com/in/elsa-cristina-pe%c3%b1a-fl%c3%b3rez-862267268</t>
  </si>
  <si>
    <t>http://www.linkedin.com/company/tree-aenterprises</t>
  </si>
  <si>
    <t>https://tree-a.com.co</t>
  </si>
  <si>
    <t>Easy Logistics</t>
  </si>
  <si>
    <t>s.moreno@easy-logistics.co</t>
  </si>
  <si>
    <t>http://www.linkedin.com/in/santiago-moreno-591751219</t>
  </si>
  <si>
    <t>http://www.linkedin.com/company/easylogisticsbyia</t>
  </si>
  <si>
    <t>https://easy-logistics.co</t>
  </si>
  <si>
    <t>Boreale</t>
  </si>
  <si>
    <t>felipe.arroyo@boreale.co</t>
  </si>
  <si>
    <t>http://www.linkedin.com/in/felipe-arroyo-douat</t>
  </si>
  <si>
    <t>http://www.linkedin.com/company/boreale-colombia</t>
  </si>
  <si>
    <t>https://boreale.co</t>
  </si>
  <si>
    <t>Retri</t>
  </si>
  <si>
    <t>carlos@retri.com.co</t>
  </si>
  <si>
    <t>http://www.linkedin.com/in/calvaradobotero</t>
  </si>
  <si>
    <t>http://www.linkedin.com/company/retriapp</t>
  </si>
  <si>
    <t>https://retri.app</t>
  </si>
  <si>
    <t>Thomas</t>
  </si>
  <si>
    <t>Entrepreneurs House</t>
  </si>
  <si>
    <t>thomas@entrehouse.com</t>
  </si>
  <si>
    <t>http://www.linkedin.com/in/thomasgeib</t>
  </si>
  <si>
    <t>http://www.linkedin.com/company/entrepreneurs-house</t>
  </si>
  <si>
    <t>https://entrehouse.com</t>
  </si>
  <si>
    <t>Tap Solutions S.A.S</t>
  </si>
  <si>
    <t>jwilliamson@tapsolutions.co</t>
  </si>
  <si>
    <t>http://www.linkedin.com/in/jorge-williamson-5281185</t>
  </si>
  <si>
    <t>http://www.linkedin.com/company/tap-solutions-s-a-s</t>
  </si>
  <si>
    <t>https://tapsolutions.co</t>
  </si>
  <si>
    <t>Dek-O</t>
  </si>
  <si>
    <t>oscar@dek-o.com</t>
  </si>
  <si>
    <t>http://www.linkedin.com/in/oscar-acosta-31602815</t>
  </si>
  <si>
    <t>http://www.linkedin.com/company/dek-o</t>
  </si>
  <si>
    <t>https://dek-o.com</t>
  </si>
  <si>
    <t>Samuel</t>
  </si>
  <si>
    <t>McVey International Group</t>
  </si>
  <si>
    <t>samuel.mcvey@mcveyinternational.com</t>
  </si>
  <si>
    <t>http://www.linkedin.com/in/samuel-mcvey-ed-d-08506485</t>
  </si>
  <si>
    <t>http://www.linkedin.com/company/mcvey-international-group-mig</t>
  </si>
  <si>
    <t>https://mcveyinternational.com</t>
  </si>
  <si>
    <t>Founder &amp; Managing Director</t>
  </si>
  <si>
    <t>RevenueClick</t>
  </si>
  <si>
    <t>jose@revenueclick.co</t>
  </si>
  <si>
    <t>http://www.linkedin.com/in/jose-urdinola-bl%c3%a1zquez-7a873036</t>
  </si>
  <si>
    <t>http://www.linkedin.com/company/revenueclick</t>
  </si>
  <si>
    <t>https://revenueclick.co</t>
  </si>
  <si>
    <t>Doctor SUS</t>
  </si>
  <si>
    <t>asesoria@doctorsus.com</t>
  </si>
  <si>
    <t>http://www.linkedin.com/in/rafaelsus</t>
  </si>
  <si>
    <t>http://www.linkedin.com/company/doctor-sus</t>
  </si>
  <si>
    <t>https://doctorsus.com</t>
  </si>
  <si>
    <t>Recruitment &amp; Business Development Director</t>
  </si>
  <si>
    <t>TopNers</t>
  </si>
  <si>
    <t>viviana@topcruiters.com</t>
  </si>
  <si>
    <t>http://www.linkedin.com/in/vivianareyarenas</t>
  </si>
  <si>
    <t>http://www.linkedin.com/company/topners</t>
  </si>
  <si>
    <t>https://topners.com</t>
  </si>
  <si>
    <t>PoolUP</t>
  </si>
  <si>
    <t>poolupcol@poolup.app</t>
  </si>
  <si>
    <t>http://www.linkedin.com/in/andr%c3%a9s-felipe-v%c3%a1squez-sanjuan-b3bb28127</t>
  </si>
  <si>
    <t>http://www.linkedin.com/company/poolup-ia</t>
  </si>
  <si>
    <t>https://poolup.app</t>
  </si>
  <si>
    <t>Directora de Operaciones y Desarrollo de Negocios</t>
  </si>
  <si>
    <t>CONFECCIONES Y PROMOCIONES S.A.S</t>
  </si>
  <si>
    <t>diana.boyaca@cyp.com.co</t>
  </si>
  <si>
    <t>http://www.linkedin.com/in/dianacristinaboyaca47816b54</t>
  </si>
  <si>
    <t>http://www.linkedin.com/company/confecciones-y-promociones-s-a-s</t>
  </si>
  <si>
    <t>https://cyp.com.co</t>
  </si>
  <si>
    <t>Fundador, CEO &amp; CTO</t>
  </si>
  <si>
    <t>fact or-ia</t>
  </si>
  <si>
    <t>oscar.baquero@factor-ia.co</t>
  </si>
  <si>
    <t>http://www.linkedin.com/in/oscar-baquero-23015812</t>
  </si>
  <si>
    <t>http://www.linkedin.com/company/fact-or-ia</t>
  </si>
  <si>
    <t>https://factor-ia.co</t>
  </si>
  <si>
    <t>COULOMB TECNOLOGIA SAS</t>
  </si>
  <si>
    <t>leonardo.acosta@coulombtecnologia.com</t>
  </si>
  <si>
    <t>http://www.linkedin.com/in/leonardo-acosta-beltran-43836836</t>
  </si>
  <si>
    <t>http://www.linkedin.com/company/coulomb-tecnologia-sas</t>
  </si>
  <si>
    <t>https://coulombtecnologia.com</t>
  </si>
  <si>
    <t>Datavertice S.A.S</t>
  </si>
  <si>
    <t>cesar.murcia@datavertice.com</t>
  </si>
  <si>
    <t>http://www.linkedin.com/in/c%c3%a9sar-augusto-murcia-puente-bab50ba</t>
  </si>
  <si>
    <t>http://www.linkedin.com/company/datavertice</t>
  </si>
  <si>
    <t>https://datavertice.com</t>
  </si>
  <si>
    <t>Nicholas</t>
  </si>
  <si>
    <t>Co-Founder/CEO</t>
  </si>
  <si>
    <t>Cannicina</t>
  </si>
  <si>
    <t>nicholas@cannicina.com</t>
  </si>
  <si>
    <t>http://www.linkedin.com/in/nicholas-chiew-0b380341</t>
  </si>
  <si>
    <t>http://www.linkedin.com/company/cannicina-colombia</t>
  </si>
  <si>
    <t>https://cannicina.com</t>
  </si>
  <si>
    <t>Economist, M.Sc. in Environmental Management. Founder &amp; CEO</t>
  </si>
  <si>
    <t>La Tercera Mirada</t>
  </si>
  <si>
    <t>leonardo.velasquez@la3mirada.com</t>
  </si>
  <si>
    <t>http://www.linkedin.com/in/leonardovelasquezarguello</t>
  </si>
  <si>
    <t>http://www.linkedin.com/company/la-tercera-mirada</t>
  </si>
  <si>
    <t>https://la3mirada.com</t>
  </si>
  <si>
    <t>Cuidarplus IPS</t>
  </si>
  <si>
    <t>juan.unate@cuidarplusips.com</t>
  </si>
  <si>
    <t>http://www.linkedin.com/in/juan-camilo-u%c3%b1ate-c-a7596b17</t>
  </si>
  <si>
    <t>http://www.linkedin.com/company/cuidarplus-ips</t>
  </si>
  <si>
    <t>https://cuidarplusips.com</t>
  </si>
  <si>
    <t>Head of Sales and Marketing</t>
  </si>
  <si>
    <t>Openpay Colombia</t>
  </si>
  <si>
    <t>daniel.hernandez@openpay.mx</t>
  </si>
  <si>
    <t>http://www.linkedin.com/in/daniel-hern%c3%a1ndez-71654261</t>
  </si>
  <si>
    <t>http://www.linkedin.com/company/openpayco</t>
  </si>
  <si>
    <t>https://openpay.co</t>
  </si>
  <si>
    <t>Inandina SAS</t>
  </si>
  <si>
    <t>javier.moreno@inandina.edu.co</t>
  </si>
  <si>
    <t>http://www.linkedin.com/in/javiermorenovalencia</t>
  </si>
  <si>
    <t>http://www.linkedin.com/company/inandina</t>
  </si>
  <si>
    <t>https://inandina.edu.co</t>
  </si>
  <si>
    <t>Jhony</t>
  </si>
  <si>
    <t>Sagy</t>
  </si>
  <si>
    <t>jhony.ospina@sagy.com.co</t>
  </si>
  <si>
    <t>http://www.linkedin.com/in/jhonyospinag</t>
  </si>
  <si>
    <t>http://www.linkedin.com/company/sagyco</t>
  </si>
  <si>
    <t>https://sagy.com.co</t>
  </si>
  <si>
    <t>Over Easy Office</t>
  </si>
  <si>
    <t>camilo.escruceria@overeasyoffice.com</t>
  </si>
  <si>
    <t>http://www.linkedin.com/in/camilo-escruceria-luna</t>
  </si>
  <si>
    <t>http://www.linkedin.com/company/overeasyoffice</t>
  </si>
  <si>
    <t>https://overeasyoffice.com</t>
  </si>
  <si>
    <t>Sami</t>
  </si>
  <si>
    <t>MeUp</t>
  </si>
  <si>
    <t>sami@meup.co</t>
  </si>
  <si>
    <t>http://www.linkedin.com/in/sami-pardo-407770118</t>
  </si>
  <si>
    <t>http://www.linkedin.com/company/meupcolombia1</t>
  </si>
  <si>
    <t>https://meup.co</t>
  </si>
  <si>
    <t>SCN SAS</t>
  </si>
  <si>
    <t>miguel.monroy@scn.com.co</t>
  </si>
  <si>
    <t>http://www.linkedin.com/in/miguel-monroy-031225243</t>
  </si>
  <si>
    <t>http://www.linkedin.com/company/scn-sas</t>
  </si>
  <si>
    <t>https://scn.com.co</t>
  </si>
  <si>
    <t>computer hardware</t>
  </si>
  <si>
    <t>CEO Hakan</t>
  </si>
  <si>
    <t>EcoSpace Soluciones Inteligentes</t>
  </si>
  <si>
    <t>monicacepero@ecospace.design</t>
  </si>
  <si>
    <t>http://www.linkedin.com/in/monica-cepero-uribe</t>
  </si>
  <si>
    <t>http://www.linkedin.com/company/ecospace-soluciones-inteligentes</t>
  </si>
  <si>
    <t>https://ecospace.design</t>
  </si>
  <si>
    <t>EnterKey Ciberseguridad</t>
  </si>
  <si>
    <t>gerencia@enterkey.us</t>
  </si>
  <si>
    <t>http://www.linkedin.com/in/miguelfelizzola</t>
  </si>
  <si>
    <t>http://www.linkedin.com/company/enterkeyciberseguridad</t>
  </si>
  <si>
    <t>https://enterkey.us</t>
  </si>
  <si>
    <t>Xoftix</t>
  </si>
  <si>
    <t>hpulido@xoftix.com</t>
  </si>
  <si>
    <t>http://www.linkedin.com/in/henry-m-pulido-f-b9252014</t>
  </si>
  <si>
    <t>http://www.linkedin.com/company/xoftix</t>
  </si>
  <si>
    <t>https://xoftix.com</t>
  </si>
  <si>
    <t>Prami</t>
  </si>
  <si>
    <t>andres.torres@prami.com.co</t>
  </si>
  <si>
    <t>http://www.linkedin.com/in/andr%c3%a9s-felipe-torres-rueda-61b2a7139</t>
  </si>
  <si>
    <t>http://www.linkedin.com/company/prami-co</t>
  </si>
  <si>
    <t>https://prami.com.co</t>
  </si>
  <si>
    <t>Marketing Director, Marketing Consultant</t>
  </si>
  <si>
    <t>Singularity Health</t>
  </si>
  <si>
    <t>marcela@singularity.health</t>
  </si>
  <si>
    <t>http://www.linkedin.com/in/marcela-iragorri</t>
  </si>
  <si>
    <t>http://www.linkedin.com/company/singularityhealth</t>
  </si>
  <si>
    <t>https://singularity.health</t>
  </si>
  <si>
    <t>Rapporti</t>
  </si>
  <si>
    <t>gustavo@rapporti.io</t>
  </si>
  <si>
    <t>http://www.linkedin.com/in/gustavo-vera-novoa-61046124</t>
  </si>
  <si>
    <t>http://www.linkedin.com/company/rapportiapp</t>
  </si>
  <si>
    <t>https://rapporti.io</t>
  </si>
  <si>
    <t>Indeleble Social</t>
  </si>
  <si>
    <t>ginamontes@indeleblesocial.com</t>
  </si>
  <si>
    <t>http://www.linkedin.com/in/gina-montes-964a7952</t>
  </si>
  <si>
    <t>http://www.linkedin.com/company/in-deleble</t>
  </si>
  <si>
    <t>https://indeleblesocial.com</t>
  </si>
  <si>
    <t>Co-Founder &amp; CIO</t>
  </si>
  <si>
    <t>MPF Invest</t>
  </si>
  <si>
    <t>santiago@mpfinvest.com</t>
  </si>
  <si>
    <t>http://www.linkedin.com/in/santiago-garc%c3%ada-mugno-6b771b94</t>
  </si>
  <si>
    <t>http://www.linkedin.com/company/mpf-invest</t>
  </si>
  <si>
    <t>https://mpfinvest.com</t>
  </si>
  <si>
    <t>VP de Comunicaciones y Mercadeo</t>
  </si>
  <si>
    <t>MPI COLOMBIA</t>
  </si>
  <si>
    <t>diego.pardo@guiods.com</t>
  </si>
  <si>
    <t>http://www.linkedin.com/in/diegopardoramirez</t>
  </si>
  <si>
    <t>http://www.linkedin.com/company/mpicolombia</t>
  </si>
  <si>
    <t>https://guiods.com</t>
  </si>
  <si>
    <t>Cofounder and Podcast Host</t>
  </si>
  <si>
    <t>Dinstinto</t>
  </si>
  <si>
    <t>david@dinstintopodcast.com</t>
  </si>
  <si>
    <t>http://www.linkedin.com/in/davidllanopiedrahita</t>
  </si>
  <si>
    <t>http://www.linkedin.com/company/dinstinto</t>
  </si>
  <si>
    <t>https://dinstinto.es</t>
  </si>
  <si>
    <t>CYSTIC</t>
  </si>
  <si>
    <t>calarcon@cystic.com.co</t>
  </si>
  <si>
    <t>http://www.linkedin.com/in/cealpra</t>
  </si>
  <si>
    <t>http://www.linkedin.com/company/cystic</t>
  </si>
  <si>
    <t>https://cystic.com.co</t>
  </si>
  <si>
    <t>Fundación SalBo</t>
  </si>
  <si>
    <t>msalamanca@fundacionsalbo.org</t>
  </si>
  <si>
    <t>http://www.linkedin.com/in/maria-margarita-salamanca-borrero-margara-contra-el-c%c3%a1ncer-366180198</t>
  </si>
  <si>
    <t>http://www.linkedin.com/company/fundaci%c3%b3n-salbo</t>
  </si>
  <si>
    <t>https://fundacionsalbo.org</t>
  </si>
  <si>
    <t>CEO y Cofundadora</t>
  </si>
  <si>
    <t>BioBoosters</t>
  </si>
  <si>
    <t>vale@bioboosters.co</t>
  </si>
  <si>
    <t>http://www.linkedin.com/in/soyval</t>
  </si>
  <si>
    <t>http://www.linkedin.com/company/bioboosters-nootropics</t>
  </si>
  <si>
    <t>https://bioboosters.co</t>
  </si>
  <si>
    <t>Director General - CEO</t>
  </si>
  <si>
    <t>DEPO</t>
  </si>
  <si>
    <t>fotalora@depo.com.co</t>
  </si>
  <si>
    <t>http://www.linkedin.com/in/fernandootalora</t>
  </si>
  <si>
    <t>http://www.linkedin.com/company/depo-excelencia</t>
  </si>
  <si>
    <t>https://depo.com.co</t>
  </si>
  <si>
    <t>CO - Founder &amp; General Manager</t>
  </si>
  <si>
    <t>Proximateapps</t>
  </si>
  <si>
    <t>astendall@proximateapps.com</t>
  </si>
  <si>
    <t>http://www.linkedin.com/in/alejandro-stendall-3647526</t>
  </si>
  <si>
    <t>http://www.linkedin.com/company/proximateapps</t>
  </si>
  <si>
    <t>https://proximateapps.com</t>
  </si>
  <si>
    <t>Director Comercial y Mercadeo</t>
  </si>
  <si>
    <t>Ágora Bogotá</t>
  </si>
  <si>
    <t>agonzalez@agora-bogota.com</t>
  </si>
  <si>
    <t>http://www.linkedin.com/in/andres-gonzalez-medina-a2909266</t>
  </si>
  <si>
    <t>http://www.linkedin.com/company/agorabogota</t>
  </si>
  <si>
    <t>https://agora-bogota.com</t>
  </si>
  <si>
    <t>Jeronimo</t>
  </si>
  <si>
    <t>Co-Founder - Chief Strategy Officer (CSO)</t>
  </si>
  <si>
    <t>dt.dental</t>
  </si>
  <si>
    <t>jeronimo@dtdental.co</t>
  </si>
  <si>
    <t>http://www.linkedin.com/in/jeronimo-gomez-</t>
  </si>
  <si>
    <t>http://www.linkedin.com/company/dtdentall</t>
  </si>
  <si>
    <t>https://dtdental.co</t>
  </si>
  <si>
    <t>George</t>
  </si>
  <si>
    <t>Alpha IB</t>
  </si>
  <si>
    <t>gokane@alphaib.co</t>
  </si>
  <si>
    <t>http://www.linkedin.com/in/george-o-kane-cfa-568a581a</t>
  </si>
  <si>
    <t>http://www.linkedin.com/company/alphaib</t>
  </si>
  <si>
    <t>https://alphaib.co</t>
  </si>
  <si>
    <t>Apps1</t>
  </si>
  <si>
    <t>camilo@apps1.co</t>
  </si>
  <si>
    <t>http://www.linkedin.com/in/saenzcamilo</t>
  </si>
  <si>
    <t>http://www.linkedin.com/company/apps1</t>
  </si>
  <si>
    <t>https://apps1.co</t>
  </si>
  <si>
    <t>MesaStrategy</t>
  </si>
  <si>
    <t>ana@mesastrategy.com</t>
  </si>
  <si>
    <t>http://www.linkedin.com/in/anamesac</t>
  </si>
  <si>
    <t>http://www.linkedin.com/company/mesastrategy</t>
  </si>
  <si>
    <t>https://mesastrategy.com</t>
  </si>
  <si>
    <t>CEO &amp; Consultor Pensional</t>
  </si>
  <si>
    <t>Gpro Colombia</t>
  </si>
  <si>
    <t>pablo.lopez@gprocolombia.com</t>
  </si>
  <si>
    <t>http://www.linkedin.com/in/pablo-l%c3%b3pez-43948244</t>
  </si>
  <si>
    <t>http://www.linkedin.com/company/gpro-colombia-ltda</t>
  </si>
  <si>
    <t>https://gprocolombia.com</t>
  </si>
  <si>
    <t>Scouty</t>
  </si>
  <si>
    <t>andres@scouty.com.co</t>
  </si>
  <si>
    <t>http://www.linkedin.com/in/andresdiazgranados</t>
  </si>
  <si>
    <t>http://www.linkedin.com/company/scouty-co</t>
  </si>
  <si>
    <t>https://scouty.com.co</t>
  </si>
  <si>
    <t>Co-Founder &amp; Partner</t>
  </si>
  <si>
    <t>Govmates</t>
  </si>
  <si>
    <t>katie@govmates.com</t>
  </si>
  <si>
    <t>http://www.linkedin.com/in/katie-bilek-161612a</t>
  </si>
  <si>
    <t>http://www.linkedin.com/company/govmates</t>
  </si>
  <si>
    <t>https://govmates.com</t>
  </si>
  <si>
    <t>Dexon BPM</t>
  </si>
  <si>
    <t>lbc@dexon.us</t>
  </si>
  <si>
    <t>http://www.linkedin.com/in/lbchicaiza</t>
  </si>
  <si>
    <t>http://www.linkedin.com/company/dexon-software</t>
  </si>
  <si>
    <t>https://dexon.us</t>
  </si>
  <si>
    <t>CEO and Co-Founder at InnovaHub</t>
  </si>
  <si>
    <t>Innovahub</t>
  </si>
  <si>
    <t>oscar.ivan.rodriguez@innovahub.org</t>
  </si>
  <si>
    <t>http://www.linkedin.com/in/oscar-ivan-rodriguez-sandoval</t>
  </si>
  <si>
    <t>http://www.linkedin.com/company/innovahubcol</t>
  </si>
  <si>
    <t>https://innovahub.org</t>
  </si>
  <si>
    <t>Country Sales Director</t>
  </si>
  <si>
    <t>Logistore Colombia</t>
  </si>
  <si>
    <t>jmendez@logistore.com.co</t>
  </si>
  <si>
    <t>http://www.linkedin.com/in/jorge-mendez-30174657</t>
  </si>
  <si>
    <t>http://www.linkedin.com/company/logistore-colombia</t>
  </si>
  <si>
    <t>https://logistore.com.co</t>
  </si>
  <si>
    <t>Drea</t>
  </si>
  <si>
    <t>Savimbo</t>
  </si>
  <si>
    <t>drea@savimbo.com</t>
  </si>
  <si>
    <t>http://www.linkedin.com/in/dreaburbank</t>
  </si>
  <si>
    <t>http://www.linkedin.com/company/savimbo</t>
  </si>
  <si>
    <t>https://savimbo.com</t>
  </si>
  <si>
    <t>Plurall</t>
  </si>
  <si>
    <t>federico@plurall.com</t>
  </si>
  <si>
    <t>http://www.linkedin.com/in/federicogomezpardo</t>
  </si>
  <si>
    <t>http://www.linkedin.com/company/plurallsme</t>
  </si>
  <si>
    <t>https://plurall.com</t>
  </si>
  <si>
    <t>Fail Fast</t>
  </si>
  <si>
    <t>nserrano@stone.com.co</t>
  </si>
  <si>
    <t>http://www.linkedin.com/in/nataliaserrano75</t>
  </si>
  <si>
    <t>http://www.linkedin.com/company/fail-fast</t>
  </si>
  <si>
    <t>https://failfast.com.co</t>
  </si>
  <si>
    <t>Rick</t>
  </si>
  <si>
    <t>Sales Director Latin America</t>
  </si>
  <si>
    <t>Ecomond</t>
  </si>
  <si>
    <t>rick.dellemann@ecomond.com</t>
  </si>
  <si>
    <t>http://www.linkedin.com/in/rickdellemann</t>
  </si>
  <si>
    <t>http://www.linkedin.com/company/ecomond</t>
  </si>
  <si>
    <t>https://ecomond.com</t>
  </si>
  <si>
    <t>Bryan</t>
  </si>
  <si>
    <t>Mentor (Founder)</t>
  </si>
  <si>
    <t>CoderLabs</t>
  </si>
  <si>
    <t>bryan@coderlabs.co</t>
  </si>
  <si>
    <t>http://www.linkedin.com/in/bolivarbryan</t>
  </si>
  <si>
    <t>http://www.linkedin.com/company/coderlabsco</t>
  </si>
  <si>
    <t>https://coderlabs.co</t>
  </si>
  <si>
    <t>miguel.londono@monet.com.co</t>
  </si>
  <si>
    <t>http://www.linkedin.com/in/miguel-londo%c3%b1o-g%c3%b3mez-90096339</t>
  </si>
  <si>
    <t>Vertical·i</t>
  </si>
  <si>
    <t>josepolo@funcesi.org</t>
  </si>
  <si>
    <t>http://www.linkedin.com/in/josepolo711</t>
  </si>
  <si>
    <t>http://www.linkedin.com/company/verticalico</t>
  </si>
  <si>
    <t>https://vertical-i.com</t>
  </si>
  <si>
    <t>Regional Sales Director – LatAm</t>
  </si>
  <si>
    <t>TCM Technology Consulting &amp; Management</t>
  </si>
  <si>
    <t>lorena.mendez@tcmideas.com</t>
  </si>
  <si>
    <t>http://www.linkedin.com/in/lorena-mendez-mendez</t>
  </si>
  <si>
    <t>http://www.linkedin.com/company/tcmideas</t>
  </si>
  <si>
    <t>https://tcmideas.com</t>
  </si>
  <si>
    <t>Leon</t>
  </si>
  <si>
    <t>Tabi Clean</t>
  </si>
  <si>
    <t>leon@tabiclean.com</t>
  </si>
  <si>
    <t>http://www.linkedin.com/in/leon-papu-31699290</t>
  </si>
  <si>
    <t>http://www.linkedin.com/company/tabi-clean</t>
  </si>
  <si>
    <t>https://tabiclean.com</t>
  </si>
  <si>
    <t>Dos&amp;Medios</t>
  </si>
  <si>
    <t>margaritacastro@dosymedios.com</t>
  </si>
  <si>
    <t>http://www.linkedin.com/in/margarita-castro-gomez</t>
  </si>
  <si>
    <t>http://www.linkedin.com/company/dos&amp;medios</t>
  </si>
  <si>
    <t>https://dosymedios.com</t>
  </si>
  <si>
    <t>Vittra Colombia</t>
  </si>
  <si>
    <t>natalia.rivera@vittra.com.co</t>
  </si>
  <si>
    <t>http://www.linkedin.com/in/natalia-rivera-8470a28a</t>
  </si>
  <si>
    <t>http://www.linkedin.com/company/vittra-colombia</t>
  </si>
  <si>
    <t>https://vittra.com.co</t>
  </si>
  <si>
    <t>Magna Consulting S.A.S</t>
  </si>
  <si>
    <t>gsanchez@magnaconsulting.com.co</t>
  </si>
  <si>
    <t>http://www.linkedin.com/in/german-sanchez-franco-magna</t>
  </si>
  <si>
    <t>http://www.linkedin.com/company/magna-consulting-s-a-s</t>
  </si>
  <si>
    <t>https://magnaconsulting.com.co</t>
  </si>
  <si>
    <t>Managing Director - CEO</t>
  </si>
  <si>
    <t>Crear de Colombia</t>
  </si>
  <si>
    <t>gerencia@creardecolombia.com.co</t>
  </si>
  <si>
    <t>http://www.linkedin.com/in/luis-alberto-huertas</t>
  </si>
  <si>
    <t>http://www.linkedin.com/company/creardecolombia</t>
  </si>
  <si>
    <t>https://creardecolombia.com</t>
  </si>
  <si>
    <t>Chief of Sustainable Technolgies Officer &amp; Co-Founder</t>
  </si>
  <si>
    <t>l.parra@klikenergy.com</t>
  </si>
  <si>
    <t>http://www.linkedin.com/in/luis-carlos-parra-raffan</t>
  </si>
  <si>
    <t>Strata Advisors</t>
  </si>
  <si>
    <t>jjguzman@strata-advisors.com</t>
  </si>
  <si>
    <t>http://www.linkedin.com/in/jjguzmanayala</t>
  </si>
  <si>
    <t>http://www.linkedin.com/company/strata-advisors</t>
  </si>
  <si>
    <t>https://strata-advisors.com</t>
  </si>
  <si>
    <t>OnePay</t>
  </si>
  <si>
    <t>andres@onepay.la</t>
  </si>
  <si>
    <t>http://www.linkedin.com/in/andresilvagomez</t>
  </si>
  <si>
    <t>http://www.linkedin.com/company/1onepay</t>
  </si>
  <si>
    <t>https://onepay.la</t>
  </si>
  <si>
    <t>Global Sales Director &amp; Strategy</t>
  </si>
  <si>
    <t>Outsentia</t>
  </si>
  <si>
    <t>mfajardo@outsentia.com</t>
  </si>
  <si>
    <t>http://www.linkedin.com/in/maria-fajardo-ab1ab91b8</t>
  </si>
  <si>
    <t>http://www.linkedin.com/company/outsentia</t>
  </si>
  <si>
    <t>https://outsentia.com</t>
  </si>
  <si>
    <t>MenTsabia</t>
  </si>
  <si>
    <t>juan.casas@mentsabia.com</t>
  </si>
  <si>
    <t>http://www.linkedin.com/in/juan-manuel-casas-</t>
  </si>
  <si>
    <t>http://www.linkedin.com/company/mentsabia-sas</t>
  </si>
  <si>
    <t>https://mentsabia.com</t>
  </si>
  <si>
    <t>Rupert</t>
  </si>
  <si>
    <t>Alma Air</t>
  </si>
  <si>
    <t>rupert@flyalma.com</t>
  </si>
  <si>
    <t>http://www.linkedin.com/in/rupert-stebbings-927b6316a</t>
  </si>
  <si>
    <t>http://www.linkedin.com/company/alma-air</t>
  </si>
  <si>
    <t>https://flyalma.com</t>
  </si>
  <si>
    <t>Vicer Solutions</t>
  </si>
  <si>
    <t>cesar.ruiz@vicer.com.co</t>
  </si>
  <si>
    <t>http://www.linkedin.com/in/julio-cesar-ruiz-ruiz-b4909112</t>
  </si>
  <si>
    <t>http://www.linkedin.com/company/vicersolutions</t>
  </si>
  <si>
    <t>https://vicer.com.co</t>
  </si>
  <si>
    <t>Head of Sales Latam Goama</t>
  </si>
  <si>
    <t>Goama</t>
  </si>
  <si>
    <t>fernando.cardona@goama.com</t>
  </si>
  <si>
    <t>http://www.linkedin.com/in/fernando-uriel-cardona</t>
  </si>
  <si>
    <t>http://www.linkedin.com/company/goamagames</t>
  </si>
  <si>
    <t>https://goama.com</t>
  </si>
  <si>
    <t>Jalime</t>
  </si>
  <si>
    <t>BujePR</t>
  </si>
  <si>
    <t>jalimeh@bujepr.com.co</t>
  </si>
  <si>
    <t>http://www.linkedin.com/in/jalime-hemer-sierra-3442113b</t>
  </si>
  <si>
    <t>http://www.linkedin.com/company/bujepr</t>
  </si>
  <si>
    <t>https://bujepr.com.co</t>
  </si>
  <si>
    <t>biocommerce</t>
  </si>
  <si>
    <t>julian@biocommerce.com.co</t>
  </si>
  <si>
    <t>http://www.linkedin.com/in/juliangonzalezjuri</t>
  </si>
  <si>
    <t>http://www.linkedin.com/company/biocommercecol</t>
  </si>
  <si>
    <t>https://biocommerce.vercel.app</t>
  </si>
  <si>
    <t>Fleik Colombia</t>
  </si>
  <si>
    <t>julianalievano@fleik.co</t>
  </si>
  <si>
    <t>http://www.linkedin.com/in/julianalievanoculturaorganizacional</t>
  </si>
  <si>
    <t>http://www.linkedin.com/company/fleik-colombia</t>
  </si>
  <si>
    <t>https://fleik.co</t>
  </si>
  <si>
    <t>Founder/CEO/ Teacher</t>
  </si>
  <si>
    <t>Arena Alfa</t>
  </si>
  <si>
    <t>storo@arenaalfa.com</t>
  </si>
  <si>
    <t>http://www.linkedin.com/in/sebastian-toro-82391341</t>
  </si>
  <si>
    <t>http://www.linkedin.com/company/arena-bursatil</t>
  </si>
  <si>
    <t>https://arenaalfa.com</t>
  </si>
  <si>
    <t>Tool-be®</t>
  </si>
  <si>
    <t>diego.insignares@tool-be.com</t>
  </si>
  <si>
    <t>http://www.linkedin.com/in/diego-insignares-b92b3414</t>
  </si>
  <si>
    <t>http://www.linkedin.com/company/toolbe</t>
  </si>
  <si>
    <t>https://tool-be.com</t>
  </si>
  <si>
    <t>Franz</t>
  </si>
  <si>
    <t>Founder and President - Outsourcing &amp; Offshoring at Ecosi</t>
  </si>
  <si>
    <t>ECOSI</t>
  </si>
  <si>
    <t>presidencia@ecosi.com.co</t>
  </si>
  <si>
    <t>http://www.linkedin.com/in/franz-mutis-caballero-53364714</t>
  </si>
  <si>
    <t>http://www.linkedin.com/company/ecosi</t>
  </si>
  <si>
    <t>https://ecosi.com.co</t>
  </si>
  <si>
    <t>Hoteles Colombia</t>
  </si>
  <si>
    <t>gerencia@hotelescolombia.co</t>
  </si>
  <si>
    <t>http://www.linkedin.com/in/hector-mario-obando</t>
  </si>
  <si>
    <t>http://www.linkedin.com/company/hotelescolombia</t>
  </si>
  <si>
    <t>https://hotelescolombia.co</t>
  </si>
  <si>
    <t>CEO y CoFundador</t>
  </si>
  <si>
    <t>Cromática Coaching</t>
  </si>
  <si>
    <t>david.restrepo@cromaticacyc.com</t>
  </si>
  <si>
    <t>http://www.linkedin.com/in/coach-david-restrepo</t>
  </si>
  <si>
    <t>http://www.linkedin.com/company/cromatica-coaching</t>
  </si>
  <si>
    <t>https://cromaticacoaching.com</t>
  </si>
  <si>
    <t>Grupo ECB</t>
  </si>
  <si>
    <t>gerencia@grupoecb.com.co</t>
  </si>
  <si>
    <t>http://www.linkedin.com/in/manuel-felipe-tamayo-d%c3%adez-73aab134</t>
  </si>
  <si>
    <t>http://www.linkedin.com/company/grupoempresascreciendobien</t>
  </si>
  <si>
    <t>https://grupoecb.com.co</t>
  </si>
  <si>
    <t>Ronald</t>
  </si>
  <si>
    <t>Pardux</t>
  </si>
  <si>
    <t>ronald@pardux.com</t>
  </si>
  <si>
    <t>http://www.linkedin.com/in/ronaldcreate</t>
  </si>
  <si>
    <t>http://www.linkedin.com/company/parduxlatam</t>
  </si>
  <si>
    <t>https://pardux.com</t>
  </si>
  <si>
    <t>TRÓFICA</t>
  </si>
  <si>
    <t>jesus@trofica.lat</t>
  </si>
  <si>
    <t>http://www.linkedin.com/in/sostenibilidad-reciclaje</t>
  </si>
  <si>
    <t>http://www.linkedin.com/company/reciclamos-juntos</t>
  </si>
  <si>
    <t>https://trofica.lat</t>
  </si>
  <si>
    <t>Benjamin</t>
  </si>
  <si>
    <t>CEO &amp; Founder | Electronic Engineer | Project Manager</t>
  </si>
  <si>
    <t>Bmonte Electronics S.A.S</t>
  </si>
  <si>
    <t>bmontenegro@bmonte-electronic.com</t>
  </si>
  <si>
    <t>http://www.linkedin.com/in/benjam%c3%adn-montenegro-c-225372108</t>
  </si>
  <si>
    <t>http://www.linkedin.com/company/bmonte-electronics-sas</t>
  </si>
  <si>
    <t>https://bmonte.com</t>
  </si>
  <si>
    <t>Founder &amp; Lead Consultant</t>
  </si>
  <si>
    <t>A través del Desarrollo</t>
  </si>
  <si>
    <t>diegotorres@atravesdeldesarrollo.com</t>
  </si>
  <si>
    <t>http://www.linkedin.com/in/diego-fernando-torres-gaviria-5a622591</t>
  </si>
  <si>
    <t>http://www.linkedin.com/company/atravesdeldesarrollo</t>
  </si>
  <si>
    <t>https://atravesdeldesarrollo.com</t>
  </si>
  <si>
    <t>Validatech BPO</t>
  </si>
  <si>
    <t>fredy.castaneda@oncreditweb.com</t>
  </si>
  <si>
    <t>http://www.linkedin.com/in/fredy-alexander-casta%c3%b1eda-rondon-a6b8a5126</t>
  </si>
  <si>
    <t>http://www.linkedin.com/company/validatech-bpo</t>
  </si>
  <si>
    <t>https://validatech.co</t>
  </si>
  <si>
    <t>Avio Dynamics</t>
  </si>
  <si>
    <t>sergio@abcn.com</t>
  </si>
  <si>
    <t>http://www.linkedin.com/in/serincon</t>
  </si>
  <si>
    <t>http://www.linkedin.com/company/avio-dynamics</t>
  </si>
  <si>
    <t>https://abcn.com</t>
  </si>
  <si>
    <t>Nicolay</t>
  </si>
  <si>
    <t>bluu labs</t>
  </si>
  <si>
    <t>nicolay@bluulabs.com</t>
  </si>
  <si>
    <t>http://www.linkedin.com/in/nicolaycc</t>
  </si>
  <si>
    <t>http://www.linkedin.com/company/bluulabs</t>
  </si>
  <si>
    <t>https://bluulabs.com</t>
  </si>
  <si>
    <t>Wilder</t>
  </si>
  <si>
    <t>Vice President Operations and Technology</t>
  </si>
  <si>
    <t>Quimbaya Gold</t>
  </si>
  <si>
    <t>wquiceno@quimbayagold.com</t>
  </si>
  <si>
    <t>http://www.linkedin.com/in/wilderquiceno</t>
  </si>
  <si>
    <t>http://www.linkedin.com/company/quimbaya-gold</t>
  </si>
  <si>
    <t>https://quimbayagold.com</t>
  </si>
  <si>
    <t>Straico</t>
  </si>
  <si>
    <t>arturo@straico.com</t>
  </si>
  <si>
    <t>http://www.linkedin.com/in/arturohenaochaparro</t>
  </si>
  <si>
    <t>http://www.linkedin.com/company/straico</t>
  </si>
  <si>
    <t>https://straico.com</t>
  </si>
  <si>
    <t>AvanTI Consultores y Soluciones Informáticas</t>
  </si>
  <si>
    <t>andrea.gonzalez@avanticsi.com</t>
  </si>
  <si>
    <t>http://www.linkedin.com/in/andreagonzalezavanti</t>
  </si>
  <si>
    <t>http://www.linkedin.com/company/avanticsi</t>
  </si>
  <si>
    <t>https://avanticsi.com</t>
  </si>
  <si>
    <t>Directora Comercial y de Marketing</t>
  </si>
  <si>
    <t>Constructores Tierra Grata &amp; Co. SAS</t>
  </si>
  <si>
    <t>jisaza@tierragrata.co</t>
  </si>
  <si>
    <t>http://www.linkedin.com/in/juliana-isaza-giraldo-578b3a90</t>
  </si>
  <si>
    <t>http://www.linkedin.com/company/tierragrata</t>
  </si>
  <si>
    <t>https://tierragrata.co</t>
  </si>
  <si>
    <t>CEO Gerente General</t>
  </si>
  <si>
    <t>MENTORGO</t>
  </si>
  <si>
    <t>gerenciageneral@mentorgo.com.co</t>
  </si>
  <si>
    <t>http://www.linkedin.com/in/ximena-camelo-burgos</t>
  </si>
  <si>
    <t>http://www.linkedin.com/company/mentorgo</t>
  </si>
  <si>
    <t>https://mentorgo.com.co</t>
  </si>
  <si>
    <t>Partner and Head of Growth</t>
  </si>
  <si>
    <t>Prodigy Dynamic Media</t>
  </si>
  <si>
    <t>andres.vergara@grupoprodigy.com</t>
  </si>
  <si>
    <t>http://www.linkedin.com/in/andres-felipe-vergara-cortes-86757915</t>
  </si>
  <si>
    <t>http://www.linkedin.com/company/prodigy-dynamic-media</t>
  </si>
  <si>
    <t>https://grupoprodigy.com</t>
  </si>
  <si>
    <t>Jose Maria</t>
  </si>
  <si>
    <t>Sin Intermediarios</t>
  </si>
  <si>
    <t>josemaria@sinintermediarios.co</t>
  </si>
  <si>
    <t>http://www.linkedin.com/in/jose-maria-mora-78b92b50</t>
  </si>
  <si>
    <t>http://www.linkedin.com/company/sinintermediarios-com</t>
  </si>
  <si>
    <t>https://sinintermediarios.co</t>
  </si>
  <si>
    <t>Clínica Nieves</t>
  </si>
  <si>
    <t>gerencia@clinicanieves.co</t>
  </si>
  <si>
    <t>http://www.linkedin.com/in/ernesto-nieves-1a393045</t>
  </si>
  <si>
    <t>http://www.linkedin.com/company/cl%c3%adnica-nieves</t>
  </si>
  <si>
    <t>https://clinicanieves.co</t>
  </si>
  <si>
    <t>medical devices</t>
  </si>
  <si>
    <t>Founder at Ones</t>
  </si>
  <si>
    <t>Ones</t>
  </si>
  <si>
    <t>oscar@ones.events</t>
  </si>
  <si>
    <t>http://www.linkedin.com/in/oscar-mellizo-angulo</t>
  </si>
  <si>
    <t>http://www.linkedin.com/company/onesoficial</t>
  </si>
  <si>
    <t>https://ones.events</t>
  </si>
  <si>
    <t>Head of Growth &amp; Marketing</t>
  </si>
  <si>
    <t>Pana</t>
  </si>
  <si>
    <t>nicolasredondo@getpana.app</t>
  </si>
  <si>
    <t>http://www.linkedin.com/in/nicolas-redondo-82819749</t>
  </si>
  <si>
    <t>http://www.linkedin.com/company/panaapp</t>
  </si>
  <si>
    <t>https://joinpana.com</t>
  </si>
  <si>
    <t>SAP DRILLING COLOMBIA S.A.S</t>
  </si>
  <si>
    <t>presidencia@sapdrilling.co</t>
  </si>
  <si>
    <t>http://www.linkedin.com/in/diego-javier-rodriguez-salazar-04472678</t>
  </si>
  <si>
    <t>http://www.linkedin.com/company/servicios-tecnicos-logisticos-suministros-sas</t>
  </si>
  <si>
    <t>https://sapdrilling.co</t>
  </si>
  <si>
    <t>Presidente Ejecutivo / CEO</t>
  </si>
  <si>
    <t>Nova Global Group</t>
  </si>
  <si>
    <t>gerencia@novaglobalgroup.com.co</t>
  </si>
  <si>
    <t>http://www.linkedin.com/in/jorge-perdomo-a358a214</t>
  </si>
  <si>
    <t>http://www.linkedin.com/company/nova-global-grou</t>
  </si>
  <si>
    <t>https://novaglobalgroup.com.co</t>
  </si>
  <si>
    <t>ROBOTIC PEOPLE S A S</t>
  </si>
  <si>
    <t>ronald@roboticpeople.com</t>
  </si>
  <si>
    <t>http://www.linkedin.com/in/ronguti</t>
  </si>
  <si>
    <t>http://www.linkedin.com/company/robotic-people-s-a-s</t>
  </si>
  <si>
    <t>https://roboticpeople.com</t>
  </si>
  <si>
    <t>Protti</t>
  </si>
  <si>
    <t>aamaya@protti.co</t>
  </si>
  <si>
    <t>http://www.linkedin.com/in/andres-amaya-830068128</t>
  </si>
  <si>
    <t>http://www.linkedin.com/company/protti</t>
  </si>
  <si>
    <t>https://protti.co</t>
  </si>
  <si>
    <t>CEO Creare</t>
  </si>
  <si>
    <t>Creare Diseño</t>
  </si>
  <si>
    <t>paulapena@creare.com.co</t>
  </si>
  <si>
    <t>http://www.linkedin.com/in/paula-andrea-pe%c3%b1a-restrepo-51a0b430</t>
  </si>
  <si>
    <t>http://www.linkedin.com/company/creare-dl</t>
  </si>
  <si>
    <t>https://crearedl.com</t>
  </si>
  <si>
    <t>Cannadrop Botanical Developments</t>
  </si>
  <si>
    <t>gerencia@cannadrop.com.co</t>
  </si>
  <si>
    <t>http://www.linkedin.com/in/juanrojasg</t>
  </si>
  <si>
    <t>http://www.linkedin.com/company/cannadrop</t>
  </si>
  <si>
    <t>https://cannadrop.com.co</t>
  </si>
  <si>
    <t>Yeniree</t>
  </si>
  <si>
    <t>COO Co-Founder</t>
  </si>
  <si>
    <t>Swiftline</t>
  </si>
  <si>
    <t>yenire@swiftline.io</t>
  </si>
  <si>
    <t>http://www.linkedin.com/in/yenireeleal</t>
  </si>
  <si>
    <t>http://www.linkedin.com/company/swiftline</t>
  </si>
  <si>
    <t>https://swiftline.io</t>
  </si>
  <si>
    <t>Ravi</t>
  </si>
  <si>
    <t>Sierra Alliance SAS</t>
  </si>
  <si>
    <t>ravi@sierraalliance.net</t>
  </si>
  <si>
    <t>http://www.linkedin.com/in/ravi-saraogi</t>
  </si>
  <si>
    <t>http://www.linkedin.com/company/neumaticosyvalvulas</t>
  </si>
  <si>
    <t>https://sierraalliance.net</t>
  </si>
  <si>
    <t>Digital Active Strategies S.A.S</t>
  </si>
  <si>
    <t>aarboleda@digitalactive.co</t>
  </si>
  <si>
    <t>http://www.linkedin.com/in/andresarboleda</t>
  </si>
  <si>
    <t>http://www.linkedin.com/company/digital-active-strategies-s-a-s-</t>
  </si>
  <si>
    <t>https://digitalactive.co</t>
  </si>
  <si>
    <t>Farzad</t>
  </si>
  <si>
    <t>T.I Rescue</t>
  </si>
  <si>
    <t>gerencia@tirescue.com</t>
  </si>
  <si>
    <t>http://www.linkedin.com/in/farzadhassanshahi</t>
  </si>
  <si>
    <t>http://www.linkedin.com/company/tirescue</t>
  </si>
  <si>
    <t>https://tirescue.com</t>
  </si>
  <si>
    <t>BPOS</t>
  </si>
  <si>
    <t>luiscarlos@itpro.es</t>
  </si>
  <si>
    <t>http://www.linkedin.com/in/luistamaratrainer</t>
  </si>
  <si>
    <t>http://www.linkedin.com/company/bposlatam</t>
  </si>
  <si>
    <t>https://bposlatam.com</t>
  </si>
  <si>
    <t>Klaus</t>
  </si>
  <si>
    <t>Co-Founder, Chairman and Chief Executive Officer</t>
  </si>
  <si>
    <t>Lenus Capital</t>
  </si>
  <si>
    <t>klederer@lenuscp.com</t>
  </si>
  <si>
    <t>http://www.linkedin.com/in/klaus-lederer-22718a41</t>
  </si>
  <si>
    <t>http://www.linkedin.com/company/lenus-capital-partners-lcp</t>
  </si>
  <si>
    <t>https://lenuscp.com</t>
  </si>
  <si>
    <t>National Sales Director</t>
  </si>
  <si>
    <t>Dasser Consulting &amp; Auditing</t>
  </si>
  <si>
    <t>alejandrogiraldo@dasser.co</t>
  </si>
  <si>
    <t>http://www.linkedin.com/in/alejandro-giraldo-271321174</t>
  </si>
  <si>
    <t>http://www.linkedin.com/company/dasser-soluciones-gerenciales</t>
  </si>
  <si>
    <t>https://dasser.co</t>
  </si>
  <si>
    <t>Ergenia</t>
  </si>
  <si>
    <t>vicente@ergenia.com</t>
  </si>
  <si>
    <t>http://www.linkedin.com/in/vicente-lanza-%f0%9f%8c%8e-%e2%9a%a1%ef%b8%8f-019b1342</t>
  </si>
  <si>
    <t>http://www.linkedin.com/company/ergenia</t>
  </si>
  <si>
    <t>https://ergenia.com</t>
  </si>
  <si>
    <t>Vishwas</t>
  </si>
  <si>
    <t>Ambire Global</t>
  </si>
  <si>
    <t>vishwas@ambireglobal.com</t>
  </si>
  <si>
    <t>http://www.linkedin.com/in/vishwasvidyaranya</t>
  </si>
  <si>
    <t>http://www.linkedin.com/company/ambire-global</t>
  </si>
  <si>
    <t>https://ambireglobal.com</t>
  </si>
  <si>
    <t>Lola te mueve</t>
  </si>
  <si>
    <t>simon@lola.com.co</t>
  </si>
  <si>
    <t>http://www.linkedin.com/in/simon-machado</t>
  </si>
  <si>
    <t>http://www.linkedin.com/company/lola</t>
  </si>
  <si>
    <t>https://lola.com.co</t>
  </si>
  <si>
    <t>Motopack</t>
  </si>
  <si>
    <t>camilo.vidales@motopack.co</t>
  </si>
  <si>
    <t>http://www.linkedin.com/in/camilovidales</t>
  </si>
  <si>
    <t>http://www.linkedin.com/company/motopack</t>
  </si>
  <si>
    <t>https://motopack.co</t>
  </si>
  <si>
    <t>AHL ASESORES EN SEGUROS</t>
  </si>
  <si>
    <t>stafurh@ahlasesoresenseguros.com</t>
  </si>
  <si>
    <t>http://www.linkedin.com/in/stafurhadad</t>
  </si>
  <si>
    <t>http://www.linkedin.com/company/ahl-asesores-en-seguros</t>
  </si>
  <si>
    <t>https://ahlseguros.com</t>
  </si>
  <si>
    <t>PRINT SYS</t>
  </si>
  <si>
    <t>david.hernandez@printsys.com.co</t>
  </si>
  <si>
    <t>http://www.linkedin.com/in/davidrhernandez</t>
  </si>
  <si>
    <t>http://www.linkedin.com/company/print-sys</t>
  </si>
  <si>
    <t>https://printsys.com.co</t>
  </si>
  <si>
    <t>printing</t>
  </si>
  <si>
    <t>felipe@duppla.co</t>
  </si>
  <si>
    <t>http://www.linkedin.com/in/felipe-fierro-9a17a860</t>
  </si>
  <si>
    <t>Marketing, Sales and Customer Service Director</t>
  </si>
  <si>
    <t>Happy Holidays Travel</t>
  </si>
  <si>
    <t>luisa@hhtcruises.net</t>
  </si>
  <si>
    <t>http://www.linkedin.com/in/luisa-maria-jaimes-marketing-eventos</t>
  </si>
  <si>
    <t>http://www.linkedin.com/company/happy-holidays-travel</t>
  </si>
  <si>
    <t>https://hhtcruises.net</t>
  </si>
  <si>
    <t>Abraham</t>
  </si>
  <si>
    <t>STABILITY</t>
  </si>
  <si>
    <t>abraham@stabilityonline.com</t>
  </si>
  <si>
    <t>http://www.linkedin.com/in/abrahamguterman</t>
  </si>
  <si>
    <t>http://www.linkedin.com/company/stabilitybienestar</t>
  </si>
  <si>
    <t>https://stabilityonline.com</t>
  </si>
  <si>
    <t>Ají del Rancho</t>
  </si>
  <si>
    <t>gerencia@ajidelrancho.com</t>
  </si>
  <si>
    <t>http://www.linkedin.com/in/tomas-mejia-marulanda-12a444140</t>
  </si>
  <si>
    <t>http://www.linkedin.com/company/aj%c3%ad-del-rancho</t>
  </si>
  <si>
    <t>https://ajidelrancho.com</t>
  </si>
  <si>
    <t>GoToCloud</t>
  </si>
  <si>
    <t>oscar.barriga@gotocloud.in</t>
  </si>
  <si>
    <t>http://www.linkedin.com/in/oscarbarrigamelo</t>
  </si>
  <si>
    <t>http://www.linkedin.com/company/gotocloudsas</t>
  </si>
  <si>
    <t>https://gotocloud.ai</t>
  </si>
  <si>
    <t>Demetria</t>
  </si>
  <si>
    <t>felipe@demetria.ag</t>
  </si>
  <si>
    <t>http://www.linkedin.com/in/felipe-ayerbe-24745a47</t>
  </si>
  <si>
    <t>http://www.linkedin.com/company/demetria-ag</t>
  </si>
  <si>
    <t>https://demetria.ag</t>
  </si>
  <si>
    <t>President &amp; CEO</t>
  </si>
  <si>
    <t>HOME ROBOTIK S.A.S</t>
  </si>
  <si>
    <t>o.guzman@homerobotik.com</t>
  </si>
  <si>
    <t>http://www.linkedin.com/in/oscar-eduardo-guzm%c3%a1n-cuesta-19b39671</t>
  </si>
  <si>
    <t>http://www.linkedin.com/company/home-robotik-s-a-s</t>
  </si>
  <si>
    <t>https://homerobotik.com</t>
  </si>
  <si>
    <t>jcruz@turit.co</t>
  </si>
  <si>
    <t>http://www.linkedin.com/in/juan-camilo-cruz-hincapi%c3%a9-8b7273162</t>
  </si>
  <si>
    <t>Korus</t>
  </si>
  <si>
    <t>jorge@korusai.co</t>
  </si>
  <si>
    <t>http://www.linkedin.com/in/jorgeaugustoserrano</t>
  </si>
  <si>
    <t>http://www.linkedin.com/company/korusai</t>
  </si>
  <si>
    <t>https://korusai.co</t>
  </si>
  <si>
    <t>Professor - BIM for Managing Cutting-Edge Projects</t>
  </si>
  <si>
    <t>Universidad de Los Andes</t>
  </si>
  <si>
    <t>dl.osso249@uniandes.edu.co</t>
  </si>
  <si>
    <t>http://www.linkedin.com/in/ossoleonardo</t>
  </si>
  <si>
    <t>http://www.linkedin.com/school/universidad-de-los-andes</t>
  </si>
  <si>
    <t>https://uniandes.edu.co</t>
  </si>
  <si>
    <t>CEO &amp; Co Founder easyBIGDATA</t>
  </si>
  <si>
    <t>easyBigData</t>
  </si>
  <si>
    <t>afortiz@easybigdata.co</t>
  </si>
  <si>
    <t>http://www.linkedin.com/in/andr%c3%a9s-felipe-ortiz-4102584</t>
  </si>
  <si>
    <t>http://www.linkedin.com/company/easybigdata</t>
  </si>
  <si>
    <t>https://easybigdata.co</t>
  </si>
  <si>
    <t>Head of Business Development / Chief Sales Officer</t>
  </si>
  <si>
    <t>Acceleralia</t>
  </si>
  <si>
    <t>luis.olaizola@acceleralia.com</t>
  </si>
  <si>
    <t>http://www.linkedin.com/in/luis-olaizola</t>
  </si>
  <si>
    <t>http://www.linkedin.com/company/acceleralia</t>
  </si>
  <si>
    <t>https://acceleralia.com</t>
  </si>
  <si>
    <t>CEO Founder &lt;5 Open Innovation/entrepreneurship Awards&gt;</t>
  </si>
  <si>
    <t>Selectum Club</t>
  </si>
  <si>
    <t>nicolas@selectumclub.com</t>
  </si>
  <si>
    <t>http://www.linkedin.com/in/nicolasjimenezrueda</t>
  </si>
  <si>
    <t>http://www.linkedin.com/company/selectum-club</t>
  </si>
  <si>
    <t>https://selectumclub.com</t>
  </si>
  <si>
    <t>Nathan</t>
  </si>
  <si>
    <t>Céntrica</t>
  </si>
  <si>
    <t>gerencia@centrica.co</t>
  </si>
  <si>
    <t>http://www.linkedin.com/in/centrica-talentohumano</t>
  </si>
  <si>
    <t>http://www.linkedin.com/company/centricalatam</t>
  </si>
  <si>
    <t>https://centrica.co</t>
  </si>
  <si>
    <t>Nelly</t>
  </si>
  <si>
    <t>CEO and Co-founder at Grupo Rodes SAS</t>
  </si>
  <si>
    <t>Grupo Rodes</t>
  </si>
  <si>
    <t>mayerly.rodriguez@gruporodes.com.co</t>
  </si>
  <si>
    <t>http://www.linkedin.com/in/nelly-mayerly-rodriguez-abello-b077228a</t>
  </si>
  <si>
    <t>http://www.linkedin.com/company/grupo-rodes</t>
  </si>
  <si>
    <t>https://gruporodes.com.co</t>
  </si>
  <si>
    <t>e-volution</t>
  </si>
  <si>
    <t>tomasp@e-volution.co</t>
  </si>
  <si>
    <t>http://www.linkedin.com/in/tomas-posada</t>
  </si>
  <si>
    <t>http://www.linkedin.com/company/evolution</t>
  </si>
  <si>
    <t>https://e-volution.co</t>
  </si>
  <si>
    <t>Giovanni</t>
  </si>
  <si>
    <t>7WAY SECURITY</t>
  </si>
  <si>
    <t>giovanni.cruz@7waysecurity.co</t>
  </si>
  <si>
    <t>http://www.linkedin.com/in/cruzgio</t>
  </si>
  <si>
    <t>http://www.linkedin.com/company/7waysecurity</t>
  </si>
  <si>
    <t>https://7waysecurity.co</t>
  </si>
  <si>
    <t>Urban Insight</t>
  </si>
  <si>
    <t>galeano@urbaninsight.com</t>
  </si>
  <si>
    <t>http://www.linkedin.com/in/galeanorivera</t>
  </si>
  <si>
    <t>http://www.linkedin.com/company/urban-insight</t>
  </si>
  <si>
    <t>https://urbaninsight.com</t>
  </si>
  <si>
    <t>Platam</t>
  </si>
  <si>
    <t>nicolas.villa@platam.co</t>
  </si>
  <si>
    <t>http://www.linkedin.com/in/nicolas-villa-pelaez</t>
  </si>
  <si>
    <t>http://www.linkedin.com/company/platam</t>
  </si>
  <si>
    <t>https://platam.co</t>
  </si>
  <si>
    <t>Marlon</t>
  </si>
  <si>
    <t>Multiprestamo Colombia</t>
  </si>
  <si>
    <t>marlon@multiprestamo.com</t>
  </si>
  <si>
    <t>http://www.linkedin.com/in/marlonfer</t>
  </si>
  <si>
    <t>http://www.linkedin.com/company/multiprestamo</t>
  </si>
  <si>
    <t>https://multiprestamo.com</t>
  </si>
  <si>
    <t>Faguaflowers INTL</t>
  </si>
  <si>
    <t>fredy.lancheros@faguaflowers.com</t>
  </si>
  <si>
    <t>http://www.linkedin.com/in/fredy-lancheros-6377018</t>
  </si>
  <si>
    <t>http://www.linkedin.com/company/faguaflowers</t>
  </si>
  <si>
    <t>https://faguaflowers.com</t>
  </si>
  <si>
    <t>Socio - Co-Founder</t>
  </si>
  <si>
    <t>Axis Capital</t>
  </si>
  <si>
    <t>jose.botia@axiscapital.com.co</t>
  </si>
  <si>
    <t>http://www.linkedin.com/in/jose-botia</t>
  </si>
  <si>
    <t>http://www.linkedin.com/company/axis-capital-bi</t>
  </si>
  <si>
    <t>https://axiscapital.com.co</t>
  </si>
  <si>
    <t>Co Founder &amp; Chief Administrative Officer</t>
  </si>
  <si>
    <t>Boxi Sleep</t>
  </si>
  <si>
    <t>daniela@boxisleep.com.co</t>
  </si>
  <si>
    <t>http://www.linkedin.com/in/daniela-machado-uribe-02b902122</t>
  </si>
  <si>
    <t>http://www.linkedin.com/company/boxi-sleep</t>
  </si>
  <si>
    <t>https://boxisleep.com.co</t>
  </si>
  <si>
    <t>CEO - Presidente</t>
  </si>
  <si>
    <t>Quantum Sfe</t>
  </si>
  <si>
    <t>omontes@quantumsfe.com</t>
  </si>
  <si>
    <t>http://www.linkedin.com/in/omar-hern%c3%a1n-montes-parra-9a485b35</t>
  </si>
  <si>
    <t>http://www.linkedin.com/company/quantum-sfe</t>
  </si>
  <si>
    <t>https://quantum-latam.com</t>
  </si>
  <si>
    <t>Co Founder - Chief Technology Officer</t>
  </si>
  <si>
    <t>PSY-TECH</t>
  </si>
  <si>
    <t>david.maloof@psy-tech.co</t>
  </si>
  <si>
    <t>http://www.linkedin.com/in/david-maloof-arias-24b63628</t>
  </si>
  <si>
    <t>http://www.linkedin.com/company/psy-tech</t>
  </si>
  <si>
    <t>https://psy-tech.co</t>
  </si>
  <si>
    <t>Escarlata</t>
  </si>
  <si>
    <t>cesar.aya@escarlata.co</t>
  </si>
  <si>
    <t>http://www.linkedin.com/in/cesaraya</t>
  </si>
  <si>
    <t>http://www.linkedin.com/company/escarlatafintech</t>
  </si>
  <si>
    <t>https://escarlata.co</t>
  </si>
  <si>
    <t>Mamut Rojo</t>
  </si>
  <si>
    <t>ppabon@mamutrojo.com</t>
  </si>
  <si>
    <t>http://www.linkedin.com/in/pedro-pabon</t>
  </si>
  <si>
    <t>http://www.linkedin.com/company/mamut-rojo</t>
  </si>
  <si>
    <t>https://mamutrojo.com</t>
  </si>
  <si>
    <t>er@loopay.com</t>
  </si>
  <si>
    <t>http://www.linkedin.com/in/riveraedu</t>
  </si>
  <si>
    <t>Pamela</t>
  </si>
  <si>
    <t>CO - Founder Acertijo Gestion Empresarial</t>
  </si>
  <si>
    <t>ACERTIJO GESTION EMPRESARIAL</t>
  </si>
  <si>
    <t>pamela@acertijo.co</t>
  </si>
  <si>
    <t>http://www.linkedin.com/in/pamela-hollmann</t>
  </si>
  <si>
    <t>http://www.linkedin.com/company/acertijo-gestion-empresarial</t>
  </si>
  <si>
    <t>https://acertijo.co</t>
  </si>
  <si>
    <t>Autonomistas</t>
  </si>
  <si>
    <t>nicolas@autonomistas.co</t>
  </si>
  <si>
    <t>http://www.linkedin.com/in/nquintero</t>
  </si>
  <si>
    <t>http://www.linkedin.com/company/comunidad-autonomistas</t>
  </si>
  <si>
    <t>https://autonomistas.co</t>
  </si>
  <si>
    <t>Jordi</t>
  </si>
  <si>
    <t>CEO Fundador de CSCI Colombia Solar Corp.</t>
  </si>
  <si>
    <t>CSCI Colombia Solar</t>
  </si>
  <si>
    <t>jordi.mestre@colombiasolar.co</t>
  </si>
  <si>
    <t>http://www.linkedin.com/in/jordi-mestre-5849b31a4</t>
  </si>
  <si>
    <t>http://www.linkedin.com/company/csci-colombia-solar</t>
  </si>
  <si>
    <t>https://colombiasolar.co</t>
  </si>
  <si>
    <t>Jackson</t>
  </si>
  <si>
    <t>CEO at Bankiando</t>
  </si>
  <si>
    <t>Bankiando</t>
  </si>
  <si>
    <t>jackson.rozo@bankiando.com</t>
  </si>
  <si>
    <t>http://www.linkedin.com/in/jacksonrozo</t>
  </si>
  <si>
    <t>http://www.linkedin.com/company/bankiando</t>
  </si>
  <si>
    <t>https://bankiando.com</t>
  </si>
  <si>
    <t>Adrian</t>
  </si>
  <si>
    <t>Lup</t>
  </si>
  <si>
    <t>abolivar@lup.com.co</t>
  </si>
  <si>
    <t>http://www.linkedin.com/in/adrian-bolivar-lopez</t>
  </si>
  <si>
    <t>http://www.linkedin.com/company/lup-ai</t>
  </si>
  <si>
    <t>https://lup.com.co</t>
  </si>
  <si>
    <t>SOLDIFE</t>
  </si>
  <si>
    <t>felipe.ramirez@soldife.com</t>
  </si>
  <si>
    <t>http://www.linkedin.com/in/feliperamirezcastro</t>
  </si>
  <si>
    <t>http://www.linkedin.com/company/soldife</t>
  </si>
  <si>
    <t>https://soldife.com</t>
  </si>
  <si>
    <t>LX Consulting</t>
  </si>
  <si>
    <t>fsanclemente@lxconsulting.ai</t>
  </si>
  <si>
    <t>http://www.linkedin.com/in/francisco-sanclemente-reina-3a85a0</t>
  </si>
  <si>
    <t>http://www.linkedin.com/company/lxconsulting</t>
  </si>
  <si>
    <t>https://lxconsulting.ai</t>
  </si>
  <si>
    <t>KAMIN</t>
  </si>
  <si>
    <t>felipe@kamin.one</t>
  </si>
  <si>
    <t>http://www.linkedin.com/in/felipe-albarrac%c3%adn-duque-5b085491</t>
  </si>
  <si>
    <t>http://www.linkedin.com/company/kamin-one</t>
  </si>
  <si>
    <t>https://kamin.one</t>
  </si>
  <si>
    <t>Founder &amp; Sales Manager</t>
  </si>
  <si>
    <t>TrailStart</t>
  </si>
  <si>
    <t>lucho@trailstart.co</t>
  </si>
  <si>
    <t>http://www.linkedin.com/in/lfloresg</t>
  </si>
  <si>
    <t>http://www.linkedin.com/company/trailstart-co</t>
  </si>
  <si>
    <t>https://trailstart.co</t>
  </si>
  <si>
    <t>Akka Health SAS</t>
  </si>
  <si>
    <t>afmunoz@akkahealth.com.co</t>
  </si>
  <si>
    <t>http://www.linkedin.com/in/andr%c3%a9s-felipe-mu%c3%b1oz-avila-974a5355</t>
  </si>
  <si>
    <t>http://www.linkedin.com/company/akka-health</t>
  </si>
  <si>
    <t>https://akkahealth.com.co</t>
  </si>
  <si>
    <t>Moabits</t>
  </si>
  <si>
    <t>david@moabits.com</t>
  </si>
  <si>
    <t>http://www.linkedin.com/in/davidsantibanezo</t>
  </si>
  <si>
    <t>http://www.linkedin.com/company/moabits</t>
  </si>
  <si>
    <t>https://moabits.com</t>
  </si>
  <si>
    <t>P4G</t>
  </si>
  <si>
    <t>gerencia@p4g.co</t>
  </si>
  <si>
    <t>http://www.linkedin.com/in/andrea-rodr%c3%adguez-360bbb18</t>
  </si>
  <si>
    <t>http://www.linkedin.com/company/performance-4-growth-htt</t>
  </si>
  <si>
    <t>https://p4g.co</t>
  </si>
  <si>
    <t>T3RS</t>
  </si>
  <si>
    <t>jorge.ortiz@t3rsc.co</t>
  </si>
  <si>
    <t>http://www.linkedin.com/in/jorgeortizcontratapersonalconia</t>
  </si>
  <si>
    <t>http://www.linkedin.com/company/seleccionycontratacionconia</t>
  </si>
  <si>
    <t>https://t3rsc.co</t>
  </si>
  <si>
    <t>CEO Founder and Medical Consultant Digital Health &amp; Innovation</t>
  </si>
  <si>
    <t>BEE AI®- Digital Health</t>
  </si>
  <si>
    <t>mariobenedetti@csr.com.co</t>
  </si>
  <si>
    <t>http://www.linkedin.com/in/mario-benedetti-arzuza-8863bb57</t>
  </si>
  <si>
    <t>http://www.linkedin.com/company/bioinnova-salud-digital-ia</t>
  </si>
  <si>
    <t>https://bioinnova.digital</t>
  </si>
  <si>
    <t>Jefe de Ventas Colombia</t>
  </si>
  <si>
    <t>Husqvarna Construcción Latam</t>
  </si>
  <si>
    <t>edwin.diaz@husqvarnagroup.com</t>
  </si>
  <si>
    <t>http://www.linkedin.com/in/edwin-d%c3%adaz-castillo-7589b113a</t>
  </si>
  <si>
    <t>http://www.linkedin.com/company/husqvarnacp-latam</t>
  </si>
  <si>
    <t>https://husqvarnab2b.com.mx</t>
  </si>
  <si>
    <t>Co-Founder &amp; Innovation Head</t>
  </si>
  <si>
    <t>TalentWise</t>
  </si>
  <si>
    <t>daniel@somostalentwise.com</t>
  </si>
  <si>
    <t>http://www.linkedin.com/in/danielnoratoprieto</t>
  </si>
  <si>
    <t>http://www.linkedin.com/company/talentwise-latam</t>
  </si>
  <si>
    <t>https://somostalentwise.com</t>
  </si>
  <si>
    <t>Octans Digital Services</t>
  </si>
  <si>
    <t>avallejo@octansit.com</t>
  </si>
  <si>
    <t>http://www.linkedin.com/in/adriana-vallejo-wilches-b1324b35</t>
  </si>
  <si>
    <t>http://www.linkedin.com/company/octansdigital</t>
  </si>
  <si>
    <t>https://octansdigital.com</t>
  </si>
  <si>
    <t>Viviendas y Proyectos S.A.S</t>
  </si>
  <si>
    <t>carcila@vyp.com.co</t>
  </si>
  <si>
    <t>http://www.linkedin.com/in/catalina-arcila-sanchez-a3206a47</t>
  </si>
  <si>
    <t>http://www.linkedin.com/company/viviendasyproyectos</t>
  </si>
  <si>
    <t>https://viviendasyproyectos.com</t>
  </si>
  <si>
    <t>Fabio</t>
  </si>
  <si>
    <t>fabio.lopez@tcmideas.com</t>
  </si>
  <si>
    <t>http://www.linkedin.com/in/fabio-l%c3%b3pez-32694319</t>
  </si>
  <si>
    <t>Head of Marketing &amp; Growth</t>
  </si>
  <si>
    <t>Apparta</t>
  </si>
  <si>
    <t>gonzalo@apparta.co</t>
  </si>
  <si>
    <t>http://www.linkedin.com/in/gonzalo-forero-3b415714b</t>
  </si>
  <si>
    <t>http://www.linkedin.com/company/appartaco</t>
  </si>
  <si>
    <t>https://apparta.co</t>
  </si>
  <si>
    <t>Equation Coffee</t>
  </si>
  <si>
    <t>luism@equationcoffee.com</t>
  </si>
  <si>
    <t>http://www.linkedin.com/in/luismgarcia81</t>
  </si>
  <si>
    <t>http://www.linkedin.com/company/equationcoffee</t>
  </si>
  <si>
    <t>https://equationcoffee.com</t>
  </si>
  <si>
    <t>Certika.co</t>
  </si>
  <si>
    <t>rmorales@certika.co</t>
  </si>
  <si>
    <t>http://www.linkedin.com/in/robertomoralesortega</t>
  </si>
  <si>
    <t>http://www.linkedin.com/company/certikaco</t>
  </si>
  <si>
    <t>https://certika.co</t>
  </si>
  <si>
    <t>Digital Strategy Director</t>
  </si>
  <si>
    <t>K2 DIGITAL</t>
  </si>
  <si>
    <t>carlos.llanos@k2digital.io</t>
  </si>
  <si>
    <t>http://www.linkedin.com/in/carlos-hernan-llanos-isaza-b7a0aa13</t>
  </si>
  <si>
    <t>http://www.linkedin.com/company/k2-digital-media-sas</t>
  </si>
  <si>
    <t>https://k2digital.io</t>
  </si>
  <si>
    <t>Johannes</t>
  </si>
  <si>
    <t>CO-Founder and CEO</t>
  </si>
  <si>
    <t>Lucro</t>
  </si>
  <si>
    <t>j.kling@lucro-app.com</t>
  </si>
  <si>
    <t>http://www.linkedin.com/in/johannes-kling-52326a46</t>
  </si>
  <si>
    <t>http://www.linkedin.com/company/lucro-col</t>
  </si>
  <si>
    <t>https://lucroinside.com</t>
  </si>
  <si>
    <t>Glya</t>
  </si>
  <si>
    <t>carlos@glya.co</t>
  </si>
  <si>
    <t>http://www.linkedin.com/in/carlosaugusto-lopez</t>
  </si>
  <si>
    <t>http://www.linkedin.com/company/glya</t>
  </si>
  <si>
    <t>https://glya.co</t>
  </si>
  <si>
    <t>Chief Financial Officer, Co Founder</t>
  </si>
  <si>
    <t>Ubanku</t>
  </si>
  <si>
    <t>franco@ubanku.co</t>
  </si>
  <si>
    <t>http://www.linkedin.com/in/andresafrancom</t>
  </si>
  <si>
    <t>http://www.linkedin.com/company/ubanku</t>
  </si>
  <si>
    <t>https://ubanku.co</t>
  </si>
  <si>
    <t>Founder &amp; Content Director | Praticamente Audiovisual | 2012–Present</t>
  </si>
  <si>
    <t>PRATICAMENTE AUDIOVISUAL</t>
  </si>
  <si>
    <t>gabo@praticamente.tv</t>
  </si>
  <si>
    <t>http://www.linkedin.com/in/gabriel-castrill%c3%b3n-31881121</t>
  </si>
  <si>
    <t>http://www.linkedin.com/company/praticamente</t>
  </si>
  <si>
    <t>https://praticamente.tv</t>
  </si>
  <si>
    <t>B2BOSC Optimization Solutions &amp; Consulting</t>
  </si>
  <si>
    <t>carlos.garzon@b2bosc.com</t>
  </si>
  <si>
    <t>http://www.linkedin.com/in/carlos-andr%c3%a9s-garz%c3%b3n-corredor-46b62250</t>
  </si>
  <si>
    <t>http://www.linkedin.com/company/b2bosc-optimization-solutions-consulting</t>
  </si>
  <si>
    <t>https://b2bosc.com</t>
  </si>
  <si>
    <t>CEO / Co Founder</t>
  </si>
  <si>
    <t>sjaramillo@pinbus.com</t>
  </si>
  <si>
    <t>http://www.linkedin.com/in/sebastian-jaramillo-0701b518</t>
  </si>
  <si>
    <t>Franki AI</t>
  </si>
  <si>
    <t>juan@franki.ai</t>
  </si>
  <si>
    <t>http://www.linkedin.com/in/juan-chaustre</t>
  </si>
  <si>
    <t>http://www.linkedin.com/company/franki-ai</t>
  </si>
  <si>
    <t>https://franki.ai</t>
  </si>
  <si>
    <t>Gerente Financiero. Co Founder</t>
  </si>
  <si>
    <t>Renga Consulting Group</t>
  </si>
  <si>
    <t>financiera@renga.com.co</t>
  </si>
  <si>
    <t>http://www.linkedin.com/in/jorge-andr%c3%a9s-beltr%c3%a1n-pati%c3%b1o-78188789</t>
  </si>
  <si>
    <t>http://www.linkedin.com/company/renga-consultores</t>
  </si>
  <si>
    <t>https://renga.com.co</t>
  </si>
  <si>
    <t>Amadeus</t>
  </si>
  <si>
    <t>InnHealth</t>
  </si>
  <si>
    <t>amadeus@innhealth.co</t>
  </si>
  <si>
    <t>http://www.linkedin.com/in/amadeus-uribe</t>
  </si>
  <si>
    <t>http://www.linkedin.com/company/innhealth</t>
  </si>
  <si>
    <t>https://innhealth.co</t>
  </si>
  <si>
    <t>Galilea</t>
  </si>
  <si>
    <t>gerencia@galilea.co</t>
  </si>
  <si>
    <t>http://www.linkedin.com/in/william-antonio-85897b196</t>
  </si>
  <si>
    <t>http://www.linkedin.com/company/galileafintech</t>
  </si>
  <si>
    <t>https://galilea.co</t>
  </si>
  <si>
    <t>Co-Founder / CCO</t>
  </si>
  <si>
    <t>InnovIA</t>
  </si>
  <si>
    <t>nuribe@innoviai.io</t>
  </si>
  <si>
    <t>http://www.linkedin.com/in/nicol%c3%a1s-uribe</t>
  </si>
  <si>
    <t>http://www.linkedin.com/company/innoviai</t>
  </si>
  <si>
    <t>https://innoviai.io</t>
  </si>
  <si>
    <t>Nidia</t>
  </si>
  <si>
    <t>Kubos Tecnología</t>
  </si>
  <si>
    <t>nidia.bautista@kubostecnologia.com</t>
  </si>
  <si>
    <t>http://www.linkedin.com/in/nidia-bautista-cuellar-2547a96a</t>
  </si>
  <si>
    <t>http://www.linkedin.com/company/kubostecnologia</t>
  </si>
  <si>
    <t>https://kubostecnologia.com</t>
  </si>
  <si>
    <t>CEO &amp; Managing Partner</t>
  </si>
  <si>
    <t>Andes Operating Company</t>
  </si>
  <si>
    <t>ernesto.melo@andesoperating.com</t>
  </si>
  <si>
    <t>http://www.linkedin.com/in/ernesto-melo-783b6525</t>
  </si>
  <si>
    <t>http://www.linkedin.com/company/andes-operating</t>
  </si>
  <si>
    <t>https://andesoperating.com</t>
  </si>
  <si>
    <t>Founder and CEO at Adatec</t>
  </si>
  <si>
    <t>Adatec</t>
  </si>
  <si>
    <t>a.palacio@adateceu.com</t>
  </si>
  <si>
    <t>http://www.linkedin.com/in/alejandro-palacio-adatec</t>
  </si>
  <si>
    <t>http://www.linkedin.com/company/adatec-colombia</t>
  </si>
  <si>
    <t>https://adatec.co</t>
  </si>
  <si>
    <t>Hugo</t>
  </si>
  <si>
    <t>Strattegi</t>
  </si>
  <si>
    <t>hcardenas@strattegi.com.co</t>
  </si>
  <si>
    <t>http://www.linkedin.com/in/hugo-c%c3%a1rdenas-34290639</t>
  </si>
  <si>
    <t>http://www.linkedin.com/company/strattegi-colombia</t>
  </si>
  <si>
    <t>https://strattegi.com.co</t>
  </si>
  <si>
    <t>Armando</t>
  </si>
  <si>
    <t>Co-Founder &amp; Project Director</t>
  </si>
  <si>
    <t>af.pomarico@mo-ve.co</t>
  </si>
  <si>
    <t>http://www.linkedin.com/in/armando-felipe-pomarico-702048a3</t>
  </si>
  <si>
    <t>J2K Security Group</t>
  </si>
  <si>
    <t>orlando.sarmiento@j2ksec.com</t>
  </si>
  <si>
    <t>http://www.linkedin.com/in/orlando-sarmiento-franco-3b364080</t>
  </si>
  <si>
    <t>http://www.linkedin.com/company/j2ksec</t>
  </si>
  <si>
    <t>https://j2ksec.com</t>
  </si>
  <si>
    <t>Co-founder &amp; Commercial Director at Indie Level Studio | Passionate about writing on entrepreneurship and sharing our journey in the world</t>
  </si>
  <si>
    <t>Indie Level Studio</t>
  </si>
  <si>
    <t>juan.lopera@indielevelstudio.com</t>
  </si>
  <si>
    <t>http://www.linkedin.com/in/juandlr1</t>
  </si>
  <si>
    <t>http://www.linkedin.com/company/indie-level-studio-co</t>
  </si>
  <si>
    <t>https://indielevelstudio.com</t>
  </si>
  <si>
    <t>Managing Partner &amp; Co-Founder</t>
  </si>
  <si>
    <t>EAP Network</t>
  </si>
  <si>
    <t>dmartinez@eapcolombia.com</t>
  </si>
  <si>
    <t>http://www.linkedin.com/in/dmartinezo</t>
  </si>
  <si>
    <t>http://www.linkedin.com/company/eapnetwork</t>
  </si>
  <si>
    <t>https://eapnetwork.net</t>
  </si>
  <si>
    <t>PowerP</t>
  </si>
  <si>
    <t>fvallejo@powerp.co</t>
  </si>
  <si>
    <t>http://www.linkedin.com/in/felipe-vallejo-4aa27033</t>
  </si>
  <si>
    <t>http://www.linkedin.com/company/pow-erp</t>
  </si>
  <si>
    <t>https://powerp.co</t>
  </si>
  <si>
    <t>AI Spaces</t>
  </si>
  <si>
    <t>monica.forero@aispaces.ai</t>
  </si>
  <si>
    <t>http://www.linkedin.com/in/monicaforerobotero</t>
  </si>
  <si>
    <t>http://www.linkedin.com/company/aispacesai</t>
  </si>
  <si>
    <t>https://aispaces.ai</t>
  </si>
  <si>
    <t>Director of Sales</t>
  </si>
  <si>
    <t>ICL FREIGHT</t>
  </si>
  <si>
    <t>luisa.nino@iclfreight.net</t>
  </si>
  <si>
    <t>http://www.linkedin.com/in/luisa-fernanda-ni%c3%b1o-b643381b9</t>
  </si>
  <si>
    <t>http://www.linkedin.com/company/iclfreight</t>
  </si>
  <si>
    <t>https://iclfreight.net</t>
  </si>
  <si>
    <t>teknika</t>
  </si>
  <si>
    <t>jhernandez@teknika.com.co</t>
  </si>
  <si>
    <t>http://www.linkedin.com/in/javier-hernandez-088737130</t>
  </si>
  <si>
    <t>http://www.linkedin.com/company/teknikasas</t>
  </si>
  <si>
    <t>https://teknika.com.co</t>
  </si>
  <si>
    <t>CEO - Chief Executive Officer</t>
  </si>
  <si>
    <t>Smart Talent</t>
  </si>
  <si>
    <t>s@smartalentit.com</t>
  </si>
  <si>
    <t>http://www.linkedin.com/in/santiagovelezr</t>
  </si>
  <si>
    <t>http://www.linkedin.com/company/smartalent-it</t>
  </si>
  <si>
    <t>https://smartalentit.com</t>
  </si>
  <si>
    <t>Salomon</t>
  </si>
  <si>
    <t>salomon@azteclab.co</t>
  </si>
  <si>
    <t>http://www.linkedin.com/in/zarruk</t>
  </si>
  <si>
    <t>N Exponente</t>
  </si>
  <si>
    <t>juancamilo@nexponente.com</t>
  </si>
  <si>
    <t>http://www.linkedin.com/in/juan-camilo-ni%c3%b1o-estratega</t>
  </si>
  <si>
    <t>http://www.linkedin.com/company/n-exponente</t>
  </si>
  <si>
    <t>https://nexponente.com</t>
  </si>
  <si>
    <t>Globali</t>
  </si>
  <si>
    <t>jorge@globali.tech</t>
  </si>
  <si>
    <t>http://www.linkedin.com/in/jorgeivancontrerasp</t>
  </si>
  <si>
    <t>http://www.linkedin.com/company/globali.tech</t>
  </si>
  <si>
    <t>https://globali.org</t>
  </si>
  <si>
    <t>Credito Muii</t>
  </si>
  <si>
    <t>mariahelena@muii.com.co</t>
  </si>
  <si>
    <t>http://www.linkedin.com/in/mariahelenarico</t>
  </si>
  <si>
    <t>http://www.linkedin.com/company/muiioficial</t>
  </si>
  <si>
    <t>https://muii.com.co</t>
  </si>
  <si>
    <t>Interacpedia</t>
  </si>
  <si>
    <t>santiago@interacpedia.com</t>
  </si>
  <si>
    <t>http://www.linkedin.com/in/santiago-lalinde-garcia-99204341</t>
  </si>
  <si>
    <t>http://www.linkedin.com/company/interacpedia</t>
  </si>
  <si>
    <t>https://interacpedia.com</t>
  </si>
  <si>
    <t>Joel</t>
  </si>
  <si>
    <t>Emberr</t>
  </si>
  <si>
    <t>joel@emberr.co</t>
  </si>
  <si>
    <t>http://www.linkedin.com/in/joel-kenny</t>
  </si>
  <si>
    <t>http://www.linkedin.com/company/emberr</t>
  </si>
  <si>
    <t>https://emberr.co</t>
  </si>
  <si>
    <t>Try My Ride</t>
  </si>
  <si>
    <t>andres.silva@trymyride.co</t>
  </si>
  <si>
    <t>http://www.linkedin.com/in/andres-felipe-silva-artunduaga-94861a1b</t>
  </si>
  <si>
    <t>http://www.linkedin.com/company/try-my-ride</t>
  </si>
  <si>
    <t>https://trymyride.co</t>
  </si>
  <si>
    <t>Guardian Road International Insurance</t>
  </si>
  <si>
    <t>adrian.p@guardianroadins.com</t>
  </si>
  <si>
    <t>http://www.linkedin.com/in/adrian-david-peralta-diaz-50049267</t>
  </si>
  <si>
    <t>http://www.linkedin.com/company/guardian-road-international-insurance-llc</t>
  </si>
  <si>
    <t>https://guardianroadins.com</t>
  </si>
  <si>
    <t>Owner - Dynamics 365 for Finance and Operations Technical Consultant</t>
  </si>
  <si>
    <t>Atlantic Oak</t>
  </si>
  <si>
    <t>julio.luzardo@atlantic-oak.com</t>
  </si>
  <si>
    <t>http://www.linkedin.com/in/julio-luzardo-04998b21</t>
  </si>
  <si>
    <t>http://www.linkedin.com/company/atlantic-oak</t>
  </si>
  <si>
    <t>https://atlantic-oak.com</t>
  </si>
  <si>
    <t>Bixtia</t>
  </si>
  <si>
    <t>gerencia@bixtia.com</t>
  </si>
  <si>
    <t>http://www.linkedin.com/in/viviana-echavarria</t>
  </si>
  <si>
    <t>http://www.linkedin.com/company/bixtia</t>
  </si>
  <si>
    <t>https://bixtia.com</t>
  </si>
  <si>
    <t>Pilar</t>
  </si>
  <si>
    <t>CEO - Fundador Gerente de De Talento Humano y Desarrollo Organizacional</t>
  </si>
  <si>
    <t>Clarity Human SAS</t>
  </si>
  <si>
    <t>gerencia@clarityhuman.com</t>
  </si>
  <si>
    <t>http://www.linkedin.com/in/pilarmu%c3%b1ozjaramillo</t>
  </si>
  <si>
    <t>http://www.linkedin.com/company/clarity-human-sas</t>
  </si>
  <si>
    <t>https://clarityhuman.com</t>
  </si>
  <si>
    <t>TeachersPro</t>
  </si>
  <si>
    <t>ivan.lopez@teacherspro.com</t>
  </si>
  <si>
    <t>http://www.linkedin.com/in/ivanlopezj</t>
  </si>
  <si>
    <t>http://www.linkedin.com/company/teacherspro</t>
  </si>
  <si>
    <t>https://teacherspro.com</t>
  </si>
  <si>
    <t>Freddie</t>
  </si>
  <si>
    <t>Co-Founder &amp; Security Director</t>
  </si>
  <si>
    <t>fe@blackmountain-solutions.com</t>
  </si>
  <si>
    <t>http://www.linkedin.com/in/freddie-ellis-cpp-86791a8a</t>
  </si>
  <si>
    <t>Bluesite HR Hub</t>
  </si>
  <si>
    <t>sararuiz@bluesitehr.com</t>
  </si>
  <si>
    <t>http://www.linkedin.com/in/sara-ruiz-l%c3%b3pez-bluesite</t>
  </si>
  <si>
    <t>http://www.linkedin.com/company/bluesite-hr</t>
  </si>
  <si>
    <t>https://bluesitehr.com</t>
  </si>
  <si>
    <t>Solve Next</t>
  </si>
  <si>
    <t>daniel.buritica@solvenext.com</t>
  </si>
  <si>
    <t>http://www.linkedin.com/in/danielburitica</t>
  </si>
  <si>
    <t>http://www.linkedin.com/company/solvenext</t>
  </si>
  <si>
    <t>https://solvenext.com</t>
  </si>
  <si>
    <t>C.I. AGROAP SAS</t>
  </si>
  <si>
    <t>carlosmosquera@agroap.com</t>
  </si>
  <si>
    <t>http://www.linkedin.com/in/carlos-mosquera-55578a3a</t>
  </si>
  <si>
    <t>http://www.linkedin.com/company/agroap</t>
  </si>
  <si>
    <t>https://agroap.com</t>
  </si>
  <si>
    <t>Founder &amp; Chief Executive Officer</t>
  </si>
  <si>
    <t>Ashley Furniture Colombia</t>
  </si>
  <si>
    <t>pablo.sardi@ashleycolombia.com</t>
  </si>
  <si>
    <t>http://www.linkedin.com/in/pablosardi</t>
  </si>
  <si>
    <t>http://www.linkedin.com/company/ashleycolombia</t>
  </si>
  <si>
    <t>https://ashleycolombia.com</t>
  </si>
  <si>
    <t>Anditel Energía y Servicios</t>
  </si>
  <si>
    <t>dircontable@solucionesjv.co</t>
  </si>
  <si>
    <t>http://www.linkedin.com/in/santiagojaramillovillegas</t>
  </si>
  <si>
    <t>http://www.linkedin.com/company/anditel-energ%c3%ada-y-servicios-aes</t>
  </si>
  <si>
    <t>https://solucionesjv.co</t>
  </si>
  <si>
    <t>mateo@protti.co</t>
  </si>
  <si>
    <t>http://www.linkedin.com/in/mateo-amaya-ardila-1969a399</t>
  </si>
  <si>
    <t>DCI Cerebros Como Servicio</t>
  </si>
  <si>
    <t>juan.garcia@davinciconsultores.com</t>
  </si>
  <si>
    <t>http://www.linkedin.com/in/juanfernandogarciagomez</t>
  </si>
  <si>
    <t>http://www.linkedin.com/company/davinciconsultores</t>
  </si>
  <si>
    <t>https://davinciconsultores.com</t>
  </si>
  <si>
    <t>Grcmax</t>
  </si>
  <si>
    <t>ricardo.bernal@grcmax.com</t>
  </si>
  <si>
    <t>http://www.linkedin.com/in/ricardo-vasquez-bernal-85998236</t>
  </si>
  <si>
    <t>http://www.linkedin.com/company/grcmax</t>
  </si>
  <si>
    <t>https://grcmax.com</t>
  </si>
  <si>
    <t>Anderson</t>
  </si>
  <si>
    <t>Anderson Mora Consultores SAS</t>
  </si>
  <si>
    <t>gerencia@andersonmora.co</t>
  </si>
  <si>
    <t>http://www.linkedin.com/in/anderson-mora-mendez-85b63267</t>
  </si>
  <si>
    <t>http://www.linkedin.com/company/anderson-mora-sas</t>
  </si>
  <si>
    <t>https://andersonmora.co</t>
  </si>
  <si>
    <t>Condor Suite by JKTIC</t>
  </si>
  <si>
    <t>jktic@condorsuite.com</t>
  </si>
  <si>
    <t>http://www.linkedin.com/in/juan-carlos-devia-gonzalez-0310925</t>
  </si>
  <si>
    <t>http://www.linkedin.com/company/condor-suite</t>
  </si>
  <si>
    <t>https://condorsuite.com</t>
  </si>
  <si>
    <t>efe concepto</t>
  </si>
  <si>
    <t>liliana.lozano@efeconcepto.com</t>
  </si>
  <si>
    <t>http://www.linkedin.com/in/lilianalozanoalmario</t>
  </si>
  <si>
    <t>http://www.linkedin.com/company/efe-concepto</t>
  </si>
  <si>
    <t>https://efeconcepto.com</t>
  </si>
  <si>
    <t>Gerente General/CEO</t>
  </si>
  <si>
    <t>Inventto Group</t>
  </si>
  <si>
    <t>santiago@inventtogroup.com</t>
  </si>
  <si>
    <t>http://www.linkedin.com/in/santiramirezr89</t>
  </si>
  <si>
    <t>http://www.linkedin.com/company/inventto-group</t>
  </si>
  <si>
    <t>https://inventtogroup.com</t>
  </si>
  <si>
    <t>Co-ceo</t>
  </si>
  <si>
    <t>Nature Trips Colombia.Inbound Tour Operator &amp; Regenerative DMC for Colombia</t>
  </si>
  <si>
    <t>cesar.angel@naturetrips.co</t>
  </si>
  <si>
    <t>http://www.linkedin.com/in/cesarangelvalencia</t>
  </si>
  <si>
    <t>http://www.linkedin.com/company/nature-trips-colombia</t>
  </si>
  <si>
    <t>https://naturetrips.co</t>
  </si>
  <si>
    <t>Chief Executive Officer (C.E.O)</t>
  </si>
  <si>
    <t>RiskTech S.A.S</t>
  </si>
  <si>
    <t>mercadeo@risktech.com.co</t>
  </si>
  <si>
    <t>http://www.linkedin.com/in/linajimenezo</t>
  </si>
  <si>
    <t>http://www.linkedin.com/company/risktech-col</t>
  </si>
  <si>
    <t>https://risktech.com.co</t>
  </si>
  <si>
    <t>FactorTek</t>
  </si>
  <si>
    <t>mauricio.saenz@factortek.com</t>
  </si>
  <si>
    <t>http://www.linkedin.com/in/mauricio-saenz-pumarejo-12514a41</t>
  </si>
  <si>
    <t>http://www.linkedin.com/company/factortek</t>
  </si>
  <si>
    <t>https://factortek.com</t>
  </si>
  <si>
    <t>Kravata</t>
  </si>
  <si>
    <t>felipe@kravata.co</t>
  </si>
  <si>
    <t>http://www.linkedin.com/in/femontes</t>
  </si>
  <si>
    <t>http://www.linkedin.com/company/kravata</t>
  </si>
  <si>
    <t>https://kravata.co</t>
  </si>
  <si>
    <t>Teresa</t>
  </si>
  <si>
    <t>Sandler Dan Macías</t>
  </si>
  <si>
    <t>teresa.prieto@sandler.com</t>
  </si>
  <si>
    <t>http://www.linkedin.com/in/teresaprieto</t>
  </si>
  <si>
    <t>http://www.linkedin.com/company/sandlerdanmacias</t>
  </si>
  <si>
    <t>https://sandlerdanmacias.com</t>
  </si>
  <si>
    <t>Co-fundador y Consultor Senior</t>
  </si>
  <si>
    <t>Cohete BSP</t>
  </si>
  <si>
    <t>consultor.senior@cohete-it.com</t>
  </si>
  <si>
    <t>http://www.linkedin.com/in/ccorredor</t>
  </si>
  <si>
    <t>http://www.linkedin.com/company/cohete-bsp</t>
  </si>
  <si>
    <t>https://cohete-it.com</t>
  </si>
  <si>
    <t>Founder - Director de Revolución Cultural</t>
  </si>
  <si>
    <t>Amikdala Consultores</t>
  </si>
  <si>
    <t>anamaria@amikdala.com</t>
  </si>
  <si>
    <t>http://www.linkedin.com/in/namagomez</t>
  </si>
  <si>
    <t>http://www.linkedin.com/company/amikdalaconsultores</t>
  </si>
  <si>
    <t>https://amikdala.com</t>
  </si>
  <si>
    <t>Co-Founder &amp; CEO Quipu</t>
  </si>
  <si>
    <t>Quipu</t>
  </si>
  <si>
    <t>mbidart@quipubank.com</t>
  </si>
  <si>
    <t>http://www.linkedin.com/in/mercedes-bidart-argentina</t>
  </si>
  <si>
    <t>http://www.linkedin.com/company/quipulatam</t>
  </si>
  <si>
    <t>https://quipu.com.co</t>
  </si>
  <si>
    <t>Doppelmayr Colombia</t>
  </si>
  <si>
    <t>alejandro.zambrano@doppelmayr.com</t>
  </si>
  <si>
    <t>http://www.linkedin.com/in/alejandro-zambrano-perilla</t>
  </si>
  <si>
    <t>http://www.linkedin.com/company/doppelmayr-colombia-sas</t>
  </si>
  <si>
    <t>https://doppelmayr.com</t>
  </si>
  <si>
    <t>jgoyeneche@troop.com.co</t>
  </si>
  <si>
    <t>http://www.linkedin.com/in/juan-goyeneche-05bb327a</t>
  </si>
  <si>
    <t>lpulgar@lenuscp.com</t>
  </si>
  <si>
    <t>http://www.linkedin.com/in/luis-pulgar-67a10139</t>
  </si>
  <si>
    <t>CEO y Co-founder</t>
  </si>
  <si>
    <t>Cuestiónica</t>
  </si>
  <si>
    <t>jorgegamboa@cuestionica.com</t>
  </si>
  <si>
    <t>http://www.linkedin.com/in/jorge-gamboa-a455176b</t>
  </si>
  <si>
    <t>http://www.linkedin.com/company/cuestionica</t>
  </si>
  <si>
    <t>https://cuestionica.com</t>
  </si>
  <si>
    <t>Óptica Alemana E y H Schmidt S.A</t>
  </si>
  <si>
    <t>ggomez@opticaalemana.com.co</t>
  </si>
  <si>
    <t>http://www.linkedin.com/in/gonzalo-gomez-7454185</t>
  </si>
  <si>
    <t>http://www.linkedin.com/company/%c3%b2ptica-alemana-e-y-h-schmidt-s-a-</t>
  </si>
  <si>
    <t>https://opticaalemana.com.co</t>
  </si>
  <si>
    <t>Yadir</t>
  </si>
  <si>
    <t>LATENTE INGENIERIA</t>
  </si>
  <si>
    <t>ybojaca@latenteingenieria.com</t>
  </si>
  <si>
    <t>http://www.linkedin.com/in/yadirbojaca</t>
  </si>
  <si>
    <t>http://www.linkedin.com/company/latente-ingenieria</t>
  </si>
  <si>
    <t>https://latenteingenieria.com</t>
  </si>
  <si>
    <t>Ingtec Especialidades</t>
  </si>
  <si>
    <t>estrategiadigital@iespecialidades.com</t>
  </si>
  <si>
    <t>http://www.linkedin.com/in/alejandra-correa-4b3423241</t>
  </si>
  <si>
    <t>http://www.linkedin.com/company/iespecialidades</t>
  </si>
  <si>
    <t>https://iespecialidades.com</t>
  </si>
  <si>
    <t>Director-Cofounder</t>
  </si>
  <si>
    <t>JCL GROUP SAS</t>
  </si>
  <si>
    <t>http://www.linkedin.com/in/juan-sebasti%c3%a1n-mu%c3%b1oz-1509784b</t>
  </si>
  <si>
    <t>http://www.linkedin.com/company/jcl-group-sas</t>
  </si>
  <si>
    <t>https://amconcreto.com</t>
  </si>
  <si>
    <t>RIDE PRO&gt;&gt;</t>
  </si>
  <si>
    <t>dvillaveces@ridepro.co</t>
  </si>
  <si>
    <t>http://www.linkedin.com/in/daniel-villaveces-prada-8063b056</t>
  </si>
  <si>
    <t>http://www.linkedin.com/company/ride-pro</t>
  </si>
  <si>
    <t>https://ridepro.co</t>
  </si>
  <si>
    <t>Osman</t>
  </si>
  <si>
    <t>Chief Marketing Officer &amp; Sales Operations</t>
  </si>
  <si>
    <t>Sitech de Colombia S.A.S</t>
  </si>
  <si>
    <t>orodriguez@sitechcolombia.com</t>
  </si>
  <si>
    <t>http://www.linkedin.com/in/osman-rodriguez</t>
  </si>
  <si>
    <t>http://www.linkedin.com/company/sitechdecolombia</t>
  </si>
  <si>
    <t>https://sitechcolombia.com</t>
  </si>
  <si>
    <t>Nathalia</t>
  </si>
  <si>
    <t>CEO &amp; Co-Founder Transformente</t>
  </si>
  <si>
    <t>nathalia@transformente.com</t>
  </si>
  <si>
    <t>http://www.linkedin.com/in/nathalia-miranda</t>
  </si>
  <si>
    <t>Toperty</t>
  </si>
  <si>
    <t>pbotero@toperty.co</t>
  </si>
  <si>
    <t>http://www.linkedin.com/in/pedro-botero-piedrahita-4467b595</t>
  </si>
  <si>
    <t>http://www.linkedin.com/company/topertyco</t>
  </si>
  <si>
    <t>https://toperty.co</t>
  </si>
  <si>
    <t>Opencity</t>
  </si>
  <si>
    <t>fg@opencitylife.com</t>
  </si>
  <si>
    <t>http://www.linkedin.com/in/fabio-gordillo-0205221a</t>
  </si>
  <si>
    <t>http://www.linkedin.com/company/opencitylife</t>
  </si>
  <si>
    <t>https://opencitylife.com</t>
  </si>
  <si>
    <t>Robbie</t>
  </si>
  <si>
    <t>r@kinnto.ai</t>
  </si>
  <si>
    <t>http://www.linkedin.com/in/robbiejfrye</t>
  </si>
  <si>
    <t>Evolution Change</t>
  </si>
  <si>
    <t>cgaona@evolutionchange.com</t>
  </si>
  <si>
    <t>http://www.linkedin.com/in/carlos-andr%c3%a9s-gaona-su%c3%a1rez-7a140548</t>
  </si>
  <si>
    <t>http://www.linkedin.com/company/evolutionchange</t>
  </si>
  <si>
    <t>https://evolutionchange.com</t>
  </si>
  <si>
    <t>SecPro</t>
  </si>
  <si>
    <t>david.pereira@secpro.llc</t>
  </si>
  <si>
    <t>http://www.linkedin.com/in/davidfpereira</t>
  </si>
  <si>
    <t>http://www.linkedin.com/company/secprollc</t>
  </si>
  <si>
    <t>https://secpro.llc</t>
  </si>
  <si>
    <t>Octavio</t>
  </si>
  <si>
    <t>Valopes</t>
  </si>
  <si>
    <t>octavio@valopes.com</t>
  </si>
  <si>
    <t>http://www.linkedin.com/in/octaviotorresq</t>
  </si>
  <si>
    <t>http://www.linkedin.com/company/valopes</t>
  </si>
  <si>
    <t>https://valopes.com</t>
  </si>
  <si>
    <t>TalentFinder</t>
  </si>
  <si>
    <t>valentina@talentfinder.com.co</t>
  </si>
  <si>
    <t>http://www.linkedin.com/in/valentina-prieto-diazgranados-3172b059</t>
  </si>
  <si>
    <t>http://www.linkedin.com/company/talentfindersas</t>
  </si>
  <si>
    <t>https://talentfinder.com.co</t>
  </si>
  <si>
    <t>TexMall</t>
  </si>
  <si>
    <t>mario.valderrama@texmall.co</t>
  </si>
  <si>
    <t>http://www.linkedin.com/in/valderramario</t>
  </si>
  <si>
    <t>http://www.linkedin.com/company/bodega-textil</t>
  </si>
  <si>
    <t>https://texmall.co</t>
  </si>
  <si>
    <t>Co-Founder &amp; Chief Growth Officer</t>
  </si>
  <si>
    <t>Hashrisk</t>
  </si>
  <si>
    <t>jgaviria@hashrisk.io</t>
  </si>
  <si>
    <t>http://www.linkedin.com/in/josegaviria</t>
  </si>
  <si>
    <t>http://www.linkedin.com/company/hashrisk</t>
  </si>
  <si>
    <t>https://hashrisk.io</t>
  </si>
  <si>
    <t>CEO &amp; Founder iMotriz - Marketplace de Repuestos Para Vehículos Latam</t>
  </si>
  <si>
    <t>iMotriz Marketplace Autopartes</t>
  </si>
  <si>
    <t>gerente@imotriz.com</t>
  </si>
  <si>
    <t>http://www.linkedin.com/in/jorgemario50</t>
  </si>
  <si>
    <t>http://www.linkedin.com/company/imotriz</t>
  </si>
  <si>
    <t>https://imotriz.com</t>
  </si>
  <si>
    <t>Joshua</t>
  </si>
  <si>
    <t>Seeds of Tao</t>
  </si>
  <si>
    <t>joshua@seedsoftao.com</t>
  </si>
  <si>
    <t>http://www.linkedin.com/in/joshua-paul-prieto-10866441</t>
  </si>
  <si>
    <t>http://www.linkedin.com/company/seeds-of-tao</t>
  </si>
  <si>
    <t>https://seedsoftao.com</t>
  </si>
  <si>
    <t>Mia</t>
  </si>
  <si>
    <t>Aequales</t>
  </si>
  <si>
    <t>mia@aequales.com</t>
  </si>
  <si>
    <t>http://www.linkedin.com/in/miaperdomo</t>
  </si>
  <si>
    <t>http://www.linkedin.com/company/aequaleslat</t>
  </si>
  <si>
    <t>https://aequales.com</t>
  </si>
  <si>
    <t>mauricio.gomez@gotocloud.in</t>
  </si>
  <si>
    <t>http://www.linkedin.com/in/mauricio-gomez-pacheco-3790bb57</t>
  </si>
  <si>
    <t>ufund</t>
  </si>
  <si>
    <t>a.ortiz@ufundco.com</t>
  </si>
  <si>
    <t>http://www.linkedin.com/in/alejandro-ortiz-caballero-a05239141</t>
  </si>
  <si>
    <t>http://www.linkedin.com/company/ufundco</t>
  </si>
  <si>
    <t>https://ufundco.com</t>
  </si>
  <si>
    <t>Servisoftware</t>
  </si>
  <si>
    <t>freddyzamorac@servisoftware.com</t>
  </si>
  <si>
    <t>http://www.linkedin.com/in/freddyzamorac</t>
  </si>
  <si>
    <t>http://www.linkedin.com/company/servisoftware</t>
  </si>
  <si>
    <t>https://servisoftware.com</t>
  </si>
  <si>
    <t>Giovanny</t>
  </si>
  <si>
    <t>CEO + Co-Founder - Gerente Diseño y Arquitectura</t>
  </si>
  <si>
    <t>NAOS Desarrollos</t>
  </si>
  <si>
    <t>gc@naosarq.com.co</t>
  </si>
  <si>
    <t>http://www.linkedin.com/in/giovanny-castillo-33ab0325</t>
  </si>
  <si>
    <t>http://www.linkedin.com/company/naosarq</t>
  </si>
  <si>
    <t>https://naosarq.com.co</t>
  </si>
  <si>
    <t>CodeBranch</t>
  </si>
  <si>
    <t>dsanchez@codebranch.co</t>
  </si>
  <si>
    <t>http://www.linkedin.com/in/diego-leon-sanchez-rios-2859871b</t>
  </si>
  <si>
    <t>http://www.linkedin.com/company/code-branch</t>
  </si>
  <si>
    <t>https://codebranch.co</t>
  </si>
  <si>
    <t>Lucas</t>
  </si>
  <si>
    <t>CEO &amp; Co-fundador</t>
  </si>
  <si>
    <t>AppingLab</t>
  </si>
  <si>
    <t>lserrano@apping.com.co</t>
  </si>
  <si>
    <t>http://www.linkedin.com/in/lucasfelipeserrano</t>
  </si>
  <si>
    <t>http://www.linkedin.com/company/appinglab</t>
  </si>
  <si>
    <t>https://appinglab.com</t>
  </si>
  <si>
    <t>Kenny</t>
  </si>
  <si>
    <t>Approbe</t>
  </si>
  <si>
    <t>kenny.silva@approbe.co</t>
  </si>
  <si>
    <t>http://www.linkedin.com/in/kennysilvag</t>
  </si>
  <si>
    <t>http://www.linkedin.com/company/approbe-co</t>
  </si>
  <si>
    <t>https://approbe.co</t>
  </si>
  <si>
    <t>Growth Marketing Director</t>
  </si>
  <si>
    <t>bemyself ID</t>
  </si>
  <si>
    <t>juan.munoz@gse.com.co</t>
  </si>
  <si>
    <t>http://www.linkedin.com/in/juan-jose-mu%c3%b1oz-90095929</t>
  </si>
  <si>
    <t>http://www.linkedin.com/company/bemyself-id</t>
  </si>
  <si>
    <t>https://bemyself.com</t>
  </si>
  <si>
    <t>Produteka</t>
  </si>
  <si>
    <t>paula@produteka.com</t>
  </si>
  <si>
    <t>http://www.linkedin.com/in/paula-gonz%c3%a1lez-ram%c3%adrez-bb82b4202</t>
  </si>
  <si>
    <t>http://www.linkedin.com/company/produteka</t>
  </si>
  <si>
    <t>https://produteka.com</t>
  </si>
  <si>
    <t>felipe@plataform.com</t>
  </si>
  <si>
    <t>http://www.linkedin.com/in/felipe-t-06169133</t>
  </si>
  <si>
    <t>Sekure</t>
  </si>
  <si>
    <t>rodrigo.alfonso@sekure.com.co</t>
  </si>
  <si>
    <t>http://www.linkedin.com/in/rodrigo-alfonso</t>
  </si>
  <si>
    <t>http://www.linkedin.com/company/sekure</t>
  </si>
  <si>
    <t>https://sekure.com.co</t>
  </si>
  <si>
    <t>Co-funder | CEO</t>
  </si>
  <si>
    <t>E-CHARGE</t>
  </si>
  <si>
    <t>gustavo.alenza@e-charge.com.co</t>
  </si>
  <si>
    <t>http://www.linkedin.com/in/gustavo-blanco-alenza-718a62162</t>
  </si>
  <si>
    <t>http://www.linkedin.com/company/e-charge-charging-stations</t>
  </si>
  <si>
    <t>https://e-charge.com.co</t>
  </si>
  <si>
    <t>andres@ankatech.co</t>
  </si>
  <si>
    <t>http://www.linkedin.com/in/andresgalindothebuilder</t>
  </si>
  <si>
    <t>Enrique</t>
  </si>
  <si>
    <t>CONFIAM SAS</t>
  </si>
  <si>
    <t>enrique@confiam.com</t>
  </si>
  <si>
    <t>http://www.linkedin.com/in/ebeltranp</t>
  </si>
  <si>
    <t>http://www.linkedin.com/company/confiam-sas</t>
  </si>
  <si>
    <t>https://confiam.com</t>
  </si>
  <si>
    <t>Snaau</t>
  </si>
  <si>
    <t>john@snaau.co</t>
  </si>
  <si>
    <t>http://www.linkedin.com/in/john-jairo-archila-cort%c3%a9s-059335135</t>
  </si>
  <si>
    <t>http://www.linkedin.com/company/snaau</t>
  </si>
  <si>
    <t>https://snaau.co</t>
  </si>
  <si>
    <t>NetMidas</t>
  </si>
  <si>
    <t>joc@netmidas.com</t>
  </si>
  <si>
    <t>http://www.linkedin.com/in/johnolivercoffey</t>
  </si>
  <si>
    <t>http://www.linkedin.com/company/netmidas</t>
  </si>
  <si>
    <t>https://netmidas.com</t>
  </si>
  <si>
    <t>jorge.correa@eatcloud.com</t>
  </si>
  <si>
    <t>http://www.linkedin.com/in/jorgecorreat</t>
  </si>
  <si>
    <t>NAEZ</t>
  </si>
  <si>
    <t>andrestrujillo@naez.co</t>
  </si>
  <si>
    <t>http://www.linkedin.com/in/andres-trujillo-9b466054</t>
  </si>
  <si>
    <t>http://www.linkedin.com/company/naezinternational</t>
  </si>
  <si>
    <t>https://naez.co</t>
  </si>
  <si>
    <t>Miller</t>
  </si>
  <si>
    <t>CEO/Founder</t>
  </si>
  <si>
    <t>Agroventure Capital</t>
  </si>
  <si>
    <t>miller@agroventurecapital.co</t>
  </si>
  <si>
    <t>http://www.linkedin.com/in/millerpreciado</t>
  </si>
  <si>
    <t>http://www.linkedin.com/company/agroventure-capital</t>
  </si>
  <si>
    <t>https://agroventurecapital.com.co</t>
  </si>
  <si>
    <t>nmaldonado@toperty.co</t>
  </si>
  <si>
    <t>http://www.linkedin.com/in/nicolas-maldonado-jacobsen</t>
  </si>
  <si>
    <t>santiago@quix.work</t>
  </si>
  <si>
    <t>http://www.linkedin.com/in/santiagogomezosorio</t>
  </si>
  <si>
    <t>Jennifer</t>
  </si>
  <si>
    <t>ELESPIK</t>
  </si>
  <si>
    <t>jennifersaenz@elespik.com</t>
  </si>
  <si>
    <t>http://www.linkedin.com/in/jennifer-s%c3%a1enz-99b40b4a</t>
  </si>
  <si>
    <t>http://www.linkedin.com/company/elespik</t>
  </si>
  <si>
    <t>https://elespik.com</t>
  </si>
  <si>
    <t>Sports Crowd</t>
  </si>
  <si>
    <t>francisco.restrepo@fanaticadas.co</t>
  </si>
  <si>
    <t>http://www.linkedin.com/in/francisco-javier-restrepo-83529738</t>
  </si>
  <si>
    <t>http://www.linkedin.com/company/sports-crowd-sc</t>
  </si>
  <si>
    <t>https://sports-crowd.com</t>
  </si>
  <si>
    <t>Miryam</t>
  </si>
  <si>
    <t>Ler Prevención SST</t>
  </si>
  <si>
    <t>miryam.duenas@lerprevencion.co</t>
  </si>
  <si>
    <t>http://www.linkedin.com/in/miryam-due%c3%b1as-07408a112</t>
  </si>
  <si>
    <t>http://www.linkedin.com/company/ler-prevencion</t>
  </si>
  <si>
    <t>https://lerprevencion.co</t>
  </si>
  <si>
    <t>CEO | Director Ejecutivo</t>
  </si>
  <si>
    <t>TDC LAB</t>
  </si>
  <si>
    <t>luis.morales@tdclab.com</t>
  </si>
  <si>
    <t>http://www.linkedin.com/in/luis-morales-548839b3</t>
  </si>
  <si>
    <t>http://www.linkedin.com/company/tdclab</t>
  </si>
  <si>
    <t>https://tdclab.com</t>
  </si>
  <si>
    <t>Pascal</t>
  </si>
  <si>
    <t>Big Karma</t>
  </si>
  <si>
    <t>pascal@bigkar.ma</t>
  </si>
  <si>
    <t>http://www.linkedin.com/in/pascal-clarysse</t>
  </si>
  <si>
    <t>http://www.linkedin.com/company/bigkarma</t>
  </si>
  <si>
    <t>https://bigkarma.net</t>
  </si>
  <si>
    <t>Yanis</t>
  </si>
  <si>
    <t>AZERIS</t>
  </si>
  <si>
    <t>yanis.mayoma@upb.edu.co</t>
  </si>
  <si>
    <t>http://www.linkedin.com/in/yanis-mayoma-8917b4211</t>
  </si>
  <si>
    <t>http://www.linkedin.com/company/azeris</t>
  </si>
  <si>
    <t>https://upb.edu.co</t>
  </si>
  <si>
    <t>Paolo</t>
  </si>
  <si>
    <t>Kitsune</t>
  </si>
  <si>
    <t>paolo@vertimedios.com</t>
  </si>
  <si>
    <t>http://www.linkedin.com/in/paolomiscia</t>
  </si>
  <si>
    <t>http://www.linkedin.com/company/kitsune-ia</t>
  </si>
  <si>
    <t>https://vertimedios.com</t>
  </si>
  <si>
    <t>DGTALL SAAS</t>
  </si>
  <si>
    <t>felipe@dgtall.com.co</t>
  </si>
  <si>
    <t>http://www.linkedin.com/in/febotero</t>
  </si>
  <si>
    <t>http://www.linkedin.com/company/dgtall-saas</t>
  </si>
  <si>
    <t>https://dgtall.com.co</t>
  </si>
  <si>
    <t>Aerialoop</t>
  </si>
  <si>
    <t>santiago@aerialoop.com</t>
  </si>
  <si>
    <t>http://www.linkedin.com/in/santiagobarrerav</t>
  </si>
  <si>
    <t>http://www.linkedin.com/company/aerialoop</t>
  </si>
  <si>
    <t>https://aerialoop.com</t>
  </si>
  <si>
    <t>Ajuscol Consultores SAS</t>
  </si>
  <si>
    <t>andres.cortes@ajuscol.com</t>
  </si>
  <si>
    <t>http://www.linkedin.com/in/andr%c3%a9s-erwin-cort%c3%a9s-sandoval-eng-msc-mba-a88a4578</t>
  </si>
  <si>
    <t>http://www.linkedin.com/company/ajuscol-consultores-sas</t>
  </si>
  <si>
    <t>https://ajuscol.com</t>
  </si>
  <si>
    <t>Peewah</t>
  </si>
  <si>
    <t>camilo@peewah.co</t>
  </si>
  <si>
    <t>http://www.linkedin.com/in/camilosaka</t>
  </si>
  <si>
    <t>http://www.linkedin.com/company/peewah</t>
  </si>
  <si>
    <t>https://peewah.co</t>
  </si>
  <si>
    <t>Deyber</t>
  </si>
  <si>
    <t>Brand´s Lab sas</t>
  </si>
  <si>
    <t>estrategias@brandslab.com.co</t>
  </si>
  <si>
    <t>http://www.linkedin.com/in/deyber-brand</t>
  </si>
  <si>
    <t>http://www.linkedin.com/company/brand%c2%b4s-lab-sas</t>
  </si>
  <si>
    <t>https://brandslab.com.co</t>
  </si>
  <si>
    <t>WASS</t>
  </si>
  <si>
    <t>luis.mendoza@wass.com.co</t>
  </si>
  <si>
    <t>http://www.linkedin.com/in/luisdanielmendoza</t>
  </si>
  <si>
    <t>http://www.linkedin.com/company/wassapp</t>
  </si>
  <si>
    <t>https://wass.com.co</t>
  </si>
  <si>
    <t>Reynaldo</t>
  </si>
  <si>
    <t>Founder and Managing Partner</t>
  </si>
  <si>
    <t>Concordia Investments</t>
  </si>
  <si>
    <t>reynaldo.espinosa@concordiainvestments.com</t>
  </si>
  <si>
    <t>http://www.linkedin.com/in/reinaldoespinosa</t>
  </si>
  <si>
    <t>http://www.linkedin.com/company/concordia-investments</t>
  </si>
  <si>
    <t>https://concordiasimple.com</t>
  </si>
  <si>
    <t>Shark People</t>
  </si>
  <si>
    <t>jonathan.triana@sharkpeople.com.co</t>
  </si>
  <si>
    <t>http://www.linkedin.com/in/jonathan-triana-hern%c3%a1ndez-42627068</t>
  </si>
  <si>
    <t>http://www.linkedin.com/company/shark-people</t>
  </si>
  <si>
    <t>https://sharkpeople.com.co</t>
  </si>
  <si>
    <t>SaleStrategy</t>
  </si>
  <si>
    <t>sebastian@salestrategy.io</t>
  </si>
  <si>
    <t>http://www.linkedin.com/in/sebas-castrillon</t>
  </si>
  <si>
    <t>http://www.linkedin.com/company/salestrategy-io</t>
  </si>
  <si>
    <t>https://salestrategy.io</t>
  </si>
  <si>
    <t>Ranki</t>
  </si>
  <si>
    <t>alejandro@ranki.co</t>
  </si>
  <si>
    <t>http://www.linkedin.com/in/alejandroseo</t>
  </si>
  <si>
    <t>http://www.linkedin.com/company/ranki-seo</t>
  </si>
  <si>
    <t>https://ranki.co</t>
  </si>
  <si>
    <t>c@getmeru.com</t>
  </si>
  <si>
    <t>http://www.linkedin.com/in/carlos-neira-a1a44548</t>
  </si>
  <si>
    <t>RAC Construcciones y Urbanizaciones</t>
  </si>
  <si>
    <t>gerencia@construccionesrac.com</t>
  </si>
  <si>
    <t>http://www.linkedin.com/in/racamandaca</t>
  </si>
  <si>
    <t>http://www.linkedin.com/company/rac-construcciones-y-urbananizaciones</t>
  </si>
  <si>
    <t>https://construccionesrac.com</t>
  </si>
  <si>
    <t>Dorian</t>
  </si>
  <si>
    <t>Biofile</t>
  </si>
  <si>
    <t>dorian@biofile.com.co</t>
  </si>
  <si>
    <t>http://www.linkedin.com/in/dorianrallon</t>
  </si>
  <si>
    <t>http://www.linkedin.com/company/biofile</t>
  </si>
  <si>
    <t>https://biofile.com.co</t>
  </si>
  <si>
    <t>andres@ettos.co</t>
  </si>
  <si>
    <t>http://www.linkedin.com/in/andres-arango-mesa</t>
  </si>
  <si>
    <t>ONCE GROUP</t>
  </si>
  <si>
    <t>felipe.perez@11glatam.com</t>
  </si>
  <si>
    <t>http://www.linkedin.com/in/felipeperezhenao</t>
  </si>
  <si>
    <t>http://www.linkedin.com/company/oncegroup</t>
  </si>
  <si>
    <t>https://11glatam.com</t>
  </si>
  <si>
    <t>LingoQuesto</t>
  </si>
  <si>
    <t>tomas@lingoquesto.com</t>
  </si>
  <si>
    <t>http://www.linkedin.com/in/tomas-vallejo</t>
  </si>
  <si>
    <t>http://www.linkedin.com/company/lingoquesto</t>
  </si>
  <si>
    <t>https://lingoquesto.com</t>
  </si>
  <si>
    <t>VP Sales Latam</t>
  </si>
  <si>
    <t>BPS Solutions Latam</t>
  </si>
  <si>
    <t>jhon.beltran@bpssolutions.com.co</t>
  </si>
  <si>
    <t>http://www.linkedin.com/in/jhon-jairo-beltran-peinado-9a59a023</t>
  </si>
  <si>
    <t>http://www.linkedin.com/company/bpssolutions-co</t>
  </si>
  <si>
    <t>https://bpssolutions.com.co</t>
  </si>
  <si>
    <t>UpwareSoft</t>
  </si>
  <si>
    <t>cesar.bejarano@upwaresoft.com</t>
  </si>
  <si>
    <t>http://www.linkedin.com/in/cesar-bejarano-uws</t>
  </si>
  <si>
    <t>http://www.linkedin.com/company/upwaresoft</t>
  </si>
  <si>
    <t>https://upwaresoft.com</t>
  </si>
  <si>
    <t>Chief Creative Officer &amp; Co-Founder</t>
  </si>
  <si>
    <t>Nea Studio</t>
  </si>
  <si>
    <t>miguel@neastudio.xyz</t>
  </si>
  <si>
    <t>http://www.linkedin.com/in/miguel-izquierdo-48458129a</t>
  </si>
  <si>
    <t>http://www.linkedin.com/company/nea-studio</t>
  </si>
  <si>
    <t>https://neastudio.xyz</t>
  </si>
  <si>
    <t>Head of Strategy &amp; Operations</t>
  </si>
  <si>
    <t>juan@creditop.com</t>
  </si>
  <si>
    <t>http://www.linkedin.com/in/juan-camilo-rodr%c3%adguez-sabogal-1434a9162</t>
  </si>
  <si>
    <t>Estrategia MIC</t>
  </si>
  <si>
    <t>andresarango@estrategiamic.com</t>
  </si>
  <si>
    <t>http://www.linkedin.com/in/andresarangoe</t>
  </si>
  <si>
    <t>http://www.linkedin.com/company/estrategia-mic</t>
  </si>
  <si>
    <t>https://estrategiamic.com</t>
  </si>
  <si>
    <t>Ciro</t>
  </si>
  <si>
    <t>WSEEDS</t>
  </si>
  <si>
    <t>ciro.gelvez@wseeds.co</t>
  </si>
  <si>
    <t>http://www.linkedin.com/in/cirogelvezp</t>
  </si>
  <si>
    <t>http://www.linkedin.com/company/wseeds</t>
  </si>
  <si>
    <t>https://wseeds.co</t>
  </si>
  <si>
    <t>Ecrimeforense</t>
  </si>
  <si>
    <t>jhon.bermudez@ecrimeforense.com</t>
  </si>
  <si>
    <t>http://www.linkedin.com/in/jhon-fredy-berm%c3%badez-p-b3200b6a</t>
  </si>
  <si>
    <t>http://www.linkedin.com/company/ecrimeforense</t>
  </si>
  <si>
    <t>https://ecrimeforense.com</t>
  </si>
  <si>
    <t>Niels</t>
  </si>
  <si>
    <t>Co-Founder and Managing Director</t>
  </si>
  <si>
    <t>Ongresso Energy</t>
  </si>
  <si>
    <t>niels@ongresso-energy.com</t>
  </si>
  <si>
    <t>http://www.linkedin.com/in/niels-van-der-wijk-04321aa9</t>
  </si>
  <si>
    <t>http://www.linkedin.com/company/ongresso-energy</t>
  </si>
  <si>
    <t>https://ongresso-energy.com</t>
  </si>
  <si>
    <t>Denario Libranzas Inteligentes</t>
  </si>
  <si>
    <t>juan.duran@denario.com.co</t>
  </si>
  <si>
    <t>http://www.linkedin.com/in/juan-carlos-duran-b043085a</t>
  </si>
  <si>
    <t>http://www.linkedin.com/company/denariolibranzas</t>
  </si>
  <si>
    <t>https://denario.com.co</t>
  </si>
  <si>
    <t>ROCASOL</t>
  </si>
  <si>
    <t>santiago@rocasol.com.co</t>
  </si>
  <si>
    <t>http://www.linkedin.com/in/santiago-rodr%c3%adguez-uribe-6a2a331a7</t>
  </si>
  <si>
    <t>http://www.linkedin.com/company/rocasol1</t>
  </si>
  <si>
    <t>https://rocasol.com.co</t>
  </si>
  <si>
    <t>Marce</t>
  </si>
  <si>
    <t>Cofundadora-CEO y Figura Pública</t>
  </si>
  <si>
    <t>Desarrollo ING</t>
  </si>
  <si>
    <t>mrodriguez@desarrolloing.com.co</t>
  </si>
  <si>
    <t>http://www.linkedin.com/in/marce-rodriguez-silva-38382a126</t>
  </si>
  <si>
    <t>http://www.linkedin.com/company/desarrollo-ing</t>
  </si>
  <si>
    <t>https://desarrolloing.com.co</t>
  </si>
  <si>
    <t>Co-Founder, CTO</t>
  </si>
  <si>
    <t>Traze</t>
  </si>
  <si>
    <t>paulo.sala@trazesoft.com</t>
  </si>
  <si>
    <t>http://www.linkedin.com/in/paulo-salazar-9638bb21</t>
  </si>
  <si>
    <t>http://www.linkedin.com/company/trazesoft</t>
  </si>
  <si>
    <t>https://trazesoft.com</t>
  </si>
  <si>
    <t>Edna</t>
  </si>
  <si>
    <t>CEO &amp; New Opportunities Manager</t>
  </si>
  <si>
    <t>Ecocalidad Consulting</t>
  </si>
  <si>
    <t>edna.martinez@ecocalidadconsulting.com</t>
  </si>
  <si>
    <t>http://www.linkedin.com/in/edna-martinez-64a29729</t>
  </si>
  <si>
    <t>http://www.linkedin.com/company/ecocalidad-consulting</t>
  </si>
  <si>
    <t>https://ecocalidadconsulting.com</t>
  </si>
  <si>
    <t>Open</t>
  </si>
  <si>
    <t>arios@osdglobal.com</t>
  </si>
  <si>
    <t>http://www.linkedin.com/in/alexander-rios-a5585716</t>
  </si>
  <si>
    <t>http://www.linkedin.com/company/osdglobal</t>
  </si>
  <si>
    <t>https://osdglobal.com</t>
  </si>
  <si>
    <t>Cofounder &amp; COO</t>
  </si>
  <si>
    <t>Humanolab</t>
  </si>
  <si>
    <t>pascal@humanolab.ai</t>
  </si>
  <si>
    <t>http://www.linkedin.com/in/pascal-latorre-vidales</t>
  </si>
  <si>
    <t>http://www.linkedin.com/company/humanolabhq</t>
  </si>
  <si>
    <t>https://humanolab.ai</t>
  </si>
  <si>
    <t>Co-Founder y CTO CargaYa</t>
  </si>
  <si>
    <t>natalia@cargaya.com.co</t>
  </si>
  <si>
    <t>http://www.linkedin.com/in/natalia-ramirez-85a630133</t>
  </si>
  <si>
    <t>Yelitza</t>
  </si>
  <si>
    <t>Aicoll</t>
  </si>
  <si>
    <t>gerencia@aicoll.co</t>
  </si>
  <si>
    <t>http://www.linkedin.com/in/yelitza-mar%c3%ada-romero-florez-7296a519b</t>
  </si>
  <si>
    <t>http://www.linkedin.com/company/aicoll</t>
  </si>
  <si>
    <t>https://aicoll.co</t>
  </si>
  <si>
    <t>CEO - CoFunder</t>
  </si>
  <si>
    <t>ZhanaSolutions</t>
  </si>
  <si>
    <t>francisco.vivas@zhanasolutions.com</t>
  </si>
  <si>
    <t>http://www.linkedin.com/in/francisco-vivas-ramos-b17085112</t>
  </si>
  <si>
    <t>http://www.linkedin.com/company/zhanasolutions</t>
  </si>
  <si>
    <t>https://zhanasolutions.com</t>
  </si>
  <si>
    <t>Co-Founder &amp; VP of Sales &amp; Strategy</t>
  </si>
  <si>
    <t>Innovbo Group</t>
  </si>
  <si>
    <t>pm@innovogroup.com</t>
  </si>
  <si>
    <t>http://www.linkedin.com/in/maria-lucia-lora</t>
  </si>
  <si>
    <t>http://www.linkedin.com/company/innovbo-group</t>
  </si>
  <si>
    <t>https://innovogroup.com</t>
  </si>
  <si>
    <t>Abelis</t>
  </si>
  <si>
    <t>abelis@o-lab.app</t>
  </si>
  <si>
    <t>http://www.linkedin.com/in/abelisortiz-marketing</t>
  </si>
  <si>
    <t>Moda Lab</t>
  </si>
  <si>
    <t>azuniga@modalab.co</t>
  </si>
  <si>
    <t>http://www.linkedin.com/in/anamariazunigac</t>
  </si>
  <si>
    <t>http://www.linkedin.com/company/modalabco</t>
  </si>
  <si>
    <t>https://modalab.co</t>
  </si>
  <si>
    <t>Socio Fundador - COO</t>
  </si>
  <si>
    <t>CrediSeguro</t>
  </si>
  <si>
    <t>dcavanzo@crediseguro.co</t>
  </si>
  <si>
    <t>http://www.linkedin.com/in/diego-cavanzo-b8b1a953</t>
  </si>
  <si>
    <t>http://www.linkedin.com/company/crediseguro</t>
  </si>
  <si>
    <t>https://crediseguro.co</t>
  </si>
  <si>
    <t>Martha</t>
  </si>
  <si>
    <t>Education Soul</t>
  </si>
  <si>
    <t>marthagomez@edusoul.com.co</t>
  </si>
  <si>
    <t>http://www.linkedin.com/in/mcgomezme1</t>
  </si>
  <si>
    <t>http://www.linkedin.com/company/educationsoul</t>
  </si>
  <si>
    <t>https://edusoul.com.co</t>
  </si>
  <si>
    <t>Co-Founder and Chief Economist &amp; Data Officer</t>
  </si>
  <si>
    <t>WËIA</t>
  </si>
  <si>
    <t>arturo@weia.com.co</t>
  </si>
  <si>
    <t>http://www.linkedin.com/in/arturo-harker-roa-b736974</t>
  </si>
  <si>
    <t>http://www.linkedin.com/company/weia</t>
  </si>
  <si>
    <t>https://weia.com.co</t>
  </si>
  <si>
    <t>Diversa</t>
  </si>
  <si>
    <t>diana@diversa.co</t>
  </si>
  <si>
    <t>http://www.linkedin.com/in/diana-duarte-g%c3%b3mez-301a88116</t>
  </si>
  <si>
    <t>http://www.linkedin.com/company/distancia-cero-colombia</t>
  </si>
  <si>
    <t>https://diversa.co</t>
  </si>
  <si>
    <t>CEO and Co-Founder Ada School</t>
  </si>
  <si>
    <t>ADA School</t>
  </si>
  <si>
    <t>santiago@ada-school.org</t>
  </si>
  <si>
    <t>http://www.linkedin.com/in/sancarbar</t>
  </si>
  <si>
    <t>http://www.linkedin.com/school/adaschool</t>
  </si>
  <si>
    <t>https://ada-school.org</t>
  </si>
  <si>
    <t>Reliabytics</t>
  </si>
  <si>
    <t>pmartinez@reliabytics.com</t>
  </si>
  <si>
    <t>http://www.linkedin.com/in/pablo-martinez-cmrp</t>
  </si>
  <si>
    <t>http://www.linkedin.com/company/reliabytics</t>
  </si>
  <si>
    <t>https://reliabytics.com</t>
  </si>
  <si>
    <t>Trading College</t>
  </si>
  <si>
    <t>dgalvis@tradingcollege.co</t>
  </si>
  <si>
    <t>http://www.linkedin.com/in/diegogalvis</t>
  </si>
  <si>
    <t>http://www.linkedin.com/school/trading-college-co</t>
  </si>
  <si>
    <t>https://tradingcollege.co</t>
  </si>
  <si>
    <t>Owner &amp; Consultant</t>
  </si>
  <si>
    <t>VALOR GANADO S.A.S</t>
  </si>
  <si>
    <t>rodrigo@valorganado.com</t>
  </si>
  <si>
    <t>http://www.linkedin.com/in/rodrigo-buzeta-314b0a17</t>
  </si>
  <si>
    <t>http://www.linkedin.com/company/valor-ganado-s-a-s-</t>
  </si>
  <si>
    <t>https://valorganado.com</t>
  </si>
  <si>
    <t>ENV Latam</t>
  </si>
  <si>
    <t>andres.rodriguez@envlatam.com</t>
  </si>
  <si>
    <t>http://www.linkedin.com/in/andr%c3%a9s-j-rodr%c3%adguez-m-4028ab33</t>
  </si>
  <si>
    <t>http://www.linkedin.com/company/envwells</t>
  </si>
  <si>
    <t>https://envlatam.com</t>
  </si>
  <si>
    <t>Strategy Manager and Co-founder</t>
  </si>
  <si>
    <t>Smart Tap Group</t>
  </si>
  <si>
    <t>lina.garcia@smart-tap.co</t>
  </si>
  <si>
    <t>http://www.linkedin.com/in/lina-garcia-rodriguez</t>
  </si>
  <si>
    <t>http://www.linkedin.com/company/smart-tap-group</t>
  </si>
  <si>
    <t>https://smart-tap.co</t>
  </si>
  <si>
    <t>carlos.varela@monabit.io</t>
  </si>
  <si>
    <t>http://www.linkedin.com/in/carlosvarelacol</t>
  </si>
  <si>
    <t>Jean</t>
  </si>
  <si>
    <t>GUNDO</t>
  </si>
  <si>
    <t>jp.lannou@gundo.app</t>
  </si>
  <si>
    <t>http://www.linkedin.com/in/jeanpierrelannou</t>
  </si>
  <si>
    <t>http://www.linkedin.com/company/gundo</t>
  </si>
  <si>
    <t>https://gundo.life</t>
  </si>
  <si>
    <t>Nexxdi</t>
  </si>
  <si>
    <t>ricardo.gonzalez@nexxdiotc.com</t>
  </si>
  <si>
    <t>http://www.linkedin.com/in/ricardo-gonzalez-nexxdi</t>
  </si>
  <si>
    <t>http://www.linkedin.com/company/nexxdipay</t>
  </si>
  <si>
    <t>https://nexxdipay.com</t>
  </si>
  <si>
    <t>Advanced Gear</t>
  </si>
  <si>
    <t>pedro.garzon@advancedgear.com.co</t>
  </si>
  <si>
    <t>http://www.linkedin.com/in/pedro-andres-garzon-chaux-51905582</t>
  </si>
  <si>
    <t>http://www.linkedin.com/company/advanced-gear-ofs</t>
  </si>
  <si>
    <t>https://advancedgear.com.co</t>
  </si>
  <si>
    <t>OVIVENTURES</t>
  </si>
  <si>
    <t>jvillegas@oviventures.com</t>
  </si>
  <si>
    <t>http://www.linkedin.com/in/juan-pablo-villegas-tobon-258a616a</t>
  </si>
  <si>
    <t>http://www.linkedin.com/company/oviventures</t>
  </si>
  <si>
    <t>https://oviventures.com</t>
  </si>
  <si>
    <t>CEO y Fundadora</t>
  </si>
  <si>
    <t>Academia Internacional de Liderazgo</t>
  </si>
  <si>
    <t>http://www.linkedin.com/in/johannagomezliderazgocoach</t>
  </si>
  <si>
    <t>http://www.linkedin.com/company/johanna-gomez-coach</t>
  </si>
  <si>
    <t>https://escuelaliderazgo.com</t>
  </si>
  <si>
    <t>Co-founder &amp; CPO</t>
  </si>
  <si>
    <t>Galilei</t>
  </si>
  <si>
    <t>simon.duque@galileilearning.com</t>
  </si>
  <si>
    <t>http://www.linkedin.com/in/sduquee</t>
  </si>
  <si>
    <t>http://www.linkedin.com/company/galilei-learning</t>
  </si>
  <si>
    <t>https://galileilearning.com</t>
  </si>
  <si>
    <t>Forensic Auditing Group</t>
  </si>
  <si>
    <t>carlos.cortes@gfa.com.co</t>
  </si>
  <si>
    <t>http://www.linkedin.com/in/carlosjuliocort%c3%a9s</t>
  </si>
  <si>
    <t>http://www.linkedin.com/company/global-forensic-auditing</t>
  </si>
  <si>
    <t>https://gfa.com.co</t>
  </si>
  <si>
    <t>Aptuno</t>
  </si>
  <si>
    <t>juanmartin@aptuno.com</t>
  </si>
  <si>
    <t>http://www.linkedin.com/in/juanmartindelgadolondono</t>
  </si>
  <si>
    <t>http://www.linkedin.com/company/aptuno</t>
  </si>
  <si>
    <t>https://aptuno.com</t>
  </si>
  <si>
    <t>Daissy</t>
  </si>
  <si>
    <t>ASI Representaciones</t>
  </si>
  <si>
    <t>d.amarillo@asirepresentaciones.com</t>
  </si>
  <si>
    <t>http://www.linkedin.com/in/daissy-a-6ab20b185</t>
  </si>
  <si>
    <t>http://www.linkedin.com/company/asi-representaciones</t>
  </si>
  <si>
    <t>https://asirepresentaciones.com</t>
  </si>
  <si>
    <t>MediQu Group</t>
  </si>
  <si>
    <t>cherran@mediqugroup.com</t>
  </si>
  <si>
    <t>http://www.linkedin.com/in/claudia-herran-ramirez-28188344</t>
  </si>
  <si>
    <t>http://www.linkedin.com/company/mediqu</t>
  </si>
  <si>
    <t>https://mediqugroup.com</t>
  </si>
  <si>
    <t>PulseUP</t>
  </si>
  <si>
    <t>diego@pulseup.ai</t>
  </si>
  <si>
    <t>http://www.linkedin.com/in/diegoparamo</t>
  </si>
  <si>
    <t>http://www.linkedin.com/company/pulseup</t>
  </si>
  <si>
    <t>https://pulseup.ai</t>
  </si>
  <si>
    <t>Jeison</t>
  </si>
  <si>
    <t>Partner and CEO</t>
  </si>
  <si>
    <t>RAD/DF Estrategias Legales</t>
  </si>
  <si>
    <t>jlarrota@radlegal.co</t>
  </si>
  <si>
    <t>http://www.linkedin.com/in/jlarrota</t>
  </si>
  <si>
    <t>http://www.linkedin.com/company/legalraddf</t>
  </si>
  <si>
    <t>https://raddf.com</t>
  </si>
  <si>
    <t>law practice</t>
  </si>
  <si>
    <t>Alisson</t>
  </si>
  <si>
    <t>Verum Formwork</t>
  </si>
  <si>
    <t>a.timo@verum.com.co</t>
  </si>
  <si>
    <t>http://www.linkedin.com/in/alissontimo</t>
  </si>
  <si>
    <t>http://www.linkedin.com/company/verumformwork</t>
  </si>
  <si>
    <t>https://verum.com.co</t>
  </si>
  <si>
    <t>Roger</t>
  </si>
  <si>
    <t>GloboHire.co</t>
  </si>
  <si>
    <t>roger@globohire.co</t>
  </si>
  <si>
    <t>http://www.linkedin.com/in/roger-a-flores</t>
  </si>
  <si>
    <t>http://www.linkedin.com/company/globohire-co</t>
  </si>
  <si>
    <t>https://globohire.co</t>
  </si>
  <si>
    <t>Idealo Pez</t>
  </si>
  <si>
    <t>yestefan@idealopez.com</t>
  </si>
  <si>
    <t>http://www.linkedin.com/in/lopezandres</t>
  </si>
  <si>
    <t>http://www.linkedin.com/company/idealo-pez</t>
  </si>
  <si>
    <t>https://idealopez.co</t>
  </si>
  <si>
    <t>Umbra 3D Studio</t>
  </si>
  <si>
    <t>diana@umbra3d.studio</t>
  </si>
  <si>
    <t>http://www.linkedin.com/in/diana-rodriguez-rojas</t>
  </si>
  <si>
    <t>http://www.linkedin.com/company/umbra3d-studio</t>
  </si>
  <si>
    <t>https://umbra3d.studio</t>
  </si>
  <si>
    <t>CEO at Refurbi</t>
  </si>
  <si>
    <t>Refurbi</t>
  </si>
  <si>
    <t>sebastian@refurbi.com</t>
  </si>
  <si>
    <t>http://www.linkedin.com/in/sebasti%c3%a1n-jim%c3%a9nez-3aa22b72</t>
  </si>
  <si>
    <t>http://www.linkedin.com/company/refurbi-latam</t>
  </si>
  <si>
    <t>https://refurbi.com.co</t>
  </si>
  <si>
    <t>Finanzas Funcionales</t>
  </si>
  <si>
    <t>jceballos@lyntik.co</t>
  </si>
  <si>
    <t>http://www.linkedin.com/in/juan-sebastian-ceballos-99959ba1</t>
  </si>
  <si>
    <t>http://www.linkedin.com/company/finanzas-funcionales</t>
  </si>
  <si>
    <t>https://lyntik.co</t>
  </si>
  <si>
    <t>Ederson</t>
  </si>
  <si>
    <t>Co-founder &amp; CTO Chief Technology Officer</t>
  </si>
  <si>
    <t>SmartQuick</t>
  </si>
  <si>
    <t>ederson.charry@smartquick.com.co</t>
  </si>
  <si>
    <t>http://www.linkedin.com/in/ederson-yesid-charry-ramirez-67b49138</t>
  </si>
  <si>
    <t>http://www.linkedin.com/company/smartquick</t>
  </si>
  <si>
    <t>https://smartquick.com.co</t>
  </si>
  <si>
    <t>Law Thinker</t>
  </si>
  <si>
    <t>legalinsider@mail.law-thinker.com</t>
  </si>
  <si>
    <t>http://www.linkedin.com/in/holamikez</t>
  </si>
  <si>
    <t>http://www.linkedin.com/company/law-thinker</t>
  </si>
  <si>
    <t>https://law-thinker.com</t>
  </si>
  <si>
    <t>Rainer</t>
  </si>
  <si>
    <t>Sainapsis</t>
  </si>
  <si>
    <t>rainer.viertel@sainapsis.com</t>
  </si>
  <si>
    <t>http://www.linkedin.com/in/rainer-viertel</t>
  </si>
  <si>
    <t>http://www.linkedin.com/company/sainapsis-inc</t>
  </si>
  <si>
    <t>https://sainapsis.com</t>
  </si>
  <si>
    <t>Valerie</t>
  </si>
  <si>
    <t>Directora de Negocios y Marketing</t>
  </si>
  <si>
    <t>valerie.carbonell@colombiasolar.co</t>
  </si>
  <si>
    <t>http://www.linkedin.com/in/valerie-carbonell-rueda</t>
  </si>
  <si>
    <t>MyM Asismédica Ltda</t>
  </si>
  <si>
    <t>pmorales@colsanitas.com</t>
  </si>
  <si>
    <t>http://www.linkedin.com/in/pablo-morales-mosquera-3439a2167</t>
  </si>
  <si>
    <t>http://www.linkedin.com/company/mym-asism%c3%a9dica-ltda</t>
  </si>
  <si>
    <t>https://colsanitas.com</t>
  </si>
  <si>
    <t>CEDINSI LTDA</t>
  </si>
  <si>
    <t>julio.mora@cedinsi.edu.co</t>
  </si>
  <si>
    <t>http://www.linkedin.com/in/julio-mora-0746065b</t>
  </si>
  <si>
    <t>http://www.linkedin.com/company/cedinsi</t>
  </si>
  <si>
    <t>https://cedinsi.edu.co</t>
  </si>
  <si>
    <t>UNITY SOLUTIONS SAS</t>
  </si>
  <si>
    <t>fernandot@unitysolutions.com.co</t>
  </si>
  <si>
    <t>http://www.linkedin.com/in/daniel-trujillo-4271b634</t>
  </si>
  <si>
    <t>http://www.linkedin.com/company/unity-solutions-sas</t>
  </si>
  <si>
    <t>https://unitysolutions.com.co</t>
  </si>
  <si>
    <t>Managing Director Operations Latam</t>
  </si>
  <si>
    <t>HASTA Capital</t>
  </si>
  <si>
    <t>jossa@hastacapital.com</t>
  </si>
  <si>
    <t>http://www.linkedin.com/in/juan-sebastian-ossa-puentes</t>
  </si>
  <si>
    <t>http://www.linkedin.com/company/hasta-capital</t>
  </si>
  <si>
    <t>https://hastacapital.com</t>
  </si>
  <si>
    <t>VICO</t>
  </si>
  <si>
    <t>manuel@getvico.com</t>
  </si>
  <si>
    <t>http://www.linkedin.com/in/manuelfranz</t>
  </si>
  <si>
    <t>http://www.linkedin.com/company/vicorooms</t>
  </si>
  <si>
    <t>https://getvico.com</t>
  </si>
  <si>
    <t>Co-founder &amp; Chief Product Officer</t>
  </si>
  <si>
    <t>Grovity AI Growth Lab</t>
  </si>
  <si>
    <t>miguel@grovity.ai</t>
  </si>
  <si>
    <t>http://www.linkedin.com/in/miguel-urquijo-62937796</t>
  </si>
  <si>
    <t>http://www.linkedin.com/company/grovity-services</t>
  </si>
  <si>
    <t>https://grovity.ai</t>
  </si>
  <si>
    <t>Laboratorio Belatec</t>
  </si>
  <si>
    <t>gerencia@belatec.com.co</t>
  </si>
  <si>
    <t>http://www.linkedin.com/in/jorge-andres-sandoval-60b777a8</t>
  </si>
  <si>
    <t>http://www.linkedin.com/company/belatec-sas</t>
  </si>
  <si>
    <t>https://belatec.com.co</t>
  </si>
  <si>
    <t>AgTech | MBO Blueberries | CEO</t>
  </si>
  <si>
    <t>Sabana Blues</t>
  </si>
  <si>
    <t>andres@sabanablues.com</t>
  </si>
  <si>
    <t>http://www.linkedin.com/in/andresduto</t>
  </si>
  <si>
    <t>http://www.linkedin.com/company/sabana-blues</t>
  </si>
  <si>
    <t>https://sabanablues.com</t>
  </si>
  <si>
    <t>ecopción</t>
  </si>
  <si>
    <t>felipe.hernandez@ecopcion.com</t>
  </si>
  <si>
    <t>http://www.linkedin.com/in/felipe-hernandez-ramirez-29385a71</t>
  </si>
  <si>
    <t>http://www.linkedin.com/company/ecopcion</t>
  </si>
  <si>
    <t>https://ecopcion.com</t>
  </si>
  <si>
    <t>Edgar</t>
  </si>
  <si>
    <t>Contenedores de Antioquia</t>
  </si>
  <si>
    <t>edgarc@contenedoresdeantioquia.com</t>
  </si>
  <si>
    <t>http://www.linkedin.com/in/ecorredo</t>
  </si>
  <si>
    <t>http://www.linkedin.com/company/contenedoresdeantioquia</t>
  </si>
  <si>
    <t>https://contenedoresdeantioquia.com</t>
  </si>
  <si>
    <t>Teral</t>
  </si>
  <si>
    <t>david@teral.com.co</t>
  </si>
  <si>
    <t>http://www.linkedin.com/in/david-calderon-duarte-3b3a609</t>
  </si>
  <si>
    <t>http://www.linkedin.com/company/teralmed</t>
  </si>
  <si>
    <t>https://teral.ai</t>
  </si>
  <si>
    <t>Elevvate.co</t>
  </si>
  <si>
    <t>daniel@elevvate.co</t>
  </si>
  <si>
    <t>http://www.linkedin.com/in/daniel-vengoechea-zuccardi-ba42a048</t>
  </si>
  <si>
    <t>http://www.linkedin.com/company/elevvate-co</t>
  </si>
  <si>
    <t>https://elevvate.co</t>
  </si>
  <si>
    <t>BioCarbon Standard</t>
  </si>
  <si>
    <t>aduque@biocarbonregistry.com</t>
  </si>
  <si>
    <t>http://www.linkedin.com/in/%c3%a1ngela-duque-villegas-7827b51b9</t>
  </si>
  <si>
    <t>http://www.linkedin.com/company/biocarbonstandard</t>
  </si>
  <si>
    <t>https://biocarbonstandard.com</t>
  </si>
  <si>
    <t>Charly</t>
  </si>
  <si>
    <t>Grupo GEOS</t>
  </si>
  <si>
    <t>cmo@grupogeos.co</t>
  </si>
  <si>
    <t>http://www.linkedin.com/in/charlyoviedog</t>
  </si>
  <si>
    <t>http://www.linkedin.com/company/grupogeos</t>
  </si>
  <si>
    <t>https://grupogeos.es</t>
  </si>
  <si>
    <t>Co-Founder &amp; Arquitecto de Soluciones - SME Oracle</t>
  </si>
  <si>
    <t>Bolsa de Consultores SAS</t>
  </si>
  <si>
    <t>ballesterosf@bolsadeconsultores.com</t>
  </si>
  <si>
    <t>http://www.linkedin.com/in/fcoballe</t>
  </si>
  <si>
    <t>http://www.linkedin.com/company/bolsa-de-consultores-sas</t>
  </si>
  <si>
    <t>https://bolsadeconsultores.com</t>
  </si>
  <si>
    <t>Mariam</t>
  </si>
  <si>
    <t>Tools2Power</t>
  </si>
  <si>
    <t>majami@tools2power.com</t>
  </si>
  <si>
    <t>http://www.linkedin.com/in/mariamajamiperalta</t>
  </si>
  <si>
    <t>http://www.linkedin.com/company/tools2power</t>
  </si>
  <si>
    <t>https://tools2power.com</t>
  </si>
  <si>
    <t>WINK EVENTOS</t>
  </si>
  <si>
    <t>crecimiento@winkeventos.com</t>
  </si>
  <si>
    <t>http://www.linkedin.com/in/davidpinedaduque</t>
  </si>
  <si>
    <t>http://www.linkedin.com/company/wink-eventos</t>
  </si>
  <si>
    <t>https://winkeventos.com</t>
  </si>
  <si>
    <t>ziro</t>
  </si>
  <si>
    <t>john@somosziro.com</t>
  </si>
  <si>
    <t>http://www.linkedin.com/in/johngomezl</t>
  </si>
  <si>
    <t>http://www.linkedin.com/company/somosziro</t>
  </si>
  <si>
    <t>https://somosziro.com</t>
  </si>
  <si>
    <t>Ignicion Games</t>
  </si>
  <si>
    <t>jhernandez@igniciongames.com</t>
  </si>
  <si>
    <t>http://www.linkedin.com/in/jorge-hern%c3%a1ndez-669b71b0</t>
  </si>
  <si>
    <t>http://www.linkedin.com/company/ignicion-games</t>
  </si>
  <si>
    <t>https://igniciongames.com</t>
  </si>
  <si>
    <t>ivan@timba.co</t>
  </si>
  <si>
    <t>http://www.linkedin.com/in/ivanfalvarez</t>
  </si>
  <si>
    <t>SipMóvil</t>
  </si>
  <si>
    <t>cvargas@ssc.com.co</t>
  </si>
  <si>
    <t>http://www.linkedin.com/in/carlos-andres-vargas-parra-9a46841a</t>
  </si>
  <si>
    <t>http://www.linkedin.com/company/fexesolucionadores</t>
  </si>
  <si>
    <t>https://fexe.co</t>
  </si>
  <si>
    <t>Co-founder Nébula</t>
  </si>
  <si>
    <t>Nébula</t>
  </si>
  <si>
    <t>luisa.mendez@nebulasintelligence.com</t>
  </si>
  <si>
    <t>http://www.linkedin.com/in/luisa-fernanda-m%c3%a9ndez-r-58479a52</t>
  </si>
  <si>
    <t>http://www.linkedin.com/company/nebulasintelligence</t>
  </si>
  <si>
    <t>https://nebulasintelligence.com</t>
  </si>
  <si>
    <t>MiCRO Risk Solutions</t>
  </si>
  <si>
    <t>pcuadros@microrisk.org</t>
  </si>
  <si>
    <t>http://www.linkedin.com/in/paola-cuadros-sierra-50558238</t>
  </si>
  <si>
    <t>http://www.linkedin.com/company/microrisksolutions</t>
  </si>
  <si>
    <t>https://microrisk.org</t>
  </si>
  <si>
    <t>manuel@onepay.la</t>
  </si>
  <si>
    <t>http://www.linkedin.com/in/manuelherreraas</t>
  </si>
  <si>
    <t>Stephany</t>
  </si>
  <si>
    <t>Co Founder and Creative Director</t>
  </si>
  <si>
    <t>The Pink Case</t>
  </si>
  <si>
    <t>stephany@thepinkcase.com</t>
  </si>
  <si>
    <t>http://www.linkedin.com/in/stephany-raymond-bucheli-b962a31b</t>
  </si>
  <si>
    <t>http://www.linkedin.com/company/mazamorra-producciones</t>
  </si>
  <si>
    <t>https://thepinkcase.com</t>
  </si>
  <si>
    <t>Bukz</t>
  </si>
  <si>
    <t>david@bukz.co</t>
  </si>
  <si>
    <t>http://www.linkedin.com/in/davidtrujillocharry</t>
  </si>
  <si>
    <t>http://www.linkedin.com/company/bukz</t>
  </si>
  <si>
    <t>https://bukz.co</t>
  </si>
  <si>
    <t>Flextem Biopharma</t>
  </si>
  <si>
    <t>maria.fernanda@flextem.org</t>
  </si>
  <si>
    <t>http://www.linkedin.com/in/maria-fernanda-villota-noguera-53654555</t>
  </si>
  <si>
    <t>http://www.linkedin.com/company/flextem-biopharma</t>
  </si>
  <si>
    <t>https://flextem.org</t>
  </si>
  <si>
    <t>Yenny</t>
  </si>
  <si>
    <t>Grupo Isoen Energy</t>
  </si>
  <si>
    <t>yennyb@isoen.eu</t>
  </si>
  <si>
    <t>http://www.linkedin.com/in/yenny-bar%c3%b3n-g%c3%b3mez-b8b6a0a6</t>
  </si>
  <si>
    <t>http://www.linkedin.com/company/grupo-isoen-energy</t>
  </si>
  <si>
    <t>https://isoen.eu</t>
  </si>
  <si>
    <t>LXD</t>
  </si>
  <si>
    <t>juang@lxdglobal.com</t>
  </si>
  <si>
    <t>http://www.linkedin.com/in/juanrobertogarzon</t>
  </si>
  <si>
    <t>http://www.linkedin.com/company/lxdglobal</t>
  </si>
  <si>
    <t>https://lxdglobal.com</t>
  </si>
  <si>
    <t>Leidy</t>
  </si>
  <si>
    <t>Portare Group</t>
  </si>
  <si>
    <t>lcorrea@portaregroup.com</t>
  </si>
  <si>
    <t>http://www.linkedin.com/in/leidycorrea</t>
  </si>
  <si>
    <t>http://www.linkedin.com/company/portaregroup</t>
  </si>
  <si>
    <t>https://portaregroup.com</t>
  </si>
  <si>
    <t>DIO STUDIO</t>
  </si>
  <si>
    <t>joaquin@dioestudio.com</t>
  </si>
  <si>
    <t>http://www.linkedin.com/in/joaquin-rolon-visbal-b765aa32</t>
  </si>
  <si>
    <t>http://www.linkedin.com/company/diostudio-in</t>
  </si>
  <si>
    <t>https://dioestudio.com</t>
  </si>
  <si>
    <t>SICO Software 360</t>
  </si>
  <si>
    <t>juandavid@sico.com.co</t>
  </si>
  <si>
    <t>http://www.linkedin.com/in/juan-david-hoyos-08a65a42</t>
  </si>
  <si>
    <t>http://www.linkedin.com/company/sico-colombia</t>
  </si>
  <si>
    <t>https://sico360.com</t>
  </si>
  <si>
    <t>FINANCIAL ADVISOR PLANNING GROUP</t>
  </si>
  <si>
    <t>apreciado@fapg.biz</t>
  </si>
  <si>
    <t>http://www.linkedin.com/in/andrespreciadoelplanificadordel-legado</t>
  </si>
  <si>
    <t>http://www.linkedin.com/company/fapggroup</t>
  </si>
  <si>
    <t>https://fapg.biz</t>
  </si>
  <si>
    <t>COO | Director de Operaciones</t>
  </si>
  <si>
    <t>NowBit</t>
  </si>
  <si>
    <t>andres@nowbit.co</t>
  </si>
  <si>
    <t>http://www.linkedin.com/in/andr%c3%a9s-guillermo-castiblanco-v-b75b29122</t>
  </si>
  <si>
    <t>http://www.linkedin.com/company/nowbit1</t>
  </si>
  <si>
    <t>https://nowbit.co</t>
  </si>
  <si>
    <t>Fundador CEO</t>
  </si>
  <si>
    <t>Interlat</t>
  </si>
  <si>
    <t>chaquea@interlat.co</t>
  </si>
  <si>
    <t>http://www.linkedin.com/in/lcchaquea</t>
  </si>
  <si>
    <t>http://www.linkedin.com/company/interlat-group</t>
  </si>
  <si>
    <t>https://interlat.co</t>
  </si>
  <si>
    <t>Silvio</t>
  </si>
  <si>
    <t>Ecosiglos</t>
  </si>
  <si>
    <t>silvio@ecosiglos.com</t>
  </si>
  <si>
    <t>http://www.linkedin.com/in/silvio-sanchez-arango-a59279233</t>
  </si>
  <si>
    <t>http://www.linkedin.com/company/ecosiglos</t>
  </si>
  <si>
    <t>https://ecosiglos.com</t>
  </si>
  <si>
    <t>Gaston</t>
  </si>
  <si>
    <t>Avanzo</t>
  </si>
  <si>
    <t>gaston@avanzo.co</t>
  </si>
  <si>
    <t>http://www.linkedin.com/in/gaston-vega-vallejo-b27204a</t>
  </si>
  <si>
    <t>http://www.linkedin.com/company/avanzocreditos</t>
  </si>
  <si>
    <t>https://avanzo.co</t>
  </si>
  <si>
    <t>Erica</t>
  </si>
  <si>
    <t>FOCUS Talent</t>
  </si>
  <si>
    <t>ebernal@focustalent.com.co</t>
  </si>
  <si>
    <t>http://www.linkedin.com/in/erica-bernal</t>
  </si>
  <si>
    <t>http://www.linkedin.com/company/focustalentcol</t>
  </si>
  <si>
    <t>https://focustalent.com.co</t>
  </si>
  <si>
    <t>Founder/ Art Director</t>
  </si>
  <si>
    <t>Funlab</t>
  </si>
  <si>
    <t>tatiana@funlab.com.co</t>
  </si>
  <si>
    <t>http://www.linkedin.com/in/tatiana-t%c3%bcrk-81624529</t>
  </si>
  <si>
    <t>http://www.linkedin.com/company/funlab-design</t>
  </si>
  <si>
    <t>https://funlab.com.co</t>
  </si>
  <si>
    <t>Cifrato</t>
  </si>
  <si>
    <t>juan@cifrato.co</t>
  </si>
  <si>
    <t>http://www.linkedin.com/in/juan-pisco</t>
  </si>
  <si>
    <t>http://www.linkedin.com/company/cifrato</t>
  </si>
  <si>
    <t>https://cifrato.ai</t>
  </si>
  <si>
    <t>Co - Founder - CEO</t>
  </si>
  <si>
    <t>AVE</t>
  </si>
  <si>
    <t>luisa@soyave.com</t>
  </si>
  <si>
    <t>http://www.linkedin.com/in/luisaibanez</t>
  </si>
  <si>
    <t>http://www.linkedin.com/company/ave-marketit</t>
  </si>
  <si>
    <t>https://avemarket.co</t>
  </si>
  <si>
    <t>HireYarvis</t>
  </si>
  <si>
    <t>jromero@hireyarvis.com</t>
  </si>
  <si>
    <t>http://www.linkedin.com/in/juanpabloromero-b2bsales</t>
  </si>
  <si>
    <t>http://www.linkedin.com/company/yarvis-sales</t>
  </si>
  <si>
    <t>https://hireyarvis.com</t>
  </si>
  <si>
    <t>Director Business Development</t>
  </si>
  <si>
    <t>Sunbelt Tech Trends</t>
  </si>
  <si>
    <t>alvaro.perea@sunbeltfactory.com</t>
  </si>
  <si>
    <t>http://www.linkedin.com/in/alvarojoseperea</t>
  </si>
  <si>
    <t>http://www.linkedin.com/company/sunbeltfactory</t>
  </si>
  <si>
    <t>https://sunbeltfactory.com</t>
  </si>
  <si>
    <t>Co-Founder &amp; Director</t>
  </si>
  <si>
    <t>Contra Studio</t>
  </si>
  <si>
    <t>jluna@studiocontra.co</t>
  </si>
  <si>
    <t>http://www.linkedin.com/in/juanlunaco</t>
  </si>
  <si>
    <t>http://www.linkedin.com/company/contra-studio</t>
  </si>
  <si>
    <t>https://studiocontra.co</t>
  </si>
  <si>
    <t>Architectus</t>
  </si>
  <si>
    <t>gabriel.oliveros@architectus.net.co</t>
  </si>
  <si>
    <t>http://www.linkedin.com/in/gabriel-oliveros-b86bb527</t>
  </si>
  <si>
    <t>http://www.linkedin.com/company/architectus-software</t>
  </si>
  <si>
    <t>https://architectus.net.co</t>
  </si>
  <si>
    <t>ROA</t>
  </si>
  <si>
    <t>miguel@roa.lat</t>
  </si>
  <si>
    <t>http://www.linkedin.com/in/miguel-angel-vallone</t>
  </si>
  <si>
    <t>http://www.linkedin.com/company/roambiental</t>
  </si>
  <si>
    <t>https://roa.lat</t>
  </si>
  <si>
    <t>AvanSara</t>
  </si>
  <si>
    <t>jorge.arenas@avansara.com</t>
  </si>
  <si>
    <t>http://www.linkedin.com/in/jorgearenasa</t>
  </si>
  <si>
    <t>http://www.linkedin.com/company/avansara</t>
  </si>
  <si>
    <t>https://avansara.com</t>
  </si>
  <si>
    <t>lezat.co</t>
  </si>
  <si>
    <t>danielabotero@lezat.co</t>
  </si>
  <si>
    <t>http://www.linkedin.com/in/daniela-botero-61255687</t>
  </si>
  <si>
    <t>http://www.linkedin.com/company/lezat-co</t>
  </si>
  <si>
    <t>https://lezat.co</t>
  </si>
  <si>
    <t>CEO Equilatera</t>
  </si>
  <si>
    <t>EQUILATERA</t>
  </si>
  <si>
    <t>monica@equilatera.com.co</t>
  </si>
  <si>
    <t>http://www.linkedin.com/in/monicacortesyepes</t>
  </si>
  <si>
    <t>http://www.linkedin.com/company/equilatera-inclusion-diversidad-e-igualdad</t>
  </si>
  <si>
    <t>https://equilatera.com.co</t>
  </si>
  <si>
    <t>Manuel Sanabria Escuela de Gestión Emocional</t>
  </si>
  <si>
    <t>consultanos@manuelsanabria.com</t>
  </si>
  <si>
    <t>http://www.linkedin.com/in/manuel-sanabria-mendoza</t>
  </si>
  <si>
    <t>http://www.linkedin.com/company/manuel-sanabria-tecnologias-del-pensamiento</t>
  </si>
  <si>
    <t>https://manuelsanabria.com</t>
  </si>
  <si>
    <t>Anna</t>
  </si>
  <si>
    <t>The Sabi</t>
  </si>
  <si>
    <t>anna@thesabi.co</t>
  </si>
  <si>
    <t>http://www.linkedin.com/in/anna-cave-bigley-20210022</t>
  </si>
  <si>
    <t>http://www.linkedin.com/company/thesabi</t>
  </si>
  <si>
    <t>https://thesabi.co</t>
  </si>
  <si>
    <t>Inspirer and Founder</t>
  </si>
  <si>
    <t>GREMA</t>
  </si>
  <si>
    <t>abetancourt@grema.co</t>
  </si>
  <si>
    <t>http://www.linkedin.com/in/alvaro-betancourt-60670139</t>
  </si>
  <si>
    <t>http://www.linkedin.com/company/grema</t>
  </si>
  <si>
    <t>https://grema.co</t>
  </si>
  <si>
    <t>Gerente de Operaciones (COO) | Co-fundador</t>
  </si>
  <si>
    <t>TEKTON SOLUCIONES</t>
  </si>
  <si>
    <t>danieltf@tektonsoluciones.com</t>
  </si>
  <si>
    <t>http://www.linkedin.com/in/daniel-jos%c3%a9-tirado-fl%c3%b3rez-1b71a169</t>
  </si>
  <si>
    <t>http://www.linkedin.com/company/tektonsoluciones</t>
  </si>
  <si>
    <t>https://tektonsoluciones.com</t>
  </si>
  <si>
    <t>Head of Sales &amp; Growth</t>
  </si>
  <si>
    <t>carlos.arrieta@velocity-x.co</t>
  </si>
  <si>
    <t>http://www.linkedin.com/in/carlosarrietajimenez</t>
  </si>
  <si>
    <t>Oversai</t>
  </si>
  <si>
    <t>carlos@oversai.com</t>
  </si>
  <si>
    <t>http://www.linkedin.com/in/carlos-serna-72b37030</t>
  </si>
  <si>
    <t>http://www.linkedin.com/company/oversai-llc</t>
  </si>
  <si>
    <t>https://oversai.com</t>
  </si>
  <si>
    <t>Stephanie</t>
  </si>
  <si>
    <t>ExodUS Summit</t>
  </si>
  <si>
    <t>stephanie@exodussummit.com</t>
  </si>
  <si>
    <t>http://www.linkedin.com/in/socialstephanie</t>
  </si>
  <si>
    <t>http://www.linkedin.com/company/exodus-summit</t>
  </si>
  <si>
    <t>https://exodussummit.com</t>
  </si>
  <si>
    <t>AIPUfy</t>
  </si>
  <si>
    <t>mario.arias@aipufy.ai</t>
  </si>
  <si>
    <t>http://www.linkedin.com/in/marioariasf</t>
  </si>
  <si>
    <t>http://www.linkedin.com/company/aipufy</t>
  </si>
  <si>
    <t>https://aipufy.ai</t>
  </si>
  <si>
    <t>Co Founder &amp; Partner</t>
  </si>
  <si>
    <t>Zelo Vending</t>
  </si>
  <si>
    <t>forero@zelo.com.co</t>
  </si>
  <si>
    <t>http://www.linkedin.com/in/sebasfova</t>
  </si>
  <si>
    <t>http://www.linkedin.com/company/zelo-colombia</t>
  </si>
  <si>
    <t>https://zelo.com.co</t>
  </si>
  <si>
    <t>Global Sales Director</t>
  </si>
  <si>
    <t>PREDIK Data-Driven</t>
  </si>
  <si>
    <t>scobas@predikdata.com</t>
  </si>
  <si>
    <t>http://www.linkedin.com/in/sofia-cobas-g</t>
  </si>
  <si>
    <t>http://www.linkedin.com/company/predik-data-driven</t>
  </si>
  <si>
    <t>https://predikdata.com</t>
  </si>
  <si>
    <t>CEO-Director General</t>
  </si>
  <si>
    <t>Globalista SAS</t>
  </si>
  <si>
    <t>fmejia@globalista.co</t>
  </si>
  <si>
    <t>http://www.linkedin.com/in/felipe-mejia-montes-a3a22528</t>
  </si>
  <si>
    <t>http://www.linkedin.com/company/globalista-sas</t>
  </si>
  <si>
    <t>https://globalista.co</t>
  </si>
  <si>
    <t>Ruben</t>
  </si>
  <si>
    <t>BucketsAi</t>
  </si>
  <si>
    <t>ruben@buckets-ai.com</t>
  </si>
  <si>
    <t>http://www.linkedin.com/in/rubencordoba</t>
  </si>
  <si>
    <t>http://www.linkedin.com/company/buckets-ai</t>
  </si>
  <si>
    <t>https://buckets-ai.com</t>
  </si>
  <si>
    <t>Investrio</t>
  </si>
  <si>
    <t>laura@investrio.io</t>
  </si>
  <si>
    <t>http://www.linkedin.com/in/laura-m-texidor-893383136</t>
  </si>
  <si>
    <t>http://www.linkedin.com/company/investriofinance</t>
  </si>
  <si>
    <t>https://investrio.io</t>
  </si>
  <si>
    <t>Talent Stack</t>
  </si>
  <si>
    <t>jennifer@talentstackexecutive.com</t>
  </si>
  <si>
    <t>http://www.linkedin.com/in/jenniferbaenaarango</t>
  </si>
  <si>
    <t>http://www.linkedin.com/company/talent-stack</t>
  </si>
  <si>
    <t>https://talentstackexecutive.com</t>
  </si>
  <si>
    <t>Communik-t</t>
  </si>
  <si>
    <t>juanpablo@communik-t.com</t>
  </si>
  <si>
    <t>http://www.linkedin.com/in/juanpablorodriguezneira</t>
  </si>
  <si>
    <t>http://www.linkedin.com/company/communikt</t>
  </si>
  <si>
    <t>https://communik-t.com</t>
  </si>
  <si>
    <t>Pagui Colombia</t>
  </si>
  <si>
    <t>david@pagui.co</t>
  </si>
  <si>
    <t>http://www.linkedin.com/in/dalzateb85</t>
  </si>
  <si>
    <t>http://www.linkedin.com/company/paguicolombia</t>
  </si>
  <si>
    <t>https://pagui.co</t>
  </si>
  <si>
    <t>SiembraViva</t>
  </si>
  <si>
    <t>diego@quierosiembraviva.com</t>
  </si>
  <si>
    <t>http://www.linkedin.com/in/dbenitez</t>
  </si>
  <si>
    <t>http://www.linkedin.com/company/siembraviva</t>
  </si>
  <si>
    <t>https://quierosiembraviva.com</t>
  </si>
  <si>
    <t>Arcetec</t>
  </si>
  <si>
    <t>cgarzon@arcetec.com.co</t>
  </si>
  <si>
    <t>http://www.linkedin.com/in/camilogarzonbernal</t>
  </si>
  <si>
    <t>http://www.linkedin.com/company/arcetec</t>
  </si>
  <si>
    <t>https://arcetec.com.co</t>
  </si>
  <si>
    <t>CEO Hevolucion</t>
  </si>
  <si>
    <t>Hevolucion</t>
  </si>
  <si>
    <t>diego@hevolucion.com</t>
  </si>
  <si>
    <t>http://www.linkedin.com/in/diego-arboleda-46472713a</t>
  </si>
  <si>
    <t>http://www.linkedin.com/company/hevolucion</t>
  </si>
  <si>
    <t>https://hevolucion.com</t>
  </si>
  <si>
    <t>Vivetori</t>
  </si>
  <si>
    <t>acalderon@vivetori.com</t>
  </si>
  <si>
    <t>http://www.linkedin.com/in/andres-felipe-calderon-ochoa-003b9780</t>
  </si>
  <si>
    <t>http://www.linkedin.com/company/vivetori</t>
  </si>
  <si>
    <t>https://vivetori.com</t>
  </si>
  <si>
    <t>Co-Founder &amp; Consultant</t>
  </si>
  <si>
    <t>LADO B</t>
  </si>
  <si>
    <t>dianaparra@lado-b.com.co</t>
  </si>
  <si>
    <t>http://www.linkedin.com/in/6633</t>
  </si>
  <si>
    <t>http://www.linkedin.com/company/lado-bcolombia</t>
  </si>
  <si>
    <t>https://lado-b.com.co</t>
  </si>
  <si>
    <t>nmunera@autonomicmind.com</t>
  </si>
  <si>
    <t>http://www.linkedin.com/in/natalia-m%c3%banera-g%c3%b3mez-a19b51126</t>
  </si>
  <si>
    <t>WE SOURCE SAS</t>
  </si>
  <si>
    <t>juan.zuluaga@wesource.net</t>
  </si>
  <si>
    <t>http://www.linkedin.com/in/juan-martin-zuluaga-tob%c3%b3n-1b7539</t>
  </si>
  <si>
    <t>http://www.linkedin.com/company/we-source-sas</t>
  </si>
  <si>
    <t>https://wesource.net</t>
  </si>
  <si>
    <t>Gas and Services SAS</t>
  </si>
  <si>
    <t>wgongora@gasandservices.com</t>
  </si>
  <si>
    <t>http://www.linkedin.com/in/william-gongora-968b83b7</t>
  </si>
  <si>
    <t>http://www.linkedin.com/company/gas-and-services-sas</t>
  </si>
  <si>
    <t>https://gasandservices.com</t>
  </si>
  <si>
    <t>CEO - Senior Consultant</t>
  </si>
  <si>
    <t>Mutual Vision S.A.S</t>
  </si>
  <si>
    <t>gerenciageneral@mutualvision.co</t>
  </si>
  <si>
    <t>http://www.linkedin.com/in/alejandrocardozo</t>
  </si>
  <si>
    <t>http://www.linkedin.com/company/mutual-vision</t>
  </si>
  <si>
    <t>https://mutualvision.co</t>
  </si>
  <si>
    <t>S&amp;M Consultores</t>
  </si>
  <si>
    <t>juan.montana@sym.com.co</t>
  </si>
  <si>
    <t>http://www.linkedin.com/in/juan-eduardo-monta%c3%b1a-05364354</t>
  </si>
  <si>
    <t>http://www.linkedin.com/company/sym-consultores</t>
  </si>
  <si>
    <t>https://sym.com.co</t>
  </si>
  <si>
    <t>CEO Anna Group</t>
  </si>
  <si>
    <t>Anna Group</t>
  </si>
  <si>
    <t>oscar@anna.com.co</t>
  </si>
  <si>
    <t>http://www.linkedin.com/in/oscar-garnica</t>
  </si>
  <si>
    <t>http://www.linkedin.com/company/aseoanna</t>
  </si>
  <si>
    <t>https://anna.com.co</t>
  </si>
  <si>
    <t>Giovana</t>
  </si>
  <si>
    <t>CoFounder &amp; Chief Business Development</t>
  </si>
  <si>
    <t>giovana.romero@innovusbs.com</t>
  </si>
  <si>
    <t>http://www.linkedin.com/in/giovana-romero-sanchez-17a73015</t>
  </si>
  <si>
    <t>Fundador &amp; CEO Aceleradora 360 - Marketing - Estrategia - Medios</t>
  </si>
  <si>
    <t>Media Project</t>
  </si>
  <si>
    <t>acelera@mediap.com.co</t>
  </si>
  <si>
    <t>http://www.linkedin.com/in/fabian-andres-rojas-8b23a141</t>
  </si>
  <si>
    <t>http://www.linkedin.com/company/media-project360</t>
  </si>
  <si>
    <t>https://mediap.com.co</t>
  </si>
  <si>
    <t>Director de Mercadeo y Gestión de Talento</t>
  </si>
  <si>
    <t>Miguel Gomez y Cía S.A.S</t>
  </si>
  <si>
    <t>jgomez@miguelgomez.com.co</t>
  </si>
  <si>
    <t>http://www.linkedin.com/in/juan-pablo-gomez-bitar-29637b220</t>
  </si>
  <si>
    <t>http://www.linkedin.com/company/miguel-gomez-y-compa%c3%b1ia</t>
  </si>
  <si>
    <t>https://miguelgomez.com.co</t>
  </si>
  <si>
    <t>CoFounder &amp; CCO</t>
  </si>
  <si>
    <t>DATAPLUS_BI</t>
  </si>
  <si>
    <t>cristian.tovar@data-plus.com.co</t>
  </si>
  <si>
    <t>http://www.linkedin.com/in/cristian-tovarm</t>
  </si>
  <si>
    <t>http://www.linkedin.com/company/dataplus-bi</t>
  </si>
  <si>
    <t>https://data-plus.com.co</t>
  </si>
  <si>
    <t>Anatolie</t>
  </si>
  <si>
    <t>CEO CoFounder</t>
  </si>
  <si>
    <t>EW Tech</t>
  </si>
  <si>
    <t>ascurtu@ewtech.co</t>
  </si>
  <si>
    <t>http://www.linkedin.com/in/anatolie-scurtu-13077b52</t>
  </si>
  <si>
    <t>http://www.linkedin.com/company/ew-tech</t>
  </si>
  <si>
    <t>https://ewtech.la</t>
  </si>
  <si>
    <t>C Minds</t>
  </si>
  <si>
    <t>eduardo@cminds.co</t>
  </si>
  <si>
    <t>http://www.linkedin.com/in/eduardobiocolombia</t>
  </si>
  <si>
    <t>http://www.linkedin.com/company/c-minds</t>
  </si>
  <si>
    <t>https://cminds.co</t>
  </si>
  <si>
    <t>Sindy</t>
  </si>
  <si>
    <t>ZENWARE</t>
  </si>
  <si>
    <t>smera@zenware.com.co</t>
  </si>
  <si>
    <t>http://www.linkedin.com/in/sindynataliamera</t>
  </si>
  <si>
    <t>http://www.linkedin.com/company/zenware-s-a-s</t>
  </si>
  <si>
    <t>https://zenware.com.co</t>
  </si>
  <si>
    <t>Founder | Strategic Project Consultant</t>
  </si>
  <si>
    <t>Vital Food de Colombia S.A.S</t>
  </si>
  <si>
    <t>fabian-g@uniandes.edu.co</t>
  </si>
  <si>
    <t>http://www.linkedin.com/in/ogomezro</t>
  </si>
  <si>
    <t>http://www.linkedin.com/company/vifoco-sas</t>
  </si>
  <si>
    <t>https://vitalfood.com.co</t>
  </si>
  <si>
    <t>easybi.co</t>
  </si>
  <si>
    <t>edgar_florez@easybi.co</t>
  </si>
  <si>
    <t>http://www.linkedin.com/in/edgar-mauricio-florez-prieto-3a8b4031</t>
  </si>
  <si>
    <t>http://www.linkedin.com/company/easybi-co</t>
  </si>
  <si>
    <t>https://easybi.co</t>
  </si>
  <si>
    <t>Ipse Salud Colombia</t>
  </si>
  <si>
    <t>aberman@ipse.cl</t>
  </si>
  <si>
    <t>http://www.linkedin.com/in/andrea-berman-badler</t>
  </si>
  <si>
    <t>http://www.linkedin.com/company/ipsesaludcolombia</t>
  </si>
  <si>
    <t>https://ipse.cl</t>
  </si>
  <si>
    <t>Founder &amp; CEO en Meeteam</t>
  </si>
  <si>
    <t>Meteam</t>
  </si>
  <si>
    <t>mateo.burgos@meeteam.co</t>
  </si>
  <si>
    <t>http://www.linkedin.com/in/mateoburgos</t>
  </si>
  <si>
    <t>http://www.linkedin.com/company/meeteam-oficial</t>
  </si>
  <si>
    <t>https://meeteam.co</t>
  </si>
  <si>
    <t>Aluna Sustainability</t>
  </si>
  <si>
    <t>edna.rodriguez@alunasustainability.com</t>
  </si>
  <si>
    <t>http://www.linkedin.com/in/ednalilianarm</t>
  </si>
  <si>
    <t>http://www.linkedin.com/company/alunasus</t>
  </si>
  <si>
    <t>https://alunasustainability.com</t>
  </si>
  <si>
    <t>roberto@betriax.com</t>
  </si>
  <si>
    <t>http://www.linkedin.com/in/robertovargas-fintech</t>
  </si>
  <si>
    <t>Xcala.ai</t>
  </si>
  <si>
    <t>freddy@xcala.ai</t>
  </si>
  <si>
    <t>http://www.linkedin.com/in/freddy-sampayo-orozco</t>
  </si>
  <si>
    <t>http://www.linkedin.com/company/syl-ventures</t>
  </si>
  <si>
    <t>https://sylventures.com</t>
  </si>
  <si>
    <t>Head of Technical Sales</t>
  </si>
  <si>
    <t>Allie</t>
  </si>
  <si>
    <t>alejandra.velez@alliesystems.com</t>
  </si>
  <si>
    <t>http://www.linkedin.com/in/maria-alejandra-v%c3%a9lez-ruiz-008854ab</t>
  </si>
  <si>
    <t>http://www.linkedin.com/company/allieai</t>
  </si>
  <si>
    <t>https://allie-ai.com</t>
  </si>
  <si>
    <t>Joao</t>
  </si>
  <si>
    <t>Advance</t>
  </si>
  <si>
    <t>joao@adelantatupago.com</t>
  </si>
  <si>
    <t>http://www.linkedin.com/in/jo%c3%a3o-leite</t>
  </si>
  <si>
    <t>http://www.linkedin.com/company/advance-adelanta-tu-pago</t>
  </si>
  <si>
    <t>https://adelantatupago.com</t>
  </si>
  <si>
    <t>Dahiana</t>
  </si>
  <si>
    <t>NUTRARTE</t>
  </si>
  <si>
    <t>dahiana@nutrarte.co</t>
  </si>
  <si>
    <t>http://www.linkedin.com/in/dahiana-castillo-9187a85b</t>
  </si>
  <si>
    <t>http://www.linkedin.com/company/nutrarte</t>
  </si>
  <si>
    <t>https://nutrarte.co</t>
  </si>
  <si>
    <t>INPEL SA</t>
  </si>
  <si>
    <t>mjarango@inpel.com.co</t>
  </si>
  <si>
    <t>http://www.linkedin.com/in/maria-juliana-arango-gomez</t>
  </si>
  <si>
    <t>http://www.linkedin.com/company/inpel-sa</t>
  </si>
  <si>
    <t>https://inpel.com.co</t>
  </si>
  <si>
    <t>consumer electronics</t>
  </si>
  <si>
    <t>Tres Mitades</t>
  </si>
  <si>
    <t>juank@tresmitades.com</t>
  </si>
  <si>
    <t>http://www.linkedin.com/in/juankjaimes</t>
  </si>
  <si>
    <t>http://www.linkedin.com/company/tresmitades</t>
  </si>
  <si>
    <t>https://tresmitades.com</t>
  </si>
  <si>
    <t>TM Solutions</t>
  </si>
  <si>
    <t>sergio.alvarez@tmsolutions.com.co</t>
  </si>
  <si>
    <t>http://www.linkedin.com/in/sergio-alejandro-alvarez-lara</t>
  </si>
  <si>
    <t>http://www.linkedin.com/company/tm-solutions-sas</t>
  </si>
  <si>
    <t>https://tmsolutions.com.co</t>
  </si>
  <si>
    <t>Trescubos</t>
  </si>
  <si>
    <t>jzamudio@trescubos.com</t>
  </si>
  <si>
    <t>http://www.linkedin.com/in/julian-zamudio-lemos</t>
  </si>
  <si>
    <t>http://www.linkedin.com/company/trescubos</t>
  </si>
  <si>
    <t>https://trescubos.com</t>
  </si>
  <si>
    <t>StaffGenius by ProfileP Executive Search</t>
  </si>
  <si>
    <t>gsilva@profilep.co</t>
  </si>
  <si>
    <t>http://www.linkedin.com/in/gabrielasilva-talentmanagement</t>
  </si>
  <si>
    <t>http://www.linkedin.com/company/staffgenius-staffabroad</t>
  </si>
  <si>
    <t>https://staffgenius.co</t>
  </si>
  <si>
    <t>KAIOWA</t>
  </si>
  <si>
    <t>juan.vasquez@kaiowa.co</t>
  </si>
  <si>
    <t>http://www.linkedin.com/in/juanandresvasquez</t>
  </si>
  <si>
    <t>http://www.linkedin.com/company/kaiowa</t>
  </si>
  <si>
    <t>https://kaiowa.com.co</t>
  </si>
  <si>
    <t>CEO &amp; Product Management Leader at Wakypet</t>
  </si>
  <si>
    <t>Wakypet</t>
  </si>
  <si>
    <t>oscar@wakypet.com</t>
  </si>
  <si>
    <t>http://www.linkedin.com/in/oscar-alexander-pedroza-machado-product-management</t>
  </si>
  <si>
    <t>http://www.linkedin.com/company/wakypet</t>
  </si>
  <si>
    <t>https://wakypet.com</t>
  </si>
  <si>
    <t>Co-Founder &amp; General Partner</t>
  </si>
  <si>
    <t>Pygma</t>
  </si>
  <si>
    <t>daniel@pygma.co</t>
  </si>
  <si>
    <t>http://www.linkedin.com/in/daniel-ospina-e</t>
  </si>
  <si>
    <t>http://www.linkedin.com/school/pygmavc</t>
  </si>
  <si>
    <t>https://pygma.co</t>
  </si>
  <si>
    <t>Co-founder &amp; Chief Commercial Officer</t>
  </si>
  <si>
    <t>juanmanuelpico@edusoul.com.co</t>
  </si>
  <si>
    <t>http://www.linkedin.com/in/juanmanuelpico</t>
  </si>
  <si>
    <t>Ciemel</t>
  </si>
  <si>
    <t>ciemel@ciemco.com</t>
  </si>
  <si>
    <t>http://www.linkedin.com/in/francisco-montoya-caballero-17b55627</t>
  </si>
  <si>
    <t>http://www.linkedin.com/company/ciemco-ltda-ciemel-y-cia-s-c-a-</t>
  </si>
  <si>
    <t>https://ciemco.com</t>
  </si>
  <si>
    <t>Omnia Partnerships</t>
  </si>
  <si>
    <t>carlos@omniapartnerships.com</t>
  </si>
  <si>
    <t>http://www.linkedin.com/in/carlos-guzm%c3%a1n-v-351b05169</t>
  </si>
  <si>
    <t>http://www.linkedin.com/company/omnia-partnerships</t>
  </si>
  <si>
    <t>https://omniapartnerships.com</t>
  </si>
  <si>
    <t>Nataly</t>
  </si>
  <si>
    <t>COMPANY SECURITY</t>
  </si>
  <si>
    <t>http://www.linkedin.com/in/natalyguerrero</t>
  </si>
  <si>
    <t>http://www.linkedin.com/company/company-security</t>
  </si>
  <si>
    <t>https://companysegurity.com</t>
  </si>
  <si>
    <t>Milena</t>
  </si>
  <si>
    <t>AlearColombia</t>
  </si>
  <si>
    <t>milena.barato@alear.co</t>
  </si>
  <si>
    <t>http://www.linkedin.com/in/milena-barato-a3b64221a</t>
  </si>
  <si>
    <t>http://www.linkedin.com/company/alearcolombia</t>
  </si>
  <si>
    <t>https://alear.co</t>
  </si>
  <si>
    <t>SYMA Consultores &amp; Constructores SAS Beneficio e Interés Colectivo "BIC"</t>
  </si>
  <si>
    <t>mauriciosanchez@syma.com.co</t>
  </si>
  <si>
    <t>http://www.linkedin.com/in/mauricio-s%c3%a1nchez-mendoza-8aba2278</t>
  </si>
  <si>
    <t>http://www.linkedin.com/company/syma-consultores-constructores</t>
  </si>
  <si>
    <t>https://syma.com.co</t>
  </si>
  <si>
    <t>Pratech Group</t>
  </si>
  <si>
    <t>pmolano@pratechgroup.com</t>
  </si>
  <si>
    <t>http://www.linkedin.com/in/pablomolano</t>
  </si>
  <si>
    <t>http://www.linkedin.com/company/pratechgroup</t>
  </si>
  <si>
    <t>https://pratechgroup.com</t>
  </si>
  <si>
    <t>Motai</t>
  </si>
  <si>
    <t>mauricio@motai.app</t>
  </si>
  <si>
    <t>http://www.linkedin.com/in/gilmauricio</t>
  </si>
  <si>
    <t>http://www.linkedin.com/company/motai-app</t>
  </si>
  <si>
    <t>https://motai.app</t>
  </si>
  <si>
    <t>Paul</t>
  </si>
  <si>
    <t>SalazarMarket</t>
  </si>
  <si>
    <t>paul@salazarmarket.com</t>
  </si>
  <si>
    <t>http://www.linkedin.com/in/salazarmarket</t>
  </si>
  <si>
    <t>http://www.linkedin.com/company/salazarmarket</t>
  </si>
  <si>
    <t>https://salazarmarket.com</t>
  </si>
  <si>
    <t>Isis</t>
  </si>
  <si>
    <t>isisespitia@eatcloud.com</t>
  </si>
  <si>
    <t>http://www.linkedin.com/in/isisespitia</t>
  </si>
  <si>
    <t>Cool House Real Estate</t>
  </si>
  <si>
    <t>julianacosta@coolhouse.com.co</t>
  </si>
  <si>
    <t>http://www.linkedin.com/in/julianacostas</t>
  </si>
  <si>
    <t>http://www.linkedin.com/company/cool-house-real-estate</t>
  </si>
  <si>
    <t>https://coolhouse.com.co</t>
  </si>
  <si>
    <t>CPO | COO</t>
  </si>
  <si>
    <t>akaunt</t>
  </si>
  <si>
    <t>carlos@akaunt.io</t>
  </si>
  <si>
    <t>http://www.linkedin.com/in/carlos-alberto-mor%c3%b3n-sierra-b8bbb916</t>
  </si>
  <si>
    <t>http://www.linkedin.com/company/akaunt</t>
  </si>
  <si>
    <t>https://akaunt.io</t>
  </si>
  <si>
    <t>mateo@produteka.com</t>
  </si>
  <si>
    <t>http://www.linkedin.com/in/mateo-bermudez-vargas-803a42188</t>
  </si>
  <si>
    <t>jose.mogollon@motopack.co</t>
  </si>
  <si>
    <t>http://www.linkedin.com/in/jose-vicente-mogollon-65911a3a</t>
  </si>
  <si>
    <t>Saurabh</t>
  </si>
  <si>
    <t>Co-Founder and Chief Growth Officer</t>
  </si>
  <si>
    <t>saurabh.sachdeva@novussolutions.com</t>
  </si>
  <si>
    <t>http://www.linkedin.com/in/ssdeva</t>
  </si>
  <si>
    <t>Billy</t>
  </si>
  <si>
    <t>javier.sandoval@facturex.co</t>
  </si>
  <si>
    <t>http://www.linkedin.com/in/javier-sandoval-ab30a265</t>
  </si>
  <si>
    <t>http://www.linkedin.com/company/billyplataforma</t>
  </si>
  <si>
    <t>https://billy.com.co</t>
  </si>
  <si>
    <t>Asesor-Cofounder</t>
  </si>
  <si>
    <t>TERRITORIUM SAS</t>
  </si>
  <si>
    <t>sergio.rodriguez@territorium.com.co</t>
  </si>
  <si>
    <t>http://www.linkedin.com/in/sergio-rodriguez-tovar</t>
  </si>
  <si>
    <t>http://www.linkedin.com/company/territorium-sas</t>
  </si>
  <si>
    <t>https://territorium.com.co</t>
  </si>
  <si>
    <t>NOK</t>
  </si>
  <si>
    <t>msl@nok.rent</t>
  </si>
  <si>
    <t>http://www.linkedin.com/in/miguel-su%c3%a1rez-l%c3%b3pez-84039294</t>
  </si>
  <si>
    <t>http://www.linkedin.com/company/nok-rent</t>
  </si>
  <si>
    <t>https://nok.rent</t>
  </si>
  <si>
    <t>Rubinstein Consulting</t>
  </si>
  <si>
    <t>pablo@rubinsteincc.com</t>
  </si>
  <si>
    <t>http://www.linkedin.com/in/pablo-rubinstein-43245b74</t>
  </si>
  <si>
    <t>http://www.linkedin.com/company/rubinsteincc</t>
  </si>
  <si>
    <t>https://rubinsteincc.com</t>
  </si>
  <si>
    <t>Kelly</t>
  </si>
  <si>
    <t>Co-fundadora &amp; Gerente de Desarrollo de Negocios</t>
  </si>
  <si>
    <t>BlueCV Consultoría</t>
  </si>
  <si>
    <t>kelly.sanchez@bluecv.com.co</t>
  </si>
  <si>
    <t>http://www.linkedin.com/in/kellyjsanchez</t>
  </si>
  <si>
    <t>http://www.linkedin.com/company/soybluecv</t>
  </si>
  <si>
    <t>https://bluecv.com.co</t>
  </si>
  <si>
    <t>Isabella</t>
  </si>
  <si>
    <t>Qirat Fine Jewelry</t>
  </si>
  <si>
    <t>isabella@qiratjewels.com</t>
  </si>
  <si>
    <t>http://www.linkedin.com/in/isabella-otero-jim%c3%a9nez-80812139</t>
  </si>
  <si>
    <t>http://www.linkedin.com/company/qirat-fine-jewelry</t>
  </si>
  <si>
    <t>https://qiratjewels.com</t>
  </si>
  <si>
    <t>CEO | Latam</t>
  </si>
  <si>
    <t>luisrojas@thebitbang.company</t>
  </si>
  <si>
    <t>http://www.linkedin.com/in/luis-rojas-98449a27</t>
  </si>
  <si>
    <t>Business Development Manager / Co-Founder</t>
  </si>
  <si>
    <t>SKYWARDS GROUP</t>
  </si>
  <si>
    <t>daniela@skywardsgroup.com</t>
  </si>
  <si>
    <t>http://www.linkedin.com/in/daniela-lopera</t>
  </si>
  <si>
    <t>http://www.linkedin.com/company/skywards-group</t>
  </si>
  <si>
    <t>https://skywardsgroup.com</t>
  </si>
  <si>
    <t>Clínica CIGE</t>
  </si>
  <si>
    <t>avalcarcev@eafit.edu.co</t>
  </si>
  <si>
    <t>http://www.linkedin.com/in/alejandra-giraldo-vargas-282341171</t>
  </si>
  <si>
    <t>http://www.linkedin.com/company/clinica-cige</t>
  </si>
  <si>
    <t>https://eafit.edu.co</t>
  </si>
  <si>
    <t>Kashi</t>
  </si>
  <si>
    <t>andrea@cuota.io</t>
  </si>
  <si>
    <t>http://www.linkedin.com/in/andreabarcena</t>
  </si>
  <si>
    <t>http://www.linkedin.com/company/kashicredit</t>
  </si>
  <si>
    <t>https://cuota.io</t>
  </si>
  <si>
    <t>Baraka Consulting</t>
  </si>
  <si>
    <t>victor.escalona@consultingbaraka.com</t>
  </si>
  <si>
    <t>http://www.linkedin.com/in/victor-escalona-8719a919</t>
  </si>
  <si>
    <t>http://www.linkedin.com/company/consulting-baraka</t>
  </si>
  <si>
    <t>https://consultingbaraka.com</t>
  </si>
  <si>
    <t>Tecnocash</t>
  </si>
  <si>
    <t>dmoreno@tecnocash.com.co</t>
  </si>
  <si>
    <t>http://www.linkedin.com/in/davidmorenomoncayo-ceo</t>
  </si>
  <si>
    <t>http://www.linkedin.com/company/tecnocashcompany</t>
  </si>
  <si>
    <t>https://tecnocash.com.co</t>
  </si>
  <si>
    <t>Grector</t>
  </si>
  <si>
    <t>ISLA SAS</t>
  </si>
  <si>
    <t>estrategica@islasas.com</t>
  </si>
  <si>
    <t>http://www.linkedin.com/in/isla-sas</t>
  </si>
  <si>
    <t>http://www.linkedin.com/company/isla-sas</t>
  </si>
  <si>
    <t>https://islasas.com</t>
  </si>
  <si>
    <t>Fundador y Director Comercial en API Consultores</t>
  </si>
  <si>
    <t>API Consultores</t>
  </si>
  <si>
    <t>osanchez@apisas.com</t>
  </si>
  <si>
    <t>http://www.linkedin.com/in/omar-s%c3%a1nchez-apiconsultores-transformaciondigital</t>
  </si>
  <si>
    <t>http://www.linkedin.com/company/apiconsultoresas</t>
  </si>
  <si>
    <t>https://apisas.com</t>
  </si>
  <si>
    <t>Juanita</t>
  </si>
  <si>
    <t>Head of Brand &amp; Growth</t>
  </si>
  <si>
    <t>Voltiva</t>
  </si>
  <si>
    <t>juanita@voltiva.io</t>
  </si>
  <si>
    <t>http://www.linkedin.com/in/juanita-gamboa-fajury</t>
  </si>
  <si>
    <t>http://www.linkedin.com/company/voltivaio</t>
  </si>
  <si>
    <t>https://voltiva.com.co</t>
  </si>
  <si>
    <t>SoftEvolution</t>
  </si>
  <si>
    <t>ivan.otero@softevolution.co</t>
  </si>
  <si>
    <t>http://www.linkedin.com/in/ivanaoterop</t>
  </si>
  <si>
    <t>http://www.linkedin.com/company/softevolutioncol</t>
  </si>
  <si>
    <t>https://softevolution.co</t>
  </si>
  <si>
    <t>Lynks CO</t>
  </si>
  <si>
    <t>apustowka@lynks.com.co</t>
  </si>
  <si>
    <t>http://www.linkedin.com/in/alejandro-pustowka-65518029</t>
  </si>
  <si>
    <t>http://www.linkedin.com/company/lynksco</t>
  </si>
  <si>
    <t>https://lynks.com.co</t>
  </si>
  <si>
    <t>Comparapps</t>
  </si>
  <si>
    <t>pablo@comparapps.com</t>
  </si>
  <si>
    <t>http://www.linkedin.com/in/pablogutierreznieto</t>
  </si>
  <si>
    <t>http://www.linkedin.com/company/comparapps</t>
  </si>
  <si>
    <t>https://comparapps.com</t>
  </si>
  <si>
    <t>Tómalo</t>
  </si>
  <si>
    <t>salomon@tomalo.app</t>
  </si>
  <si>
    <t>http://www.linkedin.com/in/salomon-vasquez-sanchez-26883a72</t>
  </si>
  <si>
    <t>http://www.linkedin.com/company/t%c3%b3malo</t>
  </si>
  <si>
    <t>https://tomalo.app</t>
  </si>
  <si>
    <t>Information</t>
  </si>
  <si>
    <t>ronald.rodriguez@informationsys.com</t>
  </si>
  <si>
    <t>http://www.linkedin.com/in/ronald-rodriguez-1162864a</t>
  </si>
  <si>
    <t>http://www.linkedin.com/company/information-systems-international</t>
  </si>
  <si>
    <t>https://jupiterzx.com</t>
  </si>
  <si>
    <t>CEO - Founding Partner</t>
  </si>
  <si>
    <t>Skáld Advisory Group</t>
  </si>
  <si>
    <t>martha.ramirez@skald-ag.com</t>
  </si>
  <si>
    <t>http://www.linkedin.com/in/martha-ramirez-guerrero</t>
  </si>
  <si>
    <t>http://www.linkedin.com/company/skald-advisory-group</t>
  </si>
  <si>
    <t>https://skald-ag.com</t>
  </si>
  <si>
    <t>Nuptum 🚀</t>
  </si>
  <si>
    <t>emerson.acosta@nuptum.com</t>
  </si>
  <si>
    <t>http://www.linkedin.com/in/emerson-acosta-charry-33233695</t>
  </si>
  <si>
    <t>http://www.linkedin.com/company/nuptum</t>
  </si>
  <si>
    <t>https://nuptum.com</t>
  </si>
  <si>
    <t>Chief Executive Officer, Managing Director</t>
  </si>
  <si>
    <t>Ambulancias Aereas de Colombia</t>
  </si>
  <si>
    <t>sduran@cincocap.com</t>
  </si>
  <si>
    <t>http://www.linkedin.com/in/santiago-duran-ferro-28b7b46a</t>
  </si>
  <si>
    <t>http://www.linkedin.com/company/ambulancias-aereas-de-colombia</t>
  </si>
  <si>
    <t>https://ambulanciasaereas.com.co</t>
  </si>
  <si>
    <t>Brave Solutions</t>
  </si>
  <si>
    <t>jorge@bravesolns.com</t>
  </si>
  <si>
    <t>http://www.linkedin.com/in/jorge-bedoya-956184196</t>
  </si>
  <si>
    <t>http://www.linkedin.com/company/bravesolns</t>
  </si>
  <si>
    <t>https://bravesolns.com</t>
  </si>
  <si>
    <t>Factores</t>
  </si>
  <si>
    <t>Factores &amp; Mercadeo S.A</t>
  </si>
  <si>
    <t>mercadeo@factoresymercadeo.com</t>
  </si>
  <si>
    <t>http://www.linkedin.com/in/factores-y-mercadeo-s-a-962071120</t>
  </si>
  <si>
    <t>http://www.linkedin.com/company/factores&amp;mercadeos.a.</t>
  </si>
  <si>
    <t>https://factoresymercadeo.com</t>
  </si>
  <si>
    <t>Director of Strategy and Communications</t>
  </si>
  <si>
    <t>EcoRegistry</t>
  </si>
  <si>
    <t>sarapresiga@ecoregistry.io</t>
  </si>
  <si>
    <t>http://www.linkedin.com/in/sara-pr%c3%a9siga-romero-b734a0134</t>
  </si>
  <si>
    <t>http://www.linkedin.com/company/ecoregistry</t>
  </si>
  <si>
    <t>https://ecoregistry.io</t>
  </si>
  <si>
    <t>Hermann</t>
  </si>
  <si>
    <t>Co-Founder / CFO</t>
  </si>
  <si>
    <t>Evolti</t>
  </si>
  <si>
    <t>hermann.souza@evolti.co</t>
  </si>
  <si>
    <t>http://www.linkedin.com/in/hermann-souza-7bb36617b</t>
  </si>
  <si>
    <t>http://www.linkedin.com/company/evolti-company</t>
  </si>
  <si>
    <t>https://evolti.co</t>
  </si>
  <si>
    <t>Cofundador y Consultor Asociado</t>
  </si>
  <si>
    <t>Elera Group</t>
  </si>
  <si>
    <t>gabriel.sanchez@eleragroup.com</t>
  </si>
  <si>
    <t>http://www.linkedin.com/in/gabriel-sanchez-b3237021</t>
  </si>
  <si>
    <t>http://www.linkedin.com/company/eleragroup</t>
  </si>
  <si>
    <t>https://eleragroup.com</t>
  </si>
  <si>
    <t>Vivefy</t>
  </si>
  <si>
    <t>andres@vivefy.co</t>
  </si>
  <si>
    <t>http://www.linkedin.com/in/andresuribeniessen</t>
  </si>
  <si>
    <t>http://www.linkedin.com/company/vivefy</t>
  </si>
  <si>
    <t>https://vivefy.co</t>
  </si>
  <si>
    <t>Co-Founder CDTiando</t>
  </si>
  <si>
    <t>CDTiando</t>
  </si>
  <si>
    <t>jgonzalezrojas@cdtiando.com</t>
  </si>
  <si>
    <t>http://www.linkedin.com/in/josefinanzas360</t>
  </si>
  <si>
    <t>http://www.linkedin.com/company/cdtiando</t>
  </si>
  <si>
    <t>https://cdtiando.com</t>
  </si>
  <si>
    <t>Rita</t>
  </si>
  <si>
    <t>MATIZart</t>
  </si>
  <si>
    <t>rita.kotov@matizart.co</t>
  </si>
  <si>
    <t>http://www.linkedin.com/in/rita-kotov-matizart</t>
  </si>
  <si>
    <t>http://www.linkedin.com/company/comatizart</t>
  </si>
  <si>
    <t>https://matizart.co</t>
  </si>
  <si>
    <t>Co-Founder &amp; Comm Lead</t>
  </si>
  <si>
    <t>Decoratic</t>
  </si>
  <si>
    <t>juan@decoratic.co</t>
  </si>
  <si>
    <t>http://www.linkedin.com/in/juan-eduardo-contreras-7988496</t>
  </si>
  <si>
    <t>http://www.linkedin.com/company/decoratic</t>
  </si>
  <si>
    <t>https://decoratic.co</t>
  </si>
  <si>
    <t>Cedric</t>
  </si>
  <si>
    <t>Chairman and Founder Kharmax Impact Monitoring</t>
  </si>
  <si>
    <t>Impact Finance</t>
  </si>
  <si>
    <t>cedric.lombard@impact-finance.com</t>
  </si>
  <si>
    <t>http://www.linkedin.com/in/cedric-lombard-80756715</t>
  </si>
  <si>
    <t>http://www.linkedin.com/company/impact-finance-management-sa</t>
  </si>
  <si>
    <t>https://impact-finance.com</t>
  </si>
  <si>
    <t>Nia</t>
  </si>
  <si>
    <t>BlackBiird Company</t>
  </si>
  <si>
    <t>nia@blackbiird.com</t>
  </si>
  <si>
    <t>http://www.linkedin.com/in/nia-fl%c3%b3rez-cervantes-1a9a314b</t>
  </si>
  <si>
    <t>http://www.linkedin.com/company/blackbiird-company</t>
  </si>
  <si>
    <t>https://blackbiird.com</t>
  </si>
  <si>
    <t>Lisa</t>
  </si>
  <si>
    <t>Founder and Creative Director</t>
  </si>
  <si>
    <t>lisa@click-clack.la</t>
  </si>
  <si>
    <t>http://www.linkedin.com/in/lisa-neisa-b06423334</t>
  </si>
  <si>
    <t>Victoria</t>
  </si>
  <si>
    <t>Founder &amp; Mindset &amp; Yoga Coach at Walk of Victory</t>
  </si>
  <si>
    <t>Walk of Victory</t>
  </si>
  <si>
    <t>victoria.garcia@victorywinegroup.com</t>
  </si>
  <si>
    <t>http://www.linkedin.com/in/mavictoriagb</t>
  </si>
  <si>
    <t>http://www.linkedin.com/company/walk-of-victory</t>
  </si>
  <si>
    <t>https://walkofvictory.com</t>
  </si>
  <si>
    <t>Plenti</t>
  </si>
  <si>
    <t>martin.pelaez@somosplenti.com</t>
  </si>
  <si>
    <t>http://www.linkedin.com/in/martinpelaez</t>
  </si>
  <si>
    <t>http://www.linkedin.com/company/somosplenti</t>
  </si>
  <si>
    <t>https://plenti.com.co</t>
  </si>
  <si>
    <t>Gaby</t>
  </si>
  <si>
    <t>Taxia Life</t>
  </si>
  <si>
    <t>gaby@taxialife.com</t>
  </si>
  <si>
    <t>http://www.linkedin.com/in/gabycmunoz</t>
  </si>
  <si>
    <t>http://www.linkedin.com/company/taxialife</t>
  </si>
  <si>
    <t>https://taxialife.com</t>
  </si>
  <si>
    <t>Director &amp; Founder</t>
  </si>
  <si>
    <t>AuroraTech SAS</t>
  </si>
  <si>
    <t>carlos.agudelo@invisible.email</t>
  </si>
  <si>
    <t>http://www.linkedin.com/in/carlos-agudelo-68201029</t>
  </si>
  <si>
    <t>http://www.linkedin.com/company/auroratech</t>
  </si>
  <si>
    <t>https://auroratech.com.co</t>
  </si>
  <si>
    <t>Escuela de Superhéroes</t>
  </si>
  <si>
    <t>gerencia@escueladesuperheroes.com.co</t>
  </si>
  <si>
    <t>http://www.linkedin.com/in/juan-sebasti%c3%a1n-rojas-a32142106</t>
  </si>
  <si>
    <t>http://www.linkedin.com/company/escuela-de-superh%c3%a9roes</t>
  </si>
  <si>
    <t>https://escueladesuperheroes.com.co</t>
  </si>
  <si>
    <t>Erick</t>
  </si>
  <si>
    <t>Discovery Consulting Services</t>
  </si>
  <si>
    <t>cepeda.erick@discoveryconsultingservices.com</t>
  </si>
  <si>
    <t>http://www.linkedin.com/in/erickcepeda</t>
  </si>
  <si>
    <t>http://www.linkedin.com/company/discovery-consulting-services</t>
  </si>
  <si>
    <t>https://discoveryconsultingservices.com</t>
  </si>
  <si>
    <t>CEO - Chief Executive Officer at Financiapp</t>
  </si>
  <si>
    <t>Financiapp</t>
  </si>
  <si>
    <t>http://www.linkedin.com/in/john-ardila-castillo-baa4001b</t>
  </si>
  <si>
    <t>http://www.linkedin.com/company/financiapp</t>
  </si>
  <si>
    <t>https://financiapp.co</t>
  </si>
  <si>
    <t>Giancarlo</t>
  </si>
  <si>
    <t>Co-Founder, Chief Partnerships Officer</t>
  </si>
  <si>
    <t>Zeppelin Labs</t>
  </si>
  <si>
    <t>giancarlo@zeppelinlabs.io</t>
  </si>
  <si>
    <t>http://www.linkedin.com/in/gvg-</t>
  </si>
  <si>
    <t>http://www.linkedin.com/company/zeppelinlabs</t>
  </si>
  <si>
    <t>https://zeppelinlabs.io</t>
  </si>
  <si>
    <t>Vijay</t>
  </si>
  <si>
    <t>Founder-CTO</t>
  </si>
  <si>
    <t>Koban</t>
  </si>
  <si>
    <t>vijay@koban.com.bo</t>
  </si>
  <si>
    <t>http://www.linkedin.com/in/vijay-pratap-singh-9b58ab169</t>
  </si>
  <si>
    <t>http://www.linkedin.com/company/koban-latam</t>
  </si>
  <si>
    <t>https://koban.com.bo</t>
  </si>
  <si>
    <t>AI Summit</t>
  </si>
  <si>
    <t>nicolas@colombiatechweek.co</t>
  </si>
  <si>
    <t>http://www.linkedin.com/in/nicolascruzf</t>
  </si>
  <si>
    <t>http://www.linkedin.com/company/ai-summitco</t>
  </si>
  <si>
    <t>https://colombiatechweek.co</t>
  </si>
  <si>
    <t>SURETI</t>
  </si>
  <si>
    <t>andres@sureti.co</t>
  </si>
  <si>
    <t>http://www.linkedin.com/in/andres-rojas-sureti</t>
  </si>
  <si>
    <t>http://www.linkedin.com/company/suretico</t>
  </si>
  <si>
    <t>https://sureti.co</t>
  </si>
  <si>
    <t>CEO, Cofundador y Board Member</t>
  </si>
  <si>
    <t>VGMobility</t>
  </si>
  <si>
    <t>ajb@vgmobility.com</t>
  </si>
  <si>
    <t>http://www.linkedin.com/in/andres-jaramillo-botero-65085423</t>
  </si>
  <si>
    <t>http://www.linkedin.com/company/vgmobility</t>
  </si>
  <si>
    <t>https://vgmobility.com</t>
  </si>
  <si>
    <t>Ronal</t>
  </si>
  <si>
    <t>CEO Fundador Iabot</t>
  </si>
  <si>
    <t>IABOT SAS</t>
  </si>
  <si>
    <t>rbohorquez@iabot.com.co</t>
  </si>
  <si>
    <t>http://www.linkedin.com/in/ronalbohorquez</t>
  </si>
  <si>
    <t>http://www.linkedin.com/company/iabotsas</t>
  </si>
  <si>
    <t>https://iabot.co</t>
  </si>
  <si>
    <t>Latam sales business leadership</t>
  </si>
  <si>
    <t>adriana.henao@experian.com</t>
  </si>
  <si>
    <t>http://www.linkedin.com/in/adriana-henao</t>
  </si>
  <si>
    <t>http://www.linkedin.com/company/latamsalesbusinessleadership</t>
  </si>
  <si>
    <t>https://experian.com</t>
  </si>
  <si>
    <t>Elmer</t>
  </si>
  <si>
    <t>Kordev</t>
  </si>
  <si>
    <t>elmortega@kordev.io</t>
  </si>
  <si>
    <t>http://www.linkedin.com/in/elmer-ortega-0112ba40</t>
  </si>
  <si>
    <t>http://www.linkedin.com/company/kordevinc</t>
  </si>
  <si>
    <t>https://kordev.io</t>
  </si>
  <si>
    <t>Founder Partner and General Manager</t>
  </si>
  <si>
    <t>Palermo Home Hotels</t>
  </si>
  <si>
    <t>diana@palermohomebogota.com</t>
  </si>
  <si>
    <t>http://www.linkedin.com/in/diana-carolina-bernal-montero-a7835497</t>
  </si>
  <si>
    <t>http://www.linkedin.com/company/palermo-home-hotels</t>
  </si>
  <si>
    <t>https://palermohomebogota.com</t>
  </si>
  <si>
    <t>Anabella</t>
  </si>
  <si>
    <t>Acreditta</t>
  </si>
  <si>
    <t>anitalaya@acreditta.com</t>
  </si>
  <si>
    <t>http://www.linkedin.com/in/anitalaya</t>
  </si>
  <si>
    <t>http://www.linkedin.com/company/acreditta</t>
  </si>
  <si>
    <t>https://acreditta.com</t>
  </si>
  <si>
    <t>Head of Operations for Colombia, Panama and Central America</t>
  </si>
  <si>
    <t>Hisense Colombia</t>
  </si>
  <si>
    <t>paulomendez@hisense.com</t>
  </si>
  <si>
    <t>http://www.linkedin.com/in/paulo-mendez-garcia</t>
  </si>
  <si>
    <t>http://www.linkedin.com/company/hisensecolombia</t>
  </si>
  <si>
    <t>https://hisense.com.co</t>
  </si>
  <si>
    <t>fernando@licify.co</t>
  </si>
  <si>
    <t>http://www.linkedin.com/in/fernando-olloqui</t>
  </si>
  <si>
    <t>Sunny Schools Education Group</t>
  </si>
  <si>
    <t>c.rivera@sunnyschools.com</t>
  </si>
  <si>
    <t>http://www.linkedin.com/in/camilo-rivera-35ab61b4</t>
  </si>
  <si>
    <t>http://www.linkedin.com/company/sunny-schools</t>
  </si>
  <si>
    <t>https://sunnyschools.com</t>
  </si>
  <si>
    <t>DermaLumina</t>
  </si>
  <si>
    <t>dw@dermaly.co</t>
  </si>
  <si>
    <t>http://www.linkedin.com/in/david-williamson-mej%c3%ada-1785ba90</t>
  </si>
  <si>
    <t>http://www.linkedin.com/company/dermalumina</t>
  </si>
  <si>
    <t>https://dermolumia.co.za</t>
  </si>
  <si>
    <t>Samir</t>
  </si>
  <si>
    <t>Co-Fundador / CFO</t>
  </si>
  <si>
    <t>BOTKERS</t>
  </si>
  <si>
    <t>samir.estefan@botkers.com</t>
  </si>
  <si>
    <t>http://www.linkedin.com/in/samirestefan</t>
  </si>
  <si>
    <t>http://www.linkedin.com/company/botkers</t>
  </si>
  <si>
    <t>https://botkers.com</t>
  </si>
  <si>
    <t>Founder | COO | CRO</t>
  </si>
  <si>
    <t>Sodtrack</t>
  </si>
  <si>
    <t>mlopez@sodtrack.com</t>
  </si>
  <si>
    <t>http://www.linkedin.com/in/mlopezegan</t>
  </si>
  <si>
    <t>http://www.linkedin.com/company/sodtrack</t>
  </si>
  <si>
    <t>https://sodtrack.com</t>
  </si>
  <si>
    <t>SimaHealth</t>
  </si>
  <si>
    <t>eduardo.castano@simahealth.co</t>
  </si>
  <si>
    <t>http://www.linkedin.com/in/eduardo-casta%c3%b1o-arbelaez-a5328ab</t>
  </si>
  <si>
    <t>http://www.linkedin.com/company/simahealth2015</t>
  </si>
  <si>
    <t>https://simahealth.co</t>
  </si>
  <si>
    <t>sebastian.castrillon@estratek.com.co</t>
  </si>
  <si>
    <t>http://www.linkedin.com/in/sebascastrillon</t>
  </si>
  <si>
    <t>SKIP</t>
  </si>
  <si>
    <t>aduque@skipai.co</t>
  </si>
  <si>
    <t>http://www.linkedin.com/in/andresduqueb</t>
  </si>
  <si>
    <t>http://www.linkedin.com/company/skipai</t>
  </si>
  <si>
    <t>https://skipai.co</t>
  </si>
  <si>
    <t>AData Company</t>
  </si>
  <si>
    <t>angela.moreno@adata.company</t>
  </si>
  <si>
    <t>http://www.linkedin.com/in/angelampuin</t>
  </si>
  <si>
    <t>http://www.linkedin.com/company/adata-company</t>
  </si>
  <si>
    <t>https://adata.company</t>
  </si>
  <si>
    <t>TRIDA INTERNATIONAL</t>
  </si>
  <si>
    <t>angelamejia@tridainternational.com</t>
  </si>
  <si>
    <t>http://www.linkedin.com/in/angela-maria-mejia-botero</t>
  </si>
  <si>
    <t>http://www.linkedin.com/company/trida-international</t>
  </si>
  <si>
    <t>https://tridainternational.com</t>
  </si>
  <si>
    <t>santiago@todoscomemos.com</t>
  </si>
  <si>
    <t>http://www.linkedin.com/in/santiago-espinosa-0b575042</t>
  </si>
  <si>
    <t>Axumption</t>
  </si>
  <si>
    <t>nicolas@axumption.com</t>
  </si>
  <si>
    <t>http://www.linkedin.com/in/nickmancol</t>
  </si>
  <si>
    <t>http://www.linkedin.com/company/axumption</t>
  </si>
  <si>
    <t>https://axumption.com</t>
  </si>
  <si>
    <t>rgtbc</t>
  </si>
  <si>
    <t>http://www.linkedin.com/in/julio-mario-de-le%c3%b3n-954b8b23</t>
  </si>
  <si>
    <t>http://www.linkedin.com/company/rgtbc</t>
  </si>
  <si>
    <t>https://innovatione.eu</t>
  </si>
  <si>
    <t>AZLOGICA IoT</t>
  </si>
  <si>
    <t>edgar.salas@azlogica.com</t>
  </si>
  <si>
    <t>http://www.linkedin.com/in/edgarsalas-intelligenceofthings</t>
  </si>
  <si>
    <t>http://www.linkedin.com/company/azlogica-iot-intelligenceofthings</t>
  </si>
  <si>
    <t>https://azlogica.com</t>
  </si>
  <si>
    <t>Rocio</t>
  </si>
  <si>
    <t>Citrix Latam</t>
  </si>
  <si>
    <t>rhurtado@citrixlatam.com</t>
  </si>
  <si>
    <t>http://www.linkedin.com/in/hurtadorocio</t>
  </si>
  <si>
    <t>http://www.linkedin.com/company/citrixlatam</t>
  </si>
  <si>
    <t>https://citrixlatam.com</t>
  </si>
  <si>
    <t>Más Médicos</t>
  </si>
  <si>
    <t>agustin@masmedicos.co</t>
  </si>
  <si>
    <t>http://www.linkedin.com/in/joseagustinbecerra</t>
  </si>
  <si>
    <t>http://www.linkedin.com/company/m%c3%a1s-m%c3%a9dicos</t>
  </si>
  <si>
    <t>https://masmedicos.co</t>
  </si>
  <si>
    <t>CEO-Gerente General</t>
  </si>
  <si>
    <t>Prevento Seguros Col Ltda</t>
  </si>
  <si>
    <t>gerencia@preventoseguros.com</t>
  </si>
  <si>
    <t>http://www.linkedin.com/in/jesusgomeznu%c3%b1ez</t>
  </si>
  <si>
    <t>http://www.linkedin.com/company/prevento-seguros</t>
  </si>
  <si>
    <t>https://preventoseguros.com</t>
  </si>
  <si>
    <t>Visual Contact</t>
  </si>
  <si>
    <t>pcano@visualcontact.com.co</t>
  </si>
  <si>
    <t>http://www.linkedin.com/in/pedro-cano-a823b2161</t>
  </si>
  <si>
    <t>http://www.linkedin.com/company/visualcontactsas</t>
  </si>
  <si>
    <t>https://visualcontact.com.co</t>
  </si>
  <si>
    <t>MDV Distribuidora</t>
  </si>
  <si>
    <t>daniel@mdvdistribuidora.com</t>
  </si>
  <si>
    <t>http://www.linkedin.com/in/daniel-eduardo-zapata-ochoa</t>
  </si>
  <si>
    <t>http://www.linkedin.com/company/mdv-distribuidora</t>
  </si>
  <si>
    <t>https://mdvdistribuidora.com</t>
  </si>
  <si>
    <t>CI FairGreen</t>
  </si>
  <si>
    <t>oscar.ardila@fair-green.com</t>
  </si>
  <si>
    <t>http://www.linkedin.com/in/oscar-ac-6a05092a</t>
  </si>
  <si>
    <t>http://www.linkedin.com/company/cifairgreen</t>
  </si>
  <si>
    <t>https://fair-green.com</t>
  </si>
  <si>
    <t>GO SMART LOGISTICS</t>
  </si>
  <si>
    <t>gerencia@gosmartlogy.com</t>
  </si>
  <si>
    <t>http://www.linkedin.com/in/paola-berm%c3%badez-50b46aaa</t>
  </si>
  <si>
    <t>http://www.linkedin.com/company/go-smart-logistics</t>
  </si>
  <si>
    <t>https://gosmartlogy.com</t>
  </si>
  <si>
    <t>Louis</t>
  </si>
  <si>
    <t>Hatix</t>
  </si>
  <si>
    <t>louis.lairie@hatix.net</t>
  </si>
  <si>
    <t>http://www.linkedin.com/in/louis-lairie</t>
  </si>
  <si>
    <t>http://www.linkedin.com/company/hatix-insurance</t>
  </si>
  <si>
    <t>https://hatix.net</t>
  </si>
  <si>
    <t>Philippe</t>
  </si>
  <si>
    <t>ROAM Capital</t>
  </si>
  <si>
    <t>pstiernon@roamcapital.com</t>
  </si>
  <si>
    <t>http://www.linkedin.com/in/philippe-a-stiernon-a8683223</t>
  </si>
  <si>
    <t>http://www.linkedin.com/company/roamcapital</t>
  </si>
  <si>
    <t>https://roamcapital.com</t>
  </si>
  <si>
    <t>Co-Founder &amp; COO Flycrew</t>
  </si>
  <si>
    <t>Flycrew</t>
  </si>
  <si>
    <t>jose@flycrew.com</t>
  </si>
  <si>
    <t>http://www.linkedin.com/in/josepenamanjarres</t>
  </si>
  <si>
    <t>http://www.linkedin.com/company/flycrew</t>
  </si>
  <si>
    <t>https://flycrew.com</t>
  </si>
  <si>
    <t>Co-founder &amp; Head of Growth</t>
  </si>
  <si>
    <t>natalia@plurall.com</t>
  </si>
  <si>
    <t>http://www.linkedin.com/in/nataliagarciao</t>
  </si>
  <si>
    <t>C Y C Soluciones Empresariales SAS</t>
  </si>
  <si>
    <t>mun@cycsolucionesempresariales.com.co</t>
  </si>
  <si>
    <t>http://www.linkedin.com/in/juan-carlos-mun%c3%a9var-calder%c3%b3n-a5579638</t>
  </si>
  <si>
    <t>http://www.linkedin.com/company/cyc-soluciones-empresariales-ltda</t>
  </si>
  <si>
    <t>https://cycsolucionesempresariales.com.co</t>
  </si>
  <si>
    <t>Sytrex</t>
  </si>
  <si>
    <t>andres@sytrex.io</t>
  </si>
  <si>
    <t>http://www.linkedin.com/in/andresgut</t>
  </si>
  <si>
    <t>http://www.linkedin.com/company/sytrex</t>
  </si>
  <si>
    <t>https://sytrex.io</t>
  </si>
  <si>
    <t>aitia biotech</t>
  </si>
  <si>
    <t>gerencia@aitia.bio</t>
  </si>
  <si>
    <t>http://www.linkedin.com/in/sergio-urrego-27a05826</t>
  </si>
  <si>
    <t>http://www.linkedin.com/company/aitia-bio</t>
  </si>
  <si>
    <t>https://aitia.bio</t>
  </si>
  <si>
    <t>Eliana</t>
  </si>
  <si>
    <t>Co-Directora | Desarrollo de Negocios |</t>
  </si>
  <si>
    <t>Huella Delta</t>
  </si>
  <si>
    <t>eliana@huelladelta.com</t>
  </si>
  <si>
    <t>http://www.linkedin.com/in/eliana-villota-galeano-</t>
  </si>
  <si>
    <t>http://www.linkedin.com/company/huella-delta</t>
  </si>
  <si>
    <t>https://huelladelta.com</t>
  </si>
  <si>
    <t>AOA Colombia</t>
  </si>
  <si>
    <t>shurtado@aoacolombia.co</t>
  </si>
  <si>
    <t>http://www.linkedin.com/in/sebastian-hurtado-larreamendy-7a3b1629</t>
  </si>
  <si>
    <t>http://www.linkedin.com/company/aoa-colombia</t>
  </si>
  <si>
    <t>https://aoacolombia.com</t>
  </si>
  <si>
    <t>CANAL GROUP DIGITAL SERVICES</t>
  </si>
  <si>
    <t>julian.canal@canalgroup.com.co</t>
  </si>
  <si>
    <t>http://www.linkedin.com/in/julian-canal-7a87549a</t>
  </si>
  <si>
    <t>http://www.linkedin.com/company/canal-group-digital-services</t>
  </si>
  <si>
    <t>https://canalgroup.com.co</t>
  </si>
  <si>
    <t>bassis</t>
  </si>
  <si>
    <t>jose.soto@bassis.co</t>
  </si>
  <si>
    <t>http://www.linkedin.com/in/josesotocu</t>
  </si>
  <si>
    <t>http://www.linkedin.com/company/bassisco</t>
  </si>
  <si>
    <t>https://bassis.co</t>
  </si>
  <si>
    <t>MultiChem Trading Company SAS</t>
  </si>
  <si>
    <t>cgutierrez@multichem.com.co</t>
  </si>
  <si>
    <t>http://www.linkedin.com/in/maria-carolina-guti%c3%a9rrez-arenas-4bba9777</t>
  </si>
  <si>
    <t>http://www.linkedin.com/company/multichemtrading</t>
  </si>
  <si>
    <t>https://multichem.com.co</t>
  </si>
  <si>
    <t>alqui</t>
  </si>
  <si>
    <t>juancardona@alqui.com.co</t>
  </si>
  <si>
    <t>http://www.linkedin.com/in/juansebastiancardona</t>
  </si>
  <si>
    <t>http://www.linkedin.com/company/alqui</t>
  </si>
  <si>
    <t>https://alqui.com.co</t>
  </si>
  <si>
    <t>INDECO CONSTRUCTORA SAS</t>
  </si>
  <si>
    <t>svilla@indecoconstructora.com</t>
  </si>
  <si>
    <t>http://www.linkedin.com/in/sergio-villa-ceo</t>
  </si>
  <si>
    <t>http://www.linkedin.com/company/indeco-constructora-sas</t>
  </si>
  <si>
    <t>https://indecoconstructora.com</t>
  </si>
  <si>
    <t>Eugenio</t>
  </si>
  <si>
    <t>Hubby</t>
  </si>
  <si>
    <t>eugenio@gprestaurantes.com</t>
  </si>
  <si>
    <t>http://www.linkedin.com/in/eugenio-leal-convers</t>
  </si>
  <si>
    <t>http://www.linkedin.com/company/wearehubby</t>
  </si>
  <si>
    <t>https://wearehubby.com</t>
  </si>
  <si>
    <t>Suonos</t>
  </si>
  <si>
    <t>sara@suonos.co</t>
  </si>
  <si>
    <t>http://www.linkedin.com/in/sara-sierra-caballero-99502228</t>
  </si>
  <si>
    <t>http://www.linkedin.com/company/suonos</t>
  </si>
  <si>
    <t>https://suonos.co</t>
  </si>
  <si>
    <t>ANALISIS TECNICOS</t>
  </si>
  <si>
    <t>armando.osorio@atmedical.net</t>
  </si>
  <si>
    <t>http://www.linkedin.com/in/armando-osorio-9ba73731</t>
  </si>
  <si>
    <t>http://www.linkedin.com/company/analisis-tecnicos-ltda</t>
  </si>
  <si>
    <t>https://analteclaboratory.com</t>
  </si>
  <si>
    <t>|Sales VP | Vicepresidente Comercial |</t>
  </si>
  <si>
    <t>Become Digital</t>
  </si>
  <si>
    <t>sandra.castano@becomedigital.com.co</t>
  </si>
  <si>
    <t>http://www.linkedin.com/in/sandra-casta%c3%b1o</t>
  </si>
  <si>
    <t>http://www.linkedin.com/company/becomedigitalsas</t>
  </si>
  <si>
    <t>https://becomedigital.ai</t>
  </si>
  <si>
    <t>Directora General - CEO</t>
  </si>
  <si>
    <t>Smartbox Studio</t>
  </si>
  <si>
    <t>natcuellar@sbs.com.co</t>
  </si>
  <si>
    <t>http://www.linkedin.com/in/natalia-c-1b471549</t>
  </si>
  <si>
    <t>http://www.linkedin.com/company/smartbox-studio</t>
  </si>
  <si>
    <t>https://sbs.com.co</t>
  </si>
  <si>
    <t>Sunnet Company SA</t>
  </si>
  <si>
    <t>gerencia@sunnetcompany.com</t>
  </si>
  <si>
    <t>http://www.linkedin.com/in/juan-sebastian-urrea-betancourt</t>
  </si>
  <si>
    <t>http://www.linkedin.com/company/sunnet-sa</t>
  </si>
  <si>
    <t>https://sunnetcompany.top</t>
  </si>
  <si>
    <t>GJX</t>
  </si>
  <si>
    <t>jbobadilla@gjx.ai</t>
  </si>
  <si>
    <t>http://www.linkedin.com/in/juan-guillermo-bobadilla-rojas-4b1a4050</t>
  </si>
  <si>
    <t>http://www.linkedin.com/company/gjx</t>
  </si>
  <si>
    <t>https://gjx.ai</t>
  </si>
  <si>
    <t>Bacet Group</t>
  </si>
  <si>
    <t>aluna@bacetgroup.com</t>
  </si>
  <si>
    <t>http://www.linkedin.com/in/alejandro-l-176a25160</t>
  </si>
  <si>
    <t>http://www.linkedin.com/company/bacet-group-sas</t>
  </si>
  <si>
    <t>https://bacetgroup.com</t>
  </si>
  <si>
    <t>Ecosistema HR</t>
  </si>
  <si>
    <t>daniela.sepulveda@ecosistemahr.com</t>
  </si>
  <si>
    <t>http://www.linkedin.com/in/daniela-sep%c3%balveda-</t>
  </si>
  <si>
    <t>http://www.linkedin.com/company/ecosistema-hr</t>
  </si>
  <si>
    <t>https://ecosistemahr.com</t>
  </si>
  <si>
    <t>MIGTRA Business Intelligence for Transportation</t>
  </si>
  <si>
    <t>carlos.martinez@migtra.com</t>
  </si>
  <si>
    <t>http://www.linkedin.com/in/carlos-andr%c3%a9s-mart%c3%adnez-l%c3%b3pez-47848069</t>
  </si>
  <si>
    <t>http://www.linkedin.com/company/migtra</t>
  </si>
  <si>
    <t>https://migtra.com</t>
  </si>
  <si>
    <t>CMO | Head of Legal | Partner</t>
  </si>
  <si>
    <t>Novitek</t>
  </si>
  <si>
    <t>jgiraldo@novitekbusiness.com</t>
  </si>
  <si>
    <t>http://www.linkedin.com/in/julianagiraldor</t>
  </si>
  <si>
    <t>http://www.linkedin.com/company/novitek-business-consulting</t>
  </si>
  <si>
    <t>https://novitekbusiness.com</t>
  </si>
  <si>
    <t>alejandro@talentwisegroup.com</t>
  </si>
  <si>
    <t>http://www.linkedin.com/in/alejandro-jacome-santos</t>
  </si>
  <si>
    <t>Karrot</t>
  </si>
  <si>
    <t>santiago@karrotup.com</t>
  </si>
  <si>
    <t>http://www.linkedin.com/in/santiago-pineda-a7533221</t>
  </si>
  <si>
    <t>http://www.linkedin.com/company/karrotup</t>
  </si>
  <si>
    <t>https://karrotup.com</t>
  </si>
  <si>
    <t>Life &amp; Care</t>
  </si>
  <si>
    <t>marcela.miranda@lifeycare.com</t>
  </si>
  <si>
    <t>http://www.linkedin.com/in/marcela-miranda-a551a148</t>
  </si>
  <si>
    <t>http://www.linkedin.com/company/lifeandcare</t>
  </si>
  <si>
    <t>https://lifeycare.com</t>
  </si>
  <si>
    <t>4PLC Group</t>
  </si>
  <si>
    <t>jose.velez@4plcgroup.com</t>
  </si>
  <si>
    <t>http://www.linkedin.com/in/jose-dario-velez-morales-97320a35</t>
  </si>
  <si>
    <t>http://www.linkedin.com/company/4plcgroup</t>
  </si>
  <si>
    <t>https://4plcgroup.com</t>
  </si>
  <si>
    <t>Co-Founder I On Premise I E-commerce</t>
  </si>
  <si>
    <t>Fugitivos</t>
  </si>
  <si>
    <t>juan.salinas@fugitivos.co</t>
  </si>
  <si>
    <t>http://www.linkedin.com/in/juansalinas127</t>
  </si>
  <si>
    <t>http://www.linkedin.com/company/somosfugitivos</t>
  </si>
  <si>
    <t>https://montemanglar.com</t>
  </si>
  <si>
    <t>eGrowth Group</t>
  </si>
  <si>
    <t>http://www.linkedin.com/in/lauramarinoarevalo</t>
  </si>
  <si>
    <t>http://www.linkedin.com/company/e-growth-group</t>
  </si>
  <si>
    <t>May</t>
  </si>
  <si>
    <t>CEO &amp; Executive Producer</t>
  </si>
  <si>
    <t>Studio AYMAC</t>
  </si>
  <si>
    <t>may.mccausland@studioaymac.com</t>
  </si>
  <si>
    <t>http://www.linkedin.com/in/maymccausland</t>
  </si>
  <si>
    <t>http://www.linkedin.com/company/studio-aymac</t>
  </si>
  <si>
    <t>https://studioaymac.com</t>
  </si>
  <si>
    <t>Geraldine</t>
  </si>
  <si>
    <t>Cyglo</t>
  </si>
  <si>
    <t>brand@cyglo.co</t>
  </si>
  <si>
    <t>http://www.linkedin.com/in/geraldine-navas-04bb065b</t>
  </si>
  <si>
    <t>http://www.linkedin.com/company/cyglo</t>
  </si>
  <si>
    <t>https://cyglo.co</t>
  </si>
  <si>
    <t>Marc</t>
  </si>
  <si>
    <t>Regional Sales Director Latam &amp; Alianzas Estratégicas</t>
  </si>
  <si>
    <t>ImmuniWeb</t>
  </si>
  <si>
    <t>marc.bague@immuniweb.com</t>
  </si>
  <si>
    <t>http://www.linkedin.com/in/blockchain-cybersecurity-marcus</t>
  </si>
  <si>
    <t>http://www.linkedin.com/company/immuniweb</t>
  </si>
  <si>
    <t>https://immuniweb.com</t>
  </si>
  <si>
    <t>Rebalance75</t>
  </si>
  <si>
    <t>jc@indefco.co</t>
  </si>
  <si>
    <t>http://www.linkedin.com/in/juansanz</t>
  </si>
  <si>
    <t>http://www.linkedin.com/company/vulcano-nbs</t>
  </si>
  <si>
    <t>https://biovulcano.co</t>
  </si>
  <si>
    <t>Mujeres Fintech Colombia #MeF</t>
  </si>
  <si>
    <t>ginna.pardo@carvajal.com</t>
  </si>
  <si>
    <t>http://www.linkedin.com/in/ginna-pardo-8a823b5b</t>
  </si>
  <si>
    <t>http://www.linkedin.com/company/mujeres-fintech-colombia</t>
  </si>
  <si>
    <t>https://mujeresfintech.co</t>
  </si>
  <si>
    <t>OBRALiVE</t>
  </si>
  <si>
    <t>julian@obralive.com</t>
  </si>
  <si>
    <t>http://www.linkedin.com/in/julian-vela-volartech</t>
  </si>
  <si>
    <t>http://www.linkedin.com/company/obralive</t>
  </si>
  <si>
    <t>https://obralive.com</t>
  </si>
  <si>
    <t>Investta</t>
  </si>
  <si>
    <t>diego.gaitan@investta.com</t>
  </si>
  <si>
    <t>http://www.linkedin.com/in/diego-gaitan-amaya</t>
  </si>
  <si>
    <t>http://www.linkedin.com/company/investta</t>
  </si>
  <si>
    <t>https://investta.com</t>
  </si>
  <si>
    <t>COO - Gerente Comercial</t>
  </si>
  <si>
    <t>LOMA Film Rental</t>
  </si>
  <si>
    <t>francisco@lomafr.com</t>
  </si>
  <si>
    <t>http://www.linkedin.com/in/francisco-andr%c3%a9s-forero-mendoza-2b1b822a</t>
  </si>
  <si>
    <t>http://www.linkedin.com/company/loma-film-rental</t>
  </si>
  <si>
    <t>https://lomafr.com</t>
  </si>
  <si>
    <t>Jacobo</t>
  </si>
  <si>
    <t>jacobo@tabiclean.com</t>
  </si>
  <si>
    <t>http://www.linkedin.com/in/juan-jacobo-emura-castro</t>
  </si>
  <si>
    <t>Fundador y CEO Creaphora</t>
  </si>
  <si>
    <t>Creaphora</t>
  </si>
  <si>
    <t>carlos@creaphora.com</t>
  </si>
  <si>
    <t>http://www.linkedin.com/in/andresrodriguezm</t>
  </si>
  <si>
    <t>http://www.linkedin.com/company/creaphora</t>
  </si>
  <si>
    <t>https://creaphora.com</t>
  </si>
  <si>
    <t>CEO | Directora General &amp; Representante Legal</t>
  </si>
  <si>
    <t>Organización Clínica la Toscana</t>
  </si>
  <si>
    <t>t.jimenez@clinicalatoscana.com.co</t>
  </si>
  <si>
    <t>http://www.linkedin.com/in/nasly-tatiana-jimenez-gonzalez</t>
  </si>
  <si>
    <t>http://www.linkedin.com/company/clilatoscana</t>
  </si>
  <si>
    <t>https://clinicalatoscana.com.co</t>
  </si>
  <si>
    <t>Enentrenamiento</t>
  </si>
  <si>
    <t>paula.alvarez@enentrenamiento.com</t>
  </si>
  <si>
    <t>http://www.linkedin.com/in/paula-alvarez-a117344</t>
  </si>
  <si>
    <t>http://www.linkedin.com/company/enenentrenamiento</t>
  </si>
  <si>
    <t>https://enentrenamiento.com</t>
  </si>
  <si>
    <t>Dana</t>
  </si>
  <si>
    <t>Happiness Studies Academy</t>
  </si>
  <si>
    <t>dana@happinessstudies.academy</t>
  </si>
  <si>
    <t>http://www.linkedin.com/in/dana-benarroch-33301836</t>
  </si>
  <si>
    <t>http://www.linkedin.com/school/happiness-studies-academy</t>
  </si>
  <si>
    <t>https://happinessstudies.academy</t>
  </si>
  <si>
    <t>Qubilo</t>
  </si>
  <si>
    <t>luis@qubilo.com</t>
  </si>
  <si>
    <t>http://www.linkedin.com/in/luissalamancam</t>
  </si>
  <si>
    <t>http://www.linkedin.com/company/qubilo</t>
  </si>
  <si>
    <t>https://qubilo.com</t>
  </si>
  <si>
    <t>Focux</t>
  </si>
  <si>
    <t>santiago.ospina@focuxdigital.com</t>
  </si>
  <si>
    <t>http://www.linkedin.com/in/santiago-ospina-franco-5aa8b91b</t>
  </si>
  <si>
    <t>http://www.linkedin.com/company/focux-digital</t>
  </si>
  <si>
    <t>https://focux.co</t>
  </si>
  <si>
    <t>ZAZ CONDUCTORES YANGO</t>
  </si>
  <si>
    <t>gerencia@zazconductores.com</t>
  </si>
  <si>
    <t>http://www.linkedin.com/in/ricardocorrealrueda</t>
  </si>
  <si>
    <t>http://www.linkedin.com/company/zaz-conductores-yango</t>
  </si>
  <si>
    <t>https://zazconductores.com</t>
  </si>
  <si>
    <t>CEO | Founder</t>
  </si>
  <si>
    <t>Graffing</t>
  </si>
  <si>
    <t>alejandro.ochoa@graffinghr.com</t>
  </si>
  <si>
    <t>http://www.linkedin.com/in/alejandroochoac</t>
  </si>
  <si>
    <t>http://www.linkedin.com/company/graffing</t>
  </si>
  <si>
    <t>https://graffinghr.com</t>
  </si>
  <si>
    <t>CorvusClan</t>
  </si>
  <si>
    <t>jp@corvusclan.com.co</t>
  </si>
  <si>
    <t>http://www.linkedin.com/in/juan-pablo-ortega-000b178</t>
  </si>
  <si>
    <t>http://www.linkedin.com/company/corvusclan</t>
  </si>
  <si>
    <t>https://h06496.wixsite.com</t>
  </si>
  <si>
    <t>CoFounder &amp; Global CGO en Agilex</t>
  </si>
  <si>
    <t>ÁgilEx</t>
  </si>
  <si>
    <t>mauricio.sanchez@agilexpress.com.co</t>
  </si>
  <si>
    <t>http://www.linkedin.com/in/mauricio-sanchez-192b9051</t>
  </si>
  <si>
    <t>http://www.linkedin.com/company/%c3%a1gilexpress</t>
  </si>
  <si>
    <t>https://agilex.com.co</t>
  </si>
  <si>
    <t>Datasketch</t>
  </si>
  <si>
    <t>jpmarindiaz@datasketch.co</t>
  </si>
  <si>
    <t>http://www.linkedin.com/in/jpmarindiaz</t>
  </si>
  <si>
    <t>http://www.linkedin.com/company/datasketch</t>
  </si>
  <si>
    <t>https://datasketch.co</t>
  </si>
  <si>
    <t>Kapital Financial Services</t>
  </si>
  <si>
    <t>aayala@kapitalfs.com</t>
  </si>
  <si>
    <t>http://www.linkedin.com/in/alejandro-ayala-roa-93ab661b</t>
  </si>
  <si>
    <t>http://www.linkedin.com/company/kapital-financial-services-sas</t>
  </si>
  <si>
    <t>https://kapitalfs.com</t>
  </si>
  <si>
    <t>medicappsalud</t>
  </si>
  <si>
    <t>durrego@medicapp.com.co</t>
  </si>
  <si>
    <t>http://www.linkedin.com/in/daniel-urrego-malagon-29bab777</t>
  </si>
  <si>
    <t>http://www.linkedin.com/company/medicappsalud</t>
  </si>
  <si>
    <t>https://medicapp.com.co</t>
  </si>
  <si>
    <t>Conectandonegocios</t>
  </si>
  <si>
    <t>diana.patricia@revistaequipar.com</t>
  </si>
  <si>
    <t>http://www.linkedin.com/in/diana-patricia-arbelaez-614b7657</t>
  </si>
  <si>
    <t>http://www.linkedin.com/company/conectandonegocios</t>
  </si>
  <si>
    <t>https://conectandonegocios.com</t>
  </si>
  <si>
    <t>COO - Operations Director</t>
  </si>
  <si>
    <t>Escala Capital</t>
  </si>
  <si>
    <t>enrique.neira@escalacapital.com.co</t>
  </si>
  <si>
    <t>http://www.linkedin.com/in/enrique-neira-buitrago</t>
  </si>
  <si>
    <t>http://www.linkedin.com/company/escalacapital</t>
  </si>
  <si>
    <t>https://escalacapital.com.co</t>
  </si>
  <si>
    <t>Co-founder / Director</t>
  </si>
  <si>
    <t>INMOBO</t>
  </si>
  <si>
    <t>juancamilo@inmobo.co</t>
  </si>
  <si>
    <t>http://www.linkedin.com/in/juancamilo</t>
  </si>
  <si>
    <t>http://www.linkedin.com/company/inmoboflats</t>
  </si>
  <si>
    <t>https://inmobo.co</t>
  </si>
  <si>
    <t>CARROPAGO</t>
  </si>
  <si>
    <t>eduardo@carropago.com</t>
  </si>
  <si>
    <t>http://www.linkedin.com/in/eduardo-muller-85454a351</t>
  </si>
  <si>
    <t>http://www.linkedin.com/company/carropago</t>
  </si>
  <si>
    <t>https://carropago.com</t>
  </si>
  <si>
    <t>Angie</t>
  </si>
  <si>
    <t>Zentrack</t>
  </si>
  <si>
    <t>angie@zentrack.com.co</t>
  </si>
  <si>
    <t>http://www.linkedin.com/in/angieortegapico</t>
  </si>
  <si>
    <t>http://www.linkedin.com/company/zentrack-sol</t>
  </si>
  <si>
    <t>https://zentrack.com.co</t>
  </si>
  <si>
    <t>Subaru del Canal S.A</t>
  </si>
  <si>
    <t>jdshool@subaru.com.pa</t>
  </si>
  <si>
    <t>http://www.linkedin.com/in/juan-david-shool-duque-0b36b124</t>
  </si>
  <si>
    <t>http://www.linkedin.com/company/subarupanama</t>
  </si>
  <si>
    <t>https://subaru.com.pa</t>
  </si>
  <si>
    <t>CEO &amp; Cofounder Lappiz</t>
  </si>
  <si>
    <t>Lappiz</t>
  </si>
  <si>
    <t>eduardo.tamayo@lappiz.io</t>
  </si>
  <si>
    <t>http://www.linkedin.com/in/eduardo-tama</t>
  </si>
  <si>
    <t>http://www.linkedin.com/company/lappiz</t>
  </si>
  <si>
    <t>https://lappiz.io</t>
  </si>
  <si>
    <t>CEO and Co-founder of Grasshopper International</t>
  </si>
  <si>
    <t>Grasshopper agencia de estudios en el exterior</t>
  </si>
  <si>
    <t>sebastian@gi.com.co</t>
  </si>
  <si>
    <t>http://www.linkedin.com/in/sebastianbtos</t>
  </si>
  <si>
    <t>http://www.linkedin.com/company/grasshopperinternational</t>
  </si>
  <si>
    <t>https://grasshopperstudy.com</t>
  </si>
  <si>
    <t>Saldada</t>
  </si>
  <si>
    <t>jj@saldada.com</t>
  </si>
  <si>
    <t>http://www.linkedin.com/in/juan-j-palacio-d-854164227</t>
  </si>
  <si>
    <t>http://www.linkedin.com/company/saldada</t>
  </si>
  <si>
    <t>https://saldada.com</t>
  </si>
  <si>
    <t>Sales Guru (Head of Sales)</t>
  </si>
  <si>
    <t>AIRAWA COLOMBIA</t>
  </si>
  <si>
    <t>alejandro@airawa.life</t>
  </si>
  <si>
    <t>http://www.linkedin.com/in/alejandro-c%c3%bajar-tovar-202635a0</t>
  </si>
  <si>
    <t>http://www.linkedin.com/company/airawa-colombia</t>
  </si>
  <si>
    <t>https://airawa.life</t>
  </si>
  <si>
    <t>hackÜ</t>
  </si>
  <si>
    <t>simon.bravo@hacku.com</t>
  </si>
  <si>
    <t>http://www.linkedin.com/in/sim%c3%b3n-bravo-sierra-5723a2260</t>
  </si>
  <si>
    <t>http://www.linkedin.com/company/hacku-educacion</t>
  </si>
  <si>
    <t>https://hacku.com</t>
  </si>
  <si>
    <t>CEO - Socio Fundador</t>
  </si>
  <si>
    <t>FELICIA CAPITAL</t>
  </si>
  <si>
    <t>andresrobayo@feliciacapital.com</t>
  </si>
  <si>
    <t>http://www.linkedin.com/in/andres-robayo</t>
  </si>
  <si>
    <t>http://www.linkedin.com/company/felicia-capital</t>
  </si>
  <si>
    <t>https://feliciacapital.com</t>
  </si>
  <si>
    <t>Salud Virtual B &amp; G</t>
  </si>
  <si>
    <t>coor.consultoria@forjarsalud.com</t>
  </si>
  <si>
    <t>http://www.linkedin.com/in/carlos-bernal-1980</t>
  </si>
  <si>
    <t>http://www.linkedin.com/company/salud-virtual-b-g</t>
  </si>
  <si>
    <t>https://forjarsalud.com.co</t>
  </si>
  <si>
    <t>Zabio</t>
  </si>
  <si>
    <t>luis@surefx.xyz</t>
  </si>
  <si>
    <t>http://www.linkedin.com/in/luisiregui</t>
  </si>
  <si>
    <t>http://www.linkedin.com/company/zabioapp</t>
  </si>
  <si>
    <t>https://zabio.xyz</t>
  </si>
  <si>
    <t>Raiza</t>
  </si>
  <si>
    <t>Laboratorio de Metrología Biomédica</t>
  </si>
  <si>
    <t>raiza.caro@metandcal.com.co</t>
  </si>
  <si>
    <t>http://www.linkedin.com/in/raiza-caro-romero</t>
  </si>
  <si>
    <t>http://www.linkedin.com/company/laboratorio-de-metrolog%c3%ada-biom%c3%a9dica-met-cal</t>
  </si>
  <si>
    <t>https://metandcal.com</t>
  </si>
  <si>
    <t>Juan Diego</t>
  </si>
  <si>
    <t>Capta</t>
  </si>
  <si>
    <t>juandiego@capta.co</t>
  </si>
  <si>
    <t>http://www.linkedin.com/in/juan-diego-arango-895480203</t>
  </si>
  <si>
    <t>http://www.linkedin.com/company/captasoftware</t>
  </si>
  <si>
    <t>https://capta.co</t>
  </si>
  <si>
    <t>AIR Limitada</t>
  </si>
  <si>
    <t>julian.merlano@airlimitada.com</t>
  </si>
  <si>
    <t>http://www.linkedin.com/in/julian-merlano</t>
  </si>
  <si>
    <t>http://www.linkedin.com/company/air-limitada</t>
  </si>
  <si>
    <t>https://airlimitada.com</t>
  </si>
  <si>
    <t>CEO Hoko Dropshipping Ecommerce</t>
  </si>
  <si>
    <t>Hoko</t>
  </si>
  <si>
    <t>fredy.lopez@hoko.com.co</t>
  </si>
  <si>
    <t>http://www.linkedin.com/in/fredy-lopez-gutierrez-3b049b20</t>
  </si>
  <si>
    <t>http://www.linkedin.com/company/hokosoftware</t>
  </si>
  <si>
    <t>https://hoko.com.co</t>
  </si>
  <si>
    <t>Vitad</t>
  </si>
  <si>
    <t>adiaz@vitad.com.co</t>
  </si>
  <si>
    <t>http://www.linkedin.com/in/andresdk</t>
  </si>
  <si>
    <t>http://www.linkedin.com/company/vitad</t>
  </si>
  <si>
    <t>https://vitad.com.co</t>
  </si>
  <si>
    <t>Managing Director &amp; Co-Founder</t>
  </si>
  <si>
    <t>Vibe Andina</t>
  </si>
  <si>
    <t>mherrera@vibeandina.com</t>
  </si>
  <si>
    <t>http://www.linkedin.com/in/miguelherrera83</t>
  </si>
  <si>
    <t>http://www.linkedin.com/company/vibe-andina</t>
  </si>
  <si>
    <t>https://vibeandina.com</t>
  </si>
  <si>
    <t>ana@teiainvest.co</t>
  </si>
  <si>
    <t>http://www.linkedin.com/in/ana-acefe</t>
  </si>
  <si>
    <t>Stiven</t>
  </si>
  <si>
    <t>Head of Product &amp; Co-Founder</t>
  </si>
  <si>
    <t>GuruHotel</t>
  </si>
  <si>
    <t>stiven@guruhotel.com</t>
  </si>
  <si>
    <t>http://www.linkedin.com/in/stiven-martinez-30b42363</t>
  </si>
  <si>
    <t>http://www.linkedin.com/company/guruhotel</t>
  </si>
  <si>
    <t>https://guruhotel.com</t>
  </si>
  <si>
    <t>Kateryne</t>
  </si>
  <si>
    <t>helppeople</t>
  </si>
  <si>
    <t>kmaguirre@helppeoplecloud.com</t>
  </si>
  <si>
    <t>http://www.linkedin.com/in/kateryne-monz%c3%b3n</t>
  </si>
  <si>
    <t>http://www.linkedin.com/company/helppeoplecloud</t>
  </si>
  <si>
    <t>https://helppeoplecloud.com</t>
  </si>
  <si>
    <t>Iwana Ventures</t>
  </si>
  <si>
    <t>droa@iwana.vc</t>
  </si>
  <si>
    <t>http://www.linkedin.com/in/dsroa</t>
  </si>
  <si>
    <t>http://www.linkedin.com/company/iwana-ventures</t>
  </si>
  <si>
    <t>https://iwana.vc</t>
  </si>
  <si>
    <t>Co - Founder &amp; COO</t>
  </si>
  <si>
    <t>david@sinintermediarios.co</t>
  </si>
  <si>
    <t>http://www.linkedin.com/in/david-molina-traslavi%c3%b1a</t>
  </si>
  <si>
    <t>Paco</t>
  </si>
  <si>
    <t>Co-Founder &amp; Chief Creative Officer</t>
  </si>
  <si>
    <t>paco@diptongo.net</t>
  </si>
  <si>
    <t>http://www.linkedin.com/in/pacocepeda</t>
  </si>
  <si>
    <t>CEO de H3S</t>
  </si>
  <si>
    <t>H3S</t>
  </si>
  <si>
    <t>felipe.gonzalez@h3s.com.co</t>
  </si>
  <si>
    <t>http://www.linkedin.com/in/felipe-gonzalez-garzon-a2455b48</t>
  </si>
  <si>
    <t>http://www.linkedin.com/company/h3s-colombia</t>
  </si>
  <si>
    <t>https://h3s.com.co</t>
  </si>
  <si>
    <t>TENTEN</t>
  </si>
  <si>
    <t>jorge.corchuelo@tenten.com.co</t>
  </si>
  <si>
    <t>http://www.linkedin.com/in/jorge-corchuelo-25b8245b</t>
  </si>
  <si>
    <t>http://www.linkedin.com/company/grupo-mensajes-de-voz-sas</t>
  </si>
  <si>
    <t>https://tenten.com.co</t>
  </si>
  <si>
    <t>Profit Consultorías</t>
  </si>
  <si>
    <t>lucasbarrera@profitconsultoria.com.co</t>
  </si>
  <si>
    <t>http://www.linkedin.com/in/lucas-ricardo-barrera-quevedo-745088309</t>
  </si>
  <si>
    <t>http://www.linkedin.com/company/profit-consultorias</t>
  </si>
  <si>
    <t>https://profitconsultoria.com.co</t>
  </si>
  <si>
    <t>Libertat</t>
  </si>
  <si>
    <t>sergiodc@libertat.co</t>
  </si>
  <si>
    <t>http://www.linkedin.com/in/sergiodiazgranadoscruz</t>
  </si>
  <si>
    <t>http://www.linkedin.com/company/libertateducacionfinanciera</t>
  </si>
  <si>
    <t>https://libertat.co</t>
  </si>
  <si>
    <t>Co-founder (T-mapp Group)</t>
  </si>
  <si>
    <t>T-mapp</t>
  </si>
  <si>
    <t>alejandro@t-mapp.com</t>
  </si>
  <si>
    <t>http://www.linkedin.com/in/alejandro-arevalo-776a4357</t>
  </si>
  <si>
    <t>http://www.linkedin.com/company/t-mapp</t>
  </si>
  <si>
    <t>https://t-mapp.com</t>
  </si>
  <si>
    <t>Asend</t>
  </si>
  <si>
    <t>http://www.linkedin.com/in/mariajosetasconmartinez</t>
  </si>
  <si>
    <t>http://www.linkedin.com/company/asendestrategico</t>
  </si>
  <si>
    <t>VD Consulting</t>
  </si>
  <si>
    <t>veronicaduarte@vdconsulting.com.co</t>
  </si>
  <si>
    <t>http://www.linkedin.com/in/veronica-duarte-c</t>
  </si>
  <si>
    <t>http://www.linkedin.com/company/vd-consulting-co</t>
  </si>
  <si>
    <t>https://vdconsulting.com</t>
  </si>
  <si>
    <t>Hoitsu</t>
  </si>
  <si>
    <t>cristian@hoitsu.com</t>
  </si>
  <si>
    <t>http://www.linkedin.com/in/pastuxso</t>
  </si>
  <si>
    <t>http://www.linkedin.com/company/hoitsu</t>
  </si>
  <si>
    <t>https://hoitsu.com</t>
  </si>
  <si>
    <t>Anyelo</t>
  </si>
  <si>
    <t>Founder &amp; Co-CEO ACV Digital</t>
  </si>
  <si>
    <t>ACV Digital</t>
  </si>
  <si>
    <t>anruiz@acvorg.com</t>
  </si>
  <si>
    <t>http://www.linkedin.com/in/anyelo-ruiz-09891ba5</t>
  </si>
  <si>
    <t>http://www.linkedin.com/company/acv-digital</t>
  </si>
  <si>
    <t>https://acvorg.com</t>
  </si>
  <si>
    <t>Castor</t>
  </si>
  <si>
    <t>juanandres.ochoa@castor.com.co</t>
  </si>
  <si>
    <t>http://www.linkedin.com/in/juanandres-ochoa</t>
  </si>
  <si>
    <t>http://www.linkedin.com/company/castor-evolucion-digital</t>
  </si>
  <si>
    <t>https://castor.com.co</t>
  </si>
  <si>
    <t>Seres Humanos Realizados</t>
  </si>
  <si>
    <t>julian.mojica@sereshumanosrealizados.com</t>
  </si>
  <si>
    <t>http://www.linkedin.com/in/julianmojicap</t>
  </si>
  <si>
    <t>http://www.linkedin.com/company/sereshumanosrealizados</t>
  </si>
  <si>
    <t>https://sereshumanosrealizados.com</t>
  </si>
  <si>
    <t>Grupo Ahumados</t>
  </si>
  <si>
    <t>jorge@ahumados.co</t>
  </si>
  <si>
    <t>http://www.linkedin.com/in/jorgealbertovargasjimenez</t>
  </si>
  <si>
    <t>http://www.linkedin.com/company/grupo-ahumados</t>
  </si>
  <si>
    <t>https://ahumados.co</t>
  </si>
  <si>
    <t>Entrenadora Corporativa en Ventas y Liderazgo - CEO en Agile Digital</t>
  </si>
  <si>
    <t>Agile Digital</t>
  </si>
  <si>
    <t>karen.coba@agiledigitalventures.com</t>
  </si>
  <si>
    <t>http://www.linkedin.com/in/karencobagallego</t>
  </si>
  <si>
    <t>http://www.linkedin.com/company/agiledigitalgrupo</t>
  </si>
  <si>
    <t>https://agiledigitalventures.com</t>
  </si>
  <si>
    <t>BIT</t>
  </si>
  <si>
    <t>fredy.camargo@bit-c.com.co</t>
  </si>
  <si>
    <t>http://www.linkedin.com/in/fredy-enrique-camargo-soler212</t>
  </si>
  <si>
    <t>http://www.linkedin.com/company/business-it-consulting</t>
  </si>
  <si>
    <t>https://bit-c.com.co</t>
  </si>
  <si>
    <t>Caro</t>
  </si>
  <si>
    <t>Co-Founder &amp; Co-Manager</t>
  </si>
  <si>
    <t>Comunidad Learning Latam</t>
  </si>
  <si>
    <t>comunidad@learninglatam.com</t>
  </si>
  <si>
    <t>http://www.linkedin.com/in/caro-posso</t>
  </si>
  <si>
    <t>http://www.linkedin.com/company/learning-latam</t>
  </si>
  <si>
    <t>https://learninglatam.com</t>
  </si>
  <si>
    <t>Partner / CEO</t>
  </si>
  <si>
    <t>Power Quality Solutions</t>
  </si>
  <si>
    <t>avillamizar@pqs.com.co</t>
  </si>
  <si>
    <t>http://www.linkedin.com/in/adriana-villamizar</t>
  </si>
  <si>
    <t>http://www.linkedin.com/company/pqsdecolombia</t>
  </si>
  <si>
    <t>https://pqs.com.co</t>
  </si>
  <si>
    <t>CEO at Maas</t>
  </si>
  <si>
    <t>Maas</t>
  </si>
  <si>
    <t>juanfelipe@maasapp.co</t>
  </si>
  <si>
    <t>http://www.linkedin.com/in/juanfelipecastano</t>
  </si>
  <si>
    <t>http://www.linkedin.com/company/maas-app</t>
  </si>
  <si>
    <t>https://maasapp.co</t>
  </si>
  <si>
    <t>Glasst Innovation Company</t>
  </si>
  <si>
    <t>juan@glasst.co</t>
  </si>
  <si>
    <t>http://www.linkedin.com/in/juan-camilo-botero-4bb125bb</t>
  </si>
  <si>
    <t>http://www.linkedin.com/company/glasstinnovationcompany</t>
  </si>
  <si>
    <t>https://glasst.co</t>
  </si>
  <si>
    <t>Co-Founder / COO</t>
  </si>
  <si>
    <t>Estudio PLURAL</t>
  </si>
  <si>
    <t>juan@estudio-plural.co</t>
  </si>
  <si>
    <t>http://www.linkedin.com/in/juancamulford</t>
  </si>
  <si>
    <t>http://www.linkedin.com/company/plural-estudio</t>
  </si>
  <si>
    <t>https://estudio-plural.co</t>
  </si>
  <si>
    <t>Simplicity Media</t>
  </si>
  <si>
    <t>julian@juliancastaneda.net</t>
  </si>
  <si>
    <t>http://www.linkedin.com/in/juliancastanedam</t>
  </si>
  <si>
    <t>http://www.linkedin.com/company/simplicity-media-llc</t>
  </si>
  <si>
    <t>https://simplicitymedia.co</t>
  </si>
  <si>
    <t>andres.vargas@raddarstudios.com</t>
  </si>
  <si>
    <t>http://www.linkedin.com/in/ingandresvargas</t>
  </si>
  <si>
    <t>Director Técnico y Operaciones - CO-founder</t>
  </si>
  <si>
    <t>AxiaTech</t>
  </si>
  <si>
    <t>jose.martinez@axiatech.com.co</t>
  </si>
  <si>
    <t>http://www.linkedin.com/in/jose-fernando-martinez-osorio-81b660103</t>
  </si>
  <si>
    <t>http://www.linkedin.com/company/axia-tech-col</t>
  </si>
  <si>
    <t>https://axiatech.com.co</t>
  </si>
  <si>
    <t>Ilumec</t>
  </si>
  <si>
    <t>jacosta@ilumec.com</t>
  </si>
  <si>
    <t>http://www.linkedin.com/in/javier-acosta-026936191</t>
  </si>
  <si>
    <t>http://www.linkedin.com/company/ilumec</t>
  </si>
  <si>
    <t>https://ilumec.com</t>
  </si>
  <si>
    <t>Yoli</t>
  </si>
  <si>
    <t>ASOCIACION COLOMBIA RETAIL</t>
  </si>
  <si>
    <t>mercadeo@colombiaretail.com</t>
  </si>
  <si>
    <t>http://www.linkedin.com/in/yoli-avalos</t>
  </si>
  <si>
    <t>http://www.linkedin.com/company/colombiaretail</t>
  </si>
  <si>
    <t>https://colombiaretail.com</t>
  </si>
  <si>
    <t>Medium Coders</t>
  </si>
  <si>
    <t>ahernandez@mediumcoders.com</t>
  </si>
  <si>
    <t>http://www.linkedin.com/in/alberto-hernandez-012b4884</t>
  </si>
  <si>
    <t>http://www.linkedin.com/company/medium-coders</t>
  </si>
  <si>
    <t>https://mediumcoders.com</t>
  </si>
  <si>
    <t>Founder and Senior Consultant</t>
  </si>
  <si>
    <t>EB Group Colombia</t>
  </si>
  <si>
    <t>aescobar@ebgroup.com.co</t>
  </si>
  <si>
    <t>http://www.linkedin.com/in/alejandro-escobar-suarez</t>
  </si>
  <si>
    <t>http://www.linkedin.com/company/ebgroup</t>
  </si>
  <si>
    <t>https://ebgroup.com.co</t>
  </si>
  <si>
    <t>Valtadria Group</t>
  </si>
  <si>
    <t>acastro@andeantrade.com.co</t>
  </si>
  <si>
    <t>http://www.linkedin.com/in/adriana-castro-p%c3%a9rez-4b9b4923</t>
  </si>
  <si>
    <t>http://www.linkedin.com/company/valtadriagroup</t>
  </si>
  <si>
    <t>https://valtadria.com</t>
  </si>
  <si>
    <t>Yo Aprendo</t>
  </si>
  <si>
    <t>rua@aprendo.website</t>
  </si>
  <si>
    <t>http://www.linkedin.com/in/maria-elena-rua-beltran</t>
  </si>
  <si>
    <t>http://www.linkedin.com/company/aprendo-website</t>
  </si>
  <si>
    <t>https://aprendo.website</t>
  </si>
  <si>
    <t>Superbeauty</t>
  </si>
  <si>
    <t>marialejandra@lezag.com</t>
  </si>
  <si>
    <t>http://www.linkedin.com/in/marialegonzalez</t>
  </si>
  <si>
    <t>http://www.linkedin.com/company/superbeauty</t>
  </si>
  <si>
    <t>https://superbeauty.com.co</t>
  </si>
  <si>
    <t>CEO - Co-Founder Trading Plus Latam</t>
  </si>
  <si>
    <t>Trading Plus Latam</t>
  </si>
  <si>
    <t>cayala@tradingpluslatam.com</t>
  </si>
  <si>
    <t>http://www.linkedin.com/in/carlosayalaortega</t>
  </si>
  <si>
    <t>http://www.linkedin.com/company/tradingpluslatam</t>
  </si>
  <si>
    <t>https://tradingpluslatam.com</t>
  </si>
  <si>
    <t>Acting CEO</t>
  </si>
  <si>
    <t>Waste2Worth Latam</t>
  </si>
  <si>
    <t>joaquin@w2wglobal.com</t>
  </si>
  <si>
    <t>http://www.linkedin.com/in/joaqu%c3%adn-caraballo-rivas-9b7b2616</t>
  </si>
  <si>
    <t>http://www.linkedin.com/company/waste2worth</t>
  </si>
  <si>
    <t>https://w2wglobal.com</t>
  </si>
  <si>
    <t>Gesthion Organizacional</t>
  </si>
  <si>
    <t>jose.alfonso@gesthion.com</t>
  </si>
  <si>
    <t>http://www.linkedin.com/in/josemiguelalfonsofrancoheadhunteroutsourcingnominaseleccion</t>
  </si>
  <si>
    <t>http://www.linkedin.com/company/gesthion-organizacional</t>
  </si>
  <si>
    <t>https://gesthion.com</t>
  </si>
  <si>
    <t>Anamaria</t>
  </si>
  <si>
    <t>Founder &amp; Purpose Guardian</t>
  </si>
  <si>
    <t>Re-Vision Academy</t>
  </si>
  <si>
    <t>anamaria@re-vision.academy</t>
  </si>
  <si>
    <t>http://www.linkedin.com/in/anamariaristizabal</t>
  </si>
  <si>
    <t>http://www.linkedin.com/company/re-vision-academy</t>
  </si>
  <si>
    <t>https://re-vision.academy</t>
  </si>
  <si>
    <t>Operations Manager (COO)</t>
  </si>
  <si>
    <t>Axona Services &amp; Consulting S.A.S</t>
  </si>
  <si>
    <t>sergio.martinez@axona.org</t>
  </si>
  <si>
    <t>http://www.linkedin.com/in/sergio-javier-martinez-ramirez</t>
  </si>
  <si>
    <t>http://www.linkedin.com/company/axona-org</t>
  </si>
  <si>
    <t>https://eygltda.com</t>
  </si>
  <si>
    <t>ManyRequests</t>
  </si>
  <si>
    <t>gabriel@manyrequests.com</t>
  </si>
  <si>
    <t>http://www.linkedin.com/in/gabolecointere</t>
  </si>
  <si>
    <t>http://www.linkedin.com/company/manyrequests</t>
  </si>
  <si>
    <t>https://manyrequests.com</t>
  </si>
  <si>
    <t>Director Marketing e Innovation</t>
  </si>
  <si>
    <t>Vectis group</t>
  </si>
  <si>
    <t>innovacion@cdrasociadossas.com</t>
  </si>
  <si>
    <t>http://www.linkedin.com/in/christian-alonso-d%c3%adaz-carvajal-stratega-negocios</t>
  </si>
  <si>
    <t>http://www.linkedin.com/company/cdr-asociasos-sas</t>
  </si>
  <si>
    <t>https://cdrasociadossas.com</t>
  </si>
  <si>
    <t>Founder &amp; Board Member</t>
  </si>
  <si>
    <t>SynergyCorp SAS</t>
  </si>
  <si>
    <t>fernando@synergycorp.com.co</t>
  </si>
  <si>
    <t>http://www.linkedin.com/in/fernando-ortiz-pineda-mba-esade-business-school-6240b654</t>
  </si>
  <si>
    <t>http://www.linkedin.com/company/synergycorp-sas</t>
  </si>
  <si>
    <t>https://synergycorp.com.co</t>
  </si>
  <si>
    <t>Augmentstaff.org</t>
  </si>
  <si>
    <t>rfontalvo@augmentstaff.org</t>
  </si>
  <si>
    <t>http://www.linkedin.com/in/rodolfo-fontalvo-0b5197263</t>
  </si>
  <si>
    <t>http://www.linkedin.com/company/augmentstaff</t>
  </si>
  <si>
    <t>https://augmentstaff.org</t>
  </si>
  <si>
    <t>Evert</t>
  </si>
  <si>
    <t>Compense</t>
  </si>
  <si>
    <t>evert@compense.co</t>
  </si>
  <si>
    <t>http://www.linkedin.com/in/evertmoreno</t>
  </si>
  <si>
    <t>http://www.linkedin.com/company/compense-co</t>
  </si>
  <si>
    <t>https://compense.co</t>
  </si>
  <si>
    <t>Lucy</t>
  </si>
  <si>
    <t>Directora Desarrollo Negocios y Marketing</t>
  </si>
  <si>
    <t>Be.Change Consulting</t>
  </si>
  <si>
    <t>lucy.barrios@bechangeconsulting.net</t>
  </si>
  <si>
    <t>http://www.linkedin.com/in/lucy-barrios</t>
  </si>
  <si>
    <t>http://www.linkedin.com/company/bechangeconsulting</t>
  </si>
  <si>
    <t>https://bechangeconsulting.net</t>
  </si>
  <si>
    <t>Jason</t>
  </si>
  <si>
    <t>SPIRITLINC</t>
  </si>
  <si>
    <t>jason@spiritlinc.com</t>
  </si>
  <si>
    <t>http://www.linkedin.com/in/jwthehealer</t>
  </si>
  <si>
    <t>http://www.linkedin.com/company/spiritlinc</t>
  </si>
  <si>
    <t>https://spiritlinc.com</t>
  </si>
  <si>
    <t>Energex S.A</t>
  </si>
  <si>
    <t>g_gomez@energex.com.co</t>
  </si>
  <si>
    <t>http://www.linkedin.com/in/gustavoagomezb</t>
  </si>
  <si>
    <t>http://www.linkedin.com/company/energexsa</t>
  </si>
  <si>
    <t>https://energex.com.co</t>
  </si>
  <si>
    <t>CTO &amp; Founder</t>
  </si>
  <si>
    <t>CREANGEL LTDA</t>
  </si>
  <si>
    <t>angelo@creangel.com</t>
  </si>
  <si>
    <t>http://www.linkedin.com/in/angelo-rodriguez-8118b212</t>
  </si>
  <si>
    <t>http://www.linkedin.com/company/creangel</t>
  </si>
  <si>
    <t>https://creangel.com</t>
  </si>
  <si>
    <t>Chief Operating Officer - Director</t>
  </si>
  <si>
    <t>MY ELECTRICOS SAS</t>
  </si>
  <si>
    <t>g.ortiz@myelectricos.com</t>
  </si>
  <si>
    <t>http://www.linkedin.com/in/gustavo-ortiz-fl%c3%b3rez-663b0533</t>
  </si>
  <si>
    <t>http://www.linkedin.com/company/my-electricos-sas</t>
  </si>
  <si>
    <t>https://myelectricos.com</t>
  </si>
  <si>
    <t>Katerin</t>
  </si>
  <si>
    <t>Natupla</t>
  </si>
  <si>
    <t>katerin@natupla.com</t>
  </si>
  <si>
    <t>http://www.linkedin.com/in/katerincarrillo</t>
  </si>
  <si>
    <t>http://www.linkedin.com/company/natupla</t>
  </si>
  <si>
    <t>https://natupla.com</t>
  </si>
  <si>
    <t>Signa</t>
  </si>
  <si>
    <t>andres.argoti@signa.com.co</t>
  </si>
  <si>
    <t>http://www.linkedin.com/in/andres-argoti</t>
  </si>
  <si>
    <t>http://www.linkedin.com/company/signaip</t>
  </si>
  <si>
    <t>https://signa.com.co</t>
  </si>
  <si>
    <t>Emerald</t>
  </si>
  <si>
    <t>cperez@hireemerald.com</t>
  </si>
  <si>
    <t>http://www.linkedin.com/in/camilo-p%c3%a9rez-82a27515a</t>
  </si>
  <si>
    <t>http://www.linkedin.com/company/hire-emerald</t>
  </si>
  <si>
    <t>https://hireemerald.com</t>
  </si>
  <si>
    <t>Lia</t>
  </si>
  <si>
    <t>CODIPLAX S.A</t>
  </si>
  <si>
    <t>lia.vargas@codiplax.com.co</t>
  </si>
  <si>
    <t>http://www.linkedin.com/in/lia-raquel-vargas-de-la-hoz</t>
  </si>
  <si>
    <t>http://www.linkedin.com/company/codiplax</t>
  </si>
  <si>
    <t>https://codiplax.com.co</t>
  </si>
  <si>
    <t>plastics</t>
  </si>
  <si>
    <t>PagaSul</t>
  </si>
  <si>
    <t>enrique.c@pagasul.com</t>
  </si>
  <si>
    <t>http://www.linkedin.com/in/enrique-chac%c3%b3n-7a2561221</t>
  </si>
  <si>
    <t>http://www.linkedin.com/company/pagasullatam</t>
  </si>
  <si>
    <t>https://pagasul.com</t>
  </si>
  <si>
    <t>federico.rodriguez@fulppi.com</t>
  </si>
  <si>
    <t>http://www.linkedin.com/in/doctorfede</t>
  </si>
  <si>
    <t>Nextstop Group</t>
  </si>
  <si>
    <t>mauricio.echandia@nextstop.com.co</t>
  </si>
  <si>
    <t>http://www.linkedin.com/in/mauricio-echandia-zuluaga</t>
  </si>
  <si>
    <t>http://www.linkedin.com/company/nextstop-cargo</t>
  </si>
  <si>
    <t>https://nextstopgroup.com</t>
  </si>
  <si>
    <t>epidermique sa</t>
  </si>
  <si>
    <t>jorge.leal@epidermique.com</t>
  </si>
  <si>
    <t>http://www.linkedin.com/in/jorge-leal-30855415</t>
  </si>
  <si>
    <t>http://www.linkedin.com/company/epidermique-sa</t>
  </si>
  <si>
    <t>https://epidermique.com</t>
  </si>
  <si>
    <t>Corporate VP &amp; Business Development Director</t>
  </si>
  <si>
    <t>MBA</t>
  </si>
  <si>
    <t>cboshell@mbanetworks.tv</t>
  </si>
  <si>
    <t>http://www.linkedin.com/in/carlos-boshell-1991815</t>
  </si>
  <si>
    <t>http://www.linkedin.com/company/mbanetworks</t>
  </si>
  <si>
    <t>https://mbanetworks.tv</t>
  </si>
  <si>
    <t>Kris</t>
  </si>
  <si>
    <t>Incomelec</t>
  </si>
  <si>
    <t>krisdesutter@incomelec.com</t>
  </si>
  <si>
    <t>http://www.linkedin.com/in/kris-de-sutter-68a09110a</t>
  </si>
  <si>
    <t>http://www.linkedin.com/company/incomelec-s.a.s.</t>
  </si>
  <si>
    <t>https://incomelec.com</t>
  </si>
  <si>
    <t>Psiris</t>
  </si>
  <si>
    <t>veronica@psiris.co</t>
  </si>
  <si>
    <t>http://www.linkedin.com/in/veronica-marquez-barraquer</t>
  </si>
  <si>
    <t>http://www.linkedin.com/company/psiris</t>
  </si>
  <si>
    <t>https://psiris.co</t>
  </si>
  <si>
    <t>OMBIA</t>
  </si>
  <si>
    <t>hceledon@ombia.co</t>
  </si>
  <si>
    <t>http://www.linkedin.com/in/hernando-celed%c3%b3n-52370b80</t>
  </si>
  <si>
    <t>http://www.linkedin.com/company/ombiaco</t>
  </si>
  <si>
    <t>https://ombia.co</t>
  </si>
  <si>
    <t>Binstarh</t>
  </si>
  <si>
    <t>milton.galvan@puxles.com</t>
  </si>
  <si>
    <t>http://www.linkedin.com/in/miltonmgalvanm</t>
  </si>
  <si>
    <t>http://www.linkedin.com/company/binstarh</t>
  </si>
  <si>
    <t>https://binstarh.com</t>
  </si>
  <si>
    <t>Periplia</t>
  </si>
  <si>
    <t>juan.pizarro@periplia.com</t>
  </si>
  <si>
    <t>http://www.linkedin.com/in/juanantoniopizarro</t>
  </si>
  <si>
    <t>http://www.linkedin.com/company/periplia</t>
  </si>
  <si>
    <t>https://periplia.com</t>
  </si>
  <si>
    <t>Director de Marketing y Desarrollo Comercial</t>
  </si>
  <si>
    <t>MEVI SALUD IPS</t>
  </si>
  <si>
    <t>agrosso@ipsmevi.com</t>
  </si>
  <si>
    <t>http://www.linkedin.com/in/andreagrossohz</t>
  </si>
  <si>
    <t>http://www.linkedin.com/company/mevi-salud-ips</t>
  </si>
  <si>
    <t>https://ipsmevi.com</t>
  </si>
  <si>
    <t>Co-Fundador y CEO</t>
  </si>
  <si>
    <t>Pangea Natural Products</t>
  </si>
  <si>
    <t>smendoza@pangeanatural.co</t>
  </si>
  <si>
    <t>http://www.linkedin.com/in/smendoza89</t>
  </si>
  <si>
    <t>http://www.linkedin.com/company/pangea-natural-products</t>
  </si>
  <si>
    <t>https://pangeanatural.co</t>
  </si>
  <si>
    <t>Neuttro Co</t>
  </si>
  <si>
    <t>valeria@neuttro.co</t>
  </si>
  <si>
    <t>http://www.linkedin.com/in/valeriamejia</t>
  </si>
  <si>
    <t>http://www.linkedin.com/company/neuttroco</t>
  </si>
  <si>
    <t>https://neuttro.co</t>
  </si>
  <si>
    <t>Uldi</t>
  </si>
  <si>
    <t>Director Mercadeo</t>
  </si>
  <si>
    <t>SISAP</t>
  </si>
  <si>
    <t>uldi.h@onasystems.net</t>
  </si>
  <si>
    <t>http://www.linkedin.com/in/uldihiguera</t>
  </si>
  <si>
    <t>http://www.linkedin.com/company/sisapcol</t>
  </si>
  <si>
    <t>https://onasystems.net</t>
  </si>
  <si>
    <t>Group Strategy Director</t>
  </si>
  <si>
    <t>INFINITY EDUCATION -Estudios en el exterior-</t>
  </si>
  <si>
    <t>rbastidas@infinityeducation.net</t>
  </si>
  <si>
    <t>http://www.linkedin.com/in/rodrigo-bastidas-guerra-991b768</t>
  </si>
  <si>
    <t>http://www.linkedin.com/company/infinity-education-estudios-en-el-exterior</t>
  </si>
  <si>
    <t>https://infinityeducation.net</t>
  </si>
  <si>
    <t>Kmeleon</t>
  </si>
  <si>
    <t>esteban@kmeleon.tech</t>
  </si>
  <si>
    <t>http://www.linkedin.com/in/estebanpalma</t>
  </si>
  <si>
    <t>http://www.linkedin.com/company/kmeleontech</t>
  </si>
  <si>
    <t>https://kmeleon.tech</t>
  </si>
  <si>
    <t>Unisabia</t>
  </si>
  <si>
    <t>nya@unisabia.com</t>
  </si>
  <si>
    <t>http://www.linkedin.com/in/estefania-valenciar</t>
  </si>
  <si>
    <t>http://www.linkedin.com/company/unisabialms</t>
  </si>
  <si>
    <t>https://unisabia.com</t>
  </si>
  <si>
    <t>IntegraTI</t>
  </si>
  <si>
    <t>carlos.herrera@integrati.co</t>
  </si>
  <si>
    <t>http://www.linkedin.com/in/carlosarturoherrera</t>
  </si>
  <si>
    <t>http://www.linkedin.com/company/integrati</t>
  </si>
  <si>
    <t>https://integrati.co</t>
  </si>
  <si>
    <t>GeniePM</t>
  </si>
  <si>
    <t>julian@genie.pm</t>
  </si>
  <si>
    <t>http://www.linkedin.com/in/julianamaya</t>
  </si>
  <si>
    <t>http://www.linkedin.com/company/geniepm</t>
  </si>
  <si>
    <t>https://genie.pm</t>
  </si>
  <si>
    <t>Angel</t>
  </si>
  <si>
    <t>Quiroga Law Office PLLC</t>
  </si>
  <si>
    <t>angel@quirogalawoffice.com</t>
  </si>
  <si>
    <t>http://www.linkedin.com/in/angelguerraa</t>
  </si>
  <si>
    <t>http://www.linkedin.com/company/quirogalawoffice</t>
  </si>
  <si>
    <t>https://quirogalawoffice.com</t>
  </si>
  <si>
    <t>Velino Foods</t>
  </si>
  <si>
    <t>jcaldas@velinogourmet.com</t>
  </si>
  <si>
    <t>http://www.linkedin.com/in/juancamilocaldasm</t>
  </si>
  <si>
    <t>http://www.linkedin.com/company/velinofoods</t>
  </si>
  <si>
    <t>https://velinofoods.com</t>
  </si>
  <si>
    <t>Alfredo</t>
  </si>
  <si>
    <t>Guama</t>
  </si>
  <si>
    <t>alfredo@laguama.com</t>
  </si>
  <si>
    <t>http://www.linkedin.com/in/alfredo-prieto</t>
  </si>
  <si>
    <t>http://www.linkedin.com/company/guamacard</t>
  </si>
  <si>
    <t>https://guamacard.com</t>
  </si>
  <si>
    <t>Banco De Empleo</t>
  </si>
  <si>
    <t>andres@bancodeempleo.com</t>
  </si>
  <si>
    <t>http://www.linkedin.com/in/andres-eduardo-moreno</t>
  </si>
  <si>
    <t>http://www.linkedin.com/company/banco-de-empleo</t>
  </si>
  <si>
    <t>https://bancodeempleo.com</t>
  </si>
  <si>
    <t>Solgenial</t>
  </si>
  <si>
    <t>rpradilla@solgenial.co</t>
  </si>
  <si>
    <t>http://www.linkedin.com/in/rafael-eduardo-pradilla-rueda-1748b2168</t>
  </si>
  <si>
    <t>http://www.linkedin.com/company/soluciones-geniales</t>
  </si>
  <si>
    <t>https://solgenial.co</t>
  </si>
  <si>
    <t>CEO - Colombia - Perú</t>
  </si>
  <si>
    <t>Camerfirma Colombia</t>
  </si>
  <si>
    <t>jose.medina@camerfirma.com.co</t>
  </si>
  <si>
    <t>http://www.linkedin.com/in/jose-fernando-medina-4a3b682a</t>
  </si>
  <si>
    <t>http://www.linkedin.com/company/camerfirmacolombia</t>
  </si>
  <si>
    <t>https://camerfirma.com.co</t>
  </si>
  <si>
    <t>Cuenta Mono</t>
  </si>
  <si>
    <t>juanca@cuentamono.com</t>
  </si>
  <si>
    <t>http://www.linkedin.com/in/juan-camilo-poveda</t>
  </si>
  <si>
    <t>http://www.linkedin.com/company/mono-la</t>
  </si>
  <si>
    <t>https://cuentamono.com</t>
  </si>
  <si>
    <t>mara@tpaga.co</t>
  </si>
  <si>
    <t>http://www.linkedin.com/in/marco-aramburo-9010a533</t>
  </si>
  <si>
    <t>doc-doc</t>
  </si>
  <si>
    <t>gabriel@doc-doc.com</t>
  </si>
  <si>
    <t>http://www.linkedin.com/in/gabriel-castillo-szpoganicz-doc-doc</t>
  </si>
  <si>
    <t>http://www.linkedin.com/company/docdoc-app</t>
  </si>
  <si>
    <t>https://doc-doc.com</t>
  </si>
  <si>
    <t>Leads&amp;Sales</t>
  </si>
  <si>
    <t>santiago@leadsandsalesco.com</t>
  </si>
  <si>
    <t>http://www.linkedin.com/in/santiago-romero-ab138b178</t>
  </si>
  <si>
    <t>http://www.linkedin.com/company/leads-sales</t>
  </si>
  <si>
    <t>https://leadsandsalesco.com</t>
  </si>
  <si>
    <t>apalacios@elementoalpha.com</t>
  </si>
  <si>
    <t>http://www.linkedin.com/in/andres-pacolombia</t>
  </si>
  <si>
    <t>Edward</t>
  </si>
  <si>
    <t>Finnecta</t>
  </si>
  <si>
    <t>edward@finnecta.co</t>
  </si>
  <si>
    <t>http://www.linkedin.com/in/edward-cogollo-v-871a762a</t>
  </si>
  <si>
    <t>http://www.linkedin.com/company/finnecta</t>
  </si>
  <si>
    <t>https://finnecta.co</t>
  </si>
  <si>
    <t>Co-Founder Analytics Manager</t>
  </si>
  <si>
    <t>Macrosig</t>
  </si>
  <si>
    <t>ejgarzon@macrosig.com</t>
  </si>
  <si>
    <t>http://www.linkedin.com/in/edward-javier-garz%c3%b3n-cort%c3%a9s-282437b2</t>
  </si>
  <si>
    <t>http://www.linkedin.com/company/macrosig</t>
  </si>
  <si>
    <t>https://macrosig.com</t>
  </si>
  <si>
    <t>Leah AI Test</t>
  </si>
  <si>
    <t>csardi@leahapp.com</t>
  </si>
  <si>
    <t>http://www.linkedin.com/in/camilo-sardi-827132134</t>
  </si>
  <si>
    <t>http://www.linkedin.com/company/leahai</t>
  </si>
  <si>
    <t>https://leahapp.com</t>
  </si>
  <si>
    <t>INNOMATIK S.A.S</t>
  </si>
  <si>
    <t>leonardo.manosalva@innomatik.co</t>
  </si>
  <si>
    <t>http://www.linkedin.com/in/leonardo-manosalva-cueto-58a15361</t>
  </si>
  <si>
    <t>http://www.linkedin.com/company/innomatiksas</t>
  </si>
  <si>
    <t>https://innomatik.co</t>
  </si>
  <si>
    <t>Henderson</t>
  </si>
  <si>
    <t>CEO Gerencia Tecnológica S.A.S.</t>
  </si>
  <si>
    <t>Gerencia Tecnológica S.A.S</t>
  </si>
  <si>
    <t>hmorales@gerenciatecnologica.com</t>
  </si>
  <si>
    <t>http://www.linkedin.com/in/henderson-morales-ba07a0124</t>
  </si>
  <si>
    <t>http://www.linkedin.com/company/gerencia-tecnol%c3%b3gica-s-a-s</t>
  </si>
  <si>
    <t>https://gerenciatecnologica.com</t>
  </si>
  <si>
    <t>Co-founder &amp; Growth Lead and Partnerships</t>
  </si>
  <si>
    <t>alvi@cawiapp.com</t>
  </si>
  <si>
    <t>http://www.linkedin.com/in/alvaro-stefanell</t>
  </si>
  <si>
    <t>General Manager / CEO</t>
  </si>
  <si>
    <t>Inventópolis</t>
  </si>
  <si>
    <t>inventopolislab@inventopolis.com.co</t>
  </si>
  <si>
    <t>http://www.linkedin.com/in/vivianahenao</t>
  </si>
  <si>
    <t>http://www.linkedin.com/company/inventopolis</t>
  </si>
  <si>
    <t>https://inventopolis.com.co</t>
  </si>
  <si>
    <t>Adn Educativa</t>
  </si>
  <si>
    <t>fernando.quijano@adneducativa.com</t>
  </si>
  <si>
    <t>http://www.linkedin.com/in/fernando-quijano-a11b07233</t>
  </si>
  <si>
    <t>http://www.linkedin.com/company/adn-educativa</t>
  </si>
  <si>
    <t>https://adneducativa.co</t>
  </si>
  <si>
    <t>Sales Director Zona Andina</t>
  </si>
  <si>
    <t>Handtmann Colombia SAS</t>
  </si>
  <si>
    <t>cristian.cascavita@handtmann.co</t>
  </si>
  <si>
    <t>http://www.linkedin.com/in/cristiancascavita-directorcomercial</t>
  </si>
  <si>
    <t>http://www.linkedin.com/company/handtmannandina</t>
  </si>
  <si>
    <t>https://handtmann.co</t>
  </si>
  <si>
    <t>TradeMate</t>
  </si>
  <si>
    <t>santiago.harker@trademate.tech</t>
  </si>
  <si>
    <t>http://www.linkedin.com/in/santiagoharker</t>
  </si>
  <si>
    <t>http://www.linkedin.com/company/tradematetech</t>
  </si>
  <si>
    <t>https://trademate.tech</t>
  </si>
  <si>
    <t>Efigenia</t>
  </si>
  <si>
    <t>efi@somosziro.com</t>
  </si>
  <si>
    <t>http://www.linkedin.com/in/efigenia-gutierrez-arango-a56ba174</t>
  </si>
  <si>
    <t>Nediar</t>
  </si>
  <si>
    <t>jdospina@nediar.com</t>
  </si>
  <si>
    <t>http://www.linkedin.com/in/jos%c3%a9-david-ospina-65a63719</t>
  </si>
  <si>
    <t>http://www.linkedin.com/company/nediar</t>
  </si>
  <si>
    <t>https://nediar.com</t>
  </si>
  <si>
    <t>Christophe</t>
  </si>
  <si>
    <t>Chief Executive Officer / Partner</t>
  </si>
  <si>
    <t>LATAM Media</t>
  </si>
  <si>
    <t>christophe.cahen@latammedia.net</t>
  </si>
  <si>
    <t>http://www.linkedin.com/in/christophe-cahen-316b442b</t>
  </si>
  <si>
    <t>http://www.linkedin.com/company/latam-media</t>
  </si>
  <si>
    <t>https://latammedia.net</t>
  </si>
  <si>
    <t>Co-Founder &amp; Projects VP</t>
  </si>
  <si>
    <t>Origen BPO</t>
  </si>
  <si>
    <t>cvelasquez@origenbpo.com</t>
  </si>
  <si>
    <t>http://www.linkedin.com/in/camilo-velasquez-uribe-a65a7a35</t>
  </si>
  <si>
    <t>http://www.linkedin.com/company/origenbpo</t>
  </si>
  <si>
    <t>https://origenbpo.com</t>
  </si>
  <si>
    <t>Asynka</t>
  </si>
  <si>
    <t>alfredo.barba@asynka.com</t>
  </si>
  <si>
    <t>http://www.linkedin.com/in/abarbap</t>
  </si>
  <si>
    <t>http://www.linkedin.com/company/asynka</t>
  </si>
  <si>
    <t>https://asynka.com</t>
  </si>
  <si>
    <t>EA Buildings</t>
  </si>
  <si>
    <t>andres.rosero@ea-buildings.com.co</t>
  </si>
  <si>
    <t>http://www.linkedin.com/in/andr%c3%a9s-rosero-revello-61534527</t>
  </si>
  <si>
    <t>http://www.linkedin.com/company/ea-buildings</t>
  </si>
  <si>
    <t>https://ea-buildings.com</t>
  </si>
  <si>
    <t>Negozia Consumer Finance</t>
  </si>
  <si>
    <t>jalvarez@negoziacf.com</t>
  </si>
  <si>
    <t>http://www.linkedin.com/in/juanpalvarez</t>
  </si>
  <si>
    <t>http://www.linkedin.com/company/negozia-consumer-finance-s.a.s</t>
  </si>
  <si>
    <t>https://negoziacf.com</t>
  </si>
  <si>
    <t>Figuro</t>
  </si>
  <si>
    <t>jc@figuro.la</t>
  </si>
  <si>
    <t>http://www.linkedin.com/in/juan-camilo-gonzalez-t</t>
  </si>
  <si>
    <t>http://www.linkedin.com/company/figurolatam</t>
  </si>
  <si>
    <t>https://figuro.la</t>
  </si>
  <si>
    <t>Benky Payments</t>
  </si>
  <si>
    <t>gerencia@benky.co</t>
  </si>
  <si>
    <t>http://www.linkedin.com/in/miguel-andres-giraldo-giraldo-2b433ba6</t>
  </si>
  <si>
    <t>http://www.linkedin.com/company/benky-payments</t>
  </si>
  <si>
    <t>https://benkypayments.com</t>
  </si>
  <si>
    <t>CEO and Co-Founder at Agrapp</t>
  </si>
  <si>
    <t>Agrapp.co</t>
  </si>
  <si>
    <t>david@agrapp.co</t>
  </si>
  <si>
    <t>http://www.linkedin.com/in/david-duarte-c</t>
  </si>
  <si>
    <t>http://www.linkedin.com/company/agrappcolombia</t>
  </si>
  <si>
    <t>https://agrapp.co</t>
  </si>
  <si>
    <t>Grupo Verde SAS</t>
  </si>
  <si>
    <t>mfajardo@grupoverdeltda.com</t>
  </si>
  <si>
    <t>http://www.linkedin.com/in/martha-fajardo-8903b391</t>
  </si>
  <si>
    <t>http://www.linkedin.com/company/grupo-verde-sas</t>
  </si>
  <si>
    <t>https://grupoverdeltda.com</t>
  </si>
  <si>
    <t>Ingenio Digital Co</t>
  </si>
  <si>
    <t>gerencia@ingeniodigitalco.com</t>
  </si>
  <si>
    <t>http://www.linkedin.com/in/juan-felipe-villegas-g-6955b640</t>
  </si>
  <si>
    <t>http://www.linkedin.com/company/ingenio-digital-co</t>
  </si>
  <si>
    <t>https://ingeniodigitalco.com</t>
  </si>
  <si>
    <t>Analityco CEO</t>
  </si>
  <si>
    <t>Analityco APP</t>
  </si>
  <si>
    <t>fabio.zaraza@analityco.com</t>
  </si>
  <si>
    <t>http://www.linkedin.com/in/fabio-zaraza-ayala-b241a820b</t>
  </si>
  <si>
    <t>http://www.linkedin.com/company/analitycoapp</t>
  </si>
  <si>
    <t>https://analityco.com</t>
  </si>
  <si>
    <t>Magreth</t>
  </si>
  <si>
    <t>Founder Chief Executive Officer</t>
  </si>
  <si>
    <t>AAvance</t>
  </si>
  <si>
    <t>magreth@aavance.com</t>
  </si>
  <si>
    <t>http://www.linkedin.com/in/magreth-gutierrez-vargas-5705271a8</t>
  </si>
  <si>
    <t>http://www.linkedin.com/company/aavance-soluciones-fintech</t>
  </si>
  <si>
    <t>https://aavance.com</t>
  </si>
  <si>
    <t>ALBYA</t>
  </si>
  <si>
    <t>djimenez@albya.org</t>
  </si>
  <si>
    <t>http://www.linkedin.com/in/danieldemarketing</t>
  </si>
  <si>
    <t>http://www.linkedin.com/company/albya_aesthethic</t>
  </si>
  <si>
    <t>https://albya.com</t>
  </si>
  <si>
    <t>NESS</t>
  </si>
  <si>
    <t>david@nesshq.com</t>
  </si>
  <si>
    <t>http://www.linkedin.com/in/davenisc</t>
  </si>
  <si>
    <t>http://www.linkedin.com/company/nesshq</t>
  </si>
  <si>
    <t>https://nesshq.com</t>
  </si>
  <si>
    <t>Nathalie</t>
  </si>
  <si>
    <t>Vice CEO</t>
  </si>
  <si>
    <t>SERTEMAP</t>
  </si>
  <si>
    <t>ndiaz@sertemap.com</t>
  </si>
  <si>
    <t>http://www.linkedin.com/in/nathalie-diaz-a04440b2</t>
  </si>
  <si>
    <t>http://www.linkedin.com/company/sertemap</t>
  </si>
  <si>
    <t>https://sertemap.com</t>
  </si>
  <si>
    <t>carlos@gatekeeperx.com</t>
  </si>
  <si>
    <t>http://www.linkedin.com/in/carlosayalde</t>
  </si>
  <si>
    <t>Jefe Comercial y Mercadeo</t>
  </si>
  <si>
    <t>Internacional de Bogotá</t>
  </si>
  <si>
    <t>pgutierrez@equidadfc.com</t>
  </si>
  <si>
    <t>http://www.linkedin.com/in/pablo-gutierrez-michelsen</t>
  </si>
  <si>
    <t>http://www.linkedin.com/company/club-deportivo-la-equidad</t>
  </si>
  <si>
    <t>https://equidadfc.com</t>
  </si>
  <si>
    <t>Co Founder &amp; Angel Investor</t>
  </si>
  <si>
    <t>Yarumo VC</t>
  </si>
  <si>
    <t>sebas@hunty.com</t>
  </si>
  <si>
    <t>http://www.linkedin.com/in/sebasti%c3%a1n-caro-a16459a5</t>
  </si>
  <si>
    <t>http://www.linkedin.com/company/yarumo-vc</t>
  </si>
  <si>
    <t>https://hunty.com</t>
  </si>
  <si>
    <t>Pkf</t>
  </si>
  <si>
    <t>PKF Cabrera Internacional S.A. BIC</t>
  </si>
  <si>
    <t>mercadeo@pkfcabrera.com</t>
  </si>
  <si>
    <t>http://www.linkedin.com/in/pkfcabrera-internacional-sa</t>
  </si>
  <si>
    <t>http://www.linkedin.com/company/pkf-cabrera-internacional-s-a</t>
  </si>
  <si>
    <t>https://pkfcabrera.com</t>
  </si>
  <si>
    <t>UZER</t>
  </si>
  <si>
    <t>vicky@uzer.co</t>
  </si>
  <si>
    <t>http://www.linkedin.com/in/vickyducuara</t>
  </si>
  <si>
    <t>http://www.linkedin.com/company/uzerco</t>
  </si>
  <si>
    <t>https://uzer.co</t>
  </si>
  <si>
    <t>Teka Capital</t>
  </si>
  <si>
    <t>dcm@tekacap.com</t>
  </si>
  <si>
    <t>http://www.linkedin.com/in/diego-cordoba-29785189</t>
  </si>
  <si>
    <t>http://www.linkedin.com/company/teka-capital</t>
  </si>
  <si>
    <t>https://tekacapital.com</t>
  </si>
  <si>
    <t>johanna.alvarado@smart-tap.co</t>
  </si>
  <si>
    <t>http://www.linkedin.com/in/johanna-alvarado-cifuentes</t>
  </si>
  <si>
    <t>BOREAS ODOR FREE</t>
  </si>
  <si>
    <t>aarias@boreaslatam.com</t>
  </si>
  <si>
    <t>http://www.linkedin.com/in/andresmauricioarias</t>
  </si>
  <si>
    <t>http://www.linkedin.com/company/boreas-odor-free</t>
  </si>
  <si>
    <t>https://boreaslatam.com</t>
  </si>
  <si>
    <t>ilana lab</t>
  </si>
  <si>
    <t>lcifuentes@ilanalab.com</t>
  </si>
  <si>
    <t>http://www.linkedin.com/in/liliana-cifuentes-38377854</t>
  </si>
  <si>
    <t>http://www.linkedin.com/company/ilanaquality</t>
  </si>
  <si>
    <t>https://ilanalab.com</t>
  </si>
  <si>
    <t>IkiTech Solutions</t>
  </si>
  <si>
    <t>alejandro.sarmiento@ikitech.com.co</t>
  </si>
  <si>
    <t>http://www.linkedin.com/in/alejandro-sarmiento-pelaez-arquitectosoftware</t>
  </si>
  <si>
    <t>http://www.linkedin.com/company/ikitech-solutions</t>
  </si>
  <si>
    <t>https://ikitech.com.co</t>
  </si>
  <si>
    <t>Didit</t>
  </si>
  <si>
    <t>jose.hernandez@didit.me</t>
  </si>
  <si>
    <t>http://www.linkedin.com/in/joseantoniohernandezmayobre</t>
  </si>
  <si>
    <t>http://www.linkedin.com/company/diditprotocol</t>
  </si>
  <si>
    <t>https://didit.me</t>
  </si>
  <si>
    <t>Runni</t>
  </si>
  <si>
    <t>pablopantoja@runni.co</t>
  </si>
  <si>
    <t>http://www.linkedin.com/in/pabloandrespantojagonzalez</t>
  </si>
  <si>
    <t>http://www.linkedin.com/company/runni</t>
  </si>
  <si>
    <t>https://runni.co</t>
  </si>
  <si>
    <t>VP of Customer Success</t>
  </si>
  <si>
    <t>Invarosoft</t>
  </si>
  <si>
    <t>manuel@invarosoft.com</t>
  </si>
  <si>
    <t>http://www.linkedin.com/in/manuel-antonio-giraldo-nauffal-a39693a1</t>
  </si>
  <si>
    <t>http://www.linkedin.com/company/invarosoft</t>
  </si>
  <si>
    <t>https://invarosoft.com</t>
  </si>
  <si>
    <t>Co-founder &amp; Chief Growth Officer</t>
  </si>
  <si>
    <t>milena@meup.co</t>
  </si>
  <si>
    <t>http://www.linkedin.com/in/milena-pardo-345b3726</t>
  </si>
  <si>
    <t>Newar</t>
  </si>
  <si>
    <t>Cielum Health</t>
  </si>
  <si>
    <t>ngiraldo@omnivida.org</t>
  </si>
  <si>
    <t>http://www.linkedin.com/in/newar-giraldo-86488534</t>
  </si>
  <si>
    <t>http://www.linkedin.com/company/cielumhealth</t>
  </si>
  <si>
    <t>https://cielum.co</t>
  </si>
  <si>
    <t>VALORA TORO</t>
  </si>
  <si>
    <t>santiago.mejia@valoratoro.co</t>
  </si>
  <si>
    <t>http://www.linkedin.com/in/santiagomej%c3%adatoro</t>
  </si>
  <si>
    <t>http://www.linkedin.com/company/valoratoro</t>
  </si>
  <si>
    <t>https://valoratoro.co</t>
  </si>
  <si>
    <t>AptsLatam</t>
  </si>
  <si>
    <t>benjamin.subedar@aptslatam.com</t>
  </si>
  <si>
    <t>http://www.linkedin.com/in/benjaminsubedar</t>
  </si>
  <si>
    <t>http://www.linkedin.com/company/aptslatam</t>
  </si>
  <si>
    <t>https://aptslatam.com</t>
  </si>
  <si>
    <t>Director - CEO</t>
  </si>
  <si>
    <t>Controlfluid SAS</t>
  </si>
  <si>
    <t>cfo@controlfluid.co</t>
  </si>
  <si>
    <t>http://www.linkedin.com/in/pedro-jidy-0b644327</t>
  </si>
  <si>
    <t>http://www.linkedin.com/company/controlfluid</t>
  </si>
  <si>
    <t>https://controlfluid.co</t>
  </si>
  <si>
    <t>EXERGETICA S.A.S</t>
  </si>
  <si>
    <t>diego.lezcano@exergetica.co</t>
  </si>
  <si>
    <t>http://www.linkedin.com/in/diego-lezcano-3b67342a</t>
  </si>
  <si>
    <t>http://www.linkedin.com/company/exergetica-s-a-s</t>
  </si>
  <si>
    <t>https://exergetica.co</t>
  </si>
  <si>
    <t>juanrincon@cuestionica.com</t>
  </si>
  <si>
    <t>http://www.linkedin.com/in/juan-camilo-rinc%c3%b3n-burgos-a3407b3a</t>
  </si>
  <si>
    <t>Marta</t>
  </si>
  <si>
    <t>One2credit</t>
  </si>
  <si>
    <t>mpmontero@horizontesas.com</t>
  </si>
  <si>
    <t>http://www.linkedin.com/in/marta-montero-g%c3%b3mez-</t>
  </si>
  <si>
    <t>http://www.linkedin.com/company/one2credit</t>
  </si>
  <si>
    <t>https://one2credit.com</t>
  </si>
  <si>
    <t>se@nok.rent</t>
  </si>
  <si>
    <t>http://www.linkedin.com/in/santiago-estrada-gonzalez-766831128</t>
  </si>
  <si>
    <t>Ding</t>
  </si>
  <si>
    <t>hugo.castro@ding.com.co</t>
  </si>
  <si>
    <t>http://www.linkedin.com/in/hugocastrobonilla</t>
  </si>
  <si>
    <t>http://www.linkedin.com/company/dingcolombia</t>
  </si>
  <si>
    <t>https://ding.com.co</t>
  </si>
  <si>
    <t>Creative Head Manager &amp; CEO</t>
  </si>
  <si>
    <t>cubock</t>
  </si>
  <si>
    <t>pilar.forero@cubock.com</t>
  </si>
  <si>
    <t>http://www.linkedin.com/in/pilar-forero-9399b458</t>
  </si>
  <si>
    <t>http://www.linkedin.com/company/universocubock</t>
  </si>
  <si>
    <t>https://cubock.com</t>
  </si>
  <si>
    <t>Your AI Squad</t>
  </si>
  <si>
    <t>dani@boardbit.co</t>
  </si>
  <si>
    <t>http://www.linkedin.com/in/daniel-velilla-perez</t>
  </si>
  <si>
    <t>http://www.linkedin.com/company/your-ai-squad</t>
  </si>
  <si>
    <t>https://youraisquad.com</t>
  </si>
  <si>
    <t>Gerente Comercial / Gerente de Ventas / Director Comercial /</t>
  </si>
  <si>
    <t>Rittal Colombia</t>
  </si>
  <si>
    <t>valdez.h@rittal.com.co</t>
  </si>
  <si>
    <t>http://www.linkedin.com/in/cvhrvaldez</t>
  </si>
  <si>
    <t>http://www.linkedin.com/company/rittalcolombia</t>
  </si>
  <si>
    <t>https://rittal.com.co</t>
  </si>
  <si>
    <t>Payments Way Solutions SAS</t>
  </si>
  <si>
    <t>augustov@paymentsway.co</t>
  </si>
  <si>
    <t>http://www.linkedin.com/in/augusto-vellojin-28a641129</t>
  </si>
  <si>
    <t>http://www.linkedin.com/company/payments-way-solutions</t>
  </si>
  <si>
    <t>https://paymentsway.co</t>
  </si>
  <si>
    <t>MLÉ by Malé Beauty Care</t>
  </si>
  <si>
    <t>gerencia@malebeautycare.com</t>
  </si>
  <si>
    <t>http://www.linkedin.com/in/a2b-co</t>
  </si>
  <si>
    <t>http://www.linkedin.com/company/ml%c3%a9-by-mal%c3%a9-beauty-care</t>
  </si>
  <si>
    <t>https://mleofficial.com</t>
  </si>
  <si>
    <t>RevIntel</t>
  </si>
  <si>
    <t>eduardo@gorevintel.com</t>
  </si>
  <si>
    <t>http://www.linkedin.com/in/eduardomelendez</t>
  </si>
  <si>
    <t>http://www.linkedin.com/company/salesdriven-revintel</t>
  </si>
  <si>
    <t>https://gorevintel.com</t>
  </si>
  <si>
    <t>Mark</t>
  </si>
  <si>
    <t>Arco Andino</t>
  </si>
  <si>
    <t>mark@arcoandino.co</t>
  </si>
  <si>
    <t>http://www.linkedin.com/in/arcomarco</t>
  </si>
  <si>
    <t>http://www.linkedin.com/company/arco-andino</t>
  </si>
  <si>
    <t>https://arcoandino.co</t>
  </si>
  <si>
    <t>ELEMENTAL</t>
  </si>
  <si>
    <t>dladino@elementalcg.co</t>
  </si>
  <si>
    <t>http://www.linkedin.com/in/davidladinohz</t>
  </si>
  <si>
    <t>http://www.linkedin.com/company/elementalconsultinggroup</t>
  </si>
  <si>
    <t>https://elementalcg.co</t>
  </si>
  <si>
    <t>CEO &amp; Co-founder Nurent | Proptech | Bienes Raíces | PMO | Ingeniera de Sistemas</t>
  </si>
  <si>
    <t>Nurent Arrienda Sin Dramas</t>
  </si>
  <si>
    <t>melissa@nurent.co</t>
  </si>
  <si>
    <t>http://www.linkedin.com/in/melissabolivarortiz</t>
  </si>
  <si>
    <t>http://www.linkedin.com/company/nurent</t>
  </si>
  <si>
    <t>https://nurent.co</t>
  </si>
  <si>
    <t>Consultorsalud</t>
  </si>
  <si>
    <t>c.munoz@consultorsalud.com</t>
  </si>
  <si>
    <t>http://www.linkedin.com/in/consultorsalud</t>
  </si>
  <si>
    <t>http://www.linkedin.com/company/consultor-salud</t>
  </si>
  <si>
    <t>https://consultorsalud.com</t>
  </si>
  <si>
    <t>Co-Founder and CFO</t>
  </si>
  <si>
    <t>juanpablo@mpfinvest.com</t>
  </si>
  <si>
    <t>http://www.linkedin.com/in/juan-pablo-zuluaga-a85b48a3</t>
  </si>
  <si>
    <t>PeakU</t>
  </si>
  <si>
    <t>santiago@peaku.co</t>
  </si>
  <si>
    <t>http://www.linkedin.com/in/santiagogonzalezr</t>
  </si>
  <si>
    <t>http://www.linkedin.com/company/peaku</t>
  </si>
  <si>
    <t>https://peaku.co</t>
  </si>
  <si>
    <t>Citizen Life</t>
  </si>
  <si>
    <t>maria.arango@citizen-life.com</t>
  </si>
  <si>
    <t>http://www.linkedin.com/in/maria-isabel-arango</t>
  </si>
  <si>
    <t>http://www.linkedin.com/company/citizen-life</t>
  </si>
  <si>
    <t>https://citizen-life.com</t>
  </si>
  <si>
    <t>CEO &amp; Founder @Beq Investment</t>
  </si>
  <si>
    <t>BEQ Investment</t>
  </si>
  <si>
    <t>juan.bernal@beqinvestment.com</t>
  </si>
  <si>
    <t>http://www.linkedin.com/in/juancarlosbernalq</t>
  </si>
  <si>
    <t>http://www.linkedin.com/company/beq-investment</t>
  </si>
  <si>
    <t>https://beqinvestment.com</t>
  </si>
  <si>
    <t>Softseguros</t>
  </si>
  <si>
    <t>atoro@softseguros.com</t>
  </si>
  <si>
    <t>http://www.linkedin.com/in/andrestorolondono</t>
  </si>
  <si>
    <t>http://www.linkedin.com/company/softseguros</t>
  </si>
  <si>
    <t>https://softseguros.com</t>
  </si>
  <si>
    <t>Joanna</t>
  </si>
  <si>
    <t>MSBHAVE</t>
  </si>
  <si>
    <t>joannasafi@msbhave.com</t>
  </si>
  <si>
    <t>http://www.linkedin.com/in/joannasafi</t>
  </si>
  <si>
    <t>http://www.linkedin.com/company/msbhave</t>
  </si>
  <si>
    <t>https://msbhave.com</t>
  </si>
  <si>
    <t>Nomadic Closer</t>
  </si>
  <si>
    <t>joel@nomadiccloser.com</t>
  </si>
  <si>
    <t>http://www.linkedin.com/in/joelelster</t>
  </si>
  <si>
    <t>http://www.linkedin.com/company/nomadiccloser</t>
  </si>
  <si>
    <t>https://nomadiccloser.com</t>
  </si>
  <si>
    <t>Raymond</t>
  </si>
  <si>
    <t>Head of Finance &amp; Operations</t>
  </si>
  <si>
    <t>Spiga Foods</t>
  </si>
  <si>
    <t>raymond@spigafoods.co</t>
  </si>
  <si>
    <t>http://www.linkedin.com/in/raymond-saieh-chacon-411a9863</t>
  </si>
  <si>
    <t>http://www.linkedin.com/company/spiga-foods</t>
  </si>
  <si>
    <t>https://spigafoods.co</t>
  </si>
  <si>
    <t>Corpus</t>
  </si>
  <si>
    <t>forero@corpusai.org</t>
  </si>
  <si>
    <t>http://www.linkedin.com/in/juan-felipe-forero-93484a115</t>
  </si>
  <si>
    <t>http://www.linkedin.com/company/corpus-med</t>
  </si>
  <si>
    <t>https://corpusai.org</t>
  </si>
  <si>
    <t>Co-Founder, GTM</t>
  </si>
  <si>
    <t>andres@oversai.com</t>
  </si>
  <si>
    <t>http://www.linkedin.com/in/andres-gomez-gallego-msc-bb00738a</t>
  </si>
  <si>
    <t>Co-Founder, CEO &amp; Director</t>
  </si>
  <si>
    <t>Khiron Life Sciences</t>
  </si>
  <si>
    <t>aftorres@khiron.ca</t>
  </si>
  <si>
    <t>http://www.linkedin.com/in/alvaroftorres</t>
  </si>
  <si>
    <t>http://www.linkedin.com/company/khiron-life-sciences-corp</t>
  </si>
  <si>
    <t>https://khiron.ca</t>
  </si>
  <si>
    <t>Danuta</t>
  </si>
  <si>
    <t>CEO - Co Founder</t>
  </si>
  <si>
    <t>La liga de los múltiples</t>
  </si>
  <si>
    <t>dgalazka@laligadelosmultiples.com</t>
  </si>
  <si>
    <t>http://www.linkedin.com/in/danuta-galazka-p%c3%a1ez-021b0038</t>
  </si>
  <si>
    <t>http://www.linkedin.com/company/la-liga-de-los-m%c3%baltiples</t>
  </si>
  <si>
    <t>https://laligadelosmultiples.com</t>
  </si>
  <si>
    <t>Tribso</t>
  </si>
  <si>
    <t>henderson@stc-sas.com</t>
  </si>
  <si>
    <t>http://www.linkedin.com/in/hendersong-transferpricing</t>
  </si>
  <si>
    <t>http://www.linkedin.com/company/tribso</t>
  </si>
  <si>
    <t>https://stc-sas.com</t>
  </si>
  <si>
    <t>Robinson</t>
  </si>
  <si>
    <t>CEO Ramtek S.a.s</t>
  </si>
  <si>
    <t>Ramtek Colombia</t>
  </si>
  <si>
    <t>gerencia@ramtek.com.co</t>
  </si>
  <si>
    <t>http://www.linkedin.com/in/robinson-naranjo-l%c3%b3pez-53034a35</t>
  </si>
  <si>
    <t>http://www.linkedin.com/company/ramtekcolombia</t>
  </si>
  <si>
    <t>https://ramtek.com.co</t>
  </si>
  <si>
    <t>Sales Director Americas</t>
  </si>
  <si>
    <t>Amaze</t>
  </si>
  <si>
    <t>hernan@somosasombro.com</t>
  </si>
  <si>
    <t>http://www.linkedin.com/in/hern%c3%a1n-pinz%c3%b3n-de-la-rosa-63a16912b</t>
  </si>
  <si>
    <t>http://www.linkedin.com/company/weareamaze</t>
  </si>
  <si>
    <t>https://amaze.org</t>
  </si>
  <si>
    <t>Agroeuros</t>
  </si>
  <si>
    <t>estefaniaramos@agroeuros.com</t>
  </si>
  <si>
    <t>http://www.linkedin.com/in/estefaniaramosagroeuros</t>
  </si>
  <si>
    <t>http://www.linkedin.com/company/agroeuros</t>
  </si>
  <si>
    <t>https://agroeuros.com</t>
  </si>
  <si>
    <t>Salva Health</t>
  </si>
  <si>
    <t>vagudelo@salvahealth.co</t>
  </si>
  <si>
    <t>http://www.linkedin.com/in/valentinaagudelovargas</t>
  </si>
  <si>
    <t>http://www.linkedin.com/company/salva-health</t>
  </si>
  <si>
    <t>https://salvahealth.co</t>
  </si>
  <si>
    <t>Xavier</t>
  </si>
  <si>
    <t>CEO- Co-Founder</t>
  </si>
  <si>
    <t>Wellcome</t>
  </si>
  <si>
    <t>xavier@wellcome.com.co</t>
  </si>
  <si>
    <t>http://www.linkedin.com/in/xaviercardenas</t>
  </si>
  <si>
    <t>http://www.linkedin.com/company/wellcome-com-co</t>
  </si>
  <si>
    <t>https://wellcome.travel</t>
  </si>
  <si>
    <t>Elton</t>
  </si>
  <si>
    <t>Fontumi</t>
  </si>
  <si>
    <t>elton@fontumi.co</t>
  </si>
  <si>
    <t>http://www.linkedin.com/in/eltonjgomez</t>
  </si>
  <si>
    <t>http://www.linkedin.com/company/fontumi</t>
  </si>
  <si>
    <t>https://fontumi.co</t>
  </si>
  <si>
    <t>Hula</t>
  </si>
  <si>
    <t>juan@hulapayments.com</t>
  </si>
  <si>
    <t>http://www.linkedin.com/in/juanfelipecadena</t>
  </si>
  <si>
    <t>http://www.linkedin.com/company/hulafintech</t>
  </si>
  <si>
    <t>https://hulapayments.com</t>
  </si>
  <si>
    <t>CEO - Digital Transformation</t>
  </si>
  <si>
    <t>HandelBay</t>
  </si>
  <si>
    <t>juan.lopez@handelbay.com</t>
  </si>
  <si>
    <t>http://www.linkedin.com/in/juanhandelbay</t>
  </si>
  <si>
    <t>http://www.linkedin.com/company/handelbay</t>
  </si>
  <si>
    <t>https://handelbay.com</t>
  </si>
  <si>
    <t>Director Solutions Engineering (Pre-Sales)</t>
  </si>
  <si>
    <t>River Logic</t>
  </si>
  <si>
    <t>corbegozo@riverlogic.com</t>
  </si>
  <si>
    <t>http://www.linkedin.com/in/camilo-orbegozo-p</t>
  </si>
  <si>
    <t>http://www.linkedin.com/company/river-logic</t>
  </si>
  <si>
    <t>https://riverlogic.com</t>
  </si>
  <si>
    <t>Welli eCommerce Agency</t>
  </si>
  <si>
    <t>jucamana@welli.agency</t>
  </si>
  <si>
    <t>http://www.linkedin.com/in/jucamana</t>
  </si>
  <si>
    <t>http://www.linkedin.com/company/welli-ecom</t>
  </si>
  <si>
    <t>https://welli.agency</t>
  </si>
  <si>
    <t>nataliazerda@naez.co</t>
  </si>
  <si>
    <t>http://www.linkedin.com/in/natalia-zerda-mendez</t>
  </si>
  <si>
    <t>SyncData.ai</t>
  </si>
  <si>
    <t>roberto@syncdata.ai</t>
  </si>
  <si>
    <t>http://www.linkedin.com/in/roberto-ordonez-villaveces-b3840519</t>
  </si>
  <si>
    <t>http://www.linkedin.com/company/syncdata-ai</t>
  </si>
  <si>
    <t>https://syncdata.ai</t>
  </si>
  <si>
    <t>Typson</t>
  </si>
  <si>
    <t>Cofounder &amp; Scrum Master</t>
  </si>
  <si>
    <t>Mituannia Ventures</t>
  </si>
  <si>
    <t>typson@mituannia.ventures</t>
  </si>
  <si>
    <t>http://www.linkedin.com/in/styp152</t>
  </si>
  <si>
    <t>http://www.linkedin.com/company/mituannia</t>
  </si>
  <si>
    <t>https://mituannia.ventures</t>
  </si>
  <si>
    <t>Meteoro Minerals</t>
  </si>
  <si>
    <t>edgar.nieto@meteoroai.com</t>
  </si>
  <si>
    <t>http://www.linkedin.com/in/edgarnietou</t>
  </si>
  <si>
    <t>http://www.linkedin.com/company/meteorominerals</t>
  </si>
  <si>
    <t>https://meteoroai.com</t>
  </si>
  <si>
    <t>Adalberto</t>
  </si>
  <si>
    <t>Consware</t>
  </si>
  <si>
    <t>afonseca@consware.com.co</t>
  </si>
  <si>
    <t>http://www.linkedin.com/in/adalberto-fonseca-horta-5736ab1b</t>
  </si>
  <si>
    <t>http://www.linkedin.com/company/consware</t>
  </si>
  <si>
    <t>https://consware.com.co</t>
  </si>
  <si>
    <t>Proto Engineering and Consulting</t>
  </si>
  <si>
    <t>daniela.serna@proto-eng.com</t>
  </si>
  <si>
    <t>http://www.linkedin.com/in/daniela-serna-705587107</t>
  </si>
  <si>
    <t>http://www.linkedin.com/company/proto-engineering-and-consulting</t>
  </si>
  <si>
    <t>https://proto-eng.com</t>
  </si>
  <si>
    <t>Commodo</t>
  </si>
  <si>
    <t>andres.vergara@commodo.co</t>
  </si>
  <si>
    <t>http://www.linkedin.com/in/andr%c3%a9s-vergara-0b365812a</t>
  </si>
  <si>
    <t>http://www.linkedin.com/company/commodo-co</t>
  </si>
  <si>
    <t>https://comodotechnology.com</t>
  </si>
  <si>
    <t>Jamie</t>
  </si>
  <si>
    <t>Director and Co-Founder @EdCo Latam Consulting</t>
  </si>
  <si>
    <t>EdCo LATAM Consulting</t>
  </si>
  <si>
    <t>jamie@edcolatam.com</t>
  </si>
  <si>
    <t>http://www.linkedin.com/in/edcojamie</t>
  </si>
  <si>
    <t>http://www.linkedin.com/company/edco-latam-consulting</t>
  </si>
  <si>
    <t>https://edcolatam.com</t>
  </si>
  <si>
    <t>Simonides</t>
  </si>
  <si>
    <t>Kando Global</t>
  </si>
  <si>
    <t>simonides.vasco@kandoglobal.com.co</t>
  </si>
  <si>
    <t>http://www.linkedin.com/in/sim%c3%b3nides-vasco-v%c3%a9lez-6a514711</t>
  </si>
  <si>
    <t>http://www.linkedin.com/company/ecologiscar-empresa-colombiana-de-logistica-y-carga</t>
  </si>
  <si>
    <t>https://kandoglobal.com.co</t>
  </si>
  <si>
    <t>MCAD Training &amp; Consulting</t>
  </si>
  <si>
    <t>lina.sierra@mcad.co</t>
  </si>
  <si>
    <t>http://www.linkedin.com/in/linaxiomarasierraa</t>
  </si>
  <si>
    <t>http://www.linkedin.com/company/mcad-training-consulting</t>
  </si>
  <si>
    <t>https://mcad.co</t>
  </si>
  <si>
    <t>Bee Aides</t>
  </si>
  <si>
    <t>juan@beeaides.com</t>
  </si>
  <si>
    <t>http://www.linkedin.com/in/juanriveragonzalez</t>
  </si>
  <si>
    <t>http://www.linkedin.com/company/bee-aides</t>
  </si>
  <si>
    <t>https://beeaides.com</t>
  </si>
  <si>
    <t>Linxe</t>
  </si>
  <si>
    <t>cesar@linxe.com</t>
  </si>
  <si>
    <t>http://www.linkedin.com/in/cesar-julio-cuevas-12480125</t>
  </si>
  <si>
    <t>http://www.linkedin.com/company/linxe</t>
  </si>
  <si>
    <t>https://linxe.com</t>
  </si>
  <si>
    <t>Fundador-CEO</t>
  </si>
  <si>
    <t>L2L Bienes Raíces</t>
  </si>
  <si>
    <t>aquinones@l2lbienesraices.com</t>
  </si>
  <si>
    <t>http://www.linkedin.com/in/angelaquinones</t>
  </si>
  <si>
    <t>http://www.linkedin.com/company/l2lbienesraices</t>
  </si>
  <si>
    <t>https://l2lbienesraices.com</t>
  </si>
  <si>
    <t>Project Manager - CEO Founder</t>
  </si>
  <si>
    <t>Digital Evolution Colombia</t>
  </si>
  <si>
    <t>mario.ponguta@digitalevolution.com.co</t>
  </si>
  <si>
    <t>http://www.linkedin.com/in/mario-alberto-pongut%c3%a1-monroy-82aba235</t>
  </si>
  <si>
    <t>http://www.linkedin.com/company/digital-evolution-colombia</t>
  </si>
  <si>
    <t>https://digitalevolution.com.co</t>
  </si>
  <si>
    <t>Cecilia</t>
  </si>
  <si>
    <t>CEO Founder • Success Squad SAS</t>
  </si>
  <si>
    <t>Success Squad SAS</t>
  </si>
  <si>
    <t>ceciliapalacino@successsquad.com.co</t>
  </si>
  <si>
    <t>http://www.linkedin.com/in/cecilia-palacino</t>
  </si>
  <si>
    <t>http://www.linkedin.com/company/success-squad-startup</t>
  </si>
  <si>
    <t>https://successsquad.com.co</t>
  </si>
  <si>
    <t>Elemental Lab SAS</t>
  </si>
  <si>
    <t>c@elementalab.com</t>
  </si>
  <si>
    <t>http://www.linkedin.com/in/elementalab</t>
  </si>
  <si>
    <t>http://www.linkedin.com/company/elemntalab</t>
  </si>
  <si>
    <t>https://elementalab.com</t>
  </si>
  <si>
    <t>ev@sempli.co</t>
  </si>
  <si>
    <t>http://www.linkedin.com/in/estebanvelascobarrera</t>
  </si>
  <si>
    <t>Lunia Shapewear</t>
  </si>
  <si>
    <t>felipe.harker@lunia.com.co</t>
  </si>
  <si>
    <t>http://www.linkedin.com/in/felipe-harker-6a593674</t>
  </si>
  <si>
    <t>http://www.linkedin.com/company/lunia-shapewear</t>
  </si>
  <si>
    <t>https://lunia.com.co</t>
  </si>
  <si>
    <t>PROGSUM</t>
  </si>
  <si>
    <t>jft@progsum.com</t>
  </si>
  <si>
    <t>http://www.linkedin.com/in/juan-felipe-tettay-villegas-06b61364</t>
  </si>
  <si>
    <t>http://www.linkedin.com/company/progsum</t>
  </si>
  <si>
    <t>https://progsum.com</t>
  </si>
  <si>
    <t>Matias</t>
  </si>
  <si>
    <t>Director de Marketing/ Socio Fundador</t>
  </si>
  <si>
    <t>Ore &amp; Dashi</t>
  </si>
  <si>
    <t>matias@oreydashi.com</t>
  </si>
  <si>
    <t>http://www.linkedin.com/in/matiasposada</t>
  </si>
  <si>
    <t>http://www.linkedin.com/company/oreydashi</t>
  </si>
  <si>
    <t>https://oreydashi.com</t>
  </si>
  <si>
    <t>Distribuidora El Amazonas</t>
  </si>
  <si>
    <t>mercadeo@disamazonas.com.co</t>
  </si>
  <si>
    <t>http://www.linkedin.com/in/sara-barreneche-marketing</t>
  </si>
  <si>
    <t>http://www.linkedin.com/company/distribuidora-el-amazonas</t>
  </si>
  <si>
    <t>https://disamazonas.com.co</t>
  </si>
  <si>
    <t>MadadSolutions</t>
  </si>
  <si>
    <t>felipe.suarez@madadsolutions.com</t>
  </si>
  <si>
    <t>http://www.linkedin.com/in/felipe-su%c3%a1rez-g%c3%b3mez-76a843146</t>
  </si>
  <si>
    <t>http://www.linkedin.com/company/madadsolutions</t>
  </si>
  <si>
    <t>https://madadsolutions.com</t>
  </si>
  <si>
    <t>colombia@wepower.com.co</t>
  </si>
  <si>
    <t>http://www.linkedin.com/in/ricardo-alvarez-orozco-258187111</t>
  </si>
  <si>
    <t>Co-Founder/Partner</t>
  </si>
  <si>
    <t>FRACTTA FRANCHISING</t>
  </si>
  <si>
    <t>gerencia@bcinvestments.co</t>
  </si>
  <si>
    <t>http://www.linkedin.com/in/alejandrocouttin</t>
  </si>
  <si>
    <t>http://www.linkedin.com/company/fractta-consulting-investments</t>
  </si>
  <si>
    <t>https://bcinvestments.co</t>
  </si>
  <si>
    <t>Director of Strategy &amp; Operations</t>
  </si>
  <si>
    <t>TalentFuze</t>
  </si>
  <si>
    <t>karen@talentfuze.io</t>
  </si>
  <si>
    <t>http://www.linkedin.com/in/ktorres96</t>
  </si>
  <si>
    <t>http://www.linkedin.com/company/usetalentfuze</t>
  </si>
  <si>
    <t>https://talentfuze.io</t>
  </si>
  <si>
    <t>CEO / Co-Founder</t>
  </si>
  <si>
    <t>POLITTAN</t>
  </si>
  <si>
    <t>acalvo@mytransfergroup.com</t>
  </si>
  <si>
    <t>http://www.linkedin.com/in/andr%c3%a9scalvo</t>
  </si>
  <si>
    <t>http://www.linkedin.com/company/polittan</t>
  </si>
  <si>
    <t>https://polittan.com</t>
  </si>
  <si>
    <t>gustavo@dtech.com.co</t>
  </si>
  <si>
    <t>http://www.linkedin.com/in/gustavo-blanco-tenorio</t>
  </si>
  <si>
    <t>Rio</t>
  </si>
  <si>
    <t>santiago@riotransfer.co</t>
  </si>
  <si>
    <t>http://www.linkedin.com/in/saarga</t>
  </si>
  <si>
    <t>http://www.linkedin.com/company/rio-trade</t>
  </si>
  <si>
    <t>https://rio.trade</t>
  </si>
  <si>
    <t>DATUP</t>
  </si>
  <si>
    <t>paola@datup.ai</t>
  </si>
  <si>
    <t>http://www.linkedin.com/in/paola-serna</t>
  </si>
  <si>
    <t>http://www.linkedin.com/company/datup</t>
  </si>
  <si>
    <t>https://datup.ai</t>
  </si>
  <si>
    <t>luis.h@uptimeanalytics.com</t>
  </si>
  <si>
    <t>http://www.linkedin.com/in/luishoyos</t>
  </si>
  <si>
    <t>Bloque</t>
  </si>
  <si>
    <t>david@bloque.team</t>
  </si>
  <si>
    <t>http://www.linkedin.com/in/davidbarinas</t>
  </si>
  <si>
    <t>http://www.linkedin.com/company/bloqueapp</t>
  </si>
  <si>
    <t>https://bloque.app</t>
  </si>
  <si>
    <t>Blue Phoenix</t>
  </si>
  <si>
    <t>john@bluephoenix.health</t>
  </si>
  <si>
    <t>http://www.linkedin.com/in/johntarantino</t>
  </si>
  <si>
    <t>http://www.linkedin.com/company/bluephoenixhealth</t>
  </si>
  <si>
    <t>https://bluephoenix.health</t>
  </si>
  <si>
    <t>Sazú Lab</t>
  </si>
  <si>
    <t>mariana@sazulab.com</t>
  </si>
  <si>
    <t>http://www.linkedin.com/in/marianamontoyac</t>
  </si>
  <si>
    <t>http://www.linkedin.com/company/sazu</t>
  </si>
  <si>
    <t>https://sazulab.com</t>
  </si>
  <si>
    <t>CF ROJAS</t>
  </si>
  <si>
    <t>felipe.rojas@cfrojas.com</t>
  </si>
  <si>
    <t>http://www.linkedin.com/in/felipe-rojas-102b9452</t>
  </si>
  <si>
    <t>http://www.linkedin.com/company/cf-rojas</t>
  </si>
  <si>
    <t>https://cfrojas.com</t>
  </si>
  <si>
    <t>Visual Logging</t>
  </si>
  <si>
    <t>jdocampob@visuallogging.com</t>
  </si>
  <si>
    <t>http://www.linkedin.com/in/jdocampob</t>
  </si>
  <si>
    <t>http://www.linkedin.com/company/visual-logging</t>
  </si>
  <si>
    <t>https://visuallogging.com</t>
  </si>
  <si>
    <t>Celeria Movilidad</t>
  </si>
  <si>
    <t>jlondono@celeria.co</t>
  </si>
  <si>
    <t>http://www.linkedin.com/in/juanmauriciol</t>
  </si>
  <si>
    <t>http://www.linkedin.com/company/celeriamovilidad</t>
  </si>
  <si>
    <t>https://celeria.co</t>
  </si>
  <si>
    <t>COO - Co Founder</t>
  </si>
  <si>
    <t>Collectia BPO y Cobranzas</t>
  </si>
  <si>
    <t>operaciones@collectiabpo.com</t>
  </si>
  <si>
    <t>http://www.linkedin.com/in/juan-camilo-angarita-villamizar-ba54b156</t>
  </si>
  <si>
    <t>http://www.linkedin.com/company/collectia-bpo-y-cobranzas</t>
  </si>
  <si>
    <t>https://collectiabpo.com</t>
  </si>
  <si>
    <t>Invengy</t>
  </si>
  <si>
    <t>luis.velasco@invengy.com</t>
  </si>
  <si>
    <t>http://www.linkedin.com/in/velascoale</t>
  </si>
  <si>
    <t>http://www.linkedin.com/company/invengy</t>
  </si>
  <si>
    <t>https://invengy.com</t>
  </si>
  <si>
    <t>EPARTNER</t>
  </si>
  <si>
    <t>ecommerce@digitalepartner.com</t>
  </si>
  <si>
    <t>http://www.linkedin.com/in/juasan</t>
  </si>
  <si>
    <t>http://www.linkedin.com/company/epartner-co</t>
  </si>
  <si>
    <t>https://epartner-la.com</t>
  </si>
  <si>
    <t>Dario</t>
  </si>
  <si>
    <t>Cvo/ceo</t>
  </si>
  <si>
    <t>ImagineCX</t>
  </si>
  <si>
    <t>dario@imaginecx.co</t>
  </si>
  <si>
    <t>http://www.linkedin.com/in/dariovalderrama</t>
  </si>
  <si>
    <t>http://www.linkedin.com/company/imagine-cx</t>
  </si>
  <si>
    <t>https://imaginecx.co</t>
  </si>
  <si>
    <t>Co-Founder and Cfo/coo</t>
  </si>
  <si>
    <t>mauricio@lezag.com</t>
  </si>
  <si>
    <t>http://www.linkedin.com/in/mauricio-vanegas-fortich-</t>
  </si>
  <si>
    <t>Chief Revenue Officer (CRO) CO-Founder</t>
  </si>
  <si>
    <t>Blind Creator</t>
  </si>
  <si>
    <t>angediaz@blindcreator.com</t>
  </si>
  <si>
    <t>http://www.linkedin.com/in/maria-angelica-diaz-reyes-0ba1a0128</t>
  </si>
  <si>
    <t>http://www.linkedin.com/company/blind-creator-inc</t>
  </si>
  <si>
    <t>https://blindcreator.com</t>
  </si>
  <si>
    <t>EGIXIA</t>
  </si>
  <si>
    <t>oscar@egixia.com</t>
  </si>
  <si>
    <t>http://www.linkedin.com/in/gamboaoscar</t>
  </si>
  <si>
    <t>http://www.linkedin.com/company/egixia</t>
  </si>
  <si>
    <t>https://egixia.com</t>
  </si>
  <si>
    <t>Sellstar</t>
  </si>
  <si>
    <t>hectororozco@sellstar.co</t>
  </si>
  <si>
    <t>http://www.linkedin.com/in/hforozco</t>
  </si>
  <si>
    <t>http://www.linkedin.com/company/sellstar-co</t>
  </si>
  <si>
    <t>https://sellstar.co</t>
  </si>
  <si>
    <t>B&amp;G Capital</t>
  </si>
  <si>
    <t>sdecastro@bgcapitalus.com</t>
  </si>
  <si>
    <t>http://www.linkedin.com/in/santiago-de-castro-wharton</t>
  </si>
  <si>
    <t>http://www.linkedin.com/company/b-g-capital-llc</t>
  </si>
  <si>
    <t>https://bgcapitalus.com</t>
  </si>
  <si>
    <t>Xiomara</t>
  </si>
  <si>
    <t>xiomara@panteramakers.com</t>
  </si>
  <si>
    <t>http://www.linkedin.com/in/xiomara-noriega-fontalvo-860918109</t>
  </si>
  <si>
    <t>CGO | Chief Growth Office | Co-founder</t>
  </si>
  <si>
    <t>fernando@handelbay.com</t>
  </si>
  <si>
    <t>http://www.linkedin.com/in/nandogaiofa</t>
  </si>
  <si>
    <t>cristina@humanolab.ai</t>
  </si>
  <si>
    <t>http://www.linkedin.com/in/cristinaquijanop</t>
  </si>
  <si>
    <t>Co-founder - Chief Operating Officer</t>
  </si>
  <si>
    <t>Xertify Latam</t>
  </si>
  <si>
    <t>felipe@xertify.co</t>
  </si>
  <si>
    <t>http://www.linkedin.com/in/felipearenasteneche</t>
  </si>
  <si>
    <t>http://www.linkedin.com/company/xertifylatam</t>
  </si>
  <si>
    <t>https://xertify.co</t>
  </si>
  <si>
    <t>KPI GLOBAL</t>
  </si>
  <si>
    <t>gerencia@kpigroupco.com</t>
  </si>
  <si>
    <t>http://www.linkedin.com/in/diana-patricia-torres-carranza</t>
  </si>
  <si>
    <t>http://www.linkedin.com/company/kpi-global</t>
  </si>
  <si>
    <t>https://kpiglobalus.com</t>
  </si>
  <si>
    <t>Fundador / CEO</t>
  </si>
  <si>
    <t>Visiona BI</t>
  </si>
  <si>
    <t>ralvarez@visionabi.com</t>
  </si>
  <si>
    <t>http://www.linkedin.com/in/ra%c3%bal-%c3%a1lvarez-alonso-6635a652</t>
  </si>
  <si>
    <t>http://www.linkedin.com/company/visiona-bi</t>
  </si>
  <si>
    <t>https://visionabi.com</t>
  </si>
  <si>
    <t>TRES60 Consultores</t>
  </si>
  <si>
    <t>rfranco@tres60.co</t>
  </si>
  <si>
    <t>http://www.linkedin.com/in/rodrigofrancoc</t>
  </si>
  <si>
    <t>http://www.linkedin.com/company/tres60transformacion</t>
  </si>
  <si>
    <t>https://tres60.co</t>
  </si>
  <si>
    <t>Manolo</t>
  </si>
  <si>
    <t>The Global Good Fund</t>
  </si>
  <si>
    <t>manolo.paez@globalgoodfund.org</t>
  </si>
  <si>
    <t>http://www.linkedin.com/in/manolopaez</t>
  </si>
  <si>
    <t>http://www.linkedin.com/company/global-good-fund</t>
  </si>
  <si>
    <t>https://globalgoodfund.org</t>
  </si>
  <si>
    <t>js@hacku.co</t>
  </si>
  <si>
    <t>http://www.linkedin.com/in/jnssalazar</t>
  </si>
  <si>
    <t>ndiaz@sitechcolombia.com</t>
  </si>
  <si>
    <t>http://www.linkedin.com/in/nataliadiazvivas</t>
  </si>
  <si>
    <t>ELASTICA</t>
  </si>
  <si>
    <t>felipe.munoz@elasticacg.com</t>
  </si>
  <si>
    <t>http://www.linkedin.com/in/felipemunozaguilera</t>
  </si>
  <si>
    <t>http://www.linkedin.com/company/elasticacg</t>
  </si>
  <si>
    <t>https://elasticacg.com</t>
  </si>
  <si>
    <t>Residentti</t>
  </si>
  <si>
    <t>acaceres@residentti.com</t>
  </si>
  <si>
    <t>http://www.linkedin.com/in/andrea-c%c3%a1ceres-b-3036b424</t>
  </si>
  <si>
    <t>http://www.linkedin.com/company/residentti</t>
  </si>
  <si>
    <t>https://residentti.com</t>
  </si>
  <si>
    <t>Diestro PD</t>
  </si>
  <si>
    <t>juan.franco@diestropd.com</t>
  </si>
  <si>
    <t>http://www.linkedin.com/in/juanfranco-ventas</t>
  </si>
  <si>
    <t>http://www.linkedin.com/company/diestro-pd</t>
  </si>
  <si>
    <t>https://diestropd.com</t>
  </si>
  <si>
    <t>Founder / Director</t>
  </si>
  <si>
    <t>FUNDACION INTI</t>
  </si>
  <si>
    <t>adrianalievano@fundacioninti.org</t>
  </si>
  <si>
    <t>http://www.linkedin.com/in/adriana-lievano-595b5426</t>
  </si>
  <si>
    <t>http://www.linkedin.com/company/fundacioninti</t>
  </si>
  <si>
    <t>https://fundacioninti.org</t>
  </si>
  <si>
    <t>daniela.ortiz@daki.ai</t>
  </si>
  <si>
    <t>http://www.linkedin.com/in/danielaortizmolina</t>
  </si>
  <si>
    <t>Etienne</t>
  </si>
  <si>
    <t>AyP Capital</t>
  </si>
  <si>
    <t>etienne@aypcapital.co</t>
  </si>
  <si>
    <t>http://www.linkedin.com/in/etienne-p%c3%aacheur-668a6b73</t>
  </si>
  <si>
    <t>http://www.linkedin.com/company/alarcon-y-pecheur</t>
  </si>
  <si>
    <t>https://aypcapital.co</t>
  </si>
  <si>
    <t>nalbornoz@toperty.co</t>
  </si>
  <si>
    <t>http://www.linkedin.com/in/nicolasalbornozbernal</t>
  </si>
  <si>
    <t>Hoover</t>
  </si>
  <si>
    <t>SimbioSystemas</t>
  </si>
  <si>
    <t>gerencia@simbiosystemas.com</t>
  </si>
  <si>
    <t>http://www.linkedin.com/in/hoover-antonio-lopez-rivera-14451957</t>
  </si>
  <si>
    <t>http://www.linkedin.com/company/simbiosystemas</t>
  </si>
  <si>
    <t>https://simbiosystemas.com</t>
  </si>
  <si>
    <t>Khuma</t>
  </si>
  <si>
    <t>Khuma Coaching</t>
  </si>
  <si>
    <t>angeloromero@khumacoaching.com</t>
  </si>
  <si>
    <t>http://www.linkedin.com/in/khumacoaching</t>
  </si>
  <si>
    <t>http://www.linkedin.com/company/khuma-coaching</t>
  </si>
  <si>
    <t>https://khumacoaching.com</t>
  </si>
  <si>
    <t>Marine</t>
  </si>
  <si>
    <t>Morera comunicaciones estratégicas &amp; PR</t>
  </si>
  <si>
    <t>marinemorera@fabiolamorera.co</t>
  </si>
  <si>
    <t>http://www.linkedin.com/in/marine-more-morera-7a22b916</t>
  </si>
  <si>
    <t>http://www.linkedin.com/company/morerapr</t>
  </si>
  <si>
    <t>https://morerapr.com</t>
  </si>
  <si>
    <t>Norman</t>
  </si>
  <si>
    <t>Centinela Appliance</t>
  </si>
  <si>
    <t>norman.ocampo@clusteritc.co</t>
  </si>
  <si>
    <t>http://www.linkedin.com/in/norman-ocampo</t>
  </si>
  <si>
    <t>http://www.linkedin.com/company/centinela-appliance</t>
  </si>
  <si>
    <t>https://clusteritc.co</t>
  </si>
  <si>
    <t>Spybee</t>
  </si>
  <si>
    <t>julian.rico@spybee.com.co</t>
  </si>
  <si>
    <t>http://www.linkedin.com/in/julian-rico-spybee</t>
  </si>
  <si>
    <t>http://www.linkedin.com/company/spybee</t>
  </si>
  <si>
    <t>https://spybee.com.co</t>
  </si>
  <si>
    <t>agustin@ubidots.com</t>
  </si>
  <si>
    <t>http://www.linkedin.com/in/agustin1985</t>
  </si>
  <si>
    <t>Cybersecurity and Defense Group</t>
  </si>
  <si>
    <t>mauricio.donado@ccd.com.co</t>
  </si>
  <si>
    <t>http://www.linkedin.com/in/mauricio-donado-amaya-3062034b</t>
  </si>
  <si>
    <t>http://www.linkedin.com/company/cyberthreat-defense-group</t>
  </si>
  <si>
    <t>https://cyberthreatdefense.us</t>
  </si>
  <si>
    <t>Subastas y Comercio</t>
  </si>
  <si>
    <t>gerencia@subastasycomercio.com</t>
  </si>
  <si>
    <t>http://www.linkedin.com/in/martha-patricia-g%c3%b3mez-subastas</t>
  </si>
  <si>
    <t>http://www.linkedin.com/company/subastaycomercio</t>
  </si>
  <si>
    <t>https://subastasycomercio.com</t>
  </si>
  <si>
    <t>BTWSOFT</t>
  </si>
  <si>
    <t>ingjoseivan@bythewave.co</t>
  </si>
  <si>
    <t>http://www.linkedin.com/in/jos%c3%a9-iv%c3%a1n-gonz%c3%a1lez-vidal-42412735</t>
  </si>
  <si>
    <t>http://www.linkedin.com/company/btw-soft</t>
  </si>
  <si>
    <t>https://btw.com.co</t>
  </si>
  <si>
    <t>Josh</t>
  </si>
  <si>
    <t>Founding Director &amp; CEO</t>
  </si>
  <si>
    <t>Global Conservation Solutions</t>
  </si>
  <si>
    <t>josh@globalconservationsolutions.com</t>
  </si>
  <si>
    <t>http://www.linkedin.com/in/joshnoseworthygcs</t>
  </si>
  <si>
    <t>http://www.linkedin.com/company/globalconservationsolutions</t>
  </si>
  <si>
    <t>https://globalconservationsolutions.com</t>
  </si>
  <si>
    <t>CEO - Presidente Ejecutivo</t>
  </si>
  <si>
    <t>MC Armor</t>
  </si>
  <si>
    <t>mc@mcarmor.com</t>
  </si>
  <si>
    <t>http://www.linkedin.com/in/miguel-caballero-g</t>
  </si>
  <si>
    <t>http://www.linkedin.com/company/mcarmor-miguelcaballero</t>
  </si>
  <si>
    <t>https://mcarmor.com</t>
  </si>
  <si>
    <t>defense &amp; space</t>
  </si>
  <si>
    <t>Nayibe</t>
  </si>
  <si>
    <t>Co-Founder &amp; Directora Ejecutiva</t>
  </si>
  <si>
    <t>Hub Insurtech</t>
  </si>
  <si>
    <t>ncmartinez@hubinsurtech.com</t>
  </si>
  <si>
    <t>http://www.linkedin.com/in/nayibe-chiguazuque-martinez-273461132</t>
  </si>
  <si>
    <t>http://www.linkedin.com/company/hubinsurtech</t>
  </si>
  <si>
    <t>https://hubinsurtech.com</t>
  </si>
  <si>
    <t>Jeyson</t>
  </si>
  <si>
    <t>jeyson.guzman@nowbit.co</t>
  </si>
  <si>
    <t>http://www.linkedin.com/in/jaguzmanb</t>
  </si>
  <si>
    <t>nicolas@sekure.com.co</t>
  </si>
  <si>
    <t>http://www.linkedin.com/in/nicolascorderoc</t>
  </si>
  <si>
    <t>javier.rincon@cetus.ai</t>
  </si>
  <si>
    <t>http://www.linkedin.com/in/javier-rincon-miranda-ba05679b</t>
  </si>
  <si>
    <t>Desarrollarte Plus</t>
  </si>
  <si>
    <t>ana.maria.salom@desarrollarteplus.com</t>
  </si>
  <si>
    <t>http://www.linkedin.com/in/ana-mar%c3%ada-salom-reyes</t>
  </si>
  <si>
    <t>http://www.linkedin.com/company/desarrollarte-plus</t>
  </si>
  <si>
    <t>https://desarrollarteplus.com</t>
  </si>
  <si>
    <t>Databiz</t>
  </si>
  <si>
    <t>jose.mora@databiz.co</t>
  </si>
  <si>
    <t>http://www.linkedin.com/in/jose-carlos-mora-herrera</t>
  </si>
  <si>
    <t>http://www.linkedin.com/company/databiz</t>
  </si>
  <si>
    <t>https://databiz.co</t>
  </si>
  <si>
    <t>Urbania Cafe</t>
  </si>
  <si>
    <t>rrestrepo@urbaniacafe.com</t>
  </si>
  <si>
    <t>http://www.linkedin.com/in/ricardorestrepoe</t>
  </si>
  <si>
    <t>http://www.linkedin.com/company/urbania-cafe</t>
  </si>
  <si>
    <t>https://urbaniacafe.com</t>
  </si>
  <si>
    <t>SANOLIVAR</t>
  </si>
  <si>
    <t>hector.sanabria@sanolivar.co</t>
  </si>
  <si>
    <t>http://www.linkedin.com/in/hector-sanabria-diaz-10682648</t>
  </si>
  <si>
    <t>http://www.linkedin.com/company/sanolivar</t>
  </si>
  <si>
    <t>https://sanolivar.com</t>
  </si>
  <si>
    <t>VAL Logistics</t>
  </si>
  <si>
    <t>angie.sanchez@val.com.co</t>
  </si>
  <si>
    <t>http://www.linkedin.com/in/angie-s%c3%a1nchez-370801191</t>
  </si>
  <si>
    <t>http://www.linkedin.com/company/val-logistics</t>
  </si>
  <si>
    <t>https://val.com.co</t>
  </si>
  <si>
    <t>Jessica</t>
  </si>
  <si>
    <t>Head of Growth (Marketing &amp; Sales) – ITUS</t>
  </si>
  <si>
    <t>Itus</t>
  </si>
  <si>
    <t>jessica.mila@itusmarine.com</t>
  </si>
  <si>
    <t>http://www.linkedin.com/in/jessica-mila-9563185b</t>
  </si>
  <si>
    <t>http://www.linkedin.com/company/ituscargoinsurance</t>
  </si>
  <si>
    <t>https://itusmarine.com</t>
  </si>
  <si>
    <t>Head of Operations and Business Development</t>
  </si>
  <si>
    <t>Gabee.ai</t>
  </si>
  <si>
    <t>mateo@gabee.ai</t>
  </si>
  <si>
    <t>http://www.linkedin.com/in/m-beltranm</t>
  </si>
  <si>
    <t>http://www.linkedin.com/company/gabee-ai</t>
  </si>
  <si>
    <t>https://gabee.ai</t>
  </si>
  <si>
    <t>devs</t>
  </si>
  <si>
    <t>sebastian.ordonez@devs.com.co</t>
  </si>
  <si>
    <t>http://www.linkedin.com/in/sebastian-ordo%c3%b1ez-rubiano-8292b8117</t>
  </si>
  <si>
    <t>http://www.linkedin.com/company/devssas</t>
  </si>
  <si>
    <t>https://devs.com.co</t>
  </si>
  <si>
    <t>Cofounder &amp; VDC Project Manager</t>
  </si>
  <si>
    <t>Bimated • VDC experts • Preconstruimos el futuro</t>
  </si>
  <si>
    <t>luis.clavijo@bimated.com</t>
  </si>
  <si>
    <t>http://www.linkedin.com/in/luis-eduardo-clavijo-5aa5129b</t>
  </si>
  <si>
    <t>http://www.linkedin.com/company/bimated</t>
  </si>
  <si>
    <t>https://bimated.com</t>
  </si>
  <si>
    <t>CEO and Co-Founder at MaslightSolar</t>
  </si>
  <si>
    <t>MAS LIGHT SOLAR S.A.S</t>
  </si>
  <si>
    <t>martin.hurtado@maslightse.com</t>
  </si>
  <si>
    <t>http://www.linkedin.com/in/martin-hurtado-aguilar-1849bb75</t>
  </si>
  <si>
    <t>http://www.linkedin.com/company/maslightsolar</t>
  </si>
  <si>
    <t>https://maslightsolar.com</t>
  </si>
  <si>
    <t>Dayana</t>
  </si>
  <si>
    <t>Imporpack 🌱</t>
  </si>
  <si>
    <t>dayana.donoso@imporpack.com</t>
  </si>
  <si>
    <t>http://www.linkedin.com/in/dayana-catherine-donoso-ramirez-85022954</t>
  </si>
  <si>
    <t>http://www.linkedin.com/company/imporpack</t>
  </si>
  <si>
    <t>https://imporpack.com</t>
  </si>
  <si>
    <t>The Automation Lab</t>
  </si>
  <si>
    <t>nicolas@theautomationlab.co</t>
  </si>
  <si>
    <t>http://www.linkedin.com/in/nicolasvega</t>
  </si>
  <si>
    <t>http://www.linkedin.com/company/the-automation-lab</t>
  </si>
  <si>
    <t>https://theautomationlab.co</t>
  </si>
  <si>
    <t>Datasite S.A.S</t>
  </si>
  <si>
    <t>oalvarez@datasite.com.co</t>
  </si>
  <si>
    <t>http://www.linkedin.com/in/oscar-fernando-alvarez-b1847212</t>
  </si>
  <si>
    <t>http://www.linkedin.com/company/datadoc</t>
  </si>
  <si>
    <t>https://datasite.com.co</t>
  </si>
  <si>
    <t>BloomsyBox.com</t>
  </si>
  <si>
    <t>carolinap@bloomsybox.com</t>
  </si>
  <si>
    <t>http://www.linkedin.com/in/carolina-pedraza-botero-45a18631</t>
  </si>
  <si>
    <t>http://www.linkedin.com/company/bloomsybox</t>
  </si>
  <si>
    <t>https://bloomsybox.com</t>
  </si>
  <si>
    <t>Tom</t>
  </si>
  <si>
    <t>Co-Founder &amp; Chief Commercial Officer</t>
  </si>
  <si>
    <t>PractiKal</t>
  </si>
  <si>
    <t>tom.mcallister@practikal.io</t>
  </si>
  <si>
    <t>http://www.linkedin.com/in/thomasmcallister1</t>
  </si>
  <si>
    <t>http://www.linkedin.com/company/practikal-io</t>
  </si>
  <si>
    <t>https://practikal.io</t>
  </si>
  <si>
    <t>Head of Product - Co-founder</t>
  </si>
  <si>
    <t>mateob@kamin.one</t>
  </si>
  <si>
    <t>http://www.linkedin.com/in/mateobadilloal</t>
  </si>
  <si>
    <t>Meddipay</t>
  </si>
  <si>
    <t>juan.gonzalez@meddipay.com</t>
  </si>
  <si>
    <t>http://www.linkedin.com/in/juancamilogonzalez</t>
  </si>
  <si>
    <t>http://www.linkedin.com/company/meddipay</t>
  </si>
  <si>
    <t>https://meddipay.com.co</t>
  </si>
  <si>
    <t>Bmotik</t>
  </si>
  <si>
    <t>a.alonso@bmotik.com</t>
  </si>
  <si>
    <t>http://www.linkedin.com/in/andresalonsoacosta</t>
  </si>
  <si>
    <t>http://www.linkedin.com/company/bmotik</t>
  </si>
  <si>
    <t>https://bmotik.com</t>
  </si>
  <si>
    <t>Bibiana</t>
  </si>
  <si>
    <t>Co CEO</t>
  </si>
  <si>
    <t>Taller A</t>
  </si>
  <si>
    <t>bibianaardila@tallera.co</t>
  </si>
  <si>
    <t>http://www.linkedin.com/in/bibiana-ardila-g%c3%b3mez-7b20b313a</t>
  </si>
  <si>
    <t>http://www.linkedin.com/company/taller-a</t>
  </si>
  <si>
    <t>https://tallera.co</t>
  </si>
  <si>
    <t>EMPSII SAS</t>
  </si>
  <si>
    <t>mperlaza@empsii.com</t>
  </si>
  <si>
    <t>http://www.linkedin.com/in/mauricio-perlaza-azcarate-736b6760</t>
  </si>
  <si>
    <t>http://www.linkedin.com/company/empsii-sas</t>
  </si>
  <si>
    <t>https://empsii.com</t>
  </si>
  <si>
    <t>Plasdival SAS</t>
  </si>
  <si>
    <t>gerencia@plasdival.com</t>
  </si>
  <si>
    <t>http://www.linkedin.com/in/juan-diaz-1314a9a1</t>
  </si>
  <si>
    <t>http://www.linkedin.com/company/distribuidora-caliplasticos-ltda-</t>
  </si>
  <si>
    <t>https://plasdival.com</t>
  </si>
  <si>
    <t>rodrigo@kamin.one</t>
  </si>
  <si>
    <t>http://www.linkedin.com/in/rodrigo-leon-03710910</t>
  </si>
  <si>
    <t>CSO &amp; Co-Founder Dillie.ai</t>
  </si>
  <si>
    <t>Dillie.Ai</t>
  </si>
  <si>
    <t>nelson@dillie.ai</t>
  </si>
  <si>
    <t>http://www.linkedin.com/in/nelson-beltran</t>
  </si>
  <si>
    <t>http://www.linkedin.com/company/dillie-ai</t>
  </si>
  <si>
    <t>https://dillie.ai</t>
  </si>
  <si>
    <t>Awtana</t>
  </si>
  <si>
    <t>angie.romero@awtana.com</t>
  </si>
  <si>
    <t>http://www.linkedin.com/in/angieromerob</t>
  </si>
  <si>
    <t>http://www.linkedin.com/company/awtana</t>
  </si>
  <si>
    <t>https://awtana.com</t>
  </si>
  <si>
    <t>Co Founder - CEO</t>
  </si>
  <si>
    <t>MUV-U Estudios en el Exterior</t>
  </si>
  <si>
    <t>daniela@muvu.com.co</t>
  </si>
  <si>
    <t>http://www.linkedin.com/in/danybolivar</t>
  </si>
  <si>
    <t>http://www.linkedin.com/company/muv-u-estudios-en-el-exterior</t>
  </si>
  <si>
    <t>https://muvu.com.co</t>
  </si>
  <si>
    <t>Instituto Geográfico Agustín Codazzi</t>
  </si>
  <si>
    <t>http://www.linkedin.com/in/anfgomez</t>
  </si>
  <si>
    <t>http://www.linkedin.com/company/igac</t>
  </si>
  <si>
    <t>Co-Founder, CPO</t>
  </si>
  <si>
    <t>daniel@miliopay.com</t>
  </si>
  <si>
    <t>http://www.linkedin.com/in/daniel-g%c3%b3mez-86954a58</t>
  </si>
  <si>
    <t>TNHI</t>
  </si>
  <si>
    <t>santiago.noguera@tnhi.com.co</t>
  </si>
  <si>
    <t>http://www.linkedin.com/in/santiago-noguera-899b4bb8</t>
  </si>
  <si>
    <t>http://www.linkedin.com/company/thenewhubinnovations</t>
  </si>
  <si>
    <t>https://tnhi.com.co</t>
  </si>
  <si>
    <t>IT COLABORACION</t>
  </si>
  <si>
    <t>mespin@itcolaboracion.com</t>
  </si>
  <si>
    <t>http://www.linkedin.com/in/marceloespin</t>
  </si>
  <si>
    <t>http://www.linkedin.com/company/it-colaboraci%c3%b3n</t>
  </si>
  <si>
    <t>https://itcolaboracion.com</t>
  </si>
  <si>
    <t>think SID</t>
  </si>
  <si>
    <t>santiago@thinksid.co</t>
  </si>
  <si>
    <t>http://www.linkedin.com/in/santiagoforerothinksid</t>
  </si>
  <si>
    <t>http://www.linkedin.com/company/thinksid</t>
  </si>
  <si>
    <t>https://thinksid.co</t>
  </si>
  <si>
    <t>Bonnett Analytics</t>
  </si>
  <si>
    <t>mbonnett@bonnettanalytics.com</t>
  </si>
  <si>
    <t>http://www.linkedin.com/in/mateo-bonnett</t>
  </si>
  <si>
    <t>http://www.linkedin.com/company/bonnett-analytics</t>
  </si>
  <si>
    <t>https://bonnettanalytics.com</t>
  </si>
  <si>
    <t>carolina@mpfinvest.com</t>
  </si>
  <si>
    <t>http://www.linkedin.com/in/carolina-pineda-007a1425</t>
  </si>
  <si>
    <t>Co-Founder &amp; Director General</t>
  </si>
  <si>
    <t>People Intelligence</t>
  </si>
  <si>
    <t>carlos.schmidt@peopleintelligence.co</t>
  </si>
  <si>
    <t>http://www.linkedin.com/in/carlos-schmidt-junguito-0239684</t>
  </si>
  <si>
    <t>http://www.linkedin.com/company/people-intelligence</t>
  </si>
  <si>
    <t>https://peopleintelligence.co</t>
  </si>
  <si>
    <t>Fundadora y CEO</t>
  </si>
  <si>
    <t>EQUO</t>
  </si>
  <si>
    <t>lina.gonzalez@equo.com.co</t>
  </si>
  <si>
    <t>http://www.linkedin.com/in/lina-gonz%c3%a1lez-a9081638</t>
  </si>
  <si>
    <t>http://www.linkedin.com/company/%c3%a9quo-i-the-employee-experience-equation</t>
  </si>
  <si>
    <t>https://equo.com.co</t>
  </si>
  <si>
    <t>Job City</t>
  </si>
  <si>
    <t>gerencia@jobcity.com.co</t>
  </si>
  <si>
    <t>http://www.linkedin.com/in/alexander-acosta-garcia-</t>
  </si>
  <si>
    <t>http://www.linkedin.com/company/job-city-colombia</t>
  </si>
  <si>
    <t>https://jobcity.com.co</t>
  </si>
  <si>
    <t>It Hunters</t>
  </si>
  <si>
    <t>carolinatoro@ithunters.co</t>
  </si>
  <si>
    <t>http://www.linkedin.com/in/carolina-toro-franco-20a6102b</t>
  </si>
  <si>
    <t>http://www.linkedin.com/company/it-hunters-sas</t>
  </si>
  <si>
    <t>https://ithunters.co</t>
  </si>
  <si>
    <t>Insert Coin Animation Studios</t>
  </si>
  <si>
    <t>camilo@insertcoin.com.co</t>
  </si>
  <si>
    <t>http://www.linkedin.com/in/camiloesc</t>
  </si>
  <si>
    <t>http://www.linkedin.com/company/insert-coin-animation-studios</t>
  </si>
  <si>
    <t>https://insertcoin.com.co</t>
  </si>
  <si>
    <t>BSoCol</t>
  </si>
  <si>
    <t>gabriel.camargo@bsocol.com</t>
  </si>
  <si>
    <t>http://www.linkedin.com/in/gabriel-camargo-a9072314b</t>
  </si>
  <si>
    <t>http://www.linkedin.com/company/bsocol</t>
  </si>
  <si>
    <t>https://bsocol.com</t>
  </si>
  <si>
    <t>Valoriza Group</t>
  </si>
  <si>
    <t>lco@valorizagroup.com</t>
  </si>
  <si>
    <t>http://www.linkedin.com/in/luis-carlos-ochoa-paris-39888658</t>
  </si>
  <si>
    <t>http://www.linkedin.com/company/valoriza-colombia</t>
  </si>
  <si>
    <t>https://valorizagroup.com</t>
  </si>
  <si>
    <t>ZAE Media</t>
  </si>
  <si>
    <t>estefania@zarangarita.com</t>
  </si>
  <si>
    <t>http://www.linkedin.com/in/zarangarita</t>
  </si>
  <si>
    <t>http://www.linkedin.com/company/zarangarita-media</t>
  </si>
  <si>
    <t>https://zarangarita.com</t>
  </si>
  <si>
    <t>Bruce</t>
  </si>
  <si>
    <t>Founder / CEO Incentive Travel Colombia</t>
  </si>
  <si>
    <t>Incentive Travel Colombia</t>
  </si>
  <si>
    <t>bruce@incentivetravelcolombia.com</t>
  </si>
  <si>
    <t>http://www.linkedin.com/in/bruce-mclean-bnbcolombiatours-incentivetravelcolombia</t>
  </si>
  <si>
    <t>http://www.linkedin.com/company/incentive-travel-colombia</t>
  </si>
  <si>
    <t>https://incentivetravelcolombia.com</t>
  </si>
  <si>
    <t>Sales Partners Manager</t>
  </si>
  <si>
    <t>Sagicc</t>
  </si>
  <si>
    <t>ddavila@sagicc.co</t>
  </si>
  <si>
    <t>http://www.linkedin.com/in/danieldavilaor</t>
  </si>
  <si>
    <t>http://www.linkedin.com/company/sagicc</t>
  </si>
  <si>
    <t>https://sagicc.co</t>
  </si>
  <si>
    <t>FUNDDERS</t>
  </si>
  <si>
    <t>pipe@fundders.com</t>
  </si>
  <si>
    <t>http://www.linkedin.com/in/beltranfelipe</t>
  </si>
  <si>
    <t>http://www.linkedin.com/company/fundders-sas</t>
  </si>
  <si>
    <t>https://fundders.com</t>
  </si>
  <si>
    <t>Growth Strategy Director</t>
  </si>
  <si>
    <t>Wise Meetings Inc -Conectamos clientes con vendedores de IT</t>
  </si>
  <si>
    <t>nbonilla@wise-meetings.com</t>
  </si>
  <si>
    <t>http://www.linkedin.com/in/nicolas-bonilla-8a5a01247</t>
  </si>
  <si>
    <t>http://www.linkedin.com/company/wise-meetings-inc</t>
  </si>
  <si>
    <t>https://wise-meetings.com</t>
  </si>
  <si>
    <t>Lök Foods</t>
  </si>
  <si>
    <t>maria.angulo@lokfoods.com</t>
  </si>
  <si>
    <t>http://www.linkedin.com/in/mar%c3%ada-carolina-angulo-85571727</t>
  </si>
  <si>
    <t>http://www.linkedin.com/company/lok-foods</t>
  </si>
  <si>
    <t>https://lokfoodsus.com</t>
  </si>
  <si>
    <t>CEO &amp; Founder | Líder en Transformación Empresarial Sostenible y Soluciones Integradas</t>
  </si>
  <si>
    <t>Mapnova</t>
  </si>
  <si>
    <t>juan.moreno@mapnova.com.co</t>
  </si>
  <si>
    <t>http://www.linkedin.com/in/juanmmo</t>
  </si>
  <si>
    <t>http://www.linkedin.com/company/mpnovacenter</t>
  </si>
  <si>
    <t>https://mapnova.com.co</t>
  </si>
  <si>
    <t>Grayola</t>
  </si>
  <si>
    <t>e@grayola.io</t>
  </si>
  <si>
    <t>http://www.linkedin.com/in/emmanuelriverafarfan</t>
  </si>
  <si>
    <t>http://www.linkedin.com/company/grayola</t>
  </si>
  <si>
    <t>https://grayola.io</t>
  </si>
  <si>
    <t>Fundador &amp; Co-CEO</t>
  </si>
  <si>
    <t>Tranqui Finanzas</t>
  </si>
  <si>
    <t>jorge@tranquifinanzas.com</t>
  </si>
  <si>
    <t>http://www.linkedin.com/in/gallegojorge</t>
  </si>
  <si>
    <t>http://www.linkedin.com/company/tranquifinanzas</t>
  </si>
  <si>
    <t>https://tranquifinanzas.com</t>
  </si>
  <si>
    <t>Lummia Latam</t>
  </si>
  <si>
    <t>nicolas@lumialatam.com</t>
  </si>
  <si>
    <t>http://www.linkedin.com/in/nicolasmoreno-lumia</t>
  </si>
  <si>
    <t>http://www.linkedin.com/company/lummia-latam</t>
  </si>
  <si>
    <t>https://lumialatam.com</t>
  </si>
  <si>
    <t>CEO de Human Bridge</t>
  </si>
  <si>
    <t>Human Bridge</t>
  </si>
  <si>
    <t>direccion@manuelparra.co</t>
  </si>
  <si>
    <t>http://www.linkedin.com/in/manuel-parra-b1a9053b</t>
  </si>
  <si>
    <t>http://www.linkedin.com/company/impacto-militar</t>
  </si>
  <si>
    <t>https://manuelparra.co</t>
  </si>
  <si>
    <t>Nohora</t>
  </si>
  <si>
    <t>nohora@whaleandjaguar.co</t>
  </si>
  <si>
    <t>http://www.linkedin.com/in/nohoragalan</t>
  </si>
  <si>
    <t>Industrias Viva Natur S.A.S</t>
  </si>
  <si>
    <t>jcastro@vivanatur.co</t>
  </si>
  <si>
    <t>http://www.linkedin.com/in/joanna-castro-60212739</t>
  </si>
  <si>
    <t>http://www.linkedin.com/company/industrias-viva-natur-s-a-s</t>
  </si>
  <si>
    <t>https://vivanatur.com.co</t>
  </si>
  <si>
    <t>Erika</t>
  </si>
  <si>
    <t>Sinova</t>
  </si>
  <si>
    <t>erika.bautista@sinova.co</t>
  </si>
  <si>
    <t>http://www.linkedin.com/in/erika-bautista-ef</t>
  </si>
  <si>
    <t>http://www.linkedin.com/company/sinova</t>
  </si>
  <si>
    <t>https://sinova.co</t>
  </si>
  <si>
    <t>Co-Founder | SaaS &amp; AI Construction Platform</t>
  </si>
  <si>
    <t>felipe.garzon@spybee.com.co</t>
  </si>
  <si>
    <t>http://www.linkedin.com/in/felipe-garzon-spybee</t>
  </si>
  <si>
    <t>Hyen</t>
  </si>
  <si>
    <t>El Club de Inversionistas</t>
  </si>
  <si>
    <t>hyenuk@elclubdeinversionistas.com</t>
  </si>
  <si>
    <t>http://www.linkedin.com/in/hyenukchu</t>
  </si>
  <si>
    <t>http://www.linkedin.com/company/el-club-de-inversionistas</t>
  </si>
  <si>
    <t>https://elclubdeinversionistas.com</t>
  </si>
  <si>
    <t>Flowing Consultoría</t>
  </si>
  <si>
    <t>dapoveda@flowingconsultoria.com</t>
  </si>
  <si>
    <t>http://www.linkedin.com/in/david-poveda-785702150</t>
  </si>
  <si>
    <t>http://www.linkedin.com/company/flowing-consultor%c3%ada</t>
  </si>
  <si>
    <t>https://flowingconsultoria.com</t>
  </si>
  <si>
    <t>Co-founder &amp; CEO Wupo</t>
  </si>
  <si>
    <t>Wupo</t>
  </si>
  <si>
    <t>jorge.hernandez@wupealo.com</t>
  </si>
  <si>
    <t>http://www.linkedin.com/in/jorge-andres-hernandez-8a4442b1</t>
  </si>
  <si>
    <t>http://www.linkedin.com/company/wupo</t>
  </si>
  <si>
    <t>https://wupealo.com</t>
  </si>
  <si>
    <t>Antonio</t>
  </si>
  <si>
    <t>ENGINEVIA SAS</t>
  </si>
  <si>
    <t>gerencia@engineviasas.com</t>
  </si>
  <si>
    <t>http://www.linkedin.com/in/antonio-velasquez-cruz-51826336</t>
  </si>
  <si>
    <t>http://www.linkedin.com/company/engineviasas</t>
  </si>
  <si>
    <t>https://enginevia.com.co</t>
  </si>
  <si>
    <t>santiago@boxisleep.com.co</t>
  </si>
  <si>
    <t>http://www.linkedin.com/in/santiago-varenkow</t>
  </si>
  <si>
    <t>CEO and Founder Qinaya</t>
  </si>
  <si>
    <t>Qinaya</t>
  </si>
  <si>
    <t>catalina@qinaya.co</t>
  </si>
  <si>
    <t>http://www.linkedin.com/in/catalina-ortiz-29532441</t>
  </si>
  <si>
    <t>http://www.linkedin.com/company/qinaya</t>
  </si>
  <si>
    <t>https://qinaya.co</t>
  </si>
  <si>
    <t>david@salestrategy.io</t>
  </si>
  <si>
    <t>http://www.linkedin.com/in/david-lemus-93a7b390</t>
  </si>
  <si>
    <t>CEO &amp; CTO en Codetopus</t>
  </si>
  <si>
    <t>Edgen AI</t>
  </si>
  <si>
    <t>esteban@edgen.ai</t>
  </si>
  <si>
    <t>http://www.linkedin.com/in/estebandalelr</t>
  </si>
  <si>
    <t>http://www.linkedin.com/company/edgenai</t>
  </si>
  <si>
    <t>https://edgen.ai</t>
  </si>
  <si>
    <t>Isabela</t>
  </si>
  <si>
    <t>Tracki</t>
  </si>
  <si>
    <t>isabela@tracki.ai</t>
  </si>
  <si>
    <t>http://www.linkedin.com/in/isabela-jim%c3%a9nez-g-9627b374</t>
  </si>
  <si>
    <t>http://www.linkedin.com/company/tracki-ai</t>
  </si>
  <si>
    <t>https://tracki.ai</t>
  </si>
  <si>
    <t>There is Talent</t>
  </si>
  <si>
    <t>claudia@thereistalent.com</t>
  </si>
  <si>
    <t>http://www.linkedin.com/in/claudia-real</t>
  </si>
  <si>
    <t>http://www.linkedin.com/company/there-is-talent</t>
  </si>
  <si>
    <t>https://thereistalent.com</t>
  </si>
  <si>
    <t>jairo.serrano@reteki.com</t>
  </si>
  <si>
    <t>http://www.linkedin.com/in/jairo-serrano</t>
  </si>
  <si>
    <t>SGE Energía</t>
  </si>
  <si>
    <t>ruben.parada@sge-energia.com</t>
  </si>
  <si>
    <t>http://www.linkedin.com/in/ruben-dario-parada-rom%c3%a1n-0b6700218</t>
  </si>
  <si>
    <t>http://www.linkedin.com/company/sge-energia</t>
  </si>
  <si>
    <t>https://sge-energia.com</t>
  </si>
  <si>
    <t>FulROI</t>
  </si>
  <si>
    <t>juan@fullrevenue.co</t>
  </si>
  <si>
    <t>http://www.linkedin.com/in/juanalejandropc</t>
  </si>
  <si>
    <t>http://www.linkedin.com/company/fulroi</t>
  </si>
  <si>
    <t>https://fullrevenue.co</t>
  </si>
  <si>
    <t>CEO Prestigio</t>
  </si>
  <si>
    <t>presidencia@prestigio.com.co</t>
  </si>
  <si>
    <t>http://www.linkedin.com/in/esteban-betancur-</t>
  </si>
  <si>
    <t>prevalentWare</t>
  </si>
  <si>
    <t>jarango@prevalentware.com</t>
  </si>
  <si>
    <t>http://www.linkedin.com/in/jpacfc</t>
  </si>
  <si>
    <t>http://www.linkedin.com/company/prevalentware</t>
  </si>
  <si>
    <t>https://prevalentware.com</t>
  </si>
  <si>
    <t>Chief Commercial Officer (CCO) &amp; Co-Founder</t>
  </si>
  <si>
    <t>Suasar S.A.S</t>
  </si>
  <si>
    <t>juans@checkpoint.com</t>
  </si>
  <si>
    <t>http://www.linkedin.com/in/juan-david-sarmiento-a6754b197</t>
  </si>
  <si>
    <t>http://www.linkedin.com/company/su%c3%a1sar-consultores-sas</t>
  </si>
  <si>
    <t>https://checkpoint.com</t>
  </si>
  <si>
    <t>jorge.perez@puxles.com</t>
  </si>
  <si>
    <t>http://www.linkedin.com/in/jorandpg</t>
  </si>
  <si>
    <t>Maritza</t>
  </si>
  <si>
    <t>Hamkke Consulting</t>
  </si>
  <si>
    <t>maritza@hamkke.co</t>
  </si>
  <si>
    <t>http://www.linkedin.com/in/maritzaroldan</t>
  </si>
  <si>
    <t>http://www.linkedin.com/company/hamkke</t>
  </si>
  <si>
    <t>https://hamkke.co</t>
  </si>
  <si>
    <t>CEO - Gerente General y Comercial</t>
  </si>
  <si>
    <t>AGNIS SAS</t>
  </si>
  <si>
    <t>alex.aparicio@agnis.co</t>
  </si>
  <si>
    <t>http://www.linkedin.com/in/alexroaparicio</t>
  </si>
  <si>
    <t>http://www.linkedin.com/company/agnis-sas</t>
  </si>
  <si>
    <t>https://agnis.co</t>
  </si>
  <si>
    <t>TECMA</t>
  </si>
  <si>
    <t>jorge.rozo@tecma.co</t>
  </si>
  <si>
    <t>http://www.linkedin.com/in/jorge-rozo-66a1aaa5</t>
  </si>
  <si>
    <t>http://www.linkedin.com/company/tecma-feria</t>
  </si>
  <si>
    <t>https://tecma.co</t>
  </si>
  <si>
    <t>Malakai Group</t>
  </si>
  <si>
    <t>german.cardona@malakaigroup.com</t>
  </si>
  <si>
    <t>http://www.linkedin.com/in/german-cardona-ramirez-8ab7bb16</t>
  </si>
  <si>
    <t>http://www.linkedin.com/company/malakai-group</t>
  </si>
  <si>
    <t>https://malakaigroup.com</t>
  </si>
  <si>
    <t>Socio Fundador - CEO (Director Ejecutivo)</t>
  </si>
  <si>
    <t>Complement Services</t>
  </si>
  <si>
    <t>ricardo.acosta@complementservices.com</t>
  </si>
  <si>
    <t>http://www.linkedin.com/in/ricardo-acosta-46672610a</t>
  </si>
  <si>
    <t>http://www.linkedin.com/company/complement-services</t>
  </si>
  <si>
    <t>https://complementservices.com</t>
  </si>
  <si>
    <t>marcela.mercadom@insilicostem.com</t>
  </si>
  <si>
    <t>http://www.linkedin.com/in/marcela-mercado-montoya-78a46593</t>
  </si>
  <si>
    <t>BitTech SAS</t>
  </si>
  <si>
    <t>gerencia@bit-tech.com.co</t>
  </si>
  <si>
    <t>http://www.linkedin.com/in/luisferrodriguez</t>
  </si>
  <si>
    <t>http://www.linkedin.com/company/bittech-sas</t>
  </si>
  <si>
    <t>https://bit-tech.com.co</t>
  </si>
  <si>
    <t>RZ Group</t>
  </si>
  <si>
    <t>diego.martinez@rzgroupsas.com</t>
  </si>
  <si>
    <t>http://www.linkedin.com/in/diego-martinez-47391a87</t>
  </si>
  <si>
    <t>http://www.linkedin.com/company/rz-group-co</t>
  </si>
  <si>
    <t>https://rzgroupsas.com</t>
  </si>
  <si>
    <t>Marius</t>
  </si>
  <si>
    <t>Viosculpt Aesthetics</t>
  </si>
  <si>
    <t>romanm@viosculpt.com</t>
  </si>
  <si>
    <t>http://www.linkedin.com/in/marius-roman-a934b513</t>
  </si>
  <si>
    <t>http://www.linkedin.com/company/viosculpt-aesthetics</t>
  </si>
  <si>
    <t>https://viosculpt.com</t>
  </si>
  <si>
    <t>Clara.Care</t>
  </si>
  <si>
    <t>azakzuk@clara.care</t>
  </si>
  <si>
    <t>http://www.linkedin.com/in/azakzuk</t>
  </si>
  <si>
    <t>http://www.linkedin.com/company/clara-care-med</t>
  </si>
  <si>
    <t>https://clara.care</t>
  </si>
  <si>
    <t>Co-Founding CEO Sol-IT SAS</t>
  </si>
  <si>
    <t>SOL-IT S.A.S</t>
  </si>
  <si>
    <t>dsolano@sol-it.com.co</t>
  </si>
  <si>
    <t>http://www.linkedin.com/in/dora-solano-cifuentes-77329236</t>
  </si>
  <si>
    <t>http://www.linkedin.com/company/sol-it-s-a-s</t>
  </si>
  <si>
    <t>https://sol-it.com.co</t>
  </si>
  <si>
    <t>Head of Operations and HR</t>
  </si>
  <si>
    <t>Dailybot</t>
  </si>
  <si>
    <t>angela@dailybot.com</t>
  </si>
  <si>
    <t>http://www.linkedin.com/in/angelapulido</t>
  </si>
  <si>
    <t>http://www.linkedin.com/company/dailybot</t>
  </si>
  <si>
    <t>https://dailybot.com</t>
  </si>
  <si>
    <t>CEO Service Robotics and Automation Solutions</t>
  </si>
  <si>
    <t>Robotics 4.0</t>
  </si>
  <si>
    <t>mario.arbulu@robotics40.com</t>
  </si>
  <si>
    <t>http://www.linkedin.com/in/mario-arbulu-24461514</t>
  </si>
  <si>
    <t>http://www.linkedin.com/company/robotics-4-0</t>
  </si>
  <si>
    <t>https://robotics40.com</t>
  </si>
  <si>
    <t>Co-Founder, Freelance</t>
  </si>
  <si>
    <t>Consulting Services 365</t>
  </si>
  <si>
    <t>creyes@consultingservices365.com</t>
  </si>
  <si>
    <t>http://www.linkedin.com/in/carlos-reyes-a17072161</t>
  </si>
  <si>
    <t>http://www.linkedin.com/company/consulting-services-365</t>
  </si>
  <si>
    <t>https://consultingservices365.com</t>
  </si>
  <si>
    <t>BKPO Colombia</t>
  </si>
  <si>
    <t>carlos.morales@bkpo.net</t>
  </si>
  <si>
    <t>http://www.linkedin.com/in/carlos-morales-customer-experience-estrategico-business-development-omnichannel</t>
  </si>
  <si>
    <t>http://www.linkedin.com/company/bkpocolombia</t>
  </si>
  <si>
    <t>https://bkpo.net</t>
  </si>
  <si>
    <t>Director of AI Strategy &amp; Operations</t>
  </si>
  <si>
    <t>Arkangel AI</t>
  </si>
  <si>
    <t>laura.ortiz@arkangel.ai</t>
  </si>
  <si>
    <t>http://www.linkedin.com/in/laura-ortiz-calderon-46662521b</t>
  </si>
  <si>
    <t>http://www.linkedin.com/company/arkangel-ai</t>
  </si>
  <si>
    <t>https://arkangel.ai</t>
  </si>
  <si>
    <t>MAMBO Studio</t>
  </si>
  <si>
    <t>juan.duque@mambostudio.tv</t>
  </si>
  <si>
    <t>http://www.linkedin.com/in/juan-duque-7a77242a</t>
  </si>
  <si>
    <t>http://www.linkedin.com/company/mambostudio</t>
  </si>
  <si>
    <t>https://mambostudio.tv</t>
  </si>
  <si>
    <t>CEO Kosmostic SAS</t>
  </si>
  <si>
    <t>KOSMOSTIC SAS</t>
  </si>
  <si>
    <t>oscar.giraldo@kosmostic.com</t>
  </si>
  <si>
    <t>http://www.linkedin.com/in/oscar-giraldo-70722578</t>
  </si>
  <si>
    <t>http://www.linkedin.com/company/kosmosticsas</t>
  </si>
  <si>
    <t>https://kosmostic.com</t>
  </si>
  <si>
    <t>COO - Director de Proyectos y Operaciones</t>
  </si>
  <si>
    <t>MOLT</t>
  </si>
  <si>
    <t>miguel@molt.com.co</t>
  </si>
  <si>
    <t>http://www.linkedin.com/in/miguel-gutierrez-7b056ab3</t>
  </si>
  <si>
    <t>http://www.linkedin.com/company/moltoficial</t>
  </si>
  <si>
    <t>https://molt.com.co</t>
  </si>
  <si>
    <t>Emilio</t>
  </si>
  <si>
    <t>Marketing and Comercial Head</t>
  </si>
  <si>
    <t>Oficina Club Deportes Tolima S.A</t>
  </si>
  <si>
    <t>eandrade@clubdeportestolima.com.co</t>
  </si>
  <si>
    <t>http://www.linkedin.com/in/emilio-andrade-matuk</t>
  </si>
  <si>
    <t>http://www.linkedin.com/company/oficina-club-deportes-tolima-s.a</t>
  </si>
  <si>
    <t>https://clubdeportestolima.com.co</t>
  </si>
  <si>
    <t>Managing Partner &amp; Strategic Marketing Director</t>
  </si>
  <si>
    <t>HM Synergy</t>
  </si>
  <si>
    <t>chernandez@hmsynergy.com</t>
  </si>
  <si>
    <t>http://www.linkedin.com/in/carlosihernandezg</t>
  </si>
  <si>
    <t>http://www.linkedin.com/company/hm-synergy</t>
  </si>
  <si>
    <t>https://hmsynergy.com</t>
  </si>
  <si>
    <t>Super Link</t>
  </si>
  <si>
    <t>simon.angel@superlink.com.co</t>
  </si>
  <si>
    <t>http://www.linkedin.com/in/simon-angel-pal</t>
  </si>
  <si>
    <t>http://www.linkedin.com/company/super-link</t>
  </si>
  <si>
    <t>https://superlink-it.com.sa</t>
  </si>
  <si>
    <t>Yolima</t>
  </si>
  <si>
    <t>Giobs</t>
  </si>
  <si>
    <t>yolima@giobs.app</t>
  </si>
  <si>
    <t>http://www.linkedin.com/in/yolima-amparo-restrepo-45985039</t>
  </si>
  <si>
    <t>http://www.linkedin.com/company/giobsapp</t>
  </si>
  <si>
    <t>https://giobs.app</t>
  </si>
  <si>
    <t>Marion</t>
  </si>
  <si>
    <t>SNAPPY PET</t>
  </si>
  <si>
    <t>http://www.linkedin.com/in/marion-vall-de-ruten-42741b24</t>
  </si>
  <si>
    <t>http://www.linkedin.com/company/snappypet</t>
  </si>
  <si>
    <t>veterinary</t>
  </si>
  <si>
    <t>SkaloTek</t>
  </si>
  <si>
    <t>luisa.velez@skalo.co</t>
  </si>
  <si>
    <t>http://www.linkedin.com/in/luisavelez-</t>
  </si>
  <si>
    <t>http://www.linkedin.com/company/skalotek</t>
  </si>
  <si>
    <t>https://skalotek.com</t>
  </si>
  <si>
    <t>Cultivate</t>
  </si>
  <si>
    <t>juanh@cultivate-agri.com</t>
  </si>
  <si>
    <t>http://www.linkedin.com/in/juanpabloh</t>
  </si>
  <si>
    <t>http://www.linkedin.com/company/cultivate-agri</t>
  </si>
  <si>
    <t>https://cultivate-agri.com</t>
  </si>
  <si>
    <t>jaime@biva.co</t>
  </si>
  <si>
    <t>http://www.linkedin.com/in/jaimeecorrea</t>
  </si>
  <si>
    <t>ULMA Packaging Colombia</t>
  </si>
  <si>
    <t>mauricio.tejedor@ulmapackaging.co</t>
  </si>
  <si>
    <t>http://www.linkedin.com/in/mauricio-tejedor-ssm</t>
  </si>
  <si>
    <t>http://www.linkedin.com/company/ulma-packaging-colombia</t>
  </si>
  <si>
    <t>https://ulmapackaging.co</t>
  </si>
  <si>
    <t>j.castro@seeri.co</t>
  </si>
  <si>
    <t>http://www.linkedin.com/in/juan-david-castro-nore%c3%b1a-912353108</t>
  </si>
  <si>
    <t>MergeLatin</t>
  </si>
  <si>
    <t>nb@merge.com.co</t>
  </si>
  <si>
    <t>http://www.linkedin.com/in/nelsonbenavides</t>
  </si>
  <si>
    <t>http://www.linkedin.com/company/mergelatin</t>
  </si>
  <si>
    <t>https://merge.com.co</t>
  </si>
  <si>
    <t>Technovation</t>
  </si>
  <si>
    <t>jp@technovation.com.co</t>
  </si>
  <si>
    <t>http://www.linkedin.com/in/jplondono-lending</t>
  </si>
  <si>
    <t>http://www.linkedin.com/company/technovationcomco</t>
  </si>
  <si>
    <t>https://technovation.com.co</t>
  </si>
  <si>
    <t>Coltalentos</t>
  </si>
  <si>
    <t>gerencia@coltalentos.com</t>
  </si>
  <si>
    <t>http://www.linkedin.com/in/carorrhh</t>
  </si>
  <si>
    <t>http://www.linkedin.com/company/coltalentos-sas</t>
  </si>
  <si>
    <t>https://coltalentos.com</t>
  </si>
  <si>
    <t>8 Blocks</t>
  </si>
  <si>
    <t>sbermudez@8blocks.co</t>
  </si>
  <si>
    <t>http://www.linkedin.com/in/smbcountrymanager</t>
  </si>
  <si>
    <t>http://www.linkedin.com/company/8-blocks-consulting</t>
  </si>
  <si>
    <t>https://8blocks.co</t>
  </si>
  <si>
    <t>Co-Founder &amp; Consultora</t>
  </si>
  <si>
    <t>Huvantia</t>
  </si>
  <si>
    <t>cata@henkosolution.com</t>
  </si>
  <si>
    <t>http://www.linkedin.com/in/catalina-montealegre-g%c3%b3ngora-9a08a947</t>
  </si>
  <si>
    <t>http://www.linkedin.com/company/henkosolution</t>
  </si>
  <si>
    <t>https://henkosolution.com</t>
  </si>
  <si>
    <t>salomon@ignia.lat</t>
  </si>
  <si>
    <t>http://www.linkedin.com/in/smuriel</t>
  </si>
  <si>
    <t>Lorenzo</t>
  </si>
  <si>
    <t>Capitalia.ai</t>
  </si>
  <si>
    <t>lorenzog@capitalia.ai</t>
  </si>
  <si>
    <t>http://www.linkedin.com/in/lorenzo-garavito</t>
  </si>
  <si>
    <t>http://www.linkedin.com/company/capitalia-ai</t>
  </si>
  <si>
    <t>https://capitalia.ai</t>
  </si>
  <si>
    <t>Panda ID Soluciones</t>
  </si>
  <si>
    <t>sgonzalez@pandaid.com</t>
  </si>
  <si>
    <t>http://www.linkedin.com/in/sandra-janneth-gonzalez-</t>
  </si>
  <si>
    <t>http://www.linkedin.com/company/pandaid-soluciones</t>
  </si>
  <si>
    <t>https://pandaid.com</t>
  </si>
  <si>
    <t>Stefan</t>
  </si>
  <si>
    <t>PIX Robotics Brasil</t>
  </si>
  <si>
    <t>stefan.churakov@pixrobotics.com</t>
  </si>
  <si>
    <t>http://www.linkedin.com/in/stefan-c-b76753123</t>
  </si>
  <si>
    <t>http://www.linkedin.com/company/pix-robotics-brasil</t>
  </si>
  <si>
    <t>https://pixrobotics.com</t>
  </si>
  <si>
    <t>Claribeth</t>
  </si>
  <si>
    <t>Founder Inner People Consulting</t>
  </si>
  <si>
    <t>Inner People Consulting</t>
  </si>
  <si>
    <t>cestepa@innerpeople.com.co</t>
  </si>
  <si>
    <t>http://www.linkedin.com/in/claribethestepa</t>
  </si>
  <si>
    <t>http://www.linkedin.com/company/inner-people</t>
  </si>
  <si>
    <t>https://innerpeople.com.co</t>
  </si>
  <si>
    <t>felipe.gomez@welli.com.co</t>
  </si>
  <si>
    <t>http://www.linkedin.com/in/felipe-gomez-herrera-5b5a2b25</t>
  </si>
  <si>
    <t>SunCompany</t>
  </si>
  <si>
    <t>andres.lopera@suncompany.co</t>
  </si>
  <si>
    <t>http://www.linkedin.com/in/andres-lopera</t>
  </si>
  <si>
    <t>http://www.linkedin.com/company/suncompanycol</t>
  </si>
  <si>
    <t>https://suncompany.co</t>
  </si>
  <si>
    <t>Uriel</t>
  </si>
  <si>
    <t>The Listao Company</t>
  </si>
  <si>
    <t>uriel@listao.co</t>
  </si>
  <si>
    <t>http://www.linkedin.com/in/uriel-zuluaga-parra-1885671a3</t>
  </si>
  <si>
    <t>http://www.linkedin.com/company/the-listao-company</t>
  </si>
  <si>
    <t>https://listao.co</t>
  </si>
  <si>
    <t>Iconica</t>
  </si>
  <si>
    <t>Icónica Home Gallery</t>
  </si>
  <si>
    <t>gerenciadeproyectos@iconicahome.com</t>
  </si>
  <si>
    <t>http://www.linkedin.com/in/iconica-home-gallery-s-a-s-b707231aa</t>
  </si>
  <si>
    <t>http://www.linkedin.com/company/ic%c3%b3nica-home-gallery</t>
  </si>
  <si>
    <t>https://iconicahome.com</t>
  </si>
  <si>
    <t>La CoCreadora</t>
  </si>
  <si>
    <t>roberto@lacocreadora.com</t>
  </si>
  <si>
    <t>http://www.linkedin.com/in/robertobolullo</t>
  </si>
  <si>
    <t>http://www.linkedin.com/company/la-cocreadora</t>
  </si>
  <si>
    <t>https://lacocreadora.com</t>
  </si>
  <si>
    <t>Ophthalmic Media Contents</t>
  </si>
  <si>
    <t>akis@akisvision.com</t>
  </si>
  <si>
    <t>http://www.linkedin.com/in/jos%c3%a9-manuel-g%c3%b3mez-ojeda-o-d-ba96b126</t>
  </si>
  <si>
    <t>http://www.linkedin.com/company/ophthalmic-media-contents</t>
  </si>
  <si>
    <t>https://ophthalmicmedia.com</t>
  </si>
  <si>
    <t>Beatriz</t>
  </si>
  <si>
    <t>Ethos BT</t>
  </si>
  <si>
    <t>beatriz.vallejo@ethosbt.com</t>
  </si>
  <si>
    <t>http://www.linkedin.com/in/beatriz-helena-vallejo-reyes-78b18623</t>
  </si>
  <si>
    <t>http://www.linkedin.com/company/ethosbt</t>
  </si>
  <si>
    <t>https://ethosbt.com</t>
  </si>
  <si>
    <t>Queo</t>
  </si>
  <si>
    <t>mateo@queo.com.co</t>
  </si>
  <si>
    <t>http://www.linkedin.com/in/mateojimenez</t>
  </si>
  <si>
    <t>http://www.linkedin.com/company/queocolombia</t>
  </si>
  <si>
    <t>https://queoaccess.com</t>
  </si>
  <si>
    <t>Cofounder &amp; Head Dreamer</t>
  </si>
  <si>
    <t>Factible Tools</t>
  </si>
  <si>
    <t>camilo@factibletools.com</t>
  </si>
  <si>
    <t>http://www.linkedin.com/in/camiloduquegarcia</t>
  </si>
  <si>
    <t>http://www.linkedin.com/company/factible-tools</t>
  </si>
  <si>
    <t>https://factibletools.com</t>
  </si>
  <si>
    <t>Executive Director &amp; Head of Strategy</t>
  </si>
  <si>
    <t>marketXM.io</t>
  </si>
  <si>
    <t>jm@marketxm.io</t>
  </si>
  <si>
    <t>http://www.linkedin.com/in/lopezleonjuan</t>
  </si>
  <si>
    <t>http://www.linkedin.com/company/marketxm</t>
  </si>
  <si>
    <t>https://marketxm.io</t>
  </si>
  <si>
    <t>IGC Group S.A.S</t>
  </si>
  <si>
    <t>juan.paez@igcgroup.com.co</t>
  </si>
  <si>
    <t>http://www.linkedin.com/in/juan-alberto-p%c3%a1ez-le%c3%b3n-6b5596a1</t>
  </si>
  <si>
    <t>http://www.linkedin.com/company/igcgroups.a.s</t>
  </si>
  <si>
    <t>https://igcgroup.com.co</t>
  </si>
  <si>
    <t>Young AI Leaders</t>
  </si>
  <si>
    <t>bogota@youngaileadershub.org</t>
  </si>
  <si>
    <t>http://www.linkedin.com/in/valeriasoler</t>
  </si>
  <si>
    <t>http://www.linkedin.com/company/bogota-hub-young-ai-leaders-community</t>
  </si>
  <si>
    <t>https://youngaileadershub.org</t>
  </si>
  <si>
    <t>Founder y Community Builder</t>
  </si>
  <si>
    <t>Hazlo®</t>
  </si>
  <si>
    <t>hernan@hazlolatam.com</t>
  </si>
  <si>
    <t>http://www.linkedin.com/in/abouthernan</t>
  </si>
  <si>
    <t>http://www.linkedin.com/company/hazlolatam</t>
  </si>
  <si>
    <t>https://hazlolatam.com</t>
  </si>
  <si>
    <t>Co-founder &amp; CSO</t>
  </si>
  <si>
    <t>Rebill.com</t>
  </si>
  <si>
    <t>francisco@rebill.com</t>
  </si>
  <si>
    <t>http://www.linkedin.com/in/francisco-andres-leon</t>
  </si>
  <si>
    <t>http://www.linkedin.com/company/rebill</t>
  </si>
  <si>
    <t>https://rebill.com</t>
  </si>
  <si>
    <t>Mason</t>
  </si>
  <si>
    <t>Founder &amp; Principal Consultant</t>
  </si>
  <si>
    <t>Estrea Solutions</t>
  </si>
  <si>
    <t>mason@estreasolutions.com</t>
  </si>
  <si>
    <t>http://www.linkedin.com/in/mason-l-mcintyre</t>
  </si>
  <si>
    <t>http://www.linkedin.com/company/estrea-solutions</t>
  </si>
  <si>
    <t>https://estreasolutions.com</t>
  </si>
  <si>
    <t>Chief Revenue Officer (CRO) &amp; Cofounder</t>
  </si>
  <si>
    <t>nojau</t>
  </si>
  <si>
    <t>jorge@nojau.co</t>
  </si>
  <si>
    <t>http://www.linkedin.com/in/jorgeivanleon</t>
  </si>
  <si>
    <t>http://www.linkedin.com/company/nojau</t>
  </si>
  <si>
    <t>https://nojau.co</t>
  </si>
  <si>
    <t>Kadree Tech</t>
  </si>
  <si>
    <t>amartinez@kadreetech.com</t>
  </si>
  <si>
    <t>http://www.linkedin.com/in/alexandra-martinez-a-810214113</t>
  </si>
  <si>
    <t>http://www.linkedin.com/company/kadreetech</t>
  </si>
  <si>
    <t>https://kadreetech.com</t>
  </si>
  <si>
    <t>CEO &amp; Co-Fundador</t>
  </si>
  <si>
    <t>FA$IL</t>
  </si>
  <si>
    <t>sergio@esfasil.com</t>
  </si>
  <si>
    <t>http://www.linkedin.com/in/sergiojaramillomejia</t>
  </si>
  <si>
    <t>http://www.linkedin.com/company/es-fasil</t>
  </si>
  <si>
    <t>https://esfasil.com</t>
  </si>
  <si>
    <t>Larry</t>
  </si>
  <si>
    <t>Deloing SAS</t>
  </si>
  <si>
    <t>directorcomercial@deloing.com</t>
  </si>
  <si>
    <t>http://www.linkedin.com/in/larry-rafael-colina-842127b7</t>
  </si>
  <si>
    <t>http://www.linkedin.com/company/deloling-sas</t>
  </si>
  <si>
    <t>https://deloing.com</t>
  </si>
  <si>
    <t>Chief Executive Officer CEO</t>
  </si>
  <si>
    <t>Infolaft</t>
  </si>
  <si>
    <t>alberto.lozano.invitacion@infolaft.com</t>
  </si>
  <si>
    <t>http://www.linkedin.com/in/alberto-lozano-vila</t>
  </si>
  <si>
    <t>http://www.linkedin.com/company/infolaft</t>
  </si>
  <si>
    <t>https://infolaft.com</t>
  </si>
  <si>
    <t>T-LOGIC</t>
  </si>
  <si>
    <t>enrique.rodriguez@t-logic.co</t>
  </si>
  <si>
    <t>http://www.linkedin.com/in/hugoenriquerodriguezgarcia</t>
  </si>
  <si>
    <t>http://www.linkedin.com/company/t-logic-colombia</t>
  </si>
  <si>
    <t>https://t-logic.co</t>
  </si>
  <si>
    <t>Logique Consulting</t>
  </si>
  <si>
    <t>luis.jimenez@logiqueconsulting.com</t>
  </si>
  <si>
    <t>http://www.linkedin.com/in/luis-felipe-jimenez-11aa3213</t>
  </si>
  <si>
    <t>http://www.linkedin.com/company/logique-consulting</t>
  </si>
  <si>
    <t>https://logiqueconsulting.com</t>
  </si>
  <si>
    <t>WERO Zero Waste</t>
  </si>
  <si>
    <t>vladimir@wero.com.co</t>
  </si>
  <si>
    <t>http://www.linkedin.com/in/vladimir-jaramillo-emba-16583530</t>
  </si>
  <si>
    <t>http://www.linkedin.com/company/wero-zero-waste</t>
  </si>
  <si>
    <t>https://werocompany.com</t>
  </si>
  <si>
    <t>eCert</t>
  </si>
  <si>
    <t>cbravo@e-learning.com.co</t>
  </si>
  <si>
    <t>http://www.linkedin.com/in/carlos-bravo-lievano-757b3a1a0</t>
  </si>
  <si>
    <t>http://www.linkedin.com/company/ecert-humantalent</t>
  </si>
  <si>
    <t>https://e-learning.com.co</t>
  </si>
  <si>
    <t>Kutai</t>
  </si>
  <si>
    <t>jorge.suarez@kutai.co</t>
  </si>
  <si>
    <t>http://www.linkedin.com/in/jorgeiareiza</t>
  </si>
  <si>
    <t>http://www.linkedin.com/company/kutai</t>
  </si>
  <si>
    <t>https://kutai.co</t>
  </si>
  <si>
    <t>CONECTAMOS DT</t>
  </si>
  <si>
    <t>daniel@conectamosdt.com</t>
  </si>
  <si>
    <t>http://www.linkedin.com/in/danielfranconavarro</t>
  </si>
  <si>
    <t>http://www.linkedin.com/company/conectamos-dt</t>
  </si>
  <si>
    <t>https://conectamosdt.com</t>
  </si>
  <si>
    <t>Alibi Media</t>
  </si>
  <si>
    <t>cristina.palacio@alibifilms.com</t>
  </si>
  <si>
    <t>http://www.linkedin.com/in/cristina-palacio-75b819125</t>
  </si>
  <si>
    <t>http://www.linkedin.com/company/alibi-media</t>
  </si>
  <si>
    <t>https://alibifilms.com</t>
  </si>
  <si>
    <t>Up Holding Centro de Innovacion y Productividad</t>
  </si>
  <si>
    <t>gestion@upholding.co</t>
  </si>
  <si>
    <t>http://www.linkedin.com/in/mart%c3%adn-carant%c3%b3n-9621a81b6</t>
  </si>
  <si>
    <t>http://www.linkedin.com/company/up-holding</t>
  </si>
  <si>
    <t>https://upholding.co</t>
  </si>
  <si>
    <t>Cindy</t>
  </si>
  <si>
    <t>Director of Marketing &amp; eCommerce</t>
  </si>
  <si>
    <t>BPL Source</t>
  </si>
  <si>
    <t>cnavarro@bplsource.com</t>
  </si>
  <si>
    <t>http://www.linkedin.com/in/cindy-navarro-99123935</t>
  </si>
  <si>
    <t>http://www.linkedin.com/company/bpl-source</t>
  </si>
  <si>
    <t>https://bplsource.com</t>
  </si>
  <si>
    <t>beewo</t>
  </si>
  <si>
    <t>lvelez@beewo.digital</t>
  </si>
  <si>
    <t>http://www.linkedin.com/in/luis-fernando-v%c3%a9lez-pel%c3%a1ez-41b33432</t>
  </si>
  <si>
    <t>http://www.linkedin.com/company/beewo</t>
  </si>
  <si>
    <t>https://beewo.digital</t>
  </si>
  <si>
    <t>Grupo Impacta</t>
  </si>
  <si>
    <t>lina.rossi@grupoimpacta.com</t>
  </si>
  <si>
    <t>http://www.linkedin.com/in/lina-rossi-idarraga-60151224</t>
  </si>
  <si>
    <t>http://www.linkedin.com/company/grupo-impacta</t>
  </si>
  <si>
    <t>https://grupoimpacta.com</t>
  </si>
  <si>
    <t>ZEmobility</t>
  </si>
  <si>
    <t>david.camacho@ze-mobility.com</t>
  </si>
  <si>
    <t>http://www.linkedin.com/in/david-camacho-gonzalez-43309410</t>
  </si>
  <si>
    <t>http://www.linkedin.com/company/zemobility</t>
  </si>
  <si>
    <t>https://ze-mobility.com</t>
  </si>
  <si>
    <t>OZA</t>
  </si>
  <si>
    <t>daniel@ozalearn.com</t>
  </si>
  <si>
    <t>http://www.linkedin.com/in/daniel-iv%c3%a1n-contreras-vergel-24627ba7</t>
  </si>
  <si>
    <t>http://www.linkedin.com/company/oza-kpo</t>
  </si>
  <si>
    <t>https://ozalearn.com</t>
  </si>
  <si>
    <t>Co-Founder, CSO</t>
  </si>
  <si>
    <t>david.garcia@prami.com.co</t>
  </si>
  <si>
    <t>http://www.linkedin.com/in/david-santiago-garcia-rojas-0421b115b</t>
  </si>
  <si>
    <t>Soluntech</t>
  </si>
  <si>
    <t>fernando@soluntech.com</t>
  </si>
  <si>
    <t>http://www.linkedin.com/in/fallg</t>
  </si>
  <si>
    <t>http://www.linkedin.com/company/soluntech-sas</t>
  </si>
  <si>
    <t>https://soluntech.com</t>
  </si>
  <si>
    <t>I CLOUD SEVEN</t>
  </si>
  <si>
    <t>stephany.guarin@icloudseven.com</t>
  </si>
  <si>
    <t>http://www.linkedin.com/in/stephanyguarin</t>
  </si>
  <si>
    <t>http://www.linkedin.com/company/i-cloud-seven</t>
  </si>
  <si>
    <t>https://icloudseven.com</t>
  </si>
  <si>
    <t>COO &amp; Founder</t>
  </si>
  <si>
    <t>eduardo.escovar@reteki.com</t>
  </si>
  <si>
    <t>http://www.linkedin.com/in/eduardo-escovar</t>
  </si>
  <si>
    <t>Cero</t>
  </si>
  <si>
    <t>dayana.amado@cero.ai</t>
  </si>
  <si>
    <t>http://www.linkedin.com/in/dayanamado</t>
  </si>
  <si>
    <t>http://www.linkedin.com/company/ceroai</t>
  </si>
  <si>
    <t>https://cero.ai</t>
  </si>
  <si>
    <t>Eusari Nutrition</t>
  </si>
  <si>
    <t>jmrosas@eusari.com</t>
  </si>
  <si>
    <t>http://www.linkedin.com/in/juanmanuelrosass</t>
  </si>
  <si>
    <t>http://www.linkedin.com/company/eusari-nutrition</t>
  </si>
  <si>
    <t>https://eusari.com</t>
  </si>
  <si>
    <t>President and CEO</t>
  </si>
  <si>
    <t>Kanalytics</t>
  </si>
  <si>
    <t>kevin@kanalyticstech.com</t>
  </si>
  <si>
    <t>http://www.linkedin.com/in/kevin-rosales-1a42a727</t>
  </si>
  <si>
    <t>http://www.linkedin.com/company/kanalytics-technologies</t>
  </si>
  <si>
    <t>https://kanalyticstech.com</t>
  </si>
  <si>
    <t>Wilmar</t>
  </si>
  <si>
    <t>FOCUS Internacional</t>
  </si>
  <si>
    <t>wparra@focusinternacional.org</t>
  </si>
  <si>
    <t>http://www.linkedin.com/in/wilmarparra</t>
  </si>
  <si>
    <t>http://www.linkedin.com/company/focus-internacional</t>
  </si>
  <si>
    <t>https://focusinternacional.org</t>
  </si>
  <si>
    <t>Co Founder &amp; Project Manager</t>
  </si>
  <si>
    <t>Pillow</t>
  </si>
  <si>
    <t>sebastian.romero@pillow.com.co</t>
  </si>
  <si>
    <t>http://www.linkedin.com/in/sebastianromerocr</t>
  </si>
  <si>
    <t>http://www.linkedin.com/company/pilloweducation</t>
  </si>
  <si>
    <t>https://pillow.com.co</t>
  </si>
  <si>
    <t>Sales Director Officer</t>
  </si>
  <si>
    <t>Nukke</t>
  </si>
  <si>
    <t>sbejarano@nukke.co</t>
  </si>
  <si>
    <t>http://www.linkedin.com/in/sebastian-bejarano</t>
  </si>
  <si>
    <t>http://www.linkedin.com/company/nukke</t>
  </si>
  <si>
    <t>https://nukke.co</t>
  </si>
  <si>
    <t>SAROA SAS</t>
  </si>
  <si>
    <t>hernan@saroa.co</t>
  </si>
  <si>
    <t>http://www.linkedin.com/in/hern%c3%a1n-dar%c3%ado-buitrago-rojas-35140870</t>
  </si>
  <si>
    <t>http://www.linkedin.com/company/saroa-sas</t>
  </si>
  <si>
    <t>https://saroa.co</t>
  </si>
  <si>
    <t>Propietario | CEO</t>
  </si>
  <si>
    <t>Software GBS</t>
  </si>
  <si>
    <t>pedro.sandoval@softwaregbs.co</t>
  </si>
  <si>
    <t>http://www.linkedin.com/in/pedro-sandoval-a4b50227</t>
  </si>
  <si>
    <t>http://www.linkedin.com/company/gbs-la-casa-colombiana-de-software</t>
  </si>
  <si>
    <t>https://softwaregbs.co</t>
  </si>
  <si>
    <t>CEO &amp; Visual eCommerce Strategist</t>
  </si>
  <si>
    <t>Factory Studio</t>
  </si>
  <si>
    <t>nataliac@factorystudio.com.co</t>
  </si>
  <si>
    <t>http://www.linkedin.com/in/natalia-castaneda-mesa-6464ba126</t>
  </si>
  <si>
    <t>http://www.linkedin.com/company/the-factory-digital-studio-co</t>
  </si>
  <si>
    <t>https://factorystudio.com.co</t>
  </si>
  <si>
    <t>CEO y Fundador</t>
  </si>
  <si>
    <t>PHC Servicios Integrados</t>
  </si>
  <si>
    <t>pablo.corredor@phc.com.co</t>
  </si>
  <si>
    <t>http://www.linkedin.com/in/pablo-hernan-corredor-7ab21551</t>
  </si>
  <si>
    <t>http://www.linkedin.com/company/phc-servicios-integrados-group</t>
  </si>
  <si>
    <t>https://phc.com.co</t>
  </si>
  <si>
    <t>CEO /Biosafety Professional</t>
  </si>
  <si>
    <t>Worldbiohaztec Colombia SAS</t>
  </si>
  <si>
    <t>liav@worldbiohaztec.com</t>
  </si>
  <si>
    <t>http://www.linkedin.com/in/liavizzotti</t>
  </si>
  <si>
    <t>http://www.linkedin.com/company/worldbiohaztec-colombia-sas</t>
  </si>
  <si>
    <t>https://worldbiohaztec.com</t>
  </si>
  <si>
    <t>Executive Sales Director</t>
  </si>
  <si>
    <t>ResolveSec</t>
  </si>
  <si>
    <t>cdelavalle@resolvesec.com</t>
  </si>
  <si>
    <t>http://www.linkedin.com/in/carlos-e-de-lavalle-tcherassi-3194a939</t>
  </si>
  <si>
    <t>http://www.linkedin.com/company/resolve-sec</t>
  </si>
  <si>
    <t>https://resolvesec.com</t>
  </si>
  <si>
    <t>Domu</t>
  </si>
  <si>
    <t>alejandra@domu.ai</t>
  </si>
  <si>
    <t>http://www.linkedin.com/in/maria-alejandra-pulido-alfonso</t>
  </si>
  <si>
    <t>http://www.linkedin.com/company/domu-ai</t>
  </si>
  <si>
    <t>https://domu.ai</t>
  </si>
  <si>
    <t>Co-Founder &amp; Director Analítica y Tecnología</t>
  </si>
  <si>
    <t>santiago.barco@peopleintelligence.app</t>
  </si>
  <si>
    <t>http://www.linkedin.com/in/santiago-barco-gomez</t>
  </si>
  <si>
    <t>Chief Sales Officer (CSO) Co-Funder</t>
  </si>
  <si>
    <t>Solar Services</t>
  </si>
  <si>
    <t>felipe@solarservicescompany.com</t>
  </si>
  <si>
    <t>http://www.linkedin.com/in/fvargasl</t>
  </si>
  <si>
    <t>http://www.linkedin.com/company/solarservicescompany</t>
  </si>
  <si>
    <t>https://solarservicescompany.com</t>
  </si>
  <si>
    <t>Dennis</t>
  </si>
  <si>
    <t>Panam Clinics</t>
  </si>
  <si>
    <t>dennis@panamclinics.com</t>
  </si>
  <si>
    <t>http://www.linkedin.com/in/korthouwer</t>
  </si>
  <si>
    <t>http://www.linkedin.com/company/panamclinics</t>
  </si>
  <si>
    <t>https://panamclinics.com</t>
  </si>
  <si>
    <t>MultiLingual Media</t>
  </si>
  <si>
    <t>eddie@multilingual.com</t>
  </si>
  <si>
    <t>http://www.linkedin.com/in/eddiearrieta</t>
  </si>
  <si>
    <t>http://www.linkedin.com/company/multilingual-media</t>
  </si>
  <si>
    <t>https://multilingual.com</t>
  </si>
  <si>
    <t>SOFTLINE S.A</t>
  </si>
  <si>
    <t>gerencia@softline.com.co</t>
  </si>
  <si>
    <t>http://www.linkedin.com/in/gonzalo-a-alfonso-s-3bb50213</t>
  </si>
  <si>
    <t>http://www.linkedin.com/company/softline-s-a</t>
  </si>
  <si>
    <t>https://softline.com.co</t>
  </si>
  <si>
    <t>WÜR CORREDORES DE SEGUROS Ltda</t>
  </si>
  <si>
    <t>william@wur.com.co</t>
  </si>
  <si>
    <t>http://www.linkedin.com/in/william-urzola</t>
  </si>
  <si>
    <t>http://www.linkedin.com/company/wur-corredores-de-seguros</t>
  </si>
  <si>
    <t>https://wur.com.co</t>
  </si>
  <si>
    <t>Asimetrix</t>
  </si>
  <si>
    <t>sebastian.villegas@asimetrix.co</t>
  </si>
  <si>
    <t>http://www.linkedin.com/in/sebasti%c3%a1n-villegas-palacino-76b2a73a</t>
  </si>
  <si>
    <t>http://www.linkedin.com/company/asimetrix</t>
  </si>
  <si>
    <t>https://asimetrix.co</t>
  </si>
  <si>
    <t>Tincorp International</t>
  </si>
  <si>
    <t>claudia.graciano@tincorp.net</t>
  </si>
  <si>
    <t>http://www.linkedin.com/in/claudia-graciano-689098253</t>
  </si>
  <si>
    <t>http://www.linkedin.com/company/tincorp-int</t>
  </si>
  <si>
    <t>https://tincorp.net</t>
  </si>
  <si>
    <t>Co-founder &amp; Director of Business Design and Innovation</t>
  </si>
  <si>
    <t>Brother Hills</t>
  </si>
  <si>
    <t>sebastian@brotherhills.com</t>
  </si>
  <si>
    <t>http://www.linkedin.com/in/sebsmontilla</t>
  </si>
  <si>
    <t>http://www.linkedin.com/company/brotherhills</t>
  </si>
  <si>
    <t>https://brotherhills.com</t>
  </si>
  <si>
    <t>Enfoque Legal S.A.S</t>
  </si>
  <si>
    <t>msb@enfoquelegal.co</t>
  </si>
  <si>
    <t>http://www.linkedin.com/in/manuelsbarrerap</t>
  </si>
  <si>
    <t>http://www.linkedin.com/company/enfoque-legal</t>
  </si>
  <si>
    <t>https://enfoquelegal.co</t>
  </si>
  <si>
    <t>VP of Business Development Americas</t>
  </si>
  <si>
    <t>Fire &amp; Gas Detection</t>
  </si>
  <si>
    <t>jbonilla@fg-detection.com</t>
  </si>
  <si>
    <t>http://www.linkedin.com/in/juan-bonilla-6334a741</t>
  </si>
  <si>
    <t>http://www.linkedin.com/company/fg-detection-inc</t>
  </si>
  <si>
    <t>https://fg-detection.com</t>
  </si>
  <si>
    <t>Be To Grow Consulting</t>
  </si>
  <si>
    <t>ceciliapinzon@b2grow.com.co</t>
  </si>
  <si>
    <t>http://www.linkedin.com/in/cecilia-illonka-pinz%c3%b3n-reyes-</t>
  </si>
  <si>
    <t>http://www.linkedin.com/company/be-to-grow-consulting</t>
  </si>
  <si>
    <t>https://b2grow.com.co</t>
  </si>
  <si>
    <t>Humberto</t>
  </si>
  <si>
    <t>Senior Director, Global Operations &amp; Business Development | Advanced BioResearch Solutions (ABRS)</t>
  </si>
  <si>
    <t>ABRS</t>
  </si>
  <si>
    <t>latam@abrsolution.com</t>
  </si>
  <si>
    <t>http://www.linkedin.com/in/humberto-salazar-angulo</t>
  </si>
  <si>
    <t>http://www.linkedin.com/company/advanced-bioresearch-solutions-inc</t>
  </si>
  <si>
    <t>https://abrsolution.com</t>
  </si>
  <si>
    <t>Colibri Energy SAS</t>
  </si>
  <si>
    <t>manuel.schulte@colibri.energy</t>
  </si>
  <si>
    <t>http://www.linkedin.com/in/manuel-schulte-3a96a911</t>
  </si>
  <si>
    <t>http://www.linkedin.com/company/colibri-energy-sas</t>
  </si>
  <si>
    <t>https://colibri.energy</t>
  </si>
  <si>
    <t>Smart Seals Co</t>
  </si>
  <si>
    <t>andres@smartseals.co</t>
  </si>
  <si>
    <t>http://www.linkedin.com/in/andres-mu%c3%b1iz-03bb4b1ab</t>
  </si>
  <si>
    <t>http://www.linkedin.com/company/smartsealsco</t>
  </si>
  <si>
    <t>https://smartseals.co</t>
  </si>
  <si>
    <t>Jimena</t>
  </si>
  <si>
    <t>Thesquad.co</t>
  </si>
  <si>
    <t>jimenabravo@thesquad.co</t>
  </si>
  <si>
    <t>http://www.linkedin.com/in/jimena-bravo-buitrago</t>
  </si>
  <si>
    <t>http://www.linkedin.com/company/yosoythesquad</t>
  </si>
  <si>
    <t>https://thesquad.co</t>
  </si>
  <si>
    <t>Donaldo</t>
  </si>
  <si>
    <t>General Manager (CEO)</t>
  </si>
  <si>
    <t>Ebara Colombia</t>
  </si>
  <si>
    <t>donaldo.guerrero@ebara.com</t>
  </si>
  <si>
    <t>http://www.linkedin.com/in/donaldo-guerrero-vergel-06239453</t>
  </si>
  <si>
    <t>http://www.linkedin.com/company/ebara-colombia</t>
  </si>
  <si>
    <t>https://ebaracolombia.com</t>
  </si>
  <si>
    <t>All Over human being</t>
  </si>
  <si>
    <t>jorge@allover.tv</t>
  </si>
  <si>
    <t>http://www.linkedin.com/in/jorgeivanvasquez</t>
  </si>
  <si>
    <t>http://www.linkedin.com/company/all-over-human-being</t>
  </si>
  <si>
    <t>https://allover.com.co</t>
  </si>
  <si>
    <t>Norma</t>
  </si>
  <si>
    <t>Vínculos Sostenibles</t>
  </si>
  <si>
    <t>norma.sanchez@vinculossostenibles.com.co</t>
  </si>
  <si>
    <t>http://www.linkedin.com/in/normasanchezm</t>
  </si>
  <si>
    <t>http://www.linkedin.com/company/vinculossostenibles</t>
  </si>
  <si>
    <t>https://vinculossostenibles.com.co</t>
  </si>
  <si>
    <t>Crezes</t>
  </si>
  <si>
    <t>lorena@crezes.com</t>
  </si>
  <si>
    <t>http://www.linkedin.com/in/lorena-ramos19</t>
  </si>
  <si>
    <t>http://www.linkedin.com/company/crezes</t>
  </si>
  <si>
    <t>https://crezes.com</t>
  </si>
  <si>
    <t>Renzo</t>
  </si>
  <si>
    <t>Cfo/coo | Personal Branding and Career Marketing Services</t>
  </si>
  <si>
    <t>Area CV</t>
  </si>
  <si>
    <t>renzo.maurtua@areacv.com</t>
  </si>
  <si>
    <t>http://www.linkedin.com/in/renzo-maurtua-neumann</t>
  </si>
  <si>
    <t>http://www.linkedin.com/company/area-cv</t>
  </si>
  <si>
    <t>https://areacv.com</t>
  </si>
  <si>
    <t>writing &amp; editing</t>
  </si>
  <si>
    <t>Hozcar</t>
  </si>
  <si>
    <t>CEO - Founder CCO Systems - As an expert in the technology industry, I am committed to helping businesses use technology to enhance the productivity, innovation, and profitability</t>
  </si>
  <si>
    <t>CCO</t>
  </si>
  <si>
    <t>halopez@conocimientocorporativo.com</t>
  </si>
  <si>
    <t>http://www.linkedin.com/in/hozcar-l%c3%b3pez-55640612</t>
  </si>
  <si>
    <t>http://www.linkedin.com/company/ccosystems</t>
  </si>
  <si>
    <t>https://cco.systems</t>
  </si>
  <si>
    <t>CEO Nerd'Seguros</t>
  </si>
  <si>
    <t>Nerd Seguros</t>
  </si>
  <si>
    <t>fernely.rodriguez@asesorsura.com</t>
  </si>
  <si>
    <t>http://www.linkedin.com/in/alejorodriguezg</t>
  </si>
  <si>
    <t>http://www.linkedin.com/company/nerd-seguros</t>
  </si>
  <si>
    <t>https://nerdseguros.com</t>
  </si>
  <si>
    <t>SYNAPTICA S.A.S</t>
  </si>
  <si>
    <t>juan.bedoya@synaptica.co</t>
  </si>
  <si>
    <t>http://www.linkedin.com/in/juan-bedoya-0454588</t>
  </si>
  <si>
    <t>http://www.linkedin.com/company/synaptica-s-a-s</t>
  </si>
  <si>
    <t>https://synaptica.co</t>
  </si>
  <si>
    <t>Rebeca</t>
  </si>
  <si>
    <t>Rebeca Morantes</t>
  </si>
  <si>
    <t>rebeca.morantes@geotown.co</t>
  </si>
  <si>
    <t>http://www.linkedin.com/in/rebeca-alejandra-morantes-zamora</t>
  </si>
  <si>
    <t>http://www.linkedin.com/company/geotown</t>
  </si>
  <si>
    <t>https://geotown.co</t>
  </si>
  <si>
    <t>Director of Sales and Business Development</t>
  </si>
  <si>
    <t>CANVEL MARITIME ENGINEERING AND SOLUTIONS</t>
  </si>
  <si>
    <t>laura.cantillo@canvel.co</t>
  </si>
  <si>
    <t>http://www.linkedin.com/in/lauritacantillo</t>
  </si>
  <si>
    <t>http://www.linkedin.com/company/canvelsolutions</t>
  </si>
  <si>
    <t>https://canvel.co</t>
  </si>
  <si>
    <t>TNC</t>
  </si>
  <si>
    <t>juanaristizabal@galf.com</t>
  </si>
  <si>
    <t>http://www.linkedin.com/in/juanpabloaristizabal</t>
  </si>
  <si>
    <t>http://www.linkedin.com/company/thenarinochallenge</t>
  </si>
  <si>
    <t>https://tncgames.co</t>
  </si>
  <si>
    <t>Indalecio</t>
  </si>
  <si>
    <t>CREDIFOMENTO</t>
  </si>
  <si>
    <t>indalecio@credifomento.co</t>
  </si>
  <si>
    <t>http://www.linkedin.com/in/indalecio-dangond-baquero-38518326</t>
  </si>
  <si>
    <t>http://www.linkedin.com/company/credifomento</t>
  </si>
  <si>
    <t>https://credifomento.co</t>
  </si>
  <si>
    <t>Kawchi</t>
  </si>
  <si>
    <t>felipe.benites@kawchi.com</t>
  </si>
  <si>
    <t>http://www.linkedin.com/in/felipe-benites-correa</t>
  </si>
  <si>
    <t>http://www.linkedin.com/company/kawchi</t>
  </si>
  <si>
    <t>https://kawchi.com</t>
  </si>
  <si>
    <t>Founder at Bee On - A Meaningful Work</t>
  </si>
  <si>
    <t>Bee On</t>
  </si>
  <si>
    <t>humberto@beeon.co</t>
  </si>
  <si>
    <t>http://www.linkedin.com/in/humbertorueda</t>
  </si>
  <si>
    <t>http://www.linkedin.com/company/bee-on-a-meaningful-work</t>
  </si>
  <si>
    <t>https://beeon.co</t>
  </si>
  <si>
    <t>Redrooster Digital</t>
  </si>
  <si>
    <t>tatiana@redroosterdigital.com.co</t>
  </si>
  <si>
    <t>http://www.linkedin.com/in/tatianagiraldogomez</t>
  </si>
  <si>
    <t>http://www.linkedin.com/company/redrooster-digital-marketing</t>
  </si>
  <si>
    <t>https://redroosterdigital.com.co</t>
  </si>
  <si>
    <t>isabelpulido@nanofreeze.com.co</t>
  </si>
  <si>
    <t>http://www.linkedin.com/in/isabel-pulido-606b00171</t>
  </si>
  <si>
    <t>juanfra.reyes@denario.com.co</t>
  </si>
  <si>
    <t>http://www.linkedin.com/in/juan-francisco-reyes-b6a29a106</t>
  </si>
  <si>
    <t>Vice President,strategy &amp; Business Expansion Latin America</t>
  </si>
  <si>
    <t>Zaidwood Capital</t>
  </si>
  <si>
    <t>julian.agudelo@zaidwoodcapital.com</t>
  </si>
  <si>
    <t>http://www.linkedin.com/in/julianhighticketcloser</t>
  </si>
  <si>
    <t>http://www.linkedin.com/company/zaidwood-capital</t>
  </si>
  <si>
    <t>https://zaidwoodcapital.com</t>
  </si>
  <si>
    <t>Business Development Director</t>
  </si>
  <si>
    <t>Optimize IT S.A.S</t>
  </si>
  <si>
    <t>jrestrepo@optimizeit.co</t>
  </si>
  <si>
    <t>http://www.linkedin.com/in/jorge-restrepo-0435657</t>
  </si>
  <si>
    <t>http://www.linkedin.com/company/optimize-it-s.a.s.</t>
  </si>
  <si>
    <t>https://optimizeit.co</t>
  </si>
  <si>
    <t>Arraut Consultores Financieros</t>
  </si>
  <si>
    <t>jorge@arraut.com.co</t>
  </si>
  <si>
    <t>http://www.linkedin.com/in/jorge-mario-arraut</t>
  </si>
  <si>
    <t>http://www.linkedin.com/company/arraut-consultores</t>
  </si>
  <si>
    <t>https://arraut.com.co</t>
  </si>
  <si>
    <t>Sales War Room</t>
  </si>
  <si>
    <t>ximena.mateus@swrla.com</t>
  </si>
  <si>
    <t>http://www.linkedin.com/in/ximenamateus</t>
  </si>
  <si>
    <t>http://www.linkedin.com/company/warroomla</t>
  </si>
  <si>
    <t>https://swrla.com</t>
  </si>
  <si>
    <t>CO-Founder, Chief Growth Officer (CGO)</t>
  </si>
  <si>
    <t>Horizontal Solutions Group Synergy</t>
  </si>
  <si>
    <t>cristian.martinez@hsgsynergy.com</t>
  </si>
  <si>
    <t>http://www.linkedin.com/in/cristianmart%c3%adnez</t>
  </si>
  <si>
    <t>http://www.linkedin.com/company/horizontal-solutions-group-synergy</t>
  </si>
  <si>
    <t>https://hsgsynergy.com</t>
  </si>
  <si>
    <t>Quan Insurtech</t>
  </si>
  <si>
    <t>rh@quan.com.co</t>
  </si>
  <si>
    <t>http://www.linkedin.com/in/rafael-alberto-herrera-areiza-764004b</t>
  </si>
  <si>
    <t>http://www.linkedin.com/company/quan-soluciones</t>
  </si>
  <si>
    <t>https://quan.com.co</t>
  </si>
  <si>
    <t>Colombian Trade Group C.I</t>
  </si>
  <si>
    <t>scardenas@colombiantradegroup.com</t>
  </si>
  <si>
    <t>http://www.linkedin.com/in/santiago-c%c3%a1rdenas-charry-b43823116</t>
  </si>
  <si>
    <t>http://www.linkedin.com/company/colombian-trade-group-c-i</t>
  </si>
  <si>
    <t>https://colombiantradegroup.com</t>
  </si>
  <si>
    <t>VITERRA</t>
  </si>
  <si>
    <t>gerencia@viterra.com.co</t>
  </si>
  <si>
    <t>http://www.linkedin.com/in/juan-sebastian-hoyos-ramos</t>
  </si>
  <si>
    <t>http://www.linkedin.com/company/viterra-inmobiliria</t>
  </si>
  <si>
    <t>https://viterra.com.co</t>
  </si>
  <si>
    <t>Eivind</t>
  </si>
  <si>
    <t>BETTERMEETINGROOMS</t>
  </si>
  <si>
    <t>eivind.christensen@bettermeetingrooms.com</t>
  </si>
  <si>
    <t>http://www.linkedin.com/in/fiane</t>
  </si>
  <si>
    <t>http://www.linkedin.com/company/getbmr</t>
  </si>
  <si>
    <t>https://bettermeetingrooms.com</t>
  </si>
  <si>
    <t>Fyvoo.AI</t>
  </si>
  <si>
    <t>federico.valencia@fyvoo.ai</t>
  </si>
  <si>
    <t>http://www.linkedin.com/in/federicovalenciap</t>
  </si>
  <si>
    <t>http://www.linkedin.com/company/fyvoo-ai</t>
  </si>
  <si>
    <t>https://fyvoo.ai</t>
  </si>
  <si>
    <t>Brayan</t>
  </si>
  <si>
    <t>Consciencia Superior SAS</t>
  </si>
  <si>
    <t>creadores@conscienciasuperior.com</t>
  </si>
  <si>
    <t>http://www.linkedin.com/in/brayan-arias-ba2b1a40</t>
  </si>
  <si>
    <t>http://www.linkedin.com/company/elio-sas</t>
  </si>
  <si>
    <t>https://conscienciasuperior.com</t>
  </si>
  <si>
    <t>TireAnalyzePro</t>
  </si>
  <si>
    <t>j.garzon@tireanalizepro.com</t>
  </si>
  <si>
    <t>http://www.linkedin.com/in/juan-manuel-garzon-jimenez-8610a9129</t>
  </si>
  <si>
    <t>http://www.linkedin.com/company/tireanalyzepro</t>
  </si>
  <si>
    <t>https://tireanalizepro.com</t>
  </si>
  <si>
    <t>elocuenti</t>
  </si>
  <si>
    <t>carlos.duarte@elocuenti.com</t>
  </si>
  <si>
    <t>http://www.linkedin.com/in/carlos-eduardo-duarte</t>
  </si>
  <si>
    <t>http://www.linkedin.com/company/elocuenti</t>
  </si>
  <si>
    <t>https://elocuenti.com</t>
  </si>
  <si>
    <t>Legacy Brands Consultants</t>
  </si>
  <si>
    <t>juan@legacybrands.com.co</t>
  </si>
  <si>
    <t>http://www.linkedin.com/in/juan-parra-62284a35</t>
  </si>
  <si>
    <t>http://www.linkedin.com/company/legacy-brands-consultant</t>
  </si>
  <si>
    <t>https://legacybrands.com.co</t>
  </si>
  <si>
    <t>MP4 PRO</t>
  </si>
  <si>
    <t>daniel@mp4pro.com</t>
  </si>
  <si>
    <t>http://www.linkedin.com/in/danycimino</t>
  </si>
  <si>
    <t>http://www.linkedin.com/company/viidaco</t>
  </si>
  <si>
    <t>https://mp4pro.com</t>
  </si>
  <si>
    <t>GLOBE AIR FUEL SAS</t>
  </si>
  <si>
    <t>auxpresidencia@gafcolombia.com</t>
  </si>
  <si>
    <t>http://www.linkedin.com/in/pablo-fernandez-pizano-666512103</t>
  </si>
  <si>
    <t>http://www.linkedin.com/company/globe-air-fuel</t>
  </si>
  <si>
    <t>https://gafcolombia.com</t>
  </si>
  <si>
    <t>Yanina</t>
  </si>
  <si>
    <t>ARTIFEX</t>
  </si>
  <si>
    <t>yanina.anaya@arx.com.co</t>
  </si>
  <si>
    <t>http://www.linkedin.com/in/yaninabacteriologa</t>
  </si>
  <si>
    <t>http://www.linkedin.com/company/realartifex</t>
  </si>
  <si>
    <t>https://arx.com.co</t>
  </si>
  <si>
    <t>KATARY</t>
  </si>
  <si>
    <t>jctorres@katary.co</t>
  </si>
  <si>
    <t>http://www.linkedin.com/in/juan-carlos-torres-torres-865547156</t>
  </si>
  <si>
    <t>http://www.linkedin.com/company/katary-software</t>
  </si>
  <si>
    <t>https://katary.co</t>
  </si>
  <si>
    <t>Founder - Gerente General</t>
  </si>
  <si>
    <t>Accountrix_col</t>
  </si>
  <si>
    <t>dbencardino@accountrix.com.co</t>
  </si>
  <si>
    <t>http://www.linkedin.com/in/david-bencardino-909a21189</t>
  </si>
  <si>
    <t>http://www.linkedin.com/company/accountrix-col</t>
  </si>
  <si>
    <t>https://accountrixs-website.webflow.io</t>
  </si>
  <si>
    <t>Edupleia</t>
  </si>
  <si>
    <t>educacion@edupleia.com</t>
  </si>
  <si>
    <t>http://www.linkedin.com/in/davidtrianaagudelo</t>
  </si>
  <si>
    <t>http://www.linkedin.com/company/edupleia</t>
  </si>
  <si>
    <t>https://edupleia.com</t>
  </si>
  <si>
    <t>gerencia@risktech.com.co</t>
  </si>
  <si>
    <t>http://www.linkedin.com/in/victor-jimenez-32ab5015</t>
  </si>
  <si>
    <t>DivinaMente Speakers</t>
  </si>
  <si>
    <t>andres.eslava@divinamente.com.co</t>
  </si>
  <si>
    <t>http://www.linkedin.com/in/andr%c3%a9s-c%c3%a1rdenas-eslava-73b2b559</t>
  </si>
  <si>
    <t>http://www.linkedin.com/company/divinamentespeakers</t>
  </si>
  <si>
    <t>https://divinamente.com.co</t>
  </si>
  <si>
    <t>Co- Founder &amp; Entrepreneur</t>
  </si>
  <si>
    <t>BE ART</t>
  </si>
  <si>
    <t>http://www.linkedin.com/in/ginna-casta%c3%b1eda-3a39541a9</t>
  </si>
  <si>
    <t>http://www.linkedin.com/company/beartcolombia</t>
  </si>
  <si>
    <t>iDirectores</t>
  </si>
  <si>
    <t>magutierrez@idirectores.com</t>
  </si>
  <si>
    <t>http://www.linkedin.com/in/maria-alejandra-guti%c3%a9rrez-duque-15789815</t>
  </si>
  <si>
    <t>http://www.linkedin.com/company/idirectores</t>
  </si>
  <si>
    <t>https://idirectores.com</t>
  </si>
  <si>
    <t>Chock Telecom</t>
  </si>
  <si>
    <t>alejandro@chocktelecom.com</t>
  </si>
  <si>
    <t>http://www.linkedin.com/in/alejandro-mario-garcia-molinares-21536210a</t>
  </si>
  <si>
    <t>http://www.linkedin.com/company/chock-telecomunicaciones</t>
  </si>
  <si>
    <t>https://chocktelecom.com</t>
  </si>
  <si>
    <t>Teofilo</t>
  </si>
  <si>
    <t>CEO LatAm</t>
  </si>
  <si>
    <t>Full Circle Electronics LATAM</t>
  </si>
  <si>
    <t>teofilo@sipiar.com</t>
  </si>
  <si>
    <t>http://www.linkedin.com/in/teofilodeltoro</t>
  </si>
  <si>
    <t>http://www.linkedin.com/company/fcelatam</t>
  </si>
  <si>
    <t>https://colombia.fullcircleelectronics.com</t>
  </si>
  <si>
    <t>Tivisay</t>
  </si>
  <si>
    <t>CEO &amp; Head of Sales</t>
  </si>
  <si>
    <t>biia Group</t>
  </si>
  <si>
    <t>tvallejo@biia.io</t>
  </si>
  <si>
    <t>http://www.linkedin.com/in/tivisayvallejosanchez</t>
  </si>
  <si>
    <t>http://www.linkedin.com/company/biia-group</t>
  </si>
  <si>
    <t>https://biiagroup.com</t>
  </si>
  <si>
    <t>CEO / Co-founder</t>
  </si>
  <si>
    <t>Sentialy</t>
  </si>
  <si>
    <t>lina.villamil@moorbe.com</t>
  </si>
  <si>
    <t>http://www.linkedin.com/in/lina-fernanda-villamil-ospitia-456777148</t>
  </si>
  <si>
    <t>http://www.linkedin.com/company/moorbe</t>
  </si>
  <si>
    <t>https://moorbe.com</t>
  </si>
  <si>
    <t>CEO Founder | Business Director</t>
  </si>
  <si>
    <t>365 INNOVATION CONSULTING &amp; SERVICES</t>
  </si>
  <si>
    <t>john.cardenas@365-ics.com.co</t>
  </si>
  <si>
    <t>http://www.linkedin.com/in/johncardenasn</t>
  </si>
  <si>
    <t>http://www.linkedin.com/company/365-innovation-consulting-&amp;-services</t>
  </si>
  <si>
    <t>https://365-ics.com.co</t>
  </si>
  <si>
    <t>soloio</t>
  </si>
  <si>
    <t>alebrizio@soloio.com</t>
  </si>
  <si>
    <t>http://www.linkedin.com/in/alejandra-brizio-perotti-bb8065339</t>
  </si>
  <si>
    <t>http://www.linkedin.com/company/soloio-oficial</t>
  </si>
  <si>
    <t>https://soloio.com</t>
  </si>
  <si>
    <t>VOV Solutions</t>
  </si>
  <si>
    <t>oscmejia@vovsolutions.com</t>
  </si>
  <si>
    <t>http://www.linkedin.com/in/oscmejia</t>
  </si>
  <si>
    <t>http://www.linkedin.com/company/vov-solutions-inc</t>
  </si>
  <si>
    <t>https://vovsolutions.com</t>
  </si>
  <si>
    <t>Jeremy</t>
  </si>
  <si>
    <t>Co-Director and Co-founder, InSight Crime</t>
  </si>
  <si>
    <t>InSight Crime</t>
  </si>
  <si>
    <t>jmcdermott@insightcrime.org</t>
  </si>
  <si>
    <t>http://www.linkedin.com/in/jeremymcdermott</t>
  </si>
  <si>
    <t>http://www.linkedin.com/company/insight-crime</t>
  </si>
  <si>
    <t>https://insightcrime.org</t>
  </si>
  <si>
    <t>Linnda</t>
  </si>
  <si>
    <t>rafael@linnda.co</t>
  </si>
  <si>
    <t>http://www.linkedin.com/in/rafael-casabianca-629756134</t>
  </si>
  <si>
    <t>http://www.linkedin.com/company/linnda</t>
  </si>
  <si>
    <t>https://linnda.co</t>
  </si>
  <si>
    <t>Quantum Developers</t>
  </si>
  <si>
    <t>felipe@quantdev.co</t>
  </si>
  <si>
    <t>http://www.linkedin.com/in/andr%c3%a9s-felipe-echavarr%c3%ada-molina</t>
  </si>
  <si>
    <t>http://www.linkedin.com/company/quantum-developers-co</t>
  </si>
  <si>
    <t>https://quantdev.co</t>
  </si>
  <si>
    <t>WedEnvios</t>
  </si>
  <si>
    <t>john.guerrero@wedenvios.com</t>
  </si>
  <si>
    <t>http://www.linkedin.com/in/john-andres-guerrero-rivera-310aa0a1</t>
  </si>
  <si>
    <t>http://www.linkedin.com/company/wedenvios</t>
  </si>
  <si>
    <t>https://wedenvios.com</t>
  </si>
  <si>
    <t>Fortius Capital</t>
  </si>
  <si>
    <t>dmarquez@fortiuscap.com</t>
  </si>
  <si>
    <t>http://www.linkedin.com/in/daniela-m%c3%a1rquez-correa-4b9bb428</t>
  </si>
  <si>
    <t>http://www.linkedin.com/company/fortius-capital</t>
  </si>
  <si>
    <t>https://fortiuscap.com</t>
  </si>
  <si>
    <t>Innitiative</t>
  </si>
  <si>
    <t>santiago@innitiative.co</t>
  </si>
  <si>
    <t>http://www.linkedin.com/in/santiago-rodriguez-2ab2b81b</t>
  </si>
  <si>
    <t>http://www.linkedin.com/company/innitiative</t>
  </si>
  <si>
    <t>https://innitiative.co</t>
  </si>
  <si>
    <t>Ax1</t>
  </si>
  <si>
    <t>miguel@ax1.co</t>
  </si>
  <si>
    <t>http://www.linkedin.com/in/miguelmcallister</t>
  </si>
  <si>
    <t>http://www.linkedin.com/company/ax1co</t>
  </si>
  <si>
    <t>https://ax1.co</t>
  </si>
  <si>
    <t>Founder Managing Partner</t>
  </si>
  <si>
    <t>Talento-Humano</t>
  </si>
  <si>
    <t>angela@talento-humano.co</t>
  </si>
  <si>
    <t>http://www.linkedin.com/in/angela-maria-zapata-chaves-2b373015</t>
  </si>
  <si>
    <t>http://www.linkedin.com/company/ef-talento-humano</t>
  </si>
  <si>
    <t>https://talento-humano.co</t>
  </si>
  <si>
    <t>Dapperglobal</t>
  </si>
  <si>
    <t>luisalberto@dapperlatam.com</t>
  </si>
  <si>
    <t>http://www.linkedin.com/in/rodluisalberto</t>
  </si>
  <si>
    <t>http://www.linkedin.com/company/dapperglobal</t>
  </si>
  <si>
    <t>https://dapperlatam.com</t>
  </si>
  <si>
    <t>jmontejo@fitpal.co</t>
  </si>
  <si>
    <t>http://www.linkedin.com/in/juansmontejo</t>
  </si>
  <si>
    <t>Nadia</t>
  </si>
  <si>
    <t>SHE IS FOUNDATION</t>
  </si>
  <si>
    <t>nadia@she-is.org</t>
  </si>
  <si>
    <t>http://www.linkedin.com/in/nadiasan</t>
  </si>
  <si>
    <t>http://www.linkedin.com/company/she-is-foundation</t>
  </si>
  <si>
    <t>https://she-is.org</t>
  </si>
  <si>
    <t>Tarek</t>
  </si>
  <si>
    <t>Nomads Skillshare!</t>
  </si>
  <si>
    <t>tarek@nomadsskillshare.com</t>
  </si>
  <si>
    <t>http://www.linkedin.com/in/kholoussy</t>
  </si>
  <si>
    <t>http://www.linkedin.com/company/nomadsskillshare</t>
  </si>
  <si>
    <t>https://nomadsskillshare.com</t>
  </si>
  <si>
    <t>CEO Socio Fundador</t>
  </si>
  <si>
    <t>M&amp;S Market &amp; Shopper</t>
  </si>
  <si>
    <t>cperea@mshopp.com</t>
  </si>
  <si>
    <t>http://www.linkedin.com/in/camilo-perea-carrasco</t>
  </si>
  <si>
    <t>http://www.linkedin.com/company/market-shopper</t>
  </si>
  <si>
    <t>https://mshopp.com</t>
  </si>
  <si>
    <t>Actualytica</t>
  </si>
  <si>
    <t>g.castro@actualytica.com</t>
  </si>
  <si>
    <t>http://www.linkedin.com/in/gonzalo-castro-5b82b0ab</t>
  </si>
  <si>
    <t>http://www.linkedin.com/company/actualytica</t>
  </si>
  <si>
    <t>https://actualytica.com</t>
  </si>
  <si>
    <t>igo</t>
  </si>
  <si>
    <t>ruben@igocolombia.co</t>
  </si>
  <si>
    <t>http://www.linkedin.com/in/rubenhincapie</t>
  </si>
  <si>
    <t>http://www.linkedin.com/company/igocolombia</t>
  </si>
  <si>
    <t>https://igocolombia.co</t>
  </si>
  <si>
    <t>Founder &amp; Lead Recruitment Consultant</t>
  </si>
  <si>
    <t>James Search Group</t>
  </si>
  <si>
    <t>simon.james@llcjsg.com</t>
  </si>
  <si>
    <t>http://www.linkedin.com/in/simon-james37</t>
  </si>
  <si>
    <t>http://www.linkedin.com/company/james-search-group</t>
  </si>
  <si>
    <t>https://llcjsg.com</t>
  </si>
  <si>
    <t>Nadyr</t>
  </si>
  <si>
    <t>COMDISTICOL SAS</t>
  </si>
  <si>
    <t>nadyr.lozano@comdisticol.com</t>
  </si>
  <si>
    <t>http://www.linkedin.com/in/nadyr-antonio-lozano-gutierrez-5299b518</t>
  </si>
  <si>
    <t>http://www.linkedin.com/company/comdisticol-sas</t>
  </si>
  <si>
    <t>https://comdisticol.com</t>
  </si>
  <si>
    <t>Systems With Intelligence™</t>
  </si>
  <si>
    <t>leonardo.gonzalez@systemswithintelligence.com</t>
  </si>
  <si>
    <t>http://www.linkedin.com/in/leonardo-gonzalez-068757162</t>
  </si>
  <si>
    <t>http://www.linkedin.com/company/swi---systems-with-intelligence</t>
  </si>
  <si>
    <t>https://systemswithintelligence.com</t>
  </si>
  <si>
    <t>Shambala Comunidades Ambientales</t>
  </si>
  <si>
    <t>daniel@shambala.life</t>
  </si>
  <si>
    <t>http://www.linkedin.com/in/danielgutierrezpatino</t>
  </si>
  <si>
    <t>http://www.linkedin.com/company/shambala-comunidad-ambiental</t>
  </si>
  <si>
    <t>https://shambala.life</t>
  </si>
  <si>
    <t>Justo</t>
  </si>
  <si>
    <t>ZABUD</t>
  </si>
  <si>
    <t>justo.sarabia@zabud.com.co</t>
  </si>
  <si>
    <t>http://www.linkedin.com/in/jjsarabia</t>
  </si>
  <si>
    <t>http://www.linkedin.com/company/zabudtechnologies</t>
  </si>
  <si>
    <t>https://zabud.co</t>
  </si>
  <si>
    <t>Alta</t>
  </si>
  <si>
    <t>irevollo@altatefinancia.com</t>
  </si>
  <si>
    <t>http://www.linkedin.com/in/ignaciorevollo</t>
  </si>
  <si>
    <t>http://www.linkedin.com/company/altatefinancia</t>
  </si>
  <si>
    <t>https://altatefinancia.com</t>
  </si>
  <si>
    <t>CAF-AM</t>
  </si>
  <si>
    <t>cknudsen@caf-am.com</t>
  </si>
  <si>
    <t>http://www.linkedin.com/in/christian-knudsen-b5a71611</t>
  </si>
  <si>
    <t>http://www.linkedin.com/company/caf-asset-management-caf-am</t>
  </si>
  <si>
    <t>https://caf-am.com</t>
  </si>
  <si>
    <t>Vistage Colombia</t>
  </si>
  <si>
    <t>fdescotte@vistage.co</t>
  </si>
  <si>
    <t>http://www.linkedin.com/in/fernandodescotte</t>
  </si>
  <si>
    <t>http://www.linkedin.com/company/vistagecolombia</t>
  </si>
  <si>
    <t>https://vistage.co</t>
  </si>
  <si>
    <t>CEO Moveminds SouthAmerica Region</t>
  </si>
  <si>
    <t>Moveminds</t>
  </si>
  <si>
    <t>adriana.sarmiento@moveminds.com</t>
  </si>
  <si>
    <t>http://www.linkedin.com/in/adriana-mendoza</t>
  </si>
  <si>
    <t>http://www.linkedin.com/company/moveminds</t>
  </si>
  <si>
    <t>https://moveminds.com</t>
  </si>
  <si>
    <t>Evaristo</t>
  </si>
  <si>
    <t>SUSI SAS</t>
  </si>
  <si>
    <t>gerencia@susi.com.co</t>
  </si>
  <si>
    <t>http://www.linkedin.com/in/evaristo-piedrahita-9aa291361</t>
  </si>
  <si>
    <t>http://www.linkedin.com/company/susi-panaderia</t>
  </si>
  <si>
    <t>https://susi.com.co</t>
  </si>
  <si>
    <t>IMN Nutrition</t>
  </si>
  <si>
    <t>cfbenavidesr@imnnutrition.co</t>
  </si>
  <si>
    <t>http://www.linkedin.com/in/cristian-benavides-b3ab6a2b0</t>
  </si>
  <si>
    <t>http://www.linkedin.com/company/imn-nutrition</t>
  </si>
  <si>
    <t>https://imnutrition.co</t>
  </si>
  <si>
    <t>Fundación Alma Perruna</t>
  </si>
  <si>
    <t>carolina.garcia@almaperruna.org</t>
  </si>
  <si>
    <t>http://www.linkedin.com/in/carolina-garc%c3%ada-bernal-04aaa72a</t>
  </si>
  <si>
    <t>http://www.linkedin.com/company/fundaci%c3%b3n-alma-perruna</t>
  </si>
  <si>
    <t>https://almaperruna.org</t>
  </si>
  <si>
    <t>Chief Executive Officer / Co-Founder</t>
  </si>
  <si>
    <t>Aventor Global</t>
  </si>
  <si>
    <t>paula@aventorglobal.com</t>
  </si>
  <si>
    <t>http://www.linkedin.com/in/paula-v-camacho-9034884a</t>
  </si>
  <si>
    <t>http://www.linkedin.com/company/aventor-global</t>
  </si>
  <si>
    <t>https://aventorglobal.com</t>
  </si>
  <si>
    <t>Fundación El Arte de Dar Oficial</t>
  </si>
  <si>
    <t>paola.villalba@views.co</t>
  </si>
  <si>
    <t>http://www.linkedin.com/in/paola-villalba-45b28817</t>
  </si>
  <si>
    <t>http://www.linkedin.com/company/fundaci%c3%b3n-el-arte-de-dar-oficial</t>
  </si>
  <si>
    <t>https://views.co</t>
  </si>
  <si>
    <t>Jabib</t>
  </si>
  <si>
    <t>Subrik</t>
  </si>
  <si>
    <t>jabib@subrik.com</t>
  </si>
  <si>
    <t>http://www.linkedin.com/in/jabib-char-2a4a868a</t>
  </si>
  <si>
    <t>http://www.linkedin.com/company/subrik</t>
  </si>
  <si>
    <t>https://subrik.com</t>
  </si>
  <si>
    <t>Founder y Director</t>
  </si>
  <si>
    <t>Liid Comunicación y Creatividad By Monodual</t>
  </si>
  <si>
    <t>jsanchez@monodual.com</t>
  </si>
  <si>
    <t>http://www.linkedin.com/in/juandavidsanchezp</t>
  </si>
  <si>
    <t>http://www.linkedin.com/company/agencialiid</t>
  </si>
  <si>
    <t>https://monodual.com</t>
  </si>
  <si>
    <t>CarbonLess</t>
  </si>
  <si>
    <t>diego@carbonless.com.co</t>
  </si>
  <si>
    <t>http://www.linkedin.com/in/diego-riveros-velandia-b68b0653</t>
  </si>
  <si>
    <t>http://www.linkedin.com/company/carbonlessless</t>
  </si>
  <si>
    <t>https://carbonless.com.co</t>
  </si>
  <si>
    <t>COO Business Developer and Consultant</t>
  </si>
  <si>
    <t>Innovatione AgroFood Design</t>
  </si>
  <si>
    <t>http://www.linkedin.com/in/juancamilobohorquez</t>
  </si>
  <si>
    <t>http://www.linkedin.com/company/innovatione-agrofood-design</t>
  </si>
  <si>
    <t>Co-Founder - Chief Strategy &amp; Growth Officer (CSO)</t>
  </si>
  <si>
    <t>INDTECH Soluciones de</t>
  </si>
  <si>
    <t>jose.castro@indtech.io</t>
  </si>
  <si>
    <t>http://www.linkedin.com/in/josejcastro</t>
  </si>
  <si>
    <t>http://www.linkedin.com/company/indtech-soluciones-de-software</t>
  </si>
  <si>
    <t>https://indtech.io</t>
  </si>
  <si>
    <t>Avante Ingeniería</t>
  </si>
  <si>
    <t>jigonzalez@avanteing.com</t>
  </si>
  <si>
    <t>http://www.linkedin.com/in/jose-i-gonzalez-c-a07b7923</t>
  </si>
  <si>
    <t>http://www.linkedin.com/company/avante-ingenier%c3%ada</t>
  </si>
  <si>
    <t>https://avanteing.com</t>
  </si>
  <si>
    <t>Macrowise</t>
  </si>
  <si>
    <t>guillermo@macrowise.co</t>
  </si>
  <si>
    <t>http://www.linkedin.com/in/guillermovalencia</t>
  </si>
  <si>
    <t>http://www.linkedin.com/company/macrowise</t>
  </si>
  <si>
    <t>https://macrowise.co</t>
  </si>
  <si>
    <t>Co Founder at Lucro-app</t>
  </si>
  <si>
    <t>c.martinez@lucro-app.com</t>
  </si>
  <si>
    <t>http://www.linkedin.com/in/carlos-alberto-martinez-m%c3%a9ndez</t>
  </si>
  <si>
    <t>C.E.O-founder</t>
  </si>
  <si>
    <t>Ecorganicos de Colombia S.A.S</t>
  </si>
  <si>
    <t>luis.betancur@ecorganicos.com</t>
  </si>
  <si>
    <t>http://www.linkedin.com/in/luis-betancur-zuluaga-41b01736</t>
  </si>
  <si>
    <t>http://www.linkedin.com/company/ecorganicos-de-colombia-s-a-s-c-i</t>
  </si>
  <si>
    <t>https://ecorganicosdecolombia.com</t>
  </si>
  <si>
    <t>victor.giraldo@clinikals.com</t>
  </si>
  <si>
    <t>http://www.linkedin.com/in/victor-giraldo-9a3729177</t>
  </si>
  <si>
    <t>manuel@dillie.ai</t>
  </si>
  <si>
    <t>http://www.linkedin.com/in/manuelrianos</t>
  </si>
  <si>
    <t>Patricia</t>
  </si>
  <si>
    <t>AXV Racing</t>
  </si>
  <si>
    <t>patricia@axv.com.co</t>
  </si>
  <si>
    <t>http://www.linkedin.com/in/patriciacarrasquillac</t>
  </si>
  <si>
    <t>http://www.linkedin.com/company/axvracing</t>
  </si>
  <si>
    <t>https://axv.com.co</t>
  </si>
  <si>
    <t>Out Of Box Consulting</t>
  </si>
  <si>
    <t>karen@outofboxconsulting.com</t>
  </si>
  <si>
    <t>http://www.linkedin.com/in/karen-acosta-parra-18b11919</t>
  </si>
  <si>
    <t>http://www.linkedin.com/company/out-of-box-consulting-bizfunding</t>
  </si>
  <si>
    <t>https://outofboxfunding.com</t>
  </si>
  <si>
    <t>fund-raising</t>
  </si>
  <si>
    <t>Innovakit SAS</t>
  </si>
  <si>
    <t>hlopez@innovakit.com</t>
  </si>
  <si>
    <t>http://www.linkedin.com/in/halopezf</t>
  </si>
  <si>
    <t>http://www.linkedin.com/company/innovakit-sas</t>
  </si>
  <si>
    <t>https://innovakit.co</t>
  </si>
  <si>
    <t>Co Founder and COO</t>
  </si>
  <si>
    <t>Tarkus Pharma Lab</t>
  </si>
  <si>
    <t>sergio@tarkuslab.com</t>
  </si>
  <si>
    <t>http://www.linkedin.com/in/sergio-picon-b0281214</t>
  </si>
  <si>
    <t>http://www.linkedin.com/company/tarkus-pharma-lab</t>
  </si>
  <si>
    <t>https://tarkuslab.com</t>
  </si>
  <si>
    <t>Leader - Founder</t>
  </si>
  <si>
    <t>VICTIUS</t>
  </si>
  <si>
    <t>davidpajaro@victius.legal</t>
  </si>
  <si>
    <t>http://www.linkedin.com/in/davidpajaro</t>
  </si>
  <si>
    <t>http://www.linkedin.com/company/victiuslegal</t>
  </si>
  <si>
    <t>https://victius.legal</t>
  </si>
  <si>
    <t>Pc Mac S.A</t>
  </si>
  <si>
    <t>consuelo@pcmac.co</t>
  </si>
  <si>
    <t>http://www.linkedin.com/in/maria-consuelo-scarpetta-8a98018a</t>
  </si>
  <si>
    <t>http://www.linkedin.com/company/pcmac-co</t>
  </si>
  <si>
    <t>https://pcmac.co</t>
  </si>
  <si>
    <t>tatiana.minnig@fanaticadas.co</t>
  </si>
  <si>
    <t>http://www.linkedin.com/in/mminnig</t>
  </si>
  <si>
    <t>Founder &amp; CEO – Solfint S.A.S.</t>
  </si>
  <si>
    <t>Solfint SAS</t>
  </si>
  <si>
    <t>jpalacios@solfint.com.co</t>
  </si>
  <si>
    <t>http://www.linkedin.com/in/juan-david-palacios-rodriguez</t>
  </si>
  <si>
    <t>http://www.linkedin.com/company/solfint-sas</t>
  </si>
  <si>
    <t>https://solfint.com.co</t>
  </si>
  <si>
    <t>Koideas Aprendizaje</t>
  </si>
  <si>
    <t>catalina@koideas.com</t>
  </si>
  <si>
    <t>http://www.linkedin.com/in/mentoraaprendizaje</t>
  </si>
  <si>
    <t>http://www.linkedin.com/company/koideas</t>
  </si>
  <si>
    <t>https://koideas.com</t>
  </si>
  <si>
    <t>AsetIA</t>
  </si>
  <si>
    <t>jcp@asetia.co</t>
  </si>
  <si>
    <t>http://www.linkedin.com/in/jc-pelaez</t>
  </si>
  <si>
    <t>http://www.linkedin.com/company/asetia</t>
  </si>
  <si>
    <t>https://asetia.co</t>
  </si>
  <si>
    <t>Co-Founder &amp; Chairman</t>
  </si>
  <si>
    <t>Mentors4u Colombia</t>
  </si>
  <si>
    <t>daniel.uribe@mentors4u.com.co</t>
  </si>
  <si>
    <t>http://www.linkedin.com/in/danieluribevilla</t>
  </si>
  <si>
    <t>http://www.linkedin.com/company/m4ucolombia</t>
  </si>
  <si>
    <t>https://mentors4u.com.co</t>
  </si>
  <si>
    <t>Juego Estratégico</t>
  </si>
  <si>
    <t>gabriel@juegoestrategico.com</t>
  </si>
  <si>
    <t>http://www.linkedin.com/in/gabrieldurancasij</t>
  </si>
  <si>
    <t>http://www.linkedin.com/company/masterbricks</t>
  </si>
  <si>
    <t>https://juegoestrategico.com</t>
  </si>
  <si>
    <t>PanteraGPT</t>
  </si>
  <si>
    <t>juan@panteragpt.com</t>
  </si>
  <si>
    <t>http://www.linkedin.com/in/jpaguirre</t>
  </si>
  <si>
    <t>http://www.linkedin.com/company/panteragpt</t>
  </si>
  <si>
    <t>https://getpantera.com</t>
  </si>
  <si>
    <t>Alkes Transformación Comercial</t>
  </si>
  <si>
    <t>hugo@alkesconsulting.com</t>
  </si>
  <si>
    <t>http://www.linkedin.com/in/hugocarmonaarana</t>
  </si>
  <si>
    <t>http://www.linkedin.com/company/alkesconsulting</t>
  </si>
  <si>
    <t>https://alkesconsulting.com</t>
  </si>
  <si>
    <t>Founder and Managing Director</t>
  </si>
  <si>
    <t>Akron</t>
  </si>
  <si>
    <t>tbarbato@akron.la</t>
  </si>
  <si>
    <t>http://www.linkedin.com/in/tatianabarbato</t>
  </si>
  <si>
    <t>http://www.linkedin.com/company/akron-soluciones-sas</t>
  </si>
  <si>
    <t>https://akron.la</t>
  </si>
  <si>
    <t>Development and Commercial Strategy Director</t>
  </si>
  <si>
    <t>Panna Food</t>
  </si>
  <si>
    <t>marcela.celis@pannafoods.com.co</t>
  </si>
  <si>
    <t>http://www.linkedin.com/in/marcela-celisgerentedemercadeodirectordemercadeo</t>
  </si>
  <si>
    <t>http://www.linkedin.com/company/pannafood-sas</t>
  </si>
  <si>
    <t>https://pannafood.com</t>
  </si>
  <si>
    <t>C.E.O.</t>
  </si>
  <si>
    <t>Next-Well S.A.S</t>
  </si>
  <si>
    <t>f.almario@next-well.com</t>
  </si>
  <si>
    <t>http://www.linkedin.com/in/felipe-almario-0b661a2a0</t>
  </si>
  <si>
    <t>http://www.linkedin.com/company/next-well</t>
  </si>
  <si>
    <t>https://next-well.com</t>
  </si>
  <si>
    <t>Controller RMA</t>
  </si>
  <si>
    <t>jesus.cardenas@controller.com.co</t>
  </si>
  <si>
    <t>http://www.linkedin.com/in/jesus-alfonso-cardenas-caicedo-87a06067</t>
  </si>
  <si>
    <t>http://www.linkedin.com/company/controller-rma</t>
  </si>
  <si>
    <t>https://controller.com.co</t>
  </si>
  <si>
    <t>Jens</t>
  </si>
  <si>
    <t>Director Operaciones / COO</t>
  </si>
  <si>
    <t>IBISA iDXP</t>
  </si>
  <si>
    <t>jens@ibisa.co</t>
  </si>
  <si>
    <t>http://www.linkedin.com/in/jens-bonkowski-49551a4</t>
  </si>
  <si>
    <t>http://www.linkedin.com/company/ibisa</t>
  </si>
  <si>
    <t>https://ibisagroup.com</t>
  </si>
  <si>
    <t>IDENTIAN</t>
  </si>
  <si>
    <t>rforero@identian.co</t>
  </si>
  <si>
    <t>http://www.linkedin.com/in/rafaelforero</t>
  </si>
  <si>
    <t>http://www.linkedin.com/company/identian-cybersecurity</t>
  </si>
  <si>
    <t>https://identian.co</t>
  </si>
  <si>
    <t>Asesorías y Soluciones de Ingeniería SAS</t>
  </si>
  <si>
    <t>jcasas@aysingsas.com</t>
  </si>
  <si>
    <t>http://www.linkedin.com/in/juan-fernando-casas-garc%c3%ada-097908231</t>
  </si>
  <si>
    <t>http://www.linkedin.com/company/asesor%c3%adas-y-soluciones-de-ingenier%c3%ada-sas</t>
  </si>
  <si>
    <t>https://aysingsas.com</t>
  </si>
  <si>
    <t>Emma</t>
  </si>
  <si>
    <t>emma@mappa.ai</t>
  </si>
  <si>
    <t>http://www.linkedin.com/in/emmachaves</t>
  </si>
  <si>
    <t>Co-Founder and Head of Products at Plurall</t>
  </si>
  <si>
    <t>monica@plurall.com</t>
  </si>
  <si>
    <t>http://www.linkedin.com/in/monicasaavedranieto</t>
  </si>
  <si>
    <t>TRALIA</t>
  </si>
  <si>
    <t>jheredia@traliaglobal.com</t>
  </si>
  <si>
    <t>http://www.linkedin.com/in/jennifer-heredia-94981787</t>
  </si>
  <si>
    <t>http://www.linkedin.com/company/tralia</t>
  </si>
  <si>
    <t>https://traliaglobal.com</t>
  </si>
  <si>
    <t>MacPower</t>
  </si>
  <si>
    <t>adaza@macpower.com.co</t>
  </si>
  <si>
    <t>http://www.linkedin.com/in/ddazad</t>
  </si>
  <si>
    <t>http://www.linkedin.com/company/macpower-it-solutions</t>
  </si>
  <si>
    <t>https://macpower.com.co</t>
  </si>
  <si>
    <t>Hospy</t>
  </si>
  <si>
    <t>luisramirez@hospy.co</t>
  </si>
  <si>
    <t>http://www.linkedin.com/in/laramirezr</t>
  </si>
  <si>
    <t>http://www.linkedin.com/company/hospysolutions</t>
  </si>
  <si>
    <t>https://hospy.co</t>
  </si>
  <si>
    <t>Co Founder | CCO | Directora Alianzas Estratégicas y Business Development</t>
  </si>
  <si>
    <t>Profit Banca de Inversión</t>
  </si>
  <si>
    <t>aramirez@profit-bi.com</t>
  </si>
  <si>
    <t>http://www.linkedin.com/in/andrearamirezvelandia</t>
  </si>
  <si>
    <t>http://www.linkedin.com/company/profit-bi</t>
  </si>
  <si>
    <t>https://profit-bi.com</t>
  </si>
  <si>
    <t>CEO Prime Digital Consulting</t>
  </si>
  <si>
    <t>Prime Digital Consulting</t>
  </si>
  <si>
    <t>fsuarez@primedigitale.com</t>
  </si>
  <si>
    <t>http://www.linkedin.com/in/francisco-alonso-su%c3%a1rez-cano-a28145192</t>
  </si>
  <si>
    <t>http://www.linkedin.com/company/prime-digitale-consulting</t>
  </si>
  <si>
    <t>https://primedigitale.com</t>
  </si>
  <si>
    <t>Renan</t>
  </si>
  <si>
    <t>Cloud and Security Consulting Services</t>
  </si>
  <si>
    <t>renan@cs2.com.co</t>
  </si>
  <si>
    <t>http://www.linkedin.com/in/renan-quevedo-gomez-52463324</t>
  </si>
  <si>
    <t>http://www.linkedin.com/company/cs2-cybersecurity</t>
  </si>
  <si>
    <t>https://cs2cybersecurity.com</t>
  </si>
  <si>
    <t>GLogic Technology</t>
  </si>
  <si>
    <t>sergio.galvis@glogic.com.co</t>
  </si>
  <si>
    <t>http://www.linkedin.com/in/sergio-galvis-3458b642</t>
  </si>
  <si>
    <t>http://www.linkedin.com/company/g-logictechnology</t>
  </si>
  <si>
    <t>https://glogic.com.co</t>
  </si>
  <si>
    <t>Director de Marketing y Estrategia Digital at Inter-Image Bancolombia en el Exterior</t>
  </si>
  <si>
    <t>Inter-Image Tu casa en Colombia</t>
  </si>
  <si>
    <t>josebermudez@interimage.es</t>
  </si>
  <si>
    <t>http://www.linkedin.com/in/josehernan</t>
  </si>
  <si>
    <t>http://www.linkedin.com/company/inter-image-sl</t>
  </si>
  <si>
    <t>https://interimage.es</t>
  </si>
  <si>
    <t>James</t>
  </si>
  <si>
    <t>Freedom Files</t>
  </si>
  <si>
    <t>james@freedomfiles.co</t>
  </si>
  <si>
    <t>http://www.linkedin.com/in/jamesnuveen</t>
  </si>
  <si>
    <t>http://www.linkedin.com/company/freedomfiles</t>
  </si>
  <si>
    <t>https://freedomfiles.co</t>
  </si>
  <si>
    <t>CEO y Co-Fundador</t>
  </si>
  <si>
    <t>wedoengineer</t>
  </si>
  <si>
    <t>carlos.gomez@wedoengineer.com</t>
  </si>
  <si>
    <t>http://www.linkedin.com/in/carlos-arturo-g%c3%b3mez-jim%c3%a9nez-5104a1143</t>
  </si>
  <si>
    <t>http://www.linkedin.com/company/wedoengineer</t>
  </si>
  <si>
    <t>https://wedoengineer.com</t>
  </si>
  <si>
    <t>FW Ingeniería</t>
  </si>
  <si>
    <t>ivan.lopez@fwingenieria.com</t>
  </si>
  <si>
    <t>http://www.linkedin.com/in/ivan-andres-lopez</t>
  </si>
  <si>
    <t>http://www.linkedin.com/company/fw-ingenieria</t>
  </si>
  <si>
    <t>https://fwingenieria.com</t>
  </si>
  <si>
    <t>dani@nojau.co</t>
  </si>
  <si>
    <t>http://www.linkedin.com/in/soydaniramirezm</t>
  </si>
  <si>
    <t>Co Founder / Socio Director</t>
  </si>
  <si>
    <t>carlos@inmobo.co</t>
  </si>
  <si>
    <t>http://www.linkedin.com/in/carlos-andr%c3%a9s-gaviria-dugand-4973a82b</t>
  </si>
  <si>
    <t>CEO y Owner Principal</t>
  </si>
  <si>
    <t>Avanz Consultores</t>
  </si>
  <si>
    <t>monica.salazar@avanzconsultores.com</t>
  </si>
  <si>
    <t>http://www.linkedin.com/in/monica-salazar-023a57156</t>
  </si>
  <si>
    <t>http://www.linkedin.com/company/avanz-consultores</t>
  </si>
  <si>
    <t>https://avanzconsultores.com</t>
  </si>
  <si>
    <t>Pisos LG Hausys LATAM</t>
  </si>
  <si>
    <t>piero.riccardi@ubiqgroup.com</t>
  </si>
  <si>
    <t>http://www.linkedin.com/in/gian-piero-riccardi-4804b351</t>
  </si>
  <si>
    <t>http://www.linkedin.com/company/pisoslglatam</t>
  </si>
  <si>
    <t>https://ubiqgroup.com</t>
  </si>
  <si>
    <t>Bienestar Y Comunicaciones Corporativas + Asistente CEO</t>
  </si>
  <si>
    <t>Tuscany South America</t>
  </si>
  <si>
    <t>cgarcia@tuscanydrilling.com</t>
  </si>
  <si>
    <t>http://www.linkedin.com/in/claudia-garcia-9b9a0410a</t>
  </si>
  <si>
    <t>http://www.linkedin.com/company/tuscany-south-america-ltd-</t>
  </si>
  <si>
    <t>https://tuscanydrilling.com</t>
  </si>
  <si>
    <t>New Fire Evangelization</t>
  </si>
  <si>
    <t>maraescobar@benewfire.com</t>
  </si>
  <si>
    <t>http://www.linkedin.com/in/mariaclaudiaescobar</t>
  </si>
  <si>
    <t>http://www.linkedin.com/company/new-fire-evangelization</t>
  </si>
  <si>
    <t>https://benewfire.com</t>
  </si>
  <si>
    <t>religious institutions</t>
  </si>
  <si>
    <t>Brais</t>
  </si>
  <si>
    <t>Head of Marketing - Consultant</t>
  </si>
  <si>
    <t>Standard Backing</t>
  </si>
  <si>
    <t>brais@standardbacking.com</t>
  </si>
  <si>
    <t>http://www.linkedin.com/in/braistorming</t>
  </si>
  <si>
    <t>http://www.linkedin.com/company/standard-backing</t>
  </si>
  <si>
    <t>https://standardbacking.com</t>
  </si>
  <si>
    <t>Lésiga</t>
  </si>
  <si>
    <t>erick@lesiga.com</t>
  </si>
  <si>
    <t>http://www.linkedin.com/in/erickhansen</t>
  </si>
  <si>
    <t>http://www.linkedin.com/company/lesiga</t>
  </si>
  <si>
    <t>https://lesiga.com</t>
  </si>
  <si>
    <t>Harold</t>
  </si>
  <si>
    <t>Socio Consultor - CEO</t>
  </si>
  <si>
    <t>INFO STRATEGY S.A.S</t>
  </si>
  <si>
    <t>hfranco@infostrategy.co</t>
  </si>
  <si>
    <t>http://www.linkedin.com/in/harold-franco-eastman-bb16161b</t>
  </si>
  <si>
    <t>http://www.linkedin.com/company/info-strategy-s-a-s</t>
  </si>
  <si>
    <t>https://infostrategy.co</t>
  </si>
  <si>
    <t>Myzelio</t>
  </si>
  <si>
    <t>maria@myzelio.com</t>
  </si>
  <si>
    <t>http://www.linkedin.com/in/maria-atuesta-vegalara-84a313115</t>
  </si>
  <si>
    <t>http://www.linkedin.com/company/myzelio</t>
  </si>
  <si>
    <t>https://myzelio.com</t>
  </si>
  <si>
    <t>International Sales Director USA &amp; Latam</t>
  </si>
  <si>
    <t>Oleana</t>
  </si>
  <si>
    <t>arincon@oleana.ec</t>
  </si>
  <si>
    <t>http://www.linkedin.com/in/andres-rincon-top</t>
  </si>
  <si>
    <t>http://www.linkedin.com/company/oleana</t>
  </si>
  <si>
    <t>https://oleana.ec</t>
  </si>
  <si>
    <t>felipe.camargo@ze-mobility.com</t>
  </si>
  <si>
    <t>http://www.linkedin.com/in/felipe-camargo-47129114</t>
  </si>
  <si>
    <t>Innovation Manager (CEO)</t>
  </si>
  <si>
    <t>Innovaitors</t>
  </si>
  <si>
    <t>santiago@innovaitors.ai</t>
  </si>
  <si>
    <t>http://www.linkedin.com/in/santiago-grisales-boh%c3%b3rquez</t>
  </si>
  <si>
    <t>http://www.linkedin.com/company/innovaitors</t>
  </si>
  <si>
    <t>https://innovaitors.ai</t>
  </si>
  <si>
    <t>Prime Work Spaces</t>
  </si>
  <si>
    <t>gcia@primeworksp.com</t>
  </si>
  <si>
    <t>http://www.linkedin.com/in/sandra-perez-emprendedora</t>
  </si>
  <si>
    <t>http://www.linkedin.com/company/primeworksp</t>
  </si>
  <si>
    <t>https://primeworksp.com</t>
  </si>
  <si>
    <t>CEO Fundador</t>
  </si>
  <si>
    <t>OCC Solutions</t>
  </si>
  <si>
    <t>rmatamala@occsolutions.org</t>
  </si>
  <si>
    <t>http://www.linkedin.com/in/ricardomatamala</t>
  </si>
  <si>
    <t>http://www.linkedin.com/company/occ-solutions</t>
  </si>
  <si>
    <t>https://occsolutions.org</t>
  </si>
  <si>
    <t>My Site</t>
  </si>
  <si>
    <t>isabella@purasduras.com</t>
  </si>
  <si>
    <t>http://www.linkedin.com/in/isabellaorduz</t>
  </si>
  <si>
    <t>http://www.linkedin.com/company/purasduras</t>
  </si>
  <si>
    <t>https://purasduras.com</t>
  </si>
  <si>
    <t>c.hernandez@easy-logistics.co</t>
  </si>
  <si>
    <t>http://www.linkedin.com/in/daniel-hern%c3%a1ndez-950924201</t>
  </si>
  <si>
    <t>rodrigo.marino@platam.co</t>
  </si>
  <si>
    <t>http://www.linkedin.com/in/rmarino5</t>
  </si>
  <si>
    <t>VIA HOUSE</t>
  </si>
  <si>
    <t>orlando.garcia@viahouse.eu</t>
  </si>
  <si>
    <t>http://www.linkedin.com/in/orlando-garc%c3%ada-482292103</t>
  </si>
  <si>
    <t>http://www.linkedin.com/company/viahouse</t>
  </si>
  <si>
    <t>https://viahouse.eu</t>
  </si>
  <si>
    <t>JD</t>
  </si>
  <si>
    <t>Undeniable Closer</t>
  </si>
  <si>
    <t>jd@undeniablecloser.com</t>
  </si>
  <si>
    <t>http://www.linkedin.com/in/undeniablecloser</t>
  </si>
  <si>
    <t>http://www.linkedin.com/company/undeniable-closer</t>
  </si>
  <si>
    <t>https://undeniablecloser.com</t>
  </si>
  <si>
    <t>Jamilton</t>
  </si>
  <si>
    <t>Co-founder &amp; CTO @ SaleADS.ai | Democratizing High-Performance Digital Advertising With AI</t>
  </si>
  <si>
    <t>cto@saleads.ai</t>
  </si>
  <si>
    <t>http://www.linkedin.com/in/jamilton-quintero-osorio</t>
  </si>
  <si>
    <t>Cofounder - Chief Innovation &amp; AI Architect</t>
  </si>
  <si>
    <t>Imétrica</t>
  </si>
  <si>
    <t>juanmatiz@imetrica.co</t>
  </si>
  <si>
    <t>http://www.linkedin.com/in/juanmatizg</t>
  </si>
  <si>
    <t>http://www.linkedin.com/company/imetrica</t>
  </si>
  <si>
    <t>https://imetrica.co</t>
  </si>
  <si>
    <t>Iridian</t>
  </si>
  <si>
    <t>fernando@iridian.co</t>
  </si>
  <si>
    <t>http://www.linkedin.com/in/fernandocaviedes</t>
  </si>
  <si>
    <t>http://www.linkedin.com/company/iridian</t>
  </si>
  <si>
    <t>https://iridian.io</t>
  </si>
  <si>
    <t>SOINNTEC</t>
  </si>
  <si>
    <t>gerenteg@soinntec.com</t>
  </si>
  <si>
    <t>http://www.linkedin.com/in/fredy-gonzalez-silva-7613b41b2</t>
  </si>
  <si>
    <t>http://www.linkedin.com/company/soinntec</t>
  </si>
  <si>
    <t>https://soinntec.com</t>
  </si>
  <si>
    <t>jonathan.rojas@ibisa.co</t>
  </si>
  <si>
    <t>http://www.linkedin.com/in/jonathanrojasb</t>
  </si>
  <si>
    <t>Seyco Seguridad</t>
  </si>
  <si>
    <t>juan.prada@seycoltda.co</t>
  </si>
  <si>
    <t>http://www.linkedin.com/in/juan-prada</t>
  </si>
  <si>
    <t>http://www.linkedin.com/company/seyco-seguridad</t>
  </si>
  <si>
    <t>https://seycoltda.co</t>
  </si>
  <si>
    <t>Distritech</t>
  </si>
  <si>
    <t>amesa@distritech.com</t>
  </si>
  <si>
    <t>http://www.linkedin.com/in/alejandro-mesa-correa</t>
  </si>
  <si>
    <t>http://www.linkedin.com/company/distritech</t>
  </si>
  <si>
    <t>https://distritech.com</t>
  </si>
  <si>
    <t>Country Manager &amp; Co-Founder</t>
  </si>
  <si>
    <t>Blackpool Tech</t>
  </si>
  <si>
    <t>eduardo.calvo@blackpool.la</t>
  </si>
  <si>
    <t>http://www.linkedin.com/in/eduardo-andr%c3%a9s-calvo-montoya-62567816</t>
  </si>
  <si>
    <t>http://www.linkedin.com/company/blackpool-sas</t>
  </si>
  <si>
    <t>https://blackpool.la</t>
  </si>
  <si>
    <t>COVOX AI</t>
  </si>
  <si>
    <t>camilo@covox.io</t>
  </si>
  <si>
    <t>http://www.linkedin.com/in/camilo-villalba-10</t>
  </si>
  <si>
    <t>http://www.linkedin.com/company/covoxai</t>
  </si>
  <si>
    <t>https://covox.io</t>
  </si>
  <si>
    <t>Remote Guatape</t>
  </si>
  <si>
    <t>camilo@guatapecolombia.co</t>
  </si>
  <si>
    <t>http://www.linkedin.com/in/camilo-tobon</t>
  </si>
  <si>
    <t>http://www.linkedin.com/company/remote-guatape</t>
  </si>
  <si>
    <t>https://guatapecolombia.co</t>
  </si>
  <si>
    <t>Más Sabios Juntos</t>
  </si>
  <si>
    <t>lcjacobsen@massabiosjuntos.com</t>
  </si>
  <si>
    <t>http://www.linkedin.com/in/luiscarlosjacobsen</t>
  </si>
  <si>
    <t>http://www.linkedin.com/company/massabiosjuntos</t>
  </si>
  <si>
    <t>https://massabiosjuntos.com</t>
  </si>
  <si>
    <t>Eunice</t>
  </si>
  <si>
    <t>Nómada Del Alma</t>
  </si>
  <si>
    <t>eunice@valusignal.com</t>
  </si>
  <si>
    <t>http://www.linkedin.com/in/eunice-lopez-suarez</t>
  </si>
  <si>
    <t>http://www.linkedin.com/company/nomadadelalma</t>
  </si>
  <si>
    <t>https://valusignal.com</t>
  </si>
  <si>
    <t>Co-Founder | Emprendimiento | Desarrollo de Negocio</t>
  </si>
  <si>
    <t>IQnegocio</t>
  </si>
  <si>
    <t>andres.jaramillo@iqnegocio.com</t>
  </si>
  <si>
    <t>http://www.linkedin.com/in/andr%c3%a9s-jaramillo-1739272b</t>
  </si>
  <si>
    <t>http://www.linkedin.com/company/iqnegocio</t>
  </si>
  <si>
    <t>https://iqnegocio.com</t>
  </si>
  <si>
    <t>Gohunt</t>
  </si>
  <si>
    <t>kelly.martinez@gohunt.com.co</t>
  </si>
  <si>
    <t>http://www.linkedin.com/in/kelly-vanesa-vence-martinez-91468817a</t>
  </si>
  <si>
    <t>http://www.linkedin.com/company/gohunt</t>
  </si>
  <si>
    <t>https://gohunt.com.co</t>
  </si>
  <si>
    <t>Vanguard Vision Ai</t>
  </si>
  <si>
    <t>mr@vanguardvision.ai</t>
  </si>
  <si>
    <t>http://www.linkedin.com/in/miguelroldanb</t>
  </si>
  <si>
    <t>http://www.linkedin.com/company/vanguardvisionai</t>
  </si>
  <si>
    <t>https://vanguardvision.ai</t>
  </si>
  <si>
    <t>AIRXPRESS COMPRESORES</t>
  </si>
  <si>
    <t>gerencia@airxpresscompresores.com</t>
  </si>
  <si>
    <t>http://www.linkedin.com/in/camilocontreras</t>
  </si>
  <si>
    <t>http://www.linkedin.com/company/airxpress-sas</t>
  </si>
  <si>
    <t>https://airxpresscompresores.com</t>
  </si>
  <si>
    <t>Go Pets</t>
  </si>
  <si>
    <t>camilo@mygopets.com</t>
  </si>
  <si>
    <t>http://www.linkedin.com/in/camilovargas0712</t>
  </si>
  <si>
    <t>http://www.linkedin.com/company/mygopets</t>
  </si>
  <si>
    <t>https://mygopets.com</t>
  </si>
  <si>
    <t>Spellty</t>
  </si>
  <si>
    <t>gcardona@spellty.com</t>
  </si>
  <si>
    <t>http://www.linkedin.com/in/gustavo-cardona-ramirez-3469264</t>
  </si>
  <si>
    <t>http://www.linkedin.com/company/spellty</t>
  </si>
  <si>
    <t>https://spellty.com</t>
  </si>
  <si>
    <t>jose.prada@becomedigital.com.co</t>
  </si>
  <si>
    <t>http://www.linkedin.com/in/josepradap</t>
  </si>
  <si>
    <t>jose@linnda.co</t>
  </si>
  <si>
    <t>http://www.linkedin.com/in/jose-andres-clavijo-morales-43101617</t>
  </si>
  <si>
    <t>SABINA CONSULTORES SAS</t>
  </si>
  <si>
    <t>gerencia@sabinaconsultores.com</t>
  </si>
  <si>
    <t>http://www.linkedin.com/in/monicavasquezareiza</t>
  </si>
  <si>
    <t>http://www.linkedin.com/company/sabina-consulores-sas</t>
  </si>
  <si>
    <t>https://sabinaconsultores.com</t>
  </si>
  <si>
    <t>Co-Founder - Head of Lending and Operations</t>
  </si>
  <si>
    <t>gustavo@plurall.com</t>
  </si>
  <si>
    <t>http://www.linkedin.com/in/gustavo-gonz%c3%a1lez-95a96b36</t>
  </si>
  <si>
    <t>karen@purasduras.com</t>
  </si>
  <si>
    <t>http://www.linkedin.com/in/karencarvajalino</t>
  </si>
  <si>
    <t>Lending Pay</t>
  </si>
  <si>
    <t>jorge@aulalatam.com</t>
  </si>
  <si>
    <t>http://www.linkedin.com/in/jorge-bernal-robayo-ba717251</t>
  </si>
  <si>
    <t>http://www.linkedin.com/company/lending-pay-aula</t>
  </si>
  <si>
    <t>https://aulalatam.com</t>
  </si>
  <si>
    <t>Simple Agri</t>
  </si>
  <si>
    <t>carolina.hurtado@simpleagri.com</t>
  </si>
  <si>
    <t>http://www.linkedin.com/in/carolina-hurtado-lopez-422a1438</t>
  </si>
  <si>
    <t>http://www.linkedin.com/company/simpleagri</t>
  </si>
  <si>
    <t>https://simpleagri.com</t>
  </si>
  <si>
    <t>Founder - AI Associate Director</t>
  </si>
  <si>
    <t>Atinna</t>
  </si>
  <si>
    <t>javier.diaz@atinna.co</t>
  </si>
  <si>
    <t>http://www.linkedin.com/in/javierdiazcely</t>
  </si>
  <si>
    <t>http://www.linkedin.com/company/atinnaco</t>
  </si>
  <si>
    <t>https://atinna.co</t>
  </si>
  <si>
    <t>CEO | Organización de Eventos | Eventos | Eventos Virtuales | Transmisión Online</t>
  </si>
  <si>
    <t>Ticketcode</t>
  </si>
  <si>
    <t>alex@ticketcode.co</t>
  </si>
  <si>
    <t>http://www.linkedin.com/in/alexvasquez-ticketcode</t>
  </si>
  <si>
    <t>http://www.linkedin.com/company/ticketcode</t>
  </si>
  <si>
    <t>https://ticketcode.co</t>
  </si>
  <si>
    <t>Gerardo</t>
  </si>
  <si>
    <t>CEO Ormigga</t>
  </si>
  <si>
    <t>Ormigga.com</t>
  </si>
  <si>
    <t>gerardo@ormigga.com</t>
  </si>
  <si>
    <t>http://www.linkedin.com/in/gerardo-mendez-</t>
  </si>
  <si>
    <t>http://www.linkedin.com/company/ormigga</t>
  </si>
  <si>
    <t>https://ormigga.com</t>
  </si>
  <si>
    <t>camilofonseca@onepay.la</t>
  </si>
  <si>
    <t>http://www.linkedin.com/in/juan-camilo-fonseca</t>
  </si>
  <si>
    <t>Business Intelligence &amp; Strategy Consulting Group S.A.S</t>
  </si>
  <si>
    <t>jcramirez@bisconsultinggroup.co</t>
  </si>
  <si>
    <t>http://www.linkedin.com/in/juan-carlos-ram%c3%adrez-%c3%a1lvarez-aa108315</t>
  </si>
  <si>
    <t>http://www.linkedin.com/company/bis-consulting-group-sas</t>
  </si>
  <si>
    <t>https://bisconsultinggroup.co</t>
  </si>
  <si>
    <t>Bleisure Colombia</t>
  </si>
  <si>
    <t>gerencia@bleisure.com.co</t>
  </si>
  <si>
    <t>http://www.linkedin.com/in/alexandra-ramirez-l-262a554b</t>
  </si>
  <si>
    <t>http://www.linkedin.com/company/bleisure-colombia</t>
  </si>
  <si>
    <t>https://bleisure.com.co</t>
  </si>
  <si>
    <t>:. Founder</t>
  </si>
  <si>
    <t>CRIOONLINE.com</t>
  </si>
  <si>
    <t>matiasg@crioequinesoftware.com</t>
  </si>
  <si>
    <t>http://www.linkedin.com/in/matiasgamarra</t>
  </si>
  <si>
    <t>http://www.linkedin.com/company/crioonline-equine-barn-management-software</t>
  </si>
  <si>
    <t>https://crioonline.com</t>
  </si>
  <si>
    <t>CAV ROBOTICS</t>
  </si>
  <si>
    <t>daniel.diaz@cavrobotics.com.co</t>
  </si>
  <si>
    <t>http://www.linkedin.com/in/daniel-d%c3%adaz-ulloa-a7436536</t>
  </si>
  <si>
    <t>http://www.linkedin.com/company/cav-robotics</t>
  </si>
  <si>
    <t>https://cavrobotics.com.co</t>
  </si>
  <si>
    <t>IANGEL SAS</t>
  </si>
  <si>
    <t>angel.torres@iangelcorp.com</t>
  </si>
  <si>
    <t>http://www.linkedin.com/in/091064</t>
  </si>
  <si>
    <t>http://www.linkedin.com/company/iangel-sas</t>
  </si>
  <si>
    <t>https://iangelcorp.com</t>
  </si>
  <si>
    <t>Tecnología Para Conectar SAS</t>
  </si>
  <si>
    <t>daniel.mendez@tpconectar.com</t>
  </si>
  <si>
    <t>http://www.linkedin.com/in/danielmendezlindo</t>
  </si>
  <si>
    <t>http://www.linkedin.com/company/tpconectar</t>
  </si>
  <si>
    <t>https://tpconectar.com</t>
  </si>
  <si>
    <t>Director Comercial Y Mercadeo</t>
  </si>
  <si>
    <t>Gestor Comercial y de Crédito</t>
  </si>
  <si>
    <t>dcomercial@gestorcc.com</t>
  </si>
  <si>
    <t>http://www.linkedin.com/in/cesar-serrano-garzon</t>
  </si>
  <si>
    <t>http://www.linkedin.com/company/gestorcc</t>
  </si>
  <si>
    <t>https://gestorcc.com</t>
  </si>
  <si>
    <t>Director Mercadeo - Consultora</t>
  </si>
  <si>
    <t>Vásquez Kennedy</t>
  </si>
  <si>
    <t>diana.ruiz@vasquezkennedy.com</t>
  </si>
  <si>
    <t>http://www.linkedin.com/in/dianaruiz-director-comercial-consultor-b2b-coach</t>
  </si>
  <si>
    <t>http://www.linkedin.com/company/vasquez-kennedy-outplacement-desarrollo-carrera-independencia-laboral-reestructuraciones</t>
  </si>
  <si>
    <t>https://vasquezkennedy.com</t>
  </si>
  <si>
    <t>Directora de Mercadeo + Ecommerce (latam y USA)</t>
  </si>
  <si>
    <t>Savvy Nutrición</t>
  </si>
  <si>
    <t>catalina.arana@youaresavvy.com</t>
  </si>
  <si>
    <t>http://www.linkedin.com/in/catalinamktandstrategy</t>
  </si>
  <si>
    <t>http://www.linkedin.com/company/savvynutricion</t>
  </si>
  <si>
    <t>https://youaresavvy.com</t>
  </si>
  <si>
    <t>TITANQ INGENIERÍA S.A.S</t>
  </si>
  <si>
    <t>davidp@titanqingenieria.net</t>
  </si>
  <si>
    <t>http://www.linkedin.com/in/david-p%c3%a9rez-arias-930471104</t>
  </si>
  <si>
    <t>http://www.linkedin.com/company/titanq-ingenieria</t>
  </si>
  <si>
    <t>https://titanqingenieria.net</t>
  </si>
  <si>
    <t>Portiq Grupo Logístico</t>
  </si>
  <si>
    <t>leonardo.baron@lacargo.co</t>
  </si>
  <si>
    <t>http://www.linkedin.com/in/leonardobarong</t>
  </si>
  <si>
    <t>http://www.linkedin.com/company/portiqgroup</t>
  </si>
  <si>
    <t>https://lacargo.co</t>
  </si>
  <si>
    <t>ColTrade</t>
  </si>
  <si>
    <t>mejiafabio@coltrade.com.co</t>
  </si>
  <si>
    <t>http://www.linkedin.com/in/fabio-mej%c3%ada-07aa1a160</t>
  </si>
  <si>
    <t>http://www.linkedin.com/company/coltrade</t>
  </si>
  <si>
    <t>https://coltrade.com.co</t>
  </si>
  <si>
    <t>Mareigua</t>
  </si>
  <si>
    <t>jlopez@mareigua.co</t>
  </si>
  <si>
    <t>http://www.linkedin.com/in/jelopez</t>
  </si>
  <si>
    <t>http://www.linkedin.com/company/mareigua</t>
  </si>
  <si>
    <t>https://mareigua.co</t>
  </si>
  <si>
    <t>john.ardila@controller.com.co</t>
  </si>
  <si>
    <t>http://www.linkedin.com/in/john-ardila-aponte</t>
  </si>
  <si>
    <t>Ubiqcuore.ai</t>
  </si>
  <si>
    <t>santiago@ubiquo.ai</t>
  </si>
  <si>
    <t>http://www.linkedin.com/in/santiago-op</t>
  </si>
  <si>
    <t>http://www.linkedin.com/company/ubiquo-ai</t>
  </si>
  <si>
    <t>https://ubiquo.ai</t>
  </si>
  <si>
    <t>Inverceramicas</t>
  </si>
  <si>
    <t>gerencia@inverceramicas.com</t>
  </si>
  <si>
    <t>http://www.linkedin.com/in/henryariasa</t>
  </si>
  <si>
    <t>http://www.linkedin.com/company/inverceramicas</t>
  </si>
  <si>
    <t>https://inverceramicas.com</t>
  </si>
  <si>
    <t>Financial &amp; Strategy Director</t>
  </si>
  <si>
    <t>jgalindo@macpower.com.co</t>
  </si>
  <si>
    <t>http://www.linkedin.com/in/juancamilogalindovargas-supplychain</t>
  </si>
  <si>
    <t>AldeaCity</t>
  </si>
  <si>
    <t>camilo@aldeacity.com</t>
  </si>
  <si>
    <t>http://www.linkedin.com/in/camiloesco</t>
  </si>
  <si>
    <t>http://www.linkedin.com/company/aldea-city</t>
  </si>
  <si>
    <t>https://aldeacity.com</t>
  </si>
  <si>
    <t>Yolberth</t>
  </si>
  <si>
    <t>KeyCore International</t>
  </si>
  <si>
    <t>yolberth.pena@key-core.com</t>
  </si>
  <si>
    <t>http://www.linkedin.com/in/yolberth-pe%c3%b1a-2693aa142</t>
  </si>
  <si>
    <t>http://www.linkedin.com/company/keycoreinternational</t>
  </si>
  <si>
    <t>https://key-core.com</t>
  </si>
  <si>
    <t>CEO - Director Ejecutivo</t>
  </si>
  <si>
    <t>NEPXA SAS</t>
  </si>
  <si>
    <t>diego.barco@nepxa.ai</t>
  </si>
  <si>
    <t>http://www.linkedin.com/in/dabarco</t>
  </si>
  <si>
    <t>http://www.linkedin.com/company/nepxa-sas</t>
  </si>
  <si>
    <t>https://nepxa.ai</t>
  </si>
  <si>
    <t>Directora Desarrollo de Negocios</t>
  </si>
  <si>
    <t>IINSIGHTS CONSULTORIA</t>
  </si>
  <si>
    <t>adriana.serrano@iinsights.com.co</t>
  </si>
  <si>
    <t>http://www.linkedin.com/in/adriana-serrano-14794662</t>
  </si>
  <si>
    <t>http://www.linkedin.com/company/iinsights-consultoria</t>
  </si>
  <si>
    <t>https://iinsights.com.co</t>
  </si>
  <si>
    <t>CEO - Entrepreneur - Oil and Gas Executive</t>
  </si>
  <si>
    <t>R&amp;R Fluid Solutions</t>
  </si>
  <si>
    <t>ablanco@ryrfluidsolutions.com</t>
  </si>
  <si>
    <t>http://www.linkedin.com/in/ariel-blanco-camargo-b172b570</t>
  </si>
  <si>
    <t>http://www.linkedin.com/company/r-r-fluid-solutions</t>
  </si>
  <si>
    <t>https://ryrfluidsolutions.com</t>
  </si>
  <si>
    <t>Abel</t>
  </si>
  <si>
    <t>Gerona Power SAS</t>
  </si>
  <si>
    <t>abel.dominguez@geronapower.com</t>
  </si>
  <si>
    <t>http://www.linkedin.com/in/abel-dominguez-42ab7559</t>
  </si>
  <si>
    <t>http://www.linkedin.com/company/geronapower</t>
  </si>
  <si>
    <t>https://geronapower.com</t>
  </si>
  <si>
    <t>Said</t>
  </si>
  <si>
    <t>Scrummers</t>
  </si>
  <si>
    <t>said@scrummers.co</t>
  </si>
  <si>
    <t>http://www.linkedin.com/in/saidpacheco-fintech</t>
  </si>
  <si>
    <t>http://www.linkedin.com/company/scrummers</t>
  </si>
  <si>
    <t>https://scrummers.co</t>
  </si>
  <si>
    <t>Head of Experiential Marketing Latam</t>
  </si>
  <si>
    <t>Creategica Latina</t>
  </si>
  <si>
    <t>felipe.gonzalez@creategicalatina.com</t>
  </si>
  <si>
    <t>http://www.linkedin.com/in/felipeg0311</t>
  </si>
  <si>
    <t>http://www.linkedin.com/company/creategicalatina</t>
  </si>
  <si>
    <t>https://creategicalatina.com</t>
  </si>
  <si>
    <t>Ramiro</t>
  </si>
  <si>
    <t>Founder &amp; VMO Director</t>
  </si>
  <si>
    <t>MovimientoPlateado</t>
  </si>
  <si>
    <t>presidencia@movimientoplateado.com</t>
  </si>
  <si>
    <t>http://www.linkedin.com/in/ramiropaniagua</t>
  </si>
  <si>
    <t>http://www.linkedin.com/company/movimientoplateado</t>
  </si>
  <si>
    <t>https://movimientoplateado.com</t>
  </si>
  <si>
    <t>facosta@dondoctor.com</t>
  </si>
  <si>
    <t>http://www.linkedin.com/in/felipe-acosta-mu%c3%b1oz-41618830</t>
  </si>
  <si>
    <t>Founder, CEO &amp; Creative Director</t>
  </si>
  <si>
    <t>Klipzen</t>
  </si>
  <si>
    <t>jose.ramirez@klipzen.com</t>
  </si>
  <si>
    <t>http://www.linkedin.com/in/byjoselu</t>
  </si>
  <si>
    <t>http://www.linkedin.com/company/klipzen</t>
  </si>
  <si>
    <t>https://klipzen.com</t>
  </si>
  <si>
    <t>CEO &amp; Co-Founder / Global Business Development Director</t>
  </si>
  <si>
    <t>Mompozt</t>
  </si>
  <si>
    <t>maria.raigosa@mompozt.com</t>
  </si>
  <si>
    <t>http://www.linkedin.com/in/maria-raigosa-trujillo</t>
  </si>
  <si>
    <t>http://www.linkedin.com/company/mompozt</t>
  </si>
  <si>
    <t>https://mompozt.com</t>
  </si>
  <si>
    <t>Sabio</t>
  </si>
  <si>
    <t>andrea.echavarria@sabio.com.co</t>
  </si>
  <si>
    <t>http://www.linkedin.com/in/andreaechavarriaurrea</t>
  </si>
  <si>
    <t>http://www.linkedin.com/company/sabio0</t>
  </si>
  <si>
    <t>https://sabio.com.co</t>
  </si>
  <si>
    <t>Corsox</t>
  </si>
  <si>
    <t>mateo@corsox.com</t>
  </si>
  <si>
    <t>http://www.linkedin.com/in/mateogonzaleza</t>
  </si>
  <si>
    <t>http://www.linkedin.com/company/corsox</t>
  </si>
  <si>
    <t>https://corsox.com</t>
  </si>
  <si>
    <t>Threxio</t>
  </si>
  <si>
    <t>jose@threxio.com</t>
  </si>
  <si>
    <t>http://www.linkedin.com/in/jose-buelvas</t>
  </si>
  <si>
    <t>http://www.linkedin.com/company/threxio</t>
  </si>
  <si>
    <t>https://threxio.com</t>
  </si>
  <si>
    <t>Stephania</t>
  </si>
  <si>
    <t>Partner - CMO</t>
  </si>
  <si>
    <t>Felicidad Bakery</t>
  </si>
  <si>
    <t>spaschke@felicidadbakery.com</t>
  </si>
  <si>
    <t>http://www.linkedin.com/in/stephania-paschke</t>
  </si>
  <si>
    <t>http://www.linkedin.com/company/felicidadbakery</t>
  </si>
  <si>
    <t>https://felicidadbakery.com</t>
  </si>
  <si>
    <t>Chief Marketing Officer (CMO)</t>
  </si>
  <si>
    <t>sebastian.gilede@isarco.com.co</t>
  </si>
  <si>
    <t>http://www.linkedin.com/in/juan-sebastian-gilede-leon-2865a979</t>
  </si>
  <si>
    <t>Jhonatan</t>
  </si>
  <si>
    <t>Arroyave &amp; Asociados Servicios Legales</t>
  </si>
  <si>
    <t>jarroyave@arroyaveyasociados.com</t>
  </si>
  <si>
    <t>http://www.linkedin.com/in/jhonatan-arroyave-montoya-366a0bb5</t>
  </si>
  <si>
    <t>http://www.linkedin.com/company/abogadosaya</t>
  </si>
  <si>
    <t>https://abogadosaya.com</t>
  </si>
  <si>
    <t>CEO Invest International (investi) Real Estate</t>
  </si>
  <si>
    <t>Investi Real Estate</t>
  </si>
  <si>
    <t>gerente@investi.com.co</t>
  </si>
  <si>
    <t>http://www.linkedin.com/in/fernando-alvaran-06b3996a</t>
  </si>
  <si>
    <t>http://www.linkedin.com/company/investi-real-estate</t>
  </si>
  <si>
    <t>https://investi.com.co</t>
  </si>
  <si>
    <t>CMO - Growth Manager</t>
  </si>
  <si>
    <t>Escappy Travel</t>
  </si>
  <si>
    <t>julian@escappy.com</t>
  </si>
  <si>
    <t>http://www.linkedin.com/in/julian-paez-growthmarketing</t>
  </si>
  <si>
    <t>http://www.linkedin.com/company/escappy-travel</t>
  </si>
  <si>
    <t>https://escappy.com</t>
  </si>
  <si>
    <t>After-sales Director</t>
  </si>
  <si>
    <t>smartinez@andeantrade.com.co</t>
  </si>
  <si>
    <t>http://www.linkedin.com/in/sandra-carolina-mart%c3%adnez-sandoval-15224019</t>
  </si>
  <si>
    <t>SKANHAWK SAS</t>
  </si>
  <si>
    <t>jcastano@skanhawk.com</t>
  </si>
  <si>
    <t>http://www.linkedin.com/in/jer%c3%b3nimo-casta%c3%b1o-londo%c3%b1o-a213a230</t>
  </si>
  <si>
    <t>http://www.linkedin.com/company/skanhawksas</t>
  </si>
  <si>
    <t>https://skanhawk.com</t>
  </si>
  <si>
    <t>Co-Director &amp; Sales Manager Latam</t>
  </si>
  <si>
    <t>Hibot Chat</t>
  </si>
  <si>
    <t>federico.guerrero@hibot.us</t>
  </si>
  <si>
    <t>http://www.linkedin.com/in/federicoguerreroc</t>
  </si>
  <si>
    <t>http://www.linkedin.com/company/hibot-chat</t>
  </si>
  <si>
    <t>https://hibotchat.com</t>
  </si>
  <si>
    <t>TAMPLACE</t>
  </si>
  <si>
    <t>daniel.hall@tamplace.co</t>
  </si>
  <si>
    <t>http://www.linkedin.com/in/daniel-hall-8192291bb</t>
  </si>
  <si>
    <t>http://www.linkedin.com/company/tamplace</t>
  </si>
  <si>
    <t>https://tamplace.com</t>
  </si>
  <si>
    <t>dopamini Capital™</t>
  </si>
  <si>
    <t>andres@dopamini.com</t>
  </si>
  <si>
    <t>http://www.linkedin.com/in/andresastaiza</t>
  </si>
  <si>
    <t>http://www.linkedin.com/company/dopamini-innovation</t>
  </si>
  <si>
    <t>https://dopamini.com</t>
  </si>
  <si>
    <t>Letvin</t>
  </si>
  <si>
    <t>Founder &amp; CEO Valor Para Crecer SAS</t>
  </si>
  <si>
    <t>Valor Para Crecer SAS</t>
  </si>
  <si>
    <t>letvin.lozano@valorparacrecer.com</t>
  </si>
  <si>
    <t>http://www.linkedin.com/in/letvin-lozano</t>
  </si>
  <si>
    <t>http://www.linkedin.com/company/valorparacrecer</t>
  </si>
  <si>
    <t>https://valorparacrecer.com</t>
  </si>
  <si>
    <t>Salu</t>
  </si>
  <si>
    <t>francisco@salu.com.co</t>
  </si>
  <si>
    <t>http://www.linkedin.com/in/frahez</t>
  </si>
  <si>
    <t>http://www.linkedin.com/company/salu-health</t>
  </si>
  <si>
    <t>https://salu.md</t>
  </si>
  <si>
    <t>Showroom</t>
  </si>
  <si>
    <t>joaquin@viewshowroom.com</t>
  </si>
  <si>
    <t>http://www.linkedin.com/in/joaquinserranomorales</t>
  </si>
  <si>
    <t>http://www.linkedin.com/company/viewshowroom</t>
  </si>
  <si>
    <t>https://viewshowroom.com</t>
  </si>
  <si>
    <t>Salma Salud</t>
  </si>
  <si>
    <t>andresl@salmasalud.com</t>
  </si>
  <si>
    <t>http://www.linkedin.com/in/andres-lozano-a4294729</t>
  </si>
  <si>
    <t>http://www.linkedin.com/company/salma-salud</t>
  </si>
  <si>
    <t>https://salmasalud.com</t>
  </si>
  <si>
    <t>Quantum Heart</t>
  </si>
  <si>
    <t>santiago@santiagoquantum.com</t>
  </si>
  <si>
    <t>http://www.linkedin.com/in/santiago-saez</t>
  </si>
  <si>
    <t>http://www.linkedin.com/company/quantum-heart</t>
  </si>
  <si>
    <t>https://santiagoquantum.com</t>
  </si>
  <si>
    <t>Cycle System</t>
  </si>
  <si>
    <t>david@cyclesystem.org</t>
  </si>
  <si>
    <t>http://www.linkedin.com/in/davidcastano</t>
  </si>
  <si>
    <t>http://www.linkedin.com/company/cycle-system</t>
  </si>
  <si>
    <t>https://cyclesystem.org</t>
  </si>
  <si>
    <t>KILA</t>
  </si>
  <si>
    <t>angelica.duque@kila.co</t>
  </si>
  <si>
    <t>http://www.linkedin.com/in/angelica-duque-rojas</t>
  </si>
  <si>
    <t>http://www.linkedin.com/company/kilaco</t>
  </si>
  <si>
    <t>https://kila.co</t>
  </si>
  <si>
    <t>antjimenez@helppeoplecloud.com</t>
  </si>
  <si>
    <t>http://www.linkedin.com/in/antjimenez</t>
  </si>
  <si>
    <t>valeria@funlab.com.co</t>
  </si>
  <si>
    <t>http://www.linkedin.com/in/valeria-di-domenico</t>
  </si>
  <si>
    <t>Tech and Knowledge SAS</t>
  </si>
  <si>
    <t>carlos.garzon@takcolombia.com</t>
  </si>
  <si>
    <t>http://www.linkedin.com/in/carlos-garzon-466639186</t>
  </si>
  <si>
    <t>http://www.linkedin.com/company/tak-colombia</t>
  </si>
  <si>
    <t>https://takcolombia.com</t>
  </si>
  <si>
    <t>Senior Client Partner &amp; Co-Founder</t>
  </si>
  <si>
    <t>ernesto.castro@keyexecutives.co</t>
  </si>
  <si>
    <t>http://www.linkedin.com/in/ernestocastroa</t>
  </si>
  <si>
    <t>http://www.linkedin.com/company/key-executives-headhunter</t>
  </si>
  <si>
    <t>Giitic</t>
  </si>
  <si>
    <t>carlos.ballesteros@giitic.com</t>
  </si>
  <si>
    <t>http://www.linkedin.com/in/ccdavidbb</t>
  </si>
  <si>
    <t>http://www.linkedin.com/company/giitic</t>
  </si>
  <si>
    <t>https://giitic.com</t>
  </si>
  <si>
    <t>MIDAS Media</t>
  </si>
  <si>
    <t>rodrigo@m1das.media</t>
  </si>
  <si>
    <t>http://www.linkedin.com/in/rodrigoreyesrestrepo</t>
  </si>
  <si>
    <t>http://www.linkedin.com/company/m1das-media</t>
  </si>
  <si>
    <t>https://m1das.media</t>
  </si>
  <si>
    <t>alex@motai.app</t>
  </si>
  <si>
    <t>http://www.linkedin.com/in/alex-burrowes-9357708a</t>
  </si>
  <si>
    <t>IT Risk Consultant Partner / CEO</t>
  </si>
  <si>
    <t>Next Audit &amp; Consulting SAS &amp;</t>
  </si>
  <si>
    <t>nelson.camargo@nextayc.com</t>
  </si>
  <si>
    <t>http://www.linkedin.com/in/nelson-e-camargo-p-14701765</t>
  </si>
  <si>
    <t>http://www.linkedin.com/company/next-audit-consulting</t>
  </si>
  <si>
    <t>https://nextayc.com</t>
  </si>
  <si>
    <t>Infinity SA</t>
  </si>
  <si>
    <t>mario@infinitybeautybrands.com</t>
  </si>
  <si>
    <t>http://www.linkedin.com/in/soymariojavier</t>
  </si>
  <si>
    <t>http://www.linkedin.com/company/infinity-beauty-brands</t>
  </si>
  <si>
    <t>https://infinitybeautybrands.com</t>
  </si>
  <si>
    <t>Chief Marketing &amp; Operation Officer, Latam</t>
  </si>
  <si>
    <t>LATOPE</t>
  </si>
  <si>
    <t>diego@latope.com</t>
  </si>
  <si>
    <t>http://www.linkedin.com/in/diego-ospina-martinez</t>
  </si>
  <si>
    <t>http://www.linkedin.com/company/latope-sports-entertainment-ltd</t>
  </si>
  <si>
    <t>https://latope.com</t>
  </si>
  <si>
    <t>Cropical Fruits</t>
  </si>
  <si>
    <t>daniel@cropicalfruits.com</t>
  </si>
  <si>
    <t>http://www.linkedin.com/in/eldaniram</t>
  </si>
  <si>
    <t>http://www.linkedin.com/company/cropicalfruits</t>
  </si>
  <si>
    <t>https://cropicalfruits.com</t>
  </si>
  <si>
    <t>Fernan</t>
  </si>
  <si>
    <t>Wahhu</t>
  </si>
  <si>
    <t>fernan@wahhu.com</t>
  </si>
  <si>
    <t>http://www.linkedin.com/in/fernanguzman</t>
  </si>
  <si>
    <t>http://www.linkedin.com/company/wahhu</t>
  </si>
  <si>
    <t>https://wahhu.com</t>
  </si>
  <si>
    <t>Digital Ventures</t>
  </si>
  <si>
    <t>christian@digitalventures.com.co</t>
  </si>
  <si>
    <t>http://www.linkedin.com/in/christianmunozsalazar</t>
  </si>
  <si>
    <t>http://www.linkedin.com/company/digital-ventures-s-a-s</t>
  </si>
  <si>
    <t>https://digitalventures.com.co</t>
  </si>
  <si>
    <t>Lovit Matchmaking</t>
  </si>
  <si>
    <t>liliana@lovitmatchmaking.com</t>
  </si>
  <si>
    <t>http://www.linkedin.com/in/liliana-barreto-6770361a</t>
  </si>
  <si>
    <t>http://www.linkedin.com/company/lovit-matchmaking</t>
  </si>
  <si>
    <t>https://lovitmatchmaking.com</t>
  </si>
  <si>
    <t>Head of Marketing and Business</t>
  </si>
  <si>
    <t>Key Capital Colombia</t>
  </si>
  <si>
    <t>nconde@keycapital.co</t>
  </si>
  <si>
    <t>http://www.linkedin.com/in/nicolas-conde-baquero</t>
  </si>
  <si>
    <t>http://www.linkedin.com/company/key-capital-colombia</t>
  </si>
  <si>
    <t>https://keycapital.co</t>
  </si>
  <si>
    <t>CEO - Director de Proyectos</t>
  </si>
  <si>
    <t>A Urbano Construcciones</t>
  </si>
  <si>
    <t>smendez@aurbanoconstrucciones.com</t>
  </si>
  <si>
    <t>http://www.linkedin.com/in/santiago-mendez-cruz-3996485b</t>
  </si>
  <si>
    <t>http://www.linkedin.com/company/a-urbano-construcciones</t>
  </si>
  <si>
    <t>https://aurbanoconstrucciones.com</t>
  </si>
  <si>
    <t>Habiteca</t>
  </si>
  <si>
    <t>gerencia@habiteca.com</t>
  </si>
  <si>
    <t>http://www.linkedin.com/in/charlieluengas</t>
  </si>
  <si>
    <t>http://www.linkedin.com/company/habiteca</t>
  </si>
  <si>
    <t>https://habiteca.com</t>
  </si>
  <si>
    <t>CEO - Chief Commercial Officer</t>
  </si>
  <si>
    <t>camilocorrea@tolead.co</t>
  </si>
  <si>
    <t>http://www.linkedin.com/in/camilo-correa-guti%c3%a9rrez</t>
  </si>
  <si>
    <t>CEO Podetex - Directora de Innovación y Estrategia</t>
  </si>
  <si>
    <t>PODETEX S.A.S.- Poder Total con Excelencia</t>
  </si>
  <si>
    <t>gerencia@podetex.com</t>
  </si>
  <si>
    <t>http://www.linkedin.com/in/andrea-casta%c3%b1eda-meza-mcs-19a21a2a</t>
  </si>
  <si>
    <t>http://www.linkedin.com/company/podetex-ltda</t>
  </si>
  <si>
    <t>https://podetex.com</t>
  </si>
  <si>
    <t>Daniele</t>
  </si>
  <si>
    <t>SHOFI</t>
  </si>
  <si>
    <t>dani@goshofi.com</t>
  </si>
  <si>
    <t>http://www.linkedin.com/in/danielepedditzi</t>
  </si>
  <si>
    <t>http://www.linkedin.com/company/shofi</t>
  </si>
  <si>
    <t>https://goshofi.com</t>
  </si>
  <si>
    <t>CEO at Shaping Bots</t>
  </si>
  <si>
    <t>Shaping Bots</t>
  </si>
  <si>
    <t>ivan.aguado@shapingbots.com</t>
  </si>
  <si>
    <t>http://www.linkedin.com/in/iv%c3%a1n-aguado-trujillo-3a0004a9</t>
  </si>
  <si>
    <t>http://www.linkedin.com/company/shaping-bots</t>
  </si>
  <si>
    <t>https://shapingbots.com</t>
  </si>
  <si>
    <t>Ascenso Viajes</t>
  </si>
  <si>
    <t>gerencia@ascensoviajes.com</t>
  </si>
  <si>
    <t>http://www.linkedin.com/in/juliansantos</t>
  </si>
  <si>
    <t>http://www.linkedin.com/company/ascenso-viajes</t>
  </si>
  <si>
    <t>https://ascensoviajes.com</t>
  </si>
  <si>
    <t>General Manager - Founder</t>
  </si>
  <si>
    <t>Sustainability Hub SAS</t>
  </si>
  <si>
    <t>juan.huertas@sustainabilityhub.com.co</t>
  </si>
  <si>
    <t>http://www.linkedin.com/in/juanpablohb</t>
  </si>
  <si>
    <t>http://www.linkedin.com/company/sustainability-hub-sas</t>
  </si>
  <si>
    <t>https://sustainabilityhub.com.co</t>
  </si>
  <si>
    <t>Marcos</t>
  </si>
  <si>
    <t>CEO &amp; Founder en Viewrad</t>
  </si>
  <si>
    <t>ViewRad</t>
  </si>
  <si>
    <t>marcos.espinosa@viewrad.com.co</t>
  </si>
  <si>
    <t>http://www.linkedin.com/in/marcos-alberto-espinosa-orozco-20624859</t>
  </si>
  <si>
    <t>http://www.linkedin.com/company/viewrad</t>
  </si>
  <si>
    <t>https://viewrad.com.co</t>
  </si>
  <si>
    <t>Viuna</t>
  </si>
  <si>
    <t>sebastian.ramos@tensoreye.de</t>
  </si>
  <si>
    <t>http://www.linkedin.com/in/sebastianramosp</t>
  </si>
  <si>
    <t>http://www.linkedin.com/company/viuna-io</t>
  </si>
  <si>
    <t>https://tensoreye.de</t>
  </si>
  <si>
    <t>Chief Marketing Officer (CMO) - Director de Mercadeo</t>
  </si>
  <si>
    <t>The Ricky Joy Company</t>
  </si>
  <si>
    <t>carlos.leal@rickyjoy.com</t>
  </si>
  <si>
    <t>http://www.linkedin.com/in/carloslealparada</t>
  </si>
  <si>
    <t>http://www.linkedin.com/company/trade-imports-llc-dba-the-ricky-joy-company</t>
  </si>
  <si>
    <t>https://rickyjoy.com</t>
  </si>
  <si>
    <t>Ethicus</t>
  </si>
  <si>
    <t>lina@somosethicus.com</t>
  </si>
  <si>
    <t>http://www.linkedin.com/in/lina-m-vel%c3%a1squez-02ba2064</t>
  </si>
  <si>
    <t>http://www.linkedin.com/company/somosethicus</t>
  </si>
  <si>
    <t>https://somosethicus.com</t>
  </si>
  <si>
    <t>Founder | Builder</t>
  </si>
  <si>
    <t>QuantMe</t>
  </si>
  <si>
    <t>daz@quantme.co</t>
  </si>
  <si>
    <t>http://www.linkedin.com/in/david-acosta-z</t>
  </si>
  <si>
    <t>http://www.linkedin.com/company/quantme</t>
  </si>
  <si>
    <t>https://quantme.co</t>
  </si>
  <si>
    <t>NTI New Trade International</t>
  </si>
  <si>
    <t>l.garcia@newtrade.com.co</t>
  </si>
  <si>
    <t>http://www.linkedin.com/in/luis-augusto-garcia-0a67a546</t>
  </si>
  <si>
    <t>http://www.linkedin.com/company/ntinewtrade</t>
  </si>
  <si>
    <t>https://newtrade.com.co</t>
  </si>
  <si>
    <t>Heyud</t>
  </si>
  <si>
    <t>camila@thevisasgirl.com</t>
  </si>
  <si>
    <t>http://www.linkedin.com/in/thevisasgirl</t>
  </si>
  <si>
    <t>http://www.linkedin.com/company/heyud</t>
  </si>
  <si>
    <t>https://thevisasgirl.com</t>
  </si>
  <si>
    <t>miguel@meup.co</t>
  </si>
  <si>
    <t>http://www.linkedin.com/in/miguel-pardo-b09097243</t>
  </si>
  <si>
    <t>Directora Comercial, Mercadeo &amp; Comunicaciones</t>
  </si>
  <si>
    <t>Autosdeprimera.com</t>
  </si>
  <si>
    <t>adriana.rodriguez@autosdeprimera.com</t>
  </si>
  <si>
    <t>http://www.linkedin.com/in/adriana-rodriguez-46628420</t>
  </si>
  <si>
    <t>http://www.linkedin.com/company/autosdeprimera</t>
  </si>
  <si>
    <t>https://autosdeprimera.com</t>
  </si>
  <si>
    <t>Sales Director - Founder</t>
  </si>
  <si>
    <t>AI TECH CONSULTING SAS</t>
  </si>
  <si>
    <t>adriana.munoz@aitechconsulting.co</t>
  </si>
  <si>
    <t>http://www.linkedin.com/in/adriana-munoz-s</t>
  </si>
  <si>
    <t>http://www.linkedin.com/company/ai-tech-consulting-sas</t>
  </si>
  <si>
    <t>https://aitechconsulting.co</t>
  </si>
  <si>
    <t>CoFounder</t>
  </si>
  <si>
    <t>Sento</t>
  </si>
  <si>
    <t>german.suarez@sento.tech</t>
  </si>
  <si>
    <t>http://www.linkedin.com/in/german-suarez-g</t>
  </si>
  <si>
    <t>http://www.linkedin.com/company/sento-tech</t>
  </si>
  <si>
    <t>https://sento.tech</t>
  </si>
  <si>
    <t>InLat</t>
  </si>
  <si>
    <t>francisco@inlat.la</t>
  </si>
  <si>
    <t>http://www.linkedin.com/in/fhenriquez</t>
  </si>
  <si>
    <t>http://www.linkedin.com/company/inlat-la</t>
  </si>
  <si>
    <t>https://inlat.co</t>
  </si>
  <si>
    <t>Geovanny</t>
  </si>
  <si>
    <t>Principal Chief Executive Officer-CEO</t>
  </si>
  <si>
    <t>FC Alliance</t>
  </si>
  <si>
    <t>gerencia@fcalliance.com.co</t>
  </si>
  <si>
    <t>http://www.linkedin.com/in/geovanny-correa-464aaa88</t>
  </si>
  <si>
    <t>http://www.linkedin.com/company/fcalliance</t>
  </si>
  <si>
    <t>https://fcalliance.com.co</t>
  </si>
  <si>
    <t>CEO Group</t>
  </si>
  <si>
    <t>SLS HOLDING</t>
  </si>
  <si>
    <t>ben@slsholding.com</t>
  </si>
  <si>
    <t>http://www.linkedin.com/in/benjamin-sosa-a19068137</t>
  </si>
  <si>
    <t>http://www.linkedin.com/company/slsholding</t>
  </si>
  <si>
    <t>https://slsholding.com</t>
  </si>
  <si>
    <t>Sizelabs</t>
  </si>
  <si>
    <t>juan@sizelabs.com</t>
  </si>
  <si>
    <t>http://www.linkedin.com/in/juansantiagoacevedoc</t>
  </si>
  <si>
    <t>http://www.linkedin.com/company/sizelabs</t>
  </si>
  <si>
    <t>https://sizelabs.com</t>
  </si>
  <si>
    <t>Activar Valores S.A.S</t>
  </si>
  <si>
    <t>ocortes@activarvalores.com</t>
  </si>
  <si>
    <t>http://www.linkedin.com/in/oscar-cortes-pita-332a8963</t>
  </si>
  <si>
    <t>http://www.linkedin.com/company/activar-valores</t>
  </si>
  <si>
    <t>https://activarvalores.com</t>
  </si>
  <si>
    <t>Urbex</t>
  </si>
  <si>
    <t>german@urbex.com.co</t>
  </si>
  <si>
    <t>http://www.linkedin.com/in/german-rojas-245742</t>
  </si>
  <si>
    <t>http://www.linkedin.com/company/urbex-saas</t>
  </si>
  <si>
    <t>https://urbex.com.co</t>
  </si>
  <si>
    <t>Grupo Nex</t>
  </si>
  <si>
    <t>javierduran@gruponex.co</t>
  </si>
  <si>
    <t>http://www.linkedin.com/in/javiermduran</t>
  </si>
  <si>
    <t>http://www.linkedin.com/company/grupo-nexco</t>
  </si>
  <si>
    <t>https://gruponex.co</t>
  </si>
  <si>
    <t>Varela Fiholl &amp; Cía SAS</t>
  </si>
  <si>
    <t>camilo.varela@varelafiholl.com</t>
  </si>
  <si>
    <t>http://www.linkedin.com/in/varelacamilo</t>
  </si>
  <si>
    <t>http://www.linkedin.com/company/varelafiholl</t>
  </si>
  <si>
    <t>https://varelafiholl.com</t>
  </si>
  <si>
    <t>Director de Cultura y Marketing Digital</t>
  </si>
  <si>
    <t>cvallejo@octansit.com</t>
  </si>
  <si>
    <t>http://www.linkedin.com/in/catalina-vallejo-wilches-732b5b6a</t>
  </si>
  <si>
    <t>Helen</t>
  </si>
  <si>
    <t>Delight Cane</t>
  </si>
  <si>
    <t>helen.ramirez@delightcane.com</t>
  </si>
  <si>
    <t>http://www.linkedin.com/in/helenramirez</t>
  </si>
  <si>
    <t>http://www.linkedin.com/company/delight-cane</t>
  </si>
  <si>
    <t>https://delightcane.com</t>
  </si>
  <si>
    <t>Punto</t>
  </si>
  <si>
    <t>Punto 8 Entertainment</t>
  </si>
  <si>
    <t>produccion@punto8audiovisual.com</t>
  </si>
  <si>
    <t>http://www.linkedin.com/in/punto-8-audiovisual-126a57170</t>
  </si>
  <si>
    <t>http://www.linkedin.com/company/punto8</t>
  </si>
  <si>
    <t>https://punto8audiovisual.com</t>
  </si>
  <si>
    <t>Caroline</t>
  </si>
  <si>
    <t>ECOTU SAS BIC</t>
  </si>
  <si>
    <t>gerencia@ecotu.co</t>
  </si>
  <si>
    <t>http://www.linkedin.com/in/caroline-thomas-74143b5</t>
  </si>
  <si>
    <t>http://www.linkedin.com/company/ecotu</t>
  </si>
  <si>
    <t>https://ecotu.co</t>
  </si>
  <si>
    <t>Head of Operations &amp; Customer Success</t>
  </si>
  <si>
    <t>Estrellas App</t>
  </si>
  <si>
    <t>sebastian.rojas@estrellas.app</t>
  </si>
  <si>
    <t>http://www.linkedin.com/in/sebastian-rojas-lopez-546b12ba</t>
  </si>
  <si>
    <t>http://www.linkedin.com/company/estrellas-app</t>
  </si>
  <si>
    <t>https://estrellas.app</t>
  </si>
  <si>
    <t>Head of Business Development LATAM-External Consultant</t>
  </si>
  <si>
    <t>Ali-Zon</t>
  </si>
  <si>
    <t>lina@ali-zon.com</t>
  </si>
  <si>
    <t>http://www.linkedin.com/in/lina-villa</t>
  </si>
  <si>
    <t>http://www.linkedin.com/company/alizonglobal</t>
  </si>
  <si>
    <t>https://ali-zon.com</t>
  </si>
  <si>
    <t>LATINO TALENT AGENCY</t>
  </si>
  <si>
    <t>gerencia@latinotalentagency.com</t>
  </si>
  <si>
    <t>http://www.linkedin.com/in/daniela-arboleda-filigrana-05192677</t>
  </si>
  <si>
    <t>http://www.linkedin.com/company/latinotalentagency</t>
  </si>
  <si>
    <t>https://latinotalentagency.com</t>
  </si>
  <si>
    <t>luis.ariza@wseeds.co</t>
  </si>
  <si>
    <t>http://www.linkedin.com/in/felipe-ariza3</t>
  </si>
  <si>
    <t>Socio CoFundador &amp; CEO</t>
  </si>
  <si>
    <t>KANDARA services</t>
  </si>
  <si>
    <t>cpsarti@kandara.eu</t>
  </si>
  <si>
    <t>http://www.linkedin.com/in/carlos-p%c3%a9rez-sarti-691a7141</t>
  </si>
  <si>
    <t>http://www.linkedin.com/company/kandara-services</t>
  </si>
  <si>
    <t>https://kandaraenergiacircular.es</t>
  </si>
  <si>
    <t>Co-fundador CEO Latam</t>
  </si>
  <si>
    <t>FoliuMed</t>
  </si>
  <si>
    <t>dnavarro@foliumed.com</t>
  </si>
  <si>
    <t>http://www.linkedin.com/in/diego-felipe-navarro-reyes-24aa8520</t>
  </si>
  <si>
    <t>http://www.linkedin.com/company/foliumed</t>
  </si>
  <si>
    <t>https://foliumed.com</t>
  </si>
  <si>
    <t>Tetiana</t>
  </si>
  <si>
    <t>Evowill</t>
  </si>
  <si>
    <t>tetiana.pavlenko@evowill.com</t>
  </si>
  <si>
    <t>http://www.linkedin.com/in/tetiana-pavlenko-680a38171</t>
  </si>
  <si>
    <t>http://www.linkedin.com/company/evowill</t>
  </si>
  <si>
    <t>https://evowill.com</t>
  </si>
  <si>
    <t>Co-Founder, Partner</t>
  </si>
  <si>
    <t>Concurrent Labs</t>
  </si>
  <si>
    <t>alejandro.roldan@getconcurrent.com</t>
  </si>
  <si>
    <t>http://www.linkedin.com/in/alejandro-rold%c3%a1n-pardo-a238006a</t>
  </si>
  <si>
    <t>http://www.linkedin.com/company/getconcurrent</t>
  </si>
  <si>
    <t>https://getconcurrent.com</t>
  </si>
  <si>
    <t>Grupo Krea</t>
  </si>
  <si>
    <t>carlos@kreadiferencia.com</t>
  </si>
  <si>
    <t>http://www.linkedin.com/in/carlos-roman-18985419</t>
  </si>
  <si>
    <t>http://www.linkedin.com/company/grupo-krea</t>
  </si>
  <si>
    <t>https://kreagroup.com</t>
  </si>
  <si>
    <t>lina@neuttro.co</t>
  </si>
  <si>
    <t>http://www.linkedin.com/in/lina-gamboa-6b660577</t>
  </si>
  <si>
    <t>Resumen del Pipeline</t>
  </si>
  <si>
    <t>Métricas en vivo a medida que el VA enriquece la lista</t>
  </si>
  <si>
    <t>Métrica</t>
  </si>
  <si>
    <t>Valor</t>
  </si>
  <si>
    <t>Total contactos cargados</t>
  </si>
  <si>
    <t>Contactos enriquecidos (con score &gt; 0)</t>
  </si>
  <si>
    <t>Tier A (Score ≥ 12)</t>
  </si>
  <si>
    <t>Tier B (Score 8-11)</t>
  </si>
  <si>
    <t>Tier C (Score 6-7)</t>
  </si>
  <si>
    <t>Descarte (Score &lt; 6)</t>
  </si>
  <si>
    <t>Total Tier A+B+C (top contactos)</t>
  </si>
  <si>
    <t>Score promedio</t>
  </si>
  <si>
    <t>Cómo sacar el Top 500</t>
  </si>
  <si>
    <t>1. Ve a la hoja 'Contactos'</t>
  </si>
  <si>
    <t>2. Click en filtro de columna U (Tier)</t>
  </si>
  <si>
    <t>3. Selecciona solo: A, B, C (deselecciona Descarte y vacío)</t>
  </si>
  <si>
    <t>4. Click en filtro de columna T (Score)</t>
  </si>
  <si>
    <t>5. Ordena de mayor a menor</t>
  </si>
  <si>
    <t>6. Selecciona las primeras 500 filas visibles</t>
  </si>
  <si>
    <t>7. Cópialas a una nueva hoja o exporta a CSV — esa es tu lista de outreach</t>
  </si>
  <si>
    <t>Instrucciones para el Virtual Assistant</t>
  </si>
  <si>
    <t>Copia este documento completo al VA. Tarea estimada: 50-60 horas. Tarifa sugerida: $3-5 USD/hora.</t>
  </si>
  <si>
    <t>OBJETIVO</t>
  </si>
  <si>
    <t>Tu tarea</t>
  </si>
  <si>
    <t>Para cada contacto en la hoja 'Contactos', verificar 7 señales en LinkedIn, Meta y Google. Llenar columnas K hasta R.</t>
  </si>
  <si>
    <t>Tiempo por contacto</t>
  </si>
  <si>
    <t>1.5 a 2 minutos. No invertir más.</t>
  </si>
  <si>
    <t>Tiempo total estimado</t>
  </si>
  <si>
    <t>50-60 horas (2.000 contactos). Repartir en 5-7 días.</t>
  </si>
  <si>
    <t>Reportar avance</t>
  </si>
  <si>
    <t>Cada 200 contactos completados, enviar mensaje al cliente.</t>
  </si>
  <si>
    <t>REGLAS GENERALES</t>
  </si>
  <si>
    <t>Regla 1</t>
  </si>
  <si>
    <t>Solo escribir 'Sí' o 'No' (con tilde) en las columnas binarias. Usar el dropdown.</t>
  </si>
  <si>
    <t>Regla 2</t>
  </si>
  <si>
    <t>Si la empresa NO existe en LinkedIn → escribir 'No' en todas las columnas y nota: 'sin LinkedIn'</t>
  </si>
  <si>
    <t>Regla 3</t>
  </si>
  <si>
    <t>Si después de 2 minutos no encuentras data → 'No' en todo y pasar al siguiente.</t>
  </si>
  <si>
    <t>Regla 4</t>
  </si>
  <si>
    <t>Nunca dejar columnas en blanco. Siempre 'No' como default si no hay info.</t>
  </si>
  <si>
    <t>INSTRUCCIONES PASO A PASO</t>
  </si>
  <si>
    <t>Columna K: Pauta LinkedIn</t>
  </si>
  <si>
    <t>Acción</t>
  </si>
  <si>
    <t>Ir a linkedin.com/ad-library — Buscar el nombre exacto de la empresa.</t>
  </si>
  <si>
    <t>Si aparecen anuncios activos</t>
  </si>
  <si>
    <t>→ 'Sí'</t>
  </si>
  <si>
    <t>Si dice 'no se encontraron resultados'</t>
  </si>
  <si>
    <t>→ 'No'</t>
  </si>
  <si>
    <t>Columna L: Frecuencia posts empresa</t>
  </si>
  <si>
    <t>Abrir LinkedIn URL empresa (columna G). Click en pestaña 'Publicaciones' o 'Posts'.</t>
  </si>
  <si>
    <t>4 o más posts en últimos 30 días</t>
  </si>
  <si>
    <t>→ 'Semanal'</t>
  </si>
  <si>
    <t>1 a 3 posts en últimos 30 días</t>
  </si>
  <si>
    <t>→ 'Mensual'</t>
  </si>
  <si>
    <t>0 posts en últimos 30 días</t>
  </si>
  <si>
    <t>→ 'Inactivo'</t>
  </si>
  <si>
    <t>Columna M: Decision maker activo LinkedIn</t>
  </si>
  <si>
    <t>Abrir LinkedIn URL persona (columna F). Click en 'Actividad' o 'Activity'.</t>
  </si>
  <si>
    <t>Si publicó o comentó algo en últimos 30 días</t>
  </si>
  <si>
    <t>Si no hay actividad reciente</t>
  </si>
  <si>
    <t>Columna N: Pauta Meta</t>
  </si>
  <si>
    <t>Ir a facebook.com/ads/library — Seleccionar país (importante) — Buscar empresa.</t>
  </si>
  <si>
    <t>Si tiene anuncios activos</t>
  </si>
  <si>
    <t>Si no</t>
  </si>
  <si>
    <t>Columna O: Pauta Google</t>
  </si>
  <si>
    <t>Ir a adstransparency.google.com — Buscar empresa.</t>
  </si>
  <si>
    <t>Si tiene anuncios</t>
  </si>
  <si>
    <t>Columna P: Marketing Manager sin Head</t>
  </si>
  <si>
    <t>Abrir LinkedIn empresa. Pestaña 'Personas'. Filtrar por 'marketing'.</t>
  </si>
  <si>
    <t>Si HAY alguien con cargo Marketing Manager/Coordinator/Especialista PERO NO HAY nadie con Head/Director/VP/CMO</t>
  </si>
  <si>
    <t>Cualquier otra combinación</t>
  </si>
  <si>
    <t>Columna Q: Vacante Marketing</t>
  </si>
  <si>
    <t>En LinkedIn empresa, pestaña 'Empleos' o 'Jobs'.</t>
  </si>
  <si>
    <t>Si hay vacantes abiertas con palabras: marketing, growth, demand gen, performance</t>
  </si>
  <si>
    <t>Si no hay vacantes de marketing</t>
  </si>
  <si>
    <t>Columna R: Notas (opcional)</t>
  </si>
  <si>
    <t>Si encontraste algo relevante: ronda reciente, premio, cambio de CEO, expansión, etc. Máx 1 línea.</t>
  </si>
  <si>
    <t>Ejemplos</t>
  </si>
  <si>
    <t>Ej: "Levantó Serie A en 2024", "Nuevo CMO desde enero", "Ganó premio de marketing 2023"</t>
  </si>
  <si>
    <t>Columnas S–W: Score Tamaño / Score Industria / Score Cargo / Score / Tier</t>
  </si>
  <si>
    <t>Nota</t>
  </si>
  <si>
    <t>Calculadas AUTOMÁTICAMENTE. No las toques. El Score Cargo se asigna solo leyendo el Cargo (col C).</t>
  </si>
  <si>
    <t>CHECKPOINT DE CALIDAD</t>
  </si>
  <si>
    <t>Test al inicio</t>
  </si>
  <si>
    <t>Antes de hacer los 2.000, hacer 20 de muestra y enviarlos al cliente. Validar criterios.</t>
  </si>
  <si>
    <t>Tasa de error aceptable</t>
  </si>
  <si>
    <t>Menos de 5% de revisiones del cliente. Si es más alto, recalibrar.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</si>
</sst>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Calibri"/>
    </font>
    <font>
      <i/>
      <sz val="11.0"/>
      <color rgb="FF6B7280"/>
      <name val="Arial"/>
    </font>
    <font>
      <b/>
      <sz val="14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i/>
      <sz val="10.0"/>
      <color rgb="FF6B7280"/>
      <name val="Arial"/>
    </font>
    <font>
      <b/>
      <sz val="11.0"/>
      <color rgb="FFFFFFFF"/>
      <name val="Arial"/>
    </font>
    <font>
      <b/>
      <sz val="11.0"/>
      <color rgb="FF0000FF"/>
      <name val="Arial"/>
    </font>
    <font>
      <sz val="9.0"/>
      <color rgb="FF6B7280"/>
      <name val="Arial"/>
    </font>
    <font>
      <i/>
      <sz val="9.0"/>
      <color rgb="FF6B7280"/>
      <name val="Arial"/>
    </font>
    <font>
      <b/>
      <sz val="10.0"/>
      <color rgb="FFFFFFFF"/>
      <name val="Arial"/>
    </font>
    <font>
      <color theme="1"/>
      <name val="Arial"/>
    </font>
    <font>
      <u/>
      <color rgb="FF1155CC"/>
      <name val="Arial"/>
    </font>
    <font>
      <sz val="10.0"/>
      <color rgb="FF6B7280"/>
      <name val="Arial"/>
    </font>
    <font>
      <u/>
      <color theme="1"/>
      <name val="Arial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F2937"/>
        <bgColor rgb="FF1F2937"/>
      </patternFill>
    </fill>
    <fill>
      <patternFill patternType="solid">
        <fgColor rgb="FFFFFBEB"/>
        <bgColor rgb="FFFFFBEB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vertical="bottom"/>
    </xf>
    <xf borderId="4" fillId="3" fontId="9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bottom"/>
    </xf>
    <xf borderId="0" fillId="0" fontId="4" numFmtId="0" xfId="0" applyAlignment="1" applyFont="1">
      <alignment vertical="bottom"/>
    </xf>
    <xf borderId="4" fillId="0" fontId="7" numFmtId="0" xfId="0" applyAlignment="1" applyBorder="1" applyFont="1">
      <alignment vertical="bottom"/>
    </xf>
    <xf borderId="0" fillId="5" fontId="6" numFmtId="0" xfId="0" applyAlignment="1" applyFill="1" applyFont="1">
      <alignment horizontal="center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4" fillId="3" fontId="9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vertical="center"/>
    </xf>
    <xf borderId="0" fillId="5" fontId="2" numFmtId="0" xfId="0" applyFont="1"/>
    <xf borderId="0" fillId="5" fontId="2" numFmtId="0" xfId="0" applyAlignment="1" applyFont="1">
      <alignment vertical="bottom"/>
    </xf>
    <xf borderId="0" fillId="6" fontId="2" numFmtId="0" xfId="0" applyFill="1" applyFont="1"/>
    <xf borderId="4" fillId="5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4" fillId="6" fontId="12" numFmtId="0" xfId="0" applyAlignment="1" applyBorder="1" applyFont="1">
      <alignment horizontal="center" shrinkToFit="0" vertical="center" wrapText="1"/>
    </xf>
    <xf borderId="0" fillId="5" fontId="16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0" fillId="5" fontId="6" numFmtId="0" xfId="0" applyAlignment="1" applyFont="1">
      <alignment horizontal="center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4" fillId="7" fontId="7" numFmtId="0" xfId="0" applyAlignment="1" applyBorder="1" applyFill="1" applyFont="1">
      <alignment horizontal="left" shrinkToFit="0" vertical="center" wrapText="1"/>
    </xf>
    <xf borderId="0" fillId="7" fontId="7" numFmtId="0" xfId="0" applyAlignment="1" applyFont="1">
      <alignment horizontal="left" shrinkToFit="0" vertical="center" wrapText="1"/>
    </xf>
    <xf borderId="0" fillId="6" fontId="7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>
        <b/>
        <sz val="10.0"/>
        <color rgb="FFFFFFFF"/>
        <name val="Arial"/>
      </font>
      <fill>
        <patternFill patternType="solid">
          <fgColor rgb="FF16A34A"/>
          <bgColor rgb="FF16A34A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EAB308"/>
          <bgColor rgb="FFEAB308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97316"/>
          <bgColor rgb="FFF97316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9CA3AF"/>
          <bgColor rgb="FF9CA3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5251" Type="http://schemas.openxmlformats.org/officeDocument/2006/relationships/hyperlink" Target="http://www.linkedin.com/in/oscmejia" TargetMode="External"/><Relationship Id="rId5252" Type="http://schemas.openxmlformats.org/officeDocument/2006/relationships/hyperlink" Target="http://www.linkedin.com/company/vov-solutions-inc" TargetMode="External"/><Relationship Id="rId5250" Type="http://schemas.openxmlformats.org/officeDocument/2006/relationships/hyperlink" Target="http://www.linkedin.com/company/soloio-oficial" TargetMode="External"/><Relationship Id="rId5255" Type="http://schemas.openxmlformats.org/officeDocument/2006/relationships/hyperlink" Target="http://www.linkedin.com/in/rafael-casabianca-629756134" TargetMode="External"/><Relationship Id="rId5256" Type="http://schemas.openxmlformats.org/officeDocument/2006/relationships/hyperlink" Target="http://www.linkedin.com/company/linnda" TargetMode="External"/><Relationship Id="rId5253" Type="http://schemas.openxmlformats.org/officeDocument/2006/relationships/hyperlink" Target="http://www.linkedin.com/in/jeremymcdermott" TargetMode="External"/><Relationship Id="rId5254" Type="http://schemas.openxmlformats.org/officeDocument/2006/relationships/hyperlink" Target="http://www.linkedin.com/company/insight-crime" TargetMode="External"/><Relationship Id="rId5259" Type="http://schemas.openxmlformats.org/officeDocument/2006/relationships/hyperlink" Target="http://www.linkedin.com/in/john-andres-guerrero-rivera-310aa0a1" TargetMode="External"/><Relationship Id="rId5257" Type="http://schemas.openxmlformats.org/officeDocument/2006/relationships/hyperlink" Target="http://www.linkedin.com/in/andr%c3%a9s-felipe-echavarr%c3%ada-molina" TargetMode="External"/><Relationship Id="rId5258" Type="http://schemas.openxmlformats.org/officeDocument/2006/relationships/hyperlink" Target="http://www.linkedin.com/company/quantum-developers-co" TargetMode="External"/><Relationship Id="rId5240" Type="http://schemas.openxmlformats.org/officeDocument/2006/relationships/hyperlink" Target="http://www.linkedin.com/company/chock-telecomunicaciones" TargetMode="External"/><Relationship Id="rId5241" Type="http://schemas.openxmlformats.org/officeDocument/2006/relationships/hyperlink" Target="http://www.linkedin.com/in/teofilodeltoro" TargetMode="External"/><Relationship Id="rId5244" Type="http://schemas.openxmlformats.org/officeDocument/2006/relationships/hyperlink" Target="http://www.linkedin.com/company/biia-group" TargetMode="External"/><Relationship Id="rId5245" Type="http://schemas.openxmlformats.org/officeDocument/2006/relationships/hyperlink" Target="http://www.linkedin.com/in/lina-fernanda-villamil-ospitia-456777148" TargetMode="External"/><Relationship Id="rId5242" Type="http://schemas.openxmlformats.org/officeDocument/2006/relationships/hyperlink" Target="http://www.linkedin.com/company/fcelatam" TargetMode="External"/><Relationship Id="rId5243" Type="http://schemas.openxmlformats.org/officeDocument/2006/relationships/hyperlink" Target="http://www.linkedin.com/in/tivisayvallejosanchez" TargetMode="External"/><Relationship Id="rId5248" Type="http://schemas.openxmlformats.org/officeDocument/2006/relationships/hyperlink" Target="http://www.linkedin.com/company/365-innovation-consulting-&amp;-services" TargetMode="External"/><Relationship Id="rId5249" Type="http://schemas.openxmlformats.org/officeDocument/2006/relationships/hyperlink" Target="http://www.linkedin.com/in/alejandra-brizio-perotti-bb8065339" TargetMode="External"/><Relationship Id="rId5246" Type="http://schemas.openxmlformats.org/officeDocument/2006/relationships/hyperlink" Target="http://www.linkedin.com/company/moorbe" TargetMode="External"/><Relationship Id="rId5247" Type="http://schemas.openxmlformats.org/officeDocument/2006/relationships/hyperlink" Target="http://www.linkedin.com/in/johncardenasn" TargetMode="External"/><Relationship Id="rId5270" Type="http://schemas.openxmlformats.org/officeDocument/2006/relationships/hyperlink" Target="http://www.linkedin.com/company/dapperglobal" TargetMode="External"/><Relationship Id="rId5273" Type="http://schemas.openxmlformats.org/officeDocument/2006/relationships/hyperlink" Target="http://www.linkedin.com/in/nadiasan" TargetMode="External"/><Relationship Id="rId5274" Type="http://schemas.openxmlformats.org/officeDocument/2006/relationships/hyperlink" Target="http://www.linkedin.com/company/she-is-foundation" TargetMode="External"/><Relationship Id="rId5271" Type="http://schemas.openxmlformats.org/officeDocument/2006/relationships/hyperlink" Target="http://www.linkedin.com/in/juansmontejo" TargetMode="External"/><Relationship Id="rId5272" Type="http://schemas.openxmlformats.org/officeDocument/2006/relationships/hyperlink" Target="http://www.linkedin.com/company/fitpal-" TargetMode="External"/><Relationship Id="rId5277" Type="http://schemas.openxmlformats.org/officeDocument/2006/relationships/hyperlink" Target="http://www.linkedin.com/in/camilo-perea-carrasco" TargetMode="External"/><Relationship Id="rId5278" Type="http://schemas.openxmlformats.org/officeDocument/2006/relationships/hyperlink" Target="http://www.linkedin.com/company/market-shopper" TargetMode="External"/><Relationship Id="rId5275" Type="http://schemas.openxmlformats.org/officeDocument/2006/relationships/hyperlink" Target="http://www.linkedin.com/in/kholoussy" TargetMode="External"/><Relationship Id="rId5276" Type="http://schemas.openxmlformats.org/officeDocument/2006/relationships/hyperlink" Target="http://www.linkedin.com/company/nomadsskillshare" TargetMode="External"/><Relationship Id="rId5279" Type="http://schemas.openxmlformats.org/officeDocument/2006/relationships/hyperlink" Target="http://www.linkedin.com/in/gonzalo-castro-5b82b0ab" TargetMode="External"/><Relationship Id="rId5262" Type="http://schemas.openxmlformats.org/officeDocument/2006/relationships/hyperlink" Target="http://www.linkedin.com/company/fortius-capital" TargetMode="External"/><Relationship Id="rId5263" Type="http://schemas.openxmlformats.org/officeDocument/2006/relationships/hyperlink" Target="http://www.linkedin.com/in/santiago-rodriguez-2ab2b81b" TargetMode="External"/><Relationship Id="rId5260" Type="http://schemas.openxmlformats.org/officeDocument/2006/relationships/hyperlink" Target="http://www.linkedin.com/company/wedenvios" TargetMode="External"/><Relationship Id="rId5261" Type="http://schemas.openxmlformats.org/officeDocument/2006/relationships/hyperlink" Target="http://www.linkedin.com/in/daniela-m%c3%a1rquez-correa-4b9bb428" TargetMode="External"/><Relationship Id="rId5266" Type="http://schemas.openxmlformats.org/officeDocument/2006/relationships/hyperlink" Target="http://www.linkedin.com/company/ax1co" TargetMode="External"/><Relationship Id="rId5267" Type="http://schemas.openxmlformats.org/officeDocument/2006/relationships/hyperlink" Target="http://www.linkedin.com/in/angela-maria-zapata-chaves-2b373015" TargetMode="External"/><Relationship Id="rId5264" Type="http://schemas.openxmlformats.org/officeDocument/2006/relationships/hyperlink" Target="http://www.linkedin.com/company/innitiative" TargetMode="External"/><Relationship Id="rId5265" Type="http://schemas.openxmlformats.org/officeDocument/2006/relationships/hyperlink" Target="http://www.linkedin.com/in/miguelmcallister" TargetMode="External"/><Relationship Id="rId5268" Type="http://schemas.openxmlformats.org/officeDocument/2006/relationships/hyperlink" Target="http://www.linkedin.com/company/ef-talento-humano" TargetMode="External"/><Relationship Id="rId5269" Type="http://schemas.openxmlformats.org/officeDocument/2006/relationships/hyperlink" Target="http://www.linkedin.com/in/rodluisalberto" TargetMode="External"/><Relationship Id="rId5219" Type="http://schemas.openxmlformats.org/officeDocument/2006/relationships/hyperlink" Target="http://www.linkedin.com/in/danycimino" TargetMode="External"/><Relationship Id="rId5217" Type="http://schemas.openxmlformats.org/officeDocument/2006/relationships/hyperlink" Target="http://www.linkedin.com/in/juan-parra-62284a35" TargetMode="External"/><Relationship Id="rId5218" Type="http://schemas.openxmlformats.org/officeDocument/2006/relationships/hyperlink" Target="http://www.linkedin.com/company/legacy-brands-consultant" TargetMode="External"/><Relationship Id="rId392" Type="http://schemas.openxmlformats.org/officeDocument/2006/relationships/hyperlink" Target="http://www.linkedin.com/in/luis-hector-varela-guevara-07145850" TargetMode="External"/><Relationship Id="rId391" Type="http://schemas.openxmlformats.org/officeDocument/2006/relationships/hyperlink" Target="https://trandecol.com" TargetMode="External"/><Relationship Id="rId390" Type="http://schemas.openxmlformats.org/officeDocument/2006/relationships/hyperlink" Target="http://www.linkedin.com/company/trandecolsas" TargetMode="External"/><Relationship Id="rId2180" Type="http://schemas.openxmlformats.org/officeDocument/2006/relationships/hyperlink" Target="http://www.linkedin.com/company/global-authenticity-llc" TargetMode="External"/><Relationship Id="rId2181" Type="http://schemas.openxmlformats.org/officeDocument/2006/relationships/hyperlink" Target="https://globalauthenticity.com" TargetMode="External"/><Relationship Id="rId2182" Type="http://schemas.openxmlformats.org/officeDocument/2006/relationships/hyperlink" Target="http://www.linkedin.com/in/russ-manning" TargetMode="External"/><Relationship Id="rId2183" Type="http://schemas.openxmlformats.org/officeDocument/2006/relationships/hyperlink" Target="http://www.linkedin.com/company/gaia-compost-capital" TargetMode="External"/><Relationship Id="rId385" Type="http://schemas.openxmlformats.org/officeDocument/2006/relationships/hyperlink" Target="https://lafer.com.co" TargetMode="External"/><Relationship Id="rId2184" Type="http://schemas.openxmlformats.org/officeDocument/2006/relationships/hyperlink" Target="https://gaiacc.com" TargetMode="External"/><Relationship Id="rId5211" Type="http://schemas.openxmlformats.org/officeDocument/2006/relationships/hyperlink" Target="http://www.linkedin.com/in/brayan-arias-ba2b1a40" TargetMode="External"/><Relationship Id="rId384" Type="http://schemas.openxmlformats.org/officeDocument/2006/relationships/hyperlink" Target="http://www.linkedin.com/company/lafer-massive-solutions-insurance" TargetMode="External"/><Relationship Id="rId2185" Type="http://schemas.openxmlformats.org/officeDocument/2006/relationships/hyperlink" Target="http://www.linkedin.com/in/ana-lucia-obando-29ab0a167" TargetMode="External"/><Relationship Id="rId5212" Type="http://schemas.openxmlformats.org/officeDocument/2006/relationships/hyperlink" Target="http://www.linkedin.com/company/elio-sas" TargetMode="External"/><Relationship Id="rId383" Type="http://schemas.openxmlformats.org/officeDocument/2006/relationships/hyperlink" Target="http://www.linkedin.com/in/jhon-h-ar%c3%a9valo-j-8a314b175" TargetMode="External"/><Relationship Id="rId2186" Type="http://schemas.openxmlformats.org/officeDocument/2006/relationships/hyperlink" Target="http://www.linkedin.com/company/thetotalprotection" TargetMode="External"/><Relationship Id="rId382" Type="http://schemas.openxmlformats.org/officeDocument/2006/relationships/hyperlink" Target="https://mesabaja.com" TargetMode="External"/><Relationship Id="rId2187" Type="http://schemas.openxmlformats.org/officeDocument/2006/relationships/hyperlink" Target="https://thetotalprotection.com" TargetMode="External"/><Relationship Id="rId5210" Type="http://schemas.openxmlformats.org/officeDocument/2006/relationships/hyperlink" Target="http://www.linkedin.com/company/fyvoo-ai" TargetMode="External"/><Relationship Id="rId389" Type="http://schemas.openxmlformats.org/officeDocument/2006/relationships/hyperlink" Target="http://www.linkedin.com/in/juliocesar-tabordajaramillo-logistica-ventas-kam" TargetMode="External"/><Relationship Id="rId2188" Type="http://schemas.openxmlformats.org/officeDocument/2006/relationships/hyperlink" Target="http://www.linkedin.com/in/miguelmar99" TargetMode="External"/><Relationship Id="rId5215" Type="http://schemas.openxmlformats.org/officeDocument/2006/relationships/hyperlink" Target="http://www.linkedin.com/in/carlos-eduardo-duarte" TargetMode="External"/><Relationship Id="rId388" Type="http://schemas.openxmlformats.org/officeDocument/2006/relationships/hyperlink" Target="https://ecowindows.com" TargetMode="External"/><Relationship Id="rId2189" Type="http://schemas.openxmlformats.org/officeDocument/2006/relationships/hyperlink" Target="http://www.linkedin.com/company/nxlpspace" TargetMode="External"/><Relationship Id="rId5216" Type="http://schemas.openxmlformats.org/officeDocument/2006/relationships/hyperlink" Target="http://www.linkedin.com/company/elocuenti" TargetMode="External"/><Relationship Id="rId387" Type="http://schemas.openxmlformats.org/officeDocument/2006/relationships/hyperlink" Target="http://www.linkedin.com/company/ecowindows-llc" TargetMode="External"/><Relationship Id="rId5213" Type="http://schemas.openxmlformats.org/officeDocument/2006/relationships/hyperlink" Target="http://www.linkedin.com/in/juan-manuel-garzon-jimenez-8610a9129" TargetMode="External"/><Relationship Id="rId386" Type="http://schemas.openxmlformats.org/officeDocument/2006/relationships/hyperlink" Target="http://www.linkedin.com/in/roberto-elias-mercado-casij-1909b134" TargetMode="External"/><Relationship Id="rId5214" Type="http://schemas.openxmlformats.org/officeDocument/2006/relationships/hyperlink" Target="http://www.linkedin.com/company/tireanalyzepro" TargetMode="External"/><Relationship Id="rId5208" Type="http://schemas.openxmlformats.org/officeDocument/2006/relationships/hyperlink" Target="http://www.linkedin.com/company/getbmr" TargetMode="External"/><Relationship Id="rId5209" Type="http://schemas.openxmlformats.org/officeDocument/2006/relationships/hyperlink" Target="http://www.linkedin.com/in/federicovalenciap" TargetMode="External"/><Relationship Id="rId5206" Type="http://schemas.openxmlformats.org/officeDocument/2006/relationships/hyperlink" Target="http://fyvoo.ai" TargetMode="External"/><Relationship Id="rId5207" Type="http://schemas.openxmlformats.org/officeDocument/2006/relationships/hyperlink" Target="http://www.linkedin.com/in/fiane" TargetMode="External"/><Relationship Id="rId381" Type="http://schemas.openxmlformats.org/officeDocument/2006/relationships/hyperlink" Target="http://www.linkedin.com/company/mesa-baja-agroindustria" TargetMode="External"/><Relationship Id="rId380" Type="http://schemas.openxmlformats.org/officeDocument/2006/relationships/hyperlink" Target="http://www.linkedin.com/in/saragrisales" TargetMode="External"/><Relationship Id="rId379" Type="http://schemas.openxmlformats.org/officeDocument/2006/relationships/hyperlink" Target="https://scitisgroup.com" TargetMode="External"/><Relationship Id="rId2170" Type="http://schemas.openxmlformats.org/officeDocument/2006/relationships/hyperlink" Target="http://www.linkedin.com/in/diegoavellaneda" TargetMode="External"/><Relationship Id="rId2171" Type="http://schemas.openxmlformats.org/officeDocument/2006/relationships/hyperlink" Target="http://www.linkedin.com/company/callbook-ai" TargetMode="External"/><Relationship Id="rId2172" Type="http://schemas.openxmlformats.org/officeDocument/2006/relationships/hyperlink" Target="https://callbook.ai" TargetMode="External"/><Relationship Id="rId374" Type="http://schemas.openxmlformats.org/officeDocument/2006/relationships/hyperlink" Target="http://www.linkedin.com/in/diego-rinc%c3%b3n-b4b56625" TargetMode="External"/><Relationship Id="rId2173" Type="http://schemas.openxmlformats.org/officeDocument/2006/relationships/hyperlink" Target="http://www.linkedin.com/in/maria-ximena-saldarriaga-cuartas-" TargetMode="External"/><Relationship Id="rId5200" Type="http://schemas.openxmlformats.org/officeDocument/2006/relationships/hyperlink" Target="http://www.linkedin.com/in/rafael-alberto-herrera-areiza-764004b" TargetMode="External"/><Relationship Id="rId373" Type="http://schemas.openxmlformats.org/officeDocument/2006/relationships/hyperlink" Target="https://elementoalpha.com" TargetMode="External"/><Relationship Id="rId2174" Type="http://schemas.openxmlformats.org/officeDocument/2006/relationships/hyperlink" Target="http://www.linkedin.com/company/takum" TargetMode="External"/><Relationship Id="rId5201" Type="http://schemas.openxmlformats.org/officeDocument/2006/relationships/hyperlink" Target="http://www.linkedin.com/company/quan-soluciones" TargetMode="External"/><Relationship Id="rId372" Type="http://schemas.openxmlformats.org/officeDocument/2006/relationships/hyperlink" Target="http://www.linkedin.com/company/elementoalpha" TargetMode="External"/><Relationship Id="rId2175" Type="http://schemas.openxmlformats.org/officeDocument/2006/relationships/hyperlink" Target="https://takum.co" TargetMode="External"/><Relationship Id="rId371" Type="http://schemas.openxmlformats.org/officeDocument/2006/relationships/hyperlink" Target="http://www.linkedin.com/in/sebasti%c3%a1n-rocha-a96585100" TargetMode="External"/><Relationship Id="rId2176" Type="http://schemas.openxmlformats.org/officeDocument/2006/relationships/hyperlink" Target="http://www.linkedin.com/in/jesusrojasrojas" TargetMode="External"/><Relationship Id="rId378" Type="http://schemas.openxmlformats.org/officeDocument/2006/relationships/hyperlink" Target="http://www.linkedin.com/company/scitis-group" TargetMode="External"/><Relationship Id="rId2177" Type="http://schemas.openxmlformats.org/officeDocument/2006/relationships/hyperlink" Target="http://www.linkedin.com/company/o-lab-ai" TargetMode="External"/><Relationship Id="rId5204" Type="http://schemas.openxmlformats.org/officeDocument/2006/relationships/hyperlink" Target="http://www.linkedin.com/in/juan-sebastian-hoyos-ramos" TargetMode="External"/><Relationship Id="rId377" Type="http://schemas.openxmlformats.org/officeDocument/2006/relationships/hyperlink" Target="http://www.linkedin.com/in/hoffman-tejada" TargetMode="External"/><Relationship Id="rId2178" Type="http://schemas.openxmlformats.org/officeDocument/2006/relationships/hyperlink" Target="https://o-lab.ai" TargetMode="External"/><Relationship Id="rId5205" Type="http://schemas.openxmlformats.org/officeDocument/2006/relationships/hyperlink" Target="http://www.linkedin.com/company/viterra-inmobiliria" TargetMode="External"/><Relationship Id="rId376" Type="http://schemas.openxmlformats.org/officeDocument/2006/relationships/hyperlink" Target="https://quimiboy.com" TargetMode="External"/><Relationship Id="rId2179" Type="http://schemas.openxmlformats.org/officeDocument/2006/relationships/hyperlink" Target="http://www.linkedin.com/in/linamar-rojas" TargetMode="External"/><Relationship Id="rId5202" Type="http://schemas.openxmlformats.org/officeDocument/2006/relationships/hyperlink" Target="http://www.linkedin.com/in/santiago-c%c3%a1rdenas-charry-b43823116" TargetMode="External"/><Relationship Id="rId375" Type="http://schemas.openxmlformats.org/officeDocument/2006/relationships/hyperlink" Target="http://www.linkedin.com/company/quimiboy-sas" TargetMode="External"/><Relationship Id="rId5203" Type="http://schemas.openxmlformats.org/officeDocument/2006/relationships/hyperlink" Target="http://www.linkedin.com/company/colombian-trade-group-c-i" TargetMode="External"/><Relationship Id="rId5239" Type="http://schemas.openxmlformats.org/officeDocument/2006/relationships/hyperlink" Target="http://www.linkedin.com/in/alejandro-mario-garcia-molinares-21536210a" TargetMode="External"/><Relationship Id="rId5230" Type="http://schemas.openxmlformats.org/officeDocument/2006/relationships/hyperlink" Target="http://www.linkedin.com/company/edupleia" TargetMode="External"/><Relationship Id="rId5233" Type="http://schemas.openxmlformats.org/officeDocument/2006/relationships/hyperlink" Target="http://www.linkedin.com/in/andr%c3%a9s-c%c3%a1rdenas-eslava-73b2b559" TargetMode="External"/><Relationship Id="rId5234" Type="http://schemas.openxmlformats.org/officeDocument/2006/relationships/hyperlink" Target="http://www.linkedin.com/company/divinamentespeakers" TargetMode="External"/><Relationship Id="rId5231" Type="http://schemas.openxmlformats.org/officeDocument/2006/relationships/hyperlink" Target="http://www.linkedin.com/in/victor-jimenez-32ab5015" TargetMode="External"/><Relationship Id="rId5232" Type="http://schemas.openxmlformats.org/officeDocument/2006/relationships/hyperlink" Target="http://www.linkedin.com/company/risktech-col" TargetMode="External"/><Relationship Id="rId5237" Type="http://schemas.openxmlformats.org/officeDocument/2006/relationships/hyperlink" Target="http://www.linkedin.com/in/maria-alejandra-guti%c3%a9rrez-duque-15789815" TargetMode="External"/><Relationship Id="rId5238" Type="http://schemas.openxmlformats.org/officeDocument/2006/relationships/hyperlink" Target="http://www.linkedin.com/company/idirectores" TargetMode="External"/><Relationship Id="rId5235" Type="http://schemas.openxmlformats.org/officeDocument/2006/relationships/hyperlink" Target="http://www.linkedin.com/in/ginna-casta%c3%b1eda-3a39541a9" TargetMode="External"/><Relationship Id="rId5236" Type="http://schemas.openxmlformats.org/officeDocument/2006/relationships/hyperlink" Target="http://www.linkedin.com/company/beartcolombia" TargetMode="External"/><Relationship Id="rId5228" Type="http://schemas.openxmlformats.org/officeDocument/2006/relationships/hyperlink" Target="http://www.linkedin.com/company/accountrix-col" TargetMode="External"/><Relationship Id="rId5229" Type="http://schemas.openxmlformats.org/officeDocument/2006/relationships/hyperlink" Target="http://www.linkedin.com/in/davidtrianaagudelo" TargetMode="External"/><Relationship Id="rId2190" Type="http://schemas.openxmlformats.org/officeDocument/2006/relationships/hyperlink" Target="https://nxlp.space" TargetMode="External"/><Relationship Id="rId2191" Type="http://schemas.openxmlformats.org/officeDocument/2006/relationships/hyperlink" Target="http://www.linkedin.com/in/carlos-ignacio-velasco-castrill%c3%b3n-3588b713" TargetMode="External"/><Relationship Id="rId2192" Type="http://schemas.openxmlformats.org/officeDocument/2006/relationships/hyperlink" Target="http://www.linkedin.com/company/cacao-hunters" TargetMode="External"/><Relationship Id="rId2193" Type="http://schemas.openxmlformats.org/officeDocument/2006/relationships/hyperlink" Target="https://cacaohunters.com" TargetMode="External"/><Relationship Id="rId2194" Type="http://schemas.openxmlformats.org/officeDocument/2006/relationships/hyperlink" Target="http://www.linkedin.com/in/andres-felipe-contreras-castro-a4512b266" TargetMode="External"/><Relationship Id="rId396" Type="http://schemas.openxmlformats.org/officeDocument/2006/relationships/hyperlink" Target="http://www.linkedin.com/company/aligo-sas" TargetMode="External"/><Relationship Id="rId2195" Type="http://schemas.openxmlformats.org/officeDocument/2006/relationships/hyperlink" Target="http://www.linkedin.com/company/jic-powercomm-xperts" TargetMode="External"/><Relationship Id="rId5222" Type="http://schemas.openxmlformats.org/officeDocument/2006/relationships/hyperlink" Target="http://www.linkedin.com/company/globe-air-fuel" TargetMode="External"/><Relationship Id="rId395" Type="http://schemas.openxmlformats.org/officeDocument/2006/relationships/hyperlink" Target="http://www.linkedin.com/in/brian-david-martinez-9559302" TargetMode="External"/><Relationship Id="rId2196" Type="http://schemas.openxmlformats.org/officeDocument/2006/relationships/hyperlink" Target="https://jicxperts.com" TargetMode="External"/><Relationship Id="rId5223" Type="http://schemas.openxmlformats.org/officeDocument/2006/relationships/hyperlink" Target="http://www.linkedin.com/in/yaninabacteriologa" TargetMode="External"/><Relationship Id="rId394" Type="http://schemas.openxmlformats.org/officeDocument/2006/relationships/hyperlink" Target="https://servitdesk.com" TargetMode="External"/><Relationship Id="rId2197" Type="http://schemas.openxmlformats.org/officeDocument/2006/relationships/hyperlink" Target="http://www.linkedin.com/in/rodrigo-arias-obando" TargetMode="External"/><Relationship Id="rId5220" Type="http://schemas.openxmlformats.org/officeDocument/2006/relationships/hyperlink" Target="http://www.linkedin.com/company/viidaco" TargetMode="External"/><Relationship Id="rId393" Type="http://schemas.openxmlformats.org/officeDocument/2006/relationships/hyperlink" Target="http://www.linkedin.com/company/servitdesk" TargetMode="External"/><Relationship Id="rId2198" Type="http://schemas.openxmlformats.org/officeDocument/2006/relationships/hyperlink" Target="http://www.linkedin.com/company/logyg" TargetMode="External"/><Relationship Id="rId5221" Type="http://schemas.openxmlformats.org/officeDocument/2006/relationships/hyperlink" Target="http://www.linkedin.com/in/pablo-fernandez-pizano-666512103" TargetMode="External"/><Relationship Id="rId2199" Type="http://schemas.openxmlformats.org/officeDocument/2006/relationships/hyperlink" Target="https://logisticaygps.com.co" TargetMode="External"/><Relationship Id="rId5226" Type="http://schemas.openxmlformats.org/officeDocument/2006/relationships/hyperlink" Target="http://www.linkedin.com/company/katary-software" TargetMode="External"/><Relationship Id="rId399" Type="http://schemas.openxmlformats.org/officeDocument/2006/relationships/hyperlink" Target="http://www.linkedin.com/company/kika-vargas" TargetMode="External"/><Relationship Id="rId5227" Type="http://schemas.openxmlformats.org/officeDocument/2006/relationships/hyperlink" Target="http://www.linkedin.com/in/david-bencardino-909a21189" TargetMode="External"/><Relationship Id="rId398" Type="http://schemas.openxmlformats.org/officeDocument/2006/relationships/hyperlink" Target="http://www.linkedin.com/in/tito-fern%c3%a1ndez-reyes-34602010" TargetMode="External"/><Relationship Id="rId5224" Type="http://schemas.openxmlformats.org/officeDocument/2006/relationships/hyperlink" Target="http://www.linkedin.com/company/realartifex" TargetMode="External"/><Relationship Id="rId397" Type="http://schemas.openxmlformats.org/officeDocument/2006/relationships/hyperlink" Target="https://aligo.com.co" TargetMode="External"/><Relationship Id="rId5225" Type="http://schemas.openxmlformats.org/officeDocument/2006/relationships/hyperlink" Target="http://www.linkedin.com/in/juan-carlos-torres-torres-865547156" TargetMode="External"/><Relationship Id="rId1730" Type="http://schemas.openxmlformats.org/officeDocument/2006/relationships/hyperlink" Target="http://www.linkedin.com/company/humansolutionsgroup" TargetMode="External"/><Relationship Id="rId1731" Type="http://schemas.openxmlformats.org/officeDocument/2006/relationships/hyperlink" Target="https://humansolutionscorp.com" TargetMode="External"/><Relationship Id="rId1732" Type="http://schemas.openxmlformats.org/officeDocument/2006/relationships/hyperlink" Target="http://www.linkedin.com/in/cipriano-echavarria-3729a9105" TargetMode="External"/><Relationship Id="rId1733" Type="http://schemas.openxmlformats.org/officeDocument/2006/relationships/hyperlink" Target="http://www.linkedin.com/company/palomma" TargetMode="External"/><Relationship Id="rId1734" Type="http://schemas.openxmlformats.org/officeDocument/2006/relationships/hyperlink" Target="https://palomma.com" TargetMode="External"/><Relationship Id="rId1735" Type="http://schemas.openxmlformats.org/officeDocument/2006/relationships/hyperlink" Target="http://www.linkedin.com/in/andrea-mayorga" TargetMode="External"/><Relationship Id="rId1736" Type="http://schemas.openxmlformats.org/officeDocument/2006/relationships/hyperlink" Target="http://www.linkedin.com/company/coimpactob" TargetMode="External"/><Relationship Id="rId1737" Type="http://schemas.openxmlformats.org/officeDocument/2006/relationships/hyperlink" Target="https://coimpactob.com" TargetMode="External"/><Relationship Id="rId1738" Type="http://schemas.openxmlformats.org/officeDocument/2006/relationships/hyperlink" Target="http://www.linkedin.com/in/vanessa-navarro-jim%c3%a9nez-23718681" TargetMode="External"/><Relationship Id="rId1739" Type="http://schemas.openxmlformats.org/officeDocument/2006/relationships/hyperlink" Target="http://www.linkedin.com/company/soul-talent" TargetMode="External"/><Relationship Id="rId1720" Type="http://schemas.openxmlformats.org/officeDocument/2006/relationships/hyperlink" Target="http://www.linkedin.com/in/daniela-amaya-izquierdo" TargetMode="External"/><Relationship Id="rId1721" Type="http://schemas.openxmlformats.org/officeDocument/2006/relationships/hyperlink" Target="http://www.linkedin.com/company/konsultera" TargetMode="External"/><Relationship Id="rId1722" Type="http://schemas.openxmlformats.org/officeDocument/2006/relationships/hyperlink" Target="https://konsultera.com.co" TargetMode="External"/><Relationship Id="rId1723" Type="http://schemas.openxmlformats.org/officeDocument/2006/relationships/hyperlink" Target="http://www.linkedin.com/in/mateocabanzo" TargetMode="External"/><Relationship Id="rId1724" Type="http://schemas.openxmlformats.org/officeDocument/2006/relationships/hyperlink" Target="http://www.linkedin.com/company/bimpsas" TargetMode="External"/><Relationship Id="rId1725" Type="http://schemas.openxmlformats.org/officeDocument/2006/relationships/hyperlink" Target="https://bimpsas.com" TargetMode="External"/><Relationship Id="rId1726" Type="http://schemas.openxmlformats.org/officeDocument/2006/relationships/hyperlink" Target="http://www.linkedin.com/in/ernestosantoyo" TargetMode="External"/><Relationship Id="rId1727" Type="http://schemas.openxmlformats.org/officeDocument/2006/relationships/hyperlink" Target="http://www.linkedin.com/company/prosensa-sas" TargetMode="External"/><Relationship Id="rId1728" Type="http://schemas.openxmlformats.org/officeDocument/2006/relationships/hyperlink" Target="https://prosensa.co" TargetMode="External"/><Relationship Id="rId1729" Type="http://schemas.openxmlformats.org/officeDocument/2006/relationships/hyperlink" Target="http://www.linkedin.com/in/angela-mar%c3%ada-p%c3%a1ez-d%c3%adaz-15394969" TargetMode="External"/><Relationship Id="rId1752" Type="http://schemas.openxmlformats.org/officeDocument/2006/relationships/hyperlink" Target="https://technoapes.co" TargetMode="External"/><Relationship Id="rId1753" Type="http://schemas.openxmlformats.org/officeDocument/2006/relationships/hyperlink" Target="http://www.linkedin.com/in/julian-sanchez-zapata" TargetMode="External"/><Relationship Id="rId1754" Type="http://schemas.openxmlformats.org/officeDocument/2006/relationships/hyperlink" Target="http://www.linkedin.com/company/saldosahuevo" TargetMode="External"/><Relationship Id="rId1755" Type="http://schemas.openxmlformats.org/officeDocument/2006/relationships/hyperlink" Target="https://saldosahuevo.com" TargetMode="External"/><Relationship Id="rId1756" Type="http://schemas.openxmlformats.org/officeDocument/2006/relationships/hyperlink" Target="http://www.linkedin.com/in/lesek-plevac-v-ab877936" TargetMode="External"/><Relationship Id="rId1757" Type="http://schemas.openxmlformats.org/officeDocument/2006/relationships/hyperlink" Target="http://www.linkedin.com/company/bithotels" TargetMode="External"/><Relationship Id="rId1758" Type="http://schemas.openxmlformats.org/officeDocument/2006/relationships/hyperlink" Target="https://bithotels.co" TargetMode="External"/><Relationship Id="rId1759" Type="http://schemas.openxmlformats.org/officeDocument/2006/relationships/hyperlink" Target="http://www.linkedin.com/in/camilotobarn" TargetMode="External"/><Relationship Id="rId1750" Type="http://schemas.openxmlformats.org/officeDocument/2006/relationships/hyperlink" Target="http://www.linkedin.com/in/drodriguezg1" TargetMode="External"/><Relationship Id="rId1751" Type="http://schemas.openxmlformats.org/officeDocument/2006/relationships/hyperlink" Target="http://www.linkedin.com/company/technoapes-de-colombia-s-a-s" TargetMode="External"/><Relationship Id="rId1741" Type="http://schemas.openxmlformats.org/officeDocument/2006/relationships/hyperlink" Target="http://www.linkedin.com/in/daniela-p%c3%a9rez-jaramillo-82925317a" TargetMode="External"/><Relationship Id="rId1742" Type="http://schemas.openxmlformats.org/officeDocument/2006/relationships/hyperlink" Target="http://www.linkedin.com/company/biva-health" TargetMode="External"/><Relationship Id="rId1743" Type="http://schemas.openxmlformats.org/officeDocument/2006/relationships/hyperlink" Target="https://biva.co" TargetMode="External"/><Relationship Id="rId1744" Type="http://schemas.openxmlformats.org/officeDocument/2006/relationships/hyperlink" Target="http://www.linkedin.com/in/santiagobenavidesferreira" TargetMode="External"/><Relationship Id="rId1745" Type="http://schemas.openxmlformats.org/officeDocument/2006/relationships/hyperlink" Target="http://www.linkedin.com/company/beyond-sales-latam" TargetMode="External"/><Relationship Id="rId1746" Type="http://schemas.openxmlformats.org/officeDocument/2006/relationships/hyperlink" Target="https://meta.com" TargetMode="External"/><Relationship Id="rId1747" Type="http://schemas.openxmlformats.org/officeDocument/2006/relationships/hyperlink" Target="http://www.linkedin.com/in/viviana-boh%c3%b3rquez-l" TargetMode="External"/><Relationship Id="rId1748" Type="http://schemas.openxmlformats.org/officeDocument/2006/relationships/hyperlink" Target="http://www.linkedin.com/company/carbonbox" TargetMode="External"/><Relationship Id="rId1749" Type="http://schemas.openxmlformats.org/officeDocument/2006/relationships/hyperlink" Target="https://carbonbox.app" TargetMode="External"/><Relationship Id="rId1740" Type="http://schemas.openxmlformats.org/officeDocument/2006/relationships/hyperlink" Target="https://soultalents.com" TargetMode="External"/><Relationship Id="rId5291" Type="http://schemas.openxmlformats.org/officeDocument/2006/relationships/hyperlink" Target="http://www.linkedin.com/in/jjsarabia" TargetMode="External"/><Relationship Id="rId5292" Type="http://schemas.openxmlformats.org/officeDocument/2006/relationships/hyperlink" Target="http://www.linkedin.com/company/zabudtechnologies" TargetMode="External"/><Relationship Id="rId5290" Type="http://schemas.openxmlformats.org/officeDocument/2006/relationships/hyperlink" Target="http://www.linkedin.com/company/shambala-comunidad-ambiental" TargetMode="External"/><Relationship Id="rId5295" Type="http://schemas.openxmlformats.org/officeDocument/2006/relationships/hyperlink" Target="http://www.linkedin.com/in/christian-knudsen-b5a71611" TargetMode="External"/><Relationship Id="rId5296" Type="http://schemas.openxmlformats.org/officeDocument/2006/relationships/hyperlink" Target="http://www.linkedin.com/company/caf-asset-management-caf-am" TargetMode="External"/><Relationship Id="rId5293" Type="http://schemas.openxmlformats.org/officeDocument/2006/relationships/hyperlink" Target="http://www.linkedin.com/in/ignaciorevollo" TargetMode="External"/><Relationship Id="rId5294" Type="http://schemas.openxmlformats.org/officeDocument/2006/relationships/hyperlink" Target="http://www.linkedin.com/company/altatefinancia" TargetMode="External"/><Relationship Id="rId5299" Type="http://schemas.openxmlformats.org/officeDocument/2006/relationships/hyperlink" Target="http://www.linkedin.com/in/adriana-mendoza" TargetMode="External"/><Relationship Id="rId5297" Type="http://schemas.openxmlformats.org/officeDocument/2006/relationships/hyperlink" Target="http://www.linkedin.com/in/fernandodescotte" TargetMode="External"/><Relationship Id="rId5298" Type="http://schemas.openxmlformats.org/officeDocument/2006/relationships/hyperlink" Target="http://www.linkedin.com/company/vistagecolombia" TargetMode="External"/><Relationship Id="rId5280" Type="http://schemas.openxmlformats.org/officeDocument/2006/relationships/hyperlink" Target="http://www.linkedin.com/company/actualytica" TargetMode="External"/><Relationship Id="rId5281" Type="http://schemas.openxmlformats.org/officeDocument/2006/relationships/hyperlink" Target="http://www.linkedin.com/in/rubenhincapie" TargetMode="External"/><Relationship Id="rId5284" Type="http://schemas.openxmlformats.org/officeDocument/2006/relationships/hyperlink" Target="http://www.linkedin.com/company/james-search-group" TargetMode="External"/><Relationship Id="rId5285" Type="http://schemas.openxmlformats.org/officeDocument/2006/relationships/hyperlink" Target="http://www.linkedin.com/in/nadyr-antonio-lozano-gutierrez-5299b518" TargetMode="External"/><Relationship Id="rId5282" Type="http://schemas.openxmlformats.org/officeDocument/2006/relationships/hyperlink" Target="http://www.linkedin.com/company/igocolombia" TargetMode="External"/><Relationship Id="rId5283" Type="http://schemas.openxmlformats.org/officeDocument/2006/relationships/hyperlink" Target="http://www.linkedin.com/in/simon-james37" TargetMode="External"/><Relationship Id="rId5288" Type="http://schemas.openxmlformats.org/officeDocument/2006/relationships/hyperlink" Target="http://www.linkedin.com/company/swi---systems-with-intelligence" TargetMode="External"/><Relationship Id="rId5289" Type="http://schemas.openxmlformats.org/officeDocument/2006/relationships/hyperlink" Target="http://www.linkedin.com/in/danielgutierrezpatino" TargetMode="External"/><Relationship Id="rId5286" Type="http://schemas.openxmlformats.org/officeDocument/2006/relationships/hyperlink" Target="http://www.linkedin.com/company/comdisticol-sas" TargetMode="External"/><Relationship Id="rId5287" Type="http://schemas.openxmlformats.org/officeDocument/2006/relationships/hyperlink" Target="http://www.linkedin.com/in/leonardo-gonzalez-068757162" TargetMode="External"/><Relationship Id="rId1710" Type="http://schemas.openxmlformats.org/officeDocument/2006/relationships/hyperlink" Target="https://wava.co" TargetMode="External"/><Relationship Id="rId1711" Type="http://schemas.openxmlformats.org/officeDocument/2006/relationships/hyperlink" Target="http://www.linkedin.com/in/rodrigo-de-angulo-332534b" TargetMode="External"/><Relationship Id="rId1712" Type="http://schemas.openxmlformats.org/officeDocument/2006/relationships/hyperlink" Target="http://www.linkedin.com/company/call-peregrino" TargetMode="External"/><Relationship Id="rId1713" Type="http://schemas.openxmlformats.org/officeDocument/2006/relationships/hyperlink" Target="https://peregrino.co" TargetMode="External"/><Relationship Id="rId1714" Type="http://schemas.openxmlformats.org/officeDocument/2006/relationships/hyperlink" Target="http://www.linkedin.com/in/ianrharris" TargetMode="External"/><Relationship Id="rId1715" Type="http://schemas.openxmlformats.org/officeDocument/2006/relationships/hyperlink" Target="http://www.linkedin.com/company/outcrop-silver-gold" TargetMode="External"/><Relationship Id="rId1716" Type="http://schemas.openxmlformats.org/officeDocument/2006/relationships/hyperlink" Target="https://outcropsilverandgold.com" TargetMode="External"/><Relationship Id="rId1717" Type="http://schemas.openxmlformats.org/officeDocument/2006/relationships/hyperlink" Target="http://www.linkedin.com/in/katty-nieto-ab9097135" TargetMode="External"/><Relationship Id="rId1718" Type="http://schemas.openxmlformats.org/officeDocument/2006/relationships/hyperlink" Target="http://www.linkedin.com/company/charlas-motivacionales-colombia" TargetMode="External"/><Relationship Id="rId1719" Type="http://schemas.openxmlformats.org/officeDocument/2006/relationships/hyperlink" Target="https://charlasmotivacionales.com.co" TargetMode="External"/><Relationship Id="rId1700" Type="http://schemas.openxmlformats.org/officeDocument/2006/relationships/hyperlink" Target="http://www.linkedin.com/company/airtecnica" TargetMode="External"/><Relationship Id="rId1701" Type="http://schemas.openxmlformats.org/officeDocument/2006/relationships/hyperlink" Target="https://airtecnica.co" TargetMode="External"/><Relationship Id="rId1702" Type="http://schemas.openxmlformats.org/officeDocument/2006/relationships/hyperlink" Target="http://www.linkedin.com/in/mariantoniagonzaleze" TargetMode="External"/><Relationship Id="rId1703" Type="http://schemas.openxmlformats.org/officeDocument/2006/relationships/hyperlink" Target="http://www.linkedin.com/company/educambio" TargetMode="External"/><Relationship Id="rId1704" Type="http://schemas.openxmlformats.org/officeDocument/2006/relationships/hyperlink" Target="https://educambio.org" TargetMode="External"/><Relationship Id="rId1705" Type="http://schemas.openxmlformats.org/officeDocument/2006/relationships/hyperlink" Target="http://www.linkedin.com/in/jonathan-chamizo-9b415a12a" TargetMode="External"/><Relationship Id="rId1706" Type="http://schemas.openxmlformats.org/officeDocument/2006/relationships/hyperlink" Target="http://www.linkedin.com/company/adsoftcompany" TargetMode="External"/><Relationship Id="rId1707" Type="http://schemas.openxmlformats.org/officeDocument/2006/relationships/hyperlink" Target="https://adsoft.company" TargetMode="External"/><Relationship Id="rId1708" Type="http://schemas.openxmlformats.org/officeDocument/2006/relationships/hyperlink" Target="http://www.linkedin.com/in/carloseduardoagudelo" TargetMode="External"/><Relationship Id="rId1709" Type="http://schemas.openxmlformats.org/officeDocument/2006/relationships/hyperlink" Target="http://www.linkedin.com/company/wavacheckout" TargetMode="External"/><Relationship Id="rId40" Type="http://schemas.openxmlformats.org/officeDocument/2006/relationships/hyperlink" Target="http://www.linkedin.com/in/adriana-garcia-serrano" TargetMode="External"/><Relationship Id="rId3513" Type="http://schemas.openxmlformats.org/officeDocument/2006/relationships/hyperlink" Target="http://www.linkedin.com/in/diegogalvis" TargetMode="External"/><Relationship Id="rId4844" Type="http://schemas.openxmlformats.org/officeDocument/2006/relationships/hyperlink" Target="http://www.linkedin.com/in/nelson-beltran" TargetMode="External"/><Relationship Id="rId3512" Type="http://schemas.openxmlformats.org/officeDocument/2006/relationships/hyperlink" Target="https://reliabytics.com" TargetMode="External"/><Relationship Id="rId4843" Type="http://schemas.openxmlformats.org/officeDocument/2006/relationships/hyperlink" Target="http://www.linkedin.com/company/kamin-one" TargetMode="External"/><Relationship Id="rId42" Type="http://schemas.openxmlformats.org/officeDocument/2006/relationships/hyperlink" Target="https://cres-ko.com" TargetMode="External"/><Relationship Id="rId3515" Type="http://schemas.openxmlformats.org/officeDocument/2006/relationships/hyperlink" Target="https://tradingcollege.co" TargetMode="External"/><Relationship Id="rId4846" Type="http://schemas.openxmlformats.org/officeDocument/2006/relationships/hyperlink" Target="http://www.linkedin.com/in/angieromerob" TargetMode="External"/><Relationship Id="rId41" Type="http://schemas.openxmlformats.org/officeDocument/2006/relationships/hyperlink" Target="http://www.linkedin.com/company/cres-ko" TargetMode="External"/><Relationship Id="rId3514" Type="http://schemas.openxmlformats.org/officeDocument/2006/relationships/hyperlink" Target="http://www.linkedin.com/school/trading-college-co" TargetMode="External"/><Relationship Id="rId4845" Type="http://schemas.openxmlformats.org/officeDocument/2006/relationships/hyperlink" Target="http://www.linkedin.com/company/dillie-ai" TargetMode="External"/><Relationship Id="rId44" Type="http://schemas.openxmlformats.org/officeDocument/2006/relationships/hyperlink" Target="http://www.linkedin.com/company/talenta-learning" TargetMode="External"/><Relationship Id="rId3517" Type="http://schemas.openxmlformats.org/officeDocument/2006/relationships/hyperlink" Target="http://www.linkedin.com/company/valor-ganado-s-a-s-" TargetMode="External"/><Relationship Id="rId4848" Type="http://schemas.openxmlformats.org/officeDocument/2006/relationships/hyperlink" Target="http://www.linkedin.com/in/danybolivar" TargetMode="External"/><Relationship Id="rId43" Type="http://schemas.openxmlformats.org/officeDocument/2006/relationships/hyperlink" Target="http://www.linkedin.com/in/juanmcardona" TargetMode="External"/><Relationship Id="rId3516" Type="http://schemas.openxmlformats.org/officeDocument/2006/relationships/hyperlink" Target="http://www.linkedin.com/in/rodrigo-buzeta-314b0a17" TargetMode="External"/><Relationship Id="rId4847" Type="http://schemas.openxmlformats.org/officeDocument/2006/relationships/hyperlink" Target="http://www.linkedin.com/company/awtana" TargetMode="External"/><Relationship Id="rId46" Type="http://schemas.openxmlformats.org/officeDocument/2006/relationships/hyperlink" Target="http://www.linkedin.com/in/camilo-gonzalez-alvarez-1514a615b" TargetMode="External"/><Relationship Id="rId3519" Type="http://schemas.openxmlformats.org/officeDocument/2006/relationships/hyperlink" Target="http://www.linkedin.com/in/andr%c3%a9s-j-rodr%c3%adguez-m-4028ab33" TargetMode="External"/><Relationship Id="rId45" Type="http://schemas.openxmlformats.org/officeDocument/2006/relationships/hyperlink" Target="https://talentalearning.com" TargetMode="External"/><Relationship Id="rId3518" Type="http://schemas.openxmlformats.org/officeDocument/2006/relationships/hyperlink" Target="https://valorganado.com" TargetMode="External"/><Relationship Id="rId4849" Type="http://schemas.openxmlformats.org/officeDocument/2006/relationships/hyperlink" Target="http://www.linkedin.com/company/muv-u-estudios-en-el-exterior" TargetMode="External"/><Relationship Id="rId48" Type="http://schemas.openxmlformats.org/officeDocument/2006/relationships/hyperlink" Target="https://rentmies.com" TargetMode="External"/><Relationship Id="rId47" Type="http://schemas.openxmlformats.org/officeDocument/2006/relationships/hyperlink" Target="http://www.linkedin.com/company/rentmies" TargetMode="External"/><Relationship Id="rId49" Type="http://schemas.openxmlformats.org/officeDocument/2006/relationships/hyperlink" Target="http://www.linkedin.com/in/andressarmiento" TargetMode="External"/><Relationship Id="rId4840" Type="http://schemas.openxmlformats.org/officeDocument/2006/relationships/hyperlink" Target="http://www.linkedin.com/company/distribuidora-caliplasticos-ltda-" TargetMode="External"/><Relationship Id="rId3511" Type="http://schemas.openxmlformats.org/officeDocument/2006/relationships/hyperlink" Target="http://www.linkedin.com/company/reliabytics" TargetMode="External"/><Relationship Id="rId4842" Type="http://schemas.openxmlformats.org/officeDocument/2006/relationships/hyperlink" Target="http://www.linkedin.com/in/rodrigo-leon-03710910" TargetMode="External"/><Relationship Id="rId3510" Type="http://schemas.openxmlformats.org/officeDocument/2006/relationships/hyperlink" Target="http://www.linkedin.com/in/pablo-martinez-cmrp" TargetMode="External"/><Relationship Id="rId4841" Type="http://schemas.openxmlformats.org/officeDocument/2006/relationships/hyperlink" Target="http://dillie.ai" TargetMode="External"/><Relationship Id="rId3502" Type="http://schemas.openxmlformats.org/officeDocument/2006/relationships/hyperlink" Target="http://www.linkedin.com/company/weia" TargetMode="External"/><Relationship Id="rId4833" Type="http://schemas.openxmlformats.org/officeDocument/2006/relationships/hyperlink" Target="http://www.linkedin.com/in/andresalonsoacosta" TargetMode="External"/><Relationship Id="rId3501" Type="http://schemas.openxmlformats.org/officeDocument/2006/relationships/hyperlink" Target="http://www.linkedin.com/in/arturo-harker-roa-b736974" TargetMode="External"/><Relationship Id="rId4832" Type="http://schemas.openxmlformats.org/officeDocument/2006/relationships/hyperlink" Target="http://www.linkedin.com/company/meddipay" TargetMode="External"/><Relationship Id="rId31" Type="http://schemas.openxmlformats.org/officeDocument/2006/relationships/hyperlink" Target="http://www.linkedin.com/in/andres-mauricio-morales" TargetMode="External"/><Relationship Id="rId3504" Type="http://schemas.openxmlformats.org/officeDocument/2006/relationships/hyperlink" Target="http://www.linkedin.com/in/diana-duarte-g%c3%b3mez-301a88116" TargetMode="External"/><Relationship Id="rId4835" Type="http://schemas.openxmlformats.org/officeDocument/2006/relationships/hyperlink" Target="http://www.linkedin.com/in/bibiana-ardila-g%c3%b3mez-7b20b313a" TargetMode="External"/><Relationship Id="rId30" Type="http://schemas.openxmlformats.org/officeDocument/2006/relationships/hyperlink" Target="https://panteramakers.com" TargetMode="External"/><Relationship Id="rId3503" Type="http://schemas.openxmlformats.org/officeDocument/2006/relationships/hyperlink" Target="https://weia.com.co" TargetMode="External"/><Relationship Id="rId4834" Type="http://schemas.openxmlformats.org/officeDocument/2006/relationships/hyperlink" Target="http://www.linkedin.com/company/bmotik" TargetMode="External"/><Relationship Id="rId33" Type="http://schemas.openxmlformats.org/officeDocument/2006/relationships/hyperlink" Target="https://thetalenttree.com.co" TargetMode="External"/><Relationship Id="rId3506" Type="http://schemas.openxmlformats.org/officeDocument/2006/relationships/hyperlink" Target="https://diversa.co" TargetMode="External"/><Relationship Id="rId4837" Type="http://schemas.openxmlformats.org/officeDocument/2006/relationships/hyperlink" Target="http://www.linkedin.com/in/mauricio-perlaza-azcarate-736b6760" TargetMode="External"/><Relationship Id="rId32" Type="http://schemas.openxmlformats.org/officeDocument/2006/relationships/hyperlink" Target="http://www.linkedin.com/school/thetalenttreebyikenga-finanzaspersonales" TargetMode="External"/><Relationship Id="rId3505" Type="http://schemas.openxmlformats.org/officeDocument/2006/relationships/hyperlink" Target="http://www.linkedin.com/company/distancia-cero-colombia" TargetMode="External"/><Relationship Id="rId4836" Type="http://schemas.openxmlformats.org/officeDocument/2006/relationships/hyperlink" Target="http://www.linkedin.com/company/taller-a" TargetMode="External"/><Relationship Id="rId35" Type="http://schemas.openxmlformats.org/officeDocument/2006/relationships/hyperlink" Target="http://www.linkedin.com/company/plugit-solutions" TargetMode="External"/><Relationship Id="rId3508" Type="http://schemas.openxmlformats.org/officeDocument/2006/relationships/hyperlink" Target="http://www.linkedin.com/school/adaschool" TargetMode="External"/><Relationship Id="rId4839" Type="http://schemas.openxmlformats.org/officeDocument/2006/relationships/hyperlink" Target="http://www.linkedin.com/in/juan-diaz-1314a9a1" TargetMode="External"/><Relationship Id="rId34" Type="http://schemas.openxmlformats.org/officeDocument/2006/relationships/hyperlink" Target="http://www.linkedin.com/in/dora-mejia-1231302a" TargetMode="External"/><Relationship Id="rId3507" Type="http://schemas.openxmlformats.org/officeDocument/2006/relationships/hyperlink" Target="http://www.linkedin.com/in/sancarbar" TargetMode="External"/><Relationship Id="rId4838" Type="http://schemas.openxmlformats.org/officeDocument/2006/relationships/hyperlink" Target="http://www.linkedin.com/company/empsii-sas" TargetMode="External"/><Relationship Id="rId3509" Type="http://schemas.openxmlformats.org/officeDocument/2006/relationships/hyperlink" Target="https://ada-school.org" TargetMode="External"/><Relationship Id="rId37" Type="http://schemas.openxmlformats.org/officeDocument/2006/relationships/hyperlink" Target="http://www.linkedin.com/in/juli%c3%a1n-robayo-19ab2073" TargetMode="External"/><Relationship Id="rId36" Type="http://schemas.openxmlformats.org/officeDocument/2006/relationships/hyperlink" Target="https://plugitsolutions.com.co" TargetMode="External"/><Relationship Id="rId39" Type="http://schemas.openxmlformats.org/officeDocument/2006/relationships/hyperlink" Target="https://legalesolutions.com" TargetMode="External"/><Relationship Id="rId38" Type="http://schemas.openxmlformats.org/officeDocument/2006/relationships/hyperlink" Target="http://www.linkedin.com/company/legal-e-solutions" TargetMode="External"/><Relationship Id="rId3500" Type="http://schemas.openxmlformats.org/officeDocument/2006/relationships/hyperlink" Target="https://edusoul.com.co" TargetMode="External"/><Relationship Id="rId4831" Type="http://schemas.openxmlformats.org/officeDocument/2006/relationships/hyperlink" Target="http://www.linkedin.com/in/juancamilogonzalez" TargetMode="External"/><Relationship Id="rId4830" Type="http://schemas.openxmlformats.org/officeDocument/2006/relationships/hyperlink" Target="http://www.linkedin.com/company/kamin-one" TargetMode="External"/><Relationship Id="rId2203" Type="http://schemas.openxmlformats.org/officeDocument/2006/relationships/hyperlink" Target="http://www.linkedin.com/in/juestrad" TargetMode="External"/><Relationship Id="rId3535" Type="http://schemas.openxmlformats.org/officeDocument/2006/relationships/hyperlink" Target="http://www.linkedin.com/company/advanced-gear-ofs" TargetMode="External"/><Relationship Id="rId4866" Type="http://schemas.openxmlformats.org/officeDocument/2006/relationships/hyperlink" Target="http://www.linkedin.com/in/lina-gonz%c3%a1lez-a9081638" TargetMode="External"/><Relationship Id="rId2204" Type="http://schemas.openxmlformats.org/officeDocument/2006/relationships/hyperlink" Target="http://www.linkedin.com/company/agrofinko" TargetMode="External"/><Relationship Id="rId3534" Type="http://schemas.openxmlformats.org/officeDocument/2006/relationships/hyperlink" Target="http://www.linkedin.com/in/pedro-andres-garzon-chaux-51905582" TargetMode="External"/><Relationship Id="rId4865" Type="http://schemas.openxmlformats.org/officeDocument/2006/relationships/hyperlink" Target="http://www.linkedin.com/company/people-intelligence" TargetMode="External"/><Relationship Id="rId20" Type="http://schemas.openxmlformats.org/officeDocument/2006/relationships/hyperlink" Target="http://www.linkedin.com/company/finnecto" TargetMode="External"/><Relationship Id="rId2205" Type="http://schemas.openxmlformats.org/officeDocument/2006/relationships/hyperlink" Target="https://agrofinko.com" TargetMode="External"/><Relationship Id="rId3537" Type="http://schemas.openxmlformats.org/officeDocument/2006/relationships/hyperlink" Target="http://www.linkedin.com/in/juan-pablo-villegas-tobon-258a616a" TargetMode="External"/><Relationship Id="rId4868" Type="http://schemas.openxmlformats.org/officeDocument/2006/relationships/hyperlink" Target="http://www.linkedin.com/in/alexander-acosta-garcia-" TargetMode="External"/><Relationship Id="rId2206" Type="http://schemas.openxmlformats.org/officeDocument/2006/relationships/hyperlink" Target="http://www.linkedin.com/in/vivianaelias" TargetMode="External"/><Relationship Id="rId3536" Type="http://schemas.openxmlformats.org/officeDocument/2006/relationships/hyperlink" Target="https://advancedgear.com.co" TargetMode="External"/><Relationship Id="rId4867" Type="http://schemas.openxmlformats.org/officeDocument/2006/relationships/hyperlink" Target="http://www.linkedin.com/company/%c3%a9quo-i-the-employee-experience-equation" TargetMode="External"/><Relationship Id="rId22" Type="http://schemas.openxmlformats.org/officeDocument/2006/relationships/hyperlink" Target="http://www.linkedin.com/in/jorge-uribe-cardozo-16466740" TargetMode="External"/><Relationship Id="rId2207" Type="http://schemas.openxmlformats.org/officeDocument/2006/relationships/hyperlink" Target="http://www.linkedin.com/company/hub-soluciones-inmobiliarias" TargetMode="External"/><Relationship Id="rId3539" Type="http://schemas.openxmlformats.org/officeDocument/2006/relationships/hyperlink" Target="https://oviventures.com" TargetMode="External"/><Relationship Id="rId21" Type="http://schemas.openxmlformats.org/officeDocument/2006/relationships/hyperlink" Target="https://finnecto.com" TargetMode="External"/><Relationship Id="rId2208" Type="http://schemas.openxmlformats.org/officeDocument/2006/relationships/hyperlink" Target="https://hubsas.com" TargetMode="External"/><Relationship Id="rId3538" Type="http://schemas.openxmlformats.org/officeDocument/2006/relationships/hyperlink" Target="http://www.linkedin.com/company/oviventures" TargetMode="External"/><Relationship Id="rId4869" Type="http://schemas.openxmlformats.org/officeDocument/2006/relationships/hyperlink" Target="http://www.linkedin.com/company/job-city-colombia" TargetMode="External"/><Relationship Id="rId24" Type="http://schemas.openxmlformats.org/officeDocument/2006/relationships/hyperlink" Target="https://elsa360.com" TargetMode="External"/><Relationship Id="rId2209" Type="http://schemas.openxmlformats.org/officeDocument/2006/relationships/hyperlink" Target="http://www.linkedin.com/in/juan-blanco-77413b74" TargetMode="External"/><Relationship Id="rId23" Type="http://schemas.openxmlformats.org/officeDocument/2006/relationships/hyperlink" Target="http://www.linkedin.com/company/elsa360" TargetMode="External"/><Relationship Id="rId26" Type="http://schemas.openxmlformats.org/officeDocument/2006/relationships/hyperlink" Target="http://www.linkedin.com/company/complemento360colombia" TargetMode="External"/><Relationship Id="rId25" Type="http://schemas.openxmlformats.org/officeDocument/2006/relationships/hyperlink" Target="http://www.linkedin.com/in/juan-jacobo-p%c3%a1ramo-b47a1322" TargetMode="External"/><Relationship Id="rId28" Type="http://schemas.openxmlformats.org/officeDocument/2006/relationships/hyperlink" Target="http://www.linkedin.com/in/andres-mejia-99337215" TargetMode="External"/><Relationship Id="rId4860" Type="http://schemas.openxmlformats.org/officeDocument/2006/relationships/hyperlink" Target="http://www.linkedin.com/in/mateo-bonnett" TargetMode="External"/><Relationship Id="rId27" Type="http://schemas.openxmlformats.org/officeDocument/2006/relationships/hyperlink" Target="https://complemento360.com" TargetMode="External"/><Relationship Id="rId3531" Type="http://schemas.openxmlformats.org/officeDocument/2006/relationships/hyperlink" Target="http://www.linkedin.com/in/ricardo-gonzalez-nexxdi" TargetMode="External"/><Relationship Id="rId4862" Type="http://schemas.openxmlformats.org/officeDocument/2006/relationships/hyperlink" Target="http://www.linkedin.com/in/carolina-pineda-007a1425" TargetMode="External"/><Relationship Id="rId29" Type="http://schemas.openxmlformats.org/officeDocument/2006/relationships/hyperlink" Target="http://www.linkedin.com/company/panteramakers" TargetMode="External"/><Relationship Id="rId2200" Type="http://schemas.openxmlformats.org/officeDocument/2006/relationships/hyperlink" Target="http://www.linkedin.com/in/andreaheppolette" TargetMode="External"/><Relationship Id="rId3530" Type="http://schemas.openxmlformats.org/officeDocument/2006/relationships/hyperlink" Target="https://gundo.life" TargetMode="External"/><Relationship Id="rId4861" Type="http://schemas.openxmlformats.org/officeDocument/2006/relationships/hyperlink" Target="http://www.linkedin.com/company/bonnett-analytics" TargetMode="External"/><Relationship Id="rId2201" Type="http://schemas.openxmlformats.org/officeDocument/2006/relationships/hyperlink" Target="http://www.linkedin.com/company/the-play-initiative" TargetMode="External"/><Relationship Id="rId3533" Type="http://schemas.openxmlformats.org/officeDocument/2006/relationships/hyperlink" Target="https://nexxdipay.com" TargetMode="External"/><Relationship Id="rId4864" Type="http://schemas.openxmlformats.org/officeDocument/2006/relationships/hyperlink" Target="http://www.linkedin.com/in/carlos-schmidt-junguito-0239684" TargetMode="External"/><Relationship Id="rId2202" Type="http://schemas.openxmlformats.org/officeDocument/2006/relationships/hyperlink" Target="https://theplayinitiative.com" TargetMode="External"/><Relationship Id="rId3532" Type="http://schemas.openxmlformats.org/officeDocument/2006/relationships/hyperlink" Target="http://www.linkedin.com/company/nexxdipay" TargetMode="External"/><Relationship Id="rId4863" Type="http://schemas.openxmlformats.org/officeDocument/2006/relationships/hyperlink" Target="http://www.linkedin.com/company/mpf-invest" TargetMode="External"/><Relationship Id="rId3524" Type="http://schemas.openxmlformats.org/officeDocument/2006/relationships/hyperlink" Target="https://smart-tap.co" TargetMode="External"/><Relationship Id="rId4855" Type="http://schemas.openxmlformats.org/officeDocument/2006/relationships/hyperlink" Target="http://www.linkedin.com/company/thenewhubinnovations" TargetMode="External"/><Relationship Id="rId3523" Type="http://schemas.openxmlformats.org/officeDocument/2006/relationships/hyperlink" Target="http://www.linkedin.com/company/smart-tap-group" TargetMode="External"/><Relationship Id="rId4854" Type="http://schemas.openxmlformats.org/officeDocument/2006/relationships/hyperlink" Target="http://www.linkedin.com/in/santiago-noguera-899b4bb8" TargetMode="External"/><Relationship Id="rId3526" Type="http://schemas.openxmlformats.org/officeDocument/2006/relationships/hyperlink" Target="http://www.linkedin.com/company/monabit" TargetMode="External"/><Relationship Id="rId4857" Type="http://schemas.openxmlformats.org/officeDocument/2006/relationships/hyperlink" Target="http://www.linkedin.com/company/it-colaboraci%c3%b3n" TargetMode="External"/><Relationship Id="rId3525" Type="http://schemas.openxmlformats.org/officeDocument/2006/relationships/hyperlink" Target="http://www.linkedin.com/in/carlosvarelacol" TargetMode="External"/><Relationship Id="rId4856" Type="http://schemas.openxmlformats.org/officeDocument/2006/relationships/hyperlink" Target="http://www.linkedin.com/in/marceloespin" TargetMode="External"/><Relationship Id="rId11" Type="http://schemas.openxmlformats.org/officeDocument/2006/relationships/hyperlink" Target="http://www.linkedin.com/company/faroolegal" TargetMode="External"/><Relationship Id="rId3528" Type="http://schemas.openxmlformats.org/officeDocument/2006/relationships/hyperlink" Target="http://www.linkedin.com/in/jeanpierrelannou" TargetMode="External"/><Relationship Id="rId4859" Type="http://schemas.openxmlformats.org/officeDocument/2006/relationships/hyperlink" Target="http://www.linkedin.com/company/thinksid" TargetMode="External"/><Relationship Id="rId10" Type="http://schemas.openxmlformats.org/officeDocument/2006/relationships/hyperlink" Target="http://www.linkedin.com/in/carlos-felipe-arias-avila-6675b98a" TargetMode="External"/><Relationship Id="rId3527" Type="http://schemas.openxmlformats.org/officeDocument/2006/relationships/hyperlink" Target="https://monabit.io" TargetMode="External"/><Relationship Id="rId4858" Type="http://schemas.openxmlformats.org/officeDocument/2006/relationships/hyperlink" Target="http://www.linkedin.com/in/santiagoforerothinksid" TargetMode="External"/><Relationship Id="rId13" Type="http://schemas.openxmlformats.org/officeDocument/2006/relationships/hyperlink" Target="http://www.linkedin.com/in/daniel-ni%c3%b1o-tarazona-89980082" TargetMode="External"/><Relationship Id="rId12" Type="http://schemas.openxmlformats.org/officeDocument/2006/relationships/hyperlink" Target="https://faroolegal.com" TargetMode="External"/><Relationship Id="rId3529" Type="http://schemas.openxmlformats.org/officeDocument/2006/relationships/hyperlink" Target="http://www.linkedin.com/company/gundo" TargetMode="External"/><Relationship Id="rId15" Type="http://schemas.openxmlformats.org/officeDocument/2006/relationships/hyperlink" Target="https://caxdac.com" TargetMode="External"/><Relationship Id="rId14" Type="http://schemas.openxmlformats.org/officeDocument/2006/relationships/hyperlink" Target="http://www.linkedin.com/company/caxdac-caja-de-auxilios-y-de-prestaciones-de-acdac" TargetMode="External"/><Relationship Id="rId17" Type="http://schemas.openxmlformats.org/officeDocument/2006/relationships/hyperlink" Target="http://www.linkedin.com/company/inkoms" TargetMode="External"/><Relationship Id="rId16" Type="http://schemas.openxmlformats.org/officeDocument/2006/relationships/hyperlink" Target="http://www.linkedin.com/in/danielgomezvelez" TargetMode="External"/><Relationship Id="rId19" Type="http://schemas.openxmlformats.org/officeDocument/2006/relationships/hyperlink" Target="http://www.linkedin.com/in/sebastian-gasca" TargetMode="External"/><Relationship Id="rId3520" Type="http://schemas.openxmlformats.org/officeDocument/2006/relationships/hyperlink" Target="http://www.linkedin.com/company/envwells" TargetMode="External"/><Relationship Id="rId4851" Type="http://schemas.openxmlformats.org/officeDocument/2006/relationships/hyperlink" Target="http://www.linkedin.com/company/igac" TargetMode="External"/><Relationship Id="rId18" Type="http://schemas.openxmlformats.org/officeDocument/2006/relationships/hyperlink" Target="https://inkoms.com" TargetMode="External"/><Relationship Id="rId4850" Type="http://schemas.openxmlformats.org/officeDocument/2006/relationships/hyperlink" Target="http://www.linkedin.com/in/anfgomez" TargetMode="External"/><Relationship Id="rId3522" Type="http://schemas.openxmlformats.org/officeDocument/2006/relationships/hyperlink" Target="http://www.linkedin.com/in/lina-garcia-rodriguez" TargetMode="External"/><Relationship Id="rId4853" Type="http://schemas.openxmlformats.org/officeDocument/2006/relationships/hyperlink" Target="http://www.linkedin.com/company/miliopay" TargetMode="External"/><Relationship Id="rId3521" Type="http://schemas.openxmlformats.org/officeDocument/2006/relationships/hyperlink" Target="https://envlatam.com" TargetMode="External"/><Relationship Id="rId4852" Type="http://schemas.openxmlformats.org/officeDocument/2006/relationships/hyperlink" Target="http://www.linkedin.com/in/daniel-g%c3%b3mez-86954a58" TargetMode="External"/><Relationship Id="rId84" Type="http://schemas.openxmlformats.org/officeDocument/2006/relationships/hyperlink" Target="http://www.linkedin.com/company/epicainmobiliaria" TargetMode="External"/><Relationship Id="rId1774" Type="http://schemas.openxmlformats.org/officeDocument/2006/relationships/hyperlink" Target="http://www.linkedin.com/in/eduardo6" TargetMode="External"/><Relationship Id="rId4800" Type="http://schemas.openxmlformats.org/officeDocument/2006/relationships/hyperlink" Target="http://www.linkedin.com/company/databiz" TargetMode="External"/><Relationship Id="rId83" Type="http://schemas.openxmlformats.org/officeDocument/2006/relationships/hyperlink" Target="http://www.linkedin.com/in/bertha-in%c3%a9s-duque-villegas-2165b0a6" TargetMode="External"/><Relationship Id="rId1775" Type="http://schemas.openxmlformats.org/officeDocument/2006/relationships/hyperlink" Target="http://www.linkedin.com/company/todo-en-comercio-internacional-sas" TargetMode="External"/><Relationship Id="rId86" Type="http://schemas.openxmlformats.org/officeDocument/2006/relationships/hyperlink" Target="http://www.linkedin.com/in/santiago-barrios-9a83a5250" TargetMode="External"/><Relationship Id="rId1776" Type="http://schemas.openxmlformats.org/officeDocument/2006/relationships/hyperlink" Target="https://todoencomerciointernacional.com" TargetMode="External"/><Relationship Id="rId4802" Type="http://schemas.openxmlformats.org/officeDocument/2006/relationships/hyperlink" Target="http://www.linkedin.com/company/urbania-cafe" TargetMode="External"/><Relationship Id="rId85" Type="http://schemas.openxmlformats.org/officeDocument/2006/relationships/hyperlink" Target="https://epicainmobiliaria.com" TargetMode="External"/><Relationship Id="rId1777" Type="http://schemas.openxmlformats.org/officeDocument/2006/relationships/hyperlink" Target="http://www.linkedin.com/in/juan-g%c3%b3mez-ab1a8325" TargetMode="External"/><Relationship Id="rId4801" Type="http://schemas.openxmlformats.org/officeDocument/2006/relationships/hyperlink" Target="http://www.linkedin.com/in/ricardorestrepoe" TargetMode="External"/><Relationship Id="rId88" Type="http://schemas.openxmlformats.org/officeDocument/2006/relationships/hyperlink" Target="https://closetup.com" TargetMode="External"/><Relationship Id="rId1778" Type="http://schemas.openxmlformats.org/officeDocument/2006/relationships/hyperlink" Target="http://www.linkedin.com/company/dataifx" TargetMode="External"/><Relationship Id="rId4804" Type="http://schemas.openxmlformats.org/officeDocument/2006/relationships/hyperlink" Target="http://www.linkedin.com/company/sanolivar" TargetMode="External"/><Relationship Id="rId87" Type="http://schemas.openxmlformats.org/officeDocument/2006/relationships/hyperlink" Target="http://www.linkedin.com/company/closet-up" TargetMode="External"/><Relationship Id="rId1779" Type="http://schemas.openxmlformats.org/officeDocument/2006/relationships/hyperlink" Target="https://dataifx.com" TargetMode="External"/><Relationship Id="rId4803" Type="http://schemas.openxmlformats.org/officeDocument/2006/relationships/hyperlink" Target="http://www.linkedin.com/in/hector-sanabria-diaz-10682648" TargetMode="External"/><Relationship Id="rId4806" Type="http://schemas.openxmlformats.org/officeDocument/2006/relationships/hyperlink" Target="http://www.linkedin.com/company/val-logistics" TargetMode="External"/><Relationship Id="rId89" Type="http://schemas.openxmlformats.org/officeDocument/2006/relationships/hyperlink" Target="http://www.linkedin.com/in/felipe-zuluaga-piedrahita" TargetMode="External"/><Relationship Id="rId4805" Type="http://schemas.openxmlformats.org/officeDocument/2006/relationships/hyperlink" Target="http://www.linkedin.com/in/angie-s%c3%a1nchez-370801191" TargetMode="External"/><Relationship Id="rId4808" Type="http://schemas.openxmlformats.org/officeDocument/2006/relationships/hyperlink" Target="http://www.linkedin.com/in/jessica-mila-9563185b" TargetMode="External"/><Relationship Id="rId4807" Type="http://schemas.openxmlformats.org/officeDocument/2006/relationships/hyperlink" Target="http://gabee.ai" TargetMode="External"/><Relationship Id="rId4809" Type="http://schemas.openxmlformats.org/officeDocument/2006/relationships/hyperlink" Target="http://www.linkedin.com/company/ituscargoinsurance" TargetMode="External"/><Relationship Id="rId80" Type="http://schemas.openxmlformats.org/officeDocument/2006/relationships/hyperlink" Target="http://www.linkedin.com/in/diegoluisherrera" TargetMode="External"/><Relationship Id="rId82" Type="http://schemas.openxmlformats.org/officeDocument/2006/relationships/hyperlink" Target="https://grupobits.co" TargetMode="External"/><Relationship Id="rId81" Type="http://schemas.openxmlformats.org/officeDocument/2006/relationships/hyperlink" Target="http://www.linkedin.com/company/grupobits" TargetMode="External"/><Relationship Id="rId1770" Type="http://schemas.openxmlformats.org/officeDocument/2006/relationships/hyperlink" Target="https://globalteam.com" TargetMode="External"/><Relationship Id="rId1771" Type="http://schemas.openxmlformats.org/officeDocument/2006/relationships/hyperlink" Target="http://www.linkedin.com/in/calvinssmith" TargetMode="External"/><Relationship Id="rId1772" Type="http://schemas.openxmlformats.org/officeDocument/2006/relationships/hyperlink" Target="http://www.linkedin.com/company/awanagrow" TargetMode="External"/><Relationship Id="rId1773" Type="http://schemas.openxmlformats.org/officeDocument/2006/relationships/hyperlink" Target="https://awana.io" TargetMode="External"/><Relationship Id="rId73" Type="http://schemas.openxmlformats.org/officeDocument/2006/relationships/hyperlink" Target="https://efectostudios.com" TargetMode="External"/><Relationship Id="rId1763" Type="http://schemas.openxmlformats.org/officeDocument/2006/relationships/hyperlink" Target="http://www.linkedin.com/company/velocitygo" TargetMode="External"/><Relationship Id="rId72" Type="http://schemas.openxmlformats.org/officeDocument/2006/relationships/hyperlink" Target="http://www.linkedin.com/company/efecto-studios" TargetMode="External"/><Relationship Id="rId1764" Type="http://schemas.openxmlformats.org/officeDocument/2006/relationships/hyperlink" Target="https://velocitygo.co" TargetMode="External"/><Relationship Id="rId75" Type="http://schemas.openxmlformats.org/officeDocument/2006/relationships/hyperlink" Target="http://www.linkedin.com/company/minka-films" TargetMode="External"/><Relationship Id="rId1765" Type="http://schemas.openxmlformats.org/officeDocument/2006/relationships/hyperlink" Target="http://www.linkedin.com/in/sofia-chaves-c" TargetMode="External"/><Relationship Id="rId74" Type="http://schemas.openxmlformats.org/officeDocument/2006/relationships/hyperlink" Target="http://www.linkedin.com/in/claudiacanoncarrillo" TargetMode="External"/><Relationship Id="rId1766" Type="http://schemas.openxmlformats.org/officeDocument/2006/relationships/hyperlink" Target="http://www.linkedin.com/company/nerit-e" TargetMode="External"/><Relationship Id="rId77" Type="http://schemas.openxmlformats.org/officeDocument/2006/relationships/hyperlink" Target="http://www.linkedin.com/in/juanfdo77" TargetMode="External"/><Relationship Id="rId1767" Type="http://schemas.openxmlformats.org/officeDocument/2006/relationships/hyperlink" Target="https://nerite.tech" TargetMode="External"/><Relationship Id="rId76" Type="http://schemas.openxmlformats.org/officeDocument/2006/relationships/hyperlink" Target="https://minkafilms.co" TargetMode="External"/><Relationship Id="rId1768" Type="http://schemas.openxmlformats.org/officeDocument/2006/relationships/hyperlink" Target="http://www.linkedin.com/in/ignaciorojasentrepreneur" TargetMode="External"/><Relationship Id="rId79" Type="http://schemas.openxmlformats.org/officeDocument/2006/relationships/hyperlink" Target="https://lasamericashotels.com" TargetMode="External"/><Relationship Id="rId1769" Type="http://schemas.openxmlformats.org/officeDocument/2006/relationships/hyperlink" Target="http://www.linkedin.com/company/yourglobalteam" TargetMode="External"/><Relationship Id="rId78" Type="http://schemas.openxmlformats.org/officeDocument/2006/relationships/hyperlink" Target="http://www.linkedin.com/company/lasamericashotels" TargetMode="External"/><Relationship Id="rId71" Type="http://schemas.openxmlformats.org/officeDocument/2006/relationships/hyperlink" Target="http://www.linkedin.com/in/eivarrocas" TargetMode="External"/><Relationship Id="rId70" Type="http://schemas.openxmlformats.org/officeDocument/2006/relationships/hyperlink" Target="https://fibek.co" TargetMode="External"/><Relationship Id="rId1760" Type="http://schemas.openxmlformats.org/officeDocument/2006/relationships/hyperlink" Target="http://www.linkedin.com/company/swiset" TargetMode="External"/><Relationship Id="rId1761" Type="http://schemas.openxmlformats.org/officeDocument/2006/relationships/hyperlink" Target="https://swiset.com" TargetMode="External"/><Relationship Id="rId1762" Type="http://schemas.openxmlformats.org/officeDocument/2006/relationships/hyperlink" Target="http://www.linkedin.com/in/rafael-narvaez-logreira-20aa95199" TargetMode="External"/><Relationship Id="rId62" Type="http://schemas.openxmlformats.org/officeDocument/2006/relationships/hyperlink" Target="http://www.linkedin.com/in/santiagovilladiegomogollon" TargetMode="External"/><Relationship Id="rId1796" Type="http://schemas.openxmlformats.org/officeDocument/2006/relationships/hyperlink" Target="http://www.linkedin.com/company/nesad-360" TargetMode="External"/><Relationship Id="rId4822" Type="http://schemas.openxmlformats.org/officeDocument/2006/relationships/hyperlink" Target="http://bloomsybox.com" TargetMode="External"/><Relationship Id="rId61" Type="http://schemas.openxmlformats.org/officeDocument/2006/relationships/hyperlink" Target="https://kipertienda.com" TargetMode="External"/><Relationship Id="rId1797" Type="http://schemas.openxmlformats.org/officeDocument/2006/relationships/hyperlink" Target="https://nesad360.com" TargetMode="External"/><Relationship Id="rId4821" Type="http://schemas.openxmlformats.org/officeDocument/2006/relationships/hyperlink" Target="http://www.linkedin.com/company/the-automation-lab" TargetMode="External"/><Relationship Id="rId64" Type="http://schemas.openxmlformats.org/officeDocument/2006/relationships/hyperlink" Target="https://keepup.news" TargetMode="External"/><Relationship Id="rId1798" Type="http://schemas.openxmlformats.org/officeDocument/2006/relationships/hyperlink" Target="http://www.linkedin.com/in/marcelo-jodar" TargetMode="External"/><Relationship Id="rId4824" Type="http://schemas.openxmlformats.org/officeDocument/2006/relationships/hyperlink" Target="http://www.linkedin.com/company/datadoc" TargetMode="External"/><Relationship Id="rId63" Type="http://schemas.openxmlformats.org/officeDocument/2006/relationships/hyperlink" Target="http://www.linkedin.com/company/keepupagencia" TargetMode="External"/><Relationship Id="rId1799" Type="http://schemas.openxmlformats.org/officeDocument/2006/relationships/hyperlink" Target="http://www.linkedin.com/company/festo-colombia" TargetMode="External"/><Relationship Id="rId4823" Type="http://schemas.openxmlformats.org/officeDocument/2006/relationships/hyperlink" Target="http://www.linkedin.com/in/oscar-fernando-alvarez-b1847212" TargetMode="External"/><Relationship Id="rId66" Type="http://schemas.openxmlformats.org/officeDocument/2006/relationships/hyperlink" Target="http://www.linkedin.com/company/seeri" TargetMode="External"/><Relationship Id="rId4826" Type="http://schemas.openxmlformats.org/officeDocument/2006/relationships/hyperlink" Target="http://www.linkedin.com/company/bloomsybox" TargetMode="External"/><Relationship Id="rId65" Type="http://schemas.openxmlformats.org/officeDocument/2006/relationships/hyperlink" Target="http://www.linkedin.com/in/feliperacines" TargetMode="External"/><Relationship Id="rId4825" Type="http://schemas.openxmlformats.org/officeDocument/2006/relationships/hyperlink" Target="http://www.linkedin.com/in/carolina-pedraza-botero-45a18631" TargetMode="External"/><Relationship Id="rId68" Type="http://schemas.openxmlformats.org/officeDocument/2006/relationships/hyperlink" Target="http://www.linkedin.com/in/felipesalcedob" TargetMode="External"/><Relationship Id="rId4828" Type="http://schemas.openxmlformats.org/officeDocument/2006/relationships/hyperlink" Target="http://www.linkedin.com/company/practikal-io" TargetMode="External"/><Relationship Id="rId67" Type="http://schemas.openxmlformats.org/officeDocument/2006/relationships/hyperlink" Target="https://seeri.co" TargetMode="External"/><Relationship Id="rId4827" Type="http://schemas.openxmlformats.org/officeDocument/2006/relationships/hyperlink" Target="http://www.linkedin.com/in/thomasmcallister1" TargetMode="External"/><Relationship Id="rId4829" Type="http://schemas.openxmlformats.org/officeDocument/2006/relationships/hyperlink" Target="http://www.linkedin.com/in/mateobadilloal" TargetMode="External"/><Relationship Id="rId60" Type="http://schemas.openxmlformats.org/officeDocument/2006/relationships/hyperlink" Target="http://www.linkedin.com/company/kiper-ai" TargetMode="External"/><Relationship Id="rId69" Type="http://schemas.openxmlformats.org/officeDocument/2006/relationships/hyperlink" Target="http://www.linkedin.com/company/fibekco" TargetMode="External"/><Relationship Id="rId1790" Type="http://schemas.openxmlformats.org/officeDocument/2006/relationships/hyperlink" Target="http://www.linkedin.com/company/humantohumanhub" TargetMode="External"/><Relationship Id="rId1791" Type="http://schemas.openxmlformats.org/officeDocument/2006/relationships/hyperlink" Target="https://humantohumanhub.com" TargetMode="External"/><Relationship Id="rId1792" Type="http://schemas.openxmlformats.org/officeDocument/2006/relationships/hyperlink" Target="http://www.linkedin.com/in/jnavia" TargetMode="External"/><Relationship Id="rId1793" Type="http://schemas.openxmlformats.org/officeDocument/2006/relationships/hyperlink" Target="http://www.linkedin.com/company/sytla" TargetMode="External"/><Relationship Id="rId1794" Type="http://schemas.openxmlformats.org/officeDocument/2006/relationships/hyperlink" Target="https://sytla.com" TargetMode="External"/><Relationship Id="rId4820" Type="http://schemas.openxmlformats.org/officeDocument/2006/relationships/hyperlink" Target="http://www.linkedin.com/in/nicolasvega" TargetMode="External"/><Relationship Id="rId1795" Type="http://schemas.openxmlformats.org/officeDocument/2006/relationships/hyperlink" Target="http://www.linkedin.com/in/pf-diegodiazgomez" TargetMode="External"/><Relationship Id="rId51" Type="http://schemas.openxmlformats.org/officeDocument/2006/relationships/hyperlink" Target="https://dantailabs.com" TargetMode="External"/><Relationship Id="rId1785" Type="http://schemas.openxmlformats.org/officeDocument/2006/relationships/hyperlink" Target="https://confa.ai" TargetMode="External"/><Relationship Id="rId4811" Type="http://schemas.openxmlformats.org/officeDocument/2006/relationships/hyperlink" Target="http://www.linkedin.com/company/gabee-ai" TargetMode="External"/><Relationship Id="rId50" Type="http://schemas.openxmlformats.org/officeDocument/2006/relationships/hyperlink" Target="http://www.linkedin.com/company/dantai-labs" TargetMode="External"/><Relationship Id="rId1786" Type="http://schemas.openxmlformats.org/officeDocument/2006/relationships/hyperlink" Target="http://www.linkedin.com/in/carlos-villa-guerra" TargetMode="External"/><Relationship Id="rId4810" Type="http://schemas.openxmlformats.org/officeDocument/2006/relationships/hyperlink" Target="http://www.linkedin.com/in/m-beltranm" TargetMode="External"/><Relationship Id="rId53" Type="http://schemas.openxmlformats.org/officeDocument/2006/relationships/hyperlink" Target="http://www.linkedin.com/company/falconapp" TargetMode="External"/><Relationship Id="rId1787" Type="http://schemas.openxmlformats.org/officeDocument/2006/relationships/hyperlink" Target="http://www.linkedin.com/company/portavozmarketing" TargetMode="External"/><Relationship Id="rId4813" Type="http://schemas.openxmlformats.org/officeDocument/2006/relationships/hyperlink" Target="http://www.linkedin.com/company/devssas" TargetMode="External"/><Relationship Id="rId52" Type="http://schemas.openxmlformats.org/officeDocument/2006/relationships/hyperlink" Target="http://www.linkedin.com/in/aboutsantiago" TargetMode="External"/><Relationship Id="rId1788" Type="http://schemas.openxmlformats.org/officeDocument/2006/relationships/hyperlink" Target="https://portavozmarketing.com" TargetMode="External"/><Relationship Id="rId4812" Type="http://schemas.openxmlformats.org/officeDocument/2006/relationships/hyperlink" Target="http://www.linkedin.com/in/sebastian-ordo%c3%b1ez-rubiano-8292b8117" TargetMode="External"/><Relationship Id="rId55" Type="http://schemas.openxmlformats.org/officeDocument/2006/relationships/hyperlink" Target="http://kiper.ai" TargetMode="External"/><Relationship Id="rId1789" Type="http://schemas.openxmlformats.org/officeDocument/2006/relationships/hyperlink" Target="http://www.linkedin.com/in/guillermo-gonzalez-pimiento" TargetMode="External"/><Relationship Id="rId4815" Type="http://schemas.openxmlformats.org/officeDocument/2006/relationships/hyperlink" Target="http://www.linkedin.com/company/bimated" TargetMode="External"/><Relationship Id="rId54" Type="http://schemas.openxmlformats.org/officeDocument/2006/relationships/hyperlink" Target="https://falconapp.ai" TargetMode="External"/><Relationship Id="rId4814" Type="http://schemas.openxmlformats.org/officeDocument/2006/relationships/hyperlink" Target="http://www.linkedin.com/in/luis-eduardo-clavijo-5aa5129b" TargetMode="External"/><Relationship Id="rId57" Type="http://schemas.openxmlformats.org/officeDocument/2006/relationships/hyperlink" Target="http://www.linkedin.com/company/poderosascolombia" TargetMode="External"/><Relationship Id="rId4817" Type="http://schemas.openxmlformats.org/officeDocument/2006/relationships/hyperlink" Target="http://www.linkedin.com/company/maslightsolar" TargetMode="External"/><Relationship Id="rId56" Type="http://schemas.openxmlformats.org/officeDocument/2006/relationships/hyperlink" Target="http://www.linkedin.com/in/mariana-sanz-de-santamar%c3%ada-franco-72849b19a" TargetMode="External"/><Relationship Id="rId4816" Type="http://schemas.openxmlformats.org/officeDocument/2006/relationships/hyperlink" Target="http://www.linkedin.com/in/martin-hurtado-aguilar-1849bb75" TargetMode="External"/><Relationship Id="rId4819" Type="http://schemas.openxmlformats.org/officeDocument/2006/relationships/hyperlink" Target="http://www.linkedin.com/company/imporpack" TargetMode="External"/><Relationship Id="rId4818" Type="http://schemas.openxmlformats.org/officeDocument/2006/relationships/hyperlink" Target="http://www.linkedin.com/in/dayana-catherine-donoso-ramirez-85022954" TargetMode="External"/><Relationship Id="rId59" Type="http://schemas.openxmlformats.org/officeDocument/2006/relationships/hyperlink" Target="http://www.linkedin.com/in/lauranavarro91" TargetMode="External"/><Relationship Id="rId58" Type="http://schemas.openxmlformats.org/officeDocument/2006/relationships/hyperlink" Target="https://poderosascolombia.org" TargetMode="External"/><Relationship Id="rId1780" Type="http://schemas.openxmlformats.org/officeDocument/2006/relationships/hyperlink" Target="http://www.linkedin.com/in/anthony-sacrist%c3%a1n-giraldo-a0440170" TargetMode="External"/><Relationship Id="rId1781" Type="http://schemas.openxmlformats.org/officeDocument/2006/relationships/hyperlink" Target="http://www.linkedin.com/company/navis-logistics-solutions-sas" TargetMode="External"/><Relationship Id="rId1782" Type="http://schemas.openxmlformats.org/officeDocument/2006/relationships/hyperlink" Target="https://navislogistics.com.co" TargetMode="External"/><Relationship Id="rId1783" Type="http://schemas.openxmlformats.org/officeDocument/2006/relationships/hyperlink" Target="http://www.linkedin.com/in/juan-eduardo-zuluaga-962b9127" TargetMode="External"/><Relationship Id="rId1784" Type="http://schemas.openxmlformats.org/officeDocument/2006/relationships/hyperlink" Target="http://www.linkedin.com/company/confaai" TargetMode="External"/><Relationship Id="rId2269" Type="http://schemas.openxmlformats.org/officeDocument/2006/relationships/hyperlink" Target="http://www.linkedin.com/in/jaime-andres-ferrer-53996539" TargetMode="External"/><Relationship Id="rId349" Type="http://schemas.openxmlformats.org/officeDocument/2006/relationships/hyperlink" Target="https://munily.com" TargetMode="External"/><Relationship Id="rId348" Type="http://schemas.openxmlformats.org/officeDocument/2006/relationships/hyperlink" Target="http://www.linkedin.com/company/munilyapp" TargetMode="External"/><Relationship Id="rId347" Type="http://schemas.openxmlformats.org/officeDocument/2006/relationships/hyperlink" Target="http://www.linkedin.com/in/juliobossavelez" TargetMode="External"/><Relationship Id="rId346" Type="http://schemas.openxmlformats.org/officeDocument/2006/relationships/hyperlink" Target="https://30x.org" TargetMode="External"/><Relationship Id="rId3591" Type="http://schemas.openxmlformats.org/officeDocument/2006/relationships/hyperlink" Target="https://sainapsis.com" TargetMode="External"/><Relationship Id="rId2260" Type="http://schemas.openxmlformats.org/officeDocument/2006/relationships/hyperlink" Target="http://www.linkedin.com/in/ricardoolarte" TargetMode="External"/><Relationship Id="rId3590" Type="http://schemas.openxmlformats.org/officeDocument/2006/relationships/hyperlink" Target="http://www.linkedin.com/company/sainapsis-inc" TargetMode="External"/><Relationship Id="rId341" Type="http://schemas.openxmlformats.org/officeDocument/2006/relationships/hyperlink" Target="http://www.linkedin.com/in/ginajuliana13" TargetMode="External"/><Relationship Id="rId2261" Type="http://schemas.openxmlformats.org/officeDocument/2006/relationships/hyperlink" Target="http://www.linkedin.com/company/cxoforum-net" TargetMode="External"/><Relationship Id="rId3593" Type="http://schemas.openxmlformats.org/officeDocument/2006/relationships/hyperlink" Target="http://www.linkedin.com/company/csci-colombia-solar" TargetMode="External"/><Relationship Id="rId340" Type="http://schemas.openxmlformats.org/officeDocument/2006/relationships/hyperlink" Target="https://ifs.com.co" TargetMode="External"/><Relationship Id="rId2262" Type="http://schemas.openxmlformats.org/officeDocument/2006/relationships/hyperlink" Target="https://cxoforum.net" TargetMode="External"/><Relationship Id="rId3592" Type="http://schemas.openxmlformats.org/officeDocument/2006/relationships/hyperlink" Target="http://www.linkedin.com/in/valerie-carbonell-rueda" TargetMode="External"/><Relationship Id="rId2263" Type="http://schemas.openxmlformats.org/officeDocument/2006/relationships/hyperlink" Target="http://www.linkedin.com/in/martin-vasquez-escobar" TargetMode="External"/><Relationship Id="rId3595" Type="http://schemas.openxmlformats.org/officeDocument/2006/relationships/hyperlink" Target="http://www.linkedin.com/in/pablo-morales-mosquera-3439a2167" TargetMode="External"/><Relationship Id="rId2264" Type="http://schemas.openxmlformats.org/officeDocument/2006/relationships/hyperlink" Target="http://www.linkedin.com/company/azteclab" TargetMode="External"/><Relationship Id="rId3594" Type="http://schemas.openxmlformats.org/officeDocument/2006/relationships/hyperlink" Target="https://colombiasolar.co" TargetMode="External"/><Relationship Id="rId345" Type="http://schemas.openxmlformats.org/officeDocument/2006/relationships/hyperlink" Target="http://www.linkedin.com/company/crece30x" TargetMode="External"/><Relationship Id="rId2265" Type="http://schemas.openxmlformats.org/officeDocument/2006/relationships/hyperlink" Target="https://azteclab.co" TargetMode="External"/><Relationship Id="rId3597" Type="http://schemas.openxmlformats.org/officeDocument/2006/relationships/hyperlink" Target="https://colsanitas.com" TargetMode="External"/><Relationship Id="rId344" Type="http://schemas.openxmlformats.org/officeDocument/2006/relationships/hyperlink" Target="http://www.linkedin.com/in/roberto-amaya-0a036b236" TargetMode="External"/><Relationship Id="rId2266" Type="http://schemas.openxmlformats.org/officeDocument/2006/relationships/hyperlink" Target="http://www.linkedin.com/in/valentinaguti%c3%a9rrezsokoloff" TargetMode="External"/><Relationship Id="rId3596" Type="http://schemas.openxmlformats.org/officeDocument/2006/relationships/hyperlink" Target="http://www.linkedin.com/company/mym-asism%c3%a9dica-ltda" TargetMode="External"/><Relationship Id="rId343" Type="http://schemas.openxmlformats.org/officeDocument/2006/relationships/hyperlink" Target="https://maat.com.co" TargetMode="External"/><Relationship Id="rId2267" Type="http://schemas.openxmlformats.org/officeDocument/2006/relationships/hyperlink" Target="http://www.linkedin.com/company/marathon-talent-agency" TargetMode="External"/><Relationship Id="rId3599" Type="http://schemas.openxmlformats.org/officeDocument/2006/relationships/hyperlink" Target="http://www.linkedin.com/company/cedinsi" TargetMode="External"/><Relationship Id="rId342" Type="http://schemas.openxmlformats.org/officeDocument/2006/relationships/hyperlink" Target="http://www.linkedin.com/company/maat-soluciones-ambientales" TargetMode="External"/><Relationship Id="rId2268" Type="http://schemas.openxmlformats.org/officeDocument/2006/relationships/hyperlink" Target="https://marathontalent.com" TargetMode="External"/><Relationship Id="rId3598" Type="http://schemas.openxmlformats.org/officeDocument/2006/relationships/hyperlink" Target="http://www.linkedin.com/in/julio-mora-0746065b" TargetMode="External"/><Relationship Id="rId2258" Type="http://schemas.openxmlformats.org/officeDocument/2006/relationships/hyperlink" Target="http://www.linkedin.com/company/impactar" TargetMode="External"/><Relationship Id="rId2259" Type="http://schemas.openxmlformats.org/officeDocument/2006/relationships/hyperlink" Target="https://impactar.com.co" TargetMode="External"/><Relationship Id="rId3589" Type="http://schemas.openxmlformats.org/officeDocument/2006/relationships/hyperlink" Target="http://www.linkedin.com/in/rainer-viertel" TargetMode="External"/><Relationship Id="rId338" Type="http://schemas.openxmlformats.org/officeDocument/2006/relationships/hyperlink" Target="http://www.linkedin.com/in/gugatorres" TargetMode="External"/><Relationship Id="rId337" Type="http://schemas.openxmlformats.org/officeDocument/2006/relationships/hyperlink" Target="https://springshot.com" TargetMode="External"/><Relationship Id="rId336" Type="http://schemas.openxmlformats.org/officeDocument/2006/relationships/hyperlink" Target="http://www.linkedin.com/company/springshot-inc-" TargetMode="External"/><Relationship Id="rId335" Type="http://schemas.openxmlformats.org/officeDocument/2006/relationships/hyperlink" Target="http://www.linkedin.com/in/katherine-villamil1988" TargetMode="External"/><Relationship Id="rId3580" Type="http://schemas.openxmlformats.org/officeDocument/2006/relationships/hyperlink" Target="http://www.linkedin.com/in/juan-sebastian-ceballos-99959ba1" TargetMode="External"/><Relationship Id="rId339" Type="http://schemas.openxmlformats.org/officeDocument/2006/relationships/hyperlink" Target="http://www.linkedin.com/company/innova-family-solutions" TargetMode="External"/><Relationship Id="rId330" Type="http://schemas.openxmlformats.org/officeDocument/2006/relationships/hyperlink" Target="http://www.linkedin.com/company/tit%c3%a1n-cemento" TargetMode="External"/><Relationship Id="rId2250" Type="http://schemas.openxmlformats.org/officeDocument/2006/relationships/hyperlink" Target="https://capitalizandodatos.com.co" TargetMode="External"/><Relationship Id="rId3582" Type="http://schemas.openxmlformats.org/officeDocument/2006/relationships/hyperlink" Target="https://lyntik.co" TargetMode="External"/><Relationship Id="rId2251" Type="http://schemas.openxmlformats.org/officeDocument/2006/relationships/hyperlink" Target="http://www.linkedin.com/in/bram-ebus-6aa204102" TargetMode="External"/><Relationship Id="rId3581" Type="http://schemas.openxmlformats.org/officeDocument/2006/relationships/hyperlink" Target="http://www.linkedin.com/company/finanzas-funcionales" TargetMode="External"/><Relationship Id="rId2252" Type="http://schemas.openxmlformats.org/officeDocument/2006/relationships/hyperlink" Target="http://www.linkedin.com/company/amazon-underworld" TargetMode="External"/><Relationship Id="rId3584" Type="http://schemas.openxmlformats.org/officeDocument/2006/relationships/hyperlink" Target="http://www.linkedin.com/company/smartquick" TargetMode="External"/><Relationship Id="rId2253" Type="http://schemas.openxmlformats.org/officeDocument/2006/relationships/hyperlink" Target="https://amazonunderworld.org" TargetMode="External"/><Relationship Id="rId3583" Type="http://schemas.openxmlformats.org/officeDocument/2006/relationships/hyperlink" Target="http://www.linkedin.com/in/ederson-yesid-charry-ramirez-67b49138" TargetMode="External"/><Relationship Id="rId334" Type="http://schemas.openxmlformats.org/officeDocument/2006/relationships/hyperlink" Target="https://ecologicingenieria.com" TargetMode="External"/><Relationship Id="rId2254" Type="http://schemas.openxmlformats.org/officeDocument/2006/relationships/hyperlink" Target="http://www.linkedin.com/in/andresboterofranco" TargetMode="External"/><Relationship Id="rId3586" Type="http://schemas.openxmlformats.org/officeDocument/2006/relationships/hyperlink" Target="http://www.linkedin.com/in/holamikez" TargetMode="External"/><Relationship Id="rId333" Type="http://schemas.openxmlformats.org/officeDocument/2006/relationships/hyperlink" Target="http://www.linkedin.com/company/ecologic-ingenieria-sas" TargetMode="External"/><Relationship Id="rId2255" Type="http://schemas.openxmlformats.org/officeDocument/2006/relationships/hyperlink" Target="http://www.linkedin.com/company/hismartmedical" TargetMode="External"/><Relationship Id="rId3585" Type="http://schemas.openxmlformats.org/officeDocument/2006/relationships/hyperlink" Target="https://smartquick.com.co" TargetMode="External"/><Relationship Id="rId332" Type="http://schemas.openxmlformats.org/officeDocument/2006/relationships/hyperlink" Target="http://www.linkedin.com/in/camilo-salamanca-florez-bb512138" TargetMode="External"/><Relationship Id="rId2256" Type="http://schemas.openxmlformats.org/officeDocument/2006/relationships/hyperlink" Target="https://hismart.com.co" TargetMode="External"/><Relationship Id="rId3588" Type="http://schemas.openxmlformats.org/officeDocument/2006/relationships/hyperlink" Target="https://law-thinker.com" TargetMode="External"/><Relationship Id="rId331" Type="http://schemas.openxmlformats.org/officeDocument/2006/relationships/hyperlink" Target="https://titancemento.com" TargetMode="External"/><Relationship Id="rId2257" Type="http://schemas.openxmlformats.org/officeDocument/2006/relationships/hyperlink" Target="http://www.linkedin.com/in/yonaira-ram%c3%adrez-964a471a7" TargetMode="External"/><Relationship Id="rId3587" Type="http://schemas.openxmlformats.org/officeDocument/2006/relationships/hyperlink" Target="http://www.linkedin.com/company/law-thinker" TargetMode="External"/><Relationship Id="rId5318" Type="http://schemas.openxmlformats.org/officeDocument/2006/relationships/hyperlink" Target="http://www.linkedin.com/company/innovatione-agrofood-design" TargetMode="External"/><Relationship Id="rId5319" Type="http://schemas.openxmlformats.org/officeDocument/2006/relationships/hyperlink" Target="http://www.linkedin.com/in/josejcastro" TargetMode="External"/><Relationship Id="rId5316" Type="http://schemas.openxmlformats.org/officeDocument/2006/relationships/hyperlink" Target="http://www.linkedin.com/company/carbonlessless" TargetMode="External"/><Relationship Id="rId5317" Type="http://schemas.openxmlformats.org/officeDocument/2006/relationships/hyperlink" Target="http://www.linkedin.com/in/juancamilobohorquez" TargetMode="External"/><Relationship Id="rId370" Type="http://schemas.openxmlformats.org/officeDocument/2006/relationships/hyperlink" Target="https://ingresarios.com" TargetMode="External"/><Relationship Id="rId369" Type="http://schemas.openxmlformats.org/officeDocument/2006/relationships/hyperlink" Target="http://www.linkedin.com/company/reditum" TargetMode="External"/><Relationship Id="rId368" Type="http://schemas.openxmlformats.org/officeDocument/2006/relationships/hyperlink" Target="http://www.linkedin.com/in/juan-villegas-b7a77033" TargetMode="External"/><Relationship Id="rId2280" Type="http://schemas.openxmlformats.org/officeDocument/2006/relationships/hyperlink" Target="https://paisderaiz.com" TargetMode="External"/><Relationship Id="rId2281" Type="http://schemas.openxmlformats.org/officeDocument/2006/relationships/hyperlink" Target="http://www.linkedin.com/in/felipe-giraldo-cardoso-4278b641" TargetMode="External"/><Relationship Id="rId2282" Type="http://schemas.openxmlformats.org/officeDocument/2006/relationships/hyperlink" Target="http://www.linkedin.com/company/grupo-ri" TargetMode="External"/><Relationship Id="rId363" Type="http://schemas.openxmlformats.org/officeDocument/2006/relationships/hyperlink" Target="http://www.linkedin.com/company/zpaziodesignb" TargetMode="External"/><Relationship Id="rId2283" Type="http://schemas.openxmlformats.org/officeDocument/2006/relationships/hyperlink" Target="https://grupori.com" TargetMode="External"/><Relationship Id="rId5310" Type="http://schemas.openxmlformats.org/officeDocument/2006/relationships/hyperlink" Target="http://www.linkedin.com/company/fundaci%c3%b3n-el-arte-de-dar-oficial" TargetMode="External"/><Relationship Id="rId362" Type="http://schemas.openxmlformats.org/officeDocument/2006/relationships/hyperlink" Target="http://www.linkedin.com/in/gianmoralesm" TargetMode="External"/><Relationship Id="rId2284" Type="http://schemas.openxmlformats.org/officeDocument/2006/relationships/hyperlink" Target="http://www.linkedin.com/in/diegovarelaambana" TargetMode="External"/><Relationship Id="rId5311" Type="http://schemas.openxmlformats.org/officeDocument/2006/relationships/hyperlink" Target="http://www.linkedin.com/in/jabib-char-2a4a868a" TargetMode="External"/><Relationship Id="rId361" Type="http://schemas.openxmlformats.org/officeDocument/2006/relationships/hyperlink" Target="https://peakr.app" TargetMode="External"/><Relationship Id="rId2285" Type="http://schemas.openxmlformats.org/officeDocument/2006/relationships/hyperlink" Target="http://www.linkedin.com/company/ambana" TargetMode="External"/><Relationship Id="rId360" Type="http://schemas.openxmlformats.org/officeDocument/2006/relationships/hyperlink" Target="http://www.linkedin.com/company/peakr" TargetMode="External"/><Relationship Id="rId2286" Type="http://schemas.openxmlformats.org/officeDocument/2006/relationships/hyperlink" Target="https://ambana.com" TargetMode="External"/><Relationship Id="rId367" Type="http://schemas.openxmlformats.org/officeDocument/2006/relationships/hyperlink" Target="https://caceresyasociados.net.co" TargetMode="External"/><Relationship Id="rId2287" Type="http://schemas.openxmlformats.org/officeDocument/2006/relationships/hyperlink" Target="http://www.linkedin.com/in/juancarlosalvarez85" TargetMode="External"/><Relationship Id="rId5314" Type="http://schemas.openxmlformats.org/officeDocument/2006/relationships/hyperlink" Target="http://www.linkedin.com/company/agencialiid" TargetMode="External"/><Relationship Id="rId366" Type="http://schemas.openxmlformats.org/officeDocument/2006/relationships/hyperlink" Target="http://www.linkedin.com/company/c%c3%a1ceresyasociadossas" TargetMode="External"/><Relationship Id="rId2288" Type="http://schemas.openxmlformats.org/officeDocument/2006/relationships/hyperlink" Target="http://www.linkedin.com/company/grupolumacloud" TargetMode="External"/><Relationship Id="rId5315" Type="http://schemas.openxmlformats.org/officeDocument/2006/relationships/hyperlink" Target="http://www.linkedin.com/in/diego-riveros-velandia-b68b0653" TargetMode="External"/><Relationship Id="rId365" Type="http://schemas.openxmlformats.org/officeDocument/2006/relationships/hyperlink" Target="http://www.linkedin.com/in/carlos-eduardo-c%c3%a1ceres-gonz%c3%a1lez-0b7471225" TargetMode="External"/><Relationship Id="rId2289" Type="http://schemas.openxmlformats.org/officeDocument/2006/relationships/hyperlink" Target="https://lumacloud.co" TargetMode="External"/><Relationship Id="rId5312" Type="http://schemas.openxmlformats.org/officeDocument/2006/relationships/hyperlink" Target="http://www.linkedin.com/company/subrik" TargetMode="External"/><Relationship Id="rId364" Type="http://schemas.openxmlformats.org/officeDocument/2006/relationships/hyperlink" Target="https://zpazio.co" TargetMode="External"/><Relationship Id="rId5313" Type="http://schemas.openxmlformats.org/officeDocument/2006/relationships/hyperlink" Target="http://www.linkedin.com/in/juandavidsanchezp" TargetMode="External"/><Relationship Id="rId95" Type="http://schemas.openxmlformats.org/officeDocument/2006/relationships/hyperlink" Target="http://www.linkedin.com/in/albertoospina" TargetMode="External"/><Relationship Id="rId5307" Type="http://schemas.openxmlformats.org/officeDocument/2006/relationships/hyperlink" Target="http://www.linkedin.com/in/paula-v-camacho-9034884a" TargetMode="External"/><Relationship Id="rId94" Type="http://schemas.openxmlformats.org/officeDocument/2006/relationships/hyperlink" Target="https://josenanez.com" TargetMode="External"/><Relationship Id="rId5308" Type="http://schemas.openxmlformats.org/officeDocument/2006/relationships/hyperlink" Target="http://www.linkedin.com/company/aventor-global" TargetMode="External"/><Relationship Id="rId97" Type="http://schemas.openxmlformats.org/officeDocument/2006/relationships/hyperlink" Target="https://70v7.com" TargetMode="External"/><Relationship Id="rId5305" Type="http://schemas.openxmlformats.org/officeDocument/2006/relationships/hyperlink" Target="http://www.linkedin.com/in/carolina-garc%c3%ada-bernal-04aaa72a" TargetMode="External"/><Relationship Id="rId96" Type="http://schemas.openxmlformats.org/officeDocument/2006/relationships/hyperlink" Target="http://www.linkedin.com/company/setenta-veces-siete" TargetMode="External"/><Relationship Id="rId5306" Type="http://schemas.openxmlformats.org/officeDocument/2006/relationships/hyperlink" Target="http://www.linkedin.com/company/fundaci%c3%b3n-alma-perruna" TargetMode="External"/><Relationship Id="rId99" Type="http://schemas.openxmlformats.org/officeDocument/2006/relationships/hyperlink" Target="http://www.linkedin.com/company/cuanticore" TargetMode="External"/><Relationship Id="rId98" Type="http://schemas.openxmlformats.org/officeDocument/2006/relationships/hyperlink" Target="http://www.linkedin.com/in/daniel-medina-b1126727" TargetMode="External"/><Relationship Id="rId5309" Type="http://schemas.openxmlformats.org/officeDocument/2006/relationships/hyperlink" Target="http://www.linkedin.com/in/paola-villalba-45b28817" TargetMode="External"/><Relationship Id="rId91" Type="http://schemas.openxmlformats.org/officeDocument/2006/relationships/hyperlink" Target="https://mispropiasfinanzas.com" TargetMode="External"/><Relationship Id="rId90" Type="http://schemas.openxmlformats.org/officeDocument/2006/relationships/hyperlink" Target="http://www.linkedin.com/company/mis-propias-finanzas" TargetMode="External"/><Relationship Id="rId93" Type="http://schemas.openxmlformats.org/officeDocument/2006/relationships/hyperlink" Target="http://www.linkedin.com/company/josenanez" TargetMode="External"/><Relationship Id="rId92" Type="http://schemas.openxmlformats.org/officeDocument/2006/relationships/hyperlink" Target="http://www.linkedin.com/in/jfnanezg" TargetMode="External"/><Relationship Id="rId359" Type="http://schemas.openxmlformats.org/officeDocument/2006/relationships/hyperlink" Target="http://www.linkedin.com/in/pablo-carbonell-73a00149" TargetMode="External"/><Relationship Id="rId358" Type="http://schemas.openxmlformats.org/officeDocument/2006/relationships/hyperlink" Target="https://grupoirt.com" TargetMode="External"/><Relationship Id="rId357" Type="http://schemas.openxmlformats.org/officeDocument/2006/relationships/hyperlink" Target="http://www.linkedin.com/company/grupo-irt-co" TargetMode="External"/><Relationship Id="rId2270" Type="http://schemas.openxmlformats.org/officeDocument/2006/relationships/hyperlink" Target="http://www.linkedin.com/company/sourcing-experts" TargetMode="External"/><Relationship Id="rId2271" Type="http://schemas.openxmlformats.org/officeDocument/2006/relationships/hyperlink" Target="https://sourcing-experts.co" TargetMode="External"/><Relationship Id="rId352" Type="http://schemas.openxmlformats.org/officeDocument/2006/relationships/hyperlink" Target="https://unitedroofing.ai" TargetMode="External"/><Relationship Id="rId2272" Type="http://schemas.openxmlformats.org/officeDocument/2006/relationships/hyperlink" Target="http://www.linkedin.com/in/arturo-mejia-avila-talento-rrhh" TargetMode="External"/><Relationship Id="rId351" Type="http://schemas.openxmlformats.org/officeDocument/2006/relationships/hyperlink" Target="http://www.linkedin.com/company/unitedcroofing" TargetMode="External"/><Relationship Id="rId2273" Type="http://schemas.openxmlformats.org/officeDocument/2006/relationships/hyperlink" Target="http://www.linkedin.com/company/prestigio-la" TargetMode="External"/><Relationship Id="rId5300" Type="http://schemas.openxmlformats.org/officeDocument/2006/relationships/hyperlink" Target="http://www.linkedin.com/company/moveminds" TargetMode="External"/><Relationship Id="rId350" Type="http://schemas.openxmlformats.org/officeDocument/2006/relationships/hyperlink" Target="http://www.linkedin.com/in/claudiacardonagomez" TargetMode="External"/><Relationship Id="rId2274" Type="http://schemas.openxmlformats.org/officeDocument/2006/relationships/hyperlink" Target="https://prestigio.com.co" TargetMode="External"/><Relationship Id="rId2275" Type="http://schemas.openxmlformats.org/officeDocument/2006/relationships/hyperlink" Target="http://www.linkedin.com/in/santiagorodriguezortiz" TargetMode="External"/><Relationship Id="rId356" Type="http://schemas.openxmlformats.org/officeDocument/2006/relationships/hyperlink" Target="http://www.linkedin.com/in/andres-tapia-alvarado-27638571" TargetMode="External"/><Relationship Id="rId2276" Type="http://schemas.openxmlformats.org/officeDocument/2006/relationships/hyperlink" Target="http://www.linkedin.com/company/minteo" TargetMode="External"/><Relationship Id="rId5303" Type="http://schemas.openxmlformats.org/officeDocument/2006/relationships/hyperlink" Target="http://www.linkedin.com/in/cristian-benavides-b3ab6a2b0" TargetMode="External"/><Relationship Id="rId355" Type="http://schemas.openxmlformats.org/officeDocument/2006/relationships/hyperlink" Target="https://neoland.com.co" TargetMode="External"/><Relationship Id="rId2277" Type="http://schemas.openxmlformats.org/officeDocument/2006/relationships/hyperlink" Target="https://minteo.com" TargetMode="External"/><Relationship Id="rId5304" Type="http://schemas.openxmlformats.org/officeDocument/2006/relationships/hyperlink" Target="http://www.linkedin.com/company/imn-nutrition" TargetMode="External"/><Relationship Id="rId354" Type="http://schemas.openxmlformats.org/officeDocument/2006/relationships/hyperlink" Target="http://www.linkedin.com/company/neolandsas" TargetMode="External"/><Relationship Id="rId2278" Type="http://schemas.openxmlformats.org/officeDocument/2006/relationships/hyperlink" Target="http://www.linkedin.com/in/melissacastrillonmontealegre" TargetMode="External"/><Relationship Id="rId5301" Type="http://schemas.openxmlformats.org/officeDocument/2006/relationships/hyperlink" Target="http://www.linkedin.com/in/evaristo-piedrahita-9aa291361" TargetMode="External"/><Relationship Id="rId353" Type="http://schemas.openxmlformats.org/officeDocument/2006/relationships/hyperlink" Target="http://www.linkedin.com/in/juancamiloherrera" TargetMode="External"/><Relationship Id="rId2279" Type="http://schemas.openxmlformats.org/officeDocument/2006/relationships/hyperlink" Target="http://www.linkedin.com/company/pais-de-raiz" TargetMode="External"/><Relationship Id="rId5302" Type="http://schemas.openxmlformats.org/officeDocument/2006/relationships/hyperlink" Target="http://www.linkedin.com/company/susi-panaderia" TargetMode="External"/><Relationship Id="rId2225" Type="http://schemas.openxmlformats.org/officeDocument/2006/relationships/hyperlink" Target="http://www.linkedin.com/company/mundo-comun" TargetMode="External"/><Relationship Id="rId3557" Type="http://schemas.openxmlformats.org/officeDocument/2006/relationships/hyperlink" Target="https://mediqugroup.com" TargetMode="External"/><Relationship Id="rId4888" Type="http://schemas.openxmlformats.org/officeDocument/2006/relationships/hyperlink" Target="http://www.linkedin.com/in/mar%c3%ada-carolina-angulo-85571727" TargetMode="External"/><Relationship Id="rId2226" Type="http://schemas.openxmlformats.org/officeDocument/2006/relationships/hyperlink" Target="https://mundocomun.org" TargetMode="External"/><Relationship Id="rId3556" Type="http://schemas.openxmlformats.org/officeDocument/2006/relationships/hyperlink" Target="http://www.linkedin.com/company/mediqu" TargetMode="External"/><Relationship Id="rId4887" Type="http://schemas.openxmlformats.org/officeDocument/2006/relationships/hyperlink" Target="http://www.linkedin.com/company/wise-meetings-inc" TargetMode="External"/><Relationship Id="rId2227" Type="http://schemas.openxmlformats.org/officeDocument/2006/relationships/hyperlink" Target="http://www.linkedin.com/in/paola-arbelaez-436679207" TargetMode="External"/><Relationship Id="rId3559" Type="http://schemas.openxmlformats.org/officeDocument/2006/relationships/hyperlink" Target="http://www.linkedin.com/company/pulseup" TargetMode="External"/><Relationship Id="rId2228" Type="http://schemas.openxmlformats.org/officeDocument/2006/relationships/hyperlink" Target="http://www.linkedin.com/company/rsec-americas" TargetMode="External"/><Relationship Id="rId3558" Type="http://schemas.openxmlformats.org/officeDocument/2006/relationships/hyperlink" Target="http://www.linkedin.com/in/diegoparamo" TargetMode="External"/><Relationship Id="rId4889" Type="http://schemas.openxmlformats.org/officeDocument/2006/relationships/hyperlink" Target="http://www.linkedin.com/company/lok-foods" TargetMode="External"/><Relationship Id="rId2229" Type="http://schemas.openxmlformats.org/officeDocument/2006/relationships/hyperlink" Target="https://rsec.ai" TargetMode="External"/><Relationship Id="rId305" Type="http://schemas.openxmlformats.org/officeDocument/2006/relationships/hyperlink" Target="http://www.linkedin.com/in/gabriela-castano" TargetMode="External"/><Relationship Id="rId304" Type="http://schemas.openxmlformats.org/officeDocument/2006/relationships/hyperlink" Target="https://locknet.com.co" TargetMode="External"/><Relationship Id="rId303" Type="http://schemas.openxmlformats.org/officeDocument/2006/relationships/hyperlink" Target="http://www.linkedin.com/company/locknet-s-a-" TargetMode="External"/><Relationship Id="rId302" Type="http://schemas.openxmlformats.org/officeDocument/2006/relationships/hyperlink" Target="http://www.linkedin.com/in/guillermo-saad-l%c2%b4hoeste-3476b8b7" TargetMode="External"/><Relationship Id="rId309" Type="http://schemas.openxmlformats.org/officeDocument/2006/relationships/hyperlink" Target="http://www.linkedin.com/company/phylo-law" TargetMode="External"/><Relationship Id="rId308" Type="http://schemas.openxmlformats.org/officeDocument/2006/relationships/hyperlink" Target="http://www.linkedin.com/in/camilogomezabogadophylolegal" TargetMode="External"/><Relationship Id="rId307" Type="http://schemas.openxmlformats.org/officeDocument/2006/relationships/hyperlink" Target="https://maquinariaparaplasticos.com" TargetMode="External"/><Relationship Id="rId306" Type="http://schemas.openxmlformats.org/officeDocument/2006/relationships/hyperlink" Target="http://www.linkedin.com/company/insoexa-maquinaria-sur%c3%a1merica-ims" TargetMode="External"/><Relationship Id="rId4880" Type="http://schemas.openxmlformats.org/officeDocument/2006/relationships/hyperlink" Target="http://www.linkedin.com/in/bruce-mclean-bnbcolombiatours-incentivetravelcolombia" TargetMode="External"/><Relationship Id="rId3551" Type="http://schemas.openxmlformats.org/officeDocument/2006/relationships/hyperlink" Target="https://aptuno.com" TargetMode="External"/><Relationship Id="rId4882" Type="http://schemas.openxmlformats.org/officeDocument/2006/relationships/hyperlink" Target="http://www.linkedin.com/in/danieldavilaor" TargetMode="External"/><Relationship Id="rId2220" Type="http://schemas.openxmlformats.org/officeDocument/2006/relationships/hyperlink" Target="https://activegroupcloud.com" TargetMode="External"/><Relationship Id="rId3550" Type="http://schemas.openxmlformats.org/officeDocument/2006/relationships/hyperlink" Target="http://www.linkedin.com/company/aptuno" TargetMode="External"/><Relationship Id="rId4881" Type="http://schemas.openxmlformats.org/officeDocument/2006/relationships/hyperlink" Target="http://www.linkedin.com/company/incentive-travel-colombia" TargetMode="External"/><Relationship Id="rId301" Type="http://schemas.openxmlformats.org/officeDocument/2006/relationships/hyperlink" Target="https://lookapp.com.co" TargetMode="External"/><Relationship Id="rId2221" Type="http://schemas.openxmlformats.org/officeDocument/2006/relationships/hyperlink" Target="http://www.linkedin.com/in/juancamilocanal" TargetMode="External"/><Relationship Id="rId3553" Type="http://schemas.openxmlformats.org/officeDocument/2006/relationships/hyperlink" Target="http://www.linkedin.com/company/asi-representaciones" TargetMode="External"/><Relationship Id="rId4884" Type="http://schemas.openxmlformats.org/officeDocument/2006/relationships/hyperlink" Target="http://www.linkedin.com/in/beltranfelipe" TargetMode="External"/><Relationship Id="rId300" Type="http://schemas.openxmlformats.org/officeDocument/2006/relationships/hyperlink" Target="http://www.linkedin.com/company/lookapp-co" TargetMode="External"/><Relationship Id="rId2222" Type="http://schemas.openxmlformats.org/officeDocument/2006/relationships/hyperlink" Target="http://www.linkedin.com/company/numbiai" TargetMode="External"/><Relationship Id="rId3552" Type="http://schemas.openxmlformats.org/officeDocument/2006/relationships/hyperlink" Target="http://www.linkedin.com/in/daissy-a-6ab20b185" TargetMode="External"/><Relationship Id="rId4883" Type="http://schemas.openxmlformats.org/officeDocument/2006/relationships/hyperlink" Target="http://www.linkedin.com/company/sagicc" TargetMode="External"/><Relationship Id="rId2223" Type="http://schemas.openxmlformats.org/officeDocument/2006/relationships/hyperlink" Target="https://numbi.ai" TargetMode="External"/><Relationship Id="rId3555" Type="http://schemas.openxmlformats.org/officeDocument/2006/relationships/hyperlink" Target="http://www.linkedin.com/in/claudia-herran-ramirez-28188344" TargetMode="External"/><Relationship Id="rId4886" Type="http://schemas.openxmlformats.org/officeDocument/2006/relationships/hyperlink" Target="http://www.linkedin.com/in/nicolas-bonilla-8a5a01247" TargetMode="External"/><Relationship Id="rId2224" Type="http://schemas.openxmlformats.org/officeDocument/2006/relationships/hyperlink" Target="http://www.linkedin.com/in/isabel-cavelier-adarve" TargetMode="External"/><Relationship Id="rId3554" Type="http://schemas.openxmlformats.org/officeDocument/2006/relationships/hyperlink" Target="https://asirepresentaciones.com" TargetMode="External"/><Relationship Id="rId4885" Type="http://schemas.openxmlformats.org/officeDocument/2006/relationships/hyperlink" Target="http://www.linkedin.com/company/fundders-sas" TargetMode="External"/><Relationship Id="rId2214" Type="http://schemas.openxmlformats.org/officeDocument/2006/relationships/hyperlink" Target="https://solarwin.co" TargetMode="External"/><Relationship Id="rId3546" Type="http://schemas.openxmlformats.org/officeDocument/2006/relationships/hyperlink" Target="http://www.linkedin.com/in/carlosjuliocort%c3%a9s" TargetMode="External"/><Relationship Id="rId4877" Type="http://schemas.openxmlformats.org/officeDocument/2006/relationships/hyperlink" Target="http://www.linkedin.com/company/valoriza-colombia" TargetMode="External"/><Relationship Id="rId2215" Type="http://schemas.openxmlformats.org/officeDocument/2006/relationships/hyperlink" Target="http://www.linkedin.com/in/luis-enrique-restrepo-arcieri-ab52a62b" TargetMode="External"/><Relationship Id="rId3545" Type="http://schemas.openxmlformats.org/officeDocument/2006/relationships/hyperlink" Target="https://galileilearning.com" TargetMode="External"/><Relationship Id="rId4876" Type="http://schemas.openxmlformats.org/officeDocument/2006/relationships/hyperlink" Target="http://www.linkedin.com/in/luis-carlos-ochoa-paris-39888658" TargetMode="External"/><Relationship Id="rId2216" Type="http://schemas.openxmlformats.org/officeDocument/2006/relationships/hyperlink" Target="http://www.linkedin.com/company/custom-logistica-servicio" TargetMode="External"/><Relationship Id="rId3548" Type="http://schemas.openxmlformats.org/officeDocument/2006/relationships/hyperlink" Target="https://gfa.com.co" TargetMode="External"/><Relationship Id="rId4879" Type="http://schemas.openxmlformats.org/officeDocument/2006/relationships/hyperlink" Target="http://www.linkedin.com/company/zarangarita-media" TargetMode="External"/><Relationship Id="rId2217" Type="http://schemas.openxmlformats.org/officeDocument/2006/relationships/hyperlink" Target="https://custom.com.co" TargetMode="External"/><Relationship Id="rId3547" Type="http://schemas.openxmlformats.org/officeDocument/2006/relationships/hyperlink" Target="http://www.linkedin.com/company/global-forensic-auditing" TargetMode="External"/><Relationship Id="rId4878" Type="http://schemas.openxmlformats.org/officeDocument/2006/relationships/hyperlink" Target="http://www.linkedin.com/in/zarangarita" TargetMode="External"/><Relationship Id="rId2218" Type="http://schemas.openxmlformats.org/officeDocument/2006/relationships/hyperlink" Target="http://www.linkedin.com/in/jaime-mart%c3%adnez-torres-94063426" TargetMode="External"/><Relationship Id="rId2219" Type="http://schemas.openxmlformats.org/officeDocument/2006/relationships/hyperlink" Target="http://www.linkedin.com/company/active-group-cloud" TargetMode="External"/><Relationship Id="rId3549" Type="http://schemas.openxmlformats.org/officeDocument/2006/relationships/hyperlink" Target="http://www.linkedin.com/in/juanmartindelgadolondono" TargetMode="External"/><Relationship Id="rId3540" Type="http://schemas.openxmlformats.org/officeDocument/2006/relationships/hyperlink" Target="http://www.linkedin.com/in/johannagomezliderazgocoach" TargetMode="External"/><Relationship Id="rId4871" Type="http://schemas.openxmlformats.org/officeDocument/2006/relationships/hyperlink" Target="http://www.linkedin.com/company/it-hunters-sas" TargetMode="External"/><Relationship Id="rId4870" Type="http://schemas.openxmlformats.org/officeDocument/2006/relationships/hyperlink" Target="http://www.linkedin.com/in/carolina-toro-franco-20a6102b" TargetMode="External"/><Relationship Id="rId2210" Type="http://schemas.openxmlformats.org/officeDocument/2006/relationships/hyperlink" Target="http://www.linkedin.com/company/fusedform" TargetMode="External"/><Relationship Id="rId3542" Type="http://schemas.openxmlformats.org/officeDocument/2006/relationships/hyperlink" Target="https://escuelaliderazgo.com" TargetMode="External"/><Relationship Id="rId4873" Type="http://schemas.openxmlformats.org/officeDocument/2006/relationships/hyperlink" Target="http://www.linkedin.com/company/insert-coin-animation-studios" TargetMode="External"/><Relationship Id="rId2211" Type="http://schemas.openxmlformats.org/officeDocument/2006/relationships/hyperlink" Target="https://fusedformcorp.com" TargetMode="External"/><Relationship Id="rId3541" Type="http://schemas.openxmlformats.org/officeDocument/2006/relationships/hyperlink" Target="http://www.linkedin.com/company/johanna-gomez-coach" TargetMode="External"/><Relationship Id="rId4872" Type="http://schemas.openxmlformats.org/officeDocument/2006/relationships/hyperlink" Target="http://www.linkedin.com/in/camiloesc" TargetMode="External"/><Relationship Id="rId2212" Type="http://schemas.openxmlformats.org/officeDocument/2006/relationships/hyperlink" Target="http://www.linkedin.com/in/santiago-garcia-bourg-ab825834" TargetMode="External"/><Relationship Id="rId3544" Type="http://schemas.openxmlformats.org/officeDocument/2006/relationships/hyperlink" Target="http://www.linkedin.com/company/galilei-learning" TargetMode="External"/><Relationship Id="rId4875" Type="http://schemas.openxmlformats.org/officeDocument/2006/relationships/hyperlink" Target="http://www.linkedin.com/company/bsocol" TargetMode="External"/><Relationship Id="rId2213" Type="http://schemas.openxmlformats.org/officeDocument/2006/relationships/hyperlink" Target="http://www.linkedin.com/company/solarwin-colombia" TargetMode="External"/><Relationship Id="rId3543" Type="http://schemas.openxmlformats.org/officeDocument/2006/relationships/hyperlink" Target="http://www.linkedin.com/in/sduquee" TargetMode="External"/><Relationship Id="rId4874" Type="http://schemas.openxmlformats.org/officeDocument/2006/relationships/hyperlink" Target="http://www.linkedin.com/in/gabriel-camargo-a9072314b" TargetMode="External"/><Relationship Id="rId2247" Type="http://schemas.openxmlformats.org/officeDocument/2006/relationships/hyperlink" Target="https://lotopunto.co" TargetMode="External"/><Relationship Id="rId3579" Type="http://schemas.openxmlformats.org/officeDocument/2006/relationships/hyperlink" Target="https://refurbi.com.co" TargetMode="External"/><Relationship Id="rId2248" Type="http://schemas.openxmlformats.org/officeDocument/2006/relationships/hyperlink" Target="http://www.linkedin.com/in/rafael-gonz%c3%a1lez-24662730" TargetMode="External"/><Relationship Id="rId3578" Type="http://schemas.openxmlformats.org/officeDocument/2006/relationships/hyperlink" Target="http://www.linkedin.com/company/refurbi-latam" TargetMode="External"/><Relationship Id="rId2249" Type="http://schemas.openxmlformats.org/officeDocument/2006/relationships/hyperlink" Target="http://www.linkedin.com/company/capitalizandodatos" TargetMode="External"/><Relationship Id="rId327" Type="http://schemas.openxmlformats.org/officeDocument/2006/relationships/hyperlink" Target="http://www.linkedin.com/company/red-thread-publishing" TargetMode="External"/><Relationship Id="rId326" Type="http://schemas.openxmlformats.org/officeDocument/2006/relationships/hyperlink" Target="http://www.linkedin.com/in/sierra-melcher" TargetMode="External"/><Relationship Id="rId325" Type="http://schemas.openxmlformats.org/officeDocument/2006/relationships/hyperlink" Target="https://zelery.net" TargetMode="External"/><Relationship Id="rId324" Type="http://schemas.openxmlformats.org/officeDocument/2006/relationships/hyperlink" Target="http://www.linkedin.com/company/zelery-medcorporation" TargetMode="External"/><Relationship Id="rId329" Type="http://schemas.openxmlformats.org/officeDocument/2006/relationships/hyperlink" Target="http://www.linkedin.com/in/lonianderson" TargetMode="External"/><Relationship Id="rId328" Type="http://schemas.openxmlformats.org/officeDocument/2006/relationships/hyperlink" Target="https://redthreadbooks.com" TargetMode="External"/><Relationship Id="rId3571" Type="http://schemas.openxmlformats.org/officeDocument/2006/relationships/hyperlink" Target="http://www.linkedin.com/in/lopezandres" TargetMode="External"/><Relationship Id="rId2240" Type="http://schemas.openxmlformats.org/officeDocument/2006/relationships/hyperlink" Target="http://www.linkedin.com/company/kuadralatam" TargetMode="External"/><Relationship Id="rId3570" Type="http://schemas.openxmlformats.org/officeDocument/2006/relationships/hyperlink" Target="https://globohire.co" TargetMode="External"/><Relationship Id="rId2241" Type="http://schemas.openxmlformats.org/officeDocument/2006/relationships/hyperlink" Target="https://kuadra.com" TargetMode="External"/><Relationship Id="rId3573" Type="http://schemas.openxmlformats.org/officeDocument/2006/relationships/hyperlink" Target="https://idealopez.co" TargetMode="External"/><Relationship Id="rId2242" Type="http://schemas.openxmlformats.org/officeDocument/2006/relationships/hyperlink" Target="http://www.linkedin.com/in/allan-taggart-4b199912" TargetMode="External"/><Relationship Id="rId3572" Type="http://schemas.openxmlformats.org/officeDocument/2006/relationships/hyperlink" Target="http://www.linkedin.com/company/idealo-pez" TargetMode="External"/><Relationship Id="rId323" Type="http://schemas.openxmlformats.org/officeDocument/2006/relationships/hyperlink" Target="http://www.linkedin.com/in/naylagandur" TargetMode="External"/><Relationship Id="rId2243" Type="http://schemas.openxmlformats.org/officeDocument/2006/relationships/hyperlink" Target="http://www.linkedin.com/company/exceedworkshops" TargetMode="External"/><Relationship Id="rId3575" Type="http://schemas.openxmlformats.org/officeDocument/2006/relationships/hyperlink" Target="http://www.linkedin.com/company/umbra3d-studio" TargetMode="External"/><Relationship Id="rId322" Type="http://schemas.openxmlformats.org/officeDocument/2006/relationships/hyperlink" Target="https://teeread.com" TargetMode="External"/><Relationship Id="rId2244" Type="http://schemas.openxmlformats.org/officeDocument/2006/relationships/hyperlink" Target="https://exceedworkshops.com" TargetMode="External"/><Relationship Id="rId3574" Type="http://schemas.openxmlformats.org/officeDocument/2006/relationships/hyperlink" Target="http://www.linkedin.com/in/diana-rodriguez-rojas" TargetMode="External"/><Relationship Id="rId321" Type="http://schemas.openxmlformats.org/officeDocument/2006/relationships/hyperlink" Target="http://www.linkedin.com/company/teeread" TargetMode="External"/><Relationship Id="rId2245" Type="http://schemas.openxmlformats.org/officeDocument/2006/relationships/hyperlink" Target="http://www.linkedin.com/in/victor-espinosa-2237311a" TargetMode="External"/><Relationship Id="rId3577" Type="http://schemas.openxmlformats.org/officeDocument/2006/relationships/hyperlink" Target="http://www.linkedin.com/in/sebasti%c3%a1n-jim%c3%a9nez-3aa22b72" TargetMode="External"/><Relationship Id="rId320" Type="http://schemas.openxmlformats.org/officeDocument/2006/relationships/hyperlink" Target="http://www.linkedin.com/in/natalia-carvajal-gonz%c3%a1lez-192536218" TargetMode="External"/><Relationship Id="rId2246" Type="http://schemas.openxmlformats.org/officeDocument/2006/relationships/hyperlink" Target="http://www.linkedin.com/company/loto-punto" TargetMode="External"/><Relationship Id="rId3576" Type="http://schemas.openxmlformats.org/officeDocument/2006/relationships/hyperlink" Target="https://umbra3d.studio" TargetMode="External"/><Relationship Id="rId2236" Type="http://schemas.openxmlformats.org/officeDocument/2006/relationships/hyperlink" Target="http://www.linkedin.com/in/natalia-gonzalez-sanchez" TargetMode="External"/><Relationship Id="rId3568" Type="http://schemas.openxmlformats.org/officeDocument/2006/relationships/hyperlink" Target="http://www.linkedin.com/in/roger-a-flores" TargetMode="External"/><Relationship Id="rId4899" Type="http://schemas.openxmlformats.org/officeDocument/2006/relationships/hyperlink" Target="http://www.linkedin.com/company/impacto-militar" TargetMode="External"/><Relationship Id="rId2237" Type="http://schemas.openxmlformats.org/officeDocument/2006/relationships/hyperlink" Target="http://www.linkedin.com/company/si-se%c3%b1ora-bootcamp" TargetMode="External"/><Relationship Id="rId3567" Type="http://schemas.openxmlformats.org/officeDocument/2006/relationships/hyperlink" Target="https://verum.com.co" TargetMode="External"/><Relationship Id="rId4898" Type="http://schemas.openxmlformats.org/officeDocument/2006/relationships/hyperlink" Target="http://www.linkedin.com/in/manuel-parra-b1a9053b" TargetMode="External"/><Relationship Id="rId2238" Type="http://schemas.openxmlformats.org/officeDocument/2006/relationships/hyperlink" Target="https://sisenora.com" TargetMode="External"/><Relationship Id="rId2239" Type="http://schemas.openxmlformats.org/officeDocument/2006/relationships/hyperlink" Target="http://www.linkedin.com/in/milton-yesid-fernandez-gonzalez" TargetMode="External"/><Relationship Id="rId3569" Type="http://schemas.openxmlformats.org/officeDocument/2006/relationships/hyperlink" Target="http://www.linkedin.com/company/globohire-co" TargetMode="External"/><Relationship Id="rId316" Type="http://schemas.openxmlformats.org/officeDocument/2006/relationships/hyperlink" Target="https://closertop.com" TargetMode="External"/><Relationship Id="rId315" Type="http://schemas.openxmlformats.org/officeDocument/2006/relationships/hyperlink" Target="http://www.linkedin.com/company/top-closing" TargetMode="External"/><Relationship Id="rId314" Type="http://schemas.openxmlformats.org/officeDocument/2006/relationships/hyperlink" Target="http://www.linkedin.com/in/mauricio-zabala-802b1739" TargetMode="External"/><Relationship Id="rId313" Type="http://schemas.openxmlformats.org/officeDocument/2006/relationships/hyperlink" Target="https://nexttalentsolutions.com" TargetMode="External"/><Relationship Id="rId319" Type="http://schemas.openxmlformats.org/officeDocument/2006/relationships/hyperlink" Target="https://newsol.com.co" TargetMode="External"/><Relationship Id="rId318" Type="http://schemas.openxmlformats.org/officeDocument/2006/relationships/hyperlink" Target="http://www.linkedin.com/company/newsol-consulting" TargetMode="External"/><Relationship Id="rId317" Type="http://schemas.openxmlformats.org/officeDocument/2006/relationships/hyperlink" Target="http://www.linkedin.com/in/mauricio-cuellar-907bba63" TargetMode="External"/><Relationship Id="rId3560" Type="http://schemas.openxmlformats.org/officeDocument/2006/relationships/hyperlink" Target="https://pulseup.ai" TargetMode="External"/><Relationship Id="rId4891" Type="http://schemas.openxmlformats.org/officeDocument/2006/relationships/hyperlink" Target="http://www.linkedin.com/company/mpnovacenter" TargetMode="External"/><Relationship Id="rId4890" Type="http://schemas.openxmlformats.org/officeDocument/2006/relationships/hyperlink" Target="http://www.linkedin.com/in/juanmmo" TargetMode="External"/><Relationship Id="rId2230" Type="http://schemas.openxmlformats.org/officeDocument/2006/relationships/hyperlink" Target="http://www.linkedin.com/in/paulo-vergara-741b49b" TargetMode="External"/><Relationship Id="rId3562" Type="http://schemas.openxmlformats.org/officeDocument/2006/relationships/hyperlink" Target="http://www.linkedin.com/company/legalraddf" TargetMode="External"/><Relationship Id="rId4893" Type="http://schemas.openxmlformats.org/officeDocument/2006/relationships/hyperlink" Target="http://www.linkedin.com/company/grayola" TargetMode="External"/><Relationship Id="rId2231" Type="http://schemas.openxmlformats.org/officeDocument/2006/relationships/hyperlink" Target="http://www.linkedin.com/company/zavior-consulting" TargetMode="External"/><Relationship Id="rId3561" Type="http://schemas.openxmlformats.org/officeDocument/2006/relationships/hyperlink" Target="http://www.linkedin.com/in/jlarrota" TargetMode="External"/><Relationship Id="rId4892" Type="http://schemas.openxmlformats.org/officeDocument/2006/relationships/hyperlink" Target="http://www.linkedin.com/in/emmanuelriverafarfan" TargetMode="External"/><Relationship Id="rId312" Type="http://schemas.openxmlformats.org/officeDocument/2006/relationships/hyperlink" Target="http://www.linkedin.com/company/next-talent-solutions" TargetMode="External"/><Relationship Id="rId2232" Type="http://schemas.openxmlformats.org/officeDocument/2006/relationships/hyperlink" Target="https://zavior.app" TargetMode="External"/><Relationship Id="rId3564" Type="http://schemas.openxmlformats.org/officeDocument/2006/relationships/hyperlink" Target="http://globohire.co" TargetMode="External"/><Relationship Id="rId4895" Type="http://schemas.openxmlformats.org/officeDocument/2006/relationships/hyperlink" Target="http://www.linkedin.com/company/tranquifinanzas" TargetMode="External"/><Relationship Id="rId311" Type="http://schemas.openxmlformats.org/officeDocument/2006/relationships/hyperlink" Target="http://www.linkedin.com/in/jose-bustamante-santoya-1ab92852" TargetMode="External"/><Relationship Id="rId2233" Type="http://schemas.openxmlformats.org/officeDocument/2006/relationships/hyperlink" Target="http://www.linkedin.com/in/vicentebustamante" TargetMode="External"/><Relationship Id="rId3563" Type="http://schemas.openxmlformats.org/officeDocument/2006/relationships/hyperlink" Target="https://raddf.com" TargetMode="External"/><Relationship Id="rId4894" Type="http://schemas.openxmlformats.org/officeDocument/2006/relationships/hyperlink" Target="http://www.linkedin.com/in/gallegojorge" TargetMode="External"/><Relationship Id="rId310" Type="http://schemas.openxmlformats.org/officeDocument/2006/relationships/hyperlink" Target="https://phylo.co" TargetMode="External"/><Relationship Id="rId2234" Type="http://schemas.openxmlformats.org/officeDocument/2006/relationships/hyperlink" Target="http://www.linkedin.com/company/flexi-wires" TargetMode="External"/><Relationship Id="rId3566" Type="http://schemas.openxmlformats.org/officeDocument/2006/relationships/hyperlink" Target="http://www.linkedin.com/company/verumformwork" TargetMode="External"/><Relationship Id="rId4897" Type="http://schemas.openxmlformats.org/officeDocument/2006/relationships/hyperlink" Target="http://www.linkedin.com/company/lummia-latam" TargetMode="External"/><Relationship Id="rId2235" Type="http://schemas.openxmlformats.org/officeDocument/2006/relationships/hyperlink" Target="https://crandon.partners" TargetMode="External"/><Relationship Id="rId3565" Type="http://schemas.openxmlformats.org/officeDocument/2006/relationships/hyperlink" Target="http://www.linkedin.com/in/alissontimo" TargetMode="External"/><Relationship Id="rId4896" Type="http://schemas.openxmlformats.org/officeDocument/2006/relationships/hyperlink" Target="http://www.linkedin.com/in/nicolasmoreno-lumia" TargetMode="External"/><Relationship Id="rId4040" Type="http://schemas.openxmlformats.org/officeDocument/2006/relationships/hyperlink" Target="http://www.linkedin.com/in/juan-eduardo-contreras-7988496" TargetMode="External"/><Relationship Id="rId5372" Type="http://schemas.openxmlformats.org/officeDocument/2006/relationships/hyperlink" Target="http://www.linkedin.com/in/rafaelforero" TargetMode="External"/><Relationship Id="rId5373" Type="http://schemas.openxmlformats.org/officeDocument/2006/relationships/hyperlink" Target="http://www.linkedin.com/company/identian-cybersecurity" TargetMode="External"/><Relationship Id="rId4042" Type="http://schemas.openxmlformats.org/officeDocument/2006/relationships/hyperlink" Target="https://decoratic.co" TargetMode="External"/><Relationship Id="rId5370" Type="http://schemas.openxmlformats.org/officeDocument/2006/relationships/hyperlink" Target="http://www.linkedin.com/in/jens-bonkowski-49551a4" TargetMode="External"/><Relationship Id="rId4041" Type="http://schemas.openxmlformats.org/officeDocument/2006/relationships/hyperlink" Target="http://www.linkedin.com/company/decoratic" TargetMode="External"/><Relationship Id="rId5371" Type="http://schemas.openxmlformats.org/officeDocument/2006/relationships/hyperlink" Target="http://www.linkedin.com/company/ibisa" TargetMode="External"/><Relationship Id="rId4044" Type="http://schemas.openxmlformats.org/officeDocument/2006/relationships/hyperlink" Target="http://www.linkedin.com/company/impact-finance-management-sa" TargetMode="External"/><Relationship Id="rId5376" Type="http://schemas.openxmlformats.org/officeDocument/2006/relationships/hyperlink" Target="http://www.linkedin.com/in/emmachaves" TargetMode="External"/><Relationship Id="rId4043" Type="http://schemas.openxmlformats.org/officeDocument/2006/relationships/hyperlink" Target="http://www.linkedin.com/in/cedric-lombard-80756715" TargetMode="External"/><Relationship Id="rId5377" Type="http://schemas.openxmlformats.org/officeDocument/2006/relationships/hyperlink" Target="http://www.linkedin.com/company/mappa-ai" TargetMode="External"/><Relationship Id="rId4046" Type="http://schemas.openxmlformats.org/officeDocument/2006/relationships/hyperlink" Target="http://www.linkedin.com/in/nia-fl%c3%b3rez-cervantes-1a9a314b" TargetMode="External"/><Relationship Id="rId5374" Type="http://schemas.openxmlformats.org/officeDocument/2006/relationships/hyperlink" Target="http://www.linkedin.com/in/juan-fernando-casas-garc%c3%ada-097908231" TargetMode="External"/><Relationship Id="rId4045" Type="http://schemas.openxmlformats.org/officeDocument/2006/relationships/hyperlink" Target="https://impact-finance.com" TargetMode="External"/><Relationship Id="rId5375" Type="http://schemas.openxmlformats.org/officeDocument/2006/relationships/hyperlink" Target="http://www.linkedin.com/company/asesor%c3%adas-y-soluciones-de-ingenier%c3%ada-sas" TargetMode="External"/><Relationship Id="rId4048" Type="http://schemas.openxmlformats.org/officeDocument/2006/relationships/hyperlink" Target="https://blackbiird.com" TargetMode="External"/><Relationship Id="rId4047" Type="http://schemas.openxmlformats.org/officeDocument/2006/relationships/hyperlink" Target="http://www.linkedin.com/company/blackbiird-company" TargetMode="External"/><Relationship Id="rId5378" Type="http://schemas.openxmlformats.org/officeDocument/2006/relationships/hyperlink" Target="http://www.linkedin.com/in/monicasaavedranieto" TargetMode="External"/><Relationship Id="rId4049" Type="http://schemas.openxmlformats.org/officeDocument/2006/relationships/hyperlink" Target="http://www.linkedin.com/in/lisa-neisa-b06423334" TargetMode="External"/><Relationship Id="rId5379" Type="http://schemas.openxmlformats.org/officeDocument/2006/relationships/hyperlink" Target="http://www.linkedin.com/company/plurallsme" TargetMode="External"/><Relationship Id="rId5361" Type="http://schemas.openxmlformats.org/officeDocument/2006/relationships/hyperlink" Target="http://www.linkedin.com/company/alkesconsulting" TargetMode="External"/><Relationship Id="rId5362" Type="http://schemas.openxmlformats.org/officeDocument/2006/relationships/hyperlink" Target="http://www.linkedin.com/in/tatianabarbato" TargetMode="External"/><Relationship Id="rId4031" Type="http://schemas.openxmlformats.org/officeDocument/2006/relationships/hyperlink" Target="http://www.linkedin.com/in/andresuribeniessen" TargetMode="External"/><Relationship Id="rId4030" Type="http://schemas.openxmlformats.org/officeDocument/2006/relationships/hyperlink" Target="https://eleragroup.com" TargetMode="External"/><Relationship Id="rId5360" Type="http://schemas.openxmlformats.org/officeDocument/2006/relationships/hyperlink" Target="http://www.linkedin.com/in/hugocarmonaarana" TargetMode="External"/><Relationship Id="rId297" Type="http://schemas.openxmlformats.org/officeDocument/2006/relationships/hyperlink" Target="http://www.linkedin.com/company/bioestructurassas" TargetMode="External"/><Relationship Id="rId4033" Type="http://schemas.openxmlformats.org/officeDocument/2006/relationships/hyperlink" Target="https://vivefy.co" TargetMode="External"/><Relationship Id="rId5365" Type="http://schemas.openxmlformats.org/officeDocument/2006/relationships/hyperlink" Target="http://www.linkedin.com/company/pannafood-sas" TargetMode="External"/><Relationship Id="rId296" Type="http://schemas.openxmlformats.org/officeDocument/2006/relationships/hyperlink" Target="http://www.linkedin.com/in/diana-monsalve-83581aa6" TargetMode="External"/><Relationship Id="rId4032" Type="http://schemas.openxmlformats.org/officeDocument/2006/relationships/hyperlink" Target="http://www.linkedin.com/company/vivefy" TargetMode="External"/><Relationship Id="rId5366" Type="http://schemas.openxmlformats.org/officeDocument/2006/relationships/hyperlink" Target="http://www.linkedin.com/in/felipe-almario-0b661a2a0" TargetMode="External"/><Relationship Id="rId295" Type="http://schemas.openxmlformats.org/officeDocument/2006/relationships/hyperlink" Target="https://trea.com.co" TargetMode="External"/><Relationship Id="rId4035" Type="http://schemas.openxmlformats.org/officeDocument/2006/relationships/hyperlink" Target="http://www.linkedin.com/company/cdtiando" TargetMode="External"/><Relationship Id="rId5363" Type="http://schemas.openxmlformats.org/officeDocument/2006/relationships/hyperlink" Target="http://www.linkedin.com/company/akron-soluciones-sas" TargetMode="External"/><Relationship Id="rId294" Type="http://schemas.openxmlformats.org/officeDocument/2006/relationships/hyperlink" Target="http://www.linkedin.com/company/trea-the-real-estate-agency" TargetMode="External"/><Relationship Id="rId4034" Type="http://schemas.openxmlformats.org/officeDocument/2006/relationships/hyperlink" Target="http://www.linkedin.com/in/josefinanzas360" TargetMode="External"/><Relationship Id="rId5364" Type="http://schemas.openxmlformats.org/officeDocument/2006/relationships/hyperlink" Target="http://www.linkedin.com/in/marcela-celisgerentedemercadeodirectordemercadeo" TargetMode="External"/><Relationship Id="rId4037" Type="http://schemas.openxmlformats.org/officeDocument/2006/relationships/hyperlink" Target="http://www.linkedin.com/in/rita-kotov-matizart" TargetMode="External"/><Relationship Id="rId5369" Type="http://schemas.openxmlformats.org/officeDocument/2006/relationships/hyperlink" Target="http://www.linkedin.com/company/controller-rma" TargetMode="External"/><Relationship Id="rId4036" Type="http://schemas.openxmlformats.org/officeDocument/2006/relationships/hyperlink" Target="https://cdtiando.com" TargetMode="External"/><Relationship Id="rId299" Type="http://schemas.openxmlformats.org/officeDocument/2006/relationships/hyperlink" Target="http://www.linkedin.com/in/valeriotedesco" TargetMode="External"/><Relationship Id="rId4039" Type="http://schemas.openxmlformats.org/officeDocument/2006/relationships/hyperlink" Target="https://matizart.co" TargetMode="External"/><Relationship Id="rId5367" Type="http://schemas.openxmlformats.org/officeDocument/2006/relationships/hyperlink" Target="http://www.linkedin.com/company/next-well" TargetMode="External"/><Relationship Id="rId298" Type="http://schemas.openxmlformats.org/officeDocument/2006/relationships/hyperlink" Target="https://bioestructuras.com" TargetMode="External"/><Relationship Id="rId4038" Type="http://schemas.openxmlformats.org/officeDocument/2006/relationships/hyperlink" Target="http://www.linkedin.com/company/comatizart" TargetMode="External"/><Relationship Id="rId5368" Type="http://schemas.openxmlformats.org/officeDocument/2006/relationships/hyperlink" Target="http://www.linkedin.com/in/jesus-alfonso-cardenas-caicedo-87a06067" TargetMode="External"/><Relationship Id="rId5390" Type="http://schemas.openxmlformats.org/officeDocument/2006/relationships/hyperlink" Target="http://www.linkedin.com/in/renan-quevedo-gomez-52463324" TargetMode="External"/><Relationship Id="rId5391" Type="http://schemas.openxmlformats.org/officeDocument/2006/relationships/hyperlink" Target="http://www.linkedin.com/company/cs2-cybersecurity" TargetMode="External"/><Relationship Id="rId4060" Type="http://schemas.openxmlformats.org/officeDocument/2006/relationships/hyperlink" Target="https://taxialife.com" TargetMode="External"/><Relationship Id="rId4062" Type="http://schemas.openxmlformats.org/officeDocument/2006/relationships/hyperlink" Target="http://www.linkedin.com/company/auroratech" TargetMode="External"/><Relationship Id="rId5394" Type="http://schemas.openxmlformats.org/officeDocument/2006/relationships/hyperlink" Target="http://www.linkedin.com/in/josehernan" TargetMode="External"/><Relationship Id="rId4061" Type="http://schemas.openxmlformats.org/officeDocument/2006/relationships/hyperlink" Target="http://www.linkedin.com/in/carlos-agudelo-68201029" TargetMode="External"/><Relationship Id="rId5395" Type="http://schemas.openxmlformats.org/officeDocument/2006/relationships/hyperlink" Target="http://www.linkedin.com/company/inter-image-sl" TargetMode="External"/><Relationship Id="rId4064" Type="http://schemas.openxmlformats.org/officeDocument/2006/relationships/hyperlink" Target="http://www.linkedin.com/in/juan-sebasti%c3%a1n-rojas-a32142106" TargetMode="External"/><Relationship Id="rId5392" Type="http://schemas.openxmlformats.org/officeDocument/2006/relationships/hyperlink" Target="http://www.linkedin.com/in/sergio-galvis-3458b642" TargetMode="External"/><Relationship Id="rId4063" Type="http://schemas.openxmlformats.org/officeDocument/2006/relationships/hyperlink" Target="https://auroratech.com.co" TargetMode="External"/><Relationship Id="rId5393" Type="http://schemas.openxmlformats.org/officeDocument/2006/relationships/hyperlink" Target="http://www.linkedin.com/company/g-logictechnology" TargetMode="External"/><Relationship Id="rId4066" Type="http://schemas.openxmlformats.org/officeDocument/2006/relationships/hyperlink" Target="https://escueladesuperheroes.com.co" TargetMode="External"/><Relationship Id="rId5398" Type="http://schemas.openxmlformats.org/officeDocument/2006/relationships/hyperlink" Target="http://www.linkedin.com/in/carlos-arturo-g%c3%b3mez-jim%c3%a9nez-5104a1143" TargetMode="External"/><Relationship Id="rId4065" Type="http://schemas.openxmlformats.org/officeDocument/2006/relationships/hyperlink" Target="http://www.linkedin.com/company/escuela-de-superh%c3%a9roes" TargetMode="External"/><Relationship Id="rId5399" Type="http://schemas.openxmlformats.org/officeDocument/2006/relationships/hyperlink" Target="http://www.linkedin.com/company/wedoengineer" TargetMode="External"/><Relationship Id="rId4068" Type="http://schemas.openxmlformats.org/officeDocument/2006/relationships/hyperlink" Target="http://www.linkedin.com/company/discovery-consulting-services" TargetMode="External"/><Relationship Id="rId5396" Type="http://schemas.openxmlformats.org/officeDocument/2006/relationships/hyperlink" Target="http://www.linkedin.com/in/jamesnuveen" TargetMode="External"/><Relationship Id="rId4067" Type="http://schemas.openxmlformats.org/officeDocument/2006/relationships/hyperlink" Target="http://www.linkedin.com/in/erickcepeda" TargetMode="External"/><Relationship Id="rId5397" Type="http://schemas.openxmlformats.org/officeDocument/2006/relationships/hyperlink" Target="http://www.linkedin.com/company/freedomfiles" TargetMode="External"/><Relationship Id="rId4069" Type="http://schemas.openxmlformats.org/officeDocument/2006/relationships/hyperlink" Target="https://discoveryconsultingservices.com" TargetMode="External"/><Relationship Id="rId5380" Type="http://schemas.openxmlformats.org/officeDocument/2006/relationships/hyperlink" Target="http://www.linkedin.com/in/jennifer-heredia-94981787" TargetMode="External"/><Relationship Id="rId4051" Type="http://schemas.openxmlformats.org/officeDocument/2006/relationships/hyperlink" Target="https://click-clack.la" TargetMode="External"/><Relationship Id="rId5383" Type="http://schemas.openxmlformats.org/officeDocument/2006/relationships/hyperlink" Target="http://www.linkedin.com/company/macpower-it-solutions" TargetMode="External"/><Relationship Id="rId4050" Type="http://schemas.openxmlformats.org/officeDocument/2006/relationships/hyperlink" Target="http://www.linkedin.com/company/click-arte-sas" TargetMode="External"/><Relationship Id="rId5384" Type="http://schemas.openxmlformats.org/officeDocument/2006/relationships/hyperlink" Target="http://www.linkedin.com/in/laramirezr" TargetMode="External"/><Relationship Id="rId4053" Type="http://schemas.openxmlformats.org/officeDocument/2006/relationships/hyperlink" Target="http://www.linkedin.com/company/walk-of-victory" TargetMode="External"/><Relationship Id="rId5381" Type="http://schemas.openxmlformats.org/officeDocument/2006/relationships/hyperlink" Target="http://www.linkedin.com/company/tralia" TargetMode="External"/><Relationship Id="rId4052" Type="http://schemas.openxmlformats.org/officeDocument/2006/relationships/hyperlink" Target="http://www.linkedin.com/in/mavictoriagb" TargetMode="External"/><Relationship Id="rId5382" Type="http://schemas.openxmlformats.org/officeDocument/2006/relationships/hyperlink" Target="http://www.linkedin.com/in/ddazad" TargetMode="External"/><Relationship Id="rId4055" Type="http://schemas.openxmlformats.org/officeDocument/2006/relationships/hyperlink" Target="http://www.linkedin.com/in/martinpelaez" TargetMode="External"/><Relationship Id="rId5387" Type="http://schemas.openxmlformats.org/officeDocument/2006/relationships/hyperlink" Target="http://www.linkedin.com/company/profit-bi" TargetMode="External"/><Relationship Id="rId4054" Type="http://schemas.openxmlformats.org/officeDocument/2006/relationships/hyperlink" Target="https://walkofvictory.com" TargetMode="External"/><Relationship Id="rId5388" Type="http://schemas.openxmlformats.org/officeDocument/2006/relationships/hyperlink" Target="http://www.linkedin.com/in/francisco-alonso-su%c3%a1rez-cano-a28145192" TargetMode="External"/><Relationship Id="rId4057" Type="http://schemas.openxmlformats.org/officeDocument/2006/relationships/hyperlink" Target="https://plenti.com.co" TargetMode="External"/><Relationship Id="rId5385" Type="http://schemas.openxmlformats.org/officeDocument/2006/relationships/hyperlink" Target="http://www.linkedin.com/company/hospysolutions" TargetMode="External"/><Relationship Id="rId4056" Type="http://schemas.openxmlformats.org/officeDocument/2006/relationships/hyperlink" Target="http://www.linkedin.com/company/somosplenti" TargetMode="External"/><Relationship Id="rId5386" Type="http://schemas.openxmlformats.org/officeDocument/2006/relationships/hyperlink" Target="http://www.linkedin.com/in/andrearamirezvelandia" TargetMode="External"/><Relationship Id="rId4059" Type="http://schemas.openxmlformats.org/officeDocument/2006/relationships/hyperlink" Target="http://www.linkedin.com/company/taxialife" TargetMode="External"/><Relationship Id="rId4058" Type="http://schemas.openxmlformats.org/officeDocument/2006/relationships/hyperlink" Target="http://www.linkedin.com/in/gabycmunoz" TargetMode="External"/><Relationship Id="rId5389" Type="http://schemas.openxmlformats.org/officeDocument/2006/relationships/hyperlink" Target="http://www.linkedin.com/company/prime-digitale-consulting" TargetMode="External"/><Relationship Id="rId4008" Type="http://schemas.openxmlformats.org/officeDocument/2006/relationships/hyperlink" Target="http://www.linkedin.com/company/skald-advisory-group" TargetMode="External"/><Relationship Id="rId4007" Type="http://schemas.openxmlformats.org/officeDocument/2006/relationships/hyperlink" Target="http://www.linkedin.com/in/martha-ramirez-guerrero" TargetMode="External"/><Relationship Id="rId5338" Type="http://schemas.openxmlformats.org/officeDocument/2006/relationships/hyperlink" Target="http://www.linkedin.com/in/halopezf" TargetMode="External"/><Relationship Id="rId4009" Type="http://schemas.openxmlformats.org/officeDocument/2006/relationships/hyperlink" Target="https://skald-ag.com" TargetMode="External"/><Relationship Id="rId5339" Type="http://schemas.openxmlformats.org/officeDocument/2006/relationships/hyperlink" Target="http://www.linkedin.com/company/innovakit-sas" TargetMode="External"/><Relationship Id="rId271" Type="http://schemas.openxmlformats.org/officeDocument/2006/relationships/hyperlink" Target="https://re-treated.com" TargetMode="External"/><Relationship Id="rId270" Type="http://schemas.openxmlformats.org/officeDocument/2006/relationships/hyperlink" Target="http://www.linkedin.com/company/re-treated" TargetMode="External"/><Relationship Id="rId269" Type="http://schemas.openxmlformats.org/officeDocument/2006/relationships/hyperlink" Target="http://www.linkedin.com/in/korneeldesmet" TargetMode="External"/><Relationship Id="rId264" Type="http://schemas.openxmlformats.org/officeDocument/2006/relationships/hyperlink" Target="http://www.linkedin.com/company/kompensity" TargetMode="External"/><Relationship Id="rId4000" Type="http://schemas.openxmlformats.org/officeDocument/2006/relationships/hyperlink" Target="https://comparapps.com" TargetMode="External"/><Relationship Id="rId5332" Type="http://schemas.openxmlformats.org/officeDocument/2006/relationships/hyperlink" Target="http://www.linkedin.com/in/manuelrianos" TargetMode="External"/><Relationship Id="rId263" Type="http://schemas.openxmlformats.org/officeDocument/2006/relationships/hyperlink" Target="http://www.linkedin.com/in/mar%c3%ada-paula-nieto-corredor-08102068" TargetMode="External"/><Relationship Id="rId5333" Type="http://schemas.openxmlformats.org/officeDocument/2006/relationships/hyperlink" Target="http://www.linkedin.com/company/dillie-ai" TargetMode="External"/><Relationship Id="rId262" Type="http://schemas.openxmlformats.org/officeDocument/2006/relationships/hyperlink" Target="https://vedelivers.com" TargetMode="External"/><Relationship Id="rId4002" Type="http://schemas.openxmlformats.org/officeDocument/2006/relationships/hyperlink" Target="http://www.linkedin.com/company/t%c3%b3malo" TargetMode="External"/><Relationship Id="rId5330" Type="http://schemas.openxmlformats.org/officeDocument/2006/relationships/hyperlink" Target="http://www.linkedin.com/in/victor-giraldo-9a3729177" TargetMode="External"/><Relationship Id="rId261" Type="http://schemas.openxmlformats.org/officeDocument/2006/relationships/hyperlink" Target="http://www.linkedin.com/company/vermeer-ve-group" TargetMode="External"/><Relationship Id="rId4001" Type="http://schemas.openxmlformats.org/officeDocument/2006/relationships/hyperlink" Target="http://www.linkedin.com/in/salomon-vasquez-sanchez-26883a72" TargetMode="External"/><Relationship Id="rId5331" Type="http://schemas.openxmlformats.org/officeDocument/2006/relationships/hyperlink" Target="http://www.linkedin.com/company/clinikals" TargetMode="External"/><Relationship Id="rId268" Type="http://schemas.openxmlformats.org/officeDocument/2006/relationships/hyperlink" Target="https://spoongg.com" TargetMode="External"/><Relationship Id="rId4004" Type="http://schemas.openxmlformats.org/officeDocument/2006/relationships/hyperlink" Target="http://www.linkedin.com/in/ronald-rodriguez-1162864a" TargetMode="External"/><Relationship Id="rId5336" Type="http://schemas.openxmlformats.org/officeDocument/2006/relationships/hyperlink" Target="http://www.linkedin.com/in/karen-acosta-parra-18b11919" TargetMode="External"/><Relationship Id="rId267" Type="http://schemas.openxmlformats.org/officeDocument/2006/relationships/hyperlink" Target="http://www.linkedin.com/company/spoon-media-group" TargetMode="External"/><Relationship Id="rId4003" Type="http://schemas.openxmlformats.org/officeDocument/2006/relationships/hyperlink" Target="https://tomalo.app" TargetMode="External"/><Relationship Id="rId5337" Type="http://schemas.openxmlformats.org/officeDocument/2006/relationships/hyperlink" Target="http://www.linkedin.com/company/out-of-box-consulting-bizfunding" TargetMode="External"/><Relationship Id="rId266" Type="http://schemas.openxmlformats.org/officeDocument/2006/relationships/hyperlink" Target="http://www.linkedin.com/in/carlos-manuel-vidal-barrueco-53330b94" TargetMode="External"/><Relationship Id="rId4006" Type="http://schemas.openxmlformats.org/officeDocument/2006/relationships/hyperlink" Target="https://jupiterzx.com" TargetMode="External"/><Relationship Id="rId5334" Type="http://schemas.openxmlformats.org/officeDocument/2006/relationships/hyperlink" Target="http://www.linkedin.com/in/patriciacarrasquillac" TargetMode="External"/><Relationship Id="rId265" Type="http://schemas.openxmlformats.org/officeDocument/2006/relationships/hyperlink" Target="https://kompensity.com" TargetMode="External"/><Relationship Id="rId4005" Type="http://schemas.openxmlformats.org/officeDocument/2006/relationships/hyperlink" Target="http://www.linkedin.com/company/information-systems-international" TargetMode="External"/><Relationship Id="rId5335" Type="http://schemas.openxmlformats.org/officeDocument/2006/relationships/hyperlink" Target="http://www.linkedin.com/company/axvracing" TargetMode="External"/><Relationship Id="rId5329" Type="http://schemas.openxmlformats.org/officeDocument/2006/relationships/hyperlink" Target="http://dillie.ai" TargetMode="External"/><Relationship Id="rId5327" Type="http://schemas.openxmlformats.org/officeDocument/2006/relationships/hyperlink" Target="http://www.linkedin.com/in/luis-betancur-zuluaga-41b01736" TargetMode="External"/><Relationship Id="rId5328" Type="http://schemas.openxmlformats.org/officeDocument/2006/relationships/hyperlink" Target="http://www.linkedin.com/company/ecorganicos-de-colombia-s-a-s-c-i" TargetMode="External"/><Relationship Id="rId260" Type="http://schemas.openxmlformats.org/officeDocument/2006/relationships/hyperlink" Target="http://www.linkedin.com/in/alejandro-guti%c3%a9rrez-ram%c3%adrez-07728a33" TargetMode="External"/><Relationship Id="rId259" Type="http://schemas.openxmlformats.org/officeDocument/2006/relationships/hyperlink" Target="https://lotolatam.com" TargetMode="External"/><Relationship Id="rId258" Type="http://schemas.openxmlformats.org/officeDocument/2006/relationships/hyperlink" Target="http://www.linkedin.com/company/loto-latam" TargetMode="External"/><Relationship Id="rId2290" Type="http://schemas.openxmlformats.org/officeDocument/2006/relationships/hyperlink" Target="http://www.linkedin.com/in/santiago-ortega-arango" TargetMode="External"/><Relationship Id="rId2291" Type="http://schemas.openxmlformats.org/officeDocument/2006/relationships/hyperlink" Target="http://www.linkedin.com/company/emergente" TargetMode="External"/><Relationship Id="rId2292" Type="http://schemas.openxmlformats.org/officeDocument/2006/relationships/hyperlink" Target="https://emergente.com.co" TargetMode="External"/><Relationship Id="rId2293" Type="http://schemas.openxmlformats.org/officeDocument/2006/relationships/hyperlink" Target="http://www.linkedin.com/in/juan-camilo-ortiz-lievano-70353b69" TargetMode="External"/><Relationship Id="rId253" Type="http://schemas.openxmlformats.org/officeDocument/2006/relationships/hyperlink" Target="https://bigview.com.co" TargetMode="External"/><Relationship Id="rId2294" Type="http://schemas.openxmlformats.org/officeDocument/2006/relationships/hyperlink" Target="http://www.linkedin.com/company/parques-infantiles-de-colombia---grupo-azlo" TargetMode="External"/><Relationship Id="rId5321" Type="http://schemas.openxmlformats.org/officeDocument/2006/relationships/hyperlink" Target="http://www.linkedin.com/in/jose-i-gonzalez-c-a07b7923" TargetMode="External"/><Relationship Id="rId252" Type="http://schemas.openxmlformats.org/officeDocument/2006/relationships/hyperlink" Target="http://www.linkedin.com/company/bigview-latam" TargetMode="External"/><Relationship Id="rId2295" Type="http://schemas.openxmlformats.org/officeDocument/2006/relationships/hyperlink" Target="https://parquesinfantilesdecolombia.com" TargetMode="External"/><Relationship Id="rId5322" Type="http://schemas.openxmlformats.org/officeDocument/2006/relationships/hyperlink" Target="http://www.linkedin.com/company/avante-ingenier%c3%ada" TargetMode="External"/><Relationship Id="rId251" Type="http://schemas.openxmlformats.org/officeDocument/2006/relationships/hyperlink" Target="http://www.linkedin.com/in/frank-figueroa-bb044b12" TargetMode="External"/><Relationship Id="rId2296" Type="http://schemas.openxmlformats.org/officeDocument/2006/relationships/hyperlink" Target="http://www.linkedin.com/in/tom%c3%a1s-concha-llorente-ba787986" TargetMode="External"/><Relationship Id="rId250" Type="http://schemas.openxmlformats.org/officeDocument/2006/relationships/hyperlink" Target="https://inspirandot.com" TargetMode="External"/><Relationship Id="rId2297" Type="http://schemas.openxmlformats.org/officeDocument/2006/relationships/hyperlink" Target="http://www.linkedin.com/company/ialeph" TargetMode="External"/><Relationship Id="rId5320" Type="http://schemas.openxmlformats.org/officeDocument/2006/relationships/hyperlink" Target="http://www.linkedin.com/company/indtech-soluciones-de-software" TargetMode="External"/><Relationship Id="rId257" Type="http://schemas.openxmlformats.org/officeDocument/2006/relationships/hyperlink" Target="http://www.linkedin.com/in/daniel-camacho-b2b881b6" TargetMode="External"/><Relationship Id="rId2298" Type="http://schemas.openxmlformats.org/officeDocument/2006/relationships/hyperlink" Target="https://aleph.com.co" TargetMode="External"/><Relationship Id="rId5325" Type="http://schemas.openxmlformats.org/officeDocument/2006/relationships/hyperlink" Target="http://www.linkedin.com/in/carlos-alberto-martinez-m%c3%a9ndez" TargetMode="External"/><Relationship Id="rId256" Type="http://schemas.openxmlformats.org/officeDocument/2006/relationships/hyperlink" Target="https://uxtar.com" TargetMode="External"/><Relationship Id="rId2299" Type="http://schemas.openxmlformats.org/officeDocument/2006/relationships/hyperlink" Target="http://www.linkedin.com/in/santiagojoaquinalvarez" TargetMode="External"/><Relationship Id="rId5326" Type="http://schemas.openxmlformats.org/officeDocument/2006/relationships/hyperlink" Target="http://www.linkedin.com/company/lucro-col" TargetMode="External"/><Relationship Id="rId255" Type="http://schemas.openxmlformats.org/officeDocument/2006/relationships/hyperlink" Target="http://www.linkedin.com/company/uxtarecosistema" TargetMode="External"/><Relationship Id="rId5323" Type="http://schemas.openxmlformats.org/officeDocument/2006/relationships/hyperlink" Target="http://www.linkedin.com/in/guillermovalencia" TargetMode="External"/><Relationship Id="rId254" Type="http://schemas.openxmlformats.org/officeDocument/2006/relationships/hyperlink" Target="http://www.linkedin.com/in/ottoruizv" TargetMode="External"/><Relationship Id="rId5324" Type="http://schemas.openxmlformats.org/officeDocument/2006/relationships/hyperlink" Target="http://www.linkedin.com/company/macrowise" TargetMode="External"/><Relationship Id="rId4029" Type="http://schemas.openxmlformats.org/officeDocument/2006/relationships/hyperlink" Target="http://www.linkedin.com/company/eleragroup" TargetMode="External"/><Relationship Id="rId293" Type="http://schemas.openxmlformats.org/officeDocument/2006/relationships/hyperlink" Target="http://www.linkedin.com/in/mateobenavides" TargetMode="External"/><Relationship Id="rId292" Type="http://schemas.openxmlformats.org/officeDocument/2006/relationships/hyperlink" Target="https://prix.la" TargetMode="External"/><Relationship Id="rId291" Type="http://schemas.openxmlformats.org/officeDocument/2006/relationships/hyperlink" Target="http://www.linkedin.com/company/prixpagos" TargetMode="External"/><Relationship Id="rId290" Type="http://schemas.openxmlformats.org/officeDocument/2006/relationships/hyperlink" Target="http://www.linkedin.com/in/estebangarcia27" TargetMode="External"/><Relationship Id="rId5350" Type="http://schemas.openxmlformats.org/officeDocument/2006/relationships/hyperlink" Target="http://www.linkedin.com/in/mentoraaprendizaje" TargetMode="External"/><Relationship Id="rId5351" Type="http://schemas.openxmlformats.org/officeDocument/2006/relationships/hyperlink" Target="http://www.linkedin.com/company/koideas" TargetMode="External"/><Relationship Id="rId4020" Type="http://schemas.openxmlformats.org/officeDocument/2006/relationships/hyperlink" Target="http://www.linkedin.com/company/factores&amp;mercadeos.a." TargetMode="External"/><Relationship Id="rId286" Type="http://schemas.openxmlformats.org/officeDocument/2006/relationships/hyperlink" Target="https://golfyturf.co" TargetMode="External"/><Relationship Id="rId4022" Type="http://schemas.openxmlformats.org/officeDocument/2006/relationships/hyperlink" Target="http://www.linkedin.com/in/sara-pr%c3%a9siga-romero-b734a0134" TargetMode="External"/><Relationship Id="rId5354" Type="http://schemas.openxmlformats.org/officeDocument/2006/relationships/hyperlink" Target="http://www.linkedin.com/in/danieluribevilla" TargetMode="External"/><Relationship Id="rId285" Type="http://schemas.openxmlformats.org/officeDocument/2006/relationships/hyperlink" Target="http://www.linkedin.com/company/golf-y-turf-s-a-s" TargetMode="External"/><Relationship Id="rId4021" Type="http://schemas.openxmlformats.org/officeDocument/2006/relationships/hyperlink" Target="https://factoresymercadeo.com" TargetMode="External"/><Relationship Id="rId5355" Type="http://schemas.openxmlformats.org/officeDocument/2006/relationships/hyperlink" Target="http://www.linkedin.com/company/m4ucolombia" TargetMode="External"/><Relationship Id="rId284" Type="http://schemas.openxmlformats.org/officeDocument/2006/relationships/hyperlink" Target="http://www.linkedin.com/in/jeissonarevaloabril" TargetMode="External"/><Relationship Id="rId4024" Type="http://schemas.openxmlformats.org/officeDocument/2006/relationships/hyperlink" Target="https://ecoregistry.io" TargetMode="External"/><Relationship Id="rId5352" Type="http://schemas.openxmlformats.org/officeDocument/2006/relationships/hyperlink" Target="http://www.linkedin.com/in/jc-pelaez" TargetMode="External"/><Relationship Id="rId283" Type="http://schemas.openxmlformats.org/officeDocument/2006/relationships/hyperlink" Target="https://sempli.co" TargetMode="External"/><Relationship Id="rId4023" Type="http://schemas.openxmlformats.org/officeDocument/2006/relationships/hyperlink" Target="http://www.linkedin.com/company/ecoregistry" TargetMode="External"/><Relationship Id="rId5353" Type="http://schemas.openxmlformats.org/officeDocument/2006/relationships/hyperlink" Target="http://www.linkedin.com/company/asetia" TargetMode="External"/><Relationship Id="rId4026" Type="http://schemas.openxmlformats.org/officeDocument/2006/relationships/hyperlink" Target="http://www.linkedin.com/company/evolti-company" TargetMode="External"/><Relationship Id="rId5358" Type="http://schemas.openxmlformats.org/officeDocument/2006/relationships/hyperlink" Target="http://www.linkedin.com/in/jpaguirre" TargetMode="External"/><Relationship Id="rId289" Type="http://schemas.openxmlformats.org/officeDocument/2006/relationships/hyperlink" Target="https://profilep.co" TargetMode="External"/><Relationship Id="rId4025" Type="http://schemas.openxmlformats.org/officeDocument/2006/relationships/hyperlink" Target="http://www.linkedin.com/in/hermann-souza-7bb36617b" TargetMode="External"/><Relationship Id="rId5359" Type="http://schemas.openxmlformats.org/officeDocument/2006/relationships/hyperlink" Target="http://www.linkedin.com/company/panteragpt" TargetMode="External"/><Relationship Id="rId288" Type="http://schemas.openxmlformats.org/officeDocument/2006/relationships/hyperlink" Target="http://www.linkedin.com/company/profilep" TargetMode="External"/><Relationship Id="rId4028" Type="http://schemas.openxmlformats.org/officeDocument/2006/relationships/hyperlink" Target="http://www.linkedin.com/in/gabriel-sanchez-b3237021" TargetMode="External"/><Relationship Id="rId5356" Type="http://schemas.openxmlformats.org/officeDocument/2006/relationships/hyperlink" Target="http://www.linkedin.com/in/gabrieldurancasij" TargetMode="External"/><Relationship Id="rId287" Type="http://schemas.openxmlformats.org/officeDocument/2006/relationships/hyperlink" Target="http://www.linkedin.com/in/santiago-silva-betancourt-49316917" TargetMode="External"/><Relationship Id="rId4027" Type="http://schemas.openxmlformats.org/officeDocument/2006/relationships/hyperlink" Target="https://evolti.co" TargetMode="External"/><Relationship Id="rId5357" Type="http://schemas.openxmlformats.org/officeDocument/2006/relationships/hyperlink" Target="http://www.linkedin.com/company/masterbricks" TargetMode="External"/><Relationship Id="rId4019" Type="http://schemas.openxmlformats.org/officeDocument/2006/relationships/hyperlink" Target="http://www.linkedin.com/in/factores-y-mercadeo-s-a-962071120" TargetMode="External"/><Relationship Id="rId4018" Type="http://schemas.openxmlformats.org/officeDocument/2006/relationships/hyperlink" Target="https://bravesolns.com" TargetMode="External"/><Relationship Id="rId5349" Type="http://schemas.openxmlformats.org/officeDocument/2006/relationships/hyperlink" Target="http://www.linkedin.com/company/solfint-sas" TargetMode="External"/><Relationship Id="rId282" Type="http://schemas.openxmlformats.org/officeDocument/2006/relationships/hyperlink" Target="http://www.linkedin.com/company/sempli.co" TargetMode="External"/><Relationship Id="rId281" Type="http://schemas.openxmlformats.org/officeDocument/2006/relationships/hyperlink" Target="http://www.linkedin.com/in/felipellanoalvis" TargetMode="External"/><Relationship Id="rId280" Type="http://schemas.openxmlformats.org/officeDocument/2006/relationships/hyperlink" Target="https://vtsas.co" TargetMode="External"/><Relationship Id="rId5340" Type="http://schemas.openxmlformats.org/officeDocument/2006/relationships/hyperlink" Target="http://www.linkedin.com/in/sergio-picon-b0281214" TargetMode="External"/><Relationship Id="rId275" Type="http://schemas.openxmlformats.org/officeDocument/2006/relationships/hyperlink" Target="http://www.linkedin.com/in/camilo-ospina" TargetMode="External"/><Relationship Id="rId4011" Type="http://schemas.openxmlformats.org/officeDocument/2006/relationships/hyperlink" Target="http://www.linkedin.com/company/nuptum" TargetMode="External"/><Relationship Id="rId5343" Type="http://schemas.openxmlformats.org/officeDocument/2006/relationships/hyperlink" Target="http://www.linkedin.com/company/victiuslegal" TargetMode="External"/><Relationship Id="rId274" Type="http://schemas.openxmlformats.org/officeDocument/2006/relationships/hyperlink" Target="https://av-brokers.com" TargetMode="External"/><Relationship Id="rId4010" Type="http://schemas.openxmlformats.org/officeDocument/2006/relationships/hyperlink" Target="http://www.linkedin.com/in/emerson-acosta-charry-33233695" TargetMode="External"/><Relationship Id="rId5344" Type="http://schemas.openxmlformats.org/officeDocument/2006/relationships/hyperlink" Target="http://www.linkedin.com/in/maria-consuelo-scarpetta-8a98018a" TargetMode="External"/><Relationship Id="rId273" Type="http://schemas.openxmlformats.org/officeDocument/2006/relationships/hyperlink" Target="http://www.linkedin.com/company/av-brokers" TargetMode="External"/><Relationship Id="rId4013" Type="http://schemas.openxmlformats.org/officeDocument/2006/relationships/hyperlink" Target="http://www.linkedin.com/in/santiago-duran-ferro-28b7b46a" TargetMode="External"/><Relationship Id="rId5341" Type="http://schemas.openxmlformats.org/officeDocument/2006/relationships/hyperlink" Target="http://www.linkedin.com/company/tarkus-pharma-lab" TargetMode="External"/><Relationship Id="rId272" Type="http://schemas.openxmlformats.org/officeDocument/2006/relationships/hyperlink" Target="http://www.linkedin.com/in/diegoalmeyda" TargetMode="External"/><Relationship Id="rId4012" Type="http://schemas.openxmlformats.org/officeDocument/2006/relationships/hyperlink" Target="https://nuptum.com" TargetMode="External"/><Relationship Id="rId5342" Type="http://schemas.openxmlformats.org/officeDocument/2006/relationships/hyperlink" Target="http://www.linkedin.com/in/davidpajaro" TargetMode="External"/><Relationship Id="rId279" Type="http://schemas.openxmlformats.org/officeDocument/2006/relationships/hyperlink" Target="http://www.linkedin.com/company/vtsasco" TargetMode="External"/><Relationship Id="rId4015" Type="http://schemas.openxmlformats.org/officeDocument/2006/relationships/hyperlink" Target="https://ambulanciasaereas.com.co" TargetMode="External"/><Relationship Id="rId5347" Type="http://schemas.openxmlformats.org/officeDocument/2006/relationships/hyperlink" Target="http://www.linkedin.com/company/sports-crowd-sc" TargetMode="External"/><Relationship Id="rId278" Type="http://schemas.openxmlformats.org/officeDocument/2006/relationships/hyperlink" Target="http://www.linkedin.com/in/v%c3%adctor-manuel-tamayo-bustamante-b1923030" TargetMode="External"/><Relationship Id="rId4014" Type="http://schemas.openxmlformats.org/officeDocument/2006/relationships/hyperlink" Target="http://www.linkedin.com/company/ambulancias-aereas-de-colombia" TargetMode="External"/><Relationship Id="rId5348" Type="http://schemas.openxmlformats.org/officeDocument/2006/relationships/hyperlink" Target="http://www.linkedin.com/in/juan-david-palacios-rodriguez" TargetMode="External"/><Relationship Id="rId277" Type="http://schemas.openxmlformats.org/officeDocument/2006/relationships/hyperlink" Target="https://calmio.co" TargetMode="External"/><Relationship Id="rId4017" Type="http://schemas.openxmlformats.org/officeDocument/2006/relationships/hyperlink" Target="http://www.linkedin.com/company/bravesolns" TargetMode="External"/><Relationship Id="rId5345" Type="http://schemas.openxmlformats.org/officeDocument/2006/relationships/hyperlink" Target="http://www.linkedin.com/company/pcmac-co" TargetMode="External"/><Relationship Id="rId276" Type="http://schemas.openxmlformats.org/officeDocument/2006/relationships/hyperlink" Target="http://www.linkedin.com/company/calmio-co" TargetMode="External"/><Relationship Id="rId4016" Type="http://schemas.openxmlformats.org/officeDocument/2006/relationships/hyperlink" Target="http://www.linkedin.com/in/jorge-bedoya-956184196" TargetMode="External"/><Relationship Id="rId5346" Type="http://schemas.openxmlformats.org/officeDocument/2006/relationships/hyperlink" Target="http://www.linkedin.com/in/mminnig" TargetMode="External"/><Relationship Id="rId1851" Type="http://schemas.openxmlformats.org/officeDocument/2006/relationships/hyperlink" Target="https://goodgroup.com.co" TargetMode="External"/><Relationship Id="rId1852" Type="http://schemas.openxmlformats.org/officeDocument/2006/relationships/hyperlink" Target="http://www.linkedin.com/in/daniela-charry-935b4a59" TargetMode="External"/><Relationship Id="rId1853" Type="http://schemas.openxmlformats.org/officeDocument/2006/relationships/hyperlink" Target="http://www.linkedin.com/company/camudecor" TargetMode="External"/><Relationship Id="rId1854" Type="http://schemas.openxmlformats.org/officeDocument/2006/relationships/hyperlink" Target="https://camudecor.com" TargetMode="External"/><Relationship Id="rId1855" Type="http://schemas.openxmlformats.org/officeDocument/2006/relationships/hyperlink" Target="http://www.linkedin.com/in/claudiarodriguezvalencia" TargetMode="External"/><Relationship Id="rId1856" Type="http://schemas.openxmlformats.org/officeDocument/2006/relationships/hyperlink" Target="http://www.linkedin.com/company/preciosa-media" TargetMode="External"/><Relationship Id="rId1857" Type="http://schemas.openxmlformats.org/officeDocument/2006/relationships/hyperlink" Target="https://preciosamedia.com" TargetMode="External"/><Relationship Id="rId1858" Type="http://schemas.openxmlformats.org/officeDocument/2006/relationships/hyperlink" Target="http://www.linkedin.com/in/luisalejandrorojastorrado" TargetMode="External"/><Relationship Id="rId1859" Type="http://schemas.openxmlformats.org/officeDocument/2006/relationships/hyperlink" Target="http://www.linkedin.com/company/somos-orion" TargetMode="External"/><Relationship Id="rId1850" Type="http://schemas.openxmlformats.org/officeDocument/2006/relationships/hyperlink" Target="http://www.linkedin.com/company/good-group-s.a.s" TargetMode="External"/><Relationship Id="rId1840" Type="http://schemas.openxmlformats.org/officeDocument/2006/relationships/hyperlink" Target="http://www.linkedin.com/in/angela-lozada-v" TargetMode="External"/><Relationship Id="rId1841" Type="http://schemas.openxmlformats.org/officeDocument/2006/relationships/hyperlink" Target="http://www.linkedin.com/company/upliftlegal" TargetMode="External"/><Relationship Id="rId1842" Type="http://schemas.openxmlformats.org/officeDocument/2006/relationships/hyperlink" Target="https://upliftlegal.org" TargetMode="External"/><Relationship Id="rId1843" Type="http://schemas.openxmlformats.org/officeDocument/2006/relationships/hyperlink" Target="http://www.linkedin.com/in/mifobe" TargetMode="External"/><Relationship Id="rId1844" Type="http://schemas.openxmlformats.org/officeDocument/2006/relationships/hyperlink" Target="http://www.linkedin.com/company/wip-tool" TargetMode="External"/><Relationship Id="rId1845" Type="http://schemas.openxmlformats.org/officeDocument/2006/relationships/hyperlink" Target="https://wiptool.com" TargetMode="External"/><Relationship Id="rId1846" Type="http://schemas.openxmlformats.org/officeDocument/2006/relationships/hyperlink" Target="http://www.linkedin.com/in/daniel-eduardo-giraldo-casta%c3%b1o-0b3a343b" TargetMode="External"/><Relationship Id="rId1847" Type="http://schemas.openxmlformats.org/officeDocument/2006/relationships/hyperlink" Target="http://www.linkedin.com/company/centro-comercial-premium-plaza" TargetMode="External"/><Relationship Id="rId1848" Type="http://schemas.openxmlformats.org/officeDocument/2006/relationships/hyperlink" Target="https://ccpremiumplaza.com" TargetMode="External"/><Relationship Id="rId1849" Type="http://schemas.openxmlformats.org/officeDocument/2006/relationships/hyperlink" Target="http://www.linkedin.com/in/luis-c-bueno-p-4b969656" TargetMode="External"/><Relationship Id="rId1873" Type="http://schemas.openxmlformats.org/officeDocument/2006/relationships/hyperlink" Target="http://www.linkedin.com/in/adrianacarolinadiazosadialab" TargetMode="External"/><Relationship Id="rId1874" Type="http://schemas.openxmlformats.org/officeDocument/2006/relationships/hyperlink" Target="http://www.linkedin.com/company/osadialab" TargetMode="External"/><Relationship Id="rId1875" Type="http://schemas.openxmlformats.org/officeDocument/2006/relationships/hyperlink" Target="https://osadialab.com" TargetMode="External"/><Relationship Id="rId4901" Type="http://schemas.openxmlformats.org/officeDocument/2006/relationships/hyperlink" Target="http://www.linkedin.com/company/whaleandjaguar" TargetMode="External"/><Relationship Id="rId1876" Type="http://schemas.openxmlformats.org/officeDocument/2006/relationships/hyperlink" Target="http://www.linkedin.com/in/carlos-alberto-triana-zapata-371a4474" TargetMode="External"/><Relationship Id="rId4900" Type="http://schemas.openxmlformats.org/officeDocument/2006/relationships/hyperlink" Target="http://www.linkedin.com/in/nohoragalan" TargetMode="External"/><Relationship Id="rId1877" Type="http://schemas.openxmlformats.org/officeDocument/2006/relationships/hyperlink" Target="http://www.linkedin.com/company/movinova-td" TargetMode="External"/><Relationship Id="rId4903" Type="http://schemas.openxmlformats.org/officeDocument/2006/relationships/hyperlink" Target="http://www.linkedin.com/company/industrias-viva-natur-s-a-s" TargetMode="External"/><Relationship Id="rId1878" Type="http://schemas.openxmlformats.org/officeDocument/2006/relationships/hyperlink" Target="https://movinova.com" TargetMode="External"/><Relationship Id="rId4902" Type="http://schemas.openxmlformats.org/officeDocument/2006/relationships/hyperlink" Target="http://www.linkedin.com/in/joanna-castro-60212739" TargetMode="External"/><Relationship Id="rId1879" Type="http://schemas.openxmlformats.org/officeDocument/2006/relationships/hyperlink" Target="http://www.linkedin.com/in/juanjgallo" TargetMode="External"/><Relationship Id="rId4905" Type="http://schemas.openxmlformats.org/officeDocument/2006/relationships/hyperlink" Target="http://www.linkedin.com/company/sinova" TargetMode="External"/><Relationship Id="rId4904" Type="http://schemas.openxmlformats.org/officeDocument/2006/relationships/hyperlink" Target="http://www.linkedin.com/in/erika-bautista-ef" TargetMode="External"/><Relationship Id="rId4907" Type="http://schemas.openxmlformats.org/officeDocument/2006/relationships/hyperlink" Target="http://www.linkedin.com/company/spybee" TargetMode="External"/><Relationship Id="rId4906" Type="http://schemas.openxmlformats.org/officeDocument/2006/relationships/hyperlink" Target="http://www.linkedin.com/in/felipe-garzon-spybee" TargetMode="External"/><Relationship Id="rId4909" Type="http://schemas.openxmlformats.org/officeDocument/2006/relationships/hyperlink" Target="http://www.linkedin.com/company/el-club-de-inversionistas" TargetMode="External"/><Relationship Id="rId4908" Type="http://schemas.openxmlformats.org/officeDocument/2006/relationships/hyperlink" Target="http://www.linkedin.com/in/hyenukchu" TargetMode="External"/><Relationship Id="rId1870" Type="http://schemas.openxmlformats.org/officeDocument/2006/relationships/hyperlink" Target="http://www.linkedin.com/in/hiram-preston-a0227729" TargetMode="External"/><Relationship Id="rId1871" Type="http://schemas.openxmlformats.org/officeDocument/2006/relationships/hyperlink" Target="http://www.linkedin.com/company/intrexco-bpo-recruitment" TargetMode="External"/><Relationship Id="rId1872" Type="http://schemas.openxmlformats.org/officeDocument/2006/relationships/hyperlink" Target="https://intrexco.com" TargetMode="External"/><Relationship Id="rId1862" Type="http://schemas.openxmlformats.org/officeDocument/2006/relationships/hyperlink" Target="http://www.linkedin.com/company/supportical" TargetMode="External"/><Relationship Id="rId1863" Type="http://schemas.openxmlformats.org/officeDocument/2006/relationships/hyperlink" Target="https://supportical.com" TargetMode="External"/><Relationship Id="rId1864" Type="http://schemas.openxmlformats.org/officeDocument/2006/relationships/hyperlink" Target="http://www.linkedin.com/in/carlos-guampe-a4a455b0" TargetMode="External"/><Relationship Id="rId1865" Type="http://schemas.openxmlformats.org/officeDocument/2006/relationships/hyperlink" Target="http://www.linkedin.com/company/etivi" TargetMode="External"/><Relationship Id="rId1866" Type="http://schemas.openxmlformats.org/officeDocument/2006/relationships/hyperlink" Target="https://etivi.com" TargetMode="External"/><Relationship Id="rId1867" Type="http://schemas.openxmlformats.org/officeDocument/2006/relationships/hyperlink" Target="http://www.linkedin.com/in/alejandra-guanchez-velasquez" TargetMode="External"/><Relationship Id="rId1868" Type="http://schemas.openxmlformats.org/officeDocument/2006/relationships/hyperlink" Target="http://www.linkedin.com/company/cloudfleetcom" TargetMode="External"/><Relationship Id="rId1869" Type="http://schemas.openxmlformats.org/officeDocument/2006/relationships/hyperlink" Target="https://cloudfleet.com" TargetMode="External"/><Relationship Id="rId1860" Type="http://schemas.openxmlformats.org/officeDocument/2006/relationships/hyperlink" Target="https://entradasinteligentes.com" TargetMode="External"/><Relationship Id="rId1861" Type="http://schemas.openxmlformats.org/officeDocument/2006/relationships/hyperlink" Target="http://www.linkedin.com/in/david-villarreal-3743a331" TargetMode="External"/><Relationship Id="rId1810" Type="http://schemas.openxmlformats.org/officeDocument/2006/relationships/hyperlink" Target="http://www.linkedin.com/in/huascar-sabino-41a40022" TargetMode="External"/><Relationship Id="rId1811" Type="http://schemas.openxmlformats.org/officeDocument/2006/relationships/hyperlink" Target="http://www.linkedin.com/company/esmart-tek" TargetMode="External"/><Relationship Id="rId1812" Type="http://schemas.openxmlformats.org/officeDocument/2006/relationships/hyperlink" Target="https://esmart-tek.com" TargetMode="External"/><Relationship Id="rId1813" Type="http://schemas.openxmlformats.org/officeDocument/2006/relationships/hyperlink" Target="http://www.linkedin.com/in/diego-garcia-gitterle" TargetMode="External"/><Relationship Id="rId1814" Type="http://schemas.openxmlformats.org/officeDocument/2006/relationships/hyperlink" Target="http://www.linkedin.com/company/wiwo-conecta" TargetMode="External"/><Relationship Id="rId1815" Type="http://schemas.openxmlformats.org/officeDocument/2006/relationships/hyperlink" Target="https://wiwo.com.co" TargetMode="External"/><Relationship Id="rId1816" Type="http://schemas.openxmlformats.org/officeDocument/2006/relationships/hyperlink" Target="http://www.linkedin.com/in/mario-cossio" TargetMode="External"/><Relationship Id="rId1817" Type="http://schemas.openxmlformats.org/officeDocument/2006/relationships/hyperlink" Target="http://www.linkedin.com/company/logika-evolucion-empresarial" TargetMode="External"/><Relationship Id="rId1818" Type="http://schemas.openxmlformats.org/officeDocument/2006/relationships/hyperlink" Target="https://logika.app" TargetMode="External"/><Relationship Id="rId1819" Type="http://schemas.openxmlformats.org/officeDocument/2006/relationships/hyperlink" Target="http://www.linkedin.com/in/rodolfopena" TargetMode="External"/><Relationship Id="rId4080" Type="http://schemas.openxmlformats.org/officeDocument/2006/relationships/hyperlink" Target="http://www.linkedin.com/company/ai-summitco" TargetMode="External"/><Relationship Id="rId4082" Type="http://schemas.openxmlformats.org/officeDocument/2006/relationships/hyperlink" Target="http://www.linkedin.com/in/andres-rojas-sureti" TargetMode="External"/><Relationship Id="rId4081" Type="http://schemas.openxmlformats.org/officeDocument/2006/relationships/hyperlink" Target="https://colombiatechweek.co" TargetMode="External"/><Relationship Id="rId4084" Type="http://schemas.openxmlformats.org/officeDocument/2006/relationships/hyperlink" Target="https://sureti.co" TargetMode="External"/><Relationship Id="rId4083" Type="http://schemas.openxmlformats.org/officeDocument/2006/relationships/hyperlink" Target="http://www.linkedin.com/company/suretico" TargetMode="External"/><Relationship Id="rId4086" Type="http://schemas.openxmlformats.org/officeDocument/2006/relationships/hyperlink" Target="http://www.linkedin.com/company/vgmobility" TargetMode="External"/><Relationship Id="rId4085" Type="http://schemas.openxmlformats.org/officeDocument/2006/relationships/hyperlink" Target="http://www.linkedin.com/in/andres-jaramillo-botero-65085423" TargetMode="External"/><Relationship Id="rId4088" Type="http://schemas.openxmlformats.org/officeDocument/2006/relationships/hyperlink" Target="http://www.linkedin.com/in/ronalbohorquez" TargetMode="External"/><Relationship Id="rId4087" Type="http://schemas.openxmlformats.org/officeDocument/2006/relationships/hyperlink" Target="https://vgmobility.com" TargetMode="External"/><Relationship Id="rId4089" Type="http://schemas.openxmlformats.org/officeDocument/2006/relationships/hyperlink" Target="http://www.linkedin.com/company/iabotsas" TargetMode="External"/><Relationship Id="rId1800" Type="http://schemas.openxmlformats.org/officeDocument/2006/relationships/hyperlink" Target="https://festo.com" TargetMode="External"/><Relationship Id="rId1801" Type="http://schemas.openxmlformats.org/officeDocument/2006/relationships/hyperlink" Target="http://www.linkedin.com/in/brandon-kaitschuck-65477815b" TargetMode="External"/><Relationship Id="rId1802" Type="http://schemas.openxmlformats.org/officeDocument/2006/relationships/hyperlink" Target="http://www.linkedin.com/company/sphynx-link" TargetMode="External"/><Relationship Id="rId1803" Type="http://schemas.openxmlformats.org/officeDocument/2006/relationships/hyperlink" Target="https://sphynxlinks.com" TargetMode="External"/><Relationship Id="rId1804" Type="http://schemas.openxmlformats.org/officeDocument/2006/relationships/hyperlink" Target="http://www.linkedin.com/in/gil-l-b118103" TargetMode="External"/><Relationship Id="rId1805" Type="http://schemas.openxmlformats.org/officeDocument/2006/relationships/hyperlink" Target="http://www.linkedin.com/company/trove-ventures-ltd" TargetMode="External"/><Relationship Id="rId1806" Type="http://schemas.openxmlformats.org/officeDocument/2006/relationships/hyperlink" Target="https://thebusinesstrove.com" TargetMode="External"/><Relationship Id="rId1807" Type="http://schemas.openxmlformats.org/officeDocument/2006/relationships/hyperlink" Target="http://www.linkedin.com/in/alexandraortegon" TargetMode="External"/><Relationship Id="rId1808" Type="http://schemas.openxmlformats.org/officeDocument/2006/relationships/hyperlink" Target="http://www.linkedin.com/company/visum-capital-colombia" TargetMode="External"/><Relationship Id="rId1809" Type="http://schemas.openxmlformats.org/officeDocument/2006/relationships/hyperlink" Target="https://visumcap.com" TargetMode="External"/><Relationship Id="rId4071" Type="http://schemas.openxmlformats.org/officeDocument/2006/relationships/hyperlink" Target="http://www.linkedin.com/company/financiapp" TargetMode="External"/><Relationship Id="rId4070" Type="http://schemas.openxmlformats.org/officeDocument/2006/relationships/hyperlink" Target="http://www.linkedin.com/in/john-ardila-castillo-baa4001b" TargetMode="External"/><Relationship Id="rId4073" Type="http://schemas.openxmlformats.org/officeDocument/2006/relationships/hyperlink" Target="http://www.linkedin.com/in/gvg-" TargetMode="External"/><Relationship Id="rId4072" Type="http://schemas.openxmlformats.org/officeDocument/2006/relationships/hyperlink" Target="https://financiapp.co" TargetMode="External"/><Relationship Id="rId4075" Type="http://schemas.openxmlformats.org/officeDocument/2006/relationships/hyperlink" Target="https://zeppelinlabs.io" TargetMode="External"/><Relationship Id="rId4074" Type="http://schemas.openxmlformats.org/officeDocument/2006/relationships/hyperlink" Target="http://www.linkedin.com/company/zeppelinlabs" TargetMode="External"/><Relationship Id="rId4077" Type="http://schemas.openxmlformats.org/officeDocument/2006/relationships/hyperlink" Target="http://www.linkedin.com/company/koban-latam" TargetMode="External"/><Relationship Id="rId4076" Type="http://schemas.openxmlformats.org/officeDocument/2006/relationships/hyperlink" Target="http://www.linkedin.com/in/vijay-pratap-singh-9b58ab169" TargetMode="External"/><Relationship Id="rId4079" Type="http://schemas.openxmlformats.org/officeDocument/2006/relationships/hyperlink" Target="http://www.linkedin.com/in/nicolascruzf" TargetMode="External"/><Relationship Id="rId4078" Type="http://schemas.openxmlformats.org/officeDocument/2006/relationships/hyperlink" Target="https://koban.com.bo" TargetMode="External"/><Relationship Id="rId1830" Type="http://schemas.openxmlformats.org/officeDocument/2006/relationships/hyperlink" Target="https://strallie.com" TargetMode="External"/><Relationship Id="rId1831" Type="http://schemas.openxmlformats.org/officeDocument/2006/relationships/hyperlink" Target="http://www.linkedin.com/in/stevenchavezr" TargetMode="External"/><Relationship Id="rId1832" Type="http://schemas.openxmlformats.org/officeDocument/2006/relationships/hyperlink" Target="http://www.linkedin.com/company/lunovalab" TargetMode="External"/><Relationship Id="rId1833" Type="http://schemas.openxmlformats.org/officeDocument/2006/relationships/hyperlink" Target="https://lunovalab.com" TargetMode="External"/><Relationship Id="rId1834" Type="http://schemas.openxmlformats.org/officeDocument/2006/relationships/hyperlink" Target="http://www.linkedin.com/in/esteban-jaramillo-gait%c3%a1n-00183845" TargetMode="External"/><Relationship Id="rId1835" Type="http://schemas.openxmlformats.org/officeDocument/2006/relationships/hyperlink" Target="http://www.linkedin.com/company/enerlitica" TargetMode="External"/><Relationship Id="rId1836" Type="http://schemas.openxmlformats.org/officeDocument/2006/relationships/hyperlink" Target="https://enerlitica.co" TargetMode="External"/><Relationship Id="rId1837" Type="http://schemas.openxmlformats.org/officeDocument/2006/relationships/hyperlink" Target="http://www.linkedin.com/in/angelica-arcila-mart%c3%adnez-703ba61b2" TargetMode="External"/><Relationship Id="rId1838" Type="http://schemas.openxmlformats.org/officeDocument/2006/relationships/hyperlink" Target="http://www.linkedin.com/company/revaliu" TargetMode="External"/><Relationship Id="rId1839" Type="http://schemas.openxmlformats.org/officeDocument/2006/relationships/hyperlink" Target="https://revaliu.com" TargetMode="External"/><Relationship Id="rId1820" Type="http://schemas.openxmlformats.org/officeDocument/2006/relationships/hyperlink" Target="http://www.linkedin.com/company/pe%c3%b1a-molina-asociados" TargetMode="External"/><Relationship Id="rId1821" Type="http://schemas.openxmlformats.org/officeDocument/2006/relationships/hyperlink" Target="https://pma.com.co" TargetMode="External"/><Relationship Id="rId1822" Type="http://schemas.openxmlformats.org/officeDocument/2006/relationships/hyperlink" Target="http://www.linkedin.com/in/eduardoquiroz" TargetMode="External"/><Relationship Id="rId1823" Type="http://schemas.openxmlformats.org/officeDocument/2006/relationships/hyperlink" Target="http://www.linkedin.com/company/valor-percibido" TargetMode="External"/><Relationship Id="rId1824" Type="http://schemas.openxmlformats.org/officeDocument/2006/relationships/hyperlink" Target="https://valorpercibido.com" TargetMode="External"/><Relationship Id="rId1825" Type="http://schemas.openxmlformats.org/officeDocument/2006/relationships/hyperlink" Target="http://www.linkedin.com/in/pierre-alain-branger-354633a8" TargetMode="External"/><Relationship Id="rId1826" Type="http://schemas.openxmlformats.org/officeDocument/2006/relationships/hyperlink" Target="http://www.linkedin.com/school/whatelse-" TargetMode="External"/><Relationship Id="rId1827" Type="http://schemas.openxmlformats.org/officeDocument/2006/relationships/hyperlink" Target="https://whatelse.education" TargetMode="External"/><Relationship Id="rId1828" Type="http://schemas.openxmlformats.org/officeDocument/2006/relationships/hyperlink" Target="http://www.linkedin.com/in/ruby-marquez-rodriguez-737368143" TargetMode="External"/><Relationship Id="rId1829" Type="http://schemas.openxmlformats.org/officeDocument/2006/relationships/hyperlink" Target="http://www.linkedin.com/company/mandesolutions" TargetMode="External"/><Relationship Id="rId4091" Type="http://schemas.openxmlformats.org/officeDocument/2006/relationships/hyperlink" Target="http://www.linkedin.com/in/adriana-henao" TargetMode="External"/><Relationship Id="rId4090" Type="http://schemas.openxmlformats.org/officeDocument/2006/relationships/hyperlink" Target="https://iabot.co" TargetMode="External"/><Relationship Id="rId4093" Type="http://schemas.openxmlformats.org/officeDocument/2006/relationships/hyperlink" Target="https://experian.com" TargetMode="External"/><Relationship Id="rId4092" Type="http://schemas.openxmlformats.org/officeDocument/2006/relationships/hyperlink" Target="http://www.linkedin.com/company/latamsalesbusinessleadership" TargetMode="External"/><Relationship Id="rId4095" Type="http://schemas.openxmlformats.org/officeDocument/2006/relationships/hyperlink" Target="http://www.linkedin.com/company/kordevinc" TargetMode="External"/><Relationship Id="rId4094" Type="http://schemas.openxmlformats.org/officeDocument/2006/relationships/hyperlink" Target="http://www.linkedin.com/in/elmer-ortega-0112ba40" TargetMode="External"/><Relationship Id="rId4097" Type="http://schemas.openxmlformats.org/officeDocument/2006/relationships/hyperlink" Target="http://www.linkedin.com/in/diana-carolina-bernal-montero-a7835497" TargetMode="External"/><Relationship Id="rId4096" Type="http://schemas.openxmlformats.org/officeDocument/2006/relationships/hyperlink" Target="https://kordev.io" TargetMode="External"/><Relationship Id="rId4099" Type="http://schemas.openxmlformats.org/officeDocument/2006/relationships/hyperlink" Target="https://palermohomebogota.com" TargetMode="External"/><Relationship Id="rId4098" Type="http://schemas.openxmlformats.org/officeDocument/2006/relationships/hyperlink" Target="http://www.linkedin.com/company/palermo-home-hotels" TargetMode="External"/><Relationship Id="rId2302" Type="http://schemas.openxmlformats.org/officeDocument/2006/relationships/hyperlink" Target="http://www.linkedin.com/in/johannacordovez" TargetMode="External"/><Relationship Id="rId3634" Type="http://schemas.openxmlformats.org/officeDocument/2006/relationships/hyperlink" Target="https://biocarbonstandard.com" TargetMode="External"/><Relationship Id="rId4965" Type="http://schemas.openxmlformats.org/officeDocument/2006/relationships/hyperlink" Target="http://www.linkedin.com/company/dailybot" TargetMode="External"/><Relationship Id="rId2303" Type="http://schemas.openxmlformats.org/officeDocument/2006/relationships/hyperlink" Target="http://www.linkedin.com/company/tirandoxcolombia" TargetMode="External"/><Relationship Id="rId3633" Type="http://schemas.openxmlformats.org/officeDocument/2006/relationships/hyperlink" Target="http://www.linkedin.com/company/biocarbonstandard" TargetMode="External"/><Relationship Id="rId4964" Type="http://schemas.openxmlformats.org/officeDocument/2006/relationships/hyperlink" Target="http://www.linkedin.com/in/angelapulido" TargetMode="External"/><Relationship Id="rId2304" Type="http://schemas.openxmlformats.org/officeDocument/2006/relationships/hyperlink" Target="https://tirandoxcolombia.com" TargetMode="External"/><Relationship Id="rId3636" Type="http://schemas.openxmlformats.org/officeDocument/2006/relationships/hyperlink" Target="http://www.linkedin.com/company/grupogeos" TargetMode="External"/><Relationship Id="rId4967" Type="http://schemas.openxmlformats.org/officeDocument/2006/relationships/hyperlink" Target="http://www.linkedin.com/company/robotics-4-0" TargetMode="External"/><Relationship Id="rId2305" Type="http://schemas.openxmlformats.org/officeDocument/2006/relationships/hyperlink" Target="http://www.linkedin.com/in/juan-gabriel-arboleda-13998645" TargetMode="External"/><Relationship Id="rId3635" Type="http://schemas.openxmlformats.org/officeDocument/2006/relationships/hyperlink" Target="http://www.linkedin.com/in/charlyoviedog" TargetMode="External"/><Relationship Id="rId4966" Type="http://schemas.openxmlformats.org/officeDocument/2006/relationships/hyperlink" Target="http://www.linkedin.com/in/mario-arbulu-24461514" TargetMode="External"/><Relationship Id="rId2306" Type="http://schemas.openxmlformats.org/officeDocument/2006/relationships/hyperlink" Target="http://www.linkedin.com/company/startco" TargetMode="External"/><Relationship Id="rId3638" Type="http://schemas.openxmlformats.org/officeDocument/2006/relationships/hyperlink" Target="http://www.linkedin.com/in/fcoballe" TargetMode="External"/><Relationship Id="rId4969" Type="http://schemas.openxmlformats.org/officeDocument/2006/relationships/hyperlink" Target="http://www.linkedin.com/company/consulting-services-365" TargetMode="External"/><Relationship Id="rId2307" Type="http://schemas.openxmlformats.org/officeDocument/2006/relationships/hyperlink" Target="https://startco.com.co" TargetMode="External"/><Relationship Id="rId3637" Type="http://schemas.openxmlformats.org/officeDocument/2006/relationships/hyperlink" Target="https://grupogeos.es" TargetMode="External"/><Relationship Id="rId4968" Type="http://schemas.openxmlformats.org/officeDocument/2006/relationships/hyperlink" Target="http://www.linkedin.com/in/carlos-reyes-a17072161" TargetMode="External"/><Relationship Id="rId2308" Type="http://schemas.openxmlformats.org/officeDocument/2006/relationships/hyperlink" Target="http://www.linkedin.com/in/josevcifuentes" TargetMode="External"/><Relationship Id="rId2309" Type="http://schemas.openxmlformats.org/officeDocument/2006/relationships/hyperlink" Target="http://www.linkedin.com/company/ausum-cloud" TargetMode="External"/><Relationship Id="rId3639" Type="http://schemas.openxmlformats.org/officeDocument/2006/relationships/hyperlink" Target="http://www.linkedin.com/company/bolsa-de-consultores-sas" TargetMode="External"/><Relationship Id="rId3630" Type="http://schemas.openxmlformats.org/officeDocument/2006/relationships/hyperlink" Target="http://www.linkedin.com/company/elevvate-co" TargetMode="External"/><Relationship Id="rId4961" Type="http://schemas.openxmlformats.org/officeDocument/2006/relationships/hyperlink" Target="http://www.linkedin.com/company/clara-care-med" TargetMode="External"/><Relationship Id="rId4960" Type="http://schemas.openxmlformats.org/officeDocument/2006/relationships/hyperlink" Target="http://www.linkedin.com/in/azakzuk" TargetMode="External"/><Relationship Id="rId2300" Type="http://schemas.openxmlformats.org/officeDocument/2006/relationships/hyperlink" Target="http://www.linkedin.com/company/onbee-ar" TargetMode="External"/><Relationship Id="rId3632" Type="http://schemas.openxmlformats.org/officeDocument/2006/relationships/hyperlink" Target="http://www.linkedin.com/in/%c3%a1ngela-duque-villegas-7827b51b9" TargetMode="External"/><Relationship Id="rId4963" Type="http://schemas.openxmlformats.org/officeDocument/2006/relationships/hyperlink" Target="http://www.linkedin.com/company/sol-it-s-a-s" TargetMode="External"/><Relationship Id="rId2301" Type="http://schemas.openxmlformats.org/officeDocument/2006/relationships/hyperlink" Target="https://qpros.co" TargetMode="External"/><Relationship Id="rId3631" Type="http://schemas.openxmlformats.org/officeDocument/2006/relationships/hyperlink" Target="https://elevvate.co" TargetMode="External"/><Relationship Id="rId4962" Type="http://schemas.openxmlformats.org/officeDocument/2006/relationships/hyperlink" Target="http://www.linkedin.com/in/dora-solano-cifuentes-77329236" TargetMode="External"/><Relationship Id="rId3623" Type="http://schemas.openxmlformats.org/officeDocument/2006/relationships/hyperlink" Target="http://www.linkedin.com/company/contenedoresdeantioquia" TargetMode="External"/><Relationship Id="rId4954" Type="http://schemas.openxmlformats.org/officeDocument/2006/relationships/hyperlink" Target="http://www.linkedin.com/in/luisferrodriguez" TargetMode="External"/><Relationship Id="rId3622" Type="http://schemas.openxmlformats.org/officeDocument/2006/relationships/hyperlink" Target="http://www.linkedin.com/in/ecorredo" TargetMode="External"/><Relationship Id="rId4953" Type="http://schemas.openxmlformats.org/officeDocument/2006/relationships/hyperlink" Target="http://www.linkedin.com/company/insilicostem" TargetMode="External"/><Relationship Id="rId3625" Type="http://schemas.openxmlformats.org/officeDocument/2006/relationships/hyperlink" Target="http://elevvate.co" TargetMode="External"/><Relationship Id="rId4956" Type="http://schemas.openxmlformats.org/officeDocument/2006/relationships/hyperlink" Target="http://www.linkedin.com/in/diego-martinez-47391a87" TargetMode="External"/><Relationship Id="rId3624" Type="http://schemas.openxmlformats.org/officeDocument/2006/relationships/hyperlink" Target="https://contenedoresdeantioquia.com" TargetMode="External"/><Relationship Id="rId4955" Type="http://schemas.openxmlformats.org/officeDocument/2006/relationships/hyperlink" Target="http://www.linkedin.com/company/bittech-sas" TargetMode="External"/><Relationship Id="rId3627" Type="http://schemas.openxmlformats.org/officeDocument/2006/relationships/hyperlink" Target="http://www.linkedin.com/company/teralmed" TargetMode="External"/><Relationship Id="rId4958" Type="http://schemas.openxmlformats.org/officeDocument/2006/relationships/hyperlink" Target="http://www.linkedin.com/in/marius-roman-a934b513" TargetMode="External"/><Relationship Id="rId3626" Type="http://schemas.openxmlformats.org/officeDocument/2006/relationships/hyperlink" Target="http://www.linkedin.com/in/david-calderon-duarte-3b3a609" TargetMode="External"/><Relationship Id="rId4957" Type="http://schemas.openxmlformats.org/officeDocument/2006/relationships/hyperlink" Target="http://www.linkedin.com/company/rz-group-co" TargetMode="External"/><Relationship Id="rId3629" Type="http://schemas.openxmlformats.org/officeDocument/2006/relationships/hyperlink" Target="http://www.linkedin.com/in/daniel-vengoechea-zuccardi-ba42a048" TargetMode="External"/><Relationship Id="rId3628" Type="http://schemas.openxmlformats.org/officeDocument/2006/relationships/hyperlink" Target="https://teral.ai" TargetMode="External"/><Relationship Id="rId4959" Type="http://schemas.openxmlformats.org/officeDocument/2006/relationships/hyperlink" Target="http://www.linkedin.com/company/viosculpt-aesthetics" TargetMode="External"/><Relationship Id="rId4950" Type="http://schemas.openxmlformats.org/officeDocument/2006/relationships/hyperlink" Target="http://www.linkedin.com/in/ricardo-acosta-46672610a" TargetMode="External"/><Relationship Id="rId3621" Type="http://schemas.openxmlformats.org/officeDocument/2006/relationships/hyperlink" Target="https://ecopcion.com" TargetMode="External"/><Relationship Id="rId4952" Type="http://schemas.openxmlformats.org/officeDocument/2006/relationships/hyperlink" Target="http://www.linkedin.com/in/marcela-mercado-montoya-78a46593" TargetMode="External"/><Relationship Id="rId3620" Type="http://schemas.openxmlformats.org/officeDocument/2006/relationships/hyperlink" Target="http://www.linkedin.com/company/ecopcion" TargetMode="External"/><Relationship Id="rId4951" Type="http://schemas.openxmlformats.org/officeDocument/2006/relationships/hyperlink" Target="http://www.linkedin.com/company/complement-services" TargetMode="External"/><Relationship Id="rId2324" Type="http://schemas.openxmlformats.org/officeDocument/2006/relationships/hyperlink" Target="http://www.linkedin.com/company/dogma-biotech" TargetMode="External"/><Relationship Id="rId3656" Type="http://schemas.openxmlformats.org/officeDocument/2006/relationships/hyperlink" Target="http://www.linkedin.com/in/carlos-andres-vargas-parra-9a46841a" TargetMode="External"/><Relationship Id="rId4987" Type="http://schemas.openxmlformats.org/officeDocument/2006/relationships/hyperlink" Target="http://www.linkedin.com/company/giobsapp" TargetMode="External"/><Relationship Id="rId2325" Type="http://schemas.openxmlformats.org/officeDocument/2006/relationships/hyperlink" Target="https://dogmabiotech.bio" TargetMode="External"/><Relationship Id="rId3655" Type="http://schemas.openxmlformats.org/officeDocument/2006/relationships/hyperlink" Target="https://timba.co" TargetMode="External"/><Relationship Id="rId4986" Type="http://schemas.openxmlformats.org/officeDocument/2006/relationships/hyperlink" Target="http://www.linkedin.com/in/yolima-amparo-restrepo-45985039" TargetMode="External"/><Relationship Id="rId2326" Type="http://schemas.openxmlformats.org/officeDocument/2006/relationships/hyperlink" Target="http://www.linkedin.com/in/diego-parra-00175b141" TargetMode="External"/><Relationship Id="rId3658" Type="http://schemas.openxmlformats.org/officeDocument/2006/relationships/hyperlink" Target="https://fexe.co" TargetMode="External"/><Relationship Id="rId4989" Type="http://schemas.openxmlformats.org/officeDocument/2006/relationships/hyperlink" Target="http://www.linkedin.com/company/snappypet" TargetMode="External"/><Relationship Id="rId2327" Type="http://schemas.openxmlformats.org/officeDocument/2006/relationships/hyperlink" Target="http://www.linkedin.com/company/elyssa-app" TargetMode="External"/><Relationship Id="rId3657" Type="http://schemas.openxmlformats.org/officeDocument/2006/relationships/hyperlink" Target="http://www.linkedin.com/company/fexesolucionadores" TargetMode="External"/><Relationship Id="rId4988" Type="http://schemas.openxmlformats.org/officeDocument/2006/relationships/hyperlink" Target="http://www.linkedin.com/in/marion-vall-de-ruten-42741b24" TargetMode="External"/><Relationship Id="rId2328" Type="http://schemas.openxmlformats.org/officeDocument/2006/relationships/hyperlink" Target="https://elyssa.app" TargetMode="External"/><Relationship Id="rId2329" Type="http://schemas.openxmlformats.org/officeDocument/2006/relationships/hyperlink" Target="http://www.linkedin.com/in/duberney-camargo" TargetMode="External"/><Relationship Id="rId3659" Type="http://schemas.openxmlformats.org/officeDocument/2006/relationships/hyperlink" Target="http://www.linkedin.com/in/luisa-fernanda-m%c3%a9ndez-r-58479a52" TargetMode="External"/><Relationship Id="rId3650" Type="http://schemas.openxmlformats.org/officeDocument/2006/relationships/hyperlink" Target="http://www.linkedin.com/in/jorge-hern%c3%a1ndez-669b71b0" TargetMode="External"/><Relationship Id="rId4981" Type="http://schemas.openxmlformats.org/officeDocument/2006/relationships/hyperlink" Target="http://www.linkedin.com/company/oficina-club-deportes-tolima-s.a" TargetMode="External"/><Relationship Id="rId4980" Type="http://schemas.openxmlformats.org/officeDocument/2006/relationships/hyperlink" Target="http://www.linkedin.com/in/emilio-andrade-matuk" TargetMode="External"/><Relationship Id="rId2320" Type="http://schemas.openxmlformats.org/officeDocument/2006/relationships/hyperlink" Target="http://www.linkedin.com/in/adriana-barreto-aldana-2b531325" TargetMode="External"/><Relationship Id="rId3652" Type="http://schemas.openxmlformats.org/officeDocument/2006/relationships/hyperlink" Target="https://igniciongames.com" TargetMode="External"/><Relationship Id="rId4983" Type="http://schemas.openxmlformats.org/officeDocument/2006/relationships/hyperlink" Target="http://www.linkedin.com/company/hm-synergy" TargetMode="External"/><Relationship Id="rId2321" Type="http://schemas.openxmlformats.org/officeDocument/2006/relationships/hyperlink" Target="http://www.linkedin.com/company/hrmanagementsas" TargetMode="External"/><Relationship Id="rId3651" Type="http://schemas.openxmlformats.org/officeDocument/2006/relationships/hyperlink" Target="http://www.linkedin.com/company/ignicion-games" TargetMode="External"/><Relationship Id="rId4982" Type="http://schemas.openxmlformats.org/officeDocument/2006/relationships/hyperlink" Target="http://www.linkedin.com/in/carlosihernandezg" TargetMode="External"/><Relationship Id="rId2322" Type="http://schemas.openxmlformats.org/officeDocument/2006/relationships/hyperlink" Target="https://hrmanagement.com.co" TargetMode="External"/><Relationship Id="rId3654" Type="http://schemas.openxmlformats.org/officeDocument/2006/relationships/hyperlink" Target="http://www.linkedin.com/company/timba" TargetMode="External"/><Relationship Id="rId4985" Type="http://schemas.openxmlformats.org/officeDocument/2006/relationships/hyperlink" Target="http://www.linkedin.com/company/super-link" TargetMode="External"/><Relationship Id="rId2323" Type="http://schemas.openxmlformats.org/officeDocument/2006/relationships/hyperlink" Target="http://www.linkedin.com/in/sergio-mario-del-risco-41993a107" TargetMode="External"/><Relationship Id="rId3653" Type="http://schemas.openxmlformats.org/officeDocument/2006/relationships/hyperlink" Target="http://www.linkedin.com/in/ivanfalvarez" TargetMode="External"/><Relationship Id="rId4984" Type="http://schemas.openxmlformats.org/officeDocument/2006/relationships/hyperlink" Target="http://www.linkedin.com/in/simon-angel-pal" TargetMode="External"/><Relationship Id="rId2313" Type="http://schemas.openxmlformats.org/officeDocument/2006/relationships/hyperlink" Target="https://equiis.com.co" TargetMode="External"/><Relationship Id="rId3645" Type="http://schemas.openxmlformats.org/officeDocument/2006/relationships/hyperlink" Target="http://www.linkedin.com/company/wink-eventos" TargetMode="External"/><Relationship Id="rId4976" Type="http://schemas.openxmlformats.org/officeDocument/2006/relationships/hyperlink" Target="http://www.linkedin.com/in/oscar-giraldo-70722578" TargetMode="External"/><Relationship Id="rId2314" Type="http://schemas.openxmlformats.org/officeDocument/2006/relationships/hyperlink" Target="http://www.linkedin.com/in/karolynn-halpert-b5a58773" TargetMode="External"/><Relationship Id="rId3644" Type="http://schemas.openxmlformats.org/officeDocument/2006/relationships/hyperlink" Target="http://www.linkedin.com/in/davidpinedaduque" TargetMode="External"/><Relationship Id="rId4975" Type="http://schemas.openxmlformats.org/officeDocument/2006/relationships/hyperlink" Target="http://www.linkedin.com/company/mambostudio" TargetMode="External"/><Relationship Id="rId2315" Type="http://schemas.openxmlformats.org/officeDocument/2006/relationships/hyperlink" Target="http://www.linkedin.com/company/bioxcellerator-com" TargetMode="External"/><Relationship Id="rId3647" Type="http://schemas.openxmlformats.org/officeDocument/2006/relationships/hyperlink" Target="http://www.linkedin.com/in/johngomezl" TargetMode="External"/><Relationship Id="rId4978" Type="http://schemas.openxmlformats.org/officeDocument/2006/relationships/hyperlink" Target="http://www.linkedin.com/in/miguel-gutierrez-7b056ab3" TargetMode="External"/><Relationship Id="rId2316" Type="http://schemas.openxmlformats.org/officeDocument/2006/relationships/hyperlink" Target="https://bioxcellerator.com" TargetMode="External"/><Relationship Id="rId3646" Type="http://schemas.openxmlformats.org/officeDocument/2006/relationships/hyperlink" Target="https://winkeventos.com" TargetMode="External"/><Relationship Id="rId4977" Type="http://schemas.openxmlformats.org/officeDocument/2006/relationships/hyperlink" Target="http://www.linkedin.com/company/kosmosticsas" TargetMode="External"/><Relationship Id="rId2317" Type="http://schemas.openxmlformats.org/officeDocument/2006/relationships/hyperlink" Target="http://www.linkedin.com/in/sergioleon" TargetMode="External"/><Relationship Id="rId3649" Type="http://schemas.openxmlformats.org/officeDocument/2006/relationships/hyperlink" Target="https://somosziro.com" TargetMode="External"/><Relationship Id="rId2318" Type="http://schemas.openxmlformats.org/officeDocument/2006/relationships/hyperlink" Target="http://www.linkedin.com/company/openatlas" TargetMode="External"/><Relationship Id="rId3648" Type="http://schemas.openxmlformats.org/officeDocument/2006/relationships/hyperlink" Target="http://www.linkedin.com/company/somosziro" TargetMode="External"/><Relationship Id="rId4979" Type="http://schemas.openxmlformats.org/officeDocument/2006/relationships/hyperlink" Target="http://www.linkedin.com/company/moltoficial" TargetMode="External"/><Relationship Id="rId2319" Type="http://schemas.openxmlformats.org/officeDocument/2006/relationships/hyperlink" Target="https://openatlas.tech" TargetMode="External"/><Relationship Id="rId4970" Type="http://schemas.openxmlformats.org/officeDocument/2006/relationships/hyperlink" Target="http://www.linkedin.com/in/carlos-morales-customer-experience-estrategico-business-development-omnichannel" TargetMode="External"/><Relationship Id="rId3641" Type="http://schemas.openxmlformats.org/officeDocument/2006/relationships/hyperlink" Target="http://www.linkedin.com/in/mariamajamiperalta" TargetMode="External"/><Relationship Id="rId4972" Type="http://schemas.openxmlformats.org/officeDocument/2006/relationships/hyperlink" Target="http://www.linkedin.com/in/laura-ortiz-calderon-46662521b" TargetMode="External"/><Relationship Id="rId2310" Type="http://schemas.openxmlformats.org/officeDocument/2006/relationships/hyperlink" Target="https://ausum.cloud" TargetMode="External"/><Relationship Id="rId3640" Type="http://schemas.openxmlformats.org/officeDocument/2006/relationships/hyperlink" Target="https://bolsadeconsultores.com" TargetMode="External"/><Relationship Id="rId4971" Type="http://schemas.openxmlformats.org/officeDocument/2006/relationships/hyperlink" Target="http://www.linkedin.com/company/bkpocolombia" TargetMode="External"/><Relationship Id="rId2311" Type="http://schemas.openxmlformats.org/officeDocument/2006/relationships/hyperlink" Target="http://www.linkedin.com/in/ximena-acosta-santos-6206a187" TargetMode="External"/><Relationship Id="rId3643" Type="http://schemas.openxmlformats.org/officeDocument/2006/relationships/hyperlink" Target="https://tools2power.com" TargetMode="External"/><Relationship Id="rId4974" Type="http://schemas.openxmlformats.org/officeDocument/2006/relationships/hyperlink" Target="http://www.linkedin.com/in/juan-duque-7a77242a" TargetMode="External"/><Relationship Id="rId2312" Type="http://schemas.openxmlformats.org/officeDocument/2006/relationships/hyperlink" Target="http://www.linkedin.com/company/equiis-sas" TargetMode="External"/><Relationship Id="rId3642" Type="http://schemas.openxmlformats.org/officeDocument/2006/relationships/hyperlink" Target="http://www.linkedin.com/company/tools2power" TargetMode="External"/><Relationship Id="rId4973" Type="http://schemas.openxmlformats.org/officeDocument/2006/relationships/hyperlink" Target="http://www.linkedin.com/company/arkangel-ai" TargetMode="External"/><Relationship Id="rId1895" Type="http://schemas.openxmlformats.org/officeDocument/2006/relationships/hyperlink" Target="http://www.linkedin.com/company/green-factory-col" TargetMode="External"/><Relationship Id="rId4921" Type="http://schemas.openxmlformats.org/officeDocument/2006/relationships/hyperlink" Target="http://www.linkedin.com/company/salestrategy-io" TargetMode="External"/><Relationship Id="rId1896" Type="http://schemas.openxmlformats.org/officeDocument/2006/relationships/hyperlink" Target="https://greenfactory.com.co" TargetMode="External"/><Relationship Id="rId4920" Type="http://schemas.openxmlformats.org/officeDocument/2006/relationships/hyperlink" Target="http://www.linkedin.com/in/david-lemus-93a7b390" TargetMode="External"/><Relationship Id="rId1897" Type="http://schemas.openxmlformats.org/officeDocument/2006/relationships/hyperlink" Target="http://www.linkedin.com/in/carlosalbertosantana" TargetMode="External"/><Relationship Id="rId4923" Type="http://schemas.openxmlformats.org/officeDocument/2006/relationships/hyperlink" Target="http://www.linkedin.com/company/edgenai" TargetMode="External"/><Relationship Id="rId1898" Type="http://schemas.openxmlformats.org/officeDocument/2006/relationships/hyperlink" Target="http://www.linkedin.com/company/magneticsuite" TargetMode="External"/><Relationship Id="rId4922" Type="http://schemas.openxmlformats.org/officeDocument/2006/relationships/hyperlink" Target="http://www.linkedin.com/in/estebandalelr" TargetMode="External"/><Relationship Id="rId1899" Type="http://schemas.openxmlformats.org/officeDocument/2006/relationships/hyperlink" Target="https://magneticsuite.com" TargetMode="External"/><Relationship Id="rId4925" Type="http://schemas.openxmlformats.org/officeDocument/2006/relationships/hyperlink" Target="http://www.linkedin.com/company/tracki-ai" TargetMode="External"/><Relationship Id="rId4924" Type="http://schemas.openxmlformats.org/officeDocument/2006/relationships/hyperlink" Target="http://www.linkedin.com/in/isabela-jim%c3%a9nez-g-9627b374" TargetMode="External"/><Relationship Id="rId4927" Type="http://schemas.openxmlformats.org/officeDocument/2006/relationships/hyperlink" Target="http://www.linkedin.com/company/there-is-talent" TargetMode="External"/><Relationship Id="rId4926" Type="http://schemas.openxmlformats.org/officeDocument/2006/relationships/hyperlink" Target="http://www.linkedin.com/in/claudia-real" TargetMode="External"/><Relationship Id="rId4929" Type="http://schemas.openxmlformats.org/officeDocument/2006/relationships/hyperlink" Target="http://www.linkedin.com/company/reteki-sas" TargetMode="External"/><Relationship Id="rId4928" Type="http://schemas.openxmlformats.org/officeDocument/2006/relationships/hyperlink" Target="http://www.linkedin.com/in/jairo-serrano" TargetMode="External"/><Relationship Id="rId1890" Type="http://schemas.openxmlformats.org/officeDocument/2006/relationships/hyperlink" Target="https://ferreteriavallejoltda.com.co" TargetMode="External"/><Relationship Id="rId1891" Type="http://schemas.openxmlformats.org/officeDocument/2006/relationships/hyperlink" Target="http://www.linkedin.com/in/anaecheverri" TargetMode="External"/><Relationship Id="rId1892" Type="http://schemas.openxmlformats.org/officeDocument/2006/relationships/hyperlink" Target="http://www.linkedin.com/company/medea-interactiva" TargetMode="External"/><Relationship Id="rId1893" Type="http://schemas.openxmlformats.org/officeDocument/2006/relationships/hyperlink" Target="https://medeainteractiva.com" TargetMode="External"/><Relationship Id="rId1894" Type="http://schemas.openxmlformats.org/officeDocument/2006/relationships/hyperlink" Target="http://www.linkedin.com/in/diego-felipe-prada-samudio-2047952a" TargetMode="External"/><Relationship Id="rId1884" Type="http://schemas.openxmlformats.org/officeDocument/2006/relationships/hyperlink" Target="https://semillasarroyave.com" TargetMode="External"/><Relationship Id="rId4910" Type="http://schemas.openxmlformats.org/officeDocument/2006/relationships/hyperlink" Target="http://www.linkedin.com/in/david-poveda-785702150" TargetMode="External"/><Relationship Id="rId1885" Type="http://schemas.openxmlformats.org/officeDocument/2006/relationships/hyperlink" Target="http://www.linkedin.com/in/pablo-tirado-ruiz-5bbbb755" TargetMode="External"/><Relationship Id="rId1886" Type="http://schemas.openxmlformats.org/officeDocument/2006/relationships/hyperlink" Target="http://www.linkedin.com/company/360lateral" TargetMode="External"/><Relationship Id="rId4912" Type="http://schemas.openxmlformats.org/officeDocument/2006/relationships/hyperlink" Target="http://www.linkedin.com/in/jorge-andres-hernandez-8a4442b1" TargetMode="External"/><Relationship Id="rId1887" Type="http://schemas.openxmlformats.org/officeDocument/2006/relationships/hyperlink" Target="https://360lateral.com" TargetMode="External"/><Relationship Id="rId4911" Type="http://schemas.openxmlformats.org/officeDocument/2006/relationships/hyperlink" Target="http://www.linkedin.com/company/flowing-consultor%c3%ada" TargetMode="External"/><Relationship Id="rId1888" Type="http://schemas.openxmlformats.org/officeDocument/2006/relationships/hyperlink" Target="http://www.linkedin.com/in/alex-vallejo-9b01244" TargetMode="External"/><Relationship Id="rId4914" Type="http://schemas.openxmlformats.org/officeDocument/2006/relationships/hyperlink" Target="http://www.linkedin.com/in/antonio-velasquez-cruz-51826336" TargetMode="External"/><Relationship Id="rId1889" Type="http://schemas.openxmlformats.org/officeDocument/2006/relationships/hyperlink" Target="http://www.linkedin.com/company/ferreteria-vallejo" TargetMode="External"/><Relationship Id="rId4913" Type="http://schemas.openxmlformats.org/officeDocument/2006/relationships/hyperlink" Target="http://www.linkedin.com/company/wupo" TargetMode="External"/><Relationship Id="rId4916" Type="http://schemas.openxmlformats.org/officeDocument/2006/relationships/hyperlink" Target="http://www.linkedin.com/in/santiago-varenkow" TargetMode="External"/><Relationship Id="rId4915" Type="http://schemas.openxmlformats.org/officeDocument/2006/relationships/hyperlink" Target="http://www.linkedin.com/company/engineviasas" TargetMode="External"/><Relationship Id="rId4918" Type="http://schemas.openxmlformats.org/officeDocument/2006/relationships/hyperlink" Target="http://www.linkedin.com/in/catalina-ortiz-29532441" TargetMode="External"/><Relationship Id="rId4917" Type="http://schemas.openxmlformats.org/officeDocument/2006/relationships/hyperlink" Target="http://www.linkedin.com/company/boxi-sleep" TargetMode="External"/><Relationship Id="rId4919" Type="http://schemas.openxmlformats.org/officeDocument/2006/relationships/hyperlink" Target="http://www.linkedin.com/company/qinaya" TargetMode="External"/><Relationship Id="rId1880" Type="http://schemas.openxmlformats.org/officeDocument/2006/relationships/hyperlink" Target="http://www.linkedin.com/company/turbotraffic" TargetMode="External"/><Relationship Id="rId1881" Type="http://schemas.openxmlformats.org/officeDocument/2006/relationships/hyperlink" Target="https://turbotraffic.com" TargetMode="External"/><Relationship Id="rId1882" Type="http://schemas.openxmlformats.org/officeDocument/2006/relationships/hyperlink" Target="http://www.linkedin.com/in/camilo-arroyave-a91039b4" TargetMode="External"/><Relationship Id="rId1883" Type="http://schemas.openxmlformats.org/officeDocument/2006/relationships/hyperlink" Target="http://www.linkedin.com/company/semillas-arroyave" TargetMode="External"/><Relationship Id="rId3612" Type="http://schemas.openxmlformats.org/officeDocument/2006/relationships/hyperlink" Target="https://grovity.ai" TargetMode="External"/><Relationship Id="rId4943" Type="http://schemas.openxmlformats.org/officeDocument/2006/relationships/hyperlink" Target="http://www.linkedin.com/company/hamkke" TargetMode="External"/><Relationship Id="rId3611" Type="http://schemas.openxmlformats.org/officeDocument/2006/relationships/hyperlink" Target="http://www.linkedin.com/company/grovity-services" TargetMode="External"/><Relationship Id="rId4942" Type="http://schemas.openxmlformats.org/officeDocument/2006/relationships/hyperlink" Target="http://www.linkedin.com/in/maritzaroldan" TargetMode="External"/><Relationship Id="rId3614" Type="http://schemas.openxmlformats.org/officeDocument/2006/relationships/hyperlink" Target="http://www.linkedin.com/company/belatec-sas" TargetMode="External"/><Relationship Id="rId4945" Type="http://schemas.openxmlformats.org/officeDocument/2006/relationships/hyperlink" Target="http://www.linkedin.com/company/agnis-sas" TargetMode="External"/><Relationship Id="rId3613" Type="http://schemas.openxmlformats.org/officeDocument/2006/relationships/hyperlink" Target="http://www.linkedin.com/in/jorge-andres-sandoval-60b777a8" TargetMode="External"/><Relationship Id="rId4944" Type="http://schemas.openxmlformats.org/officeDocument/2006/relationships/hyperlink" Target="http://www.linkedin.com/in/alexroaparicio" TargetMode="External"/><Relationship Id="rId3616" Type="http://schemas.openxmlformats.org/officeDocument/2006/relationships/hyperlink" Target="http://www.linkedin.com/in/andresduto" TargetMode="External"/><Relationship Id="rId4947" Type="http://schemas.openxmlformats.org/officeDocument/2006/relationships/hyperlink" Target="http://www.linkedin.com/company/tecma-feria" TargetMode="External"/><Relationship Id="rId3615" Type="http://schemas.openxmlformats.org/officeDocument/2006/relationships/hyperlink" Target="https://belatec.com.co" TargetMode="External"/><Relationship Id="rId4946" Type="http://schemas.openxmlformats.org/officeDocument/2006/relationships/hyperlink" Target="http://www.linkedin.com/in/jorge-rozo-66a1aaa5" TargetMode="External"/><Relationship Id="rId3618" Type="http://schemas.openxmlformats.org/officeDocument/2006/relationships/hyperlink" Target="https://sabanablues.com" TargetMode="External"/><Relationship Id="rId4949" Type="http://schemas.openxmlformats.org/officeDocument/2006/relationships/hyperlink" Target="http://www.linkedin.com/company/malakai-group" TargetMode="External"/><Relationship Id="rId3617" Type="http://schemas.openxmlformats.org/officeDocument/2006/relationships/hyperlink" Target="http://www.linkedin.com/company/sabana-blues" TargetMode="External"/><Relationship Id="rId4948" Type="http://schemas.openxmlformats.org/officeDocument/2006/relationships/hyperlink" Target="http://www.linkedin.com/in/german-cardona-ramirez-8ab7bb16" TargetMode="External"/><Relationship Id="rId3619" Type="http://schemas.openxmlformats.org/officeDocument/2006/relationships/hyperlink" Target="http://www.linkedin.com/in/felipe-hernandez-ramirez-29385a71" TargetMode="External"/><Relationship Id="rId3610" Type="http://schemas.openxmlformats.org/officeDocument/2006/relationships/hyperlink" Target="http://www.linkedin.com/in/miguel-urquijo-62937796" TargetMode="External"/><Relationship Id="rId4941" Type="http://schemas.openxmlformats.org/officeDocument/2006/relationships/hyperlink" Target="http://www.linkedin.com/company/binstarh" TargetMode="External"/><Relationship Id="rId4940" Type="http://schemas.openxmlformats.org/officeDocument/2006/relationships/hyperlink" Target="http://www.linkedin.com/in/jorandpg" TargetMode="External"/><Relationship Id="rId3601" Type="http://schemas.openxmlformats.org/officeDocument/2006/relationships/hyperlink" Target="http://www.linkedin.com/in/daniel-trujillo-4271b634" TargetMode="External"/><Relationship Id="rId4932" Type="http://schemas.openxmlformats.org/officeDocument/2006/relationships/hyperlink" Target="http://www.linkedin.com/in/juanalejandropc" TargetMode="External"/><Relationship Id="rId3600" Type="http://schemas.openxmlformats.org/officeDocument/2006/relationships/hyperlink" Target="https://cedinsi.edu.co" TargetMode="External"/><Relationship Id="rId4931" Type="http://schemas.openxmlformats.org/officeDocument/2006/relationships/hyperlink" Target="http://www.linkedin.com/company/sge-energia" TargetMode="External"/><Relationship Id="rId3603" Type="http://schemas.openxmlformats.org/officeDocument/2006/relationships/hyperlink" Target="https://unitysolutions.com.co" TargetMode="External"/><Relationship Id="rId4934" Type="http://schemas.openxmlformats.org/officeDocument/2006/relationships/hyperlink" Target="http://www.linkedin.com/in/esteban-betancur-" TargetMode="External"/><Relationship Id="rId3602" Type="http://schemas.openxmlformats.org/officeDocument/2006/relationships/hyperlink" Target="http://www.linkedin.com/company/unity-solutions-sas" TargetMode="External"/><Relationship Id="rId4933" Type="http://schemas.openxmlformats.org/officeDocument/2006/relationships/hyperlink" Target="http://www.linkedin.com/company/fulroi" TargetMode="External"/><Relationship Id="rId3605" Type="http://schemas.openxmlformats.org/officeDocument/2006/relationships/hyperlink" Target="http://www.linkedin.com/company/hasta-capital" TargetMode="External"/><Relationship Id="rId4936" Type="http://schemas.openxmlformats.org/officeDocument/2006/relationships/hyperlink" Target="http://www.linkedin.com/in/jpacfc" TargetMode="External"/><Relationship Id="rId3604" Type="http://schemas.openxmlformats.org/officeDocument/2006/relationships/hyperlink" Target="http://www.linkedin.com/in/juan-sebastian-ossa-puentes" TargetMode="External"/><Relationship Id="rId4935" Type="http://schemas.openxmlformats.org/officeDocument/2006/relationships/hyperlink" Target="http://www.linkedin.com/company/prestigio-la" TargetMode="External"/><Relationship Id="rId3607" Type="http://schemas.openxmlformats.org/officeDocument/2006/relationships/hyperlink" Target="http://www.linkedin.com/in/manuelfranz" TargetMode="External"/><Relationship Id="rId4938" Type="http://schemas.openxmlformats.org/officeDocument/2006/relationships/hyperlink" Target="http://www.linkedin.com/in/juan-david-sarmiento-a6754b197" TargetMode="External"/><Relationship Id="rId3606" Type="http://schemas.openxmlformats.org/officeDocument/2006/relationships/hyperlink" Target="https://hastacapital.com" TargetMode="External"/><Relationship Id="rId4937" Type="http://schemas.openxmlformats.org/officeDocument/2006/relationships/hyperlink" Target="http://www.linkedin.com/company/prevalentware" TargetMode="External"/><Relationship Id="rId3609" Type="http://schemas.openxmlformats.org/officeDocument/2006/relationships/hyperlink" Target="https://getvico.com" TargetMode="External"/><Relationship Id="rId3608" Type="http://schemas.openxmlformats.org/officeDocument/2006/relationships/hyperlink" Target="http://www.linkedin.com/company/vicorooms" TargetMode="External"/><Relationship Id="rId4939" Type="http://schemas.openxmlformats.org/officeDocument/2006/relationships/hyperlink" Target="http://www.linkedin.com/company/su%c3%a1sar-consultores-sas" TargetMode="External"/><Relationship Id="rId4930" Type="http://schemas.openxmlformats.org/officeDocument/2006/relationships/hyperlink" Target="http://www.linkedin.com/in/ruben-dario-parada-rom%c3%a1n-0b6700218" TargetMode="External"/><Relationship Id="rId1059" Type="http://schemas.openxmlformats.org/officeDocument/2006/relationships/hyperlink" Target="https://innovafoodsco.com" TargetMode="External"/><Relationship Id="rId5417" Type="http://schemas.openxmlformats.org/officeDocument/2006/relationships/hyperlink" Target="http://www.linkedin.com/company/lesiga" TargetMode="External"/><Relationship Id="rId5418" Type="http://schemas.openxmlformats.org/officeDocument/2006/relationships/hyperlink" Target="http://www.linkedin.com/in/harold-franco-eastman-bb16161b" TargetMode="External"/><Relationship Id="rId5415" Type="http://schemas.openxmlformats.org/officeDocument/2006/relationships/hyperlink" Target="http://www.linkedin.com/company/standard-backing" TargetMode="External"/><Relationship Id="rId5416" Type="http://schemas.openxmlformats.org/officeDocument/2006/relationships/hyperlink" Target="http://www.linkedin.com/in/erickhansen" TargetMode="External"/><Relationship Id="rId5419" Type="http://schemas.openxmlformats.org/officeDocument/2006/relationships/hyperlink" Target="http://www.linkedin.com/company/info-strategy-s-a-s" TargetMode="External"/><Relationship Id="rId228" Type="http://schemas.openxmlformats.org/officeDocument/2006/relationships/hyperlink" Target="http://www.linkedin.com/company/creditopcompany" TargetMode="External"/><Relationship Id="rId227" Type="http://schemas.openxmlformats.org/officeDocument/2006/relationships/hyperlink" Target="http://www.linkedin.com/in/daniel-garz%c3%b3n-1a570a70" TargetMode="External"/><Relationship Id="rId226" Type="http://schemas.openxmlformats.org/officeDocument/2006/relationships/hyperlink" Target="https://omnierp.app" TargetMode="External"/><Relationship Id="rId225" Type="http://schemas.openxmlformats.org/officeDocument/2006/relationships/hyperlink" Target="http://www.linkedin.com/company/controltotal" TargetMode="External"/><Relationship Id="rId2380" Type="http://schemas.openxmlformats.org/officeDocument/2006/relationships/hyperlink" Target="http://www.linkedin.com/company/compumarketingsas" TargetMode="External"/><Relationship Id="rId229" Type="http://schemas.openxmlformats.org/officeDocument/2006/relationships/hyperlink" Target="https://creditop.com" TargetMode="External"/><Relationship Id="rId1050" Type="http://schemas.openxmlformats.org/officeDocument/2006/relationships/hyperlink" Target="https://eatcoffee.co" TargetMode="External"/><Relationship Id="rId2381" Type="http://schemas.openxmlformats.org/officeDocument/2006/relationships/hyperlink" Target="https://compumarketing.net" TargetMode="External"/><Relationship Id="rId220" Type="http://schemas.openxmlformats.org/officeDocument/2006/relationships/hyperlink" Target="https://walix.co" TargetMode="External"/><Relationship Id="rId1051" Type="http://schemas.openxmlformats.org/officeDocument/2006/relationships/hyperlink" Target="http://www.linkedin.com/in/carlos-mario-rodriguez-posada-6a9555" TargetMode="External"/><Relationship Id="rId2382" Type="http://schemas.openxmlformats.org/officeDocument/2006/relationships/hyperlink" Target="http://www.linkedin.com/in/maria-paula-bermudez" TargetMode="External"/><Relationship Id="rId1052" Type="http://schemas.openxmlformats.org/officeDocument/2006/relationships/hyperlink" Target="http://www.linkedin.com/company/movigo360" TargetMode="External"/><Relationship Id="rId2383" Type="http://schemas.openxmlformats.org/officeDocument/2006/relationships/hyperlink" Target="http://www.linkedin.com/company/legal-bud" TargetMode="External"/><Relationship Id="rId5410" Type="http://schemas.openxmlformats.org/officeDocument/2006/relationships/hyperlink" Target="http://www.linkedin.com/in/claudia-garcia-9b9a0410a" TargetMode="External"/><Relationship Id="rId1053" Type="http://schemas.openxmlformats.org/officeDocument/2006/relationships/hyperlink" Target="https://movigo360.com" TargetMode="External"/><Relationship Id="rId2384" Type="http://schemas.openxmlformats.org/officeDocument/2006/relationships/hyperlink" Target="https://legalbud.com.co" TargetMode="External"/><Relationship Id="rId1054" Type="http://schemas.openxmlformats.org/officeDocument/2006/relationships/hyperlink" Target="http://www.linkedin.com/in/juan-pablo-zuluaga-giraldo-11155211a" TargetMode="External"/><Relationship Id="rId2385" Type="http://schemas.openxmlformats.org/officeDocument/2006/relationships/hyperlink" Target="http://www.linkedin.com/in/sebasby" TargetMode="External"/><Relationship Id="rId224" Type="http://schemas.openxmlformats.org/officeDocument/2006/relationships/hyperlink" Target="http://www.linkedin.com/in/diego-avalos" TargetMode="External"/><Relationship Id="rId1055" Type="http://schemas.openxmlformats.org/officeDocument/2006/relationships/hyperlink" Target="http://www.linkedin.com/company/nivelar" TargetMode="External"/><Relationship Id="rId2386" Type="http://schemas.openxmlformats.org/officeDocument/2006/relationships/hyperlink" Target="http://www.linkedin.com/company/bito-inc" TargetMode="External"/><Relationship Id="rId5413" Type="http://schemas.openxmlformats.org/officeDocument/2006/relationships/hyperlink" Target="http://www.linkedin.com/company/new-fire-evangelization" TargetMode="External"/><Relationship Id="rId223" Type="http://schemas.openxmlformats.org/officeDocument/2006/relationships/hyperlink" Target="https://palatierra.com" TargetMode="External"/><Relationship Id="rId1056" Type="http://schemas.openxmlformats.org/officeDocument/2006/relationships/hyperlink" Target="https://nivelarapp.com" TargetMode="External"/><Relationship Id="rId2387" Type="http://schemas.openxmlformats.org/officeDocument/2006/relationships/hyperlink" Target="https://bitoinc.co" TargetMode="External"/><Relationship Id="rId5414" Type="http://schemas.openxmlformats.org/officeDocument/2006/relationships/hyperlink" Target="http://www.linkedin.com/in/braistorming" TargetMode="External"/><Relationship Id="rId222" Type="http://schemas.openxmlformats.org/officeDocument/2006/relationships/hyperlink" Target="http://www.linkedin.com/company/palatierra" TargetMode="External"/><Relationship Id="rId1057" Type="http://schemas.openxmlformats.org/officeDocument/2006/relationships/hyperlink" Target="http://www.linkedin.com/in/santiago-florez-millan-865579a0" TargetMode="External"/><Relationship Id="rId2388" Type="http://schemas.openxmlformats.org/officeDocument/2006/relationships/hyperlink" Target="http://www.linkedin.com/in/juanpsolano" TargetMode="External"/><Relationship Id="rId5411" Type="http://schemas.openxmlformats.org/officeDocument/2006/relationships/hyperlink" Target="http://www.linkedin.com/company/tuscany-south-america-ltd-" TargetMode="External"/><Relationship Id="rId221" Type="http://schemas.openxmlformats.org/officeDocument/2006/relationships/hyperlink" Target="http://www.linkedin.com/in/alejandro-gutierrez-diaz" TargetMode="External"/><Relationship Id="rId1058" Type="http://schemas.openxmlformats.org/officeDocument/2006/relationships/hyperlink" Target="http://www.linkedin.com/company/pacific-products-s-a-s" TargetMode="External"/><Relationship Id="rId2389" Type="http://schemas.openxmlformats.org/officeDocument/2006/relationships/hyperlink" Target="http://www.linkedin.com/company/jaguarbite" TargetMode="External"/><Relationship Id="rId5412" Type="http://schemas.openxmlformats.org/officeDocument/2006/relationships/hyperlink" Target="http://www.linkedin.com/in/mariaclaudiaescobar" TargetMode="External"/><Relationship Id="rId1048" Type="http://schemas.openxmlformats.org/officeDocument/2006/relationships/hyperlink" Target="http://www.linkedin.com/in/alejandro-ospina-marulanda" TargetMode="External"/><Relationship Id="rId2379" Type="http://schemas.openxmlformats.org/officeDocument/2006/relationships/hyperlink" Target="http://www.linkedin.com/in/carlos-julio-marin-bermeo-6743644b" TargetMode="External"/><Relationship Id="rId5406" Type="http://schemas.openxmlformats.org/officeDocument/2006/relationships/hyperlink" Target="http://www.linkedin.com/in/monica-salazar-023a57156" TargetMode="External"/><Relationship Id="rId1049" Type="http://schemas.openxmlformats.org/officeDocument/2006/relationships/hyperlink" Target="http://www.linkedin.com/company/eatcompany" TargetMode="External"/><Relationship Id="rId5407" Type="http://schemas.openxmlformats.org/officeDocument/2006/relationships/hyperlink" Target="http://www.linkedin.com/company/avanz-consultores" TargetMode="External"/><Relationship Id="rId5404" Type="http://schemas.openxmlformats.org/officeDocument/2006/relationships/hyperlink" Target="http://www.linkedin.com/in/carlos-andr%c3%a9s-gaviria-dugand-4973a82b" TargetMode="External"/><Relationship Id="rId5405" Type="http://schemas.openxmlformats.org/officeDocument/2006/relationships/hyperlink" Target="http://www.linkedin.com/company/inmoboflats" TargetMode="External"/><Relationship Id="rId5408" Type="http://schemas.openxmlformats.org/officeDocument/2006/relationships/hyperlink" Target="http://www.linkedin.com/in/gian-piero-riccardi-4804b351" TargetMode="External"/><Relationship Id="rId5409" Type="http://schemas.openxmlformats.org/officeDocument/2006/relationships/hyperlink" Target="http://www.linkedin.com/company/pisoslglatam" TargetMode="External"/><Relationship Id="rId217" Type="http://schemas.openxmlformats.org/officeDocument/2006/relationships/hyperlink" Target="https://cocotero.com.co" TargetMode="External"/><Relationship Id="rId216" Type="http://schemas.openxmlformats.org/officeDocument/2006/relationships/hyperlink" Target="http://www.linkedin.com/company/cocoteroapp" TargetMode="External"/><Relationship Id="rId215" Type="http://schemas.openxmlformats.org/officeDocument/2006/relationships/hyperlink" Target="http://www.linkedin.com/in/juan-carlos-martinez-sabbagh-42990464" TargetMode="External"/><Relationship Id="rId214" Type="http://schemas.openxmlformats.org/officeDocument/2006/relationships/hyperlink" Target="https://ttrading.co" TargetMode="External"/><Relationship Id="rId219" Type="http://schemas.openxmlformats.org/officeDocument/2006/relationships/hyperlink" Target="http://www.linkedin.com/company/walix" TargetMode="External"/><Relationship Id="rId218" Type="http://schemas.openxmlformats.org/officeDocument/2006/relationships/hyperlink" Target="http://www.linkedin.com/in/jonathan-waldo" TargetMode="External"/><Relationship Id="rId2370" Type="http://schemas.openxmlformats.org/officeDocument/2006/relationships/hyperlink" Target="http://www.linkedin.com/in/astrid-castaneda-1a225230" TargetMode="External"/><Relationship Id="rId1040" Type="http://schemas.openxmlformats.org/officeDocument/2006/relationships/hyperlink" Target="http://www.linkedin.com/company/xphera-group" TargetMode="External"/><Relationship Id="rId2371" Type="http://schemas.openxmlformats.org/officeDocument/2006/relationships/hyperlink" Target="http://www.linkedin.com/company/huellas-con-impacto" TargetMode="External"/><Relationship Id="rId1041" Type="http://schemas.openxmlformats.org/officeDocument/2006/relationships/hyperlink" Target="https://xphera.co" TargetMode="External"/><Relationship Id="rId2372" Type="http://schemas.openxmlformats.org/officeDocument/2006/relationships/hyperlink" Target="https://mimanualdelbebe.com" TargetMode="External"/><Relationship Id="rId1042" Type="http://schemas.openxmlformats.org/officeDocument/2006/relationships/hyperlink" Target="http://www.linkedin.com/in/andresramirezcoach" TargetMode="External"/><Relationship Id="rId2373" Type="http://schemas.openxmlformats.org/officeDocument/2006/relationships/hyperlink" Target="http://www.linkedin.com/in/pedro-gaviria-4649552b" TargetMode="External"/><Relationship Id="rId1043" Type="http://schemas.openxmlformats.org/officeDocument/2006/relationships/hyperlink" Target="http://www.linkedin.com/company/onerunning" TargetMode="External"/><Relationship Id="rId2374" Type="http://schemas.openxmlformats.org/officeDocument/2006/relationships/hyperlink" Target="http://www.linkedin.com/company/alcancias-armatuvaca" TargetMode="External"/><Relationship Id="rId213" Type="http://schemas.openxmlformats.org/officeDocument/2006/relationships/hyperlink" Target="http://www.linkedin.com/company/jptacticaltrading" TargetMode="External"/><Relationship Id="rId1044" Type="http://schemas.openxmlformats.org/officeDocument/2006/relationships/hyperlink" Target="https://onerunning.io" TargetMode="External"/><Relationship Id="rId2375" Type="http://schemas.openxmlformats.org/officeDocument/2006/relationships/hyperlink" Target="https://armatuvaca.com" TargetMode="External"/><Relationship Id="rId5402" Type="http://schemas.openxmlformats.org/officeDocument/2006/relationships/hyperlink" Target="http://www.linkedin.com/in/soydaniramirezm" TargetMode="External"/><Relationship Id="rId212" Type="http://schemas.openxmlformats.org/officeDocument/2006/relationships/hyperlink" Target="http://www.linkedin.com/in/juan-pablo-vieira-ttrading" TargetMode="External"/><Relationship Id="rId1045" Type="http://schemas.openxmlformats.org/officeDocument/2006/relationships/hyperlink" Target="http://www.linkedin.com/in/raissamj" TargetMode="External"/><Relationship Id="rId2376" Type="http://schemas.openxmlformats.org/officeDocument/2006/relationships/hyperlink" Target="http://www.linkedin.com/in/andr%c3%a9s-p%c3%a9rez-91628957" TargetMode="External"/><Relationship Id="rId5403" Type="http://schemas.openxmlformats.org/officeDocument/2006/relationships/hyperlink" Target="http://www.linkedin.com/company/nojau" TargetMode="External"/><Relationship Id="rId211" Type="http://schemas.openxmlformats.org/officeDocument/2006/relationships/hyperlink" Target="https://auroraglobal.com.co" TargetMode="External"/><Relationship Id="rId1046" Type="http://schemas.openxmlformats.org/officeDocument/2006/relationships/hyperlink" Target="http://www.linkedin.com/company/vakiglobal" TargetMode="External"/><Relationship Id="rId2377" Type="http://schemas.openxmlformats.org/officeDocument/2006/relationships/hyperlink" Target="http://www.linkedin.com/company/excenergy" TargetMode="External"/><Relationship Id="rId5400" Type="http://schemas.openxmlformats.org/officeDocument/2006/relationships/hyperlink" Target="http://www.linkedin.com/in/ivan-andres-lopez" TargetMode="External"/><Relationship Id="rId210" Type="http://schemas.openxmlformats.org/officeDocument/2006/relationships/hyperlink" Target="http://www.linkedin.com/company/aurora-comunidad" TargetMode="External"/><Relationship Id="rId1047" Type="http://schemas.openxmlformats.org/officeDocument/2006/relationships/hyperlink" Target="https://vaki.co" TargetMode="External"/><Relationship Id="rId2378" Type="http://schemas.openxmlformats.org/officeDocument/2006/relationships/hyperlink" Target="https://excenergy.co" TargetMode="External"/><Relationship Id="rId5401" Type="http://schemas.openxmlformats.org/officeDocument/2006/relationships/hyperlink" Target="http://www.linkedin.com/company/fw-ingenieria" TargetMode="External"/><Relationship Id="rId4107" Type="http://schemas.openxmlformats.org/officeDocument/2006/relationships/hyperlink" Target="http://www.linkedin.com/in/fernando-olloqui" TargetMode="External"/><Relationship Id="rId5439" Type="http://schemas.openxmlformats.org/officeDocument/2006/relationships/hyperlink" Target="http://www.linkedin.com/company/viahouse" TargetMode="External"/><Relationship Id="rId4106" Type="http://schemas.openxmlformats.org/officeDocument/2006/relationships/hyperlink" Target="https://hisense.com.co" TargetMode="External"/><Relationship Id="rId4109" Type="http://schemas.openxmlformats.org/officeDocument/2006/relationships/hyperlink" Target="https://licify.ai" TargetMode="External"/><Relationship Id="rId5437" Type="http://schemas.openxmlformats.org/officeDocument/2006/relationships/hyperlink" Target="http://www.linkedin.com/company/platam" TargetMode="External"/><Relationship Id="rId4108" Type="http://schemas.openxmlformats.org/officeDocument/2006/relationships/hyperlink" Target="http://www.linkedin.com/company/licifylicify" TargetMode="External"/><Relationship Id="rId5438" Type="http://schemas.openxmlformats.org/officeDocument/2006/relationships/hyperlink" Target="http://www.linkedin.com/in/orlando-garc%c3%ada-482292103" TargetMode="External"/><Relationship Id="rId249" Type="http://schemas.openxmlformats.org/officeDocument/2006/relationships/hyperlink" Target="http://www.linkedin.com/company/inspirandot" TargetMode="External"/><Relationship Id="rId248" Type="http://schemas.openxmlformats.org/officeDocument/2006/relationships/hyperlink" Target="http://www.linkedin.com/in/cristinadearmasp" TargetMode="External"/><Relationship Id="rId247" Type="http://schemas.openxmlformats.org/officeDocument/2006/relationships/hyperlink" Target="https://cetus.ai" TargetMode="External"/><Relationship Id="rId1070" Type="http://schemas.openxmlformats.org/officeDocument/2006/relationships/hyperlink" Target="http://www.linkedin.com/company/mentu-co" TargetMode="External"/><Relationship Id="rId1071" Type="http://schemas.openxmlformats.org/officeDocument/2006/relationships/hyperlink" Target="https://mentu.co" TargetMode="External"/><Relationship Id="rId1072" Type="http://schemas.openxmlformats.org/officeDocument/2006/relationships/hyperlink" Target="http://www.linkedin.com/in/juan-sebastian-correa-correa" TargetMode="External"/><Relationship Id="rId242" Type="http://schemas.openxmlformats.org/officeDocument/2006/relationships/hyperlink" Target="http://www.linkedin.com/in/danielgualtero" TargetMode="External"/><Relationship Id="rId1073" Type="http://schemas.openxmlformats.org/officeDocument/2006/relationships/hyperlink" Target="http://www.linkedin.com/company/agricapitalsas" TargetMode="External"/><Relationship Id="rId5431" Type="http://schemas.openxmlformats.org/officeDocument/2006/relationships/hyperlink" Target="http://www.linkedin.com/company/occ-solutions" TargetMode="External"/><Relationship Id="rId241" Type="http://schemas.openxmlformats.org/officeDocument/2006/relationships/hyperlink" Target="https://evolutechconsul.com" TargetMode="External"/><Relationship Id="rId1074" Type="http://schemas.openxmlformats.org/officeDocument/2006/relationships/hyperlink" Target="https://agricapital.com.co" TargetMode="External"/><Relationship Id="rId5432" Type="http://schemas.openxmlformats.org/officeDocument/2006/relationships/hyperlink" Target="http://www.linkedin.com/in/isabellaorduz" TargetMode="External"/><Relationship Id="rId240" Type="http://schemas.openxmlformats.org/officeDocument/2006/relationships/hyperlink" Target="http://www.linkedin.com/company/evolutech-consulting-s-a-s" TargetMode="External"/><Relationship Id="rId1075" Type="http://schemas.openxmlformats.org/officeDocument/2006/relationships/hyperlink" Target="http://www.linkedin.com/in/laura-cadena-sanchez-84571682" TargetMode="External"/><Relationship Id="rId4101" Type="http://schemas.openxmlformats.org/officeDocument/2006/relationships/hyperlink" Target="http://www.linkedin.com/company/acreditta" TargetMode="External"/><Relationship Id="rId1076" Type="http://schemas.openxmlformats.org/officeDocument/2006/relationships/hyperlink" Target="http://www.linkedin.com/company/provi-investments" TargetMode="External"/><Relationship Id="rId4100" Type="http://schemas.openxmlformats.org/officeDocument/2006/relationships/hyperlink" Target="http://www.linkedin.com/in/anitalaya" TargetMode="External"/><Relationship Id="rId5430" Type="http://schemas.openxmlformats.org/officeDocument/2006/relationships/hyperlink" Target="http://www.linkedin.com/in/ricardomatamala" TargetMode="External"/><Relationship Id="rId246" Type="http://schemas.openxmlformats.org/officeDocument/2006/relationships/hyperlink" Target="http://www.linkedin.com/company/cetus-ai" TargetMode="External"/><Relationship Id="rId1077" Type="http://schemas.openxmlformats.org/officeDocument/2006/relationships/hyperlink" Target="https://realprovi.com" TargetMode="External"/><Relationship Id="rId4103" Type="http://schemas.openxmlformats.org/officeDocument/2006/relationships/hyperlink" Target="http://licify.ai" TargetMode="External"/><Relationship Id="rId5435" Type="http://schemas.openxmlformats.org/officeDocument/2006/relationships/hyperlink" Target="http://www.linkedin.com/company/easylogisticsbyia" TargetMode="External"/><Relationship Id="rId245" Type="http://schemas.openxmlformats.org/officeDocument/2006/relationships/hyperlink" Target="http://www.linkedin.com/in/andresfonsecad" TargetMode="External"/><Relationship Id="rId1078" Type="http://schemas.openxmlformats.org/officeDocument/2006/relationships/hyperlink" Target="http://www.linkedin.com/in/alex-mindsellerz-708b94113" TargetMode="External"/><Relationship Id="rId4102" Type="http://schemas.openxmlformats.org/officeDocument/2006/relationships/hyperlink" Target="https://acreditta.com" TargetMode="External"/><Relationship Id="rId5436" Type="http://schemas.openxmlformats.org/officeDocument/2006/relationships/hyperlink" Target="http://www.linkedin.com/in/rmarino5" TargetMode="External"/><Relationship Id="rId244" Type="http://schemas.openxmlformats.org/officeDocument/2006/relationships/hyperlink" Target="https://kinnto.ai" TargetMode="External"/><Relationship Id="rId1079" Type="http://schemas.openxmlformats.org/officeDocument/2006/relationships/hyperlink" Target="http://www.linkedin.com/company/the-mindsellerz" TargetMode="External"/><Relationship Id="rId4105" Type="http://schemas.openxmlformats.org/officeDocument/2006/relationships/hyperlink" Target="http://www.linkedin.com/company/hisensecolombia" TargetMode="External"/><Relationship Id="rId5433" Type="http://schemas.openxmlformats.org/officeDocument/2006/relationships/hyperlink" Target="http://www.linkedin.com/company/purasduras" TargetMode="External"/><Relationship Id="rId243" Type="http://schemas.openxmlformats.org/officeDocument/2006/relationships/hyperlink" Target="http://www.linkedin.com/company/kinnto" TargetMode="External"/><Relationship Id="rId4104" Type="http://schemas.openxmlformats.org/officeDocument/2006/relationships/hyperlink" Target="http://www.linkedin.com/in/paulo-mendez-garcia" TargetMode="External"/><Relationship Id="rId5434" Type="http://schemas.openxmlformats.org/officeDocument/2006/relationships/hyperlink" Target="http://www.linkedin.com/in/daniel-hern%c3%a1ndez-950924201" TargetMode="External"/><Relationship Id="rId5428" Type="http://schemas.openxmlformats.org/officeDocument/2006/relationships/hyperlink" Target="http://www.linkedin.com/in/sandra-perez-emprendedora" TargetMode="External"/><Relationship Id="rId5429" Type="http://schemas.openxmlformats.org/officeDocument/2006/relationships/hyperlink" Target="http://www.linkedin.com/company/primeworksp" TargetMode="External"/><Relationship Id="rId5426" Type="http://schemas.openxmlformats.org/officeDocument/2006/relationships/hyperlink" Target="http://www.linkedin.com/in/santiago-grisales-boh%c3%b3rquez" TargetMode="External"/><Relationship Id="rId5427" Type="http://schemas.openxmlformats.org/officeDocument/2006/relationships/hyperlink" Target="http://www.linkedin.com/company/innovaitors" TargetMode="External"/><Relationship Id="rId239" Type="http://schemas.openxmlformats.org/officeDocument/2006/relationships/hyperlink" Target="http://www.linkedin.com/in/jonnathanni%c3%b1o" TargetMode="External"/><Relationship Id="rId238" Type="http://schemas.openxmlformats.org/officeDocument/2006/relationships/hyperlink" Target="https://consentidoconsulting.com" TargetMode="External"/><Relationship Id="rId237" Type="http://schemas.openxmlformats.org/officeDocument/2006/relationships/hyperlink" Target="http://www.linkedin.com/company/consentidoconsulting" TargetMode="External"/><Relationship Id="rId236" Type="http://schemas.openxmlformats.org/officeDocument/2006/relationships/hyperlink" Target="http://www.linkedin.com/in/ginna-pena" TargetMode="External"/><Relationship Id="rId2390" Type="http://schemas.openxmlformats.org/officeDocument/2006/relationships/hyperlink" Target="https://jaguarbite.com" TargetMode="External"/><Relationship Id="rId1060" Type="http://schemas.openxmlformats.org/officeDocument/2006/relationships/hyperlink" Target="http://www.linkedin.com/in/pedro-ignacio-morales-hernandez" TargetMode="External"/><Relationship Id="rId2391" Type="http://schemas.openxmlformats.org/officeDocument/2006/relationships/hyperlink" Target="http://www.linkedin.com/in/pachecoejuan" TargetMode="External"/><Relationship Id="rId1061" Type="http://schemas.openxmlformats.org/officeDocument/2006/relationships/hyperlink" Target="http://www.linkedin.com/company/loto-latam" TargetMode="External"/><Relationship Id="rId2392" Type="http://schemas.openxmlformats.org/officeDocument/2006/relationships/hyperlink" Target="http://www.linkedin.com/company/canoa-impacto" TargetMode="External"/><Relationship Id="rId231" Type="http://schemas.openxmlformats.org/officeDocument/2006/relationships/hyperlink" Target="http://www.linkedin.com/company/ajustecol-sas" TargetMode="External"/><Relationship Id="rId1062" Type="http://schemas.openxmlformats.org/officeDocument/2006/relationships/hyperlink" Target="https://lotolatam.com" TargetMode="External"/><Relationship Id="rId2393" Type="http://schemas.openxmlformats.org/officeDocument/2006/relationships/hyperlink" Target="https://canoaimpacto.com" TargetMode="External"/><Relationship Id="rId5420" Type="http://schemas.openxmlformats.org/officeDocument/2006/relationships/hyperlink" Target="http://www.linkedin.com/in/maria-atuesta-vegalara-84a313115" TargetMode="External"/><Relationship Id="rId230" Type="http://schemas.openxmlformats.org/officeDocument/2006/relationships/hyperlink" Target="http://www.linkedin.com/in/gustavo-bedoya-nordmann-90065547" TargetMode="External"/><Relationship Id="rId1063" Type="http://schemas.openxmlformats.org/officeDocument/2006/relationships/hyperlink" Target="http://www.linkedin.com/in/juanestebanreyesmartinez" TargetMode="External"/><Relationship Id="rId2394" Type="http://schemas.openxmlformats.org/officeDocument/2006/relationships/hyperlink" Target="http://www.linkedin.com/in/danielsmartpr" TargetMode="External"/><Relationship Id="rId5421" Type="http://schemas.openxmlformats.org/officeDocument/2006/relationships/hyperlink" Target="http://www.linkedin.com/company/myzelio" TargetMode="External"/><Relationship Id="rId1064" Type="http://schemas.openxmlformats.org/officeDocument/2006/relationships/hyperlink" Target="http://www.linkedin.com/company/finovalis" TargetMode="External"/><Relationship Id="rId2395" Type="http://schemas.openxmlformats.org/officeDocument/2006/relationships/hyperlink" Target="http://www.linkedin.com/company/agenciasmartpr" TargetMode="External"/><Relationship Id="rId1065" Type="http://schemas.openxmlformats.org/officeDocument/2006/relationships/hyperlink" Target="https://finovalis.com" TargetMode="External"/><Relationship Id="rId2396" Type="http://schemas.openxmlformats.org/officeDocument/2006/relationships/hyperlink" Target="https://smartpr.com.co" TargetMode="External"/><Relationship Id="rId235" Type="http://schemas.openxmlformats.org/officeDocument/2006/relationships/hyperlink" Target="https://ecolegalia.com" TargetMode="External"/><Relationship Id="rId1066" Type="http://schemas.openxmlformats.org/officeDocument/2006/relationships/hyperlink" Target="http://www.linkedin.com/in/nataliaortiz4" TargetMode="External"/><Relationship Id="rId2397" Type="http://schemas.openxmlformats.org/officeDocument/2006/relationships/hyperlink" Target="http://www.linkedin.com/in/lilianagutierrezvelez" TargetMode="External"/><Relationship Id="rId5424" Type="http://schemas.openxmlformats.org/officeDocument/2006/relationships/hyperlink" Target="http://www.linkedin.com/in/felipe-camargo-47129114" TargetMode="External"/><Relationship Id="rId234" Type="http://schemas.openxmlformats.org/officeDocument/2006/relationships/hyperlink" Target="http://www.linkedin.com/company/ecolegalia" TargetMode="External"/><Relationship Id="rId1067" Type="http://schemas.openxmlformats.org/officeDocument/2006/relationships/hyperlink" Target="http://www.linkedin.com/company/mubonco" TargetMode="External"/><Relationship Id="rId2398" Type="http://schemas.openxmlformats.org/officeDocument/2006/relationships/hyperlink" Target="http://www.linkedin.com/company/lg-consultores-sas" TargetMode="External"/><Relationship Id="rId5425" Type="http://schemas.openxmlformats.org/officeDocument/2006/relationships/hyperlink" Target="http://www.linkedin.com/company/zemobility" TargetMode="External"/><Relationship Id="rId233" Type="http://schemas.openxmlformats.org/officeDocument/2006/relationships/hyperlink" Target="http://www.linkedin.com/in/adriana-carolina-vergara-avila-809352a1" TargetMode="External"/><Relationship Id="rId1068" Type="http://schemas.openxmlformats.org/officeDocument/2006/relationships/hyperlink" Target="https://mubon.co" TargetMode="External"/><Relationship Id="rId2399" Type="http://schemas.openxmlformats.org/officeDocument/2006/relationships/hyperlink" Target="https://lgconsultores.com.co" TargetMode="External"/><Relationship Id="rId5422" Type="http://schemas.openxmlformats.org/officeDocument/2006/relationships/hyperlink" Target="http://www.linkedin.com/in/andres-rincon-top" TargetMode="External"/><Relationship Id="rId232" Type="http://schemas.openxmlformats.org/officeDocument/2006/relationships/hyperlink" Target="https://ajustecol.com" TargetMode="External"/><Relationship Id="rId1069" Type="http://schemas.openxmlformats.org/officeDocument/2006/relationships/hyperlink" Target="http://www.linkedin.com/in/joserespinosar" TargetMode="External"/><Relationship Id="rId5423" Type="http://schemas.openxmlformats.org/officeDocument/2006/relationships/hyperlink" Target="http://www.linkedin.com/company/oleana" TargetMode="External"/><Relationship Id="rId1015" Type="http://schemas.openxmlformats.org/officeDocument/2006/relationships/hyperlink" Target="http://www.linkedin.com/in/alexandrorendon" TargetMode="External"/><Relationship Id="rId2346" Type="http://schemas.openxmlformats.org/officeDocument/2006/relationships/hyperlink" Target="http://www.linkedin.com/company/aseguratemejor" TargetMode="External"/><Relationship Id="rId3678" Type="http://schemas.openxmlformats.org/officeDocument/2006/relationships/hyperlink" Target="http://www.linkedin.com/company/grupo-isoen-energy" TargetMode="External"/><Relationship Id="rId1016" Type="http://schemas.openxmlformats.org/officeDocument/2006/relationships/hyperlink" Target="http://www.linkedin.com/company/lunesnaranja" TargetMode="External"/><Relationship Id="rId2347" Type="http://schemas.openxmlformats.org/officeDocument/2006/relationships/hyperlink" Target="https://aseguratemejor.com.co" TargetMode="External"/><Relationship Id="rId3677" Type="http://schemas.openxmlformats.org/officeDocument/2006/relationships/hyperlink" Target="http://www.linkedin.com/in/yenny-bar%c3%b3n-g%c3%b3mez-b8b6a0a6" TargetMode="External"/><Relationship Id="rId1017" Type="http://schemas.openxmlformats.org/officeDocument/2006/relationships/hyperlink" Target="https://lunesnaranja.com" TargetMode="External"/><Relationship Id="rId2348" Type="http://schemas.openxmlformats.org/officeDocument/2006/relationships/hyperlink" Target="http://www.linkedin.com/in/cristian-barbosa-61761187" TargetMode="External"/><Relationship Id="rId1018" Type="http://schemas.openxmlformats.org/officeDocument/2006/relationships/hyperlink" Target="http://www.linkedin.com/in/david-salazar-botero-a7671938" TargetMode="External"/><Relationship Id="rId2349" Type="http://schemas.openxmlformats.org/officeDocument/2006/relationships/hyperlink" Target="http://www.linkedin.com/company/insightplayai" TargetMode="External"/><Relationship Id="rId3679" Type="http://schemas.openxmlformats.org/officeDocument/2006/relationships/hyperlink" Target="https://isoen.eu" TargetMode="External"/><Relationship Id="rId1019" Type="http://schemas.openxmlformats.org/officeDocument/2006/relationships/hyperlink" Target="http://www.linkedin.com/company/prismategy" TargetMode="External"/><Relationship Id="rId3670" Type="http://schemas.openxmlformats.org/officeDocument/2006/relationships/hyperlink" Target="https://thepinkcase.com" TargetMode="External"/><Relationship Id="rId2340" Type="http://schemas.openxmlformats.org/officeDocument/2006/relationships/hyperlink" Target="https://latitudconsultores.com.co" TargetMode="External"/><Relationship Id="rId3672" Type="http://schemas.openxmlformats.org/officeDocument/2006/relationships/hyperlink" Target="http://www.linkedin.com/company/bukz" TargetMode="External"/><Relationship Id="rId1010" Type="http://schemas.openxmlformats.org/officeDocument/2006/relationships/hyperlink" Target="http://www.linkedin.com/company/agrilink-co" TargetMode="External"/><Relationship Id="rId2341" Type="http://schemas.openxmlformats.org/officeDocument/2006/relationships/hyperlink" Target="http://www.linkedin.com/in/oscar-fabian-reyes-ca%c3%b1on-a17a6b91" TargetMode="External"/><Relationship Id="rId3671" Type="http://schemas.openxmlformats.org/officeDocument/2006/relationships/hyperlink" Target="http://www.linkedin.com/in/davidtrujillocharry" TargetMode="External"/><Relationship Id="rId1011" Type="http://schemas.openxmlformats.org/officeDocument/2006/relationships/hyperlink" Target="https://agrilink.co" TargetMode="External"/><Relationship Id="rId2342" Type="http://schemas.openxmlformats.org/officeDocument/2006/relationships/hyperlink" Target="http://www.linkedin.com/company/babylon-plataforma-de-seguros" TargetMode="External"/><Relationship Id="rId3674" Type="http://schemas.openxmlformats.org/officeDocument/2006/relationships/hyperlink" Target="http://www.linkedin.com/in/maria-fernanda-villota-noguera-53654555" TargetMode="External"/><Relationship Id="rId1012" Type="http://schemas.openxmlformats.org/officeDocument/2006/relationships/hyperlink" Target="http://www.linkedin.com/in/jammdeivymartinez" TargetMode="External"/><Relationship Id="rId2343" Type="http://schemas.openxmlformats.org/officeDocument/2006/relationships/hyperlink" Target="https://babylon.com.co" TargetMode="External"/><Relationship Id="rId3673" Type="http://schemas.openxmlformats.org/officeDocument/2006/relationships/hyperlink" Target="https://bukz.co" TargetMode="External"/><Relationship Id="rId1013" Type="http://schemas.openxmlformats.org/officeDocument/2006/relationships/hyperlink" Target="http://www.linkedin.com/company/pralogy-sas" TargetMode="External"/><Relationship Id="rId2344" Type="http://schemas.openxmlformats.org/officeDocument/2006/relationships/hyperlink" Target="http://insightplay.ai" TargetMode="External"/><Relationship Id="rId3676" Type="http://schemas.openxmlformats.org/officeDocument/2006/relationships/hyperlink" Target="https://flextem.org" TargetMode="External"/><Relationship Id="rId1014" Type="http://schemas.openxmlformats.org/officeDocument/2006/relationships/hyperlink" Target="https://pralogy.co" TargetMode="External"/><Relationship Id="rId2345" Type="http://schemas.openxmlformats.org/officeDocument/2006/relationships/hyperlink" Target="http://www.linkedin.com/in/aseguratemejor" TargetMode="External"/><Relationship Id="rId3675" Type="http://schemas.openxmlformats.org/officeDocument/2006/relationships/hyperlink" Target="http://www.linkedin.com/company/flextem-biopharma" TargetMode="External"/><Relationship Id="rId1004" Type="http://schemas.openxmlformats.org/officeDocument/2006/relationships/hyperlink" Target="http://www.linkedin.com/company/impact-point-co" TargetMode="External"/><Relationship Id="rId2335" Type="http://schemas.openxmlformats.org/officeDocument/2006/relationships/hyperlink" Target="http://www.linkedin.com/in/sebasti%c3%a1n-caballero-162832b6" TargetMode="External"/><Relationship Id="rId3667" Type="http://schemas.openxmlformats.org/officeDocument/2006/relationships/hyperlink" Target="https://onepay.la" TargetMode="External"/><Relationship Id="rId4998" Type="http://schemas.openxmlformats.org/officeDocument/2006/relationships/hyperlink" Target="http://www.linkedin.com/in/juan-david-castro-nore%c3%b1a-912353108" TargetMode="External"/><Relationship Id="rId1005" Type="http://schemas.openxmlformats.org/officeDocument/2006/relationships/hyperlink" Target="https://impactpoint.com" TargetMode="External"/><Relationship Id="rId2336" Type="http://schemas.openxmlformats.org/officeDocument/2006/relationships/hyperlink" Target="http://www.linkedin.com/company/red-collision-studios" TargetMode="External"/><Relationship Id="rId3666" Type="http://schemas.openxmlformats.org/officeDocument/2006/relationships/hyperlink" Target="http://www.linkedin.com/company/1onepay" TargetMode="External"/><Relationship Id="rId4997" Type="http://schemas.openxmlformats.org/officeDocument/2006/relationships/hyperlink" Target="http://www.linkedin.com/company/ulma-packaging-colombia" TargetMode="External"/><Relationship Id="rId1006" Type="http://schemas.openxmlformats.org/officeDocument/2006/relationships/hyperlink" Target="http://www.linkedin.com/in/natalia-sanabria-jerez-7a581559" TargetMode="External"/><Relationship Id="rId2337" Type="http://schemas.openxmlformats.org/officeDocument/2006/relationships/hyperlink" Target="https://redcollisionstudios.com" TargetMode="External"/><Relationship Id="rId3669" Type="http://schemas.openxmlformats.org/officeDocument/2006/relationships/hyperlink" Target="http://www.linkedin.com/company/mazamorra-producciones" TargetMode="External"/><Relationship Id="rId1007" Type="http://schemas.openxmlformats.org/officeDocument/2006/relationships/hyperlink" Target="http://www.linkedin.com/company/strategycolombia" TargetMode="External"/><Relationship Id="rId2338" Type="http://schemas.openxmlformats.org/officeDocument/2006/relationships/hyperlink" Target="http://www.linkedin.com/in/diego-luengas" TargetMode="External"/><Relationship Id="rId3668" Type="http://schemas.openxmlformats.org/officeDocument/2006/relationships/hyperlink" Target="http://www.linkedin.com/in/stephany-raymond-bucheli-b962a31b" TargetMode="External"/><Relationship Id="rId4999" Type="http://schemas.openxmlformats.org/officeDocument/2006/relationships/hyperlink" Target="http://www.linkedin.com/company/seeri" TargetMode="External"/><Relationship Id="rId1008" Type="http://schemas.openxmlformats.org/officeDocument/2006/relationships/hyperlink" Target="https://strategy.com.co" TargetMode="External"/><Relationship Id="rId2339" Type="http://schemas.openxmlformats.org/officeDocument/2006/relationships/hyperlink" Target="http://www.linkedin.com/company/latitud-consultores" TargetMode="External"/><Relationship Id="rId1009" Type="http://schemas.openxmlformats.org/officeDocument/2006/relationships/hyperlink" Target="http://www.linkedin.com/in/maria-alejandra-madrid-ram%c3%adrez-937b08107" TargetMode="External"/><Relationship Id="rId4990" Type="http://schemas.openxmlformats.org/officeDocument/2006/relationships/hyperlink" Target="http://www.linkedin.com/in/luisavelez-" TargetMode="External"/><Relationship Id="rId3661" Type="http://schemas.openxmlformats.org/officeDocument/2006/relationships/hyperlink" Target="https://nebulasintelligence.com" TargetMode="External"/><Relationship Id="rId4992" Type="http://schemas.openxmlformats.org/officeDocument/2006/relationships/hyperlink" Target="http://www.linkedin.com/in/juanpabloh" TargetMode="External"/><Relationship Id="rId2330" Type="http://schemas.openxmlformats.org/officeDocument/2006/relationships/hyperlink" Target="http://www.linkedin.com/company/ahorro-y-eficiencia-energetica-sas" TargetMode="External"/><Relationship Id="rId3660" Type="http://schemas.openxmlformats.org/officeDocument/2006/relationships/hyperlink" Target="http://www.linkedin.com/company/nebulasintelligence" TargetMode="External"/><Relationship Id="rId4991" Type="http://schemas.openxmlformats.org/officeDocument/2006/relationships/hyperlink" Target="http://www.linkedin.com/company/skalotek" TargetMode="External"/><Relationship Id="rId1000" Type="http://schemas.openxmlformats.org/officeDocument/2006/relationships/hyperlink" Target="http://www.linkedin.com/in/mara-angarita" TargetMode="External"/><Relationship Id="rId2331" Type="http://schemas.openxmlformats.org/officeDocument/2006/relationships/hyperlink" Target="https://ahorroyeficienciaenergetica.com.co" TargetMode="External"/><Relationship Id="rId3663" Type="http://schemas.openxmlformats.org/officeDocument/2006/relationships/hyperlink" Target="http://www.linkedin.com/company/microrisksolutions" TargetMode="External"/><Relationship Id="rId4994" Type="http://schemas.openxmlformats.org/officeDocument/2006/relationships/hyperlink" Target="http://www.linkedin.com/in/jaimeecorrea" TargetMode="External"/><Relationship Id="rId1001" Type="http://schemas.openxmlformats.org/officeDocument/2006/relationships/hyperlink" Target="http://www.linkedin.com/company/muraby-io" TargetMode="External"/><Relationship Id="rId2332" Type="http://schemas.openxmlformats.org/officeDocument/2006/relationships/hyperlink" Target="http://www.linkedin.com/in/monicamarialopezsanchez" TargetMode="External"/><Relationship Id="rId3662" Type="http://schemas.openxmlformats.org/officeDocument/2006/relationships/hyperlink" Target="http://www.linkedin.com/in/paola-cuadros-sierra-50558238" TargetMode="External"/><Relationship Id="rId4993" Type="http://schemas.openxmlformats.org/officeDocument/2006/relationships/hyperlink" Target="http://www.linkedin.com/company/cultivate-agri" TargetMode="External"/><Relationship Id="rId1002" Type="http://schemas.openxmlformats.org/officeDocument/2006/relationships/hyperlink" Target="https://muraby.io" TargetMode="External"/><Relationship Id="rId2333" Type="http://schemas.openxmlformats.org/officeDocument/2006/relationships/hyperlink" Target="http://www.linkedin.com/company/serenaccion" TargetMode="External"/><Relationship Id="rId3665" Type="http://schemas.openxmlformats.org/officeDocument/2006/relationships/hyperlink" Target="http://www.linkedin.com/in/manuelherreraas" TargetMode="External"/><Relationship Id="rId4996" Type="http://schemas.openxmlformats.org/officeDocument/2006/relationships/hyperlink" Target="http://www.linkedin.com/in/mauricio-tejedor-ssm" TargetMode="External"/><Relationship Id="rId1003" Type="http://schemas.openxmlformats.org/officeDocument/2006/relationships/hyperlink" Target="http://www.linkedin.com/in/diego-castillo-08b4a72b" TargetMode="External"/><Relationship Id="rId2334" Type="http://schemas.openxmlformats.org/officeDocument/2006/relationships/hyperlink" Target="https://serenaccion.com.co" TargetMode="External"/><Relationship Id="rId3664" Type="http://schemas.openxmlformats.org/officeDocument/2006/relationships/hyperlink" Target="https://microrisk.org" TargetMode="External"/><Relationship Id="rId4995" Type="http://schemas.openxmlformats.org/officeDocument/2006/relationships/hyperlink" Target="http://www.linkedin.com/company/biva-health" TargetMode="External"/><Relationship Id="rId1037" Type="http://schemas.openxmlformats.org/officeDocument/2006/relationships/hyperlink" Target="http://www.linkedin.com/company/tactikasas" TargetMode="External"/><Relationship Id="rId2368" Type="http://schemas.openxmlformats.org/officeDocument/2006/relationships/hyperlink" Target="http://www.linkedin.com/company/sabio-cx" TargetMode="External"/><Relationship Id="rId1038" Type="http://schemas.openxmlformats.org/officeDocument/2006/relationships/hyperlink" Target="https://tactikasas.com" TargetMode="External"/><Relationship Id="rId2369" Type="http://schemas.openxmlformats.org/officeDocument/2006/relationships/hyperlink" Target="https://sabiocx.co" TargetMode="External"/><Relationship Id="rId3699" Type="http://schemas.openxmlformats.org/officeDocument/2006/relationships/hyperlink" Target="http://www.linkedin.com/company/interlat-group" TargetMode="External"/><Relationship Id="rId1039" Type="http://schemas.openxmlformats.org/officeDocument/2006/relationships/hyperlink" Target="http://www.linkedin.com/in/mauricio-ramirez-e-5901661" TargetMode="External"/><Relationship Id="rId206" Type="http://schemas.openxmlformats.org/officeDocument/2006/relationships/hyperlink" Target="http://www.linkedin.com/in/manguzm" TargetMode="External"/><Relationship Id="rId205" Type="http://schemas.openxmlformats.org/officeDocument/2006/relationships/hyperlink" Target="https://cotierra.com" TargetMode="External"/><Relationship Id="rId204" Type="http://schemas.openxmlformats.org/officeDocument/2006/relationships/hyperlink" Target="http://www.linkedin.com/company/cotierra-ag" TargetMode="External"/><Relationship Id="rId203" Type="http://schemas.openxmlformats.org/officeDocument/2006/relationships/hyperlink" Target="http://www.linkedin.com/in/lorenz-buser-22031bb9" TargetMode="External"/><Relationship Id="rId209" Type="http://schemas.openxmlformats.org/officeDocument/2006/relationships/hyperlink" Target="http://www.linkedin.com/in/estefania-grajales" TargetMode="External"/><Relationship Id="rId208" Type="http://schemas.openxmlformats.org/officeDocument/2006/relationships/hyperlink" Target="https://arknova.co" TargetMode="External"/><Relationship Id="rId3690" Type="http://schemas.openxmlformats.org/officeDocument/2006/relationships/hyperlink" Target="http://www.linkedin.com/company/sico-colombia" TargetMode="External"/><Relationship Id="rId207" Type="http://schemas.openxmlformats.org/officeDocument/2006/relationships/hyperlink" Target="http://www.linkedin.com/company/arknovasas" TargetMode="External"/><Relationship Id="rId2360" Type="http://schemas.openxmlformats.org/officeDocument/2006/relationships/hyperlink" Target="http://www.linkedin.com/in/jorge-macias-3b25995" TargetMode="External"/><Relationship Id="rId3692" Type="http://schemas.openxmlformats.org/officeDocument/2006/relationships/hyperlink" Target="http://www.linkedin.com/in/andrespreciadoelplanificadordel-legado" TargetMode="External"/><Relationship Id="rId1030" Type="http://schemas.openxmlformats.org/officeDocument/2006/relationships/hyperlink" Target="http://www.linkedin.com/in/fredy-laserna-93859539" TargetMode="External"/><Relationship Id="rId2361" Type="http://schemas.openxmlformats.org/officeDocument/2006/relationships/hyperlink" Target="http://www.linkedin.com/company/idoloredsocial" TargetMode="External"/><Relationship Id="rId3691" Type="http://schemas.openxmlformats.org/officeDocument/2006/relationships/hyperlink" Target="https://sico360.com" TargetMode="External"/><Relationship Id="rId1031" Type="http://schemas.openxmlformats.org/officeDocument/2006/relationships/hyperlink" Target="http://www.linkedin.com/company/ideqssas" TargetMode="External"/><Relationship Id="rId2362" Type="http://schemas.openxmlformats.org/officeDocument/2006/relationships/hyperlink" Target="https://idolo.club" TargetMode="External"/><Relationship Id="rId3694" Type="http://schemas.openxmlformats.org/officeDocument/2006/relationships/hyperlink" Target="https://fapg.biz" TargetMode="External"/><Relationship Id="rId1032" Type="http://schemas.openxmlformats.org/officeDocument/2006/relationships/hyperlink" Target="https://ideqs.com" TargetMode="External"/><Relationship Id="rId2363" Type="http://schemas.openxmlformats.org/officeDocument/2006/relationships/hyperlink" Target="http://sabio.cx" TargetMode="External"/><Relationship Id="rId3693" Type="http://schemas.openxmlformats.org/officeDocument/2006/relationships/hyperlink" Target="http://www.linkedin.com/company/fapggroup" TargetMode="External"/><Relationship Id="rId202" Type="http://schemas.openxmlformats.org/officeDocument/2006/relationships/hyperlink" Target="https://financegroup.com.co" TargetMode="External"/><Relationship Id="rId1033" Type="http://schemas.openxmlformats.org/officeDocument/2006/relationships/hyperlink" Target="http://www.linkedin.com/in/alexander-wittich-0b039451" TargetMode="External"/><Relationship Id="rId2364" Type="http://schemas.openxmlformats.org/officeDocument/2006/relationships/hyperlink" Target="http://www.linkedin.com/in/camiloariasg" TargetMode="External"/><Relationship Id="rId3696" Type="http://schemas.openxmlformats.org/officeDocument/2006/relationships/hyperlink" Target="http://www.linkedin.com/company/nowbit1" TargetMode="External"/><Relationship Id="rId201" Type="http://schemas.openxmlformats.org/officeDocument/2006/relationships/hyperlink" Target="http://www.linkedin.com/company/financegroupcol" TargetMode="External"/><Relationship Id="rId1034" Type="http://schemas.openxmlformats.org/officeDocument/2006/relationships/hyperlink" Target="http://www.linkedin.com/company/andendna-gmbh" TargetMode="External"/><Relationship Id="rId2365" Type="http://schemas.openxmlformats.org/officeDocument/2006/relationships/hyperlink" Target="http://www.linkedin.com/company/kloustr-labs" TargetMode="External"/><Relationship Id="rId3695" Type="http://schemas.openxmlformats.org/officeDocument/2006/relationships/hyperlink" Target="http://www.linkedin.com/in/andr%c3%a9s-guillermo-castiblanco-v-b75b29122" TargetMode="External"/><Relationship Id="rId200" Type="http://schemas.openxmlformats.org/officeDocument/2006/relationships/hyperlink" Target="http://www.linkedin.com/in/javiercardenasl" TargetMode="External"/><Relationship Id="rId1035" Type="http://schemas.openxmlformats.org/officeDocument/2006/relationships/hyperlink" Target="https://andendna.ch" TargetMode="External"/><Relationship Id="rId2366" Type="http://schemas.openxmlformats.org/officeDocument/2006/relationships/hyperlink" Target="https://kloustrlabs.com" TargetMode="External"/><Relationship Id="rId3698" Type="http://schemas.openxmlformats.org/officeDocument/2006/relationships/hyperlink" Target="http://www.linkedin.com/in/lcchaquea" TargetMode="External"/><Relationship Id="rId1036" Type="http://schemas.openxmlformats.org/officeDocument/2006/relationships/hyperlink" Target="http://www.linkedin.com/in/joseorjuelae" TargetMode="External"/><Relationship Id="rId2367" Type="http://schemas.openxmlformats.org/officeDocument/2006/relationships/hyperlink" Target="http://www.linkedin.com/in/cesarflet" TargetMode="External"/><Relationship Id="rId3697" Type="http://schemas.openxmlformats.org/officeDocument/2006/relationships/hyperlink" Target="https://nowbit.co" TargetMode="External"/><Relationship Id="rId1026" Type="http://schemas.openxmlformats.org/officeDocument/2006/relationships/hyperlink" Target="https://internodes-consulting.com" TargetMode="External"/><Relationship Id="rId2357" Type="http://schemas.openxmlformats.org/officeDocument/2006/relationships/hyperlink" Target="http://www.linkedin.com/in/vladimir-berrio-garcia-022b96a6" TargetMode="External"/><Relationship Id="rId3689" Type="http://schemas.openxmlformats.org/officeDocument/2006/relationships/hyperlink" Target="http://www.linkedin.com/in/juan-david-hoyos-08a65a42" TargetMode="External"/><Relationship Id="rId1027" Type="http://schemas.openxmlformats.org/officeDocument/2006/relationships/hyperlink" Target="http://www.linkedin.com/in/camilo-velez-0424a47" TargetMode="External"/><Relationship Id="rId2358" Type="http://schemas.openxmlformats.org/officeDocument/2006/relationships/hyperlink" Target="http://www.linkedin.com/company/brainstesting" TargetMode="External"/><Relationship Id="rId3688" Type="http://schemas.openxmlformats.org/officeDocument/2006/relationships/hyperlink" Target="https://dioestudio.com" TargetMode="External"/><Relationship Id="rId1028" Type="http://schemas.openxmlformats.org/officeDocument/2006/relationships/hyperlink" Target="http://www.linkedin.com/company/pers%c3%a9-sparkling-coffee" TargetMode="External"/><Relationship Id="rId2359" Type="http://schemas.openxmlformats.org/officeDocument/2006/relationships/hyperlink" Target="https://brainstesting.com" TargetMode="External"/><Relationship Id="rId1029" Type="http://schemas.openxmlformats.org/officeDocument/2006/relationships/hyperlink" Target="https://drinkperse.us" TargetMode="External"/><Relationship Id="rId3681" Type="http://schemas.openxmlformats.org/officeDocument/2006/relationships/hyperlink" Target="http://www.linkedin.com/company/lxdglobal" TargetMode="External"/><Relationship Id="rId2350" Type="http://schemas.openxmlformats.org/officeDocument/2006/relationships/hyperlink" Target="https://insightplay.ai" TargetMode="External"/><Relationship Id="rId3680" Type="http://schemas.openxmlformats.org/officeDocument/2006/relationships/hyperlink" Target="http://www.linkedin.com/in/juanrobertogarzon" TargetMode="External"/><Relationship Id="rId1020" Type="http://schemas.openxmlformats.org/officeDocument/2006/relationships/hyperlink" Target="https://prismategy.com" TargetMode="External"/><Relationship Id="rId2351" Type="http://schemas.openxmlformats.org/officeDocument/2006/relationships/hyperlink" Target="http://www.linkedin.com/in/luisfbetancourt" TargetMode="External"/><Relationship Id="rId3683" Type="http://schemas.openxmlformats.org/officeDocument/2006/relationships/hyperlink" Target="http://www.linkedin.com/in/leidycorrea" TargetMode="External"/><Relationship Id="rId1021" Type="http://schemas.openxmlformats.org/officeDocument/2006/relationships/hyperlink" Target="http://www.linkedin.com/in/martin-kleiner-56bb814" TargetMode="External"/><Relationship Id="rId2352" Type="http://schemas.openxmlformats.org/officeDocument/2006/relationships/hyperlink" Target="http://www.linkedin.com/company/autos-dise%c3%b1os" TargetMode="External"/><Relationship Id="rId3682" Type="http://schemas.openxmlformats.org/officeDocument/2006/relationships/hyperlink" Target="https://lxdglobal.com" TargetMode="External"/><Relationship Id="rId1022" Type="http://schemas.openxmlformats.org/officeDocument/2006/relationships/hyperlink" Target="http://www.linkedin.com/company/turicum-consultoria-sas" TargetMode="External"/><Relationship Id="rId2353" Type="http://schemas.openxmlformats.org/officeDocument/2006/relationships/hyperlink" Target="https://autosydiseno.com" TargetMode="External"/><Relationship Id="rId3685" Type="http://schemas.openxmlformats.org/officeDocument/2006/relationships/hyperlink" Target="https://portaregroup.com" TargetMode="External"/><Relationship Id="rId1023" Type="http://schemas.openxmlformats.org/officeDocument/2006/relationships/hyperlink" Target="https://turicumconsultoria.com" TargetMode="External"/><Relationship Id="rId2354" Type="http://schemas.openxmlformats.org/officeDocument/2006/relationships/hyperlink" Target="http://www.linkedin.com/in/williamamayasaavedra" TargetMode="External"/><Relationship Id="rId3684" Type="http://schemas.openxmlformats.org/officeDocument/2006/relationships/hyperlink" Target="http://www.linkedin.com/company/portaregroup" TargetMode="External"/><Relationship Id="rId1024" Type="http://schemas.openxmlformats.org/officeDocument/2006/relationships/hyperlink" Target="http://www.linkedin.com/in/alejandro-cardona-a7857725" TargetMode="External"/><Relationship Id="rId2355" Type="http://schemas.openxmlformats.org/officeDocument/2006/relationships/hyperlink" Target="http://www.linkedin.com/company/siticom-sas" TargetMode="External"/><Relationship Id="rId3687" Type="http://schemas.openxmlformats.org/officeDocument/2006/relationships/hyperlink" Target="http://www.linkedin.com/company/diostudio-in" TargetMode="External"/><Relationship Id="rId1025" Type="http://schemas.openxmlformats.org/officeDocument/2006/relationships/hyperlink" Target="http://www.linkedin.com/company/internodes-consulting" TargetMode="External"/><Relationship Id="rId2356" Type="http://schemas.openxmlformats.org/officeDocument/2006/relationships/hyperlink" Target="https://siticom.co" TargetMode="External"/><Relationship Id="rId3686" Type="http://schemas.openxmlformats.org/officeDocument/2006/relationships/hyperlink" Target="http://www.linkedin.com/in/joaquin-rolon-visbal-b765aa32" TargetMode="External"/><Relationship Id="rId5490" Type="http://schemas.openxmlformats.org/officeDocument/2006/relationships/hyperlink" Target="http://www.linkedin.com/in/carolina-hurtado-lopez-422a1438" TargetMode="External"/><Relationship Id="rId4161" Type="http://schemas.openxmlformats.org/officeDocument/2006/relationships/hyperlink" Target="http://www.linkedin.com/company/hatix-insurance" TargetMode="External"/><Relationship Id="rId5493" Type="http://schemas.openxmlformats.org/officeDocument/2006/relationships/hyperlink" Target="http://www.linkedin.com/company/atinnaco" TargetMode="External"/><Relationship Id="rId4160" Type="http://schemas.openxmlformats.org/officeDocument/2006/relationships/hyperlink" Target="http://www.linkedin.com/in/louis-lairie" TargetMode="External"/><Relationship Id="rId5494" Type="http://schemas.openxmlformats.org/officeDocument/2006/relationships/hyperlink" Target="http://ormigga.com" TargetMode="External"/><Relationship Id="rId4163" Type="http://schemas.openxmlformats.org/officeDocument/2006/relationships/hyperlink" Target="http://www.linkedin.com/company/roamcapital" TargetMode="External"/><Relationship Id="rId5491" Type="http://schemas.openxmlformats.org/officeDocument/2006/relationships/hyperlink" Target="http://www.linkedin.com/company/simpleagri" TargetMode="External"/><Relationship Id="rId4162" Type="http://schemas.openxmlformats.org/officeDocument/2006/relationships/hyperlink" Target="http://www.linkedin.com/in/philippe-a-stiernon-a8683223" TargetMode="External"/><Relationship Id="rId5492" Type="http://schemas.openxmlformats.org/officeDocument/2006/relationships/hyperlink" Target="http://www.linkedin.com/in/javierdiazcely" TargetMode="External"/><Relationship Id="rId4165" Type="http://schemas.openxmlformats.org/officeDocument/2006/relationships/hyperlink" Target="http://www.linkedin.com/company/flycrew" TargetMode="External"/><Relationship Id="rId5497" Type="http://schemas.openxmlformats.org/officeDocument/2006/relationships/hyperlink" Target="http://www.linkedin.com/in/gerardo-mendez-" TargetMode="External"/><Relationship Id="rId4164" Type="http://schemas.openxmlformats.org/officeDocument/2006/relationships/hyperlink" Target="http://www.linkedin.com/in/josepenamanjarres" TargetMode="External"/><Relationship Id="rId5498" Type="http://schemas.openxmlformats.org/officeDocument/2006/relationships/hyperlink" Target="http://www.linkedin.com/company/ormigga" TargetMode="External"/><Relationship Id="rId4167" Type="http://schemas.openxmlformats.org/officeDocument/2006/relationships/hyperlink" Target="http://www.linkedin.com/company/plurallsme" TargetMode="External"/><Relationship Id="rId5495" Type="http://schemas.openxmlformats.org/officeDocument/2006/relationships/hyperlink" Target="http://www.linkedin.com/in/alexvasquez-ticketcode" TargetMode="External"/><Relationship Id="rId4166" Type="http://schemas.openxmlformats.org/officeDocument/2006/relationships/hyperlink" Target="http://www.linkedin.com/in/nataliagarciao" TargetMode="External"/><Relationship Id="rId5496" Type="http://schemas.openxmlformats.org/officeDocument/2006/relationships/hyperlink" Target="http://www.linkedin.com/company/ticketcode" TargetMode="External"/><Relationship Id="rId4169" Type="http://schemas.openxmlformats.org/officeDocument/2006/relationships/hyperlink" Target="http://www.linkedin.com/company/cyc-soluciones-empresariales-ltda" TargetMode="External"/><Relationship Id="rId4168" Type="http://schemas.openxmlformats.org/officeDocument/2006/relationships/hyperlink" Target="http://www.linkedin.com/in/juan-carlos-mun%c3%a9var-calder%c3%b3n-a5579638" TargetMode="External"/><Relationship Id="rId5499" Type="http://schemas.openxmlformats.org/officeDocument/2006/relationships/hyperlink" Target="http://www.linkedin.com/in/juan-camilo-fonseca" TargetMode="External"/><Relationship Id="rId4150" Type="http://schemas.openxmlformats.org/officeDocument/2006/relationships/hyperlink" Target="http://www.linkedin.com/in/jesusgomeznu%c3%b1ez" TargetMode="External"/><Relationship Id="rId5482" Type="http://schemas.openxmlformats.org/officeDocument/2006/relationships/hyperlink" Target="http://www.linkedin.com/in/monicavasquezareiza" TargetMode="External"/><Relationship Id="rId5483" Type="http://schemas.openxmlformats.org/officeDocument/2006/relationships/hyperlink" Target="http://www.linkedin.com/company/sabina-consulores-sas" TargetMode="External"/><Relationship Id="rId4152" Type="http://schemas.openxmlformats.org/officeDocument/2006/relationships/hyperlink" Target="http://www.linkedin.com/in/pedro-cano-a823b2161" TargetMode="External"/><Relationship Id="rId5480" Type="http://schemas.openxmlformats.org/officeDocument/2006/relationships/hyperlink" Target="http://www.linkedin.com/in/jose-andres-clavijo-morales-43101617" TargetMode="External"/><Relationship Id="rId4151" Type="http://schemas.openxmlformats.org/officeDocument/2006/relationships/hyperlink" Target="http://www.linkedin.com/company/prevento-seguros" TargetMode="External"/><Relationship Id="rId5481" Type="http://schemas.openxmlformats.org/officeDocument/2006/relationships/hyperlink" Target="http://www.linkedin.com/company/linnda" TargetMode="External"/><Relationship Id="rId4154" Type="http://schemas.openxmlformats.org/officeDocument/2006/relationships/hyperlink" Target="http://www.linkedin.com/in/daniel-eduardo-zapata-ochoa" TargetMode="External"/><Relationship Id="rId5486" Type="http://schemas.openxmlformats.org/officeDocument/2006/relationships/hyperlink" Target="http://www.linkedin.com/in/karencarvajalino" TargetMode="External"/><Relationship Id="rId4153" Type="http://schemas.openxmlformats.org/officeDocument/2006/relationships/hyperlink" Target="http://www.linkedin.com/company/visualcontactsas" TargetMode="External"/><Relationship Id="rId5487" Type="http://schemas.openxmlformats.org/officeDocument/2006/relationships/hyperlink" Target="http://www.linkedin.com/company/purasduras" TargetMode="External"/><Relationship Id="rId4156" Type="http://schemas.openxmlformats.org/officeDocument/2006/relationships/hyperlink" Target="http://www.linkedin.com/in/oscar-ac-6a05092a" TargetMode="External"/><Relationship Id="rId5484" Type="http://schemas.openxmlformats.org/officeDocument/2006/relationships/hyperlink" Target="http://www.linkedin.com/in/gustavo-gonz%c3%a1lez-95a96b36" TargetMode="External"/><Relationship Id="rId4155" Type="http://schemas.openxmlformats.org/officeDocument/2006/relationships/hyperlink" Target="http://www.linkedin.com/company/mdv-distribuidora" TargetMode="External"/><Relationship Id="rId5485" Type="http://schemas.openxmlformats.org/officeDocument/2006/relationships/hyperlink" Target="http://www.linkedin.com/company/plurallsme" TargetMode="External"/><Relationship Id="rId4158" Type="http://schemas.openxmlformats.org/officeDocument/2006/relationships/hyperlink" Target="http://www.linkedin.com/in/paola-berm%c3%badez-50b46aaa" TargetMode="External"/><Relationship Id="rId4157" Type="http://schemas.openxmlformats.org/officeDocument/2006/relationships/hyperlink" Target="http://www.linkedin.com/company/cifairgreen" TargetMode="External"/><Relationship Id="rId5488" Type="http://schemas.openxmlformats.org/officeDocument/2006/relationships/hyperlink" Target="http://www.linkedin.com/in/jorge-bernal-robayo-ba717251" TargetMode="External"/><Relationship Id="rId4159" Type="http://schemas.openxmlformats.org/officeDocument/2006/relationships/hyperlink" Target="http://www.linkedin.com/company/go-smart-logistics" TargetMode="External"/><Relationship Id="rId5489" Type="http://schemas.openxmlformats.org/officeDocument/2006/relationships/hyperlink" Target="http://www.linkedin.com/company/lending-pay-aula" TargetMode="External"/><Relationship Id="rId1910" Type="http://schemas.openxmlformats.org/officeDocument/2006/relationships/hyperlink" Target="http://www.linkedin.com/company/imagunet" TargetMode="External"/><Relationship Id="rId1911" Type="http://schemas.openxmlformats.org/officeDocument/2006/relationships/hyperlink" Target="https://imagunet.com" TargetMode="External"/><Relationship Id="rId1912" Type="http://schemas.openxmlformats.org/officeDocument/2006/relationships/hyperlink" Target="http://www.linkedin.com/in/joaquin-villamizar-6982145" TargetMode="External"/><Relationship Id="rId1913" Type="http://schemas.openxmlformats.org/officeDocument/2006/relationships/hyperlink" Target="http://www.linkedin.com/company/innovile" TargetMode="External"/><Relationship Id="rId1914" Type="http://schemas.openxmlformats.org/officeDocument/2006/relationships/hyperlink" Target="https://innovile.com" TargetMode="External"/><Relationship Id="rId1915" Type="http://schemas.openxmlformats.org/officeDocument/2006/relationships/hyperlink" Target="http://www.linkedin.com/in/gustavojose" TargetMode="External"/><Relationship Id="rId1916" Type="http://schemas.openxmlformats.org/officeDocument/2006/relationships/hyperlink" Target="http://www.linkedin.com/company/agencia-comercial-nutricol" TargetMode="External"/><Relationship Id="rId1917" Type="http://schemas.openxmlformats.org/officeDocument/2006/relationships/hyperlink" Target="https://acnutricol.com" TargetMode="External"/><Relationship Id="rId1918" Type="http://schemas.openxmlformats.org/officeDocument/2006/relationships/hyperlink" Target="http://www.linkedin.com/in/santiago-mogollon-otero-09bb63106" TargetMode="External"/><Relationship Id="rId1919" Type="http://schemas.openxmlformats.org/officeDocument/2006/relationships/hyperlink" Target="http://www.linkedin.com/company/comercializadora-samot-sas" TargetMode="External"/><Relationship Id="rId4181" Type="http://schemas.openxmlformats.org/officeDocument/2006/relationships/hyperlink" Target="http://www.linkedin.com/company/bassisco" TargetMode="External"/><Relationship Id="rId4180" Type="http://schemas.openxmlformats.org/officeDocument/2006/relationships/hyperlink" Target="http://www.linkedin.com/in/josesotocu" TargetMode="External"/><Relationship Id="rId4183" Type="http://schemas.openxmlformats.org/officeDocument/2006/relationships/hyperlink" Target="http://www.linkedin.com/company/multichemtrading" TargetMode="External"/><Relationship Id="rId4182" Type="http://schemas.openxmlformats.org/officeDocument/2006/relationships/hyperlink" Target="http://www.linkedin.com/in/maria-carolina-guti%c3%a9rrez-arenas-4bba9777" TargetMode="External"/><Relationship Id="rId4185" Type="http://schemas.openxmlformats.org/officeDocument/2006/relationships/hyperlink" Target="http://www.linkedin.com/company/alqui" TargetMode="External"/><Relationship Id="rId4184" Type="http://schemas.openxmlformats.org/officeDocument/2006/relationships/hyperlink" Target="http://www.linkedin.com/in/juansebastiancardona" TargetMode="External"/><Relationship Id="rId4187" Type="http://schemas.openxmlformats.org/officeDocument/2006/relationships/hyperlink" Target="http://www.linkedin.com/company/indeco-constructora-sas" TargetMode="External"/><Relationship Id="rId4186" Type="http://schemas.openxmlformats.org/officeDocument/2006/relationships/hyperlink" Target="http://www.linkedin.com/in/sergio-villa-ceo" TargetMode="External"/><Relationship Id="rId4189" Type="http://schemas.openxmlformats.org/officeDocument/2006/relationships/hyperlink" Target="http://www.linkedin.com/company/wearehubby" TargetMode="External"/><Relationship Id="rId4188" Type="http://schemas.openxmlformats.org/officeDocument/2006/relationships/hyperlink" Target="http://www.linkedin.com/in/eugenio-leal-convers" TargetMode="External"/><Relationship Id="rId1900" Type="http://schemas.openxmlformats.org/officeDocument/2006/relationships/hyperlink" Target="http://www.linkedin.com/in/andresagredo" TargetMode="External"/><Relationship Id="rId1901" Type="http://schemas.openxmlformats.org/officeDocument/2006/relationships/hyperlink" Target="http://www.linkedin.com/company/cafe-trading-advisors" TargetMode="External"/><Relationship Id="rId1902" Type="http://schemas.openxmlformats.org/officeDocument/2006/relationships/hyperlink" Target="https://seguridadfinanciera.com" TargetMode="External"/><Relationship Id="rId1903" Type="http://schemas.openxmlformats.org/officeDocument/2006/relationships/hyperlink" Target="http://www.linkedin.com/in/andreaestradaadt" TargetMode="External"/><Relationship Id="rId1904" Type="http://schemas.openxmlformats.org/officeDocument/2006/relationships/hyperlink" Target="http://www.linkedin.com/company/arquitecturadeltalento" TargetMode="External"/><Relationship Id="rId1905" Type="http://schemas.openxmlformats.org/officeDocument/2006/relationships/hyperlink" Target="https://arquitecturadeltalento.com" TargetMode="External"/><Relationship Id="rId1906" Type="http://schemas.openxmlformats.org/officeDocument/2006/relationships/hyperlink" Target="http://www.linkedin.com/in/sequintana" TargetMode="External"/><Relationship Id="rId1907" Type="http://schemas.openxmlformats.org/officeDocument/2006/relationships/hyperlink" Target="http://www.linkedin.com/company/klikenergy" TargetMode="External"/><Relationship Id="rId1908" Type="http://schemas.openxmlformats.org/officeDocument/2006/relationships/hyperlink" Target="https://klikenergy.com" TargetMode="External"/><Relationship Id="rId1909" Type="http://schemas.openxmlformats.org/officeDocument/2006/relationships/hyperlink" Target="http://www.linkedin.com/in/gabriela-reiner" TargetMode="External"/><Relationship Id="rId4170" Type="http://schemas.openxmlformats.org/officeDocument/2006/relationships/hyperlink" Target="http://www.linkedin.com/in/andresgut" TargetMode="External"/><Relationship Id="rId4172" Type="http://schemas.openxmlformats.org/officeDocument/2006/relationships/hyperlink" Target="http://www.linkedin.com/in/sergio-urrego-27a05826" TargetMode="External"/><Relationship Id="rId4171" Type="http://schemas.openxmlformats.org/officeDocument/2006/relationships/hyperlink" Target="http://www.linkedin.com/company/sytrex" TargetMode="External"/><Relationship Id="rId4174" Type="http://schemas.openxmlformats.org/officeDocument/2006/relationships/hyperlink" Target="http://www.linkedin.com/in/eliana-villota-galeano-" TargetMode="External"/><Relationship Id="rId4173" Type="http://schemas.openxmlformats.org/officeDocument/2006/relationships/hyperlink" Target="http://www.linkedin.com/company/aitia-bio" TargetMode="External"/><Relationship Id="rId4176" Type="http://schemas.openxmlformats.org/officeDocument/2006/relationships/hyperlink" Target="http://www.linkedin.com/in/sebastian-hurtado-larreamendy-7a3b1629" TargetMode="External"/><Relationship Id="rId4175" Type="http://schemas.openxmlformats.org/officeDocument/2006/relationships/hyperlink" Target="http://www.linkedin.com/company/huella-delta" TargetMode="External"/><Relationship Id="rId4178" Type="http://schemas.openxmlformats.org/officeDocument/2006/relationships/hyperlink" Target="http://www.linkedin.com/in/julian-canal-7a87549a" TargetMode="External"/><Relationship Id="rId4177" Type="http://schemas.openxmlformats.org/officeDocument/2006/relationships/hyperlink" Target="http://www.linkedin.com/company/aoa-colombia" TargetMode="External"/><Relationship Id="rId4179" Type="http://schemas.openxmlformats.org/officeDocument/2006/relationships/hyperlink" Target="http://www.linkedin.com/company/canal-group-digital-services" TargetMode="External"/><Relationship Id="rId4129" Type="http://schemas.openxmlformats.org/officeDocument/2006/relationships/hyperlink" Target="http://www.linkedin.com/company/skipai" TargetMode="External"/><Relationship Id="rId4128" Type="http://schemas.openxmlformats.org/officeDocument/2006/relationships/hyperlink" Target="http://www.linkedin.com/in/andresduqueb" TargetMode="External"/><Relationship Id="rId5459" Type="http://schemas.openxmlformats.org/officeDocument/2006/relationships/hyperlink" Target="http://www.linkedin.com/company/covoxai" TargetMode="External"/><Relationship Id="rId1090" Type="http://schemas.openxmlformats.org/officeDocument/2006/relationships/hyperlink" Target="http://www.linkedin.com/in/ambradchalela" TargetMode="External"/><Relationship Id="rId1091" Type="http://schemas.openxmlformats.org/officeDocument/2006/relationships/hyperlink" Target="http://www.linkedin.com/company/mentesalacarta" TargetMode="External"/><Relationship Id="rId1092" Type="http://schemas.openxmlformats.org/officeDocument/2006/relationships/hyperlink" Target="https://mentesalacarta.com" TargetMode="External"/><Relationship Id="rId5450" Type="http://schemas.openxmlformats.org/officeDocument/2006/relationships/hyperlink" Target="http://www.linkedin.com/in/jonathanrojasb" TargetMode="External"/><Relationship Id="rId1093" Type="http://schemas.openxmlformats.org/officeDocument/2006/relationships/hyperlink" Target="http://www.linkedin.com/in/liberrapp" TargetMode="External"/><Relationship Id="rId1094" Type="http://schemas.openxmlformats.org/officeDocument/2006/relationships/hyperlink" Target="http://www.linkedin.com/company/liberr-app" TargetMode="External"/><Relationship Id="rId1095" Type="http://schemas.openxmlformats.org/officeDocument/2006/relationships/hyperlink" Target="https://liberr.com" TargetMode="External"/><Relationship Id="rId4121" Type="http://schemas.openxmlformats.org/officeDocument/2006/relationships/hyperlink" Target="https://sodtrack.com" TargetMode="External"/><Relationship Id="rId5453" Type="http://schemas.openxmlformats.org/officeDocument/2006/relationships/hyperlink" Target="http://www.linkedin.com/company/seyco-seguridad" TargetMode="External"/><Relationship Id="rId1096" Type="http://schemas.openxmlformats.org/officeDocument/2006/relationships/hyperlink" Target="http://www.linkedin.com/in/juliandavidvelasquez" TargetMode="External"/><Relationship Id="rId4120" Type="http://schemas.openxmlformats.org/officeDocument/2006/relationships/hyperlink" Target="http://www.linkedin.com/company/sodtrack" TargetMode="External"/><Relationship Id="rId5454" Type="http://schemas.openxmlformats.org/officeDocument/2006/relationships/hyperlink" Target="http://www.linkedin.com/in/alejandro-mesa-correa" TargetMode="External"/><Relationship Id="rId1097" Type="http://schemas.openxmlformats.org/officeDocument/2006/relationships/hyperlink" Target="http://www.linkedin.com/company/nbc-services" TargetMode="External"/><Relationship Id="rId4123" Type="http://schemas.openxmlformats.org/officeDocument/2006/relationships/hyperlink" Target="http://www.linkedin.com/company/simahealth2015" TargetMode="External"/><Relationship Id="rId5451" Type="http://schemas.openxmlformats.org/officeDocument/2006/relationships/hyperlink" Target="http://www.linkedin.com/company/ibisa" TargetMode="External"/><Relationship Id="rId1098" Type="http://schemas.openxmlformats.org/officeDocument/2006/relationships/hyperlink" Target="https://nbc.services" TargetMode="External"/><Relationship Id="rId4122" Type="http://schemas.openxmlformats.org/officeDocument/2006/relationships/hyperlink" Target="http://www.linkedin.com/in/eduardo-casta%c3%b1o-arbelaez-a5328ab" TargetMode="External"/><Relationship Id="rId5452" Type="http://schemas.openxmlformats.org/officeDocument/2006/relationships/hyperlink" Target="http://www.linkedin.com/in/juan-prada" TargetMode="External"/><Relationship Id="rId1099" Type="http://schemas.openxmlformats.org/officeDocument/2006/relationships/hyperlink" Target="http://www.linkedin.com/in/daquinsa" TargetMode="External"/><Relationship Id="rId4125" Type="http://schemas.openxmlformats.org/officeDocument/2006/relationships/hyperlink" Target="http://www.linkedin.com/in/sebascastrillon" TargetMode="External"/><Relationship Id="rId5457" Type="http://schemas.openxmlformats.org/officeDocument/2006/relationships/hyperlink" Target="http://www.linkedin.com/company/blackpool-sas" TargetMode="External"/><Relationship Id="rId4124" Type="http://schemas.openxmlformats.org/officeDocument/2006/relationships/hyperlink" Target="https://simahealth.co" TargetMode="External"/><Relationship Id="rId5458" Type="http://schemas.openxmlformats.org/officeDocument/2006/relationships/hyperlink" Target="http://www.linkedin.com/in/camilo-villalba-10" TargetMode="External"/><Relationship Id="rId4127" Type="http://schemas.openxmlformats.org/officeDocument/2006/relationships/hyperlink" Target="https://estratek.com.co" TargetMode="External"/><Relationship Id="rId5455" Type="http://schemas.openxmlformats.org/officeDocument/2006/relationships/hyperlink" Target="http://www.linkedin.com/company/distritech" TargetMode="External"/><Relationship Id="rId4126" Type="http://schemas.openxmlformats.org/officeDocument/2006/relationships/hyperlink" Target="http://www.linkedin.com/company/estratekventures" TargetMode="External"/><Relationship Id="rId5456" Type="http://schemas.openxmlformats.org/officeDocument/2006/relationships/hyperlink" Target="http://www.linkedin.com/in/eduardo-andr%c3%a9s-calvo-montoya-62567816" TargetMode="External"/><Relationship Id="rId4118" Type="http://schemas.openxmlformats.org/officeDocument/2006/relationships/hyperlink" Target="https://botkers.com" TargetMode="External"/><Relationship Id="rId4117" Type="http://schemas.openxmlformats.org/officeDocument/2006/relationships/hyperlink" Target="http://www.linkedin.com/company/botkers" TargetMode="External"/><Relationship Id="rId5448" Type="http://schemas.openxmlformats.org/officeDocument/2006/relationships/hyperlink" Target="http://www.linkedin.com/in/fredy-gonzalez-silva-7613b41b2" TargetMode="External"/><Relationship Id="rId4119" Type="http://schemas.openxmlformats.org/officeDocument/2006/relationships/hyperlink" Target="http://www.linkedin.com/in/mlopezegan" TargetMode="External"/><Relationship Id="rId5449" Type="http://schemas.openxmlformats.org/officeDocument/2006/relationships/hyperlink" Target="http://www.linkedin.com/company/soinntec" TargetMode="External"/><Relationship Id="rId1080" Type="http://schemas.openxmlformats.org/officeDocument/2006/relationships/hyperlink" Target="https://themindsellerz.com" TargetMode="External"/><Relationship Id="rId1081" Type="http://schemas.openxmlformats.org/officeDocument/2006/relationships/hyperlink" Target="http://www.linkedin.com/in/mauricio-jaramillo-montoya" TargetMode="External"/><Relationship Id="rId1082" Type="http://schemas.openxmlformats.org/officeDocument/2006/relationships/hyperlink" Target="http://www.linkedin.com/company/estrat%c3%a9gico-talento-humano" TargetMode="External"/><Relationship Id="rId1083" Type="http://schemas.openxmlformats.org/officeDocument/2006/relationships/hyperlink" Target="https://estrategicoth.com" TargetMode="External"/><Relationship Id="rId1084" Type="http://schemas.openxmlformats.org/officeDocument/2006/relationships/hyperlink" Target="http://www.linkedin.com/in/mateofh" TargetMode="External"/><Relationship Id="rId4110" Type="http://schemas.openxmlformats.org/officeDocument/2006/relationships/hyperlink" Target="http://www.linkedin.com/in/camilo-rivera-35ab61b4" TargetMode="External"/><Relationship Id="rId5442" Type="http://schemas.openxmlformats.org/officeDocument/2006/relationships/hyperlink" Target="http://www.linkedin.com/in/jamilton-quintero-osorio" TargetMode="External"/><Relationship Id="rId1085" Type="http://schemas.openxmlformats.org/officeDocument/2006/relationships/hyperlink" Target="http://www.linkedin.com/company/holaamigo" TargetMode="External"/><Relationship Id="rId5443" Type="http://schemas.openxmlformats.org/officeDocument/2006/relationships/hyperlink" Target="http://www.linkedin.com/company/saleads" TargetMode="External"/><Relationship Id="rId1086" Type="http://schemas.openxmlformats.org/officeDocument/2006/relationships/hyperlink" Target="https://holaamigo.ai" TargetMode="External"/><Relationship Id="rId4112" Type="http://schemas.openxmlformats.org/officeDocument/2006/relationships/hyperlink" Target="https://sunnyschools.com" TargetMode="External"/><Relationship Id="rId5440" Type="http://schemas.openxmlformats.org/officeDocument/2006/relationships/hyperlink" Target="http://www.linkedin.com/in/undeniablecloser" TargetMode="External"/><Relationship Id="rId1087" Type="http://schemas.openxmlformats.org/officeDocument/2006/relationships/hyperlink" Target="http://www.linkedin.com/in/jwvanotterlo" TargetMode="External"/><Relationship Id="rId4111" Type="http://schemas.openxmlformats.org/officeDocument/2006/relationships/hyperlink" Target="http://www.linkedin.com/company/sunny-schools" TargetMode="External"/><Relationship Id="rId5441" Type="http://schemas.openxmlformats.org/officeDocument/2006/relationships/hyperlink" Target="http://www.linkedin.com/company/undeniable-closer" TargetMode="External"/><Relationship Id="rId1088" Type="http://schemas.openxmlformats.org/officeDocument/2006/relationships/hyperlink" Target="http://www.linkedin.com/company/www.biofique.co" TargetMode="External"/><Relationship Id="rId4114" Type="http://schemas.openxmlformats.org/officeDocument/2006/relationships/hyperlink" Target="http://www.linkedin.com/company/dermalumina" TargetMode="External"/><Relationship Id="rId5446" Type="http://schemas.openxmlformats.org/officeDocument/2006/relationships/hyperlink" Target="http://www.linkedin.com/in/fernandocaviedes" TargetMode="External"/><Relationship Id="rId1089" Type="http://schemas.openxmlformats.org/officeDocument/2006/relationships/hyperlink" Target="https://biofique.co" TargetMode="External"/><Relationship Id="rId4113" Type="http://schemas.openxmlformats.org/officeDocument/2006/relationships/hyperlink" Target="http://www.linkedin.com/in/david-williamson-mej%c3%ada-1785ba90" TargetMode="External"/><Relationship Id="rId5447" Type="http://schemas.openxmlformats.org/officeDocument/2006/relationships/hyperlink" Target="http://www.linkedin.com/company/iridian" TargetMode="External"/><Relationship Id="rId4116" Type="http://schemas.openxmlformats.org/officeDocument/2006/relationships/hyperlink" Target="http://www.linkedin.com/in/samirestefan" TargetMode="External"/><Relationship Id="rId5444" Type="http://schemas.openxmlformats.org/officeDocument/2006/relationships/hyperlink" Target="http://www.linkedin.com/in/juanmatizg" TargetMode="External"/><Relationship Id="rId4115" Type="http://schemas.openxmlformats.org/officeDocument/2006/relationships/hyperlink" Target="https://dermolumia.co.za" TargetMode="External"/><Relationship Id="rId5445" Type="http://schemas.openxmlformats.org/officeDocument/2006/relationships/hyperlink" Target="http://www.linkedin.com/company/imetrica" TargetMode="External"/><Relationship Id="rId5471" Type="http://schemas.openxmlformats.org/officeDocument/2006/relationships/hyperlink" Target="http://www.linkedin.com/company/vanguardvisionai" TargetMode="External"/><Relationship Id="rId5472" Type="http://schemas.openxmlformats.org/officeDocument/2006/relationships/hyperlink" Target="http://www.linkedin.com/in/camilocontreras" TargetMode="External"/><Relationship Id="rId4141" Type="http://schemas.openxmlformats.org/officeDocument/2006/relationships/hyperlink" Target="http://www.linkedin.com/company/axumption" TargetMode="External"/><Relationship Id="rId4140" Type="http://schemas.openxmlformats.org/officeDocument/2006/relationships/hyperlink" Target="http://www.linkedin.com/in/nickmancol" TargetMode="External"/><Relationship Id="rId5470" Type="http://schemas.openxmlformats.org/officeDocument/2006/relationships/hyperlink" Target="http://www.linkedin.com/in/miguelroldanb" TargetMode="External"/><Relationship Id="rId4143" Type="http://schemas.openxmlformats.org/officeDocument/2006/relationships/hyperlink" Target="http://www.linkedin.com/company/rgtbc" TargetMode="External"/><Relationship Id="rId5475" Type="http://schemas.openxmlformats.org/officeDocument/2006/relationships/hyperlink" Target="http://www.linkedin.com/company/mygopets" TargetMode="External"/><Relationship Id="rId4142" Type="http://schemas.openxmlformats.org/officeDocument/2006/relationships/hyperlink" Target="http://www.linkedin.com/in/julio-mario-de-le%c3%b3n-954b8b23" TargetMode="External"/><Relationship Id="rId5476" Type="http://schemas.openxmlformats.org/officeDocument/2006/relationships/hyperlink" Target="http://www.linkedin.com/in/gustavo-cardona-ramirez-3469264" TargetMode="External"/><Relationship Id="rId4145" Type="http://schemas.openxmlformats.org/officeDocument/2006/relationships/hyperlink" Target="http://www.linkedin.com/company/azlogica-iot-intelligenceofthings" TargetMode="External"/><Relationship Id="rId5473" Type="http://schemas.openxmlformats.org/officeDocument/2006/relationships/hyperlink" Target="http://www.linkedin.com/company/airxpress-sas" TargetMode="External"/><Relationship Id="rId4144" Type="http://schemas.openxmlformats.org/officeDocument/2006/relationships/hyperlink" Target="http://www.linkedin.com/in/edgarsalas-intelligenceofthings" TargetMode="External"/><Relationship Id="rId5474" Type="http://schemas.openxmlformats.org/officeDocument/2006/relationships/hyperlink" Target="http://www.linkedin.com/in/camilovargas0712" TargetMode="External"/><Relationship Id="rId4147" Type="http://schemas.openxmlformats.org/officeDocument/2006/relationships/hyperlink" Target="http://www.linkedin.com/company/citrixlatam" TargetMode="External"/><Relationship Id="rId5479" Type="http://schemas.openxmlformats.org/officeDocument/2006/relationships/hyperlink" Target="http://www.linkedin.com/company/becomedigitalsas" TargetMode="External"/><Relationship Id="rId4146" Type="http://schemas.openxmlformats.org/officeDocument/2006/relationships/hyperlink" Target="http://www.linkedin.com/in/hurtadorocio" TargetMode="External"/><Relationship Id="rId4149" Type="http://schemas.openxmlformats.org/officeDocument/2006/relationships/hyperlink" Target="http://www.linkedin.com/company/m%c3%a1s-m%c3%a9dicos" TargetMode="External"/><Relationship Id="rId5477" Type="http://schemas.openxmlformats.org/officeDocument/2006/relationships/hyperlink" Target="http://www.linkedin.com/company/spellty" TargetMode="External"/><Relationship Id="rId4148" Type="http://schemas.openxmlformats.org/officeDocument/2006/relationships/hyperlink" Target="http://www.linkedin.com/in/joseagustinbecerra" TargetMode="External"/><Relationship Id="rId5478" Type="http://schemas.openxmlformats.org/officeDocument/2006/relationships/hyperlink" Target="http://www.linkedin.com/in/josepradap" TargetMode="External"/><Relationship Id="rId4139" Type="http://schemas.openxmlformats.org/officeDocument/2006/relationships/hyperlink" Target="https://ubanku.co" TargetMode="External"/><Relationship Id="rId5460" Type="http://schemas.openxmlformats.org/officeDocument/2006/relationships/hyperlink" Target="http://www.linkedin.com/in/camilo-tobon" TargetMode="External"/><Relationship Id="rId5461" Type="http://schemas.openxmlformats.org/officeDocument/2006/relationships/hyperlink" Target="http://www.linkedin.com/company/remote-guatape" TargetMode="External"/><Relationship Id="rId4130" Type="http://schemas.openxmlformats.org/officeDocument/2006/relationships/hyperlink" Target="https://skipai.co" TargetMode="External"/><Relationship Id="rId4132" Type="http://schemas.openxmlformats.org/officeDocument/2006/relationships/hyperlink" Target="http://www.linkedin.com/company/adata-company" TargetMode="External"/><Relationship Id="rId5464" Type="http://schemas.openxmlformats.org/officeDocument/2006/relationships/hyperlink" Target="http://www.linkedin.com/in/eunice-lopez-suarez" TargetMode="External"/><Relationship Id="rId4131" Type="http://schemas.openxmlformats.org/officeDocument/2006/relationships/hyperlink" Target="http://www.linkedin.com/in/angelampuin" TargetMode="External"/><Relationship Id="rId5465" Type="http://schemas.openxmlformats.org/officeDocument/2006/relationships/hyperlink" Target="http://www.linkedin.com/company/nomadadelalma" TargetMode="External"/><Relationship Id="rId4134" Type="http://schemas.openxmlformats.org/officeDocument/2006/relationships/hyperlink" Target="http://www.linkedin.com/in/angela-maria-mejia-botero" TargetMode="External"/><Relationship Id="rId5462" Type="http://schemas.openxmlformats.org/officeDocument/2006/relationships/hyperlink" Target="http://www.linkedin.com/in/luiscarlosjacobsen" TargetMode="External"/><Relationship Id="rId4133" Type="http://schemas.openxmlformats.org/officeDocument/2006/relationships/hyperlink" Target="https://adata.company" TargetMode="External"/><Relationship Id="rId5463" Type="http://schemas.openxmlformats.org/officeDocument/2006/relationships/hyperlink" Target="http://www.linkedin.com/company/massabiosjuntos" TargetMode="External"/><Relationship Id="rId4136" Type="http://schemas.openxmlformats.org/officeDocument/2006/relationships/hyperlink" Target="https://tridainternational.com" TargetMode="External"/><Relationship Id="rId5468" Type="http://schemas.openxmlformats.org/officeDocument/2006/relationships/hyperlink" Target="http://www.linkedin.com/in/kelly-vanesa-vence-martinez-91468817a" TargetMode="External"/><Relationship Id="rId4135" Type="http://schemas.openxmlformats.org/officeDocument/2006/relationships/hyperlink" Target="http://www.linkedin.com/company/trida-international" TargetMode="External"/><Relationship Id="rId5469" Type="http://schemas.openxmlformats.org/officeDocument/2006/relationships/hyperlink" Target="http://www.linkedin.com/company/gohunt" TargetMode="External"/><Relationship Id="rId4138" Type="http://schemas.openxmlformats.org/officeDocument/2006/relationships/hyperlink" Target="http://www.linkedin.com/company/ubanku" TargetMode="External"/><Relationship Id="rId5466" Type="http://schemas.openxmlformats.org/officeDocument/2006/relationships/hyperlink" Target="http://www.linkedin.com/in/andr%c3%a9s-jaramillo-1739272b" TargetMode="External"/><Relationship Id="rId4137" Type="http://schemas.openxmlformats.org/officeDocument/2006/relationships/hyperlink" Target="http://www.linkedin.com/in/santiago-espinosa-0b575042" TargetMode="External"/><Relationship Id="rId5467" Type="http://schemas.openxmlformats.org/officeDocument/2006/relationships/hyperlink" Target="http://www.linkedin.com/company/iqnegocio" TargetMode="External"/><Relationship Id="rId1972" Type="http://schemas.openxmlformats.org/officeDocument/2006/relationships/hyperlink" Target="http://www.linkedin.com/in/carlos-augusto-vieira-aguirre-1983156a" TargetMode="External"/><Relationship Id="rId1973" Type="http://schemas.openxmlformats.org/officeDocument/2006/relationships/hyperlink" Target="http://www.linkedin.com/company/comercializadorarevi" TargetMode="External"/><Relationship Id="rId1974" Type="http://schemas.openxmlformats.org/officeDocument/2006/relationships/hyperlink" Target="https://revi.com.co" TargetMode="External"/><Relationship Id="rId1975" Type="http://schemas.openxmlformats.org/officeDocument/2006/relationships/hyperlink" Target="http://www.linkedin.com/in/andres-arango-maldonado" TargetMode="External"/><Relationship Id="rId1976" Type="http://schemas.openxmlformats.org/officeDocument/2006/relationships/hyperlink" Target="http://www.linkedin.com/company/xts-commodities" TargetMode="External"/><Relationship Id="rId1977" Type="http://schemas.openxmlformats.org/officeDocument/2006/relationships/hyperlink" Target="https://xtscommodities.com" TargetMode="External"/><Relationship Id="rId1978" Type="http://schemas.openxmlformats.org/officeDocument/2006/relationships/hyperlink" Target="http://www.linkedin.com/in/matteo-arango-gatti-21b87892" TargetMode="External"/><Relationship Id="rId1979" Type="http://schemas.openxmlformats.org/officeDocument/2006/relationships/hyperlink" Target="http://www.linkedin.com/company/troopco" TargetMode="External"/><Relationship Id="rId1970" Type="http://schemas.openxmlformats.org/officeDocument/2006/relationships/hyperlink" Target="http://www.linkedin.com/company/turisteo" TargetMode="External"/><Relationship Id="rId1971" Type="http://schemas.openxmlformats.org/officeDocument/2006/relationships/hyperlink" Target="https://turisteo.com" TargetMode="External"/><Relationship Id="rId1961" Type="http://schemas.openxmlformats.org/officeDocument/2006/relationships/hyperlink" Target="http://www.linkedin.com/company/onesource-co" TargetMode="External"/><Relationship Id="rId1962" Type="http://schemas.openxmlformats.org/officeDocument/2006/relationships/hyperlink" Target="https://onesource.com.co" TargetMode="External"/><Relationship Id="rId1963" Type="http://schemas.openxmlformats.org/officeDocument/2006/relationships/hyperlink" Target="http://www.linkedin.com/in/teachusa" TargetMode="External"/><Relationship Id="rId1964" Type="http://schemas.openxmlformats.org/officeDocument/2006/relationships/hyperlink" Target="http://www.linkedin.com/company/minga-house-foundation" TargetMode="External"/><Relationship Id="rId1965" Type="http://schemas.openxmlformats.org/officeDocument/2006/relationships/hyperlink" Target="https://mingahouse.org" TargetMode="External"/><Relationship Id="rId1966" Type="http://schemas.openxmlformats.org/officeDocument/2006/relationships/hyperlink" Target="http://www.linkedin.com/in/raquelcanon" TargetMode="External"/><Relationship Id="rId1967" Type="http://schemas.openxmlformats.org/officeDocument/2006/relationships/hyperlink" Target="http://www.linkedin.com/company/fireflysoftwareconsulting" TargetMode="External"/><Relationship Id="rId1968" Type="http://schemas.openxmlformats.org/officeDocument/2006/relationships/hyperlink" Target="https://firefly-e.com" TargetMode="External"/><Relationship Id="rId1969" Type="http://schemas.openxmlformats.org/officeDocument/2006/relationships/hyperlink" Target="http://www.linkedin.com/in/jaimespaillat" TargetMode="External"/><Relationship Id="rId1960" Type="http://schemas.openxmlformats.org/officeDocument/2006/relationships/hyperlink" Target="http://www.linkedin.com/in/juansegura16" TargetMode="External"/><Relationship Id="rId1994" Type="http://schemas.openxmlformats.org/officeDocument/2006/relationships/hyperlink" Target="http://www.linkedin.com/company/welbin" TargetMode="External"/><Relationship Id="rId1995" Type="http://schemas.openxmlformats.org/officeDocument/2006/relationships/hyperlink" Target="https://welbin.org" TargetMode="External"/><Relationship Id="rId1996" Type="http://schemas.openxmlformats.org/officeDocument/2006/relationships/hyperlink" Target="http://valorix.com" TargetMode="External"/><Relationship Id="rId1997" Type="http://schemas.openxmlformats.org/officeDocument/2006/relationships/hyperlink" Target="http://www.linkedin.com/in/edwin-andres-medina" TargetMode="External"/><Relationship Id="rId1998" Type="http://schemas.openxmlformats.org/officeDocument/2006/relationships/hyperlink" Target="http://www.linkedin.com/company/expertech-medellin" TargetMode="External"/><Relationship Id="rId1999" Type="http://schemas.openxmlformats.org/officeDocument/2006/relationships/hyperlink" Target="https://expertech.com.co" TargetMode="External"/><Relationship Id="rId1990" Type="http://schemas.openxmlformats.org/officeDocument/2006/relationships/hyperlink" Target="http://www.linkedin.com/in/paulaaponte" TargetMode="External"/><Relationship Id="rId1991" Type="http://schemas.openxmlformats.org/officeDocument/2006/relationships/hyperlink" Target="http://www.linkedin.com/company/curubatech" TargetMode="External"/><Relationship Id="rId1992" Type="http://schemas.openxmlformats.org/officeDocument/2006/relationships/hyperlink" Target="https://curuba.tech" TargetMode="External"/><Relationship Id="rId1993" Type="http://schemas.openxmlformats.org/officeDocument/2006/relationships/hyperlink" Target="http://www.linkedin.com/in/danieltobongarcia" TargetMode="External"/><Relationship Id="rId1983" Type="http://schemas.openxmlformats.org/officeDocument/2006/relationships/hyperlink" Target="https://quieroempearmeya.com.co" TargetMode="External"/><Relationship Id="rId1984" Type="http://schemas.openxmlformats.org/officeDocument/2006/relationships/hyperlink" Target="http://www.linkedin.com/in/davidbahamonlatam" TargetMode="External"/><Relationship Id="rId1985" Type="http://schemas.openxmlformats.org/officeDocument/2006/relationships/hyperlink" Target="http://www.linkedin.com/company/blue-ocean-technologies-sac" TargetMode="External"/><Relationship Id="rId1986" Type="http://schemas.openxmlformats.org/officeDocument/2006/relationships/hyperlink" Target="https://blueocean.la" TargetMode="External"/><Relationship Id="rId1987" Type="http://schemas.openxmlformats.org/officeDocument/2006/relationships/hyperlink" Target="http://www.linkedin.com/in/felipeortizmarin" TargetMode="External"/><Relationship Id="rId1988" Type="http://schemas.openxmlformats.org/officeDocument/2006/relationships/hyperlink" Target="http://www.linkedin.com/company/okorum-technologies" TargetMode="External"/><Relationship Id="rId1989" Type="http://schemas.openxmlformats.org/officeDocument/2006/relationships/hyperlink" Target="https://okorum.com" TargetMode="External"/><Relationship Id="rId1980" Type="http://schemas.openxmlformats.org/officeDocument/2006/relationships/hyperlink" Target="https://troop.com.co" TargetMode="External"/><Relationship Id="rId1981" Type="http://schemas.openxmlformats.org/officeDocument/2006/relationships/hyperlink" Target="http://www.linkedin.com/in/laura-miranda-grosso-empleabilidad" TargetMode="External"/><Relationship Id="rId1982" Type="http://schemas.openxmlformats.org/officeDocument/2006/relationships/hyperlink" Target="http://www.linkedin.com/company/quieroemplearmeya-empleabilidad" TargetMode="External"/><Relationship Id="rId1930" Type="http://schemas.openxmlformats.org/officeDocument/2006/relationships/hyperlink" Target="http://www.linkedin.com/in/davidzuluaga5" TargetMode="External"/><Relationship Id="rId1931" Type="http://schemas.openxmlformats.org/officeDocument/2006/relationships/hyperlink" Target="http://www.linkedin.com/company/appropia" TargetMode="External"/><Relationship Id="rId1932" Type="http://schemas.openxmlformats.org/officeDocument/2006/relationships/hyperlink" Target="https://appropia.com" TargetMode="External"/><Relationship Id="rId1933" Type="http://schemas.openxmlformats.org/officeDocument/2006/relationships/hyperlink" Target="http://www.linkedin.com/in/juan-carlos-prieto-24190b7" TargetMode="External"/><Relationship Id="rId1934" Type="http://schemas.openxmlformats.org/officeDocument/2006/relationships/hyperlink" Target="http://www.linkedin.com/company/prolibu" TargetMode="External"/><Relationship Id="rId1935" Type="http://schemas.openxmlformats.org/officeDocument/2006/relationships/hyperlink" Target="https://prolibu.com" TargetMode="External"/><Relationship Id="rId1936" Type="http://schemas.openxmlformats.org/officeDocument/2006/relationships/hyperlink" Target="http://www.linkedin.com/in/miguel-celis-autocore" TargetMode="External"/><Relationship Id="rId1937" Type="http://schemas.openxmlformats.org/officeDocument/2006/relationships/hyperlink" Target="http://www.linkedin.com/company/autocore" TargetMode="External"/><Relationship Id="rId1938" Type="http://schemas.openxmlformats.org/officeDocument/2006/relationships/hyperlink" Target="https://autocore.pro" TargetMode="External"/><Relationship Id="rId1939" Type="http://schemas.openxmlformats.org/officeDocument/2006/relationships/hyperlink" Target="http://www.linkedin.com/in/luisfelipegiraldo" TargetMode="External"/><Relationship Id="rId1920" Type="http://schemas.openxmlformats.org/officeDocument/2006/relationships/hyperlink" Target="https://samotgroup.com" TargetMode="External"/><Relationship Id="rId1921" Type="http://schemas.openxmlformats.org/officeDocument/2006/relationships/hyperlink" Target="http://www.linkedin.com/in/santiago-ricaurte-silva-31251426" TargetMode="External"/><Relationship Id="rId1922" Type="http://schemas.openxmlformats.org/officeDocument/2006/relationships/hyperlink" Target="http://www.linkedin.com/company/rombo-tech" TargetMode="External"/><Relationship Id="rId1923" Type="http://schemas.openxmlformats.org/officeDocument/2006/relationships/hyperlink" Target="https://rombo.tech" TargetMode="External"/><Relationship Id="rId1924" Type="http://schemas.openxmlformats.org/officeDocument/2006/relationships/hyperlink" Target="http://www.linkedin.com/in/jasalo" TargetMode="External"/><Relationship Id="rId1925" Type="http://schemas.openxmlformats.org/officeDocument/2006/relationships/hyperlink" Target="http://www.linkedin.com/company/minteo" TargetMode="External"/><Relationship Id="rId1926" Type="http://schemas.openxmlformats.org/officeDocument/2006/relationships/hyperlink" Target="https://minteo.com" TargetMode="External"/><Relationship Id="rId1927" Type="http://schemas.openxmlformats.org/officeDocument/2006/relationships/hyperlink" Target="http://www.linkedin.com/in/federico-benitez" TargetMode="External"/><Relationship Id="rId1928" Type="http://schemas.openxmlformats.org/officeDocument/2006/relationships/hyperlink" Target="http://www.linkedin.com/company/muno-labs" TargetMode="External"/><Relationship Id="rId1929" Type="http://schemas.openxmlformats.org/officeDocument/2006/relationships/hyperlink" Target="https://munolabs.com" TargetMode="External"/><Relationship Id="rId4190" Type="http://schemas.openxmlformats.org/officeDocument/2006/relationships/hyperlink" Target="http://www.linkedin.com/in/sara-sierra-caballero-99502228" TargetMode="External"/><Relationship Id="rId4192" Type="http://schemas.openxmlformats.org/officeDocument/2006/relationships/hyperlink" Target="http://www.linkedin.com/in/armando-osorio-9ba73731" TargetMode="External"/><Relationship Id="rId4191" Type="http://schemas.openxmlformats.org/officeDocument/2006/relationships/hyperlink" Target="http://www.linkedin.com/company/suonos" TargetMode="External"/><Relationship Id="rId4194" Type="http://schemas.openxmlformats.org/officeDocument/2006/relationships/hyperlink" Target="http://www.linkedin.com/in/sandra-casta%c3%b1o" TargetMode="External"/><Relationship Id="rId4193" Type="http://schemas.openxmlformats.org/officeDocument/2006/relationships/hyperlink" Target="http://www.linkedin.com/company/analisis-tecnicos-ltda" TargetMode="External"/><Relationship Id="rId4196" Type="http://schemas.openxmlformats.org/officeDocument/2006/relationships/hyperlink" Target="http://www.linkedin.com/in/natalia-c-1b471549" TargetMode="External"/><Relationship Id="rId4195" Type="http://schemas.openxmlformats.org/officeDocument/2006/relationships/hyperlink" Target="http://www.linkedin.com/company/becomedigitalsas" TargetMode="External"/><Relationship Id="rId4198" Type="http://schemas.openxmlformats.org/officeDocument/2006/relationships/hyperlink" Target="http://www.linkedin.com/in/juan-sebastian-urrea-betancourt" TargetMode="External"/><Relationship Id="rId4197" Type="http://schemas.openxmlformats.org/officeDocument/2006/relationships/hyperlink" Target="http://www.linkedin.com/company/smartbox-studio" TargetMode="External"/><Relationship Id="rId4199" Type="http://schemas.openxmlformats.org/officeDocument/2006/relationships/hyperlink" Target="http://www.linkedin.com/company/sunnet-sa" TargetMode="External"/><Relationship Id="rId1950" Type="http://schemas.openxmlformats.org/officeDocument/2006/relationships/hyperlink" Target="https://gexterra.com" TargetMode="External"/><Relationship Id="rId1951" Type="http://schemas.openxmlformats.org/officeDocument/2006/relationships/hyperlink" Target="http://www.linkedin.com/in/fegome1" TargetMode="External"/><Relationship Id="rId1952" Type="http://schemas.openxmlformats.org/officeDocument/2006/relationships/hyperlink" Target="http://www.linkedin.com/company/dapta-ai" TargetMode="External"/><Relationship Id="rId1953" Type="http://schemas.openxmlformats.org/officeDocument/2006/relationships/hyperlink" Target="https://dapta.ai" TargetMode="External"/><Relationship Id="rId1954" Type="http://schemas.openxmlformats.org/officeDocument/2006/relationships/hyperlink" Target="http://www.linkedin.com/in/santiago-amador-91b1733b" TargetMode="External"/><Relationship Id="rId1955" Type="http://schemas.openxmlformats.org/officeDocument/2006/relationships/hyperlink" Target="http://www.linkedin.com/company/agatadata" TargetMode="External"/><Relationship Id="rId1956" Type="http://schemas.openxmlformats.org/officeDocument/2006/relationships/hyperlink" Target="https://agatadata.com" TargetMode="External"/><Relationship Id="rId1957" Type="http://schemas.openxmlformats.org/officeDocument/2006/relationships/hyperlink" Target="http://www.linkedin.com/in/juanpis" TargetMode="External"/><Relationship Id="rId1958" Type="http://schemas.openxmlformats.org/officeDocument/2006/relationships/hyperlink" Target="http://www.linkedin.com/company/vitapp" TargetMode="External"/><Relationship Id="rId1959" Type="http://schemas.openxmlformats.org/officeDocument/2006/relationships/hyperlink" Target="https://vitapp.com" TargetMode="External"/><Relationship Id="rId1940" Type="http://schemas.openxmlformats.org/officeDocument/2006/relationships/hyperlink" Target="http://www.linkedin.com/company/velocitygo" TargetMode="External"/><Relationship Id="rId1941" Type="http://schemas.openxmlformats.org/officeDocument/2006/relationships/hyperlink" Target="https://velocitygo.co" TargetMode="External"/><Relationship Id="rId1942" Type="http://schemas.openxmlformats.org/officeDocument/2006/relationships/hyperlink" Target="http://www.linkedin.com/in/nicol%c3%a1s-zuleta-londo%c3%b1o-519a97169" TargetMode="External"/><Relationship Id="rId1943" Type="http://schemas.openxmlformats.org/officeDocument/2006/relationships/hyperlink" Target="http://www.linkedin.com/company/finityco" TargetMode="External"/><Relationship Id="rId1944" Type="http://schemas.openxmlformats.org/officeDocument/2006/relationships/hyperlink" Target="https://finity.com.co" TargetMode="External"/><Relationship Id="rId1945" Type="http://schemas.openxmlformats.org/officeDocument/2006/relationships/hyperlink" Target="http://www.linkedin.com/in/andresguti3rr3z" TargetMode="External"/><Relationship Id="rId1946" Type="http://schemas.openxmlformats.org/officeDocument/2006/relationships/hyperlink" Target="http://www.linkedin.com/company/drimup" TargetMode="External"/><Relationship Id="rId1947" Type="http://schemas.openxmlformats.org/officeDocument/2006/relationships/hyperlink" Target="https://drimup.co" TargetMode="External"/><Relationship Id="rId1948" Type="http://schemas.openxmlformats.org/officeDocument/2006/relationships/hyperlink" Target="http://www.linkedin.com/in/jairo-a-torres-r-68332283" TargetMode="External"/><Relationship Id="rId1949" Type="http://schemas.openxmlformats.org/officeDocument/2006/relationships/hyperlink" Target="http://www.linkedin.com/company/gexterra" TargetMode="External"/><Relationship Id="rId2423" Type="http://schemas.openxmlformats.org/officeDocument/2006/relationships/hyperlink" Target="https://tufavorcito.com" TargetMode="External"/><Relationship Id="rId3755" Type="http://schemas.openxmlformats.org/officeDocument/2006/relationships/hyperlink" Target="https://tektonsoluciones.com" TargetMode="External"/><Relationship Id="rId2424" Type="http://schemas.openxmlformats.org/officeDocument/2006/relationships/hyperlink" Target="http://www.linkedin.com/in/julianmerlano-ventas" TargetMode="External"/><Relationship Id="rId3754" Type="http://schemas.openxmlformats.org/officeDocument/2006/relationships/hyperlink" Target="http://www.linkedin.com/company/tektonsoluciones" TargetMode="External"/><Relationship Id="rId2425" Type="http://schemas.openxmlformats.org/officeDocument/2006/relationships/hyperlink" Target="http://www.linkedin.com/company/2groupllc" TargetMode="External"/><Relationship Id="rId3757" Type="http://schemas.openxmlformats.org/officeDocument/2006/relationships/hyperlink" Target="http://www.linkedin.com/company/velocitygo" TargetMode="External"/><Relationship Id="rId2426" Type="http://schemas.openxmlformats.org/officeDocument/2006/relationships/hyperlink" Target="https://2group.us" TargetMode="External"/><Relationship Id="rId3756" Type="http://schemas.openxmlformats.org/officeDocument/2006/relationships/hyperlink" Target="http://www.linkedin.com/in/carlosarrietajimenez" TargetMode="External"/><Relationship Id="rId2427" Type="http://schemas.openxmlformats.org/officeDocument/2006/relationships/hyperlink" Target="http://www.linkedin.com/in/nina-orozco-438735b4" TargetMode="External"/><Relationship Id="rId3759" Type="http://schemas.openxmlformats.org/officeDocument/2006/relationships/hyperlink" Target="http://www.linkedin.com/in/carlos-serna-72b37030" TargetMode="External"/><Relationship Id="rId2428" Type="http://schemas.openxmlformats.org/officeDocument/2006/relationships/hyperlink" Target="http://www.linkedin.com/company/osteobiomed-s.a.s." TargetMode="External"/><Relationship Id="rId3758" Type="http://schemas.openxmlformats.org/officeDocument/2006/relationships/hyperlink" Target="https://velocitygo.co" TargetMode="External"/><Relationship Id="rId2429" Type="http://schemas.openxmlformats.org/officeDocument/2006/relationships/hyperlink" Target="https://osteobiomed.com" TargetMode="External"/><Relationship Id="rId509" Type="http://schemas.openxmlformats.org/officeDocument/2006/relationships/hyperlink" Target="http://www.linkedin.com/company/identicasas" TargetMode="External"/><Relationship Id="rId508" Type="http://schemas.openxmlformats.org/officeDocument/2006/relationships/hyperlink" Target="http://www.linkedin.com/in/nicolasbotpa" TargetMode="External"/><Relationship Id="rId503" Type="http://schemas.openxmlformats.org/officeDocument/2006/relationships/hyperlink" Target="http://www.linkedin.com/company/sofu" TargetMode="External"/><Relationship Id="rId502" Type="http://schemas.openxmlformats.org/officeDocument/2006/relationships/hyperlink" Target="http://www.linkedin.com/in/yezidricaurte" TargetMode="External"/><Relationship Id="rId501" Type="http://schemas.openxmlformats.org/officeDocument/2006/relationships/hyperlink" Target="https://ibexconsultores.com" TargetMode="External"/><Relationship Id="rId500" Type="http://schemas.openxmlformats.org/officeDocument/2006/relationships/hyperlink" Target="http://www.linkedin.com/company/ibexconsultoressdeseguros" TargetMode="External"/><Relationship Id="rId507" Type="http://schemas.openxmlformats.org/officeDocument/2006/relationships/hyperlink" Target="https://analfe.org.co" TargetMode="External"/><Relationship Id="rId506" Type="http://schemas.openxmlformats.org/officeDocument/2006/relationships/hyperlink" Target="http://www.linkedin.com/company/organizacionanalfe" TargetMode="External"/><Relationship Id="rId505" Type="http://schemas.openxmlformats.org/officeDocument/2006/relationships/hyperlink" Target="http://www.linkedin.com/in/juan-camilo-rojas-mantilla" TargetMode="External"/><Relationship Id="rId504" Type="http://schemas.openxmlformats.org/officeDocument/2006/relationships/hyperlink" Target="https://sofu.com.co" TargetMode="External"/><Relationship Id="rId3751" Type="http://schemas.openxmlformats.org/officeDocument/2006/relationships/hyperlink" Target="http://www.linkedin.com/company/grema" TargetMode="External"/><Relationship Id="rId2420" Type="http://schemas.openxmlformats.org/officeDocument/2006/relationships/hyperlink" Target="https://mispropiasfinanzas.com" TargetMode="External"/><Relationship Id="rId3750" Type="http://schemas.openxmlformats.org/officeDocument/2006/relationships/hyperlink" Target="http://www.linkedin.com/in/alvaro-betancourt-60670139" TargetMode="External"/><Relationship Id="rId2421" Type="http://schemas.openxmlformats.org/officeDocument/2006/relationships/hyperlink" Target="http://www.linkedin.com/in/yesicaquispea" TargetMode="External"/><Relationship Id="rId3753" Type="http://schemas.openxmlformats.org/officeDocument/2006/relationships/hyperlink" Target="http://www.linkedin.com/in/daniel-jos%c3%a9-tirado-fl%c3%b3rez-1b71a169" TargetMode="External"/><Relationship Id="rId2422" Type="http://schemas.openxmlformats.org/officeDocument/2006/relationships/hyperlink" Target="http://www.linkedin.com/company/favorcito" TargetMode="External"/><Relationship Id="rId3752" Type="http://schemas.openxmlformats.org/officeDocument/2006/relationships/hyperlink" Target="https://grema.co" TargetMode="External"/><Relationship Id="rId2412" Type="http://schemas.openxmlformats.org/officeDocument/2006/relationships/hyperlink" Target="http://www.linkedin.com/in/miguelemendoza" TargetMode="External"/><Relationship Id="rId3744" Type="http://schemas.openxmlformats.org/officeDocument/2006/relationships/hyperlink" Target="http://www.linkedin.com/in/manuel-sanabria-mendoza" TargetMode="External"/><Relationship Id="rId2413" Type="http://schemas.openxmlformats.org/officeDocument/2006/relationships/hyperlink" Target="http://www.linkedin.com/company/synergytpc" TargetMode="External"/><Relationship Id="rId3743" Type="http://schemas.openxmlformats.org/officeDocument/2006/relationships/hyperlink" Target="https://equilatera.com.co" TargetMode="External"/><Relationship Id="rId2414" Type="http://schemas.openxmlformats.org/officeDocument/2006/relationships/hyperlink" Target="https://synergytpc.com" TargetMode="External"/><Relationship Id="rId3746" Type="http://schemas.openxmlformats.org/officeDocument/2006/relationships/hyperlink" Target="https://manuelsanabria.com" TargetMode="External"/><Relationship Id="rId2415" Type="http://schemas.openxmlformats.org/officeDocument/2006/relationships/hyperlink" Target="http://www.linkedin.com/in/herduin" TargetMode="External"/><Relationship Id="rId3745" Type="http://schemas.openxmlformats.org/officeDocument/2006/relationships/hyperlink" Target="http://www.linkedin.com/company/manuel-sanabria-tecnologias-del-pensamiento" TargetMode="External"/><Relationship Id="rId2416" Type="http://schemas.openxmlformats.org/officeDocument/2006/relationships/hyperlink" Target="http://www.linkedin.com/company/liveconnect-chat" TargetMode="External"/><Relationship Id="rId3748" Type="http://schemas.openxmlformats.org/officeDocument/2006/relationships/hyperlink" Target="http://www.linkedin.com/company/thesabi" TargetMode="External"/><Relationship Id="rId2417" Type="http://schemas.openxmlformats.org/officeDocument/2006/relationships/hyperlink" Target="https://liveconnect.chat" TargetMode="External"/><Relationship Id="rId3747" Type="http://schemas.openxmlformats.org/officeDocument/2006/relationships/hyperlink" Target="http://www.linkedin.com/in/anna-cave-bigley-20210022" TargetMode="External"/><Relationship Id="rId2418" Type="http://schemas.openxmlformats.org/officeDocument/2006/relationships/hyperlink" Target="http://www.linkedin.com/in/pabloospina" TargetMode="External"/><Relationship Id="rId2419" Type="http://schemas.openxmlformats.org/officeDocument/2006/relationships/hyperlink" Target="http://www.linkedin.com/company/mis-propias-finanzas" TargetMode="External"/><Relationship Id="rId3749" Type="http://schemas.openxmlformats.org/officeDocument/2006/relationships/hyperlink" Target="https://thesabi.co" TargetMode="External"/><Relationship Id="rId3740" Type="http://schemas.openxmlformats.org/officeDocument/2006/relationships/hyperlink" Target="https://lezat.co" TargetMode="External"/><Relationship Id="rId2410" Type="http://schemas.openxmlformats.org/officeDocument/2006/relationships/hyperlink" Target="http://www.linkedin.com/company/dialect4u" TargetMode="External"/><Relationship Id="rId3742" Type="http://schemas.openxmlformats.org/officeDocument/2006/relationships/hyperlink" Target="http://www.linkedin.com/company/equilatera-inclusion-diversidad-e-igualdad" TargetMode="External"/><Relationship Id="rId2411" Type="http://schemas.openxmlformats.org/officeDocument/2006/relationships/hyperlink" Target="https://dialect4u.com" TargetMode="External"/><Relationship Id="rId3741" Type="http://schemas.openxmlformats.org/officeDocument/2006/relationships/hyperlink" Target="http://www.linkedin.com/in/monicacortesyepes" TargetMode="External"/><Relationship Id="rId1114" Type="http://schemas.openxmlformats.org/officeDocument/2006/relationships/hyperlink" Target="https://sugarvalley.co" TargetMode="External"/><Relationship Id="rId2445" Type="http://schemas.openxmlformats.org/officeDocument/2006/relationships/hyperlink" Target="http://www.linkedin.com/in/rodrigo-nassar-montoya-8265b810" TargetMode="External"/><Relationship Id="rId3777" Type="http://schemas.openxmlformats.org/officeDocument/2006/relationships/hyperlink" Target="http://www.linkedin.com/in/rubencordoba" TargetMode="External"/><Relationship Id="rId1115" Type="http://schemas.openxmlformats.org/officeDocument/2006/relationships/hyperlink" Target="http://www.linkedin.com/in/eddiebello" TargetMode="External"/><Relationship Id="rId2446" Type="http://schemas.openxmlformats.org/officeDocument/2006/relationships/hyperlink" Target="http://www.linkedin.com/company/iconoi-s-a-" TargetMode="External"/><Relationship Id="rId3776" Type="http://schemas.openxmlformats.org/officeDocument/2006/relationships/hyperlink" Target="https://globalista.co" TargetMode="External"/><Relationship Id="rId1116" Type="http://schemas.openxmlformats.org/officeDocument/2006/relationships/hyperlink" Target="http://www.linkedin.com/company/strategyandstack" TargetMode="External"/><Relationship Id="rId2447" Type="http://schemas.openxmlformats.org/officeDocument/2006/relationships/hyperlink" Target="https://iconoi.com" TargetMode="External"/><Relationship Id="rId3779" Type="http://schemas.openxmlformats.org/officeDocument/2006/relationships/hyperlink" Target="https://buckets-ai.com" TargetMode="External"/><Relationship Id="rId1117" Type="http://schemas.openxmlformats.org/officeDocument/2006/relationships/hyperlink" Target="https://strategyandstack.com" TargetMode="External"/><Relationship Id="rId2448" Type="http://schemas.openxmlformats.org/officeDocument/2006/relationships/hyperlink" Target="http://www.linkedin.com/in/kevglopez" TargetMode="External"/><Relationship Id="rId3778" Type="http://schemas.openxmlformats.org/officeDocument/2006/relationships/hyperlink" Target="http://www.linkedin.com/company/buckets-ai" TargetMode="External"/><Relationship Id="rId1118" Type="http://schemas.openxmlformats.org/officeDocument/2006/relationships/hyperlink" Target="http://www.linkedin.com/in/luisnaranjoduplat" TargetMode="External"/><Relationship Id="rId2449" Type="http://schemas.openxmlformats.org/officeDocument/2006/relationships/hyperlink" Target="http://www.linkedin.com/company/entrebell" TargetMode="External"/><Relationship Id="rId1119" Type="http://schemas.openxmlformats.org/officeDocument/2006/relationships/hyperlink" Target="http://www.linkedin.com/company/somosloopay" TargetMode="External"/><Relationship Id="rId525" Type="http://schemas.openxmlformats.org/officeDocument/2006/relationships/hyperlink" Target="https://itksoluciones.com" TargetMode="External"/><Relationship Id="rId524" Type="http://schemas.openxmlformats.org/officeDocument/2006/relationships/hyperlink" Target="http://www.linkedin.com/company/itksoluciones" TargetMode="External"/><Relationship Id="rId523" Type="http://schemas.openxmlformats.org/officeDocument/2006/relationships/hyperlink" Target="http://www.linkedin.com/in/john-a-espinal-a-735409146" TargetMode="External"/><Relationship Id="rId522" Type="http://schemas.openxmlformats.org/officeDocument/2006/relationships/hyperlink" Target="https://mappa.ai" TargetMode="External"/><Relationship Id="rId529" Type="http://schemas.openxmlformats.org/officeDocument/2006/relationships/hyperlink" Target="http://www.linkedin.com/in/juan-david-mejia-47b03226" TargetMode="External"/><Relationship Id="rId528" Type="http://schemas.openxmlformats.org/officeDocument/2006/relationships/hyperlink" Target="https://corponovo.com.co" TargetMode="External"/><Relationship Id="rId527" Type="http://schemas.openxmlformats.org/officeDocument/2006/relationships/hyperlink" Target="http://www.linkedin.com/company/corponovo" TargetMode="External"/><Relationship Id="rId526" Type="http://schemas.openxmlformats.org/officeDocument/2006/relationships/hyperlink" Target="http://www.linkedin.com/in/nataliev%c3%a1squezortizmarketingandsales" TargetMode="External"/><Relationship Id="rId3771" Type="http://schemas.openxmlformats.org/officeDocument/2006/relationships/hyperlink" Target="http://www.linkedin.com/in/sofia-cobas-g" TargetMode="External"/><Relationship Id="rId2440" Type="http://schemas.openxmlformats.org/officeDocument/2006/relationships/hyperlink" Target="http://www.linkedin.com/company/laboratorio-liderazgo" TargetMode="External"/><Relationship Id="rId3770" Type="http://schemas.openxmlformats.org/officeDocument/2006/relationships/hyperlink" Target="https://zelo.com.co" TargetMode="External"/><Relationship Id="rId521" Type="http://schemas.openxmlformats.org/officeDocument/2006/relationships/hyperlink" Target="http://www.linkedin.com/company/mappa-ai" TargetMode="External"/><Relationship Id="rId1110" Type="http://schemas.openxmlformats.org/officeDocument/2006/relationships/hyperlink" Target="http://www.linkedin.com/company/agenticdream" TargetMode="External"/><Relationship Id="rId2441" Type="http://schemas.openxmlformats.org/officeDocument/2006/relationships/hyperlink" Target="https://pentaconsultoria.com" TargetMode="External"/><Relationship Id="rId3773" Type="http://schemas.openxmlformats.org/officeDocument/2006/relationships/hyperlink" Target="https://predikdata.com" TargetMode="External"/><Relationship Id="rId520" Type="http://schemas.openxmlformats.org/officeDocument/2006/relationships/hyperlink" Target="http://www.linkedin.com/in/alejandra-caro-42b84a217" TargetMode="External"/><Relationship Id="rId1111" Type="http://schemas.openxmlformats.org/officeDocument/2006/relationships/hyperlink" Target="https://agenticdream.com" TargetMode="External"/><Relationship Id="rId2442" Type="http://schemas.openxmlformats.org/officeDocument/2006/relationships/hyperlink" Target="http://www.linkedin.com/in/sebastianalba" TargetMode="External"/><Relationship Id="rId3772" Type="http://schemas.openxmlformats.org/officeDocument/2006/relationships/hyperlink" Target="http://www.linkedin.com/company/predik-data-driven" TargetMode="External"/><Relationship Id="rId1112" Type="http://schemas.openxmlformats.org/officeDocument/2006/relationships/hyperlink" Target="http://www.linkedin.com/in/julianmsanchez" TargetMode="External"/><Relationship Id="rId2443" Type="http://schemas.openxmlformats.org/officeDocument/2006/relationships/hyperlink" Target="http://www.linkedin.com/company/aurora-pixel-studio" TargetMode="External"/><Relationship Id="rId3775" Type="http://schemas.openxmlformats.org/officeDocument/2006/relationships/hyperlink" Target="http://www.linkedin.com/company/globalista-sas" TargetMode="External"/><Relationship Id="rId1113" Type="http://schemas.openxmlformats.org/officeDocument/2006/relationships/hyperlink" Target="http://www.linkedin.com/company/sugarvalley-co" TargetMode="External"/><Relationship Id="rId2444" Type="http://schemas.openxmlformats.org/officeDocument/2006/relationships/hyperlink" Target="https://aurorapixelstudio.com" TargetMode="External"/><Relationship Id="rId3774" Type="http://schemas.openxmlformats.org/officeDocument/2006/relationships/hyperlink" Target="http://www.linkedin.com/in/felipe-mejia-montes-a3a22528" TargetMode="External"/><Relationship Id="rId1103" Type="http://schemas.openxmlformats.org/officeDocument/2006/relationships/hyperlink" Target="http://www.linkedin.com/in/ivancarrizosa" TargetMode="External"/><Relationship Id="rId2434" Type="http://schemas.openxmlformats.org/officeDocument/2006/relationships/hyperlink" Target="http://www.linkedin.com/company/ipasas" TargetMode="External"/><Relationship Id="rId3766" Type="http://schemas.openxmlformats.org/officeDocument/2006/relationships/hyperlink" Target="http://www.linkedin.com/company/aipufy" TargetMode="External"/><Relationship Id="rId1104" Type="http://schemas.openxmlformats.org/officeDocument/2006/relationships/hyperlink" Target="http://www.linkedin.com/company/progerente" TargetMode="External"/><Relationship Id="rId2435" Type="http://schemas.openxmlformats.org/officeDocument/2006/relationships/hyperlink" Target="https://ipasas.co" TargetMode="External"/><Relationship Id="rId3765" Type="http://schemas.openxmlformats.org/officeDocument/2006/relationships/hyperlink" Target="http://www.linkedin.com/in/marioariasf" TargetMode="External"/><Relationship Id="rId1105" Type="http://schemas.openxmlformats.org/officeDocument/2006/relationships/hyperlink" Target="https://progerente.com" TargetMode="External"/><Relationship Id="rId2436" Type="http://schemas.openxmlformats.org/officeDocument/2006/relationships/hyperlink" Target="http://www.linkedin.com/in/lenny-g%c3%b3mez-865379222" TargetMode="External"/><Relationship Id="rId3768" Type="http://schemas.openxmlformats.org/officeDocument/2006/relationships/hyperlink" Target="http://www.linkedin.com/in/sebasfova" TargetMode="External"/><Relationship Id="rId1106" Type="http://schemas.openxmlformats.org/officeDocument/2006/relationships/hyperlink" Target="http://www.linkedin.com/in/juancamilom" TargetMode="External"/><Relationship Id="rId2437" Type="http://schemas.openxmlformats.org/officeDocument/2006/relationships/hyperlink" Target="http://www.linkedin.com/company/estrenar-vivienda" TargetMode="External"/><Relationship Id="rId3767" Type="http://schemas.openxmlformats.org/officeDocument/2006/relationships/hyperlink" Target="https://aipufy.ai" TargetMode="External"/><Relationship Id="rId1107" Type="http://schemas.openxmlformats.org/officeDocument/2006/relationships/hyperlink" Target="http://www.linkedin.com/company/human2human-ai" TargetMode="External"/><Relationship Id="rId2438" Type="http://schemas.openxmlformats.org/officeDocument/2006/relationships/hyperlink" Target="https://estrenarvivienda.com" TargetMode="External"/><Relationship Id="rId1108" Type="http://schemas.openxmlformats.org/officeDocument/2006/relationships/hyperlink" Target="https://human2human.ai" TargetMode="External"/><Relationship Id="rId2439" Type="http://schemas.openxmlformats.org/officeDocument/2006/relationships/hyperlink" Target="http://www.linkedin.com/in/mariaadelaidanaranjo" TargetMode="External"/><Relationship Id="rId3769" Type="http://schemas.openxmlformats.org/officeDocument/2006/relationships/hyperlink" Target="http://www.linkedin.com/company/zelo-colombia" TargetMode="External"/><Relationship Id="rId1109" Type="http://schemas.openxmlformats.org/officeDocument/2006/relationships/hyperlink" Target="http://www.linkedin.com/in/jonathan-pardo-fuentes-0a644030" TargetMode="External"/><Relationship Id="rId519" Type="http://schemas.openxmlformats.org/officeDocument/2006/relationships/hyperlink" Target="https://flipit.network" TargetMode="External"/><Relationship Id="rId514" Type="http://schemas.openxmlformats.org/officeDocument/2006/relationships/hyperlink" Target="http://www.linkedin.com/in/yesseniahernandezgarcia" TargetMode="External"/><Relationship Id="rId513" Type="http://schemas.openxmlformats.org/officeDocument/2006/relationships/hyperlink" Target="https://agregavalor.net" TargetMode="External"/><Relationship Id="rId512" Type="http://schemas.openxmlformats.org/officeDocument/2006/relationships/hyperlink" Target="http://www.linkedin.com/company/agrega-valor" TargetMode="External"/><Relationship Id="rId511" Type="http://schemas.openxmlformats.org/officeDocument/2006/relationships/hyperlink" Target="http://www.linkedin.com/in/jvmartinezd" TargetMode="External"/><Relationship Id="rId518" Type="http://schemas.openxmlformats.org/officeDocument/2006/relationships/hyperlink" Target="http://www.linkedin.com/company/flipit-network" TargetMode="External"/><Relationship Id="rId517" Type="http://schemas.openxmlformats.org/officeDocument/2006/relationships/hyperlink" Target="http://www.linkedin.com/in/ditovar" TargetMode="External"/><Relationship Id="rId516" Type="http://schemas.openxmlformats.org/officeDocument/2006/relationships/hyperlink" Target="https://obexcolombia.com" TargetMode="External"/><Relationship Id="rId515" Type="http://schemas.openxmlformats.org/officeDocument/2006/relationships/hyperlink" Target="http://www.linkedin.com/company/obexcolombia" TargetMode="External"/><Relationship Id="rId3760" Type="http://schemas.openxmlformats.org/officeDocument/2006/relationships/hyperlink" Target="http://www.linkedin.com/company/oversai-llc" TargetMode="External"/><Relationship Id="rId510" Type="http://schemas.openxmlformats.org/officeDocument/2006/relationships/hyperlink" Target="https://identica-sa.com" TargetMode="External"/><Relationship Id="rId2430" Type="http://schemas.openxmlformats.org/officeDocument/2006/relationships/hyperlink" Target="http://www.linkedin.com/in/gretty-ospina-hurtado-450053168" TargetMode="External"/><Relationship Id="rId3762" Type="http://schemas.openxmlformats.org/officeDocument/2006/relationships/hyperlink" Target="http://www.linkedin.com/in/socialstephanie" TargetMode="External"/><Relationship Id="rId1100" Type="http://schemas.openxmlformats.org/officeDocument/2006/relationships/hyperlink" Target="http://www.linkedin.com/company/incluirtec" TargetMode="External"/><Relationship Id="rId2431" Type="http://schemas.openxmlformats.org/officeDocument/2006/relationships/hyperlink" Target="http://www.linkedin.com/company/unicentropereira" TargetMode="External"/><Relationship Id="rId3761" Type="http://schemas.openxmlformats.org/officeDocument/2006/relationships/hyperlink" Target="https://oversai.com" TargetMode="External"/><Relationship Id="rId1101" Type="http://schemas.openxmlformats.org/officeDocument/2006/relationships/hyperlink" Target="https://incluirtec.co" TargetMode="External"/><Relationship Id="rId2432" Type="http://schemas.openxmlformats.org/officeDocument/2006/relationships/hyperlink" Target="https://unicentropereira.com" TargetMode="External"/><Relationship Id="rId3764" Type="http://schemas.openxmlformats.org/officeDocument/2006/relationships/hyperlink" Target="https://exodussummit.com" TargetMode="External"/><Relationship Id="rId1102" Type="http://schemas.openxmlformats.org/officeDocument/2006/relationships/hyperlink" Target="http://human2human.ai" TargetMode="External"/><Relationship Id="rId2433" Type="http://schemas.openxmlformats.org/officeDocument/2006/relationships/hyperlink" Target="http://www.linkedin.com/in/luz-elena-mar%c3%adn-cer%c3%b3n-8a28b7175" TargetMode="External"/><Relationship Id="rId3763" Type="http://schemas.openxmlformats.org/officeDocument/2006/relationships/hyperlink" Target="http://www.linkedin.com/company/exodus-summit" TargetMode="External"/><Relationship Id="rId3711" Type="http://schemas.openxmlformats.org/officeDocument/2006/relationships/hyperlink" Target="http://www.linkedin.com/company/funlab-design" TargetMode="External"/><Relationship Id="rId3710" Type="http://schemas.openxmlformats.org/officeDocument/2006/relationships/hyperlink" Target="http://www.linkedin.com/in/tatiana-t%c3%bcrk-81624529" TargetMode="External"/><Relationship Id="rId3713" Type="http://schemas.openxmlformats.org/officeDocument/2006/relationships/hyperlink" Target="http://www.linkedin.com/in/juan-pisco" TargetMode="External"/><Relationship Id="rId3712" Type="http://schemas.openxmlformats.org/officeDocument/2006/relationships/hyperlink" Target="https://funlab.com.co" TargetMode="External"/><Relationship Id="rId3715" Type="http://schemas.openxmlformats.org/officeDocument/2006/relationships/hyperlink" Target="https://cifrato.ai" TargetMode="External"/><Relationship Id="rId3714" Type="http://schemas.openxmlformats.org/officeDocument/2006/relationships/hyperlink" Target="http://www.linkedin.com/company/cifrato" TargetMode="External"/><Relationship Id="rId3717" Type="http://schemas.openxmlformats.org/officeDocument/2006/relationships/hyperlink" Target="http://www.linkedin.com/company/ave-marketit" TargetMode="External"/><Relationship Id="rId3716" Type="http://schemas.openxmlformats.org/officeDocument/2006/relationships/hyperlink" Target="http://www.linkedin.com/in/luisaibanez" TargetMode="External"/><Relationship Id="rId3719" Type="http://schemas.openxmlformats.org/officeDocument/2006/relationships/hyperlink" Target="http://www.linkedin.com/in/juanpabloromero-b2bsales" TargetMode="External"/><Relationship Id="rId3718" Type="http://schemas.openxmlformats.org/officeDocument/2006/relationships/hyperlink" Target="https://avemarket.co" TargetMode="External"/><Relationship Id="rId3700" Type="http://schemas.openxmlformats.org/officeDocument/2006/relationships/hyperlink" Target="https://interlat.co" TargetMode="External"/><Relationship Id="rId3702" Type="http://schemas.openxmlformats.org/officeDocument/2006/relationships/hyperlink" Target="http://www.linkedin.com/company/ecosiglos" TargetMode="External"/><Relationship Id="rId3701" Type="http://schemas.openxmlformats.org/officeDocument/2006/relationships/hyperlink" Target="http://www.linkedin.com/in/silvio-sanchez-arango-a59279233" TargetMode="External"/><Relationship Id="rId3704" Type="http://schemas.openxmlformats.org/officeDocument/2006/relationships/hyperlink" Target="http://www.linkedin.com/in/gaston-vega-vallejo-b27204a" TargetMode="External"/><Relationship Id="rId3703" Type="http://schemas.openxmlformats.org/officeDocument/2006/relationships/hyperlink" Target="https://ecosiglos.com" TargetMode="External"/><Relationship Id="rId3706" Type="http://schemas.openxmlformats.org/officeDocument/2006/relationships/hyperlink" Target="https://avanzo.co" TargetMode="External"/><Relationship Id="rId3705" Type="http://schemas.openxmlformats.org/officeDocument/2006/relationships/hyperlink" Target="http://www.linkedin.com/company/avanzocreditos" TargetMode="External"/><Relationship Id="rId3708" Type="http://schemas.openxmlformats.org/officeDocument/2006/relationships/hyperlink" Target="http://www.linkedin.com/company/focustalentcol" TargetMode="External"/><Relationship Id="rId3707" Type="http://schemas.openxmlformats.org/officeDocument/2006/relationships/hyperlink" Target="http://www.linkedin.com/in/erica-bernal" TargetMode="External"/><Relationship Id="rId3709" Type="http://schemas.openxmlformats.org/officeDocument/2006/relationships/hyperlink" Target="https://focustalent.com.co" TargetMode="External"/><Relationship Id="rId2401" Type="http://schemas.openxmlformats.org/officeDocument/2006/relationships/hyperlink" Target="http://www.linkedin.com/company/meteor-ia" TargetMode="External"/><Relationship Id="rId3733" Type="http://schemas.openxmlformats.org/officeDocument/2006/relationships/hyperlink" Target="https://roa.lat" TargetMode="External"/><Relationship Id="rId2402" Type="http://schemas.openxmlformats.org/officeDocument/2006/relationships/hyperlink" Target="https://meteor.com.co" TargetMode="External"/><Relationship Id="rId3732" Type="http://schemas.openxmlformats.org/officeDocument/2006/relationships/hyperlink" Target="http://www.linkedin.com/company/roambiental" TargetMode="External"/><Relationship Id="rId2403" Type="http://schemas.openxmlformats.org/officeDocument/2006/relationships/hyperlink" Target="http://www.linkedin.com/in/alejandrofarfancorrea" TargetMode="External"/><Relationship Id="rId3735" Type="http://schemas.openxmlformats.org/officeDocument/2006/relationships/hyperlink" Target="http://www.linkedin.com/in/jorgearenasa" TargetMode="External"/><Relationship Id="rId2404" Type="http://schemas.openxmlformats.org/officeDocument/2006/relationships/hyperlink" Target="http://www.linkedin.com/company/iconconsultingpro" TargetMode="External"/><Relationship Id="rId3734" Type="http://schemas.openxmlformats.org/officeDocument/2006/relationships/hyperlink" Target="http://lezat.co" TargetMode="External"/><Relationship Id="rId2405" Type="http://schemas.openxmlformats.org/officeDocument/2006/relationships/hyperlink" Target="https://iconconsulting.com.co" TargetMode="External"/><Relationship Id="rId3737" Type="http://schemas.openxmlformats.org/officeDocument/2006/relationships/hyperlink" Target="https://avansara.com" TargetMode="External"/><Relationship Id="rId2406" Type="http://schemas.openxmlformats.org/officeDocument/2006/relationships/hyperlink" Target="http://www.linkedin.com/in/and-%c3%a7etin-5a0b212b" TargetMode="External"/><Relationship Id="rId3736" Type="http://schemas.openxmlformats.org/officeDocument/2006/relationships/hyperlink" Target="http://www.linkedin.com/company/avansara" TargetMode="External"/><Relationship Id="rId2407" Type="http://schemas.openxmlformats.org/officeDocument/2006/relationships/hyperlink" Target="http://www.linkedin.com/company/steerr" TargetMode="External"/><Relationship Id="rId3739" Type="http://schemas.openxmlformats.org/officeDocument/2006/relationships/hyperlink" Target="http://www.linkedin.com/company/lezat-co" TargetMode="External"/><Relationship Id="rId2408" Type="http://schemas.openxmlformats.org/officeDocument/2006/relationships/hyperlink" Target="https://steerr.com" TargetMode="External"/><Relationship Id="rId3738" Type="http://schemas.openxmlformats.org/officeDocument/2006/relationships/hyperlink" Target="http://www.linkedin.com/in/daniela-botero-61255687" TargetMode="External"/><Relationship Id="rId2409" Type="http://schemas.openxmlformats.org/officeDocument/2006/relationships/hyperlink" Target="http://www.linkedin.com/in/dialect4u" TargetMode="External"/><Relationship Id="rId3731" Type="http://schemas.openxmlformats.org/officeDocument/2006/relationships/hyperlink" Target="http://www.linkedin.com/in/miguel-angel-vallone" TargetMode="External"/><Relationship Id="rId2400" Type="http://schemas.openxmlformats.org/officeDocument/2006/relationships/hyperlink" Target="http://www.linkedin.com/in/alejandro-kratc" TargetMode="External"/><Relationship Id="rId3730" Type="http://schemas.openxmlformats.org/officeDocument/2006/relationships/hyperlink" Target="https://architectus.net.co" TargetMode="External"/><Relationship Id="rId3722" Type="http://schemas.openxmlformats.org/officeDocument/2006/relationships/hyperlink" Target="http://www.linkedin.com/in/alvarojoseperea" TargetMode="External"/><Relationship Id="rId3721" Type="http://schemas.openxmlformats.org/officeDocument/2006/relationships/hyperlink" Target="https://hireyarvis.com" TargetMode="External"/><Relationship Id="rId3724" Type="http://schemas.openxmlformats.org/officeDocument/2006/relationships/hyperlink" Target="https://sunbeltfactory.com" TargetMode="External"/><Relationship Id="rId3723" Type="http://schemas.openxmlformats.org/officeDocument/2006/relationships/hyperlink" Target="http://www.linkedin.com/company/sunbeltfactory" TargetMode="External"/><Relationship Id="rId3726" Type="http://schemas.openxmlformats.org/officeDocument/2006/relationships/hyperlink" Target="http://www.linkedin.com/company/contra-studio" TargetMode="External"/><Relationship Id="rId3725" Type="http://schemas.openxmlformats.org/officeDocument/2006/relationships/hyperlink" Target="http://www.linkedin.com/in/juanlunaco" TargetMode="External"/><Relationship Id="rId3728" Type="http://schemas.openxmlformats.org/officeDocument/2006/relationships/hyperlink" Target="http://www.linkedin.com/in/gabriel-oliveros-b86bb527" TargetMode="External"/><Relationship Id="rId3727" Type="http://schemas.openxmlformats.org/officeDocument/2006/relationships/hyperlink" Target="https://studiocontra.co" TargetMode="External"/><Relationship Id="rId3729" Type="http://schemas.openxmlformats.org/officeDocument/2006/relationships/hyperlink" Target="http://www.linkedin.com/company/architectus-software" TargetMode="External"/><Relationship Id="rId3720" Type="http://schemas.openxmlformats.org/officeDocument/2006/relationships/hyperlink" Target="http://www.linkedin.com/company/yarvis-sales" TargetMode="External"/><Relationship Id="rId4206" Type="http://schemas.openxmlformats.org/officeDocument/2006/relationships/hyperlink" Target="http://www.linkedin.com/in/carlos-andr%c3%a9s-mart%c3%adnez-l%c3%b3pez-47848069" TargetMode="External"/><Relationship Id="rId5538" Type="http://schemas.openxmlformats.org/officeDocument/2006/relationships/hyperlink" Target="http://www.linkedin.com/company/aldea-city" TargetMode="External"/><Relationship Id="rId4205" Type="http://schemas.openxmlformats.org/officeDocument/2006/relationships/hyperlink" Target="http://www.linkedin.com/company/ecosistema-hr" TargetMode="External"/><Relationship Id="rId5539" Type="http://schemas.openxmlformats.org/officeDocument/2006/relationships/hyperlink" Target="http://www.linkedin.com/in/yolberth-pe%c3%b1a-2693aa142" TargetMode="External"/><Relationship Id="rId4208" Type="http://schemas.openxmlformats.org/officeDocument/2006/relationships/hyperlink" Target="http://www.linkedin.com/in/julianagiraldor" TargetMode="External"/><Relationship Id="rId5536" Type="http://schemas.openxmlformats.org/officeDocument/2006/relationships/hyperlink" Target="http://www.linkedin.com/company/macpower-it-solutions" TargetMode="External"/><Relationship Id="rId4207" Type="http://schemas.openxmlformats.org/officeDocument/2006/relationships/hyperlink" Target="http://www.linkedin.com/company/migtra" TargetMode="External"/><Relationship Id="rId5537" Type="http://schemas.openxmlformats.org/officeDocument/2006/relationships/hyperlink" Target="http://www.linkedin.com/in/camiloesco" TargetMode="External"/><Relationship Id="rId590" Type="http://schemas.openxmlformats.org/officeDocument/2006/relationships/hyperlink" Target="http://www.linkedin.com/in/paolite" TargetMode="External"/><Relationship Id="rId4209" Type="http://schemas.openxmlformats.org/officeDocument/2006/relationships/hyperlink" Target="http://www.linkedin.com/company/novitek-business-consulting" TargetMode="External"/><Relationship Id="rId589" Type="http://schemas.openxmlformats.org/officeDocument/2006/relationships/hyperlink" Target="https://neurona.com.co" TargetMode="External"/><Relationship Id="rId588" Type="http://schemas.openxmlformats.org/officeDocument/2006/relationships/hyperlink" Target="http://www.linkedin.com/company/neurona-tecnologia-financiera" TargetMode="External"/><Relationship Id="rId1170" Type="http://schemas.openxmlformats.org/officeDocument/2006/relationships/hyperlink" Target="http://www.linkedin.com/company/onetotree" TargetMode="External"/><Relationship Id="rId1171" Type="http://schemas.openxmlformats.org/officeDocument/2006/relationships/hyperlink" Target="https://onetotree.co" TargetMode="External"/><Relationship Id="rId583" Type="http://schemas.openxmlformats.org/officeDocument/2006/relationships/hyperlink" Target="https://lsn.com.co" TargetMode="External"/><Relationship Id="rId1172" Type="http://schemas.openxmlformats.org/officeDocument/2006/relationships/hyperlink" Target="http://www.linkedin.com/in/santiagoquinche" TargetMode="External"/><Relationship Id="rId5530" Type="http://schemas.openxmlformats.org/officeDocument/2006/relationships/hyperlink" Target="http://www.linkedin.com/company/controller-rma" TargetMode="External"/><Relationship Id="rId582" Type="http://schemas.openxmlformats.org/officeDocument/2006/relationships/hyperlink" Target="http://www.linkedin.com/company/lsnsecurity" TargetMode="External"/><Relationship Id="rId1173" Type="http://schemas.openxmlformats.org/officeDocument/2006/relationships/hyperlink" Target="http://www.linkedin.com/company/hey-kid" TargetMode="External"/><Relationship Id="rId5531" Type="http://schemas.openxmlformats.org/officeDocument/2006/relationships/hyperlink" Target="http://www.linkedin.com/in/santiago-op" TargetMode="External"/><Relationship Id="rId581" Type="http://schemas.openxmlformats.org/officeDocument/2006/relationships/hyperlink" Target="http://www.linkedin.com/in/juan-fernando-castro-sierra-02961626" TargetMode="External"/><Relationship Id="rId1174" Type="http://schemas.openxmlformats.org/officeDocument/2006/relationships/hyperlink" Target="https://heykidstudio.com" TargetMode="External"/><Relationship Id="rId4200" Type="http://schemas.openxmlformats.org/officeDocument/2006/relationships/hyperlink" Target="http://www.linkedin.com/in/juan-guillermo-bobadilla-rojas-4b1a4050" TargetMode="External"/><Relationship Id="rId580" Type="http://schemas.openxmlformats.org/officeDocument/2006/relationships/hyperlink" Target="https://buildingmarkets.org" TargetMode="External"/><Relationship Id="rId1175" Type="http://schemas.openxmlformats.org/officeDocument/2006/relationships/hyperlink" Target="http://www.linkedin.com/in/isabel-matas" TargetMode="External"/><Relationship Id="rId587" Type="http://schemas.openxmlformats.org/officeDocument/2006/relationships/hyperlink" Target="http://www.linkedin.com/in/manuelsicard" TargetMode="External"/><Relationship Id="rId1176" Type="http://schemas.openxmlformats.org/officeDocument/2006/relationships/hyperlink" Target="http://www.linkedin.com/company/exit83-consulting" TargetMode="External"/><Relationship Id="rId4202" Type="http://schemas.openxmlformats.org/officeDocument/2006/relationships/hyperlink" Target="http://www.linkedin.com/in/alejandro-l-176a25160" TargetMode="External"/><Relationship Id="rId5534" Type="http://schemas.openxmlformats.org/officeDocument/2006/relationships/hyperlink" Target="http://www.linkedin.com/company/inverceramicas" TargetMode="External"/><Relationship Id="rId586" Type="http://schemas.openxmlformats.org/officeDocument/2006/relationships/hyperlink" Target="https://chroma-studio.net" TargetMode="External"/><Relationship Id="rId1177" Type="http://schemas.openxmlformats.org/officeDocument/2006/relationships/hyperlink" Target="https://exit83.com" TargetMode="External"/><Relationship Id="rId4201" Type="http://schemas.openxmlformats.org/officeDocument/2006/relationships/hyperlink" Target="http://www.linkedin.com/company/gjx" TargetMode="External"/><Relationship Id="rId5535" Type="http://schemas.openxmlformats.org/officeDocument/2006/relationships/hyperlink" Target="http://www.linkedin.com/in/juancamilogalindovargas-supplychain" TargetMode="External"/><Relationship Id="rId585" Type="http://schemas.openxmlformats.org/officeDocument/2006/relationships/hyperlink" Target="http://www.linkedin.com/company/brainhubsas" TargetMode="External"/><Relationship Id="rId1178" Type="http://schemas.openxmlformats.org/officeDocument/2006/relationships/hyperlink" Target="http://www.linkedin.com/in/omer-bloch" TargetMode="External"/><Relationship Id="rId4204" Type="http://schemas.openxmlformats.org/officeDocument/2006/relationships/hyperlink" Target="http://www.linkedin.com/in/daniela-sep%c3%balveda-" TargetMode="External"/><Relationship Id="rId5532" Type="http://schemas.openxmlformats.org/officeDocument/2006/relationships/hyperlink" Target="http://www.linkedin.com/company/ubiquo-ai" TargetMode="External"/><Relationship Id="rId584" Type="http://schemas.openxmlformats.org/officeDocument/2006/relationships/hyperlink" Target="http://www.linkedin.com/in/juan-pablo-carre%c3%b1o-rosas-9a258b11b" TargetMode="External"/><Relationship Id="rId1179" Type="http://schemas.openxmlformats.org/officeDocument/2006/relationships/hyperlink" Target="http://www.linkedin.com/company/remote-latinos" TargetMode="External"/><Relationship Id="rId4203" Type="http://schemas.openxmlformats.org/officeDocument/2006/relationships/hyperlink" Target="http://www.linkedin.com/company/bacet-group-sas" TargetMode="External"/><Relationship Id="rId5533" Type="http://schemas.openxmlformats.org/officeDocument/2006/relationships/hyperlink" Target="http://www.linkedin.com/in/henryariasa" TargetMode="External"/><Relationship Id="rId1169" Type="http://schemas.openxmlformats.org/officeDocument/2006/relationships/hyperlink" Target="http://www.linkedin.com/in/andresronderos-sustainability" TargetMode="External"/><Relationship Id="rId5527" Type="http://schemas.openxmlformats.org/officeDocument/2006/relationships/hyperlink" Target="http://www.linkedin.com/company/mareigua" TargetMode="External"/><Relationship Id="rId5528" Type="http://schemas.openxmlformats.org/officeDocument/2006/relationships/hyperlink" Target="http://ubiqcuore.ai" TargetMode="External"/><Relationship Id="rId5525" Type="http://schemas.openxmlformats.org/officeDocument/2006/relationships/hyperlink" Target="http://www.linkedin.com/company/coltrade" TargetMode="External"/><Relationship Id="rId5526" Type="http://schemas.openxmlformats.org/officeDocument/2006/relationships/hyperlink" Target="http://www.linkedin.com/in/jelopez" TargetMode="External"/><Relationship Id="rId5529" Type="http://schemas.openxmlformats.org/officeDocument/2006/relationships/hyperlink" Target="http://www.linkedin.com/in/john-ardila-aponte" TargetMode="External"/><Relationship Id="rId579" Type="http://schemas.openxmlformats.org/officeDocument/2006/relationships/hyperlink" Target="http://www.linkedin.com/company/buildingmarkets" TargetMode="External"/><Relationship Id="rId578" Type="http://schemas.openxmlformats.org/officeDocument/2006/relationships/hyperlink" Target="http://www.linkedin.com/in/carolina-duran-pena" TargetMode="External"/><Relationship Id="rId577" Type="http://schemas.openxmlformats.org/officeDocument/2006/relationships/hyperlink" Target="https://sernorthe.com" TargetMode="External"/><Relationship Id="rId2490" Type="http://schemas.openxmlformats.org/officeDocument/2006/relationships/hyperlink" Target="http://www.linkedin.com/in/gonzalo-sanchez-portela-35648835" TargetMode="External"/><Relationship Id="rId1160" Type="http://schemas.openxmlformats.org/officeDocument/2006/relationships/hyperlink" Target="http://www.linkedin.com/in/mateoalbarracinduque" TargetMode="External"/><Relationship Id="rId2491" Type="http://schemas.openxmlformats.org/officeDocument/2006/relationships/hyperlink" Target="http://www.linkedin.com/company/akiri-com-co" TargetMode="External"/><Relationship Id="rId572" Type="http://schemas.openxmlformats.org/officeDocument/2006/relationships/hyperlink" Target="http://www.linkedin.com/in/manuelapalaciorojas" TargetMode="External"/><Relationship Id="rId1161" Type="http://schemas.openxmlformats.org/officeDocument/2006/relationships/hyperlink" Target="http://www.linkedin.com/company/jenni-pro" TargetMode="External"/><Relationship Id="rId2492" Type="http://schemas.openxmlformats.org/officeDocument/2006/relationships/hyperlink" Target="https://akiri.com.co" TargetMode="External"/><Relationship Id="rId571" Type="http://schemas.openxmlformats.org/officeDocument/2006/relationships/hyperlink" Target="https://ankatech.co" TargetMode="External"/><Relationship Id="rId1162" Type="http://schemas.openxmlformats.org/officeDocument/2006/relationships/hyperlink" Target="https://jennipro.com" TargetMode="External"/><Relationship Id="rId2493" Type="http://schemas.openxmlformats.org/officeDocument/2006/relationships/hyperlink" Target="http://www.linkedin.com/in/carolina-cort%c3%a9s-castillo" TargetMode="External"/><Relationship Id="rId5520" Type="http://schemas.openxmlformats.org/officeDocument/2006/relationships/hyperlink" Target="http://www.linkedin.com/in/david-p%c3%a9rez-arias-930471104" TargetMode="External"/><Relationship Id="rId570" Type="http://schemas.openxmlformats.org/officeDocument/2006/relationships/hyperlink" Target="http://www.linkedin.com/company/ankatechsolutions" TargetMode="External"/><Relationship Id="rId1163" Type="http://schemas.openxmlformats.org/officeDocument/2006/relationships/hyperlink" Target="http://www.linkedin.com/in/maximilianoberger" TargetMode="External"/><Relationship Id="rId2494" Type="http://schemas.openxmlformats.org/officeDocument/2006/relationships/hyperlink" Target="http://www.linkedin.com/company/icrea-international" TargetMode="External"/><Relationship Id="rId1164" Type="http://schemas.openxmlformats.org/officeDocument/2006/relationships/hyperlink" Target="http://www.linkedin.com/company/shapiro-negotiations-institute" TargetMode="External"/><Relationship Id="rId2495" Type="http://schemas.openxmlformats.org/officeDocument/2006/relationships/hyperlink" Target="https://icrea-international.org" TargetMode="External"/><Relationship Id="rId576" Type="http://schemas.openxmlformats.org/officeDocument/2006/relationships/hyperlink" Target="http://www.linkedin.com/company/sernorthe" TargetMode="External"/><Relationship Id="rId1165" Type="http://schemas.openxmlformats.org/officeDocument/2006/relationships/hyperlink" Target="https://shapironegotiations.com" TargetMode="External"/><Relationship Id="rId2496" Type="http://schemas.openxmlformats.org/officeDocument/2006/relationships/hyperlink" Target="http://www.linkedin.com/in/angelo-rodriguez-939ba757" TargetMode="External"/><Relationship Id="rId5523" Type="http://schemas.openxmlformats.org/officeDocument/2006/relationships/hyperlink" Target="http://www.linkedin.com/company/portiqgroup" TargetMode="External"/><Relationship Id="rId575" Type="http://schemas.openxmlformats.org/officeDocument/2006/relationships/hyperlink" Target="http://www.linkedin.com/in/paola-tatiana-sanchez-montoya" TargetMode="External"/><Relationship Id="rId1166" Type="http://schemas.openxmlformats.org/officeDocument/2006/relationships/hyperlink" Target="http://www.linkedin.com/in/gloria-luc%c3%ada-%c3%a1lvarez-pinz%c3%b3n-482636a5" TargetMode="External"/><Relationship Id="rId2497" Type="http://schemas.openxmlformats.org/officeDocument/2006/relationships/hyperlink" Target="http://www.linkedin.com/company/auditbrain" TargetMode="External"/><Relationship Id="rId5524" Type="http://schemas.openxmlformats.org/officeDocument/2006/relationships/hyperlink" Target="http://www.linkedin.com/in/fabio-mej%c3%ada-07aa1a160" TargetMode="External"/><Relationship Id="rId574" Type="http://schemas.openxmlformats.org/officeDocument/2006/relationships/hyperlink" Target="https://swiset.com" TargetMode="External"/><Relationship Id="rId1167" Type="http://schemas.openxmlformats.org/officeDocument/2006/relationships/hyperlink" Target="http://www.linkedin.com/company/soluciones-ambientales-estrat%c3%a9gicas-ltda-solames" TargetMode="External"/><Relationship Id="rId2498" Type="http://schemas.openxmlformats.org/officeDocument/2006/relationships/hyperlink" Target="https://auditbrain.com" TargetMode="External"/><Relationship Id="rId5521" Type="http://schemas.openxmlformats.org/officeDocument/2006/relationships/hyperlink" Target="http://www.linkedin.com/company/titanq-ingenieria" TargetMode="External"/><Relationship Id="rId573" Type="http://schemas.openxmlformats.org/officeDocument/2006/relationships/hyperlink" Target="http://www.linkedin.com/company/swiset" TargetMode="External"/><Relationship Id="rId1168" Type="http://schemas.openxmlformats.org/officeDocument/2006/relationships/hyperlink" Target="https://solames.co" TargetMode="External"/><Relationship Id="rId2499" Type="http://schemas.openxmlformats.org/officeDocument/2006/relationships/hyperlink" Target="http://www.linkedin.com/in/carloslanch" TargetMode="External"/><Relationship Id="rId5522" Type="http://schemas.openxmlformats.org/officeDocument/2006/relationships/hyperlink" Target="http://www.linkedin.com/in/leonardobarong" TargetMode="External"/><Relationship Id="rId4228" Type="http://schemas.openxmlformats.org/officeDocument/2006/relationships/hyperlink" Target="http://www.linkedin.com/in/juansanz" TargetMode="External"/><Relationship Id="rId4227" Type="http://schemas.openxmlformats.org/officeDocument/2006/relationships/hyperlink" Target="http://www.linkedin.com/company/immuniweb" TargetMode="External"/><Relationship Id="rId5558" Type="http://schemas.openxmlformats.org/officeDocument/2006/relationships/hyperlink" Target="http://www.linkedin.com/company/klipzen" TargetMode="External"/><Relationship Id="rId4229" Type="http://schemas.openxmlformats.org/officeDocument/2006/relationships/hyperlink" Target="http://www.linkedin.com/company/vulcano-nbs" TargetMode="External"/><Relationship Id="rId5559" Type="http://schemas.openxmlformats.org/officeDocument/2006/relationships/hyperlink" Target="http://www.linkedin.com/in/maria-raigosa-trujillo" TargetMode="External"/><Relationship Id="rId1190" Type="http://schemas.openxmlformats.org/officeDocument/2006/relationships/hyperlink" Target="http://www.linkedin.com/in/raul-polo-jay-a6b18818" TargetMode="External"/><Relationship Id="rId1191" Type="http://schemas.openxmlformats.org/officeDocument/2006/relationships/hyperlink" Target="http://www.linkedin.com/company/selective-crew" TargetMode="External"/><Relationship Id="rId1192" Type="http://schemas.openxmlformats.org/officeDocument/2006/relationships/hyperlink" Target="https://selectivecrew.com" TargetMode="External"/><Relationship Id="rId1193" Type="http://schemas.openxmlformats.org/officeDocument/2006/relationships/hyperlink" Target="http://www.linkedin.com/in/miguelangel-gomez" TargetMode="External"/><Relationship Id="rId1194" Type="http://schemas.openxmlformats.org/officeDocument/2006/relationships/hyperlink" Target="http://www.linkedin.com/company/efectosimbiosis" TargetMode="External"/><Relationship Id="rId4220" Type="http://schemas.openxmlformats.org/officeDocument/2006/relationships/hyperlink" Target="http://www.linkedin.com/in/lauramarinoarevalo" TargetMode="External"/><Relationship Id="rId5552" Type="http://schemas.openxmlformats.org/officeDocument/2006/relationships/hyperlink" Target="http://www.linkedin.com/company/creategicalatina" TargetMode="External"/><Relationship Id="rId1195" Type="http://schemas.openxmlformats.org/officeDocument/2006/relationships/hyperlink" Target="https://efectosimbiosis.com" TargetMode="External"/><Relationship Id="rId5553" Type="http://schemas.openxmlformats.org/officeDocument/2006/relationships/hyperlink" Target="http://www.linkedin.com/in/ramiropaniagua" TargetMode="External"/><Relationship Id="rId1196" Type="http://schemas.openxmlformats.org/officeDocument/2006/relationships/hyperlink" Target="http://www.linkedin.com/in/julianacardonacadavid" TargetMode="External"/><Relationship Id="rId4222" Type="http://schemas.openxmlformats.org/officeDocument/2006/relationships/hyperlink" Target="http://www.linkedin.com/in/maymccausland" TargetMode="External"/><Relationship Id="rId5550" Type="http://schemas.openxmlformats.org/officeDocument/2006/relationships/hyperlink" Target="http://www.linkedin.com/company/scrummers" TargetMode="External"/><Relationship Id="rId1197" Type="http://schemas.openxmlformats.org/officeDocument/2006/relationships/hyperlink" Target="http://www.linkedin.com/company/kastor-ventas-al-exterior" TargetMode="External"/><Relationship Id="rId4221" Type="http://schemas.openxmlformats.org/officeDocument/2006/relationships/hyperlink" Target="http://www.linkedin.com/company/e-growth-group" TargetMode="External"/><Relationship Id="rId5551" Type="http://schemas.openxmlformats.org/officeDocument/2006/relationships/hyperlink" Target="http://www.linkedin.com/in/felipeg0311" TargetMode="External"/><Relationship Id="rId1198" Type="http://schemas.openxmlformats.org/officeDocument/2006/relationships/hyperlink" Target="https://kastor.com.co" TargetMode="External"/><Relationship Id="rId4224" Type="http://schemas.openxmlformats.org/officeDocument/2006/relationships/hyperlink" Target="http://www.linkedin.com/in/geraldine-navas-04bb065b" TargetMode="External"/><Relationship Id="rId5556" Type="http://schemas.openxmlformats.org/officeDocument/2006/relationships/hyperlink" Target="http://www.linkedin.com/company/dondoctor" TargetMode="External"/><Relationship Id="rId1199" Type="http://schemas.openxmlformats.org/officeDocument/2006/relationships/hyperlink" Target="http://www.linkedin.com/in/luigi-rodriguez-brice%c3%b1o-08b237a1" TargetMode="External"/><Relationship Id="rId4223" Type="http://schemas.openxmlformats.org/officeDocument/2006/relationships/hyperlink" Target="http://www.linkedin.com/company/studio-aymac" TargetMode="External"/><Relationship Id="rId5557" Type="http://schemas.openxmlformats.org/officeDocument/2006/relationships/hyperlink" Target="http://www.linkedin.com/in/byjoselu" TargetMode="External"/><Relationship Id="rId4226" Type="http://schemas.openxmlformats.org/officeDocument/2006/relationships/hyperlink" Target="http://www.linkedin.com/in/blockchain-cybersecurity-marcus" TargetMode="External"/><Relationship Id="rId5554" Type="http://schemas.openxmlformats.org/officeDocument/2006/relationships/hyperlink" Target="http://www.linkedin.com/company/movimientoplateado" TargetMode="External"/><Relationship Id="rId4225" Type="http://schemas.openxmlformats.org/officeDocument/2006/relationships/hyperlink" Target="http://www.linkedin.com/company/cyglo" TargetMode="External"/><Relationship Id="rId5555" Type="http://schemas.openxmlformats.org/officeDocument/2006/relationships/hyperlink" Target="http://www.linkedin.com/in/felipe-acosta-mu%c3%b1oz-41618830" TargetMode="External"/><Relationship Id="rId4217" Type="http://schemas.openxmlformats.org/officeDocument/2006/relationships/hyperlink" Target="http://www.linkedin.com/company/4plcgroup" TargetMode="External"/><Relationship Id="rId5549" Type="http://schemas.openxmlformats.org/officeDocument/2006/relationships/hyperlink" Target="http://www.linkedin.com/in/saidpacheco-fintech" TargetMode="External"/><Relationship Id="rId4216" Type="http://schemas.openxmlformats.org/officeDocument/2006/relationships/hyperlink" Target="http://www.linkedin.com/in/jose-dario-velez-morales-97320a35" TargetMode="External"/><Relationship Id="rId4219" Type="http://schemas.openxmlformats.org/officeDocument/2006/relationships/hyperlink" Target="http://www.linkedin.com/company/somosfugitivos" TargetMode="External"/><Relationship Id="rId5547" Type="http://schemas.openxmlformats.org/officeDocument/2006/relationships/hyperlink" Target="http://www.linkedin.com/in/abel-dominguez-42ab7559" TargetMode="External"/><Relationship Id="rId4218" Type="http://schemas.openxmlformats.org/officeDocument/2006/relationships/hyperlink" Target="http://www.linkedin.com/in/juansalinas127" TargetMode="External"/><Relationship Id="rId5548" Type="http://schemas.openxmlformats.org/officeDocument/2006/relationships/hyperlink" Target="http://www.linkedin.com/company/geronapower" TargetMode="External"/><Relationship Id="rId599" Type="http://schemas.openxmlformats.org/officeDocument/2006/relationships/hyperlink" Target="http://www.linkedin.com/in/c%c3%a9sar-vargas-mu%c3%b1oz-3019386a" TargetMode="External"/><Relationship Id="rId1180" Type="http://schemas.openxmlformats.org/officeDocument/2006/relationships/hyperlink" Target="https://remotelatinos.com" TargetMode="External"/><Relationship Id="rId1181" Type="http://schemas.openxmlformats.org/officeDocument/2006/relationships/hyperlink" Target="http://www.linkedin.com/in/juan-carlos-olmos" TargetMode="External"/><Relationship Id="rId1182" Type="http://schemas.openxmlformats.org/officeDocument/2006/relationships/hyperlink" Target="http://www.linkedin.com/company/happypocketcolombia" TargetMode="External"/><Relationship Id="rId594" Type="http://schemas.openxmlformats.org/officeDocument/2006/relationships/hyperlink" Target="http://www.linkedin.com/company/induprosoluciones" TargetMode="External"/><Relationship Id="rId1183" Type="http://schemas.openxmlformats.org/officeDocument/2006/relationships/hyperlink" Target="https://happypocket.com.co" TargetMode="External"/><Relationship Id="rId5541" Type="http://schemas.openxmlformats.org/officeDocument/2006/relationships/hyperlink" Target="http://www.linkedin.com/in/dabarco" TargetMode="External"/><Relationship Id="rId593" Type="http://schemas.openxmlformats.org/officeDocument/2006/relationships/hyperlink" Target="http://www.linkedin.com/in/santiago-idarraga" TargetMode="External"/><Relationship Id="rId1184" Type="http://schemas.openxmlformats.org/officeDocument/2006/relationships/hyperlink" Target="http://www.linkedin.com/in/salma-osejo-jabbour-70585a49" TargetMode="External"/><Relationship Id="rId5542" Type="http://schemas.openxmlformats.org/officeDocument/2006/relationships/hyperlink" Target="http://www.linkedin.com/company/nepxa-sas" TargetMode="External"/><Relationship Id="rId592" Type="http://schemas.openxmlformats.org/officeDocument/2006/relationships/hyperlink" Target="https://fulppi.com" TargetMode="External"/><Relationship Id="rId1185" Type="http://schemas.openxmlformats.org/officeDocument/2006/relationships/hyperlink" Target="http://www.linkedin.com/company/smart-global-invest-ltda" TargetMode="External"/><Relationship Id="rId4211" Type="http://schemas.openxmlformats.org/officeDocument/2006/relationships/hyperlink" Target="http://www.linkedin.com/company/talentwise-latam" TargetMode="External"/><Relationship Id="rId591" Type="http://schemas.openxmlformats.org/officeDocument/2006/relationships/hyperlink" Target="http://www.linkedin.com/company/fulppi" TargetMode="External"/><Relationship Id="rId1186" Type="http://schemas.openxmlformats.org/officeDocument/2006/relationships/hyperlink" Target="https://smartglobalinvest.com.co" TargetMode="External"/><Relationship Id="rId4210" Type="http://schemas.openxmlformats.org/officeDocument/2006/relationships/hyperlink" Target="http://www.linkedin.com/in/alejandro-jacome-santos" TargetMode="External"/><Relationship Id="rId5540" Type="http://schemas.openxmlformats.org/officeDocument/2006/relationships/hyperlink" Target="http://www.linkedin.com/company/keycoreinternational" TargetMode="External"/><Relationship Id="rId598" Type="http://schemas.openxmlformats.org/officeDocument/2006/relationships/hyperlink" Target="https://andinavidaseguros.com.co" TargetMode="External"/><Relationship Id="rId1187" Type="http://schemas.openxmlformats.org/officeDocument/2006/relationships/hyperlink" Target="http://www.linkedin.com/in/carolina-mu%c3%b1oz-gonzalez" TargetMode="External"/><Relationship Id="rId4213" Type="http://schemas.openxmlformats.org/officeDocument/2006/relationships/hyperlink" Target="http://www.linkedin.com/company/karrotup" TargetMode="External"/><Relationship Id="rId5545" Type="http://schemas.openxmlformats.org/officeDocument/2006/relationships/hyperlink" Target="http://www.linkedin.com/in/ariel-blanco-camargo-b172b570" TargetMode="External"/><Relationship Id="rId597" Type="http://schemas.openxmlformats.org/officeDocument/2006/relationships/hyperlink" Target="http://www.linkedin.com/company/andina-compa%c3%b1ia-de-seguros-de-vida-s-a" TargetMode="External"/><Relationship Id="rId1188" Type="http://schemas.openxmlformats.org/officeDocument/2006/relationships/hyperlink" Target="http://www.linkedin.com/company/mettaconsultores" TargetMode="External"/><Relationship Id="rId4212" Type="http://schemas.openxmlformats.org/officeDocument/2006/relationships/hyperlink" Target="http://www.linkedin.com/in/santiago-pineda-a7533221" TargetMode="External"/><Relationship Id="rId5546" Type="http://schemas.openxmlformats.org/officeDocument/2006/relationships/hyperlink" Target="http://www.linkedin.com/company/r-r-fluid-solutions" TargetMode="External"/><Relationship Id="rId596" Type="http://schemas.openxmlformats.org/officeDocument/2006/relationships/hyperlink" Target="http://www.linkedin.com/in/juan-carlos-quintero-cubillos-931b86106" TargetMode="External"/><Relationship Id="rId1189" Type="http://schemas.openxmlformats.org/officeDocument/2006/relationships/hyperlink" Target="https://mettaconsultores.com" TargetMode="External"/><Relationship Id="rId4215" Type="http://schemas.openxmlformats.org/officeDocument/2006/relationships/hyperlink" Target="http://www.linkedin.com/company/lifeandcare" TargetMode="External"/><Relationship Id="rId5543" Type="http://schemas.openxmlformats.org/officeDocument/2006/relationships/hyperlink" Target="http://www.linkedin.com/in/adriana-serrano-14794662" TargetMode="External"/><Relationship Id="rId595" Type="http://schemas.openxmlformats.org/officeDocument/2006/relationships/hyperlink" Target="https://indupro.com.co" TargetMode="External"/><Relationship Id="rId4214" Type="http://schemas.openxmlformats.org/officeDocument/2006/relationships/hyperlink" Target="http://www.linkedin.com/in/marcela-miranda-a551a148" TargetMode="External"/><Relationship Id="rId5544" Type="http://schemas.openxmlformats.org/officeDocument/2006/relationships/hyperlink" Target="http://www.linkedin.com/company/iinsights-consultoria" TargetMode="External"/><Relationship Id="rId1136" Type="http://schemas.openxmlformats.org/officeDocument/2006/relationships/hyperlink" Target="http://www.linkedin.com/in/carlosmurillog" TargetMode="External"/><Relationship Id="rId2467" Type="http://schemas.openxmlformats.org/officeDocument/2006/relationships/hyperlink" Target="http://www.linkedin.com/company/aicotravel" TargetMode="External"/><Relationship Id="rId3799" Type="http://schemas.openxmlformats.org/officeDocument/2006/relationships/hyperlink" Target="http://www.linkedin.com/company/hevolucion" TargetMode="External"/><Relationship Id="rId1137" Type="http://schemas.openxmlformats.org/officeDocument/2006/relationships/hyperlink" Target="http://www.linkedin.com/company/daki-ai" TargetMode="External"/><Relationship Id="rId2468" Type="http://schemas.openxmlformats.org/officeDocument/2006/relationships/hyperlink" Target="https://aicotravel.com" TargetMode="External"/><Relationship Id="rId3798" Type="http://schemas.openxmlformats.org/officeDocument/2006/relationships/hyperlink" Target="http://www.linkedin.com/in/diego-arboleda-46472713a" TargetMode="External"/><Relationship Id="rId1138" Type="http://schemas.openxmlformats.org/officeDocument/2006/relationships/hyperlink" Target="https://daki.ai" TargetMode="External"/><Relationship Id="rId2469" Type="http://schemas.openxmlformats.org/officeDocument/2006/relationships/hyperlink" Target="http://www.linkedin.com/in/jairo-nieto-04b76024" TargetMode="External"/><Relationship Id="rId1139" Type="http://schemas.openxmlformats.org/officeDocument/2006/relationships/hyperlink" Target="http://www.linkedin.com/in/simon-franco-95771a5" TargetMode="External"/><Relationship Id="rId547" Type="http://schemas.openxmlformats.org/officeDocument/2006/relationships/hyperlink" Target="http://www.linkedin.com/in/juan-luis-perez-escobar-079869104" TargetMode="External"/><Relationship Id="rId546" Type="http://schemas.openxmlformats.org/officeDocument/2006/relationships/hyperlink" Target="https://emmacolombia.com" TargetMode="External"/><Relationship Id="rId545" Type="http://schemas.openxmlformats.org/officeDocument/2006/relationships/hyperlink" Target="http://www.linkedin.com/company/emma-colombia1" TargetMode="External"/><Relationship Id="rId544" Type="http://schemas.openxmlformats.org/officeDocument/2006/relationships/hyperlink" Target="http://www.linkedin.com/in/miguel-rodriguez-director-general" TargetMode="External"/><Relationship Id="rId549" Type="http://schemas.openxmlformats.org/officeDocument/2006/relationships/hyperlink" Target="https://milio.com.co" TargetMode="External"/><Relationship Id="rId548" Type="http://schemas.openxmlformats.org/officeDocument/2006/relationships/hyperlink" Target="http://www.linkedin.com/company/miliopay" TargetMode="External"/><Relationship Id="rId3791" Type="http://schemas.openxmlformats.org/officeDocument/2006/relationships/hyperlink" Target="https://pagui.co" TargetMode="External"/><Relationship Id="rId2460" Type="http://schemas.openxmlformats.org/officeDocument/2006/relationships/hyperlink" Target="http://www.linkedin.com/in/daniela-salazar-25909b76" TargetMode="External"/><Relationship Id="rId3790" Type="http://schemas.openxmlformats.org/officeDocument/2006/relationships/hyperlink" Target="http://www.linkedin.com/company/paguicolombia" TargetMode="External"/><Relationship Id="rId1130" Type="http://schemas.openxmlformats.org/officeDocument/2006/relationships/hyperlink" Target="http://www.linkedin.com/in/alejandro-reyes-aliia" TargetMode="External"/><Relationship Id="rId2461" Type="http://schemas.openxmlformats.org/officeDocument/2006/relationships/hyperlink" Target="http://www.linkedin.com/company/envasespurosinternational" TargetMode="External"/><Relationship Id="rId3793" Type="http://schemas.openxmlformats.org/officeDocument/2006/relationships/hyperlink" Target="http://www.linkedin.com/company/siembraviva" TargetMode="External"/><Relationship Id="rId1131" Type="http://schemas.openxmlformats.org/officeDocument/2006/relationships/hyperlink" Target="http://www.linkedin.com/company/aliia" TargetMode="External"/><Relationship Id="rId2462" Type="http://schemas.openxmlformats.org/officeDocument/2006/relationships/hyperlink" Target="https://envasespuros.com.co" TargetMode="External"/><Relationship Id="rId3792" Type="http://schemas.openxmlformats.org/officeDocument/2006/relationships/hyperlink" Target="http://www.linkedin.com/in/dbenitez" TargetMode="External"/><Relationship Id="rId543" Type="http://schemas.openxmlformats.org/officeDocument/2006/relationships/hyperlink" Target="https://nattivocollectionhotel.com" TargetMode="External"/><Relationship Id="rId1132" Type="http://schemas.openxmlformats.org/officeDocument/2006/relationships/hyperlink" Target="https://aliia.co" TargetMode="External"/><Relationship Id="rId2463" Type="http://schemas.openxmlformats.org/officeDocument/2006/relationships/hyperlink" Target="http://www.linkedin.com/in/hernando-perilla-a9090654" TargetMode="External"/><Relationship Id="rId3795" Type="http://schemas.openxmlformats.org/officeDocument/2006/relationships/hyperlink" Target="http://www.linkedin.com/in/camilogarzonbernal" TargetMode="External"/><Relationship Id="rId542" Type="http://schemas.openxmlformats.org/officeDocument/2006/relationships/hyperlink" Target="http://www.linkedin.com/company/nattivo-collection-hotel" TargetMode="External"/><Relationship Id="rId1133" Type="http://schemas.openxmlformats.org/officeDocument/2006/relationships/hyperlink" Target="http://www.linkedin.com/in/isabel-arango-mesa-974b0954" TargetMode="External"/><Relationship Id="rId2464" Type="http://schemas.openxmlformats.org/officeDocument/2006/relationships/hyperlink" Target="http://www.linkedin.com/company/hgc-arquitectos" TargetMode="External"/><Relationship Id="rId3794" Type="http://schemas.openxmlformats.org/officeDocument/2006/relationships/hyperlink" Target="https://quierosiembraviva.com" TargetMode="External"/><Relationship Id="rId541" Type="http://schemas.openxmlformats.org/officeDocument/2006/relationships/hyperlink" Target="http://www.linkedin.com/in/susana-ladino-yanez-b1a073143" TargetMode="External"/><Relationship Id="rId1134" Type="http://schemas.openxmlformats.org/officeDocument/2006/relationships/hyperlink" Target="http://www.linkedin.com/company/ettos" TargetMode="External"/><Relationship Id="rId2465" Type="http://schemas.openxmlformats.org/officeDocument/2006/relationships/hyperlink" Target="https://hgcarquitectos.com" TargetMode="External"/><Relationship Id="rId3797" Type="http://schemas.openxmlformats.org/officeDocument/2006/relationships/hyperlink" Target="https://arcetec.com.co" TargetMode="External"/><Relationship Id="rId540" Type="http://schemas.openxmlformats.org/officeDocument/2006/relationships/hyperlink" Target="https://opex.com.co" TargetMode="External"/><Relationship Id="rId1135" Type="http://schemas.openxmlformats.org/officeDocument/2006/relationships/hyperlink" Target="https://ettos.co" TargetMode="External"/><Relationship Id="rId2466" Type="http://schemas.openxmlformats.org/officeDocument/2006/relationships/hyperlink" Target="http://www.linkedin.com/in/alejandro-estrada-99536859" TargetMode="External"/><Relationship Id="rId3796" Type="http://schemas.openxmlformats.org/officeDocument/2006/relationships/hyperlink" Target="http://www.linkedin.com/company/arcetec" TargetMode="External"/><Relationship Id="rId1125" Type="http://schemas.openxmlformats.org/officeDocument/2006/relationships/hyperlink" Target="http://www.linkedin.com/company/thegoodman" TargetMode="External"/><Relationship Id="rId2456" Type="http://schemas.openxmlformats.org/officeDocument/2006/relationships/hyperlink" Target="https://vallesolutions.co" TargetMode="External"/><Relationship Id="rId3788" Type="http://schemas.openxmlformats.org/officeDocument/2006/relationships/hyperlink" Target="https://communik-t.com" TargetMode="External"/><Relationship Id="rId1126" Type="http://schemas.openxmlformats.org/officeDocument/2006/relationships/hyperlink" Target="https://thegoodman.com.co" TargetMode="External"/><Relationship Id="rId2457" Type="http://schemas.openxmlformats.org/officeDocument/2006/relationships/hyperlink" Target="http://www.linkedin.com/in/mirko-hofmann-3b54ba6" TargetMode="External"/><Relationship Id="rId3787" Type="http://schemas.openxmlformats.org/officeDocument/2006/relationships/hyperlink" Target="http://www.linkedin.com/company/communikt" TargetMode="External"/><Relationship Id="rId1127" Type="http://schemas.openxmlformats.org/officeDocument/2006/relationships/hyperlink" Target="http://www.linkedin.com/in/joserodriguezroa" TargetMode="External"/><Relationship Id="rId2458" Type="http://schemas.openxmlformats.org/officeDocument/2006/relationships/hyperlink" Target="http://www.linkedin.com/company/hasp-global" TargetMode="External"/><Relationship Id="rId1128" Type="http://schemas.openxmlformats.org/officeDocument/2006/relationships/hyperlink" Target="http://www.linkedin.com/company/transformente" TargetMode="External"/><Relationship Id="rId2459" Type="http://schemas.openxmlformats.org/officeDocument/2006/relationships/hyperlink" Target="https://haspglobal.com" TargetMode="External"/><Relationship Id="rId3789" Type="http://schemas.openxmlformats.org/officeDocument/2006/relationships/hyperlink" Target="http://www.linkedin.com/in/dalzateb85" TargetMode="External"/><Relationship Id="rId1129" Type="http://schemas.openxmlformats.org/officeDocument/2006/relationships/hyperlink" Target="https://transformente.com" TargetMode="External"/><Relationship Id="rId536" Type="http://schemas.openxmlformats.org/officeDocument/2006/relationships/hyperlink" Target="http://www.linkedin.com/company/the-emerald-company" TargetMode="External"/><Relationship Id="rId535" Type="http://schemas.openxmlformats.org/officeDocument/2006/relationships/hyperlink" Target="http://www.linkedin.com/in/blake-becher-9a2524170" TargetMode="External"/><Relationship Id="rId534" Type="http://schemas.openxmlformats.org/officeDocument/2006/relationships/hyperlink" Target="https://estratek.com.co" TargetMode="External"/><Relationship Id="rId533" Type="http://schemas.openxmlformats.org/officeDocument/2006/relationships/hyperlink" Target="http://www.linkedin.com/company/estratekventures" TargetMode="External"/><Relationship Id="rId539" Type="http://schemas.openxmlformats.org/officeDocument/2006/relationships/hyperlink" Target="http://www.linkedin.com/company/opex-sas" TargetMode="External"/><Relationship Id="rId538" Type="http://schemas.openxmlformats.org/officeDocument/2006/relationships/hyperlink" Target="http://www.linkedin.com/in/alejandro-rend%c3%b3n-%c3%a1lvarez-5112a5b5" TargetMode="External"/><Relationship Id="rId537" Type="http://schemas.openxmlformats.org/officeDocument/2006/relationships/hyperlink" Target="https://emerald.rocks" TargetMode="External"/><Relationship Id="rId3780" Type="http://schemas.openxmlformats.org/officeDocument/2006/relationships/hyperlink" Target="http://www.linkedin.com/in/laura-m-texidor-893383136" TargetMode="External"/><Relationship Id="rId2450" Type="http://schemas.openxmlformats.org/officeDocument/2006/relationships/hyperlink" Target="https://ducolombia.com" TargetMode="External"/><Relationship Id="rId3782" Type="http://schemas.openxmlformats.org/officeDocument/2006/relationships/hyperlink" Target="https://investrio.io" TargetMode="External"/><Relationship Id="rId1120" Type="http://schemas.openxmlformats.org/officeDocument/2006/relationships/hyperlink" Target="https://loopay.com" TargetMode="External"/><Relationship Id="rId2451" Type="http://schemas.openxmlformats.org/officeDocument/2006/relationships/hyperlink" Target="http://www.linkedin.com/in/luis-fernando-gamboa-perdigon-856a9a47" TargetMode="External"/><Relationship Id="rId3781" Type="http://schemas.openxmlformats.org/officeDocument/2006/relationships/hyperlink" Target="http://www.linkedin.com/company/investriofinance" TargetMode="External"/><Relationship Id="rId532" Type="http://schemas.openxmlformats.org/officeDocument/2006/relationships/hyperlink" Target="http://www.linkedin.com/in/nicolai-eslava-barajas-86430b34" TargetMode="External"/><Relationship Id="rId1121" Type="http://schemas.openxmlformats.org/officeDocument/2006/relationships/hyperlink" Target="http://www.linkedin.com/in/juan-gabriel-saenz" TargetMode="External"/><Relationship Id="rId2452" Type="http://schemas.openxmlformats.org/officeDocument/2006/relationships/hyperlink" Target="http://www.linkedin.com/company/mainkore" TargetMode="External"/><Relationship Id="rId3784" Type="http://schemas.openxmlformats.org/officeDocument/2006/relationships/hyperlink" Target="http://www.linkedin.com/company/talent-stack" TargetMode="External"/><Relationship Id="rId531" Type="http://schemas.openxmlformats.org/officeDocument/2006/relationships/hyperlink" Target="https://konfie.com" TargetMode="External"/><Relationship Id="rId1122" Type="http://schemas.openxmlformats.org/officeDocument/2006/relationships/hyperlink" Target="http://www.linkedin.com/company/edu-labs" TargetMode="External"/><Relationship Id="rId2453" Type="http://schemas.openxmlformats.org/officeDocument/2006/relationships/hyperlink" Target="https://mainkoreglobal.com" TargetMode="External"/><Relationship Id="rId3783" Type="http://schemas.openxmlformats.org/officeDocument/2006/relationships/hyperlink" Target="http://www.linkedin.com/in/jenniferbaenaarango" TargetMode="External"/><Relationship Id="rId530" Type="http://schemas.openxmlformats.org/officeDocument/2006/relationships/hyperlink" Target="http://www.linkedin.com/company/konfieia" TargetMode="External"/><Relationship Id="rId1123" Type="http://schemas.openxmlformats.org/officeDocument/2006/relationships/hyperlink" Target="https://edu-labs.co" TargetMode="External"/><Relationship Id="rId2454" Type="http://schemas.openxmlformats.org/officeDocument/2006/relationships/hyperlink" Target="http://www.linkedin.com/in/sim%c3%b3n-rodr%c3%adguez-orozco-9615a911b" TargetMode="External"/><Relationship Id="rId3786" Type="http://schemas.openxmlformats.org/officeDocument/2006/relationships/hyperlink" Target="http://www.linkedin.com/in/juanpablorodriguezneira" TargetMode="External"/><Relationship Id="rId1124" Type="http://schemas.openxmlformats.org/officeDocument/2006/relationships/hyperlink" Target="http://www.linkedin.com/in/juan-pablo-alvarez-b55baa61" TargetMode="External"/><Relationship Id="rId2455" Type="http://schemas.openxmlformats.org/officeDocument/2006/relationships/hyperlink" Target="http://www.linkedin.com/company/valle-solutions" TargetMode="External"/><Relationship Id="rId3785" Type="http://schemas.openxmlformats.org/officeDocument/2006/relationships/hyperlink" Target="https://talentstackexecutive.com" TargetMode="External"/><Relationship Id="rId1158" Type="http://schemas.openxmlformats.org/officeDocument/2006/relationships/hyperlink" Target="http://www.linkedin.com/company/alcyoncloud" TargetMode="External"/><Relationship Id="rId2489" Type="http://schemas.openxmlformats.org/officeDocument/2006/relationships/hyperlink" Target="https://pointway.co" TargetMode="External"/><Relationship Id="rId5516" Type="http://schemas.openxmlformats.org/officeDocument/2006/relationships/hyperlink" Target="http://www.linkedin.com/in/dianaruiz-director-comercial-consultor-b2b-coach" TargetMode="External"/><Relationship Id="rId1159" Type="http://schemas.openxmlformats.org/officeDocument/2006/relationships/hyperlink" Target="https://alcyon.cloud" TargetMode="External"/><Relationship Id="rId5517" Type="http://schemas.openxmlformats.org/officeDocument/2006/relationships/hyperlink" Target="http://www.linkedin.com/company/vasquez-kennedy-outplacement-desarrollo-carrera-independencia-laboral-reestructuraciones" TargetMode="External"/><Relationship Id="rId5514" Type="http://schemas.openxmlformats.org/officeDocument/2006/relationships/hyperlink" Target="http://www.linkedin.com/in/cesar-serrano-garzon" TargetMode="External"/><Relationship Id="rId5515" Type="http://schemas.openxmlformats.org/officeDocument/2006/relationships/hyperlink" Target="http://www.linkedin.com/company/gestorcc" TargetMode="External"/><Relationship Id="rId5518" Type="http://schemas.openxmlformats.org/officeDocument/2006/relationships/hyperlink" Target="http://www.linkedin.com/in/catalinamktandstrategy" TargetMode="External"/><Relationship Id="rId5519" Type="http://schemas.openxmlformats.org/officeDocument/2006/relationships/hyperlink" Target="http://www.linkedin.com/company/savvynutricion" TargetMode="External"/><Relationship Id="rId569" Type="http://schemas.openxmlformats.org/officeDocument/2006/relationships/hyperlink" Target="http://www.linkedin.com/in/javier-galindo-ceo" TargetMode="External"/><Relationship Id="rId568" Type="http://schemas.openxmlformats.org/officeDocument/2006/relationships/hyperlink" Target="https://cremedelacremeparis.com" TargetMode="External"/><Relationship Id="rId567" Type="http://schemas.openxmlformats.org/officeDocument/2006/relationships/hyperlink" Target="http://www.linkedin.com/company/crem-de-la-crem" TargetMode="External"/><Relationship Id="rId566" Type="http://schemas.openxmlformats.org/officeDocument/2006/relationships/hyperlink" Target="http://www.linkedin.com/in/laura-velandia-m" TargetMode="External"/><Relationship Id="rId2480" Type="http://schemas.openxmlformats.org/officeDocument/2006/relationships/hyperlink" Target="https://fluxpoint.co" TargetMode="External"/><Relationship Id="rId561" Type="http://schemas.openxmlformats.org/officeDocument/2006/relationships/hyperlink" Target="http://www.linkedin.com/company/lapelotona" TargetMode="External"/><Relationship Id="rId1150" Type="http://schemas.openxmlformats.org/officeDocument/2006/relationships/hyperlink" Target="https://fluvia.co" TargetMode="External"/><Relationship Id="rId2481" Type="http://schemas.openxmlformats.org/officeDocument/2006/relationships/hyperlink" Target="http://www.linkedin.com/in/alejandro-guzman" TargetMode="External"/><Relationship Id="rId560" Type="http://schemas.openxmlformats.org/officeDocument/2006/relationships/hyperlink" Target="http://www.linkedin.com/in/rigar23" TargetMode="External"/><Relationship Id="rId1151" Type="http://schemas.openxmlformats.org/officeDocument/2006/relationships/hyperlink" Target="http://www.linkedin.com/in/mariolegabarco" TargetMode="External"/><Relationship Id="rId2482" Type="http://schemas.openxmlformats.org/officeDocument/2006/relationships/hyperlink" Target="http://www.linkedin.com/company/paygocards" TargetMode="External"/><Relationship Id="rId1152" Type="http://schemas.openxmlformats.org/officeDocument/2006/relationships/hyperlink" Target="http://www.linkedin.com/company/novus-code-llc" TargetMode="External"/><Relationship Id="rId2483" Type="http://schemas.openxmlformats.org/officeDocument/2006/relationships/hyperlink" Target="https://paygo.com.co" TargetMode="External"/><Relationship Id="rId1153" Type="http://schemas.openxmlformats.org/officeDocument/2006/relationships/hyperlink" Target="https://novuscodeapp.com" TargetMode="External"/><Relationship Id="rId2484" Type="http://schemas.openxmlformats.org/officeDocument/2006/relationships/hyperlink" Target="http://www.linkedin.com/in/mario-andr%c3%a9s-buitrago-87897a14a" TargetMode="External"/><Relationship Id="rId565" Type="http://schemas.openxmlformats.org/officeDocument/2006/relationships/hyperlink" Target="https://dret.legal" TargetMode="External"/><Relationship Id="rId1154" Type="http://schemas.openxmlformats.org/officeDocument/2006/relationships/hyperlink" Target="http://www.linkedin.com/in/andresosorio" TargetMode="External"/><Relationship Id="rId2485" Type="http://schemas.openxmlformats.org/officeDocument/2006/relationships/hyperlink" Target="http://www.linkedin.com/company/sportainmentco" TargetMode="External"/><Relationship Id="rId5512" Type="http://schemas.openxmlformats.org/officeDocument/2006/relationships/hyperlink" Target="http://www.linkedin.com/in/danielmendezlindo" TargetMode="External"/><Relationship Id="rId564" Type="http://schemas.openxmlformats.org/officeDocument/2006/relationships/hyperlink" Target="http://www.linkedin.com/company/dretlegal" TargetMode="External"/><Relationship Id="rId1155" Type="http://schemas.openxmlformats.org/officeDocument/2006/relationships/hyperlink" Target="http://www.linkedin.com/company/x-cargo" TargetMode="External"/><Relationship Id="rId2486" Type="http://schemas.openxmlformats.org/officeDocument/2006/relationships/hyperlink" Target="https://sportainment.com.co" TargetMode="External"/><Relationship Id="rId5513" Type="http://schemas.openxmlformats.org/officeDocument/2006/relationships/hyperlink" Target="http://www.linkedin.com/company/tpconectar" TargetMode="External"/><Relationship Id="rId563" Type="http://schemas.openxmlformats.org/officeDocument/2006/relationships/hyperlink" Target="http://www.linkedin.com/in/karen-duque-ramirez" TargetMode="External"/><Relationship Id="rId1156" Type="http://schemas.openxmlformats.org/officeDocument/2006/relationships/hyperlink" Target="https://x-cargo.co" TargetMode="External"/><Relationship Id="rId2487" Type="http://schemas.openxmlformats.org/officeDocument/2006/relationships/hyperlink" Target="http://www.linkedin.com/in/nicolas-hoyos-177b47a8" TargetMode="External"/><Relationship Id="rId5510" Type="http://schemas.openxmlformats.org/officeDocument/2006/relationships/hyperlink" Target="http://www.linkedin.com/in/091064" TargetMode="External"/><Relationship Id="rId562" Type="http://schemas.openxmlformats.org/officeDocument/2006/relationships/hyperlink" Target="https://lapelotona.com" TargetMode="External"/><Relationship Id="rId1157" Type="http://schemas.openxmlformats.org/officeDocument/2006/relationships/hyperlink" Target="http://www.linkedin.com/in/jesusvegasms" TargetMode="External"/><Relationship Id="rId2488" Type="http://schemas.openxmlformats.org/officeDocument/2006/relationships/hyperlink" Target="http://www.linkedin.com/company/pointwayhq" TargetMode="External"/><Relationship Id="rId5511" Type="http://schemas.openxmlformats.org/officeDocument/2006/relationships/hyperlink" Target="http://www.linkedin.com/company/iangel-sas" TargetMode="External"/><Relationship Id="rId1147" Type="http://schemas.openxmlformats.org/officeDocument/2006/relationships/hyperlink" Target="https://insylux.co" TargetMode="External"/><Relationship Id="rId2478" Type="http://schemas.openxmlformats.org/officeDocument/2006/relationships/hyperlink" Target="http://www.linkedin.com/in/liliana-montero-a45a28288" TargetMode="External"/><Relationship Id="rId5505" Type="http://schemas.openxmlformats.org/officeDocument/2006/relationships/hyperlink" Target="http://www.linkedin.com/company/bleisure-colombia" TargetMode="External"/><Relationship Id="rId1148" Type="http://schemas.openxmlformats.org/officeDocument/2006/relationships/hyperlink" Target="http://www.linkedin.com/in/juliandrs" TargetMode="External"/><Relationship Id="rId2479" Type="http://schemas.openxmlformats.org/officeDocument/2006/relationships/hyperlink" Target="http://www.linkedin.com/company/fluxpoint" TargetMode="External"/><Relationship Id="rId5506" Type="http://schemas.openxmlformats.org/officeDocument/2006/relationships/hyperlink" Target="http://www.linkedin.com/in/matiasgamarra" TargetMode="External"/><Relationship Id="rId1149" Type="http://schemas.openxmlformats.org/officeDocument/2006/relationships/hyperlink" Target="http://www.linkedin.com/company/fluviasas" TargetMode="External"/><Relationship Id="rId5503" Type="http://schemas.openxmlformats.org/officeDocument/2006/relationships/hyperlink" Target="http://crioonline.com" TargetMode="External"/><Relationship Id="rId5504" Type="http://schemas.openxmlformats.org/officeDocument/2006/relationships/hyperlink" Target="http://www.linkedin.com/in/alexandra-ramirez-l-262a554b" TargetMode="External"/><Relationship Id="rId5509" Type="http://schemas.openxmlformats.org/officeDocument/2006/relationships/hyperlink" Target="http://www.linkedin.com/company/cav-robotics" TargetMode="External"/><Relationship Id="rId5507" Type="http://schemas.openxmlformats.org/officeDocument/2006/relationships/hyperlink" Target="http://www.linkedin.com/company/crioonline-equine-barn-management-software" TargetMode="External"/><Relationship Id="rId5508" Type="http://schemas.openxmlformats.org/officeDocument/2006/relationships/hyperlink" Target="http://www.linkedin.com/in/daniel-d%c3%adaz-ulloa-a7436536" TargetMode="External"/><Relationship Id="rId558" Type="http://schemas.openxmlformats.org/officeDocument/2006/relationships/hyperlink" Target="http://www.linkedin.com/company/business-alliance-group-bag-sas" TargetMode="External"/><Relationship Id="rId557" Type="http://schemas.openxmlformats.org/officeDocument/2006/relationships/hyperlink" Target="http://www.linkedin.com/in/angelicabarriosbeltran02" TargetMode="External"/><Relationship Id="rId556" Type="http://schemas.openxmlformats.org/officeDocument/2006/relationships/hyperlink" Target="https://grupotusmaquinas.com" TargetMode="External"/><Relationship Id="rId555" Type="http://schemas.openxmlformats.org/officeDocument/2006/relationships/hyperlink" Target="http://www.linkedin.com/company/grupotusmaquinas-com" TargetMode="External"/><Relationship Id="rId559" Type="http://schemas.openxmlformats.org/officeDocument/2006/relationships/hyperlink" Target="https://bagsas.com" TargetMode="External"/><Relationship Id="rId550" Type="http://schemas.openxmlformats.org/officeDocument/2006/relationships/hyperlink" Target="http://grupotusmaquinas.com" TargetMode="External"/><Relationship Id="rId2470" Type="http://schemas.openxmlformats.org/officeDocument/2006/relationships/hyperlink" Target="http://www.linkedin.com/company/bacon-games" TargetMode="External"/><Relationship Id="rId1140" Type="http://schemas.openxmlformats.org/officeDocument/2006/relationships/hyperlink" Target="http://www.linkedin.com/company/aken-capital" TargetMode="External"/><Relationship Id="rId2471" Type="http://schemas.openxmlformats.org/officeDocument/2006/relationships/hyperlink" Target="https://bacongames.co" TargetMode="External"/><Relationship Id="rId1141" Type="http://schemas.openxmlformats.org/officeDocument/2006/relationships/hyperlink" Target="https://akencapital.com" TargetMode="External"/><Relationship Id="rId2472" Type="http://schemas.openxmlformats.org/officeDocument/2006/relationships/hyperlink" Target="http://www.linkedin.com/in/daniel-vizcaya" TargetMode="External"/><Relationship Id="rId1142" Type="http://schemas.openxmlformats.org/officeDocument/2006/relationships/hyperlink" Target="http://www.linkedin.com/in/lina-sanchez-2aa3a739" TargetMode="External"/><Relationship Id="rId2473" Type="http://schemas.openxmlformats.org/officeDocument/2006/relationships/hyperlink" Target="http://www.linkedin.com/company/themadfox-ai" TargetMode="External"/><Relationship Id="rId554" Type="http://schemas.openxmlformats.org/officeDocument/2006/relationships/hyperlink" Target="http://www.linkedin.com/in/andrescmonteiro" TargetMode="External"/><Relationship Id="rId1143" Type="http://schemas.openxmlformats.org/officeDocument/2006/relationships/hyperlink" Target="http://www.linkedin.com/company/respira-run" TargetMode="External"/><Relationship Id="rId2474" Type="http://schemas.openxmlformats.org/officeDocument/2006/relationships/hyperlink" Target="https://themadfox.com" TargetMode="External"/><Relationship Id="rId5501" Type="http://schemas.openxmlformats.org/officeDocument/2006/relationships/hyperlink" Target="http://www.linkedin.com/in/juan-carlos-ram%c3%adrez-%c3%a1lvarez-aa108315" TargetMode="External"/><Relationship Id="rId553" Type="http://schemas.openxmlformats.org/officeDocument/2006/relationships/hyperlink" Target="https://teiainvest.co" TargetMode="External"/><Relationship Id="rId1144" Type="http://schemas.openxmlformats.org/officeDocument/2006/relationships/hyperlink" Target="https://respira.run" TargetMode="External"/><Relationship Id="rId2475" Type="http://schemas.openxmlformats.org/officeDocument/2006/relationships/hyperlink" Target="http://www.linkedin.com/in/johanna-carolina-forero-gaitan" TargetMode="External"/><Relationship Id="rId5502" Type="http://schemas.openxmlformats.org/officeDocument/2006/relationships/hyperlink" Target="http://www.linkedin.com/company/bis-consulting-group-sas" TargetMode="External"/><Relationship Id="rId552" Type="http://schemas.openxmlformats.org/officeDocument/2006/relationships/hyperlink" Target="http://www.linkedin.com/company/teia-invest" TargetMode="External"/><Relationship Id="rId1145" Type="http://schemas.openxmlformats.org/officeDocument/2006/relationships/hyperlink" Target="http://www.linkedin.com/in/jhonjalzate" TargetMode="External"/><Relationship Id="rId2476" Type="http://schemas.openxmlformats.org/officeDocument/2006/relationships/hyperlink" Target="http://www.linkedin.com/company/melody-colombia" TargetMode="External"/><Relationship Id="rId551" Type="http://schemas.openxmlformats.org/officeDocument/2006/relationships/hyperlink" Target="http://www.linkedin.com/in/daniela-rojas-osorio" TargetMode="External"/><Relationship Id="rId1146" Type="http://schemas.openxmlformats.org/officeDocument/2006/relationships/hyperlink" Target="http://www.linkedin.com/company/insyluxcs" TargetMode="External"/><Relationship Id="rId2477" Type="http://schemas.openxmlformats.org/officeDocument/2006/relationships/hyperlink" Target="https://melodycolombia.com.co" TargetMode="External"/><Relationship Id="rId5500" Type="http://schemas.openxmlformats.org/officeDocument/2006/relationships/hyperlink" Target="http://www.linkedin.com/company/1onepay" TargetMode="External"/><Relationship Id="rId4280" Type="http://schemas.openxmlformats.org/officeDocument/2006/relationships/hyperlink" Target="http://www.linkedin.com/in/sebastianbtos" TargetMode="External"/><Relationship Id="rId4282" Type="http://schemas.openxmlformats.org/officeDocument/2006/relationships/hyperlink" Target="http://www.linkedin.com/in/juan-j-palacio-d-854164227" TargetMode="External"/><Relationship Id="rId4281" Type="http://schemas.openxmlformats.org/officeDocument/2006/relationships/hyperlink" Target="http://www.linkedin.com/company/grasshopperinternational" TargetMode="External"/><Relationship Id="rId4284" Type="http://schemas.openxmlformats.org/officeDocument/2006/relationships/hyperlink" Target="http://www.linkedin.com/in/alejandro-c%c3%bajar-tovar-202635a0" TargetMode="External"/><Relationship Id="rId4283" Type="http://schemas.openxmlformats.org/officeDocument/2006/relationships/hyperlink" Target="http://www.linkedin.com/company/saldada" TargetMode="External"/><Relationship Id="rId4286" Type="http://schemas.openxmlformats.org/officeDocument/2006/relationships/hyperlink" Target="http://www.linkedin.com/in/sim%c3%b3n-bravo-sierra-5723a2260" TargetMode="External"/><Relationship Id="rId4285" Type="http://schemas.openxmlformats.org/officeDocument/2006/relationships/hyperlink" Target="http://www.linkedin.com/company/airawa-colombia" TargetMode="External"/><Relationship Id="rId4288" Type="http://schemas.openxmlformats.org/officeDocument/2006/relationships/hyperlink" Target="http://www.linkedin.com/in/andres-robayo" TargetMode="External"/><Relationship Id="rId4287" Type="http://schemas.openxmlformats.org/officeDocument/2006/relationships/hyperlink" Target="http://www.linkedin.com/company/hacku-educacion" TargetMode="External"/><Relationship Id="rId4289" Type="http://schemas.openxmlformats.org/officeDocument/2006/relationships/hyperlink" Target="http://www.linkedin.com/company/felicia-capital" TargetMode="External"/><Relationship Id="rId4271" Type="http://schemas.openxmlformats.org/officeDocument/2006/relationships/hyperlink" Target="http://www.linkedin.com/company/inmoboflats" TargetMode="External"/><Relationship Id="rId4270" Type="http://schemas.openxmlformats.org/officeDocument/2006/relationships/hyperlink" Target="http://www.linkedin.com/in/juancamilo" TargetMode="External"/><Relationship Id="rId4273" Type="http://schemas.openxmlformats.org/officeDocument/2006/relationships/hyperlink" Target="http://www.linkedin.com/company/carropago" TargetMode="External"/><Relationship Id="rId4272" Type="http://schemas.openxmlformats.org/officeDocument/2006/relationships/hyperlink" Target="http://www.linkedin.com/in/eduardo-muller-85454a351" TargetMode="External"/><Relationship Id="rId4275" Type="http://schemas.openxmlformats.org/officeDocument/2006/relationships/hyperlink" Target="http://www.linkedin.com/company/zentrack-sol" TargetMode="External"/><Relationship Id="rId4274" Type="http://schemas.openxmlformats.org/officeDocument/2006/relationships/hyperlink" Target="http://www.linkedin.com/in/angieortegapico" TargetMode="External"/><Relationship Id="rId4277" Type="http://schemas.openxmlformats.org/officeDocument/2006/relationships/hyperlink" Target="http://www.linkedin.com/company/subarupanama" TargetMode="External"/><Relationship Id="rId4276" Type="http://schemas.openxmlformats.org/officeDocument/2006/relationships/hyperlink" Target="http://www.linkedin.com/in/juan-david-shool-duque-0b36b124" TargetMode="External"/><Relationship Id="rId4279" Type="http://schemas.openxmlformats.org/officeDocument/2006/relationships/hyperlink" Target="http://www.linkedin.com/company/lappiz" TargetMode="External"/><Relationship Id="rId4278" Type="http://schemas.openxmlformats.org/officeDocument/2006/relationships/hyperlink" Target="http://www.linkedin.com/in/eduardo-tama" TargetMode="External"/><Relationship Id="rId4291" Type="http://schemas.openxmlformats.org/officeDocument/2006/relationships/hyperlink" Target="http://www.linkedin.com/company/salud-virtual-b-g" TargetMode="External"/><Relationship Id="rId4290" Type="http://schemas.openxmlformats.org/officeDocument/2006/relationships/hyperlink" Target="http://www.linkedin.com/in/carlos-bernal-1980" TargetMode="External"/><Relationship Id="rId4293" Type="http://schemas.openxmlformats.org/officeDocument/2006/relationships/hyperlink" Target="http://www.linkedin.com/company/zabioapp" TargetMode="External"/><Relationship Id="rId4292" Type="http://schemas.openxmlformats.org/officeDocument/2006/relationships/hyperlink" Target="http://www.linkedin.com/in/luisiregui" TargetMode="External"/><Relationship Id="rId4295" Type="http://schemas.openxmlformats.org/officeDocument/2006/relationships/hyperlink" Target="http://www.linkedin.com/company/laboratorio-de-metrolog%c3%ada-biom%c3%a9dica-met-cal" TargetMode="External"/><Relationship Id="rId4294" Type="http://schemas.openxmlformats.org/officeDocument/2006/relationships/hyperlink" Target="http://www.linkedin.com/in/raiza-caro-romero" TargetMode="External"/><Relationship Id="rId4297" Type="http://schemas.openxmlformats.org/officeDocument/2006/relationships/hyperlink" Target="http://www.linkedin.com/company/captasoftware" TargetMode="External"/><Relationship Id="rId4296" Type="http://schemas.openxmlformats.org/officeDocument/2006/relationships/hyperlink" Target="http://www.linkedin.com/in/juan-diego-arango-895480203" TargetMode="External"/><Relationship Id="rId4299" Type="http://schemas.openxmlformats.org/officeDocument/2006/relationships/hyperlink" Target="http://www.linkedin.com/company/air-limitada" TargetMode="External"/><Relationship Id="rId4298" Type="http://schemas.openxmlformats.org/officeDocument/2006/relationships/hyperlink" Target="http://www.linkedin.com/in/julian-merlano" TargetMode="External"/><Relationship Id="rId4249" Type="http://schemas.openxmlformats.org/officeDocument/2006/relationships/hyperlink" Target="http://www.linkedin.com/company/qubilo" TargetMode="External"/><Relationship Id="rId5570" Type="http://schemas.openxmlformats.org/officeDocument/2006/relationships/hyperlink" Target="http://www.linkedin.com/company/isarco-oficial" TargetMode="External"/><Relationship Id="rId5571" Type="http://schemas.openxmlformats.org/officeDocument/2006/relationships/hyperlink" Target="http://www.linkedin.com/in/jhonatan-arroyave-montoya-366a0bb5" TargetMode="External"/><Relationship Id="rId4240" Type="http://schemas.openxmlformats.org/officeDocument/2006/relationships/hyperlink" Target="http://www.linkedin.com/in/andresrodriguezm" TargetMode="External"/><Relationship Id="rId4242" Type="http://schemas.openxmlformats.org/officeDocument/2006/relationships/hyperlink" Target="http://www.linkedin.com/in/nasly-tatiana-jimenez-gonzalez" TargetMode="External"/><Relationship Id="rId5574" Type="http://schemas.openxmlformats.org/officeDocument/2006/relationships/hyperlink" Target="http://www.linkedin.com/company/investi-real-estate" TargetMode="External"/><Relationship Id="rId4241" Type="http://schemas.openxmlformats.org/officeDocument/2006/relationships/hyperlink" Target="http://www.linkedin.com/company/creaphora" TargetMode="External"/><Relationship Id="rId5575" Type="http://schemas.openxmlformats.org/officeDocument/2006/relationships/hyperlink" Target="http://www.linkedin.com/in/julian-paez-growthmarketing" TargetMode="External"/><Relationship Id="rId4244" Type="http://schemas.openxmlformats.org/officeDocument/2006/relationships/hyperlink" Target="http://www.linkedin.com/in/paula-alvarez-a117344" TargetMode="External"/><Relationship Id="rId5572" Type="http://schemas.openxmlformats.org/officeDocument/2006/relationships/hyperlink" Target="http://www.linkedin.com/company/abogadosaya" TargetMode="External"/><Relationship Id="rId4243" Type="http://schemas.openxmlformats.org/officeDocument/2006/relationships/hyperlink" Target="http://www.linkedin.com/company/clilatoscana" TargetMode="External"/><Relationship Id="rId5573" Type="http://schemas.openxmlformats.org/officeDocument/2006/relationships/hyperlink" Target="http://www.linkedin.com/in/fernando-alvaran-06b3996a" TargetMode="External"/><Relationship Id="rId4246" Type="http://schemas.openxmlformats.org/officeDocument/2006/relationships/hyperlink" Target="http://www.linkedin.com/in/dana-benarroch-33301836" TargetMode="External"/><Relationship Id="rId5578" Type="http://schemas.openxmlformats.org/officeDocument/2006/relationships/hyperlink" Target="http://www.linkedin.com/company/valtadriagroup" TargetMode="External"/><Relationship Id="rId4245" Type="http://schemas.openxmlformats.org/officeDocument/2006/relationships/hyperlink" Target="http://www.linkedin.com/company/enenentrenamiento" TargetMode="External"/><Relationship Id="rId5579" Type="http://schemas.openxmlformats.org/officeDocument/2006/relationships/hyperlink" Target="http://www.linkedin.com/in/jer%c3%b3nimo-casta%c3%b1o-londo%c3%b1o-a213a230" TargetMode="External"/><Relationship Id="rId4248" Type="http://schemas.openxmlformats.org/officeDocument/2006/relationships/hyperlink" Target="http://www.linkedin.com/in/luissalamancam" TargetMode="External"/><Relationship Id="rId5576" Type="http://schemas.openxmlformats.org/officeDocument/2006/relationships/hyperlink" Target="http://www.linkedin.com/company/escappy-travel" TargetMode="External"/><Relationship Id="rId4247" Type="http://schemas.openxmlformats.org/officeDocument/2006/relationships/hyperlink" Target="http://www.linkedin.com/school/happiness-studies-academy" TargetMode="External"/><Relationship Id="rId5577" Type="http://schemas.openxmlformats.org/officeDocument/2006/relationships/hyperlink" Target="http://www.linkedin.com/in/sandra-carolina-mart%c3%adnez-sandoval-15224019" TargetMode="External"/><Relationship Id="rId4239" Type="http://schemas.openxmlformats.org/officeDocument/2006/relationships/hyperlink" Target="http://www.linkedin.com/company/tabi-clean" TargetMode="External"/><Relationship Id="rId4238" Type="http://schemas.openxmlformats.org/officeDocument/2006/relationships/hyperlink" Target="http://www.linkedin.com/in/juan-jacobo-emura-castro" TargetMode="External"/><Relationship Id="rId5569" Type="http://schemas.openxmlformats.org/officeDocument/2006/relationships/hyperlink" Target="http://www.linkedin.com/in/juan-sebastian-gilede-leon-2865a979" TargetMode="External"/><Relationship Id="rId5560" Type="http://schemas.openxmlformats.org/officeDocument/2006/relationships/hyperlink" Target="http://www.linkedin.com/company/mompozt" TargetMode="External"/><Relationship Id="rId495" Type="http://schemas.openxmlformats.org/officeDocument/2006/relationships/hyperlink" Target="https://profinehseq.com" TargetMode="External"/><Relationship Id="rId4231" Type="http://schemas.openxmlformats.org/officeDocument/2006/relationships/hyperlink" Target="http://www.linkedin.com/company/mujeres-fintech-colombia" TargetMode="External"/><Relationship Id="rId5563" Type="http://schemas.openxmlformats.org/officeDocument/2006/relationships/hyperlink" Target="http://www.linkedin.com/in/mateogonzaleza" TargetMode="External"/><Relationship Id="rId494" Type="http://schemas.openxmlformats.org/officeDocument/2006/relationships/hyperlink" Target="http://www.linkedin.com/company/profine-procesos-de-formaci%c3%b3n-integrales-especializados" TargetMode="External"/><Relationship Id="rId4230" Type="http://schemas.openxmlformats.org/officeDocument/2006/relationships/hyperlink" Target="http://www.linkedin.com/in/ginna-pardo-8a823b5b" TargetMode="External"/><Relationship Id="rId5564" Type="http://schemas.openxmlformats.org/officeDocument/2006/relationships/hyperlink" Target="http://www.linkedin.com/company/corsox" TargetMode="External"/><Relationship Id="rId493" Type="http://schemas.openxmlformats.org/officeDocument/2006/relationships/hyperlink" Target="http://www.linkedin.com/in/juan-sanfeliu-yanes-maestro-en-hseq-68501235" TargetMode="External"/><Relationship Id="rId4233" Type="http://schemas.openxmlformats.org/officeDocument/2006/relationships/hyperlink" Target="http://www.linkedin.com/company/obralive" TargetMode="External"/><Relationship Id="rId5561" Type="http://schemas.openxmlformats.org/officeDocument/2006/relationships/hyperlink" Target="http://www.linkedin.com/in/andreaechavarriaurrea" TargetMode="External"/><Relationship Id="rId492" Type="http://schemas.openxmlformats.org/officeDocument/2006/relationships/hyperlink" Target="http://licify.ai" TargetMode="External"/><Relationship Id="rId4232" Type="http://schemas.openxmlformats.org/officeDocument/2006/relationships/hyperlink" Target="http://www.linkedin.com/in/julian-vela-volartech" TargetMode="External"/><Relationship Id="rId5562" Type="http://schemas.openxmlformats.org/officeDocument/2006/relationships/hyperlink" Target="http://www.linkedin.com/company/sabio0" TargetMode="External"/><Relationship Id="rId499" Type="http://schemas.openxmlformats.org/officeDocument/2006/relationships/hyperlink" Target="http://www.linkedin.com/in/jaime-marulanda-4a250938" TargetMode="External"/><Relationship Id="rId4235" Type="http://schemas.openxmlformats.org/officeDocument/2006/relationships/hyperlink" Target="http://www.linkedin.com/company/investta" TargetMode="External"/><Relationship Id="rId5567" Type="http://schemas.openxmlformats.org/officeDocument/2006/relationships/hyperlink" Target="http://www.linkedin.com/in/stephania-paschke" TargetMode="External"/><Relationship Id="rId498" Type="http://schemas.openxmlformats.org/officeDocument/2006/relationships/hyperlink" Target="https://licify.ai" TargetMode="External"/><Relationship Id="rId4234" Type="http://schemas.openxmlformats.org/officeDocument/2006/relationships/hyperlink" Target="http://www.linkedin.com/in/diego-gaitan-amaya" TargetMode="External"/><Relationship Id="rId5568" Type="http://schemas.openxmlformats.org/officeDocument/2006/relationships/hyperlink" Target="http://www.linkedin.com/company/felicidadbakery" TargetMode="External"/><Relationship Id="rId497" Type="http://schemas.openxmlformats.org/officeDocument/2006/relationships/hyperlink" Target="http://www.linkedin.com/company/licifylicify" TargetMode="External"/><Relationship Id="rId4237" Type="http://schemas.openxmlformats.org/officeDocument/2006/relationships/hyperlink" Target="http://www.linkedin.com/company/loma-film-rental" TargetMode="External"/><Relationship Id="rId5565" Type="http://schemas.openxmlformats.org/officeDocument/2006/relationships/hyperlink" Target="http://www.linkedin.com/in/jose-buelvas" TargetMode="External"/><Relationship Id="rId496" Type="http://schemas.openxmlformats.org/officeDocument/2006/relationships/hyperlink" Target="http://www.linkedin.com/in/pedro-celia-7b3b1b92" TargetMode="External"/><Relationship Id="rId4236" Type="http://schemas.openxmlformats.org/officeDocument/2006/relationships/hyperlink" Target="http://www.linkedin.com/in/francisco-andr%c3%a9s-forero-mendoza-2b1b822a" TargetMode="External"/><Relationship Id="rId5566" Type="http://schemas.openxmlformats.org/officeDocument/2006/relationships/hyperlink" Target="http://www.linkedin.com/company/threxio" TargetMode="External"/><Relationship Id="rId4260" Type="http://schemas.openxmlformats.org/officeDocument/2006/relationships/hyperlink" Target="http://www.linkedin.com/in/jpmarindiaz" TargetMode="External"/><Relationship Id="rId5592" Type="http://schemas.openxmlformats.org/officeDocument/2006/relationships/hyperlink" Target="http://www.linkedin.com/company/viewshowroom" TargetMode="External"/><Relationship Id="rId5593" Type="http://schemas.openxmlformats.org/officeDocument/2006/relationships/hyperlink" Target="http://www.linkedin.com/in/andres-lozano-a4294729" TargetMode="External"/><Relationship Id="rId4262" Type="http://schemas.openxmlformats.org/officeDocument/2006/relationships/hyperlink" Target="http://www.linkedin.com/in/alejandro-ayala-roa-93ab661b" TargetMode="External"/><Relationship Id="rId5590" Type="http://schemas.openxmlformats.org/officeDocument/2006/relationships/hyperlink" Target="http://www.linkedin.com/company/salu-health" TargetMode="External"/><Relationship Id="rId4261" Type="http://schemas.openxmlformats.org/officeDocument/2006/relationships/hyperlink" Target="http://www.linkedin.com/company/datasketch" TargetMode="External"/><Relationship Id="rId5591" Type="http://schemas.openxmlformats.org/officeDocument/2006/relationships/hyperlink" Target="http://www.linkedin.com/in/joaquinserranomorales" TargetMode="External"/><Relationship Id="rId4264" Type="http://schemas.openxmlformats.org/officeDocument/2006/relationships/hyperlink" Target="http://www.linkedin.com/in/daniel-urrego-malagon-29bab777" TargetMode="External"/><Relationship Id="rId5596" Type="http://schemas.openxmlformats.org/officeDocument/2006/relationships/hyperlink" Target="http://www.linkedin.com/company/quantum-heart" TargetMode="External"/><Relationship Id="rId4263" Type="http://schemas.openxmlformats.org/officeDocument/2006/relationships/hyperlink" Target="http://www.linkedin.com/company/kapital-financial-services-sas" TargetMode="External"/><Relationship Id="rId5597" Type="http://schemas.openxmlformats.org/officeDocument/2006/relationships/hyperlink" Target="http://www.linkedin.com/in/davidcastano" TargetMode="External"/><Relationship Id="rId4266" Type="http://schemas.openxmlformats.org/officeDocument/2006/relationships/hyperlink" Target="http://www.linkedin.com/in/diana-patricia-arbelaez-614b7657" TargetMode="External"/><Relationship Id="rId5594" Type="http://schemas.openxmlformats.org/officeDocument/2006/relationships/hyperlink" Target="http://www.linkedin.com/company/salma-salud" TargetMode="External"/><Relationship Id="rId4265" Type="http://schemas.openxmlformats.org/officeDocument/2006/relationships/hyperlink" Target="http://www.linkedin.com/company/medicappsalud" TargetMode="External"/><Relationship Id="rId5595" Type="http://schemas.openxmlformats.org/officeDocument/2006/relationships/hyperlink" Target="http://www.linkedin.com/in/santiago-saez" TargetMode="External"/><Relationship Id="rId4268" Type="http://schemas.openxmlformats.org/officeDocument/2006/relationships/hyperlink" Target="http://www.linkedin.com/in/enrique-neira-buitrago" TargetMode="External"/><Relationship Id="rId4267" Type="http://schemas.openxmlformats.org/officeDocument/2006/relationships/hyperlink" Target="http://www.linkedin.com/company/conectandonegocios" TargetMode="External"/><Relationship Id="rId5598" Type="http://schemas.openxmlformats.org/officeDocument/2006/relationships/hyperlink" Target="http://www.linkedin.com/company/cycle-system" TargetMode="External"/><Relationship Id="rId4269" Type="http://schemas.openxmlformats.org/officeDocument/2006/relationships/hyperlink" Target="http://www.linkedin.com/company/escalacapital" TargetMode="External"/><Relationship Id="rId5599" Type="http://schemas.openxmlformats.org/officeDocument/2006/relationships/hyperlink" Target="http://www.linkedin.com/in/angelica-duque-rojas" TargetMode="External"/><Relationship Id="rId5581" Type="http://schemas.openxmlformats.org/officeDocument/2006/relationships/hyperlink" Target="http://www.linkedin.com/in/federicoguerreroc" TargetMode="External"/><Relationship Id="rId5582" Type="http://schemas.openxmlformats.org/officeDocument/2006/relationships/hyperlink" Target="http://www.linkedin.com/company/hibot-chat" TargetMode="External"/><Relationship Id="rId4251" Type="http://schemas.openxmlformats.org/officeDocument/2006/relationships/hyperlink" Target="http://www.linkedin.com/company/focux-digital" TargetMode="External"/><Relationship Id="rId4250" Type="http://schemas.openxmlformats.org/officeDocument/2006/relationships/hyperlink" Target="http://www.linkedin.com/in/santiago-ospina-franco-5aa8b91b" TargetMode="External"/><Relationship Id="rId5580" Type="http://schemas.openxmlformats.org/officeDocument/2006/relationships/hyperlink" Target="http://www.linkedin.com/company/skanhawksas" TargetMode="External"/><Relationship Id="rId4253" Type="http://schemas.openxmlformats.org/officeDocument/2006/relationships/hyperlink" Target="http://www.linkedin.com/company/zaz-conductores-yango" TargetMode="External"/><Relationship Id="rId5585" Type="http://schemas.openxmlformats.org/officeDocument/2006/relationships/hyperlink" Target="http://www.linkedin.com/in/andresastaiza" TargetMode="External"/><Relationship Id="rId4252" Type="http://schemas.openxmlformats.org/officeDocument/2006/relationships/hyperlink" Target="http://www.linkedin.com/in/ricardocorrealrueda" TargetMode="External"/><Relationship Id="rId5586" Type="http://schemas.openxmlformats.org/officeDocument/2006/relationships/hyperlink" Target="http://www.linkedin.com/company/dopamini-innovation" TargetMode="External"/><Relationship Id="rId4255" Type="http://schemas.openxmlformats.org/officeDocument/2006/relationships/hyperlink" Target="http://www.linkedin.com/company/graffing" TargetMode="External"/><Relationship Id="rId5583" Type="http://schemas.openxmlformats.org/officeDocument/2006/relationships/hyperlink" Target="http://www.linkedin.com/in/daniel-hall-8192291bb" TargetMode="External"/><Relationship Id="rId4254" Type="http://schemas.openxmlformats.org/officeDocument/2006/relationships/hyperlink" Target="http://www.linkedin.com/in/alejandroochoac" TargetMode="External"/><Relationship Id="rId5584" Type="http://schemas.openxmlformats.org/officeDocument/2006/relationships/hyperlink" Target="http://www.linkedin.com/company/tamplace" TargetMode="External"/><Relationship Id="rId4257" Type="http://schemas.openxmlformats.org/officeDocument/2006/relationships/hyperlink" Target="http://www.linkedin.com/company/corvusclan" TargetMode="External"/><Relationship Id="rId5589" Type="http://schemas.openxmlformats.org/officeDocument/2006/relationships/hyperlink" Target="http://www.linkedin.com/in/frahez" TargetMode="External"/><Relationship Id="rId4256" Type="http://schemas.openxmlformats.org/officeDocument/2006/relationships/hyperlink" Target="http://www.linkedin.com/in/juan-pablo-ortega-000b178" TargetMode="External"/><Relationship Id="rId4259" Type="http://schemas.openxmlformats.org/officeDocument/2006/relationships/hyperlink" Target="http://www.linkedin.com/company/%c3%a1gilexpress" TargetMode="External"/><Relationship Id="rId5587" Type="http://schemas.openxmlformats.org/officeDocument/2006/relationships/hyperlink" Target="http://www.linkedin.com/in/letvin-lozano" TargetMode="External"/><Relationship Id="rId4258" Type="http://schemas.openxmlformats.org/officeDocument/2006/relationships/hyperlink" Target="http://www.linkedin.com/in/mauricio-sanchez-192b9051" TargetMode="External"/><Relationship Id="rId5588" Type="http://schemas.openxmlformats.org/officeDocument/2006/relationships/hyperlink" Target="http://www.linkedin.com/company/valorparacrecer" TargetMode="External"/><Relationship Id="rId3810" Type="http://schemas.openxmlformats.org/officeDocument/2006/relationships/hyperlink" Target="http://www.linkedin.com/in/juan-martin-zuluaga-tob%c3%b3n-1b7539" TargetMode="External"/><Relationship Id="rId3812" Type="http://schemas.openxmlformats.org/officeDocument/2006/relationships/hyperlink" Target="https://wesource.net" TargetMode="External"/><Relationship Id="rId3811" Type="http://schemas.openxmlformats.org/officeDocument/2006/relationships/hyperlink" Target="http://www.linkedin.com/company/we-source-sas" TargetMode="External"/><Relationship Id="rId3814" Type="http://schemas.openxmlformats.org/officeDocument/2006/relationships/hyperlink" Target="http://www.linkedin.com/company/gas-and-services-sas" TargetMode="External"/><Relationship Id="rId3813" Type="http://schemas.openxmlformats.org/officeDocument/2006/relationships/hyperlink" Target="http://www.linkedin.com/in/william-gongora-968b83b7" TargetMode="External"/><Relationship Id="rId3816" Type="http://schemas.openxmlformats.org/officeDocument/2006/relationships/hyperlink" Target="http://www.linkedin.com/in/alejandrocardozo" TargetMode="External"/><Relationship Id="rId3815" Type="http://schemas.openxmlformats.org/officeDocument/2006/relationships/hyperlink" Target="https://gasandservices.com" TargetMode="External"/><Relationship Id="rId3818" Type="http://schemas.openxmlformats.org/officeDocument/2006/relationships/hyperlink" Target="https://mutualvision.co" TargetMode="External"/><Relationship Id="rId3817" Type="http://schemas.openxmlformats.org/officeDocument/2006/relationships/hyperlink" Target="http://www.linkedin.com/company/mutual-vision" TargetMode="External"/><Relationship Id="rId3819" Type="http://schemas.openxmlformats.org/officeDocument/2006/relationships/hyperlink" Target="http://www.linkedin.com/in/juan-eduardo-monta%c3%b1a-05364354" TargetMode="External"/><Relationship Id="rId3801" Type="http://schemas.openxmlformats.org/officeDocument/2006/relationships/hyperlink" Target="http://www.linkedin.com/in/andres-felipe-calderon-ochoa-003b9780" TargetMode="External"/><Relationship Id="rId3800" Type="http://schemas.openxmlformats.org/officeDocument/2006/relationships/hyperlink" Target="https://hevolucion.com" TargetMode="External"/><Relationship Id="rId3803" Type="http://schemas.openxmlformats.org/officeDocument/2006/relationships/hyperlink" Target="https://vivetori.com" TargetMode="External"/><Relationship Id="rId3802" Type="http://schemas.openxmlformats.org/officeDocument/2006/relationships/hyperlink" Target="http://www.linkedin.com/company/vivetori" TargetMode="External"/><Relationship Id="rId3805" Type="http://schemas.openxmlformats.org/officeDocument/2006/relationships/hyperlink" Target="http://www.linkedin.com/company/lado-bcolombia" TargetMode="External"/><Relationship Id="rId3804" Type="http://schemas.openxmlformats.org/officeDocument/2006/relationships/hyperlink" Target="http://www.linkedin.com/in/6633" TargetMode="External"/><Relationship Id="rId3807" Type="http://schemas.openxmlformats.org/officeDocument/2006/relationships/hyperlink" Target="http://www.linkedin.com/in/natalia-m%c3%banera-g%c3%b3mez-a19b51126" TargetMode="External"/><Relationship Id="rId3806" Type="http://schemas.openxmlformats.org/officeDocument/2006/relationships/hyperlink" Target="https://lado-b.com.co" TargetMode="External"/><Relationship Id="rId3809" Type="http://schemas.openxmlformats.org/officeDocument/2006/relationships/hyperlink" Target="https://autonomicmind.com" TargetMode="External"/><Relationship Id="rId3808" Type="http://schemas.openxmlformats.org/officeDocument/2006/relationships/hyperlink" Target="http://www.linkedin.com/company/autonomicmind" TargetMode="External"/><Relationship Id="rId1213" Type="http://schemas.openxmlformats.org/officeDocument/2006/relationships/hyperlink" Target="http://www.linkedin.com/company/turitagency" TargetMode="External"/><Relationship Id="rId2544" Type="http://schemas.openxmlformats.org/officeDocument/2006/relationships/hyperlink" Target="https://kodiakintl.com" TargetMode="External"/><Relationship Id="rId3876" Type="http://schemas.openxmlformats.org/officeDocument/2006/relationships/hyperlink" Target="http://www.linkedin.com/company/nutrarte" TargetMode="External"/><Relationship Id="rId1214" Type="http://schemas.openxmlformats.org/officeDocument/2006/relationships/hyperlink" Target="https://turit.co" TargetMode="External"/><Relationship Id="rId2545" Type="http://schemas.openxmlformats.org/officeDocument/2006/relationships/hyperlink" Target="http://www.linkedin.com/in/stefhania-mora" TargetMode="External"/><Relationship Id="rId3875" Type="http://schemas.openxmlformats.org/officeDocument/2006/relationships/hyperlink" Target="http://www.linkedin.com/in/dahiana-castillo-9187a85b" TargetMode="External"/><Relationship Id="rId1215" Type="http://schemas.openxmlformats.org/officeDocument/2006/relationships/hyperlink" Target="http://www.linkedin.com/in/azuluagamaya" TargetMode="External"/><Relationship Id="rId2546" Type="http://schemas.openxmlformats.org/officeDocument/2006/relationships/hyperlink" Target="http://www.linkedin.com/company/inspyra" TargetMode="External"/><Relationship Id="rId3878" Type="http://schemas.openxmlformats.org/officeDocument/2006/relationships/hyperlink" Target="http://www.linkedin.com/in/maria-juliana-arango-gomez" TargetMode="External"/><Relationship Id="rId1216" Type="http://schemas.openxmlformats.org/officeDocument/2006/relationships/hyperlink" Target="http://www.linkedin.com/company/pinbus.com" TargetMode="External"/><Relationship Id="rId2547" Type="http://schemas.openxmlformats.org/officeDocument/2006/relationships/hyperlink" Target="https://inspyra.co" TargetMode="External"/><Relationship Id="rId3877" Type="http://schemas.openxmlformats.org/officeDocument/2006/relationships/hyperlink" Target="https://nutrarte.co" TargetMode="External"/><Relationship Id="rId1217" Type="http://schemas.openxmlformats.org/officeDocument/2006/relationships/hyperlink" Target="https://pinbus.com" TargetMode="External"/><Relationship Id="rId2548" Type="http://schemas.openxmlformats.org/officeDocument/2006/relationships/hyperlink" Target="http://www.linkedin.com/in/sergiosanchezrivera" TargetMode="External"/><Relationship Id="rId1218" Type="http://schemas.openxmlformats.org/officeDocument/2006/relationships/hyperlink" Target="http://www.linkedin.com/in/marcolezama" TargetMode="External"/><Relationship Id="rId2549" Type="http://schemas.openxmlformats.org/officeDocument/2006/relationships/hyperlink" Target="http://www.linkedin.com/company/blik-cre" TargetMode="External"/><Relationship Id="rId3879" Type="http://schemas.openxmlformats.org/officeDocument/2006/relationships/hyperlink" Target="http://www.linkedin.com/company/inpel-sa" TargetMode="External"/><Relationship Id="rId1219" Type="http://schemas.openxmlformats.org/officeDocument/2006/relationships/hyperlink" Target="http://www.linkedin.com/company/saleads" TargetMode="External"/><Relationship Id="rId3870" Type="http://schemas.openxmlformats.org/officeDocument/2006/relationships/hyperlink" Target="http://www.linkedin.com/company/allieai" TargetMode="External"/><Relationship Id="rId2540" Type="http://schemas.openxmlformats.org/officeDocument/2006/relationships/hyperlink" Target="http://www.linkedin.com/company/quesos-raros" TargetMode="External"/><Relationship Id="rId3872" Type="http://schemas.openxmlformats.org/officeDocument/2006/relationships/hyperlink" Target="http://www.linkedin.com/in/jo%c3%a3o-leite" TargetMode="External"/><Relationship Id="rId1210" Type="http://schemas.openxmlformats.org/officeDocument/2006/relationships/hyperlink" Target="https://numbi.ai" TargetMode="External"/><Relationship Id="rId2541" Type="http://schemas.openxmlformats.org/officeDocument/2006/relationships/hyperlink" Target="https://quesosraros.com.co" TargetMode="External"/><Relationship Id="rId3871" Type="http://schemas.openxmlformats.org/officeDocument/2006/relationships/hyperlink" Target="https://allie-ai.com" TargetMode="External"/><Relationship Id="rId1211" Type="http://schemas.openxmlformats.org/officeDocument/2006/relationships/hyperlink" Target="http://pinbus.com" TargetMode="External"/><Relationship Id="rId2542" Type="http://schemas.openxmlformats.org/officeDocument/2006/relationships/hyperlink" Target="http://www.linkedin.com/in/luis-diaz-18668730" TargetMode="External"/><Relationship Id="rId3874" Type="http://schemas.openxmlformats.org/officeDocument/2006/relationships/hyperlink" Target="https://adelantatupago.com" TargetMode="External"/><Relationship Id="rId1212" Type="http://schemas.openxmlformats.org/officeDocument/2006/relationships/hyperlink" Target="http://www.linkedin.com/in/sergio-leal-5793a8a6" TargetMode="External"/><Relationship Id="rId2543" Type="http://schemas.openxmlformats.org/officeDocument/2006/relationships/hyperlink" Target="http://www.linkedin.com/company/kodiakintl" TargetMode="External"/><Relationship Id="rId3873" Type="http://schemas.openxmlformats.org/officeDocument/2006/relationships/hyperlink" Target="http://www.linkedin.com/company/advance-adelanta-tu-pago" TargetMode="External"/><Relationship Id="rId1202" Type="http://schemas.openxmlformats.org/officeDocument/2006/relationships/hyperlink" Target="http://www.linkedin.com/in/carlos-julio-tovar-034a588" TargetMode="External"/><Relationship Id="rId2533" Type="http://schemas.openxmlformats.org/officeDocument/2006/relationships/hyperlink" Target="http://www.linkedin.com/in/juanyounes-yourz" TargetMode="External"/><Relationship Id="rId3865" Type="http://schemas.openxmlformats.org/officeDocument/2006/relationships/hyperlink" Target="https://betriax.com" TargetMode="External"/><Relationship Id="rId1203" Type="http://schemas.openxmlformats.org/officeDocument/2006/relationships/hyperlink" Target="http://www.linkedin.com/company/seltika-seguridad-inform-tica" TargetMode="External"/><Relationship Id="rId2534" Type="http://schemas.openxmlformats.org/officeDocument/2006/relationships/hyperlink" Target="http://www.linkedin.com/company/mindfulness-yourz" TargetMode="External"/><Relationship Id="rId3864" Type="http://schemas.openxmlformats.org/officeDocument/2006/relationships/hyperlink" Target="http://www.linkedin.com/company/betriax" TargetMode="External"/><Relationship Id="rId1204" Type="http://schemas.openxmlformats.org/officeDocument/2006/relationships/hyperlink" Target="https://seltika.com" TargetMode="External"/><Relationship Id="rId2535" Type="http://schemas.openxmlformats.org/officeDocument/2006/relationships/hyperlink" Target="https://yourz.co" TargetMode="External"/><Relationship Id="rId3867" Type="http://schemas.openxmlformats.org/officeDocument/2006/relationships/hyperlink" Target="http://www.linkedin.com/company/syl-ventures" TargetMode="External"/><Relationship Id="rId1205" Type="http://schemas.openxmlformats.org/officeDocument/2006/relationships/hyperlink" Target="http://www.linkedin.com/in/juan-daniel-medina-43b06222" TargetMode="External"/><Relationship Id="rId2536" Type="http://schemas.openxmlformats.org/officeDocument/2006/relationships/hyperlink" Target="http://www.linkedin.com/in/alexis-garcia-monroy-etic" TargetMode="External"/><Relationship Id="rId3866" Type="http://schemas.openxmlformats.org/officeDocument/2006/relationships/hyperlink" Target="http://www.linkedin.com/in/freddy-sampayo-orozco" TargetMode="External"/><Relationship Id="rId1206" Type="http://schemas.openxmlformats.org/officeDocument/2006/relationships/hyperlink" Target="http://www.linkedin.com/company/blastingmar" TargetMode="External"/><Relationship Id="rId2537" Type="http://schemas.openxmlformats.org/officeDocument/2006/relationships/hyperlink" Target="http://www.linkedin.com/company/eticoficial" TargetMode="External"/><Relationship Id="rId3869" Type="http://schemas.openxmlformats.org/officeDocument/2006/relationships/hyperlink" Target="http://www.linkedin.com/in/maria-alejandra-v%c3%a9lez-ruiz-008854ab" TargetMode="External"/><Relationship Id="rId1207" Type="http://schemas.openxmlformats.org/officeDocument/2006/relationships/hyperlink" Target="https://blastingmar.com" TargetMode="External"/><Relationship Id="rId2538" Type="http://schemas.openxmlformats.org/officeDocument/2006/relationships/hyperlink" Target="https://e-tic.co" TargetMode="External"/><Relationship Id="rId3868" Type="http://schemas.openxmlformats.org/officeDocument/2006/relationships/hyperlink" Target="https://sylventures.com" TargetMode="External"/><Relationship Id="rId1208" Type="http://schemas.openxmlformats.org/officeDocument/2006/relationships/hyperlink" Target="http://www.linkedin.com/in/daniel-fonseca-a4a74494" TargetMode="External"/><Relationship Id="rId2539" Type="http://schemas.openxmlformats.org/officeDocument/2006/relationships/hyperlink" Target="http://www.linkedin.com/in/nestorlaverde" TargetMode="External"/><Relationship Id="rId1209" Type="http://schemas.openxmlformats.org/officeDocument/2006/relationships/hyperlink" Target="http://www.linkedin.com/company/numbiai" TargetMode="External"/><Relationship Id="rId3861" Type="http://schemas.openxmlformats.org/officeDocument/2006/relationships/hyperlink" Target="https://alunasustainability.com" TargetMode="External"/><Relationship Id="rId2530" Type="http://schemas.openxmlformats.org/officeDocument/2006/relationships/hyperlink" Target="http://www.linkedin.com/in/alejandro-valencia-gomez" TargetMode="External"/><Relationship Id="rId3860" Type="http://schemas.openxmlformats.org/officeDocument/2006/relationships/hyperlink" Target="http://www.linkedin.com/company/alunasus" TargetMode="External"/><Relationship Id="rId1200" Type="http://schemas.openxmlformats.org/officeDocument/2006/relationships/hyperlink" Target="http://www.linkedin.com/company/homesale-colombia" TargetMode="External"/><Relationship Id="rId2531" Type="http://schemas.openxmlformats.org/officeDocument/2006/relationships/hyperlink" Target="http://www.linkedin.com/company/reciclados-greco" TargetMode="External"/><Relationship Id="rId3863" Type="http://schemas.openxmlformats.org/officeDocument/2006/relationships/hyperlink" Target="http://www.linkedin.com/in/robertovargas-fintech" TargetMode="External"/><Relationship Id="rId1201" Type="http://schemas.openxmlformats.org/officeDocument/2006/relationships/hyperlink" Target="https://homesale.com.co" TargetMode="External"/><Relationship Id="rId2532" Type="http://schemas.openxmlformats.org/officeDocument/2006/relationships/hyperlink" Target="https://recicladosgreco.com" TargetMode="External"/><Relationship Id="rId3862" Type="http://schemas.openxmlformats.org/officeDocument/2006/relationships/hyperlink" Target="http://xcala.ai" TargetMode="External"/><Relationship Id="rId1235" Type="http://schemas.openxmlformats.org/officeDocument/2006/relationships/hyperlink" Target="https://clinicagenezen.com" TargetMode="External"/><Relationship Id="rId2566" Type="http://schemas.openxmlformats.org/officeDocument/2006/relationships/hyperlink" Target="http://www.linkedin.com/in/thomasgeib" TargetMode="External"/><Relationship Id="rId3898" Type="http://schemas.openxmlformats.org/officeDocument/2006/relationships/hyperlink" Target="https://wakypet.com" TargetMode="External"/><Relationship Id="rId1236" Type="http://schemas.openxmlformats.org/officeDocument/2006/relationships/hyperlink" Target="http://www.linkedin.com/in/oscar-d-tobon-n" TargetMode="External"/><Relationship Id="rId2567" Type="http://schemas.openxmlformats.org/officeDocument/2006/relationships/hyperlink" Target="http://www.linkedin.com/company/entrepreneurs-house" TargetMode="External"/><Relationship Id="rId3897" Type="http://schemas.openxmlformats.org/officeDocument/2006/relationships/hyperlink" Target="http://www.linkedin.com/company/wakypet" TargetMode="External"/><Relationship Id="rId1237" Type="http://schemas.openxmlformats.org/officeDocument/2006/relationships/hyperlink" Target="http://www.linkedin.com/company/accelerate-colombia-sas" TargetMode="External"/><Relationship Id="rId2568" Type="http://schemas.openxmlformats.org/officeDocument/2006/relationships/hyperlink" Target="https://entrehouse.com" TargetMode="External"/><Relationship Id="rId1238" Type="http://schemas.openxmlformats.org/officeDocument/2006/relationships/hyperlink" Target="https://acceleratecolombia.com" TargetMode="External"/><Relationship Id="rId2569" Type="http://schemas.openxmlformats.org/officeDocument/2006/relationships/hyperlink" Target="http://www.linkedin.com/in/jorge-williamson-5281185" TargetMode="External"/><Relationship Id="rId3899" Type="http://schemas.openxmlformats.org/officeDocument/2006/relationships/hyperlink" Target="http://www.linkedin.com/in/daniel-ospina-e" TargetMode="External"/><Relationship Id="rId1239" Type="http://schemas.openxmlformats.org/officeDocument/2006/relationships/hyperlink" Target="http://www.linkedin.com/in/gustavolopez-alpapel-juntasdirectivas" TargetMode="External"/><Relationship Id="rId409" Type="http://schemas.openxmlformats.org/officeDocument/2006/relationships/hyperlink" Target="https://rocaingenieria.com" TargetMode="External"/><Relationship Id="rId404" Type="http://schemas.openxmlformats.org/officeDocument/2006/relationships/hyperlink" Target="http://www.linkedin.com/in/carlos-fernando-suarez" TargetMode="External"/><Relationship Id="rId403" Type="http://schemas.openxmlformats.org/officeDocument/2006/relationships/hyperlink" Target="https://waruwa.com" TargetMode="External"/><Relationship Id="rId402" Type="http://schemas.openxmlformats.org/officeDocument/2006/relationships/hyperlink" Target="http://www.linkedin.com/company/waruwa" TargetMode="External"/><Relationship Id="rId401" Type="http://schemas.openxmlformats.org/officeDocument/2006/relationships/hyperlink" Target="http://www.linkedin.com/in/nelson-rodriguez-hernandez-31282a138" TargetMode="External"/><Relationship Id="rId408" Type="http://schemas.openxmlformats.org/officeDocument/2006/relationships/hyperlink" Target="http://www.linkedin.com/company/roca-ingenieria-de-climatizacion-sas" TargetMode="External"/><Relationship Id="rId407" Type="http://schemas.openxmlformats.org/officeDocument/2006/relationships/hyperlink" Target="http://www.linkedin.com/in/luis-alfredo-carranza-hern%c3%a1ndez-0a9a944a" TargetMode="External"/><Relationship Id="rId406" Type="http://schemas.openxmlformats.org/officeDocument/2006/relationships/hyperlink" Target="https://innovusbs.com" TargetMode="External"/><Relationship Id="rId405" Type="http://schemas.openxmlformats.org/officeDocument/2006/relationships/hyperlink" Target="http://www.linkedin.com/company/innovus-business-school" TargetMode="External"/><Relationship Id="rId3890" Type="http://schemas.openxmlformats.org/officeDocument/2006/relationships/hyperlink" Target="http://www.linkedin.com/in/gabrielasilva-talentmanagement" TargetMode="External"/><Relationship Id="rId2560" Type="http://schemas.openxmlformats.org/officeDocument/2006/relationships/hyperlink" Target="http://www.linkedin.com/in/felipe-arroyo-douat" TargetMode="External"/><Relationship Id="rId3892" Type="http://schemas.openxmlformats.org/officeDocument/2006/relationships/hyperlink" Target="https://staffgenius.co" TargetMode="External"/><Relationship Id="rId1230" Type="http://schemas.openxmlformats.org/officeDocument/2006/relationships/hyperlink" Target="http://www.linkedin.com/in/juanmarinqubit" TargetMode="External"/><Relationship Id="rId2561" Type="http://schemas.openxmlformats.org/officeDocument/2006/relationships/hyperlink" Target="http://www.linkedin.com/company/boreale-colombia" TargetMode="External"/><Relationship Id="rId3891" Type="http://schemas.openxmlformats.org/officeDocument/2006/relationships/hyperlink" Target="http://www.linkedin.com/company/staffgenius-staffabroad" TargetMode="External"/><Relationship Id="rId400" Type="http://schemas.openxmlformats.org/officeDocument/2006/relationships/hyperlink" Target="https://kikavargas.com" TargetMode="External"/><Relationship Id="rId1231" Type="http://schemas.openxmlformats.org/officeDocument/2006/relationships/hyperlink" Target="http://www.linkedin.com/company/respira-run" TargetMode="External"/><Relationship Id="rId2562" Type="http://schemas.openxmlformats.org/officeDocument/2006/relationships/hyperlink" Target="https://boreale.co" TargetMode="External"/><Relationship Id="rId3894" Type="http://schemas.openxmlformats.org/officeDocument/2006/relationships/hyperlink" Target="http://www.linkedin.com/company/kaiowa" TargetMode="External"/><Relationship Id="rId1232" Type="http://schemas.openxmlformats.org/officeDocument/2006/relationships/hyperlink" Target="https://respira.run" TargetMode="External"/><Relationship Id="rId2563" Type="http://schemas.openxmlformats.org/officeDocument/2006/relationships/hyperlink" Target="http://www.linkedin.com/in/calvaradobotero" TargetMode="External"/><Relationship Id="rId3893" Type="http://schemas.openxmlformats.org/officeDocument/2006/relationships/hyperlink" Target="http://www.linkedin.com/in/juanandresvasquez" TargetMode="External"/><Relationship Id="rId1233" Type="http://schemas.openxmlformats.org/officeDocument/2006/relationships/hyperlink" Target="http://www.linkedin.com/in/juan-camilo-bastidas-montero-5439a288" TargetMode="External"/><Relationship Id="rId2564" Type="http://schemas.openxmlformats.org/officeDocument/2006/relationships/hyperlink" Target="http://www.linkedin.com/company/retriapp" TargetMode="External"/><Relationship Id="rId3896" Type="http://schemas.openxmlformats.org/officeDocument/2006/relationships/hyperlink" Target="http://www.linkedin.com/in/oscar-alexander-pedroza-machado-product-management" TargetMode="External"/><Relationship Id="rId1234" Type="http://schemas.openxmlformats.org/officeDocument/2006/relationships/hyperlink" Target="http://www.linkedin.com/company/cl%c3%adnica-genezen" TargetMode="External"/><Relationship Id="rId2565" Type="http://schemas.openxmlformats.org/officeDocument/2006/relationships/hyperlink" Target="https://retri.app" TargetMode="External"/><Relationship Id="rId3895" Type="http://schemas.openxmlformats.org/officeDocument/2006/relationships/hyperlink" Target="https://kaiowa.com.co" TargetMode="External"/><Relationship Id="rId1224" Type="http://schemas.openxmlformats.org/officeDocument/2006/relationships/hyperlink" Target="http://www.linkedin.com/in/pablo-alejandro-molina-r-82845a38" TargetMode="External"/><Relationship Id="rId2555" Type="http://schemas.openxmlformats.org/officeDocument/2006/relationships/hyperlink" Target="http://www.linkedin.com/company/tree-aenterprises" TargetMode="External"/><Relationship Id="rId3887" Type="http://schemas.openxmlformats.org/officeDocument/2006/relationships/hyperlink" Target="http://www.linkedin.com/in/julian-zamudio-lemos" TargetMode="External"/><Relationship Id="rId1225" Type="http://schemas.openxmlformats.org/officeDocument/2006/relationships/hyperlink" Target="http://www.linkedin.com/company/softipal" TargetMode="External"/><Relationship Id="rId2556" Type="http://schemas.openxmlformats.org/officeDocument/2006/relationships/hyperlink" Target="https://tree-a.com.co" TargetMode="External"/><Relationship Id="rId3886" Type="http://schemas.openxmlformats.org/officeDocument/2006/relationships/hyperlink" Target="https://tmsolutions.com.co" TargetMode="External"/><Relationship Id="rId1226" Type="http://schemas.openxmlformats.org/officeDocument/2006/relationships/hyperlink" Target="https://softipal.com" TargetMode="External"/><Relationship Id="rId2557" Type="http://schemas.openxmlformats.org/officeDocument/2006/relationships/hyperlink" Target="http://www.linkedin.com/in/santiago-moreno-591751219" TargetMode="External"/><Relationship Id="rId3889" Type="http://schemas.openxmlformats.org/officeDocument/2006/relationships/hyperlink" Target="https://trescubos.com" TargetMode="External"/><Relationship Id="rId1227" Type="http://schemas.openxmlformats.org/officeDocument/2006/relationships/hyperlink" Target="http://www.linkedin.com/in/nicol%c3%a1s-acosta-98080983" TargetMode="External"/><Relationship Id="rId2558" Type="http://schemas.openxmlformats.org/officeDocument/2006/relationships/hyperlink" Target="http://www.linkedin.com/company/easylogisticsbyia" TargetMode="External"/><Relationship Id="rId3888" Type="http://schemas.openxmlformats.org/officeDocument/2006/relationships/hyperlink" Target="http://www.linkedin.com/company/trescubos" TargetMode="External"/><Relationship Id="rId1228" Type="http://schemas.openxmlformats.org/officeDocument/2006/relationships/hyperlink" Target="http://www.linkedin.com/company/dondoctor" TargetMode="External"/><Relationship Id="rId2559" Type="http://schemas.openxmlformats.org/officeDocument/2006/relationships/hyperlink" Target="https://easy-logistics.co" TargetMode="External"/><Relationship Id="rId1229" Type="http://schemas.openxmlformats.org/officeDocument/2006/relationships/hyperlink" Target="https://dondoctor.com" TargetMode="External"/><Relationship Id="rId3881" Type="http://schemas.openxmlformats.org/officeDocument/2006/relationships/hyperlink" Target="http://www.linkedin.com/in/juankjaimes" TargetMode="External"/><Relationship Id="rId2550" Type="http://schemas.openxmlformats.org/officeDocument/2006/relationships/hyperlink" Target="https://blik.com.co" TargetMode="External"/><Relationship Id="rId3880" Type="http://schemas.openxmlformats.org/officeDocument/2006/relationships/hyperlink" Target="https://inpel.com.co" TargetMode="External"/><Relationship Id="rId1220" Type="http://schemas.openxmlformats.org/officeDocument/2006/relationships/hyperlink" Target="https://saleads.ai" TargetMode="External"/><Relationship Id="rId2551" Type="http://schemas.openxmlformats.org/officeDocument/2006/relationships/hyperlink" Target="http://www.linkedin.com/in/andresamadorg" TargetMode="External"/><Relationship Id="rId3883" Type="http://schemas.openxmlformats.org/officeDocument/2006/relationships/hyperlink" Target="https://tresmitades.com" TargetMode="External"/><Relationship Id="rId1221" Type="http://schemas.openxmlformats.org/officeDocument/2006/relationships/hyperlink" Target="http://www.linkedin.com/in/julianerodriguezo" TargetMode="External"/><Relationship Id="rId2552" Type="http://schemas.openxmlformats.org/officeDocument/2006/relationships/hyperlink" Target="http://www.linkedin.com/company/betriax" TargetMode="External"/><Relationship Id="rId3882" Type="http://schemas.openxmlformats.org/officeDocument/2006/relationships/hyperlink" Target="http://www.linkedin.com/company/tresmitades" TargetMode="External"/><Relationship Id="rId1222" Type="http://schemas.openxmlformats.org/officeDocument/2006/relationships/hyperlink" Target="http://www.linkedin.com/company/friflou" TargetMode="External"/><Relationship Id="rId2553" Type="http://schemas.openxmlformats.org/officeDocument/2006/relationships/hyperlink" Target="https://betriax.com" TargetMode="External"/><Relationship Id="rId3885" Type="http://schemas.openxmlformats.org/officeDocument/2006/relationships/hyperlink" Target="http://www.linkedin.com/company/tm-solutions-sas" TargetMode="External"/><Relationship Id="rId1223" Type="http://schemas.openxmlformats.org/officeDocument/2006/relationships/hyperlink" Target="https://friflou.com" TargetMode="External"/><Relationship Id="rId2554" Type="http://schemas.openxmlformats.org/officeDocument/2006/relationships/hyperlink" Target="http://www.linkedin.com/in/elsa-cristina-pe%c3%b1a-fl%c3%b3rez-862267268" TargetMode="External"/><Relationship Id="rId3884" Type="http://schemas.openxmlformats.org/officeDocument/2006/relationships/hyperlink" Target="http://www.linkedin.com/in/sergio-alejandro-alvarez-lara" TargetMode="External"/><Relationship Id="rId2500" Type="http://schemas.openxmlformats.org/officeDocument/2006/relationships/hyperlink" Target="http://www.linkedin.com/company/urgentcol" TargetMode="External"/><Relationship Id="rId3832" Type="http://schemas.openxmlformats.org/officeDocument/2006/relationships/hyperlink" Target="http://www.linkedin.com/company/miguel-gomez-y-compa%c3%b1ia" TargetMode="External"/><Relationship Id="rId2501" Type="http://schemas.openxmlformats.org/officeDocument/2006/relationships/hyperlink" Target="https://urgent.com.co" TargetMode="External"/><Relationship Id="rId3831" Type="http://schemas.openxmlformats.org/officeDocument/2006/relationships/hyperlink" Target="http://www.linkedin.com/in/juan-pablo-gomez-bitar-29637b220" TargetMode="External"/><Relationship Id="rId2502" Type="http://schemas.openxmlformats.org/officeDocument/2006/relationships/hyperlink" Target="http://www.linkedin.com/in/david-licenciarte" TargetMode="External"/><Relationship Id="rId3834" Type="http://schemas.openxmlformats.org/officeDocument/2006/relationships/hyperlink" Target="http://www.linkedin.com/in/cristian-tovarm" TargetMode="External"/><Relationship Id="rId2503" Type="http://schemas.openxmlformats.org/officeDocument/2006/relationships/hyperlink" Target="http://www.linkedin.com/company/patentvest-inc." TargetMode="External"/><Relationship Id="rId3833" Type="http://schemas.openxmlformats.org/officeDocument/2006/relationships/hyperlink" Target="https://miguelgomez.com.co" TargetMode="External"/><Relationship Id="rId2504" Type="http://schemas.openxmlformats.org/officeDocument/2006/relationships/hyperlink" Target="https://patentvest.com" TargetMode="External"/><Relationship Id="rId3836" Type="http://schemas.openxmlformats.org/officeDocument/2006/relationships/hyperlink" Target="https://data-plus.com.co" TargetMode="External"/><Relationship Id="rId2505" Type="http://schemas.openxmlformats.org/officeDocument/2006/relationships/hyperlink" Target="http://inciti.co" TargetMode="External"/><Relationship Id="rId3835" Type="http://schemas.openxmlformats.org/officeDocument/2006/relationships/hyperlink" Target="http://www.linkedin.com/company/dataplus-bi" TargetMode="External"/><Relationship Id="rId2506" Type="http://schemas.openxmlformats.org/officeDocument/2006/relationships/hyperlink" Target="http://www.linkedin.com/in/fabian-espinel-b3098552" TargetMode="External"/><Relationship Id="rId3838" Type="http://schemas.openxmlformats.org/officeDocument/2006/relationships/hyperlink" Target="http://www.linkedin.com/company/ew-tech" TargetMode="External"/><Relationship Id="rId2507" Type="http://schemas.openxmlformats.org/officeDocument/2006/relationships/hyperlink" Target="http://www.linkedin.com/company/intek-group-sas" TargetMode="External"/><Relationship Id="rId3837" Type="http://schemas.openxmlformats.org/officeDocument/2006/relationships/hyperlink" Target="http://www.linkedin.com/in/anatolie-scurtu-13077b52" TargetMode="External"/><Relationship Id="rId2508" Type="http://schemas.openxmlformats.org/officeDocument/2006/relationships/hyperlink" Target="https://intekgroup.com.co" TargetMode="External"/><Relationship Id="rId2509" Type="http://schemas.openxmlformats.org/officeDocument/2006/relationships/hyperlink" Target="http://www.linkedin.com/in/pedroterogris" TargetMode="External"/><Relationship Id="rId3839" Type="http://schemas.openxmlformats.org/officeDocument/2006/relationships/hyperlink" Target="https://ewtech.la" TargetMode="External"/><Relationship Id="rId3830" Type="http://schemas.openxmlformats.org/officeDocument/2006/relationships/hyperlink" Target="https://mediap.com.co" TargetMode="External"/><Relationship Id="rId3821" Type="http://schemas.openxmlformats.org/officeDocument/2006/relationships/hyperlink" Target="https://sym.com.co" TargetMode="External"/><Relationship Id="rId3820" Type="http://schemas.openxmlformats.org/officeDocument/2006/relationships/hyperlink" Target="http://www.linkedin.com/company/sym-consultores" TargetMode="External"/><Relationship Id="rId3823" Type="http://schemas.openxmlformats.org/officeDocument/2006/relationships/hyperlink" Target="http://www.linkedin.com/company/aseoanna" TargetMode="External"/><Relationship Id="rId3822" Type="http://schemas.openxmlformats.org/officeDocument/2006/relationships/hyperlink" Target="http://www.linkedin.com/in/oscar-garnica" TargetMode="External"/><Relationship Id="rId3825" Type="http://schemas.openxmlformats.org/officeDocument/2006/relationships/hyperlink" Target="http://www.linkedin.com/in/giovana-romero-sanchez-17a73015" TargetMode="External"/><Relationship Id="rId3824" Type="http://schemas.openxmlformats.org/officeDocument/2006/relationships/hyperlink" Target="https://anna.com.co" TargetMode="External"/><Relationship Id="rId3827" Type="http://schemas.openxmlformats.org/officeDocument/2006/relationships/hyperlink" Target="https://innovusbs.com" TargetMode="External"/><Relationship Id="rId3826" Type="http://schemas.openxmlformats.org/officeDocument/2006/relationships/hyperlink" Target="http://www.linkedin.com/company/innovus-business-school" TargetMode="External"/><Relationship Id="rId3829" Type="http://schemas.openxmlformats.org/officeDocument/2006/relationships/hyperlink" Target="http://www.linkedin.com/company/media-project360" TargetMode="External"/><Relationship Id="rId3828" Type="http://schemas.openxmlformats.org/officeDocument/2006/relationships/hyperlink" Target="http://www.linkedin.com/in/fabian-andres-rojas-8b23a141" TargetMode="External"/><Relationship Id="rId2522" Type="http://schemas.openxmlformats.org/officeDocument/2006/relationships/hyperlink" Target="http://www.linkedin.com/company/suplai-app" TargetMode="External"/><Relationship Id="rId3854" Type="http://schemas.openxmlformats.org/officeDocument/2006/relationships/hyperlink" Target="http://www.linkedin.com/company/ipsesaludcolombia" TargetMode="External"/><Relationship Id="rId2523" Type="http://schemas.openxmlformats.org/officeDocument/2006/relationships/hyperlink" Target="https://suplai.app" TargetMode="External"/><Relationship Id="rId3853" Type="http://schemas.openxmlformats.org/officeDocument/2006/relationships/hyperlink" Target="http://www.linkedin.com/in/andrea-berman-badler" TargetMode="External"/><Relationship Id="rId2524" Type="http://schemas.openxmlformats.org/officeDocument/2006/relationships/hyperlink" Target="http://www.linkedin.com/in/ernesto-porras-consultor" TargetMode="External"/><Relationship Id="rId3856" Type="http://schemas.openxmlformats.org/officeDocument/2006/relationships/hyperlink" Target="http://www.linkedin.com/in/mateoburgos" TargetMode="External"/><Relationship Id="rId2525" Type="http://schemas.openxmlformats.org/officeDocument/2006/relationships/hyperlink" Target="http://www.linkedin.com/company/consultoria-en-climatizacion" TargetMode="External"/><Relationship Id="rId3855" Type="http://schemas.openxmlformats.org/officeDocument/2006/relationships/hyperlink" Target="https://ipse.cl" TargetMode="External"/><Relationship Id="rId2526" Type="http://schemas.openxmlformats.org/officeDocument/2006/relationships/hyperlink" Target="https://consultoriaenclimatizacion.com" TargetMode="External"/><Relationship Id="rId3858" Type="http://schemas.openxmlformats.org/officeDocument/2006/relationships/hyperlink" Target="https://meeteam.co" TargetMode="External"/><Relationship Id="rId2527" Type="http://schemas.openxmlformats.org/officeDocument/2006/relationships/hyperlink" Target="http://www.linkedin.com/in/ceabondano" TargetMode="External"/><Relationship Id="rId3857" Type="http://schemas.openxmlformats.org/officeDocument/2006/relationships/hyperlink" Target="http://www.linkedin.com/company/meeteam-oficial" TargetMode="External"/><Relationship Id="rId2528" Type="http://schemas.openxmlformats.org/officeDocument/2006/relationships/hyperlink" Target="http://www.linkedin.com/company/sense-digital-colombia" TargetMode="External"/><Relationship Id="rId2529" Type="http://schemas.openxmlformats.org/officeDocument/2006/relationships/hyperlink" Target="https://sense-digital.co" TargetMode="External"/><Relationship Id="rId3859" Type="http://schemas.openxmlformats.org/officeDocument/2006/relationships/hyperlink" Target="http://www.linkedin.com/in/ednalilianarm" TargetMode="External"/><Relationship Id="rId3850" Type="http://schemas.openxmlformats.org/officeDocument/2006/relationships/hyperlink" Target="http://www.linkedin.com/in/edgar-mauricio-florez-prieto-3a8b4031" TargetMode="External"/><Relationship Id="rId2520" Type="http://schemas.openxmlformats.org/officeDocument/2006/relationships/hyperlink" Target="https://mubon.co" TargetMode="External"/><Relationship Id="rId3852" Type="http://schemas.openxmlformats.org/officeDocument/2006/relationships/hyperlink" Target="https://easybi.co" TargetMode="External"/><Relationship Id="rId2521" Type="http://schemas.openxmlformats.org/officeDocument/2006/relationships/hyperlink" Target="http://www.linkedin.com/in/javier-cohenar-42507416" TargetMode="External"/><Relationship Id="rId3851" Type="http://schemas.openxmlformats.org/officeDocument/2006/relationships/hyperlink" Target="http://www.linkedin.com/company/easybi-co" TargetMode="External"/><Relationship Id="rId2511" Type="http://schemas.openxmlformats.org/officeDocument/2006/relationships/hyperlink" Target="https://inciti.co" TargetMode="External"/><Relationship Id="rId3843" Type="http://schemas.openxmlformats.org/officeDocument/2006/relationships/hyperlink" Target="http://www.linkedin.com/in/sindynataliamera" TargetMode="External"/><Relationship Id="rId2512" Type="http://schemas.openxmlformats.org/officeDocument/2006/relationships/hyperlink" Target="http://www.linkedin.com/in/germanariostrekker" TargetMode="External"/><Relationship Id="rId3842" Type="http://schemas.openxmlformats.org/officeDocument/2006/relationships/hyperlink" Target="https://cminds.co" TargetMode="External"/><Relationship Id="rId2513" Type="http://schemas.openxmlformats.org/officeDocument/2006/relationships/hyperlink" Target="http://www.linkedin.com/company/growitalent" TargetMode="External"/><Relationship Id="rId3845" Type="http://schemas.openxmlformats.org/officeDocument/2006/relationships/hyperlink" Target="https://zenware.com.co" TargetMode="External"/><Relationship Id="rId2514" Type="http://schemas.openxmlformats.org/officeDocument/2006/relationships/hyperlink" Target="https://growitalent.com" TargetMode="External"/><Relationship Id="rId3844" Type="http://schemas.openxmlformats.org/officeDocument/2006/relationships/hyperlink" Target="http://www.linkedin.com/company/zenware-s-a-s" TargetMode="External"/><Relationship Id="rId2515" Type="http://schemas.openxmlformats.org/officeDocument/2006/relationships/hyperlink" Target="http://www.linkedin.com/in/david-martin-riveros" TargetMode="External"/><Relationship Id="rId3847" Type="http://schemas.openxmlformats.org/officeDocument/2006/relationships/hyperlink" Target="http://www.linkedin.com/in/ogomezro" TargetMode="External"/><Relationship Id="rId2516" Type="http://schemas.openxmlformats.org/officeDocument/2006/relationships/hyperlink" Target="http://www.linkedin.com/company/icebergdataio" TargetMode="External"/><Relationship Id="rId3846" Type="http://schemas.openxmlformats.org/officeDocument/2006/relationships/hyperlink" Target="http://easybi.co" TargetMode="External"/><Relationship Id="rId2517" Type="http://schemas.openxmlformats.org/officeDocument/2006/relationships/hyperlink" Target="https://icebergdata.co" TargetMode="External"/><Relationship Id="rId3849" Type="http://schemas.openxmlformats.org/officeDocument/2006/relationships/hyperlink" Target="https://vitalfood.com.co" TargetMode="External"/><Relationship Id="rId2518" Type="http://schemas.openxmlformats.org/officeDocument/2006/relationships/hyperlink" Target="http://www.linkedin.com/in/phndavid" TargetMode="External"/><Relationship Id="rId3848" Type="http://schemas.openxmlformats.org/officeDocument/2006/relationships/hyperlink" Target="http://www.linkedin.com/company/vifoco-sas" TargetMode="External"/><Relationship Id="rId2519" Type="http://schemas.openxmlformats.org/officeDocument/2006/relationships/hyperlink" Target="http://www.linkedin.com/company/mubonco" TargetMode="External"/><Relationship Id="rId3841" Type="http://schemas.openxmlformats.org/officeDocument/2006/relationships/hyperlink" Target="http://www.linkedin.com/company/c-minds" TargetMode="External"/><Relationship Id="rId2510" Type="http://schemas.openxmlformats.org/officeDocument/2006/relationships/hyperlink" Target="http://www.linkedin.com/company/inciti-co" TargetMode="External"/><Relationship Id="rId3840" Type="http://schemas.openxmlformats.org/officeDocument/2006/relationships/hyperlink" Target="http://www.linkedin.com/in/eduardobiocolombia" TargetMode="External"/><Relationship Id="rId4327" Type="http://schemas.openxmlformats.org/officeDocument/2006/relationships/hyperlink" Target="http://www.linkedin.com/company/t-mapp" TargetMode="External"/><Relationship Id="rId5659" Type="http://schemas.openxmlformats.org/officeDocument/2006/relationships/hyperlink" Target="http://www.linkedin.com/in/thevisasgirl" TargetMode="External"/><Relationship Id="rId4326" Type="http://schemas.openxmlformats.org/officeDocument/2006/relationships/hyperlink" Target="http://www.linkedin.com/in/alejandro-arevalo-776a4357" TargetMode="External"/><Relationship Id="rId4329" Type="http://schemas.openxmlformats.org/officeDocument/2006/relationships/hyperlink" Target="http://www.linkedin.com/company/asendestrategico" TargetMode="External"/><Relationship Id="rId5657" Type="http://schemas.openxmlformats.org/officeDocument/2006/relationships/hyperlink" Target="http://www.linkedin.com/in/luis-augusto-garcia-0a67a546" TargetMode="External"/><Relationship Id="rId4328" Type="http://schemas.openxmlformats.org/officeDocument/2006/relationships/hyperlink" Target="http://www.linkedin.com/in/mariajosetasconmartinez" TargetMode="External"/><Relationship Id="rId5658" Type="http://schemas.openxmlformats.org/officeDocument/2006/relationships/hyperlink" Target="http://www.linkedin.com/company/ntinewtrade" TargetMode="External"/><Relationship Id="rId469" Type="http://schemas.openxmlformats.org/officeDocument/2006/relationships/hyperlink" Target="http://www.linkedin.com/company/envapack-com" TargetMode="External"/><Relationship Id="rId468" Type="http://schemas.openxmlformats.org/officeDocument/2006/relationships/hyperlink" Target="http://www.linkedin.com/in/maria-andrea-ortiz-paez" TargetMode="External"/><Relationship Id="rId467" Type="http://schemas.openxmlformats.org/officeDocument/2006/relationships/hyperlink" Target="https://uptimeanalytics.com" TargetMode="External"/><Relationship Id="rId1290" Type="http://schemas.openxmlformats.org/officeDocument/2006/relationships/hyperlink" Target="http://www.linkedin.com/in/henryvergarabarreto" TargetMode="External"/><Relationship Id="rId1291" Type="http://schemas.openxmlformats.org/officeDocument/2006/relationships/hyperlink" Target="http://www.linkedin.com/company/hvb-ingenieria-y-consulta-s-a-s" TargetMode="External"/><Relationship Id="rId1292" Type="http://schemas.openxmlformats.org/officeDocument/2006/relationships/hyperlink" Target="https://hvb.com.co" TargetMode="External"/><Relationship Id="rId462" Type="http://schemas.openxmlformats.org/officeDocument/2006/relationships/hyperlink" Target="http://www.linkedin.com/company/familyoffices" TargetMode="External"/><Relationship Id="rId1293" Type="http://schemas.openxmlformats.org/officeDocument/2006/relationships/hyperlink" Target="http://www.linkedin.com/in/andres-salas-a20b4910" TargetMode="External"/><Relationship Id="rId5651" Type="http://schemas.openxmlformats.org/officeDocument/2006/relationships/hyperlink" Target="http://www.linkedin.com/in/carloslealparada" TargetMode="External"/><Relationship Id="rId461" Type="http://schemas.openxmlformats.org/officeDocument/2006/relationships/hyperlink" Target="http://www.linkedin.com/in/valeria-buitrago-626027158" TargetMode="External"/><Relationship Id="rId1294" Type="http://schemas.openxmlformats.org/officeDocument/2006/relationships/hyperlink" Target="http://www.linkedin.com/company/rayoenergia" TargetMode="External"/><Relationship Id="rId5652" Type="http://schemas.openxmlformats.org/officeDocument/2006/relationships/hyperlink" Target="http://www.linkedin.com/company/trade-imports-llc-dba-the-ricky-joy-company" TargetMode="External"/><Relationship Id="rId460" Type="http://schemas.openxmlformats.org/officeDocument/2006/relationships/hyperlink" Target="https://smgimagen.com.co" TargetMode="External"/><Relationship Id="rId1295" Type="http://schemas.openxmlformats.org/officeDocument/2006/relationships/hyperlink" Target="https://rayoenergia.com" TargetMode="External"/><Relationship Id="rId4321" Type="http://schemas.openxmlformats.org/officeDocument/2006/relationships/hyperlink" Target="http://www.linkedin.com/company/grupo-mensajes-de-voz-sas" TargetMode="External"/><Relationship Id="rId1296" Type="http://schemas.openxmlformats.org/officeDocument/2006/relationships/hyperlink" Target="http://www.linkedin.com/in/cristian-penaranda" TargetMode="External"/><Relationship Id="rId4320" Type="http://schemas.openxmlformats.org/officeDocument/2006/relationships/hyperlink" Target="http://www.linkedin.com/in/jorge-corchuelo-25b8245b" TargetMode="External"/><Relationship Id="rId5650" Type="http://schemas.openxmlformats.org/officeDocument/2006/relationships/hyperlink" Target="http://www.linkedin.com/company/viuna-io" TargetMode="External"/><Relationship Id="rId466" Type="http://schemas.openxmlformats.org/officeDocument/2006/relationships/hyperlink" Target="http://www.linkedin.com/company/uptime-analytics" TargetMode="External"/><Relationship Id="rId1297" Type="http://schemas.openxmlformats.org/officeDocument/2006/relationships/hyperlink" Target="http://www.linkedin.com/company/wallib" TargetMode="External"/><Relationship Id="rId4323" Type="http://schemas.openxmlformats.org/officeDocument/2006/relationships/hyperlink" Target="http://www.linkedin.com/company/profit-consultorias" TargetMode="External"/><Relationship Id="rId5655" Type="http://schemas.openxmlformats.org/officeDocument/2006/relationships/hyperlink" Target="http://www.linkedin.com/in/david-acosta-z" TargetMode="External"/><Relationship Id="rId465" Type="http://schemas.openxmlformats.org/officeDocument/2006/relationships/hyperlink" Target="http://www.linkedin.com/in/oscarhoyosv" TargetMode="External"/><Relationship Id="rId1298" Type="http://schemas.openxmlformats.org/officeDocument/2006/relationships/hyperlink" Target="https://wallib.com" TargetMode="External"/><Relationship Id="rId4322" Type="http://schemas.openxmlformats.org/officeDocument/2006/relationships/hyperlink" Target="http://www.linkedin.com/in/lucas-ricardo-barrera-quevedo-745088309" TargetMode="External"/><Relationship Id="rId5656" Type="http://schemas.openxmlformats.org/officeDocument/2006/relationships/hyperlink" Target="http://www.linkedin.com/company/quantme" TargetMode="External"/><Relationship Id="rId464" Type="http://schemas.openxmlformats.org/officeDocument/2006/relationships/hyperlink" Target="http://envapack.com" TargetMode="External"/><Relationship Id="rId1299" Type="http://schemas.openxmlformats.org/officeDocument/2006/relationships/hyperlink" Target="http://meetalfred.com" TargetMode="External"/><Relationship Id="rId4325" Type="http://schemas.openxmlformats.org/officeDocument/2006/relationships/hyperlink" Target="http://www.linkedin.com/company/libertateducacionfinanciera" TargetMode="External"/><Relationship Id="rId5653" Type="http://schemas.openxmlformats.org/officeDocument/2006/relationships/hyperlink" Target="http://www.linkedin.com/in/lina-m-vel%c3%a1squez-02ba2064" TargetMode="External"/><Relationship Id="rId463" Type="http://schemas.openxmlformats.org/officeDocument/2006/relationships/hyperlink" Target="https://familyoffices.com" TargetMode="External"/><Relationship Id="rId4324" Type="http://schemas.openxmlformats.org/officeDocument/2006/relationships/hyperlink" Target="http://www.linkedin.com/in/sergiodiazgranadoscruz" TargetMode="External"/><Relationship Id="rId5654" Type="http://schemas.openxmlformats.org/officeDocument/2006/relationships/hyperlink" Target="http://www.linkedin.com/company/somosethicus" TargetMode="External"/><Relationship Id="rId4316" Type="http://schemas.openxmlformats.org/officeDocument/2006/relationships/hyperlink" Target="http://www.linkedin.com/in/pacocepeda" TargetMode="External"/><Relationship Id="rId5648" Type="http://schemas.openxmlformats.org/officeDocument/2006/relationships/hyperlink" Target="http://www.linkedin.com/company/viewrad" TargetMode="External"/><Relationship Id="rId4315" Type="http://schemas.openxmlformats.org/officeDocument/2006/relationships/hyperlink" Target="http://www.linkedin.com/company/sinintermediarios-com" TargetMode="External"/><Relationship Id="rId5649" Type="http://schemas.openxmlformats.org/officeDocument/2006/relationships/hyperlink" Target="http://www.linkedin.com/in/sebastianramosp" TargetMode="External"/><Relationship Id="rId4318" Type="http://schemas.openxmlformats.org/officeDocument/2006/relationships/hyperlink" Target="http://www.linkedin.com/in/felipe-gonzalez-garzon-a2455b48" TargetMode="External"/><Relationship Id="rId5646" Type="http://schemas.openxmlformats.org/officeDocument/2006/relationships/hyperlink" Target="http://www.linkedin.com/company/sustainability-hub-sas" TargetMode="External"/><Relationship Id="rId4317" Type="http://schemas.openxmlformats.org/officeDocument/2006/relationships/hyperlink" Target="http://www.linkedin.com/company/diptongo" TargetMode="External"/><Relationship Id="rId5647" Type="http://schemas.openxmlformats.org/officeDocument/2006/relationships/hyperlink" Target="http://www.linkedin.com/in/marcos-alberto-espinosa-orozco-20624859" TargetMode="External"/><Relationship Id="rId4319" Type="http://schemas.openxmlformats.org/officeDocument/2006/relationships/hyperlink" Target="http://www.linkedin.com/company/h3s-colombia" TargetMode="External"/><Relationship Id="rId459" Type="http://schemas.openxmlformats.org/officeDocument/2006/relationships/hyperlink" Target="http://www.linkedin.com/company/smg-imagen-laboral" TargetMode="External"/><Relationship Id="rId458" Type="http://schemas.openxmlformats.org/officeDocument/2006/relationships/hyperlink" Target="http://www.linkedin.com/in/sandra-milena-moncada-vacca" TargetMode="External"/><Relationship Id="rId457" Type="http://schemas.openxmlformats.org/officeDocument/2006/relationships/hyperlink" Target="https://denova.com.co" TargetMode="External"/><Relationship Id="rId456" Type="http://schemas.openxmlformats.org/officeDocument/2006/relationships/hyperlink" Target="http://www.linkedin.com/company/denova-consulting-solutions" TargetMode="External"/><Relationship Id="rId1280" Type="http://schemas.openxmlformats.org/officeDocument/2006/relationships/hyperlink" Target="https://saludybienestar.com.co" TargetMode="External"/><Relationship Id="rId1281" Type="http://schemas.openxmlformats.org/officeDocument/2006/relationships/hyperlink" Target="http://www.linkedin.com/in/davidgutierrezamd" TargetMode="External"/><Relationship Id="rId451" Type="http://schemas.openxmlformats.org/officeDocument/2006/relationships/hyperlink" Target="https://tpaga.co" TargetMode="External"/><Relationship Id="rId1282" Type="http://schemas.openxmlformats.org/officeDocument/2006/relationships/hyperlink" Target="http://www.linkedin.com/company/agencia-marketing-digital-amd" TargetMode="External"/><Relationship Id="rId5640" Type="http://schemas.openxmlformats.org/officeDocument/2006/relationships/hyperlink" Target="http://www.linkedin.com/company/shofi" TargetMode="External"/><Relationship Id="rId450" Type="http://schemas.openxmlformats.org/officeDocument/2006/relationships/hyperlink" Target="http://www.linkedin.com/company/tpaga" TargetMode="External"/><Relationship Id="rId1283" Type="http://schemas.openxmlformats.org/officeDocument/2006/relationships/hyperlink" Target="https://agenciadigitalamd.com" TargetMode="External"/><Relationship Id="rId5641" Type="http://schemas.openxmlformats.org/officeDocument/2006/relationships/hyperlink" Target="http://www.linkedin.com/in/iv%c3%a1n-aguado-trujillo-3a0004a9" TargetMode="External"/><Relationship Id="rId1284" Type="http://schemas.openxmlformats.org/officeDocument/2006/relationships/hyperlink" Target="http://www.linkedin.com/in/wigerfrankewequips" TargetMode="External"/><Relationship Id="rId4310" Type="http://schemas.openxmlformats.org/officeDocument/2006/relationships/hyperlink" Target="http://www.linkedin.com/in/kateryne-monz%c3%b3n" TargetMode="External"/><Relationship Id="rId1285" Type="http://schemas.openxmlformats.org/officeDocument/2006/relationships/hyperlink" Target="http://www.linkedin.com/company/wequips" TargetMode="External"/><Relationship Id="rId455" Type="http://schemas.openxmlformats.org/officeDocument/2006/relationships/hyperlink" Target="http://www.linkedin.com/in/keudysalvarado" TargetMode="External"/><Relationship Id="rId1286" Type="http://schemas.openxmlformats.org/officeDocument/2006/relationships/hyperlink" Target="https://wequips.com" TargetMode="External"/><Relationship Id="rId4312" Type="http://schemas.openxmlformats.org/officeDocument/2006/relationships/hyperlink" Target="http://www.linkedin.com/in/dsroa" TargetMode="External"/><Relationship Id="rId5644" Type="http://schemas.openxmlformats.org/officeDocument/2006/relationships/hyperlink" Target="http://www.linkedin.com/company/ascenso-viajes" TargetMode="External"/><Relationship Id="rId454" Type="http://schemas.openxmlformats.org/officeDocument/2006/relationships/hyperlink" Target="https://diit.com.co" TargetMode="External"/><Relationship Id="rId1287" Type="http://schemas.openxmlformats.org/officeDocument/2006/relationships/hyperlink" Target="http://www.linkedin.com/in/tatiana-gallo-hernandez" TargetMode="External"/><Relationship Id="rId4311" Type="http://schemas.openxmlformats.org/officeDocument/2006/relationships/hyperlink" Target="http://www.linkedin.com/company/helppeoplecloud" TargetMode="External"/><Relationship Id="rId5645" Type="http://schemas.openxmlformats.org/officeDocument/2006/relationships/hyperlink" Target="http://www.linkedin.com/in/juanpablohb" TargetMode="External"/><Relationship Id="rId453" Type="http://schemas.openxmlformats.org/officeDocument/2006/relationships/hyperlink" Target="http://www.linkedin.com/company/diit-consultores-s.a.s" TargetMode="External"/><Relationship Id="rId1288" Type="http://schemas.openxmlformats.org/officeDocument/2006/relationships/hyperlink" Target="http://www.linkedin.com/company/global-talentsphere" TargetMode="External"/><Relationship Id="rId4314" Type="http://schemas.openxmlformats.org/officeDocument/2006/relationships/hyperlink" Target="http://www.linkedin.com/in/david-molina-traslavi%c3%b1a" TargetMode="External"/><Relationship Id="rId5642" Type="http://schemas.openxmlformats.org/officeDocument/2006/relationships/hyperlink" Target="http://www.linkedin.com/company/shaping-bots" TargetMode="External"/><Relationship Id="rId452" Type="http://schemas.openxmlformats.org/officeDocument/2006/relationships/hyperlink" Target="http://www.linkedin.com/in/miguelbecerraz" TargetMode="External"/><Relationship Id="rId1289" Type="http://schemas.openxmlformats.org/officeDocument/2006/relationships/hyperlink" Target="https://globaltalentsphere.com" TargetMode="External"/><Relationship Id="rId4313" Type="http://schemas.openxmlformats.org/officeDocument/2006/relationships/hyperlink" Target="http://www.linkedin.com/company/iwana-ventures" TargetMode="External"/><Relationship Id="rId5643" Type="http://schemas.openxmlformats.org/officeDocument/2006/relationships/hyperlink" Target="http://www.linkedin.com/in/juliansantos" TargetMode="External"/><Relationship Id="rId3018" Type="http://schemas.openxmlformats.org/officeDocument/2006/relationships/hyperlink" Target="https://akkahealth.com.co" TargetMode="External"/><Relationship Id="rId4349" Type="http://schemas.openxmlformats.org/officeDocument/2006/relationships/hyperlink" Target="http://www.linkedin.com/company/pqsdecolombia" TargetMode="External"/><Relationship Id="rId3017" Type="http://schemas.openxmlformats.org/officeDocument/2006/relationships/hyperlink" Target="http://www.linkedin.com/company/akka-health" TargetMode="External"/><Relationship Id="rId4348" Type="http://schemas.openxmlformats.org/officeDocument/2006/relationships/hyperlink" Target="http://www.linkedin.com/in/adriana-villamizar" TargetMode="External"/><Relationship Id="rId5679" Type="http://schemas.openxmlformats.org/officeDocument/2006/relationships/hyperlink" Target="http://www.linkedin.com/company/activar-valores" TargetMode="External"/><Relationship Id="rId3019" Type="http://schemas.openxmlformats.org/officeDocument/2006/relationships/hyperlink" Target="http://www.linkedin.com/in/davidsantibanezo" TargetMode="External"/><Relationship Id="rId491" Type="http://schemas.openxmlformats.org/officeDocument/2006/relationships/hyperlink" Target="https://koncilia.com.co" TargetMode="External"/><Relationship Id="rId490" Type="http://schemas.openxmlformats.org/officeDocument/2006/relationships/hyperlink" Target="http://www.linkedin.com/company/koncilia-co" TargetMode="External"/><Relationship Id="rId489" Type="http://schemas.openxmlformats.org/officeDocument/2006/relationships/hyperlink" Target="http://www.linkedin.com/in/jaimegarc%c3%adacepeda-82457722" TargetMode="External"/><Relationship Id="rId5670" Type="http://schemas.openxmlformats.org/officeDocument/2006/relationships/hyperlink" Target="http://www.linkedin.com/in/fhenriquez" TargetMode="External"/><Relationship Id="rId484" Type="http://schemas.openxmlformats.org/officeDocument/2006/relationships/hyperlink" Target="http://www.linkedin.com/company/mediamosfym" TargetMode="External"/><Relationship Id="rId3010" Type="http://schemas.openxmlformats.org/officeDocument/2006/relationships/hyperlink" Target="http://www.linkedin.com/in/felipe-albarrac%c3%adn-duque-5b085491" TargetMode="External"/><Relationship Id="rId4341" Type="http://schemas.openxmlformats.org/officeDocument/2006/relationships/hyperlink" Target="http://www.linkedin.com/company/grupo-ahumados" TargetMode="External"/><Relationship Id="rId5673" Type="http://schemas.openxmlformats.org/officeDocument/2006/relationships/hyperlink" Target="http://www.linkedin.com/company/fcalliance" TargetMode="External"/><Relationship Id="rId483" Type="http://schemas.openxmlformats.org/officeDocument/2006/relationships/hyperlink" Target="http://www.linkedin.com/in/dquirogacasella" TargetMode="External"/><Relationship Id="rId4340" Type="http://schemas.openxmlformats.org/officeDocument/2006/relationships/hyperlink" Target="http://www.linkedin.com/in/jorgealbertovargasjimenez" TargetMode="External"/><Relationship Id="rId5674" Type="http://schemas.openxmlformats.org/officeDocument/2006/relationships/hyperlink" Target="http://www.linkedin.com/in/benjamin-sosa-a19068137" TargetMode="External"/><Relationship Id="rId482" Type="http://schemas.openxmlformats.org/officeDocument/2006/relationships/hyperlink" Target="https://innovati.com.co" TargetMode="External"/><Relationship Id="rId3012" Type="http://schemas.openxmlformats.org/officeDocument/2006/relationships/hyperlink" Target="https://kamin.one" TargetMode="External"/><Relationship Id="rId4343" Type="http://schemas.openxmlformats.org/officeDocument/2006/relationships/hyperlink" Target="http://www.linkedin.com/company/agiledigitalgrupo" TargetMode="External"/><Relationship Id="rId5671" Type="http://schemas.openxmlformats.org/officeDocument/2006/relationships/hyperlink" Target="http://www.linkedin.com/company/inlat-la" TargetMode="External"/><Relationship Id="rId481" Type="http://schemas.openxmlformats.org/officeDocument/2006/relationships/hyperlink" Target="http://www.linkedin.com/company/innovati-software" TargetMode="External"/><Relationship Id="rId3011" Type="http://schemas.openxmlformats.org/officeDocument/2006/relationships/hyperlink" Target="http://www.linkedin.com/company/kamin-one" TargetMode="External"/><Relationship Id="rId4342" Type="http://schemas.openxmlformats.org/officeDocument/2006/relationships/hyperlink" Target="http://www.linkedin.com/in/karencobagallego" TargetMode="External"/><Relationship Id="rId5672" Type="http://schemas.openxmlformats.org/officeDocument/2006/relationships/hyperlink" Target="http://www.linkedin.com/in/geovanny-correa-464aaa88" TargetMode="External"/><Relationship Id="rId488" Type="http://schemas.openxmlformats.org/officeDocument/2006/relationships/hyperlink" Target="https://whaleandjaguar.co" TargetMode="External"/><Relationship Id="rId3014" Type="http://schemas.openxmlformats.org/officeDocument/2006/relationships/hyperlink" Target="http://www.linkedin.com/company/trailstart-co" TargetMode="External"/><Relationship Id="rId4345" Type="http://schemas.openxmlformats.org/officeDocument/2006/relationships/hyperlink" Target="http://www.linkedin.com/company/business-it-consulting" TargetMode="External"/><Relationship Id="rId5677" Type="http://schemas.openxmlformats.org/officeDocument/2006/relationships/hyperlink" Target="http://www.linkedin.com/company/sizelabs" TargetMode="External"/><Relationship Id="rId487" Type="http://schemas.openxmlformats.org/officeDocument/2006/relationships/hyperlink" Target="http://www.linkedin.com/company/whaleandjaguar" TargetMode="External"/><Relationship Id="rId3013" Type="http://schemas.openxmlformats.org/officeDocument/2006/relationships/hyperlink" Target="http://www.linkedin.com/in/lfloresg" TargetMode="External"/><Relationship Id="rId4344" Type="http://schemas.openxmlformats.org/officeDocument/2006/relationships/hyperlink" Target="http://www.linkedin.com/in/fredy-enrique-camargo-soler212" TargetMode="External"/><Relationship Id="rId5678" Type="http://schemas.openxmlformats.org/officeDocument/2006/relationships/hyperlink" Target="http://www.linkedin.com/in/oscar-cortes-pita-332a8963" TargetMode="External"/><Relationship Id="rId486" Type="http://schemas.openxmlformats.org/officeDocument/2006/relationships/hyperlink" Target="http://www.linkedin.com/in/luisanibalgarciawj" TargetMode="External"/><Relationship Id="rId3016" Type="http://schemas.openxmlformats.org/officeDocument/2006/relationships/hyperlink" Target="http://www.linkedin.com/in/andr%c3%a9s-felipe-mu%c3%b1oz-avila-974a5355" TargetMode="External"/><Relationship Id="rId4347" Type="http://schemas.openxmlformats.org/officeDocument/2006/relationships/hyperlink" Target="http://www.linkedin.com/company/learning-latam" TargetMode="External"/><Relationship Id="rId5675" Type="http://schemas.openxmlformats.org/officeDocument/2006/relationships/hyperlink" Target="http://www.linkedin.com/company/slsholding" TargetMode="External"/><Relationship Id="rId485" Type="http://schemas.openxmlformats.org/officeDocument/2006/relationships/hyperlink" Target="https://mediamosfym.com" TargetMode="External"/><Relationship Id="rId3015" Type="http://schemas.openxmlformats.org/officeDocument/2006/relationships/hyperlink" Target="https://trailstart.co" TargetMode="External"/><Relationship Id="rId4346" Type="http://schemas.openxmlformats.org/officeDocument/2006/relationships/hyperlink" Target="http://www.linkedin.com/in/caro-posso" TargetMode="External"/><Relationship Id="rId5676" Type="http://schemas.openxmlformats.org/officeDocument/2006/relationships/hyperlink" Target="http://www.linkedin.com/in/juansantiagoacevedoc" TargetMode="External"/><Relationship Id="rId3007" Type="http://schemas.openxmlformats.org/officeDocument/2006/relationships/hyperlink" Target="http://www.linkedin.com/in/francisco-sanclemente-reina-3a85a0" TargetMode="External"/><Relationship Id="rId4338" Type="http://schemas.openxmlformats.org/officeDocument/2006/relationships/hyperlink" Target="http://www.linkedin.com/in/julianmojicap" TargetMode="External"/><Relationship Id="rId3006" Type="http://schemas.openxmlformats.org/officeDocument/2006/relationships/hyperlink" Target="https://soldife.com" TargetMode="External"/><Relationship Id="rId4337" Type="http://schemas.openxmlformats.org/officeDocument/2006/relationships/hyperlink" Target="http://www.linkedin.com/company/castor-evolucion-digital" TargetMode="External"/><Relationship Id="rId3009" Type="http://schemas.openxmlformats.org/officeDocument/2006/relationships/hyperlink" Target="https://lxconsulting.ai" TargetMode="External"/><Relationship Id="rId5668" Type="http://schemas.openxmlformats.org/officeDocument/2006/relationships/hyperlink" Target="http://www.linkedin.com/in/german-suarez-g" TargetMode="External"/><Relationship Id="rId3008" Type="http://schemas.openxmlformats.org/officeDocument/2006/relationships/hyperlink" Target="http://www.linkedin.com/company/lxconsulting" TargetMode="External"/><Relationship Id="rId4339" Type="http://schemas.openxmlformats.org/officeDocument/2006/relationships/hyperlink" Target="http://www.linkedin.com/company/sereshumanosrealizados" TargetMode="External"/><Relationship Id="rId5669" Type="http://schemas.openxmlformats.org/officeDocument/2006/relationships/hyperlink" Target="http://www.linkedin.com/company/sento-tech" TargetMode="External"/><Relationship Id="rId480" Type="http://schemas.openxmlformats.org/officeDocument/2006/relationships/hyperlink" Target="http://www.linkedin.com/in/pabloejaramillo" TargetMode="External"/><Relationship Id="rId479" Type="http://schemas.openxmlformats.org/officeDocument/2006/relationships/hyperlink" Target="https://thraive.io" TargetMode="External"/><Relationship Id="rId478" Type="http://schemas.openxmlformats.org/officeDocument/2006/relationships/hyperlink" Target="http://www.linkedin.com/company/thraive" TargetMode="External"/><Relationship Id="rId473" Type="http://schemas.openxmlformats.org/officeDocument/2006/relationships/hyperlink" Target="https://bluite.co" TargetMode="External"/><Relationship Id="rId4330" Type="http://schemas.openxmlformats.org/officeDocument/2006/relationships/hyperlink" Target="http://www.linkedin.com/in/veronica-duarte-c" TargetMode="External"/><Relationship Id="rId5662" Type="http://schemas.openxmlformats.org/officeDocument/2006/relationships/hyperlink" Target="http://www.linkedin.com/in/miguel-pardo-b09097243" TargetMode="External"/><Relationship Id="rId472" Type="http://schemas.openxmlformats.org/officeDocument/2006/relationships/hyperlink" Target="http://www.linkedin.com/company/bluite" TargetMode="External"/><Relationship Id="rId5663" Type="http://schemas.openxmlformats.org/officeDocument/2006/relationships/hyperlink" Target="http://www.linkedin.com/company/meupcolombia1" TargetMode="External"/><Relationship Id="rId471" Type="http://schemas.openxmlformats.org/officeDocument/2006/relationships/hyperlink" Target="http://www.linkedin.com/in/carlospaternina" TargetMode="External"/><Relationship Id="rId3001" Type="http://schemas.openxmlformats.org/officeDocument/2006/relationships/hyperlink" Target="http://www.linkedin.com/in/adrian-bolivar-lopez" TargetMode="External"/><Relationship Id="rId4332" Type="http://schemas.openxmlformats.org/officeDocument/2006/relationships/hyperlink" Target="http://www.linkedin.com/in/pastuxso" TargetMode="External"/><Relationship Id="rId5660" Type="http://schemas.openxmlformats.org/officeDocument/2006/relationships/hyperlink" Target="http://www.linkedin.com/company/heyud" TargetMode="External"/><Relationship Id="rId470" Type="http://schemas.openxmlformats.org/officeDocument/2006/relationships/hyperlink" Target="https://envapack.com" TargetMode="External"/><Relationship Id="rId3000" Type="http://schemas.openxmlformats.org/officeDocument/2006/relationships/hyperlink" Target="https://bankiando.com" TargetMode="External"/><Relationship Id="rId4331" Type="http://schemas.openxmlformats.org/officeDocument/2006/relationships/hyperlink" Target="http://www.linkedin.com/company/vd-consulting-co" TargetMode="External"/><Relationship Id="rId5661" Type="http://schemas.openxmlformats.org/officeDocument/2006/relationships/hyperlink" Target="http://autosdeprimera.com" TargetMode="External"/><Relationship Id="rId477" Type="http://schemas.openxmlformats.org/officeDocument/2006/relationships/hyperlink" Target="http://www.linkedin.com/in/daniela-c-merlano-" TargetMode="External"/><Relationship Id="rId3003" Type="http://schemas.openxmlformats.org/officeDocument/2006/relationships/hyperlink" Target="https://lup.com.co" TargetMode="External"/><Relationship Id="rId4334" Type="http://schemas.openxmlformats.org/officeDocument/2006/relationships/hyperlink" Target="http://www.linkedin.com/in/anyelo-ruiz-09891ba5" TargetMode="External"/><Relationship Id="rId5666" Type="http://schemas.openxmlformats.org/officeDocument/2006/relationships/hyperlink" Target="http://www.linkedin.com/in/adriana-munoz-s" TargetMode="External"/><Relationship Id="rId476" Type="http://schemas.openxmlformats.org/officeDocument/2006/relationships/hyperlink" Target="https://tbbc.ai" TargetMode="External"/><Relationship Id="rId3002" Type="http://schemas.openxmlformats.org/officeDocument/2006/relationships/hyperlink" Target="http://www.linkedin.com/company/lup-ai" TargetMode="External"/><Relationship Id="rId4333" Type="http://schemas.openxmlformats.org/officeDocument/2006/relationships/hyperlink" Target="http://www.linkedin.com/company/hoitsu" TargetMode="External"/><Relationship Id="rId5667" Type="http://schemas.openxmlformats.org/officeDocument/2006/relationships/hyperlink" Target="http://www.linkedin.com/company/ai-tech-consulting-sas" TargetMode="External"/><Relationship Id="rId475" Type="http://schemas.openxmlformats.org/officeDocument/2006/relationships/hyperlink" Target="http://www.linkedin.com/company/tbbcai" TargetMode="External"/><Relationship Id="rId3005" Type="http://schemas.openxmlformats.org/officeDocument/2006/relationships/hyperlink" Target="http://www.linkedin.com/company/soldife" TargetMode="External"/><Relationship Id="rId4336" Type="http://schemas.openxmlformats.org/officeDocument/2006/relationships/hyperlink" Target="http://www.linkedin.com/in/juanandres-ochoa" TargetMode="External"/><Relationship Id="rId5664" Type="http://schemas.openxmlformats.org/officeDocument/2006/relationships/hyperlink" Target="http://www.linkedin.com/in/adriana-rodriguez-46628420" TargetMode="External"/><Relationship Id="rId474" Type="http://schemas.openxmlformats.org/officeDocument/2006/relationships/hyperlink" Target="http://www.linkedin.com/in/javi-suarez-m" TargetMode="External"/><Relationship Id="rId3004" Type="http://schemas.openxmlformats.org/officeDocument/2006/relationships/hyperlink" Target="http://www.linkedin.com/in/feliperamirezcastro" TargetMode="External"/><Relationship Id="rId4335" Type="http://schemas.openxmlformats.org/officeDocument/2006/relationships/hyperlink" Target="http://www.linkedin.com/company/acv-digital" TargetMode="External"/><Relationship Id="rId5665" Type="http://schemas.openxmlformats.org/officeDocument/2006/relationships/hyperlink" Target="http://www.linkedin.com/company/autosdeprimera" TargetMode="External"/><Relationship Id="rId1257" Type="http://schemas.openxmlformats.org/officeDocument/2006/relationships/hyperlink" Target="http://www.linkedin.com/in/ernesto-aparicio-24579419" TargetMode="External"/><Relationship Id="rId2588" Type="http://schemas.openxmlformats.org/officeDocument/2006/relationships/hyperlink" Target="http://www.linkedin.com/company/poolup-ia" TargetMode="External"/><Relationship Id="rId5615" Type="http://schemas.openxmlformats.org/officeDocument/2006/relationships/hyperlink" Target="http://www.linkedin.com/in/nelson-e-camargo-p-14701765" TargetMode="External"/><Relationship Id="rId1258" Type="http://schemas.openxmlformats.org/officeDocument/2006/relationships/hyperlink" Target="http://www.linkedin.com/company/agoradynamic" TargetMode="External"/><Relationship Id="rId2589" Type="http://schemas.openxmlformats.org/officeDocument/2006/relationships/hyperlink" Target="https://poolup.app" TargetMode="External"/><Relationship Id="rId5616" Type="http://schemas.openxmlformats.org/officeDocument/2006/relationships/hyperlink" Target="http://www.linkedin.com/company/next-audit-consulting" TargetMode="External"/><Relationship Id="rId1259" Type="http://schemas.openxmlformats.org/officeDocument/2006/relationships/hyperlink" Target="https://agoragroup.com.co" TargetMode="External"/><Relationship Id="rId5613" Type="http://schemas.openxmlformats.org/officeDocument/2006/relationships/hyperlink" Target="http://www.linkedin.com/in/alex-burrowes-9357708a" TargetMode="External"/><Relationship Id="rId5614" Type="http://schemas.openxmlformats.org/officeDocument/2006/relationships/hyperlink" Target="http://www.linkedin.com/company/motai-app" TargetMode="External"/><Relationship Id="rId5619" Type="http://schemas.openxmlformats.org/officeDocument/2006/relationships/hyperlink" Target="http://www.linkedin.com/in/diego-ospina-martinez" TargetMode="External"/><Relationship Id="rId5617" Type="http://schemas.openxmlformats.org/officeDocument/2006/relationships/hyperlink" Target="http://www.linkedin.com/in/soymariojavier" TargetMode="External"/><Relationship Id="rId5618" Type="http://schemas.openxmlformats.org/officeDocument/2006/relationships/hyperlink" Target="http://www.linkedin.com/company/infinity-beauty-brands" TargetMode="External"/><Relationship Id="rId426" Type="http://schemas.openxmlformats.org/officeDocument/2006/relationships/hyperlink" Target="http://www.linkedin.com/company/black-mountain-solutions" TargetMode="External"/><Relationship Id="rId425" Type="http://schemas.openxmlformats.org/officeDocument/2006/relationships/hyperlink" Target="http://www.linkedin.com/in/gordon-wells-5a35b218" TargetMode="External"/><Relationship Id="rId424" Type="http://schemas.openxmlformats.org/officeDocument/2006/relationships/hyperlink" Target="https://invertrade.co" TargetMode="External"/><Relationship Id="rId423" Type="http://schemas.openxmlformats.org/officeDocument/2006/relationships/hyperlink" Target="http://www.linkedin.com/company/invertrade" TargetMode="External"/><Relationship Id="rId429" Type="http://schemas.openxmlformats.org/officeDocument/2006/relationships/hyperlink" Target="http://www.linkedin.com/company/minteo" TargetMode="External"/><Relationship Id="rId428" Type="http://schemas.openxmlformats.org/officeDocument/2006/relationships/hyperlink" Target="http://www.linkedin.com/in/sebastian-salazar-b5308159" TargetMode="External"/><Relationship Id="rId427" Type="http://schemas.openxmlformats.org/officeDocument/2006/relationships/hyperlink" Target="https://blackmountain-solutions.com" TargetMode="External"/><Relationship Id="rId2580" Type="http://schemas.openxmlformats.org/officeDocument/2006/relationships/hyperlink" Target="https://revenueclick.co" TargetMode="External"/><Relationship Id="rId1250" Type="http://schemas.openxmlformats.org/officeDocument/2006/relationships/hyperlink" Target="https://actx.com.co" TargetMode="External"/><Relationship Id="rId2581" Type="http://schemas.openxmlformats.org/officeDocument/2006/relationships/hyperlink" Target="http://www.linkedin.com/in/rafaelsus" TargetMode="External"/><Relationship Id="rId1251" Type="http://schemas.openxmlformats.org/officeDocument/2006/relationships/hyperlink" Target="http://www.linkedin.com/in/escobaranamaria" TargetMode="External"/><Relationship Id="rId2582" Type="http://schemas.openxmlformats.org/officeDocument/2006/relationships/hyperlink" Target="http://www.linkedin.com/company/doctor-sus" TargetMode="External"/><Relationship Id="rId1252" Type="http://schemas.openxmlformats.org/officeDocument/2006/relationships/hyperlink" Target="http://www.linkedin.com/company/volantio-inc-" TargetMode="External"/><Relationship Id="rId2583" Type="http://schemas.openxmlformats.org/officeDocument/2006/relationships/hyperlink" Target="https://doctorsus.com" TargetMode="External"/><Relationship Id="rId422" Type="http://schemas.openxmlformats.org/officeDocument/2006/relationships/hyperlink" Target="http://www.linkedin.com/in/migueldavilad" TargetMode="External"/><Relationship Id="rId1253" Type="http://schemas.openxmlformats.org/officeDocument/2006/relationships/hyperlink" Target="https://volantio.com" TargetMode="External"/><Relationship Id="rId2584" Type="http://schemas.openxmlformats.org/officeDocument/2006/relationships/hyperlink" Target="http://www.linkedin.com/in/vivianareyarenas" TargetMode="External"/><Relationship Id="rId5611" Type="http://schemas.openxmlformats.org/officeDocument/2006/relationships/hyperlink" Target="http://www.linkedin.com/in/rodrigoreyesrestrepo" TargetMode="External"/><Relationship Id="rId421" Type="http://schemas.openxmlformats.org/officeDocument/2006/relationships/hyperlink" Target="https://shareagraphic.com" TargetMode="External"/><Relationship Id="rId1254" Type="http://schemas.openxmlformats.org/officeDocument/2006/relationships/hyperlink" Target="http://www.linkedin.com/in/julian-alvarezasdf" TargetMode="External"/><Relationship Id="rId2585" Type="http://schemas.openxmlformats.org/officeDocument/2006/relationships/hyperlink" Target="http://www.linkedin.com/company/topners" TargetMode="External"/><Relationship Id="rId5612" Type="http://schemas.openxmlformats.org/officeDocument/2006/relationships/hyperlink" Target="http://www.linkedin.com/company/m1das-media" TargetMode="External"/><Relationship Id="rId420" Type="http://schemas.openxmlformats.org/officeDocument/2006/relationships/hyperlink" Target="http://www.linkedin.com/company/share-a-graphic" TargetMode="External"/><Relationship Id="rId1255" Type="http://schemas.openxmlformats.org/officeDocument/2006/relationships/hyperlink" Target="http://www.linkedin.com/company/timba" TargetMode="External"/><Relationship Id="rId2586" Type="http://schemas.openxmlformats.org/officeDocument/2006/relationships/hyperlink" Target="https://topners.com" TargetMode="External"/><Relationship Id="rId1256" Type="http://schemas.openxmlformats.org/officeDocument/2006/relationships/hyperlink" Target="https://timba.co" TargetMode="External"/><Relationship Id="rId2587" Type="http://schemas.openxmlformats.org/officeDocument/2006/relationships/hyperlink" Target="http://www.linkedin.com/in/andr%c3%a9s-felipe-v%c3%a1squez-sanjuan-b3bb28127" TargetMode="External"/><Relationship Id="rId5610" Type="http://schemas.openxmlformats.org/officeDocument/2006/relationships/hyperlink" Target="http://www.linkedin.com/company/giitic" TargetMode="External"/><Relationship Id="rId1246" Type="http://schemas.openxmlformats.org/officeDocument/2006/relationships/hyperlink" Target="http://www.linkedin.com/company/parejayfinanzas" TargetMode="External"/><Relationship Id="rId2577" Type="http://schemas.openxmlformats.org/officeDocument/2006/relationships/hyperlink" Target="https://mcveyinternational.com" TargetMode="External"/><Relationship Id="rId5604" Type="http://schemas.openxmlformats.org/officeDocument/2006/relationships/hyperlink" Target="http://www.linkedin.com/company/funlab-design" TargetMode="External"/><Relationship Id="rId1247" Type="http://schemas.openxmlformats.org/officeDocument/2006/relationships/hyperlink" Target="https://parejayfinanzas.com" TargetMode="External"/><Relationship Id="rId2578" Type="http://schemas.openxmlformats.org/officeDocument/2006/relationships/hyperlink" Target="http://www.linkedin.com/in/jose-urdinola-bl%c3%a1zquez-7a873036" TargetMode="External"/><Relationship Id="rId5605" Type="http://schemas.openxmlformats.org/officeDocument/2006/relationships/hyperlink" Target="http://www.linkedin.com/in/carlos-garzon-466639186" TargetMode="External"/><Relationship Id="rId1248" Type="http://schemas.openxmlformats.org/officeDocument/2006/relationships/hyperlink" Target="http://www.linkedin.com/in/josealejandrodiaz" TargetMode="External"/><Relationship Id="rId2579" Type="http://schemas.openxmlformats.org/officeDocument/2006/relationships/hyperlink" Target="http://www.linkedin.com/company/revenueclick" TargetMode="External"/><Relationship Id="rId5602" Type="http://schemas.openxmlformats.org/officeDocument/2006/relationships/hyperlink" Target="http://www.linkedin.com/company/helppeoplecloud" TargetMode="External"/><Relationship Id="rId1249" Type="http://schemas.openxmlformats.org/officeDocument/2006/relationships/hyperlink" Target="http://www.linkedin.com/company/actxnow" TargetMode="External"/><Relationship Id="rId5603" Type="http://schemas.openxmlformats.org/officeDocument/2006/relationships/hyperlink" Target="http://www.linkedin.com/in/valeria-di-domenico" TargetMode="External"/><Relationship Id="rId5608" Type="http://schemas.openxmlformats.org/officeDocument/2006/relationships/hyperlink" Target="http://www.linkedin.com/company/key-executives-headhunter" TargetMode="External"/><Relationship Id="rId5609" Type="http://schemas.openxmlformats.org/officeDocument/2006/relationships/hyperlink" Target="http://www.linkedin.com/in/ccdavidbb" TargetMode="External"/><Relationship Id="rId5606" Type="http://schemas.openxmlformats.org/officeDocument/2006/relationships/hyperlink" Target="http://www.linkedin.com/company/tak-colombia" TargetMode="External"/><Relationship Id="rId5607" Type="http://schemas.openxmlformats.org/officeDocument/2006/relationships/hyperlink" Target="http://www.linkedin.com/in/ernestocastroa" TargetMode="External"/><Relationship Id="rId415" Type="http://schemas.openxmlformats.org/officeDocument/2006/relationships/hyperlink" Target="https://platano.com.co" TargetMode="External"/><Relationship Id="rId414" Type="http://schemas.openxmlformats.org/officeDocument/2006/relationships/hyperlink" Target="http://www.linkedin.com/company/platano-credit" TargetMode="External"/><Relationship Id="rId413" Type="http://schemas.openxmlformats.org/officeDocument/2006/relationships/hyperlink" Target="http://www.linkedin.com/in/cesarcadavid" TargetMode="External"/><Relationship Id="rId412" Type="http://schemas.openxmlformats.org/officeDocument/2006/relationships/hyperlink" Target="https://dotsandtech.com" TargetMode="External"/><Relationship Id="rId419" Type="http://schemas.openxmlformats.org/officeDocument/2006/relationships/hyperlink" Target="http://www.linkedin.com/in/augusto-jaramillo-623b8431" TargetMode="External"/><Relationship Id="rId418" Type="http://schemas.openxmlformats.org/officeDocument/2006/relationships/hyperlink" Target="https://quix.work" TargetMode="External"/><Relationship Id="rId417" Type="http://schemas.openxmlformats.org/officeDocument/2006/relationships/hyperlink" Target="http://www.linkedin.com/company/quix-la" TargetMode="External"/><Relationship Id="rId416" Type="http://schemas.openxmlformats.org/officeDocument/2006/relationships/hyperlink" Target="http://www.linkedin.com/in/alarcon7a" TargetMode="External"/><Relationship Id="rId2570" Type="http://schemas.openxmlformats.org/officeDocument/2006/relationships/hyperlink" Target="http://www.linkedin.com/company/tap-solutions-s-a-s" TargetMode="External"/><Relationship Id="rId1240" Type="http://schemas.openxmlformats.org/officeDocument/2006/relationships/hyperlink" Target="http://www.linkedin.com/company/alpapel" TargetMode="External"/><Relationship Id="rId2571" Type="http://schemas.openxmlformats.org/officeDocument/2006/relationships/hyperlink" Target="https://tapsolutions.co" TargetMode="External"/><Relationship Id="rId1241" Type="http://schemas.openxmlformats.org/officeDocument/2006/relationships/hyperlink" Target="https://alpapel.com" TargetMode="External"/><Relationship Id="rId2572" Type="http://schemas.openxmlformats.org/officeDocument/2006/relationships/hyperlink" Target="http://www.linkedin.com/in/oscar-acosta-31602815" TargetMode="External"/><Relationship Id="rId411" Type="http://schemas.openxmlformats.org/officeDocument/2006/relationships/hyperlink" Target="http://www.linkedin.com/company/dotsandtech" TargetMode="External"/><Relationship Id="rId1242" Type="http://schemas.openxmlformats.org/officeDocument/2006/relationships/hyperlink" Target="http://www.linkedin.com/in/juan-camilo-bocanegra" TargetMode="External"/><Relationship Id="rId2573" Type="http://schemas.openxmlformats.org/officeDocument/2006/relationships/hyperlink" Target="http://www.linkedin.com/company/dek-o" TargetMode="External"/><Relationship Id="rId5600" Type="http://schemas.openxmlformats.org/officeDocument/2006/relationships/hyperlink" Target="http://www.linkedin.com/company/kilaco" TargetMode="External"/><Relationship Id="rId410" Type="http://schemas.openxmlformats.org/officeDocument/2006/relationships/hyperlink" Target="http://www.linkedin.com/in/clemengiraldo" TargetMode="External"/><Relationship Id="rId1243" Type="http://schemas.openxmlformats.org/officeDocument/2006/relationships/hyperlink" Target="http://www.linkedin.com/company/metroser" TargetMode="External"/><Relationship Id="rId2574" Type="http://schemas.openxmlformats.org/officeDocument/2006/relationships/hyperlink" Target="https://dek-o.com" TargetMode="External"/><Relationship Id="rId5601" Type="http://schemas.openxmlformats.org/officeDocument/2006/relationships/hyperlink" Target="http://www.linkedin.com/in/antjimenez" TargetMode="External"/><Relationship Id="rId1244" Type="http://schemas.openxmlformats.org/officeDocument/2006/relationships/hyperlink" Target="https://metroser.co" TargetMode="External"/><Relationship Id="rId2575" Type="http://schemas.openxmlformats.org/officeDocument/2006/relationships/hyperlink" Target="http://www.linkedin.com/in/samuel-mcvey-ed-d-08506485" TargetMode="External"/><Relationship Id="rId1245" Type="http://schemas.openxmlformats.org/officeDocument/2006/relationships/hyperlink" Target="http://www.linkedin.com/in/davidandresrincon" TargetMode="External"/><Relationship Id="rId2576" Type="http://schemas.openxmlformats.org/officeDocument/2006/relationships/hyperlink" Target="http://www.linkedin.com/company/mcvey-international-group-mig" TargetMode="External"/><Relationship Id="rId1279" Type="http://schemas.openxmlformats.org/officeDocument/2006/relationships/hyperlink" Target="http://www.linkedin.com/company/salud-y-binenestar" TargetMode="External"/><Relationship Id="rId4305" Type="http://schemas.openxmlformats.org/officeDocument/2006/relationships/hyperlink" Target="http://www.linkedin.com/company/vibe-andina" TargetMode="External"/><Relationship Id="rId5637" Type="http://schemas.openxmlformats.org/officeDocument/2006/relationships/hyperlink" Target="http://www.linkedin.com/in/andrea-casta%c3%b1eda-meza-mcs-19a21a2a" TargetMode="External"/><Relationship Id="rId4304" Type="http://schemas.openxmlformats.org/officeDocument/2006/relationships/hyperlink" Target="http://www.linkedin.com/in/miguelherrera83" TargetMode="External"/><Relationship Id="rId5638" Type="http://schemas.openxmlformats.org/officeDocument/2006/relationships/hyperlink" Target="http://www.linkedin.com/company/podetex-ltda" TargetMode="External"/><Relationship Id="rId4307" Type="http://schemas.openxmlformats.org/officeDocument/2006/relationships/hyperlink" Target="http://www.linkedin.com/company/teia-invest" TargetMode="External"/><Relationship Id="rId5635" Type="http://schemas.openxmlformats.org/officeDocument/2006/relationships/hyperlink" Target="http://www.linkedin.com/in/camilo-correa-guti%c3%a9rrez" TargetMode="External"/><Relationship Id="rId4306" Type="http://schemas.openxmlformats.org/officeDocument/2006/relationships/hyperlink" Target="http://www.linkedin.com/in/ana-acefe" TargetMode="External"/><Relationship Id="rId5636" Type="http://schemas.openxmlformats.org/officeDocument/2006/relationships/hyperlink" Target="http://www.linkedin.com/company/somostolead" TargetMode="External"/><Relationship Id="rId4309" Type="http://schemas.openxmlformats.org/officeDocument/2006/relationships/hyperlink" Target="http://www.linkedin.com/company/guruhotel" TargetMode="External"/><Relationship Id="rId4308" Type="http://schemas.openxmlformats.org/officeDocument/2006/relationships/hyperlink" Target="http://www.linkedin.com/in/stiven-martinez-30b42363" TargetMode="External"/><Relationship Id="rId5639" Type="http://schemas.openxmlformats.org/officeDocument/2006/relationships/hyperlink" Target="http://www.linkedin.com/in/danielepedditzi" TargetMode="External"/><Relationship Id="rId448" Type="http://schemas.openxmlformats.org/officeDocument/2006/relationships/hyperlink" Target="https://tekus.co" TargetMode="External"/><Relationship Id="rId447" Type="http://schemas.openxmlformats.org/officeDocument/2006/relationships/hyperlink" Target="http://www.linkedin.com/company/tekus" TargetMode="External"/><Relationship Id="rId446" Type="http://schemas.openxmlformats.org/officeDocument/2006/relationships/hyperlink" Target="http://www.linkedin.com/in/leonardoarangobaena" TargetMode="External"/><Relationship Id="rId445" Type="http://schemas.openxmlformats.org/officeDocument/2006/relationships/hyperlink" Target="https://bauer.com.co" TargetMode="External"/><Relationship Id="rId449" Type="http://schemas.openxmlformats.org/officeDocument/2006/relationships/hyperlink" Target="http://www.linkedin.com/in/andres-gutierrez-8516588" TargetMode="External"/><Relationship Id="rId1270" Type="http://schemas.openxmlformats.org/officeDocument/2006/relationships/hyperlink" Target="http://www.linkedin.com/company/trepsi" TargetMode="External"/><Relationship Id="rId440" Type="http://schemas.openxmlformats.org/officeDocument/2006/relationships/hyperlink" Target="http://www.linkedin.com/in/mario-castro-97358a11a" TargetMode="External"/><Relationship Id="rId1271" Type="http://schemas.openxmlformats.org/officeDocument/2006/relationships/hyperlink" Target="https://trepsi.co" TargetMode="External"/><Relationship Id="rId1272" Type="http://schemas.openxmlformats.org/officeDocument/2006/relationships/hyperlink" Target="http://www.linkedin.com/in/laura-reina-neira" TargetMode="External"/><Relationship Id="rId5630" Type="http://schemas.openxmlformats.org/officeDocument/2006/relationships/hyperlink" Target="http://www.linkedin.com/company/key-capital-colombia" TargetMode="External"/><Relationship Id="rId1273" Type="http://schemas.openxmlformats.org/officeDocument/2006/relationships/hyperlink" Target="http://www.linkedin.com/company/pintala-cuadros" TargetMode="External"/><Relationship Id="rId1274" Type="http://schemas.openxmlformats.org/officeDocument/2006/relationships/hyperlink" Target="https://pintalacuadros.com" TargetMode="External"/><Relationship Id="rId444" Type="http://schemas.openxmlformats.org/officeDocument/2006/relationships/hyperlink" Target="http://www.linkedin.com/company/joyer%c3%ada-bauer" TargetMode="External"/><Relationship Id="rId1275" Type="http://schemas.openxmlformats.org/officeDocument/2006/relationships/hyperlink" Target="http://www.linkedin.com/in/danielapalmap" TargetMode="External"/><Relationship Id="rId4301" Type="http://schemas.openxmlformats.org/officeDocument/2006/relationships/hyperlink" Target="http://www.linkedin.com/company/hokosoftware" TargetMode="External"/><Relationship Id="rId5633" Type="http://schemas.openxmlformats.org/officeDocument/2006/relationships/hyperlink" Target="http://www.linkedin.com/in/charlieluengas" TargetMode="External"/><Relationship Id="rId443" Type="http://schemas.openxmlformats.org/officeDocument/2006/relationships/hyperlink" Target="http://www.linkedin.com/in/carolina-gomez-s" TargetMode="External"/><Relationship Id="rId1276" Type="http://schemas.openxmlformats.org/officeDocument/2006/relationships/hyperlink" Target="http://www.linkedin.com/company/gosocial-es" TargetMode="External"/><Relationship Id="rId4300" Type="http://schemas.openxmlformats.org/officeDocument/2006/relationships/hyperlink" Target="http://www.linkedin.com/in/fredy-lopez-gutierrez-3b049b20" TargetMode="External"/><Relationship Id="rId5634" Type="http://schemas.openxmlformats.org/officeDocument/2006/relationships/hyperlink" Target="http://www.linkedin.com/company/habiteca" TargetMode="External"/><Relationship Id="rId442" Type="http://schemas.openxmlformats.org/officeDocument/2006/relationships/hyperlink" Target="https://coink.com" TargetMode="External"/><Relationship Id="rId1277" Type="http://schemas.openxmlformats.org/officeDocument/2006/relationships/hyperlink" Target="https://gosocial.com.co" TargetMode="External"/><Relationship Id="rId4303" Type="http://schemas.openxmlformats.org/officeDocument/2006/relationships/hyperlink" Target="http://www.linkedin.com/company/vitad" TargetMode="External"/><Relationship Id="rId5631" Type="http://schemas.openxmlformats.org/officeDocument/2006/relationships/hyperlink" Target="http://www.linkedin.com/in/santiago-mendez-cruz-3996485b" TargetMode="External"/><Relationship Id="rId441" Type="http://schemas.openxmlformats.org/officeDocument/2006/relationships/hyperlink" Target="http://www.linkedin.com/company/coink" TargetMode="External"/><Relationship Id="rId1278" Type="http://schemas.openxmlformats.org/officeDocument/2006/relationships/hyperlink" Target="http://www.linkedin.com/in/daniela-paola-diazgranados-jimenez-53796b288" TargetMode="External"/><Relationship Id="rId4302" Type="http://schemas.openxmlformats.org/officeDocument/2006/relationships/hyperlink" Target="http://www.linkedin.com/in/andresdk" TargetMode="External"/><Relationship Id="rId5632" Type="http://schemas.openxmlformats.org/officeDocument/2006/relationships/hyperlink" Target="http://www.linkedin.com/company/a-urbano-construcciones" TargetMode="External"/><Relationship Id="rId1268" Type="http://schemas.openxmlformats.org/officeDocument/2006/relationships/hyperlink" Target="https://argosassistance.com" TargetMode="External"/><Relationship Id="rId2599" Type="http://schemas.openxmlformats.org/officeDocument/2006/relationships/hyperlink" Target="http://www.linkedin.com/in/c%c3%a9sar-augusto-murcia-puente-bab50ba" TargetMode="External"/><Relationship Id="rId5626" Type="http://schemas.openxmlformats.org/officeDocument/2006/relationships/hyperlink" Target="http://www.linkedin.com/company/digital-ventures-s-a-s" TargetMode="External"/><Relationship Id="rId1269" Type="http://schemas.openxmlformats.org/officeDocument/2006/relationships/hyperlink" Target="http://www.linkedin.com/in/juanpcasas1019" TargetMode="External"/><Relationship Id="rId5627" Type="http://schemas.openxmlformats.org/officeDocument/2006/relationships/hyperlink" Target="http://www.linkedin.com/in/liliana-barreto-6770361a" TargetMode="External"/><Relationship Id="rId5624" Type="http://schemas.openxmlformats.org/officeDocument/2006/relationships/hyperlink" Target="http://www.linkedin.com/company/wahhu" TargetMode="External"/><Relationship Id="rId5625" Type="http://schemas.openxmlformats.org/officeDocument/2006/relationships/hyperlink" Target="http://www.linkedin.com/in/christianmunozsalazar" TargetMode="External"/><Relationship Id="rId5628" Type="http://schemas.openxmlformats.org/officeDocument/2006/relationships/hyperlink" Target="http://www.linkedin.com/company/lovit-matchmaking" TargetMode="External"/><Relationship Id="rId5629" Type="http://schemas.openxmlformats.org/officeDocument/2006/relationships/hyperlink" Target="http://www.linkedin.com/in/nicolas-conde-baquero" TargetMode="External"/><Relationship Id="rId437" Type="http://schemas.openxmlformats.org/officeDocument/2006/relationships/hyperlink" Target="http://www.linkedin.com/in/natalia-botero-8a2b8996" TargetMode="External"/><Relationship Id="rId436" Type="http://schemas.openxmlformats.org/officeDocument/2006/relationships/hyperlink" Target="https://pengy.com.co" TargetMode="External"/><Relationship Id="rId435" Type="http://schemas.openxmlformats.org/officeDocument/2006/relationships/hyperlink" Target="http://www.linkedin.com/company/pengy" TargetMode="External"/><Relationship Id="rId434" Type="http://schemas.openxmlformats.org/officeDocument/2006/relationships/hyperlink" Target="http://www.linkedin.com/in/ricardoarmentacuello" TargetMode="External"/><Relationship Id="rId439" Type="http://schemas.openxmlformats.org/officeDocument/2006/relationships/hyperlink" Target="https://propiedadespremiumcolombia.com" TargetMode="External"/><Relationship Id="rId438" Type="http://schemas.openxmlformats.org/officeDocument/2006/relationships/hyperlink" Target="http://www.linkedin.com/company/natalia-botero" TargetMode="External"/><Relationship Id="rId2590" Type="http://schemas.openxmlformats.org/officeDocument/2006/relationships/hyperlink" Target="http://www.linkedin.com/in/dianacristinaboyaca47816b54" TargetMode="External"/><Relationship Id="rId1260" Type="http://schemas.openxmlformats.org/officeDocument/2006/relationships/hyperlink" Target="http://www.linkedin.com/in/natalia-buitrago-gomez" TargetMode="External"/><Relationship Id="rId2591" Type="http://schemas.openxmlformats.org/officeDocument/2006/relationships/hyperlink" Target="http://www.linkedin.com/company/confecciones-y-promociones-s-a-s" TargetMode="External"/><Relationship Id="rId1261" Type="http://schemas.openxmlformats.org/officeDocument/2006/relationships/hyperlink" Target="http://www.linkedin.com/company/generous-industries" TargetMode="External"/><Relationship Id="rId2592" Type="http://schemas.openxmlformats.org/officeDocument/2006/relationships/hyperlink" Target="https://cyp.com.co" TargetMode="External"/><Relationship Id="rId1262" Type="http://schemas.openxmlformats.org/officeDocument/2006/relationships/hyperlink" Target="https://generousindustries.com" TargetMode="External"/><Relationship Id="rId2593" Type="http://schemas.openxmlformats.org/officeDocument/2006/relationships/hyperlink" Target="http://www.linkedin.com/in/oscar-baquero-23015812" TargetMode="External"/><Relationship Id="rId1263" Type="http://schemas.openxmlformats.org/officeDocument/2006/relationships/hyperlink" Target="http://www.linkedin.com/in/elhelouzouhair" TargetMode="External"/><Relationship Id="rId2594" Type="http://schemas.openxmlformats.org/officeDocument/2006/relationships/hyperlink" Target="http://www.linkedin.com/company/fact-or-ia" TargetMode="External"/><Relationship Id="rId433" Type="http://schemas.openxmlformats.org/officeDocument/2006/relationships/hyperlink" Target="https://aluri.co" TargetMode="External"/><Relationship Id="rId1264" Type="http://schemas.openxmlformats.org/officeDocument/2006/relationships/hyperlink" Target="http://www.linkedin.com/company/bluebirdinvest" TargetMode="External"/><Relationship Id="rId2595" Type="http://schemas.openxmlformats.org/officeDocument/2006/relationships/hyperlink" Target="https://factor-ia.co" TargetMode="External"/><Relationship Id="rId5622" Type="http://schemas.openxmlformats.org/officeDocument/2006/relationships/hyperlink" Target="http://www.linkedin.com/company/cropicalfruits" TargetMode="External"/><Relationship Id="rId432" Type="http://schemas.openxmlformats.org/officeDocument/2006/relationships/hyperlink" Target="http://www.linkedin.com/company/aluri" TargetMode="External"/><Relationship Id="rId1265" Type="http://schemas.openxmlformats.org/officeDocument/2006/relationships/hyperlink" Target="https://bluebirdinvst.com" TargetMode="External"/><Relationship Id="rId2596" Type="http://schemas.openxmlformats.org/officeDocument/2006/relationships/hyperlink" Target="http://www.linkedin.com/in/leonardo-acosta-beltran-43836836" TargetMode="External"/><Relationship Id="rId5623" Type="http://schemas.openxmlformats.org/officeDocument/2006/relationships/hyperlink" Target="http://www.linkedin.com/in/fernanguzman" TargetMode="External"/><Relationship Id="rId431" Type="http://schemas.openxmlformats.org/officeDocument/2006/relationships/hyperlink" Target="http://www.linkedin.com/in/oscar-tarazona-9b46149b" TargetMode="External"/><Relationship Id="rId1266" Type="http://schemas.openxmlformats.org/officeDocument/2006/relationships/hyperlink" Target="http://www.linkedin.com/in/andres-f-mejia-76506299" TargetMode="External"/><Relationship Id="rId2597" Type="http://schemas.openxmlformats.org/officeDocument/2006/relationships/hyperlink" Target="http://www.linkedin.com/company/coulomb-tecnologia-sas" TargetMode="External"/><Relationship Id="rId5620" Type="http://schemas.openxmlformats.org/officeDocument/2006/relationships/hyperlink" Target="http://www.linkedin.com/company/latope-sports-entertainment-ltd" TargetMode="External"/><Relationship Id="rId430" Type="http://schemas.openxmlformats.org/officeDocument/2006/relationships/hyperlink" Target="https://minteo.com" TargetMode="External"/><Relationship Id="rId1267" Type="http://schemas.openxmlformats.org/officeDocument/2006/relationships/hyperlink" Target="http://www.linkedin.com/company/argos-assistance-s-r-l-" TargetMode="External"/><Relationship Id="rId2598" Type="http://schemas.openxmlformats.org/officeDocument/2006/relationships/hyperlink" Target="https://coulombtecnologia.com" TargetMode="External"/><Relationship Id="rId5621" Type="http://schemas.openxmlformats.org/officeDocument/2006/relationships/hyperlink" Target="http://www.linkedin.com/in/eldaniram" TargetMode="External"/><Relationship Id="rId3070" Type="http://schemas.openxmlformats.org/officeDocument/2006/relationships/hyperlink" Target="https://praticamente.tv" TargetMode="External"/><Relationship Id="rId3072" Type="http://schemas.openxmlformats.org/officeDocument/2006/relationships/hyperlink" Target="http://www.linkedin.com/in/carlos-andr%c3%a9s-garz%c3%b3n-corredor-46b62250" TargetMode="External"/><Relationship Id="rId3071" Type="http://schemas.openxmlformats.org/officeDocument/2006/relationships/hyperlink" Target="http://pinbus.com" TargetMode="External"/><Relationship Id="rId3074" Type="http://schemas.openxmlformats.org/officeDocument/2006/relationships/hyperlink" Target="https://b2bosc.com" TargetMode="External"/><Relationship Id="rId3073" Type="http://schemas.openxmlformats.org/officeDocument/2006/relationships/hyperlink" Target="http://www.linkedin.com/company/b2bosc-optimization-solutions-consulting" TargetMode="External"/><Relationship Id="rId3076" Type="http://schemas.openxmlformats.org/officeDocument/2006/relationships/hyperlink" Target="http://www.linkedin.com/company/pinbus.com" TargetMode="External"/><Relationship Id="rId3075" Type="http://schemas.openxmlformats.org/officeDocument/2006/relationships/hyperlink" Target="http://www.linkedin.com/in/sebastian-jaramillo-0701b518" TargetMode="External"/><Relationship Id="rId3078" Type="http://schemas.openxmlformats.org/officeDocument/2006/relationships/hyperlink" Target="http://www.linkedin.com/in/juan-chaustre" TargetMode="External"/><Relationship Id="rId3077" Type="http://schemas.openxmlformats.org/officeDocument/2006/relationships/hyperlink" Target="https://pinbus.com" TargetMode="External"/><Relationship Id="rId3079" Type="http://schemas.openxmlformats.org/officeDocument/2006/relationships/hyperlink" Target="http://www.linkedin.com/company/franki-ai" TargetMode="External"/><Relationship Id="rId4390" Type="http://schemas.openxmlformats.org/officeDocument/2006/relationships/hyperlink" Target="http://augmentstaff.org" TargetMode="External"/><Relationship Id="rId3061" Type="http://schemas.openxmlformats.org/officeDocument/2006/relationships/hyperlink" Target="https://lucroinside.com" TargetMode="External"/><Relationship Id="rId4392" Type="http://schemas.openxmlformats.org/officeDocument/2006/relationships/hyperlink" Target="http://www.linkedin.com/company/synergycorp-sas" TargetMode="External"/><Relationship Id="rId3060" Type="http://schemas.openxmlformats.org/officeDocument/2006/relationships/hyperlink" Target="http://www.linkedin.com/company/lucro-col" TargetMode="External"/><Relationship Id="rId4391" Type="http://schemas.openxmlformats.org/officeDocument/2006/relationships/hyperlink" Target="http://www.linkedin.com/in/fernando-ortiz-pineda-mba-esade-business-school-6240b654" TargetMode="External"/><Relationship Id="rId3063" Type="http://schemas.openxmlformats.org/officeDocument/2006/relationships/hyperlink" Target="http://www.linkedin.com/company/glya" TargetMode="External"/><Relationship Id="rId4394" Type="http://schemas.openxmlformats.org/officeDocument/2006/relationships/hyperlink" Target="http://www.linkedin.com/company/augmentstaff" TargetMode="External"/><Relationship Id="rId3062" Type="http://schemas.openxmlformats.org/officeDocument/2006/relationships/hyperlink" Target="http://www.linkedin.com/in/carlosaugusto-lopez" TargetMode="External"/><Relationship Id="rId4393" Type="http://schemas.openxmlformats.org/officeDocument/2006/relationships/hyperlink" Target="http://www.linkedin.com/in/rodolfo-fontalvo-0b5197263" TargetMode="External"/><Relationship Id="rId3065" Type="http://schemas.openxmlformats.org/officeDocument/2006/relationships/hyperlink" Target="http://www.linkedin.com/in/andresafrancom" TargetMode="External"/><Relationship Id="rId4396" Type="http://schemas.openxmlformats.org/officeDocument/2006/relationships/hyperlink" Target="http://www.linkedin.com/company/compense-co" TargetMode="External"/><Relationship Id="rId3064" Type="http://schemas.openxmlformats.org/officeDocument/2006/relationships/hyperlink" Target="https://glya.co" TargetMode="External"/><Relationship Id="rId4395" Type="http://schemas.openxmlformats.org/officeDocument/2006/relationships/hyperlink" Target="http://www.linkedin.com/in/evertmoreno" TargetMode="External"/><Relationship Id="rId3067" Type="http://schemas.openxmlformats.org/officeDocument/2006/relationships/hyperlink" Target="https://ubanku.co" TargetMode="External"/><Relationship Id="rId4398" Type="http://schemas.openxmlformats.org/officeDocument/2006/relationships/hyperlink" Target="http://www.linkedin.com/company/bechangeconsulting" TargetMode="External"/><Relationship Id="rId3066" Type="http://schemas.openxmlformats.org/officeDocument/2006/relationships/hyperlink" Target="http://www.linkedin.com/company/ubanku" TargetMode="External"/><Relationship Id="rId4397" Type="http://schemas.openxmlformats.org/officeDocument/2006/relationships/hyperlink" Target="http://www.linkedin.com/in/lucy-barrios" TargetMode="External"/><Relationship Id="rId3069" Type="http://schemas.openxmlformats.org/officeDocument/2006/relationships/hyperlink" Target="http://www.linkedin.com/company/praticamente" TargetMode="External"/><Relationship Id="rId3068" Type="http://schemas.openxmlformats.org/officeDocument/2006/relationships/hyperlink" Target="http://www.linkedin.com/in/gabriel-castrill%c3%b3n-31881121" TargetMode="External"/><Relationship Id="rId4399" Type="http://schemas.openxmlformats.org/officeDocument/2006/relationships/hyperlink" Target="http://www.linkedin.com/in/jwthehealer" TargetMode="External"/><Relationship Id="rId3090" Type="http://schemas.openxmlformats.org/officeDocument/2006/relationships/hyperlink" Target="http://www.linkedin.com/in/nicol%c3%a1s-uribe" TargetMode="External"/><Relationship Id="rId3092" Type="http://schemas.openxmlformats.org/officeDocument/2006/relationships/hyperlink" Target="https://innoviai.io" TargetMode="External"/><Relationship Id="rId3091" Type="http://schemas.openxmlformats.org/officeDocument/2006/relationships/hyperlink" Target="http://www.linkedin.com/company/innoviai" TargetMode="External"/><Relationship Id="rId3094" Type="http://schemas.openxmlformats.org/officeDocument/2006/relationships/hyperlink" Target="http://www.linkedin.com/company/kubostecnologia" TargetMode="External"/><Relationship Id="rId3093" Type="http://schemas.openxmlformats.org/officeDocument/2006/relationships/hyperlink" Target="http://www.linkedin.com/in/nidia-bautista-cuellar-2547a96a" TargetMode="External"/><Relationship Id="rId3096" Type="http://schemas.openxmlformats.org/officeDocument/2006/relationships/hyperlink" Target="http://www.linkedin.com/in/ernesto-melo-783b6525" TargetMode="External"/><Relationship Id="rId3095" Type="http://schemas.openxmlformats.org/officeDocument/2006/relationships/hyperlink" Target="https://kubostecnologia.com" TargetMode="External"/><Relationship Id="rId3098" Type="http://schemas.openxmlformats.org/officeDocument/2006/relationships/hyperlink" Target="https://andesoperating.com" TargetMode="External"/><Relationship Id="rId3097" Type="http://schemas.openxmlformats.org/officeDocument/2006/relationships/hyperlink" Target="http://www.linkedin.com/company/andes-operating" TargetMode="External"/><Relationship Id="rId3099" Type="http://schemas.openxmlformats.org/officeDocument/2006/relationships/hyperlink" Target="http://www.linkedin.com/in/alejandro-palacio-adatec" TargetMode="External"/><Relationship Id="rId3081" Type="http://schemas.openxmlformats.org/officeDocument/2006/relationships/hyperlink" Target="http://www.linkedin.com/in/jorge-andr%c3%a9s-beltr%c3%a1n-pati%c3%b1o-78188789" TargetMode="External"/><Relationship Id="rId3080" Type="http://schemas.openxmlformats.org/officeDocument/2006/relationships/hyperlink" Target="https://franki.ai" TargetMode="External"/><Relationship Id="rId3083" Type="http://schemas.openxmlformats.org/officeDocument/2006/relationships/hyperlink" Target="https://renga.com.co" TargetMode="External"/><Relationship Id="rId3082" Type="http://schemas.openxmlformats.org/officeDocument/2006/relationships/hyperlink" Target="http://www.linkedin.com/company/renga-consultores" TargetMode="External"/><Relationship Id="rId3085" Type="http://schemas.openxmlformats.org/officeDocument/2006/relationships/hyperlink" Target="http://www.linkedin.com/company/innhealth" TargetMode="External"/><Relationship Id="rId3084" Type="http://schemas.openxmlformats.org/officeDocument/2006/relationships/hyperlink" Target="http://www.linkedin.com/in/amadeus-uribe" TargetMode="External"/><Relationship Id="rId3087" Type="http://schemas.openxmlformats.org/officeDocument/2006/relationships/hyperlink" Target="http://www.linkedin.com/in/william-antonio-85897b196" TargetMode="External"/><Relationship Id="rId3086" Type="http://schemas.openxmlformats.org/officeDocument/2006/relationships/hyperlink" Target="https://innhealth.co" TargetMode="External"/><Relationship Id="rId3089" Type="http://schemas.openxmlformats.org/officeDocument/2006/relationships/hyperlink" Target="https://galilea.co" TargetMode="External"/><Relationship Id="rId3088" Type="http://schemas.openxmlformats.org/officeDocument/2006/relationships/hyperlink" Target="http://www.linkedin.com/company/galileafintech" TargetMode="External"/><Relationship Id="rId3039" Type="http://schemas.openxmlformats.org/officeDocument/2006/relationships/hyperlink" Target="https://octansdigital.com" TargetMode="External"/><Relationship Id="rId1" Type="http://schemas.openxmlformats.org/officeDocument/2006/relationships/hyperlink" Target="http://www.linkedin.com/in/mario-jose-marquez-olier" TargetMode="External"/><Relationship Id="rId2" Type="http://schemas.openxmlformats.org/officeDocument/2006/relationships/hyperlink" Target="http://www.linkedin.com/company/plataform" TargetMode="External"/><Relationship Id="rId3" Type="http://schemas.openxmlformats.org/officeDocument/2006/relationships/hyperlink" Target="https://plataform.com" TargetMode="External"/><Relationship Id="rId4" Type="http://schemas.openxmlformats.org/officeDocument/2006/relationships/hyperlink" Target="http://www.linkedin.com/in/daniel-gonz%c3%a1lez-rico-65366ab1" TargetMode="External"/><Relationship Id="rId5691" Type="http://schemas.openxmlformats.org/officeDocument/2006/relationships/hyperlink" Target="http://www.linkedin.com/company/punto8" TargetMode="External"/><Relationship Id="rId5692" Type="http://schemas.openxmlformats.org/officeDocument/2006/relationships/hyperlink" Target="http://www.linkedin.com/in/caroline-thomas-74143b5" TargetMode="External"/><Relationship Id="rId3030" Type="http://schemas.openxmlformats.org/officeDocument/2006/relationships/hyperlink" Target="https://bioinnova.digital" TargetMode="External"/><Relationship Id="rId4361" Type="http://schemas.openxmlformats.org/officeDocument/2006/relationships/hyperlink" Target="http://www.linkedin.com/company/axia-tech-col" TargetMode="External"/><Relationship Id="rId4360" Type="http://schemas.openxmlformats.org/officeDocument/2006/relationships/hyperlink" Target="http://www.linkedin.com/in/jose-fernando-martinez-osorio-81b660103" TargetMode="External"/><Relationship Id="rId5690" Type="http://schemas.openxmlformats.org/officeDocument/2006/relationships/hyperlink" Target="http://www.linkedin.com/in/punto-8-audiovisual-126a57170" TargetMode="External"/><Relationship Id="rId9" Type="http://schemas.openxmlformats.org/officeDocument/2006/relationships/hyperlink" Target="https://officefacil.com" TargetMode="External"/><Relationship Id="rId3032" Type="http://schemas.openxmlformats.org/officeDocument/2006/relationships/hyperlink" Target="http://www.linkedin.com/company/husqvarnacp-latam" TargetMode="External"/><Relationship Id="rId4363" Type="http://schemas.openxmlformats.org/officeDocument/2006/relationships/hyperlink" Target="http://www.linkedin.com/company/ilumec" TargetMode="External"/><Relationship Id="rId5695" Type="http://schemas.openxmlformats.org/officeDocument/2006/relationships/hyperlink" Target="http://www.linkedin.com/company/estrellas-app" TargetMode="External"/><Relationship Id="rId3031" Type="http://schemas.openxmlformats.org/officeDocument/2006/relationships/hyperlink" Target="http://www.linkedin.com/in/edwin-d%c3%adaz-castillo-7589b113a" TargetMode="External"/><Relationship Id="rId4362" Type="http://schemas.openxmlformats.org/officeDocument/2006/relationships/hyperlink" Target="http://www.linkedin.com/in/javier-acosta-026936191" TargetMode="External"/><Relationship Id="rId5696" Type="http://schemas.openxmlformats.org/officeDocument/2006/relationships/hyperlink" Target="http://www.linkedin.com/in/lina-villa" TargetMode="External"/><Relationship Id="rId3034" Type="http://schemas.openxmlformats.org/officeDocument/2006/relationships/hyperlink" Target="http://www.linkedin.com/in/danielnoratoprieto" TargetMode="External"/><Relationship Id="rId4365" Type="http://schemas.openxmlformats.org/officeDocument/2006/relationships/hyperlink" Target="http://www.linkedin.com/company/colombiaretail" TargetMode="External"/><Relationship Id="rId5693" Type="http://schemas.openxmlformats.org/officeDocument/2006/relationships/hyperlink" Target="http://www.linkedin.com/company/ecotu" TargetMode="External"/><Relationship Id="rId3033" Type="http://schemas.openxmlformats.org/officeDocument/2006/relationships/hyperlink" Target="https://husqvarnab2b.com.mx" TargetMode="External"/><Relationship Id="rId4364" Type="http://schemas.openxmlformats.org/officeDocument/2006/relationships/hyperlink" Target="http://www.linkedin.com/in/yoli-avalos" TargetMode="External"/><Relationship Id="rId5694" Type="http://schemas.openxmlformats.org/officeDocument/2006/relationships/hyperlink" Target="http://www.linkedin.com/in/sebastian-rojas-lopez-546b12ba" TargetMode="External"/><Relationship Id="rId5" Type="http://schemas.openxmlformats.org/officeDocument/2006/relationships/hyperlink" Target="http://www.linkedin.com/company/talk-eva" TargetMode="External"/><Relationship Id="rId3036" Type="http://schemas.openxmlformats.org/officeDocument/2006/relationships/hyperlink" Target="https://somostalentwise.com" TargetMode="External"/><Relationship Id="rId4367" Type="http://schemas.openxmlformats.org/officeDocument/2006/relationships/hyperlink" Target="http://www.linkedin.com/company/medium-coders" TargetMode="External"/><Relationship Id="rId5699" Type="http://schemas.openxmlformats.org/officeDocument/2006/relationships/hyperlink" Target="http://www.linkedin.com/company/latinotalentagency" TargetMode="External"/><Relationship Id="rId6" Type="http://schemas.openxmlformats.org/officeDocument/2006/relationships/hyperlink" Target="https://talkeva.com" TargetMode="External"/><Relationship Id="rId3035" Type="http://schemas.openxmlformats.org/officeDocument/2006/relationships/hyperlink" Target="http://www.linkedin.com/company/talentwise-latam" TargetMode="External"/><Relationship Id="rId4366" Type="http://schemas.openxmlformats.org/officeDocument/2006/relationships/hyperlink" Target="http://www.linkedin.com/in/alberto-hernandez-012b4884" TargetMode="External"/><Relationship Id="rId7" Type="http://schemas.openxmlformats.org/officeDocument/2006/relationships/hyperlink" Target="http://www.linkedin.com/in/viviana-becerra-239364322" TargetMode="External"/><Relationship Id="rId3038" Type="http://schemas.openxmlformats.org/officeDocument/2006/relationships/hyperlink" Target="http://www.linkedin.com/company/octansdigital" TargetMode="External"/><Relationship Id="rId4369" Type="http://schemas.openxmlformats.org/officeDocument/2006/relationships/hyperlink" Target="http://www.linkedin.com/company/ebgroup" TargetMode="External"/><Relationship Id="rId5697" Type="http://schemas.openxmlformats.org/officeDocument/2006/relationships/hyperlink" Target="http://www.linkedin.com/company/alizonglobal" TargetMode="External"/><Relationship Id="rId8" Type="http://schemas.openxmlformats.org/officeDocument/2006/relationships/hyperlink" Target="http://www.linkedin.com/company/officefacil-com" TargetMode="External"/><Relationship Id="rId3037" Type="http://schemas.openxmlformats.org/officeDocument/2006/relationships/hyperlink" Target="http://www.linkedin.com/in/adriana-vallejo-wilches-b1324b35" TargetMode="External"/><Relationship Id="rId4368" Type="http://schemas.openxmlformats.org/officeDocument/2006/relationships/hyperlink" Target="http://www.linkedin.com/in/alejandro-escobar-suarez" TargetMode="External"/><Relationship Id="rId5698" Type="http://schemas.openxmlformats.org/officeDocument/2006/relationships/hyperlink" Target="http://www.linkedin.com/in/daniela-arboleda-filigrana-05192677" TargetMode="External"/><Relationship Id="rId3029" Type="http://schemas.openxmlformats.org/officeDocument/2006/relationships/hyperlink" Target="http://www.linkedin.com/company/bioinnova-salud-digital-ia" TargetMode="External"/><Relationship Id="rId3028" Type="http://schemas.openxmlformats.org/officeDocument/2006/relationships/hyperlink" Target="http://www.linkedin.com/in/mario-benedetti-arzuza-8863bb57" TargetMode="External"/><Relationship Id="rId4359" Type="http://schemas.openxmlformats.org/officeDocument/2006/relationships/hyperlink" Target="http://www.linkedin.com/company/raddarstudios" TargetMode="External"/><Relationship Id="rId5680" Type="http://schemas.openxmlformats.org/officeDocument/2006/relationships/hyperlink" Target="http://www.linkedin.com/in/german-rojas-245742" TargetMode="External"/><Relationship Id="rId5681" Type="http://schemas.openxmlformats.org/officeDocument/2006/relationships/hyperlink" Target="http://www.linkedin.com/company/urbex-saas" TargetMode="External"/><Relationship Id="rId4350" Type="http://schemas.openxmlformats.org/officeDocument/2006/relationships/hyperlink" Target="http://www.linkedin.com/in/juanfelipecastano" TargetMode="External"/><Relationship Id="rId3021" Type="http://schemas.openxmlformats.org/officeDocument/2006/relationships/hyperlink" Target="https://moabits.com" TargetMode="External"/><Relationship Id="rId4352" Type="http://schemas.openxmlformats.org/officeDocument/2006/relationships/hyperlink" Target="http://www.linkedin.com/in/juan-camilo-botero-4bb125bb" TargetMode="External"/><Relationship Id="rId5684" Type="http://schemas.openxmlformats.org/officeDocument/2006/relationships/hyperlink" Target="http://www.linkedin.com/in/varelacamilo" TargetMode="External"/><Relationship Id="rId3020" Type="http://schemas.openxmlformats.org/officeDocument/2006/relationships/hyperlink" Target="http://www.linkedin.com/company/moabits" TargetMode="External"/><Relationship Id="rId4351" Type="http://schemas.openxmlformats.org/officeDocument/2006/relationships/hyperlink" Target="http://www.linkedin.com/company/maas-app" TargetMode="External"/><Relationship Id="rId5685" Type="http://schemas.openxmlformats.org/officeDocument/2006/relationships/hyperlink" Target="http://www.linkedin.com/company/varelafiholl" TargetMode="External"/><Relationship Id="rId3023" Type="http://schemas.openxmlformats.org/officeDocument/2006/relationships/hyperlink" Target="http://www.linkedin.com/company/performance-4-growth-htt" TargetMode="External"/><Relationship Id="rId4354" Type="http://schemas.openxmlformats.org/officeDocument/2006/relationships/hyperlink" Target="http://www.linkedin.com/in/juancamulford" TargetMode="External"/><Relationship Id="rId5682" Type="http://schemas.openxmlformats.org/officeDocument/2006/relationships/hyperlink" Target="http://www.linkedin.com/in/javiermduran" TargetMode="External"/><Relationship Id="rId3022" Type="http://schemas.openxmlformats.org/officeDocument/2006/relationships/hyperlink" Target="http://www.linkedin.com/in/andrea-rodr%c3%adguez-360bbb18" TargetMode="External"/><Relationship Id="rId4353" Type="http://schemas.openxmlformats.org/officeDocument/2006/relationships/hyperlink" Target="http://www.linkedin.com/company/glasstinnovationcompany" TargetMode="External"/><Relationship Id="rId5683" Type="http://schemas.openxmlformats.org/officeDocument/2006/relationships/hyperlink" Target="http://www.linkedin.com/company/grupo-nexco" TargetMode="External"/><Relationship Id="rId3025" Type="http://schemas.openxmlformats.org/officeDocument/2006/relationships/hyperlink" Target="http://www.linkedin.com/in/jorgeortizcontratapersonalconia" TargetMode="External"/><Relationship Id="rId4356" Type="http://schemas.openxmlformats.org/officeDocument/2006/relationships/hyperlink" Target="http://www.linkedin.com/in/juliancastanedam" TargetMode="External"/><Relationship Id="rId5688" Type="http://schemas.openxmlformats.org/officeDocument/2006/relationships/hyperlink" Target="http://www.linkedin.com/in/helenramirez" TargetMode="External"/><Relationship Id="rId3024" Type="http://schemas.openxmlformats.org/officeDocument/2006/relationships/hyperlink" Target="https://p4g.co" TargetMode="External"/><Relationship Id="rId4355" Type="http://schemas.openxmlformats.org/officeDocument/2006/relationships/hyperlink" Target="http://www.linkedin.com/company/plural-estudio" TargetMode="External"/><Relationship Id="rId5689" Type="http://schemas.openxmlformats.org/officeDocument/2006/relationships/hyperlink" Target="http://www.linkedin.com/company/delight-cane" TargetMode="External"/><Relationship Id="rId3027" Type="http://schemas.openxmlformats.org/officeDocument/2006/relationships/hyperlink" Target="https://t3rsc.co" TargetMode="External"/><Relationship Id="rId4358" Type="http://schemas.openxmlformats.org/officeDocument/2006/relationships/hyperlink" Target="http://www.linkedin.com/in/ingandresvargas" TargetMode="External"/><Relationship Id="rId5686" Type="http://schemas.openxmlformats.org/officeDocument/2006/relationships/hyperlink" Target="http://www.linkedin.com/in/catalina-vallejo-wilches-732b5b6a" TargetMode="External"/><Relationship Id="rId3026" Type="http://schemas.openxmlformats.org/officeDocument/2006/relationships/hyperlink" Target="http://www.linkedin.com/company/seleccionycontratacionconia" TargetMode="External"/><Relationship Id="rId4357" Type="http://schemas.openxmlformats.org/officeDocument/2006/relationships/hyperlink" Target="http://www.linkedin.com/company/simplicity-media-llc" TargetMode="External"/><Relationship Id="rId5687" Type="http://schemas.openxmlformats.org/officeDocument/2006/relationships/hyperlink" Target="http://www.linkedin.com/company/octansdigital" TargetMode="External"/><Relationship Id="rId3050" Type="http://schemas.openxmlformats.org/officeDocument/2006/relationships/hyperlink" Target="http://www.linkedin.com/in/luismgarcia81" TargetMode="External"/><Relationship Id="rId4381" Type="http://schemas.openxmlformats.org/officeDocument/2006/relationships/hyperlink" Target="http://www.linkedin.com/company/gesthion-organizacional" TargetMode="External"/><Relationship Id="rId4380" Type="http://schemas.openxmlformats.org/officeDocument/2006/relationships/hyperlink" Target="http://www.linkedin.com/in/josemiguelalfonsofrancoheadhunteroutsourcingnominaseleccion" TargetMode="External"/><Relationship Id="rId3052" Type="http://schemas.openxmlformats.org/officeDocument/2006/relationships/hyperlink" Target="https://equationcoffee.com" TargetMode="External"/><Relationship Id="rId4383" Type="http://schemas.openxmlformats.org/officeDocument/2006/relationships/hyperlink" Target="http://www.linkedin.com/company/re-vision-academy" TargetMode="External"/><Relationship Id="rId3051" Type="http://schemas.openxmlformats.org/officeDocument/2006/relationships/hyperlink" Target="http://www.linkedin.com/company/equationcoffee" TargetMode="External"/><Relationship Id="rId4382" Type="http://schemas.openxmlformats.org/officeDocument/2006/relationships/hyperlink" Target="http://www.linkedin.com/in/anamariaristizabal" TargetMode="External"/><Relationship Id="rId3054" Type="http://schemas.openxmlformats.org/officeDocument/2006/relationships/hyperlink" Target="http://www.linkedin.com/company/certikaco" TargetMode="External"/><Relationship Id="rId4385" Type="http://schemas.openxmlformats.org/officeDocument/2006/relationships/hyperlink" Target="http://www.linkedin.com/company/axona-org" TargetMode="External"/><Relationship Id="rId3053" Type="http://schemas.openxmlformats.org/officeDocument/2006/relationships/hyperlink" Target="http://www.linkedin.com/in/robertomoralesortega" TargetMode="External"/><Relationship Id="rId4384" Type="http://schemas.openxmlformats.org/officeDocument/2006/relationships/hyperlink" Target="http://www.linkedin.com/in/sergio-javier-martinez-ramirez" TargetMode="External"/><Relationship Id="rId3056" Type="http://schemas.openxmlformats.org/officeDocument/2006/relationships/hyperlink" Target="http://www.linkedin.com/in/carlos-hernan-llanos-isaza-b7a0aa13" TargetMode="External"/><Relationship Id="rId4387" Type="http://schemas.openxmlformats.org/officeDocument/2006/relationships/hyperlink" Target="http://www.linkedin.com/company/manyrequests" TargetMode="External"/><Relationship Id="rId3055" Type="http://schemas.openxmlformats.org/officeDocument/2006/relationships/hyperlink" Target="https://certika.co" TargetMode="External"/><Relationship Id="rId4386" Type="http://schemas.openxmlformats.org/officeDocument/2006/relationships/hyperlink" Target="http://www.linkedin.com/in/gabolecointere" TargetMode="External"/><Relationship Id="rId3058" Type="http://schemas.openxmlformats.org/officeDocument/2006/relationships/hyperlink" Target="https://k2digital.io" TargetMode="External"/><Relationship Id="rId4389" Type="http://schemas.openxmlformats.org/officeDocument/2006/relationships/hyperlink" Target="http://www.linkedin.com/company/cdr-asociasos-sas" TargetMode="External"/><Relationship Id="rId3057" Type="http://schemas.openxmlformats.org/officeDocument/2006/relationships/hyperlink" Target="http://www.linkedin.com/company/k2-digital-media-sas" TargetMode="External"/><Relationship Id="rId4388" Type="http://schemas.openxmlformats.org/officeDocument/2006/relationships/hyperlink" Target="http://www.linkedin.com/in/christian-alonso-d%c3%adaz-carvajal-stratega-negocios" TargetMode="External"/><Relationship Id="rId3059" Type="http://schemas.openxmlformats.org/officeDocument/2006/relationships/hyperlink" Target="http://www.linkedin.com/in/johannes-kling-52326a46" TargetMode="External"/><Relationship Id="rId4370" Type="http://schemas.openxmlformats.org/officeDocument/2006/relationships/hyperlink" Target="http://www.linkedin.com/in/adriana-castro-p%c3%a9rez-4b9b4923" TargetMode="External"/><Relationship Id="rId3041" Type="http://schemas.openxmlformats.org/officeDocument/2006/relationships/hyperlink" Target="http://www.linkedin.com/company/viviendasyproyectos" TargetMode="External"/><Relationship Id="rId4372" Type="http://schemas.openxmlformats.org/officeDocument/2006/relationships/hyperlink" Target="http://www.linkedin.com/in/maria-elena-rua-beltran" TargetMode="External"/><Relationship Id="rId3040" Type="http://schemas.openxmlformats.org/officeDocument/2006/relationships/hyperlink" Target="http://www.linkedin.com/in/catalina-arcila-sanchez-a3206a47" TargetMode="External"/><Relationship Id="rId4371" Type="http://schemas.openxmlformats.org/officeDocument/2006/relationships/hyperlink" Target="http://www.linkedin.com/company/valtadriagroup" TargetMode="External"/><Relationship Id="rId3043" Type="http://schemas.openxmlformats.org/officeDocument/2006/relationships/hyperlink" Target="http://www.linkedin.com/in/fabio-l%c3%b3pez-32694319" TargetMode="External"/><Relationship Id="rId4374" Type="http://schemas.openxmlformats.org/officeDocument/2006/relationships/hyperlink" Target="http://www.linkedin.com/in/marialegonzalez" TargetMode="External"/><Relationship Id="rId3042" Type="http://schemas.openxmlformats.org/officeDocument/2006/relationships/hyperlink" Target="https://viviendasyproyectos.com" TargetMode="External"/><Relationship Id="rId4373" Type="http://schemas.openxmlformats.org/officeDocument/2006/relationships/hyperlink" Target="http://www.linkedin.com/company/aprendo-website" TargetMode="External"/><Relationship Id="rId3045" Type="http://schemas.openxmlformats.org/officeDocument/2006/relationships/hyperlink" Target="https://tcmideas.com" TargetMode="External"/><Relationship Id="rId4376" Type="http://schemas.openxmlformats.org/officeDocument/2006/relationships/hyperlink" Target="http://www.linkedin.com/in/carlosayalaortega" TargetMode="External"/><Relationship Id="rId3044" Type="http://schemas.openxmlformats.org/officeDocument/2006/relationships/hyperlink" Target="http://www.linkedin.com/company/tcmideas" TargetMode="External"/><Relationship Id="rId4375" Type="http://schemas.openxmlformats.org/officeDocument/2006/relationships/hyperlink" Target="http://www.linkedin.com/company/superbeauty" TargetMode="External"/><Relationship Id="rId3047" Type="http://schemas.openxmlformats.org/officeDocument/2006/relationships/hyperlink" Target="http://www.linkedin.com/company/appartaco" TargetMode="External"/><Relationship Id="rId4378" Type="http://schemas.openxmlformats.org/officeDocument/2006/relationships/hyperlink" Target="http://www.linkedin.com/in/joaqu%c3%adn-caraballo-rivas-9b7b2616" TargetMode="External"/><Relationship Id="rId3046" Type="http://schemas.openxmlformats.org/officeDocument/2006/relationships/hyperlink" Target="http://www.linkedin.com/in/gonzalo-forero-3b415714b" TargetMode="External"/><Relationship Id="rId4377" Type="http://schemas.openxmlformats.org/officeDocument/2006/relationships/hyperlink" Target="http://www.linkedin.com/company/tradingpluslatam" TargetMode="External"/><Relationship Id="rId3049" Type="http://schemas.openxmlformats.org/officeDocument/2006/relationships/hyperlink" Target="http://certika.co" TargetMode="External"/><Relationship Id="rId3048" Type="http://schemas.openxmlformats.org/officeDocument/2006/relationships/hyperlink" Target="https://apparta.co" TargetMode="External"/><Relationship Id="rId4379" Type="http://schemas.openxmlformats.org/officeDocument/2006/relationships/hyperlink" Target="http://www.linkedin.com/company/waste2worth" TargetMode="External"/><Relationship Id="rId3911" Type="http://schemas.openxmlformats.org/officeDocument/2006/relationships/hyperlink" Target="http://www.linkedin.com/in/natalyguerrero" TargetMode="External"/><Relationship Id="rId3910" Type="http://schemas.openxmlformats.org/officeDocument/2006/relationships/hyperlink" Target="https://omniapartnerships.com" TargetMode="External"/><Relationship Id="rId3913" Type="http://schemas.openxmlformats.org/officeDocument/2006/relationships/hyperlink" Target="https://companysegurity.com" TargetMode="External"/><Relationship Id="rId3912" Type="http://schemas.openxmlformats.org/officeDocument/2006/relationships/hyperlink" Target="http://www.linkedin.com/company/company-security" TargetMode="External"/><Relationship Id="rId3915" Type="http://schemas.openxmlformats.org/officeDocument/2006/relationships/hyperlink" Target="http://www.linkedin.com/company/alearcolombia" TargetMode="External"/><Relationship Id="rId3914" Type="http://schemas.openxmlformats.org/officeDocument/2006/relationships/hyperlink" Target="http://www.linkedin.com/in/milena-barato-a3b64221a" TargetMode="External"/><Relationship Id="rId3917" Type="http://schemas.openxmlformats.org/officeDocument/2006/relationships/hyperlink" Target="http://www.linkedin.com/in/mauricio-s%c3%a1nchez-mendoza-8aba2278" TargetMode="External"/><Relationship Id="rId3916" Type="http://schemas.openxmlformats.org/officeDocument/2006/relationships/hyperlink" Target="https://alear.co" TargetMode="External"/><Relationship Id="rId3919" Type="http://schemas.openxmlformats.org/officeDocument/2006/relationships/hyperlink" Target="https://syma.com.co" TargetMode="External"/><Relationship Id="rId3918" Type="http://schemas.openxmlformats.org/officeDocument/2006/relationships/hyperlink" Target="http://www.linkedin.com/company/syma-consultores-constructores" TargetMode="External"/><Relationship Id="rId3900" Type="http://schemas.openxmlformats.org/officeDocument/2006/relationships/hyperlink" Target="http://www.linkedin.com/school/pygmavc" TargetMode="External"/><Relationship Id="rId3902" Type="http://schemas.openxmlformats.org/officeDocument/2006/relationships/hyperlink" Target="http://www.linkedin.com/in/juanmanuelpico" TargetMode="External"/><Relationship Id="rId3901" Type="http://schemas.openxmlformats.org/officeDocument/2006/relationships/hyperlink" Target="https://pygma.co" TargetMode="External"/><Relationship Id="rId3904" Type="http://schemas.openxmlformats.org/officeDocument/2006/relationships/hyperlink" Target="https://edusoul.com.co" TargetMode="External"/><Relationship Id="rId3903" Type="http://schemas.openxmlformats.org/officeDocument/2006/relationships/hyperlink" Target="http://www.linkedin.com/company/educationsoul" TargetMode="External"/><Relationship Id="rId3906" Type="http://schemas.openxmlformats.org/officeDocument/2006/relationships/hyperlink" Target="http://www.linkedin.com/company/ciemco-ltda-ciemel-y-cia-s-c-a-" TargetMode="External"/><Relationship Id="rId3905" Type="http://schemas.openxmlformats.org/officeDocument/2006/relationships/hyperlink" Target="http://www.linkedin.com/in/francisco-montoya-caballero-17b55627" TargetMode="External"/><Relationship Id="rId3908" Type="http://schemas.openxmlformats.org/officeDocument/2006/relationships/hyperlink" Target="http://www.linkedin.com/in/carlos-guzm%c3%a1n-v-351b05169" TargetMode="External"/><Relationship Id="rId3907" Type="http://schemas.openxmlformats.org/officeDocument/2006/relationships/hyperlink" Target="https://ciemco.com" TargetMode="External"/><Relationship Id="rId3909" Type="http://schemas.openxmlformats.org/officeDocument/2006/relationships/hyperlink" Target="http://www.linkedin.com/company/omnia-partnerships" TargetMode="External"/><Relationship Id="rId3931" Type="http://schemas.openxmlformats.org/officeDocument/2006/relationships/hyperlink" Target="https://eatcloud.com" TargetMode="External"/><Relationship Id="rId2600" Type="http://schemas.openxmlformats.org/officeDocument/2006/relationships/hyperlink" Target="http://www.linkedin.com/company/datavertice" TargetMode="External"/><Relationship Id="rId3930" Type="http://schemas.openxmlformats.org/officeDocument/2006/relationships/hyperlink" Target="http://www.linkedin.com/company/eatcloud" TargetMode="External"/><Relationship Id="rId2601" Type="http://schemas.openxmlformats.org/officeDocument/2006/relationships/hyperlink" Target="https://datavertice.com" TargetMode="External"/><Relationship Id="rId3933" Type="http://schemas.openxmlformats.org/officeDocument/2006/relationships/hyperlink" Target="http://www.linkedin.com/company/cool-house-real-estate" TargetMode="External"/><Relationship Id="rId2602" Type="http://schemas.openxmlformats.org/officeDocument/2006/relationships/hyperlink" Target="http://www.linkedin.com/in/nicholas-chiew-0b380341" TargetMode="External"/><Relationship Id="rId3932" Type="http://schemas.openxmlformats.org/officeDocument/2006/relationships/hyperlink" Target="http://www.linkedin.com/in/julianacostas" TargetMode="External"/><Relationship Id="rId2603" Type="http://schemas.openxmlformats.org/officeDocument/2006/relationships/hyperlink" Target="http://www.linkedin.com/company/cannicina-colombia" TargetMode="External"/><Relationship Id="rId3935" Type="http://schemas.openxmlformats.org/officeDocument/2006/relationships/hyperlink" Target="http://www.linkedin.com/in/carlos-alberto-mor%c3%b3n-sierra-b8bbb916" TargetMode="External"/><Relationship Id="rId2604" Type="http://schemas.openxmlformats.org/officeDocument/2006/relationships/hyperlink" Target="https://cannicina.com" TargetMode="External"/><Relationship Id="rId3934" Type="http://schemas.openxmlformats.org/officeDocument/2006/relationships/hyperlink" Target="https://coolhouse.com.co" TargetMode="External"/><Relationship Id="rId2605" Type="http://schemas.openxmlformats.org/officeDocument/2006/relationships/hyperlink" Target="http://www.linkedin.com/in/leonardovelasquezarguello" TargetMode="External"/><Relationship Id="rId3937" Type="http://schemas.openxmlformats.org/officeDocument/2006/relationships/hyperlink" Target="https://akaunt.io" TargetMode="External"/><Relationship Id="rId2606" Type="http://schemas.openxmlformats.org/officeDocument/2006/relationships/hyperlink" Target="http://www.linkedin.com/company/la-tercera-mirada" TargetMode="External"/><Relationship Id="rId3936" Type="http://schemas.openxmlformats.org/officeDocument/2006/relationships/hyperlink" Target="http://www.linkedin.com/company/akaunt" TargetMode="External"/><Relationship Id="rId808" Type="http://schemas.openxmlformats.org/officeDocument/2006/relationships/hyperlink" Target="http://www.linkedin.com/company/pontelabor" TargetMode="External"/><Relationship Id="rId2607" Type="http://schemas.openxmlformats.org/officeDocument/2006/relationships/hyperlink" Target="https://la3mirada.com" TargetMode="External"/><Relationship Id="rId3939" Type="http://schemas.openxmlformats.org/officeDocument/2006/relationships/hyperlink" Target="http://www.linkedin.com/company/produteka" TargetMode="External"/><Relationship Id="rId807" Type="http://schemas.openxmlformats.org/officeDocument/2006/relationships/hyperlink" Target="http://www.linkedin.com/in/paulaacero" TargetMode="External"/><Relationship Id="rId2608" Type="http://schemas.openxmlformats.org/officeDocument/2006/relationships/hyperlink" Target="http://www.linkedin.com/in/juan-camilo-u%c3%b1ate-c-a7596b17" TargetMode="External"/><Relationship Id="rId3938" Type="http://schemas.openxmlformats.org/officeDocument/2006/relationships/hyperlink" Target="http://www.linkedin.com/in/mateo-bermudez-vargas-803a42188" TargetMode="External"/><Relationship Id="rId806" Type="http://schemas.openxmlformats.org/officeDocument/2006/relationships/hyperlink" Target="https://conexalab.com" TargetMode="External"/><Relationship Id="rId2609" Type="http://schemas.openxmlformats.org/officeDocument/2006/relationships/hyperlink" Target="http://www.linkedin.com/company/cuidarplus-ips" TargetMode="External"/><Relationship Id="rId805" Type="http://schemas.openxmlformats.org/officeDocument/2006/relationships/hyperlink" Target="http://www.linkedin.com/company/conexalab" TargetMode="External"/><Relationship Id="rId809" Type="http://schemas.openxmlformats.org/officeDocument/2006/relationships/hyperlink" Target="https://pontelabor.com" TargetMode="External"/><Relationship Id="rId800" Type="http://schemas.openxmlformats.org/officeDocument/2006/relationships/hyperlink" Target="https://imubli.com" TargetMode="External"/><Relationship Id="rId804" Type="http://schemas.openxmlformats.org/officeDocument/2006/relationships/hyperlink" Target="http://www.linkedin.com/in/iv%c3%a1n-guillermo-ram%c3%adrez-zambrano-b7b62235" TargetMode="External"/><Relationship Id="rId803" Type="http://schemas.openxmlformats.org/officeDocument/2006/relationships/hyperlink" Target="https://wecollabify.com" TargetMode="External"/><Relationship Id="rId802" Type="http://schemas.openxmlformats.org/officeDocument/2006/relationships/hyperlink" Target="http://www.linkedin.com/company/wecollabify" TargetMode="External"/><Relationship Id="rId801" Type="http://schemas.openxmlformats.org/officeDocument/2006/relationships/hyperlink" Target="http://www.linkedin.com/in/andrewcampion" TargetMode="External"/><Relationship Id="rId3920" Type="http://schemas.openxmlformats.org/officeDocument/2006/relationships/hyperlink" Target="http://www.linkedin.com/in/pablomolano" TargetMode="External"/><Relationship Id="rId3922" Type="http://schemas.openxmlformats.org/officeDocument/2006/relationships/hyperlink" Target="https://pratechgroup.com" TargetMode="External"/><Relationship Id="rId3921" Type="http://schemas.openxmlformats.org/officeDocument/2006/relationships/hyperlink" Target="http://www.linkedin.com/company/pratechgroup" TargetMode="External"/><Relationship Id="rId3924" Type="http://schemas.openxmlformats.org/officeDocument/2006/relationships/hyperlink" Target="http://www.linkedin.com/company/motai-app" TargetMode="External"/><Relationship Id="rId3923" Type="http://schemas.openxmlformats.org/officeDocument/2006/relationships/hyperlink" Target="http://www.linkedin.com/in/gilmauricio" TargetMode="External"/><Relationship Id="rId3926" Type="http://schemas.openxmlformats.org/officeDocument/2006/relationships/hyperlink" Target="http://www.linkedin.com/in/salazarmarket" TargetMode="External"/><Relationship Id="rId3925" Type="http://schemas.openxmlformats.org/officeDocument/2006/relationships/hyperlink" Target="https://motai.app" TargetMode="External"/><Relationship Id="rId3928" Type="http://schemas.openxmlformats.org/officeDocument/2006/relationships/hyperlink" Target="https://salazarmarket.com" TargetMode="External"/><Relationship Id="rId3927" Type="http://schemas.openxmlformats.org/officeDocument/2006/relationships/hyperlink" Target="http://www.linkedin.com/company/salazarmarket" TargetMode="External"/><Relationship Id="rId3929" Type="http://schemas.openxmlformats.org/officeDocument/2006/relationships/hyperlink" Target="http://www.linkedin.com/in/isisespitia" TargetMode="External"/><Relationship Id="rId1334" Type="http://schemas.openxmlformats.org/officeDocument/2006/relationships/hyperlink" Target="http://www.linkedin.com/company/matterscale" TargetMode="External"/><Relationship Id="rId2665" Type="http://schemas.openxmlformats.org/officeDocument/2006/relationships/hyperlink" Target="http://www.linkedin.com/in/soyval" TargetMode="External"/><Relationship Id="rId3997" Type="http://schemas.openxmlformats.org/officeDocument/2006/relationships/hyperlink" Target="https://lynks.com.co" TargetMode="External"/><Relationship Id="rId1335" Type="http://schemas.openxmlformats.org/officeDocument/2006/relationships/hyperlink" Target="https://matterscale.com" TargetMode="External"/><Relationship Id="rId2666" Type="http://schemas.openxmlformats.org/officeDocument/2006/relationships/hyperlink" Target="http://www.linkedin.com/company/bioboosters-nootropics" TargetMode="External"/><Relationship Id="rId3996" Type="http://schemas.openxmlformats.org/officeDocument/2006/relationships/hyperlink" Target="http://www.linkedin.com/company/lynksco" TargetMode="External"/><Relationship Id="rId1336" Type="http://schemas.openxmlformats.org/officeDocument/2006/relationships/hyperlink" Target="http://www.linkedin.com/in/juandacorrea" TargetMode="External"/><Relationship Id="rId2667" Type="http://schemas.openxmlformats.org/officeDocument/2006/relationships/hyperlink" Target="https://bioboosters.co" TargetMode="External"/><Relationship Id="rId3999" Type="http://schemas.openxmlformats.org/officeDocument/2006/relationships/hyperlink" Target="http://www.linkedin.com/company/comparapps" TargetMode="External"/><Relationship Id="rId1337" Type="http://schemas.openxmlformats.org/officeDocument/2006/relationships/hyperlink" Target="http://www.linkedin.com/company/eatcloud" TargetMode="External"/><Relationship Id="rId2668" Type="http://schemas.openxmlformats.org/officeDocument/2006/relationships/hyperlink" Target="http://www.linkedin.com/in/fernandootalora" TargetMode="External"/><Relationship Id="rId3998" Type="http://schemas.openxmlformats.org/officeDocument/2006/relationships/hyperlink" Target="http://www.linkedin.com/in/pablogutierreznieto" TargetMode="External"/><Relationship Id="rId1338" Type="http://schemas.openxmlformats.org/officeDocument/2006/relationships/hyperlink" Target="https://eatcloud.com" TargetMode="External"/><Relationship Id="rId2669" Type="http://schemas.openxmlformats.org/officeDocument/2006/relationships/hyperlink" Target="http://www.linkedin.com/company/depo-excelencia" TargetMode="External"/><Relationship Id="rId1339" Type="http://schemas.openxmlformats.org/officeDocument/2006/relationships/hyperlink" Target="http://www.linkedin.com/in/camila-ramirez-" TargetMode="External"/><Relationship Id="rId745" Type="http://schemas.openxmlformats.org/officeDocument/2006/relationships/hyperlink" Target="https://puntospoint.com" TargetMode="External"/><Relationship Id="rId744" Type="http://schemas.openxmlformats.org/officeDocument/2006/relationships/hyperlink" Target="http://www.linkedin.com/company/puntospoint" TargetMode="External"/><Relationship Id="rId743" Type="http://schemas.openxmlformats.org/officeDocument/2006/relationships/hyperlink" Target="http://www.linkedin.com/in/felipebroitman" TargetMode="External"/><Relationship Id="rId742" Type="http://schemas.openxmlformats.org/officeDocument/2006/relationships/hyperlink" Target="https://faroolegal.com" TargetMode="External"/><Relationship Id="rId749" Type="http://schemas.openxmlformats.org/officeDocument/2006/relationships/hyperlink" Target="http://www.linkedin.com/in/felipe-limongi-84983656" TargetMode="External"/><Relationship Id="rId748" Type="http://schemas.openxmlformats.org/officeDocument/2006/relationships/hyperlink" Target="https://therealfund.com" TargetMode="External"/><Relationship Id="rId747" Type="http://schemas.openxmlformats.org/officeDocument/2006/relationships/hyperlink" Target="http://www.linkedin.com/company/therealfund" TargetMode="External"/><Relationship Id="rId746" Type="http://schemas.openxmlformats.org/officeDocument/2006/relationships/hyperlink" Target="http://www.linkedin.com/in/mar%c3%ada-alejandra-perilla-jerez-29091b137" TargetMode="External"/><Relationship Id="rId3991" Type="http://schemas.openxmlformats.org/officeDocument/2006/relationships/hyperlink" Target="https://voltiva.com.co" TargetMode="External"/><Relationship Id="rId2660" Type="http://schemas.openxmlformats.org/officeDocument/2006/relationships/hyperlink" Target="http://www.linkedin.com/company/cystic" TargetMode="External"/><Relationship Id="rId3990" Type="http://schemas.openxmlformats.org/officeDocument/2006/relationships/hyperlink" Target="http://www.linkedin.com/company/voltivaio" TargetMode="External"/><Relationship Id="rId741" Type="http://schemas.openxmlformats.org/officeDocument/2006/relationships/hyperlink" Target="http://www.linkedin.com/company/faroolegal" TargetMode="External"/><Relationship Id="rId1330" Type="http://schemas.openxmlformats.org/officeDocument/2006/relationships/hyperlink" Target="http://www.linkedin.com/in/arielmorenoroa" TargetMode="External"/><Relationship Id="rId2661" Type="http://schemas.openxmlformats.org/officeDocument/2006/relationships/hyperlink" Target="https://cystic.com.co" TargetMode="External"/><Relationship Id="rId3993" Type="http://schemas.openxmlformats.org/officeDocument/2006/relationships/hyperlink" Target="http://www.linkedin.com/company/softevolutioncol" TargetMode="External"/><Relationship Id="rId740" Type="http://schemas.openxmlformats.org/officeDocument/2006/relationships/hyperlink" Target="http://www.linkedin.com/in/joseabaquero" TargetMode="External"/><Relationship Id="rId1331" Type="http://schemas.openxmlformats.org/officeDocument/2006/relationships/hyperlink" Target="http://www.linkedin.com/company/e-takeoff-s-a-s" TargetMode="External"/><Relationship Id="rId2662" Type="http://schemas.openxmlformats.org/officeDocument/2006/relationships/hyperlink" Target="http://www.linkedin.com/in/maria-margarita-salamanca-borrero-margara-contra-el-c%c3%a1ncer-366180198" TargetMode="External"/><Relationship Id="rId3992" Type="http://schemas.openxmlformats.org/officeDocument/2006/relationships/hyperlink" Target="http://www.linkedin.com/in/ivanaoterop" TargetMode="External"/><Relationship Id="rId1332" Type="http://schemas.openxmlformats.org/officeDocument/2006/relationships/hyperlink" Target="https://e-takeoff.com" TargetMode="External"/><Relationship Id="rId2663" Type="http://schemas.openxmlformats.org/officeDocument/2006/relationships/hyperlink" Target="http://www.linkedin.com/company/fundaci%c3%b3n-salbo" TargetMode="External"/><Relationship Id="rId3995" Type="http://schemas.openxmlformats.org/officeDocument/2006/relationships/hyperlink" Target="http://www.linkedin.com/in/alejandro-pustowka-65518029" TargetMode="External"/><Relationship Id="rId1333" Type="http://schemas.openxmlformats.org/officeDocument/2006/relationships/hyperlink" Target="http://www.linkedin.com/in/adriana-suarez-b4b86722b" TargetMode="External"/><Relationship Id="rId2664" Type="http://schemas.openxmlformats.org/officeDocument/2006/relationships/hyperlink" Target="https://fundacionsalbo.org" TargetMode="External"/><Relationship Id="rId3994" Type="http://schemas.openxmlformats.org/officeDocument/2006/relationships/hyperlink" Target="https://softevolution.co" TargetMode="External"/><Relationship Id="rId1323" Type="http://schemas.openxmlformats.org/officeDocument/2006/relationships/hyperlink" Target="https://ingeteknia.com" TargetMode="External"/><Relationship Id="rId2654" Type="http://schemas.openxmlformats.org/officeDocument/2006/relationships/hyperlink" Target="http://www.linkedin.com/company/mpicolombia" TargetMode="External"/><Relationship Id="rId3986" Type="http://schemas.openxmlformats.org/officeDocument/2006/relationships/hyperlink" Target="http://www.linkedin.com/in/omar-s%c3%a1nchez-apiconsultores-transformaciondigital" TargetMode="External"/><Relationship Id="rId1324" Type="http://schemas.openxmlformats.org/officeDocument/2006/relationships/hyperlink" Target="http://www.linkedin.com/in/laura-g%c3%b3mez-6882b8b7" TargetMode="External"/><Relationship Id="rId2655" Type="http://schemas.openxmlformats.org/officeDocument/2006/relationships/hyperlink" Target="https://guiods.com" TargetMode="External"/><Relationship Id="rId3985" Type="http://schemas.openxmlformats.org/officeDocument/2006/relationships/hyperlink" Target="https://islasas.com" TargetMode="External"/><Relationship Id="rId1325" Type="http://schemas.openxmlformats.org/officeDocument/2006/relationships/hyperlink" Target="http://www.linkedin.com/company/vozy" TargetMode="External"/><Relationship Id="rId2656" Type="http://schemas.openxmlformats.org/officeDocument/2006/relationships/hyperlink" Target="http://www.linkedin.com/in/davidllanopiedrahita" TargetMode="External"/><Relationship Id="rId3988" Type="http://schemas.openxmlformats.org/officeDocument/2006/relationships/hyperlink" Target="https://apisas.com" TargetMode="External"/><Relationship Id="rId1326" Type="http://schemas.openxmlformats.org/officeDocument/2006/relationships/hyperlink" Target="https://vozy.ai" TargetMode="External"/><Relationship Id="rId2657" Type="http://schemas.openxmlformats.org/officeDocument/2006/relationships/hyperlink" Target="http://www.linkedin.com/company/dinstinto" TargetMode="External"/><Relationship Id="rId3987" Type="http://schemas.openxmlformats.org/officeDocument/2006/relationships/hyperlink" Target="http://www.linkedin.com/company/apiconsultoresas" TargetMode="External"/><Relationship Id="rId1327" Type="http://schemas.openxmlformats.org/officeDocument/2006/relationships/hyperlink" Target="http://www.linkedin.com/in/juandiaze" TargetMode="External"/><Relationship Id="rId2658" Type="http://schemas.openxmlformats.org/officeDocument/2006/relationships/hyperlink" Target="https://dinstinto.es" TargetMode="External"/><Relationship Id="rId1328" Type="http://schemas.openxmlformats.org/officeDocument/2006/relationships/hyperlink" Target="http://www.linkedin.com/company/koggi" TargetMode="External"/><Relationship Id="rId2659" Type="http://schemas.openxmlformats.org/officeDocument/2006/relationships/hyperlink" Target="http://www.linkedin.com/in/cealpra" TargetMode="External"/><Relationship Id="rId3989" Type="http://schemas.openxmlformats.org/officeDocument/2006/relationships/hyperlink" Target="http://www.linkedin.com/in/juanita-gamboa-fajury" TargetMode="External"/><Relationship Id="rId1329" Type="http://schemas.openxmlformats.org/officeDocument/2006/relationships/hyperlink" Target="https://koggi.co" TargetMode="External"/><Relationship Id="rId739" Type="http://schemas.openxmlformats.org/officeDocument/2006/relationships/hyperlink" Target="https://safenavsystem.com" TargetMode="External"/><Relationship Id="rId734" Type="http://schemas.openxmlformats.org/officeDocument/2006/relationships/hyperlink" Target="http://www.linkedin.com/in/henry-david-cubides-13b13294" TargetMode="External"/><Relationship Id="rId733" Type="http://schemas.openxmlformats.org/officeDocument/2006/relationships/hyperlink" Target="https://factos.com.co" TargetMode="External"/><Relationship Id="rId732" Type="http://schemas.openxmlformats.org/officeDocument/2006/relationships/hyperlink" Target="http://www.linkedin.com/company/factos" TargetMode="External"/><Relationship Id="rId731" Type="http://schemas.openxmlformats.org/officeDocument/2006/relationships/hyperlink" Target="http://www.linkedin.com/in/dani-jim%c3%a9nez-97b53223" TargetMode="External"/><Relationship Id="rId738" Type="http://schemas.openxmlformats.org/officeDocument/2006/relationships/hyperlink" Target="http://www.linkedin.com/company/safenavsystem" TargetMode="External"/><Relationship Id="rId737" Type="http://schemas.openxmlformats.org/officeDocument/2006/relationships/hyperlink" Target="http://www.linkedin.com/in/jorgen-grindevoll-2382b893" TargetMode="External"/><Relationship Id="rId736" Type="http://schemas.openxmlformats.org/officeDocument/2006/relationships/hyperlink" Target="https://coltanques.com.co" TargetMode="External"/><Relationship Id="rId735" Type="http://schemas.openxmlformats.org/officeDocument/2006/relationships/hyperlink" Target="http://www.linkedin.com/company/dando-cuerda" TargetMode="External"/><Relationship Id="rId3980" Type="http://schemas.openxmlformats.org/officeDocument/2006/relationships/hyperlink" Target="http://www.linkedin.com/in/davidmorenomoncayo-ceo" TargetMode="External"/><Relationship Id="rId730" Type="http://schemas.openxmlformats.org/officeDocument/2006/relationships/hyperlink" Target="https://wondertravel.co" TargetMode="External"/><Relationship Id="rId2650" Type="http://schemas.openxmlformats.org/officeDocument/2006/relationships/hyperlink" Target="http://www.linkedin.com/in/santiago-garc%c3%ada-mugno-6b771b94" TargetMode="External"/><Relationship Id="rId3982" Type="http://schemas.openxmlformats.org/officeDocument/2006/relationships/hyperlink" Target="https://tecnocash.com.co" TargetMode="External"/><Relationship Id="rId1320" Type="http://schemas.openxmlformats.org/officeDocument/2006/relationships/hyperlink" Target="https://ggs.vc" TargetMode="External"/><Relationship Id="rId2651" Type="http://schemas.openxmlformats.org/officeDocument/2006/relationships/hyperlink" Target="http://www.linkedin.com/company/mpf-invest" TargetMode="External"/><Relationship Id="rId3981" Type="http://schemas.openxmlformats.org/officeDocument/2006/relationships/hyperlink" Target="http://www.linkedin.com/company/tecnocashcompany" TargetMode="External"/><Relationship Id="rId1321" Type="http://schemas.openxmlformats.org/officeDocument/2006/relationships/hyperlink" Target="http://www.linkedin.com/in/andrea-morales-segura-37597039" TargetMode="External"/><Relationship Id="rId2652" Type="http://schemas.openxmlformats.org/officeDocument/2006/relationships/hyperlink" Target="https://mpfinvest.com" TargetMode="External"/><Relationship Id="rId3984" Type="http://schemas.openxmlformats.org/officeDocument/2006/relationships/hyperlink" Target="http://www.linkedin.com/company/isla-sas" TargetMode="External"/><Relationship Id="rId1322" Type="http://schemas.openxmlformats.org/officeDocument/2006/relationships/hyperlink" Target="http://www.linkedin.com/company/ingeteknia" TargetMode="External"/><Relationship Id="rId2653" Type="http://schemas.openxmlformats.org/officeDocument/2006/relationships/hyperlink" Target="http://www.linkedin.com/in/diegopardoramirez" TargetMode="External"/><Relationship Id="rId3983" Type="http://schemas.openxmlformats.org/officeDocument/2006/relationships/hyperlink" Target="http://www.linkedin.com/in/isla-sas" TargetMode="External"/><Relationship Id="rId1356" Type="http://schemas.openxmlformats.org/officeDocument/2006/relationships/hyperlink" Target="https://carolinamedina.co" TargetMode="External"/><Relationship Id="rId2687" Type="http://schemas.openxmlformats.org/officeDocument/2006/relationships/hyperlink" Target="http://www.linkedin.com/company/mesastrategy" TargetMode="External"/><Relationship Id="rId1357" Type="http://schemas.openxmlformats.org/officeDocument/2006/relationships/hyperlink" Target="http://www.linkedin.com/in/felipe-maldonado-jacobsen-7073a385" TargetMode="External"/><Relationship Id="rId2688" Type="http://schemas.openxmlformats.org/officeDocument/2006/relationships/hyperlink" Target="https://mesastrategy.com" TargetMode="External"/><Relationship Id="rId1358" Type="http://schemas.openxmlformats.org/officeDocument/2006/relationships/hyperlink" Target="http://www.linkedin.com/company/novo-f%c3%batbol" TargetMode="External"/><Relationship Id="rId2689" Type="http://schemas.openxmlformats.org/officeDocument/2006/relationships/hyperlink" Target="http://www.linkedin.com/in/pablo-l%c3%b3pez-43948244" TargetMode="External"/><Relationship Id="rId5712" Type="http://schemas.openxmlformats.org/officeDocument/2006/relationships/drawing" Target="../drawings/drawing3.xml"/><Relationship Id="rId1359" Type="http://schemas.openxmlformats.org/officeDocument/2006/relationships/hyperlink" Target="https://novofutbol.com" TargetMode="External"/><Relationship Id="rId767" Type="http://schemas.openxmlformats.org/officeDocument/2006/relationships/hyperlink" Target="http://tryatria.ai" TargetMode="External"/><Relationship Id="rId766" Type="http://schemas.openxmlformats.org/officeDocument/2006/relationships/hyperlink" Target="https://lucyanimationstudio.com" TargetMode="External"/><Relationship Id="rId765" Type="http://schemas.openxmlformats.org/officeDocument/2006/relationships/hyperlink" Target="http://www.linkedin.com/company/lucy-animation-studio" TargetMode="External"/><Relationship Id="rId764" Type="http://schemas.openxmlformats.org/officeDocument/2006/relationships/hyperlink" Target="http://www.linkedin.com/in/silvia-prietov" TargetMode="External"/><Relationship Id="rId769" Type="http://schemas.openxmlformats.org/officeDocument/2006/relationships/hyperlink" Target="http://www.linkedin.com/company/higgsfoods" TargetMode="External"/><Relationship Id="rId768" Type="http://schemas.openxmlformats.org/officeDocument/2006/relationships/hyperlink" Target="http://www.linkedin.com/in/juanguillermolatorre" TargetMode="External"/><Relationship Id="rId2680" Type="http://schemas.openxmlformats.org/officeDocument/2006/relationships/hyperlink" Target="http://www.linkedin.com/in/george-o-kane-cfa-568a581a" TargetMode="External"/><Relationship Id="rId1350" Type="http://schemas.openxmlformats.org/officeDocument/2006/relationships/hyperlink" Target="https://daunjilero.com" TargetMode="External"/><Relationship Id="rId2681" Type="http://schemas.openxmlformats.org/officeDocument/2006/relationships/hyperlink" Target="http://www.linkedin.com/company/alphaib" TargetMode="External"/><Relationship Id="rId1351" Type="http://schemas.openxmlformats.org/officeDocument/2006/relationships/hyperlink" Target="http://www.linkedin.com/in/juliana-acosta-jaramillo-8619233a" TargetMode="External"/><Relationship Id="rId2682" Type="http://schemas.openxmlformats.org/officeDocument/2006/relationships/hyperlink" Target="https://alphaib.co" TargetMode="External"/><Relationship Id="rId763" Type="http://schemas.openxmlformats.org/officeDocument/2006/relationships/hyperlink" Target="https://nivelics.com" TargetMode="External"/><Relationship Id="rId1352" Type="http://schemas.openxmlformats.org/officeDocument/2006/relationships/hyperlink" Target="http://www.linkedin.com/company/the-tree-school" TargetMode="External"/><Relationship Id="rId2683" Type="http://schemas.openxmlformats.org/officeDocument/2006/relationships/hyperlink" Target="http://www.linkedin.com/in/saenzcamilo" TargetMode="External"/><Relationship Id="rId5710" Type="http://schemas.openxmlformats.org/officeDocument/2006/relationships/hyperlink" Target="http://www.linkedin.com/in/carlos-roman-18985419" TargetMode="External"/><Relationship Id="rId762" Type="http://schemas.openxmlformats.org/officeDocument/2006/relationships/hyperlink" Target="http://www.linkedin.com/company/nivelics" TargetMode="External"/><Relationship Id="rId1353" Type="http://schemas.openxmlformats.org/officeDocument/2006/relationships/hyperlink" Target="https://thetreeschool.org" TargetMode="External"/><Relationship Id="rId2684" Type="http://schemas.openxmlformats.org/officeDocument/2006/relationships/hyperlink" Target="http://www.linkedin.com/company/apps1" TargetMode="External"/><Relationship Id="rId5711" Type="http://schemas.openxmlformats.org/officeDocument/2006/relationships/hyperlink" Target="http://www.linkedin.com/company/grupo-krea" TargetMode="External"/><Relationship Id="rId761" Type="http://schemas.openxmlformats.org/officeDocument/2006/relationships/hyperlink" Target="http://www.linkedin.com/in/camilovillanueva" TargetMode="External"/><Relationship Id="rId1354" Type="http://schemas.openxmlformats.org/officeDocument/2006/relationships/hyperlink" Target="http://www.linkedin.com/in/caromedina" TargetMode="External"/><Relationship Id="rId2685" Type="http://schemas.openxmlformats.org/officeDocument/2006/relationships/hyperlink" Target="https://apps1.co" TargetMode="External"/><Relationship Id="rId760" Type="http://schemas.openxmlformats.org/officeDocument/2006/relationships/hyperlink" Target="https://settee.io" TargetMode="External"/><Relationship Id="rId1355" Type="http://schemas.openxmlformats.org/officeDocument/2006/relationships/hyperlink" Target="http://www.linkedin.com/company/consultor%c3%ada-carolina-medina" TargetMode="External"/><Relationship Id="rId2686" Type="http://schemas.openxmlformats.org/officeDocument/2006/relationships/hyperlink" Target="http://www.linkedin.com/in/anamesac" TargetMode="External"/><Relationship Id="rId1345" Type="http://schemas.openxmlformats.org/officeDocument/2006/relationships/hyperlink" Target="http://www.linkedin.com/in/luisafernandamontoyabernal" TargetMode="External"/><Relationship Id="rId2676" Type="http://schemas.openxmlformats.org/officeDocument/2006/relationships/hyperlink" Target="https://agora-bogota.com" TargetMode="External"/><Relationship Id="rId5703" Type="http://schemas.openxmlformats.org/officeDocument/2006/relationships/hyperlink" Target="http://www.linkedin.com/company/kandara-services" TargetMode="External"/><Relationship Id="rId1346" Type="http://schemas.openxmlformats.org/officeDocument/2006/relationships/hyperlink" Target="http://www.linkedin.com/company/humanbpo" TargetMode="External"/><Relationship Id="rId2677" Type="http://schemas.openxmlformats.org/officeDocument/2006/relationships/hyperlink" Target="http://www.linkedin.com/in/jeronimo-gomez-" TargetMode="External"/><Relationship Id="rId5704" Type="http://schemas.openxmlformats.org/officeDocument/2006/relationships/hyperlink" Target="http://www.linkedin.com/in/diego-felipe-navarro-reyes-24aa8520" TargetMode="External"/><Relationship Id="rId1347" Type="http://schemas.openxmlformats.org/officeDocument/2006/relationships/hyperlink" Target="https://humanbpo.com" TargetMode="External"/><Relationship Id="rId2678" Type="http://schemas.openxmlformats.org/officeDocument/2006/relationships/hyperlink" Target="http://www.linkedin.com/company/dtdentall" TargetMode="External"/><Relationship Id="rId5701" Type="http://schemas.openxmlformats.org/officeDocument/2006/relationships/hyperlink" Target="http://www.linkedin.com/company/wseeds" TargetMode="External"/><Relationship Id="rId1348" Type="http://schemas.openxmlformats.org/officeDocument/2006/relationships/hyperlink" Target="http://www.linkedin.com/in/leopineda" TargetMode="External"/><Relationship Id="rId2679" Type="http://schemas.openxmlformats.org/officeDocument/2006/relationships/hyperlink" Target="https://dtdental.co" TargetMode="External"/><Relationship Id="rId5702" Type="http://schemas.openxmlformats.org/officeDocument/2006/relationships/hyperlink" Target="http://www.linkedin.com/in/carlos-p%c3%a9rez-sarti-691a7141" TargetMode="External"/><Relationship Id="rId1349" Type="http://schemas.openxmlformats.org/officeDocument/2006/relationships/hyperlink" Target="http://www.linkedin.com/company/daunjilero" TargetMode="External"/><Relationship Id="rId5707" Type="http://schemas.openxmlformats.org/officeDocument/2006/relationships/hyperlink" Target="http://www.linkedin.com/company/evowill" TargetMode="External"/><Relationship Id="rId5708" Type="http://schemas.openxmlformats.org/officeDocument/2006/relationships/hyperlink" Target="http://www.linkedin.com/in/alejandro-rold%c3%a1n-pardo-a238006a" TargetMode="External"/><Relationship Id="rId5705" Type="http://schemas.openxmlformats.org/officeDocument/2006/relationships/hyperlink" Target="http://www.linkedin.com/company/foliumed" TargetMode="External"/><Relationship Id="rId5706" Type="http://schemas.openxmlformats.org/officeDocument/2006/relationships/hyperlink" Target="http://www.linkedin.com/in/tetiana-pavlenko-680a38171" TargetMode="External"/><Relationship Id="rId5709" Type="http://schemas.openxmlformats.org/officeDocument/2006/relationships/hyperlink" Target="http://www.linkedin.com/company/getconcurrent" TargetMode="External"/><Relationship Id="rId756" Type="http://schemas.openxmlformats.org/officeDocument/2006/relationships/hyperlink" Target="http://www.linkedin.com/company/sapharos" TargetMode="External"/><Relationship Id="rId755" Type="http://schemas.openxmlformats.org/officeDocument/2006/relationships/hyperlink" Target="http://www.linkedin.com/in/nelson-rojas-52492b4b" TargetMode="External"/><Relationship Id="rId754" Type="http://schemas.openxmlformats.org/officeDocument/2006/relationships/hyperlink" Target="https://pacificosnacks.com" TargetMode="External"/><Relationship Id="rId753" Type="http://schemas.openxmlformats.org/officeDocument/2006/relationships/hyperlink" Target="http://www.linkedin.com/company/pacifico-snacks" TargetMode="External"/><Relationship Id="rId759" Type="http://schemas.openxmlformats.org/officeDocument/2006/relationships/hyperlink" Target="http://www.linkedin.com/company/setteeio" TargetMode="External"/><Relationship Id="rId758" Type="http://schemas.openxmlformats.org/officeDocument/2006/relationships/hyperlink" Target="http://www.linkedin.com/in/franlitvay" TargetMode="External"/><Relationship Id="rId757" Type="http://schemas.openxmlformats.org/officeDocument/2006/relationships/hyperlink" Target="https://sapharos.com" TargetMode="External"/><Relationship Id="rId2670" Type="http://schemas.openxmlformats.org/officeDocument/2006/relationships/hyperlink" Target="https://depo.com.co" TargetMode="External"/><Relationship Id="rId1340" Type="http://schemas.openxmlformats.org/officeDocument/2006/relationships/hyperlink" Target="http://www.linkedin.com/company/somosmekan" TargetMode="External"/><Relationship Id="rId2671" Type="http://schemas.openxmlformats.org/officeDocument/2006/relationships/hyperlink" Target="http://www.linkedin.com/in/alejandro-stendall-3647526" TargetMode="External"/><Relationship Id="rId752" Type="http://schemas.openxmlformats.org/officeDocument/2006/relationships/hyperlink" Target="http://www.linkedin.com/in/juliana-botero-2a438838" TargetMode="External"/><Relationship Id="rId1341" Type="http://schemas.openxmlformats.org/officeDocument/2006/relationships/hyperlink" Target="https://somosmekan.com" TargetMode="External"/><Relationship Id="rId2672" Type="http://schemas.openxmlformats.org/officeDocument/2006/relationships/hyperlink" Target="http://www.linkedin.com/company/proximateapps" TargetMode="External"/><Relationship Id="rId751" Type="http://schemas.openxmlformats.org/officeDocument/2006/relationships/hyperlink" Target="https://biodinamika.co" TargetMode="External"/><Relationship Id="rId1342" Type="http://schemas.openxmlformats.org/officeDocument/2006/relationships/hyperlink" Target="http://www.linkedin.com/in/ang%c3%a9lica-mar%c3%ada-gutierrez-camacho-7467a5120" TargetMode="External"/><Relationship Id="rId2673" Type="http://schemas.openxmlformats.org/officeDocument/2006/relationships/hyperlink" Target="https://proximateapps.com" TargetMode="External"/><Relationship Id="rId5700" Type="http://schemas.openxmlformats.org/officeDocument/2006/relationships/hyperlink" Target="http://www.linkedin.com/in/felipe-ariza3" TargetMode="External"/><Relationship Id="rId750" Type="http://schemas.openxmlformats.org/officeDocument/2006/relationships/hyperlink" Target="http://www.linkedin.com/company/biodinamika" TargetMode="External"/><Relationship Id="rId1343" Type="http://schemas.openxmlformats.org/officeDocument/2006/relationships/hyperlink" Target="http://www.linkedin.com/company/instituto-lean-colombia" TargetMode="External"/><Relationship Id="rId2674" Type="http://schemas.openxmlformats.org/officeDocument/2006/relationships/hyperlink" Target="http://www.linkedin.com/in/andres-gonzalez-medina-a2909266" TargetMode="External"/><Relationship Id="rId1344" Type="http://schemas.openxmlformats.org/officeDocument/2006/relationships/hyperlink" Target="https://institutolean.co" TargetMode="External"/><Relationship Id="rId2675" Type="http://schemas.openxmlformats.org/officeDocument/2006/relationships/hyperlink" Target="http://www.linkedin.com/company/agorabogota" TargetMode="External"/><Relationship Id="rId2621" Type="http://schemas.openxmlformats.org/officeDocument/2006/relationships/hyperlink" Target="http://www.linkedin.com/company/overeasyoffice" TargetMode="External"/><Relationship Id="rId3953" Type="http://schemas.openxmlformats.org/officeDocument/2006/relationships/hyperlink" Target="http://www.linkedin.com/in/miguel-su%c3%a1rez-l%c3%b3pez-84039294" TargetMode="External"/><Relationship Id="rId2622" Type="http://schemas.openxmlformats.org/officeDocument/2006/relationships/hyperlink" Target="https://overeasyoffice.com" TargetMode="External"/><Relationship Id="rId3952" Type="http://schemas.openxmlformats.org/officeDocument/2006/relationships/hyperlink" Target="https://territorium.com.co" TargetMode="External"/><Relationship Id="rId2623" Type="http://schemas.openxmlformats.org/officeDocument/2006/relationships/hyperlink" Target="http://www.linkedin.com/in/sami-pardo-407770118" TargetMode="External"/><Relationship Id="rId3955" Type="http://schemas.openxmlformats.org/officeDocument/2006/relationships/hyperlink" Target="https://nok.rent" TargetMode="External"/><Relationship Id="rId2624" Type="http://schemas.openxmlformats.org/officeDocument/2006/relationships/hyperlink" Target="http://www.linkedin.com/company/meupcolombia1" TargetMode="External"/><Relationship Id="rId3954" Type="http://schemas.openxmlformats.org/officeDocument/2006/relationships/hyperlink" Target="http://www.linkedin.com/company/nok-rent" TargetMode="External"/><Relationship Id="rId2625" Type="http://schemas.openxmlformats.org/officeDocument/2006/relationships/hyperlink" Target="https://meup.co" TargetMode="External"/><Relationship Id="rId3957" Type="http://schemas.openxmlformats.org/officeDocument/2006/relationships/hyperlink" Target="http://www.linkedin.com/company/rubinsteincc" TargetMode="External"/><Relationship Id="rId2626" Type="http://schemas.openxmlformats.org/officeDocument/2006/relationships/hyperlink" Target="http://www.linkedin.com/in/miguel-monroy-031225243" TargetMode="External"/><Relationship Id="rId3956" Type="http://schemas.openxmlformats.org/officeDocument/2006/relationships/hyperlink" Target="http://www.linkedin.com/in/pablo-rubinstein-43245b74" TargetMode="External"/><Relationship Id="rId2627" Type="http://schemas.openxmlformats.org/officeDocument/2006/relationships/hyperlink" Target="http://www.linkedin.com/company/scn-sas" TargetMode="External"/><Relationship Id="rId3959" Type="http://schemas.openxmlformats.org/officeDocument/2006/relationships/hyperlink" Target="http://www.linkedin.com/in/kellyjsanchez" TargetMode="External"/><Relationship Id="rId2628" Type="http://schemas.openxmlformats.org/officeDocument/2006/relationships/hyperlink" Target="https://scn.com.co" TargetMode="External"/><Relationship Id="rId3958" Type="http://schemas.openxmlformats.org/officeDocument/2006/relationships/hyperlink" Target="https://rubinsteincc.com" TargetMode="External"/><Relationship Id="rId709" Type="http://schemas.openxmlformats.org/officeDocument/2006/relationships/hyperlink" Target="https://desarrollandoando.com" TargetMode="External"/><Relationship Id="rId2629" Type="http://schemas.openxmlformats.org/officeDocument/2006/relationships/hyperlink" Target="http://www.linkedin.com/in/monica-cepero-uribe" TargetMode="External"/><Relationship Id="rId708" Type="http://schemas.openxmlformats.org/officeDocument/2006/relationships/hyperlink" Target="http://www.linkedin.com/company/desarrollando-ando" TargetMode="External"/><Relationship Id="rId707" Type="http://schemas.openxmlformats.org/officeDocument/2006/relationships/hyperlink" Target="http://www.linkedin.com/in/luisalbertorestrepo" TargetMode="External"/><Relationship Id="rId706" Type="http://schemas.openxmlformats.org/officeDocument/2006/relationships/hyperlink" Target="https://porsche-movilidad.co" TargetMode="External"/><Relationship Id="rId701" Type="http://schemas.openxmlformats.org/officeDocument/2006/relationships/hyperlink" Target="http://www.linkedin.com/in/juanpfeiffer" TargetMode="External"/><Relationship Id="rId700" Type="http://schemas.openxmlformats.org/officeDocument/2006/relationships/hyperlink" Target="https://dialogoimprobable.org" TargetMode="External"/><Relationship Id="rId705" Type="http://schemas.openxmlformats.org/officeDocument/2006/relationships/hyperlink" Target="http://www.linkedin.com/company/porsche-movilidad" TargetMode="External"/><Relationship Id="rId704" Type="http://schemas.openxmlformats.org/officeDocument/2006/relationships/hyperlink" Target="http://www.linkedin.com/in/fernandoescall%c3%b3nrosselli" TargetMode="External"/><Relationship Id="rId703" Type="http://schemas.openxmlformats.org/officeDocument/2006/relationships/hyperlink" Target="https://seosenergy.co" TargetMode="External"/><Relationship Id="rId702" Type="http://schemas.openxmlformats.org/officeDocument/2006/relationships/hyperlink" Target="http://www.linkedin.com/company/seosenergy" TargetMode="External"/><Relationship Id="rId3951" Type="http://schemas.openxmlformats.org/officeDocument/2006/relationships/hyperlink" Target="http://www.linkedin.com/company/territorium-sas" TargetMode="External"/><Relationship Id="rId2620" Type="http://schemas.openxmlformats.org/officeDocument/2006/relationships/hyperlink" Target="http://www.linkedin.com/in/camilo-escruceria-luna" TargetMode="External"/><Relationship Id="rId3950" Type="http://schemas.openxmlformats.org/officeDocument/2006/relationships/hyperlink" Target="http://www.linkedin.com/in/sergio-rodriguez-tovar" TargetMode="External"/><Relationship Id="rId2610" Type="http://schemas.openxmlformats.org/officeDocument/2006/relationships/hyperlink" Target="https://cuidarplusips.com" TargetMode="External"/><Relationship Id="rId3942" Type="http://schemas.openxmlformats.org/officeDocument/2006/relationships/hyperlink" Target="http://www.linkedin.com/company/motopack" TargetMode="External"/><Relationship Id="rId2611" Type="http://schemas.openxmlformats.org/officeDocument/2006/relationships/hyperlink" Target="http://www.linkedin.com/in/daniel-hern%c3%a1ndez-71654261" TargetMode="External"/><Relationship Id="rId3941" Type="http://schemas.openxmlformats.org/officeDocument/2006/relationships/hyperlink" Target="http://www.linkedin.com/in/jose-vicente-mogollon-65911a3a" TargetMode="External"/><Relationship Id="rId2612" Type="http://schemas.openxmlformats.org/officeDocument/2006/relationships/hyperlink" Target="http://www.linkedin.com/company/openpayco" TargetMode="External"/><Relationship Id="rId3944" Type="http://schemas.openxmlformats.org/officeDocument/2006/relationships/hyperlink" Target="http://www.linkedin.com/in/ssdeva" TargetMode="External"/><Relationship Id="rId2613" Type="http://schemas.openxmlformats.org/officeDocument/2006/relationships/hyperlink" Target="https://openpay.co" TargetMode="External"/><Relationship Id="rId3943" Type="http://schemas.openxmlformats.org/officeDocument/2006/relationships/hyperlink" Target="https://motopack.co" TargetMode="External"/><Relationship Id="rId2614" Type="http://schemas.openxmlformats.org/officeDocument/2006/relationships/hyperlink" Target="http://www.linkedin.com/in/javiermorenovalencia" TargetMode="External"/><Relationship Id="rId3946" Type="http://schemas.openxmlformats.org/officeDocument/2006/relationships/hyperlink" Target="https://novussolutions.com" TargetMode="External"/><Relationship Id="rId2615" Type="http://schemas.openxmlformats.org/officeDocument/2006/relationships/hyperlink" Target="http://www.linkedin.com/company/inandina" TargetMode="External"/><Relationship Id="rId3945" Type="http://schemas.openxmlformats.org/officeDocument/2006/relationships/hyperlink" Target="http://www.linkedin.com/company/novus-solutions-us" TargetMode="External"/><Relationship Id="rId2616" Type="http://schemas.openxmlformats.org/officeDocument/2006/relationships/hyperlink" Target="https://inandina.edu.co" TargetMode="External"/><Relationship Id="rId3948" Type="http://schemas.openxmlformats.org/officeDocument/2006/relationships/hyperlink" Target="http://www.linkedin.com/company/billyplataforma" TargetMode="External"/><Relationship Id="rId2617" Type="http://schemas.openxmlformats.org/officeDocument/2006/relationships/hyperlink" Target="http://www.linkedin.com/in/jhonyospinag" TargetMode="External"/><Relationship Id="rId3947" Type="http://schemas.openxmlformats.org/officeDocument/2006/relationships/hyperlink" Target="http://www.linkedin.com/in/javier-sandoval-ab30a265" TargetMode="External"/><Relationship Id="rId2618" Type="http://schemas.openxmlformats.org/officeDocument/2006/relationships/hyperlink" Target="http://www.linkedin.com/company/sagyco" TargetMode="External"/><Relationship Id="rId2619" Type="http://schemas.openxmlformats.org/officeDocument/2006/relationships/hyperlink" Target="https://sagy.com.co" TargetMode="External"/><Relationship Id="rId3949" Type="http://schemas.openxmlformats.org/officeDocument/2006/relationships/hyperlink" Target="https://billy.com.co" TargetMode="External"/><Relationship Id="rId3940" Type="http://schemas.openxmlformats.org/officeDocument/2006/relationships/hyperlink" Target="https://produteka.com" TargetMode="External"/><Relationship Id="rId1312" Type="http://schemas.openxmlformats.org/officeDocument/2006/relationships/hyperlink" Target="http://www.linkedin.com/in/nashacuello" TargetMode="External"/><Relationship Id="rId2643" Type="http://schemas.openxmlformats.org/officeDocument/2006/relationships/hyperlink" Target="https://singularity.health" TargetMode="External"/><Relationship Id="rId3975" Type="http://schemas.openxmlformats.org/officeDocument/2006/relationships/hyperlink" Target="http://www.linkedin.com/company/kashicredit" TargetMode="External"/><Relationship Id="rId1313" Type="http://schemas.openxmlformats.org/officeDocument/2006/relationships/hyperlink" Target="http://www.linkedin.com/company/sustentabilidad-sin-fronteras" TargetMode="External"/><Relationship Id="rId2644" Type="http://schemas.openxmlformats.org/officeDocument/2006/relationships/hyperlink" Target="http://www.linkedin.com/in/gustavo-vera-novoa-61046124" TargetMode="External"/><Relationship Id="rId3974" Type="http://schemas.openxmlformats.org/officeDocument/2006/relationships/hyperlink" Target="http://www.linkedin.com/in/andreabarcena" TargetMode="External"/><Relationship Id="rId1314" Type="http://schemas.openxmlformats.org/officeDocument/2006/relationships/hyperlink" Target="https://sustentabilidadsf.org.ar" TargetMode="External"/><Relationship Id="rId2645" Type="http://schemas.openxmlformats.org/officeDocument/2006/relationships/hyperlink" Target="http://www.linkedin.com/company/rapportiapp" TargetMode="External"/><Relationship Id="rId3977" Type="http://schemas.openxmlformats.org/officeDocument/2006/relationships/hyperlink" Target="http://www.linkedin.com/in/victor-escalona-8719a919" TargetMode="External"/><Relationship Id="rId1315" Type="http://schemas.openxmlformats.org/officeDocument/2006/relationships/hyperlink" Target="http://www.linkedin.com/in/daniel-felipe-pardo-rocha-6837b227" TargetMode="External"/><Relationship Id="rId2646" Type="http://schemas.openxmlformats.org/officeDocument/2006/relationships/hyperlink" Target="https://rapporti.io" TargetMode="External"/><Relationship Id="rId3976" Type="http://schemas.openxmlformats.org/officeDocument/2006/relationships/hyperlink" Target="https://cuota.io" TargetMode="External"/><Relationship Id="rId1316" Type="http://schemas.openxmlformats.org/officeDocument/2006/relationships/hyperlink" Target="http://www.linkedin.com/company/fitpal-" TargetMode="External"/><Relationship Id="rId2647" Type="http://schemas.openxmlformats.org/officeDocument/2006/relationships/hyperlink" Target="http://www.linkedin.com/in/gina-montes-964a7952" TargetMode="External"/><Relationship Id="rId3979" Type="http://schemas.openxmlformats.org/officeDocument/2006/relationships/hyperlink" Target="https://consultingbaraka.com" TargetMode="External"/><Relationship Id="rId1317" Type="http://schemas.openxmlformats.org/officeDocument/2006/relationships/hyperlink" Target="https://fitpal.co" TargetMode="External"/><Relationship Id="rId2648" Type="http://schemas.openxmlformats.org/officeDocument/2006/relationships/hyperlink" Target="http://www.linkedin.com/company/in-deleble" TargetMode="External"/><Relationship Id="rId3978" Type="http://schemas.openxmlformats.org/officeDocument/2006/relationships/hyperlink" Target="http://www.linkedin.com/company/consulting-baraka" TargetMode="External"/><Relationship Id="rId1318" Type="http://schemas.openxmlformats.org/officeDocument/2006/relationships/hyperlink" Target="http://www.linkedin.com/in/nicolas-cortes-acosta" TargetMode="External"/><Relationship Id="rId2649" Type="http://schemas.openxmlformats.org/officeDocument/2006/relationships/hyperlink" Target="https://indeleblesocial.com" TargetMode="External"/><Relationship Id="rId1319" Type="http://schemas.openxmlformats.org/officeDocument/2006/relationships/hyperlink" Target="http://www.linkedin.com/company/ggsio" TargetMode="External"/><Relationship Id="rId729" Type="http://schemas.openxmlformats.org/officeDocument/2006/relationships/hyperlink" Target="http://www.linkedin.com/company/wonder-travel-latam" TargetMode="External"/><Relationship Id="rId728" Type="http://schemas.openxmlformats.org/officeDocument/2006/relationships/hyperlink" Target="http://www.linkedin.com/in/juan-pablo-gaviria-526407b5" TargetMode="External"/><Relationship Id="rId723" Type="http://schemas.openxmlformats.org/officeDocument/2006/relationships/hyperlink" Target="http://www.linkedin.com/company/paramo-digital-co" TargetMode="External"/><Relationship Id="rId722" Type="http://schemas.openxmlformats.org/officeDocument/2006/relationships/hyperlink" Target="http://www.linkedin.com/in/garzon-diego" TargetMode="External"/><Relationship Id="rId721" Type="http://schemas.openxmlformats.org/officeDocument/2006/relationships/hyperlink" Target="https://adrianagrillo.com" TargetMode="External"/><Relationship Id="rId720" Type="http://schemas.openxmlformats.org/officeDocument/2006/relationships/hyperlink" Target="http://www.linkedin.com/company/grillo-correa-consultorias-sas" TargetMode="External"/><Relationship Id="rId727" Type="http://schemas.openxmlformats.org/officeDocument/2006/relationships/hyperlink" Target="https://grupotrinity.co" TargetMode="External"/><Relationship Id="rId726" Type="http://schemas.openxmlformats.org/officeDocument/2006/relationships/hyperlink" Target="http://www.linkedin.com/company/grupotrinityco" TargetMode="External"/><Relationship Id="rId725" Type="http://schemas.openxmlformats.org/officeDocument/2006/relationships/hyperlink" Target="http://www.linkedin.com/in/ivan-trujillo-90130222" TargetMode="External"/><Relationship Id="rId724" Type="http://schemas.openxmlformats.org/officeDocument/2006/relationships/hyperlink" Target="https://paramodigital.co" TargetMode="External"/><Relationship Id="rId3971" Type="http://schemas.openxmlformats.org/officeDocument/2006/relationships/hyperlink" Target="http://www.linkedin.com/in/alejandra-giraldo-vargas-282341171" TargetMode="External"/><Relationship Id="rId2640" Type="http://schemas.openxmlformats.org/officeDocument/2006/relationships/hyperlink" Target="https://prami.com.co" TargetMode="External"/><Relationship Id="rId3970" Type="http://schemas.openxmlformats.org/officeDocument/2006/relationships/hyperlink" Target="https://skywardsgroup.com" TargetMode="External"/><Relationship Id="rId1310" Type="http://schemas.openxmlformats.org/officeDocument/2006/relationships/hyperlink" Target="http://www.linkedin.com/company/deicompany" TargetMode="External"/><Relationship Id="rId2641" Type="http://schemas.openxmlformats.org/officeDocument/2006/relationships/hyperlink" Target="http://www.linkedin.com/in/marcela-iragorri" TargetMode="External"/><Relationship Id="rId3973" Type="http://schemas.openxmlformats.org/officeDocument/2006/relationships/hyperlink" Target="https://eafit.edu.co" TargetMode="External"/><Relationship Id="rId1311" Type="http://schemas.openxmlformats.org/officeDocument/2006/relationships/hyperlink" Target="https://deicosas.com" TargetMode="External"/><Relationship Id="rId2642" Type="http://schemas.openxmlformats.org/officeDocument/2006/relationships/hyperlink" Target="http://www.linkedin.com/company/singularityhealth" TargetMode="External"/><Relationship Id="rId3972" Type="http://schemas.openxmlformats.org/officeDocument/2006/relationships/hyperlink" Target="http://www.linkedin.com/company/clinica-cige" TargetMode="External"/><Relationship Id="rId1301" Type="http://schemas.openxmlformats.org/officeDocument/2006/relationships/hyperlink" Target="http://www.linkedin.com/company/hachi" TargetMode="External"/><Relationship Id="rId2632" Type="http://schemas.openxmlformats.org/officeDocument/2006/relationships/hyperlink" Target="http://www.linkedin.com/in/miguelfelizzola" TargetMode="External"/><Relationship Id="rId3964" Type="http://schemas.openxmlformats.org/officeDocument/2006/relationships/hyperlink" Target="https://qiratjewels.com" TargetMode="External"/><Relationship Id="rId1302" Type="http://schemas.openxmlformats.org/officeDocument/2006/relationships/hyperlink" Target="https://hachi.co" TargetMode="External"/><Relationship Id="rId2633" Type="http://schemas.openxmlformats.org/officeDocument/2006/relationships/hyperlink" Target="http://www.linkedin.com/company/enterkeyciberseguridad" TargetMode="External"/><Relationship Id="rId3963" Type="http://schemas.openxmlformats.org/officeDocument/2006/relationships/hyperlink" Target="http://www.linkedin.com/company/qirat-fine-jewelry" TargetMode="External"/><Relationship Id="rId1303" Type="http://schemas.openxmlformats.org/officeDocument/2006/relationships/hyperlink" Target="http://www.linkedin.com/in/adriana-vergara-89b428339" TargetMode="External"/><Relationship Id="rId2634" Type="http://schemas.openxmlformats.org/officeDocument/2006/relationships/hyperlink" Target="https://enterkey.us" TargetMode="External"/><Relationship Id="rId3966" Type="http://schemas.openxmlformats.org/officeDocument/2006/relationships/hyperlink" Target="http://www.linkedin.com/company/tbbcai" TargetMode="External"/><Relationship Id="rId1304" Type="http://schemas.openxmlformats.org/officeDocument/2006/relationships/hyperlink" Target="http://www.linkedin.com/company/meetalfredofficial" TargetMode="External"/><Relationship Id="rId2635" Type="http://schemas.openxmlformats.org/officeDocument/2006/relationships/hyperlink" Target="http://www.linkedin.com/in/henry-m-pulido-f-b9252014" TargetMode="External"/><Relationship Id="rId3965" Type="http://schemas.openxmlformats.org/officeDocument/2006/relationships/hyperlink" Target="http://www.linkedin.com/in/luis-rojas-98449a27" TargetMode="External"/><Relationship Id="rId1305" Type="http://schemas.openxmlformats.org/officeDocument/2006/relationships/hyperlink" Target="https://meetalfred.com" TargetMode="External"/><Relationship Id="rId2636" Type="http://schemas.openxmlformats.org/officeDocument/2006/relationships/hyperlink" Target="http://www.linkedin.com/company/xoftix" TargetMode="External"/><Relationship Id="rId3968" Type="http://schemas.openxmlformats.org/officeDocument/2006/relationships/hyperlink" Target="http://www.linkedin.com/in/daniela-lopera" TargetMode="External"/><Relationship Id="rId1306" Type="http://schemas.openxmlformats.org/officeDocument/2006/relationships/hyperlink" Target="http://www.linkedin.com/in/julian-rodriguez-analytics" TargetMode="External"/><Relationship Id="rId2637" Type="http://schemas.openxmlformats.org/officeDocument/2006/relationships/hyperlink" Target="https://xoftix.com" TargetMode="External"/><Relationship Id="rId3967" Type="http://schemas.openxmlformats.org/officeDocument/2006/relationships/hyperlink" Target="https://tbbc.ai" TargetMode="External"/><Relationship Id="rId1307" Type="http://schemas.openxmlformats.org/officeDocument/2006/relationships/hyperlink" Target="http://www.linkedin.com/company/datmind" TargetMode="External"/><Relationship Id="rId2638" Type="http://schemas.openxmlformats.org/officeDocument/2006/relationships/hyperlink" Target="http://www.linkedin.com/in/andr%c3%a9s-felipe-torres-rueda-61b2a7139" TargetMode="External"/><Relationship Id="rId1308" Type="http://schemas.openxmlformats.org/officeDocument/2006/relationships/hyperlink" Target="https://datmindgroup.com" TargetMode="External"/><Relationship Id="rId2639" Type="http://schemas.openxmlformats.org/officeDocument/2006/relationships/hyperlink" Target="http://www.linkedin.com/company/prami-co" TargetMode="External"/><Relationship Id="rId3969" Type="http://schemas.openxmlformats.org/officeDocument/2006/relationships/hyperlink" Target="http://www.linkedin.com/company/skywards-group" TargetMode="External"/><Relationship Id="rId1309" Type="http://schemas.openxmlformats.org/officeDocument/2006/relationships/hyperlink" Target="http://www.linkedin.com/in/javier-casella" TargetMode="External"/><Relationship Id="rId719" Type="http://schemas.openxmlformats.org/officeDocument/2006/relationships/hyperlink" Target="http://www.linkedin.com/in/adriana-grillo-correa-8014aa64" TargetMode="External"/><Relationship Id="rId718" Type="http://schemas.openxmlformats.org/officeDocument/2006/relationships/hyperlink" Target="https://guane.com.co" TargetMode="External"/><Relationship Id="rId717" Type="http://schemas.openxmlformats.org/officeDocument/2006/relationships/hyperlink" Target="http://www.linkedin.com/company/guaneai" TargetMode="External"/><Relationship Id="rId712" Type="http://schemas.openxmlformats.org/officeDocument/2006/relationships/hyperlink" Target="https://kargoru.com" TargetMode="External"/><Relationship Id="rId711" Type="http://schemas.openxmlformats.org/officeDocument/2006/relationships/hyperlink" Target="http://www.linkedin.com/company/kargoru2020" TargetMode="External"/><Relationship Id="rId710" Type="http://schemas.openxmlformats.org/officeDocument/2006/relationships/hyperlink" Target="http://www.linkedin.com/in/ricardo-wills-1a6706112" TargetMode="External"/><Relationship Id="rId716" Type="http://schemas.openxmlformats.org/officeDocument/2006/relationships/hyperlink" Target="http://www.linkedin.com/in/lapachonc" TargetMode="External"/><Relationship Id="rId715" Type="http://schemas.openxmlformats.org/officeDocument/2006/relationships/hyperlink" Target="https://softcomputo.com.co" TargetMode="External"/><Relationship Id="rId714" Type="http://schemas.openxmlformats.org/officeDocument/2006/relationships/hyperlink" Target="http://www.linkedin.com/company/softcomputo" TargetMode="External"/><Relationship Id="rId713" Type="http://schemas.openxmlformats.org/officeDocument/2006/relationships/hyperlink" Target="http://www.linkedin.com/in/edwin-quintana-a810593a" TargetMode="External"/><Relationship Id="rId3960" Type="http://schemas.openxmlformats.org/officeDocument/2006/relationships/hyperlink" Target="http://www.linkedin.com/company/soybluecv" TargetMode="External"/><Relationship Id="rId2630" Type="http://schemas.openxmlformats.org/officeDocument/2006/relationships/hyperlink" Target="http://www.linkedin.com/company/ecospace-soluciones-inteligentes" TargetMode="External"/><Relationship Id="rId3962" Type="http://schemas.openxmlformats.org/officeDocument/2006/relationships/hyperlink" Target="http://www.linkedin.com/in/isabella-otero-jim%c3%a9nez-80812139" TargetMode="External"/><Relationship Id="rId1300" Type="http://schemas.openxmlformats.org/officeDocument/2006/relationships/hyperlink" Target="http://www.linkedin.com/in/carloscaci" TargetMode="External"/><Relationship Id="rId2631" Type="http://schemas.openxmlformats.org/officeDocument/2006/relationships/hyperlink" Target="https://ecospace.design" TargetMode="External"/><Relationship Id="rId3961" Type="http://schemas.openxmlformats.org/officeDocument/2006/relationships/hyperlink" Target="https://bluecv.com.co" TargetMode="External"/><Relationship Id="rId3117" Type="http://schemas.openxmlformats.org/officeDocument/2006/relationships/hyperlink" Target="http://www.linkedin.com/in/felipe-vallejo-4aa27033" TargetMode="External"/><Relationship Id="rId4448" Type="http://schemas.openxmlformats.org/officeDocument/2006/relationships/hyperlink" Target="http://www.linkedin.com/company/unisabialms" TargetMode="External"/><Relationship Id="rId3116" Type="http://schemas.openxmlformats.org/officeDocument/2006/relationships/hyperlink" Target="https://eapnetwork.net" TargetMode="External"/><Relationship Id="rId4447" Type="http://schemas.openxmlformats.org/officeDocument/2006/relationships/hyperlink" Target="http://www.linkedin.com/in/estefania-valenciar" TargetMode="External"/><Relationship Id="rId3119" Type="http://schemas.openxmlformats.org/officeDocument/2006/relationships/hyperlink" Target="https://powerp.co" TargetMode="External"/><Relationship Id="rId3118" Type="http://schemas.openxmlformats.org/officeDocument/2006/relationships/hyperlink" Target="http://www.linkedin.com/company/pow-erp" TargetMode="External"/><Relationship Id="rId4449" Type="http://schemas.openxmlformats.org/officeDocument/2006/relationships/hyperlink" Target="http://www.linkedin.com/in/carlosarturoherrera" TargetMode="External"/><Relationship Id="rId4440" Type="http://schemas.openxmlformats.org/officeDocument/2006/relationships/hyperlink" Target="http://www.linkedin.com/company/neuttroco" TargetMode="External"/><Relationship Id="rId3111" Type="http://schemas.openxmlformats.org/officeDocument/2006/relationships/hyperlink" Target="http://www.linkedin.com/in/juandlr1" TargetMode="External"/><Relationship Id="rId4442" Type="http://schemas.openxmlformats.org/officeDocument/2006/relationships/hyperlink" Target="http://www.linkedin.com/company/sisapcol" TargetMode="External"/><Relationship Id="rId3110" Type="http://schemas.openxmlformats.org/officeDocument/2006/relationships/hyperlink" Target="https://j2ksec.com" TargetMode="External"/><Relationship Id="rId4441" Type="http://schemas.openxmlformats.org/officeDocument/2006/relationships/hyperlink" Target="http://www.linkedin.com/in/uldihiguera" TargetMode="External"/><Relationship Id="rId3113" Type="http://schemas.openxmlformats.org/officeDocument/2006/relationships/hyperlink" Target="https://indielevelstudio.com" TargetMode="External"/><Relationship Id="rId4444" Type="http://schemas.openxmlformats.org/officeDocument/2006/relationships/hyperlink" Target="http://www.linkedin.com/company/infinity-education-estudios-en-el-exterior" TargetMode="External"/><Relationship Id="rId3112" Type="http://schemas.openxmlformats.org/officeDocument/2006/relationships/hyperlink" Target="http://www.linkedin.com/company/indie-level-studio-co" TargetMode="External"/><Relationship Id="rId4443" Type="http://schemas.openxmlformats.org/officeDocument/2006/relationships/hyperlink" Target="http://www.linkedin.com/in/rodrigo-bastidas-guerra-991b768" TargetMode="External"/><Relationship Id="rId3115" Type="http://schemas.openxmlformats.org/officeDocument/2006/relationships/hyperlink" Target="http://www.linkedin.com/company/eapnetwork" TargetMode="External"/><Relationship Id="rId4446" Type="http://schemas.openxmlformats.org/officeDocument/2006/relationships/hyperlink" Target="http://www.linkedin.com/company/kmeleontech" TargetMode="External"/><Relationship Id="rId3114" Type="http://schemas.openxmlformats.org/officeDocument/2006/relationships/hyperlink" Target="http://www.linkedin.com/in/dmartinezo" TargetMode="External"/><Relationship Id="rId4445" Type="http://schemas.openxmlformats.org/officeDocument/2006/relationships/hyperlink" Target="http://www.linkedin.com/in/estebanpalma" TargetMode="External"/><Relationship Id="rId3106" Type="http://schemas.openxmlformats.org/officeDocument/2006/relationships/hyperlink" Target="http://www.linkedin.com/company/moveproyectos" TargetMode="External"/><Relationship Id="rId4437" Type="http://schemas.openxmlformats.org/officeDocument/2006/relationships/hyperlink" Target="http://www.linkedin.com/in/smendoza89" TargetMode="External"/><Relationship Id="rId3105" Type="http://schemas.openxmlformats.org/officeDocument/2006/relationships/hyperlink" Target="http://www.linkedin.com/in/armando-felipe-pomarico-702048a3" TargetMode="External"/><Relationship Id="rId4436" Type="http://schemas.openxmlformats.org/officeDocument/2006/relationships/hyperlink" Target="http://www.linkedin.com/company/mevi-salud-ips" TargetMode="External"/><Relationship Id="rId3108" Type="http://schemas.openxmlformats.org/officeDocument/2006/relationships/hyperlink" Target="http://www.linkedin.com/in/orlando-sarmiento-franco-3b364080" TargetMode="External"/><Relationship Id="rId4439" Type="http://schemas.openxmlformats.org/officeDocument/2006/relationships/hyperlink" Target="http://www.linkedin.com/in/valeriamejia" TargetMode="External"/><Relationship Id="rId3107" Type="http://schemas.openxmlformats.org/officeDocument/2006/relationships/hyperlink" Target="https://mo-ve.co" TargetMode="External"/><Relationship Id="rId4438" Type="http://schemas.openxmlformats.org/officeDocument/2006/relationships/hyperlink" Target="http://www.linkedin.com/company/pangea-natural-products" TargetMode="External"/><Relationship Id="rId3109" Type="http://schemas.openxmlformats.org/officeDocument/2006/relationships/hyperlink" Target="http://www.linkedin.com/company/j2ksec" TargetMode="External"/><Relationship Id="rId3100" Type="http://schemas.openxmlformats.org/officeDocument/2006/relationships/hyperlink" Target="http://www.linkedin.com/company/adatec-colombia" TargetMode="External"/><Relationship Id="rId4431" Type="http://schemas.openxmlformats.org/officeDocument/2006/relationships/hyperlink" Target="http://www.linkedin.com/in/miltonmgalvanm" TargetMode="External"/><Relationship Id="rId4430" Type="http://schemas.openxmlformats.org/officeDocument/2006/relationships/hyperlink" Target="http://www.linkedin.com/company/ombiaco" TargetMode="External"/><Relationship Id="rId3102" Type="http://schemas.openxmlformats.org/officeDocument/2006/relationships/hyperlink" Target="http://www.linkedin.com/in/hugo-c%c3%a1rdenas-34290639" TargetMode="External"/><Relationship Id="rId4433" Type="http://schemas.openxmlformats.org/officeDocument/2006/relationships/hyperlink" Target="http://www.linkedin.com/in/juanantoniopizarro" TargetMode="External"/><Relationship Id="rId3101" Type="http://schemas.openxmlformats.org/officeDocument/2006/relationships/hyperlink" Target="https://adatec.co" TargetMode="External"/><Relationship Id="rId4432" Type="http://schemas.openxmlformats.org/officeDocument/2006/relationships/hyperlink" Target="http://www.linkedin.com/company/binstarh" TargetMode="External"/><Relationship Id="rId3104" Type="http://schemas.openxmlformats.org/officeDocument/2006/relationships/hyperlink" Target="https://strattegi.com.co" TargetMode="External"/><Relationship Id="rId4435" Type="http://schemas.openxmlformats.org/officeDocument/2006/relationships/hyperlink" Target="http://www.linkedin.com/in/andreagrossohz" TargetMode="External"/><Relationship Id="rId3103" Type="http://schemas.openxmlformats.org/officeDocument/2006/relationships/hyperlink" Target="http://www.linkedin.com/company/strattegi-colombia" TargetMode="External"/><Relationship Id="rId4434" Type="http://schemas.openxmlformats.org/officeDocument/2006/relationships/hyperlink" Target="http://www.linkedin.com/company/periplia" TargetMode="External"/><Relationship Id="rId3139" Type="http://schemas.openxmlformats.org/officeDocument/2006/relationships/hyperlink" Target="http://www.linkedin.com/company/globali.tech" TargetMode="External"/><Relationship Id="rId3138" Type="http://schemas.openxmlformats.org/officeDocument/2006/relationships/hyperlink" Target="http://www.linkedin.com/in/jorgeivancontrerasp" TargetMode="External"/><Relationship Id="rId4469" Type="http://schemas.openxmlformats.org/officeDocument/2006/relationships/hyperlink" Target="http://www.linkedin.com/in/gabriel-castillo-szpoganicz-doc-doc" TargetMode="External"/><Relationship Id="rId4460" Type="http://schemas.openxmlformats.org/officeDocument/2006/relationships/hyperlink" Target="http://www.linkedin.com/company/banco-de-empleo" TargetMode="External"/><Relationship Id="rId3131" Type="http://schemas.openxmlformats.org/officeDocument/2006/relationships/hyperlink" Target="https://smartalentit.com" TargetMode="External"/><Relationship Id="rId4462" Type="http://schemas.openxmlformats.org/officeDocument/2006/relationships/hyperlink" Target="http://www.linkedin.com/company/soluciones-geniales" TargetMode="External"/><Relationship Id="rId3130" Type="http://schemas.openxmlformats.org/officeDocument/2006/relationships/hyperlink" Target="http://www.linkedin.com/company/smartalent-it" TargetMode="External"/><Relationship Id="rId4461" Type="http://schemas.openxmlformats.org/officeDocument/2006/relationships/hyperlink" Target="http://www.linkedin.com/in/rafael-eduardo-pradilla-rueda-1748b2168" TargetMode="External"/><Relationship Id="rId3133" Type="http://schemas.openxmlformats.org/officeDocument/2006/relationships/hyperlink" Target="http://www.linkedin.com/company/azteclab" TargetMode="External"/><Relationship Id="rId4464" Type="http://schemas.openxmlformats.org/officeDocument/2006/relationships/hyperlink" Target="http://www.linkedin.com/company/camerfirmacolombia" TargetMode="External"/><Relationship Id="rId3132" Type="http://schemas.openxmlformats.org/officeDocument/2006/relationships/hyperlink" Target="http://www.linkedin.com/in/zarruk" TargetMode="External"/><Relationship Id="rId4463" Type="http://schemas.openxmlformats.org/officeDocument/2006/relationships/hyperlink" Target="http://www.linkedin.com/in/jose-fernando-medina-4a3b682a" TargetMode="External"/><Relationship Id="rId3135" Type="http://schemas.openxmlformats.org/officeDocument/2006/relationships/hyperlink" Target="http://www.linkedin.com/in/juan-camilo-ni%c3%b1o-estratega" TargetMode="External"/><Relationship Id="rId4466" Type="http://schemas.openxmlformats.org/officeDocument/2006/relationships/hyperlink" Target="http://www.linkedin.com/company/mono-la" TargetMode="External"/><Relationship Id="rId3134" Type="http://schemas.openxmlformats.org/officeDocument/2006/relationships/hyperlink" Target="https://azteclab.co" TargetMode="External"/><Relationship Id="rId4465" Type="http://schemas.openxmlformats.org/officeDocument/2006/relationships/hyperlink" Target="http://www.linkedin.com/in/juan-camilo-poveda" TargetMode="External"/><Relationship Id="rId3137" Type="http://schemas.openxmlformats.org/officeDocument/2006/relationships/hyperlink" Target="https://nexponente.com" TargetMode="External"/><Relationship Id="rId4468" Type="http://schemas.openxmlformats.org/officeDocument/2006/relationships/hyperlink" Target="http://www.linkedin.com/company/tpaga" TargetMode="External"/><Relationship Id="rId3136" Type="http://schemas.openxmlformats.org/officeDocument/2006/relationships/hyperlink" Target="http://www.linkedin.com/company/n-exponente" TargetMode="External"/><Relationship Id="rId4467" Type="http://schemas.openxmlformats.org/officeDocument/2006/relationships/hyperlink" Target="http://www.linkedin.com/in/marco-aramburo-9010a533" TargetMode="External"/><Relationship Id="rId3128" Type="http://schemas.openxmlformats.org/officeDocument/2006/relationships/hyperlink" Target="https://teknika.com.co" TargetMode="External"/><Relationship Id="rId4459" Type="http://schemas.openxmlformats.org/officeDocument/2006/relationships/hyperlink" Target="http://www.linkedin.com/in/andres-eduardo-moreno" TargetMode="External"/><Relationship Id="rId3127" Type="http://schemas.openxmlformats.org/officeDocument/2006/relationships/hyperlink" Target="http://www.linkedin.com/company/teknikasas" TargetMode="External"/><Relationship Id="rId4458" Type="http://schemas.openxmlformats.org/officeDocument/2006/relationships/hyperlink" Target="http://www.linkedin.com/company/guamacard" TargetMode="External"/><Relationship Id="rId3129" Type="http://schemas.openxmlformats.org/officeDocument/2006/relationships/hyperlink" Target="http://www.linkedin.com/in/santiagovelezr" TargetMode="External"/><Relationship Id="rId3120" Type="http://schemas.openxmlformats.org/officeDocument/2006/relationships/hyperlink" Target="http://www.linkedin.com/in/monicaforerobotero" TargetMode="External"/><Relationship Id="rId4451" Type="http://schemas.openxmlformats.org/officeDocument/2006/relationships/hyperlink" Target="http://www.linkedin.com/in/julianamaya" TargetMode="External"/><Relationship Id="rId4450" Type="http://schemas.openxmlformats.org/officeDocument/2006/relationships/hyperlink" Target="http://www.linkedin.com/company/integrati" TargetMode="External"/><Relationship Id="rId3122" Type="http://schemas.openxmlformats.org/officeDocument/2006/relationships/hyperlink" Target="https://aispaces.ai" TargetMode="External"/><Relationship Id="rId4453" Type="http://schemas.openxmlformats.org/officeDocument/2006/relationships/hyperlink" Target="http://www.linkedin.com/in/angelguerraa" TargetMode="External"/><Relationship Id="rId3121" Type="http://schemas.openxmlformats.org/officeDocument/2006/relationships/hyperlink" Target="http://www.linkedin.com/company/aispacesai" TargetMode="External"/><Relationship Id="rId4452" Type="http://schemas.openxmlformats.org/officeDocument/2006/relationships/hyperlink" Target="http://www.linkedin.com/company/geniepm" TargetMode="External"/><Relationship Id="rId3124" Type="http://schemas.openxmlformats.org/officeDocument/2006/relationships/hyperlink" Target="http://www.linkedin.com/company/iclfreight" TargetMode="External"/><Relationship Id="rId4455" Type="http://schemas.openxmlformats.org/officeDocument/2006/relationships/hyperlink" Target="http://www.linkedin.com/in/juancamilocaldasm" TargetMode="External"/><Relationship Id="rId3123" Type="http://schemas.openxmlformats.org/officeDocument/2006/relationships/hyperlink" Target="http://www.linkedin.com/in/luisa-fernanda-ni%c3%b1o-b643381b9" TargetMode="External"/><Relationship Id="rId4454" Type="http://schemas.openxmlformats.org/officeDocument/2006/relationships/hyperlink" Target="http://www.linkedin.com/company/quirogalawoffice" TargetMode="External"/><Relationship Id="rId3126" Type="http://schemas.openxmlformats.org/officeDocument/2006/relationships/hyperlink" Target="http://www.linkedin.com/in/javier-hernandez-088737130" TargetMode="External"/><Relationship Id="rId4457" Type="http://schemas.openxmlformats.org/officeDocument/2006/relationships/hyperlink" Target="http://www.linkedin.com/in/alfredo-prieto" TargetMode="External"/><Relationship Id="rId3125" Type="http://schemas.openxmlformats.org/officeDocument/2006/relationships/hyperlink" Target="https://iclfreight.net" TargetMode="External"/><Relationship Id="rId4456" Type="http://schemas.openxmlformats.org/officeDocument/2006/relationships/hyperlink" Target="http://www.linkedin.com/company/velinofoods" TargetMode="External"/><Relationship Id="rId1378" Type="http://schemas.openxmlformats.org/officeDocument/2006/relationships/hyperlink" Target="http://www.linkedin.com/in/sammy-shaheen" TargetMode="External"/><Relationship Id="rId4404" Type="http://schemas.openxmlformats.org/officeDocument/2006/relationships/hyperlink" Target="http://www.linkedin.com/company/creangel" TargetMode="External"/><Relationship Id="rId1379" Type="http://schemas.openxmlformats.org/officeDocument/2006/relationships/hyperlink" Target="http://www.linkedin.com/company/unicorn-medical-weight-loss" TargetMode="External"/><Relationship Id="rId4403" Type="http://schemas.openxmlformats.org/officeDocument/2006/relationships/hyperlink" Target="http://www.linkedin.com/in/angelo-rodriguez-8118b212" TargetMode="External"/><Relationship Id="rId4406" Type="http://schemas.openxmlformats.org/officeDocument/2006/relationships/hyperlink" Target="http://www.linkedin.com/company/my-electricos-sas" TargetMode="External"/><Relationship Id="rId4405" Type="http://schemas.openxmlformats.org/officeDocument/2006/relationships/hyperlink" Target="http://www.linkedin.com/in/gustavo-ortiz-fl%c3%b3rez-663b0533" TargetMode="External"/><Relationship Id="rId4408" Type="http://schemas.openxmlformats.org/officeDocument/2006/relationships/hyperlink" Target="http://www.linkedin.com/company/natupla" TargetMode="External"/><Relationship Id="rId4407" Type="http://schemas.openxmlformats.org/officeDocument/2006/relationships/hyperlink" Target="http://www.linkedin.com/in/katerincarrillo" TargetMode="External"/><Relationship Id="rId4409" Type="http://schemas.openxmlformats.org/officeDocument/2006/relationships/hyperlink" Target="http://www.linkedin.com/in/andres-argoti" TargetMode="External"/><Relationship Id="rId789" Type="http://schemas.openxmlformats.org/officeDocument/2006/relationships/hyperlink" Target="http://www.linkedin.com/in/diego-andres-caro-martinez-a7617057" TargetMode="External"/><Relationship Id="rId788" Type="http://schemas.openxmlformats.org/officeDocument/2006/relationships/hyperlink" Target="https://educacionestrella.com" TargetMode="External"/><Relationship Id="rId787" Type="http://schemas.openxmlformats.org/officeDocument/2006/relationships/hyperlink" Target="http://www.linkedin.com/company/educacion-estrella" TargetMode="External"/><Relationship Id="rId786" Type="http://schemas.openxmlformats.org/officeDocument/2006/relationships/hyperlink" Target="http://www.linkedin.com/in/luiscedeno1" TargetMode="External"/><Relationship Id="rId781" Type="http://schemas.openxmlformats.org/officeDocument/2006/relationships/hyperlink" Target="http://www.linkedin.com/company/sales-gen" TargetMode="External"/><Relationship Id="rId1370" Type="http://schemas.openxmlformats.org/officeDocument/2006/relationships/hyperlink" Target="http://www.linkedin.com/company/somostolead" TargetMode="External"/><Relationship Id="rId780" Type="http://schemas.openxmlformats.org/officeDocument/2006/relationships/hyperlink" Target="http://www.linkedin.com/in/juandavidhurtadoacero-salesmanager" TargetMode="External"/><Relationship Id="rId1371" Type="http://schemas.openxmlformats.org/officeDocument/2006/relationships/hyperlink" Target="https://tolead.co" TargetMode="External"/><Relationship Id="rId1372" Type="http://schemas.openxmlformats.org/officeDocument/2006/relationships/hyperlink" Target="http://www.linkedin.com/in/murcia-mora-abogados" TargetMode="External"/><Relationship Id="rId1373" Type="http://schemas.openxmlformats.org/officeDocument/2006/relationships/hyperlink" Target="http://www.linkedin.com/company/synergie-th" TargetMode="External"/><Relationship Id="rId785" Type="http://schemas.openxmlformats.org/officeDocument/2006/relationships/hyperlink" Target="https://vureloapp.com" TargetMode="External"/><Relationship Id="rId1374" Type="http://schemas.openxmlformats.org/officeDocument/2006/relationships/hyperlink" Target="https://synergie.com.co" TargetMode="External"/><Relationship Id="rId4400" Type="http://schemas.openxmlformats.org/officeDocument/2006/relationships/hyperlink" Target="http://www.linkedin.com/company/spiritlinc" TargetMode="External"/><Relationship Id="rId784" Type="http://schemas.openxmlformats.org/officeDocument/2006/relationships/hyperlink" Target="http://www.linkedin.com/company/vureloapp" TargetMode="External"/><Relationship Id="rId1375" Type="http://schemas.openxmlformats.org/officeDocument/2006/relationships/hyperlink" Target="http://www.linkedin.com/in/carolinatorourrea" TargetMode="External"/><Relationship Id="rId783" Type="http://schemas.openxmlformats.org/officeDocument/2006/relationships/hyperlink" Target="http://www.linkedin.com/in/camilo-su%c3%a1rez-venegas-a703b91a7" TargetMode="External"/><Relationship Id="rId1376" Type="http://schemas.openxmlformats.org/officeDocument/2006/relationships/hyperlink" Target="http://www.linkedin.com/company/enricai" TargetMode="External"/><Relationship Id="rId4402" Type="http://schemas.openxmlformats.org/officeDocument/2006/relationships/hyperlink" Target="http://www.linkedin.com/company/energexsa" TargetMode="External"/><Relationship Id="rId782" Type="http://schemas.openxmlformats.org/officeDocument/2006/relationships/hyperlink" Target="https://salesgeneration.ai" TargetMode="External"/><Relationship Id="rId1377" Type="http://schemas.openxmlformats.org/officeDocument/2006/relationships/hyperlink" Target="https://enric.ai" TargetMode="External"/><Relationship Id="rId4401" Type="http://schemas.openxmlformats.org/officeDocument/2006/relationships/hyperlink" Target="http://www.linkedin.com/in/gustavoagomezb" TargetMode="External"/><Relationship Id="rId1367" Type="http://schemas.openxmlformats.org/officeDocument/2006/relationships/hyperlink" Target="http://www.linkedin.com/company/ciclicol" TargetMode="External"/><Relationship Id="rId2698" Type="http://schemas.openxmlformats.org/officeDocument/2006/relationships/hyperlink" Target="http://www.linkedin.com/in/lbchicaiza" TargetMode="External"/><Relationship Id="rId1368" Type="http://schemas.openxmlformats.org/officeDocument/2006/relationships/hyperlink" Target="https://ciclico.com.co" TargetMode="External"/><Relationship Id="rId2699" Type="http://schemas.openxmlformats.org/officeDocument/2006/relationships/hyperlink" Target="http://www.linkedin.com/company/dexon-software" TargetMode="External"/><Relationship Id="rId1369" Type="http://schemas.openxmlformats.org/officeDocument/2006/relationships/hyperlink" Target="http://www.linkedin.com/in/lilianaescobarloaiza" TargetMode="External"/><Relationship Id="rId778" Type="http://schemas.openxmlformats.org/officeDocument/2006/relationships/hyperlink" Target="http://www.linkedin.com/company/astratecoficialcol" TargetMode="External"/><Relationship Id="rId777" Type="http://schemas.openxmlformats.org/officeDocument/2006/relationships/hyperlink" Target="http://www.linkedin.com/in/juancmancera" TargetMode="External"/><Relationship Id="rId776" Type="http://schemas.openxmlformats.org/officeDocument/2006/relationships/hyperlink" Target="https://humanoscontalento.com.co" TargetMode="External"/><Relationship Id="rId775" Type="http://schemas.openxmlformats.org/officeDocument/2006/relationships/hyperlink" Target="http://www.linkedin.com/company/humanos-con-talento-col" TargetMode="External"/><Relationship Id="rId779" Type="http://schemas.openxmlformats.org/officeDocument/2006/relationships/hyperlink" Target="https://astratec.app" TargetMode="External"/><Relationship Id="rId770" Type="http://schemas.openxmlformats.org/officeDocument/2006/relationships/hyperlink" Target="https://higgsfoods.com" TargetMode="External"/><Relationship Id="rId2690" Type="http://schemas.openxmlformats.org/officeDocument/2006/relationships/hyperlink" Target="http://www.linkedin.com/company/gpro-colombia-ltda" TargetMode="External"/><Relationship Id="rId1360" Type="http://schemas.openxmlformats.org/officeDocument/2006/relationships/hyperlink" Target="http://www.linkedin.com/in/laura-serrano-b1ba80a5" TargetMode="External"/><Relationship Id="rId2691" Type="http://schemas.openxmlformats.org/officeDocument/2006/relationships/hyperlink" Target="https://gprocolombia.com" TargetMode="External"/><Relationship Id="rId1361" Type="http://schemas.openxmlformats.org/officeDocument/2006/relationships/hyperlink" Target="http://www.linkedin.com/company/hefycolombia" TargetMode="External"/><Relationship Id="rId2692" Type="http://schemas.openxmlformats.org/officeDocument/2006/relationships/hyperlink" Target="http://www.linkedin.com/in/andresdiazgranados" TargetMode="External"/><Relationship Id="rId1362" Type="http://schemas.openxmlformats.org/officeDocument/2006/relationships/hyperlink" Target="https://efy.com.co" TargetMode="External"/><Relationship Id="rId2693" Type="http://schemas.openxmlformats.org/officeDocument/2006/relationships/hyperlink" Target="http://www.linkedin.com/company/scouty-co" TargetMode="External"/><Relationship Id="rId774" Type="http://schemas.openxmlformats.org/officeDocument/2006/relationships/hyperlink" Target="http://www.linkedin.com/in/deisy-botero-b61846331" TargetMode="External"/><Relationship Id="rId1363" Type="http://schemas.openxmlformats.org/officeDocument/2006/relationships/hyperlink" Target="http://www.linkedin.com/in/luisgermanquintero" TargetMode="External"/><Relationship Id="rId2694" Type="http://schemas.openxmlformats.org/officeDocument/2006/relationships/hyperlink" Target="https://scouty.com.co" TargetMode="External"/><Relationship Id="rId773" Type="http://schemas.openxmlformats.org/officeDocument/2006/relationships/hyperlink" Target="https://tryatria.ai" TargetMode="External"/><Relationship Id="rId1364" Type="http://schemas.openxmlformats.org/officeDocument/2006/relationships/hyperlink" Target="http://www.linkedin.com/company/people-link-consulting" TargetMode="External"/><Relationship Id="rId2695" Type="http://schemas.openxmlformats.org/officeDocument/2006/relationships/hyperlink" Target="http://www.linkedin.com/in/katie-bilek-161612a" TargetMode="External"/><Relationship Id="rId772" Type="http://schemas.openxmlformats.org/officeDocument/2006/relationships/hyperlink" Target="http://www.linkedin.com/company/tryatria-ai" TargetMode="External"/><Relationship Id="rId1365" Type="http://schemas.openxmlformats.org/officeDocument/2006/relationships/hyperlink" Target="https://peoplelink.com.co" TargetMode="External"/><Relationship Id="rId2696" Type="http://schemas.openxmlformats.org/officeDocument/2006/relationships/hyperlink" Target="http://www.linkedin.com/company/govmates" TargetMode="External"/><Relationship Id="rId771" Type="http://schemas.openxmlformats.org/officeDocument/2006/relationships/hyperlink" Target="http://www.linkedin.com/in/ricardo-echavarria-villegas-24ab44157" TargetMode="External"/><Relationship Id="rId1366" Type="http://schemas.openxmlformats.org/officeDocument/2006/relationships/hyperlink" Target="http://www.linkedin.com/in/santiago-fajardo-bocanegra" TargetMode="External"/><Relationship Id="rId2697" Type="http://schemas.openxmlformats.org/officeDocument/2006/relationships/hyperlink" Target="https://govmates.com" TargetMode="External"/><Relationship Id="rId4426" Type="http://schemas.openxmlformats.org/officeDocument/2006/relationships/hyperlink" Target="http://www.linkedin.com/company/incomelec-s.a.s." TargetMode="External"/><Relationship Id="rId4425" Type="http://schemas.openxmlformats.org/officeDocument/2006/relationships/hyperlink" Target="http://www.linkedin.com/in/kris-de-sutter-68a09110a" TargetMode="External"/><Relationship Id="rId4428" Type="http://schemas.openxmlformats.org/officeDocument/2006/relationships/hyperlink" Target="http://www.linkedin.com/company/psiris" TargetMode="External"/><Relationship Id="rId4427" Type="http://schemas.openxmlformats.org/officeDocument/2006/relationships/hyperlink" Target="http://www.linkedin.com/in/veronica-marquez-barraquer" TargetMode="External"/><Relationship Id="rId4429" Type="http://schemas.openxmlformats.org/officeDocument/2006/relationships/hyperlink" Target="http://www.linkedin.com/in/hernando-celed%c3%b3n-52370b80" TargetMode="External"/><Relationship Id="rId1390" Type="http://schemas.openxmlformats.org/officeDocument/2006/relationships/hyperlink" Target="http://www.linkedin.com/in/juan-pablo-cadavid-0ab5a6a" TargetMode="External"/><Relationship Id="rId1391" Type="http://schemas.openxmlformats.org/officeDocument/2006/relationships/hyperlink" Target="http://www.linkedin.com/company/taurus-capital-s-a-s" TargetMode="External"/><Relationship Id="rId1392" Type="http://schemas.openxmlformats.org/officeDocument/2006/relationships/hyperlink" Target="https://tcapital.com.co" TargetMode="External"/><Relationship Id="rId1393" Type="http://schemas.openxmlformats.org/officeDocument/2006/relationships/hyperlink" Target="http://www.linkedin.com/in/ingcristiangonzalez" TargetMode="External"/><Relationship Id="rId1394" Type="http://schemas.openxmlformats.org/officeDocument/2006/relationships/hyperlink" Target="http://www.linkedin.com/company/ccg-consultoria-e-ingenieria" TargetMode="External"/><Relationship Id="rId4420" Type="http://schemas.openxmlformats.org/officeDocument/2006/relationships/hyperlink" Target="http://www.linkedin.com/company/nextstop-cargo" TargetMode="External"/><Relationship Id="rId1395" Type="http://schemas.openxmlformats.org/officeDocument/2006/relationships/hyperlink" Target="https://ccgconsultoria.com.co" TargetMode="External"/><Relationship Id="rId1396" Type="http://schemas.openxmlformats.org/officeDocument/2006/relationships/hyperlink" Target="http://www.linkedin.com/in/linamariavasquez" TargetMode="External"/><Relationship Id="rId4422" Type="http://schemas.openxmlformats.org/officeDocument/2006/relationships/hyperlink" Target="http://www.linkedin.com/company/epidermique-sa" TargetMode="External"/><Relationship Id="rId1397" Type="http://schemas.openxmlformats.org/officeDocument/2006/relationships/hyperlink" Target="http://www.linkedin.com/company/the-gardens-sas" TargetMode="External"/><Relationship Id="rId4421" Type="http://schemas.openxmlformats.org/officeDocument/2006/relationships/hyperlink" Target="http://www.linkedin.com/in/jorge-leal-30855415" TargetMode="External"/><Relationship Id="rId1398" Type="http://schemas.openxmlformats.org/officeDocument/2006/relationships/hyperlink" Target="https://thegardenscorp.com" TargetMode="External"/><Relationship Id="rId4424" Type="http://schemas.openxmlformats.org/officeDocument/2006/relationships/hyperlink" Target="http://www.linkedin.com/company/mbanetworks" TargetMode="External"/><Relationship Id="rId1399" Type="http://schemas.openxmlformats.org/officeDocument/2006/relationships/hyperlink" Target="http://www.linkedin.com/in/jose-antonio-contreras-a015044a" TargetMode="External"/><Relationship Id="rId4423" Type="http://schemas.openxmlformats.org/officeDocument/2006/relationships/hyperlink" Target="http://www.linkedin.com/in/carlos-boshell-1991815" TargetMode="External"/><Relationship Id="rId1389" Type="http://schemas.openxmlformats.org/officeDocument/2006/relationships/hyperlink" Target="https://ryctel.com" TargetMode="External"/><Relationship Id="rId4415" Type="http://schemas.openxmlformats.org/officeDocument/2006/relationships/hyperlink" Target="http://www.linkedin.com/in/enrique-chac%c3%b3n-7a2561221" TargetMode="External"/><Relationship Id="rId4414" Type="http://schemas.openxmlformats.org/officeDocument/2006/relationships/hyperlink" Target="http://www.linkedin.com/company/codiplax" TargetMode="External"/><Relationship Id="rId4417" Type="http://schemas.openxmlformats.org/officeDocument/2006/relationships/hyperlink" Target="http://www.linkedin.com/in/doctorfede" TargetMode="External"/><Relationship Id="rId4416" Type="http://schemas.openxmlformats.org/officeDocument/2006/relationships/hyperlink" Target="http://www.linkedin.com/company/pagasullatam" TargetMode="External"/><Relationship Id="rId4419" Type="http://schemas.openxmlformats.org/officeDocument/2006/relationships/hyperlink" Target="http://www.linkedin.com/in/mauricio-echandia-zuluaga" TargetMode="External"/><Relationship Id="rId4418" Type="http://schemas.openxmlformats.org/officeDocument/2006/relationships/hyperlink" Target="http://www.linkedin.com/company/fulppi" TargetMode="External"/><Relationship Id="rId799" Type="http://schemas.openxmlformats.org/officeDocument/2006/relationships/hyperlink" Target="http://www.linkedin.com/company/imubli" TargetMode="External"/><Relationship Id="rId798" Type="http://schemas.openxmlformats.org/officeDocument/2006/relationships/hyperlink" Target="http://www.linkedin.com/in/jisseth-gomez" TargetMode="External"/><Relationship Id="rId797" Type="http://schemas.openxmlformats.org/officeDocument/2006/relationships/hyperlink" Target="https://reformai.eu" TargetMode="External"/><Relationship Id="rId1380" Type="http://schemas.openxmlformats.org/officeDocument/2006/relationships/hyperlink" Target="https://unicornmedispa.com" TargetMode="External"/><Relationship Id="rId792" Type="http://schemas.openxmlformats.org/officeDocument/2006/relationships/hyperlink" Target="http://www.linkedin.com/in/mortalpoison" TargetMode="External"/><Relationship Id="rId1381" Type="http://schemas.openxmlformats.org/officeDocument/2006/relationships/hyperlink" Target="http://www.linkedin.com/in/neil-y-41a14a1b4" TargetMode="External"/><Relationship Id="rId791" Type="http://schemas.openxmlformats.org/officeDocument/2006/relationships/hyperlink" Target="https://cyberis.co" TargetMode="External"/><Relationship Id="rId1382" Type="http://schemas.openxmlformats.org/officeDocument/2006/relationships/hyperlink" Target="http://www.linkedin.com/company/lakuenta" TargetMode="External"/><Relationship Id="rId790" Type="http://schemas.openxmlformats.org/officeDocument/2006/relationships/hyperlink" Target="http://www.linkedin.com/company/cyberisco" TargetMode="External"/><Relationship Id="rId1383" Type="http://schemas.openxmlformats.org/officeDocument/2006/relationships/hyperlink" Target="https://lakuenta.com" TargetMode="External"/><Relationship Id="rId1384" Type="http://schemas.openxmlformats.org/officeDocument/2006/relationships/hyperlink" Target="http://www.linkedin.com/in/pedrodiazmejia" TargetMode="External"/><Relationship Id="rId796" Type="http://schemas.openxmlformats.org/officeDocument/2006/relationships/hyperlink" Target="http://www.linkedin.com/company/reform-ai" TargetMode="External"/><Relationship Id="rId1385" Type="http://schemas.openxmlformats.org/officeDocument/2006/relationships/hyperlink" Target="http://www.linkedin.com/company/colocapayments" TargetMode="External"/><Relationship Id="rId4411" Type="http://schemas.openxmlformats.org/officeDocument/2006/relationships/hyperlink" Target="http://www.linkedin.com/in/camilo-p%c3%a9rez-82a27515a" TargetMode="External"/><Relationship Id="rId795" Type="http://schemas.openxmlformats.org/officeDocument/2006/relationships/hyperlink" Target="http://www.linkedin.com/in/david-trebilcock-67438b109" TargetMode="External"/><Relationship Id="rId1386" Type="http://schemas.openxmlformats.org/officeDocument/2006/relationships/hyperlink" Target="https://colocapayments.com" TargetMode="External"/><Relationship Id="rId4410" Type="http://schemas.openxmlformats.org/officeDocument/2006/relationships/hyperlink" Target="http://www.linkedin.com/company/signaip" TargetMode="External"/><Relationship Id="rId794" Type="http://schemas.openxmlformats.org/officeDocument/2006/relationships/hyperlink" Target="https://hawktesters.com" TargetMode="External"/><Relationship Id="rId1387" Type="http://schemas.openxmlformats.org/officeDocument/2006/relationships/hyperlink" Target="http://www.linkedin.com/in/juan-c-ramirez-69015a29" TargetMode="External"/><Relationship Id="rId4413" Type="http://schemas.openxmlformats.org/officeDocument/2006/relationships/hyperlink" Target="http://www.linkedin.com/in/lia-raquel-vargas-de-la-hoz" TargetMode="External"/><Relationship Id="rId793" Type="http://schemas.openxmlformats.org/officeDocument/2006/relationships/hyperlink" Target="http://www.linkedin.com/company/hawktesters" TargetMode="External"/><Relationship Id="rId1388" Type="http://schemas.openxmlformats.org/officeDocument/2006/relationships/hyperlink" Target="http://www.linkedin.com/company/ryctel" TargetMode="External"/><Relationship Id="rId4412" Type="http://schemas.openxmlformats.org/officeDocument/2006/relationships/hyperlink" Target="http://www.linkedin.com/company/hire-emerald" TargetMode="External"/><Relationship Id="rId3191" Type="http://schemas.openxmlformats.org/officeDocument/2006/relationships/hyperlink" Target="https://davinciconsultores.com" TargetMode="External"/><Relationship Id="rId3190" Type="http://schemas.openxmlformats.org/officeDocument/2006/relationships/hyperlink" Target="http://www.linkedin.com/company/davinciconsultores" TargetMode="External"/><Relationship Id="rId3193" Type="http://schemas.openxmlformats.org/officeDocument/2006/relationships/hyperlink" Target="http://www.linkedin.com/company/grcmax" TargetMode="External"/><Relationship Id="rId3192" Type="http://schemas.openxmlformats.org/officeDocument/2006/relationships/hyperlink" Target="http://www.linkedin.com/in/ricardo-vasquez-bernal-85998236" TargetMode="External"/><Relationship Id="rId3195" Type="http://schemas.openxmlformats.org/officeDocument/2006/relationships/hyperlink" Target="http://www.linkedin.com/in/anderson-mora-mendez-85b63267" TargetMode="External"/><Relationship Id="rId3194" Type="http://schemas.openxmlformats.org/officeDocument/2006/relationships/hyperlink" Target="https://grcmax.com" TargetMode="External"/><Relationship Id="rId3197" Type="http://schemas.openxmlformats.org/officeDocument/2006/relationships/hyperlink" Target="https://andersonmora.co" TargetMode="External"/><Relationship Id="rId3196" Type="http://schemas.openxmlformats.org/officeDocument/2006/relationships/hyperlink" Target="http://www.linkedin.com/company/anderson-mora-sas" TargetMode="External"/><Relationship Id="rId3199" Type="http://schemas.openxmlformats.org/officeDocument/2006/relationships/hyperlink" Target="http://www.linkedin.com/company/condor-suite" TargetMode="External"/><Relationship Id="rId3198" Type="http://schemas.openxmlformats.org/officeDocument/2006/relationships/hyperlink" Target="http://www.linkedin.com/in/juan-carlos-devia-gonzalez-0310925" TargetMode="External"/><Relationship Id="rId3180" Type="http://schemas.openxmlformats.org/officeDocument/2006/relationships/hyperlink" Target="http://www.linkedin.com/in/pablosardi" TargetMode="External"/><Relationship Id="rId3182" Type="http://schemas.openxmlformats.org/officeDocument/2006/relationships/hyperlink" Target="https://ashleycolombia.com" TargetMode="External"/><Relationship Id="rId3181" Type="http://schemas.openxmlformats.org/officeDocument/2006/relationships/hyperlink" Target="http://www.linkedin.com/company/ashleycolombia" TargetMode="External"/><Relationship Id="rId3184" Type="http://schemas.openxmlformats.org/officeDocument/2006/relationships/hyperlink" Target="http://www.linkedin.com/company/anditel-energ%c3%ada-y-servicios-aes" TargetMode="External"/><Relationship Id="rId3183" Type="http://schemas.openxmlformats.org/officeDocument/2006/relationships/hyperlink" Target="http://www.linkedin.com/in/santiagojaramillovillegas" TargetMode="External"/><Relationship Id="rId3186" Type="http://schemas.openxmlformats.org/officeDocument/2006/relationships/hyperlink" Target="http://www.linkedin.com/in/mateo-amaya-ardila-1969a399" TargetMode="External"/><Relationship Id="rId3185" Type="http://schemas.openxmlformats.org/officeDocument/2006/relationships/hyperlink" Target="https://solucionesjv.co" TargetMode="External"/><Relationship Id="rId3188" Type="http://schemas.openxmlformats.org/officeDocument/2006/relationships/hyperlink" Target="https://protti.co" TargetMode="External"/><Relationship Id="rId3187" Type="http://schemas.openxmlformats.org/officeDocument/2006/relationships/hyperlink" Target="http://www.linkedin.com/company/protti" TargetMode="External"/><Relationship Id="rId3189" Type="http://schemas.openxmlformats.org/officeDocument/2006/relationships/hyperlink" Target="http://www.linkedin.com/in/juanfernandogarciagomez" TargetMode="External"/><Relationship Id="rId4480" Type="http://schemas.openxmlformats.org/officeDocument/2006/relationships/hyperlink" Target="http://www.linkedin.com/company/leahai" TargetMode="External"/><Relationship Id="rId3151" Type="http://schemas.openxmlformats.org/officeDocument/2006/relationships/hyperlink" Target="http://www.linkedin.com/company/try-my-ride" TargetMode="External"/><Relationship Id="rId4482" Type="http://schemas.openxmlformats.org/officeDocument/2006/relationships/hyperlink" Target="http://www.linkedin.com/company/innomatiksas" TargetMode="External"/><Relationship Id="rId3150" Type="http://schemas.openxmlformats.org/officeDocument/2006/relationships/hyperlink" Target="http://www.linkedin.com/in/andres-felipe-silva-artunduaga-94861a1b" TargetMode="External"/><Relationship Id="rId4481" Type="http://schemas.openxmlformats.org/officeDocument/2006/relationships/hyperlink" Target="http://www.linkedin.com/in/leonardo-manosalva-cueto-58a15361" TargetMode="External"/><Relationship Id="rId3153" Type="http://schemas.openxmlformats.org/officeDocument/2006/relationships/hyperlink" Target="http://www.linkedin.com/in/adrian-david-peralta-diaz-50049267" TargetMode="External"/><Relationship Id="rId4484" Type="http://schemas.openxmlformats.org/officeDocument/2006/relationships/hyperlink" Target="http://www.linkedin.com/company/gerencia-tecnol%c3%b3gica-s-a-s" TargetMode="External"/><Relationship Id="rId3152" Type="http://schemas.openxmlformats.org/officeDocument/2006/relationships/hyperlink" Target="https://trymyride.co" TargetMode="External"/><Relationship Id="rId4483" Type="http://schemas.openxmlformats.org/officeDocument/2006/relationships/hyperlink" Target="http://www.linkedin.com/in/henderson-morales-ba07a0124" TargetMode="External"/><Relationship Id="rId3155" Type="http://schemas.openxmlformats.org/officeDocument/2006/relationships/hyperlink" Target="https://guardianroadins.com" TargetMode="External"/><Relationship Id="rId4486" Type="http://schemas.openxmlformats.org/officeDocument/2006/relationships/hyperlink" Target="http://www.linkedin.com/company/cawiapp" TargetMode="External"/><Relationship Id="rId3154" Type="http://schemas.openxmlformats.org/officeDocument/2006/relationships/hyperlink" Target="http://www.linkedin.com/company/guardian-road-international-insurance-llc" TargetMode="External"/><Relationship Id="rId4485" Type="http://schemas.openxmlformats.org/officeDocument/2006/relationships/hyperlink" Target="http://www.linkedin.com/in/alvaro-stefanell" TargetMode="External"/><Relationship Id="rId3157" Type="http://schemas.openxmlformats.org/officeDocument/2006/relationships/hyperlink" Target="http://www.linkedin.com/company/atlantic-oak" TargetMode="External"/><Relationship Id="rId4488" Type="http://schemas.openxmlformats.org/officeDocument/2006/relationships/hyperlink" Target="http://www.linkedin.com/company/inventopolis" TargetMode="External"/><Relationship Id="rId3156" Type="http://schemas.openxmlformats.org/officeDocument/2006/relationships/hyperlink" Target="http://www.linkedin.com/in/julio-luzardo-04998b21" TargetMode="External"/><Relationship Id="rId4487" Type="http://schemas.openxmlformats.org/officeDocument/2006/relationships/hyperlink" Target="http://www.linkedin.com/in/vivianahenao" TargetMode="External"/><Relationship Id="rId3159" Type="http://schemas.openxmlformats.org/officeDocument/2006/relationships/hyperlink" Target="http://www.linkedin.com/in/viviana-echavarria" TargetMode="External"/><Relationship Id="rId3158" Type="http://schemas.openxmlformats.org/officeDocument/2006/relationships/hyperlink" Target="https://atlantic-oak.com" TargetMode="External"/><Relationship Id="rId4489" Type="http://schemas.openxmlformats.org/officeDocument/2006/relationships/hyperlink" Target="http://www.linkedin.com/in/fernando-quijano-a11b07233" TargetMode="External"/><Relationship Id="rId3149" Type="http://schemas.openxmlformats.org/officeDocument/2006/relationships/hyperlink" Target="https://emberr.co" TargetMode="External"/><Relationship Id="rId3140" Type="http://schemas.openxmlformats.org/officeDocument/2006/relationships/hyperlink" Target="https://globali.org" TargetMode="External"/><Relationship Id="rId4471" Type="http://schemas.openxmlformats.org/officeDocument/2006/relationships/hyperlink" Target="http://www.linkedin.com/in/santiago-romero-ab138b178" TargetMode="External"/><Relationship Id="rId4470" Type="http://schemas.openxmlformats.org/officeDocument/2006/relationships/hyperlink" Target="http://www.linkedin.com/company/docdoc-app" TargetMode="External"/><Relationship Id="rId3142" Type="http://schemas.openxmlformats.org/officeDocument/2006/relationships/hyperlink" Target="http://www.linkedin.com/company/muiioficial" TargetMode="External"/><Relationship Id="rId4473" Type="http://schemas.openxmlformats.org/officeDocument/2006/relationships/hyperlink" Target="http://www.linkedin.com/in/andres-pacolombia" TargetMode="External"/><Relationship Id="rId3141" Type="http://schemas.openxmlformats.org/officeDocument/2006/relationships/hyperlink" Target="http://www.linkedin.com/in/mariahelenarico" TargetMode="External"/><Relationship Id="rId4472" Type="http://schemas.openxmlformats.org/officeDocument/2006/relationships/hyperlink" Target="http://www.linkedin.com/company/leads-sales" TargetMode="External"/><Relationship Id="rId3144" Type="http://schemas.openxmlformats.org/officeDocument/2006/relationships/hyperlink" Target="http://www.linkedin.com/in/santiago-lalinde-garcia-99204341" TargetMode="External"/><Relationship Id="rId4475" Type="http://schemas.openxmlformats.org/officeDocument/2006/relationships/hyperlink" Target="http://www.linkedin.com/in/edward-cogollo-v-871a762a" TargetMode="External"/><Relationship Id="rId3143" Type="http://schemas.openxmlformats.org/officeDocument/2006/relationships/hyperlink" Target="https://muii.com.co" TargetMode="External"/><Relationship Id="rId4474" Type="http://schemas.openxmlformats.org/officeDocument/2006/relationships/hyperlink" Target="http://www.linkedin.com/company/elementoalpha" TargetMode="External"/><Relationship Id="rId3146" Type="http://schemas.openxmlformats.org/officeDocument/2006/relationships/hyperlink" Target="https://interacpedia.com" TargetMode="External"/><Relationship Id="rId4477" Type="http://schemas.openxmlformats.org/officeDocument/2006/relationships/hyperlink" Target="http://www.linkedin.com/in/edward-javier-garz%c3%b3n-cort%c3%a9s-282437b2" TargetMode="External"/><Relationship Id="rId3145" Type="http://schemas.openxmlformats.org/officeDocument/2006/relationships/hyperlink" Target="http://www.linkedin.com/company/interacpedia" TargetMode="External"/><Relationship Id="rId4476" Type="http://schemas.openxmlformats.org/officeDocument/2006/relationships/hyperlink" Target="http://www.linkedin.com/company/finnecta" TargetMode="External"/><Relationship Id="rId3148" Type="http://schemas.openxmlformats.org/officeDocument/2006/relationships/hyperlink" Target="http://www.linkedin.com/company/emberr" TargetMode="External"/><Relationship Id="rId4479" Type="http://schemas.openxmlformats.org/officeDocument/2006/relationships/hyperlink" Target="http://www.linkedin.com/in/camilo-sardi-827132134" TargetMode="External"/><Relationship Id="rId3147" Type="http://schemas.openxmlformats.org/officeDocument/2006/relationships/hyperlink" Target="http://www.linkedin.com/in/joel-kenny" TargetMode="External"/><Relationship Id="rId4478" Type="http://schemas.openxmlformats.org/officeDocument/2006/relationships/hyperlink" Target="http://www.linkedin.com/company/macrosig" TargetMode="External"/><Relationship Id="rId3171" Type="http://schemas.openxmlformats.org/officeDocument/2006/relationships/hyperlink" Target="http://www.linkedin.com/in/sara-ruiz-l%c3%b3pez-bluesite" TargetMode="External"/><Relationship Id="rId3170" Type="http://schemas.openxmlformats.org/officeDocument/2006/relationships/hyperlink" Target="https://blackmountain-solutions.com" TargetMode="External"/><Relationship Id="rId3173" Type="http://schemas.openxmlformats.org/officeDocument/2006/relationships/hyperlink" Target="https://bluesitehr.com" TargetMode="External"/><Relationship Id="rId3172" Type="http://schemas.openxmlformats.org/officeDocument/2006/relationships/hyperlink" Target="http://www.linkedin.com/company/bluesite-hr" TargetMode="External"/><Relationship Id="rId3175" Type="http://schemas.openxmlformats.org/officeDocument/2006/relationships/hyperlink" Target="http://www.linkedin.com/company/solvenext" TargetMode="External"/><Relationship Id="rId3174" Type="http://schemas.openxmlformats.org/officeDocument/2006/relationships/hyperlink" Target="http://www.linkedin.com/in/danielburitica" TargetMode="External"/><Relationship Id="rId3177" Type="http://schemas.openxmlformats.org/officeDocument/2006/relationships/hyperlink" Target="http://www.linkedin.com/in/carlos-mosquera-55578a3a" TargetMode="External"/><Relationship Id="rId3176" Type="http://schemas.openxmlformats.org/officeDocument/2006/relationships/hyperlink" Target="https://solvenext.com" TargetMode="External"/><Relationship Id="rId3179" Type="http://schemas.openxmlformats.org/officeDocument/2006/relationships/hyperlink" Target="https://agroap.com" TargetMode="External"/><Relationship Id="rId3178" Type="http://schemas.openxmlformats.org/officeDocument/2006/relationships/hyperlink" Target="http://www.linkedin.com/company/agroap" TargetMode="External"/><Relationship Id="rId3160" Type="http://schemas.openxmlformats.org/officeDocument/2006/relationships/hyperlink" Target="http://www.linkedin.com/company/bixtia" TargetMode="External"/><Relationship Id="rId4491" Type="http://schemas.openxmlformats.org/officeDocument/2006/relationships/hyperlink" Target="http://www.linkedin.com/in/cristiancascavita-directorcomercial" TargetMode="External"/><Relationship Id="rId4490" Type="http://schemas.openxmlformats.org/officeDocument/2006/relationships/hyperlink" Target="http://www.linkedin.com/company/adn-educativa" TargetMode="External"/><Relationship Id="rId3162" Type="http://schemas.openxmlformats.org/officeDocument/2006/relationships/hyperlink" Target="http://www.linkedin.com/in/pilarmu%c3%b1ozjaramillo" TargetMode="External"/><Relationship Id="rId4493" Type="http://schemas.openxmlformats.org/officeDocument/2006/relationships/hyperlink" Target="http://www.linkedin.com/in/santiagoharker" TargetMode="External"/><Relationship Id="rId3161" Type="http://schemas.openxmlformats.org/officeDocument/2006/relationships/hyperlink" Target="https://bixtia.com" TargetMode="External"/><Relationship Id="rId4492" Type="http://schemas.openxmlformats.org/officeDocument/2006/relationships/hyperlink" Target="http://www.linkedin.com/company/handtmannandina" TargetMode="External"/><Relationship Id="rId3164" Type="http://schemas.openxmlformats.org/officeDocument/2006/relationships/hyperlink" Target="https://clarityhuman.com" TargetMode="External"/><Relationship Id="rId4495" Type="http://schemas.openxmlformats.org/officeDocument/2006/relationships/hyperlink" Target="http://www.linkedin.com/in/efigenia-gutierrez-arango-a56ba174" TargetMode="External"/><Relationship Id="rId3163" Type="http://schemas.openxmlformats.org/officeDocument/2006/relationships/hyperlink" Target="http://www.linkedin.com/company/clarity-human-sas" TargetMode="External"/><Relationship Id="rId4494" Type="http://schemas.openxmlformats.org/officeDocument/2006/relationships/hyperlink" Target="http://www.linkedin.com/company/tradematetech" TargetMode="External"/><Relationship Id="rId3166" Type="http://schemas.openxmlformats.org/officeDocument/2006/relationships/hyperlink" Target="http://www.linkedin.com/company/teacherspro" TargetMode="External"/><Relationship Id="rId4497" Type="http://schemas.openxmlformats.org/officeDocument/2006/relationships/hyperlink" Target="http://www.linkedin.com/in/jos%c3%a9-david-ospina-65a63719" TargetMode="External"/><Relationship Id="rId3165" Type="http://schemas.openxmlformats.org/officeDocument/2006/relationships/hyperlink" Target="http://www.linkedin.com/in/ivanlopezj" TargetMode="External"/><Relationship Id="rId4496" Type="http://schemas.openxmlformats.org/officeDocument/2006/relationships/hyperlink" Target="http://www.linkedin.com/company/somosziro" TargetMode="External"/><Relationship Id="rId3168" Type="http://schemas.openxmlformats.org/officeDocument/2006/relationships/hyperlink" Target="http://www.linkedin.com/in/freddie-ellis-cpp-86791a8a" TargetMode="External"/><Relationship Id="rId4499" Type="http://schemas.openxmlformats.org/officeDocument/2006/relationships/hyperlink" Target="http://www.linkedin.com/in/christophe-cahen-316b442b" TargetMode="External"/><Relationship Id="rId3167" Type="http://schemas.openxmlformats.org/officeDocument/2006/relationships/hyperlink" Target="https://teacherspro.com" TargetMode="External"/><Relationship Id="rId4498" Type="http://schemas.openxmlformats.org/officeDocument/2006/relationships/hyperlink" Target="http://www.linkedin.com/company/nediar" TargetMode="External"/><Relationship Id="rId3169" Type="http://schemas.openxmlformats.org/officeDocument/2006/relationships/hyperlink" Target="http://www.linkedin.com/company/black-mountain-solutions" TargetMode="External"/><Relationship Id="rId2700" Type="http://schemas.openxmlformats.org/officeDocument/2006/relationships/hyperlink" Target="https://dexon.us" TargetMode="External"/><Relationship Id="rId2701" Type="http://schemas.openxmlformats.org/officeDocument/2006/relationships/hyperlink" Target="http://www.linkedin.com/in/oscar-ivan-rodriguez-sandoval" TargetMode="External"/><Relationship Id="rId2702" Type="http://schemas.openxmlformats.org/officeDocument/2006/relationships/hyperlink" Target="http://www.linkedin.com/company/innovahubcol" TargetMode="External"/><Relationship Id="rId2703" Type="http://schemas.openxmlformats.org/officeDocument/2006/relationships/hyperlink" Target="https://innovahub.org" TargetMode="External"/><Relationship Id="rId2704" Type="http://schemas.openxmlformats.org/officeDocument/2006/relationships/hyperlink" Target="http://www.linkedin.com/in/jorge-mendez-30174657" TargetMode="External"/><Relationship Id="rId2705" Type="http://schemas.openxmlformats.org/officeDocument/2006/relationships/hyperlink" Target="http://www.linkedin.com/company/logistore-colombia" TargetMode="External"/><Relationship Id="rId2706" Type="http://schemas.openxmlformats.org/officeDocument/2006/relationships/hyperlink" Target="https://logistore.com.co" TargetMode="External"/><Relationship Id="rId2707" Type="http://schemas.openxmlformats.org/officeDocument/2006/relationships/hyperlink" Target="http://www.linkedin.com/in/dreaburbank" TargetMode="External"/><Relationship Id="rId2708" Type="http://schemas.openxmlformats.org/officeDocument/2006/relationships/hyperlink" Target="http://www.linkedin.com/company/savimbo" TargetMode="External"/><Relationship Id="rId2709" Type="http://schemas.openxmlformats.org/officeDocument/2006/relationships/hyperlink" Target="https://savimbo.com" TargetMode="External"/><Relationship Id="rId2720" Type="http://schemas.openxmlformats.org/officeDocument/2006/relationships/hyperlink" Target="http://www.linkedin.com/company/coderlabsco" TargetMode="External"/><Relationship Id="rId2721" Type="http://schemas.openxmlformats.org/officeDocument/2006/relationships/hyperlink" Target="https://coderlabs.co" TargetMode="External"/><Relationship Id="rId2722" Type="http://schemas.openxmlformats.org/officeDocument/2006/relationships/hyperlink" Target="http://www.linkedin.com/in/miguel-londo%c3%b1o-g%c3%b3mez-90096339" TargetMode="External"/><Relationship Id="rId2723" Type="http://schemas.openxmlformats.org/officeDocument/2006/relationships/hyperlink" Target="http://www.linkedin.com/company/monet-app-col" TargetMode="External"/><Relationship Id="rId2724" Type="http://schemas.openxmlformats.org/officeDocument/2006/relationships/hyperlink" Target="https://monet.com.co" TargetMode="External"/><Relationship Id="rId2725" Type="http://schemas.openxmlformats.org/officeDocument/2006/relationships/hyperlink" Target="http://www.linkedin.com/in/josepolo711" TargetMode="External"/><Relationship Id="rId2726" Type="http://schemas.openxmlformats.org/officeDocument/2006/relationships/hyperlink" Target="http://www.linkedin.com/company/verticalico" TargetMode="External"/><Relationship Id="rId2727" Type="http://schemas.openxmlformats.org/officeDocument/2006/relationships/hyperlink" Target="https://vertical-i.com" TargetMode="External"/><Relationship Id="rId2728" Type="http://schemas.openxmlformats.org/officeDocument/2006/relationships/hyperlink" Target="http://www.linkedin.com/in/lorena-mendez-mendez" TargetMode="External"/><Relationship Id="rId2729" Type="http://schemas.openxmlformats.org/officeDocument/2006/relationships/hyperlink" Target="http://www.linkedin.com/company/tcmideas" TargetMode="External"/><Relationship Id="rId2710" Type="http://schemas.openxmlformats.org/officeDocument/2006/relationships/hyperlink" Target="http://www.linkedin.com/in/federicogomezpardo" TargetMode="External"/><Relationship Id="rId2711" Type="http://schemas.openxmlformats.org/officeDocument/2006/relationships/hyperlink" Target="http://www.linkedin.com/company/plurallsme" TargetMode="External"/><Relationship Id="rId2712" Type="http://schemas.openxmlformats.org/officeDocument/2006/relationships/hyperlink" Target="https://plurall.com" TargetMode="External"/><Relationship Id="rId2713" Type="http://schemas.openxmlformats.org/officeDocument/2006/relationships/hyperlink" Target="http://www.linkedin.com/in/nataliaserrano75" TargetMode="External"/><Relationship Id="rId2714" Type="http://schemas.openxmlformats.org/officeDocument/2006/relationships/hyperlink" Target="http://www.linkedin.com/company/fail-fast" TargetMode="External"/><Relationship Id="rId2715" Type="http://schemas.openxmlformats.org/officeDocument/2006/relationships/hyperlink" Target="https://failfast.com.co" TargetMode="External"/><Relationship Id="rId2716" Type="http://schemas.openxmlformats.org/officeDocument/2006/relationships/hyperlink" Target="http://www.linkedin.com/in/rickdellemann" TargetMode="External"/><Relationship Id="rId2717" Type="http://schemas.openxmlformats.org/officeDocument/2006/relationships/hyperlink" Target="http://www.linkedin.com/company/ecomond" TargetMode="External"/><Relationship Id="rId2718" Type="http://schemas.openxmlformats.org/officeDocument/2006/relationships/hyperlink" Target="https://ecomond.com" TargetMode="External"/><Relationship Id="rId2719" Type="http://schemas.openxmlformats.org/officeDocument/2006/relationships/hyperlink" Target="http://www.linkedin.com/in/bolivarbryan" TargetMode="External"/><Relationship Id="rId1455" Type="http://schemas.openxmlformats.org/officeDocument/2006/relationships/hyperlink" Target="https://fruit4u.co" TargetMode="External"/><Relationship Id="rId2786" Type="http://schemas.openxmlformats.org/officeDocument/2006/relationships/hyperlink" Target="http://www.linkedin.com/company/ecosi" TargetMode="External"/><Relationship Id="rId1456" Type="http://schemas.openxmlformats.org/officeDocument/2006/relationships/hyperlink" Target="http://www.linkedin.com/in/juli%c3%a1n-roberto-g%c3%b3mez-mantilla-aaa4919a" TargetMode="External"/><Relationship Id="rId2787" Type="http://schemas.openxmlformats.org/officeDocument/2006/relationships/hyperlink" Target="https://ecosi.com.co" TargetMode="External"/><Relationship Id="rId1457" Type="http://schemas.openxmlformats.org/officeDocument/2006/relationships/hyperlink" Target="http://www.linkedin.com/company/prlcol" TargetMode="External"/><Relationship Id="rId2788" Type="http://schemas.openxmlformats.org/officeDocument/2006/relationships/hyperlink" Target="http://www.linkedin.com/in/hector-mario-obando" TargetMode="External"/><Relationship Id="rId1458" Type="http://schemas.openxmlformats.org/officeDocument/2006/relationships/hyperlink" Target="https://prlcol.co" TargetMode="External"/><Relationship Id="rId2789" Type="http://schemas.openxmlformats.org/officeDocument/2006/relationships/hyperlink" Target="http://www.linkedin.com/company/hotelescolombia" TargetMode="External"/><Relationship Id="rId1459" Type="http://schemas.openxmlformats.org/officeDocument/2006/relationships/hyperlink" Target="http://www.linkedin.com/in/lucio-quijano-8973a05" TargetMode="External"/><Relationship Id="rId629" Type="http://schemas.openxmlformats.org/officeDocument/2006/relationships/hyperlink" Target="http://www.linkedin.com/in/luisjavierbedoyao" TargetMode="External"/><Relationship Id="rId624" Type="http://schemas.openxmlformats.org/officeDocument/2006/relationships/hyperlink" Target="http://www.linkedin.com/company/dexfreight" TargetMode="External"/><Relationship Id="rId623" Type="http://schemas.openxmlformats.org/officeDocument/2006/relationships/hyperlink" Target="http://www.linkedin.com/in/lpulgarin1" TargetMode="External"/><Relationship Id="rId622" Type="http://schemas.openxmlformats.org/officeDocument/2006/relationships/hyperlink" Target="https://acestudiosenelexterior.com" TargetMode="External"/><Relationship Id="rId621" Type="http://schemas.openxmlformats.org/officeDocument/2006/relationships/hyperlink" Target="http://www.linkedin.com/company/ac-estudios-en-el-exterior" TargetMode="External"/><Relationship Id="rId628" Type="http://schemas.openxmlformats.org/officeDocument/2006/relationships/hyperlink" Target="https://mawesi.net" TargetMode="External"/><Relationship Id="rId627" Type="http://schemas.openxmlformats.org/officeDocument/2006/relationships/hyperlink" Target="http://www.linkedin.com/company/mawesi-design-development" TargetMode="External"/><Relationship Id="rId626" Type="http://schemas.openxmlformats.org/officeDocument/2006/relationships/hyperlink" Target="http://www.linkedin.com/in/jose-mvalencia" TargetMode="External"/><Relationship Id="rId625" Type="http://schemas.openxmlformats.org/officeDocument/2006/relationships/hyperlink" Target="https://dexfreight.io" TargetMode="External"/><Relationship Id="rId2780" Type="http://schemas.openxmlformats.org/officeDocument/2006/relationships/hyperlink" Target="http://www.linkedin.com/company/arena-bursatil" TargetMode="External"/><Relationship Id="rId1450" Type="http://schemas.openxmlformats.org/officeDocument/2006/relationships/hyperlink" Target="http://www.linkedin.com/in/liliana-urrego-jim%c3%a9nez-13952497" TargetMode="External"/><Relationship Id="rId2781" Type="http://schemas.openxmlformats.org/officeDocument/2006/relationships/hyperlink" Target="https://arenaalfa.com" TargetMode="External"/><Relationship Id="rId620" Type="http://schemas.openxmlformats.org/officeDocument/2006/relationships/hyperlink" Target="http://www.linkedin.com/in/mariapaulahenaocastro" TargetMode="External"/><Relationship Id="rId1451" Type="http://schemas.openxmlformats.org/officeDocument/2006/relationships/hyperlink" Target="http://www.linkedin.com/company/espanovo" TargetMode="External"/><Relationship Id="rId2782" Type="http://schemas.openxmlformats.org/officeDocument/2006/relationships/hyperlink" Target="http://www.linkedin.com/in/diego-insignares-b92b3414" TargetMode="External"/><Relationship Id="rId1452" Type="http://schemas.openxmlformats.org/officeDocument/2006/relationships/hyperlink" Target="https://espanovo.com" TargetMode="External"/><Relationship Id="rId2783" Type="http://schemas.openxmlformats.org/officeDocument/2006/relationships/hyperlink" Target="http://www.linkedin.com/company/toolbe" TargetMode="External"/><Relationship Id="rId1453" Type="http://schemas.openxmlformats.org/officeDocument/2006/relationships/hyperlink" Target="http://www.linkedin.com/in/cristhian-quintero-1b190431" TargetMode="External"/><Relationship Id="rId2784" Type="http://schemas.openxmlformats.org/officeDocument/2006/relationships/hyperlink" Target="https://tool-be.com" TargetMode="External"/><Relationship Id="rId1454" Type="http://schemas.openxmlformats.org/officeDocument/2006/relationships/hyperlink" Target="http://www.linkedin.com/company/fruit4uco" TargetMode="External"/><Relationship Id="rId2785" Type="http://schemas.openxmlformats.org/officeDocument/2006/relationships/hyperlink" Target="http://www.linkedin.com/in/franz-mutis-caballero-53364714" TargetMode="External"/><Relationship Id="rId1444" Type="http://schemas.openxmlformats.org/officeDocument/2006/relationships/hyperlink" Target="http://www.linkedin.com/in/alexander-mesa-g-485b432b" TargetMode="External"/><Relationship Id="rId2775" Type="http://schemas.openxmlformats.org/officeDocument/2006/relationships/hyperlink" Target="https://biocommerce.vercel.app" TargetMode="External"/><Relationship Id="rId1445" Type="http://schemas.openxmlformats.org/officeDocument/2006/relationships/hyperlink" Target="http://www.linkedin.com/company/distecsa-s-a-s" TargetMode="External"/><Relationship Id="rId2776" Type="http://schemas.openxmlformats.org/officeDocument/2006/relationships/hyperlink" Target="http://www.linkedin.com/in/julianalievanoculturaorganizacional" TargetMode="External"/><Relationship Id="rId1446" Type="http://schemas.openxmlformats.org/officeDocument/2006/relationships/hyperlink" Target="https://distecsa.com" TargetMode="External"/><Relationship Id="rId2777" Type="http://schemas.openxmlformats.org/officeDocument/2006/relationships/hyperlink" Target="http://www.linkedin.com/company/fleik-colombia" TargetMode="External"/><Relationship Id="rId1447" Type="http://schemas.openxmlformats.org/officeDocument/2006/relationships/hyperlink" Target="http://www.linkedin.com/in/edwin-reyes-me" TargetMode="External"/><Relationship Id="rId2778" Type="http://schemas.openxmlformats.org/officeDocument/2006/relationships/hyperlink" Target="https://fleik.co" TargetMode="External"/><Relationship Id="rId1448" Type="http://schemas.openxmlformats.org/officeDocument/2006/relationships/hyperlink" Target="http://www.linkedin.com/company/racionalist" TargetMode="External"/><Relationship Id="rId2779" Type="http://schemas.openxmlformats.org/officeDocument/2006/relationships/hyperlink" Target="http://www.linkedin.com/in/sebastian-toro-82391341" TargetMode="External"/><Relationship Id="rId1449" Type="http://schemas.openxmlformats.org/officeDocument/2006/relationships/hyperlink" Target="https://racionalist.com" TargetMode="External"/><Relationship Id="rId619" Type="http://schemas.openxmlformats.org/officeDocument/2006/relationships/hyperlink" Target="https://utriper.com" TargetMode="External"/><Relationship Id="rId618" Type="http://schemas.openxmlformats.org/officeDocument/2006/relationships/hyperlink" Target="http://www.linkedin.com/company/utriper" TargetMode="External"/><Relationship Id="rId613" Type="http://schemas.openxmlformats.org/officeDocument/2006/relationships/hyperlink" Target="https://enetres.net" TargetMode="External"/><Relationship Id="rId612" Type="http://schemas.openxmlformats.org/officeDocument/2006/relationships/hyperlink" Target="http://www.linkedin.com/company/enetresmedia" TargetMode="External"/><Relationship Id="rId611" Type="http://schemas.openxmlformats.org/officeDocument/2006/relationships/hyperlink" Target="http://www.linkedin.com/in/carlos-galeano-97a41a53" TargetMode="External"/><Relationship Id="rId610" Type="http://schemas.openxmlformats.org/officeDocument/2006/relationships/hyperlink" Target="https://bumii.ai" TargetMode="External"/><Relationship Id="rId617" Type="http://schemas.openxmlformats.org/officeDocument/2006/relationships/hyperlink" Target="http://www.linkedin.com/in/salvador-dell-acqua-a99694b7" TargetMode="External"/><Relationship Id="rId616" Type="http://schemas.openxmlformats.org/officeDocument/2006/relationships/hyperlink" Target="https://lyvia.app" TargetMode="External"/><Relationship Id="rId615" Type="http://schemas.openxmlformats.org/officeDocument/2006/relationships/hyperlink" Target="http://www.linkedin.com/company/lyviaoficial" TargetMode="External"/><Relationship Id="rId614" Type="http://schemas.openxmlformats.org/officeDocument/2006/relationships/hyperlink" Target="http://www.linkedin.com/in/carolina-avendano-imoblo" TargetMode="External"/><Relationship Id="rId2770" Type="http://schemas.openxmlformats.org/officeDocument/2006/relationships/hyperlink" Target="http://www.linkedin.com/in/jalime-hemer-sierra-3442113b" TargetMode="External"/><Relationship Id="rId1440" Type="http://schemas.openxmlformats.org/officeDocument/2006/relationships/hyperlink" Target="https://santafeenergy.com.co" TargetMode="External"/><Relationship Id="rId2771" Type="http://schemas.openxmlformats.org/officeDocument/2006/relationships/hyperlink" Target="http://www.linkedin.com/company/bujepr" TargetMode="External"/><Relationship Id="rId1441" Type="http://schemas.openxmlformats.org/officeDocument/2006/relationships/hyperlink" Target="http://www.linkedin.com/in/judare" TargetMode="External"/><Relationship Id="rId2772" Type="http://schemas.openxmlformats.org/officeDocument/2006/relationships/hyperlink" Target="https://bujepr.com.co" TargetMode="External"/><Relationship Id="rId1442" Type="http://schemas.openxmlformats.org/officeDocument/2006/relationships/hyperlink" Target="http://www.linkedin.com/company/blokay" TargetMode="External"/><Relationship Id="rId2773" Type="http://schemas.openxmlformats.org/officeDocument/2006/relationships/hyperlink" Target="http://www.linkedin.com/in/juliangonzalezjuri" TargetMode="External"/><Relationship Id="rId1443" Type="http://schemas.openxmlformats.org/officeDocument/2006/relationships/hyperlink" Target="https://blokay.com" TargetMode="External"/><Relationship Id="rId2774" Type="http://schemas.openxmlformats.org/officeDocument/2006/relationships/hyperlink" Target="http://www.linkedin.com/company/biocommercecol" TargetMode="External"/><Relationship Id="rId1477" Type="http://schemas.openxmlformats.org/officeDocument/2006/relationships/hyperlink" Target="https://busqo.com" TargetMode="External"/><Relationship Id="rId4503" Type="http://schemas.openxmlformats.org/officeDocument/2006/relationships/hyperlink" Target="http://www.linkedin.com/in/abarbap" TargetMode="External"/><Relationship Id="rId1478" Type="http://schemas.openxmlformats.org/officeDocument/2006/relationships/hyperlink" Target="http://www.linkedin.com/in/juan-camilo-garz%c3%b3n-06b482162" TargetMode="External"/><Relationship Id="rId4502" Type="http://schemas.openxmlformats.org/officeDocument/2006/relationships/hyperlink" Target="http://www.linkedin.com/company/origenbpo" TargetMode="External"/><Relationship Id="rId1479" Type="http://schemas.openxmlformats.org/officeDocument/2006/relationships/hyperlink" Target="http://www.linkedin.com/company/senza-club" TargetMode="External"/><Relationship Id="rId4505" Type="http://schemas.openxmlformats.org/officeDocument/2006/relationships/hyperlink" Target="http://www.linkedin.com/in/andr%c3%a9s-rosero-revello-61534527" TargetMode="External"/><Relationship Id="rId4504" Type="http://schemas.openxmlformats.org/officeDocument/2006/relationships/hyperlink" Target="http://www.linkedin.com/company/asynka" TargetMode="External"/><Relationship Id="rId4507" Type="http://schemas.openxmlformats.org/officeDocument/2006/relationships/hyperlink" Target="http://www.linkedin.com/in/juanpalvarez" TargetMode="External"/><Relationship Id="rId4506" Type="http://schemas.openxmlformats.org/officeDocument/2006/relationships/hyperlink" Target="http://www.linkedin.com/company/ea-buildings" TargetMode="External"/><Relationship Id="rId4509" Type="http://schemas.openxmlformats.org/officeDocument/2006/relationships/hyperlink" Target="http://www.linkedin.com/in/juan-camilo-gonzalez-t" TargetMode="External"/><Relationship Id="rId4508" Type="http://schemas.openxmlformats.org/officeDocument/2006/relationships/hyperlink" Target="http://www.linkedin.com/company/negozia-consumer-finance-s.a.s" TargetMode="External"/><Relationship Id="rId646" Type="http://schemas.openxmlformats.org/officeDocument/2006/relationships/hyperlink" Target="https://niilo.co" TargetMode="External"/><Relationship Id="rId645" Type="http://schemas.openxmlformats.org/officeDocument/2006/relationships/hyperlink" Target="http://www.linkedin.com/company/niilo-co" TargetMode="External"/><Relationship Id="rId644" Type="http://schemas.openxmlformats.org/officeDocument/2006/relationships/hyperlink" Target="http://www.linkedin.com/in/felipesantamariap" TargetMode="External"/><Relationship Id="rId643" Type="http://schemas.openxmlformats.org/officeDocument/2006/relationships/hyperlink" Target="https://getmeru.com" TargetMode="External"/><Relationship Id="rId649" Type="http://schemas.openxmlformats.org/officeDocument/2006/relationships/hyperlink" Target="https://somosblum.com" TargetMode="External"/><Relationship Id="rId648" Type="http://schemas.openxmlformats.org/officeDocument/2006/relationships/hyperlink" Target="http://www.linkedin.com/company/somosblum" TargetMode="External"/><Relationship Id="rId647" Type="http://schemas.openxmlformats.org/officeDocument/2006/relationships/hyperlink" Target="http://www.linkedin.com/in/nicoleperezcueter" TargetMode="External"/><Relationship Id="rId1470" Type="http://schemas.openxmlformats.org/officeDocument/2006/relationships/hyperlink" Target="https://novussolutions.com" TargetMode="External"/><Relationship Id="rId1471" Type="http://schemas.openxmlformats.org/officeDocument/2006/relationships/hyperlink" Target="http://busqo.com" TargetMode="External"/><Relationship Id="rId1472" Type="http://schemas.openxmlformats.org/officeDocument/2006/relationships/hyperlink" Target="http://www.linkedin.com/in/eric-duport-jaramillo-962b979" TargetMode="External"/><Relationship Id="rId642" Type="http://schemas.openxmlformats.org/officeDocument/2006/relationships/hyperlink" Target="http://www.linkedin.com/company/meru-r3mit-solutions-inc" TargetMode="External"/><Relationship Id="rId1473" Type="http://schemas.openxmlformats.org/officeDocument/2006/relationships/hyperlink" Target="http://www.linkedin.com/company/taktikcloud" TargetMode="External"/><Relationship Id="rId641" Type="http://schemas.openxmlformats.org/officeDocument/2006/relationships/hyperlink" Target="http://www.linkedin.com/in/yoser-marcel-rodriguez-erazo-740521178" TargetMode="External"/><Relationship Id="rId1474" Type="http://schemas.openxmlformats.org/officeDocument/2006/relationships/hyperlink" Target="https://taktikcloud.com" TargetMode="External"/><Relationship Id="rId640" Type="http://schemas.openxmlformats.org/officeDocument/2006/relationships/hyperlink" Target="https://servicebots.ai" TargetMode="External"/><Relationship Id="rId1475" Type="http://schemas.openxmlformats.org/officeDocument/2006/relationships/hyperlink" Target="http://www.linkedin.com/in/juan-camilo-ayala-99968516" TargetMode="External"/><Relationship Id="rId4501" Type="http://schemas.openxmlformats.org/officeDocument/2006/relationships/hyperlink" Target="http://www.linkedin.com/in/camilo-velasquez-uribe-a65a7a35" TargetMode="External"/><Relationship Id="rId1476" Type="http://schemas.openxmlformats.org/officeDocument/2006/relationships/hyperlink" Target="http://www.linkedin.com/company/busqo" TargetMode="External"/><Relationship Id="rId4500" Type="http://schemas.openxmlformats.org/officeDocument/2006/relationships/hyperlink" Target="http://www.linkedin.com/company/latam-media" TargetMode="External"/><Relationship Id="rId1466" Type="http://schemas.openxmlformats.org/officeDocument/2006/relationships/hyperlink" Target="http://www.linkedin.com/company/cliocircleai" TargetMode="External"/><Relationship Id="rId2797" Type="http://schemas.openxmlformats.org/officeDocument/2006/relationships/hyperlink" Target="http://www.linkedin.com/in/ronaldcreate" TargetMode="External"/><Relationship Id="rId1467" Type="http://schemas.openxmlformats.org/officeDocument/2006/relationships/hyperlink" Target="https://cliocircle.ai" TargetMode="External"/><Relationship Id="rId2798" Type="http://schemas.openxmlformats.org/officeDocument/2006/relationships/hyperlink" Target="http://www.linkedin.com/company/parduxlatam" TargetMode="External"/><Relationship Id="rId1468" Type="http://schemas.openxmlformats.org/officeDocument/2006/relationships/hyperlink" Target="http://www.linkedin.com/in/kamalsharma1401" TargetMode="External"/><Relationship Id="rId2799" Type="http://schemas.openxmlformats.org/officeDocument/2006/relationships/hyperlink" Target="https://pardux.com" TargetMode="External"/><Relationship Id="rId1469" Type="http://schemas.openxmlformats.org/officeDocument/2006/relationships/hyperlink" Target="http://www.linkedin.com/company/novus-solutions-us" TargetMode="External"/><Relationship Id="rId635" Type="http://schemas.openxmlformats.org/officeDocument/2006/relationships/hyperlink" Target="http://www.linkedin.com/in/andreszapataar" TargetMode="External"/><Relationship Id="rId634" Type="http://schemas.openxmlformats.org/officeDocument/2006/relationships/hyperlink" Target="https://royalimports.com" TargetMode="External"/><Relationship Id="rId633" Type="http://schemas.openxmlformats.org/officeDocument/2006/relationships/hyperlink" Target="http://www.linkedin.com/company/royal-imports" TargetMode="External"/><Relationship Id="rId632" Type="http://schemas.openxmlformats.org/officeDocument/2006/relationships/hyperlink" Target="http://www.linkedin.com/in/shantalerlich" TargetMode="External"/><Relationship Id="rId639" Type="http://schemas.openxmlformats.org/officeDocument/2006/relationships/hyperlink" Target="http://www.linkedin.com/company/servicebots" TargetMode="External"/><Relationship Id="rId638" Type="http://schemas.openxmlformats.org/officeDocument/2006/relationships/hyperlink" Target="http://www.linkedin.com/in/carlos-rojas-a056414" TargetMode="External"/><Relationship Id="rId637" Type="http://schemas.openxmlformats.org/officeDocument/2006/relationships/hyperlink" Target="https://accion-comercial.com" TargetMode="External"/><Relationship Id="rId636" Type="http://schemas.openxmlformats.org/officeDocument/2006/relationships/hyperlink" Target="http://www.linkedin.com/company/accioncomercial" TargetMode="External"/><Relationship Id="rId2790" Type="http://schemas.openxmlformats.org/officeDocument/2006/relationships/hyperlink" Target="https://hotelescolombia.co" TargetMode="External"/><Relationship Id="rId1460" Type="http://schemas.openxmlformats.org/officeDocument/2006/relationships/hyperlink" Target="http://www.linkedin.com/company/totalcode" TargetMode="External"/><Relationship Id="rId2791" Type="http://schemas.openxmlformats.org/officeDocument/2006/relationships/hyperlink" Target="http://www.linkedin.com/in/coach-david-restrepo" TargetMode="External"/><Relationship Id="rId1461" Type="http://schemas.openxmlformats.org/officeDocument/2006/relationships/hyperlink" Target="https://totalcode.com" TargetMode="External"/><Relationship Id="rId2792" Type="http://schemas.openxmlformats.org/officeDocument/2006/relationships/hyperlink" Target="http://www.linkedin.com/company/cromatica-coaching" TargetMode="External"/><Relationship Id="rId631" Type="http://schemas.openxmlformats.org/officeDocument/2006/relationships/hyperlink" Target="https://travelbus.com.co" TargetMode="External"/><Relationship Id="rId1462" Type="http://schemas.openxmlformats.org/officeDocument/2006/relationships/hyperlink" Target="http://www.linkedin.com/in/yadyantolinez" TargetMode="External"/><Relationship Id="rId2793" Type="http://schemas.openxmlformats.org/officeDocument/2006/relationships/hyperlink" Target="https://cromaticacoaching.com" TargetMode="External"/><Relationship Id="rId630" Type="http://schemas.openxmlformats.org/officeDocument/2006/relationships/hyperlink" Target="http://www.linkedin.com/company/travelbus" TargetMode="External"/><Relationship Id="rId1463" Type="http://schemas.openxmlformats.org/officeDocument/2006/relationships/hyperlink" Target="http://www.linkedin.com/company/nbc-services" TargetMode="External"/><Relationship Id="rId2794" Type="http://schemas.openxmlformats.org/officeDocument/2006/relationships/hyperlink" Target="http://www.linkedin.com/in/manuel-felipe-tamayo-d%c3%adez-73aab134" TargetMode="External"/><Relationship Id="rId1464" Type="http://schemas.openxmlformats.org/officeDocument/2006/relationships/hyperlink" Target="https://nbc.services" TargetMode="External"/><Relationship Id="rId2795" Type="http://schemas.openxmlformats.org/officeDocument/2006/relationships/hyperlink" Target="http://www.linkedin.com/company/grupoempresascreciendobien" TargetMode="External"/><Relationship Id="rId1465" Type="http://schemas.openxmlformats.org/officeDocument/2006/relationships/hyperlink" Target="http://www.linkedin.com/in/arielsanchezrojas" TargetMode="External"/><Relationship Id="rId2796" Type="http://schemas.openxmlformats.org/officeDocument/2006/relationships/hyperlink" Target="https://grupoecb.com.co" TargetMode="External"/><Relationship Id="rId1411" Type="http://schemas.openxmlformats.org/officeDocument/2006/relationships/hyperlink" Target="http://www.linkedin.com/in/ricardo-namen-escruceria-27b89079" TargetMode="External"/><Relationship Id="rId2742" Type="http://schemas.openxmlformats.org/officeDocument/2006/relationships/hyperlink" Target="https://magnaconsulting.com.co" TargetMode="External"/><Relationship Id="rId1412" Type="http://schemas.openxmlformats.org/officeDocument/2006/relationships/hyperlink" Target="http://www.linkedin.com/company/serex-corp" TargetMode="External"/><Relationship Id="rId2743" Type="http://schemas.openxmlformats.org/officeDocument/2006/relationships/hyperlink" Target="http://www.linkedin.com/in/luis-alberto-huertas" TargetMode="External"/><Relationship Id="rId1413" Type="http://schemas.openxmlformats.org/officeDocument/2006/relationships/hyperlink" Target="https://serex.co" TargetMode="External"/><Relationship Id="rId2744" Type="http://schemas.openxmlformats.org/officeDocument/2006/relationships/hyperlink" Target="http://www.linkedin.com/company/creardecolombia" TargetMode="External"/><Relationship Id="rId1414" Type="http://schemas.openxmlformats.org/officeDocument/2006/relationships/hyperlink" Target="http://www.linkedin.com/in/jdvizcaya" TargetMode="External"/><Relationship Id="rId2745" Type="http://schemas.openxmlformats.org/officeDocument/2006/relationships/hyperlink" Target="https://creardecolombia.com" TargetMode="External"/><Relationship Id="rId1415" Type="http://schemas.openxmlformats.org/officeDocument/2006/relationships/hyperlink" Target="http://www.linkedin.com/company/robin-house" TargetMode="External"/><Relationship Id="rId2746" Type="http://schemas.openxmlformats.org/officeDocument/2006/relationships/hyperlink" Target="http://www.linkedin.com/in/luis-carlos-parra-raffan" TargetMode="External"/><Relationship Id="rId1416" Type="http://schemas.openxmlformats.org/officeDocument/2006/relationships/hyperlink" Target="https://robinhouse.co" TargetMode="External"/><Relationship Id="rId2747" Type="http://schemas.openxmlformats.org/officeDocument/2006/relationships/hyperlink" Target="http://www.linkedin.com/company/klikenergy" TargetMode="External"/><Relationship Id="rId1417" Type="http://schemas.openxmlformats.org/officeDocument/2006/relationships/hyperlink" Target="http://www.linkedin.com/in/victorhugomarincortes" TargetMode="External"/><Relationship Id="rId2748" Type="http://schemas.openxmlformats.org/officeDocument/2006/relationships/hyperlink" Target="https://klikenergy.com" TargetMode="External"/><Relationship Id="rId1418" Type="http://schemas.openxmlformats.org/officeDocument/2006/relationships/hyperlink" Target="http://www.linkedin.com/company/archivo-y-logistica" TargetMode="External"/><Relationship Id="rId2749" Type="http://schemas.openxmlformats.org/officeDocument/2006/relationships/hyperlink" Target="http://www.linkedin.com/in/jjguzmanayala" TargetMode="External"/><Relationship Id="rId1419" Type="http://schemas.openxmlformats.org/officeDocument/2006/relationships/hyperlink" Target="https://archivoylogistica.com" TargetMode="External"/><Relationship Id="rId2740" Type="http://schemas.openxmlformats.org/officeDocument/2006/relationships/hyperlink" Target="http://www.linkedin.com/in/german-sanchez-franco-magna" TargetMode="External"/><Relationship Id="rId1410" Type="http://schemas.openxmlformats.org/officeDocument/2006/relationships/hyperlink" Target="https://yampi.com" TargetMode="External"/><Relationship Id="rId2741" Type="http://schemas.openxmlformats.org/officeDocument/2006/relationships/hyperlink" Target="http://www.linkedin.com/company/magna-consulting-s-a-s" TargetMode="External"/><Relationship Id="rId1400" Type="http://schemas.openxmlformats.org/officeDocument/2006/relationships/hyperlink" Target="http://www.linkedin.com/company/infologic-colombia" TargetMode="External"/><Relationship Id="rId2731" Type="http://schemas.openxmlformats.org/officeDocument/2006/relationships/hyperlink" Target="http://www.linkedin.com/in/leon-papu-31699290" TargetMode="External"/><Relationship Id="rId1401" Type="http://schemas.openxmlformats.org/officeDocument/2006/relationships/hyperlink" Target="https://infologic.com.co" TargetMode="External"/><Relationship Id="rId2732" Type="http://schemas.openxmlformats.org/officeDocument/2006/relationships/hyperlink" Target="http://www.linkedin.com/company/tabi-clean" TargetMode="External"/><Relationship Id="rId1402" Type="http://schemas.openxmlformats.org/officeDocument/2006/relationships/hyperlink" Target="http://www.linkedin.com/in/fnietoelgazi" TargetMode="External"/><Relationship Id="rId2733" Type="http://schemas.openxmlformats.org/officeDocument/2006/relationships/hyperlink" Target="https://tabiclean.com" TargetMode="External"/><Relationship Id="rId1403" Type="http://schemas.openxmlformats.org/officeDocument/2006/relationships/hyperlink" Target="http://www.linkedin.com/company/perrenquemedialab" TargetMode="External"/><Relationship Id="rId2734" Type="http://schemas.openxmlformats.org/officeDocument/2006/relationships/hyperlink" Target="http://www.linkedin.com/in/margarita-castro-gomez" TargetMode="External"/><Relationship Id="rId1404" Type="http://schemas.openxmlformats.org/officeDocument/2006/relationships/hyperlink" Target="https://perrenquemedialab.com" TargetMode="External"/><Relationship Id="rId2735" Type="http://schemas.openxmlformats.org/officeDocument/2006/relationships/hyperlink" Target="http://www.linkedin.com/company/dos&amp;medios" TargetMode="External"/><Relationship Id="rId1405" Type="http://schemas.openxmlformats.org/officeDocument/2006/relationships/hyperlink" Target="http://www.linkedin.com/in/mar%c3%ada-isabel-cancino-20153276" TargetMode="External"/><Relationship Id="rId2736" Type="http://schemas.openxmlformats.org/officeDocument/2006/relationships/hyperlink" Target="https://dosymedios.com" TargetMode="External"/><Relationship Id="rId1406" Type="http://schemas.openxmlformats.org/officeDocument/2006/relationships/hyperlink" Target="http://www.linkedin.com/company/aahfactor" TargetMode="External"/><Relationship Id="rId2737" Type="http://schemas.openxmlformats.org/officeDocument/2006/relationships/hyperlink" Target="http://www.linkedin.com/in/natalia-rivera-8470a28a" TargetMode="External"/><Relationship Id="rId1407" Type="http://schemas.openxmlformats.org/officeDocument/2006/relationships/hyperlink" Target="https://aahfactor.com.co" TargetMode="External"/><Relationship Id="rId2738" Type="http://schemas.openxmlformats.org/officeDocument/2006/relationships/hyperlink" Target="http://www.linkedin.com/company/vittra-colombia" TargetMode="External"/><Relationship Id="rId1408" Type="http://schemas.openxmlformats.org/officeDocument/2006/relationships/hyperlink" Target="http://www.linkedin.com/in/oscarandresarango" TargetMode="External"/><Relationship Id="rId2739" Type="http://schemas.openxmlformats.org/officeDocument/2006/relationships/hyperlink" Target="https://vittra.com.co" TargetMode="External"/><Relationship Id="rId1409" Type="http://schemas.openxmlformats.org/officeDocument/2006/relationships/hyperlink" Target="http://www.linkedin.com/company/yampi" TargetMode="External"/><Relationship Id="rId2730" Type="http://schemas.openxmlformats.org/officeDocument/2006/relationships/hyperlink" Target="https://tcmideas.com" TargetMode="External"/><Relationship Id="rId1433" Type="http://schemas.openxmlformats.org/officeDocument/2006/relationships/hyperlink" Target="http://www.linkedin.com/company/insilicostem" TargetMode="External"/><Relationship Id="rId2764" Type="http://schemas.openxmlformats.org/officeDocument/2006/relationships/hyperlink" Target="http://www.linkedin.com/in/julio-cesar-ruiz-ruiz-b4909112" TargetMode="External"/><Relationship Id="rId1434" Type="http://schemas.openxmlformats.org/officeDocument/2006/relationships/hyperlink" Target="https://insilicostem.com" TargetMode="External"/><Relationship Id="rId2765" Type="http://schemas.openxmlformats.org/officeDocument/2006/relationships/hyperlink" Target="http://www.linkedin.com/company/vicersolutions" TargetMode="External"/><Relationship Id="rId1435" Type="http://schemas.openxmlformats.org/officeDocument/2006/relationships/hyperlink" Target="http://www.linkedin.com/in/juan-camilo-malagon-7b6a4b20" TargetMode="External"/><Relationship Id="rId2766" Type="http://schemas.openxmlformats.org/officeDocument/2006/relationships/hyperlink" Target="https://vicer.com.co" TargetMode="External"/><Relationship Id="rId1436" Type="http://schemas.openxmlformats.org/officeDocument/2006/relationships/hyperlink" Target="http://www.linkedin.com/company/moveproyectos" TargetMode="External"/><Relationship Id="rId2767" Type="http://schemas.openxmlformats.org/officeDocument/2006/relationships/hyperlink" Target="http://www.linkedin.com/in/fernando-uriel-cardona" TargetMode="External"/><Relationship Id="rId1437" Type="http://schemas.openxmlformats.org/officeDocument/2006/relationships/hyperlink" Target="https://mo-ve.co" TargetMode="External"/><Relationship Id="rId2768" Type="http://schemas.openxmlformats.org/officeDocument/2006/relationships/hyperlink" Target="http://www.linkedin.com/company/goamagames" TargetMode="External"/><Relationship Id="rId1438" Type="http://schemas.openxmlformats.org/officeDocument/2006/relationships/hyperlink" Target="http://www.linkedin.com/in/davidlozano-ceo" TargetMode="External"/><Relationship Id="rId2769" Type="http://schemas.openxmlformats.org/officeDocument/2006/relationships/hyperlink" Target="https://goama.com" TargetMode="External"/><Relationship Id="rId1439" Type="http://schemas.openxmlformats.org/officeDocument/2006/relationships/hyperlink" Target="http://www.linkedin.com/company/santafeenergy" TargetMode="External"/><Relationship Id="rId609" Type="http://schemas.openxmlformats.org/officeDocument/2006/relationships/hyperlink" Target="http://www.linkedin.com/company/soybumii" TargetMode="External"/><Relationship Id="rId608" Type="http://schemas.openxmlformats.org/officeDocument/2006/relationships/hyperlink" Target="http://www.linkedin.com/in/andresgom" TargetMode="External"/><Relationship Id="rId607" Type="http://schemas.openxmlformats.org/officeDocument/2006/relationships/hyperlink" Target="https://microbioxa.com" TargetMode="External"/><Relationship Id="rId602" Type="http://schemas.openxmlformats.org/officeDocument/2006/relationships/hyperlink" Target="http://www.linkedin.com/in/sabrina-morales-arbelaez-7a901a108" TargetMode="External"/><Relationship Id="rId601" Type="http://schemas.openxmlformats.org/officeDocument/2006/relationships/hyperlink" Target="https://cisne.com.co" TargetMode="External"/><Relationship Id="rId600" Type="http://schemas.openxmlformats.org/officeDocument/2006/relationships/hyperlink" Target="http://www.linkedin.com/company/cisneconsultoria" TargetMode="External"/><Relationship Id="rId606" Type="http://schemas.openxmlformats.org/officeDocument/2006/relationships/hyperlink" Target="http://www.linkedin.com/company/microbioxa-laboratorio" TargetMode="External"/><Relationship Id="rId605" Type="http://schemas.openxmlformats.org/officeDocument/2006/relationships/hyperlink" Target="http://www.linkedin.com/in/juan-david-valencia-914b30109" TargetMode="External"/><Relationship Id="rId604" Type="http://schemas.openxmlformats.org/officeDocument/2006/relationships/hyperlink" Target="https://hascompanies.com" TargetMode="External"/><Relationship Id="rId603" Type="http://schemas.openxmlformats.org/officeDocument/2006/relationships/hyperlink" Target="http://www.linkedin.com/company/has-companies" TargetMode="External"/><Relationship Id="rId2760" Type="http://schemas.openxmlformats.org/officeDocument/2006/relationships/hyperlink" Target="https://mentsabia.com" TargetMode="External"/><Relationship Id="rId1430" Type="http://schemas.openxmlformats.org/officeDocument/2006/relationships/hyperlink" Target="http://www.linkedin.com/company/hg-bpo-services" TargetMode="External"/><Relationship Id="rId2761" Type="http://schemas.openxmlformats.org/officeDocument/2006/relationships/hyperlink" Target="http://www.linkedin.com/in/rupert-stebbings-927b6316a" TargetMode="External"/><Relationship Id="rId1431" Type="http://schemas.openxmlformats.org/officeDocument/2006/relationships/hyperlink" Target="https://hgbposervices.com" TargetMode="External"/><Relationship Id="rId2762" Type="http://schemas.openxmlformats.org/officeDocument/2006/relationships/hyperlink" Target="http://www.linkedin.com/company/alma-air" TargetMode="External"/><Relationship Id="rId1432" Type="http://schemas.openxmlformats.org/officeDocument/2006/relationships/hyperlink" Target="http://www.linkedin.com/in/tatiana-gomez-bustamante" TargetMode="External"/><Relationship Id="rId2763" Type="http://schemas.openxmlformats.org/officeDocument/2006/relationships/hyperlink" Target="https://flyalma.com" TargetMode="External"/><Relationship Id="rId1422" Type="http://schemas.openxmlformats.org/officeDocument/2006/relationships/hyperlink" Target="https://click-clack.la" TargetMode="External"/><Relationship Id="rId2753" Type="http://schemas.openxmlformats.org/officeDocument/2006/relationships/hyperlink" Target="http://www.linkedin.com/company/1onepay" TargetMode="External"/><Relationship Id="rId1423" Type="http://schemas.openxmlformats.org/officeDocument/2006/relationships/hyperlink" Target="http://www.linkedin.com/in/carolina-chaparro-310943a" TargetMode="External"/><Relationship Id="rId2754" Type="http://schemas.openxmlformats.org/officeDocument/2006/relationships/hyperlink" Target="https://onepay.la" TargetMode="External"/><Relationship Id="rId1424" Type="http://schemas.openxmlformats.org/officeDocument/2006/relationships/hyperlink" Target="http://www.linkedin.com/company/the-benchlab" TargetMode="External"/><Relationship Id="rId2755" Type="http://schemas.openxmlformats.org/officeDocument/2006/relationships/hyperlink" Target="http://www.linkedin.com/in/maria-fajardo-ab1ab91b8" TargetMode="External"/><Relationship Id="rId1425" Type="http://schemas.openxmlformats.org/officeDocument/2006/relationships/hyperlink" Target="https://thebenchlab.com" TargetMode="External"/><Relationship Id="rId2756" Type="http://schemas.openxmlformats.org/officeDocument/2006/relationships/hyperlink" Target="http://www.linkedin.com/company/outsentia" TargetMode="External"/><Relationship Id="rId1426" Type="http://schemas.openxmlformats.org/officeDocument/2006/relationships/hyperlink" Target="http://www.linkedin.com/in/zeimbeekor" TargetMode="External"/><Relationship Id="rId2757" Type="http://schemas.openxmlformats.org/officeDocument/2006/relationships/hyperlink" Target="https://outsentia.com" TargetMode="External"/><Relationship Id="rId1427" Type="http://schemas.openxmlformats.org/officeDocument/2006/relationships/hyperlink" Target="http://www.linkedin.com/company/treeimmersion" TargetMode="External"/><Relationship Id="rId2758" Type="http://schemas.openxmlformats.org/officeDocument/2006/relationships/hyperlink" Target="http://www.linkedin.com/in/juan-manuel-casas-" TargetMode="External"/><Relationship Id="rId1428" Type="http://schemas.openxmlformats.org/officeDocument/2006/relationships/hyperlink" Target="https://treeimmersion.com" TargetMode="External"/><Relationship Id="rId2759" Type="http://schemas.openxmlformats.org/officeDocument/2006/relationships/hyperlink" Target="http://www.linkedin.com/company/mentsabia-sas" TargetMode="External"/><Relationship Id="rId1429" Type="http://schemas.openxmlformats.org/officeDocument/2006/relationships/hyperlink" Target="http://www.linkedin.com/in/mike-starbuck-huembes-navarrete-20464595" TargetMode="External"/><Relationship Id="rId2750" Type="http://schemas.openxmlformats.org/officeDocument/2006/relationships/hyperlink" Target="http://www.linkedin.com/company/strata-advisors" TargetMode="External"/><Relationship Id="rId1420" Type="http://schemas.openxmlformats.org/officeDocument/2006/relationships/hyperlink" Target="http://www.linkedin.com/in/emmanuel-neisa-13859373" TargetMode="External"/><Relationship Id="rId2751" Type="http://schemas.openxmlformats.org/officeDocument/2006/relationships/hyperlink" Target="https://strata-advisors.com" TargetMode="External"/><Relationship Id="rId1421" Type="http://schemas.openxmlformats.org/officeDocument/2006/relationships/hyperlink" Target="http://www.linkedin.com/company/click-arte-sas" TargetMode="External"/><Relationship Id="rId2752" Type="http://schemas.openxmlformats.org/officeDocument/2006/relationships/hyperlink" Target="http://www.linkedin.com/in/andresilvagomez" TargetMode="External"/><Relationship Id="rId3238" Type="http://schemas.openxmlformats.org/officeDocument/2006/relationships/hyperlink" Target="http://www.linkedin.com/company/lenus-capital-partners-lcp" TargetMode="External"/><Relationship Id="rId4569" Type="http://schemas.openxmlformats.org/officeDocument/2006/relationships/hyperlink" Target="http://www.linkedin.com/company/cuestionica" TargetMode="External"/><Relationship Id="rId3237" Type="http://schemas.openxmlformats.org/officeDocument/2006/relationships/hyperlink" Target="http://www.linkedin.com/in/luis-pulgar-67a10139" TargetMode="External"/><Relationship Id="rId4568" Type="http://schemas.openxmlformats.org/officeDocument/2006/relationships/hyperlink" Target="http://www.linkedin.com/in/juan-camilo-rinc%c3%b3n-burgos-a3407b3a" TargetMode="External"/><Relationship Id="rId3239" Type="http://schemas.openxmlformats.org/officeDocument/2006/relationships/hyperlink" Target="https://lenuscp.com" TargetMode="External"/><Relationship Id="rId3230" Type="http://schemas.openxmlformats.org/officeDocument/2006/relationships/hyperlink" Target="https://quipu.com.co" TargetMode="External"/><Relationship Id="rId4561" Type="http://schemas.openxmlformats.org/officeDocument/2006/relationships/hyperlink" Target="http://www.linkedin.com/company/valoratoro" TargetMode="External"/><Relationship Id="rId4560" Type="http://schemas.openxmlformats.org/officeDocument/2006/relationships/hyperlink" Target="http://www.linkedin.com/in/santiagomej%c3%adatoro" TargetMode="External"/><Relationship Id="rId3232" Type="http://schemas.openxmlformats.org/officeDocument/2006/relationships/hyperlink" Target="http://www.linkedin.com/company/doppelmayr-colombia-sas" TargetMode="External"/><Relationship Id="rId4563" Type="http://schemas.openxmlformats.org/officeDocument/2006/relationships/hyperlink" Target="http://www.linkedin.com/company/aptslatam" TargetMode="External"/><Relationship Id="rId3231" Type="http://schemas.openxmlformats.org/officeDocument/2006/relationships/hyperlink" Target="http://www.linkedin.com/in/alejandro-zambrano-perilla" TargetMode="External"/><Relationship Id="rId4562" Type="http://schemas.openxmlformats.org/officeDocument/2006/relationships/hyperlink" Target="http://www.linkedin.com/in/benjaminsubedar" TargetMode="External"/><Relationship Id="rId3234" Type="http://schemas.openxmlformats.org/officeDocument/2006/relationships/hyperlink" Target="http://www.linkedin.com/in/juan-goyeneche-05bb327a" TargetMode="External"/><Relationship Id="rId4565" Type="http://schemas.openxmlformats.org/officeDocument/2006/relationships/hyperlink" Target="http://www.linkedin.com/company/controlfluid" TargetMode="External"/><Relationship Id="rId3233" Type="http://schemas.openxmlformats.org/officeDocument/2006/relationships/hyperlink" Target="https://doppelmayr.com" TargetMode="External"/><Relationship Id="rId4564" Type="http://schemas.openxmlformats.org/officeDocument/2006/relationships/hyperlink" Target="http://www.linkedin.com/in/pedro-jidy-0b644327" TargetMode="External"/><Relationship Id="rId3236" Type="http://schemas.openxmlformats.org/officeDocument/2006/relationships/hyperlink" Target="https://troop.com.co" TargetMode="External"/><Relationship Id="rId4567" Type="http://schemas.openxmlformats.org/officeDocument/2006/relationships/hyperlink" Target="http://www.linkedin.com/company/exergetica-s-a-s" TargetMode="External"/><Relationship Id="rId3235" Type="http://schemas.openxmlformats.org/officeDocument/2006/relationships/hyperlink" Target="http://www.linkedin.com/company/troopco" TargetMode="External"/><Relationship Id="rId4566" Type="http://schemas.openxmlformats.org/officeDocument/2006/relationships/hyperlink" Target="http://www.linkedin.com/in/diego-lezcano-3b67342a" TargetMode="External"/><Relationship Id="rId3227" Type="http://schemas.openxmlformats.org/officeDocument/2006/relationships/hyperlink" Target="https://amikdala.com" TargetMode="External"/><Relationship Id="rId4558" Type="http://schemas.openxmlformats.org/officeDocument/2006/relationships/hyperlink" Target="http://www.linkedin.com/in/newar-giraldo-86488534" TargetMode="External"/><Relationship Id="rId3226" Type="http://schemas.openxmlformats.org/officeDocument/2006/relationships/hyperlink" Target="http://www.linkedin.com/company/amikdalaconsultores" TargetMode="External"/><Relationship Id="rId4557" Type="http://schemas.openxmlformats.org/officeDocument/2006/relationships/hyperlink" Target="http://www.linkedin.com/company/meupcolombia1" TargetMode="External"/><Relationship Id="rId3229" Type="http://schemas.openxmlformats.org/officeDocument/2006/relationships/hyperlink" Target="http://www.linkedin.com/company/quipulatam" TargetMode="External"/><Relationship Id="rId3228" Type="http://schemas.openxmlformats.org/officeDocument/2006/relationships/hyperlink" Target="http://www.linkedin.com/in/mercedes-bidart-argentina" TargetMode="External"/><Relationship Id="rId4559" Type="http://schemas.openxmlformats.org/officeDocument/2006/relationships/hyperlink" Target="http://www.linkedin.com/company/cielumhealth" TargetMode="External"/><Relationship Id="rId699" Type="http://schemas.openxmlformats.org/officeDocument/2006/relationships/hyperlink" Target="http://www.linkedin.com/company/dialogosimprobables" TargetMode="External"/><Relationship Id="rId698" Type="http://schemas.openxmlformats.org/officeDocument/2006/relationships/hyperlink" Target="http://www.linkedin.com/in/diegojunca" TargetMode="External"/><Relationship Id="rId693" Type="http://schemas.openxmlformats.org/officeDocument/2006/relationships/hyperlink" Target="http://www.linkedin.com/company/mccusavisas" TargetMode="External"/><Relationship Id="rId4550" Type="http://schemas.openxmlformats.org/officeDocument/2006/relationships/hyperlink" Target="http://www.linkedin.com/in/joseantoniohernandezmayobre" TargetMode="External"/><Relationship Id="rId692" Type="http://schemas.openxmlformats.org/officeDocument/2006/relationships/hyperlink" Target="http://www.linkedin.com/in/angelly-sepulveda-r-58493916" TargetMode="External"/><Relationship Id="rId691" Type="http://schemas.openxmlformats.org/officeDocument/2006/relationships/hyperlink" Target="https://globalpublicinvestment.net" TargetMode="External"/><Relationship Id="rId3221" Type="http://schemas.openxmlformats.org/officeDocument/2006/relationships/hyperlink" Target="https://sandlerdanmacias.com" TargetMode="External"/><Relationship Id="rId4552" Type="http://schemas.openxmlformats.org/officeDocument/2006/relationships/hyperlink" Target="http://www.linkedin.com/in/pabloandrespantojagonzalez" TargetMode="External"/><Relationship Id="rId690" Type="http://schemas.openxmlformats.org/officeDocument/2006/relationships/hyperlink" Target="http://www.linkedin.com/company/global-public-investment-gpi" TargetMode="External"/><Relationship Id="rId3220" Type="http://schemas.openxmlformats.org/officeDocument/2006/relationships/hyperlink" Target="http://www.linkedin.com/company/sandlerdanmacias" TargetMode="External"/><Relationship Id="rId4551" Type="http://schemas.openxmlformats.org/officeDocument/2006/relationships/hyperlink" Target="http://www.linkedin.com/company/diditprotocol" TargetMode="External"/><Relationship Id="rId697" Type="http://schemas.openxmlformats.org/officeDocument/2006/relationships/hyperlink" Target="https://cercarbono.com" TargetMode="External"/><Relationship Id="rId3223" Type="http://schemas.openxmlformats.org/officeDocument/2006/relationships/hyperlink" Target="http://www.linkedin.com/company/cohete-bsp" TargetMode="External"/><Relationship Id="rId4554" Type="http://schemas.openxmlformats.org/officeDocument/2006/relationships/hyperlink" Target="http://www.linkedin.com/in/manuel-antonio-giraldo-nauffal-a39693a1" TargetMode="External"/><Relationship Id="rId696" Type="http://schemas.openxmlformats.org/officeDocument/2006/relationships/hyperlink" Target="http://www.linkedin.com/company/cercarbono" TargetMode="External"/><Relationship Id="rId3222" Type="http://schemas.openxmlformats.org/officeDocument/2006/relationships/hyperlink" Target="http://www.linkedin.com/in/ccorredor" TargetMode="External"/><Relationship Id="rId4553" Type="http://schemas.openxmlformats.org/officeDocument/2006/relationships/hyperlink" Target="http://www.linkedin.com/company/runni" TargetMode="External"/><Relationship Id="rId695" Type="http://schemas.openxmlformats.org/officeDocument/2006/relationships/hyperlink" Target="http://www.linkedin.com/in/alexsaer" TargetMode="External"/><Relationship Id="rId3225" Type="http://schemas.openxmlformats.org/officeDocument/2006/relationships/hyperlink" Target="http://www.linkedin.com/in/namagomez" TargetMode="External"/><Relationship Id="rId4556" Type="http://schemas.openxmlformats.org/officeDocument/2006/relationships/hyperlink" Target="http://www.linkedin.com/in/milena-pardo-345b3726" TargetMode="External"/><Relationship Id="rId694" Type="http://schemas.openxmlformats.org/officeDocument/2006/relationships/hyperlink" Target="https://mccusa.co" TargetMode="External"/><Relationship Id="rId3224" Type="http://schemas.openxmlformats.org/officeDocument/2006/relationships/hyperlink" Target="https://cohete-it.com" TargetMode="External"/><Relationship Id="rId4555" Type="http://schemas.openxmlformats.org/officeDocument/2006/relationships/hyperlink" Target="http://www.linkedin.com/company/invarosoft" TargetMode="External"/><Relationship Id="rId3259" Type="http://schemas.openxmlformats.org/officeDocument/2006/relationships/hyperlink" Target="http://www.linkedin.com/company/sitechdecolombia" TargetMode="External"/><Relationship Id="rId3250" Type="http://schemas.openxmlformats.org/officeDocument/2006/relationships/hyperlink" Target="http://www.linkedin.com/company/iespecialidades" TargetMode="External"/><Relationship Id="rId4581" Type="http://schemas.openxmlformats.org/officeDocument/2006/relationships/hyperlink" Target="http://www.linkedin.com/company/rittalcolombia" TargetMode="External"/><Relationship Id="rId4580" Type="http://schemas.openxmlformats.org/officeDocument/2006/relationships/hyperlink" Target="http://www.linkedin.com/in/cvhrvaldez" TargetMode="External"/><Relationship Id="rId3252" Type="http://schemas.openxmlformats.org/officeDocument/2006/relationships/hyperlink" Target="http://www.linkedin.com/in/juan-sebasti%c3%a1n-mu%c3%b1oz-1509784b" TargetMode="External"/><Relationship Id="rId4583" Type="http://schemas.openxmlformats.org/officeDocument/2006/relationships/hyperlink" Target="http://www.linkedin.com/company/payments-way-solutions" TargetMode="External"/><Relationship Id="rId3251" Type="http://schemas.openxmlformats.org/officeDocument/2006/relationships/hyperlink" Target="https://iespecialidades.com" TargetMode="External"/><Relationship Id="rId4582" Type="http://schemas.openxmlformats.org/officeDocument/2006/relationships/hyperlink" Target="http://www.linkedin.com/in/augusto-vellojin-28a641129" TargetMode="External"/><Relationship Id="rId3254" Type="http://schemas.openxmlformats.org/officeDocument/2006/relationships/hyperlink" Target="https://amconcreto.com" TargetMode="External"/><Relationship Id="rId4585" Type="http://schemas.openxmlformats.org/officeDocument/2006/relationships/hyperlink" Target="http://www.linkedin.com/company/ml%c3%a9-by-mal%c3%a9-beauty-care" TargetMode="External"/><Relationship Id="rId3253" Type="http://schemas.openxmlformats.org/officeDocument/2006/relationships/hyperlink" Target="http://www.linkedin.com/company/jcl-group-sas" TargetMode="External"/><Relationship Id="rId4584" Type="http://schemas.openxmlformats.org/officeDocument/2006/relationships/hyperlink" Target="http://www.linkedin.com/in/a2b-co" TargetMode="External"/><Relationship Id="rId3256" Type="http://schemas.openxmlformats.org/officeDocument/2006/relationships/hyperlink" Target="http://www.linkedin.com/company/ride-pro" TargetMode="External"/><Relationship Id="rId4587" Type="http://schemas.openxmlformats.org/officeDocument/2006/relationships/hyperlink" Target="http://www.linkedin.com/company/salesdriven-revintel" TargetMode="External"/><Relationship Id="rId3255" Type="http://schemas.openxmlformats.org/officeDocument/2006/relationships/hyperlink" Target="http://www.linkedin.com/in/daniel-villaveces-prada-8063b056" TargetMode="External"/><Relationship Id="rId4586" Type="http://schemas.openxmlformats.org/officeDocument/2006/relationships/hyperlink" Target="http://www.linkedin.com/in/eduardomelendez" TargetMode="External"/><Relationship Id="rId3258" Type="http://schemas.openxmlformats.org/officeDocument/2006/relationships/hyperlink" Target="http://www.linkedin.com/in/osman-rodriguez" TargetMode="External"/><Relationship Id="rId4589" Type="http://schemas.openxmlformats.org/officeDocument/2006/relationships/hyperlink" Target="http://www.linkedin.com/company/arco-andino" TargetMode="External"/><Relationship Id="rId3257" Type="http://schemas.openxmlformats.org/officeDocument/2006/relationships/hyperlink" Target="https://ridepro.co" TargetMode="External"/><Relationship Id="rId4588" Type="http://schemas.openxmlformats.org/officeDocument/2006/relationships/hyperlink" Target="http://www.linkedin.com/in/arcomarco" TargetMode="External"/><Relationship Id="rId3249" Type="http://schemas.openxmlformats.org/officeDocument/2006/relationships/hyperlink" Target="http://www.linkedin.com/in/alejandra-correa-4b3423241" TargetMode="External"/><Relationship Id="rId3248" Type="http://schemas.openxmlformats.org/officeDocument/2006/relationships/hyperlink" Target="https://latenteingenieria.com" TargetMode="External"/><Relationship Id="rId4579" Type="http://schemas.openxmlformats.org/officeDocument/2006/relationships/hyperlink" Target="http://www.linkedin.com/company/your-ai-squad" TargetMode="External"/><Relationship Id="rId4570" Type="http://schemas.openxmlformats.org/officeDocument/2006/relationships/hyperlink" Target="http://www.linkedin.com/in/marta-montero-g%c3%b3mez-" TargetMode="External"/><Relationship Id="rId3241" Type="http://schemas.openxmlformats.org/officeDocument/2006/relationships/hyperlink" Target="http://www.linkedin.com/company/cuestionica" TargetMode="External"/><Relationship Id="rId4572" Type="http://schemas.openxmlformats.org/officeDocument/2006/relationships/hyperlink" Target="http://www.linkedin.com/in/santiago-estrada-gonzalez-766831128" TargetMode="External"/><Relationship Id="rId3240" Type="http://schemas.openxmlformats.org/officeDocument/2006/relationships/hyperlink" Target="http://www.linkedin.com/in/jorge-gamboa-a455176b" TargetMode="External"/><Relationship Id="rId4571" Type="http://schemas.openxmlformats.org/officeDocument/2006/relationships/hyperlink" Target="http://www.linkedin.com/company/one2credit" TargetMode="External"/><Relationship Id="rId3243" Type="http://schemas.openxmlformats.org/officeDocument/2006/relationships/hyperlink" Target="http://www.linkedin.com/in/gonzalo-gomez-7454185" TargetMode="External"/><Relationship Id="rId4574" Type="http://schemas.openxmlformats.org/officeDocument/2006/relationships/hyperlink" Target="http://www.linkedin.com/in/hugocastrobonilla" TargetMode="External"/><Relationship Id="rId3242" Type="http://schemas.openxmlformats.org/officeDocument/2006/relationships/hyperlink" Target="https://cuestionica.com" TargetMode="External"/><Relationship Id="rId4573" Type="http://schemas.openxmlformats.org/officeDocument/2006/relationships/hyperlink" Target="http://www.linkedin.com/company/nok-rent" TargetMode="External"/><Relationship Id="rId3245" Type="http://schemas.openxmlformats.org/officeDocument/2006/relationships/hyperlink" Target="https://opticaalemana.com.co" TargetMode="External"/><Relationship Id="rId4576" Type="http://schemas.openxmlformats.org/officeDocument/2006/relationships/hyperlink" Target="http://www.linkedin.com/in/pilar-forero-9399b458" TargetMode="External"/><Relationship Id="rId3244" Type="http://schemas.openxmlformats.org/officeDocument/2006/relationships/hyperlink" Target="http://www.linkedin.com/company/%c3%b2ptica-alemana-e-y-h-schmidt-s-a-" TargetMode="External"/><Relationship Id="rId4575" Type="http://schemas.openxmlformats.org/officeDocument/2006/relationships/hyperlink" Target="http://www.linkedin.com/company/dingcolombia" TargetMode="External"/><Relationship Id="rId3247" Type="http://schemas.openxmlformats.org/officeDocument/2006/relationships/hyperlink" Target="http://www.linkedin.com/company/latente-ingenieria" TargetMode="External"/><Relationship Id="rId4578" Type="http://schemas.openxmlformats.org/officeDocument/2006/relationships/hyperlink" Target="http://www.linkedin.com/in/daniel-velilla-perez" TargetMode="External"/><Relationship Id="rId3246" Type="http://schemas.openxmlformats.org/officeDocument/2006/relationships/hyperlink" Target="http://www.linkedin.com/in/yadirbojaca" TargetMode="External"/><Relationship Id="rId4577" Type="http://schemas.openxmlformats.org/officeDocument/2006/relationships/hyperlink" Target="http://www.linkedin.com/company/universocubock" TargetMode="External"/><Relationship Id="rId1499" Type="http://schemas.openxmlformats.org/officeDocument/2006/relationships/hyperlink" Target="http://www.linkedin.com/in/carlospenagos" TargetMode="External"/><Relationship Id="rId4525" Type="http://schemas.openxmlformats.org/officeDocument/2006/relationships/hyperlink" Target="http://www.linkedin.com/company/albya_aesthethic" TargetMode="External"/><Relationship Id="rId4524" Type="http://schemas.openxmlformats.org/officeDocument/2006/relationships/hyperlink" Target="http://www.linkedin.com/in/danieldemarketing" TargetMode="External"/><Relationship Id="rId4527" Type="http://schemas.openxmlformats.org/officeDocument/2006/relationships/hyperlink" Target="http://www.linkedin.com/company/nesshq" TargetMode="External"/><Relationship Id="rId4526" Type="http://schemas.openxmlformats.org/officeDocument/2006/relationships/hyperlink" Target="http://www.linkedin.com/in/davenisc" TargetMode="External"/><Relationship Id="rId4529" Type="http://schemas.openxmlformats.org/officeDocument/2006/relationships/hyperlink" Target="http://www.linkedin.com/company/sertemap" TargetMode="External"/><Relationship Id="rId4528" Type="http://schemas.openxmlformats.org/officeDocument/2006/relationships/hyperlink" Target="http://www.linkedin.com/in/nathalie-diaz-a04440b2" TargetMode="External"/><Relationship Id="rId668" Type="http://schemas.openxmlformats.org/officeDocument/2006/relationships/hyperlink" Target="http://www.linkedin.com/in/fernando-heincke-5ba96184" TargetMode="External"/><Relationship Id="rId667" Type="http://schemas.openxmlformats.org/officeDocument/2006/relationships/hyperlink" Target="https://plexosproject.com" TargetMode="External"/><Relationship Id="rId666" Type="http://schemas.openxmlformats.org/officeDocument/2006/relationships/hyperlink" Target="http://www.linkedin.com/company/plexosproject" TargetMode="External"/><Relationship Id="rId665" Type="http://schemas.openxmlformats.org/officeDocument/2006/relationships/hyperlink" Target="http://www.linkedin.com/in/jose-luis-ponz-tienda-31042827" TargetMode="External"/><Relationship Id="rId669" Type="http://schemas.openxmlformats.org/officeDocument/2006/relationships/hyperlink" Target="http://www.linkedin.com/company/heincke-group" TargetMode="External"/><Relationship Id="rId1490" Type="http://schemas.openxmlformats.org/officeDocument/2006/relationships/hyperlink" Target="http://www.linkedin.com/in/alejobrainz" TargetMode="External"/><Relationship Id="rId660" Type="http://schemas.openxmlformats.org/officeDocument/2006/relationships/hyperlink" Target="http://www.linkedin.com/company/ciudadtecnopolis" TargetMode="External"/><Relationship Id="rId1491" Type="http://schemas.openxmlformats.org/officeDocument/2006/relationships/hyperlink" Target="http://www.linkedin.com/company/bacon-games" TargetMode="External"/><Relationship Id="rId1492" Type="http://schemas.openxmlformats.org/officeDocument/2006/relationships/hyperlink" Target="https://bacongames.co" TargetMode="External"/><Relationship Id="rId1493" Type="http://schemas.openxmlformats.org/officeDocument/2006/relationships/hyperlink" Target="http://www.linkedin.com/in/mercedes-larrazabal-3816a7267" TargetMode="External"/><Relationship Id="rId1494" Type="http://schemas.openxmlformats.org/officeDocument/2006/relationships/hyperlink" Target="http://www.linkedin.com/company/autonomicmind" TargetMode="External"/><Relationship Id="rId664" Type="http://schemas.openxmlformats.org/officeDocument/2006/relationships/hyperlink" Target="https://jumpcube.io" TargetMode="External"/><Relationship Id="rId1495" Type="http://schemas.openxmlformats.org/officeDocument/2006/relationships/hyperlink" Target="https://autonomicmind.com" TargetMode="External"/><Relationship Id="rId4521" Type="http://schemas.openxmlformats.org/officeDocument/2006/relationships/hyperlink" Target="http://www.linkedin.com/company/analitycoapp" TargetMode="External"/><Relationship Id="rId663" Type="http://schemas.openxmlformats.org/officeDocument/2006/relationships/hyperlink" Target="http://www.linkedin.com/company/jumpcubetechnologies" TargetMode="External"/><Relationship Id="rId1496" Type="http://schemas.openxmlformats.org/officeDocument/2006/relationships/hyperlink" Target="http://www.linkedin.com/in/sebastianbeltrangarzon" TargetMode="External"/><Relationship Id="rId4520" Type="http://schemas.openxmlformats.org/officeDocument/2006/relationships/hyperlink" Target="http://www.linkedin.com/in/fabio-zaraza-ayala-b241a820b" TargetMode="External"/><Relationship Id="rId662" Type="http://schemas.openxmlformats.org/officeDocument/2006/relationships/hyperlink" Target="http://www.linkedin.com/in/mauricio-lince-arango-38355864" TargetMode="External"/><Relationship Id="rId1497" Type="http://schemas.openxmlformats.org/officeDocument/2006/relationships/hyperlink" Target="http://www.linkedin.com/company/monet-app-col" TargetMode="External"/><Relationship Id="rId4523" Type="http://schemas.openxmlformats.org/officeDocument/2006/relationships/hyperlink" Target="http://www.linkedin.com/company/aavance-soluciones-fintech" TargetMode="External"/><Relationship Id="rId661" Type="http://schemas.openxmlformats.org/officeDocument/2006/relationships/hyperlink" Target="https://ciudadtecnopolis.com" TargetMode="External"/><Relationship Id="rId1498" Type="http://schemas.openxmlformats.org/officeDocument/2006/relationships/hyperlink" Target="https://monet.com.co" TargetMode="External"/><Relationship Id="rId4522" Type="http://schemas.openxmlformats.org/officeDocument/2006/relationships/hyperlink" Target="http://www.linkedin.com/in/magreth-gutierrez-vargas-5705271a8" TargetMode="External"/><Relationship Id="rId1488" Type="http://schemas.openxmlformats.org/officeDocument/2006/relationships/hyperlink" Target="http://www.linkedin.com/company/accion-raiz" TargetMode="External"/><Relationship Id="rId4514" Type="http://schemas.openxmlformats.org/officeDocument/2006/relationships/hyperlink" Target="http://www.linkedin.com/in/david-duarte-c" TargetMode="External"/><Relationship Id="rId1489" Type="http://schemas.openxmlformats.org/officeDocument/2006/relationships/hyperlink" Target="https://accionraiz.com" TargetMode="External"/><Relationship Id="rId4513" Type="http://schemas.openxmlformats.org/officeDocument/2006/relationships/hyperlink" Target="http://www.linkedin.com/company/benky-payments" TargetMode="External"/><Relationship Id="rId4516" Type="http://schemas.openxmlformats.org/officeDocument/2006/relationships/hyperlink" Target="http://www.linkedin.com/in/martha-fajardo-8903b391" TargetMode="External"/><Relationship Id="rId4515" Type="http://schemas.openxmlformats.org/officeDocument/2006/relationships/hyperlink" Target="http://www.linkedin.com/company/agrappcolombia" TargetMode="External"/><Relationship Id="rId4518" Type="http://schemas.openxmlformats.org/officeDocument/2006/relationships/hyperlink" Target="http://www.linkedin.com/in/juan-felipe-villegas-g-6955b640" TargetMode="External"/><Relationship Id="rId4517" Type="http://schemas.openxmlformats.org/officeDocument/2006/relationships/hyperlink" Target="http://www.linkedin.com/company/grupo-verde-sas" TargetMode="External"/><Relationship Id="rId4519" Type="http://schemas.openxmlformats.org/officeDocument/2006/relationships/hyperlink" Target="http://www.linkedin.com/company/ingenio-digital-co" TargetMode="External"/><Relationship Id="rId657" Type="http://schemas.openxmlformats.org/officeDocument/2006/relationships/hyperlink" Target="http://www.linkedin.com/company/inmoga-s-a-s" TargetMode="External"/><Relationship Id="rId656" Type="http://schemas.openxmlformats.org/officeDocument/2006/relationships/hyperlink" Target="http://www.linkedin.com/in/andres-moreno-garcia" TargetMode="External"/><Relationship Id="rId655" Type="http://schemas.openxmlformats.org/officeDocument/2006/relationships/hyperlink" Target="https://casasriegner.com" TargetMode="External"/><Relationship Id="rId654" Type="http://schemas.openxmlformats.org/officeDocument/2006/relationships/hyperlink" Target="http://www.linkedin.com/company/galeria-casas-riegner" TargetMode="External"/><Relationship Id="rId659" Type="http://schemas.openxmlformats.org/officeDocument/2006/relationships/hyperlink" Target="http://www.linkedin.com/in/ciudadtecnopolis" TargetMode="External"/><Relationship Id="rId658" Type="http://schemas.openxmlformats.org/officeDocument/2006/relationships/hyperlink" Target="https://inmoga.com.co" TargetMode="External"/><Relationship Id="rId1480" Type="http://schemas.openxmlformats.org/officeDocument/2006/relationships/hyperlink" Target="https://senzaclub.com" TargetMode="External"/><Relationship Id="rId1481" Type="http://schemas.openxmlformats.org/officeDocument/2006/relationships/hyperlink" Target="http://www.linkedin.com/in/david-plaza-ramirez-a9a64350" TargetMode="External"/><Relationship Id="rId1482" Type="http://schemas.openxmlformats.org/officeDocument/2006/relationships/hyperlink" Target="http://www.linkedin.com/company/dtruestar" TargetMode="External"/><Relationship Id="rId1483" Type="http://schemas.openxmlformats.org/officeDocument/2006/relationships/hyperlink" Target="https://dtruestar.com.co" TargetMode="External"/><Relationship Id="rId653" Type="http://schemas.openxmlformats.org/officeDocument/2006/relationships/hyperlink" Target="http://www.linkedin.com/in/daniela-g%c3%b3mez-4b3ba05a" TargetMode="External"/><Relationship Id="rId1484" Type="http://schemas.openxmlformats.org/officeDocument/2006/relationships/hyperlink" Target="http://www.linkedin.com/in/dalejoparra" TargetMode="External"/><Relationship Id="rId4510" Type="http://schemas.openxmlformats.org/officeDocument/2006/relationships/hyperlink" Target="http://www.linkedin.com/company/figurolatam" TargetMode="External"/><Relationship Id="rId652" Type="http://schemas.openxmlformats.org/officeDocument/2006/relationships/hyperlink" Target="https://uxtar.com" TargetMode="External"/><Relationship Id="rId1485" Type="http://schemas.openxmlformats.org/officeDocument/2006/relationships/hyperlink" Target="http://www.linkedin.com/company/linked-ai-machinelearning" TargetMode="External"/><Relationship Id="rId651" Type="http://schemas.openxmlformats.org/officeDocument/2006/relationships/hyperlink" Target="http://www.linkedin.com/company/uxtarecosistema" TargetMode="External"/><Relationship Id="rId1486" Type="http://schemas.openxmlformats.org/officeDocument/2006/relationships/hyperlink" Target="https://linkedai.co" TargetMode="External"/><Relationship Id="rId4512" Type="http://schemas.openxmlformats.org/officeDocument/2006/relationships/hyperlink" Target="http://www.linkedin.com/in/miguel-andres-giraldo-giraldo-2b433ba6" TargetMode="External"/><Relationship Id="rId650" Type="http://schemas.openxmlformats.org/officeDocument/2006/relationships/hyperlink" Target="http://www.linkedin.com/in/laura-jimenez-332006143" TargetMode="External"/><Relationship Id="rId1487" Type="http://schemas.openxmlformats.org/officeDocument/2006/relationships/hyperlink" Target="http://www.linkedin.com/in/miltonelurbanista" TargetMode="External"/><Relationship Id="rId4511" Type="http://schemas.openxmlformats.org/officeDocument/2006/relationships/hyperlink" Target="http://agrapp.co" TargetMode="External"/><Relationship Id="rId3216" Type="http://schemas.openxmlformats.org/officeDocument/2006/relationships/hyperlink" Target="http://www.linkedin.com/in/femontes" TargetMode="External"/><Relationship Id="rId4547" Type="http://schemas.openxmlformats.org/officeDocument/2006/relationships/hyperlink" Target="http://www.linkedin.com/company/ilanaquality" TargetMode="External"/><Relationship Id="rId3215" Type="http://schemas.openxmlformats.org/officeDocument/2006/relationships/hyperlink" Target="https://factortek.com" TargetMode="External"/><Relationship Id="rId4546" Type="http://schemas.openxmlformats.org/officeDocument/2006/relationships/hyperlink" Target="http://www.linkedin.com/in/liliana-cifuentes-38377854" TargetMode="External"/><Relationship Id="rId3218" Type="http://schemas.openxmlformats.org/officeDocument/2006/relationships/hyperlink" Target="https://kravata.co" TargetMode="External"/><Relationship Id="rId4549" Type="http://schemas.openxmlformats.org/officeDocument/2006/relationships/hyperlink" Target="http://www.linkedin.com/company/ikitech-solutions" TargetMode="External"/><Relationship Id="rId3217" Type="http://schemas.openxmlformats.org/officeDocument/2006/relationships/hyperlink" Target="http://www.linkedin.com/company/kravata" TargetMode="External"/><Relationship Id="rId4548" Type="http://schemas.openxmlformats.org/officeDocument/2006/relationships/hyperlink" Target="http://www.linkedin.com/in/alejandro-sarmiento-pelaez-arquitectosoftware" TargetMode="External"/><Relationship Id="rId3219" Type="http://schemas.openxmlformats.org/officeDocument/2006/relationships/hyperlink" Target="http://www.linkedin.com/in/teresaprieto" TargetMode="External"/><Relationship Id="rId689" Type="http://schemas.openxmlformats.org/officeDocument/2006/relationships/hyperlink" Target="http://www.linkedin.com/in/jonathan-glennie-a8b0b025" TargetMode="External"/><Relationship Id="rId688" Type="http://schemas.openxmlformats.org/officeDocument/2006/relationships/hyperlink" Target="https://securesmartdata.com" TargetMode="External"/><Relationship Id="rId687" Type="http://schemas.openxmlformats.org/officeDocument/2006/relationships/hyperlink" Target="http://www.linkedin.com/company/secure-smartdata" TargetMode="External"/><Relationship Id="rId682" Type="http://schemas.openxmlformats.org/officeDocument/2006/relationships/hyperlink" Target="https://pit.com.co" TargetMode="External"/><Relationship Id="rId681" Type="http://schemas.openxmlformats.org/officeDocument/2006/relationships/hyperlink" Target="http://www.linkedin.com/company/pitmanagement" TargetMode="External"/><Relationship Id="rId680" Type="http://schemas.openxmlformats.org/officeDocument/2006/relationships/hyperlink" Target="http://www.linkedin.com/in/catalina-murad" TargetMode="External"/><Relationship Id="rId3210" Type="http://schemas.openxmlformats.org/officeDocument/2006/relationships/hyperlink" Target="http://www.linkedin.com/in/linajimenezo" TargetMode="External"/><Relationship Id="rId4541" Type="http://schemas.openxmlformats.org/officeDocument/2006/relationships/hyperlink" Target="http://www.linkedin.com/company/teka-capital" TargetMode="External"/><Relationship Id="rId4540" Type="http://schemas.openxmlformats.org/officeDocument/2006/relationships/hyperlink" Target="http://www.linkedin.com/in/diego-cordoba-29785189" TargetMode="External"/><Relationship Id="rId686" Type="http://schemas.openxmlformats.org/officeDocument/2006/relationships/hyperlink" Target="http://www.linkedin.com/in/altoga27" TargetMode="External"/><Relationship Id="rId3212" Type="http://schemas.openxmlformats.org/officeDocument/2006/relationships/hyperlink" Target="https://risktech.com.co" TargetMode="External"/><Relationship Id="rId4543" Type="http://schemas.openxmlformats.org/officeDocument/2006/relationships/hyperlink" Target="http://www.linkedin.com/company/smart-tap-group" TargetMode="External"/><Relationship Id="rId685" Type="http://schemas.openxmlformats.org/officeDocument/2006/relationships/hyperlink" Target="https://icebergci.com" TargetMode="External"/><Relationship Id="rId3211" Type="http://schemas.openxmlformats.org/officeDocument/2006/relationships/hyperlink" Target="http://www.linkedin.com/company/risktech-col" TargetMode="External"/><Relationship Id="rId4542" Type="http://schemas.openxmlformats.org/officeDocument/2006/relationships/hyperlink" Target="http://www.linkedin.com/in/johanna-alvarado-cifuentes" TargetMode="External"/><Relationship Id="rId684" Type="http://schemas.openxmlformats.org/officeDocument/2006/relationships/hyperlink" Target="http://www.linkedin.com/company/iceberg-cultures-of-inclusion" TargetMode="External"/><Relationship Id="rId3214" Type="http://schemas.openxmlformats.org/officeDocument/2006/relationships/hyperlink" Target="http://www.linkedin.com/company/factortek" TargetMode="External"/><Relationship Id="rId4545" Type="http://schemas.openxmlformats.org/officeDocument/2006/relationships/hyperlink" Target="http://www.linkedin.com/company/boreas-odor-free" TargetMode="External"/><Relationship Id="rId683" Type="http://schemas.openxmlformats.org/officeDocument/2006/relationships/hyperlink" Target="http://www.linkedin.com/in/shirleyjsaenz" TargetMode="External"/><Relationship Id="rId3213" Type="http://schemas.openxmlformats.org/officeDocument/2006/relationships/hyperlink" Target="http://www.linkedin.com/in/mauricio-saenz-pumarejo-12514a41" TargetMode="External"/><Relationship Id="rId4544" Type="http://schemas.openxmlformats.org/officeDocument/2006/relationships/hyperlink" Target="http://www.linkedin.com/in/andresmauricioarias" TargetMode="External"/><Relationship Id="rId3205" Type="http://schemas.openxmlformats.org/officeDocument/2006/relationships/hyperlink" Target="http://www.linkedin.com/company/inventto-group" TargetMode="External"/><Relationship Id="rId4536" Type="http://schemas.openxmlformats.org/officeDocument/2006/relationships/hyperlink" Target="http://www.linkedin.com/in/pkfcabrera-internacional-sa" TargetMode="External"/><Relationship Id="rId3204" Type="http://schemas.openxmlformats.org/officeDocument/2006/relationships/hyperlink" Target="http://www.linkedin.com/in/santiramirezr89" TargetMode="External"/><Relationship Id="rId4535" Type="http://schemas.openxmlformats.org/officeDocument/2006/relationships/hyperlink" Target="http://www.linkedin.com/company/yarumo-vc" TargetMode="External"/><Relationship Id="rId3207" Type="http://schemas.openxmlformats.org/officeDocument/2006/relationships/hyperlink" Target="http://www.linkedin.com/in/cesarangelvalencia" TargetMode="External"/><Relationship Id="rId4538" Type="http://schemas.openxmlformats.org/officeDocument/2006/relationships/hyperlink" Target="http://www.linkedin.com/in/vickyducuara" TargetMode="External"/><Relationship Id="rId3206" Type="http://schemas.openxmlformats.org/officeDocument/2006/relationships/hyperlink" Target="https://inventtogroup.com" TargetMode="External"/><Relationship Id="rId4537" Type="http://schemas.openxmlformats.org/officeDocument/2006/relationships/hyperlink" Target="http://www.linkedin.com/company/pkf-cabrera-internacional-s-a" TargetMode="External"/><Relationship Id="rId3209" Type="http://schemas.openxmlformats.org/officeDocument/2006/relationships/hyperlink" Target="https://naturetrips.co" TargetMode="External"/><Relationship Id="rId3208" Type="http://schemas.openxmlformats.org/officeDocument/2006/relationships/hyperlink" Target="http://www.linkedin.com/company/nature-trips-colombia" TargetMode="External"/><Relationship Id="rId4539" Type="http://schemas.openxmlformats.org/officeDocument/2006/relationships/hyperlink" Target="http://www.linkedin.com/company/uzerco" TargetMode="External"/><Relationship Id="rId679" Type="http://schemas.openxmlformats.org/officeDocument/2006/relationships/hyperlink" Target="https://biospheresolutions.co" TargetMode="External"/><Relationship Id="rId678" Type="http://schemas.openxmlformats.org/officeDocument/2006/relationships/hyperlink" Target="http://www.linkedin.com/company/biosphere-solutions" TargetMode="External"/><Relationship Id="rId677" Type="http://schemas.openxmlformats.org/officeDocument/2006/relationships/hyperlink" Target="http://www.linkedin.com/in/liliana-andrea-martinez-sarmiento-820b9741" TargetMode="External"/><Relationship Id="rId676" Type="http://schemas.openxmlformats.org/officeDocument/2006/relationships/hyperlink" Target="https://reditusgroup.net" TargetMode="External"/><Relationship Id="rId671" Type="http://schemas.openxmlformats.org/officeDocument/2006/relationships/hyperlink" Target="http://www.linkedin.com/in/guillermorodriguezc" TargetMode="External"/><Relationship Id="rId670" Type="http://schemas.openxmlformats.org/officeDocument/2006/relationships/hyperlink" Target="https://heincke.co" TargetMode="External"/><Relationship Id="rId4530" Type="http://schemas.openxmlformats.org/officeDocument/2006/relationships/hyperlink" Target="http://www.linkedin.com/in/carlosayalde" TargetMode="External"/><Relationship Id="rId675" Type="http://schemas.openxmlformats.org/officeDocument/2006/relationships/hyperlink" Target="http://www.linkedin.com/company/reditus-groupre" TargetMode="External"/><Relationship Id="rId3201" Type="http://schemas.openxmlformats.org/officeDocument/2006/relationships/hyperlink" Target="http://www.linkedin.com/in/lilianalozanoalmario" TargetMode="External"/><Relationship Id="rId4532" Type="http://schemas.openxmlformats.org/officeDocument/2006/relationships/hyperlink" Target="http://www.linkedin.com/in/pablo-gutierrez-michelsen" TargetMode="External"/><Relationship Id="rId674" Type="http://schemas.openxmlformats.org/officeDocument/2006/relationships/hyperlink" Target="http://www.linkedin.com/in/andr%c3%a9s-l%c3%b3pez-gonz%c3%a1lez-a49129101" TargetMode="External"/><Relationship Id="rId3200" Type="http://schemas.openxmlformats.org/officeDocument/2006/relationships/hyperlink" Target="https://condorsuite.com" TargetMode="External"/><Relationship Id="rId4531" Type="http://schemas.openxmlformats.org/officeDocument/2006/relationships/hyperlink" Target="http://www.linkedin.com/company/gatekeeperx" TargetMode="External"/><Relationship Id="rId673" Type="http://schemas.openxmlformats.org/officeDocument/2006/relationships/hyperlink" Target="https://fogo.com.co" TargetMode="External"/><Relationship Id="rId3203" Type="http://schemas.openxmlformats.org/officeDocument/2006/relationships/hyperlink" Target="https://efeconcepto.com" TargetMode="External"/><Relationship Id="rId4534" Type="http://schemas.openxmlformats.org/officeDocument/2006/relationships/hyperlink" Target="http://www.linkedin.com/in/sebasti%c3%a1n-caro-a16459a5" TargetMode="External"/><Relationship Id="rId672" Type="http://schemas.openxmlformats.org/officeDocument/2006/relationships/hyperlink" Target="http://www.linkedin.com/company/fogo-energia-solar" TargetMode="External"/><Relationship Id="rId3202" Type="http://schemas.openxmlformats.org/officeDocument/2006/relationships/hyperlink" Target="http://www.linkedin.com/company/efe-concepto" TargetMode="External"/><Relationship Id="rId4533" Type="http://schemas.openxmlformats.org/officeDocument/2006/relationships/hyperlink" Target="http://www.linkedin.com/company/club-deportivo-la-equidad" TargetMode="External"/><Relationship Id="rId190" Type="http://schemas.openxmlformats.org/officeDocument/2006/relationships/hyperlink" Target="https://greenwood.energy" TargetMode="External"/><Relationship Id="rId5019" Type="http://schemas.openxmlformats.org/officeDocument/2006/relationships/hyperlink" Target="http://www.linkedin.com/in/claribethestepa" TargetMode="External"/><Relationship Id="rId194" Type="http://schemas.openxmlformats.org/officeDocument/2006/relationships/hyperlink" Target="http://www.linkedin.com/in/yily-aparicio-fiorasoft" TargetMode="External"/><Relationship Id="rId193" Type="http://schemas.openxmlformats.org/officeDocument/2006/relationships/hyperlink" Target="https://deloria.com.co" TargetMode="External"/><Relationship Id="rId192" Type="http://schemas.openxmlformats.org/officeDocument/2006/relationships/hyperlink" Target="http://www.linkedin.com/company/deloria-research" TargetMode="External"/><Relationship Id="rId191" Type="http://schemas.openxmlformats.org/officeDocument/2006/relationships/hyperlink" Target="http://www.linkedin.com/in/ingrid-l%c3%b3pez-b56926242" TargetMode="External"/><Relationship Id="rId5010" Type="http://schemas.openxmlformats.org/officeDocument/2006/relationships/hyperlink" Target="http://capitalia.ai" TargetMode="External"/><Relationship Id="rId187" Type="http://schemas.openxmlformats.org/officeDocument/2006/relationships/hyperlink" Target="https://fauno.com.co" TargetMode="External"/><Relationship Id="rId5013" Type="http://schemas.openxmlformats.org/officeDocument/2006/relationships/hyperlink" Target="http://www.linkedin.com/in/lorenzo-garavito" TargetMode="External"/><Relationship Id="rId186" Type="http://schemas.openxmlformats.org/officeDocument/2006/relationships/hyperlink" Target="http://www.linkedin.com/company/beauty-brands-sas" TargetMode="External"/><Relationship Id="rId5014" Type="http://schemas.openxmlformats.org/officeDocument/2006/relationships/hyperlink" Target="http://www.linkedin.com/company/capitalia-ai" TargetMode="External"/><Relationship Id="rId185" Type="http://schemas.openxmlformats.org/officeDocument/2006/relationships/hyperlink" Target="http://www.linkedin.com/in/maria-isabel-l%c3%b3pez-puerta-63750776" TargetMode="External"/><Relationship Id="rId5011" Type="http://schemas.openxmlformats.org/officeDocument/2006/relationships/hyperlink" Target="http://www.linkedin.com/in/smuriel" TargetMode="External"/><Relationship Id="rId184" Type="http://schemas.openxmlformats.org/officeDocument/2006/relationships/hyperlink" Target="https://innovexinternational.com" TargetMode="External"/><Relationship Id="rId5012" Type="http://schemas.openxmlformats.org/officeDocument/2006/relationships/hyperlink" Target="http://www.linkedin.com/company/igniaeducation" TargetMode="External"/><Relationship Id="rId5017" Type="http://schemas.openxmlformats.org/officeDocument/2006/relationships/hyperlink" Target="http://www.linkedin.com/in/stefan-c-b76753123" TargetMode="External"/><Relationship Id="rId5018" Type="http://schemas.openxmlformats.org/officeDocument/2006/relationships/hyperlink" Target="http://www.linkedin.com/company/pix-robotics-brasil" TargetMode="External"/><Relationship Id="rId189" Type="http://schemas.openxmlformats.org/officeDocument/2006/relationships/hyperlink" Target="http://www.linkedin.com/company/greenwoodenergy" TargetMode="External"/><Relationship Id="rId5015" Type="http://schemas.openxmlformats.org/officeDocument/2006/relationships/hyperlink" Target="http://www.linkedin.com/in/sandra-janneth-gonzalez-" TargetMode="External"/><Relationship Id="rId188" Type="http://schemas.openxmlformats.org/officeDocument/2006/relationships/hyperlink" Target="http://www.linkedin.com/in/juan-pablo-crane-665191" TargetMode="External"/><Relationship Id="rId5016" Type="http://schemas.openxmlformats.org/officeDocument/2006/relationships/hyperlink" Target="http://www.linkedin.com/company/pandaid-soluciones" TargetMode="External"/><Relationship Id="rId5008" Type="http://schemas.openxmlformats.org/officeDocument/2006/relationships/hyperlink" Target="http://www.linkedin.com/in/catalina-montealegre-g%c3%b3ngora-9a08a947" TargetMode="External"/><Relationship Id="rId5009" Type="http://schemas.openxmlformats.org/officeDocument/2006/relationships/hyperlink" Target="http://www.linkedin.com/company/henkosolution" TargetMode="External"/><Relationship Id="rId183" Type="http://schemas.openxmlformats.org/officeDocument/2006/relationships/hyperlink" Target="http://www.linkedin.com/company/innovex-international-sas" TargetMode="External"/><Relationship Id="rId182" Type="http://schemas.openxmlformats.org/officeDocument/2006/relationships/hyperlink" Target="http://www.linkedin.com/in/mrudula-wattamwar-798bb211" TargetMode="External"/><Relationship Id="rId181" Type="http://schemas.openxmlformats.org/officeDocument/2006/relationships/hyperlink" Target="https://isitec.co" TargetMode="External"/><Relationship Id="rId180" Type="http://schemas.openxmlformats.org/officeDocument/2006/relationships/hyperlink" Target="http://www.linkedin.com/company/isitecgroup" TargetMode="External"/><Relationship Id="rId176" Type="http://schemas.openxmlformats.org/officeDocument/2006/relationships/hyperlink" Target="http://www.linkedin.com/in/aurora-turriago-72b41772" TargetMode="External"/><Relationship Id="rId5002" Type="http://schemas.openxmlformats.org/officeDocument/2006/relationships/hyperlink" Target="http://www.linkedin.com/in/jplondono-lending" TargetMode="External"/><Relationship Id="rId175" Type="http://schemas.openxmlformats.org/officeDocument/2006/relationships/hyperlink" Target="https://atlanticrebrokers.com" TargetMode="External"/><Relationship Id="rId5003" Type="http://schemas.openxmlformats.org/officeDocument/2006/relationships/hyperlink" Target="http://www.linkedin.com/company/technovationcomco" TargetMode="External"/><Relationship Id="rId174" Type="http://schemas.openxmlformats.org/officeDocument/2006/relationships/hyperlink" Target="http://www.linkedin.com/company/atlantic-latam-corredores-de-seguros" TargetMode="External"/><Relationship Id="rId5000" Type="http://schemas.openxmlformats.org/officeDocument/2006/relationships/hyperlink" Target="http://www.linkedin.com/in/nelsonbenavides" TargetMode="External"/><Relationship Id="rId173" Type="http://schemas.openxmlformats.org/officeDocument/2006/relationships/hyperlink" Target="http://www.linkedin.com/in/luis-alejandro-fuentes-vargas-46302069" TargetMode="External"/><Relationship Id="rId5001" Type="http://schemas.openxmlformats.org/officeDocument/2006/relationships/hyperlink" Target="http://www.linkedin.com/company/mergelatin" TargetMode="External"/><Relationship Id="rId5006" Type="http://schemas.openxmlformats.org/officeDocument/2006/relationships/hyperlink" Target="http://www.linkedin.com/in/smbcountrymanager" TargetMode="External"/><Relationship Id="rId179" Type="http://schemas.openxmlformats.org/officeDocument/2006/relationships/hyperlink" Target="http://www.linkedin.com/in/andrestorres455" TargetMode="External"/><Relationship Id="rId5007" Type="http://schemas.openxmlformats.org/officeDocument/2006/relationships/hyperlink" Target="http://www.linkedin.com/company/8-blocks-consulting" TargetMode="External"/><Relationship Id="rId178" Type="http://schemas.openxmlformats.org/officeDocument/2006/relationships/hyperlink" Target="https://newmark.com.co" TargetMode="External"/><Relationship Id="rId5004" Type="http://schemas.openxmlformats.org/officeDocument/2006/relationships/hyperlink" Target="http://www.linkedin.com/in/carorrhh" TargetMode="External"/><Relationship Id="rId177" Type="http://schemas.openxmlformats.org/officeDocument/2006/relationships/hyperlink" Target="http://www.linkedin.com/company/newmarkco" TargetMode="External"/><Relationship Id="rId5005" Type="http://schemas.openxmlformats.org/officeDocument/2006/relationships/hyperlink" Target="http://www.linkedin.com/company/coltalentos-sas" TargetMode="External"/><Relationship Id="rId5031" Type="http://schemas.openxmlformats.org/officeDocument/2006/relationships/hyperlink" Target="http://www.linkedin.com/in/jos%c3%a9-manuel-g%c3%b3mez-ojeda-o-d-ba96b126" TargetMode="External"/><Relationship Id="rId5032" Type="http://schemas.openxmlformats.org/officeDocument/2006/relationships/hyperlink" Target="http://www.linkedin.com/company/ophthalmic-media-contents" TargetMode="External"/><Relationship Id="rId5030" Type="http://schemas.openxmlformats.org/officeDocument/2006/relationships/hyperlink" Target="http://www.linkedin.com/company/la-cocreadora" TargetMode="External"/><Relationship Id="rId5035" Type="http://schemas.openxmlformats.org/officeDocument/2006/relationships/hyperlink" Target="http://www.linkedin.com/in/mateojimenez" TargetMode="External"/><Relationship Id="rId5036" Type="http://schemas.openxmlformats.org/officeDocument/2006/relationships/hyperlink" Target="http://www.linkedin.com/company/queocolombia" TargetMode="External"/><Relationship Id="rId5033" Type="http://schemas.openxmlformats.org/officeDocument/2006/relationships/hyperlink" Target="http://www.linkedin.com/in/beatriz-helena-vallejo-reyes-78b18623" TargetMode="External"/><Relationship Id="rId5034" Type="http://schemas.openxmlformats.org/officeDocument/2006/relationships/hyperlink" Target="http://www.linkedin.com/company/ethosbt" TargetMode="External"/><Relationship Id="rId5039" Type="http://schemas.openxmlformats.org/officeDocument/2006/relationships/hyperlink" Target="http://www.linkedin.com/company/factible-tools" TargetMode="External"/><Relationship Id="rId5037" Type="http://schemas.openxmlformats.org/officeDocument/2006/relationships/hyperlink" Target="http://marketxm.io" TargetMode="External"/><Relationship Id="rId5038" Type="http://schemas.openxmlformats.org/officeDocument/2006/relationships/hyperlink" Target="http://www.linkedin.com/in/camiloduquegarcia" TargetMode="External"/><Relationship Id="rId5020" Type="http://schemas.openxmlformats.org/officeDocument/2006/relationships/hyperlink" Target="http://www.linkedin.com/company/inner-people" TargetMode="External"/><Relationship Id="rId5021" Type="http://schemas.openxmlformats.org/officeDocument/2006/relationships/hyperlink" Target="http://www.linkedin.com/in/felipe-gomez-herrera-5b5a2b25" TargetMode="External"/><Relationship Id="rId198" Type="http://schemas.openxmlformats.org/officeDocument/2006/relationships/hyperlink" Target="http://www.linkedin.com/company/tripactadvisory" TargetMode="External"/><Relationship Id="rId5024" Type="http://schemas.openxmlformats.org/officeDocument/2006/relationships/hyperlink" Target="http://www.linkedin.com/company/suncompanycol" TargetMode="External"/><Relationship Id="rId197" Type="http://schemas.openxmlformats.org/officeDocument/2006/relationships/hyperlink" Target="http://www.linkedin.com/in/david-dewez-" TargetMode="External"/><Relationship Id="rId5025" Type="http://schemas.openxmlformats.org/officeDocument/2006/relationships/hyperlink" Target="http://www.linkedin.com/in/uriel-zuluaga-parra-1885671a3" TargetMode="External"/><Relationship Id="rId196" Type="http://schemas.openxmlformats.org/officeDocument/2006/relationships/hyperlink" Target="https://fiorasoft.co" TargetMode="External"/><Relationship Id="rId5022" Type="http://schemas.openxmlformats.org/officeDocument/2006/relationships/hyperlink" Target="http://www.linkedin.com/company/welli" TargetMode="External"/><Relationship Id="rId195" Type="http://schemas.openxmlformats.org/officeDocument/2006/relationships/hyperlink" Target="http://www.linkedin.com/company/fiorasoft" TargetMode="External"/><Relationship Id="rId5023" Type="http://schemas.openxmlformats.org/officeDocument/2006/relationships/hyperlink" Target="http://www.linkedin.com/in/andres-lopera" TargetMode="External"/><Relationship Id="rId5028" Type="http://schemas.openxmlformats.org/officeDocument/2006/relationships/hyperlink" Target="http://www.linkedin.com/company/ic%c3%b3nica-home-gallery" TargetMode="External"/><Relationship Id="rId5029" Type="http://schemas.openxmlformats.org/officeDocument/2006/relationships/hyperlink" Target="http://www.linkedin.com/in/robertobolullo" TargetMode="External"/><Relationship Id="rId5026" Type="http://schemas.openxmlformats.org/officeDocument/2006/relationships/hyperlink" Target="http://www.linkedin.com/company/the-listao-company" TargetMode="External"/><Relationship Id="rId199" Type="http://schemas.openxmlformats.org/officeDocument/2006/relationships/hyperlink" Target="https://tripactadvisory.com" TargetMode="External"/><Relationship Id="rId5027" Type="http://schemas.openxmlformats.org/officeDocument/2006/relationships/hyperlink" Target="http://www.linkedin.com/in/iconica-home-gallery-s-a-s-b707231aa" TargetMode="External"/><Relationship Id="rId150" Type="http://schemas.openxmlformats.org/officeDocument/2006/relationships/hyperlink" Target="http://www.linkedin.com/company/datapeers-ai" TargetMode="External"/><Relationship Id="rId149" Type="http://schemas.openxmlformats.org/officeDocument/2006/relationships/hyperlink" Target="http://www.linkedin.com/in/juandurrea" TargetMode="External"/><Relationship Id="rId148" Type="http://schemas.openxmlformats.org/officeDocument/2006/relationships/hyperlink" Target="https://ecoguardenergy.com" TargetMode="External"/><Relationship Id="rId3270" Type="http://schemas.openxmlformats.org/officeDocument/2006/relationships/hyperlink" Target="http://www.linkedin.com/in/robbiejfrye" TargetMode="External"/><Relationship Id="rId3272" Type="http://schemas.openxmlformats.org/officeDocument/2006/relationships/hyperlink" Target="https://kinnto.ai" TargetMode="External"/><Relationship Id="rId3271" Type="http://schemas.openxmlformats.org/officeDocument/2006/relationships/hyperlink" Target="http://www.linkedin.com/company/kinnto" TargetMode="External"/><Relationship Id="rId143" Type="http://schemas.openxmlformats.org/officeDocument/2006/relationships/hyperlink" Target="http://www.linkedin.com/in/diego-pinzon-paz-097a6223" TargetMode="External"/><Relationship Id="rId3274" Type="http://schemas.openxmlformats.org/officeDocument/2006/relationships/hyperlink" Target="http://www.linkedin.com/company/evolutionchange" TargetMode="External"/><Relationship Id="rId142" Type="http://schemas.openxmlformats.org/officeDocument/2006/relationships/hyperlink" Target="https://teamco.com.co" TargetMode="External"/><Relationship Id="rId3273" Type="http://schemas.openxmlformats.org/officeDocument/2006/relationships/hyperlink" Target="http://www.linkedin.com/in/carlos-andr%c3%a9s-gaona-su%c3%a1rez-7a140548" TargetMode="External"/><Relationship Id="rId141" Type="http://schemas.openxmlformats.org/officeDocument/2006/relationships/hyperlink" Target="http://www.linkedin.com/company/teamcoconsulting" TargetMode="External"/><Relationship Id="rId3276" Type="http://schemas.openxmlformats.org/officeDocument/2006/relationships/hyperlink" Target="http://www.linkedin.com/in/davidfpereira" TargetMode="External"/><Relationship Id="rId140" Type="http://schemas.openxmlformats.org/officeDocument/2006/relationships/hyperlink" Target="http://www.linkedin.com/in/hannacarolinavivaslopez" TargetMode="External"/><Relationship Id="rId3275" Type="http://schemas.openxmlformats.org/officeDocument/2006/relationships/hyperlink" Target="https://evolutionchange.com" TargetMode="External"/><Relationship Id="rId147" Type="http://schemas.openxmlformats.org/officeDocument/2006/relationships/hyperlink" Target="http://www.linkedin.com/company/ecoguardenergy" TargetMode="External"/><Relationship Id="rId3278" Type="http://schemas.openxmlformats.org/officeDocument/2006/relationships/hyperlink" Target="https://secpro.llc" TargetMode="External"/><Relationship Id="rId146" Type="http://schemas.openxmlformats.org/officeDocument/2006/relationships/hyperlink" Target="http://www.linkedin.com/in/ines-cecilia-delgado-fl%c3%b3rez-6aa5318" TargetMode="External"/><Relationship Id="rId3277" Type="http://schemas.openxmlformats.org/officeDocument/2006/relationships/hyperlink" Target="http://www.linkedin.com/company/secprollc" TargetMode="External"/><Relationship Id="rId145" Type="http://schemas.openxmlformats.org/officeDocument/2006/relationships/hyperlink" Target="https://orkid.tech" TargetMode="External"/><Relationship Id="rId144" Type="http://schemas.openxmlformats.org/officeDocument/2006/relationships/hyperlink" Target="http://www.linkedin.com/company/orkid-tech" TargetMode="External"/><Relationship Id="rId3279" Type="http://schemas.openxmlformats.org/officeDocument/2006/relationships/hyperlink" Target="http://www.linkedin.com/in/octaviotorresq" TargetMode="External"/><Relationship Id="rId139" Type="http://schemas.openxmlformats.org/officeDocument/2006/relationships/hyperlink" Target="https://kastorfinance.com" TargetMode="External"/><Relationship Id="rId138" Type="http://schemas.openxmlformats.org/officeDocument/2006/relationships/hyperlink" Target="http://www.linkedin.com/company/kastor-fi" TargetMode="External"/><Relationship Id="rId137" Type="http://schemas.openxmlformats.org/officeDocument/2006/relationships/hyperlink" Target="http://www.linkedin.com/in/carlos-andr%c3%a9s-serna-carvajal-38b1b7111" TargetMode="External"/><Relationship Id="rId4590" Type="http://schemas.openxmlformats.org/officeDocument/2006/relationships/hyperlink" Target="http://www.linkedin.com/in/davidladinohz" TargetMode="External"/><Relationship Id="rId3261" Type="http://schemas.openxmlformats.org/officeDocument/2006/relationships/hyperlink" Target="http://www.linkedin.com/in/nathalia-miranda" TargetMode="External"/><Relationship Id="rId4592" Type="http://schemas.openxmlformats.org/officeDocument/2006/relationships/hyperlink" Target="http://www.linkedin.com/in/melissabolivarortiz" TargetMode="External"/><Relationship Id="rId3260" Type="http://schemas.openxmlformats.org/officeDocument/2006/relationships/hyperlink" Target="https://sitechcolombia.com" TargetMode="External"/><Relationship Id="rId4591" Type="http://schemas.openxmlformats.org/officeDocument/2006/relationships/hyperlink" Target="http://www.linkedin.com/company/elementalconsultinggroup" TargetMode="External"/><Relationship Id="rId132" Type="http://schemas.openxmlformats.org/officeDocument/2006/relationships/hyperlink" Target="http://www.linkedin.com/company/orinocotic" TargetMode="External"/><Relationship Id="rId3263" Type="http://schemas.openxmlformats.org/officeDocument/2006/relationships/hyperlink" Target="https://transformente.com" TargetMode="External"/><Relationship Id="rId4594" Type="http://schemas.openxmlformats.org/officeDocument/2006/relationships/hyperlink" Target="http://www.linkedin.com/in/consultorsalud" TargetMode="External"/><Relationship Id="rId131" Type="http://schemas.openxmlformats.org/officeDocument/2006/relationships/hyperlink" Target="http://www.linkedin.com/in/emerson-duran-rodriguez-49953b28" TargetMode="External"/><Relationship Id="rId3262" Type="http://schemas.openxmlformats.org/officeDocument/2006/relationships/hyperlink" Target="http://www.linkedin.com/company/transformente" TargetMode="External"/><Relationship Id="rId4593" Type="http://schemas.openxmlformats.org/officeDocument/2006/relationships/hyperlink" Target="http://www.linkedin.com/company/nurent" TargetMode="External"/><Relationship Id="rId130" Type="http://schemas.openxmlformats.org/officeDocument/2006/relationships/hyperlink" Target="https://hcx.com.co" TargetMode="External"/><Relationship Id="rId3265" Type="http://schemas.openxmlformats.org/officeDocument/2006/relationships/hyperlink" Target="http://www.linkedin.com/company/topertyco" TargetMode="External"/><Relationship Id="rId4596" Type="http://schemas.openxmlformats.org/officeDocument/2006/relationships/hyperlink" Target="http://www.linkedin.com/in/juan-pablo-zuluaga-a85b48a3" TargetMode="External"/><Relationship Id="rId3264" Type="http://schemas.openxmlformats.org/officeDocument/2006/relationships/hyperlink" Target="http://www.linkedin.com/in/pedro-botero-piedrahita-4467b595" TargetMode="External"/><Relationship Id="rId4595" Type="http://schemas.openxmlformats.org/officeDocument/2006/relationships/hyperlink" Target="http://www.linkedin.com/company/consultor-salud" TargetMode="External"/><Relationship Id="rId136" Type="http://schemas.openxmlformats.org/officeDocument/2006/relationships/hyperlink" Target="https://raddarstudios.com" TargetMode="External"/><Relationship Id="rId3267" Type="http://schemas.openxmlformats.org/officeDocument/2006/relationships/hyperlink" Target="http://www.linkedin.com/in/fabio-gordillo-0205221a" TargetMode="External"/><Relationship Id="rId4598" Type="http://schemas.openxmlformats.org/officeDocument/2006/relationships/hyperlink" Target="http://www.linkedin.com/in/santiagogonzalezr" TargetMode="External"/><Relationship Id="rId135" Type="http://schemas.openxmlformats.org/officeDocument/2006/relationships/hyperlink" Target="http://www.linkedin.com/company/raddarstudios" TargetMode="External"/><Relationship Id="rId3266" Type="http://schemas.openxmlformats.org/officeDocument/2006/relationships/hyperlink" Target="https://toperty.co" TargetMode="External"/><Relationship Id="rId4597" Type="http://schemas.openxmlformats.org/officeDocument/2006/relationships/hyperlink" Target="http://www.linkedin.com/company/mpf-invest" TargetMode="External"/><Relationship Id="rId134" Type="http://schemas.openxmlformats.org/officeDocument/2006/relationships/hyperlink" Target="http://www.linkedin.com/in/daniforero" TargetMode="External"/><Relationship Id="rId3269" Type="http://schemas.openxmlformats.org/officeDocument/2006/relationships/hyperlink" Target="https://opencitylife.com" TargetMode="External"/><Relationship Id="rId133" Type="http://schemas.openxmlformats.org/officeDocument/2006/relationships/hyperlink" Target="https://orinocotic.org" TargetMode="External"/><Relationship Id="rId3268" Type="http://schemas.openxmlformats.org/officeDocument/2006/relationships/hyperlink" Target="http://www.linkedin.com/company/opencitylife" TargetMode="External"/><Relationship Id="rId4599" Type="http://schemas.openxmlformats.org/officeDocument/2006/relationships/hyperlink" Target="http://www.linkedin.com/company/peaku" TargetMode="External"/><Relationship Id="rId172" Type="http://schemas.openxmlformats.org/officeDocument/2006/relationships/hyperlink" Target="https://primero.com.co" TargetMode="External"/><Relationship Id="rId171" Type="http://schemas.openxmlformats.org/officeDocument/2006/relationships/hyperlink" Target="http://www.linkedin.com/company/somos-primero" TargetMode="External"/><Relationship Id="rId170" Type="http://schemas.openxmlformats.org/officeDocument/2006/relationships/hyperlink" Target="http://www.linkedin.com/in/marcela-salinas-r-bb100125" TargetMode="External"/><Relationship Id="rId3290" Type="http://schemas.openxmlformats.org/officeDocument/2006/relationships/hyperlink" Target="https://hashrisk.io" TargetMode="External"/><Relationship Id="rId3292" Type="http://schemas.openxmlformats.org/officeDocument/2006/relationships/hyperlink" Target="http://www.linkedin.com/company/imotriz" TargetMode="External"/><Relationship Id="rId3291" Type="http://schemas.openxmlformats.org/officeDocument/2006/relationships/hyperlink" Target="http://www.linkedin.com/in/jorgemario50" TargetMode="External"/><Relationship Id="rId3294" Type="http://schemas.openxmlformats.org/officeDocument/2006/relationships/hyperlink" Target="http://www.linkedin.com/in/joshua-paul-prieto-10866441" TargetMode="External"/><Relationship Id="rId3293" Type="http://schemas.openxmlformats.org/officeDocument/2006/relationships/hyperlink" Target="https://imotriz.com" TargetMode="External"/><Relationship Id="rId165" Type="http://schemas.openxmlformats.org/officeDocument/2006/relationships/hyperlink" Target="http://www.linkedin.com/company/ex-viewsolar" TargetMode="External"/><Relationship Id="rId3296" Type="http://schemas.openxmlformats.org/officeDocument/2006/relationships/hyperlink" Target="https://seedsoftao.com" TargetMode="External"/><Relationship Id="rId164" Type="http://schemas.openxmlformats.org/officeDocument/2006/relationships/hyperlink" Target="http://www.linkedin.com/in/rafael-aar%c3%b3n-v%c3%a1squez" TargetMode="External"/><Relationship Id="rId3295" Type="http://schemas.openxmlformats.org/officeDocument/2006/relationships/hyperlink" Target="http://www.linkedin.com/company/seeds-of-tao" TargetMode="External"/><Relationship Id="rId163" Type="http://schemas.openxmlformats.org/officeDocument/2006/relationships/hyperlink" Target="https://lilhorselab.com" TargetMode="External"/><Relationship Id="rId3298" Type="http://schemas.openxmlformats.org/officeDocument/2006/relationships/hyperlink" Target="http://www.linkedin.com/company/aequaleslat" TargetMode="External"/><Relationship Id="rId162" Type="http://schemas.openxmlformats.org/officeDocument/2006/relationships/hyperlink" Target="http://www.linkedin.com/company/lil-horse" TargetMode="External"/><Relationship Id="rId3297" Type="http://schemas.openxmlformats.org/officeDocument/2006/relationships/hyperlink" Target="http://www.linkedin.com/in/miaperdomo" TargetMode="External"/><Relationship Id="rId169" Type="http://schemas.openxmlformats.org/officeDocument/2006/relationships/hyperlink" Target="https://issac.co" TargetMode="External"/><Relationship Id="rId168" Type="http://schemas.openxmlformats.org/officeDocument/2006/relationships/hyperlink" Target="http://www.linkedin.com/company/issac-sas" TargetMode="External"/><Relationship Id="rId3299" Type="http://schemas.openxmlformats.org/officeDocument/2006/relationships/hyperlink" Target="https://aequales.com" TargetMode="External"/><Relationship Id="rId167" Type="http://schemas.openxmlformats.org/officeDocument/2006/relationships/hyperlink" Target="http://www.linkedin.com/in/ricardo-puentes-231212263" TargetMode="External"/><Relationship Id="rId166" Type="http://schemas.openxmlformats.org/officeDocument/2006/relationships/hyperlink" Target="https://ex-view.com" TargetMode="External"/><Relationship Id="rId161" Type="http://schemas.openxmlformats.org/officeDocument/2006/relationships/hyperlink" Target="http://www.linkedin.com/in/nicolas-useche-landinez" TargetMode="External"/><Relationship Id="rId160" Type="http://schemas.openxmlformats.org/officeDocument/2006/relationships/hyperlink" Target="https://duppla.co" TargetMode="External"/><Relationship Id="rId159" Type="http://schemas.openxmlformats.org/officeDocument/2006/relationships/hyperlink" Target="http://www.linkedin.com/company/duppla-com-co" TargetMode="External"/><Relationship Id="rId3281" Type="http://schemas.openxmlformats.org/officeDocument/2006/relationships/hyperlink" Target="https://valopes.com" TargetMode="External"/><Relationship Id="rId3280" Type="http://schemas.openxmlformats.org/officeDocument/2006/relationships/hyperlink" Target="http://www.linkedin.com/company/valopes" TargetMode="External"/><Relationship Id="rId3283" Type="http://schemas.openxmlformats.org/officeDocument/2006/relationships/hyperlink" Target="http://www.linkedin.com/company/talentfindersas" TargetMode="External"/><Relationship Id="rId3282" Type="http://schemas.openxmlformats.org/officeDocument/2006/relationships/hyperlink" Target="http://www.linkedin.com/in/valentina-prieto-diazgranados-3172b059" TargetMode="External"/><Relationship Id="rId154" Type="http://schemas.openxmlformats.org/officeDocument/2006/relationships/hyperlink" Target="https://htihub.com" TargetMode="External"/><Relationship Id="rId3285" Type="http://schemas.openxmlformats.org/officeDocument/2006/relationships/hyperlink" Target="http://www.linkedin.com/in/valderramario" TargetMode="External"/><Relationship Id="rId153" Type="http://schemas.openxmlformats.org/officeDocument/2006/relationships/hyperlink" Target="http://www.linkedin.com/company/hti-hub" TargetMode="External"/><Relationship Id="rId3284" Type="http://schemas.openxmlformats.org/officeDocument/2006/relationships/hyperlink" Target="https://talentfinder.com.co" TargetMode="External"/><Relationship Id="rId152" Type="http://schemas.openxmlformats.org/officeDocument/2006/relationships/hyperlink" Target="http://www.linkedin.com/in/herman-rojas-amaya-6154a920" TargetMode="External"/><Relationship Id="rId3287" Type="http://schemas.openxmlformats.org/officeDocument/2006/relationships/hyperlink" Target="https://texmall.co" TargetMode="External"/><Relationship Id="rId151" Type="http://schemas.openxmlformats.org/officeDocument/2006/relationships/hyperlink" Target="https://datapeers.co" TargetMode="External"/><Relationship Id="rId3286" Type="http://schemas.openxmlformats.org/officeDocument/2006/relationships/hyperlink" Target="http://www.linkedin.com/company/bodega-textil" TargetMode="External"/><Relationship Id="rId158" Type="http://schemas.openxmlformats.org/officeDocument/2006/relationships/hyperlink" Target="http://www.linkedin.com/in/ricardo-arenas-hurtado-49160b148" TargetMode="External"/><Relationship Id="rId3289" Type="http://schemas.openxmlformats.org/officeDocument/2006/relationships/hyperlink" Target="http://www.linkedin.com/company/hashrisk" TargetMode="External"/><Relationship Id="rId157" Type="http://schemas.openxmlformats.org/officeDocument/2006/relationships/hyperlink" Target="https://prometryx.com" TargetMode="External"/><Relationship Id="rId3288" Type="http://schemas.openxmlformats.org/officeDocument/2006/relationships/hyperlink" Target="http://www.linkedin.com/in/josegaviria" TargetMode="External"/><Relationship Id="rId156" Type="http://schemas.openxmlformats.org/officeDocument/2006/relationships/hyperlink" Target="http://www.linkedin.com/company/prometryx" TargetMode="External"/><Relationship Id="rId155" Type="http://schemas.openxmlformats.org/officeDocument/2006/relationships/hyperlink" Target="http://www.linkedin.com/in/katie-ellinger" TargetMode="External"/><Relationship Id="rId2820" Type="http://schemas.openxmlformats.org/officeDocument/2006/relationships/hyperlink" Target="https://quimbayagold.com" TargetMode="External"/><Relationship Id="rId2821" Type="http://schemas.openxmlformats.org/officeDocument/2006/relationships/hyperlink" Target="http://www.linkedin.com/in/arturohenaochaparro" TargetMode="External"/><Relationship Id="rId2822" Type="http://schemas.openxmlformats.org/officeDocument/2006/relationships/hyperlink" Target="http://www.linkedin.com/company/straico" TargetMode="External"/><Relationship Id="rId2823" Type="http://schemas.openxmlformats.org/officeDocument/2006/relationships/hyperlink" Target="https://straico.com" TargetMode="External"/><Relationship Id="rId2824" Type="http://schemas.openxmlformats.org/officeDocument/2006/relationships/hyperlink" Target="http://www.linkedin.com/in/andreagonzalezavanti" TargetMode="External"/><Relationship Id="rId2825" Type="http://schemas.openxmlformats.org/officeDocument/2006/relationships/hyperlink" Target="http://www.linkedin.com/company/avanticsi" TargetMode="External"/><Relationship Id="rId2826" Type="http://schemas.openxmlformats.org/officeDocument/2006/relationships/hyperlink" Target="https://avanticsi.com" TargetMode="External"/><Relationship Id="rId2827" Type="http://schemas.openxmlformats.org/officeDocument/2006/relationships/hyperlink" Target="http://www.linkedin.com/in/juliana-isaza-giraldo-578b3a90" TargetMode="External"/><Relationship Id="rId2828" Type="http://schemas.openxmlformats.org/officeDocument/2006/relationships/hyperlink" Target="http://www.linkedin.com/company/tierragrata" TargetMode="External"/><Relationship Id="rId2829" Type="http://schemas.openxmlformats.org/officeDocument/2006/relationships/hyperlink" Target="https://tierragrata.co" TargetMode="External"/><Relationship Id="rId5093" Type="http://schemas.openxmlformats.org/officeDocument/2006/relationships/hyperlink" Target="http://www.linkedin.com/in/stephanyguarin" TargetMode="External"/><Relationship Id="rId5094" Type="http://schemas.openxmlformats.org/officeDocument/2006/relationships/hyperlink" Target="http://www.linkedin.com/company/i-cloud-seven" TargetMode="External"/><Relationship Id="rId5091" Type="http://schemas.openxmlformats.org/officeDocument/2006/relationships/hyperlink" Target="http://www.linkedin.com/in/fallg" TargetMode="External"/><Relationship Id="rId5092" Type="http://schemas.openxmlformats.org/officeDocument/2006/relationships/hyperlink" Target="http://www.linkedin.com/company/soluntech-sas" TargetMode="External"/><Relationship Id="rId5097" Type="http://schemas.openxmlformats.org/officeDocument/2006/relationships/hyperlink" Target="http://www.linkedin.com/in/dayanamado" TargetMode="External"/><Relationship Id="rId5098" Type="http://schemas.openxmlformats.org/officeDocument/2006/relationships/hyperlink" Target="http://www.linkedin.com/company/ceroai" TargetMode="External"/><Relationship Id="rId5095" Type="http://schemas.openxmlformats.org/officeDocument/2006/relationships/hyperlink" Target="http://www.linkedin.com/in/eduardo-escovar" TargetMode="External"/><Relationship Id="rId5096" Type="http://schemas.openxmlformats.org/officeDocument/2006/relationships/hyperlink" Target="http://www.linkedin.com/company/reteki-sas" TargetMode="External"/><Relationship Id="rId5099" Type="http://schemas.openxmlformats.org/officeDocument/2006/relationships/hyperlink" Target="http://www.linkedin.com/in/juanmanuelrosass" TargetMode="External"/><Relationship Id="rId2810" Type="http://schemas.openxmlformats.org/officeDocument/2006/relationships/hyperlink" Target="http://www.linkedin.com/company/validatech-bpo" TargetMode="External"/><Relationship Id="rId2811" Type="http://schemas.openxmlformats.org/officeDocument/2006/relationships/hyperlink" Target="https://validatech.co" TargetMode="External"/><Relationship Id="rId2812" Type="http://schemas.openxmlformats.org/officeDocument/2006/relationships/hyperlink" Target="http://www.linkedin.com/in/serincon" TargetMode="External"/><Relationship Id="rId2813" Type="http://schemas.openxmlformats.org/officeDocument/2006/relationships/hyperlink" Target="http://www.linkedin.com/company/avio-dynamics" TargetMode="External"/><Relationship Id="rId2814" Type="http://schemas.openxmlformats.org/officeDocument/2006/relationships/hyperlink" Target="https://abcn.com" TargetMode="External"/><Relationship Id="rId2815" Type="http://schemas.openxmlformats.org/officeDocument/2006/relationships/hyperlink" Target="http://www.linkedin.com/in/nicolaycc" TargetMode="External"/><Relationship Id="rId2816" Type="http://schemas.openxmlformats.org/officeDocument/2006/relationships/hyperlink" Target="http://www.linkedin.com/company/bluulabs" TargetMode="External"/><Relationship Id="rId2817" Type="http://schemas.openxmlformats.org/officeDocument/2006/relationships/hyperlink" Target="https://bluulabs.com" TargetMode="External"/><Relationship Id="rId2818" Type="http://schemas.openxmlformats.org/officeDocument/2006/relationships/hyperlink" Target="http://www.linkedin.com/in/wilderquiceno" TargetMode="External"/><Relationship Id="rId2819" Type="http://schemas.openxmlformats.org/officeDocument/2006/relationships/hyperlink" Target="http://www.linkedin.com/company/quimbaya-gold" TargetMode="External"/><Relationship Id="rId5090" Type="http://schemas.openxmlformats.org/officeDocument/2006/relationships/hyperlink" Target="http://www.linkedin.com/company/prami-co" TargetMode="External"/><Relationship Id="rId5082" Type="http://schemas.openxmlformats.org/officeDocument/2006/relationships/hyperlink" Target="http://www.linkedin.com/company/beewo" TargetMode="External"/><Relationship Id="rId5083" Type="http://schemas.openxmlformats.org/officeDocument/2006/relationships/hyperlink" Target="http://www.linkedin.com/in/lina-rossi-idarraga-60151224" TargetMode="External"/><Relationship Id="rId5080" Type="http://schemas.openxmlformats.org/officeDocument/2006/relationships/hyperlink" Target="http://www.linkedin.com/company/bpl-source" TargetMode="External"/><Relationship Id="rId5081" Type="http://schemas.openxmlformats.org/officeDocument/2006/relationships/hyperlink" Target="http://www.linkedin.com/in/luis-fernando-v%c3%a9lez-pel%c3%a1ez-41b33432" TargetMode="External"/><Relationship Id="rId5086" Type="http://schemas.openxmlformats.org/officeDocument/2006/relationships/hyperlink" Target="http://www.linkedin.com/company/zemobility" TargetMode="External"/><Relationship Id="rId5087" Type="http://schemas.openxmlformats.org/officeDocument/2006/relationships/hyperlink" Target="http://www.linkedin.com/in/daniel-iv%c3%a1n-contreras-vergel-24627ba7" TargetMode="External"/><Relationship Id="rId5084" Type="http://schemas.openxmlformats.org/officeDocument/2006/relationships/hyperlink" Target="http://www.linkedin.com/company/grupo-impacta" TargetMode="External"/><Relationship Id="rId5085" Type="http://schemas.openxmlformats.org/officeDocument/2006/relationships/hyperlink" Target="http://www.linkedin.com/in/david-camacho-gonzalez-43309410" TargetMode="External"/><Relationship Id="rId5088" Type="http://schemas.openxmlformats.org/officeDocument/2006/relationships/hyperlink" Target="http://www.linkedin.com/company/oza-kpo" TargetMode="External"/><Relationship Id="rId5089" Type="http://schemas.openxmlformats.org/officeDocument/2006/relationships/hyperlink" Target="http://www.linkedin.com/in/david-santiago-garcia-rojas-0421b115b" TargetMode="External"/><Relationship Id="rId1510" Type="http://schemas.openxmlformats.org/officeDocument/2006/relationships/hyperlink" Target="https://vaovatravel.com" TargetMode="External"/><Relationship Id="rId2841" Type="http://schemas.openxmlformats.org/officeDocument/2006/relationships/hyperlink" Target="https://clinicanieves.co" TargetMode="External"/><Relationship Id="rId1511" Type="http://schemas.openxmlformats.org/officeDocument/2006/relationships/hyperlink" Target="http://www.linkedin.com/in/auramariasarmiento" TargetMode="External"/><Relationship Id="rId2842" Type="http://schemas.openxmlformats.org/officeDocument/2006/relationships/hyperlink" Target="http://www.linkedin.com/in/oscar-mellizo-angulo" TargetMode="External"/><Relationship Id="rId1512" Type="http://schemas.openxmlformats.org/officeDocument/2006/relationships/hyperlink" Target="http://www.linkedin.com/company/velocitygo" TargetMode="External"/><Relationship Id="rId2843" Type="http://schemas.openxmlformats.org/officeDocument/2006/relationships/hyperlink" Target="http://www.linkedin.com/company/onesoficial" TargetMode="External"/><Relationship Id="rId1513" Type="http://schemas.openxmlformats.org/officeDocument/2006/relationships/hyperlink" Target="https://velocitygo.co" TargetMode="External"/><Relationship Id="rId2844" Type="http://schemas.openxmlformats.org/officeDocument/2006/relationships/hyperlink" Target="https://ones.events" TargetMode="External"/><Relationship Id="rId1514" Type="http://schemas.openxmlformats.org/officeDocument/2006/relationships/hyperlink" Target="http://www.linkedin.com/in/jose-manuel-escobar-g%c3%b3mez-3ab897113" TargetMode="External"/><Relationship Id="rId2845" Type="http://schemas.openxmlformats.org/officeDocument/2006/relationships/hyperlink" Target="http://www.linkedin.com/in/nicolas-redondo-82819749" TargetMode="External"/><Relationship Id="rId1515" Type="http://schemas.openxmlformats.org/officeDocument/2006/relationships/hyperlink" Target="http://www.linkedin.com/company/metnet-s-a-s" TargetMode="External"/><Relationship Id="rId2846" Type="http://schemas.openxmlformats.org/officeDocument/2006/relationships/hyperlink" Target="http://www.linkedin.com/company/panaapp" TargetMode="External"/><Relationship Id="rId1516" Type="http://schemas.openxmlformats.org/officeDocument/2006/relationships/hyperlink" Target="https://metnet.co" TargetMode="External"/><Relationship Id="rId2847" Type="http://schemas.openxmlformats.org/officeDocument/2006/relationships/hyperlink" Target="https://joinpana.com" TargetMode="External"/><Relationship Id="rId1517" Type="http://schemas.openxmlformats.org/officeDocument/2006/relationships/hyperlink" Target="http://www.linkedin.com/in/wilmer-rincon-pineda-331a1a140" TargetMode="External"/><Relationship Id="rId2848" Type="http://schemas.openxmlformats.org/officeDocument/2006/relationships/hyperlink" Target="http://www.linkedin.com/in/diego-javier-rodriguez-salazar-04472678" TargetMode="External"/><Relationship Id="rId1518" Type="http://schemas.openxmlformats.org/officeDocument/2006/relationships/hyperlink" Target="http://www.linkedin.com/company/domat-s-a-s" TargetMode="External"/><Relationship Id="rId2849" Type="http://schemas.openxmlformats.org/officeDocument/2006/relationships/hyperlink" Target="http://www.linkedin.com/company/servicios-tecnicos-logisticos-suministros-sas" TargetMode="External"/><Relationship Id="rId1519" Type="http://schemas.openxmlformats.org/officeDocument/2006/relationships/hyperlink" Target="https://domatltda.com" TargetMode="External"/><Relationship Id="rId2840" Type="http://schemas.openxmlformats.org/officeDocument/2006/relationships/hyperlink" Target="http://www.linkedin.com/company/cl%c3%adnica-nieves" TargetMode="External"/><Relationship Id="rId2830" Type="http://schemas.openxmlformats.org/officeDocument/2006/relationships/hyperlink" Target="http://www.linkedin.com/in/ximena-camelo-burgos" TargetMode="External"/><Relationship Id="rId1500" Type="http://schemas.openxmlformats.org/officeDocument/2006/relationships/hyperlink" Target="http://www.linkedin.com/company/shivam-colombia-sas" TargetMode="External"/><Relationship Id="rId2831" Type="http://schemas.openxmlformats.org/officeDocument/2006/relationships/hyperlink" Target="http://www.linkedin.com/company/mentorgo" TargetMode="External"/><Relationship Id="rId1501" Type="http://schemas.openxmlformats.org/officeDocument/2006/relationships/hyperlink" Target="https://shivam.com.co" TargetMode="External"/><Relationship Id="rId2832" Type="http://schemas.openxmlformats.org/officeDocument/2006/relationships/hyperlink" Target="https://mentorgo.com.co" TargetMode="External"/><Relationship Id="rId1502" Type="http://schemas.openxmlformats.org/officeDocument/2006/relationships/hyperlink" Target="http://www.linkedin.com/in/ricardo-jaramillo-a1178323" TargetMode="External"/><Relationship Id="rId2833" Type="http://schemas.openxmlformats.org/officeDocument/2006/relationships/hyperlink" Target="http://www.linkedin.com/in/andres-felipe-vergara-cortes-86757915" TargetMode="External"/><Relationship Id="rId1503" Type="http://schemas.openxmlformats.org/officeDocument/2006/relationships/hyperlink" Target="http://www.linkedin.com/company/agrofuturo" TargetMode="External"/><Relationship Id="rId2834" Type="http://schemas.openxmlformats.org/officeDocument/2006/relationships/hyperlink" Target="http://www.linkedin.com/company/prodigy-dynamic-media" TargetMode="External"/><Relationship Id="rId1504" Type="http://schemas.openxmlformats.org/officeDocument/2006/relationships/hyperlink" Target="https://croper.com" TargetMode="External"/><Relationship Id="rId2835" Type="http://schemas.openxmlformats.org/officeDocument/2006/relationships/hyperlink" Target="https://grupoprodigy.com" TargetMode="External"/><Relationship Id="rId1505" Type="http://schemas.openxmlformats.org/officeDocument/2006/relationships/hyperlink" Target="http://www.linkedin.com/in/camilo-jaramillo-botero-7b89232a" TargetMode="External"/><Relationship Id="rId2836" Type="http://schemas.openxmlformats.org/officeDocument/2006/relationships/hyperlink" Target="http://www.linkedin.com/in/jose-maria-mora-78b92b50" TargetMode="External"/><Relationship Id="rId1506" Type="http://schemas.openxmlformats.org/officeDocument/2006/relationships/hyperlink" Target="http://www.linkedin.com/company/zonamericacolombia" TargetMode="External"/><Relationship Id="rId2837" Type="http://schemas.openxmlformats.org/officeDocument/2006/relationships/hyperlink" Target="http://www.linkedin.com/company/sinintermediarios-com" TargetMode="External"/><Relationship Id="rId1507" Type="http://schemas.openxmlformats.org/officeDocument/2006/relationships/hyperlink" Target="https://zonamerica.com" TargetMode="External"/><Relationship Id="rId2838" Type="http://schemas.openxmlformats.org/officeDocument/2006/relationships/hyperlink" Target="https://sinintermediarios.co" TargetMode="External"/><Relationship Id="rId1508" Type="http://schemas.openxmlformats.org/officeDocument/2006/relationships/hyperlink" Target="http://www.linkedin.com/in/juanpablotorovaova" TargetMode="External"/><Relationship Id="rId2839" Type="http://schemas.openxmlformats.org/officeDocument/2006/relationships/hyperlink" Target="http://www.linkedin.com/in/ernesto-nieves-1a393045" TargetMode="External"/><Relationship Id="rId1509" Type="http://schemas.openxmlformats.org/officeDocument/2006/relationships/hyperlink" Target="http://www.linkedin.com/company/vaova-sas" TargetMode="External"/><Relationship Id="rId5050" Type="http://schemas.openxmlformats.org/officeDocument/2006/relationships/hyperlink" Target="http://www.linkedin.com/company/rebill" TargetMode="External"/><Relationship Id="rId5053" Type="http://schemas.openxmlformats.org/officeDocument/2006/relationships/hyperlink" Target="http://www.linkedin.com/in/jorgeivanleon" TargetMode="External"/><Relationship Id="rId5054" Type="http://schemas.openxmlformats.org/officeDocument/2006/relationships/hyperlink" Target="http://www.linkedin.com/company/nojau" TargetMode="External"/><Relationship Id="rId5051" Type="http://schemas.openxmlformats.org/officeDocument/2006/relationships/hyperlink" Target="http://www.linkedin.com/in/mason-l-mcintyre" TargetMode="External"/><Relationship Id="rId5052" Type="http://schemas.openxmlformats.org/officeDocument/2006/relationships/hyperlink" Target="http://www.linkedin.com/company/estrea-solutions" TargetMode="External"/><Relationship Id="rId5057" Type="http://schemas.openxmlformats.org/officeDocument/2006/relationships/hyperlink" Target="http://www.linkedin.com/in/sergiojaramillomejia" TargetMode="External"/><Relationship Id="rId5058" Type="http://schemas.openxmlformats.org/officeDocument/2006/relationships/hyperlink" Target="http://www.linkedin.com/company/es-fasil" TargetMode="External"/><Relationship Id="rId5055" Type="http://schemas.openxmlformats.org/officeDocument/2006/relationships/hyperlink" Target="http://www.linkedin.com/in/alexandra-martinez-a-810214113" TargetMode="External"/><Relationship Id="rId5056" Type="http://schemas.openxmlformats.org/officeDocument/2006/relationships/hyperlink" Target="http://www.linkedin.com/company/kadreetech" TargetMode="External"/><Relationship Id="rId5059" Type="http://schemas.openxmlformats.org/officeDocument/2006/relationships/hyperlink" Target="http://www.linkedin.com/in/larry-rafael-colina-842127b7" TargetMode="External"/><Relationship Id="rId5042" Type="http://schemas.openxmlformats.org/officeDocument/2006/relationships/hyperlink" Target="http://www.linkedin.com/in/juan-alberto-p%c3%a1ez-le%c3%b3n-6b5596a1" TargetMode="External"/><Relationship Id="rId5043" Type="http://schemas.openxmlformats.org/officeDocument/2006/relationships/hyperlink" Target="http://www.linkedin.com/company/igcgroups.a.s" TargetMode="External"/><Relationship Id="rId5040" Type="http://schemas.openxmlformats.org/officeDocument/2006/relationships/hyperlink" Target="http://www.linkedin.com/in/lopezleonjuan" TargetMode="External"/><Relationship Id="rId5041" Type="http://schemas.openxmlformats.org/officeDocument/2006/relationships/hyperlink" Target="http://www.linkedin.com/company/marketxm" TargetMode="External"/><Relationship Id="rId5046" Type="http://schemas.openxmlformats.org/officeDocument/2006/relationships/hyperlink" Target="http://rebill.com" TargetMode="External"/><Relationship Id="rId5047" Type="http://schemas.openxmlformats.org/officeDocument/2006/relationships/hyperlink" Target="http://www.linkedin.com/in/abouthernan" TargetMode="External"/><Relationship Id="rId5044" Type="http://schemas.openxmlformats.org/officeDocument/2006/relationships/hyperlink" Target="http://www.linkedin.com/in/valeriasoler" TargetMode="External"/><Relationship Id="rId5045" Type="http://schemas.openxmlformats.org/officeDocument/2006/relationships/hyperlink" Target="http://www.linkedin.com/company/bogota-hub-young-ai-leaders-community" TargetMode="External"/><Relationship Id="rId5048" Type="http://schemas.openxmlformats.org/officeDocument/2006/relationships/hyperlink" Target="http://www.linkedin.com/company/hazlolatam" TargetMode="External"/><Relationship Id="rId5049" Type="http://schemas.openxmlformats.org/officeDocument/2006/relationships/hyperlink" Target="http://www.linkedin.com/in/francisco-andres-leon" TargetMode="External"/><Relationship Id="rId2800" Type="http://schemas.openxmlformats.org/officeDocument/2006/relationships/hyperlink" Target="http://www.linkedin.com/in/sostenibilidad-reciclaje" TargetMode="External"/><Relationship Id="rId2801" Type="http://schemas.openxmlformats.org/officeDocument/2006/relationships/hyperlink" Target="http://www.linkedin.com/company/reciclamos-juntos" TargetMode="External"/><Relationship Id="rId2802" Type="http://schemas.openxmlformats.org/officeDocument/2006/relationships/hyperlink" Target="https://trofica.lat" TargetMode="External"/><Relationship Id="rId2803" Type="http://schemas.openxmlformats.org/officeDocument/2006/relationships/hyperlink" Target="http://www.linkedin.com/in/benjam%c3%adn-montenegro-c-225372108" TargetMode="External"/><Relationship Id="rId2804" Type="http://schemas.openxmlformats.org/officeDocument/2006/relationships/hyperlink" Target="http://www.linkedin.com/company/bmonte-electronics-sas" TargetMode="External"/><Relationship Id="rId2805" Type="http://schemas.openxmlformats.org/officeDocument/2006/relationships/hyperlink" Target="https://bmonte.com" TargetMode="External"/><Relationship Id="rId2806" Type="http://schemas.openxmlformats.org/officeDocument/2006/relationships/hyperlink" Target="http://www.linkedin.com/in/diego-fernando-torres-gaviria-5a622591" TargetMode="External"/><Relationship Id="rId2807" Type="http://schemas.openxmlformats.org/officeDocument/2006/relationships/hyperlink" Target="http://www.linkedin.com/company/atravesdeldesarrollo" TargetMode="External"/><Relationship Id="rId2808" Type="http://schemas.openxmlformats.org/officeDocument/2006/relationships/hyperlink" Target="https://atravesdeldesarrollo.com" TargetMode="External"/><Relationship Id="rId2809" Type="http://schemas.openxmlformats.org/officeDocument/2006/relationships/hyperlink" Target="http://www.linkedin.com/in/fredy-alexander-casta%c3%b1eda-rondon-a6b8a5126" TargetMode="External"/><Relationship Id="rId5071" Type="http://schemas.openxmlformats.org/officeDocument/2006/relationships/hyperlink" Target="http://www.linkedin.com/in/jorgeiareiza" TargetMode="External"/><Relationship Id="rId5072" Type="http://schemas.openxmlformats.org/officeDocument/2006/relationships/hyperlink" Target="http://www.linkedin.com/company/kutai" TargetMode="External"/><Relationship Id="rId5070" Type="http://schemas.openxmlformats.org/officeDocument/2006/relationships/hyperlink" Target="http://www.linkedin.com/company/ecert-humantalent" TargetMode="External"/><Relationship Id="rId5075" Type="http://schemas.openxmlformats.org/officeDocument/2006/relationships/hyperlink" Target="http://www.linkedin.com/in/cristina-palacio-75b819125" TargetMode="External"/><Relationship Id="rId5076" Type="http://schemas.openxmlformats.org/officeDocument/2006/relationships/hyperlink" Target="http://www.linkedin.com/company/alibi-media" TargetMode="External"/><Relationship Id="rId5073" Type="http://schemas.openxmlformats.org/officeDocument/2006/relationships/hyperlink" Target="http://www.linkedin.com/in/danielfranconavarro" TargetMode="External"/><Relationship Id="rId5074" Type="http://schemas.openxmlformats.org/officeDocument/2006/relationships/hyperlink" Target="http://www.linkedin.com/company/conectamos-dt" TargetMode="External"/><Relationship Id="rId5079" Type="http://schemas.openxmlformats.org/officeDocument/2006/relationships/hyperlink" Target="http://www.linkedin.com/in/cindy-navarro-99123935" TargetMode="External"/><Relationship Id="rId5077" Type="http://schemas.openxmlformats.org/officeDocument/2006/relationships/hyperlink" Target="http://www.linkedin.com/in/mart%c3%adn-carant%c3%b3n-9621a81b6" TargetMode="External"/><Relationship Id="rId5078" Type="http://schemas.openxmlformats.org/officeDocument/2006/relationships/hyperlink" Target="http://www.linkedin.com/company/up-holding" TargetMode="External"/><Relationship Id="rId5060" Type="http://schemas.openxmlformats.org/officeDocument/2006/relationships/hyperlink" Target="http://www.linkedin.com/company/deloling-sas" TargetMode="External"/><Relationship Id="rId5061" Type="http://schemas.openxmlformats.org/officeDocument/2006/relationships/hyperlink" Target="http://www.linkedin.com/in/alberto-lozano-vila" TargetMode="External"/><Relationship Id="rId5064" Type="http://schemas.openxmlformats.org/officeDocument/2006/relationships/hyperlink" Target="http://www.linkedin.com/company/t-logic-colombia" TargetMode="External"/><Relationship Id="rId5065" Type="http://schemas.openxmlformats.org/officeDocument/2006/relationships/hyperlink" Target="http://www.linkedin.com/in/luis-felipe-jimenez-11aa3213" TargetMode="External"/><Relationship Id="rId5062" Type="http://schemas.openxmlformats.org/officeDocument/2006/relationships/hyperlink" Target="http://www.linkedin.com/company/infolaft" TargetMode="External"/><Relationship Id="rId5063" Type="http://schemas.openxmlformats.org/officeDocument/2006/relationships/hyperlink" Target="http://www.linkedin.com/in/hugoenriquerodriguezgarcia" TargetMode="External"/><Relationship Id="rId5068" Type="http://schemas.openxmlformats.org/officeDocument/2006/relationships/hyperlink" Target="http://www.linkedin.com/company/wero-zero-waste" TargetMode="External"/><Relationship Id="rId5069" Type="http://schemas.openxmlformats.org/officeDocument/2006/relationships/hyperlink" Target="http://www.linkedin.com/in/carlos-bravo-lievano-757b3a1a0" TargetMode="External"/><Relationship Id="rId5066" Type="http://schemas.openxmlformats.org/officeDocument/2006/relationships/hyperlink" Target="http://www.linkedin.com/company/logique-consulting" TargetMode="External"/><Relationship Id="rId5067" Type="http://schemas.openxmlformats.org/officeDocument/2006/relationships/hyperlink" Target="http://www.linkedin.com/in/vladimir-jaramillo-emba-16583530" TargetMode="External"/><Relationship Id="rId1576" Type="http://schemas.openxmlformats.org/officeDocument/2006/relationships/hyperlink" Target="https://ninjaperformance.ai" TargetMode="External"/><Relationship Id="rId4602" Type="http://schemas.openxmlformats.org/officeDocument/2006/relationships/hyperlink" Target="http://www.linkedin.com/in/juancarlosbernalq" TargetMode="External"/><Relationship Id="rId1577" Type="http://schemas.openxmlformats.org/officeDocument/2006/relationships/hyperlink" Target="http://www.linkedin.com/in/danielabarrios097" TargetMode="External"/><Relationship Id="rId4601" Type="http://schemas.openxmlformats.org/officeDocument/2006/relationships/hyperlink" Target="http://www.linkedin.com/company/citizen-life" TargetMode="External"/><Relationship Id="rId1578" Type="http://schemas.openxmlformats.org/officeDocument/2006/relationships/hyperlink" Target="http://www.linkedin.com/company/closet-up" TargetMode="External"/><Relationship Id="rId4604" Type="http://schemas.openxmlformats.org/officeDocument/2006/relationships/hyperlink" Target="http://www.linkedin.com/in/andrestorolondono" TargetMode="External"/><Relationship Id="rId1579" Type="http://schemas.openxmlformats.org/officeDocument/2006/relationships/hyperlink" Target="https://closetup.com" TargetMode="External"/><Relationship Id="rId4603" Type="http://schemas.openxmlformats.org/officeDocument/2006/relationships/hyperlink" Target="http://www.linkedin.com/company/beq-investment" TargetMode="External"/><Relationship Id="rId4606" Type="http://schemas.openxmlformats.org/officeDocument/2006/relationships/hyperlink" Target="http://www.linkedin.com/in/joannasafi" TargetMode="External"/><Relationship Id="rId4605" Type="http://schemas.openxmlformats.org/officeDocument/2006/relationships/hyperlink" Target="http://www.linkedin.com/company/softseguros" TargetMode="External"/><Relationship Id="rId4608" Type="http://schemas.openxmlformats.org/officeDocument/2006/relationships/hyperlink" Target="http://www.linkedin.com/in/joelelster" TargetMode="External"/><Relationship Id="rId4607" Type="http://schemas.openxmlformats.org/officeDocument/2006/relationships/hyperlink" Target="http://www.linkedin.com/company/msbhave" TargetMode="External"/><Relationship Id="rId4609" Type="http://schemas.openxmlformats.org/officeDocument/2006/relationships/hyperlink" Target="http://www.linkedin.com/company/nomadiccloser" TargetMode="External"/><Relationship Id="rId987" Type="http://schemas.openxmlformats.org/officeDocument/2006/relationships/hyperlink" Target="https://mingu.co" TargetMode="External"/><Relationship Id="rId986" Type="http://schemas.openxmlformats.org/officeDocument/2006/relationships/hyperlink" Target="http://www.linkedin.com/company/minguapp" TargetMode="External"/><Relationship Id="rId985" Type="http://schemas.openxmlformats.org/officeDocument/2006/relationships/hyperlink" Target="http://www.linkedin.com/in/caroalmeyda" TargetMode="External"/><Relationship Id="rId984" Type="http://schemas.openxmlformats.org/officeDocument/2006/relationships/hyperlink" Target="https://javeriana.edu.co" TargetMode="External"/><Relationship Id="rId989" Type="http://schemas.openxmlformats.org/officeDocument/2006/relationships/hyperlink" Target="http://www.linkedin.com/company/variacode" TargetMode="External"/><Relationship Id="rId988" Type="http://schemas.openxmlformats.org/officeDocument/2006/relationships/hyperlink" Target="http://www.linkedin.com/in/andres-echavarria-4540321aa" TargetMode="External"/><Relationship Id="rId1570" Type="http://schemas.openxmlformats.org/officeDocument/2006/relationships/hyperlink" Target="https://bibisoft.co" TargetMode="External"/><Relationship Id="rId1571" Type="http://schemas.openxmlformats.org/officeDocument/2006/relationships/hyperlink" Target="http://www.linkedin.com/in/john-freddy-castillo-vargas" TargetMode="External"/><Relationship Id="rId983" Type="http://schemas.openxmlformats.org/officeDocument/2006/relationships/hyperlink" Target="http://www.linkedin.com/school/pontificia-universidad-javeriana" TargetMode="External"/><Relationship Id="rId1572" Type="http://schemas.openxmlformats.org/officeDocument/2006/relationships/hyperlink" Target="http://www.linkedin.com/company/orrery-consultoria" TargetMode="External"/><Relationship Id="rId982" Type="http://schemas.openxmlformats.org/officeDocument/2006/relationships/hyperlink" Target="http://www.linkedin.com/in/diana-jaramillo724" TargetMode="External"/><Relationship Id="rId1573" Type="http://schemas.openxmlformats.org/officeDocument/2006/relationships/hyperlink" Target="https://orrery.com.co" TargetMode="External"/><Relationship Id="rId981" Type="http://schemas.openxmlformats.org/officeDocument/2006/relationships/hyperlink" Target="https://raadsports.co" TargetMode="External"/><Relationship Id="rId1574" Type="http://schemas.openxmlformats.org/officeDocument/2006/relationships/hyperlink" Target="http://www.linkedin.com/in/agucasorzo-marketing-ai" TargetMode="External"/><Relationship Id="rId4600" Type="http://schemas.openxmlformats.org/officeDocument/2006/relationships/hyperlink" Target="http://www.linkedin.com/in/maria-isabel-arango" TargetMode="External"/><Relationship Id="rId980" Type="http://schemas.openxmlformats.org/officeDocument/2006/relationships/hyperlink" Target="http://www.linkedin.com/company/raad-sports" TargetMode="External"/><Relationship Id="rId1575" Type="http://schemas.openxmlformats.org/officeDocument/2006/relationships/hyperlink" Target="http://www.linkedin.com/company/ninjaperformance" TargetMode="External"/><Relationship Id="rId1565" Type="http://schemas.openxmlformats.org/officeDocument/2006/relationships/hyperlink" Target="http://www.linkedin.com/in/leonardo-umana" TargetMode="External"/><Relationship Id="rId2896" Type="http://schemas.openxmlformats.org/officeDocument/2006/relationships/hyperlink" Target="http://www.linkedin.com/in/camilovidales" TargetMode="External"/><Relationship Id="rId1566" Type="http://schemas.openxmlformats.org/officeDocument/2006/relationships/hyperlink" Target="http://www.linkedin.com/company/asociacion-latinoamericana-de-suscriptores-maritimos-alsum" TargetMode="External"/><Relationship Id="rId2897" Type="http://schemas.openxmlformats.org/officeDocument/2006/relationships/hyperlink" Target="http://www.linkedin.com/company/motopack" TargetMode="External"/><Relationship Id="rId1567" Type="http://schemas.openxmlformats.org/officeDocument/2006/relationships/hyperlink" Target="https://alsum.co" TargetMode="External"/><Relationship Id="rId2898" Type="http://schemas.openxmlformats.org/officeDocument/2006/relationships/hyperlink" Target="https://motopack.co" TargetMode="External"/><Relationship Id="rId1568" Type="http://schemas.openxmlformats.org/officeDocument/2006/relationships/hyperlink" Target="http://www.linkedin.com/in/julian-echeverri-s" TargetMode="External"/><Relationship Id="rId2899" Type="http://schemas.openxmlformats.org/officeDocument/2006/relationships/hyperlink" Target="http://www.linkedin.com/in/stafurhadad" TargetMode="External"/><Relationship Id="rId1569" Type="http://schemas.openxmlformats.org/officeDocument/2006/relationships/hyperlink" Target="http://www.linkedin.com/company/bibisoft" TargetMode="External"/><Relationship Id="rId976" Type="http://schemas.openxmlformats.org/officeDocument/2006/relationships/hyperlink" Target="http://www.linkedin.com/in/omar-ladino-gomez" TargetMode="External"/><Relationship Id="rId975" Type="http://schemas.openxmlformats.org/officeDocument/2006/relationships/hyperlink" Target="https://indau.co" TargetMode="External"/><Relationship Id="rId974" Type="http://schemas.openxmlformats.org/officeDocument/2006/relationships/hyperlink" Target="http://www.linkedin.com/company/mimeia" TargetMode="External"/><Relationship Id="rId973" Type="http://schemas.openxmlformats.org/officeDocument/2006/relationships/hyperlink" Target="http://www.linkedin.com/in/sashanclrp" TargetMode="External"/><Relationship Id="rId979" Type="http://schemas.openxmlformats.org/officeDocument/2006/relationships/hyperlink" Target="http://www.linkedin.com/in/ivan-raad-gilede-0577a1184" TargetMode="External"/><Relationship Id="rId978" Type="http://schemas.openxmlformats.org/officeDocument/2006/relationships/hyperlink" Target="https://ngds.ai" TargetMode="External"/><Relationship Id="rId977" Type="http://schemas.openxmlformats.org/officeDocument/2006/relationships/hyperlink" Target="http://www.linkedin.com/company/next-generation-digital-services-sas" TargetMode="External"/><Relationship Id="rId2890" Type="http://schemas.openxmlformats.org/officeDocument/2006/relationships/hyperlink" Target="http://www.linkedin.com/in/vishwasvidyaranya" TargetMode="External"/><Relationship Id="rId1560" Type="http://schemas.openxmlformats.org/officeDocument/2006/relationships/hyperlink" Target="http://www.linkedin.com/company/comanager-co" TargetMode="External"/><Relationship Id="rId2891" Type="http://schemas.openxmlformats.org/officeDocument/2006/relationships/hyperlink" Target="http://www.linkedin.com/company/ambire-global" TargetMode="External"/><Relationship Id="rId972" Type="http://schemas.openxmlformats.org/officeDocument/2006/relationships/hyperlink" Target="https://entey.net" TargetMode="External"/><Relationship Id="rId1561" Type="http://schemas.openxmlformats.org/officeDocument/2006/relationships/hyperlink" Target="https://comanager.co" TargetMode="External"/><Relationship Id="rId2892" Type="http://schemas.openxmlformats.org/officeDocument/2006/relationships/hyperlink" Target="https://ambireglobal.com" TargetMode="External"/><Relationship Id="rId971" Type="http://schemas.openxmlformats.org/officeDocument/2006/relationships/hyperlink" Target="http://www.linkedin.com/company/entey-sas" TargetMode="External"/><Relationship Id="rId1562" Type="http://schemas.openxmlformats.org/officeDocument/2006/relationships/hyperlink" Target="http://www.linkedin.com/in/oscarmanco" TargetMode="External"/><Relationship Id="rId2893" Type="http://schemas.openxmlformats.org/officeDocument/2006/relationships/hyperlink" Target="http://www.linkedin.com/in/simon-machado" TargetMode="External"/><Relationship Id="rId970" Type="http://schemas.openxmlformats.org/officeDocument/2006/relationships/hyperlink" Target="http://www.linkedin.com/in/maurosamper" TargetMode="External"/><Relationship Id="rId1563" Type="http://schemas.openxmlformats.org/officeDocument/2006/relationships/hyperlink" Target="http://www.linkedin.com/company/tisas-co" TargetMode="External"/><Relationship Id="rId2894" Type="http://schemas.openxmlformats.org/officeDocument/2006/relationships/hyperlink" Target="http://www.linkedin.com/company/lola" TargetMode="External"/><Relationship Id="rId1564" Type="http://schemas.openxmlformats.org/officeDocument/2006/relationships/hyperlink" Target="https://tisas.co" TargetMode="External"/><Relationship Id="rId2895" Type="http://schemas.openxmlformats.org/officeDocument/2006/relationships/hyperlink" Target="https://lola.com.co" TargetMode="External"/><Relationship Id="rId1598" Type="http://schemas.openxmlformats.org/officeDocument/2006/relationships/hyperlink" Target="http://www.linkedin.com/in/gabriel-meisel-1b71736b" TargetMode="External"/><Relationship Id="rId4624" Type="http://schemas.openxmlformats.org/officeDocument/2006/relationships/hyperlink" Target="http://www.linkedin.com/in/hern%c3%a1n-pinz%c3%b3n-de-la-rosa-63a16912b" TargetMode="External"/><Relationship Id="rId1599" Type="http://schemas.openxmlformats.org/officeDocument/2006/relationships/hyperlink" Target="http://www.linkedin.com/company/trelico" TargetMode="External"/><Relationship Id="rId4623" Type="http://schemas.openxmlformats.org/officeDocument/2006/relationships/hyperlink" Target="http://www.linkedin.com/company/ramtekcolombia" TargetMode="External"/><Relationship Id="rId4626" Type="http://schemas.openxmlformats.org/officeDocument/2006/relationships/hyperlink" Target="http://www.linkedin.com/in/estefaniaramosagroeuros" TargetMode="External"/><Relationship Id="rId4625" Type="http://schemas.openxmlformats.org/officeDocument/2006/relationships/hyperlink" Target="http://www.linkedin.com/company/weareamaze" TargetMode="External"/><Relationship Id="rId4628" Type="http://schemas.openxmlformats.org/officeDocument/2006/relationships/hyperlink" Target="http://www.linkedin.com/in/valentinaagudelovargas" TargetMode="External"/><Relationship Id="rId4627" Type="http://schemas.openxmlformats.org/officeDocument/2006/relationships/hyperlink" Target="http://www.linkedin.com/company/agroeuros" TargetMode="External"/><Relationship Id="rId4629" Type="http://schemas.openxmlformats.org/officeDocument/2006/relationships/hyperlink" Target="http://www.linkedin.com/company/salva-health" TargetMode="External"/><Relationship Id="rId1590" Type="http://schemas.openxmlformats.org/officeDocument/2006/relationships/hyperlink" Target="http://www.linkedin.com/company/greenfuel-colombia" TargetMode="External"/><Relationship Id="rId1591" Type="http://schemas.openxmlformats.org/officeDocument/2006/relationships/hyperlink" Target="https://greenfuel.com.co" TargetMode="External"/><Relationship Id="rId1592" Type="http://schemas.openxmlformats.org/officeDocument/2006/relationships/hyperlink" Target="http://www.linkedin.com/in/carolopez" TargetMode="External"/><Relationship Id="rId1593" Type="http://schemas.openxmlformats.org/officeDocument/2006/relationships/hyperlink" Target="http://www.linkedin.com/company/micomercio" TargetMode="External"/><Relationship Id="rId1594" Type="http://schemas.openxmlformats.org/officeDocument/2006/relationships/hyperlink" Target="https://micomercio.co" TargetMode="External"/><Relationship Id="rId4620" Type="http://schemas.openxmlformats.org/officeDocument/2006/relationships/hyperlink" Target="http://www.linkedin.com/in/hendersong-transferpricing" TargetMode="External"/><Relationship Id="rId1595" Type="http://schemas.openxmlformats.org/officeDocument/2006/relationships/hyperlink" Target="http://www.linkedin.com/in/francisco-azp%c3%barua" TargetMode="External"/><Relationship Id="rId1596" Type="http://schemas.openxmlformats.org/officeDocument/2006/relationships/hyperlink" Target="http://www.linkedin.com/company/midland-oil-tools" TargetMode="External"/><Relationship Id="rId4622" Type="http://schemas.openxmlformats.org/officeDocument/2006/relationships/hyperlink" Target="http://www.linkedin.com/in/robinson-naranjo-l%c3%b3pez-53034a35" TargetMode="External"/><Relationship Id="rId1597" Type="http://schemas.openxmlformats.org/officeDocument/2006/relationships/hyperlink" Target="https://midlandoiltools.com" TargetMode="External"/><Relationship Id="rId4621" Type="http://schemas.openxmlformats.org/officeDocument/2006/relationships/hyperlink" Target="http://www.linkedin.com/company/tribso" TargetMode="External"/><Relationship Id="rId1587" Type="http://schemas.openxmlformats.org/officeDocument/2006/relationships/hyperlink" Target="http://www.linkedin.com/company/company-beat-index" TargetMode="External"/><Relationship Id="rId4613" Type="http://schemas.openxmlformats.org/officeDocument/2006/relationships/hyperlink" Target="http://www.linkedin.com/company/corpus-med" TargetMode="External"/><Relationship Id="rId1588" Type="http://schemas.openxmlformats.org/officeDocument/2006/relationships/hyperlink" Target="https://thebeatindex.com" TargetMode="External"/><Relationship Id="rId4612" Type="http://schemas.openxmlformats.org/officeDocument/2006/relationships/hyperlink" Target="http://www.linkedin.com/in/juan-felipe-forero-93484a115" TargetMode="External"/><Relationship Id="rId1589" Type="http://schemas.openxmlformats.org/officeDocument/2006/relationships/hyperlink" Target="http://www.linkedin.com/in/esteban-benavides-rueda-99108036" TargetMode="External"/><Relationship Id="rId4615" Type="http://schemas.openxmlformats.org/officeDocument/2006/relationships/hyperlink" Target="http://www.linkedin.com/company/oversai-llc" TargetMode="External"/><Relationship Id="rId4614" Type="http://schemas.openxmlformats.org/officeDocument/2006/relationships/hyperlink" Target="http://www.linkedin.com/in/andres-gomez-gallego-msc-bb00738a" TargetMode="External"/><Relationship Id="rId4617" Type="http://schemas.openxmlformats.org/officeDocument/2006/relationships/hyperlink" Target="http://www.linkedin.com/company/khiron-life-sciences-corp" TargetMode="External"/><Relationship Id="rId4616" Type="http://schemas.openxmlformats.org/officeDocument/2006/relationships/hyperlink" Target="http://www.linkedin.com/in/alvaroftorres" TargetMode="External"/><Relationship Id="rId4619" Type="http://schemas.openxmlformats.org/officeDocument/2006/relationships/hyperlink" Target="http://www.linkedin.com/company/la-liga-de-los-m%c3%baltiples" TargetMode="External"/><Relationship Id="rId4618" Type="http://schemas.openxmlformats.org/officeDocument/2006/relationships/hyperlink" Target="http://www.linkedin.com/in/danuta-galazka-p%c3%a1ez-021b0038" TargetMode="External"/><Relationship Id="rId998" Type="http://schemas.openxmlformats.org/officeDocument/2006/relationships/hyperlink" Target="http://www.linkedin.com/company/balam-legal-sas" TargetMode="External"/><Relationship Id="rId997" Type="http://schemas.openxmlformats.org/officeDocument/2006/relationships/hyperlink" Target="http://www.linkedin.com/in/alberto-bravo-a368a636" TargetMode="External"/><Relationship Id="rId996" Type="http://schemas.openxmlformats.org/officeDocument/2006/relationships/hyperlink" Target="https://ubidots.com" TargetMode="External"/><Relationship Id="rId995" Type="http://schemas.openxmlformats.org/officeDocument/2006/relationships/hyperlink" Target="http://www.linkedin.com/company/ubidots" TargetMode="External"/><Relationship Id="rId999" Type="http://schemas.openxmlformats.org/officeDocument/2006/relationships/hyperlink" Target="https://balamlegal.co" TargetMode="External"/><Relationship Id="rId990" Type="http://schemas.openxmlformats.org/officeDocument/2006/relationships/hyperlink" Target="https://variacode.com" TargetMode="External"/><Relationship Id="rId1580" Type="http://schemas.openxmlformats.org/officeDocument/2006/relationships/hyperlink" Target="http://www.linkedin.com/in/yanira-garcia-60862220" TargetMode="External"/><Relationship Id="rId1581" Type="http://schemas.openxmlformats.org/officeDocument/2006/relationships/hyperlink" Target="http://www.linkedin.com/company/colombia-activa" TargetMode="External"/><Relationship Id="rId1582" Type="http://schemas.openxmlformats.org/officeDocument/2006/relationships/hyperlink" Target="https://colombiaactiva.co" TargetMode="External"/><Relationship Id="rId994" Type="http://schemas.openxmlformats.org/officeDocument/2006/relationships/hyperlink" Target="http://www.linkedin.com/in/woakas" TargetMode="External"/><Relationship Id="rId1583" Type="http://schemas.openxmlformats.org/officeDocument/2006/relationships/hyperlink" Target="http://www.linkedin.com/in/alexandramolina-ceo-marketing" TargetMode="External"/><Relationship Id="rId993" Type="http://schemas.openxmlformats.org/officeDocument/2006/relationships/hyperlink" Target="https://isarco.com.co" TargetMode="External"/><Relationship Id="rId1584" Type="http://schemas.openxmlformats.org/officeDocument/2006/relationships/hyperlink" Target="http://www.linkedin.com/company/centro-comercial-sandiego" TargetMode="External"/><Relationship Id="rId992" Type="http://schemas.openxmlformats.org/officeDocument/2006/relationships/hyperlink" Target="http://www.linkedin.com/company/isarco-oficial" TargetMode="External"/><Relationship Id="rId1585" Type="http://schemas.openxmlformats.org/officeDocument/2006/relationships/hyperlink" Target="https://sandiego.com.co" TargetMode="External"/><Relationship Id="rId4611" Type="http://schemas.openxmlformats.org/officeDocument/2006/relationships/hyperlink" Target="http://www.linkedin.com/company/spiga-foods" TargetMode="External"/><Relationship Id="rId991" Type="http://schemas.openxmlformats.org/officeDocument/2006/relationships/hyperlink" Target="http://www.linkedin.com/in/andres-isaza-valencia-aa099453" TargetMode="External"/><Relationship Id="rId1586" Type="http://schemas.openxmlformats.org/officeDocument/2006/relationships/hyperlink" Target="http://www.linkedin.com/in/oscarperezosorio" TargetMode="External"/><Relationship Id="rId4610" Type="http://schemas.openxmlformats.org/officeDocument/2006/relationships/hyperlink" Target="http://www.linkedin.com/in/raymond-saieh-chacon-411a9863" TargetMode="External"/><Relationship Id="rId1532" Type="http://schemas.openxmlformats.org/officeDocument/2006/relationships/hyperlink" Target="http://www.linkedin.com/in/diandra-ruiz-f" TargetMode="External"/><Relationship Id="rId2863" Type="http://schemas.openxmlformats.org/officeDocument/2006/relationships/hyperlink" Target="http://www.linkedin.com/in/juanrojasg" TargetMode="External"/><Relationship Id="rId1533" Type="http://schemas.openxmlformats.org/officeDocument/2006/relationships/hyperlink" Target="http://www.linkedin.com/company/sustentabe" TargetMode="External"/><Relationship Id="rId2864" Type="http://schemas.openxmlformats.org/officeDocument/2006/relationships/hyperlink" Target="http://www.linkedin.com/company/cannadrop" TargetMode="External"/><Relationship Id="rId1534" Type="http://schemas.openxmlformats.org/officeDocument/2006/relationships/hyperlink" Target="https://sustentabe.com" TargetMode="External"/><Relationship Id="rId2865" Type="http://schemas.openxmlformats.org/officeDocument/2006/relationships/hyperlink" Target="https://cannadrop.com.co" TargetMode="External"/><Relationship Id="rId1535" Type="http://schemas.openxmlformats.org/officeDocument/2006/relationships/hyperlink" Target="http://www.linkedin.com/in/magda-m-fonseca-gerencia-comercial" TargetMode="External"/><Relationship Id="rId2866" Type="http://schemas.openxmlformats.org/officeDocument/2006/relationships/hyperlink" Target="http://www.linkedin.com/in/yenireeleal" TargetMode="External"/><Relationship Id="rId1536" Type="http://schemas.openxmlformats.org/officeDocument/2006/relationships/hyperlink" Target="http://www.linkedin.com/company/ekii-foods" TargetMode="External"/><Relationship Id="rId2867" Type="http://schemas.openxmlformats.org/officeDocument/2006/relationships/hyperlink" Target="http://www.linkedin.com/company/swiftline" TargetMode="External"/><Relationship Id="rId1537" Type="http://schemas.openxmlformats.org/officeDocument/2006/relationships/hyperlink" Target="https://ekiifoods.com" TargetMode="External"/><Relationship Id="rId2868" Type="http://schemas.openxmlformats.org/officeDocument/2006/relationships/hyperlink" Target="https://swiftline.io" TargetMode="External"/><Relationship Id="rId1538" Type="http://schemas.openxmlformats.org/officeDocument/2006/relationships/hyperlink" Target="http://www.linkedin.com/in/sergio-revollo-gaviria-795bbb103" TargetMode="External"/><Relationship Id="rId2869" Type="http://schemas.openxmlformats.org/officeDocument/2006/relationships/hyperlink" Target="http://www.linkedin.com/in/ravi-saraogi" TargetMode="External"/><Relationship Id="rId1539" Type="http://schemas.openxmlformats.org/officeDocument/2006/relationships/hyperlink" Target="http://www.linkedin.com/company/ciclicol" TargetMode="External"/><Relationship Id="rId949" Type="http://schemas.openxmlformats.org/officeDocument/2006/relationships/hyperlink" Target="http://www.linkedin.com/in/lina-maria-sierra-mejia-2686923a" TargetMode="External"/><Relationship Id="rId948" Type="http://schemas.openxmlformats.org/officeDocument/2006/relationships/hyperlink" Target="https://aguaencaja.co" TargetMode="External"/><Relationship Id="rId943" Type="http://schemas.openxmlformats.org/officeDocument/2006/relationships/hyperlink" Target="http://www.linkedin.com/in/oscar-higuera-lozano-48919a77" TargetMode="External"/><Relationship Id="rId942" Type="http://schemas.openxmlformats.org/officeDocument/2006/relationships/hyperlink" Target="https://ignia.lat" TargetMode="External"/><Relationship Id="rId941" Type="http://schemas.openxmlformats.org/officeDocument/2006/relationships/hyperlink" Target="http://www.linkedin.com/company/igniaeducation" TargetMode="External"/><Relationship Id="rId940" Type="http://schemas.openxmlformats.org/officeDocument/2006/relationships/hyperlink" Target="http://www.linkedin.com/in/camilo-bonilla-5b2084b2" TargetMode="External"/><Relationship Id="rId947" Type="http://schemas.openxmlformats.org/officeDocument/2006/relationships/hyperlink" Target="http://www.linkedin.com/company/aguaencaja" TargetMode="External"/><Relationship Id="rId946" Type="http://schemas.openxmlformats.org/officeDocument/2006/relationships/hyperlink" Target="http://www.linkedin.com/in/david-zorro" TargetMode="External"/><Relationship Id="rId945" Type="http://schemas.openxmlformats.org/officeDocument/2006/relationships/hyperlink" Target="https://rollupconsulting.com" TargetMode="External"/><Relationship Id="rId944" Type="http://schemas.openxmlformats.org/officeDocument/2006/relationships/hyperlink" Target="http://www.linkedin.com/company/rollup-consulting" TargetMode="External"/><Relationship Id="rId2860" Type="http://schemas.openxmlformats.org/officeDocument/2006/relationships/hyperlink" Target="http://www.linkedin.com/in/paula-andrea-pe%c3%b1a-restrepo-51a0b430" TargetMode="External"/><Relationship Id="rId1530" Type="http://schemas.openxmlformats.org/officeDocument/2006/relationships/hyperlink" Target="http://www.linkedin.com/company/minkainc" TargetMode="External"/><Relationship Id="rId2861" Type="http://schemas.openxmlformats.org/officeDocument/2006/relationships/hyperlink" Target="http://www.linkedin.com/company/creare-dl" TargetMode="External"/><Relationship Id="rId1531" Type="http://schemas.openxmlformats.org/officeDocument/2006/relationships/hyperlink" Target="https://minka.io" TargetMode="External"/><Relationship Id="rId2862" Type="http://schemas.openxmlformats.org/officeDocument/2006/relationships/hyperlink" Target="https://crearedl.com" TargetMode="External"/><Relationship Id="rId1521" Type="http://schemas.openxmlformats.org/officeDocument/2006/relationships/hyperlink" Target="http://www.linkedin.com/company/clinihogar" TargetMode="External"/><Relationship Id="rId2852" Type="http://schemas.openxmlformats.org/officeDocument/2006/relationships/hyperlink" Target="http://www.linkedin.com/company/nova-global-grou" TargetMode="External"/><Relationship Id="rId1522" Type="http://schemas.openxmlformats.org/officeDocument/2006/relationships/hyperlink" Target="https://clinihogar.co" TargetMode="External"/><Relationship Id="rId2853" Type="http://schemas.openxmlformats.org/officeDocument/2006/relationships/hyperlink" Target="https://novaglobalgroup.com.co" TargetMode="External"/><Relationship Id="rId1523" Type="http://schemas.openxmlformats.org/officeDocument/2006/relationships/hyperlink" Target="http://www.linkedin.com/in/arturo-e-586a064" TargetMode="External"/><Relationship Id="rId2854" Type="http://schemas.openxmlformats.org/officeDocument/2006/relationships/hyperlink" Target="http://www.linkedin.com/in/ronguti" TargetMode="External"/><Relationship Id="rId1524" Type="http://schemas.openxmlformats.org/officeDocument/2006/relationships/hyperlink" Target="http://www.linkedin.com/company/cloudfi-llc" TargetMode="External"/><Relationship Id="rId2855" Type="http://schemas.openxmlformats.org/officeDocument/2006/relationships/hyperlink" Target="http://www.linkedin.com/company/robotic-people-s-a-s" TargetMode="External"/><Relationship Id="rId1525" Type="http://schemas.openxmlformats.org/officeDocument/2006/relationships/hyperlink" Target="https://cloudfi.ai" TargetMode="External"/><Relationship Id="rId2856" Type="http://schemas.openxmlformats.org/officeDocument/2006/relationships/hyperlink" Target="https://roboticpeople.com" TargetMode="External"/><Relationship Id="rId1526" Type="http://schemas.openxmlformats.org/officeDocument/2006/relationships/hyperlink" Target="http://www.linkedin.com/in/gustavo-pinz%c3%b3n-784a014b" TargetMode="External"/><Relationship Id="rId2857" Type="http://schemas.openxmlformats.org/officeDocument/2006/relationships/hyperlink" Target="http://www.linkedin.com/in/andres-amaya-830068128" TargetMode="External"/><Relationship Id="rId1527" Type="http://schemas.openxmlformats.org/officeDocument/2006/relationships/hyperlink" Target="http://www.linkedin.com/company/proyectoitaca" TargetMode="External"/><Relationship Id="rId2858" Type="http://schemas.openxmlformats.org/officeDocument/2006/relationships/hyperlink" Target="http://www.linkedin.com/company/protti" TargetMode="External"/><Relationship Id="rId1528" Type="http://schemas.openxmlformats.org/officeDocument/2006/relationships/hyperlink" Target="https://proyectoitaca.co" TargetMode="External"/><Relationship Id="rId2859" Type="http://schemas.openxmlformats.org/officeDocument/2006/relationships/hyperlink" Target="https://protti.co" TargetMode="External"/><Relationship Id="rId1529" Type="http://schemas.openxmlformats.org/officeDocument/2006/relationships/hyperlink" Target="http://www.linkedin.com/in/camilo-arango-davila" TargetMode="External"/><Relationship Id="rId939" Type="http://schemas.openxmlformats.org/officeDocument/2006/relationships/hyperlink" Target="https://binkcard.com" TargetMode="External"/><Relationship Id="rId938" Type="http://schemas.openxmlformats.org/officeDocument/2006/relationships/hyperlink" Target="http://www.linkedin.com/company/binkcard" TargetMode="External"/><Relationship Id="rId937" Type="http://schemas.openxmlformats.org/officeDocument/2006/relationships/hyperlink" Target="http://www.linkedin.com/in/miguelmejiasuden" TargetMode="External"/><Relationship Id="rId932" Type="http://schemas.openxmlformats.org/officeDocument/2006/relationships/hyperlink" Target="http://www.linkedin.com/company/sentidos-comunicaciones" TargetMode="External"/><Relationship Id="rId931" Type="http://schemas.openxmlformats.org/officeDocument/2006/relationships/hyperlink" Target="http://www.linkedin.com/in/catalinajimenezcombariza" TargetMode="External"/><Relationship Id="rId930" Type="http://schemas.openxmlformats.org/officeDocument/2006/relationships/hyperlink" Target="https://camaralucida.com" TargetMode="External"/><Relationship Id="rId936" Type="http://schemas.openxmlformats.org/officeDocument/2006/relationships/hyperlink" Target="https://hsrcorp.com" TargetMode="External"/><Relationship Id="rId935" Type="http://schemas.openxmlformats.org/officeDocument/2006/relationships/hyperlink" Target="http://www.linkedin.com/company/hsr-corp.com" TargetMode="External"/><Relationship Id="rId934" Type="http://schemas.openxmlformats.org/officeDocument/2006/relationships/hyperlink" Target="http://www.linkedin.com/in/edumedinas" TargetMode="External"/><Relationship Id="rId933" Type="http://schemas.openxmlformats.org/officeDocument/2006/relationships/hyperlink" Target="https://sentidoscomunicaciones.com" TargetMode="External"/><Relationship Id="rId2850" Type="http://schemas.openxmlformats.org/officeDocument/2006/relationships/hyperlink" Target="https://sapdrilling.co" TargetMode="External"/><Relationship Id="rId1520" Type="http://schemas.openxmlformats.org/officeDocument/2006/relationships/hyperlink" Target="http://www.linkedin.com/in/nelson-alejandro-brice%c3%b1o-salazar-752279196" TargetMode="External"/><Relationship Id="rId2851" Type="http://schemas.openxmlformats.org/officeDocument/2006/relationships/hyperlink" Target="http://www.linkedin.com/in/jorge-perdomo-a358a214" TargetMode="External"/><Relationship Id="rId1554" Type="http://schemas.openxmlformats.org/officeDocument/2006/relationships/hyperlink" Target="http://www.linkedin.com/company/agroclicklatam" TargetMode="External"/><Relationship Id="rId2885" Type="http://schemas.openxmlformats.org/officeDocument/2006/relationships/hyperlink" Target="http://www.linkedin.com/company/dasser-soluciones-gerenciales" TargetMode="External"/><Relationship Id="rId1555" Type="http://schemas.openxmlformats.org/officeDocument/2006/relationships/hyperlink" Target="https://agroclick.org" TargetMode="External"/><Relationship Id="rId2886" Type="http://schemas.openxmlformats.org/officeDocument/2006/relationships/hyperlink" Target="https://dasser.co" TargetMode="External"/><Relationship Id="rId1556" Type="http://schemas.openxmlformats.org/officeDocument/2006/relationships/hyperlink" Target="http://www.linkedin.com/in/carlosaloperam" TargetMode="External"/><Relationship Id="rId2887" Type="http://schemas.openxmlformats.org/officeDocument/2006/relationships/hyperlink" Target="http://www.linkedin.com/in/vicente-lanza-%f0%9f%8c%8e-%e2%9a%a1%ef%b8%8f-019b1342" TargetMode="External"/><Relationship Id="rId1557" Type="http://schemas.openxmlformats.org/officeDocument/2006/relationships/hyperlink" Target="http://www.linkedin.com/company/cargaya" TargetMode="External"/><Relationship Id="rId2888" Type="http://schemas.openxmlformats.org/officeDocument/2006/relationships/hyperlink" Target="http://www.linkedin.com/company/ergenia" TargetMode="External"/><Relationship Id="rId1558" Type="http://schemas.openxmlformats.org/officeDocument/2006/relationships/hyperlink" Target="https://cargaya.com" TargetMode="External"/><Relationship Id="rId2889" Type="http://schemas.openxmlformats.org/officeDocument/2006/relationships/hyperlink" Target="https://ergenia.com" TargetMode="External"/><Relationship Id="rId1559" Type="http://schemas.openxmlformats.org/officeDocument/2006/relationships/hyperlink" Target="http://www.linkedin.com/in/gabriel-cristancho" TargetMode="External"/><Relationship Id="rId965" Type="http://schemas.openxmlformats.org/officeDocument/2006/relationships/hyperlink" Target="http://www.linkedin.com/company/vandillewijn" TargetMode="External"/><Relationship Id="rId964" Type="http://schemas.openxmlformats.org/officeDocument/2006/relationships/hyperlink" Target="http://www.linkedin.com/in/giselavandillewijn" TargetMode="External"/><Relationship Id="rId963" Type="http://schemas.openxmlformats.org/officeDocument/2006/relationships/hyperlink" Target="https://doclick.com.co" TargetMode="External"/><Relationship Id="rId962" Type="http://schemas.openxmlformats.org/officeDocument/2006/relationships/hyperlink" Target="http://www.linkedin.com/company/doclick" TargetMode="External"/><Relationship Id="rId969" Type="http://schemas.openxmlformats.org/officeDocument/2006/relationships/hyperlink" Target="https://aimcorp.com.co" TargetMode="External"/><Relationship Id="rId968" Type="http://schemas.openxmlformats.org/officeDocument/2006/relationships/hyperlink" Target="http://www.linkedin.com/company/aimcorp-advanced-improvement-corporation" TargetMode="External"/><Relationship Id="rId967" Type="http://schemas.openxmlformats.org/officeDocument/2006/relationships/hyperlink" Target="http://www.linkedin.com/in/mauricio-moreno-pmp-mgobit-smc-sfc-80282742" TargetMode="External"/><Relationship Id="rId966" Type="http://schemas.openxmlformats.org/officeDocument/2006/relationships/hyperlink" Target="https://vandillewijn.com.co" TargetMode="External"/><Relationship Id="rId2880" Type="http://schemas.openxmlformats.org/officeDocument/2006/relationships/hyperlink" Target="https://bposlatam.com" TargetMode="External"/><Relationship Id="rId961" Type="http://schemas.openxmlformats.org/officeDocument/2006/relationships/hyperlink" Target="http://www.linkedin.com/in/v-btte" TargetMode="External"/><Relationship Id="rId1550" Type="http://schemas.openxmlformats.org/officeDocument/2006/relationships/hyperlink" Target="http://www.linkedin.com/in/gabriel-jaime-aristiz%c3%a1bal-correa-552775198" TargetMode="External"/><Relationship Id="rId2881" Type="http://schemas.openxmlformats.org/officeDocument/2006/relationships/hyperlink" Target="http://www.linkedin.com/in/klaus-lederer-22718a41" TargetMode="External"/><Relationship Id="rId960" Type="http://schemas.openxmlformats.org/officeDocument/2006/relationships/hyperlink" Target="https://maiahr.com" TargetMode="External"/><Relationship Id="rId1551" Type="http://schemas.openxmlformats.org/officeDocument/2006/relationships/hyperlink" Target="http://www.linkedin.com/company/go-bilingual" TargetMode="External"/><Relationship Id="rId2882" Type="http://schemas.openxmlformats.org/officeDocument/2006/relationships/hyperlink" Target="http://www.linkedin.com/company/lenus-capital-partners-lcp" TargetMode="External"/><Relationship Id="rId1552" Type="http://schemas.openxmlformats.org/officeDocument/2006/relationships/hyperlink" Target="https://gobilingual.co" TargetMode="External"/><Relationship Id="rId2883" Type="http://schemas.openxmlformats.org/officeDocument/2006/relationships/hyperlink" Target="https://lenuscp.com" TargetMode="External"/><Relationship Id="rId1553" Type="http://schemas.openxmlformats.org/officeDocument/2006/relationships/hyperlink" Target="http://www.linkedin.com/in/mauricio-campuzano" TargetMode="External"/><Relationship Id="rId2884" Type="http://schemas.openxmlformats.org/officeDocument/2006/relationships/hyperlink" Target="http://www.linkedin.com/in/alejandro-giraldo-271321174" TargetMode="External"/><Relationship Id="rId1543" Type="http://schemas.openxmlformats.org/officeDocument/2006/relationships/hyperlink" Target="https://mn.co" TargetMode="External"/><Relationship Id="rId2874" Type="http://schemas.openxmlformats.org/officeDocument/2006/relationships/hyperlink" Target="https://digitalactive.co" TargetMode="External"/><Relationship Id="rId1544" Type="http://schemas.openxmlformats.org/officeDocument/2006/relationships/hyperlink" Target="http://www.linkedin.com/in/alberto-anaya-revolledo-701a2451" TargetMode="External"/><Relationship Id="rId2875" Type="http://schemas.openxmlformats.org/officeDocument/2006/relationships/hyperlink" Target="http://www.linkedin.com/in/farzadhassanshahi" TargetMode="External"/><Relationship Id="rId1545" Type="http://schemas.openxmlformats.org/officeDocument/2006/relationships/hyperlink" Target="http://www.linkedin.com/company/jasar-health-group" TargetMode="External"/><Relationship Id="rId2876" Type="http://schemas.openxmlformats.org/officeDocument/2006/relationships/hyperlink" Target="http://www.linkedin.com/company/tirescue" TargetMode="External"/><Relationship Id="rId1546" Type="http://schemas.openxmlformats.org/officeDocument/2006/relationships/hyperlink" Target="https://checkdr.io" TargetMode="External"/><Relationship Id="rId2877" Type="http://schemas.openxmlformats.org/officeDocument/2006/relationships/hyperlink" Target="https://tirescue.com" TargetMode="External"/><Relationship Id="rId1547" Type="http://schemas.openxmlformats.org/officeDocument/2006/relationships/hyperlink" Target="http://www.linkedin.com/in/cristobalcaicedo" TargetMode="External"/><Relationship Id="rId2878" Type="http://schemas.openxmlformats.org/officeDocument/2006/relationships/hyperlink" Target="http://www.linkedin.com/in/luistamaratrainer" TargetMode="External"/><Relationship Id="rId1548" Type="http://schemas.openxmlformats.org/officeDocument/2006/relationships/hyperlink" Target="http://www.linkedin.com/company/wizzerapp" TargetMode="External"/><Relationship Id="rId2879" Type="http://schemas.openxmlformats.org/officeDocument/2006/relationships/hyperlink" Target="http://www.linkedin.com/company/bposlatam" TargetMode="External"/><Relationship Id="rId1549" Type="http://schemas.openxmlformats.org/officeDocument/2006/relationships/hyperlink" Target="https://wizzerapp.com" TargetMode="External"/><Relationship Id="rId959" Type="http://schemas.openxmlformats.org/officeDocument/2006/relationships/hyperlink" Target="http://www.linkedin.com/company/maia-hr" TargetMode="External"/><Relationship Id="rId954" Type="http://schemas.openxmlformats.org/officeDocument/2006/relationships/hyperlink" Target="https://crearia.co" TargetMode="External"/><Relationship Id="rId953" Type="http://schemas.openxmlformats.org/officeDocument/2006/relationships/hyperlink" Target="http://www.linkedin.com/company/crearia" TargetMode="External"/><Relationship Id="rId952" Type="http://schemas.openxmlformats.org/officeDocument/2006/relationships/hyperlink" Target="http://www.linkedin.com/in/andres-ruiz-358003115" TargetMode="External"/><Relationship Id="rId951" Type="http://schemas.openxmlformats.org/officeDocument/2006/relationships/hyperlink" Target="https://sistegra.com" TargetMode="External"/><Relationship Id="rId958" Type="http://schemas.openxmlformats.org/officeDocument/2006/relationships/hyperlink" Target="http://www.linkedin.com/in/luisalbertomarinmartinez" TargetMode="External"/><Relationship Id="rId957" Type="http://schemas.openxmlformats.org/officeDocument/2006/relationships/hyperlink" Target="https://promosumma.com" TargetMode="External"/><Relationship Id="rId956" Type="http://schemas.openxmlformats.org/officeDocument/2006/relationships/hyperlink" Target="http://www.linkedin.com/company/promosumma" TargetMode="External"/><Relationship Id="rId955" Type="http://schemas.openxmlformats.org/officeDocument/2006/relationships/hyperlink" Target="http://www.linkedin.com/in/alejandro-ruiz-45382834" TargetMode="External"/><Relationship Id="rId950" Type="http://schemas.openxmlformats.org/officeDocument/2006/relationships/hyperlink" Target="http://www.linkedin.com/company/sistegra" TargetMode="External"/><Relationship Id="rId2870" Type="http://schemas.openxmlformats.org/officeDocument/2006/relationships/hyperlink" Target="http://www.linkedin.com/company/neumaticosyvalvulas" TargetMode="External"/><Relationship Id="rId1540" Type="http://schemas.openxmlformats.org/officeDocument/2006/relationships/hyperlink" Target="https://ciclico.com.co" TargetMode="External"/><Relationship Id="rId2871" Type="http://schemas.openxmlformats.org/officeDocument/2006/relationships/hyperlink" Target="https://sierraalliance.net" TargetMode="External"/><Relationship Id="rId1541" Type="http://schemas.openxmlformats.org/officeDocument/2006/relationships/hyperlink" Target="http://www.linkedin.com/in/joe-brewer-4957925" TargetMode="External"/><Relationship Id="rId2872" Type="http://schemas.openxmlformats.org/officeDocument/2006/relationships/hyperlink" Target="http://www.linkedin.com/in/andresarboleda" TargetMode="External"/><Relationship Id="rId1542" Type="http://schemas.openxmlformats.org/officeDocument/2006/relationships/hyperlink" Target="http://www.linkedin.com/company/design-school-for-regenerating-earth" TargetMode="External"/><Relationship Id="rId2873" Type="http://schemas.openxmlformats.org/officeDocument/2006/relationships/hyperlink" Target="http://www.linkedin.com/company/digital-active-strategies-s-a-s-" TargetMode="External"/><Relationship Id="rId2027" Type="http://schemas.openxmlformats.org/officeDocument/2006/relationships/hyperlink" Target="https://awaio.la" TargetMode="External"/><Relationship Id="rId3359" Type="http://schemas.openxmlformats.org/officeDocument/2006/relationships/hyperlink" Target="https://toperty.co" TargetMode="External"/><Relationship Id="rId2028" Type="http://schemas.openxmlformats.org/officeDocument/2006/relationships/hyperlink" Target="http://www.linkedin.com/in/nicolassegovia23" TargetMode="External"/><Relationship Id="rId3358" Type="http://schemas.openxmlformats.org/officeDocument/2006/relationships/hyperlink" Target="http://www.linkedin.com/company/topertyco" TargetMode="External"/><Relationship Id="rId4689" Type="http://schemas.openxmlformats.org/officeDocument/2006/relationships/hyperlink" Target="http://www.linkedin.com/in/alejandrocouttin" TargetMode="External"/><Relationship Id="rId2029" Type="http://schemas.openxmlformats.org/officeDocument/2006/relationships/hyperlink" Target="http://www.linkedin.com/company/mister-mark" TargetMode="External"/><Relationship Id="rId107" Type="http://schemas.openxmlformats.org/officeDocument/2006/relationships/hyperlink" Target="http://www.linkedin.com/in/juan-sebastian-garzon-cano-729618b3" TargetMode="External"/><Relationship Id="rId106" Type="http://schemas.openxmlformats.org/officeDocument/2006/relationships/hyperlink" Target="https://libertec.co" TargetMode="External"/><Relationship Id="rId105" Type="http://schemas.openxmlformats.org/officeDocument/2006/relationships/hyperlink" Target="http://www.linkedin.com/company/libertec-co" TargetMode="External"/><Relationship Id="rId104" Type="http://schemas.openxmlformats.org/officeDocument/2006/relationships/hyperlink" Target="http://www.linkedin.com/in/mauricio-anjel-87590664" TargetMode="External"/><Relationship Id="rId109" Type="http://schemas.openxmlformats.org/officeDocument/2006/relationships/hyperlink" Target="https://keepup.news" TargetMode="External"/><Relationship Id="rId4680" Type="http://schemas.openxmlformats.org/officeDocument/2006/relationships/hyperlink" Target="http://www.linkedin.com/company/progsum" TargetMode="External"/><Relationship Id="rId108" Type="http://schemas.openxmlformats.org/officeDocument/2006/relationships/hyperlink" Target="http://www.linkedin.com/company/keepupagencia" TargetMode="External"/><Relationship Id="rId3351" Type="http://schemas.openxmlformats.org/officeDocument/2006/relationships/hyperlink" Target="http://www.linkedin.com/in/andres-trujillo-9b466054" TargetMode="External"/><Relationship Id="rId4682" Type="http://schemas.openxmlformats.org/officeDocument/2006/relationships/hyperlink" Target="http://www.linkedin.com/company/oreydashi" TargetMode="External"/><Relationship Id="rId2020" Type="http://schemas.openxmlformats.org/officeDocument/2006/relationships/hyperlink" Target="https://tinoconavarro.com" TargetMode="External"/><Relationship Id="rId3350" Type="http://schemas.openxmlformats.org/officeDocument/2006/relationships/hyperlink" Target="https://eatcloud.com" TargetMode="External"/><Relationship Id="rId4681" Type="http://schemas.openxmlformats.org/officeDocument/2006/relationships/hyperlink" Target="http://www.linkedin.com/in/matiasposada" TargetMode="External"/><Relationship Id="rId2021" Type="http://schemas.openxmlformats.org/officeDocument/2006/relationships/hyperlink" Target="http://awaio.la" TargetMode="External"/><Relationship Id="rId3353" Type="http://schemas.openxmlformats.org/officeDocument/2006/relationships/hyperlink" Target="https://naez.co" TargetMode="External"/><Relationship Id="rId4684" Type="http://schemas.openxmlformats.org/officeDocument/2006/relationships/hyperlink" Target="http://www.linkedin.com/company/distribuidora-el-amazonas" TargetMode="External"/><Relationship Id="rId2022" Type="http://schemas.openxmlformats.org/officeDocument/2006/relationships/hyperlink" Target="http://www.linkedin.com/in/jose-luis-saray-23335222" TargetMode="External"/><Relationship Id="rId3352" Type="http://schemas.openxmlformats.org/officeDocument/2006/relationships/hyperlink" Target="http://www.linkedin.com/company/naezinternational" TargetMode="External"/><Relationship Id="rId4683" Type="http://schemas.openxmlformats.org/officeDocument/2006/relationships/hyperlink" Target="http://www.linkedin.com/in/sara-barreneche-marketing" TargetMode="External"/><Relationship Id="rId103" Type="http://schemas.openxmlformats.org/officeDocument/2006/relationships/hyperlink" Target="https://ingennova.com" TargetMode="External"/><Relationship Id="rId2023" Type="http://schemas.openxmlformats.org/officeDocument/2006/relationships/hyperlink" Target="http://www.linkedin.com/company/aseneg-recruiting" TargetMode="External"/><Relationship Id="rId3355" Type="http://schemas.openxmlformats.org/officeDocument/2006/relationships/hyperlink" Target="http://www.linkedin.com/company/agroventure-capital" TargetMode="External"/><Relationship Id="rId4686" Type="http://schemas.openxmlformats.org/officeDocument/2006/relationships/hyperlink" Target="http://www.linkedin.com/company/madadsolutions" TargetMode="External"/><Relationship Id="rId102" Type="http://schemas.openxmlformats.org/officeDocument/2006/relationships/hyperlink" Target="http://www.linkedin.com/company/ingennova-sas" TargetMode="External"/><Relationship Id="rId2024" Type="http://schemas.openxmlformats.org/officeDocument/2006/relationships/hyperlink" Target="https://aseneg.com" TargetMode="External"/><Relationship Id="rId3354" Type="http://schemas.openxmlformats.org/officeDocument/2006/relationships/hyperlink" Target="http://www.linkedin.com/in/millerpreciado" TargetMode="External"/><Relationship Id="rId4685" Type="http://schemas.openxmlformats.org/officeDocument/2006/relationships/hyperlink" Target="http://www.linkedin.com/in/felipe-su%c3%a1rez-g%c3%b3mez-76a843146" TargetMode="External"/><Relationship Id="rId101" Type="http://schemas.openxmlformats.org/officeDocument/2006/relationships/hyperlink" Target="http://www.linkedin.com/in/villamilrodrigo" TargetMode="External"/><Relationship Id="rId2025" Type="http://schemas.openxmlformats.org/officeDocument/2006/relationships/hyperlink" Target="http://www.linkedin.com/in/nauffals" TargetMode="External"/><Relationship Id="rId3357" Type="http://schemas.openxmlformats.org/officeDocument/2006/relationships/hyperlink" Target="http://www.linkedin.com/in/nicolas-maldonado-jacobsen" TargetMode="External"/><Relationship Id="rId4688" Type="http://schemas.openxmlformats.org/officeDocument/2006/relationships/hyperlink" Target="http://www.linkedin.com/company/we-power-latam" TargetMode="External"/><Relationship Id="rId100" Type="http://schemas.openxmlformats.org/officeDocument/2006/relationships/hyperlink" Target="https://cuantico.com" TargetMode="External"/><Relationship Id="rId2026" Type="http://schemas.openxmlformats.org/officeDocument/2006/relationships/hyperlink" Target="http://www.linkedin.com/company/awaio-la" TargetMode="External"/><Relationship Id="rId3356" Type="http://schemas.openxmlformats.org/officeDocument/2006/relationships/hyperlink" Target="https://agroventurecapital.com.co" TargetMode="External"/><Relationship Id="rId4687" Type="http://schemas.openxmlformats.org/officeDocument/2006/relationships/hyperlink" Target="http://www.linkedin.com/in/ricardo-alvarez-orozco-258187111" TargetMode="External"/><Relationship Id="rId2016" Type="http://schemas.openxmlformats.org/officeDocument/2006/relationships/hyperlink" Target="http://www.linkedin.com/company/pixeleye-studio" TargetMode="External"/><Relationship Id="rId3348" Type="http://schemas.openxmlformats.org/officeDocument/2006/relationships/hyperlink" Target="http://www.linkedin.com/in/jorgecorreat" TargetMode="External"/><Relationship Id="rId4679" Type="http://schemas.openxmlformats.org/officeDocument/2006/relationships/hyperlink" Target="http://www.linkedin.com/in/juan-felipe-tettay-villegas-06b61364" TargetMode="External"/><Relationship Id="rId2017" Type="http://schemas.openxmlformats.org/officeDocument/2006/relationships/hyperlink" Target="https://vision-ar.com" TargetMode="External"/><Relationship Id="rId3347" Type="http://schemas.openxmlformats.org/officeDocument/2006/relationships/hyperlink" Target="https://netmidas.com" TargetMode="External"/><Relationship Id="rId4678" Type="http://schemas.openxmlformats.org/officeDocument/2006/relationships/hyperlink" Target="http://www.linkedin.com/company/lunia-shapewear" TargetMode="External"/><Relationship Id="rId2018" Type="http://schemas.openxmlformats.org/officeDocument/2006/relationships/hyperlink" Target="http://www.linkedin.com/in/luis-ernesto-tinoco-navarro-ba461250" TargetMode="External"/><Relationship Id="rId2019" Type="http://schemas.openxmlformats.org/officeDocument/2006/relationships/hyperlink" Target="http://www.linkedin.com/company/tinoco-navarro" TargetMode="External"/><Relationship Id="rId3349" Type="http://schemas.openxmlformats.org/officeDocument/2006/relationships/hyperlink" Target="http://www.linkedin.com/company/eatcloud" TargetMode="External"/><Relationship Id="rId3340" Type="http://schemas.openxmlformats.org/officeDocument/2006/relationships/hyperlink" Target="http://www.linkedin.com/company/confiam-sas" TargetMode="External"/><Relationship Id="rId4671" Type="http://schemas.openxmlformats.org/officeDocument/2006/relationships/hyperlink" Target="http://www.linkedin.com/in/cecilia-palacino" TargetMode="External"/><Relationship Id="rId4670" Type="http://schemas.openxmlformats.org/officeDocument/2006/relationships/hyperlink" Target="http://www.linkedin.com/company/digital-evolution-colombia" TargetMode="External"/><Relationship Id="rId2010" Type="http://schemas.openxmlformats.org/officeDocument/2006/relationships/hyperlink" Target="http://www.linkedin.com/company/agilitychanges" TargetMode="External"/><Relationship Id="rId3342" Type="http://schemas.openxmlformats.org/officeDocument/2006/relationships/hyperlink" Target="http://www.linkedin.com/in/john-jairo-archila-cort%c3%a9s-059335135" TargetMode="External"/><Relationship Id="rId4673" Type="http://schemas.openxmlformats.org/officeDocument/2006/relationships/hyperlink" Target="http://www.linkedin.com/in/elementalab" TargetMode="External"/><Relationship Id="rId2011" Type="http://schemas.openxmlformats.org/officeDocument/2006/relationships/hyperlink" Target="https://agilitychanges.com" TargetMode="External"/><Relationship Id="rId3341" Type="http://schemas.openxmlformats.org/officeDocument/2006/relationships/hyperlink" Target="https://confiam.com" TargetMode="External"/><Relationship Id="rId4672" Type="http://schemas.openxmlformats.org/officeDocument/2006/relationships/hyperlink" Target="http://www.linkedin.com/company/success-squad-startup" TargetMode="External"/><Relationship Id="rId2012" Type="http://schemas.openxmlformats.org/officeDocument/2006/relationships/hyperlink" Target="http://www.linkedin.com/in/ricardo-mejia-saenz" TargetMode="External"/><Relationship Id="rId3344" Type="http://schemas.openxmlformats.org/officeDocument/2006/relationships/hyperlink" Target="https://snaau.co" TargetMode="External"/><Relationship Id="rId4675" Type="http://schemas.openxmlformats.org/officeDocument/2006/relationships/hyperlink" Target="http://www.linkedin.com/in/estebanvelascobarrera" TargetMode="External"/><Relationship Id="rId2013" Type="http://schemas.openxmlformats.org/officeDocument/2006/relationships/hyperlink" Target="http://www.linkedin.com/company/alineamiento" TargetMode="External"/><Relationship Id="rId3343" Type="http://schemas.openxmlformats.org/officeDocument/2006/relationships/hyperlink" Target="http://www.linkedin.com/company/snaau" TargetMode="External"/><Relationship Id="rId4674" Type="http://schemas.openxmlformats.org/officeDocument/2006/relationships/hyperlink" Target="http://www.linkedin.com/company/elemntalab" TargetMode="External"/><Relationship Id="rId2014" Type="http://schemas.openxmlformats.org/officeDocument/2006/relationships/hyperlink" Target="https://alineamiento.co" TargetMode="External"/><Relationship Id="rId3346" Type="http://schemas.openxmlformats.org/officeDocument/2006/relationships/hyperlink" Target="http://www.linkedin.com/company/netmidas" TargetMode="External"/><Relationship Id="rId4677" Type="http://schemas.openxmlformats.org/officeDocument/2006/relationships/hyperlink" Target="http://www.linkedin.com/in/felipe-harker-6a593674" TargetMode="External"/><Relationship Id="rId2015" Type="http://schemas.openxmlformats.org/officeDocument/2006/relationships/hyperlink" Target="http://www.linkedin.com/in/german-nieto-8a23641b" TargetMode="External"/><Relationship Id="rId3345" Type="http://schemas.openxmlformats.org/officeDocument/2006/relationships/hyperlink" Target="http://www.linkedin.com/in/johnolivercoffey" TargetMode="External"/><Relationship Id="rId4676" Type="http://schemas.openxmlformats.org/officeDocument/2006/relationships/hyperlink" Target="http://www.linkedin.com/company/sempli.co" TargetMode="External"/><Relationship Id="rId2049" Type="http://schemas.openxmlformats.org/officeDocument/2006/relationships/hyperlink" Target="http://www.linkedin.com/in/andressoler" TargetMode="External"/><Relationship Id="rId129" Type="http://schemas.openxmlformats.org/officeDocument/2006/relationships/hyperlink" Target="http://www.linkedin.com/company/hcx-sas" TargetMode="External"/><Relationship Id="rId128" Type="http://schemas.openxmlformats.org/officeDocument/2006/relationships/hyperlink" Target="http://www.linkedin.com/in/orlando-garcia-monroy-b303a272" TargetMode="External"/><Relationship Id="rId127" Type="http://schemas.openxmlformats.org/officeDocument/2006/relationships/hyperlink" Target="https://estrategiascomerciales.co" TargetMode="External"/><Relationship Id="rId126" Type="http://schemas.openxmlformats.org/officeDocument/2006/relationships/hyperlink" Target="http://www.linkedin.com/company/estrategias-comerciales-y-de-mercadeo" TargetMode="External"/><Relationship Id="rId3371" Type="http://schemas.openxmlformats.org/officeDocument/2006/relationships/hyperlink" Target="https://lerprevencion.co" TargetMode="External"/><Relationship Id="rId2040" Type="http://schemas.openxmlformats.org/officeDocument/2006/relationships/hyperlink" Target="http://www.linkedin.com/in/nicolasplazas" TargetMode="External"/><Relationship Id="rId3370" Type="http://schemas.openxmlformats.org/officeDocument/2006/relationships/hyperlink" Target="http://www.linkedin.com/company/ler-prevencion" TargetMode="External"/><Relationship Id="rId121" Type="http://schemas.openxmlformats.org/officeDocument/2006/relationships/hyperlink" Target="https://nanofreeze.com.co" TargetMode="External"/><Relationship Id="rId2041" Type="http://schemas.openxmlformats.org/officeDocument/2006/relationships/hyperlink" Target="http://www.linkedin.com/company/fitconsulting-colombia" TargetMode="External"/><Relationship Id="rId3373" Type="http://schemas.openxmlformats.org/officeDocument/2006/relationships/hyperlink" Target="http://www.linkedin.com/company/tdclab" TargetMode="External"/><Relationship Id="rId120" Type="http://schemas.openxmlformats.org/officeDocument/2006/relationships/hyperlink" Target="http://www.linkedin.com/company/nanofreeze" TargetMode="External"/><Relationship Id="rId2042" Type="http://schemas.openxmlformats.org/officeDocument/2006/relationships/hyperlink" Target="https://fitconsulting.com.co" TargetMode="External"/><Relationship Id="rId3372" Type="http://schemas.openxmlformats.org/officeDocument/2006/relationships/hyperlink" Target="http://www.linkedin.com/in/luis-morales-548839b3" TargetMode="External"/><Relationship Id="rId2043" Type="http://schemas.openxmlformats.org/officeDocument/2006/relationships/hyperlink" Target="http://www.linkedin.com/in/mateo-ospina-mej%c3%ada-464256b3" TargetMode="External"/><Relationship Id="rId3375" Type="http://schemas.openxmlformats.org/officeDocument/2006/relationships/hyperlink" Target="http://www.linkedin.com/in/pascal-clarysse" TargetMode="External"/><Relationship Id="rId2044" Type="http://schemas.openxmlformats.org/officeDocument/2006/relationships/hyperlink" Target="http://www.linkedin.com/company/ancestral-organics" TargetMode="External"/><Relationship Id="rId3374" Type="http://schemas.openxmlformats.org/officeDocument/2006/relationships/hyperlink" Target="https://tdclab.com" TargetMode="External"/><Relationship Id="rId125" Type="http://schemas.openxmlformats.org/officeDocument/2006/relationships/hyperlink" Target="http://www.linkedin.com/in/julian-camilo-arenas-torres-38147135" TargetMode="External"/><Relationship Id="rId2045" Type="http://schemas.openxmlformats.org/officeDocument/2006/relationships/hyperlink" Target="https://ancestralfoods.co" TargetMode="External"/><Relationship Id="rId3377" Type="http://schemas.openxmlformats.org/officeDocument/2006/relationships/hyperlink" Target="https://bigkarma.net" TargetMode="External"/><Relationship Id="rId124" Type="http://schemas.openxmlformats.org/officeDocument/2006/relationships/hyperlink" Target="https://saggioesg.com" TargetMode="External"/><Relationship Id="rId2046" Type="http://schemas.openxmlformats.org/officeDocument/2006/relationships/hyperlink" Target="http://www.linkedin.com/in/diego-mauricio-nieto-ardila-4aa73868" TargetMode="External"/><Relationship Id="rId3376" Type="http://schemas.openxmlformats.org/officeDocument/2006/relationships/hyperlink" Target="http://www.linkedin.com/company/bigkarma" TargetMode="External"/><Relationship Id="rId123" Type="http://schemas.openxmlformats.org/officeDocument/2006/relationships/hyperlink" Target="http://www.linkedin.com/company/saggio-esg-software" TargetMode="External"/><Relationship Id="rId2047" Type="http://schemas.openxmlformats.org/officeDocument/2006/relationships/hyperlink" Target="http://www.linkedin.com/company/gatekeeperx" TargetMode="External"/><Relationship Id="rId3379" Type="http://schemas.openxmlformats.org/officeDocument/2006/relationships/hyperlink" Target="http://www.linkedin.com/company/azeris" TargetMode="External"/><Relationship Id="rId122" Type="http://schemas.openxmlformats.org/officeDocument/2006/relationships/hyperlink" Target="http://www.linkedin.com/in/jorge-alfonso-useche-goenaga-00045a86" TargetMode="External"/><Relationship Id="rId2048" Type="http://schemas.openxmlformats.org/officeDocument/2006/relationships/hyperlink" Target="https://gatekeeperx.com" TargetMode="External"/><Relationship Id="rId3378" Type="http://schemas.openxmlformats.org/officeDocument/2006/relationships/hyperlink" Target="http://www.linkedin.com/in/yanis-mayoma-8917b4211" TargetMode="External"/><Relationship Id="rId2038" Type="http://schemas.openxmlformats.org/officeDocument/2006/relationships/hyperlink" Target="http://www.linkedin.com/company/qpalliance" TargetMode="External"/><Relationship Id="rId2039" Type="http://schemas.openxmlformats.org/officeDocument/2006/relationships/hyperlink" Target="https://qpalliance.co" TargetMode="External"/><Relationship Id="rId3369" Type="http://schemas.openxmlformats.org/officeDocument/2006/relationships/hyperlink" Target="http://www.linkedin.com/in/miryam-due%c3%b1as-07408a112" TargetMode="External"/><Relationship Id="rId118" Type="http://schemas.openxmlformats.org/officeDocument/2006/relationships/hyperlink" Target="https://koji.com.co" TargetMode="External"/><Relationship Id="rId117" Type="http://schemas.openxmlformats.org/officeDocument/2006/relationships/hyperlink" Target="http://www.linkedin.com/company/kojilabco" TargetMode="External"/><Relationship Id="rId116" Type="http://schemas.openxmlformats.org/officeDocument/2006/relationships/hyperlink" Target="http://www.linkedin.com/in/juansrubiano" TargetMode="External"/><Relationship Id="rId115" Type="http://schemas.openxmlformats.org/officeDocument/2006/relationships/hyperlink" Target="https://seika.ai" TargetMode="External"/><Relationship Id="rId3360" Type="http://schemas.openxmlformats.org/officeDocument/2006/relationships/hyperlink" Target="http://www.linkedin.com/in/santiagogomezosorio" TargetMode="External"/><Relationship Id="rId4691" Type="http://schemas.openxmlformats.org/officeDocument/2006/relationships/hyperlink" Target="http://www.linkedin.com/in/ktorres96" TargetMode="External"/><Relationship Id="rId119" Type="http://schemas.openxmlformats.org/officeDocument/2006/relationships/hyperlink" Target="http://www.linkedin.com/in/santiagosaenzariza" TargetMode="External"/><Relationship Id="rId4690" Type="http://schemas.openxmlformats.org/officeDocument/2006/relationships/hyperlink" Target="http://www.linkedin.com/company/fractta-consulting-investments" TargetMode="External"/><Relationship Id="rId110" Type="http://schemas.openxmlformats.org/officeDocument/2006/relationships/hyperlink" Target="http://www.linkedin.com/in/andres-san-juan-03105643" TargetMode="External"/><Relationship Id="rId2030" Type="http://schemas.openxmlformats.org/officeDocument/2006/relationships/hyperlink" Target="https://mistermark.ca" TargetMode="External"/><Relationship Id="rId3362" Type="http://schemas.openxmlformats.org/officeDocument/2006/relationships/hyperlink" Target="https://quix.work" TargetMode="External"/><Relationship Id="rId4693" Type="http://schemas.openxmlformats.org/officeDocument/2006/relationships/hyperlink" Target="http://www.linkedin.com/in/andr%c3%a9scalvo" TargetMode="External"/><Relationship Id="rId2031" Type="http://schemas.openxmlformats.org/officeDocument/2006/relationships/hyperlink" Target="http://www.linkedin.com/in/richardreiter" TargetMode="External"/><Relationship Id="rId3361" Type="http://schemas.openxmlformats.org/officeDocument/2006/relationships/hyperlink" Target="http://www.linkedin.com/company/quix-la" TargetMode="External"/><Relationship Id="rId4692" Type="http://schemas.openxmlformats.org/officeDocument/2006/relationships/hyperlink" Target="http://www.linkedin.com/company/usetalentfuze" TargetMode="External"/><Relationship Id="rId2032" Type="http://schemas.openxmlformats.org/officeDocument/2006/relationships/hyperlink" Target="http://www.linkedin.com/company/wellgroomedopportunities" TargetMode="External"/><Relationship Id="rId3364" Type="http://schemas.openxmlformats.org/officeDocument/2006/relationships/hyperlink" Target="http://www.linkedin.com/company/elespik" TargetMode="External"/><Relationship Id="rId4695" Type="http://schemas.openxmlformats.org/officeDocument/2006/relationships/hyperlink" Target="http://www.linkedin.com/in/gustavo-blanco-tenorio" TargetMode="External"/><Relationship Id="rId2033" Type="http://schemas.openxmlformats.org/officeDocument/2006/relationships/hyperlink" Target="https://wellgroomedopportunities.com" TargetMode="External"/><Relationship Id="rId3363" Type="http://schemas.openxmlformats.org/officeDocument/2006/relationships/hyperlink" Target="http://www.linkedin.com/in/jennifer-s%c3%a1enz-99b40b4a" TargetMode="External"/><Relationship Id="rId4694" Type="http://schemas.openxmlformats.org/officeDocument/2006/relationships/hyperlink" Target="http://www.linkedin.com/company/polittan" TargetMode="External"/><Relationship Id="rId114" Type="http://schemas.openxmlformats.org/officeDocument/2006/relationships/hyperlink" Target="http://www.linkedin.com/company/seika-ai" TargetMode="External"/><Relationship Id="rId2034" Type="http://schemas.openxmlformats.org/officeDocument/2006/relationships/hyperlink" Target="http://www.linkedin.com/in/mauricio-agudelo-r" TargetMode="External"/><Relationship Id="rId3366" Type="http://schemas.openxmlformats.org/officeDocument/2006/relationships/hyperlink" Target="http://www.linkedin.com/in/francisco-javier-restrepo-83529738" TargetMode="External"/><Relationship Id="rId4697" Type="http://schemas.openxmlformats.org/officeDocument/2006/relationships/hyperlink" Target="http://www.linkedin.com/in/saarga" TargetMode="External"/><Relationship Id="rId113" Type="http://schemas.openxmlformats.org/officeDocument/2006/relationships/hyperlink" Target="http://www.linkedin.com/in/henry-bravo-b9315583" TargetMode="External"/><Relationship Id="rId2035" Type="http://schemas.openxmlformats.org/officeDocument/2006/relationships/hyperlink" Target="http://www.linkedin.com/company/bialtec-sas" TargetMode="External"/><Relationship Id="rId3365" Type="http://schemas.openxmlformats.org/officeDocument/2006/relationships/hyperlink" Target="https://elespik.com" TargetMode="External"/><Relationship Id="rId4696" Type="http://schemas.openxmlformats.org/officeDocument/2006/relationships/hyperlink" Target="http://www.linkedin.com/company/dtdentall" TargetMode="External"/><Relationship Id="rId112" Type="http://schemas.openxmlformats.org/officeDocument/2006/relationships/hyperlink" Target="https://roddos.com" TargetMode="External"/><Relationship Id="rId2036" Type="http://schemas.openxmlformats.org/officeDocument/2006/relationships/hyperlink" Target="https://bialtec.co" TargetMode="External"/><Relationship Id="rId3368" Type="http://schemas.openxmlformats.org/officeDocument/2006/relationships/hyperlink" Target="https://sports-crowd.com" TargetMode="External"/><Relationship Id="rId4699" Type="http://schemas.openxmlformats.org/officeDocument/2006/relationships/hyperlink" Target="http://www.linkedin.com/in/paola-serna" TargetMode="External"/><Relationship Id="rId111" Type="http://schemas.openxmlformats.org/officeDocument/2006/relationships/hyperlink" Target="http://www.linkedin.com/company/roddos%c2%ae%ef%b8%8f" TargetMode="External"/><Relationship Id="rId2037" Type="http://schemas.openxmlformats.org/officeDocument/2006/relationships/hyperlink" Target="http://www.linkedin.com/in/juliana-castro-d%c3%adaz-4716856a" TargetMode="External"/><Relationship Id="rId3367" Type="http://schemas.openxmlformats.org/officeDocument/2006/relationships/hyperlink" Target="http://www.linkedin.com/company/sports-crowd-sc" TargetMode="External"/><Relationship Id="rId4698" Type="http://schemas.openxmlformats.org/officeDocument/2006/relationships/hyperlink" Target="http://www.linkedin.com/company/rio-trade" TargetMode="External"/><Relationship Id="rId3315" Type="http://schemas.openxmlformats.org/officeDocument/2006/relationships/hyperlink" Target="http://www.linkedin.com/in/lucasfelipeserrano" TargetMode="External"/><Relationship Id="rId4646" Type="http://schemas.openxmlformats.org/officeDocument/2006/relationships/hyperlink" Target="http://www.linkedin.com/company/syncdata-ai" TargetMode="External"/><Relationship Id="rId3314" Type="http://schemas.openxmlformats.org/officeDocument/2006/relationships/hyperlink" Target="https://codebranch.co" TargetMode="External"/><Relationship Id="rId4645" Type="http://schemas.openxmlformats.org/officeDocument/2006/relationships/hyperlink" Target="http://www.linkedin.com/in/roberto-ordonez-villaveces-b3840519" TargetMode="External"/><Relationship Id="rId3317" Type="http://schemas.openxmlformats.org/officeDocument/2006/relationships/hyperlink" Target="https://appinglab.com" TargetMode="External"/><Relationship Id="rId4648" Type="http://schemas.openxmlformats.org/officeDocument/2006/relationships/hyperlink" Target="http://www.linkedin.com/company/mituannia" TargetMode="External"/><Relationship Id="rId3316" Type="http://schemas.openxmlformats.org/officeDocument/2006/relationships/hyperlink" Target="http://www.linkedin.com/company/appinglab" TargetMode="External"/><Relationship Id="rId4647" Type="http://schemas.openxmlformats.org/officeDocument/2006/relationships/hyperlink" Target="http://www.linkedin.com/in/styp152" TargetMode="External"/><Relationship Id="rId3319" Type="http://schemas.openxmlformats.org/officeDocument/2006/relationships/hyperlink" Target="http://www.linkedin.com/company/approbe-co" TargetMode="External"/><Relationship Id="rId3318" Type="http://schemas.openxmlformats.org/officeDocument/2006/relationships/hyperlink" Target="http://www.linkedin.com/in/kennysilvag" TargetMode="External"/><Relationship Id="rId4649" Type="http://schemas.openxmlformats.org/officeDocument/2006/relationships/hyperlink" Target="http://www.linkedin.com/in/edgarnietou" TargetMode="External"/><Relationship Id="rId4640" Type="http://schemas.openxmlformats.org/officeDocument/2006/relationships/hyperlink" Target="http://www.linkedin.com/in/jucamana" TargetMode="External"/><Relationship Id="rId3311" Type="http://schemas.openxmlformats.org/officeDocument/2006/relationships/hyperlink" Target="https://naosarq.com.co" TargetMode="External"/><Relationship Id="rId4642" Type="http://schemas.openxmlformats.org/officeDocument/2006/relationships/hyperlink" Target="http://syncdata.ai" TargetMode="External"/><Relationship Id="rId3310" Type="http://schemas.openxmlformats.org/officeDocument/2006/relationships/hyperlink" Target="http://www.linkedin.com/company/naosarq" TargetMode="External"/><Relationship Id="rId4641" Type="http://schemas.openxmlformats.org/officeDocument/2006/relationships/hyperlink" Target="http://www.linkedin.com/company/welli-ecom" TargetMode="External"/><Relationship Id="rId3313" Type="http://schemas.openxmlformats.org/officeDocument/2006/relationships/hyperlink" Target="http://www.linkedin.com/company/code-branch" TargetMode="External"/><Relationship Id="rId4644" Type="http://schemas.openxmlformats.org/officeDocument/2006/relationships/hyperlink" Target="http://www.linkedin.com/company/naezinternational" TargetMode="External"/><Relationship Id="rId3312" Type="http://schemas.openxmlformats.org/officeDocument/2006/relationships/hyperlink" Target="http://www.linkedin.com/in/diego-leon-sanchez-rios-2859871b" TargetMode="External"/><Relationship Id="rId4643" Type="http://schemas.openxmlformats.org/officeDocument/2006/relationships/hyperlink" Target="http://www.linkedin.com/in/natalia-zerda-mendez" TargetMode="External"/><Relationship Id="rId3304" Type="http://schemas.openxmlformats.org/officeDocument/2006/relationships/hyperlink" Target="http://www.linkedin.com/company/ufundco" TargetMode="External"/><Relationship Id="rId4635" Type="http://schemas.openxmlformats.org/officeDocument/2006/relationships/hyperlink" Target="http://www.linkedin.com/company/hulafintech" TargetMode="External"/><Relationship Id="rId3303" Type="http://schemas.openxmlformats.org/officeDocument/2006/relationships/hyperlink" Target="http://www.linkedin.com/in/alejandro-ortiz-caballero-a05239141" TargetMode="External"/><Relationship Id="rId4634" Type="http://schemas.openxmlformats.org/officeDocument/2006/relationships/hyperlink" Target="http://www.linkedin.com/in/juanfelipecadena" TargetMode="External"/><Relationship Id="rId3306" Type="http://schemas.openxmlformats.org/officeDocument/2006/relationships/hyperlink" Target="http://www.linkedin.com/in/freddyzamorac" TargetMode="External"/><Relationship Id="rId4637" Type="http://schemas.openxmlformats.org/officeDocument/2006/relationships/hyperlink" Target="http://www.linkedin.com/company/handelbay" TargetMode="External"/><Relationship Id="rId3305" Type="http://schemas.openxmlformats.org/officeDocument/2006/relationships/hyperlink" Target="https://ufundco.com" TargetMode="External"/><Relationship Id="rId4636" Type="http://schemas.openxmlformats.org/officeDocument/2006/relationships/hyperlink" Target="http://www.linkedin.com/in/juanhandelbay" TargetMode="External"/><Relationship Id="rId3308" Type="http://schemas.openxmlformats.org/officeDocument/2006/relationships/hyperlink" Target="https://servisoftware.com" TargetMode="External"/><Relationship Id="rId4639" Type="http://schemas.openxmlformats.org/officeDocument/2006/relationships/hyperlink" Target="http://www.linkedin.com/company/river-logic" TargetMode="External"/><Relationship Id="rId3307" Type="http://schemas.openxmlformats.org/officeDocument/2006/relationships/hyperlink" Target="http://www.linkedin.com/company/servisoftware" TargetMode="External"/><Relationship Id="rId4638" Type="http://schemas.openxmlformats.org/officeDocument/2006/relationships/hyperlink" Target="http://www.linkedin.com/in/camilo-orbegozo-p" TargetMode="External"/><Relationship Id="rId3309" Type="http://schemas.openxmlformats.org/officeDocument/2006/relationships/hyperlink" Target="http://www.linkedin.com/in/giovanny-castillo-33ab0325" TargetMode="External"/><Relationship Id="rId3300" Type="http://schemas.openxmlformats.org/officeDocument/2006/relationships/hyperlink" Target="http://www.linkedin.com/in/mauricio-gomez-pacheco-3790bb57" TargetMode="External"/><Relationship Id="rId4631" Type="http://schemas.openxmlformats.org/officeDocument/2006/relationships/hyperlink" Target="http://www.linkedin.com/company/wellcome-com-co" TargetMode="External"/><Relationship Id="rId4630" Type="http://schemas.openxmlformats.org/officeDocument/2006/relationships/hyperlink" Target="http://www.linkedin.com/in/xaviercardenas" TargetMode="External"/><Relationship Id="rId3302" Type="http://schemas.openxmlformats.org/officeDocument/2006/relationships/hyperlink" Target="https://gotocloud.ai" TargetMode="External"/><Relationship Id="rId4633" Type="http://schemas.openxmlformats.org/officeDocument/2006/relationships/hyperlink" Target="http://www.linkedin.com/company/fontumi" TargetMode="External"/><Relationship Id="rId3301" Type="http://schemas.openxmlformats.org/officeDocument/2006/relationships/hyperlink" Target="http://www.linkedin.com/company/gotocloudsas" TargetMode="External"/><Relationship Id="rId4632" Type="http://schemas.openxmlformats.org/officeDocument/2006/relationships/hyperlink" Target="http://www.linkedin.com/in/eltonjgomez" TargetMode="External"/><Relationship Id="rId2005" Type="http://schemas.openxmlformats.org/officeDocument/2006/relationships/hyperlink" Target="https://3sixtypadel.com" TargetMode="External"/><Relationship Id="rId3337" Type="http://schemas.openxmlformats.org/officeDocument/2006/relationships/hyperlink" Target="http://www.linkedin.com/company/ankatechsolutions" TargetMode="External"/><Relationship Id="rId4668" Type="http://schemas.openxmlformats.org/officeDocument/2006/relationships/hyperlink" Target="http://www.linkedin.com/company/l2lbienesraices" TargetMode="External"/><Relationship Id="rId2006" Type="http://schemas.openxmlformats.org/officeDocument/2006/relationships/hyperlink" Target="http://www.linkedin.com/in/faisaldarr" TargetMode="External"/><Relationship Id="rId3336" Type="http://schemas.openxmlformats.org/officeDocument/2006/relationships/hyperlink" Target="http://www.linkedin.com/in/andresgalindothebuilder" TargetMode="External"/><Relationship Id="rId4667" Type="http://schemas.openxmlformats.org/officeDocument/2006/relationships/hyperlink" Target="http://www.linkedin.com/in/angelaquinones" TargetMode="External"/><Relationship Id="rId2007" Type="http://schemas.openxmlformats.org/officeDocument/2006/relationships/hyperlink" Target="http://www.linkedin.com/company/dxb-perfume" TargetMode="External"/><Relationship Id="rId3339" Type="http://schemas.openxmlformats.org/officeDocument/2006/relationships/hyperlink" Target="http://www.linkedin.com/in/ebeltranp" TargetMode="External"/><Relationship Id="rId2008" Type="http://schemas.openxmlformats.org/officeDocument/2006/relationships/hyperlink" Target="https://dxbperfume.co.uk" TargetMode="External"/><Relationship Id="rId3338" Type="http://schemas.openxmlformats.org/officeDocument/2006/relationships/hyperlink" Target="https://ankatech.co" TargetMode="External"/><Relationship Id="rId4669" Type="http://schemas.openxmlformats.org/officeDocument/2006/relationships/hyperlink" Target="http://www.linkedin.com/in/mario-alberto-pongut%c3%a1-monroy-82aba235" TargetMode="External"/><Relationship Id="rId2009" Type="http://schemas.openxmlformats.org/officeDocument/2006/relationships/hyperlink" Target="http://www.linkedin.com/in/sandraariasandrade" TargetMode="External"/><Relationship Id="rId4660" Type="http://schemas.openxmlformats.org/officeDocument/2006/relationships/hyperlink" Target="http://www.linkedin.com/company/ecologiscar-empresa-colombiana-de-logistica-y-carga" TargetMode="External"/><Relationship Id="rId3331" Type="http://schemas.openxmlformats.org/officeDocument/2006/relationships/hyperlink" Target="http://www.linkedin.com/company/sekure" TargetMode="External"/><Relationship Id="rId4662" Type="http://schemas.openxmlformats.org/officeDocument/2006/relationships/hyperlink" Target="http://www.linkedin.com/company/mcad-training-consulting" TargetMode="External"/><Relationship Id="rId2000" Type="http://schemas.openxmlformats.org/officeDocument/2006/relationships/hyperlink" Target="http://www.linkedin.com/in/juan-esteban-saldarriaga-767216" TargetMode="External"/><Relationship Id="rId3330" Type="http://schemas.openxmlformats.org/officeDocument/2006/relationships/hyperlink" Target="http://www.linkedin.com/in/rodrigo-alfonso" TargetMode="External"/><Relationship Id="rId4661" Type="http://schemas.openxmlformats.org/officeDocument/2006/relationships/hyperlink" Target="http://www.linkedin.com/in/linaxiomarasierraa" TargetMode="External"/><Relationship Id="rId2001" Type="http://schemas.openxmlformats.org/officeDocument/2006/relationships/hyperlink" Target="http://www.linkedin.com/company/valorix-com" TargetMode="External"/><Relationship Id="rId3333" Type="http://schemas.openxmlformats.org/officeDocument/2006/relationships/hyperlink" Target="http://www.linkedin.com/in/gustavo-blanco-alenza-718a62162" TargetMode="External"/><Relationship Id="rId4664" Type="http://schemas.openxmlformats.org/officeDocument/2006/relationships/hyperlink" Target="http://www.linkedin.com/company/bee-aides" TargetMode="External"/><Relationship Id="rId2002" Type="http://schemas.openxmlformats.org/officeDocument/2006/relationships/hyperlink" Target="https://valorix.com" TargetMode="External"/><Relationship Id="rId3332" Type="http://schemas.openxmlformats.org/officeDocument/2006/relationships/hyperlink" Target="https://sekure.com.co" TargetMode="External"/><Relationship Id="rId4663" Type="http://schemas.openxmlformats.org/officeDocument/2006/relationships/hyperlink" Target="http://www.linkedin.com/in/juanriveragonzalez" TargetMode="External"/><Relationship Id="rId2003" Type="http://schemas.openxmlformats.org/officeDocument/2006/relationships/hyperlink" Target="http://www.linkedin.com/in/pierrecuevas" TargetMode="External"/><Relationship Id="rId3335" Type="http://schemas.openxmlformats.org/officeDocument/2006/relationships/hyperlink" Target="https://e-charge.com.co" TargetMode="External"/><Relationship Id="rId4666" Type="http://schemas.openxmlformats.org/officeDocument/2006/relationships/hyperlink" Target="http://www.linkedin.com/company/linxe" TargetMode="External"/><Relationship Id="rId2004" Type="http://schemas.openxmlformats.org/officeDocument/2006/relationships/hyperlink" Target="http://www.linkedin.com/company/3-sixty-padel" TargetMode="External"/><Relationship Id="rId3334" Type="http://schemas.openxmlformats.org/officeDocument/2006/relationships/hyperlink" Target="http://www.linkedin.com/company/e-charge-charging-stations" TargetMode="External"/><Relationship Id="rId4665" Type="http://schemas.openxmlformats.org/officeDocument/2006/relationships/hyperlink" Target="http://www.linkedin.com/in/cesar-julio-cuevas-12480125" TargetMode="External"/><Relationship Id="rId3326" Type="http://schemas.openxmlformats.org/officeDocument/2006/relationships/hyperlink" Target="https://produteka.com" TargetMode="External"/><Relationship Id="rId4657" Type="http://schemas.openxmlformats.org/officeDocument/2006/relationships/hyperlink" Target="http://www.linkedin.com/in/edcojamie" TargetMode="External"/><Relationship Id="rId3325" Type="http://schemas.openxmlformats.org/officeDocument/2006/relationships/hyperlink" Target="http://www.linkedin.com/company/produteka" TargetMode="External"/><Relationship Id="rId4656" Type="http://schemas.openxmlformats.org/officeDocument/2006/relationships/hyperlink" Target="http://www.linkedin.com/company/commodo-co" TargetMode="External"/><Relationship Id="rId3328" Type="http://schemas.openxmlformats.org/officeDocument/2006/relationships/hyperlink" Target="http://www.linkedin.com/company/plataform" TargetMode="External"/><Relationship Id="rId4659" Type="http://schemas.openxmlformats.org/officeDocument/2006/relationships/hyperlink" Target="http://www.linkedin.com/in/sim%c3%b3nides-vasco-v%c3%a9lez-6a514711" TargetMode="External"/><Relationship Id="rId3327" Type="http://schemas.openxmlformats.org/officeDocument/2006/relationships/hyperlink" Target="http://www.linkedin.com/in/felipe-t-06169133" TargetMode="External"/><Relationship Id="rId4658" Type="http://schemas.openxmlformats.org/officeDocument/2006/relationships/hyperlink" Target="http://www.linkedin.com/company/edco-latam-consulting" TargetMode="External"/><Relationship Id="rId3329" Type="http://schemas.openxmlformats.org/officeDocument/2006/relationships/hyperlink" Target="https://plataform.com" TargetMode="External"/><Relationship Id="rId3320" Type="http://schemas.openxmlformats.org/officeDocument/2006/relationships/hyperlink" Target="https://approbe.co" TargetMode="External"/><Relationship Id="rId4651" Type="http://schemas.openxmlformats.org/officeDocument/2006/relationships/hyperlink" Target="http://www.linkedin.com/in/adalberto-fonseca-horta-5736ab1b" TargetMode="External"/><Relationship Id="rId4650" Type="http://schemas.openxmlformats.org/officeDocument/2006/relationships/hyperlink" Target="http://www.linkedin.com/company/meteorominerals" TargetMode="External"/><Relationship Id="rId3322" Type="http://schemas.openxmlformats.org/officeDocument/2006/relationships/hyperlink" Target="http://www.linkedin.com/company/bemyself-id" TargetMode="External"/><Relationship Id="rId4653" Type="http://schemas.openxmlformats.org/officeDocument/2006/relationships/hyperlink" Target="http://www.linkedin.com/in/daniela-serna-705587107" TargetMode="External"/><Relationship Id="rId3321" Type="http://schemas.openxmlformats.org/officeDocument/2006/relationships/hyperlink" Target="http://www.linkedin.com/in/juan-jose-mu%c3%b1oz-90095929" TargetMode="External"/><Relationship Id="rId4652" Type="http://schemas.openxmlformats.org/officeDocument/2006/relationships/hyperlink" Target="http://www.linkedin.com/company/consware" TargetMode="External"/><Relationship Id="rId3324" Type="http://schemas.openxmlformats.org/officeDocument/2006/relationships/hyperlink" Target="http://www.linkedin.com/in/paula-gonz%c3%a1lez-ram%c3%adrez-bb82b4202" TargetMode="External"/><Relationship Id="rId4655" Type="http://schemas.openxmlformats.org/officeDocument/2006/relationships/hyperlink" Target="http://www.linkedin.com/in/andr%c3%a9s-vergara-0b365812a" TargetMode="External"/><Relationship Id="rId3323" Type="http://schemas.openxmlformats.org/officeDocument/2006/relationships/hyperlink" Target="https://bemyself.com" TargetMode="External"/><Relationship Id="rId4654" Type="http://schemas.openxmlformats.org/officeDocument/2006/relationships/hyperlink" Target="http://www.linkedin.com/company/proto-engineering-and-consulting" TargetMode="External"/><Relationship Id="rId5130" Type="http://schemas.openxmlformats.org/officeDocument/2006/relationships/hyperlink" Target="http://www.linkedin.com/company/multilingual-media" TargetMode="External"/><Relationship Id="rId5131" Type="http://schemas.openxmlformats.org/officeDocument/2006/relationships/hyperlink" Target="http://www.linkedin.com/in/gonzalo-a-alfonso-s-3bb50213" TargetMode="External"/><Relationship Id="rId5134" Type="http://schemas.openxmlformats.org/officeDocument/2006/relationships/hyperlink" Target="http://www.linkedin.com/company/wur-corredores-de-seguros" TargetMode="External"/><Relationship Id="rId5135" Type="http://schemas.openxmlformats.org/officeDocument/2006/relationships/hyperlink" Target="http://www.linkedin.com/in/sebasti%c3%a1n-villegas-palacino-76b2a73a" TargetMode="External"/><Relationship Id="rId5132" Type="http://schemas.openxmlformats.org/officeDocument/2006/relationships/hyperlink" Target="http://www.linkedin.com/company/softline-s-a" TargetMode="External"/><Relationship Id="rId5133" Type="http://schemas.openxmlformats.org/officeDocument/2006/relationships/hyperlink" Target="http://www.linkedin.com/in/william-urzola" TargetMode="External"/><Relationship Id="rId5138" Type="http://schemas.openxmlformats.org/officeDocument/2006/relationships/hyperlink" Target="http://www.linkedin.com/company/tincorp-int" TargetMode="External"/><Relationship Id="rId5139" Type="http://schemas.openxmlformats.org/officeDocument/2006/relationships/hyperlink" Target="http://www.linkedin.com/in/sebsmontilla" TargetMode="External"/><Relationship Id="rId5136" Type="http://schemas.openxmlformats.org/officeDocument/2006/relationships/hyperlink" Target="http://www.linkedin.com/company/asimetrix" TargetMode="External"/><Relationship Id="rId5137" Type="http://schemas.openxmlformats.org/officeDocument/2006/relationships/hyperlink" Target="http://www.linkedin.com/in/claudia-graciano-689098253" TargetMode="External"/><Relationship Id="rId5129" Type="http://schemas.openxmlformats.org/officeDocument/2006/relationships/hyperlink" Target="http://www.linkedin.com/in/eddiearrieta" TargetMode="External"/><Relationship Id="rId2090" Type="http://schemas.openxmlformats.org/officeDocument/2006/relationships/hyperlink" Target="https://dl.com.co" TargetMode="External"/><Relationship Id="rId2091" Type="http://schemas.openxmlformats.org/officeDocument/2006/relationships/hyperlink" Target="http://www.linkedin.com/in/viktor-betancur" TargetMode="External"/><Relationship Id="rId2092" Type="http://schemas.openxmlformats.org/officeDocument/2006/relationships/hyperlink" Target="http://www.linkedin.com/company/leanservice" TargetMode="External"/><Relationship Id="rId2093" Type="http://schemas.openxmlformats.org/officeDocument/2006/relationships/hyperlink" Target="https://leanservice.com.co" TargetMode="External"/><Relationship Id="rId5120" Type="http://schemas.openxmlformats.org/officeDocument/2006/relationships/hyperlink" Target="http://www.linkedin.com/company/resolve-sec" TargetMode="External"/><Relationship Id="rId2094" Type="http://schemas.openxmlformats.org/officeDocument/2006/relationships/hyperlink" Target="http://www.linkedin.com/in/hyepes" TargetMode="External"/><Relationship Id="rId2095" Type="http://schemas.openxmlformats.org/officeDocument/2006/relationships/hyperlink" Target="http://www.linkedin.com/company/venditori" TargetMode="External"/><Relationship Id="rId2096" Type="http://schemas.openxmlformats.org/officeDocument/2006/relationships/hyperlink" Target="https://venditori.co" TargetMode="External"/><Relationship Id="rId5123" Type="http://schemas.openxmlformats.org/officeDocument/2006/relationships/hyperlink" Target="http://www.linkedin.com/in/santiago-barco-gomez" TargetMode="External"/><Relationship Id="rId2097" Type="http://schemas.openxmlformats.org/officeDocument/2006/relationships/hyperlink" Target="http://www.linkedin.com/in/dianaprismategy" TargetMode="External"/><Relationship Id="rId5124" Type="http://schemas.openxmlformats.org/officeDocument/2006/relationships/hyperlink" Target="http://www.linkedin.com/company/people-intelligence" TargetMode="External"/><Relationship Id="rId2098" Type="http://schemas.openxmlformats.org/officeDocument/2006/relationships/hyperlink" Target="http://www.linkedin.com/company/prismategy" TargetMode="External"/><Relationship Id="rId5121" Type="http://schemas.openxmlformats.org/officeDocument/2006/relationships/hyperlink" Target="http://www.linkedin.com/in/maria-alejandra-pulido-alfonso" TargetMode="External"/><Relationship Id="rId2099" Type="http://schemas.openxmlformats.org/officeDocument/2006/relationships/hyperlink" Target="https://prismategy.com" TargetMode="External"/><Relationship Id="rId5122" Type="http://schemas.openxmlformats.org/officeDocument/2006/relationships/hyperlink" Target="http://www.linkedin.com/company/domu-ai" TargetMode="External"/><Relationship Id="rId5127" Type="http://schemas.openxmlformats.org/officeDocument/2006/relationships/hyperlink" Target="http://www.linkedin.com/in/korthouwer" TargetMode="External"/><Relationship Id="rId5128" Type="http://schemas.openxmlformats.org/officeDocument/2006/relationships/hyperlink" Target="http://www.linkedin.com/company/panamclinics" TargetMode="External"/><Relationship Id="rId5125" Type="http://schemas.openxmlformats.org/officeDocument/2006/relationships/hyperlink" Target="http://www.linkedin.com/in/fvargasl" TargetMode="External"/><Relationship Id="rId5126" Type="http://schemas.openxmlformats.org/officeDocument/2006/relationships/hyperlink" Target="http://www.linkedin.com/company/solarservicescompany" TargetMode="External"/><Relationship Id="rId5152" Type="http://schemas.openxmlformats.org/officeDocument/2006/relationships/hyperlink" Target="http://www.linkedin.com/in/andres-mu%c3%b1iz-03bb4b1ab" TargetMode="External"/><Relationship Id="rId5153" Type="http://schemas.openxmlformats.org/officeDocument/2006/relationships/hyperlink" Target="http://www.linkedin.com/company/smartsealsco" TargetMode="External"/><Relationship Id="rId5150" Type="http://schemas.openxmlformats.org/officeDocument/2006/relationships/hyperlink" Target="http://www.linkedin.com/company/colibri-energy-sas" TargetMode="External"/><Relationship Id="rId5151" Type="http://schemas.openxmlformats.org/officeDocument/2006/relationships/hyperlink" Target="http://thesquad.co" TargetMode="External"/><Relationship Id="rId5156" Type="http://schemas.openxmlformats.org/officeDocument/2006/relationships/hyperlink" Target="http://www.linkedin.com/in/donaldo-guerrero-vergel-06239453" TargetMode="External"/><Relationship Id="rId5157" Type="http://schemas.openxmlformats.org/officeDocument/2006/relationships/hyperlink" Target="http://www.linkedin.com/company/ebara-colombia" TargetMode="External"/><Relationship Id="rId5154" Type="http://schemas.openxmlformats.org/officeDocument/2006/relationships/hyperlink" Target="http://www.linkedin.com/in/jimena-bravo-buitrago" TargetMode="External"/><Relationship Id="rId5155" Type="http://schemas.openxmlformats.org/officeDocument/2006/relationships/hyperlink" Target="http://www.linkedin.com/company/yosoythesquad" TargetMode="External"/><Relationship Id="rId5158" Type="http://schemas.openxmlformats.org/officeDocument/2006/relationships/hyperlink" Target="http://www.linkedin.com/in/jorgeivanvasquez" TargetMode="External"/><Relationship Id="rId5159" Type="http://schemas.openxmlformats.org/officeDocument/2006/relationships/hyperlink" Target="http://www.linkedin.com/company/all-over-human-being" TargetMode="External"/><Relationship Id="rId5141" Type="http://schemas.openxmlformats.org/officeDocument/2006/relationships/hyperlink" Target="http://www.linkedin.com/in/manuelsbarrerap" TargetMode="External"/><Relationship Id="rId5142" Type="http://schemas.openxmlformats.org/officeDocument/2006/relationships/hyperlink" Target="http://www.linkedin.com/company/enfoque-legal" TargetMode="External"/><Relationship Id="rId5140" Type="http://schemas.openxmlformats.org/officeDocument/2006/relationships/hyperlink" Target="http://www.linkedin.com/company/brotherhills" TargetMode="External"/><Relationship Id="rId5145" Type="http://schemas.openxmlformats.org/officeDocument/2006/relationships/hyperlink" Target="http://www.linkedin.com/in/cecilia-illonka-pinz%c3%b3n-reyes-" TargetMode="External"/><Relationship Id="rId5146" Type="http://schemas.openxmlformats.org/officeDocument/2006/relationships/hyperlink" Target="http://www.linkedin.com/company/be-to-grow-consulting" TargetMode="External"/><Relationship Id="rId5143" Type="http://schemas.openxmlformats.org/officeDocument/2006/relationships/hyperlink" Target="http://www.linkedin.com/in/juan-bonilla-6334a741" TargetMode="External"/><Relationship Id="rId5144" Type="http://schemas.openxmlformats.org/officeDocument/2006/relationships/hyperlink" Target="http://www.linkedin.com/company/fg-detection-inc" TargetMode="External"/><Relationship Id="rId5149" Type="http://schemas.openxmlformats.org/officeDocument/2006/relationships/hyperlink" Target="http://www.linkedin.com/in/manuel-schulte-3a96a911" TargetMode="External"/><Relationship Id="rId5147" Type="http://schemas.openxmlformats.org/officeDocument/2006/relationships/hyperlink" Target="http://www.linkedin.com/in/humberto-salazar-angulo" TargetMode="External"/><Relationship Id="rId5148" Type="http://schemas.openxmlformats.org/officeDocument/2006/relationships/hyperlink" Target="http://www.linkedin.com/company/advanced-bioresearch-solutions-inc" TargetMode="External"/><Relationship Id="rId3391" Type="http://schemas.openxmlformats.org/officeDocument/2006/relationships/hyperlink" Target="http://www.linkedin.com/company/ajuscol-consultores-sas" TargetMode="External"/><Relationship Id="rId2060" Type="http://schemas.openxmlformats.org/officeDocument/2006/relationships/hyperlink" Target="https://tulipan1637.com" TargetMode="External"/><Relationship Id="rId3390" Type="http://schemas.openxmlformats.org/officeDocument/2006/relationships/hyperlink" Target="http://www.linkedin.com/in/andr%c3%a9s-erwin-cort%c3%a9s-sandoval-eng-msc-mba-a88a4578" TargetMode="External"/><Relationship Id="rId2061" Type="http://schemas.openxmlformats.org/officeDocument/2006/relationships/hyperlink" Target="http://www.linkedin.com/in/paola-c%c3%a1rcamo-458610126" TargetMode="External"/><Relationship Id="rId3393" Type="http://schemas.openxmlformats.org/officeDocument/2006/relationships/hyperlink" Target="http://www.linkedin.com/in/camilosaka" TargetMode="External"/><Relationship Id="rId2062" Type="http://schemas.openxmlformats.org/officeDocument/2006/relationships/hyperlink" Target="http://www.linkedin.com/company/man-go-bitcoco" TargetMode="External"/><Relationship Id="rId3392" Type="http://schemas.openxmlformats.org/officeDocument/2006/relationships/hyperlink" Target="https://ajuscol.com" TargetMode="External"/><Relationship Id="rId2063" Type="http://schemas.openxmlformats.org/officeDocument/2006/relationships/hyperlink" Target="https://man-go.co" TargetMode="External"/><Relationship Id="rId3395" Type="http://schemas.openxmlformats.org/officeDocument/2006/relationships/hyperlink" Target="https://peewah.co" TargetMode="External"/><Relationship Id="rId2064" Type="http://schemas.openxmlformats.org/officeDocument/2006/relationships/hyperlink" Target="http://www.linkedin.com/in/mateo-vieira-bustamante-053389208" TargetMode="External"/><Relationship Id="rId3394" Type="http://schemas.openxmlformats.org/officeDocument/2006/relationships/hyperlink" Target="http://www.linkedin.com/company/peewah" TargetMode="External"/><Relationship Id="rId2065" Type="http://schemas.openxmlformats.org/officeDocument/2006/relationships/hyperlink" Target="http://www.linkedin.com/company/aventi-solutions" TargetMode="External"/><Relationship Id="rId3397" Type="http://schemas.openxmlformats.org/officeDocument/2006/relationships/hyperlink" Target="http://www.linkedin.com/company/brand%c2%b4s-lab-sas" TargetMode="External"/><Relationship Id="rId2066" Type="http://schemas.openxmlformats.org/officeDocument/2006/relationships/hyperlink" Target="https://aventi.co" TargetMode="External"/><Relationship Id="rId3396" Type="http://schemas.openxmlformats.org/officeDocument/2006/relationships/hyperlink" Target="http://www.linkedin.com/in/deyber-brand" TargetMode="External"/><Relationship Id="rId2067" Type="http://schemas.openxmlformats.org/officeDocument/2006/relationships/hyperlink" Target="http://www.linkedin.com/in/camilo-de-andreis-caycedo-39610761" TargetMode="External"/><Relationship Id="rId3399" Type="http://schemas.openxmlformats.org/officeDocument/2006/relationships/hyperlink" Target="http://www.linkedin.com/in/luisdanielmendoza" TargetMode="External"/><Relationship Id="rId2068" Type="http://schemas.openxmlformats.org/officeDocument/2006/relationships/hyperlink" Target="http://www.linkedin.com/company/multifox" TargetMode="External"/><Relationship Id="rId3398" Type="http://schemas.openxmlformats.org/officeDocument/2006/relationships/hyperlink" Target="https://brandslab.com.co" TargetMode="External"/><Relationship Id="rId2069" Type="http://schemas.openxmlformats.org/officeDocument/2006/relationships/hyperlink" Target="https://multifox.com.co" TargetMode="External"/><Relationship Id="rId3380" Type="http://schemas.openxmlformats.org/officeDocument/2006/relationships/hyperlink" Target="https://upb.edu.co" TargetMode="External"/><Relationship Id="rId2050" Type="http://schemas.openxmlformats.org/officeDocument/2006/relationships/hyperlink" Target="http://www.linkedin.com/company/story-factory" TargetMode="External"/><Relationship Id="rId3382" Type="http://schemas.openxmlformats.org/officeDocument/2006/relationships/hyperlink" Target="http://www.linkedin.com/company/kitsune-ia" TargetMode="External"/><Relationship Id="rId2051" Type="http://schemas.openxmlformats.org/officeDocument/2006/relationships/hyperlink" Target="https://storyfactory.co" TargetMode="External"/><Relationship Id="rId3381" Type="http://schemas.openxmlformats.org/officeDocument/2006/relationships/hyperlink" Target="http://www.linkedin.com/in/paolomiscia" TargetMode="External"/><Relationship Id="rId2052" Type="http://schemas.openxmlformats.org/officeDocument/2006/relationships/hyperlink" Target="http://www.linkedin.com/in/santiago-correa-b8263b61" TargetMode="External"/><Relationship Id="rId3384" Type="http://schemas.openxmlformats.org/officeDocument/2006/relationships/hyperlink" Target="http://www.linkedin.com/in/febotero" TargetMode="External"/><Relationship Id="rId2053" Type="http://schemas.openxmlformats.org/officeDocument/2006/relationships/hyperlink" Target="http://www.linkedin.com/company/sioma" TargetMode="External"/><Relationship Id="rId3383" Type="http://schemas.openxmlformats.org/officeDocument/2006/relationships/hyperlink" Target="https://vertimedios.com" TargetMode="External"/><Relationship Id="rId2054" Type="http://schemas.openxmlformats.org/officeDocument/2006/relationships/hyperlink" Target="https://sioma.store" TargetMode="External"/><Relationship Id="rId3386" Type="http://schemas.openxmlformats.org/officeDocument/2006/relationships/hyperlink" Target="https://dgtall.com.co" TargetMode="External"/><Relationship Id="rId2055" Type="http://schemas.openxmlformats.org/officeDocument/2006/relationships/hyperlink" Target="http://www.linkedin.com/in/albertomartinezmartina" TargetMode="External"/><Relationship Id="rId3385" Type="http://schemas.openxmlformats.org/officeDocument/2006/relationships/hyperlink" Target="http://www.linkedin.com/company/dgtall-saas" TargetMode="External"/><Relationship Id="rId2056" Type="http://schemas.openxmlformats.org/officeDocument/2006/relationships/hyperlink" Target="http://www.linkedin.com/company/subbi" TargetMode="External"/><Relationship Id="rId3388" Type="http://schemas.openxmlformats.org/officeDocument/2006/relationships/hyperlink" Target="http://www.linkedin.com/company/aerialoop" TargetMode="External"/><Relationship Id="rId2057" Type="http://schemas.openxmlformats.org/officeDocument/2006/relationships/hyperlink" Target="https://subbi.com.co" TargetMode="External"/><Relationship Id="rId3387" Type="http://schemas.openxmlformats.org/officeDocument/2006/relationships/hyperlink" Target="http://www.linkedin.com/in/santiagobarrerav" TargetMode="External"/><Relationship Id="rId2058" Type="http://schemas.openxmlformats.org/officeDocument/2006/relationships/hyperlink" Target="http://www.linkedin.com/in/jfatuesta" TargetMode="External"/><Relationship Id="rId2059" Type="http://schemas.openxmlformats.org/officeDocument/2006/relationships/hyperlink" Target="http://www.linkedin.com/company/tulipan-1637" TargetMode="External"/><Relationship Id="rId3389" Type="http://schemas.openxmlformats.org/officeDocument/2006/relationships/hyperlink" Target="https://aerialoop.com" TargetMode="External"/><Relationship Id="rId5118" Type="http://schemas.openxmlformats.org/officeDocument/2006/relationships/hyperlink" Target="http://www.linkedin.com/company/worldbiohaztec-colombia-sas" TargetMode="External"/><Relationship Id="rId5119" Type="http://schemas.openxmlformats.org/officeDocument/2006/relationships/hyperlink" Target="http://www.linkedin.com/in/carlos-e-de-lavalle-tcherassi-3194a939" TargetMode="External"/><Relationship Id="rId2080" Type="http://schemas.openxmlformats.org/officeDocument/2006/relationships/hyperlink" Target="http://www.linkedin.com/company/keypreneurs" TargetMode="External"/><Relationship Id="rId2081" Type="http://schemas.openxmlformats.org/officeDocument/2006/relationships/hyperlink" Target="https://keyexecutives.co" TargetMode="External"/><Relationship Id="rId2082" Type="http://schemas.openxmlformats.org/officeDocument/2006/relationships/hyperlink" Target="http://www.linkedin.com/in/dragonjar" TargetMode="External"/><Relationship Id="rId2083" Type="http://schemas.openxmlformats.org/officeDocument/2006/relationships/hyperlink" Target="http://www.linkedin.com/company/dragonjar" TargetMode="External"/><Relationship Id="rId2084" Type="http://schemas.openxmlformats.org/officeDocument/2006/relationships/hyperlink" Target="https://dragonjar.org" TargetMode="External"/><Relationship Id="rId2085" Type="http://schemas.openxmlformats.org/officeDocument/2006/relationships/hyperlink" Target="http://www.linkedin.com/in/mariana-rodriguez-70729b5b" TargetMode="External"/><Relationship Id="rId5112" Type="http://schemas.openxmlformats.org/officeDocument/2006/relationships/hyperlink" Target="http://www.linkedin.com/company/gbs-la-casa-colombiana-de-software" TargetMode="External"/><Relationship Id="rId2086" Type="http://schemas.openxmlformats.org/officeDocument/2006/relationships/hyperlink" Target="http://www.linkedin.com/company/helisalud" TargetMode="External"/><Relationship Id="rId5113" Type="http://schemas.openxmlformats.org/officeDocument/2006/relationships/hyperlink" Target="http://www.linkedin.com/in/natalia-castaneda-mesa-6464ba126" TargetMode="External"/><Relationship Id="rId2087" Type="http://schemas.openxmlformats.org/officeDocument/2006/relationships/hyperlink" Target="https://hlips.com.co" TargetMode="External"/><Relationship Id="rId5110" Type="http://schemas.openxmlformats.org/officeDocument/2006/relationships/hyperlink" Target="http://www.linkedin.com/company/saroa-sas" TargetMode="External"/><Relationship Id="rId2088" Type="http://schemas.openxmlformats.org/officeDocument/2006/relationships/hyperlink" Target="http://www.linkedin.com/in/nelson-fernando-mari%c3%b1o-fonseca-6a85831a" TargetMode="External"/><Relationship Id="rId5111" Type="http://schemas.openxmlformats.org/officeDocument/2006/relationships/hyperlink" Target="http://www.linkedin.com/in/pedro-sandoval-a4b50227" TargetMode="External"/><Relationship Id="rId2089" Type="http://schemas.openxmlformats.org/officeDocument/2006/relationships/hyperlink" Target="http://www.linkedin.com/company/decisiones-log%c3%adsticas" TargetMode="External"/><Relationship Id="rId5116" Type="http://schemas.openxmlformats.org/officeDocument/2006/relationships/hyperlink" Target="http://www.linkedin.com/company/phc-servicios-integrados-group" TargetMode="External"/><Relationship Id="rId5117" Type="http://schemas.openxmlformats.org/officeDocument/2006/relationships/hyperlink" Target="http://www.linkedin.com/in/liavizzotti" TargetMode="External"/><Relationship Id="rId5114" Type="http://schemas.openxmlformats.org/officeDocument/2006/relationships/hyperlink" Target="http://www.linkedin.com/company/the-factory-digital-studio-co" TargetMode="External"/><Relationship Id="rId5115" Type="http://schemas.openxmlformats.org/officeDocument/2006/relationships/hyperlink" Target="http://www.linkedin.com/in/pablo-hernan-corredor-7ab21551" TargetMode="External"/><Relationship Id="rId5109" Type="http://schemas.openxmlformats.org/officeDocument/2006/relationships/hyperlink" Target="http://www.linkedin.com/in/hern%c3%a1n-dar%c3%ado-buitrago-rojas-35140870" TargetMode="External"/><Relationship Id="rId5107" Type="http://schemas.openxmlformats.org/officeDocument/2006/relationships/hyperlink" Target="http://www.linkedin.com/in/sebastian-bejarano" TargetMode="External"/><Relationship Id="rId5108" Type="http://schemas.openxmlformats.org/officeDocument/2006/relationships/hyperlink" Target="http://www.linkedin.com/company/nukke" TargetMode="External"/><Relationship Id="rId2070" Type="http://schemas.openxmlformats.org/officeDocument/2006/relationships/hyperlink" Target="http://www.linkedin.com/in/jorgesimbiotic" TargetMode="External"/><Relationship Id="rId2071" Type="http://schemas.openxmlformats.org/officeDocument/2006/relationships/hyperlink" Target="http://www.linkedin.com/company/simbiotic-s-a-s" TargetMode="External"/><Relationship Id="rId2072" Type="http://schemas.openxmlformats.org/officeDocument/2006/relationships/hyperlink" Target="https://redsimbiotic.com" TargetMode="External"/><Relationship Id="rId2073" Type="http://schemas.openxmlformats.org/officeDocument/2006/relationships/hyperlink" Target="http://www.linkedin.com/in/marcela-santiago-rizo-tumipay" TargetMode="External"/><Relationship Id="rId2074" Type="http://schemas.openxmlformats.org/officeDocument/2006/relationships/hyperlink" Target="http://www.linkedin.com/company/tumipay" TargetMode="External"/><Relationship Id="rId5101" Type="http://schemas.openxmlformats.org/officeDocument/2006/relationships/hyperlink" Target="http://www.linkedin.com/in/kevin-rosales-1a42a727" TargetMode="External"/><Relationship Id="rId2075" Type="http://schemas.openxmlformats.org/officeDocument/2006/relationships/hyperlink" Target="https://tumipay.co" TargetMode="External"/><Relationship Id="rId5102" Type="http://schemas.openxmlformats.org/officeDocument/2006/relationships/hyperlink" Target="http://www.linkedin.com/company/kanalytics-technologies" TargetMode="External"/><Relationship Id="rId2076" Type="http://schemas.openxmlformats.org/officeDocument/2006/relationships/hyperlink" Target="http://www.linkedin.com/in/jose-guarnizo" TargetMode="External"/><Relationship Id="rId2077" Type="http://schemas.openxmlformats.org/officeDocument/2006/relationships/hyperlink" Target="http://www.linkedin.com/company/colwork-co" TargetMode="External"/><Relationship Id="rId5100" Type="http://schemas.openxmlformats.org/officeDocument/2006/relationships/hyperlink" Target="http://www.linkedin.com/company/eusari-nutrition" TargetMode="External"/><Relationship Id="rId2078" Type="http://schemas.openxmlformats.org/officeDocument/2006/relationships/hyperlink" Target="https://colwork.com.co" TargetMode="External"/><Relationship Id="rId5105" Type="http://schemas.openxmlformats.org/officeDocument/2006/relationships/hyperlink" Target="http://www.linkedin.com/in/sebastianromerocr" TargetMode="External"/><Relationship Id="rId2079" Type="http://schemas.openxmlformats.org/officeDocument/2006/relationships/hyperlink" Target="http://www.linkedin.com/in/lorecastroa" TargetMode="External"/><Relationship Id="rId5106" Type="http://schemas.openxmlformats.org/officeDocument/2006/relationships/hyperlink" Target="http://www.linkedin.com/company/pilloweducation" TargetMode="External"/><Relationship Id="rId5103" Type="http://schemas.openxmlformats.org/officeDocument/2006/relationships/hyperlink" Target="http://www.linkedin.com/in/wilmarparra" TargetMode="External"/><Relationship Id="rId5104" Type="http://schemas.openxmlformats.org/officeDocument/2006/relationships/hyperlink" Target="http://www.linkedin.com/company/focus-internacional" TargetMode="External"/><Relationship Id="rId2940" Type="http://schemas.openxmlformats.org/officeDocument/2006/relationships/hyperlink" Target="https://acceleralia.com" TargetMode="External"/><Relationship Id="rId1610" Type="http://schemas.openxmlformats.org/officeDocument/2006/relationships/hyperlink" Target="http://www.linkedin.com/in/jos%c3%a9-miguel-vieira-neves-896797105" TargetMode="External"/><Relationship Id="rId2941" Type="http://schemas.openxmlformats.org/officeDocument/2006/relationships/hyperlink" Target="http://www.linkedin.com/in/nicolasjimenezrueda" TargetMode="External"/><Relationship Id="rId1611" Type="http://schemas.openxmlformats.org/officeDocument/2006/relationships/hyperlink" Target="http://www.linkedin.com/company/esquisso" TargetMode="External"/><Relationship Id="rId2942" Type="http://schemas.openxmlformats.org/officeDocument/2006/relationships/hyperlink" Target="http://www.linkedin.com/company/selectum-club" TargetMode="External"/><Relationship Id="rId1612" Type="http://schemas.openxmlformats.org/officeDocument/2006/relationships/hyperlink" Target="https://esquisso.co" TargetMode="External"/><Relationship Id="rId2943" Type="http://schemas.openxmlformats.org/officeDocument/2006/relationships/hyperlink" Target="https://selectumclub.com" TargetMode="External"/><Relationship Id="rId1613" Type="http://schemas.openxmlformats.org/officeDocument/2006/relationships/hyperlink" Target="http://www.linkedin.com/in/jurgen-farfanpitts" TargetMode="External"/><Relationship Id="rId2944" Type="http://schemas.openxmlformats.org/officeDocument/2006/relationships/hyperlink" Target="http://www.linkedin.com/in/centrica-talentohumano" TargetMode="External"/><Relationship Id="rId1614" Type="http://schemas.openxmlformats.org/officeDocument/2006/relationships/hyperlink" Target="http://www.linkedin.com/company/pittsapp" TargetMode="External"/><Relationship Id="rId2945" Type="http://schemas.openxmlformats.org/officeDocument/2006/relationships/hyperlink" Target="http://www.linkedin.com/company/centricalatam" TargetMode="External"/><Relationship Id="rId1615" Type="http://schemas.openxmlformats.org/officeDocument/2006/relationships/hyperlink" Target="https://pitts.app" TargetMode="External"/><Relationship Id="rId2946" Type="http://schemas.openxmlformats.org/officeDocument/2006/relationships/hyperlink" Target="https://centrica.co" TargetMode="External"/><Relationship Id="rId1616" Type="http://schemas.openxmlformats.org/officeDocument/2006/relationships/hyperlink" Target="http://www.linkedin.com/in/julian-david-alba-corredor-45077019" TargetMode="External"/><Relationship Id="rId2947" Type="http://schemas.openxmlformats.org/officeDocument/2006/relationships/hyperlink" Target="http://www.linkedin.com/in/nelly-mayerly-rodriguez-abello-b077228a" TargetMode="External"/><Relationship Id="rId907" Type="http://schemas.openxmlformats.org/officeDocument/2006/relationships/hyperlink" Target="http://www.linkedin.com/in/daniela-estefania-g%c3%b3mez-de-almada" TargetMode="External"/><Relationship Id="rId1617" Type="http://schemas.openxmlformats.org/officeDocument/2006/relationships/hyperlink" Target="http://www.linkedin.com/company/do-payment" TargetMode="External"/><Relationship Id="rId2948" Type="http://schemas.openxmlformats.org/officeDocument/2006/relationships/hyperlink" Target="http://www.linkedin.com/company/grupo-rodes" TargetMode="External"/><Relationship Id="rId906" Type="http://schemas.openxmlformats.org/officeDocument/2006/relationships/hyperlink" Target="https://aivlatam.com" TargetMode="External"/><Relationship Id="rId1618" Type="http://schemas.openxmlformats.org/officeDocument/2006/relationships/hyperlink" Target="https://do-payment.com" TargetMode="External"/><Relationship Id="rId2949" Type="http://schemas.openxmlformats.org/officeDocument/2006/relationships/hyperlink" Target="https://gruporodes.com.co" TargetMode="External"/><Relationship Id="rId905" Type="http://schemas.openxmlformats.org/officeDocument/2006/relationships/hyperlink" Target="http://www.linkedin.com/company/asociacioninternacionaldeventas" TargetMode="External"/><Relationship Id="rId1619" Type="http://schemas.openxmlformats.org/officeDocument/2006/relationships/hyperlink" Target="http://www.linkedin.com/in/javier-rodriguez-48712983" TargetMode="External"/><Relationship Id="rId904" Type="http://schemas.openxmlformats.org/officeDocument/2006/relationships/hyperlink" Target="http://www.linkedin.com/in/freddyaguevarab4b" TargetMode="External"/><Relationship Id="rId909" Type="http://schemas.openxmlformats.org/officeDocument/2006/relationships/hyperlink" Target="https://munolabs.com" TargetMode="External"/><Relationship Id="rId908" Type="http://schemas.openxmlformats.org/officeDocument/2006/relationships/hyperlink" Target="http://www.linkedin.com/company/muno-labs" TargetMode="External"/><Relationship Id="rId903" Type="http://schemas.openxmlformats.org/officeDocument/2006/relationships/hyperlink" Target="https://cawiapp.com" TargetMode="External"/><Relationship Id="rId902" Type="http://schemas.openxmlformats.org/officeDocument/2006/relationships/hyperlink" Target="http://www.linkedin.com/company/cawiapp" TargetMode="External"/><Relationship Id="rId901" Type="http://schemas.openxmlformats.org/officeDocument/2006/relationships/hyperlink" Target="http://www.linkedin.com/in/juancamilovillegas" TargetMode="External"/><Relationship Id="rId900" Type="http://schemas.openxmlformats.org/officeDocument/2006/relationships/hyperlink" Target="https://lookapp.com.co" TargetMode="External"/><Relationship Id="rId2930" Type="http://schemas.openxmlformats.org/officeDocument/2006/relationships/hyperlink" Target="http://www.linkedin.com/company/korusai" TargetMode="External"/><Relationship Id="rId1600" Type="http://schemas.openxmlformats.org/officeDocument/2006/relationships/hyperlink" Target="https://treli.co" TargetMode="External"/><Relationship Id="rId2931" Type="http://schemas.openxmlformats.org/officeDocument/2006/relationships/hyperlink" Target="https://korusai.co" TargetMode="External"/><Relationship Id="rId1601" Type="http://schemas.openxmlformats.org/officeDocument/2006/relationships/hyperlink" Target="http://www.linkedin.com/in/raul-alexander-medina-diaz" TargetMode="External"/><Relationship Id="rId2932" Type="http://schemas.openxmlformats.org/officeDocument/2006/relationships/hyperlink" Target="http://www.linkedin.com/in/ossoleonardo" TargetMode="External"/><Relationship Id="rId1602" Type="http://schemas.openxmlformats.org/officeDocument/2006/relationships/hyperlink" Target="http://www.linkedin.com/company/ssar-sas" TargetMode="External"/><Relationship Id="rId2933" Type="http://schemas.openxmlformats.org/officeDocument/2006/relationships/hyperlink" Target="http://www.linkedin.com/school/universidad-de-los-andes" TargetMode="External"/><Relationship Id="rId1603" Type="http://schemas.openxmlformats.org/officeDocument/2006/relationships/hyperlink" Target="https://ssar.co" TargetMode="External"/><Relationship Id="rId2934" Type="http://schemas.openxmlformats.org/officeDocument/2006/relationships/hyperlink" Target="https://uniandes.edu.co" TargetMode="External"/><Relationship Id="rId1604" Type="http://schemas.openxmlformats.org/officeDocument/2006/relationships/hyperlink" Target="http://www.linkedin.com/in/maria-camila-rodr%c3%adguez-calder%c3%b3n-6b4019138" TargetMode="External"/><Relationship Id="rId2935" Type="http://schemas.openxmlformats.org/officeDocument/2006/relationships/hyperlink" Target="http://www.linkedin.com/in/andr%c3%a9s-felipe-ortiz-4102584" TargetMode="External"/><Relationship Id="rId1605" Type="http://schemas.openxmlformats.org/officeDocument/2006/relationships/hyperlink" Target="http://www.linkedin.com/company/deltaproadvisors" TargetMode="External"/><Relationship Id="rId2936" Type="http://schemas.openxmlformats.org/officeDocument/2006/relationships/hyperlink" Target="http://www.linkedin.com/company/easybigdata" TargetMode="External"/><Relationship Id="rId1606" Type="http://schemas.openxmlformats.org/officeDocument/2006/relationships/hyperlink" Target="https://deltaproadvisors.com" TargetMode="External"/><Relationship Id="rId2937" Type="http://schemas.openxmlformats.org/officeDocument/2006/relationships/hyperlink" Target="https://easybigdata.co" TargetMode="External"/><Relationship Id="rId1607" Type="http://schemas.openxmlformats.org/officeDocument/2006/relationships/hyperlink" Target="http://www.linkedin.com/in/lina-maria-quintero-romero-4366a454" TargetMode="External"/><Relationship Id="rId2938" Type="http://schemas.openxmlformats.org/officeDocument/2006/relationships/hyperlink" Target="http://www.linkedin.com/in/luis-olaizola" TargetMode="External"/><Relationship Id="rId1608" Type="http://schemas.openxmlformats.org/officeDocument/2006/relationships/hyperlink" Target="http://www.linkedin.com/company/itespacios" TargetMode="External"/><Relationship Id="rId2939" Type="http://schemas.openxmlformats.org/officeDocument/2006/relationships/hyperlink" Target="http://www.linkedin.com/company/acceleralia" TargetMode="External"/><Relationship Id="rId1609" Type="http://schemas.openxmlformats.org/officeDocument/2006/relationships/hyperlink" Target="https://itespacios.co" TargetMode="External"/><Relationship Id="rId1631" Type="http://schemas.openxmlformats.org/officeDocument/2006/relationships/hyperlink" Target="http://www.linkedin.com/in/marcela-duran-blanco-77320032" TargetMode="External"/><Relationship Id="rId2962" Type="http://schemas.openxmlformats.org/officeDocument/2006/relationships/hyperlink" Target="http://www.linkedin.com/in/marlonfer" TargetMode="External"/><Relationship Id="rId1632" Type="http://schemas.openxmlformats.org/officeDocument/2006/relationships/hyperlink" Target="http://www.linkedin.com/company/provetecmar-s-a-" TargetMode="External"/><Relationship Id="rId2963" Type="http://schemas.openxmlformats.org/officeDocument/2006/relationships/hyperlink" Target="http://www.linkedin.com/company/multiprestamo" TargetMode="External"/><Relationship Id="rId1633" Type="http://schemas.openxmlformats.org/officeDocument/2006/relationships/hyperlink" Target="https://provetecmar.com" TargetMode="External"/><Relationship Id="rId2964" Type="http://schemas.openxmlformats.org/officeDocument/2006/relationships/hyperlink" Target="https://multiprestamo.com" TargetMode="External"/><Relationship Id="rId1634" Type="http://schemas.openxmlformats.org/officeDocument/2006/relationships/hyperlink" Target="http://predizer.ai" TargetMode="External"/><Relationship Id="rId2965" Type="http://schemas.openxmlformats.org/officeDocument/2006/relationships/hyperlink" Target="http://www.linkedin.com/in/fredy-lancheros-6377018" TargetMode="External"/><Relationship Id="rId1635" Type="http://schemas.openxmlformats.org/officeDocument/2006/relationships/hyperlink" Target="http://www.linkedin.com/in/federicoecheverrir" TargetMode="External"/><Relationship Id="rId2966" Type="http://schemas.openxmlformats.org/officeDocument/2006/relationships/hyperlink" Target="http://www.linkedin.com/company/faguaflowers" TargetMode="External"/><Relationship Id="rId1636" Type="http://schemas.openxmlformats.org/officeDocument/2006/relationships/hyperlink" Target="http://www.linkedin.com/company/tecnelec-de-antioquia-s-a" TargetMode="External"/><Relationship Id="rId2967" Type="http://schemas.openxmlformats.org/officeDocument/2006/relationships/hyperlink" Target="https://faguaflowers.com" TargetMode="External"/><Relationship Id="rId1637" Type="http://schemas.openxmlformats.org/officeDocument/2006/relationships/hyperlink" Target="https://tecnelec.com.co" TargetMode="External"/><Relationship Id="rId2968" Type="http://schemas.openxmlformats.org/officeDocument/2006/relationships/hyperlink" Target="http://www.linkedin.com/in/jose-botia" TargetMode="External"/><Relationship Id="rId1638" Type="http://schemas.openxmlformats.org/officeDocument/2006/relationships/hyperlink" Target="http://www.linkedin.com/in/jaimeareinoso" TargetMode="External"/><Relationship Id="rId2969" Type="http://schemas.openxmlformats.org/officeDocument/2006/relationships/hyperlink" Target="http://www.linkedin.com/company/axis-capital-bi" TargetMode="External"/><Relationship Id="rId929" Type="http://schemas.openxmlformats.org/officeDocument/2006/relationships/hyperlink" Target="http://www.linkedin.com/company/camara-lucida" TargetMode="External"/><Relationship Id="rId1639" Type="http://schemas.openxmlformats.org/officeDocument/2006/relationships/hyperlink" Target="http://www.linkedin.com/company/predizer-ai" TargetMode="External"/><Relationship Id="rId928" Type="http://schemas.openxmlformats.org/officeDocument/2006/relationships/hyperlink" Target="http://www.linkedin.com/in/oscargarces" TargetMode="External"/><Relationship Id="rId927" Type="http://schemas.openxmlformats.org/officeDocument/2006/relationships/hyperlink" Target="https://bycseguros.com" TargetMode="External"/><Relationship Id="rId926" Type="http://schemas.openxmlformats.org/officeDocument/2006/relationships/hyperlink" Target="http://www.linkedin.com/company/bonds-credit-seguros-especializados" TargetMode="External"/><Relationship Id="rId921" Type="http://schemas.openxmlformats.org/officeDocument/2006/relationships/hyperlink" Target="https://protecktech.com" TargetMode="External"/><Relationship Id="rId920" Type="http://schemas.openxmlformats.org/officeDocument/2006/relationships/hyperlink" Target="http://www.linkedin.com/company/proteck-tech" TargetMode="External"/><Relationship Id="rId925" Type="http://schemas.openxmlformats.org/officeDocument/2006/relationships/hyperlink" Target="http://www.linkedin.com/in/alvaro-mora-r%c3%ados-0b08304b" TargetMode="External"/><Relationship Id="rId924" Type="http://schemas.openxmlformats.org/officeDocument/2006/relationships/hyperlink" Target="https://slabcode.com" TargetMode="External"/><Relationship Id="rId923" Type="http://schemas.openxmlformats.org/officeDocument/2006/relationships/hyperlink" Target="http://www.linkedin.com/company/slabcode" TargetMode="External"/><Relationship Id="rId922" Type="http://schemas.openxmlformats.org/officeDocument/2006/relationships/hyperlink" Target="http://www.linkedin.com/in/nicolas-castro-correa" TargetMode="External"/><Relationship Id="rId2960" Type="http://schemas.openxmlformats.org/officeDocument/2006/relationships/hyperlink" Target="http://www.linkedin.com/company/platam" TargetMode="External"/><Relationship Id="rId1630" Type="http://schemas.openxmlformats.org/officeDocument/2006/relationships/hyperlink" Target="https://techheroes.co" TargetMode="External"/><Relationship Id="rId2961" Type="http://schemas.openxmlformats.org/officeDocument/2006/relationships/hyperlink" Target="https://platam.co" TargetMode="External"/><Relationship Id="rId1620" Type="http://schemas.openxmlformats.org/officeDocument/2006/relationships/hyperlink" Target="http://www.linkedin.com/company/brainy-sas" TargetMode="External"/><Relationship Id="rId2951" Type="http://schemas.openxmlformats.org/officeDocument/2006/relationships/hyperlink" Target="http://www.linkedin.com/company/evolution" TargetMode="External"/><Relationship Id="rId1621" Type="http://schemas.openxmlformats.org/officeDocument/2006/relationships/hyperlink" Target="https://brainysas.co" TargetMode="External"/><Relationship Id="rId2952" Type="http://schemas.openxmlformats.org/officeDocument/2006/relationships/hyperlink" Target="https://e-volution.co" TargetMode="External"/><Relationship Id="rId1622" Type="http://schemas.openxmlformats.org/officeDocument/2006/relationships/hyperlink" Target="http://www.linkedin.com/in/franzuluaga" TargetMode="External"/><Relationship Id="rId2953" Type="http://schemas.openxmlformats.org/officeDocument/2006/relationships/hyperlink" Target="http://www.linkedin.com/in/cruzgio" TargetMode="External"/><Relationship Id="rId1623" Type="http://schemas.openxmlformats.org/officeDocument/2006/relationships/hyperlink" Target="http://www.linkedin.com/company/clinicaswhite" TargetMode="External"/><Relationship Id="rId2954" Type="http://schemas.openxmlformats.org/officeDocument/2006/relationships/hyperlink" Target="http://www.linkedin.com/company/7waysecurity" TargetMode="External"/><Relationship Id="rId1624" Type="http://schemas.openxmlformats.org/officeDocument/2006/relationships/hyperlink" Target="https://clinicaswhite.com" TargetMode="External"/><Relationship Id="rId2955" Type="http://schemas.openxmlformats.org/officeDocument/2006/relationships/hyperlink" Target="https://7waysecurity.co" TargetMode="External"/><Relationship Id="rId1625" Type="http://schemas.openxmlformats.org/officeDocument/2006/relationships/hyperlink" Target="http://www.linkedin.com/in/icherepanov" TargetMode="External"/><Relationship Id="rId2956" Type="http://schemas.openxmlformats.org/officeDocument/2006/relationships/hyperlink" Target="http://www.linkedin.com/in/galeanorivera" TargetMode="External"/><Relationship Id="rId1626" Type="http://schemas.openxmlformats.org/officeDocument/2006/relationships/hyperlink" Target="http://www.linkedin.com/company/synthetic-turing-experience-technologies" TargetMode="External"/><Relationship Id="rId2957" Type="http://schemas.openxmlformats.org/officeDocument/2006/relationships/hyperlink" Target="http://www.linkedin.com/company/urban-insight" TargetMode="External"/><Relationship Id="rId1627" Type="http://schemas.openxmlformats.org/officeDocument/2006/relationships/hyperlink" Target="https://syntheticturing.com" TargetMode="External"/><Relationship Id="rId2958" Type="http://schemas.openxmlformats.org/officeDocument/2006/relationships/hyperlink" Target="https://urbaninsight.com" TargetMode="External"/><Relationship Id="rId918" Type="http://schemas.openxmlformats.org/officeDocument/2006/relationships/hyperlink" Target="https://konfie.com" TargetMode="External"/><Relationship Id="rId1628" Type="http://schemas.openxmlformats.org/officeDocument/2006/relationships/hyperlink" Target="http://www.linkedin.com/in/camilo-forero-villamizar-634a2223" TargetMode="External"/><Relationship Id="rId2959" Type="http://schemas.openxmlformats.org/officeDocument/2006/relationships/hyperlink" Target="http://www.linkedin.com/in/nicolas-villa-pelaez" TargetMode="External"/><Relationship Id="rId917" Type="http://schemas.openxmlformats.org/officeDocument/2006/relationships/hyperlink" Target="http://www.linkedin.com/company/konfieia" TargetMode="External"/><Relationship Id="rId1629" Type="http://schemas.openxmlformats.org/officeDocument/2006/relationships/hyperlink" Target="http://www.linkedin.com/company/techheroes-latam" TargetMode="External"/><Relationship Id="rId916" Type="http://schemas.openxmlformats.org/officeDocument/2006/relationships/hyperlink" Target="http://www.linkedin.com/in/john-robles-ab36a52bb" TargetMode="External"/><Relationship Id="rId915" Type="http://schemas.openxmlformats.org/officeDocument/2006/relationships/hyperlink" Target="https://organizaciongdc.com" TargetMode="External"/><Relationship Id="rId919" Type="http://schemas.openxmlformats.org/officeDocument/2006/relationships/hyperlink" Target="http://www.linkedin.com/in/jorgecardonatechinnovation" TargetMode="External"/><Relationship Id="rId910" Type="http://schemas.openxmlformats.org/officeDocument/2006/relationships/hyperlink" Target="http://www.linkedin.com/in/maria-clara-choucair" TargetMode="External"/><Relationship Id="rId914" Type="http://schemas.openxmlformats.org/officeDocument/2006/relationships/hyperlink" Target="http://www.linkedin.com/company/organizacion-gdc" TargetMode="External"/><Relationship Id="rId913" Type="http://schemas.openxmlformats.org/officeDocument/2006/relationships/hyperlink" Target="http://www.linkedin.com/in/juli%c3%a1n-andr%c3%a9s-puentes-b-cpp-psp-67358128" TargetMode="External"/><Relationship Id="rId912" Type="http://schemas.openxmlformats.org/officeDocument/2006/relationships/hyperlink" Target="https://choucairsolutions.ca" TargetMode="External"/><Relationship Id="rId911" Type="http://schemas.openxmlformats.org/officeDocument/2006/relationships/hyperlink" Target="http://www.linkedin.com/company/choucair-solutions-inc" TargetMode="External"/><Relationship Id="rId2950" Type="http://schemas.openxmlformats.org/officeDocument/2006/relationships/hyperlink" Target="http://www.linkedin.com/in/tomas-posada" TargetMode="External"/><Relationship Id="rId2900" Type="http://schemas.openxmlformats.org/officeDocument/2006/relationships/hyperlink" Target="http://www.linkedin.com/company/ahl-asesores-en-seguros" TargetMode="External"/><Relationship Id="rId2901" Type="http://schemas.openxmlformats.org/officeDocument/2006/relationships/hyperlink" Target="https://ahlseguros.com" TargetMode="External"/><Relationship Id="rId2902" Type="http://schemas.openxmlformats.org/officeDocument/2006/relationships/hyperlink" Target="http://www.linkedin.com/in/davidrhernandez" TargetMode="External"/><Relationship Id="rId2903" Type="http://schemas.openxmlformats.org/officeDocument/2006/relationships/hyperlink" Target="http://www.linkedin.com/company/print-sys" TargetMode="External"/><Relationship Id="rId2904" Type="http://schemas.openxmlformats.org/officeDocument/2006/relationships/hyperlink" Target="https://printsys.com.co" TargetMode="External"/><Relationship Id="rId2905" Type="http://schemas.openxmlformats.org/officeDocument/2006/relationships/hyperlink" Target="http://www.linkedin.com/in/felipe-fierro-9a17a860" TargetMode="External"/><Relationship Id="rId2906" Type="http://schemas.openxmlformats.org/officeDocument/2006/relationships/hyperlink" Target="http://www.linkedin.com/company/duppla-com-co" TargetMode="External"/><Relationship Id="rId2907" Type="http://schemas.openxmlformats.org/officeDocument/2006/relationships/hyperlink" Target="https://duppla.co" TargetMode="External"/><Relationship Id="rId2908" Type="http://schemas.openxmlformats.org/officeDocument/2006/relationships/hyperlink" Target="http://www.linkedin.com/in/luisa-maria-jaimes-marketing-eventos" TargetMode="External"/><Relationship Id="rId2909" Type="http://schemas.openxmlformats.org/officeDocument/2006/relationships/hyperlink" Target="http://www.linkedin.com/company/happy-holidays-travel" TargetMode="External"/><Relationship Id="rId5170" Type="http://schemas.openxmlformats.org/officeDocument/2006/relationships/hyperlink" Target="http://www.linkedin.com/in/juan-bedoya-0454588" TargetMode="External"/><Relationship Id="rId5171" Type="http://schemas.openxmlformats.org/officeDocument/2006/relationships/hyperlink" Target="http://www.linkedin.com/company/synaptica-s-a-s" TargetMode="External"/><Relationship Id="rId5174" Type="http://schemas.openxmlformats.org/officeDocument/2006/relationships/hyperlink" Target="http://www.linkedin.com/in/lauritacantillo" TargetMode="External"/><Relationship Id="rId5175" Type="http://schemas.openxmlformats.org/officeDocument/2006/relationships/hyperlink" Target="http://www.linkedin.com/company/canvelsolutions" TargetMode="External"/><Relationship Id="rId5172" Type="http://schemas.openxmlformats.org/officeDocument/2006/relationships/hyperlink" Target="http://www.linkedin.com/in/rebeca-alejandra-morantes-zamora" TargetMode="External"/><Relationship Id="rId5173" Type="http://schemas.openxmlformats.org/officeDocument/2006/relationships/hyperlink" Target="http://www.linkedin.com/company/geotown" TargetMode="External"/><Relationship Id="rId5178" Type="http://schemas.openxmlformats.org/officeDocument/2006/relationships/hyperlink" Target="http://www.linkedin.com/in/indalecio-dangond-baquero-38518326" TargetMode="External"/><Relationship Id="rId5179" Type="http://schemas.openxmlformats.org/officeDocument/2006/relationships/hyperlink" Target="http://www.linkedin.com/company/credifomento" TargetMode="External"/><Relationship Id="rId5176" Type="http://schemas.openxmlformats.org/officeDocument/2006/relationships/hyperlink" Target="http://www.linkedin.com/in/juanpabloaristizabal" TargetMode="External"/><Relationship Id="rId5177" Type="http://schemas.openxmlformats.org/officeDocument/2006/relationships/hyperlink" Target="http://www.linkedin.com/company/thenarinochallenge" TargetMode="External"/><Relationship Id="rId5160" Type="http://schemas.openxmlformats.org/officeDocument/2006/relationships/hyperlink" Target="http://www.linkedin.com/in/normasanchezm" TargetMode="External"/><Relationship Id="rId5163" Type="http://schemas.openxmlformats.org/officeDocument/2006/relationships/hyperlink" Target="http://www.linkedin.com/company/crezes" TargetMode="External"/><Relationship Id="rId5164" Type="http://schemas.openxmlformats.org/officeDocument/2006/relationships/hyperlink" Target="http://www.linkedin.com/in/renzo-maurtua-neumann" TargetMode="External"/><Relationship Id="rId5161" Type="http://schemas.openxmlformats.org/officeDocument/2006/relationships/hyperlink" Target="http://www.linkedin.com/company/vinculossostenibles" TargetMode="External"/><Relationship Id="rId5162" Type="http://schemas.openxmlformats.org/officeDocument/2006/relationships/hyperlink" Target="http://www.linkedin.com/in/lorena-ramos19" TargetMode="External"/><Relationship Id="rId5167" Type="http://schemas.openxmlformats.org/officeDocument/2006/relationships/hyperlink" Target="http://www.linkedin.com/company/ccosystems" TargetMode="External"/><Relationship Id="rId5168" Type="http://schemas.openxmlformats.org/officeDocument/2006/relationships/hyperlink" Target="http://www.linkedin.com/in/alejorodriguezg" TargetMode="External"/><Relationship Id="rId5165" Type="http://schemas.openxmlformats.org/officeDocument/2006/relationships/hyperlink" Target="http://www.linkedin.com/company/area-cv" TargetMode="External"/><Relationship Id="rId5166" Type="http://schemas.openxmlformats.org/officeDocument/2006/relationships/hyperlink" Target="http://www.linkedin.com/in/hozcar-l%c3%b3pez-55640612" TargetMode="External"/><Relationship Id="rId5169" Type="http://schemas.openxmlformats.org/officeDocument/2006/relationships/hyperlink" Target="http://www.linkedin.com/company/nerd-seguros" TargetMode="External"/><Relationship Id="rId2920" Type="http://schemas.openxmlformats.org/officeDocument/2006/relationships/hyperlink" Target="http://www.linkedin.com/in/felipe-ayerbe-24745a47" TargetMode="External"/><Relationship Id="rId2921" Type="http://schemas.openxmlformats.org/officeDocument/2006/relationships/hyperlink" Target="http://www.linkedin.com/company/demetria-ag" TargetMode="External"/><Relationship Id="rId2922" Type="http://schemas.openxmlformats.org/officeDocument/2006/relationships/hyperlink" Target="https://demetria.ag" TargetMode="External"/><Relationship Id="rId2923" Type="http://schemas.openxmlformats.org/officeDocument/2006/relationships/hyperlink" Target="http://www.linkedin.com/in/oscar-eduardo-guzm%c3%a1n-cuesta-19b39671" TargetMode="External"/><Relationship Id="rId2924" Type="http://schemas.openxmlformats.org/officeDocument/2006/relationships/hyperlink" Target="http://www.linkedin.com/company/home-robotik-s-a-s" TargetMode="External"/><Relationship Id="rId2925" Type="http://schemas.openxmlformats.org/officeDocument/2006/relationships/hyperlink" Target="https://homerobotik.com" TargetMode="External"/><Relationship Id="rId2926" Type="http://schemas.openxmlformats.org/officeDocument/2006/relationships/hyperlink" Target="http://www.linkedin.com/in/juan-camilo-cruz-hincapi%c3%a9-8b7273162" TargetMode="External"/><Relationship Id="rId2927" Type="http://schemas.openxmlformats.org/officeDocument/2006/relationships/hyperlink" Target="http://www.linkedin.com/company/turitagency" TargetMode="External"/><Relationship Id="rId2928" Type="http://schemas.openxmlformats.org/officeDocument/2006/relationships/hyperlink" Target="https://turit.co" TargetMode="External"/><Relationship Id="rId2929" Type="http://schemas.openxmlformats.org/officeDocument/2006/relationships/hyperlink" Target="http://www.linkedin.com/in/jorgeaugustoserrano" TargetMode="External"/><Relationship Id="rId5192" Type="http://schemas.openxmlformats.org/officeDocument/2006/relationships/hyperlink" Target="http://www.linkedin.com/in/jorge-restrepo-0435657" TargetMode="External"/><Relationship Id="rId5193" Type="http://schemas.openxmlformats.org/officeDocument/2006/relationships/hyperlink" Target="http://www.linkedin.com/company/optimize-it-s.a.s." TargetMode="External"/><Relationship Id="rId5190" Type="http://schemas.openxmlformats.org/officeDocument/2006/relationships/hyperlink" Target="http://www.linkedin.com/in/julianhighticketcloser" TargetMode="External"/><Relationship Id="rId5191" Type="http://schemas.openxmlformats.org/officeDocument/2006/relationships/hyperlink" Target="http://www.linkedin.com/company/zaidwood-capital" TargetMode="External"/><Relationship Id="rId5196" Type="http://schemas.openxmlformats.org/officeDocument/2006/relationships/hyperlink" Target="http://www.linkedin.com/in/ximenamateus" TargetMode="External"/><Relationship Id="rId5197" Type="http://schemas.openxmlformats.org/officeDocument/2006/relationships/hyperlink" Target="http://www.linkedin.com/company/warroomla" TargetMode="External"/><Relationship Id="rId5194" Type="http://schemas.openxmlformats.org/officeDocument/2006/relationships/hyperlink" Target="http://www.linkedin.com/in/jorge-mario-arraut" TargetMode="External"/><Relationship Id="rId5195" Type="http://schemas.openxmlformats.org/officeDocument/2006/relationships/hyperlink" Target="http://www.linkedin.com/company/arraut-consultores" TargetMode="External"/><Relationship Id="rId5198" Type="http://schemas.openxmlformats.org/officeDocument/2006/relationships/hyperlink" Target="http://www.linkedin.com/in/cristianmart%c3%adnez" TargetMode="External"/><Relationship Id="rId5199" Type="http://schemas.openxmlformats.org/officeDocument/2006/relationships/hyperlink" Target="http://www.linkedin.com/company/horizontal-solutions-group-synergy" TargetMode="External"/><Relationship Id="rId2910" Type="http://schemas.openxmlformats.org/officeDocument/2006/relationships/hyperlink" Target="https://hhtcruises.net" TargetMode="External"/><Relationship Id="rId2911" Type="http://schemas.openxmlformats.org/officeDocument/2006/relationships/hyperlink" Target="http://www.linkedin.com/in/abrahamguterman" TargetMode="External"/><Relationship Id="rId2912" Type="http://schemas.openxmlformats.org/officeDocument/2006/relationships/hyperlink" Target="http://www.linkedin.com/company/stabilitybienestar" TargetMode="External"/><Relationship Id="rId2913" Type="http://schemas.openxmlformats.org/officeDocument/2006/relationships/hyperlink" Target="https://stabilityonline.com" TargetMode="External"/><Relationship Id="rId2914" Type="http://schemas.openxmlformats.org/officeDocument/2006/relationships/hyperlink" Target="http://www.linkedin.com/in/tomas-mejia-marulanda-12a444140" TargetMode="External"/><Relationship Id="rId2915" Type="http://schemas.openxmlformats.org/officeDocument/2006/relationships/hyperlink" Target="http://www.linkedin.com/company/aj%c3%ad-del-rancho" TargetMode="External"/><Relationship Id="rId2916" Type="http://schemas.openxmlformats.org/officeDocument/2006/relationships/hyperlink" Target="https://ajidelrancho.com" TargetMode="External"/><Relationship Id="rId2917" Type="http://schemas.openxmlformats.org/officeDocument/2006/relationships/hyperlink" Target="http://www.linkedin.com/in/oscarbarrigamelo" TargetMode="External"/><Relationship Id="rId2918" Type="http://schemas.openxmlformats.org/officeDocument/2006/relationships/hyperlink" Target="http://www.linkedin.com/company/gotocloudsas" TargetMode="External"/><Relationship Id="rId2919" Type="http://schemas.openxmlformats.org/officeDocument/2006/relationships/hyperlink" Target="https://gotocloud.ai" TargetMode="External"/><Relationship Id="rId5181" Type="http://schemas.openxmlformats.org/officeDocument/2006/relationships/hyperlink" Target="http://www.linkedin.com/company/kawchi" TargetMode="External"/><Relationship Id="rId5182" Type="http://schemas.openxmlformats.org/officeDocument/2006/relationships/hyperlink" Target="http://www.linkedin.com/in/humbertorueda" TargetMode="External"/><Relationship Id="rId5180" Type="http://schemas.openxmlformats.org/officeDocument/2006/relationships/hyperlink" Target="http://www.linkedin.com/in/felipe-benites-correa" TargetMode="External"/><Relationship Id="rId5185" Type="http://schemas.openxmlformats.org/officeDocument/2006/relationships/hyperlink" Target="http://www.linkedin.com/company/redrooster-digital-marketing" TargetMode="External"/><Relationship Id="rId5186" Type="http://schemas.openxmlformats.org/officeDocument/2006/relationships/hyperlink" Target="http://www.linkedin.com/in/isabel-pulido-606b00171" TargetMode="External"/><Relationship Id="rId5183" Type="http://schemas.openxmlformats.org/officeDocument/2006/relationships/hyperlink" Target="http://www.linkedin.com/company/bee-on-a-meaningful-work" TargetMode="External"/><Relationship Id="rId5184" Type="http://schemas.openxmlformats.org/officeDocument/2006/relationships/hyperlink" Target="http://www.linkedin.com/in/tatianagiraldogomez" TargetMode="External"/><Relationship Id="rId5189" Type="http://schemas.openxmlformats.org/officeDocument/2006/relationships/hyperlink" Target="http://www.linkedin.com/company/denariolibranzas" TargetMode="External"/><Relationship Id="rId5187" Type="http://schemas.openxmlformats.org/officeDocument/2006/relationships/hyperlink" Target="http://www.linkedin.com/company/nanofreeze" TargetMode="External"/><Relationship Id="rId5188" Type="http://schemas.openxmlformats.org/officeDocument/2006/relationships/hyperlink" Target="http://www.linkedin.com/in/juan-francisco-reyes-b6a29a106" TargetMode="External"/><Relationship Id="rId1697" Type="http://schemas.openxmlformats.org/officeDocument/2006/relationships/hyperlink" Target="http://www.linkedin.com/company/myalter-ai" TargetMode="External"/><Relationship Id="rId4723" Type="http://schemas.openxmlformats.org/officeDocument/2006/relationships/hyperlink" Target="http://www.linkedin.com/in/mauricio-vanegas-fortich-" TargetMode="External"/><Relationship Id="rId1698" Type="http://schemas.openxmlformats.org/officeDocument/2006/relationships/hyperlink" Target="https://myalter.ai" TargetMode="External"/><Relationship Id="rId4722" Type="http://schemas.openxmlformats.org/officeDocument/2006/relationships/hyperlink" Target="http://www.linkedin.com/company/imagine-cx" TargetMode="External"/><Relationship Id="rId1699" Type="http://schemas.openxmlformats.org/officeDocument/2006/relationships/hyperlink" Target="http://www.linkedin.com/in/jorge-andres-moreno-montoya-56138a4b" TargetMode="External"/><Relationship Id="rId4725" Type="http://schemas.openxmlformats.org/officeDocument/2006/relationships/hyperlink" Target="http://www.linkedin.com/in/maria-angelica-diaz-reyes-0ba1a0128" TargetMode="External"/><Relationship Id="rId4724" Type="http://schemas.openxmlformats.org/officeDocument/2006/relationships/hyperlink" Target="http://www.linkedin.com/company/superbeauty" TargetMode="External"/><Relationship Id="rId4727" Type="http://schemas.openxmlformats.org/officeDocument/2006/relationships/hyperlink" Target="http://www.linkedin.com/in/gamboaoscar" TargetMode="External"/><Relationship Id="rId4726" Type="http://schemas.openxmlformats.org/officeDocument/2006/relationships/hyperlink" Target="http://www.linkedin.com/company/blind-creator-inc" TargetMode="External"/><Relationship Id="rId4729" Type="http://schemas.openxmlformats.org/officeDocument/2006/relationships/hyperlink" Target="http://www.linkedin.com/in/hforozco" TargetMode="External"/><Relationship Id="rId4728" Type="http://schemas.openxmlformats.org/officeDocument/2006/relationships/hyperlink" Target="http://www.linkedin.com/company/egixia" TargetMode="External"/><Relationship Id="rId866" Type="http://schemas.openxmlformats.org/officeDocument/2006/relationships/hyperlink" Target="http://www.linkedin.com/company/nousware" TargetMode="External"/><Relationship Id="rId865" Type="http://schemas.openxmlformats.org/officeDocument/2006/relationships/hyperlink" Target="http://www.linkedin.com/in/cesarecheverria" TargetMode="External"/><Relationship Id="rId864" Type="http://schemas.openxmlformats.org/officeDocument/2006/relationships/hyperlink" Target="https://alekio.com" TargetMode="External"/><Relationship Id="rId863" Type="http://schemas.openxmlformats.org/officeDocument/2006/relationships/hyperlink" Target="http://www.linkedin.com/company/alekio" TargetMode="External"/><Relationship Id="rId869" Type="http://schemas.openxmlformats.org/officeDocument/2006/relationships/hyperlink" Target="http://www.linkedin.com/company/qwestar-ai" TargetMode="External"/><Relationship Id="rId868" Type="http://schemas.openxmlformats.org/officeDocument/2006/relationships/hyperlink" Target="http://www.linkedin.com/in/juannates" TargetMode="External"/><Relationship Id="rId867" Type="http://schemas.openxmlformats.org/officeDocument/2006/relationships/hyperlink" Target="https://nousware.ai" TargetMode="External"/><Relationship Id="rId1690" Type="http://schemas.openxmlformats.org/officeDocument/2006/relationships/hyperlink" Target="http://www.linkedin.com/in/lucia-morales-2322a858" TargetMode="External"/><Relationship Id="rId1691" Type="http://schemas.openxmlformats.org/officeDocument/2006/relationships/hyperlink" Target="http://www.linkedin.com/company/andinalink" TargetMode="External"/><Relationship Id="rId1692" Type="http://schemas.openxmlformats.org/officeDocument/2006/relationships/hyperlink" Target="https://andinalink.com" TargetMode="External"/><Relationship Id="rId862" Type="http://schemas.openxmlformats.org/officeDocument/2006/relationships/hyperlink" Target="http://www.linkedin.com/in/luisguio" TargetMode="External"/><Relationship Id="rId1693" Type="http://schemas.openxmlformats.org/officeDocument/2006/relationships/hyperlink" Target="http://www.linkedin.com/in/juan-carlos-tarapuez-881a5218" TargetMode="External"/><Relationship Id="rId861" Type="http://schemas.openxmlformats.org/officeDocument/2006/relationships/hyperlink" Target="https://trades.org" TargetMode="External"/><Relationship Id="rId1694" Type="http://schemas.openxmlformats.org/officeDocument/2006/relationships/hyperlink" Target="http://www.linkedin.com/company/sos-ingenieria" TargetMode="External"/><Relationship Id="rId860" Type="http://schemas.openxmlformats.org/officeDocument/2006/relationships/hyperlink" Target="http://www.linkedin.com/company/trades-org" TargetMode="External"/><Relationship Id="rId1695" Type="http://schemas.openxmlformats.org/officeDocument/2006/relationships/hyperlink" Target="https://sos-ingenieria.com" TargetMode="External"/><Relationship Id="rId4721" Type="http://schemas.openxmlformats.org/officeDocument/2006/relationships/hyperlink" Target="http://www.linkedin.com/in/dariovalderrama" TargetMode="External"/><Relationship Id="rId1696" Type="http://schemas.openxmlformats.org/officeDocument/2006/relationships/hyperlink" Target="http://www.linkedin.com/in/juan-sebastian-gonzalez-huertas" TargetMode="External"/><Relationship Id="rId4720" Type="http://schemas.openxmlformats.org/officeDocument/2006/relationships/hyperlink" Target="http://www.linkedin.com/company/epartner-co" TargetMode="External"/><Relationship Id="rId1686" Type="http://schemas.openxmlformats.org/officeDocument/2006/relationships/hyperlink" Target="https://secretwalls.world" TargetMode="External"/><Relationship Id="rId4712" Type="http://schemas.openxmlformats.org/officeDocument/2006/relationships/hyperlink" Target="http://www.linkedin.com/company/visual-logging" TargetMode="External"/><Relationship Id="rId1687" Type="http://schemas.openxmlformats.org/officeDocument/2006/relationships/hyperlink" Target="http://www.linkedin.com/in/natalia-garcia-gonzalez-" TargetMode="External"/><Relationship Id="rId4711" Type="http://schemas.openxmlformats.org/officeDocument/2006/relationships/hyperlink" Target="http://www.linkedin.com/in/jdocampob" TargetMode="External"/><Relationship Id="rId1688" Type="http://schemas.openxmlformats.org/officeDocument/2006/relationships/hyperlink" Target="http://www.linkedin.com/company/smart-process-co" TargetMode="External"/><Relationship Id="rId4714" Type="http://schemas.openxmlformats.org/officeDocument/2006/relationships/hyperlink" Target="http://www.linkedin.com/company/celeriamovilidad" TargetMode="External"/><Relationship Id="rId1689" Type="http://schemas.openxmlformats.org/officeDocument/2006/relationships/hyperlink" Target="https://smartprocessco.com" TargetMode="External"/><Relationship Id="rId4713" Type="http://schemas.openxmlformats.org/officeDocument/2006/relationships/hyperlink" Target="http://www.linkedin.com/in/juanmauriciol" TargetMode="External"/><Relationship Id="rId4716" Type="http://schemas.openxmlformats.org/officeDocument/2006/relationships/hyperlink" Target="http://www.linkedin.com/company/collectia-bpo-y-cobranzas" TargetMode="External"/><Relationship Id="rId4715" Type="http://schemas.openxmlformats.org/officeDocument/2006/relationships/hyperlink" Target="http://www.linkedin.com/in/juan-camilo-angarita-villamizar-ba54b156" TargetMode="External"/><Relationship Id="rId4718" Type="http://schemas.openxmlformats.org/officeDocument/2006/relationships/hyperlink" Target="http://www.linkedin.com/company/invengy" TargetMode="External"/><Relationship Id="rId4717" Type="http://schemas.openxmlformats.org/officeDocument/2006/relationships/hyperlink" Target="http://www.linkedin.com/in/velascoale" TargetMode="External"/><Relationship Id="rId4719" Type="http://schemas.openxmlformats.org/officeDocument/2006/relationships/hyperlink" Target="http://www.linkedin.com/in/juasan" TargetMode="External"/><Relationship Id="rId855" Type="http://schemas.openxmlformats.org/officeDocument/2006/relationships/hyperlink" Target="http://trades.org" TargetMode="External"/><Relationship Id="rId854" Type="http://schemas.openxmlformats.org/officeDocument/2006/relationships/hyperlink" Target="https://xphera.co" TargetMode="External"/><Relationship Id="rId853" Type="http://schemas.openxmlformats.org/officeDocument/2006/relationships/hyperlink" Target="http://www.linkedin.com/company/xphera-group" TargetMode="External"/><Relationship Id="rId852" Type="http://schemas.openxmlformats.org/officeDocument/2006/relationships/hyperlink" Target="http://www.linkedin.com/in/ricardo-lora-figueroa-9b093932" TargetMode="External"/><Relationship Id="rId859" Type="http://schemas.openxmlformats.org/officeDocument/2006/relationships/hyperlink" Target="http://www.linkedin.com/in/mrchrisrodriguez" TargetMode="External"/><Relationship Id="rId858" Type="http://schemas.openxmlformats.org/officeDocument/2006/relationships/hyperlink" Target="https://gooms.com.co" TargetMode="External"/><Relationship Id="rId857" Type="http://schemas.openxmlformats.org/officeDocument/2006/relationships/hyperlink" Target="http://www.linkedin.com/company/gooms" TargetMode="External"/><Relationship Id="rId856" Type="http://schemas.openxmlformats.org/officeDocument/2006/relationships/hyperlink" Target="http://www.linkedin.com/in/sebasti%c3%a1n-canal-953b419b" TargetMode="External"/><Relationship Id="rId1680" Type="http://schemas.openxmlformats.org/officeDocument/2006/relationships/hyperlink" Target="https://multiflora.com.br" TargetMode="External"/><Relationship Id="rId1681" Type="http://schemas.openxmlformats.org/officeDocument/2006/relationships/hyperlink" Target="http://www.linkedin.com/in/androsd4" TargetMode="External"/><Relationship Id="rId851" Type="http://schemas.openxmlformats.org/officeDocument/2006/relationships/hyperlink" Target="https://constructoracolombia.com" TargetMode="External"/><Relationship Id="rId1682" Type="http://schemas.openxmlformats.org/officeDocument/2006/relationships/hyperlink" Target="http://www.linkedin.com/company/anzi-finance" TargetMode="External"/><Relationship Id="rId850" Type="http://schemas.openxmlformats.org/officeDocument/2006/relationships/hyperlink" Target="http://www.linkedin.com/company/constructoracolombia" TargetMode="External"/><Relationship Id="rId1683" Type="http://schemas.openxmlformats.org/officeDocument/2006/relationships/hyperlink" Target="https://anzi.finance" TargetMode="External"/><Relationship Id="rId1684" Type="http://schemas.openxmlformats.org/officeDocument/2006/relationships/hyperlink" Target="http://www.linkedin.com/in/aaron-firestein-3a94b844" TargetMode="External"/><Relationship Id="rId4710" Type="http://schemas.openxmlformats.org/officeDocument/2006/relationships/hyperlink" Target="http://www.linkedin.com/company/cf-rojas" TargetMode="External"/><Relationship Id="rId1685" Type="http://schemas.openxmlformats.org/officeDocument/2006/relationships/hyperlink" Target="http://www.linkedin.com/company/secret-walls" TargetMode="External"/><Relationship Id="rId3414" Type="http://schemas.openxmlformats.org/officeDocument/2006/relationships/hyperlink" Target="http://www.linkedin.com/in/carlos-neira-a1a44548" TargetMode="External"/><Relationship Id="rId4745" Type="http://schemas.openxmlformats.org/officeDocument/2006/relationships/hyperlink" Target="http://www.linkedin.com/in/rodrigofrancoc" TargetMode="External"/><Relationship Id="rId3413" Type="http://schemas.openxmlformats.org/officeDocument/2006/relationships/hyperlink" Target="https://ranki.co" TargetMode="External"/><Relationship Id="rId4744" Type="http://schemas.openxmlformats.org/officeDocument/2006/relationships/hyperlink" Target="http://www.linkedin.com/company/visiona-bi" TargetMode="External"/><Relationship Id="rId3416" Type="http://schemas.openxmlformats.org/officeDocument/2006/relationships/hyperlink" Target="https://getmeru.com" TargetMode="External"/><Relationship Id="rId4747" Type="http://schemas.openxmlformats.org/officeDocument/2006/relationships/hyperlink" Target="http://www.linkedin.com/in/manolopaez" TargetMode="External"/><Relationship Id="rId3415" Type="http://schemas.openxmlformats.org/officeDocument/2006/relationships/hyperlink" Target="http://www.linkedin.com/company/meru-r3mit-solutions-inc" TargetMode="External"/><Relationship Id="rId4746" Type="http://schemas.openxmlformats.org/officeDocument/2006/relationships/hyperlink" Target="http://www.linkedin.com/company/tres60transformacion" TargetMode="External"/><Relationship Id="rId3418" Type="http://schemas.openxmlformats.org/officeDocument/2006/relationships/hyperlink" Target="http://www.linkedin.com/company/rac-construcciones-y-urbananizaciones" TargetMode="External"/><Relationship Id="rId4749" Type="http://schemas.openxmlformats.org/officeDocument/2006/relationships/hyperlink" Target="http://www.linkedin.com/in/jnssalazar" TargetMode="External"/><Relationship Id="rId3417" Type="http://schemas.openxmlformats.org/officeDocument/2006/relationships/hyperlink" Target="http://www.linkedin.com/in/racamandaca" TargetMode="External"/><Relationship Id="rId4748" Type="http://schemas.openxmlformats.org/officeDocument/2006/relationships/hyperlink" Target="http://www.linkedin.com/company/global-good-fund" TargetMode="External"/><Relationship Id="rId3419" Type="http://schemas.openxmlformats.org/officeDocument/2006/relationships/hyperlink" Target="https://construccionesrac.com" TargetMode="External"/><Relationship Id="rId888" Type="http://schemas.openxmlformats.org/officeDocument/2006/relationships/hyperlink" Target="https://pipelinebusinessschool.com" TargetMode="External"/><Relationship Id="rId887" Type="http://schemas.openxmlformats.org/officeDocument/2006/relationships/hyperlink" Target="http://www.linkedin.com/company/pipelinebusinessschool" TargetMode="External"/><Relationship Id="rId886" Type="http://schemas.openxmlformats.org/officeDocument/2006/relationships/hyperlink" Target="http://www.linkedin.com/in/jorge-andres-conde" TargetMode="External"/><Relationship Id="rId885" Type="http://schemas.openxmlformats.org/officeDocument/2006/relationships/hyperlink" Target="https://diptongo.net" TargetMode="External"/><Relationship Id="rId889" Type="http://schemas.openxmlformats.org/officeDocument/2006/relationships/hyperlink" Target="http://www.linkedin.com/in/angelica-acosta-quiroga" TargetMode="External"/><Relationship Id="rId880" Type="http://schemas.openxmlformats.org/officeDocument/2006/relationships/hyperlink" Target="http://www.linkedin.com/in/vivianadelgadodiaz" TargetMode="External"/><Relationship Id="rId884" Type="http://schemas.openxmlformats.org/officeDocument/2006/relationships/hyperlink" Target="http://www.linkedin.com/company/diptongo" TargetMode="External"/><Relationship Id="rId3410" Type="http://schemas.openxmlformats.org/officeDocument/2006/relationships/hyperlink" Target="https://salestrategy.io" TargetMode="External"/><Relationship Id="rId4741" Type="http://schemas.openxmlformats.org/officeDocument/2006/relationships/hyperlink" Target="http://www.linkedin.com/in/diana-patricia-torres-carranza" TargetMode="External"/><Relationship Id="rId883" Type="http://schemas.openxmlformats.org/officeDocument/2006/relationships/hyperlink" Target="http://www.linkedin.com/in/eduardo-arango-b43a9852" TargetMode="External"/><Relationship Id="rId4740" Type="http://schemas.openxmlformats.org/officeDocument/2006/relationships/hyperlink" Target="http://www.linkedin.com/company/xertifylatam" TargetMode="External"/><Relationship Id="rId882" Type="http://schemas.openxmlformats.org/officeDocument/2006/relationships/hyperlink" Target="https://fruit4u.co" TargetMode="External"/><Relationship Id="rId3412" Type="http://schemas.openxmlformats.org/officeDocument/2006/relationships/hyperlink" Target="http://www.linkedin.com/company/ranki-seo" TargetMode="External"/><Relationship Id="rId4743" Type="http://schemas.openxmlformats.org/officeDocument/2006/relationships/hyperlink" Target="http://www.linkedin.com/in/ra%c3%bal-%c3%a1lvarez-alonso-6635a652" TargetMode="External"/><Relationship Id="rId881" Type="http://schemas.openxmlformats.org/officeDocument/2006/relationships/hyperlink" Target="http://www.linkedin.com/company/fruit4uco" TargetMode="External"/><Relationship Id="rId3411" Type="http://schemas.openxmlformats.org/officeDocument/2006/relationships/hyperlink" Target="http://www.linkedin.com/in/alejandroseo" TargetMode="External"/><Relationship Id="rId4742" Type="http://schemas.openxmlformats.org/officeDocument/2006/relationships/hyperlink" Target="http://www.linkedin.com/company/kpi-global" TargetMode="External"/><Relationship Id="rId3403" Type="http://schemas.openxmlformats.org/officeDocument/2006/relationships/hyperlink" Target="http://www.linkedin.com/company/concordia-investments" TargetMode="External"/><Relationship Id="rId4734" Type="http://schemas.openxmlformats.org/officeDocument/2006/relationships/hyperlink" Target="http://www.linkedin.com/company/panteramakers" TargetMode="External"/><Relationship Id="rId3402" Type="http://schemas.openxmlformats.org/officeDocument/2006/relationships/hyperlink" Target="http://www.linkedin.com/in/reinaldoespinosa" TargetMode="External"/><Relationship Id="rId4733" Type="http://schemas.openxmlformats.org/officeDocument/2006/relationships/hyperlink" Target="http://www.linkedin.com/in/xiomara-noriega-fontalvo-860918109" TargetMode="External"/><Relationship Id="rId3405" Type="http://schemas.openxmlformats.org/officeDocument/2006/relationships/hyperlink" Target="http://www.linkedin.com/in/jonathan-triana-hern%c3%a1ndez-42627068" TargetMode="External"/><Relationship Id="rId4736" Type="http://schemas.openxmlformats.org/officeDocument/2006/relationships/hyperlink" Target="http://www.linkedin.com/company/handelbay" TargetMode="External"/><Relationship Id="rId3404" Type="http://schemas.openxmlformats.org/officeDocument/2006/relationships/hyperlink" Target="https://concordiasimple.com" TargetMode="External"/><Relationship Id="rId4735" Type="http://schemas.openxmlformats.org/officeDocument/2006/relationships/hyperlink" Target="http://www.linkedin.com/in/nandogaiofa" TargetMode="External"/><Relationship Id="rId3407" Type="http://schemas.openxmlformats.org/officeDocument/2006/relationships/hyperlink" Target="https://sharkpeople.com.co" TargetMode="External"/><Relationship Id="rId4738" Type="http://schemas.openxmlformats.org/officeDocument/2006/relationships/hyperlink" Target="http://www.linkedin.com/company/humanolabhq" TargetMode="External"/><Relationship Id="rId3406" Type="http://schemas.openxmlformats.org/officeDocument/2006/relationships/hyperlink" Target="http://www.linkedin.com/company/shark-people" TargetMode="External"/><Relationship Id="rId4737" Type="http://schemas.openxmlformats.org/officeDocument/2006/relationships/hyperlink" Target="http://www.linkedin.com/in/cristinaquijanop" TargetMode="External"/><Relationship Id="rId3409" Type="http://schemas.openxmlformats.org/officeDocument/2006/relationships/hyperlink" Target="http://www.linkedin.com/company/salestrategy-io" TargetMode="External"/><Relationship Id="rId3408" Type="http://schemas.openxmlformats.org/officeDocument/2006/relationships/hyperlink" Target="http://www.linkedin.com/in/sebas-castrillon" TargetMode="External"/><Relationship Id="rId4739" Type="http://schemas.openxmlformats.org/officeDocument/2006/relationships/hyperlink" Target="http://www.linkedin.com/in/felipearenasteneche" TargetMode="External"/><Relationship Id="rId877" Type="http://schemas.openxmlformats.org/officeDocument/2006/relationships/hyperlink" Target="http://www.linkedin.com/in/diana-fino-93643830" TargetMode="External"/><Relationship Id="rId876" Type="http://schemas.openxmlformats.org/officeDocument/2006/relationships/hyperlink" Target="https://anzi.finance" TargetMode="External"/><Relationship Id="rId875" Type="http://schemas.openxmlformats.org/officeDocument/2006/relationships/hyperlink" Target="http://www.linkedin.com/company/anzi-finance" TargetMode="External"/><Relationship Id="rId874" Type="http://schemas.openxmlformats.org/officeDocument/2006/relationships/hyperlink" Target="http://www.linkedin.com/in/sandra-villafa%c3%b1e-torres-979abb58" TargetMode="External"/><Relationship Id="rId879" Type="http://schemas.openxmlformats.org/officeDocument/2006/relationships/hyperlink" Target="https://dmfmedics.com" TargetMode="External"/><Relationship Id="rId878" Type="http://schemas.openxmlformats.org/officeDocument/2006/relationships/hyperlink" Target="http://www.linkedin.com/company/dmfmedics" TargetMode="External"/><Relationship Id="rId873" Type="http://schemas.openxmlformats.org/officeDocument/2006/relationships/hyperlink" Target="https://nubilasas.com" TargetMode="External"/><Relationship Id="rId4730" Type="http://schemas.openxmlformats.org/officeDocument/2006/relationships/hyperlink" Target="http://www.linkedin.com/company/sellstar-co" TargetMode="External"/><Relationship Id="rId872" Type="http://schemas.openxmlformats.org/officeDocument/2006/relationships/hyperlink" Target="http://www.linkedin.com/company/nubilasolutions" TargetMode="External"/><Relationship Id="rId871" Type="http://schemas.openxmlformats.org/officeDocument/2006/relationships/hyperlink" Target="http://www.linkedin.com/in/cristian-bedoya-gerente" TargetMode="External"/><Relationship Id="rId3401" Type="http://schemas.openxmlformats.org/officeDocument/2006/relationships/hyperlink" Target="https://wass.com.co" TargetMode="External"/><Relationship Id="rId4732" Type="http://schemas.openxmlformats.org/officeDocument/2006/relationships/hyperlink" Target="http://www.linkedin.com/company/b-g-capital-llc" TargetMode="External"/><Relationship Id="rId870" Type="http://schemas.openxmlformats.org/officeDocument/2006/relationships/hyperlink" Target="https://qwestar.ai" TargetMode="External"/><Relationship Id="rId3400" Type="http://schemas.openxmlformats.org/officeDocument/2006/relationships/hyperlink" Target="http://www.linkedin.com/company/wassapp" TargetMode="External"/><Relationship Id="rId4731" Type="http://schemas.openxmlformats.org/officeDocument/2006/relationships/hyperlink" Target="http://www.linkedin.com/in/santiago-de-castro-wharton" TargetMode="External"/><Relationship Id="rId1653" Type="http://schemas.openxmlformats.org/officeDocument/2006/relationships/hyperlink" Target="https://quieromac.com" TargetMode="External"/><Relationship Id="rId2984" Type="http://schemas.openxmlformats.org/officeDocument/2006/relationships/hyperlink" Target="http://www.linkedin.com/company/mamut-rojo" TargetMode="External"/><Relationship Id="rId1654" Type="http://schemas.openxmlformats.org/officeDocument/2006/relationships/hyperlink" Target="http://www.linkedin.com/in/andresmauriciov00" TargetMode="External"/><Relationship Id="rId2985" Type="http://schemas.openxmlformats.org/officeDocument/2006/relationships/hyperlink" Target="https://mamutrojo.com" TargetMode="External"/><Relationship Id="rId1655" Type="http://schemas.openxmlformats.org/officeDocument/2006/relationships/hyperlink" Target="http://www.linkedin.com/company/nebulabanking" TargetMode="External"/><Relationship Id="rId2986" Type="http://schemas.openxmlformats.org/officeDocument/2006/relationships/hyperlink" Target="http://www.linkedin.com/in/riveraedu" TargetMode="External"/><Relationship Id="rId1656" Type="http://schemas.openxmlformats.org/officeDocument/2006/relationships/hyperlink" Target="https://nebulabanking.io" TargetMode="External"/><Relationship Id="rId2987" Type="http://schemas.openxmlformats.org/officeDocument/2006/relationships/hyperlink" Target="http://www.linkedin.com/company/somosloopay" TargetMode="External"/><Relationship Id="rId1657" Type="http://schemas.openxmlformats.org/officeDocument/2006/relationships/hyperlink" Target="http://www.linkedin.com/in/juan-gabriel-reyes-sanchez-404a70109" TargetMode="External"/><Relationship Id="rId2988" Type="http://schemas.openxmlformats.org/officeDocument/2006/relationships/hyperlink" Target="https://loopay.com" TargetMode="External"/><Relationship Id="rId1658" Type="http://schemas.openxmlformats.org/officeDocument/2006/relationships/hyperlink" Target="http://www.linkedin.com/company/cobru" TargetMode="External"/><Relationship Id="rId2989" Type="http://schemas.openxmlformats.org/officeDocument/2006/relationships/hyperlink" Target="http://www.linkedin.com/in/pamela-hollmann" TargetMode="External"/><Relationship Id="rId1659" Type="http://schemas.openxmlformats.org/officeDocument/2006/relationships/hyperlink" Target="https://cobru.co" TargetMode="External"/><Relationship Id="rId829" Type="http://schemas.openxmlformats.org/officeDocument/2006/relationships/hyperlink" Target="http://www.linkedin.com/company/business-intelligence-corporate" TargetMode="External"/><Relationship Id="rId828" Type="http://schemas.openxmlformats.org/officeDocument/2006/relationships/hyperlink" Target="http://www.linkedin.com/in/cristian-chac%c3%b3n-lara-89097617" TargetMode="External"/><Relationship Id="rId827" Type="http://schemas.openxmlformats.org/officeDocument/2006/relationships/hyperlink" Target="https://newpatt.com" TargetMode="External"/><Relationship Id="rId822" Type="http://schemas.openxmlformats.org/officeDocument/2006/relationships/hyperlink" Target="http://www.linkedin.com/in/joshert" TargetMode="External"/><Relationship Id="rId821" Type="http://schemas.openxmlformats.org/officeDocument/2006/relationships/hyperlink" Target="https://cadenceconsultoria.com" TargetMode="External"/><Relationship Id="rId820" Type="http://schemas.openxmlformats.org/officeDocument/2006/relationships/hyperlink" Target="http://www.linkedin.com/company/cadence-consultoria" TargetMode="External"/><Relationship Id="rId826" Type="http://schemas.openxmlformats.org/officeDocument/2006/relationships/hyperlink" Target="http://www.linkedin.com/company/newpatt" TargetMode="External"/><Relationship Id="rId825" Type="http://schemas.openxmlformats.org/officeDocument/2006/relationships/hyperlink" Target="http://www.linkedin.com/in/sergiomora37" TargetMode="External"/><Relationship Id="rId824" Type="http://schemas.openxmlformats.org/officeDocument/2006/relationships/hyperlink" Target="https://joshert.com" TargetMode="External"/><Relationship Id="rId823" Type="http://schemas.openxmlformats.org/officeDocument/2006/relationships/hyperlink" Target="http://www.linkedin.com/company/joshert-advisory" TargetMode="External"/><Relationship Id="rId2980" Type="http://schemas.openxmlformats.org/officeDocument/2006/relationships/hyperlink" Target="http://www.linkedin.com/in/cesaraya" TargetMode="External"/><Relationship Id="rId1650" Type="http://schemas.openxmlformats.org/officeDocument/2006/relationships/hyperlink" Target="http://nebulabanking.io" TargetMode="External"/><Relationship Id="rId2981" Type="http://schemas.openxmlformats.org/officeDocument/2006/relationships/hyperlink" Target="http://www.linkedin.com/company/escarlatafintech" TargetMode="External"/><Relationship Id="rId1651" Type="http://schemas.openxmlformats.org/officeDocument/2006/relationships/hyperlink" Target="http://www.linkedin.com/in/juan-camilo-salazar-pimienta-71275759" TargetMode="External"/><Relationship Id="rId2982" Type="http://schemas.openxmlformats.org/officeDocument/2006/relationships/hyperlink" Target="https://escarlata.co" TargetMode="External"/><Relationship Id="rId1652" Type="http://schemas.openxmlformats.org/officeDocument/2006/relationships/hyperlink" Target="http://www.linkedin.com/company/quieromac" TargetMode="External"/><Relationship Id="rId2983" Type="http://schemas.openxmlformats.org/officeDocument/2006/relationships/hyperlink" Target="http://www.linkedin.com/in/pedro-pabon" TargetMode="External"/><Relationship Id="rId1642" Type="http://schemas.openxmlformats.org/officeDocument/2006/relationships/hyperlink" Target="http://www.linkedin.com/company/connecto-app" TargetMode="External"/><Relationship Id="rId2973" Type="http://schemas.openxmlformats.org/officeDocument/2006/relationships/hyperlink" Target="https://boxisleep.com.co" TargetMode="External"/><Relationship Id="rId1643" Type="http://schemas.openxmlformats.org/officeDocument/2006/relationships/hyperlink" Target="https://connectoapp.com" TargetMode="External"/><Relationship Id="rId2974" Type="http://schemas.openxmlformats.org/officeDocument/2006/relationships/hyperlink" Target="http://www.linkedin.com/in/omar-hern%c3%a1n-montes-parra-9a485b35" TargetMode="External"/><Relationship Id="rId1644" Type="http://schemas.openxmlformats.org/officeDocument/2006/relationships/hyperlink" Target="http://www.linkedin.com/in/juan-carlos-de-la-torre-flori%c3%a1n-b7a46b6b" TargetMode="External"/><Relationship Id="rId2975" Type="http://schemas.openxmlformats.org/officeDocument/2006/relationships/hyperlink" Target="http://www.linkedin.com/company/quantum-sfe" TargetMode="External"/><Relationship Id="rId1645" Type="http://schemas.openxmlformats.org/officeDocument/2006/relationships/hyperlink" Target="http://www.linkedin.com/company/we-power-latam" TargetMode="External"/><Relationship Id="rId2976" Type="http://schemas.openxmlformats.org/officeDocument/2006/relationships/hyperlink" Target="https://quantum-latam.com" TargetMode="External"/><Relationship Id="rId1646" Type="http://schemas.openxmlformats.org/officeDocument/2006/relationships/hyperlink" Target="https://wepower.com.co" TargetMode="External"/><Relationship Id="rId2977" Type="http://schemas.openxmlformats.org/officeDocument/2006/relationships/hyperlink" Target="http://www.linkedin.com/in/david-maloof-arias-24b63628" TargetMode="External"/><Relationship Id="rId1647" Type="http://schemas.openxmlformats.org/officeDocument/2006/relationships/hyperlink" Target="http://www.linkedin.com/in/linaespinosaarias" TargetMode="External"/><Relationship Id="rId2978" Type="http://schemas.openxmlformats.org/officeDocument/2006/relationships/hyperlink" Target="http://www.linkedin.com/company/psy-tech" TargetMode="External"/><Relationship Id="rId1648" Type="http://schemas.openxmlformats.org/officeDocument/2006/relationships/hyperlink" Target="http://www.linkedin.com/company/piyion" TargetMode="External"/><Relationship Id="rId2979" Type="http://schemas.openxmlformats.org/officeDocument/2006/relationships/hyperlink" Target="https://psy-tech.co" TargetMode="External"/><Relationship Id="rId1649" Type="http://schemas.openxmlformats.org/officeDocument/2006/relationships/hyperlink" Target="https://piyion.com" TargetMode="External"/><Relationship Id="rId819" Type="http://schemas.openxmlformats.org/officeDocument/2006/relationships/hyperlink" Target="http://www.linkedin.com/in/juan-david-pastor-g-994814109" TargetMode="External"/><Relationship Id="rId818" Type="http://schemas.openxmlformats.org/officeDocument/2006/relationships/hyperlink" Target="https://splabogados.com" TargetMode="External"/><Relationship Id="rId817" Type="http://schemas.openxmlformats.org/officeDocument/2006/relationships/hyperlink" Target="http://www.linkedin.com/company/spl-salgado-abogados" TargetMode="External"/><Relationship Id="rId816" Type="http://schemas.openxmlformats.org/officeDocument/2006/relationships/hyperlink" Target="http://www.linkedin.com/in/carlos-mario-salgado-morales-9b790351" TargetMode="External"/><Relationship Id="rId811" Type="http://schemas.openxmlformats.org/officeDocument/2006/relationships/hyperlink" Target="http://www.linkedin.com/company/tiendana" TargetMode="External"/><Relationship Id="rId810" Type="http://schemas.openxmlformats.org/officeDocument/2006/relationships/hyperlink" Target="http://www.linkedin.com/in/victor-manuel-abril-99581055" TargetMode="External"/><Relationship Id="rId815" Type="http://schemas.openxmlformats.org/officeDocument/2006/relationships/hyperlink" Target="https://newsoft.com.co" TargetMode="External"/><Relationship Id="rId814" Type="http://schemas.openxmlformats.org/officeDocument/2006/relationships/hyperlink" Target="http://www.linkedin.com/company/newsoft-s-a-s-" TargetMode="External"/><Relationship Id="rId813" Type="http://schemas.openxmlformats.org/officeDocument/2006/relationships/hyperlink" Target="http://www.linkedin.com/in/john-fredy-garc%c3%ada-martinez" TargetMode="External"/><Relationship Id="rId812" Type="http://schemas.openxmlformats.org/officeDocument/2006/relationships/hyperlink" Target="https://tiendana.com" TargetMode="External"/><Relationship Id="rId2970" Type="http://schemas.openxmlformats.org/officeDocument/2006/relationships/hyperlink" Target="https://axiscapital.com.co" TargetMode="External"/><Relationship Id="rId1640" Type="http://schemas.openxmlformats.org/officeDocument/2006/relationships/hyperlink" Target="https://predizer.ai" TargetMode="External"/><Relationship Id="rId2971" Type="http://schemas.openxmlformats.org/officeDocument/2006/relationships/hyperlink" Target="http://www.linkedin.com/in/daniela-machado-uribe-02b902122" TargetMode="External"/><Relationship Id="rId1641" Type="http://schemas.openxmlformats.org/officeDocument/2006/relationships/hyperlink" Target="http://www.linkedin.com/in/sebastian-sevillano-61b310128" TargetMode="External"/><Relationship Id="rId2972" Type="http://schemas.openxmlformats.org/officeDocument/2006/relationships/hyperlink" Target="http://www.linkedin.com/company/boxi-sleep" TargetMode="External"/><Relationship Id="rId1675" Type="http://schemas.openxmlformats.org/officeDocument/2006/relationships/hyperlink" Target="http://www.linkedin.com/in/john-sacristan-castro" TargetMode="External"/><Relationship Id="rId4701" Type="http://schemas.openxmlformats.org/officeDocument/2006/relationships/hyperlink" Target="http://www.linkedin.com/in/luishoyos" TargetMode="External"/><Relationship Id="rId1676" Type="http://schemas.openxmlformats.org/officeDocument/2006/relationships/hyperlink" Target="http://www.linkedin.com/company/collectpay" TargetMode="External"/><Relationship Id="rId4700" Type="http://schemas.openxmlformats.org/officeDocument/2006/relationships/hyperlink" Target="http://www.linkedin.com/company/datup" TargetMode="External"/><Relationship Id="rId1677" Type="http://schemas.openxmlformats.org/officeDocument/2006/relationships/hyperlink" Target="https://collectpay.co" TargetMode="External"/><Relationship Id="rId4703" Type="http://schemas.openxmlformats.org/officeDocument/2006/relationships/hyperlink" Target="http://www.linkedin.com/in/davidbarinas" TargetMode="External"/><Relationship Id="rId1678" Type="http://schemas.openxmlformats.org/officeDocument/2006/relationships/hyperlink" Target="http://www.linkedin.com/in/margaritauseche" TargetMode="External"/><Relationship Id="rId4702" Type="http://schemas.openxmlformats.org/officeDocument/2006/relationships/hyperlink" Target="http://www.linkedin.com/company/uptime-analytics" TargetMode="External"/><Relationship Id="rId1679" Type="http://schemas.openxmlformats.org/officeDocument/2006/relationships/hyperlink" Target="http://www.linkedin.com/company/multiflora" TargetMode="External"/><Relationship Id="rId4705" Type="http://schemas.openxmlformats.org/officeDocument/2006/relationships/hyperlink" Target="http://www.linkedin.com/in/johntarantino" TargetMode="External"/><Relationship Id="rId4704" Type="http://schemas.openxmlformats.org/officeDocument/2006/relationships/hyperlink" Target="http://www.linkedin.com/company/bloqueapp" TargetMode="External"/><Relationship Id="rId4707" Type="http://schemas.openxmlformats.org/officeDocument/2006/relationships/hyperlink" Target="http://www.linkedin.com/in/marianamontoyac" TargetMode="External"/><Relationship Id="rId4706" Type="http://schemas.openxmlformats.org/officeDocument/2006/relationships/hyperlink" Target="http://www.linkedin.com/company/bluephoenixhealth" TargetMode="External"/><Relationship Id="rId4709" Type="http://schemas.openxmlformats.org/officeDocument/2006/relationships/hyperlink" Target="http://www.linkedin.com/in/felipe-rojas-102b9452" TargetMode="External"/><Relationship Id="rId4708" Type="http://schemas.openxmlformats.org/officeDocument/2006/relationships/hyperlink" Target="http://www.linkedin.com/company/sazu" TargetMode="External"/><Relationship Id="rId849" Type="http://schemas.openxmlformats.org/officeDocument/2006/relationships/hyperlink" Target="http://www.linkedin.com/in/javierpardoch" TargetMode="External"/><Relationship Id="rId844" Type="http://schemas.openxmlformats.org/officeDocument/2006/relationships/hyperlink" Target="http://www.linkedin.com/company/digital-change-advisors" TargetMode="External"/><Relationship Id="rId843" Type="http://schemas.openxmlformats.org/officeDocument/2006/relationships/hyperlink" Target="http://www.linkedin.com/in/ingcesarlozano" TargetMode="External"/><Relationship Id="rId842" Type="http://schemas.openxmlformats.org/officeDocument/2006/relationships/hyperlink" Target="https://monabit.io" TargetMode="External"/><Relationship Id="rId841" Type="http://schemas.openxmlformats.org/officeDocument/2006/relationships/hyperlink" Target="http://www.linkedin.com/company/monabit" TargetMode="External"/><Relationship Id="rId848" Type="http://schemas.openxmlformats.org/officeDocument/2006/relationships/hyperlink" Target="https://bbelanguages.com" TargetMode="External"/><Relationship Id="rId847" Type="http://schemas.openxmlformats.org/officeDocument/2006/relationships/hyperlink" Target="http://www.linkedin.com/company/bbelanguages" TargetMode="External"/><Relationship Id="rId846" Type="http://schemas.openxmlformats.org/officeDocument/2006/relationships/hyperlink" Target="http://www.linkedin.com/in/roxana-irimiea-95461587" TargetMode="External"/><Relationship Id="rId845" Type="http://schemas.openxmlformats.org/officeDocument/2006/relationships/hyperlink" Target="https://digitalchangemanagement.com" TargetMode="External"/><Relationship Id="rId1670" Type="http://schemas.openxmlformats.org/officeDocument/2006/relationships/hyperlink" Target="http://www.linkedin.com/company/lead-colombia" TargetMode="External"/><Relationship Id="rId840" Type="http://schemas.openxmlformats.org/officeDocument/2006/relationships/hyperlink" Target="http://www.linkedin.com/in/vivianjonesr" TargetMode="External"/><Relationship Id="rId1671" Type="http://schemas.openxmlformats.org/officeDocument/2006/relationships/hyperlink" Target="https://leadcolombia.co" TargetMode="External"/><Relationship Id="rId1672" Type="http://schemas.openxmlformats.org/officeDocument/2006/relationships/hyperlink" Target="http://www.linkedin.com/in/jaydaron" TargetMode="External"/><Relationship Id="rId1673" Type="http://schemas.openxmlformats.org/officeDocument/2006/relationships/hyperlink" Target="http://www.linkedin.com/company/jaydarongroup" TargetMode="External"/><Relationship Id="rId1674" Type="http://schemas.openxmlformats.org/officeDocument/2006/relationships/hyperlink" Target="https://jaydaron.com" TargetMode="External"/><Relationship Id="rId1664" Type="http://schemas.openxmlformats.org/officeDocument/2006/relationships/hyperlink" Target="http://www.linkedin.com/company/esfera-latam" TargetMode="External"/><Relationship Id="rId2995" Type="http://schemas.openxmlformats.org/officeDocument/2006/relationships/hyperlink" Target="http://www.linkedin.com/in/jordi-mestre-5849b31a4" TargetMode="External"/><Relationship Id="rId1665" Type="http://schemas.openxmlformats.org/officeDocument/2006/relationships/hyperlink" Target="https://esferalatam.com" TargetMode="External"/><Relationship Id="rId2996" Type="http://schemas.openxmlformats.org/officeDocument/2006/relationships/hyperlink" Target="http://www.linkedin.com/company/csci-colombia-solar" TargetMode="External"/><Relationship Id="rId1666" Type="http://schemas.openxmlformats.org/officeDocument/2006/relationships/hyperlink" Target="http://www.linkedin.com/in/edwinzacipa" TargetMode="External"/><Relationship Id="rId2997" Type="http://schemas.openxmlformats.org/officeDocument/2006/relationships/hyperlink" Target="https://colombiasolar.co" TargetMode="External"/><Relationship Id="rId1667" Type="http://schemas.openxmlformats.org/officeDocument/2006/relationships/hyperlink" Target="http://www.linkedin.com/company/latamfintechhub" TargetMode="External"/><Relationship Id="rId2998" Type="http://schemas.openxmlformats.org/officeDocument/2006/relationships/hyperlink" Target="http://www.linkedin.com/in/jacksonrozo" TargetMode="External"/><Relationship Id="rId1668" Type="http://schemas.openxmlformats.org/officeDocument/2006/relationships/hyperlink" Target="https://latamfintech.co" TargetMode="External"/><Relationship Id="rId2999" Type="http://schemas.openxmlformats.org/officeDocument/2006/relationships/hyperlink" Target="http://www.linkedin.com/company/bankiando" TargetMode="External"/><Relationship Id="rId1669" Type="http://schemas.openxmlformats.org/officeDocument/2006/relationships/hyperlink" Target="http://www.linkedin.com/in/paola-garcia-castillo-21b55a39" TargetMode="External"/><Relationship Id="rId839" Type="http://schemas.openxmlformats.org/officeDocument/2006/relationships/hyperlink" Target="https://valoraanalitik.com" TargetMode="External"/><Relationship Id="rId838" Type="http://schemas.openxmlformats.org/officeDocument/2006/relationships/hyperlink" Target="http://www.linkedin.com/company/valora-analitik" TargetMode="External"/><Relationship Id="rId833" Type="http://schemas.openxmlformats.org/officeDocument/2006/relationships/hyperlink" Target="https://tysa.co" TargetMode="External"/><Relationship Id="rId832" Type="http://schemas.openxmlformats.org/officeDocument/2006/relationships/hyperlink" Target="http://www.linkedin.com/company/tysa-sas" TargetMode="External"/><Relationship Id="rId831" Type="http://schemas.openxmlformats.org/officeDocument/2006/relationships/hyperlink" Target="http://www.linkedin.com/in/juanfelipesalazar" TargetMode="External"/><Relationship Id="rId830" Type="http://schemas.openxmlformats.org/officeDocument/2006/relationships/hyperlink" Target="https://biccrm.com" TargetMode="External"/><Relationship Id="rId837" Type="http://schemas.openxmlformats.org/officeDocument/2006/relationships/hyperlink" Target="http://www.linkedin.com/in/camilo-silva-jaramillo-943b0533" TargetMode="External"/><Relationship Id="rId836" Type="http://schemas.openxmlformats.org/officeDocument/2006/relationships/hyperlink" Target="https://joinreva.com" TargetMode="External"/><Relationship Id="rId835" Type="http://schemas.openxmlformats.org/officeDocument/2006/relationships/hyperlink" Target="http://www.linkedin.com/company/revahospitality" TargetMode="External"/><Relationship Id="rId834" Type="http://schemas.openxmlformats.org/officeDocument/2006/relationships/hyperlink" Target="http://www.linkedin.com/in/mferrerisaza" TargetMode="External"/><Relationship Id="rId2990" Type="http://schemas.openxmlformats.org/officeDocument/2006/relationships/hyperlink" Target="http://www.linkedin.com/company/acertijo-gestion-empresarial" TargetMode="External"/><Relationship Id="rId1660" Type="http://schemas.openxmlformats.org/officeDocument/2006/relationships/hyperlink" Target="http://www.linkedin.com/in/felipe-rengifo-41049717" TargetMode="External"/><Relationship Id="rId2991" Type="http://schemas.openxmlformats.org/officeDocument/2006/relationships/hyperlink" Target="https://acertijo.co" TargetMode="External"/><Relationship Id="rId1661" Type="http://schemas.openxmlformats.org/officeDocument/2006/relationships/hyperlink" Target="http://www.linkedin.com/company/energia-visible" TargetMode="External"/><Relationship Id="rId2992" Type="http://schemas.openxmlformats.org/officeDocument/2006/relationships/hyperlink" Target="http://www.linkedin.com/in/nquintero" TargetMode="External"/><Relationship Id="rId1662" Type="http://schemas.openxmlformats.org/officeDocument/2006/relationships/hyperlink" Target="https://energiavisible.com" TargetMode="External"/><Relationship Id="rId2993" Type="http://schemas.openxmlformats.org/officeDocument/2006/relationships/hyperlink" Target="http://www.linkedin.com/company/comunidad-autonomistas" TargetMode="External"/><Relationship Id="rId1663" Type="http://schemas.openxmlformats.org/officeDocument/2006/relationships/hyperlink" Target="http://www.linkedin.com/in/gabriel-calderon-rendon-10491a126" TargetMode="External"/><Relationship Id="rId2994" Type="http://schemas.openxmlformats.org/officeDocument/2006/relationships/hyperlink" Target="https://autonomistas.co" TargetMode="External"/><Relationship Id="rId2148" Type="http://schemas.openxmlformats.org/officeDocument/2006/relationships/hyperlink" Target="https://bi360.com.co" TargetMode="External"/><Relationship Id="rId2149" Type="http://schemas.openxmlformats.org/officeDocument/2006/relationships/hyperlink" Target="http://www.linkedin.com/in/eduar-mauricio-tovar-lugo" TargetMode="External"/><Relationship Id="rId3479" Type="http://schemas.openxmlformats.org/officeDocument/2006/relationships/hyperlink" Target="https://cargaya.com" TargetMode="External"/><Relationship Id="rId3470" Type="http://schemas.openxmlformats.org/officeDocument/2006/relationships/hyperlink" Target="https://ecocalidadconsulting.com" TargetMode="External"/><Relationship Id="rId2140" Type="http://schemas.openxmlformats.org/officeDocument/2006/relationships/hyperlink" Target="http://www.linkedin.com/in/miguel-%c3%a1ngel-rodr%c3%adguez-11886a42" TargetMode="External"/><Relationship Id="rId3472" Type="http://schemas.openxmlformats.org/officeDocument/2006/relationships/hyperlink" Target="http://www.linkedin.com/company/osdglobal" TargetMode="External"/><Relationship Id="rId2141" Type="http://schemas.openxmlformats.org/officeDocument/2006/relationships/hyperlink" Target="http://www.linkedin.com/company/wama-pharma-sas" TargetMode="External"/><Relationship Id="rId3471" Type="http://schemas.openxmlformats.org/officeDocument/2006/relationships/hyperlink" Target="http://www.linkedin.com/in/alexander-rios-a5585716" TargetMode="External"/><Relationship Id="rId2142" Type="http://schemas.openxmlformats.org/officeDocument/2006/relationships/hyperlink" Target="https://wamapharma.com" TargetMode="External"/><Relationship Id="rId3474" Type="http://schemas.openxmlformats.org/officeDocument/2006/relationships/hyperlink" Target="http://www.linkedin.com/in/pascal-latorre-vidales" TargetMode="External"/><Relationship Id="rId2143" Type="http://schemas.openxmlformats.org/officeDocument/2006/relationships/hyperlink" Target="http://www.linkedin.com/in/c%c3%a1mara-de-comercio-%c3%a1rabe-colombiana" TargetMode="External"/><Relationship Id="rId3473" Type="http://schemas.openxmlformats.org/officeDocument/2006/relationships/hyperlink" Target="https://osdglobal.com" TargetMode="External"/><Relationship Id="rId2144" Type="http://schemas.openxmlformats.org/officeDocument/2006/relationships/hyperlink" Target="http://www.linkedin.com/company/arab-colombian-chamber-of-commerce" TargetMode="External"/><Relationship Id="rId3476" Type="http://schemas.openxmlformats.org/officeDocument/2006/relationships/hyperlink" Target="https://humanolab.ai" TargetMode="External"/><Relationship Id="rId2145" Type="http://schemas.openxmlformats.org/officeDocument/2006/relationships/hyperlink" Target="https://ccac.com.co" TargetMode="External"/><Relationship Id="rId3475" Type="http://schemas.openxmlformats.org/officeDocument/2006/relationships/hyperlink" Target="http://www.linkedin.com/company/humanolabhq" TargetMode="External"/><Relationship Id="rId2146" Type="http://schemas.openxmlformats.org/officeDocument/2006/relationships/hyperlink" Target="http://www.linkedin.com/in/camilo-arango-hoyos-39522250" TargetMode="External"/><Relationship Id="rId3478" Type="http://schemas.openxmlformats.org/officeDocument/2006/relationships/hyperlink" Target="http://www.linkedin.com/company/cargaya" TargetMode="External"/><Relationship Id="rId2147" Type="http://schemas.openxmlformats.org/officeDocument/2006/relationships/hyperlink" Target="http://www.linkedin.com/company/business-intelligence-360" TargetMode="External"/><Relationship Id="rId3477" Type="http://schemas.openxmlformats.org/officeDocument/2006/relationships/hyperlink" Target="http://www.linkedin.com/in/natalia-ramirez-85a630133" TargetMode="External"/><Relationship Id="rId2137" Type="http://schemas.openxmlformats.org/officeDocument/2006/relationships/hyperlink" Target="http://www.linkedin.com/in/oscarbincosuribe" TargetMode="External"/><Relationship Id="rId3469" Type="http://schemas.openxmlformats.org/officeDocument/2006/relationships/hyperlink" Target="http://www.linkedin.com/company/ecocalidad-consulting" TargetMode="External"/><Relationship Id="rId2138" Type="http://schemas.openxmlformats.org/officeDocument/2006/relationships/hyperlink" Target="http://www.linkedin.com/company/trust-capital-advisors-ltda" TargetMode="External"/><Relationship Id="rId3468" Type="http://schemas.openxmlformats.org/officeDocument/2006/relationships/hyperlink" Target="http://www.linkedin.com/in/edna-martinez-64a29729" TargetMode="External"/><Relationship Id="rId4799" Type="http://schemas.openxmlformats.org/officeDocument/2006/relationships/hyperlink" Target="http://www.linkedin.com/in/jose-carlos-mora-herrera" TargetMode="External"/><Relationship Id="rId2139" Type="http://schemas.openxmlformats.org/officeDocument/2006/relationships/hyperlink" Target="https://trustcapitaladvisors.com" TargetMode="External"/><Relationship Id="rId4790" Type="http://schemas.openxmlformats.org/officeDocument/2006/relationships/hyperlink" Target="http://www.linkedin.com/company/hubinsurtech" TargetMode="External"/><Relationship Id="rId3461" Type="http://schemas.openxmlformats.org/officeDocument/2006/relationships/hyperlink" Target="https://rocasol.com.co" TargetMode="External"/><Relationship Id="rId4792" Type="http://schemas.openxmlformats.org/officeDocument/2006/relationships/hyperlink" Target="http://www.linkedin.com/company/nowbit1" TargetMode="External"/><Relationship Id="rId2130" Type="http://schemas.openxmlformats.org/officeDocument/2006/relationships/hyperlink" Target="https://saludtools.com" TargetMode="External"/><Relationship Id="rId3460" Type="http://schemas.openxmlformats.org/officeDocument/2006/relationships/hyperlink" Target="http://www.linkedin.com/company/rocasol1" TargetMode="External"/><Relationship Id="rId4791" Type="http://schemas.openxmlformats.org/officeDocument/2006/relationships/hyperlink" Target="http://www.linkedin.com/in/jaguzmanb" TargetMode="External"/><Relationship Id="rId2131" Type="http://schemas.openxmlformats.org/officeDocument/2006/relationships/hyperlink" Target="http://www.linkedin.com/in/juanpablosoriom" TargetMode="External"/><Relationship Id="rId3463" Type="http://schemas.openxmlformats.org/officeDocument/2006/relationships/hyperlink" Target="http://www.linkedin.com/company/desarrollo-ing" TargetMode="External"/><Relationship Id="rId4794" Type="http://schemas.openxmlformats.org/officeDocument/2006/relationships/hyperlink" Target="http://www.linkedin.com/company/sekure" TargetMode="External"/><Relationship Id="rId2132" Type="http://schemas.openxmlformats.org/officeDocument/2006/relationships/hyperlink" Target="http://www.linkedin.com/company/clinikals" TargetMode="External"/><Relationship Id="rId3462" Type="http://schemas.openxmlformats.org/officeDocument/2006/relationships/hyperlink" Target="http://www.linkedin.com/in/marce-rodriguez-silva-38382a126" TargetMode="External"/><Relationship Id="rId4793" Type="http://schemas.openxmlformats.org/officeDocument/2006/relationships/hyperlink" Target="http://www.linkedin.com/in/nicolascorderoc" TargetMode="External"/><Relationship Id="rId2133" Type="http://schemas.openxmlformats.org/officeDocument/2006/relationships/hyperlink" Target="https://clinikals.com" TargetMode="External"/><Relationship Id="rId3465" Type="http://schemas.openxmlformats.org/officeDocument/2006/relationships/hyperlink" Target="http://www.linkedin.com/in/paulo-salazar-9638bb21" TargetMode="External"/><Relationship Id="rId4796" Type="http://schemas.openxmlformats.org/officeDocument/2006/relationships/hyperlink" Target="http://www.linkedin.com/company/cetus-ai" TargetMode="External"/><Relationship Id="rId2134" Type="http://schemas.openxmlformats.org/officeDocument/2006/relationships/hyperlink" Target="http://www.linkedin.com/in/cmichelsen-1992" TargetMode="External"/><Relationship Id="rId3464" Type="http://schemas.openxmlformats.org/officeDocument/2006/relationships/hyperlink" Target="https://desarrolloing.com.co" TargetMode="External"/><Relationship Id="rId4795" Type="http://schemas.openxmlformats.org/officeDocument/2006/relationships/hyperlink" Target="http://www.linkedin.com/in/javier-rincon-miranda-ba05679b" TargetMode="External"/><Relationship Id="rId2135" Type="http://schemas.openxmlformats.org/officeDocument/2006/relationships/hyperlink" Target="http://www.linkedin.com/company/donrep" TargetMode="External"/><Relationship Id="rId3467" Type="http://schemas.openxmlformats.org/officeDocument/2006/relationships/hyperlink" Target="https://trazesoft.com" TargetMode="External"/><Relationship Id="rId4798" Type="http://schemas.openxmlformats.org/officeDocument/2006/relationships/hyperlink" Target="http://www.linkedin.com/company/desarrollarte-plus" TargetMode="External"/><Relationship Id="rId2136" Type="http://schemas.openxmlformats.org/officeDocument/2006/relationships/hyperlink" Target="https://donrep.co" TargetMode="External"/><Relationship Id="rId3466" Type="http://schemas.openxmlformats.org/officeDocument/2006/relationships/hyperlink" Target="http://www.linkedin.com/company/trazesoft" TargetMode="External"/><Relationship Id="rId4797" Type="http://schemas.openxmlformats.org/officeDocument/2006/relationships/hyperlink" Target="http://www.linkedin.com/in/ana-mar%c3%ada-salom-reyes" TargetMode="External"/><Relationship Id="rId3490" Type="http://schemas.openxmlformats.org/officeDocument/2006/relationships/hyperlink" Target="http://www.linkedin.com/company/o-lab-ai" TargetMode="External"/><Relationship Id="rId2160" Type="http://schemas.openxmlformats.org/officeDocument/2006/relationships/hyperlink" Target="https://uncorporated.co" TargetMode="External"/><Relationship Id="rId3492" Type="http://schemas.openxmlformats.org/officeDocument/2006/relationships/hyperlink" Target="http://www.linkedin.com/in/anamariazunigac" TargetMode="External"/><Relationship Id="rId2161" Type="http://schemas.openxmlformats.org/officeDocument/2006/relationships/hyperlink" Target="http://www.linkedin.com/in/estefania-abello-plata" TargetMode="External"/><Relationship Id="rId3491" Type="http://schemas.openxmlformats.org/officeDocument/2006/relationships/hyperlink" Target="https://o-lab.ai" TargetMode="External"/><Relationship Id="rId2162" Type="http://schemas.openxmlformats.org/officeDocument/2006/relationships/hyperlink" Target="http://www.linkedin.com/company/muta-app" TargetMode="External"/><Relationship Id="rId3494" Type="http://schemas.openxmlformats.org/officeDocument/2006/relationships/hyperlink" Target="https://modalab.co" TargetMode="External"/><Relationship Id="rId2163" Type="http://schemas.openxmlformats.org/officeDocument/2006/relationships/hyperlink" Target="https://mutaworld.com" TargetMode="External"/><Relationship Id="rId3493" Type="http://schemas.openxmlformats.org/officeDocument/2006/relationships/hyperlink" Target="http://www.linkedin.com/company/modalabco" TargetMode="External"/><Relationship Id="rId2164" Type="http://schemas.openxmlformats.org/officeDocument/2006/relationships/hyperlink" Target="http://www.linkedin.com/in/jorge-tarazona-b2b479a3" TargetMode="External"/><Relationship Id="rId3496" Type="http://schemas.openxmlformats.org/officeDocument/2006/relationships/hyperlink" Target="http://www.linkedin.com/company/crediseguro" TargetMode="External"/><Relationship Id="rId2165" Type="http://schemas.openxmlformats.org/officeDocument/2006/relationships/hyperlink" Target="http://www.linkedin.com/company/uniflow-app" TargetMode="External"/><Relationship Id="rId3495" Type="http://schemas.openxmlformats.org/officeDocument/2006/relationships/hyperlink" Target="http://www.linkedin.com/in/diego-cavanzo-b8b1a953" TargetMode="External"/><Relationship Id="rId2166" Type="http://schemas.openxmlformats.org/officeDocument/2006/relationships/hyperlink" Target="https://uniflowapp.com" TargetMode="External"/><Relationship Id="rId3498" Type="http://schemas.openxmlformats.org/officeDocument/2006/relationships/hyperlink" Target="http://www.linkedin.com/in/mcgomezme1" TargetMode="External"/><Relationship Id="rId2167" Type="http://schemas.openxmlformats.org/officeDocument/2006/relationships/hyperlink" Target="http://www.linkedin.com/in/guillermo-gonzalez-79534925" TargetMode="External"/><Relationship Id="rId3497" Type="http://schemas.openxmlformats.org/officeDocument/2006/relationships/hyperlink" Target="https://crediseguro.co" TargetMode="External"/><Relationship Id="rId2168" Type="http://schemas.openxmlformats.org/officeDocument/2006/relationships/hyperlink" Target="http://www.linkedin.com/company/reteki-sas" TargetMode="External"/><Relationship Id="rId2169" Type="http://schemas.openxmlformats.org/officeDocument/2006/relationships/hyperlink" Target="https://reteki.com" TargetMode="External"/><Relationship Id="rId3499" Type="http://schemas.openxmlformats.org/officeDocument/2006/relationships/hyperlink" Target="http://www.linkedin.com/company/educationsoul" TargetMode="External"/><Relationship Id="rId2159" Type="http://schemas.openxmlformats.org/officeDocument/2006/relationships/hyperlink" Target="http://www.linkedin.com/company/dreams-uncorporated" TargetMode="External"/><Relationship Id="rId3481" Type="http://schemas.openxmlformats.org/officeDocument/2006/relationships/hyperlink" Target="http://www.linkedin.com/company/aicoll" TargetMode="External"/><Relationship Id="rId2150" Type="http://schemas.openxmlformats.org/officeDocument/2006/relationships/hyperlink" Target="http://www.linkedin.com/company/mawii" TargetMode="External"/><Relationship Id="rId3480" Type="http://schemas.openxmlformats.org/officeDocument/2006/relationships/hyperlink" Target="http://www.linkedin.com/in/yelitza-mar%c3%ada-romero-florez-7296a519b" TargetMode="External"/><Relationship Id="rId2151" Type="http://schemas.openxmlformats.org/officeDocument/2006/relationships/hyperlink" Target="https://mawii.com.co" TargetMode="External"/><Relationship Id="rId3483" Type="http://schemas.openxmlformats.org/officeDocument/2006/relationships/hyperlink" Target="http://www.linkedin.com/in/francisco-vivas-ramos-b17085112" TargetMode="External"/><Relationship Id="rId2152" Type="http://schemas.openxmlformats.org/officeDocument/2006/relationships/hyperlink" Target="http://www.linkedin.com/in/maria-jose-rubio-de-hart-94ba019" TargetMode="External"/><Relationship Id="rId3482" Type="http://schemas.openxmlformats.org/officeDocument/2006/relationships/hyperlink" Target="https://aicoll.co" TargetMode="External"/><Relationship Id="rId2153" Type="http://schemas.openxmlformats.org/officeDocument/2006/relationships/hyperlink" Target="http://www.linkedin.com/company/colombiacuidaacolombia" TargetMode="External"/><Relationship Id="rId3485" Type="http://schemas.openxmlformats.org/officeDocument/2006/relationships/hyperlink" Target="https://zhanasolutions.com" TargetMode="External"/><Relationship Id="rId2154" Type="http://schemas.openxmlformats.org/officeDocument/2006/relationships/hyperlink" Target="https://colombiacuidacolombia.com" TargetMode="External"/><Relationship Id="rId3484" Type="http://schemas.openxmlformats.org/officeDocument/2006/relationships/hyperlink" Target="http://www.linkedin.com/company/zhanasolutions" TargetMode="External"/><Relationship Id="rId2155" Type="http://schemas.openxmlformats.org/officeDocument/2006/relationships/hyperlink" Target="http://www.linkedin.com/in/javier-roberto-mogollon-mendoza-79094935" TargetMode="External"/><Relationship Id="rId3487" Type="http://schemas.openxmlformats.org/officeDocument/2006/relationships/hyperlink" Target="http://www.linkedin.com/company/innovbo-group" TargetMode="External"/><Relationship Id="rId2156" Type="http://schemas.openxmlformats.org/officeDocument/2006/relationships/hyperlink" Target="http://www.linkedin.com/company/jm-asesores" TargetMode="External"/><Relationship Id="rId3486" Type="http://schemas.openxmlformats.org/officeDocument/2006/relationships/hyperlink" Target="http://www.linkedin.com/in/maria-lucia-lora" TargetMode="External"/><Relationship Id="rId2157" Type="http://schemas.openxmlformats.org/officeDocument/2006/relationships/hyperlink" Target="https://jmasesores.com.mx" TargetMode="External"/><Relationship Id="rId3489" Type="http://schemas.openxmlformats.org/officeDocument/2006/relationships/hyperlink" Target="http://www.linkedin.com/in/abelisortiz-marketing" TargetMode="External"/><Relationship Id="rId2158" Type="http://schemas.openxmlformats.org/officeDocument/2006/relationships/hyperlink" Target="http://www.linkedin.com/in/carlosdreams" TargetMode="External"/><Relationship Id="rId3488" Type="http://schemas.openxmlformats.org/officeDocument/2006/relationships/hyperlink" Target="https://innovogroup.com" TargetMode="External"/><Relationship Id="rId2104" Type="http://schemas.openxmlformats.org/officeDocument/2006/relationships/hyperlink" Target="http://www.linkedin.com/company/centic-sas" TargetMode="External"/><Relationship Id="rId3436" Type="http://schemas.openxmlformats.org/officeDocument/2006/relationships/hyperlink" Target="http://www.linkedin.com/company/upwaresoft" TargetMode="External"/><Relationship Id="rId4767" Type="http://schemas.openxmlformats.org/officeDocument/2006/relationships/hyperlink" Target="http://www.linkedin.com/in/hoover-antonio-lopez-rivera-14451957" TargetMode="External"/><Relationship Id="rId2105" Type="http://schemas.openxmlformats.org/officeDocument/2006/relationships/hyperlink" Target="https://centicsas.com.co" TargetMode="External"/><Relationship Id="rId3435" Type="http://schemas.openxmlformats.org/officeDocument/2006/relationships/hyperlink" Target="http://www.linkedin.com/in/cesar-bejarano-uws" TargetMode="External"/><Relationship Id="rId4766" Type="http://schemas.openxmlformats.org/officeDocument/2006/relationships/hyperlink" Target="http://www.linkedin.com/company/topertyco" TargetMode="External"/><Relationship Id="rId2106" Type="http://schemas.openxmlformats.org/officeDocument/2006/relationships/hyperlink" Target="http://www.linkedin.com/in/daniel-reyes-6b43373a" TargetMode="External"/><Relationship Id="rId3438" Type="http://schemas.openxmlformats.org/officeDocument/2006/relationships/hyperlink" Target="http://www.linkedin.com/in/miguel-izquierdo-48458129a" TargetMode="External"/><Relationship Id="rId4769" Type="http://schemas.openxmlformats.org/officeDocument/2006/relationships/hyperlink" Target="http://www.linkedin.com/in/khumacoaching" TargetMode="External"/><Relationship Id="rId2107" Type="http://schemas.openxmlformats.org/officeDocument/2006/relationships/hyperlink" Target="http://www.linkedin.com/company/cucu" TargetMode="External"/><Relationship Id="rId3437" Type="http://schemas.openxmlformats.org/officeDocument/2006/relationships/hyperlink" Target="https://upwaresoft.com" TargetMode="External"/><Relationship Id="rId4768" Type="http://schemas.openxmlformats.org/officeDocument/2006/relationships/hyperlink" Target="http://www.linkedin.com/company/simbiosystemas" TargetMode="External"/><Relationship Id="rId2108" Type="http://schemas.openxmlformats.org/officeDocument/2006/relationships/hyperlink" Target="https://cucu.us" TargetMode="External"/><Relationship Id="rId2109" Type="http://schemas.openxmlformats.org/officeDocument/2006/relationships/hyperlink" Target="http://www.linkedin.com/in/jaramillofelipe" TargetMode="External"/><Relationship Id="rId3439" Type="http://schemas.openxmlformats.org/officeDocument/2006/relationships/hyperlink" Target="http://www.linkedin.com/company/nea-studio" TargetMode="External"/><Relationship Id="rId3430" Type="http://schemas.openxmlformats.org/officeDocument/2006/relationships/hyperlink" Target="http://www.linkedin.com/company/lingoquesto" TargetMode="External"/><Relationship Id="rId4761" Type="http://schemas.openxmlformats.org/officeDocument/2006/relationships/hyperlink" Target="http://www.linkedin.com/in/danielaortizmolina" TargetMode="External"/><Relationship Id="rId4760" Type="http://schemas.openxmlformats.org/officeDocument/2006/relationships/hyperlink" Target="http://www.linkedin.com/company/fundacioninti" TargetMode="External"/><Relationship Id="rId2100" Type="http://schemas.openxmlformats.org/officeDocument/2006/relationships/hyperlink" Target="http://www.linkedin.com/in/camilobravoarango" TargetMode="External"/><Relationship Id="rId3432" Type="http://schemas.openxmlformats.org/officeDocument/2006/relationships/hyperlink" Target="http://www.linkedin.com/in/jhon-jairo-beltran-peinado-9a59a023" TargetMode="External"/><Relationship Id="rId4763" Type="http://schemas.openxmlformats.org/officeDocument/2006/relationships/hyperlink" Target="http://www.linkedin.com/in/etienne-p%c3%aacheur-668a6b73" TargetMode="External"/><Relationship Id="rId2101" Type="http://schemas.openxmlformats.org/officeDocument/2006/relationships/hyperlink" Target="http://www.linkedin.com/company/reteki-sas" TargetMode="External"/><Relationship Id="rId3431" Type="http://schemas.openxmlformats.org/officeDocument/2006/relationships/hyperlink" Target="https://lingoquesto.com" TargetMode="External"/><Relationship Id="rId4762" Type="http://schemas.openxmlformats.org/officeDocument/2006/relationships/hyperlink" Target="http://www.linkedin.com/company/daki-ai" TargetMode="External"/><Relationship Id="rId2102" Type="http://schemas.openxmlformats.org/officeDocument/2006/relationships/hyperlink" Target="https://reteki.com" TargetMode="External"/><Relationship Id="rId3434" Type="http://schemas.openxmlformats.org/officeDocument/2006/relationships/hyperlink" Target="https://bpssolutions.com.co" TargetMode="External"/><Relationship Id="rId4765" Type="http://schemas.openxmlformats.org/officeDocument/2006/relationships/hyperlink" Target="http://www.linkedin.com/in/nicolasalbornozbernal" TargetMode="External"/><Relationship Id="rId2103" Type="http://schemas.openxmlformats.org/officeDocument/2006/relationships/hyperlink" Target="http://www.linkedin.com/in/carolina-diaz-ariza-6b3aaaa6" TargetMode="External"/><Relationship Id="rId3433" Type="http://schemas.openxmlformats.org/officeDocument/2006/relationships/hyperlink" Target="http://www.linkedin.com/company/bpssolutions-co" TargetMode="External"/><Relationship Id="rId4764" Type="http://schemas.openxmlformats.org/officeDocument/2006/relationships/hyperlink" Target="http://www.linkedin.com/company/alarcon-y-pecheur" TargetMode="External"/><Relationship Id="rId3425" Type="http://schemas.openxmlformats.org/officeDocument/2006/relationships/hyperlink" Target="https://ettos.co" TargetMode="External"/><Relationship Id="rId4756" Type="http://schemas.openxmlformats.org/officeDocument/2006/relationships/hyperlink" Target="http://www.linkedin.com/company/residentti" TargetMode="External"/><Relationship Id="rId3424" Type="http://schemas.openxmlformats.org/officeDocument/2006/relationships/hyperlink" Target="http://www.linkedin.com/company/ettos" TargetMode="External"/><Relationship Id="rId4755" Type="http://schemas.openxmlformats.org/officeDocument/2006/relationships/hyperlink" Target="http://www.linkedin.com/in/andrea-c%c3%a1ceres-b-3036b424" TargetMode="External"/><Relationship Id="rId3427" Type="http://schemas.openxmlformats.org/officeDocument/2006/relationships/hyperlink" Target="http://www.linkedin.com/company/oncegroup" TargetMode="External"/><Relationship Id="rId4758" Type="http://schemas.openxmlformats.org/officeDocument/2006/relationships/hyperlink" Target="http://www.linkedin.com/company/diestro-pd" TargetMode="External"/><Relationship Id="rId3426" Type="http://schemas.openxmlformats.org/officeDocument/2006/relationships/hyperlink" Target="http://www.linkedin.com/in/felipeperezhenao" TargetMode="External"/><Relationship Id="rId4757" Type="http://schemas.openxmlformats.org/officeDocument/2006/relationships/hyperlink" Target="http://www.linkedin.com/in/juanfranco-ventas" TargetMode="External"/><Relationship Id="rId3429" Type="http://schemas.openxmlformats.org/officeDocument/2006/relationships/hyperlink" Target="http://www.linkedin.com/in/tomas-vallejo" TargetMode="External"/><Relationship Id="rId3428" Type="http://schemas.openxmlformats.org/officeDocument/2006/relationships/hyperlink" Target="https://11glatam.com" TargetMode="External"/><Relationship Id="rId4759" Type="http://schemas.openxmlformats.org/officeDocument/2006/relationships/hyperlink" Target="http://www.linkedin.com/in/adriana-lievano-595b5426" TargetMode="External"/><Relationship Id="rId899" Type="http://schemas.openxmlformats.org/officeDocument/2006/relationships/hyperlink" Target="http://www.linkedin.com/company/lookapp-co" TargetMode="External"/><Relationship Id="rId898" Type="http://schemas.openxmlformats.org/officeDocument/2006/relationships/hyperlink" Target="http://www.linkedin.com/in/mauricio-cajiao-809629329" TargetMode="External"/><Relationship Id="rId897" Type="http://schemas.openxmlformats.org/officeDocument/2006/relationships/hyperlink" Target="https://duppla.co" TargetMode="External"/><Relationship Id="rId896" Type="http://schemas.openxmlformats.org/officeDocument/2006/relationships/hyperlink" Target="http://www.linkedin.com/company/duppla-com-co" TargetMode="External"/><Relationship Id="rId891" Type="http://schemas.openxmlformats.org/officeDocument/2006/relationships/hyperlink" Target="https://incluirtec.co" TargetMode="External"/><Relationship Id="rId890" Type="http://schemas.openxmlformats.org/officeDocument/2006/relationships/hyperlink" Target="http://www.linkedin.com/company/incluirtec" TargetMode="External"/><Relationship Id="rId4750" Type="http://schemas.openxmlformats.org/officeDocument/2006/relationships/hyperlink" Target="http://www.linkedin.com/company/hacku-educacion" TargetMode="External"/><Relationship Id="rId895" Type="http://schemas.openxmlformats.org/officeDocument/2006/relationships/hyperlink" Target="http://www.linkedin.com/in/cristian-villamizar-673bb410" TargetMode="External"/><Relationship Id="rId3421" Type="http://schemas.openxmlformats.org/officeDocument/2006/relationships/hyperlink" Target="http://www.linkedin.com/company/biofile" TargetMode="External"/><Relationship Id="rId4752" Type="http://schemas.openxmlformats.org/officeDocument/2006/relationships/hyperlink" Target="http://www.linkedin.com/company/sitechdecolombia" TargetMode="External"/><Relationship Id="rId894" Type="http://schemas.openxmlformats.org/officeDocument/2006/relationships/hyperlink" Target="https://smartpr.com.co" TargetMode="External"/><Relationship Id="rId3420" Type="http://schemas.openxmlformats.org/officeDocument/2006/relationships/hyperlink" Target="http://www.linkedin.com/in/dorianrallon" TargetMode="External"/><Relationship Id="rId4751" Type="http://schemas.openxmlformats.org/officeDocument/2006/relationships/hyperlink" Target="http://www.linkedin.com/in/nataliadiazvivas" TargetMode="External"/><Relationship Id="rId893" Type="http://schemas.openxmlformats.org/officeDocument/2006/relationships/hyperlink" Target="http://www.linkedin.com/company/agenciasmartpr" TargetMode="External"/><Relationship Id="rId3423" Type="http://schemas.openxmlformats.org/officeDocument/2006/relationships/hyperlink" Target="http://www.linkedin.com/in/andres-arango-mesa" TargetMode="External"/><Relationship Id="rId4754" Type="http://schemas.openxmlformats.org/officeDocument/2006/relationships/hyperlink" Target="http://www.linkedin.com/company/elasticacg" TargetMode="External"/><Relationship Id="rId892" Type="http://schemas.openxmlformats.org/officeDocument/2006/relationships/hyperlink" Target="http://www.linkedin.com/in/lauranarinomolina" TargetMode="External"/><Relationship Id="rId3422" Type="http://schemas.openxmlformats.org/officeDocument/2006/relationships/hyperlink" Target="https://biofile.com.co" TargetMode="External"/><Relationship Id="rId4753" Type="http://schemas.openxmlformats.org/officeDocument/2006/relationships/hyperlink" Target="http://www.linkedin.com/in/felipemunozaguilera" TargetMode="External"/><Relationship Id="rId2126" Type="http://schemas.openxmlformats.org/officeDocument/2006/relationships/hyperlink" Target="http://www.linkedin.com/company/vicval-logistics" TargetMode="External"/><Relationship Id="rId3458" Type="http://schemas.openxmlformats.org/officeDocument/2006/relationships/hyperlink" Target="https://denario.com.co" TargetMode="External"/><Relationship Id="rId4789" Type="http://schemas.openxmlformats.org/officeDocument/2006/relationships/hyperlink" Target="http://www.linkedin.com/in/nayibe-chiguazuque-martinez-273461132" TargetMode="External"/><Relationship Id="rId2127" Type="http://schemas.openxmlformats.org/officeDocument/2006/relationships/hyperlink" Target="https://vicval.co" TargetMode="External"/><Relationship Id="rId3457" Type="http://schemas.openxmlformats.org/officeDocument/2006/relationships/hyperlink" Target="http://www.linkedin.com/company/denariolibranzas" TargetMode="External"/><Relationship Id="rId4788" Type="http://schemas.openxmlformats.org/officeDocument/2006/relationships/hyperlink" Target="http://www.linkedin.com/company/mcarmor-miguelcaballero" TargetMode="External"/><Relationship Id="rId2128" Type="http://schemas.openxmlformats.org/officeDocument/2006/relationships/hyperlink" Target="http://www.linkedin.com/in/camilonaranjokairuz" TargetMode="External"/><Relationship Id="rId2129" Type="http://schemas.openxmlformats.org/officeDocument/2006/relationships/hyperlink" Target="http://www.linkedin.com/company/saludtools" TargetMode="External"/><Relationship Id="rId3459" Type="http://schemas.openxmlformats.org/officeDocument/2006/relationships/hyperlink" Target="http://www.linkedin.com/in/santiago-rodr%c3%adguez-uribe-6a2a331a7" TargetMode="External"/><Relationship Id="rId3450" Type="http://schemas.openxmlformats.org/officeDocument/2006/relationships/hyperlink" Target="http://www.linkedin.com/in/jhon-fredy-berm%c3%badez-p-b3200b6a" TargetMode="External"/><Relationship Id="rId4781" Type="http://schemas.openxmlformats.org/officeDocument/2006/relationships/hyperlink" Target="http://www.linkedin.com/in/martha-patricia-g%c3%b3mez-subastas" TargetMode="External"/><Relationship Id="rId4780" Type="http://schemas.openxmlformats.org/officeDocument/2006/relationships/hyperlink" Target="http://www.linkedin.com/company/cyberthreat-defense-group" TargetMode="External"/><Relationship Id="rId2120" Type="http://schemas.openxmlformats.org/officeDocument/2006/relationships/hyperlink" Target="http://www.linkedin.com/company/proietti-tech-latam" TargetMode="External"/><Relationship Id="rId3452" Type="http://schemas.openxmlformats.org/officeDocument/2006/relationships/hyperlink" Target="https://ecrimeforense.com" TargetMode="External"/><Relationship Id="rId4783" Type="http://schemas.openxmlformats.org/officeDocument/2006/relationships/hyperlink" Target="http://www.linkedin.com/in/jos%c3%a9-iv%c3%a1n-gonz%c3%a1lez-vidal-42412735" TargetMode="External"/><Relationship Id="rId2121" Type="http://schemas.openxmlformats.org/officeDocument/2006/relationships/hyperlink" Target="https://proietti.it" TargetMode="External"/><Relationship Id="rId3451" Type="http://schemas.openxmlformats.org/officeDocument/2006/relationships/hyperlink" Target="http://www.linkedin.com/company/ecrimeforense" TargetMode="External"/><Relationship Id="rId4782" Type="http://schemas.openxmlformats.org/officeDocument/2006/relationships/hyperlink" Target="http://www.linkedin.com/company/subastaycomercio" TargetMode="External"/><Relationship Id="rId2122" Type="http://schemas.openxmlformats.org/officeDocument/2006/relationships/hyperlink" Target="http://www.linkedin.com/in/fabricerochette" TargetMode="External"/><Relationship Id="rId3454" Type="http://schemas.openxmlformats.org/officeDocument/2006/relationships/hyperlink" Target="http://www.linkedin.com/company/ongresso-energy" TargetMode="External"/><Relationship Id="rId4785" Type="http://schemas.openxmlformats.org/officeDocument/2006/relationships/hyperlink" Target="http://www.linkedin.com/in/joshnoseworthygcs" TargetMode="External"/><Relationship Id="rId2123" Type="http://schemas.openxmlformats.org/officeDocument/2006/relationships/hyperlink" Target="http://www.linkedin.com/company/2060-io" TargetMode="External"/><Relationship Id="rId3453" Type="http://schemas.openxmlformats.org/officeDocument/2006/relationships/hyperlink" Target="http://www.linkedin.com/in/niels-van-der-wijk-04321aa9" TargetMode="External"/><Relationship Id="rId4784" Type="http://schemas.openxmlformats.org/officeDocument/2006/relationships/hyperlink" Target="http://www.linkedin.com/company/btw-soft" TargetMode="External"/><Relationship Id="rId2124" Type="http://schemas.openxmlformats.org/officeDocument/2006/relationships/hyperlink" Target="https://2060.io" TargetMode="External"/><Relationship Id="rId3456" Type="http://schemas.openxmlformats.org/officeDocument/2006/relationships/hyperlink" Target="http://www.linkedin.com/in/juan-carlos-duran-b043085a" TargetMode="External"/><Relationship Id="rId4787" Type="http://schemas.openxmlformats.org/officeDocument/2006/relationships/hyperlink" Target="http://www.linkedin.com/in/miguel-caballero-g" TargetMode="External"/><Relationship Id="rId2125" Type="http://schemas.openxmlformats.org/officeDocument/2006/relationships/hyperlink" Target="http://www.linkedin.com/in/sergioperez-vicval" TargetMode="External"/><Relationship Id="rId3455" Type="http://schemas.openxmlformats.org/officeDocument/2006/relationships/hyperlink" Target="https://ongresso-energy.com" TargetMode="External"/><Relationship Id="rId4786" Type="http://schemas.openxmlformats.org/officeDocument/2006/relationships/hyperlink" Target="http://www.linkedin.com/company/globalconservationsolutions" TargetMode="External"/><Relationship Id="rId2115" Type="http://schemas.openxmlformats.org/officeDocument/2006/relationships/hyperlink" Target="http://www.linkedin.com/in/camilomatiz" TargetMode="External"/><Relationship Id="rId3447" Type="http://schemas.openxmlformats.org/officeDocument/2006/relationships/hyperlink" Target="http://www.linkedin.com/in/cirogelvezp" TargetMode="External"/><Relationship Id="rId4778" Type="http://schemas.openxmlformats.org/officeDocument/2006/relationships/hyperlink" Target="http://www.linkedin.com/company/ubidots" TargetMode="External"/><Relationship Id="rId2116" Type="http://schemas.openxmlformats.org/officeDocument/2006/relationships/hyperlink" Target="http://www.linkedin.com/company/stable%c2%ae" TargetMode="External"/><Relationship Id="rId3446" Type="http://schemas.openxmlformats.org/officeDocument/2006/relationships/hyperlink" Target="https://estrategiamic.com" TargetMode="External"/><Relationship Id="rId4777" Type="http://schemas.openxmlformats.org/officeDocument/2006/relationships/hyperlink" Target="http://www.linkedin.com/in/agustin1985" TargetMode="External"/><Relationship Id="rId2117" Type="http://schemas.openxmlformats.org/officeDocument/2006/relationships/hyperlink" Target="https://stable-life.com" TargetMode="External"/><Relationship Id="rId3449" Type="http://schemas.openxmlformats.org/officeDocument/2006/relationships/hyperlink" Target="https://wseeds.co" TargetMode="External"/><Relationship Id="rId2118" Type="http://schemas.openxmlformats.org/officeDocument/2006/relationships/hyperlink" Target="http://2060.io" TargetMode="External"/><Relationship Id="rId3448" Type="http://schemas.openxmlformats.org/officeDocument/2006/relationships/hyperlink" Target="http://www.linkedin.com/company/wseeds" TargetMode="External"/><Relationship Id="rId4779" Type="http://schemas.openxmlformats.org/officeDocument/2006/relationships/hyperlink" Target="http://www.linkedin.com/in/mauricio-donado-amaya-3062034b" TargetMode="External"/><Relationship Id="rId2119" Type="http://schemas.openxmlformats.org/officeDocument/2006/relationships/hyperlink" Target="http://www.linkedin.com/in/yuresky-rojas" TargetMode="External"/><Relationship Id="rId4770" Type="http://schemas.openxmlformats.org/officeDocument/2006/relationships/hyperlink" Target="http://www.linkedin.com/company/khuma-coaching" TargetMode="External"/><Relationship Id="rId3441" Type="http://schemas.openxmlformats.org/officeDocument/2006/relationships/hyperlink" Target="http://www.linkedin.com/in/juan-camilo-rodr%c3%adguez-sabogal-1434a9162" TargetMode="External"/><Relationship Id="rId4772" Type="http://schemas.openxmlformats.org/officeDocument/2006/relationships/hyperlink" Target="http://www.linkedin.com/company/morerapr" TargetMode="External"/><Relationship Id="rId2110" Type="http://schemas.openxmlformats.org/officeDocument/2006/relationships/hyperlink" Target="http://www.linkedin.com/company/welli" TargetMode="External"/><Relationship Id="rId3440" Type="http://schemas.openxmlformats.org/officeDocument/2006/relationships/hyperlink" Target="https://neastudio.xyz" TargetMode="External"/><Relationship Id="rId4771" Type="http://schemas.openxmlformats.org/officeDocument/2006/relationships/hyperlink" Target="http://www.linkedin.com/in/marine-more-morera-7a22b916" TargetMode="External"/><Relationship Id="rId2111" Type="http://schemas.openxmlformats.org/officeDocument/2006/relationships/hyperlink" Target="https://welli.com.co" TargetMode="External"/><Relationship Id="rId3443" Type="http://schemas.openxmlformats.org/officeDocument/2006/relationships/hyperlink" Target="https://creditop.com" TargetMode="External"/><Relationship Id="rId4774" Type="http://schemas.openxmlformats.org/officeDocument/2006/relationships/hyperlink" Target="http://www.linkedin.com/company/centinela-appliance" TargetMode="External"/><Relationship Id="rId2112" Type="http://schemas.openxmlformats.org/officeDocument/2006/relationships/hyperlink" Target="http://www.linkedin.com/in/jorgeapalacio" TargetMode="External"/><Relationship Id="rId3442" Type="http://schemas.openxmlformats.org/officeDocument/2006/relationships/hyperlink" Target="http://www.linkedin.com/company/creditopcompany" TargetMode="External"/><Relationship Id="rId4773" Type="http://schemas.openxmlformats.org/officeDocument/2006/relationships/hyperlink" Target="http://www.linkedin.com/in/norman-ocampo" TargetMode="External"/><Relationship Id="rId2113" Type="http://schemas.openxmlformats.org/officeDocument/2006/relationships/hyperlink" Target="http://www.linkedin.com/company/clevercel" TargetMode="External"/><Relationship Id="rId3445" Type="http://schemas.openxmlformats.org/officeDocument/2006/relationships/hyperlink" Target="http://www.linkedin.com/company/estrategia-mic" TargetMode="External"/><Relationship Id="rId4776" Type="http://schemas.openxmlformats.org/officeDocument/2006/relationships/hyperlink" Target="http://www.linkedin.com/company/spybee" TargetMode="External"/><Relationship Id="rId2114" Type="http://schemas.openxmlformats.org/officeDocument/2006/relationships/hyperlink" Target="https://clevercel.co" TargetMode="External"/><Relationship Id="rId3444" Type="http://schemas.openxmlformats.org/officeDocument/2006/relationships/hyperlink" Target="http://www.linkedin.com/in/andresarangoe" TargetMode="External"/><Relationship Id="rId4775" Type="http://schemas.openxmlformats.org/officeDocument/2006/relationships/hyperlink" Target="http://www.linkedin.com/in/julian-rico-spybe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6" width="14.0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5"/>
      <c r="C4" s="5"/>
      <c r="D4" s="5"/>
      <c r="E4" s="5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</v>
      </c>
      <c r="B6" s="5"/>
      <c r="C6" s="5"/>
      <c r="D6" s="5"/>
      <c r="E6" s="5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5"/>
      <c r="C7" s="5"/>
      <c r="D7" s="5"/>
      <c r="E7" s="5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5</v>
      </c>
      <c r="B8" s="5"/>
      <c r="C8" s="5"/>
      <c r="D8" s="5"/>
      <c r="E8" s="5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</v>
      </c>
      <c r="B9" s="5"/>
      <c r="C9" s="5"/>
      <c r="D9" s="5"/>
      <c r="E9" s="5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7</v>
      </c>
      <c r="B10" s="5"/>
      <c r="C10" s="5"/>
      <c r="D10" s="5"/>
      <c r="E10" s="5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8</v>
      </c>
      <c r="B12" s="5"/>
      <c r="C12" s="5"/>
      <c r="D12" s="5"/>
      <c r="E12" s="5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7" t="s">
        <v>9</v>
      </c>
      <c r="B14" s="8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7" t="s">
        <v>11</v>
      </c>
      <c r="B15" s="8" t="s">
        <v>12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7" t="s">
        <v>13</v>
      </c>
      <c r="B16" s="8" t="s">
        <v>14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15</v>
      </c>
      <c r="B18" s="5"/>
      <c r="C18" s="5"/>
      <c r="D18" s="5"/>
      <c r="E18" s="5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7" t="s">
        <v>16</v>
      </c>
      <c r="B20" s="8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7" t="s">
        <v>18</v>
      </c>
      <c r="B21" s="8" t="s">
        <v>19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7" t="s">
        <v>20</v>
      </c>
      <c r="B22" s="8" t="s">
        <v>21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7" t="s">
        <v>22</v>
      </c>
      <c r="B23" s="8" t="s">
        <v>23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24</v>
      </c>
      <c r="B25" s="5"/>
      <c r="C25" s="5"/>
      <c r="D25" s="5"/>
      <c r="E25" s="5"/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7" t="s">
        <v>25</v>
      </c>
      <c r="B27" s="8" t="s">
        <v>26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7" t="s">
        <v>27</v>
      </c>
      <c r="B28" s="8" t="s">
        <v>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7" t="s">
        <v>29</v>
      </c>
      <c r="B29" s="8" t="s">
        <v>30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7" t="s">
        <v>31</v>
      </c>
      <c r="B30" s="8" t="s">
        <v>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33</v>
      </c>
      <c r="B32" s="5"/>
      <c r="C32" s="5"/>
      <c r="D32" s="5"/>
      <c r="E32" s="5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7" t="s">
        <v>34</v>
      </c>
      <c r="B34" s="8" t="s">
        <v>35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4">
    <mergeCell ref="A1:F1"/>
    <mergeCell ref="A2:F2"/>
    <mergeCell ref="A4:F4"/>
    <mergeCell ref="A6:F6"/>
    <mergeCell ref="A7:F7"/>
    <mergeCell ref="A8:F8"/>
    <mergeCell ref="A9:F9"/>
    <mergeCell ref="A10:F10"/>
    <mergeCell ref="A12:F12"/>
    <mergeCell ref="B14:F14"/>
    <mergeCell ref="B15:F15"/>
    <mergeCell ref="B16:F16"/>
    <mergeCell ref="A18:F18"/>
    <mergeCell ref="B20:F20"/>
    <mergeCell ref="B30:F30"/>
    <mergeCell ref="A32:F32"/>
    <mergeCell ref="B34:F34"/>
    <mergeCell ref="B21:F21"/>
    <mergeCell ref="B22:F22"/>
    <mergeCell ref="B23:F23"/>
    <mergeCell ref="A25:F25"/>
    <mergeCell ref="B27:F27"/>
    <mergeCell ref="B28:F28"/>
    <mergeCell ref="B29:F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2.0"/>
    <col customWidth="1" min="3" max="3" width="55.0"/>
    <col customWidth="1" min="4" max="6" width="8.71"/>
  </cols>
  <sheetData>
    <row r="1">
      <c r="A1" s="1" t="s">
        <v>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9" t="s">
        <v>37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38</v>
      </c>
      <c r="B4" s="10" t="s">
        <v>39</v>
      </c>
      <c r="C4" s="10" t="s">
        <v>40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41</v>
      </c>
      <c r="B5" s="12">
        <v>12.0</v>
      </c>
      <c r="C5" s="13" t="s">
        <v>42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43</v>
      </c>
      <c r="B6" s="12">
        <v>12.0</v>
      </c>
      <c r="C6" s="13" t="s">
        <v>44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45</v>
      </c>
      <c r="B7" s="12">
        <v>4.0</v>
      </c>
      <c r="C7" s="13" t="s">
        <v>46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47</v>
      </c>
      <c r="B8" s="12">
        <v>12.0</v>
      </c>
      <c r="C8" s="13" t="s">
        <v>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49</v>
      </c>
      <c r="B9" s="12">
        <v>4.0</v>
      </c>
      <c r="C9" s="13" t="s">
        <v>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51</v>
      </c>
      <c r="B10" s="12">
        <v>8.0</v>
      </c>
      <c r="C10" s="13" t="s">
        <v>52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53</v>
      </c>
      <c r="B11" s="12">
        <v>8.0</v>
      </c>
      <c r="C11" s="13" t="s">
        <v>54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55</v>
      </c>
      <c r="B12" s="12">
        <v>8.0</v>
      </c>
      <c r="C12" s="13" t="s">
        <v>56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4"/>
      <c r="C13" s="1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5" t="s">
        <v>57</v>
      </c>
      <c r="B15" s="16">
        <f>SUM(B5:B12)+B23+B27+B31-B7</f>
        <v>100</v>
      </c>
      <c r="C15" s="17" t="s">
        <v>58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 t="s">
        <v>59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60</v>
      </c>
      <c r="B19" s="12">
        <v>60.0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" t="s">
        <v>61</v>
      </c>
      <c r="B20" s="12">
        <v>40.0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 t="s">
        <v>62</v>
      </c>
      <c r="B21" s="12">
        <v>24.0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0" t="s">
        <v>63</v>
      </c>
      <c r="B23" s="21">
        <v>12.0</v>
      </c>
      <c r="C23" s="20" t="s">
        <v>64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0" t="s">
        <v>65</v>
      </c>
      <c r="B24" s="21">
        <v>4.0</v>
      </c>
      <c r="C24" s="20" t="s">
        <v>66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0" t="s">
        <v>67</v>
      </c>
      <c r="B25" s="21">
        <v>0.0</v>
      </c>
      <c r="C25" s="20" t="s">
        <v>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0" t="s">
        <v>69</v>
      </c>
      <c r="B27" s="21">
        <v>12.0</v>
      </c>
      <c r="C27" s="20" t="s">
        <v>70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0" t="s">
        <v>71</v>
      </c>
      <c r="B28" s="21">
        <v>4.0</v>
      </c>
      <c r="C28" s="20" t="s">
        <v>72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73</v>
      </c>
      <c r="B30" s="2" t="s">
        <v>39</v>
      </c>
      <c r="C30" s="2" t="s">
        <v>74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75</v>
      </c>
      <c r="B31" s="22">
        <v>12.0</v>
      </c>
      <c r="C31" s="2" t="s">
        <v>76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77</v>
      </c>
      <c r="B32" s="22">
        <v>12.0</v>
      </c>
      <c r="C32" s="2" t="s">
        <v>78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79</v>
      </c>
      <c r="B33" s="22">
        <v>8.0</v>
      </c>
      <c r="C33" s="2" t="s">
        <v>80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81</v>
      </c>
      <c r="B34" s="22">
        <v>4.0</v>
      </c>
      <c r="C34" s="2" t="s">
        <v>82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83</v>
      </c>
      <c r="B35" s="2">
        <v>0.0</v>
      </c>
      <c r="C35" s="2" t="s">
        <v>84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3">
    <mergeCell ref="A1:C1"/>
    <mergeCell ref="A2:C2"/>
    <mergeCell ref="A18:C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.43"/>
    <col customWidth="1" min="2" max="2" width="12.14"/>
    <col customWidth="1" min="3" max="3" width="88.43"/>
    <col customWidth="1" min="4" max="4" width="96.86"/>
    <col customWidth="1" min="5" max="5" width="43.86"/>
    <col customWidth="1" min="6" max="6" width="105.0"/>
    <col customWidth="1" min="7" max="7" width="118.86"/>
    <col customWidth="1" min="8" max="8" width="40.43"/>
    <col customWidth="1" min="9" max="9" width="32.43"/>
    <col customWidth="1" min="10" max="11" width="12.57"/>
    <col customWidth="1" min="12" max="12" width="15.0"/>
    <col customWidth="1" min="13" max="13" width="16.86"/>
    <col customWidth="1" min="14" max="14" width="9.71"/>
    <col customWidth="1" min="15" max="15" width="11.14"/>
    <col customWidth="1" min="16" max="16" width="21.86"/>
    <col customWidth="1" min="17" max="17" width="13.86"/>
    <col customWidth="1" min="18" max="18" width="14.43"/>
    <col customWidth="1" min="19" max="19" width="9.86"/>
    <col customWidth="1" min="20" max="20" width="7.86"/>
    <col customWidth="1" min="21" max="21" width="9.14"/>
  </cols>
  <sheetData>
    <row r="1">
      <c r="A1" s="23" t="s">
        <v>85</v>
      </c>
      <c r="B1" s="10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  <c r="H1" s="10" t="s">
        <v>92</v>
      </c>
      <c r="I1" s="10" t="s">
        <v>93</v>
      </c>
      <c r="J1" s="10" t="s">
        <v>94</v>
      </c>
      <c r="K1" s="10" t="s">
        <v>95</v>
      </c>
      <c r="L1" s="10" t="s">
        <v>96</v>
      </c>
      <c r="M1" s="10" t="s">
        <v>97</v>
      </c>
      <c r="N1" s="10" t="s">
        <v>98</v>
      </c>
      <c r="O1" s="10" t="s">
        <v>99</v>
      </c>
      <c r="P1" s="10" t="s">
        <v>100</v>
      </c>
      <c r="Q1" s="10" t="s">
        <v>101</v>
      </c>
      <c r="R1" s="10" t="s">
        <v>40</v>
      </c>
      <c r="S1" s="24" t="s">
        <v>102</v>
      </c>
      <c r="T1" s="24" t="s">
        <v>103</v>
      </c>
      <c r="U1" s="25" t="s">
        <v>104</v>
      </c>
      <c r="V1" s="10" t="s">
        <v>105</v>
      </c>
      <c r="W1" s="10" t="s">
        <v>106</v>
      </c>
    </row>
    <row r="2">
      <c r="A2" s="26" t="s">
        <v>107</v>
      </c>
      <c r="B2" s="2"/>
      <c r="C2" s="2"/>
      <c r="D2" s="2"/>
      <c r="E2" s="2"/>
      <c r="F2" s="2"/>
      <c r="G2" s="2"/>
      <c r="H2" s="2"/>
      <c r="I2" s="2"/>
      <c r="J2" s="2"/>
      <c r="K2" s="27" t="s">
        <v>108</v>
      </c>
      <c r="L2" s="27" t="s">
        <v>108</v>
      </c>
      <c r="M2" s="27" t="s">
        <v>108</v>
      </c>
      <c r="N2" s="27" t="s">
        <v>108</v>
      </c>
      <c r="O2" s="27" t="s">
        <v>108</v>
      </c>
      <c r="P2" s="27" t="s">
        <v>108</v>
      </c>
      <c r="Q2" s="27" t="s">
        <v>108</v>
      </c>
      <c r="R2" s="27" t="s">
        <v>108</v>
      </c>
      <c r="S2" s="26" t="s">
        <v>107</v>
      </c>
      <c r="T2" s="26" t="s">
        <v>107</v>
      </c>
      <c r="U2" s="25" t="s">
        <v>107</v>
      </c>
      <c r="V2" s="26" t="s">
        <v>107</v>
      </c>
      <c r="W2" s="26" t="s">
        <v>107</v>
      </c>
    </row>
    <row r="3">
      <c r="A3" s="28">
        <f t="shared" ref="A3:A2013" si="1">IF(B3="","",ROW()-2)</f>
        <v>1</v>
      </c>
      <c r="B3" s="29" t="s">
        <v>109</v>
      </c>
      <c r="C3" s="29" t="s">
        <v>110</v>
      </c>
      <c r="D3" s="29" t="s">
        <v>111</v>
      </c>
      <c r="E3" s="29" t="s">
        <v>112</v>
      </c>
      <c r="F3" s="30" t="s">
        <v>113</v>
      </c>
      <c r="G3" s="30" t="s">
        <v>114</v>
      </c>
      <c r="H3" s="30" t="s">
        <v>115</v>
      </c>
      <c r="I3" s="29" t="s">
        <v>116</v>
      </c>
      <c r="J3" s="31">
        <v>44.0</v>
      </c>
      <c r="K3" s="32" t="s">
        <v>117</v>
      </c>
      <c r="L3" s="32" t="s">
        <v>118</v>
      </c>
      <c r="M3" s="32" t="s">
        <v>117</v>
      </c>
      <c r="N3" s="32" t="s">
        <v>117</v>
      </c>
      <c r="O3" s="32" t="s">
        <v>117</v>
      </c>
      <c r="P3" s="32" t="s">
        <v>119</v>
      </c>
      <c r="Q3" s="32" t="s">
        <v>119</v>
      </c>
      <c r="R3" s="32"/>
      <c r="S3" s="33">
        <f>IF(B3="","",IF(ISNUMBER(J3),IF(J3&lt;=10,'Configuración'!$B$23,IF(J3&lt;=50,'Configuración'!$B$24,IF(J3&lt;=200,'Configuración'!$B$25,0))),0))</f>
        <v>4</v>
      </c>
      <c r="T3" s="33">
        <f>IF(B3="","",IF(ISNUMBER(SEARCH("information technology",I3))+ISNUMBER(SEARCH("software",I3))+ISNUMBER(SEARCH("internet",I3))+ISNUMBER(SEARCH("computer",I3))+ISNUMBER(SEARCH("saas",I3))+ISNUMBER(SEARCH("fintech",I3))+ISNUMBER(SEARCH("information services",I3))+ISNUMBER(SEARCH("telecommunications",I3))&gt;0,'Configuración'!$B$27,'Configuración'!$B$28))</f>
        <v>4</v>
      </c>
      <c r="U3" s="25">
        <f>IF(B3="","",IF(ISNUMBER(SEARCH("CEO",C3))+ISNUMBER(SEARCH("Founder",C3))+ISNUMBER(SEARCH("Owner",C3))+ISNUMBER(SEARCH("Dueño",C3))+ISNUMBER(SEARCH("Director General",C3))+ISNUMBER(SEARCH("Presidente",C3))+ISNUMBER(SEARCH("President",C3))&gt;0,'Configuración'!$B$31,IF(ISNUMBER(SEARCH("CMO",C3))+ISNUMBER(SEARCH("Chief Marketing",C3))+ISNUMBER(SEARCH("VP Marketing",C3))+ISNUMBER(SEARCH("Director de Marketing",C3))+ISNUMBER(SEARCH("Director Marketing",C3))+ISNUMBER(SEARCH("Head of Marketing",C3))+ISNUMBER(SEARCH("Head Marketing",C3))&gt;0,'Configuración'!$B$32,IF(ISNUMBER(SEARCH("Marketing Manager",C3))+ISNUMBER(SEARCH("Gerente de Marketing",C3))+ISNUMBER(SEARCH("Growth Manager",C3))+ISNUMBER(SEARCH("Demand Gen",C3))+ISNUMBER(SEARCH("Marketing Lead",C3))&gt;0,'Configuración'!$B$33,IF(ISNUMBER(SEARCH("COO",C3))+ISNUMBER(SEARCH("CFO",C3))+ISNUMBER(SEARCH("CTO",C3))+ISNUMBER(SEARCH("Chief Operating",C3))+ISNUMBER(SEARCH("Chief Financial",C3))+ISNUMBER(SEARCH("Gerente General",C3))+ISNUMBER(SEARCH("General Manager",C3))&gt;0,'Configuración'!$B$34,'Configuración'!$B$35)))))</f>
        <v>12</v>
      </c>
      <c r="V3" s="28">
        <f>IF(B3="","",IF(K3="Sí",'Configuración'!$B$5,0)+IF(L3="Semanal",'Configuración'!$B$6,IF(L3="Mensual",'Configuración'!$B$7,0))+IF(M3="Sí",'Configuración'!$B$8,0)+IF(N3="Sí",'Configuración'!$B$9,0)+IF(O3="Sí",'Configuración'!$B$10,0)+IF(P3="Sí",'Configuración'!$B$11,0)+IF(Q3="Sí",'Configuración'!$B$12,0)+S3+T3+U3)</f>
        <v>68</v>
      </c>
      <c r="W3" s="28" t="str">
        <f>IF(B3="","",IF(V3&gt;='Configuración'!$B$19,"A",IF(V3&gt;='Configuración'!$B$20,"B",IF(V3&gt;='Configuración'!$B$21,"C","Descarte"))))</f>
        <v>A</v>
      </c>
    </row>
    <row r="4" ht="20.25" customHeight="1">
      <c r="A4" s="34">
        <f t="shared" si="1"/>
        <v>2</v>
      </c>
      <c r="B4" s="29" t="s">
        <v>120</v>
      </c>
      <c r="C4" s="29" t="s">
        <v>121</v>
      </c>
      <c r="D4" s="29" t="s">
        <v>122</v>
      </c>
      <c r="E4" s="29" t="s">
        <v>123</v>
      </c>
      <c r="F4" s="30" t="s">
        <v>124</v>
      </c>
      <c r="G4" s="30" t="s">
        <v>125</v>
      </c>
      <c r="H4" s="30" t="s">
        <v>126</v>
      </c>
      <c r="I4" s="29" t="s">
        <v>127</v>
      </c>
      <c r="J4" s="31">
        <v>2.0</v>
      </c>
      <c r="K4" s="35" t="s">
        <v>119</v>
      </c>
      <c r="L4" s="36" t="s">
        <v>128</v>
      </c>
      <c r="M4" s="36" t="s">
        <v>117</v>
      </c>
      <c r="N4" s="36" t="s">
        <v>119</v>
      </c>
      <c r="O4" s="36" t="s">
        <v>119</v>
      </c>
      <c r="P4" s="36" t="s">
        <v>119</v>
      </c>
      <c r="Q4" s="36" t="s">
        <v>119</v>
      </c>
      <c r="R4" s="36" t="s">
        <v>129</v>
      </c>
      <c r="S4" s="37">
        <f>IF(B4="","",IF(ISNUMBER(J4),IF(J4&lt;=10,'Configuración'!$B$23,IF(J4&lt;=50,'Configuración'!$B$24,IF(J4&lt;=200,'Configuración'!$B$25,0))),0))</f>
        <v>12</v>
      </c>
      <c r="T4" s="37">
        <f>IF(B4="","",IF(ISNUMBER(SEARCH("information technology",I4))+ISNUMBER(SEARCH("software",I4))+ISNUMBER(SEARCH("internet",I4))+ISNUMBER(SEARCH("computer",I4))+ISNUMBER(SEARCH("saas",I4))+ISNUMBER(SEARCH("fintech",I4))+ISNUMBER(SEARCH("information services",I4))+ISNUMBER(SEARCH("telecommunications",I4))&gt;0,'Configuración'!$B$27,'Configuración'!$B$28))</f>
        <v>12</v>
      </c>
      <c r="U4" s="25">
        <f>IF(B4="","",IF(ISNUMBER(SEARCH("CEO",C4))+ISNUMBER(SEARCH("Founder",C4))+ISNUMBER(SEARCH("Owner",C4))+ISNUMBER(SEARCH("Dueño",C4))+ISNUMBER(SEARCH("Director General",C4))+ISNUMBER(SEARCH("Presidente",C4))+ISNUMBER(SEARCH("President",C4))&gt;0,'Configuración'!$B$31,IF(ISNUMBER(SEARCH("CMO",C4))+ISNUMBER(SEARCH("Chief Marketing",C4))+ISNUMBER(SEARCH("VP Marketing",C4))+ISNUMBER(SEARCH("Director de Marketing",C4))+ISNUMBER(SEARCH("Director Marketing",C4))+ISNUMBER(SEARCH("Head of Marketing",C4))+ISNUMBER(SEARCH("Head Marketing",C4))&gt;0,'Configuración'!$B$32,IF(ISNUMBER(SEARCH("Marketing Manager",C4))+ISNUMBER(SEARCH("Gerente de Marketing",C4))+ISNUMBER(SEARCH("Growth Manager",C4))+ISNUMBER(SEARCH("Demand Gen",C4))+ISNUMBER(SEARCH("Marketing Lead",C4))&gt;0,'Configuración'!$B$33,IF(ISNUMBER(SEARCH("COO",C4))+ISNUMBER(SEARCH("CFO",C4))+ISNUMBER(SEARCH("CTO",C4))+ISNUMBER(SEARCH("Chief Operating",C4))+ISNUMBER(SEARCH("Chief Financial",C4))+ISNUMBER(SEARCH("Gerente General",C4))+ISNUMBER(SEARCH("General Manager",C4))&gt;0,'Configuración'!$B$34,'Configuración'!$B$35)))))</f>
        <v>12</v>
      </c>
      <c r="V4" s="38">
        <f>IF(B4="","",IF(K4="Sí",'Configuración'!$B$5,0)+IF(L4="Semanal",'Configuración'!$B$6,IF(L4="Mensual",'Configuración'!$B$7,0))+IF(M4="Sí",'Configuración'!$B$8,0)+IF(N4="Sí",'Configuración'!$B$9,0)+IF(O4="Sí",'Configuración'!$B$10,0)+IF(P4="Sí",'Configuración'!$B$11,0)+IF(Q4="Sí",'Configuración'!$B$12,0)+S4+T4+U4)</f>
        <v>48</v>
      </c>
      <c r="W4" s="39" t="str">
        <f>IF(B4="","",IF(V4&gt;='Configuración'!$B$19,"A",IF(V4&gt;='Configuración'!$B$20,"B",IF(V4&gt;='Configuración'!$B$21,"C","Descarte"))))</f>
        <v>B</v>
      </c>
    </row>
    <row r="5">
      <c r="A5" s="34">
        <f t="shared" si="1"/>
        <v>3</v>
      </c>
      <c r="B5" s="29" t="s">
        <v>130</v>
      </c>
      <c r="C5" s="29" t="s">
        <v>131</v>
      </c>
      <c r="D5" s="29" t="s">
        <v>132</v>
      </c>
      <c r="E5" s="29" t="s">
        <v>133</v>
      </c>
      <c r="F5" s="30" t="s">
        <v>134</v>
      </c>
      <c r="G5" s="30" t="s">
        <v>135</v>
      </c>
      <c r="H5" s="30" t="s">
        <v>136</v>
      </c>
      <c r="I5" s="29" t="s">
        <v>137</v>
      </c>
      <c r="J5" s="31">
        <v>2.0</v>
      </c>
      <c r="K5" s="36" t="s">
        <v>117</v>
      </c>
      <c r="L5" s="36" t="s">
        <v>128</v>
      </c>
      <c r="M5" s="36" t="s">
        <v>117</v>
      </c>
      <c r="N5" s="36" t="s">
        <v>119</v>
      </c>
      <c r="O5" s="36" t="s">
        <v>119</v>
      </c>
      <c r="P5" s="36" t="s">
        <v>117</v>
      </c>
      <c r="Q5" s="36" t="s">
        <v>119</v>
      </c>
      <c r="R5" s="35"/>
      <c r="S5" s="37">
        <f>IF(B5="","",IF(ISNUMBER(J5),IF(J5&lt;=10,'Configuración'!$B$23,IF(J5&lt;=50,'Configuración'!$B$24,IF(J5&lt;=200,'Configuración'!$B$25,0))),0))</f>
        <v>12</v>
      </c>
      <c r="T5" s="37">
        <f>IF(B5="","",IF(ISNUMBER(SEARCH("information technology",I5))+ISNUMBER(SEARCH("software",I5))+ISNUMBER(SEARCH("internet",I5))+ISNUMBER(SEARCH("computer",I5))+ISNUMBER(SEARCH("saas",I5))+ISNUMBER(SEARCH("fintech",I5))+ISNUMBER(SEARCH("information services",I5))+ISNUMBER(SEARCH("telecommunications",I5))&gt;0,'Configuración'!$B$27,'Configuración'!$B$28))</f>
        <v>4</v>
      </c>
      <c r="U5" s="25">
        <f>IF(B5="","",IF(ISNUMBER(SEARCH("CEO",C5))+ISNUMBER(SEARCH("Founder",C5))+ISNUMBER(SEARCH("Owner",C5))+ISNUMBER(SEARCH("Dueño",C5))+ISNUMBER(SEARCH("Director General",C5))+ISNUMBER(SEARCH("Presidente",C5))+ISNUMBER(SEARCH("President",C5))&gt;0,'Configuración'!$B$31,IF(ISNUMBER(SEARCH("CMO",C5))+ISNUMBER(SEARCH("Chief Marketing",C5))+ISNUMBER(SEARCH("VP Marketing",C5))+ISNUMBER(SEARCH("Director de Marketing",C5))+ISNUMBER(SEARCH("Director Marketing",C5))+ISNUMBER(SEARCH("Head of Marketing",C5))+ISNUMBER(SEARCH("Head Marketing",C5))&gt;0,'Configuración'!$B$32,IF(ISNUMBER(SEARCH("Marketing Manager",C5))+ISNUMBER(SEARCH("Gerente de Marketing",C5))+ISNUMBER(SEARCH("Growth Manager",C5))+ISNUMBER(SEARCH("Demand Gen",C5))+ISNUMBER(SEARCH("Marketing Lead",C5))&gt;0,'Configuración'!$B$33,IF(ISNUMBER(SEARCH("COO",C5))+ISNUMBER(SEARCH("CFO",C5))+ISNUMBER(SEARCH("CTO",C5))+ISNUMBER(SEARCH("Chief Operating",C5))+ISNUMBER(SEARCH("Chief Financial",C5))+ISNUMBER(SEARCH("Gerente General",C5))+ISNUMBER(SEARCH("General Manager",C5))&gt;0,'Configuración'!$B$34,'Configuración'!$B$35)))))</f>
        <v>12</v>
      </c>
      <c r="V5" s="38">
        <f>IF(B5="","",IF(K5="Sí",'Configuración'!$B$5,0)+IF(L5="Semanal",'Configuración'!$B$6,IF(L5="Mensual",'Configuración'!$B$7,0))+IF(M5="Sí",'Configuración'!$B$8,0)+IF(N5="Sí",'Configuración'!$B$9,0)+IF(O5="Sí",'Configuración'!$B$10,0)+IF(P5="Sí",'Configuración'!$B$11,0)+IF(Q5="Sí",'Configuración'!$B$12,0)+S5+T5+U5)</f>
        <v>60</v>
      </c>
      <c r="W5" s="39" t="str">
        <f>IF(B5="","",IF(V5&gt;='Configuración'!$B$19,"A",IF(V5&gt;='Configuración'!$B$20,"B",IF(V5&gt;='Configuración'!$B$21,"C","Descarte"))))</f>
        <v>A</v>
      </c>
    </row>
    <row r="6">
      <c r="A6" s="34">
        <f t="shared" si="1"/>
        <v>4</v>
      </c>
      <c r="B6" s="29" t="s">
        <v>138</v>
      </c>
      <c r="C6" s="29" t="s">
        <v>139</v>
      </c>
      <c r="D6" s="29" t="s">
        <v>140</v>
      </c>
      <c r="E6" s="29" t="s">
        <v>141</v>
      </c>
      <c r="F6" s="30" t="s">
        <v>142</v>
      </c>
      <c r="G6" s="30" t="s">
        <v>143</v>
      </c>
      <c r="H6" s="30" t="s">
        <v>144</v>
      </c>
      <c r="I6" s="29" t="s">
        <v>145</v>
      </c>
      <c r="J6" s="31">
        <v>11.0</v>
      </c>
      <c r="K6" s="36" t="s">
        <v>119</v>
      </c>
      <c r="L6" s="36" t="s">
        <v>118</v>
      </c>
      <c r="M6" s="36" t="s">
        <v>117</v>
      </c>
      <c r="N6" s="36" t="s">
        <v>119</v>
      </c>
      <c r="O6" s="36" t="s">
        <v>119</v>
      </c>
      <c r="P6" s="36" t="s">
        <v>117</v>
      </c>
      <c r="Q6" s="36" t="s">
        <v>119</v>
      </c>
      <c r="R6" s="35"/>
      <c r="S6" s="37">
        <f>IF(B6="","",IF(ISNUMBER(J6),IF(J6&lt;=10,'Configuración'!$B$23,IF(J6&lt;=50,'Configuración'!$B$24,IF(J6&lt;=200,'Configuración'!$B$25,0))),0))</f>
        <v>4</v>
      </c>
      <c r="T6" s="37">
        <f>IF(B6="","",IF(ISNUMBER(SEARCH("information technology",I6))+ISNUMBER(SEARCH("software",I6))+ISNUMBER(SEARCH("internet",I6))+ISNUMBER(SEARCH("computer",I6))+ISNUMBER(SEARCH("saas",I6))+ISNUMBER(SEARCH("fintech",I6))+ISNUMBER(SEARCH("information services",I6))+ISNUMBER(SEARCH("telecommunications",I6))&gt;0,'Configuración'!$B$27,'Configuración'!$B$28))</f>
        <v>4</v>
      </c>
      <c r="U6" s="25">
        <f>IF(B6="","",IF(ISNUMBER(SEARCH("CEO",C6))+ISNUMBER(SEARCH("Founder",C6))+ISNUMBER(SEARCH("Owner",C6))+ISNUMBER(SEARCH("Dueño",C6))+ISNUMBER(SEARCH("Director General",C6))+ISNUMBER(SEARCH("Presidente",C6))+ISNUMBER(SEARCH("President",C6))&gt;0,'Configuración'!$B$31,IF(ISNUMBER(SEARCH("CMO",C6))+ISNUMBER(SEARCH("Chief Marketing",C6))+ISNUMBER(SEARCH("VP Marketing",C6))+ISNUMBER(SEARCH("Director de Marketing",C6))+ISNUMBER(SEARCH("Director Marketing",C6))+ISNUMBER(SEARCH("Head of Marketing",C6))+ISNUMBER(SEARCH("Head Marketing",C6))&gt;0,'Configuración'!$B$32,IF(ISNUMBER(SEARCH("Marketing Manager",C6))+ISNUMBER(SEARCH("Gerente de Marketing",C6))+ISNUMBER(SEARCH("Growth Manager",C6))+ISNUMBER(SEARCH("Demand Gen",C6))+ISNUMBER(SEARCH("Marketing Lead",C6))&gt;0,'Configuración'!$B$33,IF(ISNUMBER(SEARCH("COO",C6))+ISNUMBER(SEARCH("CFO",C6))+ISNUMBER(SEARCH("CTO",C6))+ISNUMBER(SEARCH("Chief Operating",C6))+ISNUMBER(SEARCH("Chief Financial",C6))+ISNUMBER(SEARCH("Gerente General",C6))+ISNUMBER(SEARCH("General Manager",C6))&gt;0,'Configuración'!$B$34,'Configuración'!$B$35)))))</f>
        <v>12</v>
      </c>
      <c r="V6" s="38">
        <f>IF(B6="","",IF(K6="Sí",'Configuración'!$B$5,0)+IF(L6="Semanal",'Configuración'!$B$6,IF(L6="Mensual",'Configuración'!$B$7,0))+IF(M6="Sí",'Configuración'!$B$8,0)+IF(N6="Sí",'Configuración'!$B$9,0)+IF(O6="Sí",'Configuración'!$B$10,0)+IF(P6="Sí",'Configuración'!$B$11,0)+IF(Q6="Sí",'Configuración'!$B$12,0)+S6+T6+U6)</f>
        <v>52</v>
      </c>
      <c r="W6" s="39" t="str">
        <f>IF(B6="","",IF(V6&gt;='Configuración'!$B$19,"A",IF(V6&gt;='Configuración'!$B$20,"B",IF(V6&gt;='Configuración'!$B$21,"C","Descarte"))))</f>
        <v>B</v>
      </c>
    </row>
    <row r="7">
      <c r="A7" s="34">
        <f t="shared" si="1"/>
        <v>5</v>
      </c>
      <c r="B7" s="29" t="s">
        <v>120</v>
      </c>
      <c r="C7" s="29" t="s">
        <v>146</v>
      </c>
      <c r="D7" s="29" t="s">
        <v>147</v>
      </c>
      <c r="E7" s="29" t="s">
        <v>148</v>
      </c>
      <c r="F7" s="30" t="s">
        <v>149</v>
      </c>
      <c r="G7" s="30" t="s">
        <v>150</v>
      </c>
      <c r="H7" s="30" t="s">
        <v>151</v>
      </c>
      <c r="I7" s="29" t="s">
        <v>116</v>
      </c>
      <c r="J7" s="31">
        <v>35.0</v>
      </c>
      <c r="K7" s="36" t="s">
        <v>119</v>
      </c>
      <c r="L7" s="36" t="s">
        <v>128</v>
      </c>
      <c r="M7" s="36" t="s">
        <v>119</v>
      </c>
      <c r="N7" s="36" t="s">
        <v>119</v>
      </c>
      <c r="O7" s="36" t="s">
        <v>119</v>
      </c>
      <c r="P7" s="36" t="s">
        <v>119</v>
      </c>
      <c r="Q7" s="36" t="s">
        <v>119</v>
      </c>
      <c r="R7" s="35"/>
      <c r="S7" s="37">
        <f>IF(B7="","",IF(ISNUMBER(J7),IF(J7&lt;=10,'Configuración'!$B$23,IF(J7&lt;=50,'Configuración'!$B$24,IF(J7&lt;=200,'Configuración'!$B$25,0))),0))</f>
        <v>4</v>
      </c>
      <c r="T7" s="37">
        <f>IF(B7="","",IF(ISNUMBER(SEARCH("information technology",I7))+ISNUMBER(SEARCH("software",I7))+ISNUMBER(SEARCH("internet",I7))+ISNUMBER(SEARCH("computer",I7))+ISNUMBER(SEARCH("saas",I7))+ISNUMBER(SEARCH("fintech",I7))+ISNUMBER(SEARCH("information services",I7))+ISNUMBER(SEARCH("telecommunications",I7))&gt;0,'Configuración'!$B$27,'Configuración'!$B$28))</f>
        <v>4</v>
      </c>
      <c r="U7" s="25">
        <f>IF(B7="","",IF(ISNUMBER(SEARCH("CEO",C7))+ISNUMBER(SEARCH("Founder",C7))+ISNUMBER(SEARCH("Owner",C7))+ISNUMBER(SEARCH("Dueño",C7))+ISNUMBER(SEARCH("Director General",C7))+ISNUMBER(SEARCH("Presidente",C7))+ISNUMBER(SEARCH("President",C7))&gt;0,'Configuración'!$B$31,IF(ISNUMBER(SEARCH("CMO",C7))+ISNUMBER(SEARCH("Chief Marketing",C7))+ISNUMBER(SEARCH("VP Marketing",C7))+ISNUMBER(SEARCH("Director de Marketing",C7))+ISNUMBER(SEARCH("Director Marketing",C7))+ISNUMBER(SEARCH("Head of Marketing",C7))+ISNUMBER(SEARCH("Head Marketing",C7))&gt;0,'Configuración'!$B$32,IF(ISNUMBER(SEARCH("Marketing Manager",C7))+ISNUMBER(SEARCH("Gerente de Marketing",C7))+ISNUMBER(SEARCH("Growth Manager",C7))+ISNUMBER(SEARCH("Demand Gen",C7))+ISNUMBER(SEARCH("Marketing Lead",C7))&gt;0,'Configuración'!$B$33,IF(ISNUMBER(SEARCH("COO",C7))+ISNUMBER(SEARCH("CFO",C7))+ISNUMBER(SEARCH("CTO",C7))+ISNUMBER(SEARCH("Chief Operating",C7))+ISNUMBER(SEARCH("Chief Financial",C7))+ISNUMBER(SEARCH("Gerente General",C7))+ISNUMBER(SEARCH("General Manager",C7))&gt;0,'Configuración'!$B$34,'Configuración'!$B$35)))))</f>
        <v>0</v>
      </c>
      <c r="V7" s="38">
        <f>IF(B7="","",IF(K7="Sí",'Configuración'!$B$5,0)+IF(L7="Semanal",'Configuración'!$B$6,IF(L7="Mensual",'Configuración'!$B$7,0))+IF(M7="Sí",'Configuración'!$B$8,0)+IF(N7="Sí",'Configuración'!$B$9,0)+IF(O7="Sí",'Configuración'!$B$10,0)+IF(P7="Sí",'Configuración'!$B$11,0)+IF(Q7="Sí",'Configuración'!$B$12,0)+S7+T7+U7)</f>
        <v>8</v>
      </c>
      <c r="W7" s="39" t="str">
        <f>IF(B7="","",IF(V7&gt;='Configuración'!$B$19,"A",IF(V7&gt;='Configuración'!$B$20,"B",IF(V7&gt;='Configuración'!$B$21,"C","Descarte"))))</f>
        <v>Descarte</v>
      </c>
    </row>
    <row r="8">
      <c r="A8" s="34">
        <f t="shared" si="1"/>
        <v>6</v>
      </c>
      <c r="B8" s="29" t="s">
        <v>120</v>
      </c>
      <c r="C8" s="29" t="s">
        <v>152</v>
      </c>
      <c r="D8" s="29" t="s">
        <v>153</v>
      </c>
      <c r="E8" s="29" t="s">
        <v>154</v>
      </c>
      <c r="F8" s="30" t="s">
        <v>155</v>
      </c>
      <c r="G8" s="30" t="s">
        <v>156</v>
      </c>
      <c r="H8" s="30" t="s">
        <v>157</v>
      </c>
      <c r="I8" s="29" t="s">
        <v>158</v>
      </c>
      <c r="J8" s="31">
        <v>4.0</v>
      </c>
      <c r="K8" s="36" t="s">
        <v>119</v>
      </c>
      <c r="L8" s="36" t="s">
        <v>128</v>
      </c>
      <c r="M8" s="36" t="s">
        <v>119</v>
      </c>
      <c r="N8" s="36" t="s">
        <v>119</v>
      </c>
      <c r="O8" s="36" t="s">
        <v>119</v>
      </c>
      <c r="P8" s="36"/>
      <c r="Q8" s="36" t="s">
        <v>119</v>
      </c>
      <c r="R8" s="35"/>
      <c r="S8" s="37">
        <f>IF(B8="","",IF(ISNUMBER(J8),IF(J8&lt;=10,'Configuración'!$B$23,IF(J8&lt;=50,'Configuración'!$B$24,IF(J8&lt;=200,'Configuración'!$B$25,0))),0))</f>
        <v>12</v>
      </c>
      <c r="T8" s="37">
        <f>IF(B8="","",IF(ISNUMBER(SEARCH("information technology",I8))+ISNUMBER(SEARCH("software",I8))+ISNUMBER(SEARCH("internet",I8))+ISNUMBER(SEARCH("computer",I8))+ISNUMBER(SEARCH("saas",I8))+ISNUMBER(SEARCH("fintech",I8))+ISNUMBER(SEARCH("information services",I8))+ISNUMBER(SEARCH("telecommunications",I8))&gt;0,'Configuración'!$B$27,'Configuración'!$B$28))</f>
        <v>4</v>
      </c>
      <c r="U8" s="25">
        <f>IF(B8="","",IF(ISNUMBER(SEARCH("CEO",C8))+ISNUMBER(SEARCH("Founder",C8))+ISNUMBER(SEARCH("Owner",C8))+ISNUMBER(SEARCH("Dueño",C8))+ISNUMBER(SEARCH("Director General",C8))+ISNUMBER(SEARCH("Presidente",C8))+ISNUMBER(SEARCH("President",C8))&gt;0,'Configuración'!$B$31,IF(ISNUMBER(SEARCH("CMO",C8))+ISNUMBER(SEARCH("Chief Marketing",C8))+ISNUMBER(SEARCH("VP Marketing",C8))+ISNUMBER(SEARCH("Director de Marketing",C8))+ISNUMBER(SEARCH("Director Marketing",C8))+ISNUMBER(SEARCH("Head of Marketing",C8))+ISNUMBER(SEARCH("Head Marketing",C8))&gt;0,'Configuración'!$B$32,IF(ISNUMBER(SEARCH("Marketing Manager",C8))+ISNUMBER(SEARCH("Gerente de Marketing",C8))+ISNUMBER(SEARCH("Growth Manager",C8))+ISNUMBER(SEARCH("Demand Gen",C8))+ISNUMBER(SEARCH("Marketing Lead",C8))&gt;0,'Configuración'!$B$33,IF(ISNUMBER(SEARCH("COO",C8))+ISNUMBER(SEARCH("CFO",C8))+ISNUMBER(SEARCH("CTO",C8))+ISNUMBER(SEARCH("Chief Operating",C8))+ISNUMBER(SEARCH("Chief Financial",C8))+ISNUMBER(SEARCH("Gerente General",C8))+ISNUMBER(SEARCH("General Manager",C8))&gt;0,'Configuración'!$B$34,'Configuración'!$B$35)))))</f>
        <v>12</v>
      </c>
      <c r="V8" s="38">
        <f>IF(B8="","",IF(K8="Sí",'Configuración'!$B$5,0)+IF(L8="Semanal",'Configuración'!$B$6,IF(L8="Mensual",'Configuración'!$B$7,0))+IF(M8="Sí",'Configuración'!$B$8,0)+IF(N8="Sí",'Configuración'!$B$9,0)+IF(O8="Sí",'Configuración'!$B$10,0)+IF(P8="Sí",'Configuración'!$B$11,0)+IF(Q8="Sí",'Configuración'!$B$12,0)+S8+T8+U8)</f>
        <v>28</v>
      </c>
      <c r="W8" s="39" t="str">
        <f>IF(B8="","",IF(V8&gt;='Configuración'!$B$19,"A",IF(V8&gt;='Configuración'!$B$20,"B",IF(V8&gt;='Configuración'!$B$21,"C","Descarte"))))</f>
        <v>C</v>
      </c>
    </row>
    <row r="9" ht="19.5" customHeight="1">
      <c r="A9" s="34">
        <f t="shared" si="1"/>
        <v>7</v>
      </c>
      <c r="B9" s="29" t="s">
        <v>159</v>
      </c>
      <c r="C9" s="29" t="s">
        <v>160</v>
      </c>
      <c r="D9" s="29" t="s">
        <v>161</v>
      </c>
      <c r="E9" s="29" t="s">
        <v>162</v>
      </c>
      <c r="F9" s="30" t="s">
        <v>163</v>
      </c>
      <c r="G9" s="30" t="s">
        <v>164</v>
      </c>
      <c r="H9" s="30" t="s">
        <v>165</v>
      </c>
      <c r="I9" s="29" t="s">
        <v>127</v>
      </c>
      <c r="J9" s="31">
        <v>18.0</v>
      </c>
      <c r="K9" s="36" t="s">
        <v>119</v>
      </c>
      <c r="L9" s="36" t="s">
        <v>118</v>
      </c>
      <c r="M9" s="36" t="s">
        <v>117</v>
      </c>
      <c r="N9" s="36" t="s">
        <v>119</v>
      </c>
      <c r="O9" s="36" t="s">
        <v>119</v>
      </c>
      <c r="P9" s="36"/>
      <c r="Q9" s="36" t="s">
        <v>119</v>
      </c>
      <c r="R9" s="36"/>
      <c r="S9" s="37">
        <f>IF(B9="","",IF(ISNUMBER(J9),IF(J9&lt;=10,'Configuración'!$B$23,IF(J9&lt;=50,'Configuración'!$B$24,IF(J9&lt;=200,'Configuración'!$B$25,0))),0))</f>
        <v>4</v>
      </c>
      <c r="T9" s="37">
        <f>IF(B9="","",IF(ISNUMBER(SEARCH("information technology",I9))+ISNUMBER(SEARCH("software",I9))+ISNUMBER(SEARCH("internet",I9))+ISNUMBER(SEARCH("computer",I9))+ISNUMBER(SEARCH("saas",I9))+ISNUMBER(SEARCH("fintech",I9))+ISNUMBER(SEARCH("information services",I9))+ISNUMBER(SEARCH("telecommunications",I9))&gt;0,'Configuración'!$B$27,'Configuración'!$B$28))</f>
        <v>12</v>
      </c>
      <c r="U9" s="25">
        <f>IF(B9="","",IF(ISNUMBER(SEARCH("CEO",C9))+ISNUMBER(SEARCH("Founder",C9))+ISNUMBER(SEARCH("Owner",C9))+ISNUMBER(SEARCH("Dueño",C9))+ISNUMBER(SEARCH("Director General",C9))+ISNUMBER(SEARCH("Presidente",C9))+ISNUMBER(SEARCH("President",C9))&gt;0,'Configuración'!$B$31,IF(ISNUMBER(SEARCH("CMO",C9))+ISNUMBER(SEARCH("Chief Marketing",C9))+ISNUMBER(SEARCH("VP Marketing",C9))+ISNUMBER(SEARCH("Director de Marketing",C9))+ISNUMBER(SEARCH("Director Marketing",C9))+ISNUMBER(SEARCH("Head of Marketing",C9))+ISNUMBER(SEARCH("Head Marketing",C9))&gt;0,'Configuración'!$B$32,IF(ISNUMBER(SEARCH("Marketing Manager",C9))+ISNUMBER(SEARCH("Gerente de Marketing",C9))+ISNUMBER(SEARCH("Growth Manager",C9))+ISNUMBER(SEARCH("Demand Gen",C9))+ISNUMBER(SEARCH("Marketing Lead",C9))&gt;0,'Configuración'!$B$33,IF(ISNUMBER(SEARCH("COO",C9))+ISNUMBER(SEARCH("CFO",C9))+ISNUMBER(SEARCH("CTO",C9))+ISNUMBER(SEARCH("Chief Operating",C9))+ISNUMBER(SEARCH("Chief Financial",C9))+ISNUMBER(SEARCH("Gerente General",C9))+ISNUMBER(SEARCH("General Manager",C9))&gt;0,'Configuración'!$B$34,'Configuración'!$B$35)))))</f>
        <v>0</v>
      </c>
      <c r="V9" s="38">
        <f>IF(B9="","",IF(K9="Sí",'Configuración'!$B$5,0)+IF(L9="Semanal",'Configuración'!$B$6,IF(L9="Mensual",'Configuración'!$B$7,0))+IF(M9="Sí",'Configuración'!$B$8,0)+IF(N9="Sí",'Configuración'!$B$9,0)+IF(O9="Sí",'Configuración'!$B$10,0)+IF(P9="Sí",'Configuración'!$B$11,0)+IF(Q9="Sí",'Configuración'!$B$12,0)+S9+T9+U9)</f>
        <v>40</v>
      </c>
      <c r="W9" s="39" t="str">
        <f>IF(B9="","",IF(V9&gt;='Configuración'!$B$19,"A",IF(V9&gt;='Configuración'!$B$20,"B",IF(V9&gt;='Configuración'!$B$21,"C","Descarte"))))</f>
        <v>B</v>
      </c>
    </row>
    <row r="10">
      <c r="A10" s="34">
        <f t="shared" si="1"/>
        <v>8</v>
      </c>
      <c r="B10" s="29" t="s">
        <v>166</v>
      </c>
      <c r="C10" s="29" t="s">
        <v>131</v>
      </c>
      <c r="D10" s="29" t="s">
        <v>167</v>
      </c>
      <c r="E10" s="29" t="s">
        <v>168</v>
      </c>
      <c r="F10" s="30" t="s">
        <v>169</v>
      </c>
      <c r="G10" s="30" t="s">
        <v>170</v>
      </c>
      <c r="H10" s="30" t="s">
        <v>171</v>
      </c>
      <c r="I10" s="29" t="s">
        <v>172</v>
      </c>
      <c r="J10" s="31">
        <v>7.0</v>
      </c>
      <c r="K10" s="36" t="s">
        <v>119</v>
      </c>
      <c r="L10" s="36" t="s">
        <v>173</v>
      </c>
      <c r="M10" s="36" t="s">
        <v>117</v>
      </c>
      <c r="N10" s="36" t="s">
        <v>119</v>
      </c>
      <c r="O10" s="36" t="s">
        <v>119</v>
      </c>
      <c r="P10" s="35"/>
      <c r="Q10" s="36" t="s">
        <v>119</v>
      </c>
      <c r="R10" s="35"/>
      <c r="S10" s="37">
        <f>IF(B10="","",IF(ISNUMBER(J10),IF(J10&lt;=10,'Configuración'!$B$23,IF(J10&lt;=50,'Configuración'!$B$24,IF(J10&lt;=200,'Configuración'!$B$25,0))),0))</f>
        <v>12</v>
      </c>
      <c r="T10" s="37">
        <f>IF(B10="","",IF(ISNUMBER(SEARCH("information technology",I10))+ISNUMBER(SEARCH("software",I10))+ISNUMBER(SEARCH("internet",I10))+ISNUMBER(SEARCH("computer",I10))+ISNUMBER(SEARCH("saas",I10))+ISNUMBER(SEARCH("fintech",I10))+ISNUMBER(SEARCH("information services",I10))+ISNUMBER(SEARCH("telecommunications",I10))&gt;0,'Configuración'!$B$27,'Configuración'!$B$28))</f>
        <v>4</v>
      </c>
      <c r="U10" s="25">
        <f>IF(B10="","",IF(ISNUMBER(SEARCH("CEO",C10))+ISNUMBER(SEARCH("Founder",C10))+ISNUMBER(SEARCH("Owner",C10))+ISNUMBER(SEARCH("Dueño",C10))+ISNUMBER(SEARCH("Director General",C10))+ISNUMBER(SEARCH("Presidente",C10))+ISNUMBER(SEARCH("President",C10))&gt;0,'Configuración'!$B$31,IF(ISNUMBER(SEARCH("CMO",C10))+ISNUMBER(SEARCH("Chief Marketing",C10))+ISNUMBER(SEARCH("VP Marketing",C10))+ISNUMBER(SEARCH("Director de Marketing",C10))+ISNUMBER(SEARCH("Director Marketing",C10))+ISNUMBER(SEARCH("Head of Marketing",C10))+ISNUMBER(SEARCH("Head Marketing",C10))&gt;0,'Configuración'!$B$32,IF(ISNUMBER(SEARCH("Marketing Manager",C10))+ISNUMBER(SEARCH("Gerente de Marketing",C10))+ISNUMBER(SEARCH("Growth Manager",C10))+ISNUMBER(SEARCH("Demand Gen",C10))+ISNUMBER(SEARCH("Marketing Lead",C10))&gt;0,'Configuración'!$B$33,IF(ISNUMBER(SEARCH("COO",C10))+ISNUMBER(SEARCH("CFO",C10))+ISNUMBER(SEARCH("CTO",C10))+ISNUMBER(SEARCH("Chief Operating",C10))+ISNUMBER(SEARCH("Chief Financial",C10))+ISNUMBER(SEARCH("Gerente General",C10))+ISNUMBER(SEARCH("General Manager",C10))&gt;0,'Configuración'!$B$34,'Configuración'!$B$35)))))</f>
        <v>12</v>
      </c>
      <c r="V10" s="38">
        <f>IF(B10="","",IF(K10="Sí",'Configuración'!$B$5,0)+IF(L10="Semanal",'Configuración'!$B$6,IF(L10="Mensual",'Configuración'!$B$7,0))+IF(M10="Sí",'Configuración'!$B$8,0)+IF(N10="Sí",'Configuración'!$B$9,0)+IF(O10="Sí",'Configuración'!$B$10,0)+IF(P10="Sí",'Configuración'!$B$11,0)+IF(Q10="Sí",'Configuración'!$B$12,0)+S10+T10+U10)</f>
        <v>44</v>
      </c>
      <c r="W10" s="39" t="str">
        <f>IF(B10="","",IF(V10&gt;='Configuración'!$B$19,"A",IF(V10&gt;='Configuración'!$B$20,"B",IF(V10&gt;='Configuración'!$B$21,"C","Descarte"))))</f>
        <v>B</v>
      </c>
    </row>
    <row r="11">
      <c r="A11" s="34">
        <f t="shared" si="1"/>
        <v>9</v>
      </c>
      <c r="B11" s="29" t="s">
        <v>174</v>
      </c>
      <c r="C11" s="29" t="s">
        <v>175</v>
      </c>
      <c r="D11" s="29" t="s">
        <v>176</v>
      </c>
      <c r="E11" s="29" t="s">
        <v>177</v>
      </c>
      <c r="F11" s="30" t="s">
        <v>178</v>
      </c>
      <c r="G11" s="30" t="s">
        <v>179</v>
      </c>
      <c r="H11" s="30" t="s">
        <v>180</v>
      </c>
      <c r="I11" s="29" t="s">
        <v>127</v>
      </c>
      <c r="J11" s="31">
        <v>30.0</v>
      </c>
      <c r="K11" s="36" t="s">
        <v>119</v>
      </c>
      <c r="L11" s="36" t="s">
        <v>118</v>
      </c>
      <c r="M11" s="36" t="s">
        <v>117</v>
      </c>
      <c r="N11" s="36" t="s">
        <v>119</v>
      </c>
      <c r="O11" s="36" t="s">
        <v>119</v>
      </c>
      <c r="P11" s="35"/>
      <c r="Q11" s="36" t="s">
        <v>119</v>
      </c>
      <c r="R11" s="35"/>
      <c r="S11" s="37">
        <f>IF(B11="","",IF(ISNUMBER(J11),IF(J11&lt;=10,'Configuración'!$B$23,IF(J11&lt;=50,'Configuración'!$B$24,IF(J11&lt;=200,'Configuración'!$B$25,0))),0))</f>
        <v>4</v>
      </c>
      <c r="T11" s="37">
        <f>IF(B11="","",IF(ISNUMBER(SEARCH("information technology",I11))+ISNUMBER(SEARCH("software",I11))+ISNUMBER(SEARCH("internet",I11))+ISNUMBER(SEARCH("computer",I11))+ISNUMBER(SEARCH("saas",I11))+ISNUMBER(SEARCH("fintech",I11))+ISNUMBER(SEARCH("information services",I11))+ISNUMBER(SEARCH("telecommunications",I11))&gt;0,'Configuración'!$B$27,'Configuración'!$B$28))</f>
        <v>12</v>
      </c>
      <c r="U11" s="25">
        <f>IF(B11="","",IF(ISNUMBER(SEARCH("CEO",C11))+ISNUMBER(SEARCH("Founder",C11))+ISNUMBER(SEARCH("Owner",C11))+ISNUMBER(SEARCH("Dueño",C11))+ISNUMBER(SEARCH("Director General",C11))+ISNUMBER(SEARCH("Presidente",C11))+ISNUMBER(SEARCH("President",C11))&gt;0,'Configuración'!$B$31,IF(ISNUMBER(SEARCH("CMO",C11))+ISNUMBER(SEARCH("Chief Marketing",C11))+ISNUMBER(SEARCH("VP Marketing",C11))+ISNUMBER(SEARCH("Director de Marketing",C11))+ISNUMBER(SEARCH("Director Marketing",C11))+ISNUMBER(SEARCH("Head of Marketing",C11))+ISNUMBER(SEARCH("Head Marketing",C11))&gt;0,'Configuración'!$B$32,IF(ISNUMBER(SEARCH("Marketing Manager",C11))+ISNUMBER(SEARCH("Gerente de Marketing",C11))+ISNUMBER(SEARCH("Growth Manager",C11))+ISNUMBER(SEARCH("Demand Gen",C11))+ISNUMBER(SEARCH("Marketing Lead",C11))&gt;0,'Configuración'!$B$33,IF(ISNUMBER(SEARCH("COO",C11))+ISNUMBER(SEARCH("CFO",C11))+ISNUMBER(SEARCH("CTO",C11))+ISNUMBER(SEARCH("Chief Operating",C11))+ISNUMBER(SEARCH("Chief Financial",C11))+ISNUMBER(SEARCH("Gerente General",C11))+ISNUMBER(SEARCH("General Manager",C11))&gt;0,'Configuración'!$B$34,'Configuración'!$B$35)))))</f>
        <v>12</v>
      </c>
      <c r="V11" s="38">
        <f>IF(B11="","",IF(K11="Sí",'Configuración'!$B$5,0)+IF(L11="Semanal",'Configuración'!$B$6,IF(L11="Mensual",'Configuración'!$B$7,0))+IF(M11="Sí",'Configuración'!$B$8,0)+IF(N11="Sí",'Configuración'!$B$9,0)+IF(O11="Sí",'Configuración'!$B$10,0)+IF(P11="Sí",'Configuración'!$B$11,0)+IF(Q11="Sí",'Configuración'!$B$12,0)+S11+T11+U11)</f>
        <v>52</v>
      </c>
      <c r="W11" s="39" t="str">
        <f>IF(B11="","",IF(V11&gt;='Configuración'!$B$19,"A",IF(V11&gt;='Configuración'!$B$20,"B",IF(V11&gt;='Configuración'!$B$21,"C","Descarte"))))</f>
        <v>B</v>
      </c>
    </row>
    <row r="12">
      <c r="A12" s="34">
        <f t="shared" si="1"/>
        <v>10</v>
      </c>
      <c r="B12" s="29" t="s">
        <v>181</v>
      </c>
      <c r="C12" s="29" t="s">
        <v>182</v>
      </c>
      <c r="D12" s="29" t="s">
        <v>183</v>
      </c>
      <c r="E12" s="29" t="s">
        <v>184</v>
      </c>
      <c r="F12" s="30" t="s">
        <v>185</v>
      </c>
      <c r="G12" s="30" t="s">
        <v>186</v>
      </c>
      <c r="H12" s="30" t="s">
        <v>187</v>
      </c>
      <c r="I12" s="29" t="s">
        <v>188</v>
      </c>
      <c r="J12" s="31">
        <v>39.0</v>
      </c>
      <c r="K12" s="36" t="s">
        <v>117</v>
      </c>
      <c r="L12" s="36" t="s">
        <v>118</v>
      </c>
      <c r="M12" s="36" t="s">
        <v>117</v>
      </c>
      <c r="N12" s="36" t="s">
        <v>119</v>
      </c>
      <c r="O12" s="36" t="s">
        <v>119</v>
      </c>
      <c r="P12" s="35"/>
      <c r="Q12" s="36" t="s">
        <v>119</v>
      </c>
      <c r="R12" s="35"/>
      <c r="S12" s="37">
        <f>IF(B12="","",IF(ISNUMBER(J12),IF(J12&lt;=10,'Configuración'!$B$23,IF(J12&lt;=50,'Configuración'!$B$24,IF(J12&lt;=200,'Configuración'!$B$25,0))),0))</f>
        <v>4</v>
      </c>
      <c r="T12" s="37">
        <f>IF(B12="","",IF(ISNUMBER(SEARCH("information technology",I12))+ISNUMBER(SEARCH("software",I12))+ISNUMBER(SEARCH("internet",I12))+ISNUMBER(SEARCH("computer",I12))+ISNUMBER(SEARCH("saas",I12))+ISNUMBER(SEARCH("fintech",I12))+ISNUMBER(SEARCH("information services",I12))+ISNUMBER(SEARCH("telecommunications",I12))&gt;0,'Configuración'!$B$27,'Configuración'!$B$28))</f>
        <v>4</v>
      </c>
      <c r="U12" s="25">
        <f>IF(B12="","",IF(ISNUMBER(SEARCH("CEO",C12))+ISNUMBER(SEARCH("Founder",C12))+ISNUMBER(SEARCH("Owner",C12))+ISNUMBER(SEARCH("Dueño",C12))+ISNUMBER(SEARCH("Director General",C12))+ISNUMBER(SEARCH("Presidente",C12))+ISNUMBER(SEARCH("President",C12))&gt;0,'Configuración'!$B$31,IF(ISNUMBER(SEARCH("CMO",C12))+ISNUMBER(SEARCH("Chief Marketing",C12))+ISNUMBER(SEARCH("VP Marketing",C12))+ISNUMBER(SEARCH("Director de Marketing",C12))+ISNUMBER(SEARCH("Director Marketing",C12))+ISNUMBER(SEARCH("Head of Marketing",C12))+ISNUMBER(SEARCH("Head Marketing",C12))&gt;0,'Configuración'!$B$32,IF(ISNUMBER(SEARCH("Marketing Manager",C12))+ISNUMBER(SEARCH("Gerente de Marketing",C12))+ISNUMBER(SEARCH("Growth Manager",C12))+ISNUMBER(SEARCH("Demand Gen",C12))+ISNUMBER(SEARCH("Marketing Lead",C12))&gt;0,'Configuración'!$B$33,IF(ISNUMBER(SEARCH("COO",C12))+ISNUMBER(SEARCH("CFO",C12))+ISNUMBER(SEARCH("CTO",C12))+ISNUMBER(SEARCH("Chief Operating",C12))+ISNUMBER(SEARCH("Chief Financial",C12))+ISNUMBER(SEARCH("Gerente General",C12))+ISNUMBER(SEARCH("General Manager",C12))&gt;0,'Configuración'!$B$34,'Configuración'!$B$35)))))</f>
        <v>12</v>
      </c>
      <c r="V12" s="38">
        <f>IF(B12="","",IF(K12="Sí",'Configuración'!$B$5,0)+IF(L12="Semanal",'Configuración'!$B$6,IF(L12="Mensual",'Configuración'!$B$7,0))+IF(M12="Sí",'Configuración'!$B$8,0)+IF(N12="Sí",'Configuración'!$B$9,0)+IF(O12="Sí",'Configuración'!$B$10,0)+IF(P12="Sí",'Configuración'!$B$11,0)+IF(Q12="Sí",'Configuración'!$B$12,0)+S12+T12+U12)</f>
        <v>56</v>
      </c>
      <c r="W12" s="39" t="str">
        <f>IF(B12="","",IF(V12&gt;='Configuración'!$B$19,"A",IF(V12&gt;='Configuración'!$B$20,"B",IF(V12&gt;='Configuración'!$B$21,"C","Descarte"))))</f>
        <v>B</v>
      </c>
    </row>
    <row r="13">
      <c r="A13" s="34">
        <f t="shared" si="1"/>
        <v>11</v>
      </c>
      <c r="B13" s="29" t="s">
        <v>181</v>
      </c>
      <c r="C13" s="29" t="s">
        <v>131</v>
      </c>
      <c r="D13" s="29" t="s">
        <v>189</v>
      </c>
      <c r="E13" s="29" t="s">
        <v>190</v>
      </c>
      <c r="F13" s="30" t="s">
        <v>191</v>
      </c>
      <c r="G13" s="30" t="s">
        <v>192</v>
      </c>
      <c r="H13" s="30" t="s">
        <v>193</v>
      </c>
      <c r="I13" s="29" t="s">
        <v>137</v>
      </c>
      <c r="J13" s="31">
        <v>9.0</v>
      </c>
      <c r="K13" s="36" t="s">
        <v>119</v>
      </c>
      <c r="L13" s="36" t="s">
        <v>128</v>
      </c>
      <c r="M13" s="36" t="s">
        <v>117</v>
      </c>
      <c r="N13" s="36" t="s">
        <v>117</v>
      </c>
      <c r="O13" s="36" t="s">
        <v>119</v>
      </c>
      <c r="P13" s="35"/>
      <c r="Q13" s="36" t="s">
        <v>119</v>
      </c>
      <c r="R13" s="35"/>
      <c r="S13" s="37">
        <f>IF(B13="","",IF(ISNUMBER(J13),IF(J13&lt;=10,'Configuración'!$B$23,IF(J13&lt;=50,'Configuración'!$B$24,IF(J13&lt;=200,'Configuración'!$B$25,0))),0))</f>
        <v>12</v>
      </c>
      <c r="T13" s="37">
        <f>IF(B13="","",IF(ISNUMBER(SEARCH("information technology",I13))+ISNUMBER(SEARCH("software",I13))+ISNUMBER(SEARCH("internet",I13))+ISNUMBER(SEARCH("computer",I13))+ISNUMBER(SEARCH("saas",I13))+ISNUMBER(SEARCH("fintech",I13))+ISNUMBER(SEARCH("information services",I13))+ISNUMBER(SEARCH("telecommunications",I13))&gt;0,'Configuración'!$B$27,'Configuración'!$B$28))</f>
        <v>4</v>
      </c>
      <c r="U13" s="25">
        <f>IF(B13="","",IF(ISNUMBER(SEARCH("CEO",C13))+ISNUMBER(SEARCH("Founder",C13))+ISNUMBER(SEARCH("Owner",C13))+ISNUMBER(SEARCH("Dueño",C13))+ISNUMBER(SEARCH("Director General",C13))+ISNUMBER(SEARCH("Presidente",C13))+ISNUMBER(SEARCH("President",C13))&gt;0,'Configuración'!$B$31,IF(ISNUMBER(SEARCH("CMO",C13))+ISNUMBER(SEARCH("Chief Marketing",C13))+ISNUMBER(SEARCH("VP Marketing",C13))+ISNUMBER(SEARCH("Director de Marketing",C13))+ISNUMBER(SEARCH("Director Marketing",C13))+ISNUMBER(SEARCH("Head of Marketing",C13))+ISNUMBER(SEARCH("Head Marketing",C13))&gt;0,'Configuración'!$B$32,IF(ISNUMBER(SEARCH("Marketing Manager",C13))+ISNUMBER(SEARCH("Gerente de Marketing",C13))+ISNUMBER(SEARCH("Growth Manager",C13))+ISNUMBER(SEARCH("Demand Gen",C13))+ISNUMBER(SEARCH("Marketing Lead",C13))&gt;0,'Configuración'!$B$33,IF(ISNUMBER(SEARCH("COO",C13))+ISNUMBER(SEARCH("CFO",C13))+ISNUMBER(SEARCH("CTO",C13))+ISNUMBER(SEARCH("Chief Operating",C13))+ISNUMBER(SEARCH("Chief Financial",C13))+ISNUMBER(SEARCH("Gerente General",C13))+ISNUMBER(SEARCH("General Manager",C13))&gt;0,'Configuración'!$B$34,'Configuración'!$B$35)))))</f>
        <v>12</v>
      </c>
      <c r="V13" s="38">
        <f>IF(B13="","",IF(K13="Sí",'Configuración'!$B$5,0)+IF(L13="Semanal",'Configuración'!$B$6,IF(L13="Mensual",'Configuración'!$B$7,0))+IF(M13="Sí",'Configuración'!$B$8,0)+IF(N13="Sí",'Configuración'!$B$9,0)+IF(O13="Sí",'Configuración'!$B$10,0)+IF(P13="Sí",'Configuración'!$B$11,0)+IF(Q13="Sí",'Configuración'!$B$12,0)+S13+T13+U13)</f>
        <v>44</v>
      </c>
      <c r="W13" s="39" t="str">
        <f>IF(B13="","",IF(V13&gt;='Configuración'!$B$19,"A",IF(V13&gt;='Configuración'!$B$20,"B",IF(V13&gt;='Configuración'!$B$21,"C","Descarte"))))</f>
        <v>B</v>
      </c>
    </row>
    <row r="14" ht="19.5" customHeight="1">
      <c r="A14" s="34">
        <f t="shared" si="1"/>
        <v>12</v>
      </c>
      <c r="B14" s="29" t="s">
        <v>194</v>
      </c>
      <c r="C14" s="29" t="s">
        <v>131</v>
      </c>
      <c r="D14" s="29" t="s">
        <v>195</v>
      </c>
      <c r="E14" s="29" t="s">
        <v>196</v>
      </c>
      <c r="F14" s="30" t="s">
        <v>197</v>
      </c>
      <c r="G14" s="30" t="s">
        <v>198</v>
      </c>
      <c r="H14" s="30" t="s">
        <v>199</v>
      </c>
      <c r="I14" s="29" t="s">
        <v>127</v>
      </c>
      <c r="J14" s="31">
        <v>3.0</v>
      </c>
      <c r="K14" s="35"/>
      <c r="L14" s="35"/>
      <c r="M14" s="36" t="s">
        <v>117</v>
      </c>
      <c r="N14" s="35"/>
      <c r="O14" s="35"/>
      <c r="P14" s="35"/>
      <c r="Q14" s="35"/>
      <c r="R14" s="36" t="s">
        <v>200</v>
      </c>
      <c r="S14" s="37">
        <f>IF(B14="","",IF(ISNUMBER(J14),IF(J14&lt;=10,'Configuración'!$B$23,IF(J14&lt;=50,'Configuración'!$B$24,IF(J14&lt;=200,'Configuración'!$B$25,0))),0))</f>
        <v>12</v>
      </c>
      <c r="T14" s="37">
        <f>IF(B14="","",IF(ISNUMBER(SEARCH("information technology",I14))+ISNUMBER(SEARCH("software",I14))+ISNUMBER(SEARCH("internet",I14))+ISNUMBER(SEARCH("computer",I14))+ISNUMBER(SEARCH("saas",I14))+ISNUMBER(SEARCH("fintech",I14))+ISNUMBER(SEARCH("information services",I14))+ISNUMBER(SEARCH("telecommunications",I14))&gt;0,'Configuración'!$B$27,'Configuración'!$B$28))</f>
        <v>12</v>
      </c>
      <c r="U14" s="25">
        <f>IF(B14="","",IF(ISNUMBER(SEARCH("CEO",C14))+ISNUMBER(SEARCH("Founder",C14))+ISNUMBER(SEARCH("Owner",C14))+ISNUMBER(SEARCH("Dueño",C14))+ISNUMBER(SEARCH("Director General",C14))+ISNUMBER(SEARCH("Presidente",C14))+ISNUMBER(SEARCH("President",C14))&gt;0,'Configuración'!$B$31,IF(ISNUMBER(SEARCH("CMO",C14))+ISNUMBER(SEARCH("Chief Marketing",C14))+ISNUMBER(SEARCH("VP Marketing",C14))+ISNUMBER(SEARCH("Director de Marketing",C14))+ISNUMBER(SEARCH("Director Marketing",C14))+ISNUMBER(SEARCH("Head of Marketing",C14))+ISNUMBER(SEARCH("Head Marketing",C14))&gt;0,'Configuración'!$B$32,IF(ISNUMBER(SEARCH("Marketing Manager",C14))+ISNUMBER(SEARCH("Gerente de Marketing",C14))+ISNUMBER(SEARCH("Growth Manager",C14))+ISNUMBER(SEARCH("Demand Gen",C14))+ISNUMBER(SEARCH("Marketing Lead",C14))&gt;0,'Configuración'!$B$33,IF(ISNUMBER(SEARCH("COO",C14))+ISNUMBER(SEARCH("CFO",C14))+ISNUMBER(SEARCH("CTO",C14))+ISNUMBER(SEARCH("Chief Operating",C14))+ISNUMBER(SEARCH("Chief Financial",C14))+ISNUMBER(SEARCH("Gerente General",C14))+ISNUMBER(SEARCH("General Manager",C14))&gt;0,'Configuración'!$B$34,'Configuración'!$B$35)))))</f>
        <v>12</v>
      </c>
      <c r="V14" s="38">
        <f>IF(B14="","",IF(K14="Sí",'Configuración'!$B$5,0)+IF(L14="Semanal",'Configuración'!$B$6,IF(L14="Mensual",'Configuración'!$B$7,0))+IF(M14="Sí",'Configuración'!$B$8,0)+IF(N14="Sí",'Configuración'!$B$9,0)+IF(O14="Sí",'Configuración'!$B$10,0)+IF(P14="Sí",'Configuración'!$B$11,0)+IF(Q14="Sí",'Configuración'!$B$12,0)+S14+T14+U14)</f>
        <v>48</v>
      </c>
      <c r="W14" s="39" t="str">
        <f>IF(B14="","",IF(V14&gt;='Configuración'!$B$19,"A",IF(V14&gt;='Configuración'!$B$20,"B",IF(V14&gt;='Configuración'!$B$21,"C","Descarte"))))</f>
        <v>B</v>
      </c>
    </row>
    <row r="15" ht="12.75" customHeight="1">
      <c r="A15" s="34">
        <f t="shared" si="1"/>
        <v>13</v>
      </c>
      <c r="B15" s="29" t="s">
        <v>201</v>
      </c>
      <c r="C15" s="29" t="s">
        <v>202</v>
      </c>
      <c r="D15" s="29" t="s">
        <v>203</v>
      </c>
      <c r="E15" s="29" t="s">
        <v>204</v>
      </c>
      <c r="F15" s="30" t="s">
        <v>205</v>
      </c>
      <c r="G15" s="30" t="s">
        <v>206</v>
      </c>
      <c r="H15" s="30" t="s">
        <v>207</v>
      </c>
      <c r="I15" s="29" t="s">
        <v>145</v>
      </c>
      <c r="J15" s="31">
        <v>3.0</v>
      </c>
      <c r="K15" s="36" t="s">
        <v>119</v>
      </c>
      <c r="L15" s="36" t="s">
        <v>128</v>
      </c>
      <c r="M15" s="36" t="s">
        <v>117</v>
      </c>
      <c r="N15" s="36" t="s">
        <v>119</v>
      </c>
      <c r="O15" s="36" t="s">
        <v>119</v>
      </c>
      <c r="P15" s="35"/>
      <c r="Q15" s="36" t="s">
        <v>119</v>
      </c>
      <c r="R15" s="36" t="s">
        <v>208</v>
      </c>
      <c r="S15" s="37">
        <f>IF(B15="","",IF(ISNUMBER(J15),IF(J15&lt;=10,'Configuración'!$B$23,IF(J15&lt;=50,'Configuración'!$B$24,IF(J15&lt;=200,'Configuración'!$B$25,0))),0))</f>
        <v>12</v>
      </c>
      <c r="T15" s="37">
        <f>IF(B15="","",IF(ISNUMBER(SEARCH("information technology",I15))+ISNUMBER(SEARCH("software",I15))+ISNUMBER(SEARCH("internet",I15))+ISNUMBER(SEARCH("computer",I15))+ISNUMBER(SEARCH("saas",I15))+ISNUMBER(SEARCH("fintech",I15))+ISNUMBER(SEARCH("information services",I15))+ISNUMBER(SEARCH("telecommunications",I15))&gt;0,'Configuración'!$B$27,'Configuración'!$B$28))</f>
        <v>4</v>
      </c>
      <c r="U15" s="25">
        <f>IF(B15="","",IF(ISNUMBER(SEARCH("CEO",C15))+ISNUMBER(SEARCH("Founder",C15))+ISNUMBER(SEARCH("Owner",C15))+ISNUMBER(SEARCH("Dueño",C15))+ISNUMBER(SEARCH("Director General",C15))+ISNUMBER(SEARCH("Presidente",C15))+ISNUMBER(SEARCH("President",C15))&gt;0,'Configuración'!$B$31,IF(ISNUMBER(SEARCH("CMO",C15))+ISNUMBER(SEARCH("Chief Marketing",C15))+ISNUMBER(SEARCH("VP Marketing",C15))+ISNUMBER(SEARCH("Director de Marketing",C15))+ISNUMBER(SEARCH("Director Marketing",C15))+ISNUMBER(SEARCH("Head of Marketing",C15))+ISNUMBER(SEARCH("Head Marketing",C15))&gt;0,'Configuración'!$B$32,IF(ISNUMBER(SEARCH("Marketing Manager",C15))+ISNUMBER(SEARCH("Gerente de Marketing",C15))+ISNUMBER(SEARCH("Growth Manager",C15))+ISNUMBER(SEARCH("Demand Gen",C15))+ISNUMBER(SEARCH("Marketing Lead",C15))&gt;0,'Configuración'!$B$33,IF(ISNUMBER(SEARCH("COO",C15))+ISNUMBER(SEARCH("CFO",C15))+ISNUMBER(SEARCH("CTO",C15))+ISNUMBER(SEARCH("Chief Operating",C15))+ISNUMBER(SEARCH("Chief Financial",C15))+ISNUMBER(SEARCH("Gerente General",C15))+ISNUMBER(SEARCH("General Manager",C15))&gt;0,'Configuración'!$B$34,'Configuración'!$B$35)))))</f>
        <v>12</v>
      </c>
      <c r="V15" s="38">
        <f>IF(B15="","",IF(K15="Sí",'Configuración'!$B$5,0)+IF(L15="Semanal",'Configuración'!$B$6,IF(L15="Mensual",'Configuración'!$B$7,0))+IF(M15="Sí",'Configuración'!$B$8,0)+IF(N15="Sí",'Configuración'!$B$9,0)+IF(O15="Sí",'Configuración'!$B$10,0)+IF(P15="Sí",'Configuración'!$B$11,0)+IF(Q15="Sí",'Configuración'!$B$12,0)+S15+T15+U15)</f>
        <v>40</v>
      </c>
      <c r="W15" s="39" t="str">
        <f>IF(B15="","",IF(V15&gt;='Configuración'!$B$19,"A",IF(V15&gt;='Configuración'!$B$20,"B",IF(V15&gt;='Configuración'!$B$21,"C","Descarte"))))</f>
        <v>B</v>
      </c>
    </row>
    <row r="16">
      <c r="A16" s="34">
        <f t="shared" si="1"/>
        <v>14</v>
      </c>
      <c r="B16" s="29" t="s">
        <v>209</v>
      </c>
      <c r="C16" s="29" t="s">
        <v>210</v>
      </c>
      <c r="D16" s="29" t="s">
        <v>211</v>
      </c>
      <c r="E16" s="29" t="s">
        <v>212</v>
      </c>
      <c r="F16" s="30" t="s">
        <v>213</v>
      </c>
      <c r="G16" s="30" t="s">
        <v>214</v>
      </c>
      <c r="H16" s="30" t="s">
        <v>215</v>
      </c>
      <c r="I16" s="29" t="s">
        <v>137</v>
      </c>
      <c r="J16" s="31">
        <v>2.0</v>
      </c>
      <c r="K16" s="36" t="s">
        <v>119</v>
      </c>
      <c r="L16" s="36" t="s">
        <v>128</v>
      </c>
      <c r="M16" s="36" t="s">
        <v>117</v>
      </c>
      <c r="N16" s="36" t="s">
        <v>119</v>
      </c>
      <c r="O16" s="36" t="s">
        <v>117</v>
      </c>
      <c r="P16" s="35"/>
      <c r="Q16" s="36" t="s">
        <v>119</v>
      </c>
      <c r="R16" s="35"/>
      <c r="S16" s="37">
        <f>IF(B16="","",IF(ISNUMBER(J16),IF(J16&lt;=10,'Configuración'!$B$23,IF(J16&lt;=50,'Configuración'!$B$24,IF(J16&lt;=200,'Configuración'!$B$25,0))),0))</f>
        <v>12</v>
      </c>
      <c r="T16" s="37">
        <f>IF(B16="","",IF(ISNUMBER(SEARCH("information technology",I16))+ISNUMBER(SEARCH("software",I16))+ISNUMBER(SEARCH("internet",I16))+ISNUMBER(SEARCH("computer",I16))+ISNUMBER(SEARCH("saas",I16))+ISNUMBER(SEARCH("fintech",I16))+ISNUMBER(SEARCH("information services",I16))+ISNUMBER(SEARCH("telecommunications",I16))&gt;0,'Configuración'!$B$27,'Configuración'!$B$28))</f>
        <v>4</v>
      </c>
      <c r="U16" s="25">
        <f>IF(B16="","",IF(ISNUMBER(SEARCH("CEO",C16))+ISNUMBER(SEARCH("Founder",C16))+ISNUMBER(SEARCH("Owner",C16))+ISNUMBER(SEARCH("Dueño",C16))+ISNUMBER(SEARCH("Director General",C16))+ISNUMBER(SEARCH("Presidente",C16))+ISNUMBER(SEARCH("President",C16))&gt;0,'Configuración'!$B$31,IF(ISNUMBER(SEARCH("CMO",C16))+ISNUMBER(SEARCH("Chief Marketing",C16))+ISNUMBER(SEARCH("VP Marketing",C16))+ISNUMBER(SEARCH("Director de Marketing",C16))+ISNUMBER(SEARCH("Director Marketing",C16))+ISNUMBER(SEARCH("Head of Marketing",C16))+ISNUMBER(SEARCH("Head Marketing",C16))&gt;0,'Configuración'!$B$32,IF(ISNUMBER(SEARCH("Marketing Manager",C16))+ISNUMBER(SEARCH("Gerente de Marketing",C16))+ISNUMBER(SEARCH("Growth Manager",C16))+ISNUMBER(SEARCH("Demand Gen",C16))+ISNUMBER(SEARCH("Marketing Lead",C16))&gt;0,'Configuración'!$B$33,IF(ISNUMBER(SEARCH("COO",C16))+ISNUMBER(SEARCH("CFO",C16))+ISNUMBER(SEARCH("CTO",C16))+ISNUMBER(SEARCH("Chief Operating",C16))+ISNUMBER(SEARCH("Chief Financial",C16))+ISNUMBER(SEARCH("Gerente General",C16))+ISNUMBER(SEARCH("General Manager",C16))&gt;0,'Configuración'!$B$34,'Configuración'!$B$35)))))</f>
        <v>12</v>
      </c>
      <c r="V16" s="38">
        <f>IF(B16="","",IF(K16="Sí",'Configuración'!$B$5,0)+IF(L16="Semanal",'Configuración'!$B$6,IF(L16="Mensual",'Configuración'!$B$7,0))+IF(M16="Sí",'Configuración'!$B$8,0)+IF(N16="Sí",'Configuración'!$B$9,0)+IF(O16="Sí",'Configuración'!$B$10,0)+IF(P16="Sí",'Configuración'!$B$11,0)+IF(Q16="Sí",'Configuración'!$B$12,0)+S16+T16+U16)</f>
        <v>48</v>
      </c>
      <c r="W16" s="39" t="str">
        <f>IF(B16="","",IF(V16&gt;='Configuración'!$B$19,"A",IF(V16&gt;='Configuración'!$B$20,"B",IF(V16&gt;='Configuración'!$B$21,"C","Descarte"))))</f>
        <v>B</v>
      </c>
    </row>
    <row r="17">
      <c r="A17" s="34">
        <f t="shared" si="1"/>
        <v>15</v>
      </c>
      <c r="B17" s="29" t="s">
        <v>174</v>
      </c>
      <c r="C17" s="29" t="s">
        <v>216</v>
      </c>
      <c r="D17" s="29" t="s">
        <v>217</v>
      </c>
      <c r="E17" s="29" t="s">
        <v>218</v>
      </c>
      <c r="F17" s="30" t="s">
        <v>219</v>
      </c>
      <c r="G17" s="30" t="s">
        <v>220</v>
      </c>
      <c r="H17" s="30" t="s">
        <v>221</v>
      </c>
      <c r="I17" s="29" t="s">
        <v>222</v>
      </c>
      <c r="J17" s="31">
        <v>3.0</v>
      </c>
      <c r="K17" s="36" t="s">
        <v>119</v>
      </c>
      <c r="L17" s="36" t="s">
        <v>118</v>
      </c>
      <c r="M17" s="36" t="s">
        <v>119</v>
      </c>
      <c r="N17" s="36" t="s">
        <v>119</v>
      </c>
      <c r="O17" s="36" t="s">
        <v>119</v>
      </c>
      <c r="P17" s="35"/>
      <c r="Q17" s="36" t="s">
        <v>119</v>
      </c>
      <c r="R17" s="35"/>
      <c r="S17" s="37">
        <f>IF(B17="","",IF(ISNUMBER(J17),IF(J17&lt;=10,'Configuración'!$B$23,IF(J17&lt;=50,'Configuración'!$B$24,IF(J17&lt;=200,'Configuración'!$B$25,0))),0))</f>
        <v>12</v>
      </c>
      <c r="T17" s="37">
        <f>IF(B17="","",IF(ISNUMBER(SEARCH("information technology",I17))+ISNUMBER(SEARCH("software",I17))+ISNUMBER(SEARCH("internet",I17))+ISNUMBER(SEARCH("computer",I17))+ISNUMBER(SEARCH("saas",I17))+ISNUMBER(SEARCH("fintech",I17))+ISNUMBER(SEARCH("information services",I17))+ISNUMBER(SEARCH("telecommunications",I17))&gt;0,'Configuración'!$B$27,'Configuración'!$B$28))</f>
        <v>4</v>
      </c>
      <c r="U17" s="25">
        <f>IF(B17="","",IF(ISNUMBER(SEARCH("CEO",C17))+ISNUMBER(SEARCH("Founder",C17))+ISNUMBER(SEARCH("Owner",C17))+ISNUMBER(SEARCH("Dueño",C17))+ISNUMBER(SEARCH("Director General",C17))+ISNUMBER(SEARCH("Presidente",C17))+ISNUMBER(SEARCH("President",C17))&gt;0,'Configuración'!$B$31,IF(ISNUMBER(SEARCH("CMO",C17))+ISNUMBER(SEARCH("Chief Marketing",C17))+ISNUMBER(SEARCH("VP Marketing",C17))+ISNUMBER(SEARCH("Director de Marketing",C17))+ISNUMBER(SEARCH("Director Marketing",C17))+ISNUMBER(SEARCH("Head of Marketing",C17))+ISNUMBER(SEARCH("Head Marketing",C17))&gt;0,'Configuración'!$B$32,IF(ISNUMBER(SEARCH("Marketing Manager",C17))+ISNUMBER(SEARCH("Gerente de Marketing",C17))+ISNUMBER(SEARCH("Growth Manager",C17))+ISNUMBER(SEARCH("Demand Gen",C17))+ISNUMBER(SEARCH("Marketing Lead",C17))&gt;0,'Configuración'!$B$33,IF(ISNUMBER(SEARCH("COO",C17))+ISNUMBER(SEARCH("CFO",C17))+ISNUMBER(SEARCH("CTO",C17))+ISNUMBER(SEARCH("Chief Operating",C17))+ISNUMBER(SEARCH("Chief Financial",C17))+ISNUMBER(SEARCH("Gerente General",C17))+ISNUMBER(SEARCH("General Manager",C17))&gt;0,'Configuración'!$B$34,'Configuración'!$B$35)))))</f>
        <v>12</v>
      </c>
      <c r="V17" s="38">
        <f>IF(B17="","",IF(K17="Sí",'Configuración'!$B$5,0)+IF(L17="Semanal",'Configuración'!$B$6,IF(L17="Mensual",'Configuración'!$B$7,0))+IF(M17="Sí",'Configuración'!$B$8,0)+IF(N17="Sí",'Configuración'!$B$9,0)+IF(O17="Sí",'Configuración'!$B$10,0)+IF(P17="Sí",'Configuración'!$B$11,0)+IF(Q17="Sí",'Configuración'!$B$12,0)+S17+T17+U17)</f>
        <v>40</v>
      </c>
      <c r="W17" s="39" t="str">
        <f>IF(B17="","",IF(V17&gt;='Configuración'!$B$19,"A",IF(V17&gt;='Configuración'!$B$20,"B",IF(V17&gt;='Configuración'!$B$21,"C","Descarte"))))</f>
        <v>B</v>
      </c>
    </row>
    <row r="18">
      <c r="A18" s="34">
        <f t="shared" si="1"/>
        <v>16</v>
      </c>
      <c r="B18" s="29" t="s">
        <v>223</v>
      </c>
      <c r="C18" s="29" t="s">
        <v>224</v>
      </c>
      <c r="D18" s="29" t="s">
        <v>225</v>
      </c>
      <c r="E18" s="29" t="s">
        <v>226</v>
      </c>
      <c r="F18" s="30" t="s">
        <v>227</v>
      </c>
      <c r="G18" s="30" t="s">
        <v>228</v>
      </c>
      <c r="H18" s="30" t="s">
        <v>229</v>
      </c>
      <c r="I18" s="29" t="s">
        <v>127</v>
      </c>
      <c r="J18" s="31">
        <v>5.0</v>
      </c>
      <c r="K18" s="36" t="s">
        <v>119</v>
      </c>
      <c r="L18" s="36" t="s">
        <v>128</v>
      </c>
      <c r="M18" s="36" t="s">
        <v>117</v>
      </c>
      <c r="N18" s="36" t="s">
        <v>117</v>
      </c>
      <c r="O18" s="36" t="s">
        <v>117</v>
      </c>
      <c r="P18" s="35"/>
      <c r="Q18" s="36" t="s">
        <v>119</v>
      </c>
      <c r="R18" s="36" t="s">
        <v>230</v>
      </c>
      <c r="S18" s="37">
        <f>IF(B18="","",IF(ISNUMBER(J18),IF(J18&lt;=10,'Configuración'!$B$23,IF(J18&lt;=50,'Configuración'!$B$24,IF(J18&lt;=200,'Configuración'!$B$25,0))),0))</f>
        <v>12</v>
      </c>
      <c r="T18" s="37">
        <f>IF(B18="","",IF(ISNUMBER(SEARCH("information technology",I18))+ISNUMBER(SEARCH("software",I18))+ISNUMBER(SEARCH("internet",I18))+ISNUMBER(SEARCH("computer",I18))+ISNUMBER(SEARCH("saas",I18))+ISNUMBER(SEARCH("fintech",I18))+ISNUMBER(SEARCH("information services",I18))+ISNUMBER(SEARCH("telecommunications",I18))&gt;0,'Configuración'!$B$27,'Configuración'!$B$28))</f>
        <v>12</v>
      </c>
      <c r="U18" s="25">
        <f>IF(B18="","",IF(ISNUMBER(SEARCH("CEO",C18))+ISNUMBER(SEARCH("Founder",C18))+ISNUMBER(SEARCH("Owner",C18))+ISNUMBER(SEARCH("Dueño",C18))+ISNUMBER(SEARCH("Director General",C18))+ISNUMBER(SEARCH("Presidente",C18))+ISNUMBER(SEARCH("President",C18))&gt;0,'Configuración'!$B$31,IF(ISNUMBER(SEARCH("CMO",C18))+ISNUMBER(SEARCH("Chief Marketing",C18))+ISNUMBER(SEARCH("VP Marketing",C18))+ISNUMBER(SEARCH("Director de Marketing",C18))+ISNUMBER(SEARCH("Director Marketing",C18))+ISNUMBER(SEARCH("Head of Marketing",C18))+ISNUMBER(SEARCH("Head Marketing",C18))&gt;0,'Configuración'!$B$32,IF(ISNUMBER(SEARCH("Marketing Manager",C18))+ISNUMBER(SEARCH("Gerente de Marketing",C18))+ISNUMBER(SEARCH("Growth Manager",C18))+ISNUMBER(SEARCH("Demand Gen",C18))+ISNUMBER(SEARCH("Marketing Lead",C18))&gt;0,'Configuración'!$B$33,IF(ISNUMBER(SEARCH("COO",C18))+ISNUMBER(SEARCH("CFO",C18))+ISNUMBER(SEARCH("CTO",C18))+ISNUMBER(SEARCH("Chief Operating",C18))+ISNUMBER(SEARCH("Chief Financial",C18))+ISNUMBER(SEARCH("Gerente General",C18))+ISNUMBER(SEARCH("General Manager",C18))&gt;0,'Configuración'!$B$34,'Configuración'!$B$35)))))</f>
        <v>12</v>
      </c>
      <c r="V18" s="38">
        <f>IF(B18="","",IF(K18="Sí",'Configuración'!$B$5,0)+IF(L18="Semanal",'Configuración'!$B$6,IF(L18="Mensual",'Configuración'!$B$7,0))+IF(M18="Sí",'Configuración'!$B$8,0)+IF(N18="Sí",'Configuración'!$B$9,0)+IF(O18="Sí",'Configuración'!$B$10,0)+IF(P18="Sí",'Configuración'!$B$11,0)+IF(Q18="Sí",'Configuración'!$B$12,0)+S18+T18+U18)</f>
        <v>60</v>
      </c>
      <c r="W18" s="39" t="str">
        <f>IF(B18="","",IF(V18&gt;='Configuración'!$B$19,"A",IF(V18&gt;='Configuración'!$B$20,"B",IF(V18&gt;='Configuración'!$B$21,"C","Descarte"))))</f>
        <v>A</v>
      </c>
    </row>
    <row r="19">
      <c r="A19" s="34">
        <f t="shared" si="1"/>
        <v>17</v>
      </c>
      <c r="B19" s="29" t="s">
        <v>181</v>
      </c>
      <c r="C19" s="29" t="s">
        <v>202</v>
      </c>
      <c r="D19" s="29" t="s">
        <v>231</v>
      </c>
      <c r="E19" s="29" t="s">
        <v>232</v>
      </c>
      <c r="F19" s="30" t="s">
        <v>233</v>
      </c>
      <c r="G19" s="30" t="s">
        <v>234</v>
      </c>
      <c r="H19" s="30" t="s">
        <v>235</v>
      </c>
      <c r="I19" s="29" t="s">
        <v>127</v>
      </c>
      <c r="J19" s="31">
        <v>3.0</v>
      </c>
      <c r="K19" s="36" t="s">
        <v>119</v>
      </c>
      <c r="L19" s="36" t="s">
        <v>128</v>
      </c>
      <c r="M19" s="36" t="s">
        <v>117</v>
      </c>
      <c r="N19" s="36" t="s">
        <v>119</v>
      </c>
      <c r="O19" s="36" t="s">
        <v>119</v>
      </c>
      <c r="P19" s="35"/>
      <c r="Q19" s="36" t="s">
        <v>119</v>
      </c>
      <c r="R19" s="36" t="s">
        <v>230</v>
      </c>
      <c r="S19" s="37">
        <f>IF(B19="","",IF(ISNUMBER(J19),IF(J19&lt;=10,'Configuración'!$B$23,IF(J19&lt;=50,'Configuración'!$B$24,IF(J19&lt;=200,'Configuración'!$B$25,0))),0))</f>
        <v>12</v>
      </c>
      <c r="T19" s="37">
        <f>IF(B19="","",IF(ISNUMBER(SEARCH("information technology",I19))+ISNUMBER(SEARCH("software",I19))+ISNUMBER(SEARCH("internet",I19))+ISNUMBER(SEARCH("computer",I19))+ISNUMBER(SEARCH("saas",I19))+ISNUMBER(SEARCH("fintech",I19))+ISNUMBER(SEARCH("information services",I19))+ISNUMBER(SEARCH("telecommunications",I19))&gt;0,'Configuración'!$B$27,'Configuración'!$B$28))</f>
        <v>12</v>
      </c>
      <c r="U19" s="25">
        <f>IF(B19="","",IF(ISNUMBER(SEARCH("CEO",C19))+ISNUMBER(SEARCH("Founder",C19))+ISNUMBER(SEARCH("Owner",C19))+ISNUMBER(SEARCH("Dueño",C19))+ISNUMBER(SEARCH("Director General",C19))+ISNUMBER(SEARCH("Presidente",C19))+ISNUMBER(SEARCH("President",C19))&gt;0,'Configuración'!$B$31,IF(ISNUMBER(SEARCH("CMO",C19))+ISNUMBER(SEARCH("Chief Marketing",C19))+ISNUMBER(SEARCH("VP Marketing",C19))+ISNUMBER(SEARCH("Director de Marketing",C19))+ISNUMBER(SEARCH("Director Marketing",C19))+ISNUMBER(SEARCH("Head of Marketing",C19))+ISNUMBER(SEARCH("Head Marketing",C19))&gt;0,'Configuración'!$B$32,IF(ISNUMBER(SEARCH("Marketing Manager",C19))+ISNUMBER(SEARCH("Gerente de Marketing",C19))+ISNUMBER(SEARCH("Growth Manager",C19))+ISNUMBER(SEARCH("Demand Gen",C19))+ISNUMBER(SEARCH("Marketing Lead",C19))&gt;0,'Configuración'!$B$33,IF(ISNUMBER(SEARCH("COO",C19))+ISNUMBER(SEARCH("CFO",C19))+ISNUMBER(SEARCH("CTO",C19))+ISNUMBER(SEARCH("Chief Operating",C19))+ISNUMBER(SEARCH("Chief Financial",C19))+ISNUMBER(SEARCH("Gerente General",C19))+ISNUMBER(SEARCH("General Manager",C19))&gt;0,'Configuración'!$B$34,'Configuración'!$B$35)))))</f>
        <v>12</v>
      </c>
      <c r="V19" s="38">
        <f>IF(B19="","",IF(K19="Sí",'Configuración'!$B$5,0)+IF(L19="Semanal",'Configuración'!$B$6,IF(L19="Mensual",'Configuración'!$B$7,0))+IF(M19="Sí",'Configuración'!$B$8,0)+IF(N19="Sí",'Configuración'!$B$9,0)+IF(O19="Sí",'Configuración'!$B$10,0)+IF(P19="Sí",'Configuración'!$B$11,0)+IF(Q19="Sí",'Configuración'!$B$12,0)+S19+T19+U19)</f>
        <v>48</v>
      </c>
      <c r="W19" s="39" t="str">
        <f>IF(B19="","",IF(V19&gt;='Configuración'!$B$19,"A",IF(V19&gt;='Configuración'!$B$20,"B",IF(V19&gt;='Configuración'!$B$21,"C","Descarte"))))</f>
        <v>B</v>
      </c>
    </row>
    <row r="20">
      <c r="A20" s="34">
        <f t="shared" si="1"/>
        <v>18</v>
      </c>
      <c r="B20" s="29" t="s">
        <v>236</v>
      </c>
      <c r="C20" s="29" t="s">
        <v>202</v>
      </c>
      <c r="D20" s="29" t="s">
        <v>237</v>
      </c>
      <c r="E20" s="29" t="s">
        <v>238</v>
      </c>
      <c r="F20" s="30" t="s">
        <v>239</v>
      </c>
      <c r="G20" s="30" t="s">
        <v>240</v>
      </c>
      <c r="H20" s="30" t="s">
        <v>241</v>
      </c>
      <c r="I20" s="29" t="s">
        <v>127</v>
      </c>
      <c r="J20" s="31">
        <v>1.0</v>
      </c>
      <c r="K20" s="36" t="s">
        <v>119</v>
      </c>
      <c r="L20" s="36" t="s">
        <v>128</v>
      </c>
      <c r="M20" s="36" t="s">
        <v>119</v>
      </c>
      <c r="N20" s="36" t="s">
        <v>119</v>
      </c>
      <c r="O20" s="36" t="s">
        <v>119</v>
      </c>
      <c r="P20" s="35"/>
      <c r="Q20" s="36" t="s">
        <v>119</v>
      </c>
      <c r="R20" s="35"/>
      <c r="S20" s="37">
        <f>IF(B20="","",IF(ISNUMBER(J20),IF(J20&lt;=10,'Configuración'!$B$23,IF(J20&lt;=50,'Configuración'!$B$24,IF(J20&lt;=200,'Configuración'!$B$25,0))),0))</f>
        <v>12</v>
      </c>
      <c r="T20" s="37">
        <f>IF(B20="","",IF(ISNUMBER(SEARCH("information technology",I20))+ISNUMBER(SEARCH("software",I20))+ISNUMBER(SEARCH("internet",I20))+ISNUMBER(SEARCH("computer",I20))+ISNUMBER(SEARCH("saas",I20))+ISNUMBER(SEARCH("fintech",I20))+ISNUMBER(SEARCH("information services",I20))+ISNUMBER(SEARCH("telecommunications",I20))&gt;0,'Configuración'!$B$27,'Configuración'!$B$28))</f>
        <v>12</v>
      </c>
      <c r="U20" s="25">
        <f>IF(B20="","",IF(ISNUMBER(SEARCH("CEO",C20))+ISNUMBER(SEARCH("Founder",C20))+ISNUMBER(SEARCH("Owner",C20))+ISNUMBER(SEARCH("Dueño",C20))+ISNUMBER(SEARCH("Director General",C20))+ISNUMBER(SEARCH("Presidente",C20))+ISNUMBER(SEARCH("President",C20))&gt;0,'Configuración'!$B$31,IF(ISNUMBER(SEARCH("CMO",C20))+ISNUMBER(SEARCH("Chief Marketing",C20))+ISNUMBER(SEARCH("VP Marketing",C20))+ISNUMBER(SEARCH("Director de Marketing",C20))+ISNUMBER(SEARCH("Director Marketing",C20))+ISNUMBER(SEARCH("Head of Marketing",C20))+ISNUMBER(SEARCH("Head Marketing",C20))&gt;0,'Configuración'!$B$32,IF(ISNUMBER(SEARCH("Marketing Manager",C20))+ISNUMBER(SEARCH("Gerente de Marketing",C20))+ISNUMBER(SEARCH("Growth Manager",C20))+ISNUMBER(SEARCH("Demand Gen",C20))+ISNUMBER(SEARCH("Marketing Lead",C20))&gt;0,'Configuración'!$B$33,IF(ISNUMBER(SEARCH("COO",C20))+ISNUMBER(SEARCH("CFO",C20))+ISNUMBER(SEARCH("CTO",C20))+ISNUMBER(SEARCH("Chief Operating",C20))+ISNUMBER(SEARCH("Chief Financial",C20))+ISNUMBER(SEARCH("Gerente General",C20))+ISNUMBER(SEARCH("General Manager",C20))&gt;0,'Configuración'!$B$34,'Configuración'!$B$35)))))</f>
        <v>12</v>
      </c>
      <c r="V20" s="38">
        <f>IF(B20="","",IF(K20="Sí",'Configuración'!$B$5,0)+IF(L20="Semanal",'Configuración'!$B$6,IF(L20="Mensual",'Configuración'!$B$7,0))+IF(M20="Sí",'Configuración'!$B$8,0)+IF(N20="Sí",'Configuración'!$B$9,0)+IF(O20="Sí",'Configuración'!$B$10,0)+IF(P20="Sí",'Configuración'!$B$11,0)+IF(Q20="Sí",'Configuración'!$B$12,0)+S20+T20+U20)</f>
        <v>36</v>
      </c>
      <c r="W20" s="39" t="str">
        <f>IF(B20="","",IF(V20&gt;='Configuración'!$B$19,"A",IF(V20&gt;='Configuración'!$B$20,"B",IF(V20&gt;='Configuración'!$B$21,"C","Descarte"))))</f>
        <v>C</v>
      </c>
    </row>
    <row r="21" ht="15.75" customHeight="1">
      <c r="A21" s="34">
        <f t="shared" si="1"/>
        <v>19</v>
      </c>
      <c r="B21" s="29" t="s">
        <v>242</v>
      </c>
      <c r="C21" s="29" t="s">
        <v>243</v>
      </c>
      <c r="D21" s="40" t="s">
        <v>244</v>
      </c>
      <c r="E21" s="29" t="s">
        <v>245</v>
      </c>
      <c r="F21" s="30" t="s">
        <v>246</v>
      </c>
      <c r="G21" s="30" t="s">
        <v>247</v>
      </c>
      <c r="H21" s="30" t="s">
        <v>248</v>
      </c>
      <c r="I21" s="29" t="s">
        <v>249</v>
      </c>
      <c r="J21" s="31">
        <v>18.0</v>
      </c>
      <c r="K21" s="36" t="s">
        <v>117</v>
      </c>
      <c r="L21" s="36" t="s">
        <v>118</v>
      </c>
      <c r="M21" s="36" t="s">
        <v>117</v>
      </c>
      <c r="N21" s="36" t="s">
        <v>119</v>
      </c>
      <c r="O21" s="36" t="s">
        <v>119</v>
      </c>
      <c r="P21" s="35"/>
      <c r="Q21" s="36" t="s">
        <v>119</v>
      </c>
      <c r="R21" s="35"/>
      <c r="S21" s="37">
        <f>IF(B21="","",IF(ISNUMBER(J21),IF(J21&lt;=10,'Configuración'!$B$23,IF(J21&lt;=50,'Configuración'!$B$24,IF(J21&lt;=200,'Configuración'!$B$25,0))),0))</f>
        <v>4</v>
      </c>
      <c r="T21" s="37">
        <f>IF(B21="","",IF(ISNUMBER(SEARCH("information technology",I21))+ISNUMBER(SEARCH("software",I21))+ISNUMBER(SEARCH("internet",I21))+ISNUMBER(SEARCH("computer",I21))+ISNUMBER(SEARCH("saas",I21))+ISNUMBER(SEARCH("fintech",I21))+ISNUMBER(SEARCH("information services",I21))+ISNUMBER(SEARCH("telecommunications",I21))&gt;0,'Configuración'!$B$27,'Configuración'!$B$28))</f>
        <v>4</v>
      </c>
      <c r="U21" s="25">
        <f>IF(B21="","",IF(ISNUMBER(SEARCH("CEO",C21))+ISNUMBER(SEARCH("Founder",C21))+ISNUMBER(SEARCH("Owner",C21))+ISNUMBER(SEARCH("Dueño",C21))+ISNUMBER(SEARCH("Director General",C21))+ISNUMBER(SEARCH("Presidente",C21))+ISNUMBER(SEARCH("President",C21))&gt;0,'Configuración'!$B$31,IF(ISNUMBER(SEARCH("CMO",C21))+ISNUMBER(SEARCH("Chief Marketing",C21))+ISNUMBER(SEARCH("VP Marketing",C21))+ISNUMBER(SEARCH("Director de Marketing",C21))+ISNUMBER(SEARCH("Director Marketing",C21))+ISNUMBER(SEARCH("Head of Marketing",C21))+ISNUMBER(SEARCH("Head Marketing",C21))&gt;0,'Configuración'!$B$32,IF(ISNUMBER(SEARCH("Marketing Manager",C21))+ISNUMBER(SEARCH("Gerente de Marketing",C21))+ISNUMBER(SEARCH("Growth Manager",C21))+ISNUMBER(SEARCH("Demand Gen",C21))+ISNUMBER(SEARCH("Marketing Lead",C21))&gt;0,'Configuración'!$B$33,IF(ISNUMBER(SEARCH("COO",C21))+ISNUMBER(SEARCH("CFO",C21))+ISNUMBER(SEARCH("CTO",C21))+ISNUMBER(SEARCH("Chief Operating",C21))+ISNUMBER(SEARCH("Chief Financial",C21))+ISNUMBER(SEARCH("Gerente General",C21))+ISNUMBER(SEARCH("General Manager",C21))&gt;0,'Configuración'!$B$34,'Configuración'!$B$35)))))</f>
        <v>12</v>
      </c>
      <c r="V21" s="38">
        <f>IF(B21="","",IF(K21="Sí",'Configuración'!$B$5,0)+IF(L21="Semanal",'Configuración'!$B$6,IF(L21="Mensual",'Configuración'!$B$7,0))+IF(M21="Sí",'Configuración'!$B$8,0)+IF(N21="Sí",'Configuración'!$B$9,0)+IF(O21="Sí",'Configuración'!$B$10,0)+IF(P21="Sí",'Configuración'!$B$11,0)+IF(Q21="Sí",'Configuración'!$B$12,0)+S21+T21+U21)</f>
        <v>56</v>
      </c>
      <c r="W21" s="39" t="str">
        <f>IF(B21="","",IF(V21&gt;='Configuración'!$B$19,"A",IF(V21&gt;='Configuración'!$B$20,"B",IF(V21&gt;='Configuración'!$B$21,"C","Descarte"))))</f>
        <v>B</v>
      </c>
    </row>
    <row r="22" ht="15.75" customHeight="1">
      <c r="A22" s="34">
        <f t="shared" si="1"/>
        <v>20</v>
      </c>
      <c r="B22" s="29" t="s">
        <v>250</v>
      </c>
      <c r="C22" s="29" t="s">
        <v>251</v>
      </c>
      <c r="D22" s="30" t="s">
        <v>252</v>
      </c>
      <c r="E22" s="29" t="s">
        <v>253</v>
      </c>
      <c r="F22" s="30" t="s">
        <v>254</v>
      </c>
      <c r="G22" s="30" t="s">
        <v>255</v>
      </c>
      <c r="H22" s="30" t="s">
        <v>256</v>
      </c>
      <c r="I22" s="29" t="s">
        <v>127</v>
      </c>
      <c r="J22" s="31">
        <v>5.0</v>
      </c>
      <c r="K22" s="36" t="s">
        <v>119</v>
      </c>
      <c r="L22" s="36" t="s">
        <v>128</v>
      </c>
      <c r="M22" s="36" t="s">
        <v>117</v>
      </c>
      <c r="N22" s="36" t="s">
        <v>117</v>
      </c>
      <c r="O22" s="36" t="s">
        <v>119</v>
      </c>
      <c r="P22" s="35"/>
      <c r="Q22" s="36" t="s">
        <v>119</v>
      </c>
      <c r="R22" s="36" t="s">
        <v>230</v>
      </c>
      <c r="S22" s="37">
        <f>IF(B22="","",IF(ISNUMBER(J22),IF(J22&lt;=10,'Configuración'!$B$23,IF(J22&lt;=50,'Configuración'!$B$24,IF(J22&lt;=200,'Configuración'!$B$25,0))),0))</f>
        <v>12</v>
      </c>
      <c r="T22" s="37">
        <f>IF(B22="","",IF(ISNUMBER(SEARCH("information technology",I22))+ISNUMBER(SEARCH("software",I22))+ISNUMBER(SEARCH("internet",I22))+ISNUMBER(SEARCH("computer",I22))+ISNUMBER(SEARCH("saas",I22))+ISNUMBER(SEARCH("fintech",I22))+ISNUMBER(SEARCH("information services",I22))+ISNUMBER(SEARCH("telecommunications",I22))&gt;0,'Configuración'!$B$27,'Configuración'!$B$28))</f>
        <v>12</v>
      </c>
      <c r="U22" s="25">
        <f>IF(B22="","",IF(ISNUMBER(SEARCH("CEO",C22))+ISNUMBER(SEARCH("Founder",C22))+ISNUMBER(SEARCH("Owner",C22))+ISNUMBER(SEARCH("Dueño",C22))+ISNUMBER(SEARCH("Director General",C22))+ISNUMBER(SEARCH("Presidente",C22))+ISNUMBER(SEARCH("President",C22))&gt;0,'Configuración'!$B$31,IF(ISNUMBER(SEARCH("CMO",C22))+ISNUMBER(SEARCH("Chief Marketing",C22))+ISNUMBER(SEARCH("VP Marketing",C22))+ISNUMBER(SEARCH("Director de Marketing",C22))+ISNUMBER(SEARCH("Director Marketing",C22))+ISNUMBER(SEARCH("Head of Marketing",C22))+ISNUMBER(SEARCH("Head Marketing",C22))&gt;0,'Configuración'!$B$32,IF(ISNUMBER(SEARCH("Marketing Manager",C22))+ISNUMBER(SEARCH("Gerente de Marketing",C22))+ISNUMBER(SEARCH("Growth Manager",C22))+ISNUMBER(SEARCH("Demand Gen",C22))+ISNUMBER(SEARCH("Marketing Lead",C22))&gt;0,'Configuración'!$B$33,IF(ISNUMBER(SEARCH("COO",C22))+ISNUMBER(SEARCH("CFO",C22))+ISNUMBER(SEARCH("CTO",C22))+ISNUMBER(SEARCH("Chief Operating",C22))+ISNUMBER(SEARCH("Chief Financial",C22))+ISNUMBER(SEARCH("Gerente General",C22))+ISNUMBER(SEARCH("General Manager",C22))&gt;0,'Configuración'!$B$34,'Configuración'!$B$35)))))</f>
        <v>12</v>
      </c>
      <c r="V22" s="38">
        <f>IF(B22="","",IF(K22="Sí",'Configuración'!$B$5,0)+IF(L22="Semanal",'Configuración'!$B$6,IF(L22="Mensual",'Configuración'!$B$7,0))+IF(M22="Sí",'Configuración'!$B$8,0)+IF(N22="Sí",'Configuración'!$B$9,0)+IF(O22="Sí",'Configuración'!$B$10,0)+IF(P22="Sí",'Configuración'!$B$11,0)+IF(Q22="Sí",'Configuración'!$B$12,0)+S22+T22+U22)</f>
        <v>52</v>
      </c>
      <c r="W22" s="39" t="str">
        <f>IF(B22="","",IF(V22&gt;='Configuración'!$B$19,"A",IF(V22&gt;='Configuración'!$B$20,"B",IF(V22&gt;='Configuración'!$B$21,"C","Descarte"))))</f>
        <v>B</v>
      </c>
    </row>
    <row r="23" ht="15.75" customHeight="1">
      <c r="A23" s="34">
        <f t="shared" si="1"/>
        <v>21</v>
      </c>
      <c r="B23" s="29" t="s">
        <v>236</v>
      </c>
      <c r="C23" s="29" t="s">
        <v>131</v>
      </c>
      <c r="D23" s="29" t="s">
        <v>257</v>
      </c>
      <c r="E23" s="29" t="s">
        <v>258</v>
      </c>
      <c r="F23" s="30" t="s">
        <v>259</v>
      </c>
      <c r="G23" s="30" t="s">
        <v>260</v>
      </c>
      <c r="H23" s="30" t="s">
        <v>261</v>
      </c>
      <c r="I23" s="29" t="s">
        <v>127</v>
      </c>
      <c r="J23" s="31">
        <v>38.0</v>
      </c>
      <c r="K23" s="36" t="s">
        <v>119</v>
      </c>
      <c r="L23" s="36" t="s">
        <v>118</v>
      </c>
      <c r="M23" s="36" t="s">
        <v>117</v>
      </c>
      <c r="N23" s="36" t="s">
        <v>119</v>
      </c>
      <c r="O23" s="36" t="s">
        <v>119</v>
      </c>
      <c r="P23" s="35"/>
      <c r="Q23" s="36" t="s">
        <v>119</v>
      </c>
      <c r="R23" s="35"/>
      <c r="S23" s="37">
        <f>IF(B23="","",IF(ISNUMBER(J23),IF(J23&lt;=10,'Configuración'!$B$23,IF(J23&lt;=50,'Configuración'!$B$24,IF(J23&lt;=200,'Configuración'!$B$25,0))),0))</f>
        <v>4</v>
      </c>
      <c r="T23" s="37">
        <f>IF(B23="","",IF(ISNUMBER(SEARCH("information technology",I23))+ISNUMBER(SEARCH("software",I23))+ISNUMBER(SEARCH("internet",I23))+ISNUMBER(SEARCH("computer",I23))+ISNUMBER(SEARCH("saas",I23))+ISNUMBER(SEARCH("fintech",I23))+ISNUMBER(SEARCH("information services",I23))+ISNUMBER(SEARCH("telecommunications",I23))&gt;0,'Configuración'!$B$27,'Configuración'!$B$28))</f>
        <v>12</v>
      </c>
      <c r="U23" s="25">
        <f>IF(B23="","",IF(ISNUMBER(SEARCH("CEO",C23))+ISNUMBER(SEARCH("Founder",C23))+ISNUMBER(SEARCH("Owner",C23))+ISNUMBER(SEARCH("Dueño",C23))+ISNUMBER(SEARCH("Director General",C23))+ISNUMBER(SEARCH("Presidente",C23))+ISNUMBER(SEARCH("President",C23))&gt;0,'Configuración'!$B$31,IF(ISNUMBER(SEARCH("CMO",C23))+ISNUMBER(SEARCH("Chief Marketing",C23))+ISNUMBER(SEARCH("VP Marketing",C23))+ISNUMBER(SEARCH("Director de Marketing",C23))+ISNUMBER(SEARCH("Director Marketing",C23))+ISNUMBER(SEARCH("Head of Marketing",C23))+ISNUMBER(SEARCH("Head Marketing",C23))&gt;0,'Configuración'!$B$32,IF(ISNUMBER(SEARCH("Marketing Manager",C23))+ISNUMBER(SEARCH("Gerente de Marketing",C23))+ISNUMBER(SEARCH("Growth Manager",C23))+ISNUMBER(SEARCH("Demand Gen",C23))+ISNUMBER(SEARCH("Marketing Lead",C23))&gt;0,'Configuración'!$B$33,IF(ISNUMBER(SEARCH("COO",C23))+ISNUMBER(SEARCH("CFO",C23))+ISNUMBER(SEARCH("CTO",C23))+ISNUMBER(SEARCH("Chief Operating",C23))+ISNUMBER(SEARCH("Chief Financial",C23))+ISNUMBER(SEARCH("Gerente General",C23))+ISNUMBER(SEARCH("General Manager",C23))&gt;0,'Configuración'!$B$34,'Configuración'!$B$35)))))</f>
        <v>12</v>
      </c>
      <c r="V23" s="38">
        <f>IF(B23="","",IF(K23="Sí",'Configuración'!$B$5,0)+IF(L23="Semanal",'Configuración'!$B$6,IF(L23="Mensual",'Configuración'!$B$7,0))+IF(M23="Sí",'Configuración'!$B$8,0)+IF(N23="Sí",'Configuración'!$B$9,0)+IF(O23="Sí",'Configuración'!$B$10,0)+IF(P23="Sí",'Configuración'!$B$11,0)+IF(Q23="Sí",'Configuración'!$B$12,0)+S23+T23+U23)</f>
        <v>52</v>
      </c>
      <c r="W23" s="39" t="str">
        <f>IF(B23="","",IF(V23&gt;='Configuración'!$B$19,"A",IF(V23&gt;='Configuración'!$B$20,"B",IF(V23&gt;='Configuración'!$B$21,"C","Descarte"))))</f>
        <v>B</v>
      </c>
    </row>
    <row r="24" ht="15.75" customHeight="1">
      <c r="A24" s="34">
        <f t="shared" si="1"/>
        <v>22</v>
      </c>
      <c r="B24" s="29" t="s">
        <v>262</v>
      </c>
      <c r="C24" s="29" t="s">
        <v>202</v>
      </c>
      <c r="D24" s="29" t="s">
        <v>263</v>
      </c>
      <c r="E24" s="29" t="s">
        <v>264</v>
      </c>
      <c r="F24" s="30" t="s">
        <v>265</v>
      </c>
      <c r="G24" s="30" t="s">
        <v>266</v>
      </c>
      <c r="H24" s="30" t="s">
        <v>267</v>
      </c>
      <c r="I24" s="29" t="s">
        <v>127</v>
      </c>
      <c r="J24" s="31">
        <v>26.0</v>
      </c>
      <c r="K24" s="36" t="s">
        <v>119</v>
      </c>
      <c r="L24" s="36" t="s">
        <v>128</v>
      </c>
      <c r="M24" s="36" t="s">
        <v>119</v>
      </c>
      <c r="N24" s="36" t="s">
        <v>119</v>
      </c>
      <c r="O24" s="36" t="s">
        <v>119</v>
      </c>
      <c r="P24" s="35"/>
      <c r="Q24" s="36" t="s">
        <v>119</v>
      </c>
      <c r="R24" s="35"/>
      <c r="S24" s="37">
        <f>IF(B24="","",IF(ISNUMBER(J24),IF(J24&lt;=10,'Configuración'!$B$23,IF(J24&lt;=50,'Configuración'!$B$24,IF(J24&lt;=200,'Configuración'!$B$25,0))),0))</f>
        <v>4</v>
      </c>
      <c r="T24" s="37">
        <f>IF(B24="","",IF(ISNUMBER(SEARCH("information technology",I24))+ISNUMBER(SEARCH("software",I24))+ISNUMBER(SEARCH("internet",I24))+ISNUMBER(SEARCH("computer",I24))+ISNUMBER(SEARCH("saas",I24))+ISNUMBER(SEARCH("fintech",I24))+ISNUMBER(SEARCH("information services",I24))+ISNUMBER(SEARCH("telecommunications",I24))&gt;0,'Configuración'!$B$27,'Configuración'!$B$28))</f>
        <v>12</v>
      </c>
      <c r="U24" s="25">
        <f>IF(B24="","",IF(ISNUMBER(SEARCH("CEO",C24))+ISNUMBER(SEARCH("Founder",C24))+ISNUMBER(SEARCH("Owner",C24))+ISNUMBER(SEARCH("Dueño",C24))+ISNUMBER(SEARCH("Director General",C24))+ISNUMBER(SEARCH("Presidente",C24))+ISNUMBER(SEARCH("President",C24))&gt;0,'Configuración'!$B$31,IF(ISNUMBER(SEARCH("CMO",C24))+ISNUMBER(SEARCH("Chief Marketing",C24))+ISNUMBER(SEARCH("VP Marketing",C24))+ISNUMBER(SEARCH("Director de Marketing",C24))+ISNUMBER(SEARCH("Director Marketing",C24))+ISNUMBER(SEARCH("Head of Marketing",C24))+ISNUMBER(SEARCH("Head Marketing",C24))&gt;0,'Configuración'!$B$32,IF(ISNUMBER(SEARCH("Marketing Manager",C24))+ISNUMBER(SEARCH("Gerente de Marketing",C24))+ISNUMBER(SEARCH("Growth Manager",C24))+ISNUMBER(SEARCH("Demand Gen",C24))+ISNUMBER(SEARCH("Marketing Lead",C24))&gt;0,'Configuración'!$B$33,IF(ISNUMBER(SEARCH("COO",C24))+ISNUMBER(SEARCH("CFO",C24))+ISNUMBER(SEARCH("CTO",C24))+ISNUMBER(SEARCH("Chief Operating",C24))+ISNUMBER(SEARCH("Chief Financial",C24))+ISNUMBER(SEARCH("Gerente General",C24))+ISNUMBER(SEARCH("General Manager",C24))&gt;0,'Configuración'!$B$34,'Configuración'!$B$35)))))</f>
        <v>12</v>
      </c>
      <c r="V24" s="38">
        <f>IF(B24="","",IF(K24="Sí",'Configuración'!$B$5,0)+IF(L24="Semanal",'Configuración'!$B$6,IF(L24="Mensual",'Configuración'!$B$7,0))+IF(M24="Sí",'Configuración'!$B$8,0)+IF(N24="Sí",'Configuración'!$B$9,0)+IF(O24="Sí",'Configuración'!$B$10,0)+IF(P24="Sí",'Configuración'!$B$11,0)+IF(Q24="Sí",'Configuración'!$B$12,0)+S24+T24+U24)</f>
        <v>28</v>
      </c>
      <c r="W24" s="39" t="str">
        <f>IF(B24="","",IF(V24&gt;='Configuración'!$B$19,"A",IF(V24&gt;='Configuración'!$B$20,"B",IF(V24&gt;='Configuración'!$B$21,"C","Descarte"))))</f>
        <v>C</v>
      </c>
    </row>
    <row r="25" ht="15.75" customHeight="1">
      <c r="A25" s="34">
        <f t="shared" si="1"/>
        <v>23</v>
      </c>
      <c r="B25" s="29" t="s">
        <v>262</v>
      </c>
      <c r="C25" s="29" t="s">
        <v>202</v>
      </c>
      <c r="D25" s="29" t="s">
        <v>268</v>
      </c>
      <c r="E25" s="29" t="s">
        <v>269</v>
      </c>
      <c r="F25" s="30" t="s">
        <v>270</v>
      </c>
      <c r="G25" s="30" t="s">
        <v>271</v>
      </c>
      <c r="H25" s="30" t="s">
        <v>272</v>
      </c>
      <c r="I25" s="29" t="s">
        <v>127</v>
      </c>
      <c r="J25" s="31">
        <v>3.0</v>
      </c>
      <c r="K25" s="36" t="s">
        <v>119</v>
      </c>
      <c r="L25" s="36" t="s">
        <v>128</v>
      </c>
      <c r="M25" s="36" t="s">
        <v>117</v>
      </c>
      <c r="N25" s="36" t="s">
        <v>119</v>
      </c>
      <c r="O25" s="36" t="s">
        <v>119</v>
      </c>
      <c r="P25" s="35"/>
      <c r="Q25" s="36" t="s">
        <v>119</v>
      </c>
      <c r="R25" s="36" t="s">
        <v>230</v>
      </c>
      <c r="S25" s="37">
        <f>IF(B25="","",IF(ISNUMBER(J25),IF(J25&lt;=10,'Configuración'!$B$23,IF(J25&lt;=50,'Configuración'!$B$24,IF(J25&lt;=200,'Configuración'!$B$25,0))),0))</f>
        <v>12</v>
      </c>
      <c r="T25" s="37">
        <f>IF(B25="","",IF(ISNUMBER(SEARCH("information technology",I25))+ISNUMBER(SEARCH("software",I25))+ISNUMBER(SEARCH("internet",I25))+ISNUMBER(SEARCH("computer",I25))+ISNUMBER(SEARCH("saas",I25))+ISNUMBER(SEARCH("fintech",I25))+ISNUMBER(SEARCH("information services",I25))+ISNUMBER(SEARCH("telecommunications",I25))&gt;0,'Configuración'!$B$27,'Configuración'!$B$28))</f>
        <v>12</v>
      </c>
      <c r="U25" s="25">
        <f>IF(B25="","",IF(ISNUMBER(SEARCH("CEO",C25))+ISNUMBER(SEARCH("Founder",C25))+ISNUMBER(SEARCH("Owner",C25))+ISNUMBER(SEARCH("Dueño",C25))+ISNUMBER(SEARCH("Director General",C25))+ISNUMBER(SEARCH("Presidente",C25))+ISNUMBER(SEARCH("President",C25))&gt;0,'Configuración'!$B$31,IF(ISNUMBER(SEARCH("CMO",C25))+ISNUMBER(SEARCH("Chief Marketing",C25))+ISNUMBER(SEARCH("VP Marketing",C25))+ISNUMBER(SEARCH("Director de Marketing",C25))+ISNUMBER(SEARCH("Director Marketing",C25))+ISNUMBER(SEARCH("Head of Marketing",C25))+ISNUMBER(SEARCH("Head Marketing",C25))&gt;0,'Configuración'!$B$32,IF(ISNUMBER(SEARCH("Marketing Manager",C25))+ISNUMBER(SEARCH("Gerente de Marketing",C25))+ISNUMBER(SEARCH("Growth Manager",C25))+ISNUMBER(SEARCH("Demand Gen",C25))+ISNUMBER(SEARCH("Marketing Lead",C25))&gt;0,'Configuración'!$B$33,IF(ISNUMBER(SEARCH("COO",C25))+ISNUMBER(SEARCH("CFO",C25))+ISNUMBER(SEARCH("CTO",C25))+ISNUMBER(SEARCH("Chief Operating",C25))+ISNUMBER(SEARCH("Chief Financial",C25))+ISNUMBER(SEARCH("Gerente General",C25))+ISNUMBER(SEARCH("General Manager",C25))&gt;0,'Configuración'!$B$34,'Configuración'!$B$35)))))</f>
        <v>12</v>
      </c>
      <c r="V25" s="38">
        <f>IF(B25="","",IF(K25="Sí",'Configuración'!$B$5,0)+IF(L25="Semanal",'Configuración'!$B$6,IF(L25="Mensual",'Configuración'!$B$7,0))+IF(M25="Sí",'Configuración'!$B$8,0)+IF(N25="Sí",'Configuración'!$B$9,0)+IF(O25="Sí",'Configuración'!$B$10,0)+IF(P25="Sí",'Configuración'!$B$11,0)+IF(Q25="Sí",'Configuración'!$B$12,0)+S25+T25+U25)</f>
        <v>48</v>
      </c>
      <c r="W25" s="39" t="str">
        <f>IF(B25="","",IF(V25&gt;='Configuración'!$B$19,"A",IF(V25&gt;='Configuración'!$B$20,"B",IF(V25&gt;='Configuración'!$B$21,"C","Descarte"))))</f>
        <v>B</v>
      </c>
    </row>
    <row r="26" ht="15.75" customHeight="1">
      <c r="A26" s="34">
        <f t="shared" si="1"/>
        <v>24</v>
      </c>
      <c r="B26" s="29" t="s">
        <v>273</v>
      </c>
      <c r="C26" s="29" t="s">
        <v>274</v>
      </c>
      <c r="D26" s="29" t="s">
        <v>275</v>
      </c>
      <c r="E26" s="29" t="s">
        <v>276</v>
      </c>
      <c r="F26" s="30" t="s">
        <v>277</v>
      </c>
      <c r="G26" s="30" t="s">
        <v>278</v>
      </c>
      <c r="H26" s="30" t="s">
        <v>279</v>
      </c>
      <c r="I26" s="29" t="s">
        <v>280</v>
      </c>
      <c r="J26" s="31">
        <v>34.0</v>
      </c>
      <c r="K26" s="36" t="s">
        <v>119</v>
      </c>
      <c r="L26" s="36" t="s">
        <v>128</v>
      </c>
      <c r="M26" s="36" t="s">
        <v>117</v>
      </c>
      <c r="N26" s="36" t="s">
        <v>119</v>
      </c>
      <c r="O26" s="36" t="s">
        <v>119</v>
      </c>
      <c r="P26" s="35"/>
      <c r="Q26" s="36" t="s">
        <v>119</v>
      </c>
      <c r="R26" s="35"/>
      <c r="S26" s="37">
        <f>IF(B26="","",IF(ISNUMBER(J26),IF(J26&lt;=10,'Configuración'!$B$23,IF(J26&lt;=50,'Configuración'!$B$24,IF(J26&lt;=200,'Configuración'!$B$25,0))),0))</f>
        <v>4</v>
      </c>
      <c r="T26" s="37">
        <f>IF(B26="","",IF(ISNUMBER(SEARCH("information technology",I26))+ISNUMBER(SEARCH("software",I26))+ISNUMBER(SEARCH("internet",I26))+ISNUMBER(SEARCH("computer",I26))+ISNUMBER(SEARCH("saas",I26))+ISNUMBER(SEARCH("fintech",I26))+ISNUMBER(SEARCH("information services",I26))+ISNUMBER(SEARCH("telecommunications",I26))&gt;0,'Configuración'!$B$27,'Configuración'!$B$28))</f>
        <v>12</v>
      </c>
      <c r="U26" s="25">
        <f>IF(B26="","",IF(ISNUMBER(SEARCH("CEO",C26))+ISNUMBER(SEARCH("Founder",C26))+ISNUMBER(SEARCH("Owner",C26))+ISNUMBER(SEARCH("Dueño",C26))+ISNUMBER(SEARCH("Director General",C26))+ISNUMBER(SEARCH("Presidente",C26))+ISNUMBER(SEARCH("President",C26))&gt;0,'Configuración'!$B$31,IF(ISNUMBER(SEARCH("CMO",C26))+ISNUMBER(SEARCH("Chief Marketing",C26))+ISNUMBER(SEARCH("VP Marketing",C26))+ISNUMBER(SEARCH("Director de Marketing",C26))+ISNUMBER(SEARCH("Director Marketing",C26))+ISNUMBER(SEARCH("Head of Marketing",C26))+ISNUMBER(SEARCH("Head Marketing",C26))&gt;0,'Configuración'!$B$32,IF(ISNUMBER(SEARCH("Marketing Manager",C26))+ISNUMBER(SEARCH("Gerente de Marketing",C26))+ISNUMBER(SEARCH("Growth Manager",C26))+ISNUMBER(SEARCH("Demand Gen",C26))+ISNUMBER(SEARCH("Marketing Lead",C26))&gt;0,'Configuración'!$B$33,IF(ISNUMBER(SEARCH("COO",C26))+ISNUMBER(SEARCH("CFO",C26))+ISNUMBER(SEARCH("CTO",C26))+ISNUMBER(SEARCH("Chief Operating",C26))+ISNUMBER(SEARCH("Chief Financial",C26))+ISNUMBER(SEARCH("Gerente General",C26))+ISNUMBER(SEARCH("General Manager",C26))&gt;0,'Configuración'!$B$34,'Configuración'!$B$35)))))</f>
        <v>12</v>
      </c>
      <c r="V26" s="38">
        <f>IF(B26="","",IF(K26="Sí",'Configuración'!$B$5,0)+IF(L26="Semanal",'Configuración'!$B$6,IF(L26="Mensual",'Configuración'!$B$7,0))+IF(M26="Sí",'Configuración'!$B$8,0)+IF(N26="Sí",'Configuración'!$B$9,0)+IF(O26="Sí",'Configuración'!$B$10,0)+IF(P26="Sí",'Configuración'!$B$11,0)+IF(Q26="Sí",'Configuración'!$B$12,0)+S26+T26+U26)</f>
        <v>40</v>
      </c>
      <c r="W26" s="39" t="str">
        <f>IF(B26="","",IF(V26&gt;='Configuración'!$B$19,"A",IF(V26&gt;='Configuración'!$B$20,"B",IF(V26&gt;='Configuración'!$B$21,"C","Descarte"))))</f>
        <v>B</v>
      </c>
    </row>
    <row r="27" ht="15.75" customHeight="1">
      <c r="A27" s="34">
        <f t="shared" si="1"/>
        <v>25</v>
      </c>
      <c r="B27" s="29" t="s">
        <v>281</v>
      </c>
      <c r="C27" s="29" t="s">
        <v>282</v>
      </c>
      <c r="D27" s="29" t="s">
        <v>283</v>
      </c>
      <c r="E27" s="29" t="s">
        <v>284</v>
      </c>
      <c r="F27" s="30" t="s">
        <v>285</v>
      </c>
      <c r="G27" s="30" t="s">
        <v>286</v>
      </c>
      <c r="H27" s="30" t="s">
        <v>287</v>
      </c>
      <c r="I27" s="29" t="s">
        <v>288</v>
      </c>
      <c r="J27" s="31">
        <v>1.0</v>
      </c>
      <c r="K27" s="36" t="s">
        <v>119</v>
      </c>
      <c r="L27" s="36" t="s">
        <v>128</v>
      </c>
      <c r="M27" s="36" t="s">
        <v>117</v>
      </c>
      <c r="N27" s="36" t="s">
        <v>119</v>
      </c>
      <c r="O27" s="36" t="s">
        <v>119</v>
      </c>
      <c r="P27" s="35"/>
      <c r="Q27" s="36" t="s">
        <v>119</v>
      </c>
      <c r="R27" s="35"/>
      <c r="S27" s="37">
        <f>IF(B27="","",IF(ISNUMBER(J27),IF(J27&lt;=10,'Configuración'!$B$23,IF(J27&lt;=50,'Configuración'!$B$24,IF(J27&lt;=200,'Configuración'!$B$25,0))),0))</f>
        <v>12</v>
      </c>
      <c r="T27" s="37">
        <f>IF(B27="","",IF(ISNUMBER(SEARCH("information technology",I27))+ISNUMBER(SEARCH("software",I27))+ISNUMBER(SEARCH("internet",I27))+ISNUMBER(SEARCH("computer",I27))+ISNUMBER(SEARCH("saas",I27))+ISNUMBER(SEARCH("fintech",I27))+ISNUMBER(SEARCH("information services",I27))+ISNUMBER(SEARCH("telecommunications",I27))&gt;0,'Configuración'!$B$27,'Configuración'!$B$28))</f>
        <v>4</v>
      </c>
      <c r="U27" s="25">
        <f>IF(B27="","",IF(ISNUMBER(SEARCH("CEO",C27))+ISNUMBER(SEARCH("Founder",C27))+ISNUMBER(SEARCH("Owner",C27))+ISNUMBER(SEARCH("Dueño",C27))+ISNUMBER(SEARCH("Director General",C27))+ISNUMBER(SEARCH("Presidente",C27))+ISNUMBER(SEARCH("President",C27))&gt;0,'Configuración'!$B$31,IF(ISNUMBER(SEARCH("CMO",C27))+ISNUMBER(SEARCH("Chief Marketing",C27))+ISNUMBER(SEARCH("VP Marketing",C27))+ISNUMBER(SEARCH("Director de Marketing",C27))+ISNUMBER(SEARCH("Director Marketing",C27))+ISNUMBER(SEARCH("Head of Marketing",C27))+ISNUMBER(SEARCH("Head Marketing",C27))&gt;0,'Configuración'!$B$32,IF(ISNUMBER(SEARCH("Marketing Manager",C27))+ISNUMBER(SEARCH("Gerente de Marketing",C27))+ISNUMBER(SEARCH("Growth Manager",C27))+ISNUMBER(SEARCH("Demand Gen",C27))+ISNUMBER(SEARCH("Marketing Lead",C27))&gt;0,'Configuración'!$B$33,IF(ISNUMBER(SEARCH("COO",C27))+ISNUMBER(SEARCH("CFO",C27))+ISNUMBER(SEARCH("CTO",C27))+ISNUMBER(SEARCH("Chief Operating",C27))+ISNUMBER(SEARCH("Chief Financial",C27))+ISNUMBER(SEARCH("Gerente General",C27))+ISNUMBER(SEARCH("General Manager",C27))&gt;0,'Configuración'!$B$34,'Configuración'!$B$35)))))</f>
        <v>12</v>
      </c>
      <c r="V27" s="38">
        <f>IF(B27="","",IF(K27="Sí",'Configuración'!$B$5,0)+IF(L27="Semanal",'Configuración'!$B$6,IF(L27="Mensual",'Configuración'!$B$7,0))+IF(M27="Sí",'Configuración'!$B$8,0)+IF(N27="Sí",'Configuración'!$B$9,0)+IF(O27="Sí",'Configuración'!$B$10,0)+IF(P27="Sí",'Configuración'!$B$11,0)+IF(Q27="Sí",'Configuración'!$B$12,0)+S27+T27+U27)</f>
        <v>40</v>
      </c>
      <c r="W27" s="39" t="str">
        <f>IF(B27="","",IF(V27&gt;='Configuración'!$B$19,"A",IF(V27&gt;='Configuración'!$B$20,"B",IF(V27&gt;='Configuración'!$B$21,"C","Descarte"))))</f>
        <v>B</v>
      </c>
    </row>
    <row r="28" ht="15.75" customHeight="1">
      <c r="A28" s="34">
        <f t="shared" si="1"/>
        <v>26</v>
      </c>
      <c r="B28" s="29" t="s">
        <v>174</v>
      </c>
      <c r="C28" s="29" t="s">
        <v>289</v>
      </c>
      <c r="D28" s="29" t="s">
        <v>290</v>
      </c>
      <c r="E28" s="29" t="s">
        <v>291</v>
      </c>
      <c r="F28" s="30" t="s">
        <v>292</v>
      </c>
      <c r="G28" s="30" t="s">
        <v>293</v>
      </c>
      <c r="H28" s="30" t="s">
        <v>294</v>
      </c>
      <c r="I28" s="29" t="s">
        <v>295</v>
      </c>
      <c r="J28" s="31">
        <v>29.0</v>
      </c>
      <c r="K28" s="36" t="s">
        <v>119</v>
      </c>
      <c r="L28" s="36" t="s">
        <v>118</v>
      </c>
      <c r="M28" s="36" t="s">
        <v>117</v>
      </c>
      <c r="N28" s="36" t="s">
        <v>117</v>
      </c>
      <c r="O28" s="36" t="s">
        <v>119</v>
      </c>
      <c r="P28" s="35"/>
      <c r="Q28" s="36" t="s">
        <v>119</v>
      </c>
      <c r="R28" s="35"/>
      <c r="S28" s="37">
        <f>IF(B28="","",IF(ISNUMBER(J28),IF(J28&lt;=10,'Configuración'!$B$23,IF(J28&lt;=50,'Configuración'!$B$24,IF(J28&lt;=200,'Configuración'!$B$25,0))),0))</f>
        <v>4</v>
      </c>
      <c r="T28" s="37">
        <f>IF(B28="","",IF(ISNUMBER(SEARCH("information technology",I28))+ISNUMBER(SEARCH("software",I28))+ISNUMBER(SEARCH("internet",I28))+ISNUMBER(SEARCH("computer",I28))+ISNUMBER(SEARCH("saas",I28))+ISNUMBER(SEARCH("fintech",I28))+ISNUMBER(SEARCH("information services",I28))+ISNUMBER(SEARCH("telecommunications",I28))&gt;0,'Configuración'!$B$27,'Configuración'!$B$28))</f>
        <v>4</v>
      </c>
      <c r="U28" s="25">
        <f>IF(B28="","",IF(ISNUMBER(SEARCH("CEO",C28))+ISNUMBER(SEARCH("Founder",C28))+ISNUMBER(SEARCH("Owner",C28))+ISNUMBER(SEARCH("Dueño",C28))+ISNUMBER(SEARCH("Director General",C28))+ISNUMBER(SEARCH("Presidente",C28))+ISNUMBER(SEARCH("President",C28))&gt;0,'Configuración'!$B$31,IF(ISNUMBER(SEARCH("CMO",C28))+ISNUMBER(SEARCH("Chief Marketing",C28))+ISNUMBER(SEARCH("VP Marketing",C28))+ISNUMBER(SEARCH("Director de Marketing",C28))+ISNUMBER(SEARCH("Director Marketing",C28))+ISNUMBER(SEARCH("Head of Marketing",C28))+ISNUMBER(SEARCH("Head Marketing",C28))&gt;0,'Configuración'!$B$32,IF(ISNUMBER(SEARCH("Marketing Manager",C28))+ISNUMBER(SEARCH("Gerente de Marketing",C28))+ISNUMBER(SEARCH("Growth Manager",C28))+ISNUMBER(SEARCH("Demand Gen",C28))+ISNUMBER(SEARCH("Marketing Lead",C28))&gt;0,'Configuración'!$B$33,IF(ISNUMBER(SEARCH("COO",C28))+ISNUMBER(SEARCH("CFO",C28))+ISNUMBER(SEARCH("CTO",C28))+ISNUMBER(SEARCH("Chief Operating",C28))+ISNUMBER(SEARCH("Chief Financial",C28))+ISNUMBER(SEARCH("Gerente General",C28))+ISNUMBER(SEARCH("General Manager",C28))&gt;0,'Configuración'!$B$34,'Configuración'!$B$35)))))</f>
        <v>12</v>
      </c>
      <c r="V28" s="38">
        <f>IF(B28="","",IF(K28="Sí",'Configuración'!$B$5,0)+IF(L28="Semanal",'Configuración'!$B$6,IF(L28="Mensual",'Configuración'!$B$7,0))+IF(M28="Sí",'Configuración'!$B$8,0)+IF(N28="Sí",'Configuración'!$B$9,0)+IF(O28="Sí",'Configuración'!$B$10,0)+IF(P28="Sí",'Configuración'!$B$11,0)+IF(Q28="Sí",'Configuración'!$B$12,0)+S28+T28+U28)</f>
        <v>48</v>
      </c>
      <c r="W28" s="39" t="str">
        <f>IF(B28="","",IF(V28&gt;='Configuración'!$B$19,"A",IF(V28&gt;='Configuración'!$B$20,"B",IF(V28&gt;='Configuración'!$B$21,"C","Descarte"))))</f>
        <v>B</v>
      </c>
    </row>
    <row r="29" ht="15.75" customHeight="1">
      <c r="A29" s="34">
        <f t="shared" si="1"/>
        <v>27</v>
      </c>
      <c r="B29" s="29" t="s">
        <v>296</v>
      </c>
      <c r="C29" s="29" t="s">
        <v>297</v>
      </c>
      <c r="D29" s="29" t="s">
        <v>298</v>
      </c>
      <c r="E29" s="29" t="s">
        <v>299</v>
      </c>
      <c r="F29" s="30" t="s">
        <v>300</v>
      </c>
      <c r="G29" s="30" t="s">
        <v>301</v>
      </c>
      <c r="H29" s="30" t="s">
        <v>302</v>
      </c>
      <c r="I29" s="29" t="s">
        <v>127</v>
      </c>
      <c r="J29" s="31">
        <v>7.0</v>
      </c>
      <c r="K29" s="36" t="s">
        <v>119</v>
      </c>
      <c r="L29" s="36" t="s">
        <v>173</v>
      </c>
      <c r="M29" s="36" t="s">
        <v>119</v>
      </c>
      <c r="N29" s="36" t="s">
        <v>119</v>
      </c>
      <c r="O29" s="36" t="s">
        <v>119</v>
      </c>
      <c r="P29" s="35"/>
      <c r="Q29" s="36" t="s">
        <v>119</v>
      </c>
      <c r="R29" s="36" t="s">
        <v>230</v>
      </c>
      <c r="S29" s="37">
        <f>IF(B29="","",IF(ISNUMBER(J29),IF(J29&lt;=10,'Configuración'!$B$23,IF(J29&lt;=50,'Configuración'!$B$24,IF(J29&lt;=200,'Configuración'!$B$25,0))),0))</f>
        <v>12</v>
      </c>
      <c r="T29" s="37">
        <f>IF(B29="","",IF(ISNUMBER(SEARCH("information technology",I29))+ISNUMBER(SEARCH("software",I29))+ISNUMBER(SEARCH("internet",I29))+ISNUMBER(SEARCH("computer",I29))+ISNUMBER(SEARCH("saas",I29))+ISNUMBER(SEARCH("fintech",I29))+ISNUMBER(SEARCH("information services",I29))+ISNUMBER(SEARCH("telecommunications",I29))&gt;0,'Configuración'!$B$27,'Configuración'!$B$28))</f>
        <v>12</v>
      </c>
      <c r="U29" s="25">
        <f>IF(B29="","",IF(ISNUMBER(SEARCH("CEO",C29))+ISNUMBER(SEARCH("Founder",C29))+ISNUMBER(SEARCH("Owner",C29))+ISNUMBER(SEARCH("Dueño",C29))+ISNUMBER(SEARCH("Director General",C29))+ISNUMBER(SEARCH("Presidente",C29))+ISNUMBER(SEARCH("President",C29))&gt;0,'Configuración'!$B$31,IF(ISNUMBER(SEARCH("CMO",C29))+ISNUMBER(SEARCH("Chief Marketing",C29))+ISNUMBER(SEARCH("VP Marketing",C29))+ISNUMBER(SEARCH("Director de Marketing",C29))+ISNUMBER(SEARCH("Director Marketing",C29))+ISNUMBER(SEARCH("Head of Marketing",C29))+ISNUMBER(SEARCH("Head Marketing",C29))&gt;0,'Configuración'!$B$32,IF(ISNUMBER(SEARCH("Marketing Manager",C29))+ISNUMBER(SEARCH("Gerente de Marketing",C29))+ISNUMBER(SEARCH("Growth Manager",C29))+ISNUMBER(SEARCH("Demand Gen",C29))+ISNUMBER(SEARCH("Marketing Lead",C29))&gt;0,'Configuración'!$B$33,IF(ISNUMBER(SEARCH("COO",C29))+ISNUMBER(SEARCH("CFO",C29))+ISNUMBER(SEARCH("CTO",C29))+ISNUMBER(SEARCH("Chief Operating",C29))+ISNUMBER(SEARCH("Chief Financial",C29))+ISNUMBER(SEARCH("Gerente General",C29))+ISNUMBER(SEARCH("General Manager",C29))&gt;0,'Configuración'!$B$34,'Configuración'!$B$35)))))</f>
        <v>0</v>
      </c>
      <c r="V29" s="38">
        <f>IF(B29="","",IF(K29="Sí",'Configuración'!$B$5,0)+IF(L29="Semanal",'Configuración'!$B$6,IF(L29="Mensual",'Configuración'!$B$7,0))+IF(M29="Sí",'Configuración'!$B$8,0)+IF(N29="Sí",'Configuración'!$B$9,0)+IF(O29="Sí",'Configuración'!$B$10,0)+IF(P29="Sí",'Configuración'!$B$11,0)+IF(Q29="Sí",'Configuración'!$B$12,0)+S29+T29+U29)</f>
        <v>28</v>
      </c>
      <c r="W29" s="39" t="str">
        <f>IF(B29="","",IF(V29&gt;='Configuración'!$B$19,"A",IF(V29&gt;='Configuración'!$B$20,"B",IF(V29&gt;='Configuración'!$B$21,"C","Descarte"))))</f>
        <v>C</v>
      </c>
    </row>
    <row r="30" ht="15.75" customHeight="1">
      <c r="A30" s="34">
        <f t="shared" si="1"/>
        <v>28</v>
      </c>
      <c r="B30" s="29" t="s">
        <v>303</v>
      </c>
      <c r="C30" s="29" t="s">
        <v>304</v>
      </c>
      <c r="D30" s="29" t="s">
        <v>305</v>
      </c>
      <c r="E30" s="29" t="s">
        <v>306</v>
      </c>
      <c r="F30" s="30" t="s">
        <v>307</v>
      </c>
      <c r="G30" s="30" t="s">
        <v>308</v>
      </c>
      <c r="H30" s="30" t="s">
        <v>309</v>
      </c>
      <c r="I30" s="29" t="s">
        <v>310</v>
      </c>
      <c r="J30" s="31">
        <v>14.0</v>
      </c>
      <c r="K30" s="36" t="s">
        <v>119</v>
      </c>
      <c r="L30" s="36" t="s">
        <v>128</v>
      </c>
      <c r="M30" s="36" t="s">
        <v>119</v>
      </c>
      <c r="N30" s="36" t="s">
        <v>119</v>
      </c>
      <c r="O30" s="36" t="s">
        <v>119</v>
      </c>
      <c r="P30" s="35"/>
      <c r="Q30" s="36" t="s">
        <v>119</v>
      </c>
      <c r="R30" s="35"/>
      <c r="S30" s="37">
        <f>IF(B30="","",IF(ISNUMBER(J30),IF(J30&lt;=10,'Configuración'!$B$23,IF(J30&lt;=50,'Configuración'!$B$24,IF(J30&lt;=200,'Configuración'!$B$25,0))),0))</f>
        <v>4</v>
      </c>
      <c r="T30" s="37">
        <f>IF(B30="","",IF(ISNUMBER(SEARCH("information technology",I30))+ISNUMBER(SEARCH("software",I30))+ISNUMBER(SEARCH("internet",I30))+ISNUMBER(SEARCH("computer",I30))+ISNUMBER(SEARCH("saas",I30))+ISNUMBER(SEARCH("fintech",I30))+ISNUMBER(SEARCH("information services",I30))+ISNUMBER(SEARCH("telecommunications",I30))&gt;0,'Configuración'!$B$27,'Configuración'!$B$28))</f>
        <v>4</v>
      </c>
      <c r="U30" s="25">
        <f>IF(B30="","",IF(ISNUMBER(SEARCH("CEO",C30))+ISNUMBER(SEARCH("Founder",C30))+ISNUMBER(SEARCH("Owner",C30))+ISNUMBER(SEARCH("Dueño",C30))+ISNUMBER(SEARCH("Director General",C30))+ISNUMBER(SEARCH("Presidente",C30))+ISNUMBER(SEARCH("President",C30))&gt;0,'Configuración'!$B$31,IF(ISNUMBER(SEARCH("CMO",C30))+ISNUMBER(SEARCH("Chief Marketing",C30))+ISNUMBER(SEARCH("VP Marketing",C30))+ISNUMBER(SEARCH("Director de Marketing",C30))+ISNUMBER(SEARCH("Director Marketing",C30))+ISNUMBER(SEARCH("Head of Marketing",C30))+ISNUMBER(SEARCH("Head Marketing",C30))&gt;0,'Configuración'!$B$32,IF(ISNUMBER(SEARCH("Marketing Manager",C30))+ISNUMBER(SEARCH("Gerente de Marketing",C30))+ISNUMBER(SEARCH("Growth Manager",C30))+ISNUMBER(SEARCH("Demand Gen",C30))+ISNUMBER(SEARCH("Marketing Lead",C30))&gt;0,'Configuración'!$B$33,IF(ISNUMBER(SEARCH("COO",C30))+ISNUMBER(SEARCH("CFO",C30))+ISNUMBER(SEARCH("CTO",C30))+ISNUMBER(SEARCH("Chief Operating",C30))+ISNUMBER(SEARCH("Chief Financial",C30))+ISNUMBER(SEARCH("Gerente General",C30))+ISNUMBER(SEARCH("General Manager",C30))&gt;0,'Configuración'!$B$34,'Configuración'!$B$35)))))</f>
        <v>4</v>
      </c>
      <c r="V30" s="38">
        <f>IF(B30="","",IF(K30="Sí",'Configuración'!$B$5,0)+IF(L30="Semanal",'Configuración'!$B$6,IF(L30="Mensual",'Configuración'!$B$7,0))+IF(M30="Sí",'Configuración'!$B$8,0)+IF(N30="Sí",'Configuración'!$B$9,0)+IF(O30="Sí",'Configuración'!$B$10,0)+IF(P30="Sí",'Configuración'!$B$11,0)+IF(Q30="Sí",'Configuración'!$B$12,0)+S30+T30+U30)</f>
        <v>12</v>
      </c>
      <c r="W30" s="39" t="str">
        <f>IF(B30="","",IF(V30&gt;='Configuración'!$B$19,"A",IF(V30&gt;='Configuración'!$B$20,"B",IF(V30&gt;='Configuración'!$B$21,"C","Descarte"))))</f>
        <v>Descarte</v>
      </c>
    </row>
    <row r="31" ht="15.75" customHeight="1">
      <c r="A31" s="34">
        <f t="shared" si="1"/>
        <v>29</v>
      </c>
      <c r="B31" s="29" t="s">
        <v>236</v>
      </c>
      <c r="C31" s="29" t="s">
        <v>311</v>
      </c>
      <c r="D31" s="29" t="s">
        <v>312</v>
      </c>
      <c r="E31" s="29" t="s">
        <v>313</v>
      </c>
      <c r="F31" s="30" t="s">
        <v>314</v>
      </c>
      <c r="G31" s="30" t="s">
        <v>315</v>
      </c>
      <c r="H31" s="30" t="s">
        <v>316</v>
      </c>
      <c r="I31" s="29" t="s">
        <v>317</v>
      </c>
      <c r="J31" s="31">
        <v>9.0</v>
      </c>
      <c r="K31" s="36" t="s">
        <v>119</v>
      </c>
      <c r="L31" s="36" t="s">
        <v>128</v>
      </c>
      <c r="M31" s="36" t="s">
        <v>119</v>
      </c>
      <c r="N31" s="36" t="s">
        <v>119</v>
      </c>
      <c r="O31" s="36" t="s">
        <v>119</v>
      </c>
      <c r="P31" s="35"/>
      <c r="Q31" s="36" t="s">
        <v>119</v>
      </c>
      <c r="R31" s="35"/>
      <c r="S31" s="37">
        <f>IF(B31="","",IF(ISNUMBER(J31),IF(J31&lt;=10,'Configuración'!$B$23,IF(J31&lt;=50,'Configuración'!$B$24,IF(J31&lt;=200,'Configuración'!$B$25,0))),0))</f>
        <v>12</v>
      </c>
      <c r="T31" s="37">
        <f>IF(B31="","",IF(ISNUMBER(SEARCH("information technology",I31))+ISNUMBER(SEARCH("software",I31))+ISNUMBER(SEARCH("internet",I31))+ISNUMBER(SEARCH("computer",I31))+ISNUMBER(SEARCH("saas",I31))+ISNUMBER(SEARCH("fintech",I31))+ISNUMBER(SEARCH("information services",I31))+ISNUMBER(SEARCH("telecommunications",I31))&gt;0,'Configuración'!$B$27,'Configuración'!$B$28))</f>
        <v>4</v>
      </c>
      <c r="U31" s="25">
        <f>IF(B31="","",IF(ISNUMBER(SEARCH("CEO",C31))+ISNUMBER(SEARCH("Founder",C31))+ISNUMBER(SEARCH("Owner",C31))+ISNUMBER(SEARCH("Dueño",C31))+ISNUMBER(SEARCH("Director General",C31))+ISNUMBER(SEARCH("Presidente",C31))+ISNUMBER(SEARCH("President",C31))&gt;0,'Configuración'!$B$31,IF(ISNUMBER(SEARCH("CMO",C31))+ISNUMBER(SEARCH("Chief Marketing",C31))+ISNUMBER(SEARCH("VP Marketing",C31))+ISNUMBER(SEARCH("Director de Marketing",C31))+ISNUMBER(SEARCH("Director Marketing",C31))+ISNUMBER(SEARCH("Head of Marketing",C31))+ISNUMBER(SEARCH("Head Marketing",C31))&gt;0,'Configuración'!$B$32,IF(ISNUMBER(SEARCH("Marketing Manager",C31))+ISNUMBER(SEARCH("Gerente de Marketing",C31))+ISNUMBER(SEARCH("Growth Manager",C31))+ISNUMBER(SEARCH("Demand Gen",C31))+ISNUMBER(SEARCH("Marketing Lead",C31))&gt;0,'Configuración'!$B$33,IF(ISNUMBER(SEARCH("COO",C31))+ISNUMBER(SEARCH("CFO",C31))+ISNUMBER(SEARCH("CTO",C31))+ISNUMBER(SEARCH("Chief Operating",C31))+ISNUMBER(SEARCH("Chief Financial",C31))+ISNUMBER(SEARCH("Gerente General",C31))+ISNUMBER(SEARCH("General Manager",C31))&gt;0,'Configuración'!$B$34,'Configuración'!$B$35)))))</f>
        <v>12</v>
      </c>
      <c r="V31" s="38">
        <f>IF(B31="","",IF(K31="Sí",'Configuración'!$B$5,0)+IF(L31="Semanal",'Configuración'!$B$6,IF(L31="Mensual",'Configuración'!$B$7,0))+IF(M31="Sí",'Configuración'!$B$8,0)+IF(N31="Sí",'Configuración'!$B$9,0)+IF(O31="Sí",'Configuración'!$B$10,0)+IF(P31="Sí",'Configuración'!$B$11,0)+IF(Q31="Sí",'Configuración'!$B$12,0)+S31+T31+U31)</f>
        <v>28</v>
      </c>
      <c r="W31" s="39" t="str">
        <f>IF(B31="","",IF(V31&gt;='Configuración'!$B$19,"A",IF(V31&gt;='Configuración'!$B$20,"B",IF(V31&gt;='Configuración'!$B$21,"C","Descarte"))))</f>
        <v>C</v>
      </c>
    </row>
    <row r="32" ht="15.75" customHeight="1">
      <c r="A32" s="34">
        <f t="shared" si="1"/>
        <v>30</v>
      </c>
      <c r="B32" s="29" t="s">
        <v>262</v>
      </c>
      <c r="C32" s="29" t="s">
        <v>318</v>
      </c>
      <c r="D32" s="29" t="s">
        <v>319</v>
      </c>
      <c r="E32" s="29" t="s">
        <v>320</v>
      </c>
      <c r="F32" s="30" t="s">
        <v>321</v>
      </c>
      <c r="G32" s="30" t="s">
        <v>322</v>
      </c>
      <c r="H32" s="30" t="s">
        <v>323</v>
      </c>
      <c r="I32" s="29" t="s">
        <v>222</v>
      </c>
      <c r="J32" s="31">
        <v>23.0</v>
      </c>
      <c r="K32" s="36" t="s">
        <v>117</v>
      </c>
      <c r="L32" s="36" t="s">
        <v>118</v>
      </c>
      <c r="M32" s="36" t="s">
        <v>117</v>
      </c>
      <c r="N32" s="36" t="s">
        <v>117</v>
      </c>
      <c r="O32" s="36" t="s">
        <v>117</v>
      </c>
      <c r="P32" s="35"/>
      <c r="Q32" s="36" t="s">
        <v>119</v>
      </c>
      <c r="R32" s="35"/>
      <c r="S32" s="37">
        <f>IF(B32="","",IF(ISNUMBER(J32),IF(J32&lt;=10,'Configuración'!$B$23,IF(J32&lt;=50,'Configuración'!$B$24,IF(J32&lt;=200,'Configuración'!$B$25,0))),0))</f>
        <v>4</v>
      </c>
      <c r="T32" s="37">
        <f>IF(B32="","",IF(ISNUMBER(SEARCH("information technology",I32))+ISNUMBER(SEARCH("software",I32))+ISNUMBER(SEARCH("internet",I32))+ISNUMBER(SEARCH("computer",I32))+ISNUMBER(SEARCH("saas",I32))+ISNUMBER(SEARCH("fintech",I32))+ISNUMBER(SEARCH("information services",I32))+ISNUMBER(SEARCH("telecommunications",I32))&gt;0,'Configuración'!$B$27,'Configuración'!$B$28))</f>
        <v>4</v>
      </c>
      <c r="U32" s="25">
        <f>IF(B32="","",IF(ISNUMBER(SEARCH("CEO",C32))+ISNUMBER(SEARCH("Founder",C32))+ISNUMBER(SEARCH("Owner",C32))+ISNUMBER(SEARCH("Dueño",C32))+ISNUMBER(SEARCH("Director General",C32))+ISNUMBER(SEARCH("Presidente",C32))+ISNUMBER(SEARCH("President",C32))&gt;0,'Configuración'!$B$31,IF(ISNUMBER(SEARCH("CMO",C32))+ISNUMBER(SEARCH("Chief Marketing",C32))+ISNUMBER(SEARCH("VP Marketing",C32))+ISNUMBER(SEARCH("Director de Marketing",C32))+ISNUMBER(SEARCH("Director Marketing",C32))+ISNUMBER(SEARCH("Head of Marketing",C32))+ISNUMBER(SEARCH("Head Marketing",C32))&gt;0,'Configuración'!$B$32,IF(ISNUMBER(SEARCH("Marketing Manager",C32))+ISNUMBER(SEARCH("Gerente de Marketing",C32))+ISNUMBER(SEARCH("Growth Manager",C32))+ISNUMBER(SEARCH("Demand Gen",C32))+ISNUMBER(SEARCH("Marketing Lead",C32))&gt;0,'Configuración'!$B$33,IF(ISNUMBER(SEARCH("COO",C32))+ISNUMBER(SEARCH("CFO",C32))+ISNUMBER(SEARCH("CTO",C32))+ISNUMBER(SEARCH("Chief Operating",C32))+ISNUMBER(SEARCH("Chief Financial",C32))+ISNUMBER(SEARCH("Gerente General",C32))+ISNUMBER(SEARCH("General Manager",C32))&gt;0,'Configuración'!$B$34,'Configuración'!$B$35)))))</f>
        <v>4</v>
      </c>
      <c r="V32" s="38">
        <f>IF(B32="","",IF(K32="Sí",'Configuración'!$B$5,0)+IF(L32="Semanal",'Configuración'!$B$6,IF(L32="Mensual",'Configuración'!$B$7,0))+IF(M32="Sí",'Configuración'!$B$8,0)+IF(N32="Sí",'Configuración'!$B$9,0)+IF(O32="Sí",'Configuración'!$B$10,0)+IF(P32="Sí",'Configuración'!$B$11,0)+IF(Q32="Sí",'Configuración'!$B$12,0)+S32+T32+U32)</f>
        <v>60</v>
      </c>
      <c r="W32" s="39" t="str">
        <f>IF(B32="","",IF(V32&gt;='Configuración'!$B$19,"A",IF(V32&gt;='Configuración'!$B$20,"B",IF(V32&gt;='Configuración'!$B$21,"C","Descarte"))))</f>
        <v>A</v>
      </c>
    </row>
    <row r="33" ht="15.75" customHeight="1">
      <c r="A33" s="34">
        <f t="shared" si="1"/>
        <v>31</v>
      </c>
      <c r="B33" s="29" t="s">
        <v>324</v>
      </c>
      <c r="C33" s="29" t="s">
        <v>325</v>
      </c>
      <c r="D33" s="29" t="s">
        <v>326</v>
      </c>
      <c r="E33" s="29" t="s">
        <v>327</v>
      </c>
      <c r="F33" s="30" t="s">
        <v>328</v>
      </c>
      <c r="G33" s="30" t="s">
        <v>329</v>
      </c>
      <c r="H33" s="30" t="s">
        <v>330</v>
      </c>
      <c r="I33" s="29" t="s">
        <v>188</v>
      </c>
      <c r="J33" s="31">
        <v>1.0</v>
      </c>
      <c r="K33" s="36" t="s">
        <v>119</v>
      </c>
      <c r="L33" s="36" t="s">
        <v>128</v>
      </c>
      <c r="M33" s="36" t="s">
        <v>117</v>
      </c>
      <c r="N33" s="36" t="s">
        <v>119</v>
      </c>
      <c r="O33" s="36" t="s">
        <v>119</v>
      </c>
      <c r="P33" s="35"/>
      <c r="Q33" s="36" t="s">
        <v>119</v>
      </c>
      <c r="R33" s="35"/>
      <c r="S33" s="37">
        <f>IF(B33="","",IF(ISNUMBER(J33),IF(J33&lt;=10,'Configuración'!$B$23,IF(J33&lt;=50,'Configuración'!$B$24,IF(J33&lt;=200,'Configuración'!$B$25,0))),0))</f>
        <v>12</v>
      </c>
      <c r="T33" s="37">
        <f>IF(B33="","",IF(ISNUMBER(SEARCH("information technology",I33))+ISNUMBER(SEARCH("software",I33))+ISNUMBER(SEARCH("internet",I33))+ISNUMBER(SEARCH("computer",I33))+ISNUMBER(SEARCH("saas",I33))+ISNUMBER(SEARCH("fintech",I33))+ISNUMBER(SEARCH("information services",I33))+ISNUMBER(SEARCH("telecommunications",I33))&gt;0,'Configuración'!$B$27,'Configuración'!$B$28))</f>
        <v>4</v>
      </c>
      <c r="U33" s="25">
        <f>IF(B33="","",IF(ISNUMBER(SEARCH("CEO",C33))+ISNUMBER(SEARCH("Founder",C33))+ISNUMBER(SEARCH("Owner",C33))+ISNUMBER(SEARCH("Dueño",C33))+ISNUMBER(SEARCH("Director General",C33))+ISNUMBER(SEARCH("Presidente",C33))+ISNUMBER(SEARCH("President",C33))&gt;0,'Configuración'!$B$31,IF(ISNUMBER(SEARCH("CMO",C33))+ISNUMBER(SEARCH("Chief Marketing",C33))+ISNUMBER(SEARCH("VP Marketing",C33))+ISNUMBER(SEARCH("Director de Marketing",C33))+ISNUMBER(SEARCH("Director Marketing",C33))+ISNUMBER(SEARCH("Head of Marketing",C33))+ISNUMBER(SEARCH("Head Marketing",C33))&gt;0,'Configuración'!$B$32,IF(ISNUMBER(SEARCH("Marketing Manager",C33))+ISNUMBER(SEARCH("Gerente de Marketing",C33))+ISNUMBER(SEARCH("Growth Manager",C33))+ISNUMBER(SEARCH("Demand Gen",C33))+ISNUMBER(SEARCH("Marketing Lead",C33))&gt;0,'Configuración'!$B$33,IF(ISNUMBER(SEARCH("COO",C33))+ISNUMBER(SEARCH("CFO",C33))+ISNUMBER(SEARCH("CTO",C33))+ISNUMBER(SEARCH("Chief Operating",C33))+ISNUMBER(SEARCH("Chief Financial",C33))+ISNUMBER(SEARCH("Gerente General",C33))+ISNUMBER(SEARCH("General Manager",C33))&gt;0,'Configuración'!$B$34,'Configuración'!$B$35)))))</f>
        <v>12</v>
      </c>
      <c r="V33" s="38">
        <f>IF(B33="","",IF(K33="Sí",'Configuración'!$B$5,0)+IF(L33="Semanal",'Configuración'!$B$6,IF(L33="Mensual",'Configuración'!$B$7,0))+IF(M33="Sí",'Configuración'!$B$8,0)+IF(N33="Sí",'Configuración'!$B$9,0)+IF(O33="Sí",'Configuración'!$B$10,0)+IF(P33="Sí",'Configuración'!$B$11,0)+IF(Q33="Sí",'Configuración'!$B$12,0)+S33+T33+U33)</f>
        <v>40</v>
      </c>
      <c r="W33" s="39" t="str">
        <f>IF(B33="","",IF(V33&gt;='Configuración'!$B$19,"A",IF(V33&gt;='Configuración'!$B$20,"B",IF(V33&gt;='Configuración'!$B$21,"C","Descarte"))))</f>
        <v>B</v>
      </c>
    </row>
    <row r="34" ht="15.75" customHeight="1">
      <c r="A34" s="34">
        <f t="shared" si="1"/>
        <v>32</v>
      </c>
      <c r="B34" s="29" t="s">
        <v>331</v>
      </c>
      <c r="C34" s="29" t="s">
        <v>202</v>
      </c>
      <c r="D34" s="29" t="s">
        <v>332</v>
      </c>
      <c r="E34" s="29" t="s">
        <v>333</v>
      </c>
      <c r="F34" s="30" t="s">
        <v>334</v>
      </c>
      <c r="G34" s="30" t="s">
        <v>335</v>
      </c>
      <c r="H34" s="30" t="s">
        <v>336</v>
      </c>
      <c r="I34" s="29" t="s">
        <v>337</v>
      </c>
      <c r="J34" s="31">
        <v>4.0</v>
      </c>
      <c r="K34" s="36" t="s">
        <v>119</v>
      </c>
      <c r="L34" s="36" t="s">
        <v>128</v>
      </c>
      <c r="M34" s="36" t="s">
        <v>119</v>
      </c>
      <c r="N34" s="36" t="s">
        <v>117</v>
      </c>
      <c r="O34" s="36" t="s">
        <v>117</v>
      </c>
      <c r="P34" s="35"/>
      <c r="Q34" s="36" t="s">
        <v>119</v>
      </c>
      <c r="R34" s="35"/>
      <c r="S34" s="37">
        <f>IF(B34="","",IF(ISNUMBER(J34),IF(J34&lt;=10,'Configuración'!$B$23,IF(J34&lt;=50,'Configuración'!$B$24,IF(J34&lt;=200,'Configuración'!$B$25,0))),0))</f>
        <v>12</v>
      </c>
      <c r="T34" s="37">
        <f>IF(B34="","",IF(ISNUMBER(SEARCH("information technology",I34))+ISNUMBER(SEARCH("software",I34))+ISNUMBER(SEARCH("internet",I34))+ISNUMBER(SEARCH("computer",I34))+ISNUMBER(SEARCH("saas",I34))+ISNUMBER(SEARCH("fintech",I34))+ISNUMBER(SEARCH("information services",I34))+ISNUMBER(SEARCH("telecommunications",I34))&gt;0,'Configuración'!$B$27,'Configuración'!$B$28))</f>
        <v>4</v>
      </c>
      <c r="U34" s="25">
        <f>IF(B34="","",IF(ISNUMBER(SEARCH("CEO",C34))+ISNUMBER(SEARCH("Founder",C34))+ISNUMBER(SEARCH("Owner",C34))+ISNUMBER(SEARCH("Dueño",C34))+ISNUMBER(SEARCH("Director General",C34))+ISNUMBER(SEARCH("Presidente",C34))+ISNUMBER(SEARCH("President",C34))&gt;0,'Configuración'!$B$31,IF(ISNUMBER(SEARCH("CMO",C34))+ISNUMBER(SEARCH("Chief Marketing",C34))+ISNUMBER(SEARCH("VP Marketing",C34))+ISNUMBER(SEARCH("Director de Marketing",C34))+ISNUMBER(SEARCH("Director Marketing",C34))+ISNUMBER(SEARCH("Head of Marketing",C34))+ISNUMBER(SEARCH("Head Marketing",C34))&gt;0,'Configuración'!$B$32,IF(ISNUMBER(SEARCH("Marketing Manager",C34))+ISNUMBER(SEARCH("Gerente de Marketing",C34))+ISNUMBER(SEARCH("Growth Manager",C34))+ISNUMBER(SEARCH("Demand Gen",C34))+ISNUMBER(SEARCH("Marketing Lead",C34))&gt;0,'Configuración'!$B$33,IF(ISNUMBER(SEARCH("COO",C34))+ISNUMBER(SEARCH("CFO",C34))+ISNUMBER(SEARCH("CTO",C34))+ISNUMBER(SEARCH("Chief Operating",C34))+ISNUMBER(SEARCH("Chief Financial",C34))+ISNUMBER(SEARCH("Gerente General",C34))+ISNUMBER(SEARCH("General Manager",C34))&gt;0,'Configuración'!$B$34,'Configuración'!$B$35)))))</f>
        <v>12</v>
      </c>
      <c r="V34" s="38">
        <f>IF(B34="","",IF(K34="Sí",'Configuración'!$B$5,0)+IF(L34="Semanal",'Configuración'!$B$6,IF(L34="Mensual",'Configuración'!$B$7,0))+IF(M34="Sí",'Configuración'!$B$8,0)+IF(N34="Sí",'Configuración'!$B$9,0)+IF(O34="Sí",'Configuración'!$B$10,0)+IF(P34="Sí",'Configuración'!$B$11,0)+IF(Q34="Sí",'Configuración'!$B$12,0)+S34+T34+U34)</f>
        <v>40</v>
      </c>
      <c r="W34" s="39" t="str">
        <f>IF(B34="","",IF(V34&gt;='Configuración'!$B$19,"A",IF(V34&gt;='Configuración'!$B$20,"B",IF(V34&gt;='Configuración'!$B$21,"C","Descarte"))))</f>
        <v>B</v>
      </c>
    </row>
    <row r="35" ht="15.75" customHeight="1">
      <c r="A35" s="34">
        <f t="shared" si="1"/>
        <v>33</v>
      </c>
      <c r="B35" s="29" t="s">
        <v>120</v>
      </c>
      <c r="C35" s="29" t="s">
        <v>131</v>
      </c>
      <c r="D35" s="29" t="s">
        <v>338</v>
      </c>
      <c r="E35" s="29" t="s">
        <v>339</v>
      </c>
      <c r="F35" s="30" t="s">
        <v>340</v>
      </c>
      <c r="G35" s="30" t="s">
        <v>341</v>
      </c>
      <c r="H35" s="30" t="s">
        <v>342</v>
      </c>
      <c r="I35" s="29" t="s">
        <v>127</v>
      </c>
      <c r="J35" s="31">
        <v>23.0</v>
      </c>
      <c r="K35" s="36" t="s">
        <v>119</v>
      </c>
      <c r="L35" s="36" t="s">
        <v>118</v>
      </c>
      <c r="M35" s="36" t="s">
        <v>117</v>
      </c>
      <c r="N35" s="36" t="s">
        <v>119</v>
      </c>
      <c r="O35" s="36" t="s">
        <v>119</v>
      </c>
      <c r="P35" s="35"/>
      <c r="Q35" s="36" t="s">
        <v>119</v>
      </c>
      <c r="R35" s="35"/>
      <c r="S35" s="37">
        <f>IF(B35="","",IF(ISNUMBER(J35),IF(J35&lt;=10,'Configuración'!$B$23,IF(J35&lt;=50,'Configuración'!$B$24,IF(J35&lt;=200,'Configuración'!$B$25,0))),0))</f>
        <v>4</v>
      </c>
      <c r="T35" s="37">
        <f>IF(B35="","",IF(ISNUMBER(SEARCH("information technology",I35))+ISNUMBER(SEARCH("software",I35))+ISNUMBER(SEARCH("internet",I35))+ISNUMBER(SEARCH("computer",I35))+ISNUMBER(SEARCH("saas",I35))+ISNUMBER(SEARCH("fintech",I35))+ISNUMBER(SEARCH("information services",I35))+ISNUMBER(SEARCH("telecommunications",I35))&gt;0,'Configuración'!$B$27,'Configuración'!$B$28))</f>
        <v>12</v>
      </c>
      <c r="U35" s="25">
        <f>IF(B35="","",IF(ISNUMBER(SEARCH("CEO",C35))+ISNUMBER(SEARCH("Founder",C35))+ISNUMBER(SEARCH("Owner",C35))+ISNUMBER(SEARCH("Dueño",C35))+ISNUMBER(SEARCH("Director General",C35))+ISNUMBER(SEARCH("Presidente",C35))+ISNUMBER(SEARCH("President",C35))&gt;0,'Configuración'!$B$31,IF(ISNUMBER(SEARCH("CMO",C35))+ISNUMBER(SEARCH("Chief Marketing",C35))+ISNUMBER(SEARCH("VP Marketing",C35))+ISNUMBER(SEARCH("Director de Marketing",C35))+ISNUMBER(SEARCH("Director Marketing",C35))+ISNUMBER(SEARCH("Head of Marketing",C35))+ISNUMBER(SEARCH("Head Marketing",C35))&gt;0,'Configuración'!$B$32,IF(ISNUMBER(SEARCH("Marketing Manager",C35))+ISNUMBER(SEARCH("Gerente de Marketing",C35))+ISNUMBER(SEARCH("Growth Manager",C35))+ISNUMBER(SEARCH("Demand Gen",C35))+ISNUMBER(SEARCH("Marketing Lead",C35))&gt;0,'Configuración'!$B$33,IF(ISNUMBER(SEARCH("COO",C35))+ISNUMBER(SEARCH("CFO",C35))+ISNUMBER(SEARCH("CTO",C35))+ISNUMBER(SEARCH("Chief Operating",C35))+ISNUMBER(SEARCH("Chief Financial",C35))+ISNUMBER(SEARCH("Gerente General",C35))+ISNUMBER(SEARCH("General Manager",C35))&gt;0,'Configuración'!$B$34,'Configuración'!$B$35)))))</f>
        <v>12</v>
      </c>
      <c r="V35" s="38">
        <f>IF(B35="","",IF(K35="Sí",'Configuración'!$B$5,0)+IF(L35="Semanal",'Configuración'!$B$6,IF(L35="Mensual",'Configuración'!$B$7,0))+IF(M35="Sí",'Configuración'!$B$8,0)+IF(N35="Sí",'Configuración'!$B$9,0)+IF(O35="Sí",'Configuración'!$B$10,0)+IF(P35="Sí",'Configuración'!$B$11,0)+IF(Q35="Sí",'Configuración'!$B$12,0)+S35+T35+U35)</f>
        <v>52</v>
      </c>
      <c r="W35" s="39" t="str">
        <f>IF(B35="","",IF(V35&gt;='Configuración'!$B$19,"A",IF(V35&gt;='Configuración'!$B$20,"B",IF(V35&gt;='Configuración'!$B$21,"C","Descarte"))))</f>
        <v>B</v>
      </c>
    </row>
    <row r="36" ht="15.75" customHeight="1">
      <c r="A36" s="34">
        <f t="shared" si="1"/>
        <v>34</v>
      </c>
      <c r="B36" s="29" t="s">
        <v>343</v>
      </c>
      <c r="C36" s="29" t="s">
        <v>344</v>
      </c>
      <c r="D36" s="29" t="s">
        <v>345</v>
      </c>
      <c r="E36" s="29" t="s">
        <v>346</v>
      </c>
      <c r="F36" s="30" t="s">
        <v>347</v>
      </c>
      <c r="G36" s="30" t="s">
        <v>348</v>
      </c>
      <c r="H36" s="30" t="s">
        <v>349</v>
      </c>
      <c r="I36" s="29" t="s">
        <v>350</v>
      </c>
      <c r="J36" s="31">
        <v>26.0</v>
      </c>
      <c r="K36" s="36" t="s">
        <v>119</v>
      </c>
      <c r="L36" s="36" t="s">
        <v>128</v>
      </c>
      <c r="M36" s="36" t="s">
        <v>119</v>
      </c>
      <c r="N36" s="36" t="s">
        <v>119</v>
      </c>
      <c r="O36" s="36" t="s">
        <v>119</v>
      </c>
      <c r="P36" s="35"/>
      <c r="Q36" s="36" t="s">
        <v>119</v>
      </c>
      <c r="R36" s="35"/>
      <c r="S36" s="37">
        <f>IF(B36="","",IF(ISNUMBER(J36),IF(J36&lt;=10,'Configuración'!$B$23,IF(J36&lt;=50,'Configuración'!$B$24,IF(J36&lt;=200,'Configuración'!$B$25,0))),0))</f>
        <v>4</v>
      </c>
      <c r="T36" s="37">
        <f>IF(B36="","",IF(ISNUMBER(SEARCH("information technology",I36))+ISNUMBER(SEARCH("software",I36))+ISNUMBER(SEARCH("internet",I36))+ISNUMBER(SEARCH("computer",I36))+ISNUMBER(SEARCH("saas",I36))+ISNUMBER(SEARCH("fintech",I36))+ISNUMBER(SEARCH("information services",I36))+ISNUMBER(SEARCH("telecommunications",I36))&gt;0,'Configuración'!$B$27,'Configuración'!$B$28))</f>
        <v>4</v>
      </c>
      <c r="U36" s="25">
        <f>IF(B36="","",IF(ISNUMBER(SEARCH("CEO",C36))+ISNUMBER(SEARCH("Founder",C36))+ISNUMBER(SEARCH("Owner",C36))+ISNUMBER(SEARCH("Dueño",C36))+ISNUMBER(SEARCH("Director General",C36))+ISNUMBER(SEARCH("Presidente",C36))+ISNUMBER(SEARCH("President",C36))&gt;0,'Configuración'!$B$31,IF(ISNUMBER(SEARCH("CMO",C36))+ISNUMBER(SEARCH("Chief Marketing",C36))+ISNUMBER(SEARCH("VP Marketing",C36))+ISNUMBER(SEARCH("Director de Marketing",C36))+ISNUMBER(SEARCH("Director Marketing",C36))+ISNUMBER(SEARCH("Head of Marketing",C36))+ISNUMBER(SEARCH("Head Marketing",C36))&gt;0,'Configuración'!$B$32,IF(ISNUMBER(SEARCH("Marketing Manager",C36))+ISNUMBER(SEARCH("Gerente de Marketing",C36))+ISNUMBER(SEARCH("Growth Manager",C36))+ISNUMBER(SEARCH("Demand Gen",C36))+ISNUMBER(SEARCH("Marketing Lead",C36))&gt;0,'Configuración'!$B$33,IF(ISNUMBER(SEARCH("COO",C36))+ISNUMBER(SEARCH("CFO",C36))+ISNUMBER(SEARCH("CTO",C36))+ISNUMBER(SEARCH("Chief Operating",C36))+ISNUMBER(SEARCH("Chief Financial",C36))+ISNUMBER(SEARCH("Gerente General",C36))+ISNUMBER(SEARCH("General Manager",C36))&gt;0,'Configuración'!$B$34,'Configuración'!$B$35)))))</f>
        <v>12</v>
      </c>
      <c r="V36" s="38">
        <f>IF(B36="","",IF(K36="Sí",'Configuración'!$B$5,0)+IF(L36="Semanal",'Configuración'!$B$6,IF(L36="Mensual",'Configuración'!$B$7,0))+IF(M36="Sí",'Configuración'!$B$8,0)+IF(N36="Sí",'Configuración'!$B$9,0)+IF(O36="Sí",'Configuración'!$B$10,0)+IF(P36="Sí",'Configuración'!$B$11,0)+IF(Q36="Sí",'Configuración'!$B$12,0)+S36+T36+U36)</f>
        <v>20</v>
      </c>
      <c r="W36" s="39" t="str">
        <f>IF(B36="","",IF(V36&gt;='Configuración'!$B$19,"A",IF(V36&gt;='Configuración'!$B$20,"B",IF(V36&gt;='Configuración'!$B$21,"C","Descarte"))))</f>
        <v>Descarte</v>
      </c>
    </row>
    <row r="37" ht="15.75" customHeight="1">
      <c r="A37" s="34">
        <f t="shared" si="1"/>
        <v>35</v>
      </c>
      <c r="B37" s="29" t="s">
        <v>351</v>
      </c>
      <c r="C37" s="29" t="s">
        <v>352</v>
      </c>
      <c r="D37" s="29" t="s">
        <v>353</v>
      </c>
      <c r="E37" s="29" t="s">
        <v>354</v>
      </c>
      <c r="F37" s="30" t="s">
        <v>355</v>
      </c>
      <c r="G37" s="30" t="s">
        <v>356</v>
      </c>
      <c r="H37" s="30" t="s">
        <v>357</v>
      </c>
      <c r="I37" s="29" t="s">
        <v>116</v>
      </c>
      <c r="J37" s="31">
        <v>10.0</v>
      </c>
      <c r="K37" s="36" t="s">
        <v>119</v>
      </c>
      <c r="L37" s="36" t="s">
        <v>128</v>
      </c>
      <c r="M37" s="36" t="s">
        <v>119</v>
      </c>
      <c r="N37" s="36" t="s">
        <v>119</v>
      </c>
      <c r="O37" s="36" t="s">
        <v>119</v>
      </c>
      <c r="P37" s="35"/>
      <c r="Q37" s="36" t="s">
        <v>119</v>
      </c>
      <c r="R37" s="35"/>
      <c r="S37" s="37">
        <f>IF(B37="","",IF(ISNUMBER(J37),IF(J37&lt;=10,'Configuración'!$B$23,IF(J37&lt;=50,'Configuración'!$B$24,IF(J37&lt;=200,'Configuración'!$B$25,0))),0))</f>
        <v>12</v>
      </c>
      <c r="T37" s="37">
        <f>IF(B37="","",IF(ISNUMBER(SEARCH("information technology",I37))+ISNUMBER(SEARCH("software",I37))+ISNUMBER(SEARCH("internet",I37))+ISNUMBER(SEARCH("computer",I37))+ISNUMBER(SEARCH("saas",I37))+ISNUMBER(SEARCH("fintech",I37))+ISNUMBER(SEARCH("information services",I37))+ISNUMBER(SEARCH("telecommunications",I37))&gt;0,'Configuración'!$B$27,'Configuración'!$B$28))</f>
        <v>4</v>
      </c>
      <c r="U37" s="25">
        <f>IF(B37="","",IF(ISNUMBER(SEARCH("CEO",C37))+ISNUMBER(SEARCH("Founder",C37))+ISNUMBER(SEARCH("Owner",C37))+ISNUMBER(SEARCH("Dueño",C37))+ISNUMBER(SEARCH("Director General",C37))+ISNUMBER(SEARCH("Presidente",C37))+ISNUMBER(SEARCH("President",C37))&gt;0,'Configuración'!$B$31,IF(ISNUMBER(SEARCH("CMO",C37))+ISNUMBER(SEARCH("Chief Marketing",C37))+ISNUMBER(SEARCH("VP Marketing",C37))+ISNUMBER(SEARCH("Director de Marketing",C37))+ISNUMBER(SEARCH("Director Marketing",C37))+ISNUMBER(SEARCH("Head of Marketing",C37))+ISNUMBER(SEARCH("Head Marketing",C37))&gt;0,'Configuración'!$B$32,IF(ISNUMBER(SEARCH("Marketing Manager",C37))+ISNUMBER(SEARCH("Gerente de Marketing",C37))+ISNUMBER(SEARCH("Growth Manager",C37))+ISNUMBER(SEARCH("Demand Gen",C37))+ISNUMBER(SEARCH("Marketing Lead",C37))&gt;0,'Configuración'!$B$33,IF(ISNUMBER(SEARCH("COO",C37))+ISNUMBER(SEARCH("CFO",C37))+ISNUMBER(SEARCH("CTO",C37))+ISNUMBER(SEARCH("Chief Operating",C37))+ISNUMBER(SEARCH("Chief Financial",C37))+ISNUMBER(SEARCH("Gerente General",C37))+ISNUMBER(SEARCH("General Manager",C37))&gt;0,'Configuración'!$B$34,'Configuración'!$B$35)))))</f>
        <v>12</v>
      </c>
      <c r="V37" s="38">
        <f>IF(B37="","",IF(K37="Sí",'Configuración'!$B$5,0)+IF(L37="Semanal",'Configuración'!$B$6,IF(L37="Mensual",'Configuración'!$B$7,0))+IF(M37="Sí",'Configuración'!$B$8,0)+IF(N37="Sí",'Configuración'!$B$9,0)+IF(O37="Sí",'Configuración'!$B$10,0)+IF(P37="Sí",'Configuración'!$B$11,0)+IF(Q37="Sí",'Configuración'!$B$12,0)+S37+T37+U37)</f>
        <v>28</v>
      </c>
      <c r="W37" s="39" t="str">
        <f>IF(B37="","",IF(V37&gt;='Configuración'!$B$19,"A",IF(V37&gt;='Configuración'!$B$20,"B",IF(V37&gt;='Configuración'!$B$21,"C","Descarte"))))</f>
        <v>C</v>
      </c>
    </row>
    <row r="38" ht="15.75" customHeight="1">
      <c r="A38" s="34">
        <f t="shared" si="1"/>
        <v>36</v>
      </c>
      <c r="B38" s="29" t="s">
        <v>174</v>
      </c>
      <c r="C38" s="29" t="s">
        <v>224</v>
      </c>
      <c r="D38" s="29" t="s">
        <v>257</v>
      </c>
      <c r="E38" s="29" t="s">
        <v>358</v>
      </c>
      <c r="F38" s="30" t="s">
        <v>359</v>
      </c>
      <c r="G38" s="30" t="s">
        <v>260</v>
      </c>
      <c r="H38" s="30" t="s">
        <v>261</v>
      </c>
      <c r="I38" s="29" t="s">
        <v>127</v>
      </c>
      <c r="J38" s="31">
        <v>38.0</v>
      </c>
      <c r="K38" s="35"/>
      <c r="L38" s="35"/>
      <c r="M38" s="35"/>
      <c r="N38" s="35"/>
      <c r="O38" s="35"/>
      <c r="P38" s="35"/>
      <c r="Q38" s="35"/>
      <c r="R38" s="36" t="s">
        <v>360</v>
      </c>
      <c r="S38" s="37">
        <f>IF(B38="","",IF(ISNUMBER(J38),IF(J38&lt;=10,'Configuración'!$B$23,IF(J38&lt;=50,'Configuración'!$B$24,IF(J38&lt;=200,'Configuración'!$B$25,0))),0))</f>
        <v>4</v>
      </c>
      <c r="T38" s="37">
        <f>IF(B38="","",IF(ISNUMBER(SEARCH("information technology",I38))+ISNUMBER(SEARCH("software",I38))+ISNUMBER(SEARCH("internet",I38))+ISNUMBER(SEARCH("computer",I38))+ISNUMBER(SEARCH("saas",I38))+ISNUMBER(SEARCH("fintech",I38))+ISNUMBER(SEARCH("information services",I38))+ISNUMBER(SEARCH("telecommunications",I38))&gt;0,'Configuración'!$B$27,'Configuración'!$B$28))</f>
        <v>12</v>
      </c>
      <c r="U38" s="25">
        <f>IF(B38="","",IF(ISNUMBER(SEARCH("CEO",C38))+ISNUMBER(SEARCH("Founder",C38))+ISNUMBER(SEARCH("Owner",C38))+ISNUMBER(SEARCH("Dueño",C38))+ISNUMBER(SEARCH("Director General",C38))+ISNUMBER(SEARCH("Presidente",C38))+ISNUMBER(SEARCH("President",C38))&gt;0,'Configuración'!$B$31,IF(ISNUMBER(SEARCH("CMO",C38))+ISNUMBER(SEARCH("Chief Marketing",C38))+ISNUMBER(SEARCH("VP Marketing",C38))+ISNUMBER(SEARCH("Director de Marketing",C38))+ISNUMBER(SEARCH("Director Marketing",C38))+ISNUMBER(SEARCH("Head of Marketing",C38))+ISNUMBER(SEARCH("Head Marketing",C38))&gt;0,'Configuración'!$B$32,IF(ISNUMBER(SEARCH("Marketing Manager",C38))+ISNUMBER(SEARCH("Gerente de Marketing",C38))+ISNUMBER(SEARCH("Growth Manager",C38))+ISNUMBER(SEARCH("Demand Gen",C38))+ISNUMBER(SEARCH("Marketing Lead",C38))&gt;0,'Configuración'!$B$33,IF(ISNUMBER(SEARCH("COO",C38))+ISNUMBER(SEARCH("CFO",C38))+ISNUMBER(SEARCH("CTO",C38))+ISNUMBER(SEARCH("Chief Operating",C38))+ISNUMBER(SEARCH("Chief Financial",C38))+ISNUMBER(SEARCH("Gerente General",C38))+ISNUMBER(SEARCH("General Manager",C38))&gt;0,'Configuración'!$B$34,'Configuración'!$B$35)))))</f>
        <v>12</v>
      </c>
      <c r="V38" s="38">
        <f>IF(B38="","",IF(K38="Sí",'Configuración'!$B$5,0)+IF(L38="Semanal",'Configuración'!$B$6,IF(L38="Mensual",'Configuración'!$B$7,0))+IF(M38="Sí",'Configuración'!$B$8,0)+IF(N38="Sí",'Configuración'!$B$9,0)+IF(O38="Sí",'Configuración'!$B$10,0)+IF(P38="Sí",'Configuración'!$B$11,0)+IF(Q38="Sí",'Configuración'!$B$12,0)+S38+T38+U38)</f>
        <v>28</v>
      </c>
      <c r="W38" s="39" t="str">
        <f>IF(B38="","",IF(V38&gt;='Configuración'!$B$19,"A",IF(V38&gt;='Configuración'!$B$20,"B",IF(V38&gt;='Configuración'!$B$21,"C","Descarte"))))</f>
        <v>C</v>
      </c>
    </row>
    <row r="39" ht="15.75" customHeight="1">
      <c r="A39" s="34">
        <f t="shared" si="1"/>
        <v>37</v>
      </c>
      <c r="B39" s="29" t="s">
        <v>181</v>
      </c>
      <c r="C39" s="29" t="s">
        <v>361</v>
      </c>
      <c r="D39" s="29" t="s">
        <v>362</v>
      </c>
      <c r="E39" s="29" t="s">
        <v>363</v>
      </c>
      <c r="F39" s="30" t="s">
        <v>364</v>
      </c>
      <c r="G39" s="30" t="s">
        <v>365</v>
      </c>
      <c r="H39" s="30" t="s">
        <v>366</v>
      </c>
      <c r="I39" s="29" t="s">
        <v>116</v>
      </c>
      <c r="J39" s="31">
        <v>5.0</v>
      </c>
      <c r="K39" s="36" t="s">
        <v>119</v>
      </c>
      <c r="L39" s="36" t="s">
        <v>128</v>
      </c>
      <c r="M39" s="36" t="s">
        <v>119</v>
      </c>
      <c r="N39" s="36" t="s">
        <v>119</v>
      </c>
      <c r="O39" s="36" t="s">
        <v>119</v>
      </c>
      <c r="P39" s="35"/>
      <c r="Q39" s="36" t="s">
        <v>119</v>
      </c>
      <c r="R39" s="35"/>
      <c r="S39" s="37">
        <f>IF(B39="","",IF(ISNUMBER(J39),IF(J39&lt;=10,'Configuración'!$B$23,IF(J39&lt;=50,'Configuración'!$B$24,IF(J39&lt;=200,'Configuración'!$B$25,0))),0))</f>
        <v>12</v>
      </c>
      <c r="T39" s="37">
        <f>IF(B39="","",IF(ISNUMBER(SEARCH("information technology",I39))+ISNUMBER(SEARCH("software",I39))+ISNUMBER(SEARCH("internet",I39))+ISNUMBER(SEARCH("computer",I39))+ISNUMBER(SEARCH("saas",I39))+ISNUMBER(SEARCH("fintech",I39))+ISNUMBER(SEARCH("information services",I39))+ISNUMBER(SEARCH("telecommunications",I39))&gt;0,'Configuración'!$B$27,'Configuración'!$B$28))</f>
        <v>4</v>
      </c>
      <c r="U39" s="25">
        <f>IF(B39="","",IF(ISNUMBER(SEARCH("CEO",C39))+ISNUMBER(SEARCH("Founder",C39))+ISNUMBER(SEARCH("Owner",C39))+ISNUMBER(SEARCH("Dueño",C39))+ISNUMBER(SEARCH("Director General",C39))+ISNUMBER(SEARCH("Presidente",C39))+ISNUMBER(SEARCH("President",C39))&gt;0,'Configuración'!$B$31,IF(ISNUMBER(SEARCH("CMO",C39))+ISNUMBER(SEARCH("Chief Marketing",C39))+ISNUMBER(SEARCH("VP Marketing",C39))+ISNUMBER(SEARCH("Director de Marketing",C39))+ISNUMBER(SEARCH("Director Marketing",C39))+ISNUMBER(SEARCH("Head of Marketing",C39))+ISNUMBER(SEARCH("Head Marketing",C39))&gt;0,'Configuración'!$B$32,IF(ISNUMBER(SEARCH("Marketing Manager",C39))+ISNUMBER(SEARCH("Gerente de Marketing",C39))+ISNUMBER(SEARCH("Growth Manager",C39))+ISNUMBER(SEARCH("Demand Gen",C39))+ISNUMBER(SEARCH("Marketing Lead",C39))&gt;0,'Configuración'!$B$33,IF(ISNUMBER(SEARCH("COO",C39))+ISNUMBER(SEARCH("CFO",C39))+ISNUMBER(SEARCH("CTO",C39))+ISNUMBER(SEARCH("Chief Operating",C39))+ISNUMBER(SEARCH("Chief Financial",C39))+ISNUMBER(SEARCH("Gerente General",C39))+ISNUMBER(SEARCH("General Manager",C39))&gt;0,'Configuración'!$B$34,'Configuración'!$B$35)))))</f>
        <v>0</v>
      </c>
      <c r="V39" s="38">
        <f>IF(B39="","",IF(K39="Sí",'Configuración'!$B$5,0)+IF(L39="Semanal",'Configuración'!$B$6,IF(L39="Mensual",'Configuración'!$B$7,0))+IF(M39="Sí",'Configuración'!$B$8,0)+IF(N39="Sí",'Configuración'!$B$9,0)+IF(O39="Sí",'Configuración'!$B$10,0)+IF(P39="Sí",'Configuración'!$B$11,0)+IF(Q39="Sí",'Configuración'!$B$12,0)+S39+T39+U39)</f>
        <v>16</v>
      </c>
      <c r="W39" s="39" t="str">
        <f>IF(B39="","",IF(V39&gt;='Configuración'!$B$19,"A",IF(V39&gt;='Configuración'!$B$20,"B",IF(V39&gt;='Configuración'!$B$21,"C","Descarte"))))</f>
        <v>Descarte</v>
      </c>
    </row>
    <row r="40" ht="15.75" customHeight="1">
      <c r="A40" s="34">
        <f t="shared" si="1"/>
        <v>38</v>
      </c>
      <c r="B40" s="29" t="s">
        <v>367</v>
      </c>
      <c r="C40" s="29" t="s">
        <v>368</v>
      </c>
      <c r="D40" s="29" t="s">
        <v>369</v>
      </c>
      <c r="E40" s="29" t="s">
        <v>370</v>
      </c>
      <c r="F40" s="30" t="s">
        <v>371</v>
      </c>
      <c r="G40" s="30" t="s">
        <v>372</v>
      </c>
      <c r="H40" s="30" t="s">
        <v>373</v>
      </c>
      <c r="I40" s="29" t="s">
        <v>127</v>
      </c>
      <c r="J40" s="31">
        <v>4.0</v>
      </c>
      <c r="K40" s="36" t="s">
        <v>117</v>
      </c>
      <c r="L40" s="36" t="s">
        <v>118</v>
      </c>
      <c r="M40" s="36" t="s">
        <v>117</v>
      </c>
      <c r="N40" s="36" t="s">
        <v>119</v>
      </c>
      <c r="O40" s="36" t="s">
        <v>119</v>
      </c>
      <c r="P40" s="35"/>
      <c r="Q40" s="36" t="s">
        <v>119</v>
      </c>
      <c r="R40" s="36" t="s">
        <v>230</v>
      </c>
      <c r="S40" s="37">
        <f>IF(B40="","",IF(ISNUMBER(J40),IF(J40&lt;=10,'Configuración'!$B$23,IF(J40&lt;=50,'Configuración'!$B$24,IF(J40&lt;=200,'Configuración'!$B$25,0))),0))</f>
        <v>12</v>
      </c>
      <c r="T40" s="37">
        <f>IF(B40="","",IF(ISNUMBER(SEARCH("information technology",I40))+ISNUMBER(SEARCH("software",I40))+ISNUMBER(SEARCH("internet",I40))+ISNUMBER(SEARCH("computer",I40))+ISNUMBER(SEARCH("saas",I40))+ISNUMBER(SEARCH("fintech",I40))+ISNUMBER(SEARCH("information services",I40))+ISNUMBER(SEARCH("telecommunications",I40))&gt;0,'Configuración'!$B$27,'Configuración'!$B$28))</f>
        <v>12</v>
      </c>
      <c r="U40" s="25">
        <f>IF(B40="","",IF(ISNUMBER(SEARCH("CEO",C40))+ISNUMBER(SEARCH("Founder",C40))+ISNUMBER(SEARCH("Owner",C40))+ISNUMBER(SEARCH("Dueño",C40))+ISNUMBER(SEARCH("Director General",C40))+ISNUMBER(SEARCH("Presidente",C40))+ISNUMBER(SEARCH("President",C40))&gt;0,'Configuración'!$B$31,IF(ISNUMBER(SEARCH("CMO",C40))+ISNUMBER(SEARCH("Chief Marketing",C40))+ISNUMBER(SEARCH("VP Marketing",C40))+ISNUMBER(SEARCH("Director de Marketing",C40))+ISNUMBER(SEARCH("Director Marketing",C40))+ISNUMBER(SEARCH("Head of Marketing",C40))+ISNUMBER(SEARCH("Head Marketing",C40))&gt;0,'Configuración'!$B$32,IF(ISNUMBER(SEARCH("Marketing Manager",C40))+ISNUMBER(SEARCH("Gerente de Marketing",C40))+ISNUMBER(SEARCH("Growth Manager",C40))+ISNUMBER(SEARCH("Demand Gen",C40))+ISNUMBER(SEARCH("Marketing Lead",C40))&gt;0,'Configuración'!$B$33,IF(ISNUMBER(SEARCH("COO",C40))+ISNUMBER(SEARCH("CFO",C40))+ISNUMBER(SEARCH("CTO",C40))+ISNUMBER(SEARCH("Chief Operating",C40))+ISNUMBER(SEARCH("Chief Financial",C40))+ISNUMBER(SEARCH("Gerente General",C40))+ISNUMBER(SEARCH("General Manager",C40))&gt;0,'Configuración'!$B$34,'Configuración'!$B$35)))))</f>
        <v>12</v>
      </c>
      <c r="V40" s="38">
        <f>IF(B40="","",IF(K40="Sí",'Configuración'!$B$5,0)+IF(L40="Semanal",'Configuración'!$B$6,IF(L40="Mensual",'Configuración'!$B$7,0))+IF(M40="Sí",'Configuración'!$B$8,0)+IF(N40="Sí",'Configuración'!$B$9,0)+IF(O40="Sí",'Configuración'!$B$10,0)+IF(P40="Sí",'Configuración'!$B$11,0)+IF(Q40="Sí",'Configuración'!$B$12,0)+S40+T40+U40)</f>
        <v>72</v>
      </c>
      <c r="W40" s="39" t="str">
        <f>IF(B40="","",IF(V40&gt;='Configuración'!$B$19,"A",IF(V40&gt;='Configuración'!$B$20,"B",IF(V40&gt;='Configuración'!$B$21,"C","Descarte"))))</f>
        <v>A</v>
      </c>
    </row>
    <row r="41" ht="15.75" customHeight="1">
      <c r="A41" s="34">
        <f t="shared" si="1"/>
        <v>39</v>
      </c>
      <c r="B41" s="29" t="s">
        <v>174</v>
      </c>
      <c r="C41" s="29" t="s">
        <v>374</v>
      </c>
      <c r="D41" s="29" t="s">
        <v>375</v>
      </c>
      <c r="E41" s="29" t="s">
        <v>376</v>
      </c>
      <c r="F41" s="30" t="s">
        <v>377</v>
      </c>
      <c r="G41" s="30" t="s">
        <v>378</v>
      </c>
      <c r="H41" s="30" t="s">
        <v>379</v>
      </c>
      <c r="I41" s="29" t="s">
        <v>380</v>
      </c>
      <c r="J41" s="31">
        <v>2.0</v>
      </c>
      <c r="K41" s="36" t="s">
        <v>119</v>
      </c>
      <c r="L41" s="36" t="s">
        <v>118</v>
      </c>
      <c r="M41" s="36" t="s">
        <v>119</v>
      </c>
      <c r="N41" s="36" t="s">
        <v>119</v>
      </c>
      <c r="O41" s="36" t="s">
        <v>119</v>
      </c>
      <c r="P41" s="35"/>
      <c r="Q41" s="36" t="s">
        <v>119</v>
      </c>
      <c r="R41" s="35"/>
      <c r="S41" s="37">
        <f>IF(B41="","",IF(ISNUMBER(J41),IF(J41&lt;=10,'Configuración'!$B$23,IF(J41&lt;=50,'Configuración'!$B$24,IF(J41&lt;=200,'Configuración'!$B$25,0))),0))</f>
        <v>12</v>
      </c>
      <c r="T41" s="37">
        <f>IF(B41="","",IF(ISNUMBER(SEARCH("information technology",I41))+ISNUMBER(SEARCH("software",I41))+ISNUMBER(SEARCH("internet",I41))+ISNUMBER(SEARCH("computer",I41))+ISNUMBER(SEARCH("saas",I41))+ISNUMBER(SEARCH("fintech",I41))+ISNUMBER(SEARCH("information services",I41))+ISNUMBER(SEARCH("telecommunications",I41))&gt;0,'Configuración'!$B$27,'Configuración'!$B$28))</f>
        <v>4</v>
      </c>
      <c r="U41" s="25">
        <f>IF(B41="","",IF(ISNUMBER(SEARCH("CEO",C41))+ISNUMBER(SEARCH("Founder",C41))+ISNUMBER(SEARCH("Owner",C41))+ISNUMBER(SEARCH("Dueño",C41))+ISNUMBER(SEARCH("Director General",C41))+ISNUMBER(SEARCH("Presidente",C41))+ISNUMBER(SEARCH("President",C41))&gt;0,'Configuración'!$B$31,IF(ISNUMBER(SEARCH("CMO",C41))+ISNUMBER(SEARCH("Chief Marketing",C41))+ISNUMBER(SEARCH("VP Marketing",C41))+ISNUMBER(SEARCH("Director de Marketing",C41))+ISNUMBER(SEARCH("Director Marketing",C41))+ISNUMBER(SEARCH("Head of Marketing",C41))+ISNUMBER(SEARCH("Head Marketing",C41))&gt;0,'Configuración'!$B$32,IF(ISNUMBER(SEARCH("Marketing Manager",C41))+ISNUMBER(SEARCH("Gerente de Marketing",C41))+ISNUMBER(SEARCH("Growth Manager",C41))+ISNUMBER(SEARCH("Demand Gen",C41))+ISNUMBER(SEARCH("Marketing Lead",C41))&gt;0,'Configuración'!$B$33,IF(ISNUMBER(SEARCH("COO",C41))+ISNUMBER(SEARCH("CFO",C41))+ISNUMBER(SEARCH("CTO",C41))+ISNUMBER(SEARCH("Chief Operating",C41))+ISNUMBER(SEARCH("Chief Financial",C41))+ISNUMBER(SEARCH("Gerente General",C41))+ISNUMBER(SEARCH("General Manager",C41))&gt;0,'Configuración'!$B$34,'Configuración'!$B$35)))))</f>
        <v>12</v>
      </c>
      <c r="V41" s="38">
        <f>IF(B41="","",IF(K41="Sí",'Configuración'!$B$5,0)+IF(L41="Semanal",'Configuración'!$B$6,IF(L41="Mensual",'Configuración'!$B$7,0))+IF(M41="Sí",'Configuración'!$B$8,0)+IF(N41="Sí",'Configuración'!$B$9,0)+IF(O41="Sí",'Configuración'!$B$10,0)+IF(P41="Sí",'Configuración'!$B$11,0)+IF(Q41="Sí",'Configuración'!$B$12,0)+S41+T41+U41)</f>
        <v>40</v>
      </c>
      <c r="W41" s="39" t="str">
        <f>IF(B41="","",IF(V41&gt;='Configuración'!$B$19,"A",IF(V41&gt;='Configuración'!$B$20,"B",IF(V41&gt;='Configuración'!$B$21,"C","Descarte"))))</f>
        <v>B</v>
      </c>
    </row>
    <row r="42" ht="15.75" customHeight="1">
      <c r="A42" s="34">
        <f t="shared" si="1"/>
        <v>40</v>
      </c>
      <c r="B42" s="29" t="s">
        <v>236</v>
      </c>
      <c r="C42" s="29" t="s">
        <v>381</v>
      </c>
      <c r="D42" s="29" t="s">
        <v>382</v>
      </c>
      <c r="E42" s="29" t="s">
        <v>383</v>
      </c>
      <c r="F42" s="30" t="s">
        <v>384</v>
      </c>
      <c r="G42" s="30" t="s">
        <v>385</v>
      </c>
      <c r="H42" s="30" t="s">
        <v>386</v>
      </c>
      <c r="I42" s="29" t="s">
        <v>380</v>
      </c>
      <c r="J42" s="31">
        <v>8.0</v>
      </c>
      <c r="K42" s="36" t="s">
        <v>119</v>
      </c>
      <c r="L42" s="36" t="s">
        <v>173</v>
      </c>
      <c r="M42" s="36" t="s">
        <v>119</v>
      </c>
      <c r="N42" s="36" t="s">
        <v>119</v>
      </c>
      <c r="O42" s="36" t="s">
        <v>119</v>
      </c>
      <c r="P42" s="35"/>
      <c r="Q42" s="36" t="s">
        <v>119</v>
      </c>
      <c r="R42" s="35"/>
      <c r="S42" s="37">
        <f>IF(B42="","",IF(ISNUMBER(J42),IF(J42&lt;=10,'Configuración'!$B$23,IF(J42&lt;=50,'Configuración'!$B$24,IF(J42&lt;=200,'Configuración'!$B$25,0))),0))</f>
        <v>12</v>
      </c>
      <c r="T42" s="37">
        <f>IF(B42="","",IF(ISNUMBER(SEARCH("information technology",I42))+ISNUMBER(SEARCH("software",I42))+ISNUMBER(SEARCH("internet",I42))+ISNUMBER(SEARCH("computer",I42))+ISNUMBER(SEARCH("saas",I42))+ISNUMBER(SEARCH("fintech",I42))+ISNUMBER(SEARCH("information services",I42))+ISNUMBER(SEARCH("telecommunications",I42))&gt;0,'Configuración'!$B$27,'Configuración'!$B$28))</f>
        <v>4</v>
      </c>
      <c r="U42" s="25">
        <f>IF(B42="","",IF(ISNUMBER(SEARCH("CEO",C42))+ISNUMBER(SEARCH("Founder",C42))+ISNUMBER(SEARCH("Owner",C42))+ISNUMBER(SEARCH("Dueño",C42))+ISNUMBER(SEARCH("Director General",C42))+ISNUMBER(SEARCH("Presidente",C42))+ISNUMBER(SEARCH("President",C42))&gt;0,'Configuración'!$B$31,IF(ISNUMBER(SEARCH("CMO",C42))+ISNUMBER(SEARCH("Chief Marketing",C42))+ISNUMBER(SEARCH("VP Marketing",C42))+ISNUMBER(SEARCH("Director de Marketing",C42))+ISNUMBER(SEARCH("Director Marketing",C42))+ISNUMBER(SEARCH("Head of Marketing",C42))+ISNUMBER(SEARCH("Head Marketing",C42))&gt;0,'Configuración'!$B$32,IF(ISNUMBER(SEARCH("Marketing Manager",C42))+ISNUMBER(SEARCH("Gerente de Marketing",C42))+ISNUMBER(SEARCH("Growth Manager",C42))+ISNUMBER(SEARCH("Demand Gen",C42))+ISNUMBER(SEARCH("Marketing Lead",C42))&gt;0,'Configuración'!$B$33,IF(ISNUMBER(SEARCH("COO",C42))+ISNUMBER(SEARCH("CFO",C42))+ISNUMBER(SEARCH("CTO",C42))+ISNUMBER(SEARCH("Chief Operating",C42))+ISNUMBER(SEARCH("Chief Financial",C42))+ISNUMBER(SEARCH("Gerente General",C42))+ISNUMBER(SEARCH("General Manager",C42))&gt;0,'Configuración'!$B$34,'Configuración'!$B$35)))))</f>
        <v>0</v>
      </c>
      <c r="V42" s="38">
        <f>IF(B42="","",IF(K42="Sí",'Configuración'!$B$5,0)+IF(L42="Semanal",'Configuración'!$B$6,IF(L42="Mensual",'Configuración'!$B$7,0))+IF(M42="Sí",'Configuración'!$B$8,0)+IF(N42="Sí",'Configuración'!$B$9,0)+IF(O42="Sí",'Configuración'!$B$10,0)+IF(P42="Sí",'Configuración'!$B$11,0)+IF(Q42="Sí",'Configuración'!$B$12,0)+S42+T42+U42)</f>
        <v>20</v>
      </c>
      <c r="W42" s="39" t="str">
        <f>IF(B42="","",IF(V42&gt;='Configuración'!$B$19,"A",IF(V42&gt;='Configuración'!$B$20,"B",IF(V42&gt;='Configuración'!$B$21,"C","Descarte"))))</f>
        <v>Descarte</v>
      </c>
    </row>
    <row r="43" ht="15.75" customHeight="1">
      <c r="A43" s="34">
        <f t="shared" si="1"/>
        <v>41</v>
      </c>
      <c r="B43" s="29" t="s">
        <v>166</v>
      </c>
      <c r="C43" s="29" t="s">
        <v>387</v>
      </c>
      <c r="D43" s="29" t="s">
        <v>388</v>
      </c>
      <c r="E43" s="29" t="s">
        <v>389</v>
      </c>
      <c r="F43" s="30" t="s">
        <v>390</v>
      </c>
      <c r="G43" s="30" t="s">
        <v>391</v>
      </c>
      <c r="H43" s="30" t="s">
        <v>392</v>
      </c>
      <c r="I43" s="29" t="s">
        <v>127</v>
      </c>
      <c r="J43" s="31">
        <v>7.0</v>
      </c>
      <c r="K43" s="36" t="s">
        <v>119</v>
      </c>
      <c r="L43" s="36" t="s">
        <v>128</v>
      </c>
      <c r="M43" s="36" t="s">
        <v>117</v>
      </c>
      <c r="N43" s="36" t="s">
        <v>119</v>
      </c>
      <c r="O43" s="36" t="s">
        <v>119</v>
      </c>
      <c r="P43" s="35"/>
      <c r="Q43" s="36" t="s">
        <v>119</v>
      </c>
      <c r="R43" s="36" t="s">
        <v>230</v>
      </c>
      <c r="S43" s="37">
        <f>IF(B43="","",IF(ISNUMBER(J43),IF(J43&lt;=10,'Configuración'!$B$23,IF(J43&lt;=50,'Configuración'!$B$24,IF(J43&lt;=200,'Configuración'!$B$25,0))),0))</f>
        <v>12</v>
      </c>
      <c r="T43" s="37">
        <f>IF(B43="","",IF(ISNUMBER(SEARCH("information technology",I43))+ISNUMBER(SEARCH("software",I43))+ISNUMBER(SEARCH("internet",I43))+ISNUMBER(SEARCH("computer",I43))+ISNUMBER(SEARCH("saas",I43))+ISNUMBER(SEARCH("fintech",I43))+ISNUMBER(SEARCH("information services",I43))+ISNUMBER(SEARCH("telecommunications",I43))&gt;0,'Configuración'!$B$27,'Configuración'!$B$28))</f>
        <v>12</v>
      </c>
      <c r="U43" s="25">
        <f>IF(B43="","",IF(ISNUMBER(SEARCH("CEO",C43))+ISNUMBER(SEARCH("Founder",C43))+ISNUMBER(SEARCH("Owner",C43))+ISNUMBER(SEARCH("Dueño",C43))+ISNUMBER(SEARCH("Director General",C43))+ISNUMBER(SEARCH("Presidente",C43))+ISNUMBER(SEARCH("President",C43))&gt;0,'Configuración'!$B$31,IF(ISNUMBER(SEARCH("CMO",C43))+ISNUMBER(SEARCH("Chief Marketing",C43))+ISNUMBER(SEARCH("VP Marketing",C43))+ISNUMBER(SEARCH("Director de Marketing",C43))+ISNUMBER(SEARCH("Director Marketing",C43))+ISNUMBER(SEARCH("Head of Marketing",C43))+ISNUMBER(SEARCH("Head Marketing",C43))&gt;0,'Configuración'!$B$32,IF(ISNUMBER(SEARCH("Marketing Manager",C43))+ISNUMBER(SEARCH("Gerente de Marketing",C43))+ISNUMBER(SEARCH("Growth Manager",C43))+ISNUMBER(SEARCH("Demand Gen",C43))+ISNUMBER(SEARCH("Marketing Lead",C43))&gt;0,'Configuración'!$B$33,IF(ISNUMBER(SEARCH("COO",C43))+ISNUMBER(SEARCH("CFO",C43))+ISNUMBER(SEARCH("CTO",C43))+ISNUMBER(SEARCH("Chief Operating",C43))+ISNUMBER(SEARCH("Chief Financial",C43))+ISNUMBER(SEARCH("Gerente General",C43))+ISNUMBER(SEARCH("General Manager",C43))&gt;0,'Configuración'!$B$34,'Configuración'!$B$35)))))</f>
        <v>12</v>
      </c>
      <c r="V43" s="38">
        <f>IF(B43="","",IF(K43="Sí",'Configuración'!$B$5,0)+IF(L43="Semanal",'Configuración'!$B$6,IF(L43="Mensual",'Configuración'!$B$7,0))+IF(M43="Sí",'Configuración'!$B$8,0)+IF(N43="Sí",'Configuración'!$B$9,0)+IF(O43="Sí",'Configuración'!$B$10,0)+IF(P43="Sí",'Configuración'!$B$11,0)+IF(Q43="Sí",'Configuración'!$B$12,0)+S43+T43+U43)</f>
        <v>48</v>
      </c>
      <c r="W43" s="39" t="str">
        <f>IF(B43="","",IF(V43&gt;='Configuración'!$B$19,"A",IF(V43&gt;='Configuración'!$B$20,"B",IF(V43&gt;='Configuración'!$B$21,"C","Descarte"))))</f>
        <v>B</v>
      </c>
    </row>
    <row r="44" ht="15.75" customHeight="1">
      <c r="A44" s="34">
        <f t="shared" si="1"/>
        <v>42</v>
      </c>
      <c r="B44" s="29" t="s">
        <v>201</v>
      </c>
      <c r="C44" s="29" t="s">
        <v>146</v>
      </c>
      <c r="D44" s="29" t="s">
        <v>393</v>
      </c>
      <c r="E44" s="29" t="s">
        <v>394</v>
      </c>
      <c r="F44" s="30" t="s">
        <v>395</v>
      </c>
      <c r="G44" s="30" t="s">
        <v>396</v>
      </c>
      <c r="H44" s="30" t="s">
        <v>397</v>
      </c>
      <c r="I44" s="29" t="s">
        <v>310</v>
      </c>
      <c r="J44" s="31">
        <v>50.0</v>
      </c>
      <c r="K44" s="36" t="s">
        <v>119</v>
      </c>
      <c r="L44" s="36" t="s">
        <v>128</v>
      </c>
      <c r="M44" s="36" t="s">
        <v>119</v>
      </c>
      <c r="N44" s="36" t="s">
        <v>119</v>
      </c>
      <c r="O44" s="36" t="s">
        <v>119</v>
      </c>
      <c r="P44" s="35"/>
      <c r="Q44" s="36" t="s">
        <v>119</v>
      </c>
      <c r="R44" s="35"/>
      <c r="S44" s="37">
        <f>IF(B44="","",IF(ISNUMBER(J44),IF(J44&lt;=10,'Configuración'!$B$23,IF(J44&lt;=50,'Configuración'!$B$24,IF(J44&lt;=200,'Configuración'!$B$25,0))),0))</f>
        <v>4</v>
      </c>
      <c r="T44" s="37">
        <f>IF(B44="","",IF(ISNUMBER(SEARCH("information technology",I44))+ISNUMBER(SEARCH("software",I44))+ISNUMBER(SEARCH("internet",I44))+ISNUMBER(SEARCH("computer",I44))+ISNUMBER(SEARCH("saas",I44))+ISNUMBER(SEARCH("fintech",I44))+ISNUMBER(SEARCH("information services",I44))+ISNUMBER(SEARCH("telecommunications",I44))&gt;0,'Configuración'!$B$27,'Configuración'!$B$28))</f>
        <v>4</v>
      </c>
      <c r="U44" s="25">
        <f>IF(B44="","",IF(ISNUMBER(SEARCH("CEO",C44))+ISNUMBER(SEARCH("Founder",C44))+ISNUMBER(SEARCH("Owner",C44))+ISNUMBER(SEARCH("Dueño",C44))+ISNUMBER(SEARCH("Director General",C44))+ISNUMBER(SEARCH("Presidente",C44))+ISNUMBER(SEARCH("President",C44))&gt;0,'Configuración'!$B$31,IF(ISNUMBER(SEARCH("CMO",C44))+ISNUMBER(SEARCH("Chief Marketing",C44))+ISNUMBER(SEARCH("VP Marketing",C44))+ISNUMBER(SEARCH("Director de Marketing",C44))+ISNUMBER(SEARCH("Director Marketing",C44))+ISNUMBER(SEARCH("Head of Marketing",C44))+ISNUMBER(SEARCH("Head Marketing",C44))&gt;0,'Configuración'!$B$32,IF(ISNUMBER(SEARCH("Marketing Manager",C44))+ISNUMBER(SEARCH("Gerente de Marketing",C44))+ISNUMBER(SEARCH("Growth Manager",C44))+ISNUMBER(SEARCH("Demand Gen",C44))+ISNUMBER(SEARCH("Marketing Lead",C44))&gt;0,'Configuración'!$B$33,IF(ISNUMBER(SEARCH("COO",C44))+ISNUMBER(SEARCH("CFO",C44))+ISNUMBER(SEARCH("CTO",C44))+ISNUMBER(SEARCH("Chief Operating",C44))+ISNUMBER(SEARCH("Chief Financial",C44))+ISNUMBER(SEARCH("Gerente General",C44))+ISNUMBER(SEARCH("General Manager",C44))&gt;0,'Configuración'!$B$34,'Configuración'!$B$35)))))</f>
        <v>0</v>
      </c>
      <c r="V44" s="38">
        <f>IF(B44="","",IF(K44="Sí",'Configuración'!$B$5,0)+IF(L44="Semanal",'Configuración'!$B$6,IF(L44="Mensual",'Configuración'!$B$7,0))+IF(M44="Sí",'Configuración'!$B$8,0)+IF(N44="Sí",'Configuración'!$B$9,0)+IF(O44="Sí",'Configuración'!$B$10,0)+IF(P44="Sí",'Configuración'!$B$11,0)+IF(Q44="Sí",'Configuración'!$B$12,0)+S44+T44+U44)</f>
        <v>8</v>
      </c>
      <c r="W44" s="39" t="str">
        <f>IF(B44="","",IF(V44&gt;='Configuración'!$B$19,"A",IF(V44&gt;='Configuración'!$B$20,"B",IF(V44&gt;='Configuración'!$B$21,"C","Descarte"))))</f>
        <v>Descarte</v>
      </c>
    </row>
    <row r="45" ht="15.75" customHeight="1">
      <c r="A45" s="34">
        <f t="shared" si="1"/>
        <v>43</v>
      </c>
      <c r="B45" s="29" t="s">
        <v>398</v>
      </c>
      <c r="C45" s="29" t="s">
        <v>146</v>
      </c>
      <c r="D45" s="29" t="s">
        <v>399</v>
      </c>
      <c r="E45" s="29" t="s">
        <v>400</v>
      </c>
      <c r="F45" s="30" t="s">
        <v>401</v>
      </c>
      <c r="G45" s="30" t="s">
        <v>402</v>
      </c>
      <c r="H45" s="30" t="s">
        <v>403</v>
      </c>
      <c r="I45" s="29" t="s">
        <v>127</v>
      </c>
      <c r="J45" s="31">
        <v>3.0</v>
      </c>
      <c r="K45" s="36" t="s">
        <v>119</v>
      </c>
      <c r="L45" s="36" t="s">
        <v>173</v>
      </c>
      <c r="M45" s="36" t="s">
        <v>119</v>
      </c>
      <c r="N45" s="36" t="s">
        <v>119</v>
      </c>
      <c r="O45" s="36" t="s">
        <v>119</v>
      </c>
      <c r="P45" s="35"/>
      <c r="Q45" s="36" t="s">
        <v>119</v>
      </c>
      <c r="R45" s="36" t="s">
        <v>230</v>
      </c>
      <c r="S45" s="37">
        <f>IF(B45="","",IF(ISNUMBER(J45),IF(J45&lt;=10,'Configuración'!$B$23,IF(J45&lt;=50,'Configuración'!$B$24,IF(J45&lt;=200,'Configuración'!$B$25,0))),0))</f>
        <v>12</v>
      </c>
      <c r="T45" s="37">
        <f>IF(B45="","",IF(ISNUMBER(SEARCH("information technology",I45))+ISNUMBER(SEARCH("software",I45))+ISNUMBER(SEARCH("internet",I45))+ISNUMBER(SEARCH("computer",I45))+ISNUMBER(SEARCH("saas",I45))+ISNUMBER(SEARCH("fintech",I45))+ISNUMBER(SEARCH("information services",I45))+ISNUMBER(SEARCH("telecommunications",I45))&gt;0,'Configuración'!$B$27,'Configuración'!$B$28))</f>
        <v>12</v>
      </c>
      <c r="U45" s="25">
        <f>IF(B45="","",IF(ISNUMBER(SEARCH("CEO",C45))+ISNUMBER(SEARCH("Founder",C45))+ISNUMBER(SEARCH("Owner",C45))+ISNUMBER(SEARCH("Dueño",C45))+ISNUMBER(SEARCH("Director General",C45))+ISNUMBER(SEARCH("Presidente",C45))+ISNUMBER(SEARCH("President",C45))&gt;0,'Configuración'!$B$31,IF(ISNUMBER(SEARCH("CMO",C45))+ISNUMBER(SEARCH("Chief Marketing",C45))+ISNUMBER(SEARCH("VP Marketing",C45))+ISNUMBER(SEARCH("Director de Marketing",C45))+ISNUMBER(SEARCH("Director Marketing",C45))+ISNUMBER(SEARCH("Head of Marketing",C45))+ISNUMBER(SEARCH("Head Marketing",C45))&gt;0,'Configuración'!$B$32,IF(ISNUMBER(SEARCH("Marketing Manager",C45))+ISNUMBER(SEARCH("Gerente de Marketing",C45))+ISNUMBER(SEARCH("Growth Manager",C45))+ISNUMBER(SEARCH("Demand Gen",C45))+ISNUMBER(SEARCH("Marketing Lead",C45))&gt;0,'Configuración'!$B$33,IF(ISNUMBER(SEARCH("COO",C45))+ISNUMBER(SEARCH("CFO",C45))+ISNUMBER(SEARCH("CTO",C45))+ISNUMBER(SEARCH("Chief Operating",C45))+ISNUMBER(SEARCH("Chief Financial",C45))+ISNUMBER(SEARCH("Gerente General",C45))+ISNUMBER(SEARCH("General Manager",C45))&gt;0,'Configuración'!$B$34,'Configuración'!$B$35)))))</f>
        <v>0</v>
      </c>
      <c r="V45" s="38">
        <f>IF(B45="","",IF(K45="Sí",'Configuración'!$B$5,0)+IF(L45="Semanal",'Configuración'!$B$6,IF(L45="Mensual",'Configuración'!$B$7,0))+IF(M45="Sí",'Configuración'!$B$8,0)+IF(N45="Sí",'Configuración'!$B$9,0)+IF(O45="Sí",'Configuración'!$B$10,0)+IF(P45="Sí",'Configuración'!$B$11,0)+IF(Q45="Sí",'Configuración'!$B$12,0)+S45+T45+U45)</f>
        <v>28</v>
      </c>
      <c r="W45" s="39" t="str">
        <f>IF(B45="","",IF(V45&gt;='Configuración'!$B$19,"A",IF(V45&gt;='Configuración'!$B$20,"B",IF(V45&gt;='Configuración'!$B$21,"C","Descarte"))))</f>
        <v>C</v>
      </c>
    </row>
    <row r="46" ht="15.75" customHeight="1">
      <c r="A46" s="34">
        <f t="shared" si="1"/>
        <v>44</v>
      </c>
      <c r="B46" s="29" t="s">
        <v>404</v>
      </c>
      <c r="C46" s="29" t="s">
        <v>405</v>
      </c>
      <c r="D46" s="29" t="s">
        <v>406</v>
      </c>
      <c r="E46" s="29" t="s">
        <v>407</v>
      </c>
      <c r="F46" s="30" t="s">
        <v>408</v>
      </c>
      <c r="G46" s="30" t="s">
        <v>409</v>
      </c>
      <c r="H46" s="30" t="s">
        <v>410</v>
      </c>
      <c r="I46" s="29" t="s">
        <v>127</v>
      </c>
      <c r="J46" s="31">
        <v>5.0</v>
      </c>
      <c r="K46" s="36" t="s">
        <v>119</v>
      </c>
      <c r="L46" s="36" t="s">
        <v>128</v>
      </c>
      <c r="M46" s="36" t="s">
        <v>119</v>
      </c>
      <c r="N46" s="36" t="s">
        <v>119</v>
      </c>
      <c r="O46" s="36" t="s">
        <v>119</v>
      </c>
      <c r="P46" s="35"/>
      <c r="Q46" s="36" t="s">
        <v>119</v>
      </c>
      <c r="R46" s="36" t="s">
        <v>230</v>
      </c>
      <c r="S46" s="37">
        <f>IF(B46="","",IF(ISNUMBER(J46),IF(J46&lt;=10,'Configuración'!$B$23,IF(J46&lt;=50,'Configuración'!$B$24,IF(J46&lt;=200,'Configuración'!$B$25,0))),0))</f>
        <v>12</v>
      </c>
      <c r="T46" s="37">
        <f>IF(B46="","",IF(ISNUMBER(SEARCH("information technology",I46))+ISNUMBER(SEARCH("software",I46))+ISNUMBER(SEARCH("internet",I46))+ISNUMBER(SEARCH("computer",I46))+ISNUMBER(SEARCH("saas",I46))+ISNUMBER(SEARCH("fintech",I46))+ISNUMBER(SEARCH("information services",I46))+ISNUMBER(SEARCH("telecommunications",I46))&gt;0,'Configuración'!$B$27,'Configuración'!$B$28))</f>
        <v>12</v>
      </c>
      <c r="U46" s="25">
        <f>IF(B46="","",IF(ISNUMBER(SEARCH("CEO",C46))+ISNUMBER(SEARCH("Founder",C46))+ISNUMBER(SEARCH("Owner",C46))+ISNUMBER(SEARCH("Dueño",C46))+ISNUMBER(SEARCH("Director General",C46))+ISNUMBER(SEARCH("Presidente",C46))+ISNUMBER(SEARCH("President",C46))&gt;0,'Configuración'!$B$31,IF(ISNUMBER(SEARCH("CMO",C46))+ISNUMBER(SEARCH("Chief Marketing",C46))+ISNUMBER(SEARCH("VP Marketing",C46))+ISNUMBER(SEARCH("Director de Marketing",C46))+ISNUMBER(SEARCH("Director Marketing",C46))+ISNUMBER(SEARCH("Head of Marketing",C46))+ISNUMBER(SEARCH("Head Marketing",C46))&gt;0,'Configuración'!$B$32,IF(ISNUMBER(SEARCH("Marketing Manager",C46))+ISNUMBER(SEARCH("Gerente de Marketing",C46))+ISNUMBER(SEARCH("Growth Manager",C46))+ISNUMBER(SEARCH("Demand Gen",C46))+ISNUMBER(SEARCH("Marketing Lead",C46))&gt;0,'Configuración'!$B$33,IF(ISNUMBER(SEARCH("COO",C46))+ISNUMBER(SEARCH("CFO",C46))+ISNUMBER(SEARCH("CTO",C46))+ISNUMBER(SEARCH("Chief Operating",C46))+ISNUMBER(SEARCH("Chief Financial",C46))+ISNUMBER(SEARCH("Gerente General",C46))+ISNUMBER(SEARCH("General Manager",C46))&gt;0,'Configuración'!$B$34,'Configuración'!$B$35)))))</f>
        <v>12</v>
      </c>
      <c r="V46" s="38">
        <f>IF(B46="","",IF(K46="Sí",'Configuración'!$B$5,0)+IF(L46="Semanal",'Configuración'!$B$6,IF(L46="Mensual",'Configuración'!$B$7,0))+IF(M46="Sí",'Configuración'!$B$8,0)+IF(N46="Sí",'Configuración'!$B$9,0)+IF(O46="Sí",'Configuración'!$B$10,0)+IF(P46="Sí",'Configuración'!$B$11,0)+IF(Q46="Sí",'Configuración'!$B$12,0)+S46+T46+U46)</f>
        <v>36</v>
      </c>
      <c r="W46" s="39" t="str">
        <f>IF(B46="","",IF(V46&gt;='Configuración'!$B$19,"A",IF(V46&gt;='Configuración'!$B$20,"B",IF(V46&gt;='Configuración'!$B$21,"C","Descarte"))))</f>
        <v>C</v>
      </c>
    </row>
    <row r="47" ht="15.75" customHeight="1">
      <c r="A47" s="34">
        <f t="shared" si="1"/>
        <v>45</v>
      </c>
      <c r="B47" s="29" t="s">
        <v>120</v>
      </c>
      <c r="C47" s="29" t="s">
        <v>146</v>
      </c>
      <c r="D47" s="29" t="s">
        <v>411</v>
      </c>
      <c r="E47" s="29" t="s">
        <v>412</v>
      </c>
      <c r="F47" s="30" t="s">
        <v>413</v>
      </c>
      <c r="G47" s="30" t="s">
        <v>414</v>
      </c>
      <c r="H47" s="30" t="s">
        <v>415</v>
      </c>
      <c r="I47" s="29" t="s">
        <v>127</v>
      </c>
      <c r="J47" s="31">
        <v>17.0</v>
      </c>
      <c r="K47" s="36" t="s">
        <v>119</v>
      </c>
      <c r="L47" s="36" t="s">
        <v>128</v>
      </c>
      <c r="M47" s="36" t="s">
        <v>119</v>
      </c>
      <c r="N47" s="36" t="s">
        <v>119</v>
      </c>
      <c r="O47" s="36" t="s">
        <v>119</v>
      </c>
      <c r="P47" s="35"/>
      <c r="Q47" s="36" t="s">
        <v>119</v>
      </c>
      <c r="R47" s="36" t="s">
        <v>230</v>
      </c>
      <c r="S47" s="37">
        <f>IF(B47="","",IF(ISNUMBER(J47),IF(J47&lt;=10,'Configuración'!$B$23,IF(J47&lt;=50,'Configuración'!$B$24,IF(J47&lt;=200,'Configuración'!$B$25,0))),0))</f>
        <v>4</v>
      </c>
      <c r="T47" s="37">
        <f>IF(B47="","",IF(ISNUMBER(SEARCH("information technology",I47))+ISNUMBER(SEARCH("software",I47))+ISNUMBER(SEARCH("internet",I47))+ISNUMBER(SEARCH("computer",I47))+ISNUMBER(SEARCH("saas",I47))+ISNUMBER(SEARCH("fintech",I47))+ISNUMBER(SEARCH("information services",I47))+ISNUMBER(SEARCH("telecommunications",I47))&gt;0,'Configuración'!$B$27,'Configuración'!$B$28))</f>
        <v>12</v>
      </c>
      <c r="U47" s="25">
        <f>IF(B47="","",IF(ISNUMBER(SEARCH("CEO",C47))+ISNUMBER(SEARCH("Founder",C47))+ISNUMBER(SEARCH("Owner",C47))+ISNUMBER(SEARCH("Dueño",C47))+ISNUMBER(SEARCH("Director General",C47))+ISNUMBER(SEARCH("Presidente",C47))+ISNUMBER(SEARCH("President",C47))&gt;0,'Configuración'!$B$31,IF(ISNUMBER(SEARCH("CMO",C47))+ISNUMBER(SEARCH("Chief Marketing",C47))+ISNUMBER(SEARCH("VP Marketing",C47))+ISNUMBER(SEARCH("Director de Marketing",C47))+ISNUMBER(SEARCH("Director Marketing",C47))+ISNUMBER(SEARCH("Head of Marketing",C47))+ISNUMBER(SEARCH("Head Marketing",C47))&gt;0,'Configuración'!$B$32,IF(ISNUMBER(SEARCH("Marketing Manager",C47))+ISNUMBER(SEARCH("Gerente de Marketing",C47))+ISNUMBER(SEARCH("Growth Manager",C47))+ISNUMBER(SEARCH("Demand Gen",C47))+ISNUMBER(SEARCH("Marketing Lead",C47))&gt;0,'Configuración'!$B$33,IF(ISNUMBER(SEARCH("COO",C47))+ISNUMBER(SEARCH("CFO",C47))+ISNUMBER(SEARCH("CTO",C47))+ISNUMBER(SEARCH("Chief Operating",C47))+ISNUMBER(SEARCH("Chief Financial",C47))+ISNUMBER(SEARCH("Gerente General",C47))+ISNUMBER(SEARCH("General Manager",C47))&gt;0,'Configuración'!$B$34,'Configuración'!$B$35)))))</f>
        <v>0</v>
      </c>
      <c r="V47" s="38">
        <f>IF(B47="","",IF(K47="Sí",'Configuración'!$B$5,0)+IF(L47="Semanal",'Configuración'!$B$6,IF(L47="Mensual",'Configuración'!$B$7,0))+IF(M47="Sí",'Configuración'!$B$8,0)+IF(N47="Sí",'Configuración'!$B$9,0)+IF(O47="Sí",'Configuración'!$B$10,0)+IF(P47="Sí",'Configuración'!$B$11,0)+IF(Q47="Sí",'Configuración'!$B$12,0)+S47+T47+U47)</f>
        <v>16</v>
      </c>
      <c r="W47" s="39" t="str">
        <f>IF(B47="","",IF(V47&gt;='Configuración'!$B$19,"A",IF(V47&gt;='Configuración'!$B$20,"B",IF(V47&gt;='Configuración'!$B$21,"C","Descarte"))))</f>
        <v>Descarte</v>
      </c>
    </row>
    <row r="48" ht="15.75" customHeight="1">
      <c r="A48" s="34">
        <f t="shared" si="1"/>
        <v>46</v>
      </c>
      <c r="B48" s="29" t="s">
        <v>138</v>
      </c>
      <c r="C48" s="29" t="s">
        <v>416</v>
      </c>
      <c r="D48" s="29" t="s">
        <v>417</v>
      </c>
      <c r="E48" s="29" t="s">
        <v>418</v>
      </c>
      <c r="F48" s="30" t="s">
        <v>419</v>
      </c>
      <c r="G48" s="30" t="s">
        <v>420</v>
      </c>
      <c r="H48" s="30" t="s">
        <v>421</v>
      </c>
      <c r="I48" s="29" t="s">
        <v>158</v>
      </c>
      <c r="J48" s="31">
        <v>7.0</v>
      </c>
      <c r="K48" s="36" t="s">
        <v>119</v>
      </c>
      <c r="L48" s="36" t="s">
        <v>128</v>
      </c>
      <c r="M48" s="36" t="s">
        <v>119</v>
      </c>
      <c r="N48" s="36" t="s">
        <v>119</v>
      </c>
      <c r="O48" s="36" t="s">
        <v>119</v>
      </c>
      <c r="P48" s="35"/>
      <c r="Q48" s="36" t="s">
        <v>119</v>
      </c>
      <c r="R48" s="35"/>
      <c r="S48" s="37">
        <f>IF(B48="","",IF(ISNUMBER(J48),IF(J48&lt;=10,'Configuración'!$B$23,IF(J48&lt;=50,'Configuración'!$B$24,IF(J48&lt;=200,'Configuración'!$B$25,0))),0))</f>
        <v>12</v>
      </c>
      <c r="T48" s="37">
        <f>IF(B48="","",IF(ISNUMBER(SEARCH("information technology",I48))+ISNUMBER(SEARCH("software",I48))+ISNUMBER(SEARCH("internet",I48))+ISNUMBER(SEARCH("computer",I48))+ISNUMBER(SEARCH("saas",I48))+ISNUMBER(SEARCH("fintech",I48))+ISNUMBER(SEARCH("information services",I48))+ISNUMBER(SEARCH("telecommunications",I48))&gt;0,'Configuración'!$B$27,'Configuración'!$B$28))</f>
        <v>4</v>
      </c>
      <c r="U48" s="25">
        <f>IF(B48="","",IF(ISNUMBER(SEARCH("CEO",C48))+ISNUMBER(SEARCH("Founder",C48))+ISNUMBER(SEARCH("Owner",C48))+ISNUMBER(SEARCH("Dueño",C48))+ISNUMBER(SEARCH("Director General",C48))+ISNUMBER(SEARCH("Presidente",C48))+ISNUMBER(SEARCH("President",C48))&gt;0,'Configuración'!$B$31,IF(ISNUMBER(SEARCH("CMO",C48))+ISNUMBER(SEARCH("Chief Marketing",C48))+ISNUMBER(SEARCH("VP Marketing",C48))+ISNUMBER(SEARCH("Director de Marketing",C48))+ISNUMBER(SEARCH("Director Marketing",C48))+ISNUMBER(SEARCH("Head of Marketing",C48))+ISNUMBER(SEARCH("Head Marketing",C48))&gt;0,'Configuración'!$B$32,IF(ISNUMBER(SEARCH("Marketing Manager",C48))+ISNUMBER(SEARCH("Gerente de Marketing",C48))+ISNUMBER(SEARCH("Growth Manager",C48))+ISNUMBER(SEARCH("Demand Gen",C48))+ISNUMBER(SEARCH("Marketing Lead",C48))&gt;0,'Configuración'!$B$33,IF(ISNUMBER(SEARCH("COO",C48))+ISNUMBER(SEARCH("CFO",C48))+ISNUMBER(SEARCH("CTO",C48))+ISNUMBER(SEARCH("Chief Operating",C48))+ISNUMBER(SEARCH("Chief Financial",C48))+ISNUMBER(SEARCH("Gerente General",C48))+ISNUMBER(SEARCH("General Manager",C48))&gt;0,'Configuración'!$B$34,'Configuración'!$B$35)))))</f>
        <v>12</v>
      </c>
      <c r="V48" s="38">
        <f>IF(B48="","",IF(K48="Sí",'Configuración'!$B$5,0)+IF(L48="Semanal",'Configuración'!$B$6,IF(L48="Mensual",'Configuración'!$B$7,0))+IF(M48="Sí",'Configuración'!$B$8,0)+IF(N48="Sí",'Configuración'!$B$9,0)+IF(O48="Sí",'Configuración'!$B$10,0)+IF(P48="Sí",'Configuración'!$B$11,0)+IF(Q48="Sí",'Configuración'!$B$12,0)+S48+T48+U48)</f>
        <v>28</v>
      </c>
      <c r="W48" s="39" t="str">
        <f>IF(B48="","",IF(V48&gt;='Configuración'!$B$19,"A",IF(V48&gt;='Configuración'!$B$20,"B",IF(V48&gt;='Configuración'!$B$21,"C","Descarte"))))</f>
        <v>C</v>
      </c>
    </row>
    <row r="49" ht="15.75" customHeight="1">
      <c r="A49" s="34">
        <f t="shared" si="1"/>
        <v>47</v>
      </c>
      <c r="B49" s="29" t="s">
        <v>422</v>
      </c>
      <c r="C49" s="29" t="s">
        <v>131</v>
      </c>
      <c r="D49" s="29" t="s">
        <v>423</v>
      </c>
      <c r="E49" s="29" t="s">
        <v>424</v>
      </c>
      <c r="F49" s="30" t="s">
        <v>425</v>
      </c>
      <c r="G49" s="30" t="s">
        <v>426</v>
      </c>
      <c r="H49" s="30" t="s">
        <v>427</v>
      </c>
      <c r="I49" s="29" t="s">
        <v>428</v>
      </c>
      <c r="J49" s="31">
        <v>31.0</v>
      </c>
      <c r="K49" s="36" t="s">
        <v>119</v>
      </c>
      <c r="L49" s="36" t="s">
        <v>173</v>
      </c>
      <c r="M49" s="36" t="s">
        <v>117</v>
      </c>
      <c r="N49" s="36" t="s">
        <v>119</v>
      </c>
      <c r="O49" s="36" t="s">
        <v>119</v>
      </c>
      <c r="P49" s="35"/>
      <c r="Q49" s="36" t="s">
        <v>119</v>
      </c>
      <c r="R49" s="35"/>
      <c r="S49" s="37">
        <f>IF(B49="","",IF(ISNUMBER(J49),IF(J49&lt;=10,'Configuración'!$B$23,IF(J49&lt;=50,'Configuración'!$B$24,IF(J49&lt;=200,'Configuración'!$B$25,0))),0))</f>
        <v>4</v>
      </c>
      <c r="T49" s="37">
        <f>IF(B49="","",IF(ISNUMBER(SEARCH("information technology",I49))+ISNUMBER(SEARCH("software",I49))+ISNUMBER(SEARCH("internet",I49))+ISNUMBER(SEARCH("computer",I49))+ISNUMBER(SEARCH("saas",I49))+ISNUMBER(SEARCH("fintech",I49))+ISNUMBER(SEARCH("information services",I49))+ISNUMBER(SEARCH("telecommunications",I49))&gt;0,'Configuración'!$B$27,'Configuración'!$B$28))</f>
        <v>12</v>
      </c>
      <c r="U49" s="25">
        <f>IF(B49="","",IF(ISNUMBER(SEARCH("CEO",C49))+ISNUMBER(SEARCH("Founder",C49))+ISNUMBER(SEARCH("Owner",C49))+ISNUMBER(SEARCH("Dueño",C49))+ISNUMBER(SEARCH("Director General",C49))+ISNUMBER(SEARCH("Presidente",C49))+ISNUMBER(SEARCH("President",C49))&gt;0,'Configuración'!$B$31,IF(ISNUMBER(SEARCH("CMO",C49))+ISNUMBER(SEARCH("Chief Marketing",C49))+ISNUMBER(SEARCH("VP Marketing",C49))+ISNUMBER(SEARCH("Director de Marketing",C49))+ISNUMBER(SEARCH("Director Marketing",C49))+ISNUMBER(SEARCH("Head of Marketing",C49))+ISNUMBER(SEARCH("Head Marketing",C49))&gt;0,'Configuración'!$B$32,IF(ISNUMBER(SEARCH("Marketing Manager",C49))+ISNUMBER(SEARCH("Gerente de Marketing",C49))+ISNUMBER(SEARCH("Growth Manager",C49))+ISNUMBER(SEARCH("Demand Gen",C49))+ISNUMBER(SEARCH("Marketing Lead",C49))&gt;0,'Configuración'!$B$33,IF(ISNUMBER(SEARCH("COO",C49))+ISNUMBER(SEARCH("CFO",C49))+ISNUMBER(SEARCH("CTO",C49))+ISNUMBER(SEARCH("Chief Operating",C49))+ISNUMBER(SEARCH("Chief Financial",C49))+ISNUMBER(SEARCH("Gerente General",C49))+ISNUMBER(SEARCH("General Manager",C49))&gt;0,'Configuración'!$B$34,'Configuración'!$B$35)))))</f>
        <v>12</v>
      </c>
      <c r="V49" s="38">
        <f>IF(B49="","",IF(K49="Sí",'Configuración'!$B$5,0)+IF(L49="Semanal",'Configuración'!$B$6,IF(L49="Mensual",'Configuración'!$B$7,0))+IF(M49="Sí",'Configuración'!$B$8,0)+IF(N49="Sí",'Configuración'!$B$9,0)+IF(O49="Sí",'Configuración'!$B$10,0)+IF(P49="Sí",'Configuración'!$B$11,0)+IF(Q49="Sí",'Configuración'!$B$12,0)+S49+T49+U49)</f>
        <v>44</v>
      </c>
      <c r="W49" s="39" t="str">
        <f>IF(B49="","",IF(V49&gt;='Configuración'!$B$19,"A",IF(V49&gt;='Configuración'!$B$20,"B",IF(V49&gt;='Configuración'!$B$21,"C","Descarte"))))</f>
        <v>B</v>
      </c>
    </row>
    <row r="50" ht="15.75" customHeight="1">
      <c r="A50" s="34">
        <f t="shared" si="1"/>
        <v>48</v>
      </c>
      <c r="B50" s="29" t="s">
        <v>296</v>
      </c>
      <c r="C50" s="29" t="s">
        <v>429</v>
      </c>
      <c r="D50" s="29" t="s">
        <v>430</v>
      </c>
      <c r="E50" s="29" t="s">
        <v>431</v>
      </c>
      <c r="F50" s="30" t="s">
        <v>432</v>
      </c>
      <c r="G50" s="30" t="s">
        <v>433</v>
      </c>
      <c r="H50" s="30" t="s">
        <v>434</v>
      </c>
      <c r="I50" s="29" t="s">
        <v>435</v>
      </c>
      <c r="J50" s="31">
        <v>16.0</v>
      </c>
      <c r="K50" s="36" t="s">
        <v>117</v>
      </c>
      <c r="L50" s="36" t="s">
        <v>118</v>
      </c>
      <c r="M50" s="36" t="s">
        <v>119</v>
      </c>
      <c r="N50" s="36" t="s">
        <v>119</v>
      </c>
      <c r="O50" s="36" t="s">
        <v>119</v>
      </c>
      <c r="P50" s="35"/>
      <c r="Q50" s="36" t="s">
        <v>119</v>
      </c>
      <c r="R50" s="35"/>
      <c r="S50" s="37">
        <f>IF(B50="","",IF(ISNUMBER(J50),IF(J50&lt;=10,'Configuración'!$B$23,IF(J50&lt;=50,'Configuración'!$B$24,IF(J50&lt;=200,'Configuración'!$B$25,0))),0))</f>
        <v>4</v>
      </c>
      <c r="T50" s="37">
        <f>IF(B50="","",IF(ISNUMBER(SEARCH("information technology",I50))+ISNUMBER(SEARCH("software",I50))+ISNUMBER(SEARCH("internet",I50))+ISNUMBER(SEARCH("computer",I50))+ISNUMBER(SEARCH("saas",I50))+ISNUMBER(SEARCH("fintech",I50))+ISNUMBER(SEARCH("information services",I50))+ISNUMBER(SEARCH("telecommunications",I50))&gt;0,'Configuración'!$B$27,'Configuración'!$B$28))</f>
        <v>4</v>
      </c>
      <c r="U50" s="25">
        <f>IF(B50="","",IF(ISNUMBER(SEARCH("CEO",C50))+ISNUMBER(SEARCH("Founder",C50))+ISNUMBER(SEARCH("Owner",C50))+ISNUMBER(SEARCH("Dueño",C50))+ISNUMBER(SEARCH("Director General",C50))+ISNUMBER(SEARCH("Presidente",C50))+ISNUMBER(SEARCH("President",C50))&gt;0,'Configuración'!$B$31,IF(ISNUMBER(SEARCH("CMO",C50))+ISNUMBER(SEARCH("Chief Marketing",C50))+ISNUMBER(SEARCH("VP Marketing",C50))+ISNUMBER(SEARCH("Director de Marketing",C50))+ISNUMBER(SEARCH("Director Marketing",C50))+ISNUMBER(SEARCH("Head of Marketing",C50))+ISNUMBER(SEARCH("Head Marketing",C50))&gt;0,'Configuración'!$B$32,IF(ISNUMBER(SEARCH("Marketing Manager",C50))+ISNUMBER(SEARCH("Gerente de Marketing",C50))+ISNUMBER(SEARCH("Growth Manager",C50))+ISNUMBER(SEARCH("Demand Gen",C50))+ISNUMBER(SEARCH("Marketing Lead",C50))&gt;0,'Configuración'!$B$33,IF(ISNUMBER(SEARCH("COO",C50))+ISNUMBER(SEARCH("CFO",C50))+ISNUMBER(SEARCH("CTO",C50))+ISNUMBER(SEARCH("Chief Operating",C50))+ISNUMBER(SEARCH("Chief Financial",C50))+ISNUMBER(SEARCH("Gerente General",C50))+ISNUMBER(SEARCH("General Manager",C50))&gt;0,'Configuración'!$B$34,'Configuración'!$B$35)))))</f>
        <v>12</v>
      </c>
      <c r="V50" s="38">
        <f>IF(B50="","",IF(K50="Sí",'Configuración'!$B$5,0)+IF(L50="Semanal",'Configuración'!$B$6,IF(L50="Mensual",'Configuración'!$B$7,0))+IF(M50="Sí",'Configuración'!$B$8,0)+IF(N50="Sí",'Configuración'!$B$9,0)+IF(O50="Sí",'Configuración'!$B$10,0)+IF(P50="Sí",'Configuración'!$B$11,0)+IF(Q50="Sí",'Configuración'!$B$12,0)+S50+T50+U50)</f>
        <v>44</v>
      </c>
      <c r="W50" s="39" t="str">
        <f>IF(B50="","",IF(V50&gt;='Configuración'!$B$19,"A",IF(V50&gt;='Configuración'!$B$20,"B",IF(V50&gt;='Configuración'!$B$21,"C","Descarte"))))</f>
        <v>B</v>
      </c>
    </row>
    <row r="51" ht="15.75" customHeight="1">
      <c r="A51" s="34">
        <f t="shared" si="1"/>
        <v>49</v>
      </c>
      <c r="B51" s="29" t="s">
        <v>436</v>
      </c>
      <c r="C51" s="29" t="s">
        <v>437</v>
      </c>
      <c r="D51" s="29" t="s">
        <v>438</v>
      </c>
      <c r="E51" s="29" t="s">
        <v>439</v>
      </c>
      <c r="F51" s="30" t="s">
        <v>440</v>
      </c>
      <c r="G51" s="30" t="s">
        <v>441</v>
      </c>
      <c r="H51" s="30" t="s">
        <v>442</v>
      </c>
      <c r="I51" s="29" t="s">
        <v>443</v>
      </c>
      <c r="J51" s="31">
        <v>9.0</v>
      </c>
      <c r="K51" s="36" t="s">
        <v>119</v>
      </c>
      <c r="L51" s="36" t="s">
        <v>128</v>
      </c>
      <c r="M51" s="36" t="s">
        <v>119</v>
      </c>
      <c r="N51" s="36" t="s">
        <v>119</v>
      </c>
      <c r="O51" s="36" t="s">
        <v>119</v>
      </c>
      <c r="P51" s="35"/>
      <c r="Q51" s="36" t="s">
        <v>119</v>
      </c>
      <c r="R51" s="35"/>
      <c r="S51" s="37">
        <f>IF(B51="","",IF(ISNUMBER(J51),IF(J51&lt;=10,'Configuración'!$B$23,IF(J51&lt;=50,'Configuración'!$B$24,IF(J51&lt;=200,'Configuración'!$B$25,0))),0))</f>
        <v>12</v>
      </c>
      <c r="T51" s="37">
        <f>IF(B51="","",IF(ISNUMBER(SEARCH("information technology",I51))+ISNUMBER(SEARCH("software",I51))+ISNUMBER(SEARCH("internet",I51))+ISNUMBER(SEARCH("computer",I51))+ISNUMBER(SEARCH("saas",I51))+ISNUMBER(SEARCH("fintech",I51))+ISNUMBER(SEARCH("information services",I51))+ISNUMBER(SEARCH("telecommunications",I51))&gt;0,'Configuración'!$B$27,'Configuración'!$B$28))</f>
        <v>4</v>
      </c>
      <c r="U51" s="25">
        <f>IF(B51="","",IF(ISNUMBER(SEARCH("CEO",C51))+ISNUMBER(SEARCH("Founder",C51))+ISNUMBER(SEARCH("Owner",C51))+ISNUMBER(SEARCH("Dueño",C51))+ISNUMBER(SEARCH("Director General",C51))+ISNUMBER(SEARCH("Presidente",C51))+ISNUMBER(SEARCH("President",C51))&gt;0,'Configuración'!$B$31,IF(ISNUMBER(SEARCH("CMO",C51))+ISNUMBER(SEARCH("Chief Marketing",C51))+ISNUMBER(SEARCH("VP Marketing",C51))+ISNUMBER(SEARCH("Director de Marketing",C51))+ISNUMBER(SEARCH("Director Marketing",C51))+ISNUMBER(SEARCH("Head of Marketing",C51))+ISNUMBER(SEARCH("Head Marketing",C51))&gt;0,'Configuración'!$B$32,IF(ISNUMBER(SEARCH("Marketing Manager",C51))+ISNUMBER(SEARCH("Gerente de Marketing",C51))+ISNUMBER(SEARCH("Growth Manager",C51))+ISNUMBER(SEARCH("Demand Gen",C51))+ISNUMBER(SEARCH("Marketing Lead",C51))&gt;0,'Configuración'!$B$33,IF(ISNUMBER(SEARCH("COO",C51))+ISNUMBER(SEARCH("CFO",C51))+ISNUMBER(SEARCH("CTO",C51))+ISNUMBER(SEARCH("Chief Operating",C51))+ISNUMBER(SEARCH("Chief Financial",C51))+ISNUMBER(SEARCH("Gerente General",C51))+ISNUMBER(SEARCH("General Manager",C51))&gt;0,'Configuración'!$B$34,'Configuración'!$B$35)))))</f>
        <v>12</v>
      </c>
      <c r="V51" s="38">
        <f>IF(B51="","",IF(K51="Sí",'Configuración'!$B$5,0)+IF(L51="Semanal",'Configuración'!$B$6,IF(L51="Mensual",'Configuración'!$B$7,0))+IF(M51="Sí",'Configuración'!$B$8,0)+IF(N51="Sí",'Configuración'!$B$9,0)+IF(O51="Sí",'Configuración'!$B$10,0)+IF(P51="Sí",'Configuración'!$B$11,0)+IF(Q51="Sí",'Configuración'!$B$12,0)+S51+T51+U51)</f>
        <v>28</v>
      </c>
      <c r="W51" s="39" t="str">
        <f>IF(B51="","",IF(V51&gt;='Configuración'!$B$19,"A",IF(V51&gt;='Configuración'!$B$20,"B",IF(V51&gt;='Configuración'!$B$21,"C","Descarte"))))</f>
        <v>C</v>
      </c>
    </row>
    <row r="52" ht="15.75" customHeight="1">
      <c r="A52" s="34">
        <f t="shared" si="1"/>
        <v>50</v>
      </c>
      <c r="B52" s="29" t="s">
        <v>174</v>
      </c>
      <c r="C52" s="29" t="s">
        <v>444</v>
      </c>
      <c r="D52" s="29" t="s">
        <v>445</v>
      </c>
      <c r="E52" s="29" t="s">
        <v>446</v>
      </c>
      <c r="F52" s="30" t="s">
        <v>447</v>
      </c>
      <c r="G52" s="30" t="s">
        <v>448</v>
      </c>
      <c r="H52" s="30" t="s">
        <v>449</v>
      </c>
      <c r="I52" s="29" t="s">
        <v>450</v>
      </c>
      <c r="J52" s="31">
        <v>7.0</v>
      </c>
      <c r="K52" s="36" t="s">
        <v>119</v>
      </c>
      <c r="L52" s="36" t="s">
        <v>128</v>
      </c>
      <c r="M52" s="36" t="s">
        <v>119</v>
      </c>
      <c r="N52" s="36" t="s">
        <v>119</v>
      </c>
      <c r="O52" s="36" t="s">
        <v>119</v>
      </c>
      <c r="P52" s="35"/>
      <c r="Q52" s="36" t="s">
        <v>119</v>
      </c>
      <c r="R52" s="35"/>
      <c r="S52" s="37">
        <f>IF(B52="","",IF(ISNUMBER(J52),IF(J52&lt;=10,'Configuración'!$B$23,IF(J52&lt;=50,'Configuración'!$B$24,IF(J52&lt;=200,'Configuración'!$B$25,0))),0))</f>
        <v>12</v>
      </c>
      <c r="T52" s="37">
        <f>IF(B52="","",IF(ISNUMBER(SEARCH("information technology",I52))+ISNUMBER(SEARCH("software",I52))+ISNUMBER(SEARCH("internet",I52))+ISNUMBER(SEARCH("computer",I52))+ISNUMBER(SEARCH("saas",I52))+ISNUMBER(SEARCH("fintech",I52))+ISNUMBER(SEARCH("information services",I52))+ISNUMBER(SEARCH("telecommunications",I52))&gt;0,'Configuración'!$B$27,'Configuración'!$B$28))</f>
        <v>12</v>
      </c>
      <c r="U52" s="25">
        <f>IF(B52="","",IF(ISNUMBER(SEARCH("CEO",C52))+ISNUMBER(SEARCH("Founder",C52))+ISNUMBER(SEARCH("Owner",C52))+ISNUMBER(SEARCH("Dueño",C52))+ISNUMBER(SEARCH("Director General",C52))+ISNUMBER(SEARCH("Presidente",C52))+ISNUMBER(SEARCH("President",C52))&gt;0,'Configuración'!$B$31,IF(ISNUMBER(SEARCH("CMO",C52))+ISNUMBER(SEARCH("Chief Marketing",C52))+ISNUMBER(SEARCH("VP Marketing",C52))+ISNUMBER(SEARCH("Director de Marketing",C52))+ISNUMBER(SEARCH("Director Marketing",C52))+ISNUMBER(SEARCH("Head of Marketing",C52))+ISNUMBER(SEARCH("Head Marketing",C52))&gt;0,'Configuración'!$B$32,IF(ISNUMBER(SEARCH("Marketing Manager",C52))+ISNUMBER(SEARCH("Gerente de Marketing",C52))+ISNUMBER(SEARCH("Growth Manager",C52))+ISNUMBER(SEARCH("Demand Gen",C52))+ISNUMBER(SEARCH("Marketing Lead",C52))&gt;0,'Configuración'!$B$33,IF(ISNUMBER(SEARCH("COO",C52))+ISNUMBER(SEARCH("CFO",C52))+ISNUMBER(SEARCH("CTO",C52))+ISNUMBER(SEARCH("Chief Operating",C52))+ISNUMBER(SEARCH("Chief Financial",C52))+ISNUMBER(SEARCH("Gerente General",C52))+ISNUMBER(SEARCH("General Manager",C52))&gt;0,'Configuración'!$B$34,'Configuración'!$B$35)))))</f>
        <v>12</v>
      </c>
      <c r="V52" s="38">
        <f>IF(B52="","",IF(K52="Sí",'Configuración'!$B$5,0)+IF(L52="Semanal",'Configuración'!$B$6,IF(L52="Mensual",'Configuración'!$B$7,0))+IF(M52="Sí",'Configuración'!$B$8,0)+IF(N52="Sí",'Configuración'!$B$9,0)+IF(O52="Sí",'Configuración'!$B$10,0)+IF(P52="Sí",'Configuración'!$B$11,0)+IF(Q52="Sí",'Configuración'!$B$12,0)+S52+T52+U52)</f>
        <v>36</v>
      </c>
      <c r="W52" s="39" t="str">
        <f>IF(B52="","",IF(V52&gt;='Configuración'!$B$19,"A",IF(V52&gt;='Configuración'!$B$20,"B",IF(V52&gt;='Configuración'!$B$21,"C","Descarte"))))</f>
        <v>C</v>
      </c>
    </row>
    <row r="53" ht="15.75" customHeight="1">
      <c r="A53" s="34">
        <f t="shared" si="1"/>
        <v>51</v>
      </c>
      <c r="B53" s="29" t="s">
        <v>451</v>
      </c>
      <c r="C53" s="29" t="s">
        <v>452</v>
      </c>
      <c r="D53" s="29" t="s">
        <v>453</v>
      </c>
      <c r="E53" s="29" t="s">
        <v>454</v>
      </c>
      <c r="F53" s="30" t="s">
        <v>455</v>
      </c>
      <c r="G53" s="30" t="s">
        <v>456</v>
      </c>
      <c r="H53" s="30" t="s">
        <v>457</v>
      </c>
      <c r="I53" s="29" t="s">
        <v>458</v>
      </c>
      <c r="J53" s="31">
        <v>3.0</v>
      </c>
      <c r="K53" s="36" t="s">
        <v>119</v>
      </c>
      <c r="L53" s="36" t="s">
        <v>128</v>
      </c>
      <c r="M53" s="36" t="s">
        <v>119</v>
      </c>
      <c r="N53" s="36" t="s">
        <v>119</v>
      </c>
      <c r="O53" s="36" t="s">
        <v>119</v>
      </c>
      <c r="P53" s="35"/>
      <c r="Q53" s="36" t="s">
        <v>119</v>
      </c>
      <c r="R53" s="35"/>
      <c r="S53" s="37">
        <f>IF(B53="","",IF(ISNUMBER(J53),IF(J53&lt;=10,'Configuración'!$B$23,IF(J53&lt;=50,'Configuración'!$B$24,IF(J53&lt;=200,'Configuración'!$B$25,0))),0))</f>
        <v>12</v>
      </c>
      <c r="T53" s="37">
        <f>IF(B53="","",IF(ISNUMBER(SEARCH("information technology",I53))+ISNUMBER(SEARCH("software",I53))+ISNUMBER(SEARCH("internet",I53))+ISNUMBER(SEARCH("computer",I53))+ISNUMBER(SEARCH("saas",I53))+ISNUMBER(SEARCH("fintech",I53))+ISNUMBER(SEARCH("information services",I53))+ISNUMBER(SEARCH("telecommunications",I53))&gt;0,'Configuración'!$B$27,'Configuración'!$B$28))</f>
        <v>4</v>
      </c>
      <c r="U53" s="25">
        <f>IF(B53="","",IF(ISNUMBER(SEARCH("CEO",C53))+ISNUMBER(SEARCH("Founder",C53))+ISNUMBER(SEARCH("Owner",C53))+ISNUMBER(SEARCH("Dueño",C53))+ISNUMBER(SEARCH("Director General",C53))+ISNUMBER(SEARCH("Presidente",C53))+ISNUMBER(SEARCH("President",C53))&gt;0,'Configuración'!$B$31,IF(ISNUMBER(SEARCH("CMO",C53))+ISNUMBER(SEARCH("Chief Marketing",C53))+ISNUMBER(SEARCH("VP Marketing",C53))+ISNUMBER(SEARCH("Director de Marketing",C53))+ISNUMBER(SEARCH("Director Marketing",C53))+ISNUMBER(SEARCH("Head of Marketing",C53))+ISNUMBER(SEARCH("Head Marketing",C53))&gt;0,'Configuración'!$B$32,IF(ISNUMBER(SEARCH("Marketing Manager",C53))+ISNUMBER(SEARCH("Gerente de Marketing",C53))+ISNUMBER(SEARCH("Growth Manager",C53))+ISNUMBER(SEARCH("Demand Gen",C53))+ISNUMBER(SEARCH("Marketing Lead",C53))&gt;0,'Configuración'!$B$33,IF(ISNUMBER(SEARCH("COO",C53))+ISNUMBER(SEARCH("CFO",C53))+ISNUMBER(SEARCH("CTO",C53))+ISNUMBER(SEARCH("Chief Operating",C53))+ISNUMBER(SEARCH("Chief Financial",C53))+ISNUMBER(SEARCH("Gerente General",C53))+ISNUMBER(SEARCH("General Manager",C53))&gt;0,'Configuración'!$B$34,'Configuración'!$B$35)))))</f>
        <v>12</v>
      </c>
      <c r="V53" s="38">
        <f>IF(B53="","",IF(K53="Sí",'Configuración'!$B$5,0)+IF(L53="Semanal",'Configuración'!$B$6,IF(L53="Mensual",'Configuración'!$B$7,0))+IF(M53="Sí",'Configuración'!$B$8,0)+IF(N53="Sí",'Configuración'!$B$9,0)+IF(O53="Sí",'Configuración'!$B$10,0)+IF(P53="Sí",'Configuración'!$B$11,0)+IF(Q53="Sí",'Configuración'!$B$12,0)+S53+T53+U53)</f>
        <v>28</v>
      </c>
      <c r="W53" s="39" t="str">
        <f>IF(B53="","",IF(V53&gt;='Configuración'!$B$19,"A",IF(V53&gt;='Configuración'!$B$20,"B",IF(V53&gt;='Configuración'!$B$21,"C","Descarte"))))</f>
        <v>C</v>
      </c>
    </row>
    <row r="54" ht="15.75" customHeight="1">
      <c r="A54" s="34">
        <f t="shared" si="1"/>
        <v>52</v>
      </c>
      <c r="B54" s="29" t="s">
        <v>459</v>
      </c>
      <c r="C54" s="29" t="s">
        <v>175</v>
      </c>
      <c r="D54" s="29" t="s">
        <v>460</v>
      </c>
      <c r="E54" s="29" t="s">
        <v>461</v>
      </c>
      <c r="F54" s="30" t="s">
        <v>462</v>
      </c>
      <c r="G54" s="30" t="s">
        <v>463</v>
      </c>
      <c r="H54" s="30" t="s">
        <v>464</v>
      </c>
      <c r="I54" s="29" t="s">
        <v>465</v>
      </c>
      <c r="J54" s="31">
        <v>6.0</v>
      </c>
      <c r="K54" s="36" t="s">
        <v>119</v>
      </c>
      <c r="L54" s="36" t="s">
        <v>128</v>
      </c>
      <c r="M54" s="36" t="s">
        <v>119</v>
      </c>
      <c r="N54" s="36" t="s">
        <v>119</v>
      </c>
      <c r="O54" s="36" t="s">
        <v>119</v>
      </c>
      <c r="P54" s="35"/>
      <c r="Q54" s="36" t="s">
        <v>119</v>
      </c>
      <c r="R54" s="35"/>
      <c r="S54" s="37">
        <f>IF(B54="","",IF(ISNUMBER(J54),IF(J54&lt;=10,'Configuración'!$B$23,IF(J54&lt;=50,'Configuración'!$B$24,IF(J54&lt;=200,'Configuración'!$B$25,0))),0))</f>
        <v>12</v>
      </c>
      <c r="T54" s="37">
        <f>IF(B54="","",IF(ISNUMBER(SEARCH("information technology",I54))+ISNUMBER(SEARCH("software",I54))+ISNUMBER(SEARCH("internet",I54))+ISNUMBER(SEARCH("computer",I54))+ISNUMBER(SEARCH("saas",I54))+ISNUMBER(SEARCH("fintech",I54))+ISNUMBER(SEARCH("information services",I54))+ISNUMBER(SEARCH("telecommunications",I54))&gt;0,'Configuración'!$B$27,'Configuración'!$B$28))</f>
        <v>4</v>
      </c>
      <c r="U54" s="25">
        <f>IF(B54="","",IF(ISNUMBER(SEARCH("CEO",C54))+ISNUMBER(SEARCH("Founder",C54))+ISNUMBER(SEARCH("Owner",C54))+ISNUMBER(SEARCH("Dueño",C54))+ISNUMBER(SEARCH("Director General",C54))+ISNUMBER(SEARCH("Presidente",C54))+ISNUMBER(SEARCH("President",C54))&gt;0,'Configuración'!$B$31,IF(ISNUMBER(SEARCH("CMO",C54))+ISNUMBER(SEARCH("Chief Marketing",C54))+ISNUMBER(SEARCH("VP Marketing",C54))+ISNUMBER(SEARCH("Director de Marketing",C54))+ISNUMBER(SEARCH("Director Marketing",C54))+ISNUMBER(SEARCH("Head of Marketing",C54))+ISNUMBER(SEARCH("Head Marketing",C54))&gt;0,'Configuración'!$B$32,IF(ISNUMBER(SEARCH("Marketing Manager",C54))+ISNUMBER(SEARCH("Gerente de Marketing",C54))+ISNUMBER(SEARCH("Growth Manager",C54))+ISNUMBER(SEARCH("Demand Gen",C54))+ISNUMBER(SEARCH("Marketing Lead",C54))&gt;0,'Configuración'!$B$33,IF(ISNUMBER(SEARCH("COO",C54))+ISNUMBER(SEARCH("CFO",C54))+ISNUMBER(SEARCH("CTO",C54))+ISNUMBER(SEARCH("Chief Operating",C54))+ISNUMBER(SEARCH("Chief Financial",C54))+ISNUMBER(SEARCH("Gerente General",C54))+ISNUMBER(SEARCH("General Manager",C54))&gt;0,'Configuración'!$B$34,'Configuración'!$B$35)))))</f>
        <v>12</v>
      </c>
      <c r="V54" s="38">
        <f>IF(B54="","",IF(K54="Sí",'Configuración'!$B$5,0)+IF(L54="Semanal",'Configuración'!$B$6,IF(L54="Mensual",'Configuración'!$B$7,0))+IF(M54="Sí",'Configuración'!$B$8,0)+IF(N54="Sí",'Configuración'!$B$9,0)+IF(O54="Sí",'Configuración'!$B$10,0)+IF(P54="Sí",'Configuración'!$B$11,0)+IF(Q54="Sí",'Configuración'!$B$12,0)+S54+T54+U54)</f>
        <v>28</v>
      </c>
      <c r="W54" s="39" t="str">
        <f>IF(B54="","",IF(V54&gt;='Configuración'!$B$19,"A",IF(V54&gt;='Configuración'!$B$20,"B",IF(V54&gt;='Configuración'!$B$21,"C","Descarte"))))</f>
        <v>C</v>
      </c>
    </row>
    <row r="55" ht="15.75" customHeight="1">
      <c r="A55" s="34">
        <f t="shared" si="1"/>
        <v>53</v>
      </c>
      <c r="B55" s="29" t="s">
        <v>466</v>
      </c>
      <c r="C55" s="29" t="s">
        <v>467</v>
      </c>
      <c r="D55" s="29" t="s">
        <v>468</v>
      </c>
      <c r="E55" s="29" t="s">
        <v>469</v>
      </c>
      <c r="F55" s="30" t="s">
        <v>470</v>
      </c>
      <c r="G55" s="30" t="s">
        <v>471</v>
      </c>
      <c r="H55" s="30" t="s">
        <v>472</v>
      </c>
      <c r="I55" s="29" t="s">
        <v>116</v>
      </c>
      <c r="J55" s="31">
        <v>36.0</v>
      </c>
      <c r="K55" s="36" t="s">
        <v>119</v>
      </c>
      <c r="L55" s="36" t="s">
        <v>128</v>
      </c>
      <c r="M55" s="36" t="s">
        <v>117</v>
      </c>
      <c r="N55" s="36" t="s">
        <v>117</v>
      </c>
      <c r="O55" s="36" t="s">
        <v>117</v>
      </c>
      <c r="P55" s="35"/>
      <c r="Q55" s="36" t="s">
        <v>119</v>
      </c>
      <c r="R55" s="35"/>
      <c r="S55" s="37">
        <f>IF(B55="","",IF(ISNUMBER(J55),IF(J55&lt;=10,'Configuración'!$B$23,IF(J55&lt;=50,'Configuración'!$B$24,IF(J55&lt;=200,'Configuración'!$B$25,0))),0))</f>
        <v>4</v>
      </c>
      <c r="T55" s="37">
        <f>IF(B55="","",IF(ISNUMBER(SEARCH("information technology",I55))+ISNUMBER(SEARCH("software",I55))+ISNUMBER(SEARCH("internet",I55))+ISNUMBER(SEARCH("computer",I55))+ISNUMBER(SEARCH("saas",I55))+ISNUMBER(SEARCH("fintech",I55))+ISNUMBER(SEARCH("information services",I55))+ISNUMBER(SEARCH("telecommunications",I55))&gt;0,'Configuración'!$B$27,'Configuración'!$B$28))</f>
        <v>4</v>
      </c>
      <c r="U55" s="25">
        <f>IF(B55="","",IF(ISNUMBER(SEARCH("CEO",C55))+ISNUMBER(SEARCH("Founder",C55))+ISNUMBER(SEARCH("Owner",C55))+ISNUMBER(SEARCH("Dueño",C55))+ISNUMBER(SEARCH("Director General",C55))+ISNUMBER(SEARCH("Presidente",C55))+ISNUMBER(SEARCH("President",C55))&gt;0,'Configuración'!$B$31,IF(ISNUMBER(SEARCH("CMO",C55))+ISNUMBER(SEARCH("Chief Marketing",C55))+ISNUMBER(SEARCH("VP Marketing",C55))+ISNUMBER(SEARCH("Director de Marketing",C55))+ISNUMBER(SEARCH("Director Marketing",C55))+ISNUMBER(SEARCH("Head of Marketing",C55))+ISNUMBER(SEARCH("Head Marketing",C55))&gt;0,'Configuración'!$B$32,IF(ISNUMBER(SEARCH("Marketing Manager",C55))+ISNUMBER(SEARCH("Gerente de Marketing",C55))+ISNUMBER(SEARCH("Growth Manager",C55))+ISNUMBER(SEARCH("Demand Gen",C55))+ISNUMBER(SEARCH("Marketing Lead",C55))&gt;0,'Configuración'!$B$33,IF(ISNUMBER(SEARCH("COO",C55))+ISNUMBER(SEARCH("CFO",C55))+ISNUMBER(SEARCH("CTO",C55))+ISNUMBER(SEARCH("Chief Operating",C55))+ISNUMBER(SEARCH("Chief Financial",C55))+ISNUMBER(SEARCH("Gerente General",C55))+ISNUMBER(SEARCH("General Manager",C55))&gt;0,'Configuración'!$B$34,'Configuración'!$B$35)))))</f>
        <v>0</v>
      </c>
      <c r="V55" s="38">
        <f>IF(B55="","",IF(K55="Sí",'Configuración'!$B$5,0)+IF(L55="Semanal",'Configuración'!$B$6,IF(L55="Mensual",'Configuración'!$B$7,0))+IF(M55="Sí",'Configuración'!$B$8,0)+IF(N55="Sí",'Configuración'!$B$9,0)+IF(O55="Sí",'Configuración'!$B$10,0)+IF(P55="Sí",'Configuración'!$B$11,0)+IF(Q55="Sí",'Configuración'!$B$12,0)+S55+T55+U55)</f>
        <v>32</v>
      </c>
      <c r="W55" s="39" t="str">
        <f>IF(B55="","",IF(V55&gt;='Configuración'!$B$19,"A",IF(V55&gt;='Configuración'!$B$20,"B",IF(V55&gt;='Configuración'!$B$21,"C","Descarte"))))</f>
        <v>C</v>
      </c>
    </row>
    <row r="56" ht="15.75" customHeight="1">
      <c r="A56" s="34">
        <f t="shared" si="1"/>
        <v>54</v>
      </c>
      <c r="B56" s="29" t="s">
        <v>473</v>
      </c>
      <c r="C56" s="29" t="s">
        <v>474</v>
      </c>
      <c r="D56" s="29" t="s">
        <v>475</v>
      </c>
      <c r="E56" s="29" t="s">
        <v>476</v>
      </c>
      <c r="F56" s="30" t="s">
        <v>477</v>
      </c>
      <c r="G56" s="30" t="s">
        <v>478</v>
      </c>
      <c r="H56" s="30" t="s">
        <v>479</v>
      </c>
      <c r="I56" s="29" t="s">
        <v>480</v>
      </c>
      <c r="J56" s="31">
        <v>17.0</v>
      </c>
      <c r="K56" s="36" t="s">
        <v>119</v>
      </c>
      <c r="L56" s="36" t="s">
        <v>118</v>
      </c>
      <c r="M56" s="36" t="s">
        <v>117</v>
      </c>
      <c r="N56" s="36" t="s">
        <v>119</v>
      </c>
      <c r="O56" s="36" t="s">
        <v>119</v>
      </c>
      <c r="P56" s="35"/>
      <c r="Q56" s="36" t="s">
        <v>119</v>
      </c>
      <c r="R56" s="35"/>
      <c r="S56" s="37">
        <f>IF(B56="","",IF(ISNUMBER(J56),IF(J56&lt;=10,'Configuración'!$B$23,IF(J56&lt;=50,'Configuración'!$B$24,IF(J56&lt;=200,'Configuración'!$B$25,0))),0))</f>
        <v>4</v>
      </c>
      <c r="T56" s="37">
        <f>IF(B56="","",IF(ISNUMBER(SEARCH("information technology",I56))+ISNUMBER(SEARCH("software",I56))+ISNUMBER(SEARCH("internet",I56))+ISNUMBER(SEARCH("computer",I56))+ISNUMBER(SEARCH("saas",I56))+ISNUMBER(SEARCH("fintech",I56))+ISNUMBER(SEARCH("information services",I56))+ISNUMBER(SEARCH("telecommunications",I56))&gt;0,'Configuración'!$B$27,'Configuración'!$B$28))</f>
        <v>4</v>
      </c>
      <c r="U56" s="25">
        <f>IF(B56="","",IF(ISNUMBER(SEARCH("CEO",C56))+ISNUMBER(SEARCH("Founder",C56))+ISNUMBER(SEARCH("Owner",C56))+ISNUMBER(SEARCH("Dueño",C56))+ISNUMBER(SEARCH("Director General",C56))+ISNUMBER(SEARCH("Presidente",C56))+ISNUMBER(SEARCH("President",C56))&gt;0,'Configuración'!$B$31,IF(ISNUMBER(SEARCH("CMO",C56))+ISNUMBER(SEARCH("Chief Marketing",C56))+ISNUMBER(SEARCH("VP Marketing",C56))+ISNUMBER(SEARCH("Director de Marketing",C56))+ISNUMBER(SEARCH("Director Marketing",C56))+ISNUMBER(SEARCH("Head of Marketing",C56))+ISNUMBER(SEARCH("Head Marketing",C56))&gt;0,'Configuración'!$B$32,IF(ISNUMBER(SEARCH("Marketing Manager",C56))+ISNUMBER(SEARCH("Gerente de Marketing",C56))+ISNUMBER(SEARCH("Growth Manager",C56))+ISNUMBER(SEARCH("Demand Gen",C56))+ISNUMBER(SEARCH("Marketing Lead",C56))&gt;0,'Configuración'!$B$33,IF(ISNUMBER(SEARCH("COO",C56))+ISNUMBER(SEARCH("CFO",C56))+ISNUMBER(SEARCH("CTO",C56))+ISNUMBER(SEARCH("Chief Operating",C56))+ISNUMBER(SEARCH("Chief Financial",C56))+ISNUMBER(SEARCH("Gerente General",C56))+ISNUMBER(SEARCH("General Manager",C56))&gt;0,'Configuración'!$B$34,'Configuración'!$B$35)))))</f>
        <v>12</v>
      </c>
      <c r="V56" s="38">
        <f>IF(B56="","",IF(K56="Sí",'Configuración'!$B$5,0)+IF(L56="Semanal",'Configuración'!$B$6,IF(L56="Mensual",'Configuración'!$B$7,0))+IF(M56="Sí",'Configuración'!$B$8,0)+IF(N56="Sí",'Configuración'!$B$9,0)+IF(O56="Sí",'Configuración'!$B$10,0)+IF(P56="Sí",'Configuración'!$B$11,0)+IF(Q56="Sí",'Configuración'!$B$12,0)+S56+T56+U56)</f>
        <v>44</v>
      </c>
      <c r="W56" s="39" t="str">
        <f>IF(B56="","",IF(V56&gt;='Configuración'!$B$19,"A",IF(V56&gt;='Configuración'!$B$20,"B",IF(V56&gt;='Configuración'!$B$21,"C","Descarte"))))</f>
        <v>B</v>
      </c>
    </row>
    <row r="57" ht="15.75" customHeight="1">
      <c r="A57" s="34">
        <f t="shared" si="1"/>
        <v>55</v>
      </c>
      <c r="B57" s="29" t="s">
        <v>481</v>
      </c>
      <c r="C57" s="29" t="s">
        <v>482</v>
      </c>
      <c r="D57" s="29" t="s">
        <v>483</v>
      </c>
      <c r="E57" s="29"/>
      <c r="F57" s="30" t="s">
        <v>484</v>
      </c>
      <c r="G57" s="30" t="s">
        <v>485</v>
      </c>
      <c r="H57" s="30" t="s">
        <v>486</v>
      </c>
      <c r="I57" s="29" t="s">
        <v>127</v>
      </c>
      <c r="J57" s="31">
        <v>3.0</v>
      </c>
      <c r="K57" s="36" t="s">
        <v>119</v>
      </c>
      <c r="L57" s="36" t="s">
        <v>128</v>
      </c>
      <c r="M57" s="36" t="s">
        <v>117</v>
      </c>
      <c r="N57" s="36" t="s">
        <v>119</v>
      </c>
      <c r="O57" s="36" t="s">
        <v>119</v>
      </c>
      <c r="P57" s="35"/>
      <c r="Q57" s="36" t="s">
        <v>119</v>
      </c>
      <c r="R57" s="36" t="s">
        <v>230</v>
      </c>
      <c r="S57" s="37">
        <f>IF(B57="","",IF(ISNUMBER(J57),IF(J57&lt;=10,'Configuración'!$B$23,IF(J57&lt;=50,'Configuración'!$B$24,IF(J57&lt;=200,'Configuración'!$B$25,0))),0))</f>
        <v>12</v>
      </c>
      <c r="T57" s="37">
        <f>IF(B57="","",IF(ISNUMBER(SEARCH("information technology",I57))+ISNUMBER(SEARCH("software",I57))+ISNUMBER(SEARCH("internet",I57))+ISNUMBER(SEARCH("computer",I57))+ISNUMBER(SEARCH("saas",I57))+ISNUMBER(SEARCH("fintech",I57))+ISNUMBER(SEARCH("information services",I57))+ISNUMBER(SEARCH("telecommunications",I57))&gt;0,'Configuración'!$B$27,'Configuración'!$B$28))</f>
        <v>12</v>
      </c>
      <c r="U57" s="25">
        <f>IF(B57="","",IF(ISNUMBER(SEARCH("CEO",C57))+ISNUMBER(SEARCH("Founder",C57))+ISNUMBER(SEARCH("Owner",C57))+ISNUMBER(SEARCH("Dueño",C57))+ISNUMBER(SEARCH("Director General",C57))+ISNUMBER(SEARCH("Presidente",C57))+ISNUMBER(SEARCH("President",C57))&gt;0,'Configuración'!$B$31,IF(ISNUMBER(SEARCH("CMO",C57))+ISNUMBER(SEARCH("Chief Marketing",C57))+ISNUMBER(SEARCH("VP Marketing",C57))+ISNUMBER(SEARCH("Director de Marketing",C57))+ISNUMBER(SEARCH("Director Marketing",C57))+ISNUMBER(SEARCH("Head of Marketing",C57))+ISNUMBER(SEARCH("Head Marketing",C57))&gt;0,'Configuración'!$B$32,IF(ISNUMBER(SEARCH("Marketing Manager",C57))+ISNUMBER(SEARCH("Gerente de Marketing",C57))+ISNUMBER(SEARCH("Growth Manager",C57))+ISNUMBER(SEARCH("Demand Gen",C57))+ISNUMBER(SEARCH("Marketing Lead",C57))&gt;0,'Configuración'!$B$33,IF(ISNUMBER(SEARCH("COO",C57))+ISNUMBER(SEARCH("CFO",C57))+ISNUMBER(SEARCH("CTO",C57))+ISNUMBER(SEARCH("Chief Operating",C57))+ISNUMBER(SEARCH("Chief Financial",C57))+ISNUMBER(SEARCH("Gerente General",C57))+ISNUMBER(SEARCH("General Manager",C57))&gt;0,'Configuración'!$B$34,'Configuración'!$B$35)))))</f>
        <v>12</v>
      </c>
      <c r="V57" s="38">
        <f>IF(B57="","",IF(K57="Sí",'Configuración'!$B$5,0)+IF(L57="Semanal",'Configuración'!$B$6,IF(L57="Mensual",'Configuración'!$B$7,0))+IF(M57="Sí",'Configuración'!$B$8,0)+IF(N57="Sí",'Configuración'!$B$9,0)+IF(O57="Sí",'Configuración'!$B$10,0)+IF(P57="Sí",'Configuración'!$B$11,0)+IF(Q57="Sí",'Configuración'!$B$12,0)+S57+T57+U57)</f>
        <v>48</v>
      </c>
      <c r="W57" s="39" t="str">
        <f>IF(B57="","",IF(V57&gt;='Configuración'!$B$19,"A",IF(V57&gt;='Configuración'!$B$20,"B",IF(V57&gt;='Configuración'!$B$21,"C","Descarte"))))</f>
        <v>B</v>
      </c>
    </row>
    <row r="58" ht="15.75" customHeight="1">
      <c r="A58" s="34">
        <f t="shared" si="1"/>
        <v>56</v>
      </c>
      <c r="B58" s="29" t="s">
        <v>466</v>
      </c>
      <c r="C58" s="29" t="s">
        <v>487</v>
      </c>
      <c r="D58" s="29" t="s">
        <v>488</v>
      </c>
      <c r="E58" s="29" t="s">
        <v>489</v>
      </c>
      <c r="F58" s="30" t="s">
        <v>490</v>
      </c>
      <c r="G58" s="30" t="s">
        <v>491</v>
      </c>
      <c r="H58" s="30" t="s">
        <v>492</v>
      </c>
      <c r="I58" s="29" t="s">
        <v>127</v>
      </c>
      <c r="J58" s="31">
        <v>9.0</v>
      </c>
      <c r="K58" s="36" t="s">
        <v>119</v>
      </c>
      <c r="L58" s="36" t="s">
        <v>173</v>
      </c>
      <c r="M58" s="36" t="s">
        <v>117</v>
      </c>
      <c r="N58" s="36" t="s">
        <v>119</v>
      </c>
      <c r="O58" s="36" t="s">
        <v>119</v>
      </c>
      <c r="P58" s="35"/>
      <c r="Q58" s="36" t="s">
        <v>119</v>
      </c>
      <c r="R58" s="36" t="s">
        <v>230</v>
      </c>
      <c r="S58" s="37">
        <f>IF(B58="","",IF(ISNUMBER(J58),IF(J58&lt;=10,'Configuración'!$B$23,IF(J58&lt;=50,'Configuración'!$B$24,IF(J58&lt;=200,'Configuración'!$B$25,0))),0))</f>
        <v>12</v>
      </c>
      <c r="T58" s="37">
        <f>IF(B58="","",IF(ISNUMBER(SEARCH("information technology",I58))+ISNUMBER(SEARCH("software",I58))+ISNUMBER(SEARCH("internet",I58))+ISNUMBER(SEARCH("computer",I58))+ISNUMBER(SEARCH("saas",I58))+ISNUMBER(SEARCH("fintech",I58))+ISNUMBER(SEARCH("information services",I58))+ISNUMBER(SEARCH("telecommunications",I58))&gt;0,'Configuración'!$B$27,'Configuración'!$B$28))</f>
        <v>12</v>
      </c>
      <c r="U58" s="25">
        <f>IF(B58="","",IF(ISNUMBER(SEARCH("CEO",C58))+ISNUMBER(SEARCH("Founder",C58))+ISNUMBER(SEARCH("Owner",C58))+ISNUMBER(SEARCH("Dueño",C58))+ISNUMBER(SEARCH("Director General",C58))+ISNUMBER(SEARCH("Presidente",C58))+ISNUMBER(SEARCH("President",C58))&gt;0,'Configuración'!$B$31,IF(ISNUMBER(SEARCH("CMO",C58))+ISNUMBER(SEARCH("Chief Marketing",C58))+ISNUMBER(SEARCH("VP Marketing",C58))+ISNUMBER(SEARCH("Director de Marketing",C58))+ISNUMBER(SEARCH("Director Marketing",C58))+ISNUMBER(SEARCH("Head of Marketing",C58))+ISNUMBER(SEARCH("Head Marketing",C58))&gt;0,'Configuración'!$B$32,IF(ISNUMBER(SEARCH("Marketing Manager",C58))+ISNUMBER(SEARCH("Gerente de Marketing",C58))+ISNUMBER(SEARCH("Growth Manager",C58))+ISNUMBER(SEARCH("Demand Gen",C58))+ISNUMBER(SEARCH("Marketing Lead",C58))&gt;0,'Configuración'!$B$33,IF(ISNUMBER(SEARCH("COO",C58))+ISNUMBER(SEARCH("CFO",C58))+ISNUMBER(SEARCH("CTO",C58))+ISNUMBER(SEARCH("Chief Operating",C58))+ISNUMBER(SEARCH("Chief Financial",C58))+ISNUMBER(SEARCH("Gerente General",C58))+ISNUMBER(SEARCH("General Manager",C58))&gt;0,'Configuración'!$B$34,'Configuración'!$B$35)))))</f>
        <v>12</v>
      </c>
      <c r="V58" s="38">
        <f>IF(B58="","",IF(K58="Sí",'Configuración'!$B$5,0)+IF(L58="Semanal",'Configuración'!$B$6,IF(L58="Mensual",'Configuración'!$B$7,0))+IF(M58="Sí",'Configuración'!$B$8,0)+IF(N58="Sí",'Configuración'!$B$9,0)+IF(O58="Sí",'Configuración'!$B$10,0)+IF(P58="Sí",'Configuración'!$B$11,0)+IF(Q58="Sí",'Configuración'!$B$12,0)+S58+T58+U58)</f>
        <v>52</v>
      </c>
      <c r="W58" s="39" t="str">
        <f>IF(B58="","",IF(V58&gt;='Configuración'!$B$19,"A",IF(V58&gt;='Configuración'!$B$20,"B",IF(V58&gt;='Configuración'!$B$21,"C","Descarte"))))</f>
        <v>B</v>
      </c>
    </row>
    <row r="59" ht="15.75" customHeight="1">
      <c r="A59" s="34">
        <f t="shared" si="1"/>
        <v>57</v>
      </c>
      <c r="B59" s="29" t="s">
        <v>493</v>
      </c>
      <c r="C59" s="29" t="s">
        <v>494</v>
      </c>
      <c r="D59" s="29" t="s">
        <v>495</v>
      </c>
      <c r="E59" s="29" t="s">
        <v>496</v>
      </c>
      <c r="F59" s="30" t="s">
        <v>497</v>
      </c>
      <c r="G59" s="30" t="s">
        <v>498</v>
      </c>
      <c r="H59" s="30" t="s">
        <v>499</v>
      </c>
      <c r="I59" s="29" t="s">
        <v>500</v>
      </c>
      <c r="J59" s="31">
        <v>33.0</v>
      </c>
      <c r="K59" s="36" t="s">
        <v>119</v>
      </c>
      <c r="L59" s="36" t="s">
        <v>118</v>
      </c>
      <c r="M59" s="36" t="s">
        <v>119</v>
      </c>
      <c r="N59" s="36" t="s">
        <v>119</v>
      </c>
      <c r="O59" s="36" t="s">
        <v>119</v>
      </c>
      <c r="P59" s="35"/>
      <c r="Q59" s="36" t="s">
        <v>119</v>
      </c>
      <c r="R59" s="35"/>
      <c r="S59" s="37">
        <f>IF(B59="","",IF(ISNUMBER(J59),IF(J59&lt;=10,'Configuración'!$B$23,IF(J59&lt;=50,'Configuración'!$B$24,IF(J59&lt;=200,'Configuración'!$B$25,0))),0))</f>
        <v>4</v>
      </c>
      <c r="T59" s="37">
        <f>IF(B59="","",IF(ISNUMBER(SEARCH("information technology",I59))+ISNUMBER(SEARCH("software",I59))+ISNUMBER(SEARCH("internet",I59))+ISNUMBER(SEARCH("computer",I59))+ISNUMBER(SEARCH("saas",I59))+ISNUMBER(SEARCH("fintech",I59))+ISNUMBER(SEARCH("information services",I59))+ISNUMBER(SEARCH("telecommunications",I59))&gt;0,'Configuración'!$B$27,'Configuración'!$B$28))</f>
        <v>4</v>
      </c>
      <c r="U59" s="25">
        <f>IF(B59="","",IF(ISNUMBER(SEARCH("CEO",C59))+ISNUMBER(SEARCH("Founder",C59))+ISNUMBER(SEARCH("Owner",C59))+ISNUMBER(SEARCH("Dueño",C59))+ISNUMBER(SEARCH("Director General",C59))+ISNUMBER(SEARCH("Presidente",C59))+ISNUMBER(SEARCH("President",C59))&gt;0,'Configuración'!$B$31,IF(ISNUMBER(SEARCH("CMO",C59))+ISNUMBER(SEARCH("Chief Marketing",C59))+ISNUMBER(SEARCH("VP Marketing",C59))+ISNUMBER(SEARCH("Director de Marketing",C59))+ISNUMBER(SEARCH("Director Marketing",C59))+ISNUMBER(SEARCH("Head of Marketing",C59))+ISNUMBER(SEARCH("Head Marketing",C59))&gt;0,'Configuración'!$B$32,IF(ISNUMBER(SEARCH("Marketing Manager",C59))+ISNUMBER(SEARCH("Gerente de Marketing",C59))+ISNUMBER(SEARCH("Growth Manager",C59))+ISNUMBER(SEARCH("Demand Gen",C59))+ISNUMBER(SEARCH("Marketing Lead",C59))&gt;0,'Configuración'!$B$33,IF(ISNUMBER(SEARCH("COO",C59))+ISNUMBER(SEARCH("CFO",C59))+ISNUMBER(SEARCH("CTO",C59))+ISNUMBER(SEARCH("Chief Operating",C59))+ISNUMBER(SEARCH("Chief Financial",C59))+ISNUMBER(SEARCH("Gerente General",C59))+ISNUMBER(SEARCH("General Manager",C59))&gt;0,'Configuración'!$B$34,'Configuración'!$B$35)))))</f>
        <v>4</v>
      </c>
      <c r="V59" s="38">
        <f>IF(B59="","",IF(K59="Sí",'Configuración'!$B$5,0)+IF(L59="Semanal",'Configuración'!$B$6,IF(L59="Mensual",'Configuración'!$B$7,0))+IF(M59="Sí",'Configuración'!$B$8,0)+IF(N59="Sí",'Configuración'!$B$9,0)+IF(O59="Sí",'Configuración'!$B$10,0)+IF(P59="Sí",'Configuración'!$B$11,0)+IF(Q59="Sí",'Configuración'!$B$12,0)+S59+T59+U59)</f>
        <v>24</v>
      </c>
      <c r="W59" s="39" t="str">
        <f>IF(B59="","",IF(V59&gt;='Configuración'!$B$19,"A",IF(V59&gt;='Configuración'!$B$20,"B",IF(V59&gt;='Configuración'!$B$21,"C","Descarte"))))</f>
        <v>C</v>
      </c>
    </row>
    <row r="60" ht="15.75" customHeight="1">
      <c r="A60" s="34">
        <f t="shared" si="1"/>
        <v>58</v>
      </c>
      <c r="B60" s="29" t="s">
        <v>501</v>
      </c>
      <c r="C60" s="29" t="s">
        <v>502</v>
      </c>
      <c r="D60" s="29" t="s">
        <v>503</v>
      </c>
      <c r="E60" s="29" t="s">
        <v>504</v>
      </c>
      <c r="F60" s="30" t="s">
        <v>505</v>
      </c>
      <c r="G60" s="30" t="s">
        <v>506</v>
      </c>
      <c r="H60" s="30" t="s">
        <v>507</v>
      </c>
      <c r="I60" s="29" t="s">
        <v>508</v>
      </c>
      <c r="J60" s="31">
        <v>22.0</v>
      </c>
      <c r="K60" s="36" t="s">
        <v>119</v>
      </c>
      <c r="L60" s="36" t="s">
        <v>128</v>
      </c>
      <c r="M60" s="36" t="s">
        <v>119</v>
      </c>
      <c r="N60" s="36" t="s">
        <v>119</v>
      </c>
      <c r="O60" s="36" t="s">
        <v>119</v>
      </c>
      <c r="P60" s="35"/>
      <c r="Q60" s="36" t="s">
        <v>119</v>
      </c>
      <c r="R60" s="35"/>
      <c r="S60" s="37">
        <f>IF(B60="","",IF(ISNUMBER(J60),IF(J60&lt;=10,'Configuración'!$B$23,IF(J60&lt;=50,'Configuración'!$B$24,IF(J60&lt;=200,'Configuración'!$B$25,0))),0))</f>
        <v>4</v>
      </c>
      <c r="T60" s="37">
        <f>IF(B60="","",IF(ISNUMBER(SEARCH("information technology",I60))+ISNUMBER(SEARCH("software",I60))+ISNUMBER(SEARCH("internet",I60))+ISNUMBER(SEARCH("computer",I60))+ISNUMBER(SEARCH("saas",I60))+ISNUMBER(SEARCH("fintech",I60))+ISNUMBER(SEARCH("information services",I60))+ISNUMBER(SEARCH("telecommunications",I60))&gt;0,'Configuración'!$B$27,'Configuración'!$B$28))</f>
        <v>4</v>
      </c>
      <c r="U60" s="25">
        <f>IF(B60="","",IF(ISNUMBER(SEARCH("CEO",C60))+ISNUMBER(SEARCH("Founder",C60))+ISNUMBER(SEARCH("Owner",C60))+ISNUMBER(SEARCH("Dueño",C60))+ISNUMBER(SEARCH("Director General",C60))+ISNUMBER(SEARCH("Presidente",C60))+ISNUMBER(SEARCH("President",C60))&gt;0,'Configuración'!$B$31,IF(ISNUMBER(SEARCH("CMO",C60))+ISNUMBER(SEARCH("Chief Marketing",C60))+ISNUMBER(SEARCH("VP Marketing",C60))+ISNUMBER(SEARCH("Director de Marketing",C60))+ISNUMBER(SEARCH("Director Marketing",C60))+ISNUMBER(SEARCH("Head of Marketing",C60))+ISNUMBER(SEARCH("Head Marketing",C60))&gt;0,'Configuración'!$B$32,IF(ISNUMBER(SEARCH("Marketing Manager",C60))+ISNUMBER(SEARCH("Gerente de Marketing",C60))+ISNUMBER(SEARCH("Growth Manager",C60))+ISNUMBER(SEARCH("Demand Gen",C60))+ISNUMBER(SEARCH("Marketing Lead",C60))&gt;0,'Configuración'!$B$33,IF(ISNUMBER(SEARCH("COO",C60))+ISNUMBER(SEARCH("CFO",C60))+ISNUMBER(SEARCH("CTO",C60))+ISNUMBER(SEARCH("Chief Operating",C60))+ISNUMBER(SEARCH("Chief Financial",C60))+ISNUMBER(SEARCH("Gerente General",C60))+ISNUMBER(SEARCH("General Manager",C60))&gt;0,'Configuración'!$B$34,'Configuración'!$B$35)))))</f>
        <v>0</v>
      </c>
      <c r="V60" s="38">
        <f>IF(B60="","",IF(K60="Sí",'Configuración'!$B$5,0)+IF(L60="Semanal",'Configuración'!$B$6,IF(L60="Mensual",'Configuración'!$B$7,0))+IF(M60="Sí",'Configuración'!$B$8,0)+IF(N60="Sí",'Configuración'!$B$9,0)+IF(O60="Sí",'Configuración'!$B$10,0)+IF(P60="Sí",'Configuración'!$B$11,0)+IF(Q60="Sí",'Configuración'!$B$12,0)+S60+T60+U60)</f>
        <v>8</v>
      </c>
      <c r="W60" s="39" t="str">
        <f>IF(B60="","",IF(V60&gt;='Configuración'!$B$19,"A",IF(V60&gt;='Configuración'!$B$20,"B",IF(V60&gt;='Configuración'!$B$21,"C","Descarte"))))</f>
        <v>Descarte</v>
      </c>
    </row>
    <row r="61" ht="15.75" customHeight="1">
      <c r="A61" s="34">
        <f t="shared" si="1"/>
        <v>59</v>
      </c>
      <c r="B61" s="29" t="s">
        <v>509</v>
      </c>
      <c r="C61" s="29" t="s">
        <v>510</v>
      </c>
      <c r="D61" s="29" t="s">
        <v>511</v>
      </c>
      <c r="E61" s="29" t="s">
        <v>512</v>
      </c>
      <c r="F61" s="30" t="s">
        <v>513</v>
      </c>
      <c r="G61" s="30" t="s">
        <v>514</v>
      </c>
      <c r="H61" s="30" t="s">
        <v>515</v>
      </c>
      <c r="I61" s="29" t="s">
        <v>310</v>
      </c>
      <c r="J61" s="31">
        <v>17.0</v>
      </c>
      <c r="K61" s="36" t="s">
        <v>117</v>
      </c>
      <c r="L61" s="36" t="s">
        <v>118</v>
      </c>
      <c r="M61" s="36" t="s">
        <v>117</v>
      </c>
      <c r="N61" s="36" t="s">
        <v>119</v>
      </c>
      <c r="O61" s="36" t="s">
        <v>119</v>
      </c>
      <c r="P61" s="35"/>
      <c r="Q61" s="36" t="s">
        <v>119</v>
      </c>
      <c r="R61" s="35"/>
      <c r="S61" s="37">
        <f>IF(B61="","",IF(ISNUMBER(J61),IF(J61&lt;=10,'Configuración'!$B$23,IF(J61&lt;=50,'Configuración'!$B$24,IF(J61&lt;=200,'Configuración'!$B$25,0))),0))</f>
        <v>4</v>
      </c>
      <c r="T61" s="37">
        <f>IF(B61="","",IF(ISNUMBER(SEARCH("information technology",I61))+ISNUMBER(SEARCH("software",I61))+ISNUMBER(SEARCH("internet",I61))+ISNUMBER(SEARCH("computer",I61))+ISNUMBER(SEARCH("saas",I61))+ISNUMBER(SEARCH("fintech",I61))+ISNUMBER(SEARCH("information services",I61))+ISNUMBER(SEARCH("telecommunications",I61))&gt;0,'Configuración'!$B$27,'Configuración'!$B$28))</f>
        <v>4</v>
      </c>
      <c r="U61" s="25">
        <f>IF(B61="","",IF(ISNUMBER(SEARCH("CEO",C61))+ISNUMBER(SEARCH("Founder",C61))+ISNUMBER(SEARCH("Owner",C61))+ISNUMBER(SEARCH("Dueño",C61))+ISNUMBER(SEARCH("Director General",C61))+ISNUMBER(SEARCH("Presidente",C61))+ISNUMBER(SEARCH("President",C61))&gt;0,'Configuración'!$B$31,IF(ISNUMBER(SEARCH("CMO",C61))+ISNUMBER(SEARCH("Chief Marketing",C61))+ISNUMBER(SEARCH("VP Marketing",C61))+ISNUMBER(SEARCH("Director de Marketing",C61))+ISNUMBER(SEARCH("Director Marketing",C61))+ISNUMBER(SEARCH("Head of Marketing",C61))+ISNUMBER(SEARCH("Head Marketing",C61))&gt;0,'Configuración'!$B$32,IF(ISNUMBER(SEARCH("Marketing Manager",C61))+ISNUMBER(SEARCH("Gerente de Marketing",C61))+ISNUMBER(SEARCH("Growth Manager",C61))+ISNUMBER(SEARCH("Demand Gen",C61))+ISNUMBER(SEARCH("Marketing Lead",C61))&gt;0,'Configuración'!$B$33,IF(ISNUMBER(SEARCH("COO",C61))+ISNUMBER(SEARCH("CFO",C61))+ISNUMBER(SEARCH("CTO",C61))+ISNUMBER(SEARCH("Chief Operating",C61))+ISNUMBER(SEARCH("Chief Financial",C61))+ISNUMBER(SEARCH("Gerente General",C61))+ISNUMBER(SEARCH("General Manager",C61))&gt;0,'Configuración'!$B$34,'Configuración'!$B$35)))))</f>
        <v>4</v>
      </c>
      <c r="V61" s="38">
        <f>IF(B61="","",IF(K61="Sí",'Configuración'!$B$5,0)+IF(L61="Semanal",'Configuración'!$B$6,IF(L61="Mensual",'Configuración'!$B$7,0))+IF(M61="Sí",'Configuración'!$B$8,0)+IF(N61="Sí",'Configuración'!$B$9,0)+IF(O61="Sí",'Configuración'!$B$10,0)+IF(P61="Sí",'Configuración'!$B$11,0)+IF(Q61="Sí",'Configuración'!$B$12,0)+S61+T61+U61)</f>
        <v>48</v>
      </c>
      <c r="W61" s="39" t="str">
        <f>IF(B61="","",IF(V61&gt;='Configuración'!$B$19,"A",IF(V61&gt;='Configuración'!$B$20,"B",IF(V61&gt;='Configuración'!$B$21,"C","Descarte"))))</f>
        <v>B</v>
      </c>
    </row>
    <row r="62" ht="15.75" customHeight="1">
      <c r="A62" s="34">
        <f t="shared" si="1"/>
        <v>60</v>
      </c>
      <c r="B62" s="29" t="s">
        <v>181</v>
      </c>
      <c r="C62" s="29" t="s">
        <v>516</v>
      </c>
      <c r="D62" s="29" t="s">
        <v>517</v>
      </c>
      <c r="E62" s="29" t="s">
        <v>518</v>
      </c>
      <c r="F62" s="30" t="s">
        <v>519</v>
      </c>
      <c r="G62" s="30" t="s">
        <v>520</v>
      </c>
      <c r="H62" s="30" t="s">
        <v>521</v>
      </c>
      <c r="I62" s="29" t="s">
        <v>127</v>
      </c>
      <c r="J62" s="31">
        <v>49.0</v>
      </c>
      <c r="K62" s="36" t="s">
        <v>119</v>
      </c>
      <c r="L62" s="36" t="s">
        <v>128</v>
      </c>
      <c r="M62" s="36" t="s">
        <v>119</v>
      </c>
      <c r="N62" s="36" t="s">
        <v>119</v>
      </c>
      <c r="O62" s="36" t="s">
        <v>119</v>
      </c>
      <c r="P62" s="35"/>
      <c r="Q62" s="36" t="s">
        <v>119</v>
      </c>
      <c r="R62" s="35"/>
      <c r="S62" s="37">
        <f>IF(B62="","",IF(ISNUMBER(J62),IF(J62&lt;=10,'Configuración'!$B$23,IF(J62&lt;=50,'Configuración'!$B$24,IF(J62&lt;=200,'Configuración'!$B$25,0))),0))</f>
        <v>4</v>
      </c>
      <c r="T62" s="37">
        <f>IF(B62="","",IF(ISNUMBER(SEARCH("information technology",I62))+ISNUMBER(SEARCH("software",I62))+ISNUMBER(SEARCH("internet",I62))+ISNUMBER(SEARCH("computer",I62))+ISNUMBER(SEARCH("saas",I62))+ISNUMBER(SEARCH("fintech",I62))+ISNUMBER(SEARCH("information services",I62))+ISNUMBER(SEARCH("telecommunications",I62))&gt;0,'Configuración'!$B$27,'Configuración'!$B$28))</f>
        <v>12</v>
      </c>
      <c r="U62" s="25">
        <f>IF(B62="","",IF(ISNUMBER(SEARCH("CEO",C62))+ISNUMBER(SEARCH("Founder",C62))+ISNUMBER(SEARCH("Owner",C62))+ISNUMBER(SEARCH("Dueño",C62))+ISNUMBER(SEARCH("Director General",C62))+ISNUMBER(SEARCH("Presidente",C62))+ISNUMBER(SEARCH("President",C62))&gt;0,'Configuración'!$B$31,IF(ISNUMBER(SEARCH("CMO",C62))+ISNUMBER(SEARCH("Chief Marketing",C62))+ISNUMBER(SEARCH("VP Marketing",C62))+ISNUMBER(SEARCH("Director de Marketing",C62))+ISNUMBER(SEARCH("Director Marketing",C62))+ISNUMBER(SEARCH("Head of Marketing",C62))+ISNUMBER(SEARCH("Head Marketing",C62))&gt;0,'Configuración'!$B$32,IF(ISNUMBER(SEARCH("Marketing Manager",C62))+ISNUMBER(SEARCH("Gerente de Marketing",C62))+ISNUMBER(SEARCH("Growth Manager",C62))+ISNUMBER(SEARCH("Demand Gen",C62))+ISNUMBER(SEARCH("Marketing Lead",C62))&gt;0,'Configuración'!$B$33,IF(ISNUMBER(SEARCH("COO",C62))+ISNUMBER(SEARCH("CFO",C62))+ISNUMBER(SEARCH("CTO",C62))+ISNUMBER(SEARCH("Chief Operating",C62))+ISNUMBER(SEARCH("Chief Financial",C62))+ISNUMBER(SEARCH("Gerente General",C62))+ISNUMBER(SEARCH("General Manager",C62))&gt;0,'Configuración'!$B$34,'Configuración'!$B$35)))))</f>
        <v>0</v>
      </c>
      <c r="V62" s="38">
        <f>IF(B62="","",IF(K62="Sí",'Configuración'!$B$5,0)+IF(L62="Semanal",'Configuración'!$B$6,IF(L62="Mensual",'Configuración'!$B$7,0))+IF(M62="Sí",'Configuración'!$B$8,0)+IF(N62="Sí",'Configuración'!$B$9,0)+IF(O62="Sí",'Configuración'!$B$10,0)+IF(P62="Sí",'Configuración'!$B$11,0)+IF(Q62="Sí",'Configuración'!$B$12,0)+S62+T62+U62)</f>
        <v>16</v>
      </c>
      <c r="W62" s="39" t="str">
        <f>IF(B62="","",IF(V62&gt;='Configuración'!$B$19,"A",IF(V62&gt;='Configuración'!$B$20,"B",IF(V62&gt;='Configuración'!$B$21,"C","Descarte"))))</f>
        <v>Descarte</v>
      </c>
    </row>
    <row r="63" ht="15.75" customHeight="1">
      <c r="A63" s="34">
        <f t="shared" si="1"/>
        <v>61</v>
      </c>
      <c r="B63" s="29" t="s">
        <v>522</v>
      </c>
      <c r="C63" s="29" t="s">
        <v>318</v>
      </c>
      <c r="D63" s="29" t="s">
        <v>523</v>
      </c>
      <c r="E63" s="29" t="s">
        <v>524</v>
      </c>
      <c r="F63" s="30" t="s">
        <v>525</v>
      </c>
      <c r="G63" s="30" t="s">
        <v>526</v>
      </c>
      <c r="H63" s="30" t="s">
        <v>527</v>
      </c>
      <c r="I63" s="29" t="s">
        <v>528</v>
      </c>
      <c r="J63" s="31">
        <v>17.0</v>
      </c>
      <c r="K63" s="36" t="s">
        <v>119</v>
      </c>
      <c r="L63" s="36" t="s">
        <v>118</v>
      </c>
      <c r="M63" s="36" t="s">
        <v>119</v>
      </c>
      <c r="N63" s="36" t="s">
        <v>119</v>
      </c>
      <c r="O63" s="36" t="s">
        <v>119</v>
      </c>
      <c r="P63" s="35"/>
      <c r="Q63" s="36" t="s">
        <v>119</v>
      </c>
      <c r="R63" s="35"/>
      <c r="S63" s="37">
        <f>IF(B63="","",IF(ISNUMBER(J63),IF(J63&lt;=10,'Configuración'!$B$23,IF(J63&lt;=50,'Configuración'!$B$24,IF(J63&lt;=200,'Configuración'!$B$25,0))),0))</f>
        <v>4</v>
      </c>
      <c r="T63" s="37">
        <f>IF(B63="","",IF(ISNUMBER(SEARCH("information technology",I63))+ISNUMBER(SEARCH("software",I63))+ISNUMBER(SEARCH("internet",I63))+ISNUMBER(SEARCH("computer",I63))+ISNUMBER(SEARCH("saas",I63))+ISNUMBER(SEARCH("fintech",I63))+ISNUMBER(SEARCH("information services",I63))+ISNUMBER(SEARCH("telecommunications",I63))&gt;0,'Configuración'!$B$27,'Configuración'!$B$28))</f>
        <v>4</v>
      </c>
      <c r="U63" s="25">
        <f>IF(B63="","",IF(ISNUMBER(SEARCH("CEO",C63))+ISNUMBER(SEARCH("Founder",C63))+ISNUMBER(SEARCH("Owner",C63))+ISNUMBER(SEARCH("Dueño",C63))+ISNUMBER(SEARCH("Director General",C63))+ISNUMBER(SEARCH("Presidente",C63))+ISNUMBER(SEARCH("President",C63))&gt;0,'Configuración'!$B$31,IF(ISNUMBER(SEARCH("CMO",C63))+ISNUMBER(SEARCH("Chief Marketing",C63))+ISNUMBER(SEARCH("VP Marketing",C63))+ISNUMBER(SEARCH("Director de Marketing",C63))+ISNUMBER(SEARCH("Director Marketing",C63))+ISNUMBER(SEARCH("Head of Marketing",C63))+ISNUMBER(SEARCH("Head Marketing",C63))&gt;0,'Configuración'!$B$32,IF(ISNUMBER(SEARCH("Marketing Manager",C63))+ISNUMBER(SEARCH("Gerente de Marketing",C63))+ISNUMBER(SEARCH("Growth Manager",C63))+ISNUMBER(SEARCH("Demand Gen",C63))+ISNUMBER(SEARCH("Marketing Lead",C63))&gt;0,'Configuración'!$B$33,IF(ISNUMBER(SEARCH("COO",C63))+ISNUMBER(SEARCH("CFO",C63))+ISNUMBER(SEARCH("CTO",C63))+ISNUMBER(SEARCH("Chief Operating",C63))+ISNUMBER(SEARCH("Chief Financial",C63))+ISNUMBER(SEARCH("Gerente General",C63))+ISNUMBER(SEARCH("General Manager",C63))&gt;0,'Configuración'!$B$34,'Configuración'!$B$35)))))</f>
        <v>4</v>
      </c>
      <c r="V63" s="38">
        <f>IF(B63="","",IF(K63="Sí",'Configuración'!$B$5,0)+IF(L63="Semanal",'Configuración'!$B$6,IF(L63="Mensual",'Configuración'!$B$7,0))+IF(M63="Sí",'Configuración'!$B$8,0)+IF(N63="Sí",'Configuración'!$B$9,0)+IF(O63="Sí",'Configuración'!$B$10,0)+IF(P63="Sí",'Configuración'!$B$11,0)+IF(Q63="Sí",'Configuración'!$B$12,0)+S63+T63+U63)</f>
        <v>24</v>
      </c>
      <c r="W63" s="39" t="str">
        <f>IF(B63="","",IF(V63&gt;='Configuración'!$B$19,"A",IF(V63&gt;='Configuración'!$B$20,"B",IF(V63&gt;='Configuración'!$B$21,"C","Descarte"))))</f>
        <v>C</v>
      </c>
    </row>
    <row r="64" ht="15.75" customHeight="1">
      <c r="A64" s="34">
        <f t="shared" si="1"/>
        <v>62</v>
      </c>
      <c r="B64" s="29" t="s">
        <v>529</v>
      </c>
      <c r="C64" s="29" t="s">
        <v>530</v>
      </c>
      <c r="D64" s="29" t="s">
        <v>531</v>
      </c>
      <c r="E64" s="29" t="s">
        <v>532</v>
      </c>
      <c r="F64" s="30" t="s">
        <v>533</v>
      </c>
      <c r="G64" s="30" t="s">
        <v>534</v>
      </c>
      <c r="H64" s="30" t="s">
        <v>535</v>
      </c>
      <c r="I64" s="29" t="s">
        <v>337</v>
      </c>
      <c r="J64" s="31">
        <v>6.0</v>
      </c>
      <c r="K64" s="36" t="s">
        <v>119</v>
      </c>
      <c r="L64" s="36" t="s">
        <v>128</v>
      </c>
      <c r="M64" s="36" t="s">
        <v>117</v>
      </c>
      <c r="N64" s="36" t="s">
        <v>119</v>
      </c>
      <c r="O64" s="36" t="s">
        <v>119</v>
      </c>
      <c r="P64" s="35"/>
      <c r="Q64" s="36" t="s">
        <v>119</v>
      </c>
      <c r="R64" s="35"/>
      <c r="S64" s="37">
        <f>IF(B64="","",IF(ISNUMBER(J64),IF(J64&lt;=10,'Configuración'!$B$23,IF(J64&lt;=50,'Configuración'!$B$24,IF(J64&lt;=200,'Configuración'!$B$25,0))),0))</f>
        <v>12</v>
      </c>
      <c r="T64" s="37">
        <f>IF(B64="","",IF(ISNUMBER(SEARCH("information technology",I64))+ISNUMBER(SEARCH("software",I64))+ISNUMBER(SEARCH("internet",I64))+ISNUMBER(SEARCH("computer",I64))+ISNUMBER(SEARCH("saas",I64))+ISNUMBER(SEARCH("fintech",I64))+ISNUMBER(SEARCH("information services",I64))+ISNUMBER(SEARCH("telecommunications",I64))&gt;0,'Configuración'!$B$27,'Configuración'!$B$28))</f>
        <v>4</v>
      </c>
      <c r="U64" s="25">
        <f>IF(B64="","",IF(ISNUMBER(SEARCH("CEO",C64))+ISNUMBER(SEARCH("Founder",C64))+ISNUMBER(SEARCH("Owner",C64))+ISNUMBER(SEARCH("Dueño",C64))+ISNUMBER(SEARCH("Director General",C64))+ISNUMBER(SEARCH("Presidente",C64))+ISNUMBER(SEARCH("President",C64))&gt;0,'Configuración'!$B$31,IF(ISNUMBER(SEARCH("CMO",C64))+ISNUMBER(SEARCH("Chief Marketing",C64))+ISNUMBER(SEARCH("VP Marketing",C64))+ISNUMBER(SEARCH("Director de Marketing",C64))+ISNUMBER(SEARCH("Director Marketing",C64))+ISNUMBER(SEARCH("Head of Marketing",C64))+ISNUMBER(SEARCH("Head Marketing",C64))&gt;0,'Configuración'!$B$32,IF(ISNUMBER(SEARCH("Marketing Manager",C64))+ISNUMBER(SEARCH("Gerente de Marketing",C64))+ISNUMBER(SEARCH("Growth Manager",C64))+ISNUMBER(SEARCH("Demand Gen",C64))+ISNUMBER(SEARCH("Marketing Lead",C64))&gt;0,'Configuración'!$B$33,IF(ISNUMBER(SEARCH("COO",C64))+ISNUMBER(SEARCH("CFO",C64))+ISNUMBER(SEARCH("CTO",C64))+ISNUMBER(SEARCH("Chief Operating",C64))+ISNUMBER(SEARCH("Chief Financial",C64))+ISNUMBER(SEARCH("Gerente General",C64))+ISNUMBER(SEARCH("General Manager",C64))&gt;0,'Configuración'!$B$34,'Configuración'!$B$35)))))</f>
        <v>12</v>
      </c>
      <c r="V64" s="38">
        <f>IF(B64="","",IF(K64="Sí",'Configuración'!$B$5,0)+IF(L64="Semanal",'Configuración'!$B$6,IF(L64="Mensual",'Configuración'!$B$7,0))+IF(M64="Sí",'Configuración'!$B$8,0)+IF(N64="Sí",'Configuración'!$B$9,0)+IF(O64="Sí",'Configuración'!$B$10,0)+IF(P64="Sí",'Configuración'!$B$11,0)+IF(Q64="Sí",'Configuración'!$B$12,0)+S64+T64+U64)</f>
        <v>40</v>
      </c>
      <c r="W64" s="39" t="str">
        <f>IF(B64="","",IF(V64&gt;='Configuración'!$B$19,"A",IF(V64&gt;='Configuración'!$B$20,"B",IF(V64&gt;='Configuración'!$B$21,"C","Descarte"))))</f>
        <v>B</v>
      </c>
    </row>
    <row r="65" ht="15.75" customHeight="1">
      <c r="A65" s="34">
        <f t="shared" si="1"/>
        <v>63</v>
      </c>
      <c r="B65" s="29" t="s">
        <v>536</v>
      </c>
      <c r="C65" s="29" t="s">
        <v>146</v>
      </c>
      <c r="D65" s="29" t="s">
        <v>537</v>
      </c>
      <c r="E65" s="29" t="s">
        <v>538</v>
      </c>
      <c r="F65" s="30" t="s">
        <v>539</v>
      </c>
      <c r="G65" s="30" t="s">
        <v>540</v>
      </c>
      <c r="H65" s="30" t="s">
        <v>541</v>
      </c>
      <c r="I65" s="29" t="s">
        <v>542</v>
      </c>
      <c r="J65" s="31">
        <v>43.0</v>
      </c>
      <c r="K65" s="36" t="s">
        <v>119</v>
      </c>
      <c r="L65" s="36" t="s">
        <v>118</v>
      </c>
      <c r="M65" s="36" t="s">
        <v>119</v>
      </c>
      <c r="N65" s="36" t="s">
        <v>119</v>
      </c>
      <c r="O65" s="36" t="s">
        <v>119</v>
      </c>
      <c r="P65" s="35"/>
      <c r="Q65" s="36" t="s">
        <v>119</v>
      </c>
      <c r="R65" s="35"/>
      <c r="S65" s="37">
        <f>IF(B65="","",IF(ISNUMBER(J65),IF(J65&lt;=10,'Configuración'!$B$23,IF(J65&lt;=50,'Configuración'!$B$24,IF(J65&lt;=200,'Configuración'!$B$25,0))),0))</f>
        <v>4</v>
      </c>
      <c r="T65" s="37">
        <f>IF(B65="","",IF(ISNUMBER(SEARCH("information technology",I65))+ISNUMBER(SEARCH("software",I65))+ISNUMBER(SEARCH("internet",I65))+ISNUMBER(SEARCH("computer",I65))+ISNUMBER(SEARCH("saas",I65))+ISNUMBER(SEARCH("fintech",I65))+ISNUMBER(SEARCH("information services",I65))+ISNUMBER(SEARCH("telecommunications",I65))&gt;0,'Configuración'!$B$27,'Configuración'!$B$28))</f>
        <v>4</v>
      </c>
      <c r="U65" s="25">
        <f>IF(B65="","",IF(ISNUMBER(SEARCH("CEO",C65))+ISNUMBER(SEARCH("Founder",C65))+ISNUMBER(SEARCH("Owner",C65))+ISNUMBER(SEARCH("Dueño",C65))+ISNUMBER(SEARCH("Director General",C65))+ISNUMBER(SEARCH("Presidente",C65))+ISNUMBER(SEARCH("President",C65))&gt;0,'Configuración'!$B$31,IF(ISNUMBER(SEARCH("CMO",C65))+ISNUMBER(SEARCH("Chief Marketing",C65))+ISNUMBER(SEARCH("VP Marketing",C65))+ISNUMBER(SEARCH("Director de Marketing",C65))+ISNUMBER(SEARCH("Director Marketing",C65))+ISNUMBER(SEARCH("Head of Marketing",C65))+ISNUMBER(SEARCH("Head Marketing",C65))&gt;0,'Configuración'!$B$32,IF(ISNUMBER(SEARCH("Marketing Manager",C65))+ISNUMBER(SEARCH("Gerente de Marketing",C65))+ISNUMBER(SEARCH("Growth Manager",C65))+ISNUMBER(SEARCH("Demand Gen",C65))+ISNUMBER(SEARCH("Marketing Lead",C65))&gt;0,'Configuración'!$B$33,IF(ISNUMBER(SEARCH("COO",C65))+ISNUMBER(SEARCH("CFO",C65))+ISNUMBER(SEARCH("CTO",C65))+ISNUMBER(SEARCH("Chief Operating",C65))+ISNUMBER(SEARCH("Chief Financial",C65))+ISNUMBER(SEARCH("Gerente General",C65))+ISNUMBER(SEARCH("General Manager",C65))&gt;0,'Configuración'!$B$34,'Configuración'!$B$35)))))</f>
        <v>0</v>
      </c>
      <c r="V65" s="38">
        <f>IF(B65="","",IF(K65="Sí",'Configuración'!$B$5,0)+IF(L65="Semanal",'Configuración'!$B$6,IF(L65="Mensual",'Configuración'!$B$7,0))+IF(M65="Sí",'Configuración'!$B$8,0)+IF(N65="Sí",'Configuración'!$B$9,0)+IF(O65="Sí",'Configuración'!$B$10,0)+IF(P65="Sí",'Configuración'!$B$11,0)+IF(Q65="Sí",'Configuración'!$B$12,0)+S65+T65+U65)</f>
        <v>20</v>
      </c>
      <c r="W65" s="39" t="str">
        <f>IF(B65="","",IF(V65&gt;='Configuración'!$B$19,"A",IF(V65&gt;='Configuración'!$B$20,"B",IF(V65&gt;='Configuración'!$B$21,"C","Descarte"))))</f>
        <v>Descarte</v>
      </c>
    </row>
    <row r="66" ht="15.75" customHeight="1">
      <c r="A66" s="34">
        <f t="shared" si="1"/>
        <v>64</v>
      </c>
      <c r="B66" s="29" t="s">
        <v>543</v>
      </c>
      <c r="C66" s="29" t="s">
        <v>131</v>
      </c>
      <c r="D66" s="29" t="s">
        <v>544</v>
      </c>
      <c r="E66" s="29" t="s">
        <v>545</v>
      </c>
      <c r="F66" s="30" t="s">
        <v>546</v>
      </c>
      <c r="G66" s="30" t="s">
        <v>547</v>
      </c>
      <c r="H66" s="30" t="s">
        <v>548</v>
      </c>
      <c r="I66" s="29" t="s">
        <v>380</v>
      </c>
      <c r="J66" s="31">
        <v>3.0</v>
      </c>
      <c r="K66" s="36" t="s">
        <v>119</v>
      </c>
      <c r="L66" s="36" t="s">
        <v>128</v>
      </c>
      <c r="M66" s="36" t="s">
        <v>119</v>
      </c>
      <c r="N66" s="36" t="s">
        <v>119</v>
      </c>
      <c r="O66" s="36" t="s">
        <v>119</v>
      </c>
      <c r="P66" s="35"/>
      <c r="Q66" s="36" t="s">
        <v>119</v>
      </c>
      <c r="R66" s="35"/>
      <c r="S66" s="37">
        <f>IF(B66="","",IF(ISNUMBER(J66),IF(J66&lt;=10,'Configuración'!$B$23,IF(J66&lt;=50,'Configuración'!$B$24,IF(J66&lt;=200,'Configuración'!$B$25,0))),0))</f>
        <v>12</v>
      </c>
      <c r="T66" s="37">
        <f>IF(B66="","",IF(ISNUMBER(SEARCH("information technology",I66))+ISNUMBER(SEARCH("software",I66))+ISNUMBER(SEARCH("internet",I66))+ISNUMBER(SEARCH("computer",I66))+ISNUMBER(SEARCH("saas",I66))+ISNUMBER(SEARCH("fintech",I66))+ISNUMBER(SEARCH("information services",I66))+ISNUMBER(SEARCH("telecommunications",I66))&gt;0,'Configuración'!$B$27,'Configuración'!$B$28))</f>
        <v>4</v>
      </c>
      <c r="U66" s="25">
        <f>IF(B66="","",IF(ISNUMBER(SEARCH("CEO",C66))+ISNUMBER(SEARCH("Founder",C66))+ISNUMBER(SEARCH("Owner",C66))+ISNUMBER(SEARCH("Dueño",C66))+ISNUMBER(SEARCH("Director General",C66))+ISNUMBER(SEARCH("Presidente",C66))+ISNUMBER(SEARCH("President",C66))&gt;0,'Configuración'!$B$31,IF(ISNUMBER(SEARCH("CMO",C66))+ISNUMBER(SEARCH("Chief Marketing",C66))+ISNUMBER(SEARCH("VP Marketing",C66))+ISNUMBER(SEARCH("Director de Marketing",C66))+ISNUMBER(SEARCH("Director Marketing",C66))+ISNUMBER(SEARCH("Head of Marketing",C66))+ISNUMBER(SEARCH("Head Marketing",C66))&gt;0,'Configuración'!$B$32,IF(ISNUMBER(SEARCH("Marketing Manager",C66))+ISNUMBER(SEARCH("Gerente de Marketing",C66))+ISNUMBER(SEARCH("Growth Manager",C66))+ISNUMBER(SEARCH("Demand Gen",C66))+ISNUMBER(SEARCH("Marketing Lead",C66))&gt;0,'Configuración'!$B$33,IF(ISNUMBER(SEARCH("COO",C66))+ISNUMBER(SEARCH("CFO",C66))+ISNUMBER(SEARCH("CTO",C66))+ISNUMBER(SEARCH("Chief Operating",C66))+ISNUMBER(SEARCH("Chief Financial",C66))+ISNUMBER(SEARCH("Gerente General",C66))+ISNUMBER(SEARCH("General Manager",C66))&gt;0,'Configuración'!$B$34,'Configuración'!$B$35)))))</f>
        <v>12</v>
      </c>
      <c r="V66" s="38">
        <f>IF(B66="","",IF(K66="Sí",'Configuración'!$B$5,0)+IF(L66="Semanal",'Configuración'!$B$6,IF(L66="Mensual",'Configuración'!$B$7,0))+IF(M66="Sí",'Configuración'!$B$8,0)+IF(N66="Sí",'Configuración'!$B$9,0)+IF(O66="Sí",'Configuración'!$B$10,0)+IF(P66="Sí",'Configuración'!$B$11,0)+IF(Q66="Sí",'Configuración'!$B$12,0)+S66+T66+U66)</f>
        <v>28</v>
      </c>
      <c r="W66" s="39" t="str">
        <f>IF(B66="","",IF(V66&gt;='Configuración'!$B$19,"A",IF(V66&gt;='Configuración'!$B$20,"B",IF(V66&gt;='Configuración'!$B$21,"C","Descarte"))))</f>
        <v>C</v>
      </c>
    </row>
    <row r="67" ht="15.75" customHeight="1">
      <c r="A67" s="34">
        <f t="shared" si="1"/>
        <v>65</v>
      </c>
      <c r="B67" s="29" t="s">
        <v>549</v>
      </c>
      <c r="C67" s="29" t="s">
        <v>550</v>
      </c>
      <c r="D67" s="29" t="s">
        <v>551</v>
      </c>
      <c r="E67" s="29" t="s">
        <v>552</v>
      </c>
      <c r="F67" s="30" t="s">
        <v>553</v>
      </c>
      <c r="G67" s="30" t="s">
        <v>554</v>
      </c>
      <c r="H67" s="30" t="s">
        <v>555</v>
      </c>
      <c r="I67" s="29" t="s">
        <v>127</v>
      </c>
      <c r="J67" s="31">
        <v>7.0</v>
      </c>
      <c r="K67" s="36" t="s">
        <v>119</v>
      </c>
      <c r="L67" s="36" t="s">
        <v>118</v>
      </c>
      <c r="M67" s="36" t="s">
        <v>117</v>
      </c>
      <c r="N67" s="36" t="s">
        <v>119</v>
      </c>
      <c r="O67" s="36" t="s">
        <v>119</v>
      </c>
      <c r="P67" s="35"/>
      <c r="Q67" s="36" t="s">
        <v>119</v>
      </c>
      <c r="R67" s="36" t="s">
        <v>230</v>
      </c>
      <c r="S67" s="37">
        <f>IF(B67="","",IF(ISNUMBER(J67),IF(J67&lt;=10,'Configuración'!$B$23,IF(J67&lt;=50,'Configuración'!$B$24,IF(J67&lt;=200,'Configuración'!$B$25,0))),0))</f>
        <v>12</v>
      </c>
      <c r="T67" s="37">
        <f>IF(B67="","",IF(ISNUMBER(SEARCH("information technology",I67))+ISNUMBER(SEARCH("software",I67))+ISNUMBER(SEARCH("internet",I67))+ISNUMBER(SEARCH("computer",I67))+ISNUMBER(SEARCH("saas",I67))+ISNUMBER(SEARCH("fintech",I67))+ISNUMBER(SEARCH("information services",I67))+ISNUMBER(SEARCH("telecommunications",I67))&gt;0,'Configuración'!$B$27,'Configuración'!$B$28))</f>
        <v>12</v>
      </c>
      <c r="U67" s="25">
        <f>IF(B67="","",IF(ISNUMBER(SEARCH("CEO",C67))+ISNUMBER(SEARCH("Founder",C67))+ISNUMBER(SEARCH("Owner",C67))+ISNUMBER(SEARCH("Dueño",C67))+ISNUMBER(SEARCH("Director General",C67))+ISNUMBER(SEARCH("Presidente",C67))+ISNUMBER(SEARCH("President",C67))&gt;0,'Configuración'!$B$31,IF(ISNUMBER(SEARCH("CMO",C67))+ISNUMBER(SEARCH("Chief Marketing",C67))+ISNUMBER(SEARCH("VP Marketing",C67))+ISNUMBER(SEARCH("Director de Marketing",C67))+ISNUMBER(SEARCH("Director Marketing",C67))+ISNUMBER(SEARCH("Head of Marketing",C67))+ISNUMBER(SEARCH("Head Marketing",C67))&gt;0,'Configuración'!$B$32,IF(ISNUMBER(SEARCH("Marketing Manager",C67))+ISNUMBER(SEARCH("Gerente de Marketing",C67))+ISNUMBER(SEARCH("Growth Manager",C67))+ISNUMBER(SEARCH("Demand Gen",C67))+ISNUMBER(SEARCH("Marketing Lead",C67))&gt;0,'Configuración'!$B$33,IF(ISNUMBER(SEARCH("COO",C67))+ISNUMBER(SEARCH("CFO",C67))+ISNUMBER(SEARCH("CTO",C67))+ISNUMBER(SEARCH("Chief Operating",C67))+ISNUMBER(SEARCH("Chief Financial",C67))+ISNUMBER(SEARCH("Gerente General",C67))+ISNUMBER(SEARCH("General Manager",C67))&gt;0,'Configuración'!$B$34,'Configuración'!$B$35)))))</f>
        <v>12</v>
      </c>
      <c r="V67" s="38">
        <f>IF(B67="","",IF(K67="Sí",'Configuración'!$B$5,0)+IF(L67="Semanal",'Configuración'!$B$6,IF(L67="Mensual",'Configuración'!$B$7,0))+IF(M67="Sí",'Configuración'!$B$8,0)+IF(N67="Sí",'Configuración'!$B$9,0)+IF(O67="Sí",'Configuración'!$B$10,0)+IF(P67="Sí",'Configuración'!$B$11,0)+IF(Q67="Sí",'Configuración'!$B$12,0)+S67+T67+U67)</f>
        <v>60</v>
      </c>
      <c r="W67" s="39" t="str">
        <f>IF(B67="","",IF(V67&gt;='Configuración'!$B$19,"A",IF(V67&gt;='Configuración'!$B$20,"B",IF(V67&gt;='Configuración'!$B$21,"C","Descarte"))))</f>
        <v>A</v>
      </c>
    </row>
    <row r="68" ht="15.75" customHeight="1">
      <c r="A68" s="34">
        <f t="shared" si="1"/>
        <v>66</v>
      </c>
      <c r="B68" s="29" t="s">
        <v>556</v>
      </c>
      <c r="C68" s="29" t="s">
        <v>557</v>
      </c>
      <c r="D68" s="29" t="s">
        <v>558</v>
      </c>
      <c r="E68" s="29" t="s">
        <v>559</v>
      </c>
      <c r="F68" s="30" t="s">
        <v>560</v>
      </c>
      <c r="G68" s="30" t="s">
        <v>561</v>
      </c>
      <c r="H68" s="30" t="s">
        <v>562</v>
      </c>
      <c r="I68" s="29" t="s">
        <v>563</v>
      </c>
      <c r="J68" s="31">
        <v>3.0</v>
      </c>
      <c r="K68" s="36" t="s">
        <v>119</v>
      </c>
      <c r="L68" s="36" t="s">
        <v>118</v>
      </c>
      <c r="M68" s="36" t="s">
        <v>117</v>
      </c>
      <c r="N68" s="36" t="s">
        <v>119</v>
      </c>
      <c r="O68" s="36" t="s">
        <v>119</v>
      </c>
      <c r="P68" s="35"/>
      <c r="Q68" s="36" t="s">
        <v>119</v>
      </c>
      <c r="R68" s="35"/>
      <c r="S68" s="37">
        <f>IF(B68="","",IF(ISNUMBER(J68),IF(J68&lt;=10,'Configuración'!$B$23,IF(J68&lt;=50,'Configuración'!$B$24,IF(J68&lt;=200,'Configuración'!$B$25,0))),0))</f>
        <v>12</v>
      </c>
      <c r="T68" s="37">
        <f>IF(B68="","",IF(ISNUMBER(SEARCH("information technology",I68))+ISNUMBER(SEARCH("software",I68))+ISNUMBER(SEARCH("internet",I68))+ISNUMBER(SEARCH("computer",I68))+ISNUMBER(SEARCH("saas",I68))+ISNUMBER(SEARCH("fintech",I68))+ISNUMBER(SEARCH("information services",I68))+ISNUMBER(SEARCH("telecommunications",I68))&gt;0,'Configuración'!$B$27,'Configuración'!$B$28))</f>
        <v>4</v>
      </c>
      <c r="U68" s="25">
        <f>IF(B68="","",IF(ISNUMBER(SEARCH("CEO",C68))+ISNUMBER(SEARCH("Founder",C68))+ISNUMBER(SEARCH("Owner",C68))+ISNUMBER(SEARCH("Dueño",C68))+ISNUMBER(SEARCH("Director General",C68))+ISNUMBER(SEARCH("Presidente",C68))+ISNUMBER(SEARCH("President",C68))&gt;0,'Configuración'!$B$31,IF(ISNUMBER(SEARCH("CMO",C68))+ISNUMBER(SEARCH("Chief Marketing",C68))+ISNUMBER(SEARCH("VP Marketing",C68))+ISNUMBER(SEARCH("Director de Marketing",C68))+ISNUMBER(SEARCH("Director Marketing",C68))+ISNUMBER(SEARCH("Head of Marketing",C68))+ISNUMBER(SEARCH("Head Marketing",C68))&gt;0,'Configuración'!$B$32,IF(ISNUMBER(SEARCH("Marketing Manager",C68))+ISNUMBER(SEARCH("Gerente de Marketing",C68))+ISNUMBER(SEARCH("Growth Manager",C68))+ISNUMBER(SEARCH("Demand Gen",C68))+ISNUMBER(SEARCH("Marketing Lead",C68))&gt;0,'Configuración'!$B$33,IF(ISNUMBER(SEARCH("COO",C68))+ISNUMBER(SEARCH("CFO",C68))+ISNUMBER(SEARCH("CTO",C68))+ISNUMBER(SEARCH("Chief Operating",C68))+ISNUMBER(SEARCH("Chief Financial",C68))+ISNUMBER(SEARCH("Gerente General",C68))+ISNUMBER(SEARCH("General Manager",C68))&gt;0,'Configuración'!$B$34,'Configuración'!$B$35)))))</f>
        <v>12</v>
      </c>
      <c r="V68" s="38">
        <f>IF(B68="","",IF(K68="Sí",'Configuración'!$B$5,0)+IF(L68="Semanal",'Configuración'!$B$6,IF(L68="Mensual",'Configuración'!$B$7,0))+IF(M68="Sí",'Configuración'!$B$8,0)+IF(N68="Sí",'Configuración'!$B$9,0)+IF(O68="Sí",'Configuración'!$B$10,0)+IF(P68="Sí",'Configuración'!$B$11,0)+IF(Q68="Sí",'Configuración'!$B$12,0)+S68+T68+U68)</f>
        <v>52</v>
      </c>
      <c r="W68" s="39" t="str">
        <f>IF(B68="","",IF(V68&gt;='Configuración'!$B$19,"A",IF(V68&gt;='Configuración'!$B$20,"B",IF(V68&gt;='Configuración'!$B$21,"C","Descarte"))))</f>
        <v>B</v>
      </c>
    </row>
    <row r="69" ht="15.75" customHeight="1">
      <c r="A69" s="34">
        <f t="shared" si="1"/>
        <v>67</v>
      </c>
      <c r="B69" s="29" t="s">
        <v>564</v>
      </c>
      <c r="C69" s="29" t="s">
        <v>565</v>
      </c>
      <c r="D69" s="29" t="s">
        <v>566</v>
      </c>
      <c r="E69" s="29" t="s">
        <v>567</v>
      </c>
      <c r="F69" s="30" t="s">
        <v>568</v>
      </c>
      <c r="G69" s="30" t="s">
        <v>569</v>
      </c>
      <c r="H69" s="30" t="s">
        <v>570</v>
      </c>
      <c r="I69" s="29" t="s">
        <v>188</v>
      </c>
      <c r="J69" s="31">
        <v>8.0</v>
      </c>
      <c r="K69" s="36" t="s">
        <v>119</v>
      </c>
      <c r="L69" s="36" t="s">
        <v>128</v>
      </c>
      <c r="M69" s="36" t="s">
        <v>117</v>
      </c>
      <c r="N69" s="36" t="s">
        <v>119</v>
      </c>
      <c r="O69" s="36" t="s">
        <v>119</v>
      </c>
      <c r="P69" s="35"/>
      <c r="Q69" s="36" t="s">
        <v>119</v>
      </c>
      <c r="R69" s="35"/>
      <c r="S69" s="37">
        <f>IF(B69="","",IF(ISNUMBER(J69),IF(J69&lt;=10,'Configuración'!$B$23,IF(J69&lt;=50,'Configuración'!$B$24,IF(J69&lt;=200,'Configuración'!$B$25,0))),0))</f>
        <v>12</v>
      </c>
      <c r="T69" s="37">
        <f>IF(B69="","",IF(ISNUMBER(SEARCH("information technology",I69))+ISNUMBER(SEARCH("software",I69))+ISNUMBER(SEARCH("internet",I69))+ISNUMBER(SEARCH("computer",I69))+ISNUMBER(SEARCH("saas",I69))+ISNUMBER(SEARCH("fintech",I69))+ISNUMBER(SEARCH("information services",I69))+ISNUMBER(SEARCH("telecommunications",I69))&gt;0,'Configuración'!$B$27,'Configuración'!$B$28))</f>
        <v>4</v>
      </c>
      <c r="U69" s="25">
        <f>IF(B69="","",IF(ISNUMBER(SEARCH("CEO",C69))+ISNUMBER(SEARCH("Founder",C69))+ISNUMBER(SEARCH("Owner",C69))+ISNUMBER(SEARCH("Dueño",C69))+ISNUMBER(SEARCH("Director General",C69))+ISNUMBER(SEARCH("Presidente",C69))+ISNUMBER(SEARCH("President",C69))&gt;0,'Configuración'!$B$31,IF(ISNUMBER(SEARCH("CMO",C69))+ISNUMBER(SEARCH("Chief Marketing",C69))+ISNUMBER(SEARCH("VP Marketing",C69))+ISNUMBER(SEARCH("Director de Marketing",C69))+ISNUMBER(SEARCH("Director Marketing",C69))+ISNUMBER(SEARCH("Head of Marketing",C69))+ISNUMBER(SEARCH("Head Marketing",C69))&gt;0,'Configuración'!$B$32,IF(ISNUMBER(SEARCH("Marketing Manager",C69))+ISNUMBER(SEARCH("Gerente de Marketing",C69))+ISNUMBER(SEARCH("Growth Manager",C69))+ISNUMBER(SEARCH("Demand Gen",C69))+ISNUMBER(SEARCH("Marketing Lead",C69))&gt;0,'Configuración'!$B$33,IF(ISNUMBER(SEARCH("COO",C69))+ISNUMBER(SEARCH("CFO",C69))+ISNUMBER(SEARCH("CTO",C69))+ISNUMBER(SEARCH("Chief Operating",C69))+ISNUMBER(SEARCH("Chief Financial",C69))+ISNUMBER(SEARCH("Gerente General",C69))+ISNUMBER(SEARCH("General Manager",C69))&gt;0,'Configuración'!$B$34,'Configuración'!$B$35)))))</f>
        <v>12</v>
      </c>
      <c r="V69" s="38">
        <f>IF(B69="","",IF(K69="Sí",'Configuración'!$B$5,0)+IF(L69="Semanal",'Configuración'!$B$6,IF(L69="Mensual",'Configuración'!$B$7,0))+IF(M69="Sí",'Configuración'!$B$8,0)+IF(N69="Sí",'Configuración'!$B$9,0)+IF(O69="Sí",'Configuración'!$B$10,0)+IF(P69="Sí",'Configuración'!$B$11,0)+IF(Q69="Sí",'Configuración'!$B$12,0)+S69+T69+U69)</f>
        <v>40</v>
      </c>
      <c r="W69" s="39" t="str">
        <f>IF(B69="","",IF(V69&gt;='Configuración'!$B$19,"A",IF(V69&gt;='Configuración'!$B$20,"B",IF(V69&gt;='Configuración'!$B$21,"C","Descarte"))))</f>
        <v>B</v>
      </c>
    </row>
    <row r="70" ht="15.75" customHeight="1">
      <c r="A70" s="34">
        <f t="shared" si="1"/>
        <v>68</v>
      </c>
      <c r="B70" s="29" t="s">
        <v>571</v>
      </c>
      <c r="C70" s="29" t="s">
        <v>572</v>
      </c>
      <c r="D70" s="29" t="s">
        <v>573</v>
      </c>
      <c r="E70" s="29" t="s">
        <v>574</v>
      </c>
      <c r="F70" s="30" t="s">
        <v>575</v>
      </c>
      <c r="G70" s="30" t="s">
        <v>576</v>
      </c>
      <c r="H70" s="30" t="s">
        <v>577</v>
      </c>
      <c r="I70" s="29" t="s">
        <v>542</v>
      </c>
      <c r="J70" s="31">
        <v>16.0</v>
      </c>
      <c r="K70" s="36" t="s">
        <v>119</v>
      </c>
      <c r="L70" s="36" t="s">
        <v>128</v>
      </c>
      <c r="M70" s="36" t="s">
        <v>117</v>
      </c>
      <c r="N70" s="36" t="s">
        <v>119</v>
      </c>
      <c r="O70" s="36" t="s">
        <v>119</v>
      </c>
      <c r="P70" s="35"/>
      <c r="Q70" s="36" t="s">
        <v>119</v>
      </c>
      <c r="R70" s="35"/>
      <c r="S70" s="37">
        <f>IF(B70="","",IF(ISNUMBER(J70),IF(J70&lt;=10,'Configuración'!$B$23,IF(J70&lt;=50,'Configuración'!$B$24,IF(J70&lt;=200,'Configuración'!$B$25,0))),0))</f>
        <v>4</v>
      </c>
      <c r="T70" s="37">
        <f>IF(B70="","",IF(ISNUMBER(SEARCH("information technology",I70))+ISNUMBER(SEARCH("software",I70))+ISNUMBER(SEARCH("internet",I70))+ISNUMBER(SEARCH("computer",I70))+ISNUMBER(SEARCH("saas",I70))+ISNUMBER(SEARCH("fintech",I70))+ISNUMBER(SEARCH("information services",I70))+ISNUMBER(SEARCH("telecommunications",I70))&gt;0,'Configuración'!$B$27,'Configuración'!$B$28))</f>
        <v>4</v>
      </c>
      <c r="U70" s="25">
        <f>IF(B70="","",IF(ISNUMBER(SEARCH("CEO",C70))+ISNUMBER(SEARCH("Founder",C70))+ISNUMBER(SEARCH("Owner",C70))+ISNUMBER(SEARCH("Dueño",C70))+ISNUMBER(SEARCH("Director General",C70))+ISNUMBER(SEARCH("Presidente",C70))+ISNUMBER(SEARCH("President",C70))&gt;0,'Configuración'!$B$31,IF(ISNUMBER(SEARCH("CMO",C70))+ISNUMBER(SEARCH("Chief Marketing",C70))+ISNUMBER(SEARCH("VP Marketing",C70))+ISNUMBER(SEARCH("Director de Marketing",C70))+ISNUMBER(SEARCH("Director Marketing",C70))+ISNUMBER(SEARCH("Head of Marketing",C70))+ISNUMBER(SEARCH("Head Marketing",C70))&gt;0,'Configuración'!$B$32,IF(ISNUMBER(SEARCH("Marketing Manager",C70))+ISNUMBER(SEARCH("Gerente de Marketing",C70))+ISNUMBER(SEARCH("Growth Manager",C70))+ISNUMBER(SEARCH("Demand Gen",C70))+ISNUMBER(SEARCH("Marketing Lead",C70))&gt;0,'Configuración'!$B$33,IF(ISNUMBER(SEARCH("COO",C70))+ISNUMBER(SEARCH("CFO",C70))+ISNUMBER(SEARCH("CTO",C70))+ISNUMBER(SEARCH("Chief Operating",C70))+ISNUMBER(SEARCH("Chief Financial",C70))+ISNUMBER(SEARCH("Gerente General",C70))+ISNUMBER(SEARCH("General Manager",C70))&gt;0,'Configuración'!$B$34,'Configuración'!$B$35)))))</f>
        <v>12</v>
      </c>
      <c r="V70" s="38">
        <f>IF(B70="","",IF(K70="Sí",'Configuración'!$B$5,0)+IF(L70="Semanal",'Configuración'!$B$6,IF(L70="Mensual",'Configuración'!$B$7,0))+IF(M70="Sí",'Configuración'!$B$8,0)+IF(N70="Sí",'Configuración'!$B$9,0)+IF(O70="Sí",'Configuración'!$B$10,0)+IF(P70="Sí",'Configuración'!$B$11,0)+IF(Q70="Sí",'Configuración'!$B$12,0)+S70+T70+U70)</f>
        <v>32</v>
      </c>
      <c r="W70" s="39" t="str">
        <f>IF(B70="","",IF(V70&gt;='Configuración'!$B$19,"A",IF(V70&gt;='Configuración'!$B$20,"B",IF(V70&gt;='Configuración'!$B$21,"C","Descarte"))))</f>
        <v>C</v>
      </c>
    </row>
    <row r="71" ht="15.75" customHeight="1">
      <c r="A71" s="34">
        <f t="shared" si="1"/>
        <v>69</v>
      </c>
      <c r="B71" s="29" t="s">
        <v>578</v>
      </c>
      <c r="C71" s="29" t="s">
        <v>131</v>
      </c>
      <c r="D71" s="29" t="s">
        <v>579</v>
      </c>
      <c r="E71" s="29" t="s">
        <v>580</v>
      </c>
      <c r="F71" s="30" t="s">
        <v>581</v>
      </c>
      <c r="G71" s="30" t="s">
        <v>582</v>
      </c>
      <c r="H71" s="30" t="s">
        <v>583</v>
      </c>
      <c r="I71" s="29" t="s">
        <v>127</v>
      </c>
      <c r="J71" s="31">
        <v>7.0</v>
      </c>
      <c r="K71" s="36" t="s">
        <v>119</v>
      </c>
      <c r="L71" s="36" t="s">
        <v>128</v>
      </c>
      <c r="M71" s="36" t="s">
        <v>119</v>
      </c>
      <c r="N71" s="36" t="s">
        <v>119</v>
      </c>
      <c r="O71" s="36" t="s">
        <v>119</v>
      </c>
      <c r="P71" s="35"/>
      <c r="Q71" s="36" t="s">
        <v>119</v>
      </c>
      <c r="R71" s="36" t="s">
        <v>230</v>
      </c>
      <c r="S71" s="37">
        <f>IF(B71="","",IF(ISNUMBER(J71),IF(J71&lt;=10,'Configuración'!$B$23,IF(J71&lt;=50,'Configuración'!$B$24,IF(J71&lt;=200,'Configuración'!$B$25,0))),0))</f>
        <v>12</v>
      </c>
      <c r="T71" s="37">
        <f>IF(B71="","",IF(ISNUMBER(SEARCH("information technology",I71))+ISNUMBER(SEARCH("software",I71))+ISNUMBER(SEARCH("internet",I71))+ISNUMBER(SEARCH("computer",I71))+ISNUMBER(SEARCH("saas",I71))+ISNUMBER(SEARCH("fintech",I71))+ISNUMBER(SEARCH("information services",I71))+ISNUMBER(SEARCH("telecommunications",I71))&gt;0,'Configuración'!$B$27,'Configuración'!$B$28))</f>
        <v>12</v>
      </c>
      <c r="U71" s="25">
        <f>IF(B71="","",IF(ISNUMBER(SEARCH("CEO",C71))+ISNUMBER(SEARCH("Founder",C71))+ISNUMBER(SEARCH("Owner",C71))+ISNUMBER(SEARCH("Dueño",C71))+ISNUMBER(SEARCH("Director General",C71))+ISNUMBER(SEARCH("Presidente",C71))+ISNUMBER(SEARCH("President",C71))&gt;0,'Configuración'!$B$31,IF(ISNUMBER(SEARCH("CMO",C71))+ISNUMBER(SEARCH("Chief Marketing",C71))+ISNUMBER(SEARCH("VP Marketing",C71))+ISNUMBER(SEARCH("Director de Marketing",C71))+ISNUMBER(SEARCH("Director Marketing",C71))+ISNUMBER(SEARCH("Head of Marketing",C71))+ISNUMBER(SEARCH("Head Marketing",C71))&gt;0,'Configuración'!$B$32,IF(ISNUMBER(SEARCH("Marketing Manager",C71))+ISNUMBER(SEARCH("Gerente de Marketing",C71))+ISNUMBER(SEARCH("Growth Manager",C71))+ISNUMBER(SEARCH("Demand Gen",C71))+ISNUMBER(SEARCH("Marketing Lead",C71))&gt;0,'Configuración'!$B$33,IF(ISNUMBER(SEARCH("COO",C71))+ISNUMBER(SEARCH("CFO",C71))+ISNUMBER(SEARCH("CTO",C71))+ISNUMBER(SEARCH("Chief Operating",C71))+ISNUMBER(SEARCH("Chief Financial",C71))+ISNUMBER(SEARCH("Gerente General",C71))+ISNUMBER(SEARCH("General Manager",C71))&gt;0,'Configuración'!$B$34,'Configuración'!$B$35)))))</f>
        <v>12</v>
      </c>
      <c r="V71" s="38">
        <f>IF(B71="","",IF(K71="Sí",'Configuración'!$B$5,0)+IF(L71="Semanal",'Configuración'!$B$6,IF(L71="Mensual",'Configuración'!$B$7,0))+IF(M71="Sí",'Configuración'!$B$8,0)+IF(N71="Sí",'Configuración'!$B$9,0)+IF(O71="Sí",'Configuración'!$B$10,0)+IF(P71="Sí",'Configuración'!$B$11,0)+IF(Q71="Sí",'Configuración'!$B$12,0)+S71+T71+U71)</f>
        <v>36</v>
      </c>
      <c r="W71" s="39" t="str">
        <f>IF(B71="","",IF(V71&gt;='Configuración'!$B$19,"A",IF(V71&gt;='Configuración'!$B$20,"B",IF(V71&gt;='Configuración'!$B$21,"C","Descarte"))))</f>
        <v>C</v>
      </c>
    </row>
    <row r="72" ht="15.75" customHeight="1">
      <c r="A72" s="34">
        <f t="shared" si="1"/>
        <v>70</v>
      </c>
      <c r="B72" s="29" t="s">
        <v>584</v>
      </c>
      <c r="C72" s="29" t="s">
        <v>585</v>
      </c>
      <c r="D72" s="29" t="s">
        <v>586</v>
      </c>
      <c r="E72" s="29" t="s">
        <v>587</v>
      </c>
      <c r="F72" s="30" t="s">
        <v>588</v>
      </c>
      <c r="G72" s="30" t="s">
        <v>589</v>
      </c>
      <c r="H72" s="30" t="s">
        <v>590</v>
      </c>
      <c r="I72" s="29" t="s">
        <v>137</v>
      </c>
      <c r="J72" s="31">
        <v>4.0</v>
      </c>
      <c r="K72" s="36" t="s">
        <v>119</v>
      </c>
      <c r="L72" s="36" t="s">
        <v>118</v>
      </c>
      <c r="M72" s="36" t="s">
        <v>117</v>
      </c>
      <c r="N72" s="36" t="s">
        <v>119</v>
      </c>
      <c r="O72" s="36" t="s">
        <v>119</v>
      </c>
      <c r="P72" s="35"/>
      <c r="Q72" s="36" t="s">
        <v>119</v>
      </c>
      <c r="R72" s="35"/>
      <c r="S72" s="37">
        <f>IF(B72="","",IF(ISNUMBER(J72),IF(J72&lt;=10,'Configuración'!$B$23,IF(J72&lt;=50,'Configuración'!$B$24,IF(J72&lt;=200,'Configuración'!$B$25,0))),0))</f>
        <v>12</v>
      </c>
      <c r="T72" s="37">
        <f>IF(B72="","",IF(ISNUMBER(SEARCH("information technology",I72))+ISNUMBER(SEARCH("software",I72))+ISNUMBER(SEARCH("internet",I72))+ISNUMBER(SEARCH("computer",I72))+ISNUMBER(SEARCH("saas",I72))+ISNUMBER(SEARCH("fintech",I72))+ISNUMBER(SEARCH("information services",I72))+ISNUMBER(SEARCH("telecommunications",I72))&gt;0,'Configuración'!$B$27,'Configuración'!$B$28))</f>
        <v>4</v>
      </c>
      <c r="U72" s="25">
        <f>IF(B72="","",IF(ISNUMBER(SEARCH("CEO",C72))+ISNUMBER(SEARCH("Founder",C72))+ISNUMBER(SEARCH("Owner",C72))+ISNUMBER(SEARCH("Dueño",C72))+ISNUMBER(SEARCH("Director General",C72))+ISNUMBER(SEARCH("Presidente",C72))+ISNUMBER(SEARCH("President",C72))&gt;0,'Configuración'!$B$31,IF(ISNUMBER(SEARCH("CMO",C72))+ISNUMBER(SEARCH("Chief Marketing",C72))+ISNUMBER(SEARCH("VP Marketing",C72))+ISNUMBER(SEARCH("Director de Marketing",C72))+ISNUMBER(SEARCH("Director Marketing",C72))+ISNUMBER(SEARCH("Head of Marketing",C72))+ISNUMBER(SEARCH("Head Marketing",C72))&gt;0,'Configuración'!$B$32,IF(ISNUMBER(SEARCH("Marketing Manager",C72))+ISNUMBER(SEARCH("Gerente de Marketing",C72))+ISNUMBER(SEARCH("Growth Manager",C72))+ISNUMBER(SEARCH("Demand Gen",C72))+ISNUMBER(SEARCH("Marketing Lead",C72))&gt;0,'Configuración'!$B$33,IF(ISNUMBER(SEARCH("COO",C72))+ISNUMBER(SEARCH("CFO",C72))+ISNUMBER(SEARCH("CTO",C72))+ISNUMBER(SEARCH("Chief Operating",C72))+ISNUMBER(SEARCH("Chief Financial",C72))+ISNUMBER(SEARCH("Gerente General",C72))+ISNUMBER(SEARCH("General Manager",C72))&gt;0,'Configuración'!$B$34,'Configuración'!$B$35)))))</f>
        <v>12</v>
      </c>
      <c r="V72" s="38">
        <f>IF(B72="","",IF(K72="Sí",'Configuración'!$B$5,0)+IF(L72="Semanal",'Configuración'!$B$6,IF(L72="Mensual",'Configuración'!$B$7,0))+IF(M72="Sí",'Configuración'!$B$8,0)+IF(N72="Sí",'Configuración'!$B$9,0)+IF(O72="Sí",'Configuración'!$B$10,0)+IF(P72="Sí",'Configuración'!$B$11,0)+IF(Q72="Sí",'Configuración'!$B$12,0)+S72+T72+U72)</f>
        <v>52</v>
      </c>
      <c r="W72" s="39" t="str">
        <f>IF(B72="","",IF(V72&gt;='Configuración'!$B$19,"A",IF(V72&gt;='Configuración'!$B$20,"B",IF(V72&gt;='Configuración'!$B$21,"C","Descarte"))))</f>
        <v>B</v>
      </c>
    </row>
    <row r="73" ht="15.75" customHeight="1">
      <c r="A73" s="34">
        <f t="shared" si="1"/>
        <v>71</v>
      </c>
      <c r="B73" s="29" t="s">
        <v>536</v>
      </c>
      <c r="C73" s="29" t="s">
        <v>591</v>
      </c>
      <c r="D73" s="29" t="s">
        <v>592</v>
      </c>
      <c r="E73" s="29" t="s">
        <v>593</v>
      </c>
      <c r="F73" s="30" t="s">
        <v>594</v>
      </c>
      <c r="G73" s="30" t="s">
        <v>595</v>
      </c>
      <c r="H73" s="30" t="s">
        <v>596</v>
      </c>
      <c r="I73" s="29" t="s">
        <v>158</v>
      </c>
      <c r="J73" s="31">
        <v>8.0</v>
      </c>
      <c r="K73" s="36" t="s">
        <v>119</v>
      </c>
      <c r="L73" s="36" t="s">
        <v>118</v>
      </c>
      <c r="M73" s="36" t="s">
        <v>117</v>
      </c>
      <c r="N73" s="36" t="s">
        <v>117</v>
      </c>
      <c r="O73" s="36" t="s">
        <v>119</v>
      </c>
      <c r="P73" s="35"/>
      <c r="Q73" s="36" t="s">
        <v>119</v>
      </c>
      <c r="R73" s="36"/>
      <c r="S73" s="37">
        <f>IF(B73="","",IF(ISNUMBER(J73),IF(J73&lt;=10,'Configuración'!$B$23,IF(J73&lt;=50,'Configuración'!$B$24,IF(J73&lt;=200,'Configuración'!$B$25,0))),0))</f>
        <v>12</v>
      </c>
      <c r="T73" s="37">
        <f>IF(B73="","",IF(ISNUMBER(SEARCH("information technology",I73))+ISNUMBER(SEARCH("software",I73))+ISNUMBER(SEARCH("internet",I73))+ISNUMBER(SEARCH("computer",I73))+ISNUMBER(SEARCH("saas",I73))+ISNUMBER(SEARCH("fintech",I73))+ISNUMBER(SEARCH("information services",I73))+ISNUMBER(SEARCH("telecommunications",I73))&gt;0,'Configuración'!$B$27,'Configuración'!$B$28))</f>
        <v>4</v>
      </c>
      <c r="U73" s="25">
        <f>IF(B73="","",IF(ISNUMBER(SEARCH("CEO",C73))+ISNUMBER(SEARCH("Founder",C73))+ISNUMBER(SEARCH("Owner",C73))+ISNUMBER(SEARCH("Dueño",C73))+ISNUMBER(SEARCH("Director General",C73))+ISNUMBER(SEARCH("Presidente",C73))+ISNUMBER(SEARCH("President",C73))&gt;0,'Configuración'!$B$31,IF(ISNUMBER(SEARCH("CMO",C73))+ISNUMBER(SEARCH("Chief Marketing",C73))+ISNUMBER(SEARCH("VP Marketing",C73))+ISNUMBER(SEARCH("Director de Marketing",C73))+ISNUMBER(SEARCH("Director Marketing",C73))+ISNUMBER(SEARCH("Head of Marketing",C73))+ISNUMBER(SEARCH("Head Marketing",C73))&gt;0,'Configuración'!$B$32,IF(ISNUMBER(SEARCH("Marketing Manager",C73))+ISNUMBER(SEARCH("Gerente de Marketing",C73))+ISNUMBER(SEARCH("Growth Manager",C73))+ISNUMBER(SEARCH("Demand Gen",C73))+ISNUMBER(SEARCH("Marketing Lead",C73))&gt;0,'Configuración'!$B$33,IF(ISNUMBER(SEARCH("COO",C73))+ISNUMBER(SEARCH("CFO",C73))+ISNUMBER(SEARCH("CTO",C73))+ISNUMBER(SEARCH("Chief Operating",C73))+ISNUMBER(SEARCH("Chief Financial",C73))+ISNUMBER(SEARCH("Gerente General",C73))+ISNUMBER(SEARCH("General Manager",C73))&gt;0,'Configuración'!$B$34,'Configuración'!$B$35)))))</f>
        <v>12</v>
      </c>
      <c r="V73" s="38">
        <f>IF(B73="","",IF(K73="Sí",'Configuración'!$B$5,0)+IF(L73="Semanal",'Configuración'!$B$6,IF(L73="Mensual",'Configuración'!$B$7,0))+IF(M73="Sí",'Configuración'!$B$8,0)+IF(N73="Sí",'Configuración'!$B$9,0)+IF(O73="Sí",'Configuración'!$B$10,0)+IF(P73="Sí",'Configuración'!$B$11,0)+IF(Q73="Sí",'Configuración'!$B$12,0)+S73+T73+U73)</f>
        <v>56</v>
      </c>
      <c r="W73" s="39" t="str">
        <f>IF(B73="","",IF(V73&gt;='Configuración'!$B$19,"A",IF(V73&gt;='Configuración'!$B$20,"B",IF(V73&gt;='Configuración'!$B$21,"C","Descarte"))))</f>
        <v>B</v>
      </c>
    </row>
    <row r="74" ht="15.75" customHeight="1">
      <c r="A74" s="34">
        <f t="shared" si="1"/>
        <v>72</v>
      </c>
      <c r="B74" s="29" t="s">
        <v>174</v>
      </c>
      <c r="C74" s="29" t="s">
        <v>597</v>
      </c>
      <c r="D74" s="29" t="s">
        <v>598</v>
      </c>
      <c r="E74" s="29" t="s">
        <v>599</v>
      </c>
      <c r="F74" s="30" t="s">
        <v>600</v>
      </c>
      <c r="G74" s="30" t="s">
        <v>601</v>
      </c>
      <c r="H74" s="30" t="s">
        <v>602</v>
      </c>
      <c r="I74" s="29" t="s">
        <v>127</v>
      </c>
      <c r="J74" s="31">
        <v>2.0</v>
      </c>
      <c r="K74" s="36" t="s">
        <v>119</v>
      </c>
      <c r="L74" s="36" t="s">
        <v>128</v>
      </c>
      <c r="M74" s="36" t="s">
        <v>117</v>
      </c>
      <c r="N74" s="36" t="s">
        <v>119</v>
      </c>
      <c r="O74" s="36" t="s">
        <v>119</v>
      </c>
      <c r="P74" s="35"/>
      <c r="Q74" s="36" t="s">
        <v>119</v>
      </c>
      <c r="R74" s="36" t="s">
        <v>230</v>
      </c>
      <c r="S74" s="37">
        <f>IF(B74="","",IF(ISNUMBER(J74),IF(J74&lt;=10,'Configuración'!$B$23,IF(J74&lt;=50,'Configuración'!$B$24,IF(J74&lt;=200,'Configuración'!$B$25,0))),0))</f>
        <v>12</v>
      </c>
      <c r="T74" s="37">
        <f>IF(B74="","",IF(ISNUMBER(SEARCH("information technology",I74))+ISNUMBER(SEARCH("software",I74))+ISNUMBER(SEARCH("internet",I74))+ISNUMBER(SEARCH("computer",I74))+ISNUMBER(SEARCH("saas",I74))+ISNUMBER(SEARCH("fintech",I74))+ISNUMBER(SEARCH("information services",I74))+ISNUMBER(SEARCH("telecommunications",I74))&gt;0,'Configuración'!$B$27,'Configuración'!$B$28))</f>
        <v>12</v>
      </c>
      <c r="U74" s="25">
        <f>IF(B74="","",IF(ISNUMBER(SEARCH("CEO",C74))+ISNUMBER(SEARCH("Founder",C74))+ISNUMBER(SEARCH("Owner",C74))+ISNUMBER(SEARCH("Dueño",C74))+ISNUMBER(SEARCH("Director General",C74))+ISNUMBER(SEARCH("Presidente",C74))+ISNUMBER(SEARCH("President",C74))&gt;0,'Configuración'!$B$31,IF(ISNUMBER(SEARCH("CMO",C74))+ISNUMBER(SEARCH("Chief Marketing",C74))+ISNUMBER(SEARCH("VP Marketing",C74))+ISNUMBER(SEARCH("Director de Marketing",C74))+ISNUMBER(SEARCH("Director Marketing",C74))+ISNUMBER(SEARCH("Head of Marketing",C74))+ISNUMBER(SEARCH("Head Marketing",C74))&gt;0,'Configuración'!$B$32,IF(ISNUMBER(SEARCH("Marketing Manager",C74))+ISNUMBER(SEARCH("Gerente de Marketing",C74))+ISNUMBER(SEARCH("Growth Manager",C74))+ISNUMBER(SEARCH("Demand Gen",C74))+ISNUMBER(SEARCH("Marketing Lead",C74))&gt;0,'Configuración'!$B$33,IF(ISNUMBER(SEARCH("COO",C74))+ISNUMBER(SEARCH("CFO",C74))+ISNUMBER(SEARCH("CTO",C74))+ISNUMBER(SEARCH("Chief Operating",C74))+ISNUMBER(SEARCH("Chief Financial",C74))+ISNUMBER(SEARCH("Gerente General",C74))+ISNUMBER(SEARCH("General Manager",C74))&gt;0,'Configuración'!$B$34,'Configuración'!$B$35)))))</f>
        <v>12</v>
      </c>
      <c r="V74" s="38">
        <f>IF(B74="","",IF(K74="Sí",'Configuración'!$B$5,0)+IF(L74="Semanal",'Configuración'!$B$6,IF(L74="Mensual",'Configuración'!$B$7,0))+IF(M74="Sí",'Configuración'!$B$8,0)+IF(N74="Sí",'Configuración'!$B$9,0)+IF(O74="Sí",'Configuración'!$B$10,0)+IF(P74="Sí",'Configuración'!$B$11,0)+IF(Q74="Sí",'Configuración'!$B$12,0)+S74+T74+U74)</f>
        <v>48</v>
      </c>
      <c r="W74" s="39" t="str">
        <f>IF(B74="","",IF(V74&gt;='Configuración'!$B$19,"A",IF(V74&gt;='Configuración'!$B$20,"B",IF(V74&gt;='Configuración'!$B$21,"C","Descarte"))))</f>
        <v>B</v>
      </c>
    </row>
    <row r="75" ht="15.75" customHeight="1">
      <c r="A75" s="34">
        <f t="shared" si="1"/>
        <v>73</v>
      </c>
      <c r="B75" s="29" t="s">
        <v>603</v>
      </c>
      <c r="C75" s="29" t="s">
        <v>604</v>
      </c>
      <c r="D75" s="29" t="s">
        <v>605</v>
      </c>
      <c r="E75" s="29" t="s">
        <v>606</v>
      </c>
      <c r="F75" s="30" t="s">
        <v>607</v>
      </c>
      <c r="G75" s="30" t="s">
        <v>608</v>
      </c>
      <c r="H75" s="30" t="s">
        <v>609</v>
      </c>
      <c r="I75" s="29" t="s">
        <v>428</v>
      </c>
      <c r="J75" s="31">
        <v>7.0</v>
      </c>
      <c r="K75" s="36" t="s">
        <v>119</v>
      </c>
      <c r="L75" s="36" t="s">
        <v>128</v>
      </c>
      <c r="M75" s="36" t="s">
        <v>119</v>
      </c>
      <c r="N75" s="36" t="s">
        <v>119</v>
      </c>
      <c r="O75" s="36" t="s">
        <v>119</v>
      </c>
      <c r="P75" s="35"/>
      <c r="Q75" s="36" t="s">
        <v>119</v>
      </c>
      <c r="R75" s="35"/>
      <c r="S75" s="37">
        <f>IF(B75="","",IF(ISNUMBER(J75),IF(J75&lt;=10,'Configuración'!$B$23,IF(J75&lt;=50,'Configuración'!$B$24,IF(J75&lt;=200,'Configuración'!$B$25,0))),0))</f>
        <v>12</v>
      </c>
      <c r="T75" s="37">
        <f>IF(B75="","",IF(ISNUMBER(SEARCH("information technology",I75))+ISNUMBER(SEARCH("software",I75))+ISNUMBER(SEARCH("internet",I75))+ISNUMBER(SEARCH("computer",I75))+ISNUMBER(SEARCH("saas",I75))+ISNUMBER(SEARCH("fintech",I75))+ISNUMBER(SEARCH("information services",I75))+ISNUMBER(SEARCH("telecommunications",I75))&gt;0,'Configuración'!$B$27,'Configuración'!$B$28))</f>
        <v>12</v>
      </c>
      <c r="U75" s="25">
        <f>IF(B75="","",IF(ISNUMBER(SEARCH("CEO",C75))+ISNUMBER(SEARCH("Founder",C75))+ISNUMBER(SEARCH("Owner",C75))+ISNUMBER(SEARCH("Dueño",C75))+ISNUMBER(SEARCH("Director General",C75))+ISNUMBER(SEARCH("Presidente",C75))+ISNUMBER(SEARCH("President",C75))&gt;0,'Configuración'!$B$31,IF(ISNUMBER(SEARCH("CMO",C75))+ISNUMBER(SEARCH("Chief Marketing",C75))+ISNUMBER(SEARCH("VP Marketing",C75))+ISNUMBER(SEARCH("Director de Marketing",C75))+ISNUMBER(SEARCH("Director Marketing",C75))+ISNUMBER(SEARCH("Head of Marketing",C75))+ISNUMBER(SEARCH("Head Marketing",C75))&gt;0,'Configuración'!$B$32,IF(ISNUMBER(SEARCH("Marketing Manager",C75))+ISNUMBER(SEARCH("Gerente de Marketing",C75))+ISNUMBER(SEARCH("Growth Manager",C75))+ISNUMBER(SEARCH("Demand Gen",C75))+ISNUMBER(SEARCH("Marketing Lead",C75))&gt;0,'Configuración'!$B$33,IF(ISNUMBER(SEARCH("COO",C75))+ISNUMBER(SEARCH("CFO",C75))+ISNUMBER(SEARCH("CTO",C75))+ISNUMBER(SEARCH("Chief Operating",C75))+ISNUMBER(SEARCH("Chief Financial",C75))+ISNUMBER(SEARCH("Gerente General",C75))+ISNUMBER(SEARCH("General Manager",C75))&gt;0,'Configuración'!$B$34,'Configuración'!$B$35)))))</f>
        <v>12</v>
      </c>
      <c r="V75" s="38">
        <f>IF(B75="","",IF(K75="Sí",'Configuración'!$B$5,0)+IF(L75="Semanal",'Configuración'!$B$6,IF(L75="Mensual",'Configuración'!$B$7,0))+IF(M75="Sí",'Configuración'!$B$8,0)+IF(N75="Sí",'Configuración'!$B$9,0)+IF(O75="Sí",'Configuración'!$B$10,0)+IF(P75="Sí",'Configuración'!$B$11,0)+IF(Q75="Sí",'Configuración'!$B$12,0)+S75+T75+U75)</f>
        <v>36</v>
      </c>
      <c r="W75" s="39" t="str">
        <f>IF(B75="","",IF(V75&gt;='Configuración'!$B$19,"A",IF(V75&gt;='Configuración'!$B$20,"B",IF(V75&gt;='Configuración'!$B$21,"C","Descarte"))))</f>
        <v>C</v>
      </c>
    </row>
    <row r="76" ht="15.75" customHeight="1">
      <c r="A76" s="34">
        <f t="shared" si="1"/>
        <v>74</v>
      </c>
      <c r="B76" s="29" t="s">
        <v>610</v>
      </c>
      <c r="C76" s="29" t="s">
        <v>175</v>
      </c>
      <c r="D76" s="29" t="s">
        <v>611</v>
      </c>
      <c r="E76" s="29" t="s">
        <v>612</v>
      </c>
      <c r="F76" s="30" t="s">
        <v>613</v>
      </c>
      <c r="G76" s="30" t="s">
        <v>614</v>
      </c>
      <c r="H76" s="30" t="s">
        <v>615</v>
      </c>
      <c r="I76" s="29" t="s">
        <v>616</v>
      </c>
      <c r="J76" s="31">
        <v>4.0</v>
      </c>
      <c r="K76" s="36" t="s">
        <v>119</v>
      </c>
      <c r="L76" s="36" t="s">
        <v>128</v>
      </c>
      <c r="M76" s="36" t="s">
        <v>117</v>
      </c>
      <c r="N76" s="36" t="s">
        <v>119</v>
      </c>
      <c r="O76" s="36" t="s">
        <v>119</v>
      </c>
      <c r="P76" s="35"/>
      <c r="Q76" s="36" t="s">
        <v>119</v>
      </c>
      <c r="R76" s="35"/>
      <c r="S76" s="37">
        <f>IF(B76="","",IF(ISNUMBER(J76),IF(J76&lt;=10,'Configuración'!$B$23,IF(J76&lt;=50,'Configuración'!$B$24,IF(J76&lt;=200,'Configuración'!$B$25,0))),0))</f>
        <v>12</v>
      </c>
      <c r="T76" s="37">
        <f>IF(B76="","",IF(ISNUMBER(SEARCH("information technology",I76))+ISNUMBER(SEARCH("software",I76))+ISNUMBER(SEARCH("internet",I76))+ISNUMBER(SEARCH("computer",I76))+ISNUMBER(SEARCH("saas",I76))+ISNUMBER(SEARCH("fintech",I76))+ISNUMBER(SEARCH("information services",I76))+ISNUMBER(SEARCH("telecommunications",I76))&gt;0,'Configuración'!$B$27,'Configuración'!$B$28))</f>
        <v>4</v>
      </c>
      <c r="U76" s="25">
        <f>IF(B76="","",IF(ISNUMBER(SEARCH("CEO",C76))+ISNUMBER(SEARCH("Founder",C76))+ISNUMBER(SEARCH("Owner",C76))+ISNUMBER(SEARCH("Dueño",C76))+ISNUMBER(SEARCH("Director General",C76))+ISNUMBER(SEARCH("Presidente",C76))+ISNUMBER(SEARCH("President",C76))&gt;0,'Configuración'!$B$31,IF(ISNUMBER(SEARCH("CMO",C76))+ISNUMBER(SEARCH("Chief Marketing",C76))+ISNUMBER(SEARCH("VP Marketing",C76))+ISNUMBER(SEARCH("Director de Marketing",C76))+ISNUMBER(SEARCH("Director Marketing",C76))+ISNUMBER(SEARCH("Head of Marketing",C76))+ISNUMBER(SEARCH("Head Marketing",C76))&gt;0,'Configuración'!$B$32,IF(ISNUMBER(SEARCH("Marketing Manager",C76))+ISNUMBER(SEARCH("Gerente de Marketing",C76))+ISNUMBER(SEARCH("Growth Manager",C76))+ISNUMBER(SEARCH("Demand Gen",C76))+ISNUMBER(SEARCH("Marketing Lead",C76))&gt;0,'Configuración'!$B$33,IF(ISNUMBER(SEARCH("COO",C76))+ISNUMBER(SEARCH("CFO",C76))+ISNUMBER(SEARCH("CTO",C76))+ISNUMBER(SEARCH("Chief Operating",C76))+ISNUMBER(SEARCH("Chief Financial",C76))+ISNUMBER(SEARCH("Gerente General",C76))+ISNUMBER(SEARCH("General Manager",C76))&gt;0,'Configuración'!$B$34,'Configuración'!$B$35)))))</f>
        <v>12</v>
      </c>
      <c r="V76" s="38">
        <f>IF(B76="","",IF(K76="Sí",'Configuración'!$B$5,0)+IF(L76="Semanal",'Configuración'!$B$6,IF(L76="Mensual",'Configuración'!$B$7,0))+IF(M76="Sí",'Configuración'!$B$8,0)+IF(N76="Sí",'Configuración'!$B$9,0)+IF(O76="Sí",'Configuración'!$B$10,0)+IF(P76="Sí",'Configuración'!$B$11,0)+IF(Q76="Sí",'Configuración'!$B$12,0)+S76+T76+U76)</f>
        <v>40</v>
      </c>
      <c r="W76" s="39" t="str">
        <f>IF(B76="","",IF(V76&gt;='Configuración'!$B$19,"A",IF(V76&gt;='Configuración'!$B$20,"B",IF(V76&gt;='Configuración'!$B$21,"C","Descarte"))))</f>
        <v>B</v>
      </c>
    </row>
    <row r="77" ht="15.75" customHeight="1">
      <c r="A77" s="34">
        <f t="shared" si="1"/>
        <v>75</v>
      </c>
      <c r="B77" s="29" t="s">
        <v>296</v>
      </c>
      <c r="C77" s="29" t="s">
        <v>131</v>
      </c>
      <c r="D77" s="29" t="s">
        <v>617</v>
      </c>
      <c r="E77" s="29" t="s">
        <v>618</v>
      </c>
      <c r="F77" s="30" t="s">
        <v>619</v>
      </c>
      <c r="G77" s="30" t="s">
        <v>620</v>
      </c>
      <c r="H77" s="30" t="s">
        <v>621</v>
      </c>
      <c r="I77" s="29" t="s">
        <v>127</v>
      </c>
      <c r="J77" s="31">
        <v>2.0</v>
      </c>
      <c r="K77" s="36" t="s">
        <v>119</v>
      </c>
      <c r="L77" s="36" t="s">
        <v>128</v>
      </c>
      <c r="M77" s="36" t="s">
        <v>119</v>
      </c>
      <c r="N77" s="36" t="s">
        <v>117</v>
      </c>
      <c r="O77" s="36" t="s">
        <v>119</v>
      </c>
      <c r="P77" s="35"/>
      <c r="Q77" s="36" t="s">
        <v>117</v>
      </c>
      <c r="R77" s="36" t="s">
        <v>230</v>
      </c>
      <c r="S77" s="37">
        <f>IF(B77="","",IF(ISNUMBER(J77),IF(J77&lt;=10,'Configuración'!$B$23,IF(J77&lt;=50,'Configuración'!$B$24,IF(J77&lt;=200,'Configuración'!$B$25,0))),0))</f>
        <v>12</v>
      </c>
      <c r="T77" s="37">
        <f>IF(B77="","",IF(ISNUMBER(SEARCH("information technology",I77))+ISNUMBER(SEARCH("software",I77))+ISNUMBER(SEARCH("internet",I77))+ISNUMBER(SEARCH("computer",I77))+ISNUMBER(SEARCH("saas",I77))+ISNUMBER(SEARCH("fintech",I77))+ISNUMBER(SEARCH("information services",I77))+ISNUMBER(SEARCH("telecommunications",I77))&gt;0,'Configuración'!$B$27,'Configuración'!$B$28))</f>
        <v>12</v>
      </c>
      <c r="U77" s="25">
        <f>IF(B77="","",IF(ISNUMBER(SEARCH("CEO",C77))+ISNUMBER(SEARCH("Founder",C77))+ISNUMBER(SEARCH("Owner",C77))+ISNUMBER(SEARCH("Dueño",C77))+ISNUMBER(SEARCH("Director General",C77))+ISNUMBER(SEARCH("Presidente",C77))+ISNUMBER(SEARCH("President",C77))&gt;0,'Configuración'!$B$31,IF(ISNUMBER(SEARCH("CMO",C77))+ISNUMBER(SEARCH("Chief Marketing",C77))+ISNUMBER(SEARCH("VP Marketing",C77))+ISNUMBER(SEARCH("Director de Marketing",C77))+ISNUMBER(SEARCH("Director Marketing",C77))+ISNUMBER(SEARCH("Head of Marketing",C77))+ISNUMBER(SEARCH("Head Marketing",C77))&gt;0,'Configuración'!$B$32,IF(ISNUMBER(SEARCH("Marketing Manager",C77))+ISNUMBER(SEARCH("Gerente de Marketing",C77))+ISNUMBER(SEARCH("Growth Manager",C77))+ISNUMBER(SEARCH("Demand Gen",C77))+ISNUMBER(SEARCH("Marketing Lead",C77))&gt;0,'Configuración'!$B$33,IF(ISNUMBER(SEARCH("COO",C77))+ISNUMBER(SEARCH("CFO",C77))+ISNUMBER(SEARCH("CTO",C77))+ISNUMBER(SEARCH("Chief Operating",C77))+ISNUMBER(SEARCH("Chief Financial",C77))+ISNUMBER(SEARCH("Gerente General",C77))+ISNUMBER(SEARCH("General Manager",C77))&gt;0,'Configuración'!$B$34,'Configuración'!$B$35)))))</f>
        <v>12</v>
      </c>
      <c r="V77" s="38">
        <f>IF(B77="","",IF(K77="Sí",'Configuración'!$B$5,0)+IF(L77="Semanal",'Configuración'!$B$6,IF(L77="Mensual",'Configuración'!$B$7,0))+IF(M77="Sí",'Configuración'!$B$8,0)+IF(N77="Sí",'Configuración'!$B$9,0)+IF(O77="Sí",'Configuración'!$B$10,0)+IF(P77="Sí",'Configuración'!$B$11,0)+IF(Q77="Sí",'Configuración'!$B$12,0)+S77+T77+U77)</f>
        <v>48</v>
      </c>
      <c r="W77" s="39" t="str">
        <f>IF(B77="","",IF(V77&gt;='Configuración'!$B$19,"A",IF(V77&gt;='Configuración'!$B$20,"B",IF(V77&gt;='Configuración'!$B$21,"C","Descarte"))))</f>
        <v>B</v>
      </c>
    </row>
    <row r="78" ht="15.75" customHeight="1">
      <c r="A78" s="34">
        <f t="shared" si="1"/>
        <v>76</v>
      </c>
      <c r="B78" s="29" t="s">
        <v>120</v>
      </c>
      <c r="C78" s="29" t="s">
        <v>622</v>
      </c>
      <c r="D78" s="29" t="s">
        <v>623</v>
      </c>
      <c r="E78" s="29" t="s">
        <v>624</v>
      </c>
      <c r="F78" s="30" t="s">
        <v>625</v>
      </c>
      <c r="G78" s="30" t="s">
        <v>626</v>
      </c>
      <c r="H78" s="30" t="s">
        <v>627</v>
      </c>
      <c r="I78" s="29" t="s">
        <v>628</v>
      </c>
      <c r="J78" s="31">
        <v>45.0</v>
      </c>
      <c r="K78" s="36" t="s">
        <v>119</v>
      </c>
      <c r="L78" s="36" t="s">
        <v>173</v>
      </c>
      <c r="M78" s="36" t="s">
        <v>117</v>
      </c>
      <c r="N78" s="36" t="s">
        <v>119</v>
      </c>
      <c r="O78" s="36" t="s">
        <v>119</v>
      </c>
      <c r="P78" s="35"/>
      <c r="Q78" s="36" t="s">
        <v>119</v>
      </c>
      <c r="R78" s="35"/>
      <c r="S78" s="37">
        <f>IF(B78="","",IF(ISNUMBER(J78),IF(J78&lt;=10,'Configuración'!$B$23,IF(J78&lt;=50,'Configuración'!$B$24,IF(J78&lt;=200,'Configuración'!$B$25,0))),0))</f>
        <v>4</v>
      </c>
      <c r="T78" s="37">
        <f>IF(B78="","",IF(ISNUMBER(SEARCH("information technology",I78))+ISNUMBER(SEARCH("software",I78))+ISNUMBER(SEARCH("internet",I78))+ISNUMBER(SEARCH("computer",I78))+ISNUMBER(SEARCH("saas",I78))+ISNUMBER(SEARCH("fintech",I78))+ISNUMBER(SEARCH("information services",I78))+ISNUMBER(SEARCH("telecommunications",I78))&gt;0,'Configuración'!$B$27,'Configuración'!$B$28))</f>
        <v>4</v>
      </c>
      <c r="U78" s="25">
        <f>IF(B78="","",IF(ISNUMBER(SEARCH("CEO",C78))+ISNUMBER(SEARCH("Founder",C78))+ISNUMBER(SEARCH("Owner",C78))+ISNUMBER(SEARCH("Dueño",C78))+ISNUMBER(SEARCH("Director General",C78))+ISNUMBER(SEARCH("Presidente",C78))+ISNUMBER(SEARCH("President",C78))&gt;0,'Configuración'!$B$31,IF(ISNUMBER(SEARCH("CMO",C78))+ISNUMBER(SEARCH("Chief Marketing",C78))+ISNUMBER(SEARCH("VP Marketing",C78))+ISNUMBER(SEARCH("Director de Marketing",C78))+ISNUMBER(SEARCH("Director Marketing",C78))+ISNUMBER(SEARCH("Head of Marketing",C78))+ISNUMBER(SEARCH("Head Marketing",C78))&gt;0,'Configuración'!$B$32,IF(ISNUMBER(SEARCH("Marketing Manager",C78))+ISNUMBER(SEARCH("Gerente de Marketing",C78))+ISNUMBER(SEARCH("Growth Manager",C78))+ISNUMBER(SEARCH("Demand Gen",C78))+ISNUMBER(SEARCH("Marketing Lead",C78))&gt;0,'Configuración'!$B$33,IF(ISNUMBER(SEARCH("COO",C78))+ISNUMBER(SEARCH("CFO",C78))+ISNUMBER(SEARCH("CTO",C78))+ISNUMBER(SEARCH("Chief Operating",C78))+ISNUMBER(SEARCH("Chief Financial",C78))+ISNUMBER(SEARCH("Gerente General",C78))+ISNUMBER(SEARCH("General Manager",C78))&gt;0,'Configuración'!$B$34,'Configuración'!$B$35)))))</f>
        <v>12</v>
      </c>
      <c r="V78" s="38">
        <f>IF(B78="","",IF(K78="Sí",'Configuración'!$B$5,0)+IF(L78="Semanal",'Configuración'!$B$6,IF(L78="Mensual",'Configuración'!$B$7,0))+IF(M78="Sí",'Configuración'!$B$8,0)+IF(N78="Sí",'Configuración'!$B$9,0)+IF(O78="Sí",'Configuración'!$B$10,0)+IF(P78="Sí",'Configuración'!$B$11,0)+IF(Q78="Sí",'Configuración'!$B$12,0)+S78+T78+U78)</f>
        <v>36</v>
      </c>
      <c r="W78" s="39" t="str">
        <f>IF(B78="","",IF(V78&gt;='Configuración'!$B$19,"A",IF(V78&gt;='Configuración'!$B$20,"B",IF(V78&gt;='Configuración'!$B$21,"C","Descarte"))))</f>
        <v>C</v>
      </c>
    </row>
    <row r="79" ht="15.75" customHeight="1">
      <c r="A79" s="34">
        <f t="shared" si="1"/>
        <v>77</v>
      </c>
      <c r="B79" s="29" t="s">
        <v>629</v>
      </c>
      <c r="C79" s="29" t="s">
        <v>630</v>
      </c>
      <c r="D79" s="29" t="s">
        <v>631</v>
      </c>
      <c r="E79" s="29" t="s">
        <v>632</v>
      </c>
      <c r="F79" s="30" t="s">
        <v>633</v>
      </c>
      <c r="G79" s="30" t="s">
        <v>634</v>
      </c>
      <c r="H79" s="30" t="s">
        <v>635</v>
      </c>
      <c r="I79" s="29" t="s">
        <v>188</v>
      </c>
      <c r="J79" s="31">
        <v>6.0</v>
      </c>
      <c r="K79" s="36" t="s">
        <v>119</v>
      </c>
      <c r="L79" s="36" t="s">
        <v>173</v>
      </c>
      <c r="M79" s="36" t="s">
        <v>117</v>
      </c>
      <c r="N79" s="36" t="s">
        <v>119</v>
      </c>
      <c r="O79" s="36" t="s">
        <v>119</v>
      </c>
      <c r="P79" s="35"/>
      <c r="Q79" s="36" t="s">
        <v>119</v>
      </c>
      <c r="R79" s="35"/>
      <c r="S79" s="37">
        <f>IF(B79="","",IF(ISNUMBER(J79),IF(J79&lt;=10,'Configuración'!$B$23,IF(J79&lt;=50,'Configuración'!$B$24,IF(J79&lt;=200,'Configuración'!$B$25,0))),0))</f>
        <v>12</v>
      </c>
      <c r="T79" s="37">
        <f>IF(B79="","",IF(ISNUMBER(SEARCH("information technology",I79))+ISNUMBER(SEARCH("software",I79))+ISNUMBER(SEARCH("internet",I79))+ISNUMBER(SEARCH("computer",I79))+ISNUMBER(SEARCH("saas",I79))+ISNUMBER(SEARCH("fintech",I79))+ISNUMBER(SEARCH("information services",I79))+ISNUMBER(SEARCH("telecommunications",I79))&gt;0,'Configuración'!$B$27,'Configuración'!$B$28))</f>
        <v>4</v>
      </c>
      <c r="U79" s="25">
        <f>IF(B79="","",IF(ISNUMBER(SEARCH("CEO",C79))+ISNUMBER(SEARCH("Founder",C79))+ISNUMBER(SEARCH("Owner",C79))+ISNUMBER(SEARCH("Dueño",C79))+ISNUMBER(SEARCH("Director General",C79))+ISNUMBER(SEARCH("Presidente",C79))+ISNUMBER(SEARCH("President",C79))&gt;0,'Configuración'!$B$31,IF(ISNUMBER(SEARCH("CMO",C79))+ISNUMBER(SEARCH("Chief Marketing",C79))+ISNUMBER(SEARCH("VP Marketing",C79))+ISNUMBER(SEARCH("Director de Marketing",C79))+ISNUMBER(SEARCH("Director Marketing",C79))+ISNUMBER(SEARCH("Head of Marketing",C79))+ISNUMBER(SEARCH("Head Marketing",C79))&gt;0,'Configuración'!$B$32,IF(ISNUMBER(SEARCH("Marketing Manager",C79))+ISNUMBER(SEARCH("Gerente de Marketing",C79))+ISNUMBER(SEARCH("Growth Manager",C79))+ISNUMBER(SEARCH("Demand Gen",C79))+ISNUMBER(SEARCH("Marketing Lead",C79))&gt;0,'Configuración'!$B$33,IF(ISNUMBER(SEARCH("COO",C79))+ISNUMBER(SEARCH("CFO",C79))+ISNUMBER(SEARCH("CTO",C79))+ISNUMBER(SEARCH("Chief Operating",C79))+ISNUMBER(SEARCH("Chief Financial",C79))+ISNUMBER(SEARCH("Gerente General",C79))+ISNUMBER(SEARCH("General Manager",C79))&gt;0,'Configuración'!$B$34,'Configuración'!$B$35)))))</f>
        <v>12</v>
      </c>
      <c r="V79" s="38">
        <f>IF(B79="","",IF(K79="Sí",'Configuración'!$B$5,0)+IF(L79="Semanal",'Configuración'!$B$6,IF(L79="Mensual",'Configuración'!$B$7,0))+IF(M79="Sí",'Configuración'!$B$8,0)+IF(N79="Sí",'Configuración'!$B$9,0)+IF(O79="Sí",'Configuración'!$B$10,0)+IF(P79="Sí",'Configuración'!$B$11,0)+IF(Q79="Sí",'Configuración'!$B$12,0)+S79+T79+U79)</f>
        <v>44</v>
      </c>
      <c r="W79" s="39" t="str">
        <f>IF(B79="","",IF(V79&gt;='Configuración'!$B$19,"A",IF(V79&gt;='Configuración'!$B$20,"B",IF(V79&gt;='Configuración'!$B$21,"C","Descarte"))))</f>
        <v>B</v>
      </c>
    </row>
    <row r="80" ht="15.75" customHeight="1">
      <c r="A80" s="34">
        <f t="shared" si="1"/>
        <v>78</v>
      </c>
      <c r="B80" s="29" t="s">
        <v>209</v>
      </c>
      <c r="C80" s="29" t="s">
        <v>175</v>
      </c>
      <c r="D80" s="29" t="s">
        <v>636</v>
      </c>
      <c r="E80" s="29" t="s">
        <v>637</v>
      </c>
      <c r="F80" s="30" t="s">
        <v>638</v>
      </c>
      <c r="G80" s="30" t="s">
        <v>639</v>
      </c>
      <c r="H80" s="30" t="s">
        <v>640</v>
      </c>
      <c r="I80" s="29" t="s">
        <v>542</v>
      </c>
      <c r="J80" s="31">
        <v>2.0</v>
      </c>
      <c r="K80" s="36" t="s">
        <v>119</v>
      </c>
      <c r="L80" s="36" t="s">
        <v>128</v>
      </c>
      <c r="M80" s="36" t="s">
        <v>117</v>
      </c>
      <c r="N80" s="36" t="s">
        <v>119</v>
      </c>
      <c r="O80" s="36" t="s">
        <v>119</v>
      </c>
      <c r="P80" s="35"/>
      <c r="Q80" s="36" t="s">
        <v>119</v>
      </c>
      <c r="R80" s="35"/>
      <c r="S80" s="37">
        <f>IF(B80="","",IF(ISNUMBER(J80),IF(J80&lt;=10,'Configuración'!$B$23,IF(J80&lt;=50,'Configuración'!$B$24,IF(J80&lt;=200,'Configuración'!$B$25,0))),0))</f>
        <v>12</v>
      </c>
      <c r="T80" s="37">
        <f>IF(B80="","",IF(ISNUMBER(SEARCH("information technology",I80))+ISNUMBER(SEARCH("software",I80))+ISNUMBER(SEARCH("internet",I80))+ISNUMBER(SEARCH("computer",I80))+ISNUMBER(SEARCH("saas",I80))+ISNUMBER(SEARCH("fintech",I80))+ISNUMBER(SEARCH("information services",I80))+ISNUMBER(SEARCH("telecommunications",I80))&gt;0,'Configuración'!$B$27,'Configuración'!$B$28))</f>
        <v>4</v>
      </c>
      <c r="U80" s="25">
        <f>IF(B80="","",IF(ISNUMBER(SEARCH("CEO",C80))+ISNUMBER(SEARCH("Founder",C80))+ISNUMBER(SEARCH("Owner",C80))+ISNUMBER(SEARCH("Dueño",C80))+ISNUMBER(SEARCH("Director General",C80))+ISNUMBER(SEARCH("Presidente",C80))+ISNUMBER(SEARCH("President",C80))&gt;0,'Configuración'!$B$31,IF(ISNUMBER(SEARCH("CMO",C80))+ISNUMBER(SEARCH("Chief Marketing",C80))+ISNUMBER(SEARCH("VP Marketing",C80))+ISNUMBER(SEARCH("Director de Marketing",C80))+ISNUMBER(SEARCH("Director Marketing",C80))+ISNUMBER(SEARCH("Head of Marketing",C80))+ISNUMBER(SEARCH("Head Marketing",C80))&gt;0,'Configuración'!$B$32,IF(ISNUMBER(SEARCH("Marketing Manager",C80))+ISNUMBER(SEARCH("Gerente de Marketing",C80))+ISNUMBER(SEARCH("Growth Manager",C80))+ISNUMBER(SEARCH("Demand Gen",C80))+ISNUMBER(SEARCH("Marketing Lead",C80))&gt;0,'Configuración'!$B$33,IF(ISNUMBER(SEARCH("COO",C80))+ISNUMBER(SEARCH("CFO",C80))+ISNUMBER(SEARCH("CTO",C80))+ISNUMBER(SEARCH("Chief Operating",C80))+ISNUMBER(SEARCH("Chief Financial",C80))+ISNUMBER(SEARCH("Gerente General",C80))+ISNUMBER(SEARCH("General Manager",C80))&gt;0,'Configuración'!$B$34,'Configuración'!$B$35)))))</f>
        <v>12</v>
      </c>
      <c r="V80" s="38">
        <f>IF(B80="","",IF(K80="Sí",'Configuración'!$B$5,0)+IF(L80="Semanal",'Configuración'!$B$6,IF(L80="Mensual",'Configuración'!$B$7,0))+IF(M80="Sí",'Configuración'!$B$8,0)+IF(N80="Sí",'Configuración'!$B$9,0)+IF(O80="Sí",'Configuración'!$B$10,0)+IF(P80="Sí",'Configuración'!$B$11,0)+IF(Q80="Sí",'Configuración'!$B$12,0)+S80+T80+U80)</f>
        <v>40</v>
      </c>
      <c r="W80" s="39" t="str">
        <f>IF(B80="","",IF(V80&gt;='Configuración'!$B$19,"A",IF(V80&gt;='Configuración'!$B$20,"B",IF(V80&gt;='Configuración'!$B$21,"C","Descarte"))))</f>
        <v>B</v>
      </c>
    </row>
    <row r="81" ht="15.75" customHeight="1">
      <c r="A81" s="34">
        <f t="shared" si="1"/>
        <v>79</v>
      </c>
      <c r="B81" s="29" t="s">
        <v>641</v>
      </c>
      <c r="C81" s="29" t="s">
        <v>251</v>
      </c>
      <c r="D81" s="29" t="s">
        <v>642</v>
      </c>
      <c r="E81" s="29" t="s">
        <v>643</v>
      </c>
      <c r="F81" s="30" t="s">
        <v>644</v>
      </c>
      <c r="G81" s="30" t="s">
        <v>645</v>
      </c>
      <c r="H81" s="30" t="s">
        <v>646</v>
      </c>
      <c r="I81" s="29" t="s">
        <v>188</v>
      </c>
      <c r="J81" s="31">
        <v>1.0</v>
      </c>
      <c r="K81" s="36" t="s">
        <v>119</v>
      </c>
      <c r="L81" s="36" t="s">
        <v>173</v>
      </c>
      <c r="M81" s="36" t="s">
        <v>117</v>
      </c>
      <c r="N81" s="36" t="s">
        <v>119</v>
      </c>
      <c r="O81" s="36" t="s">
        <v>119</v>
      </c>
      <c r="P81" s="35"/>
      <c r="Q81" s="36" t="s">
        <v>119</v>
      </c>
      <c r="R81" s="35"/>
      <c r="S81" s="37">
        <f>IF(B81="","",IF(ISNUMBER(J81),IF(J81&lt;=10,'Configuración'!$B$23,IF(J81&lt;=50,'Configuración'!$B$24,IF(J81&lt;=200,'Configuración'!$B$25,0))),0))</f>
        <v>12</v>
      </c>
      <c r="T81" s="37">
        <f>IF(B81="","",IF(ISNUMBER(SEARCH("information technology",I81))+ISNUMBER(SEARCH("software",I81))+ISNUMBER(SEARCH("internet",I81))+ISNUMBER(SEARCH("computer",I81))+ISNUMBER(SEARCH("saas",I81))+ISNUMBER(SEARCH("fintech",I81))+ISNUMBER(SEARCH("information services",I81))+ISNUMBER(SEARCH("telecommunications",I81))&gt;0,'Configuración'!$B$27,'Configuración'!$B$28))</f>
        <v>4</v>
      </c>
      <c r="U81" s="25">
        <f>IF(B81="","",IF(ISNUMBER(SEARCH("CEO",C81))+ISNUMBER(SEARCH("Founder",C81))+ISNUMBER(SEARCH("Owner",C81))+ISNUMBER(SEARCH("Dueño",C81))+ISNUMBER(SEARCH("Director General",C81))+ISNUMBER(SEARCH("Presidente",C81))+ISNUMBER(SEARCH("President",C81))&gt;0,'Configuración'!$B$31,IF(ISNUMBER(SEARCH("CMO",C81))+ISNUMBER(SEARCH("Chief Marketing",C81))+ISNUMBER(SEARCH("VP Marketing",C81))+ISNUMBER(SEARCH("Director de Marketing",C81))+ISNUMBER(SEARCH("Director Marketing",C81))+ISNUMBER(SEARCH("Head of Marketing",C81))+ISNUMBER(SEARCH("Head Marketing",C81))&gt;0,'Configuración'!$B$32,IF(ISNUMBER(SEARCH("Marketing Manager",C81))+ISNUMBER(SEARCH("Gerente de Marketing",C81))+ISNUMBER(SEARCH("Growth Manager",C81))+ISNUMBER(SEARCH("Demand Gen",C81))+ISNUMBER(SEARCH("Marketing Lead",C81))&gt;0,'Configuración'!$B$33,IF(ISNUMBER(SEARCH("COO",C81))+ISNUMBER(SEARCH("CFO",C81))+ISNUMBER(SEARCH("CTO",C81))+ISNUMBER(SEARCH("Chief Operating",C81))+ISNUMBER(SEARCH("Chief Financial",C81))+ISNUMBER(SEARCH("Gerente General",C81))+ISNUMBER(SEARCH("General Manager",C81))&gt;0,'Configuración'!$B$34,'Configuración'!$B$35)))))</f>
        <v>12</v>
      </c>
      <c r="V81" s="38">
        <f>IF(B81="","",IF(K81="Sí",'Configuración'!$B$5,0)+IF(L81="Semanal",'Configuración'!$B$6,IF(L81="Mensual",'Configuración'!$B$7,0))+IF(M81="Sí",'Configuración'!$B$8,0)+IF(N81="Sí",'Configuración'!$B$9,0)+IF(O81="Sí",'Configuración'!$B$10,0)+IF(P81="Sí",'Configuración'!$B$11,0)+IF(Q81="Sí",'Configuración'!$B$12,0)+S81+T81+U81)</f>
        <v>44</v>
      </c>
      <c r="W81" s="39" t="str">
        <f>IF(B81="","",IF(V81&gt;='Configuración'!$B$19,"A",IF(V81&gt;='Configuración'!$B$20,"B",IF(V81&gt;='Configuración'!$B$21,"C","Descarte"))))</f>
        <v>B</v>
      </c>
    </row>
    <row r="82" ht="15.75" customHeight="1">
      <c r="A82" s="34">
        <f t="shared" si="1"/>
        <v>80</v>
      </c>
      <c r="B82" s="29" t="s">
        <v>647</v>
      </c>
      <c r="C82" s="29" t="s">
        <v>146</v>
      </c>
      <c r="D82" s="29" t="s">
        <v>648</v>
      </c>
      <c r="E82" s="29" t="s">
        <v>649</v>
      </c>
      <c r="F82" s="30" t="s">
        <v>650</v>
      </c>
      <c r="G82" s="30" t="s">
        <v>651</v>
      </c>
      <c r="H82" s="30" t="s">
        <v>652</v>
      </c>
      <c r="I82" s="29" t="s">
        <v>127</v>
      </c>
      <c r="J82" s="31">
        <v>2.0</v>
      </c>
      <c r="K82" s="36" t="s">
        <v>119</v>
      </c>
      <c r="L82" s="36" t="s">
        <v>118</v>
      </c>
      <c r="M82" s="36" t="s">
        <v>117</v>
      </c>
      <c r="N82" s="36" t="s">
        <v>119</v>
      </c>
      <c r="O82" s="36" t="s">
        <v>119</v>
      </c>
      <c r="P82" s="35"/>
      <c r="Q82" s="36" t="s">
        <v>119</v>
      </c>
      <c r="R82" s="36" t="s">
        <v>230</v>
      </c>
      <c r="S82" s="37">
        <f>IF(B82="","",IF(ISNUMBER(J82),IF(J82&lt;=10,'Configuración'!$B$23,IF(J82&lt;=50,'Configuración'!$B$24,IF(J82&lt;=200,'Configuración'!$B$25,0))),0))</f>
        <v>12</v>
      </c>
      <c r="T82" s="37">
        <f>IF(B82="","",IF(ISNUMBER(SEARCH("information technology",I82))+ISNUMBER(SEARCH("software",I82))+ISNUMBER(SEARCH("internet",I82))+ISNUMBER(SEARCH("computer",I82))+ISNUMBER(SEARCH("saas",I82))+ISNUMBER(SEARCH("fintech",I82))+ISNUMBER(SEARCH("information services",I82))+ISNUMBER(SEARCH("telecommunications",I82))&gt;0,'Configuración'!$B$27,'Configuración'!$B$28))</f>
        <v>12</v>
      </c>
      <c r="U82" s="25">
        <f>IF(B82="","",IF(ISNUMBER(SEARCH("CEO",C82))+ISNUMBER(SEARCH("Founder",C82))+ISNUMBER(SEARCH("Owner",C82))+ISNUMBER(SEARCH("Dueño",C82))+ISNUMBER(SEARCH("Director General",C82))+ISNUMBER(SEARCH("Presidente",C82))+ISNUMBER(SEARCH("President",C82))&gt;0,'Configuración'!$B$31,IF(ISNUMBER(SEARCH("CMO",C82))+ISNUMBER(SEARCH("Chief Marketing",C82))+ISNUMBER(SEARCH("VP Marketing",C82))+ISNUMBER(SEARCH("Director de Marketing",C82))+ISNUMBER(SEARCH("Director Marketing",C82))+ISNUMBER(SEARCH("Head of Marketing",C82))+ISNUMBER(SEARCH("Head Marketing",C82))&gt;0,'Configuración'!$B$32,IF(ISNUMBER(SEARCH("Marketing Manager",C82))+ISNUMBER(SEARCH("Gerente de Marketing",C82))+ISNUMBER(SEARCH("Growth Manager",C82))+ISNUMBER(SEARCH("Demand Gen",C82))+ISNUMBER(SEARCH("Marketing Lead",C82))&gt;0,'Configuración'!$B$33,IF(ISNUMBER(SEARCH("COO",C82))+ISNUMBER(SEARCH("CFO",C82))+ISNUMBER(SEARCH("CTO",C82))+ISNUMBER(SEARCH("Chief Operating",C82))+ISNUMBER(SEARCH("Chief Financial",C82))+ISNUMBER(SEARCH("Gerente General",C82))+ISNUMBER(SEARCH("General Manager",C82))&gt;0,'Configuración'!$B$34,'Configuración'!$B$35)))))</f>
        <v>0</v>
      </c>
      <c r="V82" s="38">
        <f>IF(B82="","",IF(K82="Sí",'Configuración'!$B$5,0)+IF(L82="Semanal",'Configuración'!$B$6,IF(L82="Mensual",'Configuración'!$B$7,0))+IF(M82="Sí",'Configuración'!$B$8,0)+IF(N82="Sí",'Configuración'!$B$9,0)+IF(O82="Sí",'Configuración'!$B$10,0)+IF(P82="Sí",'Configuración'!$B$11,0)+IF(Q82="Sí",'Configuración'!$B$12,0)+S82+T82+U82)</f>
        <v>48</v>
      </c>
      <c r="W82" s="39" t="str">
        <f>IF(B82="","",IF(V82&gt;='Configuración'!$B$19,"A",IF(V82&gt;='Configuración'!$B$20,"B",IF(V82&gt;='Configuración'!$B$21,"C","Descarte"))))</f>
        <v>B</v>
      </c>
    </row>
    <row r="83" ht="15.75" customHeight="1">
      <c r="A83" s="34">
        <f t="shared" si="1"/>
        <v>81</v>
      </c>
      <c r="B83" s="29" t="s">
        <v>120</v>
      </c>
      <c r="C83" s="29" t="s">
        <v>653</v>
      </c>
      <c r="D83" s="29" t="s">
        <v>654</v>
      </c>
      <c r="E83" s="29" t="s">
        <v>655</v>
      </c>
      <c r="F83" s="30" t="s">
        <v>656</v>
      </c>
      <c r="G83" s="30" t="s">
        <v>657</v>
      </c>
      <c r="H83" s="30" t="s">
        <v>658</v>
      </c>
      <c r="I83" s="29" t="s">
        <v>659</v>
      </c>
      <c r="J83" s="31">
        <v>5.0</v>
      </c>
      <c r="K83" s="36" t="s">
        <v>119</v>
      </c>
      <c r="L83" s="36" t="s">
        <v>173</v>
      </c>
      <c r="M83" s="36" t="s">
        <v>117</v>
      </c>
      <c r="N83" s="36" t="s">
        <v>119</v>
      </c>
      <c r="O83" s="36" t="s">
        <v>119</v>
      </c>
      <c r="P83" s="35"/>
      <c r="Q83" s="36" t="s">
        <v>119</v>
      </c>
      <c r="R83" s="35"/>
      <c r="S83" s="37">
        <f>IF(B83="","",IF(ISNUMBER(J83),IF(J83&lt;=10,'Configuración'!$B$23,IF(J83&lt;=50,'Configuración'!$B$24,IF(J83&lt;=200,'Configuración'!$B$25,0))),0))</f>
        <v>12</v>
      </c>
      <c r="T83" s="37">
        <f>IF(B83="","",IF(ISNUMBER(SEARCH("information technology",I83))+ISNUMBER(SEARCH("software",I83))+ISNUMBER(SEARCH("internet",I83))+ISNUMBER(SEARCH("computer",I83))+ISNUMBER(SEARCH("saas",I83))+ISNUMBER(SEARCH("fintech",I83))+ISNUMBER(SEARCH("information services",I83))+ISNUMBER(SEARCH("telecommunications",I83))&gt;0,'Configuración'!$B$27,'Configuración'!$B$28))</f>
        <v>4</v>
      </c>
      <c r="U83" s="25">
        <f>IF(B83="","",IF(ISNUMBER(SEARCH("CEO",C83))+ISNUMBER(SEARCH("Founder",C83))+ISNUMBER(SEARCH("Owner",C83))+ISNUMBER(SEARCH("Dueño",C83))+ISNUMBER(SEARCH("Director General",C83))+ISNUMBER(SEARCH("Presidente",C83))+ISNUMBER(SEARCH("President",C83))&gt;0,'Configuración'!$B$31,IF(ISNUMBER(SEARCH("CMO",C83))+ISNUMBER(SEARCH("Chief Marketing",C83))+ISNUMBER(SEARCH("VP Marketing",C83))+ISNUMBER(SEARCH("Director de Marketing",C83))+ISNUMBER(SEARCH("Director Marketing",C83))+ISNUMBER(SEARCH("Head of Marketing",C83))+ISNUMBER(SEARCH("Head Marketing",C83))&gt;0,'Configuración'!$B$32,IF(ISNUMBER(SEARCH("Marketing Manager",C83))+ISNUMBER(SEARCH("Gerente de Marketing",C83))+ISNUMBER(SEARCH("Growth Manager",C83))+ISNUMBER(SEARCH("Demand Gen",C83))+ISNUMBER(SEARCH("Marketing Lead",C83))&gt;0,'Configuración'!$B$33,IF(ISNUMBER(SEARCH("COO",C83))+ISNUMBER(SEARCH("CFO",C83))+ISNUMBER(SEARCH("CTO",C83))+ISNUMBER(SEARCH("Chief Operating",C83))+ISNUMBER(SEARCH("Chief Financial",C83))+ISNUMBER(SEARCH("Gerente General",C83))+ISNUMBER(SEARCH("General Manager",C83))&gt;0,'Configuración'!$B$34,'Configuración'!$B$35)))))</f>
        <v>12</v>
      </c>
      <c r="V83" s="38">
        <f>IF(B83="","",IF(K83="Sí",'Configuración'!$B$5,0)+IF(L83="Semanal",'Configuración'!$B$6,IF(L83="Mensual",'Configuración'!$B$7,0))+IF(M83="Sí",'Configuración'!$B$8,0)+IF(N83="Sí",'Configuración'!$B$9,0)+IF(O83="Sí",'Configuración'!$B$10,0)+IF(P83="Sí",'Configuración'!$B$11,0)+IF(Q83="Sí",'Configuración'!$B$12,0)+S83+T83+U83)</f>
        <v>44</v>
      </c>
      <c r="W83" s="39" t="str">
        <f>IF(B83="","",IF(V83&gt;='Configuración'!$B$19,"A",IF(V83&gt;='Configuración'!$B$20,"B",IF(V83&gt;='Configuración'!$B$21,"C","Descarte"))))</f>
        <v>B</v>
      </c>
    </row>
    <row r="84" ht="15.75" customHeight="1">
      <c r="A84" s="34">
        <f t="shared" si="1"/>
        <v>82</v>
      </c>
      <c r="B84" s="29" t="s">
        <v>181</v>
      </c>
      <c r="C84" s="29" t="s">
        <v>202</v>
      </c>
      <c r="D84" s="29" t="s">
        <v>660</v>
      </c>
      <c r="E84" s="29" t="s">
        <v>661</v>
      </c>
      <c r="F84" s="30" t="s">
        <v>662</v>
      </c>
      <c r="G84" s="30" t="s">
        <v>663</v>
      </c>
      <c r="H84" s="30" t="s">
        <v>664</v>
      </c>
      <c r="I84" s="29" t="s">
        <v>116</v>
      </c>
      <c r="J84" s="31">
        <v>5.0</v>
      </c>
      <c r="K84" s="36" t="s">
        <v>119</v>
      </c>
      <c r="L84" s="36" t="s">
        <v>128</v>
      </c>
      <c r="M84" s="36" t="s">
        <v>117</v>
      </c>
      <c r="N84" s="36" t="s">
        <v>119</v>
      </c>
      <c r="O84" s="36" t="s">
        <v>119</v>
      </c>
      <c r="P84" s="35"/>
      <c r="Q84" s="36" t="s">
        <v>119</v>
      </c>
      <c r="R84" s="35"/>
      <c r="S84" s="37">
        <f>IF(B84="","",IF(ISNUMBER(J84),IF(J84&lt;=10,'Configuración'!$B$23,IF(J84&lt;=50,'Configuración'!$B$24,IF(J84&lt;=200,'Configuración'!$B$25,0))),0))</f>
        <v>12</v>
      </c>
      <c r="T84" s="37">
        <f>IF(B84="","",IF(ISNUMBER(SEARCH("information technology",I84))+ISNUMBER(SEARCH("software",I84))+ISNUMBER(SEARCH("internet",I84))+ISNUMBER(SEARCH("computer",I84))+ISNUMBER(SEARCH("saas",I84))+ISNUMBER(SEARCH("fintech",I84))+ISNUMBER(SEARCH("information services",I84))+ISNUMBER(SEARCH("telecommunications",I84))&gt;0,'Configuración'!$B$27,'Configuración'!$B$28))</f>
        <v>4</v>
      </c>
      <c r="U84" s="25">
        <f>IF(B84="","",IF(ISNUMBER(SEARCH("CEO",C84))+ISNUMBER(SEARCH("Founder",C84))+ISNUMBER(SEARCH("Owner",C84))+ISNUMBER(SEARCH("Dueño",C84))+ISNUMBER(SEARCH("Director General",C84))+ISNUMBER(SEARCH("Presidente",C84))+ISNUMBER(SEARCH("President",C84))&gt;0,'Configuración'!$B$31,IF(ISNUMBER(SEARCH("CMO",C84))+ISNUMBER(SEARCH("Chief Marketing",C84))+ISNUMBER(SEARCH("VP Marketing",C84))+ISNUMBER(SEARCH("Director de Marketing",C84))+ISNUMBER(SEARCH("Director Marketing",C84))+ISNUMBER(SEARCH("Head of Marketing",C84))+ISNUMBER(SEARCH("Head Marketing",C84))&gt;0,'Configuración'!$B$32,IF(ISNUMBER(SEARCH("Marketing Manager",C84))+ISNUMBER(SEARCH("Gerente de Marketing",C84))+ISNUMBER(SEARCH("Growth Manager",C84))+ISNUMBER(SEARCH("Demand Gen",C84))+ISNUMBER(SEARCH("Marketing Lead",C84))&gt;0,'Configuración'!$B$33,IF(ISNUMBER(SEARCH("COO",C84))+ISNUMBER(SEARCH("CFO",C84))+ISNUMBER(SEARCH("CTO",C84))+ISNUMBER(SEARCH("Chief Operating",C84))+ISNUMBER(SEARCH("Chief Financial",C84))+ISNUMBER(SEARCH("Gerente General",C84))+ISNUMBER(SEARCH("General Manager",C84))&gt;0,'Configuración'!$B$34,'Configuración'!$B$35)))))</f>
        <v>12</v>
      </c>
      <c r="V84" s="38">
        <f>IF(B84="","",IF(K84="Sí",'Configuración'!$B$5,0)+IF(L84="Semanal",'Configuración'!$B$6,IF(L84="Mensual",'Configuración'!$B$7,0))+IF(M84="Sí",'Configuración'!$B$8,0)+IF(N84="Sí",'Configuración'!$B$9,0)+IF(O84="Sí",'Configuración'!$B$10,0)+IF(P84="Sí",'Configuración'!$B$11,0)+IF(Q84="Sí",'Configuración'!$B$12,0)+S84+T84+U84)</f>
        <v>40</v>
      </c>
      <c r="W84" s="39" t="str">
        <f>IF(B84="","",IF(V84&gt;='Configuración'!$B$19,"A",IF(V84&gt;='Configuración'!$B$20,"B",IF(V84&gt;='Configuración'!$B$21,"C","Descarte"))))</f>
        <v>B</v>
      </c>
    </row>
    <row r="85" ht="15.75" customHeight="1">
      <c r="A85" s="34">
        <f t="shared" si="1"/>
        <v>83</v>
      </c>
      <c r="B85" s="29" t="s">
        <v>665</v>
      </c>
      <c r="C85" s="29" t="s">
        <v>666</v>
      </c>
      <c r="D85" s="29" t="s">
        <v>667</v>
      </c>
      <c r="E85" s="29" t="s">
        <v>668</v>
      </c>
      <c r="F85" s="30" t="s">
        <v>669</v>
      </c>
      <c r="G85" s="30" t="s">
        <v>670</v>
      </c>
      <c r="H85" s="30" t="s">
        <v>671</v>
      </c>
      <c r="I85" s="29" t="s">
        <v>188</v>
      </c>
      <c r="J85" s="31">
        <v>5.0</v>
      </c>
      <c r="K85" s="36" t="s">
        <v>119</v>
      </c>
      <c r="L85" s="36" t="s">
        <v>128</v>
      </c>
      <c r="M85" s="36" t="s">
        <v>117</v>
      </c>
      <c r="N85" s="36" t="s">
        <v>119</v>
      </c>
      <c r="O85" s="36" t="s">
        <v>119</v>
      </c>
      <c r="P85" s="35"/>
      <c r="Q85" s="36" t="s">
        <v>119</v>
      </c>
      <c r="R85" s="35"/>
      <c r="S85" s="37">
        <f>IF(B85="","",IF(ISNUMBER(J85),IF(J85&lt;=10,'Configuración'!$B$23,IF(J85&lt;=50,'Configuración'!$B$24,IF(J85&lt;=200,'Configuración'!$B$25,0))),0))</f>
        <v>12</v>
      </c>
      <c r="T85" s="37">
        <f>IF(B85="","",IF(ISNUMBER(SEARCH("information technology",I85))+ISNUMBER(SEARCH("software",I85))+ISNUMBER(SEARCH("internet",I85))+ISNUMBER(SEARCH("computer",I85))+ISNUMBER(SEARCH("saas",I85))+ISNUMBER(SEARCH("fintech",I85))+ISNUMBER(SEARCH("information services",I85))+ISNUMBER(SEARCH("telecommunications",I85))&gt;0,'Configuración'!$B$27,'Configuración'!$B$28))</f>
        <v>4</v>
      </c>
      <c r="U85" s="25">
        <f>IF(B85="","",IF(ISNUMBER(SEARCH("CEO",C85))+ISNUMBER(SEARCH("Founder",C85))+ISNUMBER(SEARCH("Owner",C85))+ISNUMBER(SEARCH("Dueño",C85))+ISNUMBER(SEARCH("Director General",C85))+ISNUMBER(SEARCH("Presidente",C85))+ISNUMBER(SEARCH("President",C85))&gt;0,'Configuración'!$B$31,IF(ISNUMBER(SEARCH("CMO",C85))+ISNUMBER(SEARCH("Chief Marketing",C85))+ISNUMBER(SEARCH("VP Marketing",C85))+ISNUMBER(SEARCH("Director de Marketing",C85))+ISNUMBER(SEARCH("Director Marketing",C85))+ISNUMBER(SEARCH("Head of Marketing",C85))+ISNUMBER(SEARCH("Head Marketing",C85))&gt;0,'Configuración'!$B$32,IF(ISNUMBER(SEARCH("Marketing Manager",C85))+ISNUMBER(SEARCH("Gerente de Marketing",C85))+ISNUMBER(SEARCH("Growth Manager",C85))+ISNUMBER(SEARCH("Demand Gen",C85))+ISNUMBER(SEARCH("Marketing Lead",C85))&gt;0,'Configuración'!$B$33,IF(ISNUMBER(SEARCH("COO",C85))+ISNUMBER(SEARCH("CFO",C85))+ISNUMBER(SEARCH("CTO",C85))+ISNUMBER(SEARCH("Chief Operating",C85))+ISNUMBER(SEARCH("Chief Financial",C85))+ISNUMBER(SEARCH("Gerente General",C85))+ISNUMBER(SEARCH("General Manager",C85))&gt;0,'Configuración'!$B$34,'Configuración'!$B$35)))))</f>
        <v>12</v>
      </c>
      <c r="V85" s="38">
        <f>IF(B85="","",IF(K85="Sí",'Configuración'!$B$5,0)+IF(L85="Semanal",'Configuración'!$B$6,IF(L85="Mensual",'Configuración'!$B$7,0))+IF(M85="Sí",'Configuración'!$B$8,0)+IF(N85="Sí",'Configuración'!$B$9,0)+IF(O85="Sí",'Configuración'!$B$10,0)+IF(P85="Sí",'Configuración'!$B$11,0)+IF(Q85="Sí",'Configuración'!$B$12,0)+S85+T85+U85)</f>
        <v>40</v>
      </c>
      <c r="W85" s="39" t="str">
        <f>IF(B85="","",IF(V85&gt;='Configuración'!$B$19,"A",IF(V85&gt;='Configuración'!$B$20,"B",IF(V85&gt;='Configuración'!$B$21,"C","Descarte"))))</f>
        <v>B</v>
      </c>
    </row>
    <row r="86" ht="15.75" customHeight="1">
      <c r="A86" s="34">
        <f t="shared" si="1"/>
        <v>84</v>
      </c>
      <c r="B86" s="29" t="s">
        <v>672</v>
      </c>
      <c r="C86" s="29" t="s">
        <v>131</v>
      </c>
      <c r="D86" s="29" t="s">
        <v>673</v>
      </c>
      <c r="E86" s="29" t="s">
        <v>674</v>
      </c>
      <c r="F86" s="30" t="s">
        <v>675</v>
      </c>
      <c r="G86" s="30" t="s">
        <v>676</v>
      </c>
      <c r="H86" s="30" t="s">
        <v>677</v>
      </c>
      <c r="I86" s="29" t="s">
        <v>127</v>
      </c>
      <c r="J86" s="31">
        <v>21.0</v>
      </c>
      <c r="K86" s="36" t="s">
        <v>119</v>
      </c>
      <c r="L86" s="36" t="s">
        <v>128</v>
      </c>
      <c r="M86" s="36" t="s">
        <v>119</v>
      </c>
      <c r="N86" s="36" t="s">
        <v>119</v>
      </c>
      <c r="O86" s="36" t="s">
        <v>119</v>
      </c>
      <c r="P86" s="35"/>
      <c r="Q86" s="36" t="s">
        <v>119</v>
      </c>
      <c r="R86" s="35"/>
      <c r="S86" s="37">
        <f>IF(B86="","",IF(ISNUMBER(J86),IF(J86&lt;=10,'Configuración'!$B$23,IF(J86&lt;=50,'Configuración'!$B$24,IF(J86&lt;=200,'Configuración'!$B$25,0))),0))</f>
        <v>4</v>
      </c>
      <c r="T86" s="37">
        <f>IF(B86="","",IF(ISNUMBER(SEARCH("information technology",I86))+ISNUMBER(SEARCH("software",I86))+ISNUMBER(SEARCH("internet",I86))+ISNUMBER(SEARCH("computer",I86))+ISNUMBER(SEARCH("saas",I86))+ISNUMBER(SEARCH("fintech",I86))+ISNUMBER(SEARCH("information services",I86))+ISNUMBER(SEARCH("telecommunications",I86))&gt;0,'Configuración'!$B$27,'Configuración'!$B$28))</f>
        <v>12</v>
      </c>
      <c r="U86" s="25">
        <f>IF(B86="","",IF(ISNUMBER(SEARCH("CEO",C86))+ISNUMBER(SEARCH("Founder",C86))+ISNUMBER(SEARCH("Owner",C86))+ISNUMBER(SEARCH("Dueño",C86))+ISNUMBER(SEARCH("Director General",C86))+ISNUMBER(SEARCH("Presidente",C86))+ISNUMBER(SEARCH("President",C86))&gt;0,'Configuración'!$B$31,IF(ISNUMBER(SEARCH("CMO",C86))+ISNUMBER(SEARCH("Chief Marketing",C86))+ISNUMBER(SEARCH("VP Marketing",C86))+ISNUMBER(SEARCH("Director de Marketing",C86))+ISNUMBER(SEARCH("Director Marketing",C86))+ISNUMBER(SEARCH("Head of Marketing",C86))+ISNUMBER(SEARCH("Head Marketing",C86))&gt;0,'Configuración'!$B$32,IF(ISNUMBER(SEARCH("Marketing Manager",C86))+ISNUMBER(SEARCH("Gerente de Marketing",C86))+ISNUMBER(SEARCH("Growth Manager",C86))+ISNUMBER(SEARCH("Demand Gen",C86))+ISNUMBER(SEARCH("Marketing Lead",C86))&gt;0,'Configuración'!$B$33,IF(ISNUMBER(SEARCH("COO",C86))+ISNUMBER(SEARCH("CFO",C86))+ISNUMBER(SEARCH("CTO",C86))+ISNUMBER(SEARCH("Chief Operating",C86))+ISNUMBER(SEARCH("Chief Financial",C86))+ISNUMBER(SEARCH("Gerente General",C86))+ISNUMBER(SEARCH("General Manager",C86))&gt;0,'Configuración'!$B$34,'Configuración'!$B$35)))))</f>
        <v>12</v>
      </c>
      <c r="V86" s="38">
        <f>IF(B86="","",IF(K86="Sí",'Configuración'!$B$5,0)+IF(L86="Semanal",'Configuración'!$B$6,IF(L86="Mensual",'Configuración'!$B$7,0))+IF(M86="Sí",'Configuración'!$B$8,0)+IF(N86="Sí",'Configuración'!$B$9,0)+IF(O86="Sí",'Configuración'!$B$10,0)+IF(P86="Sí",'Configuración'!$B$11,0)+IF(Q86="Sí",'Configuración'!$B$12,0)+S86+T86+U86)</f>
        <v>28</v>
      </c>
      <c r="W86" s="39" t="str">
        <f>IF(B86="","",IF(V86&gt;='Configuración'!$B$19,"A",IF(V86&gt;='Configuración'!$B$20,"B",IF(V86&gt;='Configuración'!$B$21,"C","Descarte"))))</f>
        <v>C</v>
      </c>
    </row>
    <row r="87" ht="15.75" customHeight="1">
      <c r="A87" s="34">
        <f t="shared" si="1"/>
        <v>85</v>
      </c>
      <c r="B87" s="29" t="s">
        <v>678</v>
      </c>
      <c r="C87" s="29" t="s">
        <v>679</v>
      </c>
      <c r="D87" s="29" t="s">
        <v>680</v>
      </c>
      <c r="E87" s="29" t="s">
        <v>681</v>
      </c>
      <c r="F87" s="30" t="s">
        <v>682</v>
      </c>
      <c r="G87" s="30" t="s">
        <v>683</v>
      </c>
      <c r="H87" s="30" t="s">
        <v>684</v>
      </c>
      <c r="I87" s="29" t="s">
        <v>659</v>
      </c>
      <c r="J87" s="31">
        <v>3.0</v>
      </c>
      <c r="K87" s="36" t="s">
        <v>119</v>
      </c>
      <c r="L87" s="36" t="s">
        <v>128</v>
      </c>
      <c r="M87" s="36" t="s">
        <v>117</v>
      </c>
      <c r="N87" s="36" t="s">
        <v>119</v>
      </c>
      <c r="O87" s="36" t="s">
        <v>119</v>
      </c>
      <c r="P87" s="35"/>
      <c r="Q87" s="36" t="s">
        <v>119</v>
      </c>
      <c r="R87" s="35"/>
      <c r="S87" s="37">
        <f>IF(B87="","",IF(ISNUMBER(J87),IF(J87&lt;=10,'Configuración'!$B$23,IF(J87&lt;=50,'Configuración'!$B$24,IF(J87&lt;=200,'Configuración'!$B$25,0))),0))</f>
        <v>12</v>
      </c>
      <c r="T87" s="37">
        <f>IF(B87="","",IF(ISNUMBER(SEARCH("information technology",I87))+ISNUMBER(SEARCH("software",I87))+ISNUMBER(SEARCH("internet",I87))+ISNUMBER(SEARCH("computer",I87))+ISNUMBER(SEARCH("saas",I87))+ISNUMBER(SEARCH("fintech",I87))+ISNUMBER(SEARCH("information services",I87))+ISNUMBER(SEARCH("telecommunications",I87))&gt;0,'Configuración'!$B$27,'Configuración'!$B$28))</f>
        <v>4</v>
      </c>
      <c r="U87" s="25">
        <f>IF(B87="","",IF(ISNUMBER(SEARCH("CEO",C87))+ISNUMBER(SEARCH("Founder",C87))+ISNUMBER(SEARCH("Owner",C87))+ISNUMBER(SEARCH("Dueño",C87))+ISNUMBER(SEARCH("Director General",C87))+ISNUMBER(SEARCH("Presidente",C87))+ISNUMBER(SEARCH("President",C87))&gt;0,'Configuración'!$B$31,IF(ISNUMBER(SEARCH("CMO",C87))+ISNUMBER(SEARCH("Chief Marketing",C87))+ISNUMBER(SEARCH("VP Marketing",C87))+ISNUMBER(SEARCH("Director de Marketing",C87))+ISNUMBER(SEARCH("Director Marketing",C87))+ISNUMBER(SEARCH("Head of Marketing",C87))+ISNUMBER(SEARCH("Head Marketing",C87))&gt;0,'Configuración'!$B$32,IF(ISNUMBER(SEARCH("Marketing Manager",C87))+ISNUMBER(SEARCH("Gerente de Marketing",C87))+ISNUMBER(SEARCH("Growth Manager",C87))+ISNUMBER(SEARCH("Demand Gen",C87))+ISNUMBER(SEARCH("Marketing Lead",C87))&gt;0,'Configuración'!$B$33,IF(ISNUMBER(SEARCH("COO",C87))+ISNUMBER(SEARCH("CFO",C87))+ISNUMBER(SEARCH("CTO",C87))+ISNUMBER(SEARCH("Chief Operating",C87))+ISNUMBER(SEARCH("Chief Financial",C87))+ISNUMBER(SEARCH("Gerente General",C87))+ISNUMBER(SEARCH("General Manager",C87))&gt;0,'Configuración'!$B$34,'Configuración'!$B$35)))))</f>
        <v>12</v>
      </c>
      <c r="V87" s="38">
        <f>IF(B87="","",IF(K87="Sí",'Configuración'!$B$5,0)+IF(L87="Semanal",'Configuración'!$B$6,IF(L87="Mensual",'Configuración'!$B$7,0))+IF(M87="Sí",'Configuración'!$B$8,0)+IF(N87="Sí",'Configuración'!$B$9,0)+IF(O87="Sí",'Configuración'!$B$10,0)+IF(P87="Sí",'Configuración'!$B$11,0)+IF(Q87="Sí",'Configuración'!$B$12,0)+S87+T87+U87)</f>
        <v>40</v>
      </c>
      <c r="W87" s="39" t="str">
        <f>IF(B87="","",IF(V87&gt;='Configuración'!$B$19,"A",IF(V87&gt;='Configuración'!$B$20,"B",IF(V87&gt;='Configuración'!$B$21,"C","Descarte"))))</f>
        <v>B</v>
      </c>
    </row>
    <row r="88" ht="15.75" customHeight="1">
      <c r="A88" s="34">
        <f t="shared" si="1"/>
        <v>86</v>
      </c>
      <c r="B88" s="29" t="s">
        <v>120</v>
      </c>
      <c r="C88" s="29" t="s">
        <v>597</v>
      </c>
      <c r="D88" s="29" t="s">
        <v>685</v>
      </c>
      <c r="E88" s="29" t="s">
        <v>686</v>
      </c>
      <c r="F88" s="30" t="s">
        <v>687</v>
      </c>
      <c r="G88" s="30" t="s">
        <v>688</v>
      </c>
      <c r="H88" s="30" t="s">
        <v>689</v>
      </c>
      <c r="I88" s="29" t="s">
        <v>116</v>
      </c>
      <c r="J88" s="31">
        <v>5.0</v>
      </c>
      <c r="K88" s="36" t="s">
        <v>119</v>
      </c>
      <c r="L88" s="36" t="s">
        <v>173</v>
      </c>
      <c r="M88" s="36" t="s">
        <v>117</v>
      </c>
      <c r="N88" s="36" t="s">
        <v>119</v>
      </c>
      <c r="O88" s="36" t="s">
        <v>119</v>
      </c>
      <c r="P88" s="35"/>
      <c r="Q88" s="36" t="s">
        <v>119</v>
      </c>
      <c r="R88" s="35"/>
      <c r="S88" s="37">
        <f>IF(B88="","",IF(ISNUMBER(J88),IF(J88&lt;=10,'Configuración'!$B$23,IF(J88&lt;=50,'Configuración'!$B$24,IF(J88&lt;=200,'Configuración'!$B$25,0))),0))</f>
        <v>12</v>
      </c>
      <c r="T88" s="37">
        <f>IF(B88="","",IF(ISNUMBER(SEARCH("information technology",I88))+ISNUMBER(SEARCH("software",I88))+ISNUMBER(SEARCH("internet",I88))+ISNUMBER(SEARCH("computer",I88))+ISNUMBER(SEARCH("saas",I88))+ISNUMBER(SEARCH("fintech",I88))+ISNUMBER(SEARCH("information services",I88))+ISNUMBER(SEARCH("telecommunications",I88))&gt;0,'Configuración'!$B$27,'Configuración'!$B$28))</f>
        <v>4</v>
      </c>
      <c r="U88" s="25">
        <f>IF(B88="","",IF(ISNUMBER(SEARCH("CEO",C88))+ISNUMBER(SEARCH("Founder",C88))+ISNUMBER(SEARCH("Owner",C88))+ISNUMBER(SEARCH("Dueño",C88))+ISNUMBER(SEARCH("Director General",C88))+ISNUMBER(SEARCH("Presidente",C88))+ISNUMBER(SEARCH("President",C88))&gt;0,'Configuración'!$B$31,IF(ISNUMBER(SEARCH("CMO",C88))+ISNUMBER(SEARCH("Chief Marketing",C88))+ISNUMBER(SEARCH("VP Marketing",C88))+ISNUMBER(SEARCH("Director de Marketing",C88))+ISNUMBER(SEARCH("Director Marketing",C88))+ISNUMBER(SEARCH("Head of Marketing",C88))+ISNUMBER(SEARCH("Head Marketing",C88))&gt;0,'Configuración'!$B$32,IF(ISNUMBER(SEARCH("Marketing Manager",C88))+ISNUMBER(SEARCH("Gerente de Marketing",C88))+ISNUMBER(SEARCH("Growth Manager",C88))+ISNUMBER(SEARCH("Demand Gen",C88))+ISNUMBER(SEARCH("Marketing Lead",C88))&gt;0,'Configuración'!$B$33,IF(ISNUMBER(SEARCH("COO",C88))+ISNUMBER(SEARCH("CFO",C88))+ISNUMBER(SEARCH("CTO",C88))+ISNUMBER(SEARCH("Chief Operating",C88))+ISNUMBER(SEARCH("Chief Financial",C88))+ISNUMBER(SEARCH("Gerente General",C88))+ISNUMBER(SEARCH("General Manager",C88))&gt;0,'Configuración'!$B$34,'Configuración'!$B$35)))))</f>
        <v>12</v>
      </c>
      <c r="V88" s="38">
        <f>IF(B88="","",IF(K88="Sí",'Configuración'!$B$5,0)+IF(L88="Semanal",'Configuración'!$B$6,IF(L88="Mensual",'Configuración'!$B$7,0))+IF(M88="Sí",'Configuración'!$B$8,0)+IF(N88="Sí",'Configuración'!$B$9,0)+IF(O88="Sí",'Configuración'!$B$10,0)+IF(P88="Sí",'Configuración'!$B$11,0)+IF(Q88="Sí",'Configuración'!$B$12,0)+S88+T88+U88)</f>
        <v>44</v>
      </c>
      <c r="W88" s="39" t="str">
        <f>IF(B88="","",IF(V88&gt;='Configuración'!$B$19,"A",IF(V88&gt;='Configuración'!$B$20,"B",IF(V88&gt;='Configuración'!$B$21,"C","Descarte"))))</f>
        <v>B</v>
      </c>
    </row>
    <row r="89" ht="15.75" customHeight="1">
      <c r="A89" s="34">
        <f t="shared" si="1"/>
        <v>87</v>
      </c>
      <c r="B89" s="29" t="s">
        <v>610</v>
      </c>
      <c r="C89" s="29" t="s">
        <v>690</v>
      </c>
      <c r="D89" s="29" t="s">
        <v>691</v>
      </c>
      <c r="E89" s="29" t="s">
        <v>692</v>
      </c>
      <c r="F89" s="30" t="s">
        <v>693</v>
      </c>
      <c r="G89" s="30" t="s">
        <v>694</v>
      </c>
      <c r="H89" s="30" t="s">
        <v>695</v>
      </c>
      <c r="I89" s="29" t="s">
        <v>350</v>
      </c>
      <c r="J89" s="31">
        <v>9.0</v>
      </c>
      <c r="K89" s="36" t="s">
        <v>119</v>
      </c>
      <c r="L89" s="36" t="s">
        <v>128</v>
      </c>
      <c r="M89" s="36" t="s">
        <v>117</v>
      </c>
      <c r="N89" s="36" t="s">
        <v>117</v>
      </c>
      <c r="O89" s="36" t="s">
        <v>119</v>
      </c>
      <c r="P89" s="35"/>
      <c r="Q89" s="36" t="s">
        <v>119</v>
      </c>
      <c r="R89" s="35"/>
      <c r="S89" s="37">
        <f>IF(B89="","",IF(ISNUMBER(J89),IF(J89&lt;=10,'Configuración'!$B$23,IF(J89&lt;=50,'Configuración'!$B$24,IF(J89&lt;=200,'Configuración'!$B$25,0))),0))</f>
        <v>12</v>
      </c>
      <c r="T89" s="37">
        <f>IF(B89="","",IF(ISNUMBER(SEARCH("information technology",I89))+ISNUMBER(SEARCH("software",I89))+ISNUMBER(SEARCH("internet",I89))+ISNUMBER(SEARCH("computer",I89))+ISNUMBER(SEARCH("saas",I89))+ISNUMBER(SEARCH("fintech",I89))+ISNUMBER(SEARCH("information services",I89))+ISNUMBER(SEARCH("telecommunications",I89))&gt;0,'Configuración'!$B$27,'Configuración'!$B$28))</f>
        <v>4</v>
      </c>
      <c r="U89" s="25">
        <f>IF(B89="","",IF(ISNUMBER(SEARCH("CEO",C89))+ISNUMBER(SEARCH("Founder",C89))+ISNUMBER(SEARCH("Owner",C89))+ISNUMBER(SEARCH("Dueño",C89))+ISNUMBER(SEARCH("Director General",C89))+ISNUMBER(SEARCH("Presidente",C89))+ISNUMBER(SEARCH("President",C89))&gt;0,'Configuración'!$B$31,IF(ISNUMBER(SEARCH("CMO",C89))+ISNUMBER(SEARCH("Chief Marketing",C89))+ISNUMBER(SEARCH("VP Marketing",C89))+ISNUMBER(SEARCH("Director de Marketing",C89))+ISNUMBER(SEARCH("Director Marketing",C89))+ISNUMBER(SEARCH("Head of Marketing",C89))+ISNUMBER(SEARCH("Head Marketing",C89))&gt;0,'Configuración'!$B$32,IF(ISNUMBER(SEARCH("Marketing Manager",C89))+ISNUMBER(SEARCH("Gerente de Marketing",C89))+ISNUMBER(SEARCH("Growth Manager",C89))+ISNUMBER(SEARCH("Demand Gen",C89))+ISNUMBER(SEARCH("Marketing Lead",C89))&gt;0,'Configuración'!$B$33,IF(ISNUMBER(SEARCH("COO",C89))+ISNUMBER(SEARCH("CFO",C89))+ISNUMBER(SEARCH("CTO",C89))+ISNUMBER(SEARCH("Chief Operating",C89))+ISNUMBER(SEARCH("Chief Financial",C89))+ISNUMBER(SEARCH("Gerente General",C89))+ISNUMBER(SEARCH("General Manager",C89))&gt;0,'Configuración'!$B$34,'Configuración'!$B$35)))))</f>
        <v>0</v>
      </c>
      <c r="V89" s="38">
        <f>IF(B89="","",IF(K89="Sí",'Configuración'!$B$5,0)+IF(L89="Semanal",'Configuración'!$B$6,IF(L89="Mensual",'Configuración'!$B$7,0))+IF(M89="Sí",'Configuración'!$B$8,0)+IF(N89="Sí",'Configuración'!$B$9,0)+IF(O89="Sí",'Configuración'!$B$10,0)+IF(P89="Sí",'Configuración'!$B$11,0)+IF(Q89="Sí",'Configuración'!$B$12,0)+S89+T89+U89)</f>
        <v>32</v>
      </c>
      <c r="W89" s="39" t="str">
        <f>IF(B89="","",IF(V89&gt;='Configuración'!$B$19,"A",IF(V89&gt;='Configuración'!$B$20,"B",IF(V89&gt;='Configuración'!$B$21,"C","Descarte"))))</f>
        <v>C</v>
      </c>
    </row>
    <row r="90" ht="15.75" customHeight="1">
      <c r="A90" s="34">
        <f t="shared" si="1"/>
        <v>88</v>
      </c>
      <c r="B90" s="29" t="s">
        <v>529</v>
      </c>
      <c r="C90" s="29" t="s">
        <v>696</v>
      </c>
      <c r="D90" s="29" t="s">
        <v>697</v>
      </c>
      <c r="E90" s="29" t="s">
        <v>698</v>
      </c>
      <c r="F90" s="30" t="s">
        <v>699</v>
      </c>
      <c r="G90" s="30" t="s">
        <v>700</v>
      </c>
      <c r="H90" s="30" t="s">
        <v>701</v>
      </c>
      <c r="I90" s="29" t="s">
        <v>127</v>
      </c>
      <c r="J90" s="31">
        <v>5.0</v>
      </c>
      <c r="K90" s="36" t="s">
        <v>119</v>
      </c>
      <c r="L90" s="36" t="s">
        <v>128</v>
      </c>
      <c r="M90" s="36" t="s">
        <v>117</v>
      </c>
      <c r="N90" s="36" t="s">
        <v>119</v>
      </c>
      <c r="O90" s="36" t="s">
        <v>119</v>
      </c>
      <c r="P90" s="35"/>
      <c r="Q90" s="36" t="s">
        <v>119</v>
      </c>
      <c r="R90" s="36" t="s">
        <v>230</v>
      </c>
      <c r="S90" s="37">
        <f>IF(B90="","",IF(ISNUMBER(J90),IF(J90&lt;=10,'Configuración'!$B$23,IF(J90&lt;=50,'Configuración'!$B$24,IF(J90&lt;=200,'Configuración'!$B$25,0))),0))</f>
        <v>12</v>
      </c>
      <c r="T90" s="37">
        <f>IF(B90="","",IF(ISNUMBER(SEARCH("information technology",I90))+ISNUMBER(SEARCH("software",I90))+ISNUMBER(SEARCH("internet",I90))+ISNUMBER(SEARCH("computer",I90))+ISNUMBER(SEARCH("saas",I90))+ISNUMBER(SEARCH("fintech",I90))+ISNUMBER(SEARCH("information services",I90))+ISNUMBER(SEARCH("telecommunications",I90))&gt;0,'Configuración'!$B$27,'Configuración'!$B$28))</f>
        <v>12</v>
      </c>
      <c r="U90" s="25">
        <f>IF(B90="","",IF(ISNUMBER(SEARCH("CEO",C90))+ISNUMBER(SEARCH("Founder",C90))+ISNUMBER(SEARCH("Owner",C90))+ISNUMBER(SEARCH("Dueño",C90))+ISNUMBER(SEARCH("Director General",C90))+ISNUMBER(SEARCH("Presidente",C90))+ISNUMBER(SEARCH("President",C90))&gt;0,'Configuración'!$B$31,IF(ISNUMBER(SEARCH("CMO",C90))+ISNUMBER(SEARCH("Chief Marketing",C90))+ISNUMBER(SEARCH("VP Marketing",C90))+ISNUMBER(SEARCH("Director de Marketing",C90))+ISNUMBER(SEARCH("Director Marketing",C90))+ISNUMBER(SEARCH("Head of Marketing",C90))+ISNUMBER(SEARCH("Head Marketing",C90))&gt;0,'Configuración'!$B$32,IF(ISNUMBER(SEARCH("Marketing Manager",C90))+ISNUMBER(SEARCH("Gerente de Marketing",C90))+ISNUMBER(SEARCH("Growth Manager",C90))+ISNUMBER(SEARCH("Demand Gen",C90))+ISNUMBER(SEARCH("Marketing Lead",C90))&gt;0,'Configuración'!$B$33,IF(ISNUMBER(SEARCH("COO",C90))+ISNUMBER(SEARCH("CFO",C90))+ISNUMBER(SEARCH("CTO",C90))+ISNUMBER(SEARCH("Chief Operating",C90))+ISNUMBER(SEARCH("Chief Financial",C90))+ISNUMBER(SEARCH("Gerente General",C90))+ISNUMBER(SEARCH("General Manager",C90))&gt;0,'Configuración'!$B$34,'Configuración'!$B$35)))))</f>
        <v>12</v>
      </c>
      <c r="V90" s="38">
        <f>IF(B90="","",IF(K90="Sí",'Configuración'!$B$5,0)+IF(L90="Semanal",'Configuración'!$B$6,IF(L90="Mensual",'Configuración'!$B$7,0))+IF(M90="Sí",'Configuración'!$B$8,0)+IF(N90="Sí",'Configuración'!$B$9,0)+IF(O90="Sí",'Configuración'!$B$10,0)+IF(P90="Sí",'Configuración'!$B$11,0)+IF(Q90="Sí",'Configuración'!$B$12,0)+S90+T90+U90)</f>
        <v>48</v>
      </c>
      <c r="W90" s="39" t="str">
        <f>IF(B90="","",IF(V90&gt;='Configuración'!$B$19,"A",IF(V90&gt;='Configuración'!$B$20,"B",IF(V90&gt;='Configuración'!$B$21,"C","Descarte"))))</f>
        <v>B</v>
      </c>
    </row>
    <row r="91" ht="15.75" customHeight="1">
      <c r="A91" s="34">
        <f t="shared" si="1"/>
        <v>89</v>
      </c>
      <c r="B91" s="29" t="s">
        <v>138</v>
      </c>
      <c r="C91" s="29" t="s">
        <v>175</v>
      </c>
      <c r="D91" s="29" t="s">
        <v>702</v>
      </c>
      <c r="E91" s="29" t="s">
        <v>703</v>
      </c>
      <c r="F91" s="30" t="s">
        <v>704</v>
      </c>
      <c r="G91" s="30" t="s">
        <v>705</v>
      </c>
      <c r="H91" s="30" t="s">
        <v>706</v>
      </c>
      <c r="I91" s="29" t="s">
        <v>280</v>
      </c>
      <c r="J91" s="31">
        <v>3.0</v>
      </c>
      <c r="K91" s="36" t="s">
        <v>119</v>
      </c>
      <c r="L91" s="36" t="s">
        <v>128</v>
      </c>
      <c r="M91" s="36" t="s">
        <v>117</v>
      </c>
      <c r="N91" s="36" t="s">
        <v>119</v>
      </c>
      <c r="O91" s="36" t="s">
        <v>119</v>
      </c>
      <c r="P91" s="35"/>
      <c r="Q91" s="36" t="s">
        <v>119</v>
      </c>
      <c r="R91" s="35"/>
      <c r="S91" s="37">
        <f>IF(B91="","",IF(ISNUMBER(J91),IF(J91&lt;=10,'Configuración'!$B$23,IF(J91&lt;=50,'Configuración'!$B$24,IF(J91&lt;=200,'Configuración'!$B$25,0))),0))</f>
        <v>12</v>
      </c>
      <c r="T91" s="37">
        <f>IF(B91="","",IF(ISNUMBER(SEARCH("information technology",I91))+ISNUMBER(SEARCH("software",I91))+ISNUMBER(SEARCH("internet",I91))+ISNUMBER(SEARCH("computer",I91))+ISNUMBER(SEARCH("saas",I91))+ISNUMBER(SEARCH("fintech",I91))+ISNUMBER(SEARCH("information services",I91))+ISNUMBER(SEARCH("telecommunications",I91))&gt;0,'Configuración'!$B$27,'Configuración'!$B$28))</f>
        <v>12</v>
      </c>
      <c r="U91" s="25">
        <f>IF(B91="","",IF(ISNUMBER(SEARCH("CEO",C91))+ISNUMBER(SEARCH("Founder",C91))+ISNUMBER(SEARCH("Owner",C91))+ISNUMBER(SEARCH("Dueño",C91))+ISNUMBER(SEARCH("Director General",C91))+ISNUMBER(SEARCH("Presidente",C91))+ISNUMBER(SEARCH("President",C91))&gt;0,'Configuración'!$B$31,IF(ISNUMBER(SEARCH("CMO",C91))+ISNUMBER(SEARCH("Chief Marketing",C91))+ISNUMBER(SEARCH("VP Marketing",C91))+ISNUMBER(SEARCH("Director de Marketing",C91))+ISNUMBER(SEARCH("Director Marketing",C91))+ISNUMBER(SEARCH("Head of Marketing",C91))+ISNUMBER(SEARCH("Head Marketing",C91))&gt;0,'Configuración'!$B$32,IF(ISNUMBER(SEARCH("Marketing Manager",C91))+ISNUMBER(SEARCH("Gerente de Marketing",C91))+ISNUMBER(SEARCH("Growth Manager",C91))+ISNUMBER(SEARCH("Demand Gen",C91))+ISNUMBER(SEARCH("Marketing Lead",C91))&gt;0,'Configuración'!$B$33,IF(ISNUMBER(SEARCH("COO",C91))+ISNUMBER(SEARCH("CFO",C91))+ISNUMBER(SEARCH("CTO",C91))+ISNUMBER(SEARCH("Chief Operating",C91))+ISNUMBER(SEARCH("Chief Financial",C91))+ISNUMBER(SEARCH("Gerente General",C91))+ISNUMBER(SEARCH("General Manager",C91))&gt;0,'Configuración'!$B$34,'Configuración'!$B$35)))))</f>
        <v>12</v>
      </c>
      <c r="V91" s="38">
        <f>IF(B91="","",IF(K91="Sí",'Configuración'!$B$5,0)+IF(L91="Semanal",'Configuración'!$B$6,IF(L91="Mensual",'Configuración'!$B$7,0))+IF(M91="Sí",'Configuración'!$B$8,0)+IF(N91="Sí",'Configuración'!$B$9,0)+IF(O91="Sí",'Configuración'!$B$10,0)+IF(P91="Sí",'Configuración'!$B$11,0)+IF(Q91="Sí",'Configuración'!$B$12,0)+S91+T91+U91)</f>
        <v>48</v>
      </c>
      <c r="W91" s="39" t="str">
        <f>IF(B91="","",IF(V91&gt;='Configuración'!$B$19,"A",IF(V91&gt;='Configuración'!$B$20,"B",IF(V91&gt;='Configuración'!$B$21,"C","Descarte"))))</f>
        <v>B</v>
      </c>
    </row>
    <row r="92" ht="15.75" customHeight="1">
      <c r="A92" s="34">
        <f t="shared" si="1"/>
        <v>90</v>
      </c>
      <c r="B92" s="29" t="s">
        <v>707</v>
      </c>
      <c r="C92" s="29" t="s">
        <v>202</v>
      </c>
      <c r="D92" s="29" t="s">
        <v>708</v>
      </c>
      <c r="E92" s="29" t="s">
        <v>709</v>
      </c>
      <c r="F92" s="30" t="s">
        <v>710</v>
      </c>
      <c r="G92" s="30" t="s">
        <v>711</v>
      </c>
      <c r="H92" s="30" t="s">
        <v>712</v>
      </c>
      <c r="I92" s="29" t="s">
        <v>295</v>
      </c>
      <c r="J92" s="31">
        <v>3.0</v>
      </c>
      <c r="K92" s="36" t="s">
        <v>119</v>
      </c>
      <c r="L92" s="36" t="s">
        <v>128</v>
      </c>
      <c r="M92" s="36" t="s">
        <v>119</v>
      </c>
      <c r="N92" s="36" t="s">
        <v>119</v>
      </c>
      <c r="O92" s="36" t="s">
        <v>119</v>
      </c>
      <c r="P92" s="35"/>
      <c r="Q92" s="36" t="s">
        <v>119</v>
      </c>
      <c r="R92" s="35"/>
      <c r="S92" s="37">
        <f>IF(B92="","",IF(ISNUMBER(J92),IF(J92&lt;=10,'Configuración'!$B$23,IF(J92&lt;=50,'Configuración'!$B$24,IF(J92&lt;=200,'Configuración'!$B$25,0))),0))</f>
        <v>12</v>
      </c>
      <c r="T92" s="37">
        <f>IF(B92="","",IF(ISNUMBER(SEARCH("information technology",I92))+ISNUMBER(SEARCH("software",I92))+ISNUMBER(SEARCH("internet",I92))+ISNUMBER(SEARCH("computer",I92))+ISNUMBER(SEARCH("saas",I92))+ISNUMBER(SEARCH("fintech",I92))+ISNUMBER(SEARCH("information services",I92))+ISNUMBER(SEARCH("telecommunications",I92))&gt;0,'Configuración'!$B$27,'Configuración'!$B$28))</f>
        <v>4</v>
      </c>
      <c r="U92" s="25">
        <f>IF(B92="","",IF(ISNUMBER(SEARCH("CEO",C92))+ISNUMBER(SEARCH("Founder",C92))+ISNUMBER(SEARCH("Owner",C92))+ISNUMBER(SEARCH("Dueño",C92))+ISNUMBER(SEARCH("Director General",C92))+ISNUMBER(SEARCH("Presidente",C92))+ISNUMBER(SEARCH("President",C92))&gt;0,'Configuración'!$B$31,IF(ISNUMBER(SEARCH("CMO",C92))+ISNUMBER(SEARCH("Chief Marketing",C92))+ISNUMBER(SEARCH("VP Marketing",C92))+ISNUMBER(SEARCH("Director de Marketing",C92))+ISNUMBER(SEARCH("Director Marketing",C92))+ISNUMBER(SEARCH("Head of Marketing",C92))+ISNUMBER(SEARCH("Head Marketing",C92))&gt;0,'Configuración'!$B$32,IF(ISNUMBER(SEARCH("Marketing Manager",C92))+ISNUMBER(SEARCH("Gerente de Marketing",C92))+ISNUMBER(SEARCH("Growth Manager",C92))+ISNUMBER(SEARCH("Demand Gen",C92))+ISNUMBER(SEARCH("Marketing Lead",C92))&gt;0,'Configuración'!$B$33,IF(ISNUMBER(SEARCH("COO",C92))+ISNUMBER(SEARCH("CFO",C92))+ISNUMBER(SEARCH("CTO",C92))+ISNUMBER(SEARCH("Chief Operating",C92))+ISNUMBER(SEARCH("Chief Financial",C92))+ISNUMBER(SEARCH("Gerente General",C92))+ISNUMBER(SEARCH("General Manager",C92))&gt;0,'Configuración'!$B$34,'Configuración'!$B$35)))))</f>
        <v>12</v>
      </c>
      <c r="V92" s="38">
        <f>IF(B92="","",IF(K92="Sí",'Configuración'!$B$5,0)+IF(L92="Semanal",'Configuración'!$B$6,IF(L92="Mensual",'Configuración'!$B$7,0))+IF(M92="Sí",'Configuración'!$B$8,0)+IF(N92="Sí",'Configuración'!$B$9,0)+IF(O92="Sí",'Configuración'!$B$10,0)+IF(P92="Sí",'Configuración'!$B$11,0)+IF(Q92="Sí",'Configuración'!$B$12,0)+S92+T92+U92)</f>
        <v>28</v>
      </c>
      <c r="W92" s="39" t="str">
        <f>IF(B92="","",IF(V92&gt;='Configuración'!$B$19,"A",IF(V92&gt;='Configuración'!$B$20,"B",IF(V92&gt;='Configuración'!$B$21,"C","Descarte"))))</f>
        <v>C</v>
      </c>
    </row>
    <row r="93" ht="15.75" customHeight="1">
      <c r="A93" s="34">
        <f t="shared" si="1"/>
        <v>91</v>
      </c>
      <c r="B93" s="29" t="s">
        <v>296</v>
      </c>
      <c r="C93" s="29" t="s">
        <v>713</v>
      </c>
      <c r="D93" s="29" t="s">
        <v>714</v>
      </c>
      <c r="E93" s="29" t="s">
        <v>715</v>
      </c>
      <c r="F93" s="41" t="s">
        <v>716</v>
      </c>
      <c r="G93" s="30" t="s">
        <v>717</v>
      </c>
      <c r="H93" s="30" t="s">
        <v>718</v>
      </c>
      <c r="I93" s="29" t="s">
        <v>310</v>
      </c>
      <c r="J93" s="31">
        <v>1.0</v>
      </c>
      <c r="K93" s="36" t="s">
        <v>119</v>
      </c>
      <c r="L93" s="36" t="s">
        <v>128</v>
      </c>
      <c r="M93" s="36" t="s">
        <v>117</v>
      </c>
      <c r="N93" s="36" t="s">
        <v>119</v>
      </c>
      <c r="O93" s="36" t="s">
        <v>119</v>
      </c>
      <c r="P93" s="35"/>
      <c r="Q93" s="36" t="s">
        <v>119</v>
      </c>
      <c r="R93" s="35"/>
      <c r="S93" s="37">
        <f>IF(B93="","",IF(ISNUMBER(J93),IF(J93&lt;=10,'Configuración'!$B$23,IF(J93&lt;=50,'Configuración'!$B$24,IF(J93&lt;=200,'Configuración'!$B$25,0))),0))</f>
        <v>12</v>
      </c>
      <c r="T93" s="37">
        <f>IF(B93="","",IF(ISNUMBER(SEARCH("information technology",I93))+ISNUMBER(SEARCH("software",I93))+ISNUMBER(SEARCH("internet",I93))+ISNUMBER(SEARCH("computer",I93))+ISNUMBER(SEARCH("saas",I93))+ISNUMBER(SEARCH("fintech",I93))+ISNUMBER(SEARCH("information services",I93))+ISNUMBER(SEARCH("telecommunications",I93))&gt;0,'Configuración'!$B$27,'Configuración'!$B$28))</f>
        <v>4</v>
      </c>
      <c r="U93" s="25">
        <f>IF(B93="","",IF(ISNUMBER(SEARCH("CEO",C93))+ISNUMBER(SEARCH("Founder",C93))+ISNUMBER(SEARCH("Owner",C93))+ISNUMBER(SEARCH("Dueño",C93))+ISNUMBER(SEARCH("Director General",C93))+ISNUMBER(SEARCH("Presidente",C93))+ISNUMBER(SEARCH("President",C93))&gt;0,'Configuración'!$B$31,IF(ISNUMBER(SEARCH("CMO",C93))+ISNUMBER(SEARCH("Chief Marketing",C93))+ISNUMBER(SEARCH("VP Marketing",C93))+ISNUMBER(SEARCH("Director de Marketing",C93))+ISNUMBER(SEARCH("Director Marketing",C93))+ISNUMBER(SEARCH("Head of Marketing",C93))+ISNUMBER(SEARCH("Head Marketing",C93))&gt;0,'Configuración'!$B$32,IF(ISNUMBER(SEARCH("Marketing Manager",C93))+ISNUMBER(SEARCH("Gerente de Marketing",C93))+ISNUMBER(SEARCH("Growth Manager",C93))+ISNUMBER(SEARCH("Demand Gen",C93))+ISNUMBER(SEARCH("Marketing Lead",C93))&gt;0,'Configuración'!$B$33,IF(ISNUMBER(SEARCH("COO",C93))+ISNUMBER(SEARCH("CFO",C93))+ISNUMBER(SEARCH("CTO",C93))+ISNUMBER(SEARCH("Chief Operating",C93))+ISNUMBER(SEARCH("Chief Financial",C93))+ISNUMBER(SEARCH("Gerente General",C93))+ISNUMBER(SEARCH("General Manager",C93))&gt;0,'Configuración'!$B$34,'Configuración'!$B$35)))))</f>
        <v>12</v>
      </c>
      <c r="V93" s="38">
        <f>IF(B93="","",IF(K93="Sí",'Configuración'!$B$5,0)+IF(L93="Semanal",'Configuración'!$B$6,IF(L93="Mensual",'Configuración'!$B$7,0))+IF(M93="Sí",'Configuración'!$B$8,0)+IF(N93="Sí",'Configuración'!$B$9,0)+IF(O93="Sí",'Configuración'!$B$10,0)+IF(P93="Sí",'Configuración'!$B$11,0)+IF(Q93="Sí",'Configuración'!$B$12,0)+S93+T93+U93)</f>
        <v>40</v>
      </c>
      <c r="W93" s="39" t="str">
        <f>IF(B93="","",IF(V93&gt;='Configuración'!$B$19,"A",IF(V93&gt;='Configuración'!$B$20,"B",IF(V93&gt;='Configuración'!$B$21,"C","Descarte"))))</f>
        <v>B</v>
      </c>
    </row>
    <row r="94" ht="15.75" customHeight="1">
      <c r="A94" s="34">
        <f t="shared" si="1"/>
        <v>92</v>
      </c>
      <c r="B94" s="29" t="s">
        <v>223</v>
      </c>
      <c r="C94" s="29" t="s">
        <v>719</v>
      </c>
      <c r="D94" s="29" t="s">
        <v>720</v>
      </c>
      <c r="E94" s="29" t="s">
        <v>721</v>
      </c>
      <c r="F94" s="30" t="s">
        <v>722</v>
      </c>
      <c r="G94" s="30" t="s">
        <v>723</v>
      </c>
      <c r="H94" s="30" t="s">
        <v>724</v>
      </c>
      <c r="I94" s="29" t="s">
        <v>127</v>
      </c>
      <c r="J94" s="31">
        <v>7.0</v>
      </c>
      <c r="K94" s="36" t="s">
        <v>119</v>
      </c>
      <c r="L94" s="36" t="s">
        <v>173</v>
      </c>
      <c r="M94" s="36" t="s">
        <v>119</v>
      </c>
      <c r="N94" s="36" t="s">
        <v>119</v>
      </c>
      <c r="O94" s="36" t="s">
        <v>119</v>
      </c>
      <c r="P94" s="35"/>
      <c r="Q94" s="36" t="s">
        <v>119</v>
      </c>
      <c r="R94" s="36" t="s">
        <v>230</v>
      </c>
      <c r="S94" s="37">
        <f>IF(B94="","",IF(ISNUMBER(J94),IF(J94&lt;=10,'Configuración'!$B$23,IF(J94&lt;=50,'Configuración'!$B$24,IF(J94&lt;=200,'Configuración'!$B$25,0))),0))</f>
        <v>12</v>
      </c>
      <c r="T94" s="37">
        <f>IF(B94="","",IF(ISNUMBER(SEARCH("information technology",I94))+ISNUMBER(SEARCH("software",I94))+ISNUMBER(SEARCH("internet",I94))+ISNUMBER(SEARCH("computer",I94))+ISNUMBER(SEARCH("saas",I94))+ISNUMBER(SEARCH("fintech",I94))+ISNUMBER(SEARCH("information services",I94))+ISNUMBER(SEARCH("telecommunications",I94))&gt;0,'Configuración'!$B$27,'Configuración'!$B$28))</f>
        <v>12</v>
      </c>
      <c r="U94" s="25">
        <f>IF(B94="","",IF(ISNUMBER(SEARCH("CEO",C94))+ISNUMBER(SEARCH("Founder",C94))+ISNUMBER(SEARCH("Owner",C94))+ISNUMBER(SEARCH("Dueño",C94))+ISNUMBER(SEARCH("Director General",C94))+ISNUMBER(SEARCH("Presidente",C94))+ISNUMBER(SEARCH("President",C94))&gt;0,'Configuración'!$B$31,IF(ISNUMBER(SEARCH("CMO",C94))+ISNUMBER(SEARCH("Chief Marketing",C94))+ISNUMBER(SEARCH("VP Marketing",C94))+ISNUMBER(SEARCH("Director de Marketing",C94))+ISNUMBER(SEARCH("Director Marketing",C94))+ISNUMBER(SEARCH("Head of Marketing",C94))+ISNUMBER(SEARCH("Head Marketing",C94))&gt;0,'Configuración'!$B$32,IF(ISNUMBER(SEARCH("Marketing Manager",C94))+ISNUMBER(SEARCH("Gerente de Marketing",C94))+ISNUMBER(SEARCH("Growth Manager",C94))+ISNUMBER(SEARCH("Demand Gen",C94))+ISNUMBER(SEARCH("Marketing Lead",C94))&gt;0,'Configuración'!$B$33,IF(ISNUMBER(SEARCH("COO",C94))+ISNUMBER(SEARCH("CFO",C94))+ISNUMBER(SEARCH("CTO",C94))+ISNUMBER(SEARCH("Chief Operating",C94))+ISNUMBER(SEARCH("Chief Financial",C94))+ISNUMBER(SEARCH("Gerente General",C94))+ISNUMBER(SEARCH("General Manager",C94))&gt;0,'Configuración'!$B$34,'Configuración'!$B$35)))))</f>
        <v>12</v>
      </c>
      <c r="V94" s="38">
        <f>IF(B94="","",IF(K94="Sí",'Configuración'!$B$5,0)+IF(L94="Semanal",'Configuración'!$B$6,IF(L94="Mensual",'Configuración'!$B$7,0))+IF(M94="Sí",'Configuración'!$B$8,0)+IF(N94="Sí",'Configuración'!$B$9,0)+IF(O94="Sí",'Configuración'!$B$10,0)+IF(P94="Sí",'Configuración'!$B$11,0)+IF(Q94="Sí",'Configuración'!$B$12,0)+S94+T94+U94)</f>
        <v>40</v>
      </c>
      <c r="W94" s="39" t="str">
        <f>IF(B94="","",IF(V94&gt;='Configuración'!$B$19,"A",IF(V94&gt;='Configuración'!$B$20,"B",IF(V94&gt;='Configuración'!$B$21,"C","Descarte"))))</f>
        <v>B</v>
      </c>
    </row>
    <row r="95" ht="15.75" customHeight="1">
      <c r="A95" s="34">
        <f t="shared" si="1"/>
        <v>93</v>
      </c>
      <c r="B95" s="29" t="s">
        <v>725</v>
      </c>
      <c r="C95" s="29" t="s">
        <v>131</v>
      </c>
      <c r="D95" s="29" t="s">
        <v>726</v>
      </c>
      <c r="E95" s="29" t="s">
        <v>727</v>
      </c>
      <c r="F95" s="30" t="s">
        <v>728</v>
      </c>
      <c r="G95" s="30" t="s">
        <v>729</v>
      </c>
      <c r="H95" s="30" t="s">
        <v>730</v>
      </c>
      <c r="I95" s="29" t="s">
        <v>188</v>
      </c>
      <c r="J95" s="31">
        <v>8.0</v>
      </c>
      <c r="K95" s="36" t="s">
        <v>119</v>
      </c>
      <c r="L95" s="36" t="s">
        <v>128</v>
      </c>
      <c r="M95" s="36" t="s">
        <v>119</v>
      </c>
      <c r="N95" s="36" t="s">
        <v>119</v>
      </c>
      <c r="O95" s="36" t="s">
        <v>119</v>
      </c>
      <c r="P95" s="35"/>
      <c r="Q95" s="36" t="s">
        <v>119</v>
      </c>
      <c r="R95" s="35"/>
      <c r="S95" s="37">
        <f>IF(B95="","",IF(ISNUMBER(J95),IF(J95&lt;=10,'Configuración'!$B$23,IF(J95&lt;=50,'Configuración'!$B$24,IF(J95&lt;=200,'Configuración'!$B$25,0))),0))</f>
        <v>12</v>
      </c>
      <c r="T95" s="37">
        <f>IF(B95="","",IF(ISNUMBER(SEARCH("information technology",I95))+ISNUMBER(SEARCH("software",I95))+ISNUMBER(SEARCH("internet",I95))+ISNUMBER(SEARCH("computer",I95))+ISNUMBER(SEARCH("saas",I95))+ISNUMBER(SEARCH("fintech",I95))+ISNUMBER(SEARCH("information services",I95))+ISNUMBER(SEARCH("telecommunications",I95))&gt;0,'Configuración'!$B$27,'Configuración'!$B$28))</f>
        <v>4</v>
      </c>
      <c r="U95" s="25">
        <f>IF(B95="","",IF(ISNUMBER(SEARCH("CEO",C95))+ISNUMBER(SEARCH("Founder",C95))+ISNUMBER(SEARCH("Owner",C95))+ISNUMBER(SEARCH("Dueño",C95))+ISNUMBER(SEARCH("Director General",C95))+ISNUMBER(SEARCH("Presidente",C95))+ISNUMBER(SEARCH("President",C95))&gt;0,'Configuración'!$B$31,IF(ISNUMBER(SEARCH("CMO",C95))+ISNUMBER(SEARCH("Chief Marketing",C95))+ISNUMBER(SEARCH("VP Marketing",C95))+ISNUMBER(SEARCH("Director de Marketing",C95))+ISNUMBER(SEARCH("Director Marketing",C95))+ISNUMBER(SEARCH("Head of Marketing",C95))+ISNUMBER(SEARCH("Head Marketing",C95))&gt;0,'Configuración'!$B$32,IF(ISNUMBER(SEARCH("Marketing Manager",C95))+ISNUMBER(SEARCH("Gerente de Marketing",C95))+ISNUMBER(SEARCH("Growth Manager",C95))+ISNUMBER(SEARCH("Demand Gen",C95))+ISNUMBER(SEARCH("Marketing Lead",C95))&gt;0,'Configuración'!$B$33,IF(ISNUMBER(SEARCH("COO",C95))+ISNUMBER(SEARCH("CFO",C95))+ISNUMBER(SEARCH("CTO",C95))+ISNUMBER(SEARCH("Chief Operating",C95))+ISNUMBER(SEARCH("Chief Financial",C95))+ISNUMBER(SEARCH("Gerente General",C95))+ISNUMBER(SEARCH("General Manager",C95))&gt;0,'Configuración'!$B$34,'Configuración'!$B$35)))))</f>
        <v>12</v>
      </c>
      <c r="V95" s="38">
        <f>IF(B95="","",IF(K95="Sí",'Configuración'!$B$5,0)+IF(L95="Semanal",'Configuración'!$B$6,IF(L95="Mensual",'Configuración'!$B$7,0))+IF(M95="Sí",'Configuración'!$B$8,0)+IF(N95="Sí",'Configuración'!$B$9,0)+IF(O95="Sí",'Configuración'!$B$10,0)+IF(P95="Sí",'Configuración'!$B$11,0)+IF(Q95="Sí",'Configuración'!$B$12,0)+S95+T95+U95)</f>
        <v>28</v>
      </c>
      <c r="W95" s="39" t="str">
        <f>IF(B95="","",IF(V95&gt;='Configuración'!$B$19,"A",IF(V95&gt;='Configuración'!$B$20,"B",IF(V95&gt;='Configuración'!$B$21,"C","Descarte"))))</f>
        <v>C</v>
      </c>
    </row>
    <row r="96" ht="15.75" customHeight="1">
      <c r="A96" s="34">
        <f t="shared" si="1"/>
        <v>94</v>
      </c>
      <c r="B96" s="29" t="s">
        <v>262</v>
      </c>
      <c r="C96" s="29" t="s">
        <v>731</v>
      </c>
      <c r="D96" s="29" t="s">
        <v>732</v>
      </c>
      <c r="E96" s="29" t="s">
        <v>733</v>
      </c>
      <c r="F96" s="30" t="s">
        <v>734</v>
      </c>
      <c r="G96" s="30" t="s">
        <v>735</v>
      </c>
      <c r="H96" s="30" t="s">
        <v>736</v>
      </c>
      <c r="I96" s="29" t="s">
        <v>116</v>
      </c>
      <c r="J96" s="31">
        <v>31.0</v>
      </c>
      <c r="K96" s="36" t="s">
        <v>117</v>
      </c>
      <c r="L96" s="36" t="s">
        <v>118</v>
      </c>
      <c r="M96" s="36" t="s">
        <v>117</v>
      </c>
      <c r="N96" s="36" t="s">
        <v>117</v>
      </c>
      <c r="O96" s="36" t="s">
        <v>117</v>
      </c>
      <c r="P96" s="35"/>
      <c r="Q96" s="36" t="s">
        <v>119</v>
      </c>
      <c r="R96" s="35"/>
      <c r="S96" s="37">
        <f>IF(B96="","",IF(ISNUMBER(J96),IF(J96&lt;=10,'Configuración'!$B$23,IF(J96&lt;=50,'Configuración'!$B$24,IF(J96&lt;=200,'Configuración'!$B$25,0))),0))</f>
        <v>4</v>
      </c>
      <c r="T96" s="37">
        <f>IF(B96="","",IF(ISNUMBER(SEARCH("information technology",I96))+ISNUMBER(SEARCH("software",I96))+ISNUMBER(SEARCH("internet",I96))+ISNUMBER(SEARCH("computer",I96))+ISNUMBER(SEARCH("saas",I96))+ISNUMBER(SEARCH("fintech",I96))+ISNUMBER(SEARCH("information services",I96))+ISNUMBER(SEARCH("telecommunications",I96))&gt;0,'Configuración'!$B$27,'Configuración'!$B$28))</f>
        <v>4</v>
      </c>
      <c r="U96" s="25">
        <f>IF(B96="","",IF(ISNUMBER(SEARCH("CEO",C96))+ISNUMBER(SEARCH("Founder",C96))+ISNUMBER(SEARCH("Owner",C96))+ISNUMBER(SEARCH("Dueño",C96))+ISNUMBER(SEARCH("Director General",C96))+ISNUMBER(SEARCH("Presidente",C96))+ISNUMBER(SEARCH("President",C96))&gt;0,'Configuración'!$B$31,IF(ISNUMBER(SEARCH("CMO",C96))+ISNUMBER(SEARCH("Chief Marketing",C96))+ISNUMBER(SEARCH("VP Marketing",C96))+ISNUMBER(SEARCH("Director de Marketing",C96))+ISNUMBER(SEARCH("Director Marketing",C96))+ISNUMBER(SEARCH("Head of Marketing",C96))+ISNUMBER(SEARCH("Head Marketing",C96))&gt;0,'Configuración'!$B$32,IF(ISNUMBER(SEARCH("Marketing Manager",C96))+ISNUMBER(SEARCH("Gerente de Marketing",C96))+ISNUMBER(SEARCH("Growth Manager",C96))+ISNUMBER(SEARCH("Demand Gen",C96))+ISNUMBER(SEARCH("Marketing Lead",C96))&gt;0,'Configuración'!$B$33,IF(ISNUMBER(SEARCH("COO",C96))+ISNUMBER(SEARCH("CFO",C96))+ISNUMBER(SEARCH("CTO",C96))+ISNUMBER(SEARCH("Chief Operating",C96))+ISNUMBER(SEARCH("Chief Financial",C96))+ISNUMBER(SEARCH("Gerente General",C96))+ISNUMBER(SEARCH("General Manager",C96))&gt;0,'Configuración'!$B$34,'Configuración'!$B$35)))))</f>
        <v>12</v>
      </c>
      <c r="V96" s="38">
        <f>IF(B96="","",IF(K96="Sí",'Configuración'!$B$5,0)+IF(L96="Semanal",'Configuración'!$B$6,IF(L96="Mensual",'Configuración'!$B$7,0))+IF(M96="Sí",'Configuración'!$B$8,0)+IF(N96="Sí",'Configuración'!$B$9,0)+IF(O96="Sí",'Configuración'!$B$10,0)+IF(P96="Sí",'Configuración'!$B$11,0)+IF(Q96="Sí",'Configuración'!$B$12,0)+S96+T96+U96)</f>
        <v>68</v>
      </c>
      <c r="W96" s="39" t="str">
        <f>IF(B96="","",IF(V96&gt;='Configuración'!$B$19,"A",IF(V96&gt;='Configuración'!$B$20,"B",IF(V96&gt;='Configuración'!$B$21,"C","Descarte"))))</f>
        <v>A</v>
      </c>
    </row>
    <row r="97" ht="15.75" customHeight="1">
      <c r="A97" s="34">
        <f t="shared" si="1"/>
        <v>95</v>
      </c>
      <c r="B97" s="29" t="s">
        <v>737</v>
      </c>
      <c r="C97" s="29"/>
      <c r="D97" s="29" t="s">
        <v>738</v>
      </c>
      <c r="E97" s="29" t="s">
        <v>739</v>
      </c>
      <c r="F97" s="30" t="s">
        <v>740</v>
      </c>
      <c r="G97" s="30" t="s">
        <v>741</v>
      </c>
      <c r="H97" s="30" t="s">
        <v>742</v>
      </c>
      <c r="I97" s="29" t="s">
        <v>743</v>
      </c>
      <c r="J97" s="31">
        <v>33.0</v>
      </c>
      <c r="K97" s="36" t="s">
        <v>119</v>
      </c>
      <c r="L97" s="36" t="s">
        <v>118</v>
      </c>
      <c r="M97" s="36" t="s">
        <v>117</v>
      </c>
      <c r="N97" s="36" t="s">
        <v>119</v>
      </c>
      <c r="O97" s="36" t="s">
        <v>119</v>
      </c>
      <c r="P97" s="35"/>
      <c r="Q97" s="36" t="s">
        <v>119</v>
      </c>
      <c r="R97" s="35"/>
      <c r="S97" s="37">
        <f>IF(B97="","",IF(ISNUMBER(J97),IF(J97&lt;=10,'Configuración'!$B$23,IF(J97&lt;=50,'Configuración'!$B$24,IF(J97&lt;=200,'Configuración'!$B$25,0))),0))</f>
        <v>4</v>
      </c>
      <c r="T97" s="37">
        <f>IF(B97="","",IF(ISNUMBER(SEARCH("information technology",I97))+ISNUMBER(SEARCH("software",I97))+ISNUMBER(SEARCH("internet",I97))+ISNUMBER(SEARCH("computer",I97))+ISNUMBER(SEARCH("saas",I97))+ISNUMBER(SEARCH("fintech",I97))+ISNUMBER(SEARCH("information services",I97))+ISNUMBER(SEARCH("telecommunications",I97))&gt;0,'Configuración'!$B$27,'Configuración'!$B$28))</f>
        <v>4</v>
      </c>
      <c r="U97" s="25">
        <f>IF(B97="","",IF(ISNUMBER(SEARCH("CEO",C97))+ISNUMBER(SEARCH("Founder",C97))+ISNUMBER(SEARCH("Owner",C97))+ISNUMBER(SEARCH("Dueño",C97))+ISNUMBER(SEARCH("Director General",C97))+ISNUMBER(SEARCH("Presidente",C97))+ISNUMBER(SEARCH("President",C97))&gt;0,'Configuración'!$B$31,IF(ISNUMBER(SEARCH("CMO",C97))+ISNUMBER(SEARCH("Chief Marketing",C97))+ISNUMBER(SEARCH("VP Marketing",C97))+ISNUMBER(SEARCH("Director de Marketing",C97))+ISNUMBER(SEARCH("Director Marketing",C97))+ISNUMBER(SEARCH("Head of Marketing",C97))+ISNUMBER(SEARCH("Head Marketing",C97))&gt;0,'Configuración'!$B$32,IF(ISNUMBER(SEARCH("Marketing Manager",C97))+ISNUMBER(SEARCH("Gerente de Marketing",C97))+ISNUMBER(SEARCH("Growth Manager",C97))+ISNUMBER(SEARCH("Demand Gen",C97))+ISNUMBER(SEARCH("Marketing Lead",C97))&gt;0,'Configuración'!$B$33,IF(ISNUMBER(SEARCH("COO",C97))+ISNUMBER(SEARCH("CFO",C97))+ISNUMBER(SEARCH("CTO",C97))+ISNUMBER(SEARCH("Chief Operating",C97))+ISNUMBER(SEARCH("Chief Financial",C97))+ISNUMBER(SEARCH("Gerente General",C97))+ISNUMBER(SEARCH("General Manager",C97))&gt;0,'Configuración'!$B$34,'Configuración'!$B$35)))))</f>
        <v>0</v>
      </c>
      <c r="V97" s="38">
        <f>IF(B97="","",IF(K97="Sí",'Configuración'!$B$5,0)+IF(L97="Semanal",'Configuración'!$B$6,IF(L97="Mensual",'Configuración'!$B$7,0))+IF(M97="Sí",'Configuración'!$B$8,0)+IF(N97="Sí",'Configuración'!$B$9,0)+IF(O97="Sí",'Configuración'!$B$10,0)+IF(P97="Sí",'Configuración'!$B$11,0)+IF(Q97="Sí",'Configuración'!$B$12,0)+S97+T97+U97)</f>
        <v>32</v>
      </c>
      <c r="W97" s="39" t="str">
        <f>IF(B97="","",IF(V97&gt;='Configuración'!$B$19,"A",IF(V97&gt;='Configuración'!$B$20,"B",IF(V97&gt;='Configuración'!$B$21,"C","Descarte"))))</f>
        <v>C</v>
      </c>
    </row>
    <row r="98" ht="15.75" customHeight="1">
      <c r="A98" s="34">
        <f t="shared" si="1"/>
        <v>96</v>
      </c>
      <c r="B98" s="29" t="s">
        <v>236</v>
      </c>
      <c r="C98" s="29" t="s">
        <v>131</v>
      </c>
      <c r="D98" s="29" t="s">
        <v>744</v>
      </c>
      <c r="E98" s="29" t="s">
        <v>745</v>
      </c>
      <c r="F98" s="30" t="s">
        <v>746</v>
      </c>
      <c r="G98" s="30" t="s">
        <v>747</v>
      </c>
      <c r="H98" s="30" t="s">
        <v>748</v>
      </c>
      <c r="I98" s="29" t="s">
        <v>188</v>
      </c>
      <c r="J98" s="31">
        <v>11.0</v>
      </c>
      <c r="K98" s="36" t="s">
        <v>119</v>
      </c>
      <c r="L98" s="36" t="s">
        <v>128</v>
      </c>
      <c r="M98" s="36" t="s">
        <v>117</v>
      </c>
      <c r="N98" s="36" t="s">
        <v>119</v>
      </c>
      <c r="O98" s="36" t="s">
        <v>119</v>
      </c>
      <c r="P98" s="35"/>
      <c r="Q98" s="36" t="s">
        <v>119</v>
      </c>
      <c r="R98" s="35"/>
      <c r="S98" s="37">
        <f>IF(B98="","",IF(ISNUMBER(J98),IF(J98&lt;=10,'Configuración'!$B$23,IF(J98&lt;=50,'Configuración'!$B$24,IF(J98&lt;=200,'Configuración'!$B$25,0))),0))</f>
        <v>4</v>
      </c>
      <c r="T98" s="37">
        <f>IF(B98="","",IF(ISNUMBER(SEARCH("information technology",I98))+ISNUMBER(SEARCH("software",I98))+ISNUMBER(SEARCH("internet",I98))+ISNUMBER(SEARCH("computer",I98))+ISNUMBER(SEARCH("saas",I98))+ISNUMBER(SEARCH("fintech",I98))+ISNUMBER(SEARCH("information services",I98))+ISNUMBER(SEARCH("telecommunications",I98))&gt;0,'Configuración'!$B$27,'Configuración'!$B$28))</f>
        <v>4</v>
      </c>
      <c r="U98" s="25">
        <f>IF(B98="","",IF(ISNUMBER(SEARCH("CEO",C98))+ISNUMBER(SEARCH("Founder",C98))+ISNUMBER(SEARCH("Owner",C98))+ISNUMBER(SEARCH("Dueño",C98))+ISNUMBER(SEARCH("Director General",C98))+ISNUMBER(SEARCH("Presidente",C98))+ISNUMBER(SEARCH("President",C98))&gt;0,'Configuración'!$B$31,IF(ISNUMBER(SEARCH("CMO",C98))+ISNUMBER(SEARCH("Chief Marketing",C98))+ISNUMBER(SEARCH("VP Marketing",C98))+ISNUMBER(SEARCH("Director de Marketing",C98))+ISNUMBER(SEARCH("Director Marketing",C98))+ISNUMBER(SEARCH("Head of Marketing",C98))+ISNUMBER(SEARCH("Head Marketing",C98))&gt;0,'Configuración'!$B$32,IF(ISNUMBER(SEARCH("Marketing Manager",C98))+ISNUMBER(SEARCH("Gerente de Marketing",C98))+ISNUMBER(SEARCH("Growth Manager",C98))+ISNUMBER(SEARCH("Demand Gen",C98))+ISNUMBER(SEARCH("Marketing Lead",C98))&gt;0,'Configuración'!$B$33,IF(ISNUMBER(SEARCH("COO",C98))+ISNUMBER(SEARCH("CFO",C98))+ISNUMBER(SEARCH("CTO",C98))+ISNUMBER(SEARCH("Chief Operating",C98))+ISNUMBER(SEARCH("Chief Financial",C98))+ISNUMBER(SEARCH("Gerente General",C98))+ISNUMBER(SEARCH("General Manager",C98))&gt;0,'Configuración'!$B$34,'Configuración'!$B$35)))))</f>
        <v>12</v>
      </c>
      <c r="V98" s="38">
        <f>IF(B98="","",IF(K98="Sí",'Configuración'!$B$5,0)+IF(L98="Semanal",'Configuración'!$B$6,IF(L98="Mensual",'Configuración'!$B$7,0))+IF(M98="Sí",'Configuración'!$B$8,0)+IF(N98="Sí",'Configuración'!$B$9,0)+IF(O98="Sí",'Configuración'!$B$10,0)+IF(P98="Sí",'Configuración'!$B$11,0)+IF(Q98="Sí",'Configuración'!$B$12,0)+S98+T98+U98)</f>
        <v>32</v>
      </c>
      <c r="W98" s="39" t="str">
        <f>IF(B98="","",IF(V98&gt;='Configuración'!$B$19,"A",IF(V98&gt;='Configuración'!$B$20,"B",IF(V98&gt;='Configuración'!$B$21,"C","Descarte"))))</f>
        <v>C</v>
      </c>
    </row>
    <row r="99" ht="15.75" customHeight="1">
      <c r="A99" s="34">
        <f t="shared" si="1"/>
        <v>97</v>
      </c>
      <c r="B99" s="29" t="s">
        <v>749</v>
      </c>
      <c r="C99" s="29" t="s">
        <v>224</v>
      </c>
      <c r="D99" s="29" t="s">
        <v>750</v>
      </c>
      <c r="E99" s="29" t="s">
        <v>751</v>
      </c>
      <c r="F99" s="30" t="s">
        <v>752</v>
      </c>
      <c r="G99" s="30" t="s">
        <v>753</v>
      </c>
      <c r="H99" s="30" t="s">
        <v>754</v>
      </c>
      <c r="I99" s="29" t="s">
        <v>127</v>
      </c>
      <c r="J99" s="31">
        <v>13.0</v>
      </c>
      <c r="K99" s="36" t="s">
        <v>117</v>
      </c>
      <c r="L99" s="36" t="s">
        <v>173</v>
      </c>
      <c r="M99" s="36" t="s">
        <v>117</v>
      </c>
      <c r="N99" s="36" t="s">
        <v>119</v>
      </c>
      <c r="O99" s="36" t="s">
        <v>119</v>
      </c>
      <c r="P99" s="35"/>
      <c r="Q99" s="36" t="s">
        <v>119</v>
      </c>
      <c r="R99" s="36" t="s">
        <v>230</v>
      </c>
      <c r="S99" s="37">
        <f>IF(B99="","",IF(ISNUMBER(J99),IF(J99&lt;=10,'Configuración'!$B$23,IF(J99&lt;=50,'Configuración'!$B$24,IF(J99&lt;=200,'Configuración'!$B$25,0))),0))</f>
        <v>4</v>
      </c>
      <c r="T99" s="37">
        <f>IF(B99="","",IF(ISNUMBER(SEARCH("information technology",I99))+ISNUMBER(SEARCH("software",I99))+ISNUMBER(SEARCH("internet",I99))+ISNUMBER(SEARCH("computer",I99))+ISNUMBER(SEARCH("saas",I99))+ISNUMBER(SEARCH("fintech",I99))+ISNUMBER(SEARCH("information services",I99))+ISNUMBER(SEARCH("telecommunications",I99))&gt;0,'Configuración'!$B$27,'Configuración'!$B$28))</f>
        <v>12</v>
      </c>
      <c r="U99" s="25">
        <f>IF(B99="","",IF(ISNUMBER(SEARCH("CEO",C99))+ISNUMBER(SEARCH("Founder",C99))+ISNUMBER(SEARCH("Owner",C99))+ISNUMBER(SEARCH("Dueño",C99))+ISNUMBER(SEARCH("Director General",C99))+ISNUMBER(SEARCH("Presidente",C99))+ISNUMBER(SEARCH("President",C99))&gt;0,'Configuración'!$B$31,IF(ISNUMBER(SEARCH("CMO",C99))+ISNUMBER(SEARCH("Chief Marketing",C99))+ISNUMBER(SEARCH("VP Marketing",C99))+ISNUMBER(SEARCH("Director de Marketing",C99))+ISNUMBER(SEARCH("Director Marketing",C99))+ISNUMBER(SEARCH("Head of Marketing",C99))+ISNUMBER(SEARCH("Head Marketing",C99))&gt;0,'Configuración'!$B$32,IF(ISNUMBER(SEARCH("Marketing Manager",C99))+ISNUMBER(SEARCH("Gerente de Marketing",C99))+ISNUMBER(SEARCH("Growth Manager",C99))+ISNUMBER(SEARCH("Demand Gen",C99))+ISNUMBER(SEARCH("Marketing Lead",C99))&gt;0,'Configuración'!$B$33,IF(ISNUMBER(SEARCH("COO",C99))+ISNUMBER(SEARCH("CFO",C99))+ISNUMBER(SEARCH("CTO",C99))+ISNUMBER(SEARCH("Chief Operating",C99))+ISNUMBER(SEARCH("Chief Financial",C99))+ISNUMBER(SEARCH("Gerente General",C99))+ISNUMBER(SEARCH("General Manager",C99))&gt;0,'Configuración'!$B$34,'Configuración'!$B$35)))))</f>
        <v>12</v>
      </c>
      <c r="V99" s="38">
        <f>IF(B99="","",IF(K99="Sí",'Configuración'!$B$5,0)+IF(L99="Semanal",'Configuración'!$B$6,IF(L99="Mensual",'Configuración'!$B$7,0))+IF(M99="Sí",'Configuración'!$B$8,0)+IF(N99="Sí",'Configuración'!$B$9,0)+IF(O99="Sí",'Configuración'!$B$10,0)+IF(P99="Sí",'Configuración'!$B$11,0)+IF(Q99="Sí",'Configuración'!$B$12,0)+S99+T99+U99)</f>
        <v>56</v>
      </c>
      <c r="W99" s="39" t="str">
        <f>IF(B99="","",IF(V99&gt;='Configuración'!$B$19,"A",IF(V99&gt;='Configuración'!$B$20,"B",IF(V99&gt;='Configuración'!$B$21,"C","Descarte"))))</f>
        <v>B</v>
      </c>
    </row>
    <row r="100" ht="15.75" customHeight="1">
      <c r="A100" s="34">
        <f t="shared" si="1"/>
        <v>98</v>
      </c>
      <c r="B100" s="29" t="s">
        <v>755</v>
      </c>
      <c r="C100" s="29" t="s">
        <v>756</v>
      </c>
      <c r="D100" s="29" t="s">
        <v>757</v>
      </c>
      <c r="E100" s="29" t="s">
        <v>758</v>
      </c>
      <c r="F100" s="30" t="s">
        <v>759</v>
      </c>
      <c r="G100" s="30" t="s">
        <v>760</v>
      </c>
      <c r="H100" s="30" t="s">
        <v>761</v>
      </c>
      <c r="I100" s="29" t="s">
        <v>310</v>
      </c>
      <c r="J100" s="31">
        <v>17.0</v>
      </c>
      <c r="K100" s="36" t="s">
        <v>119</v>
      </c>
      <c r="L100" s="36" t="s">
        <v>118</v>
      </c>
      <c r="M100" s="36" t="s">
        <v>119</v>
      </c>
      <c r="N100" s="36" t="s">
        <v>119</v>
      </c>
      <c r="O100" s="36" t="s">
        <v>119</v>
      </c>
      <c r="P100" s="35"/>
      <c r="Q100" s="36" t="s">
        <v>119</v>
      </c>
      <c r="R100" s="35"/>
      <c r="S100" s="37">
        <f>IF(B100="","",IF(ISNUMBER(J100),IF(J100&lt;=10,'Configuración'!$B$23,IF(J100&lt;=50,'Configuración'!$B$24,IF(J100&lt;=200,'Configuración'!$B$25,0))),0))</f>
        <v>4</v>
      </c>
      <c r="T100" s="37">
        <f>IF(B100="","",IF(ISNUMBER(SEARCH("information technology",I100))+ISNUMBER(SEARCH("software",I100))+ISNUMBER(SEARCH("internet",I100))+ISNUMBER(SEARCH("computer",I100))+ISNUMBER(SEARCH("saas",I100))+ISNUMBER(SEARCH("fintech",I100))+ISNUMBER(SEARCH("information services",I100))+ISNUMBER(SEARCH("telecommunications",I100))&gt;0,'Configuración'!$B$27,'Configuración'!$B$28))</f>
        <v>4</v>
      </c>
      <c r="U100" s="25">
        <f>IF(B100="","",IF(ISNUMBER(SEARCH("CEO",C100))+ISNUMBER(SEARCH("Founder",C100))+ISNUMBER(SEARCH("Owner",C100))+ISNUMBER(SEARCH("Dueño",C100))+ISNUMBER(SEARCH("Director General",C100))+ISNUMBER(SEARCH("Presidente",C100))+ISNUMBER(SEARCH("President",C100))&gt;0,'Configuración'!$B$31,IF(ISNUMBER(SEARCH("CMO",C100))+ISNUMBER(SEARCH("Chief Marketing",C100))+ISNUMBER(SEARCH("VP Marketing",C100))+ISNUMBER(SEARCH("Director de Marketing",C100))+ISNUMBER(SEARCH("Director Marketing",C100))+ISNUMBER(SEARCH("Head of Marketing",C100))+ISNUMBER(SEARCH("Head Marketing",C100))&gt;0,'Configuración'!$B$32,IF(ISNUMBER(SEARCH("Marketing Manager",C100))+ISNUMBER(SEARCH("Gerente de Marketing",C100))+ISNUMBER(SEARCH("Growth Manager",C100))+ISNUMBER(SEARCH("Demand Gen",C100))+ISNUMBER(SEARCH("Marketing Lead",C100))&gt;0,'Configuración'!$B$33,IF(ISNUMBER(SEARCH("COO",C100))+ISNUMBER(SEARCH("CFO",C100))+ISNUMBER(SEARCH("CTO",C100))+ISNUMBER(SEARCH("Chief Operating",C100))+ISNUMBER(SEARCH("Chief Financial",C100))+ISNUMBER(SEARCH("Gerente General",C100))+ISNUMBER(SEARCH("General Manager",C100))&gt;0,'Configuración'!$B$34,'Configuración'!$B$35)))))</f>
        <v>12</v>
      </c>
      <c r="V100" s="38">
        <f>IF(B100="","",IF(K100="Sí",'Configuración'!$B$5,0)+IF(L100="Semanal",'Configuración'!$B$6,IF(L100="Mensual",'Configuración'!$B$7,0))+IF(M100="Sí",'Configuración'!$B$8,0)+IF(N100="Sí",'Configuración'!$B$9,0)+IF(O100="Sí",'Configuración'!$B$10,0)+IF(P100="Sí",'Configuración'!$B$11,0)+IF(Q100="Sí",'Configuración'!$B$12,0)+S100+T100+U100)</f>
        <v>32</v>
      </c>
      <c r="W100" s="39" t="str">
        <f>IF(B100="","",IF(V100&gt;='Configuración'!$B$19,"A",IF(V100&gt;='Configuración'!$B$20,"B",IF(V100&gt;='Configuración'!$B$21,"C","Descarte"))))</f>
        <v>C</v>
      </c>
    </row>
    <row r="101" ht="15.75" customHeight="1">
      <c r="A101" s="34">
        <f t="shared" si="1"/>
        <v>99</v>
      </c>
      <c r="B101" s="29" t="s">
        <v>762</v>
      </c>
      <c r="C101" s="29" t="s">
        <v>763</v>
      </c>
      <c r="D101" s="29" t="s">
        <v>764</v>
      </c>
      <c r="E101" s="29" t="s">
        <v>765</v>
      </c>
      <c r="F101" s="30" t="s">
        <v>766</v>
      </c>
      <c r="G101" s="30" t="s">
        <v>767</v>
      </c>
      <c r="H101" s="30" t="s">
        <v>768</v>
      </c>
      <c r="I101" s="29" t="s">
        <v>769</v>
      </c>
      <c r="J101" s="31">
        <v>15.0</v>
      </c>
      <c r="K101" s="36" t="s">
        <v>119</v>
      </c>
      <c r="L101" s="36" t="s">
        <v>118</v>
      </c>
      <c r="M101" s="36" t="s">
        <v>119</v>
      </c>
      <c r="N101" s="36" t="s">
        <v>119</v>
      </c>
      <c r="O101" s="36" t="s">
        <v>119</v>
      </c>
      <c r="P101" s="35"/>
      <c r="Q101" s="36" t="s">
        <v>119</v>
      </c>
      <c r="R101" s="35"/>
      <c r="S101" s="37">
        <f>IF(B101="","",IF(ISNUMBER(J101),IF(J101&lt;=10,'Configuración'!$B$23,IF(J101&lt;=50,'Configuración'!$B$24,IF(J101&lt;=200,'Configuración'!$B$25,0))),0))</f>
        <v>4</v>
      </c>
      <c r="T101" s="37">
        <f>IF(B101="","",IF(ISNUMBER(SEARCH("information technology",I101))+ISNUMBER(SEARCH("software",I101))+ISNUMBER(SEARCH("internet",I101))+ISNUMBER(SEARCH("computer",I101))+ISNUMBER(SEARCH("saas",I101))+ISNUMBER(SEARCH("fintech",I101))+ISNUMBER(SEARCH("information services",I101))+ISNUMBER(SEARCH("telecommunications",I101))&gt;0,'Configuración'!$B$27,'Configuración'!$B$28))</f>
        <v>4</v>
      </c>
      <c r="U101" s="25">
        <f>IF(B101="","",IF(ISNUMBER(SEARCH("CEO",C101))+ISNUMBER(SEARCH("Founder",C101))+ISNUMBER(SEARCH("Owner",C101))+ISNUMBER(SEARCH("Dueño",C101))+ISNUMBER(SEARCH("Director General",C101))+ISNUMBER(SEARCH("Presidente",C101))+ISNUMBER(SEARCH("President",C101))&gt;0,'Configuración'!$B$31,IF(ISNUMBER(SEARCH("CMO",C101))+ISNUMBER(SEARCH("Chief Marketing",C101))+ISNUMBER(SEARCH("VP Marketing",C101))+ISNUMBER(SEARCH("Director de Marketing",C101))+ISNUMBER(SEARCH("Director Marketing",C101))+ISNUMBER(SEARCH("Head of Marketing",C101))+ISNUMBER(SEARCH("Head Marketing",C101))&gt;0,'Configuración'!$B$32,IF(ISNUMBER(SEARCH("Marketing Manager",C101))+ISNUMBER(SEARCH("Gerente de Marketing",C101))+ISNUMBER(SEARCH("Growth Manager",C101))+ISNUMBER(SEARCH("Demand Gen",C101))+ISNUMBER(SEARCH("Marketing Lead",C101))&gt;0,'Configuración'!$B$33,IF(ISNUMBER(SEARCH("COO",C101))+ISNUMBER(SEARCH("CFO",C101))+ISNUMBER(SEARCH("CTO",C101))+ISNUMBER(SEARCH("Chief Operating",C101))+ISNUMBER(SEARCH("Chief Financial",C101))+ISNUMBER(SEARCH("Gerente General",C101))+ISNUMBER(SEARCH("General Manager",C101))&gt;0,'Configuración'!$B$34,'Configuración'!$B$35)))))</f>
        <v>12</v>
      </c>
      <c r="V101" s="38">
        <f>IF(B101="","",IF(K101="Sí",'Configuración'!$B$5,0)+IF(L101="Semanal",'Configuración'!$B$6,IF(L101="Mensual",'Configuración'!$B$7,0))+IF(M101="Sí",'Configuración'!$B$8,0)+IF(N101="Sí",'Configuración'!$B$9,0)+IF(O101="Sí",'Configuración'!$B$10,0)+IF(P101="Sí",'Configuración'!$B$11,0)+IF(Q101="Sí",'Configuración'!$B$12,0)+S101+T101+U101)</f>
        <v>32</v>
      </c>
      <c r="W101" s="39" t="str">
        <f>IF(B101="","",IF(V101&gt;='Configuración'!$B$19,"A",IF(V101&gt;='Configuración'!$B$20,"B",IF(V101&gt;='Configuración'!$B$21,"C","Descarte"))))</f>
        <v>C</v>
      </c>
    </row>
    <row r="102" ht="15.75" customHeight="1">
      <c r="A102" s="34">
        <f t="shared" si="1"/>
        <v>100</v>
      </c>
      <c r="B102" s="29" t="s">
        <v>770</v>
      </c>
      <c r="C102" s="29" t="s">
        <v>202</v>
      </c>
      <c r="D102" s="29" t="s">
        <v>771</v>
      </c>
      <c r="E102" s="29" t="s">
        <v>772</v>
      </c>
      <c r="F102" s="30" t="s">
        <v>773</v>
      </c>
      <c r="G102" s="30" t="s">
        <v>774</v>
      </c>
      <c r="H102" s="30" t="s">
        <v>775</v>
      </c>
      <c r="I102" s="29" t="s">
        <v>776</v>
      </c>
      <c r="J102" s="31">
        <v>11.0</v>
      </c>
      <c r="K102" s="36" t="s">
        <v>119</v>
      </c>
      <c r="L102" s="36" t="s">
        <v>128</v>
      </c>
      <c r="M102" s="36" t="s">
        <v>117</v>
      </c>
      <c r="N102" s="36" t="s">
        <v>119</v>
      </c>
      <c r="O102" s="36" t="s">
        <v>119</v>
      </c>
      <c r="P102" s="35"/>
      <c r="Q102" s="36" t="s">
        <v>119</v>
      </c>
      <c r="R102" s="36" t="s">
        <v>208</v>
      </c>
      <c r="S102" s="37">
        <f>IF(B102="","",IF(ISNUMBER(J102),IF(J102&lt;=10,'Configuración'!$B$23,IF(J102&lt;=50,'Configuración'!$B$24,IF(J102&lt;=200,'Configuración'!$B$25,0))),0))</f>
        <v>4</v>
      </c>
      <c r="T102" s="37">
        <f>IF(B102="","",IF(ISNUMBER(SEARCH("information technology",I102))+ISNUMBER(SEARCH("software",I102))+ISNUMBER(SEARCH("internet",I102))+ISNUMBER(SEARCH("computer",I102))+ISNUMBER(SEARCH("saas",I102))+ISNUMBER(SEARCH("fintech",I102))+ISNUMBER(SEARCH("information services",I102))+ISNUMBER(SEARCH("telecommunications",I102))&gt;0,'Configuración'!$B$27,'Configuración'!$B$28))</f>
        <v>4</v>
      </c>
      <c r="U102" s="25">
        <f>IF(B102="","",IF(ISNUMBER(SEARCH("CEO",C102))+ISNUMBER(SEARCH("Founder",C102))+ISNUMBER(SEARCH("Owner",C102))+ISNUMBER(SEARCH("Dueño",C102))+ISNUMBER(SEARCH("Director General",C102))+ISNUMBER(SEARCH("Presidente",C102))+ISNUMBER(SEARCH("President",C102))&gt;0,'Configuración'!$B$31,IF(ISNUMBER(SEARCH("CMO",C102))+ISNUMBER(SEARCH("Chief Marketing",C102))+ISNUMBER(SEARCH("VP Marketing",C102))+ISNUMBER(SEARCH("Director de Marketing",C102))+ISNUMBER(SEARCH("Director Marketing",C102))+ISNUMBER(SEARCH("Head of Marketing",C102))+ISNUMBER(SEARCH("Head Marketing",C102))&gt;0,'Configuración'!$B$32,IF(ISNUMBER(SEARCH("Marketing Manager",C102))+ISNUMBER(SEARCH("Gerente de Marketing",C102))+ISNUMBER(SEARCH("Growth Manager",C102))+ISNUMBER(SEARCH("Demand Gen",C102))+ISNUMBER(SEARCH("Marketing Lead",C102))&gt;0,'Configuración'!$B$33,IF(ISNUMBER(SEARCH("COO",C102))+ISNUMBER(SEARCH("CFO",C102))+ISNUMBER(SEARCH("CTO",C102))+ISNUMBER(SEARCH("Chief Operating",C102))+ISNUMBER(SEARCH("Chief Financial",C102))+ISNUMBER(SEARCH("Gerente General",C102))+ISNUMBER(SEARCH("General Manager",C102))&gt;0,'Configuración'!$B$34,'Configuración'!$B$35)))))</f>
        <v>12</v>
      </c>
      <c r="V102" s="38">
        <f>IF(B102="","",IF(K102="Sí",'Configuración'!$B$5,0)+IF(L102="Semanal",'Configuración'!$B$6,IF(L102="Mensual",'Configuración'!$B$7,0))+IF(M102="Sí",'Configuración'!$B$8,0)+IF(N102="Sí",'Configuración'!$B$9,0)+IF(O102="Sí",'Configuración'!$B$10,0)+IF(P102="Sí",'Configuración'!$B$11,0)+IF(Q102="Sí",'Configuración'!$B$12,0)+S102+T102+U102)</f>
        <v>32</v>
      </c>
      <c r="W102" s="39" t="str">
        <f>IF(B102="","",IF(V102&gt;='Configuración'!$B$19,"A",IF(V102&gt;='Configuración'!$B$20,"B",IF(V102&gt;='Configuración'!$B$21,"C","Descarte"))))</f>
        <v>C</v>
      </c>
    </row>
    <row r="103" ht="15.75" customHeight="1">
      <c r="A103" s="34">
        <f t="shared" si="1"/>
        <v>101</v>
      </c>
      <c r="B103" s="29" t="s">
        <v>777</v>
      </c>
      <c r="C103" s="29" t="s">
        <v>778</v>
      </c>
      <c r="D103" s="29" t="s">
        <v>779</v>
      </c>
      <c r="E103" s="29" t="s">
        <v>780</v>
      </c>
      <c r="F103" s="30" t="s">
        <v>781</v>
      </c>
      <c r="G103" s="30" t="s">
        <v>782</v>
      </c>
      <c r="H103" s="30" t="s">
        <v>783</v>
      </c>
      <c r="I103" s="29" t="s">
        <v>127</v>
      </c>
      <c r="J103" s="31">
        <v>4.0</v>
      </c>
      <c r="K103" s="36" t="s">
        <v>119</v>
      </c>
      <c r="L103" s="36" t="s">
        <v>128</v>
      </c>
      <c r="M103" s="36" t="s">
        <v>119</v>
      </c>
      <c r="N103" s="36" t="s">
        <v>119</v>
      </c>
      <c r="O103" s="36" t="s">
        <v>119</v>
      </c>
      <c r="P103" s="35"/>
      <c r="Q103" s="36" t="s">
        <v>119</v>
      </c>
      <c r="R103" s="36" t="s">
        <v>230</v>
      </c>
      <c r="S103" s="37">
        <f>IF(B103="","",IF(ISNUMBER(J103),IF(J103&lt;=10,'Configuración'!$B$23,IF(J103&lt;=50,'Configuración'!$B$24,IF(J103&lt;=200,'Configuración'!$B$25,0))),0))</f>
        <v>12</v>
      </c>
      <c r="T103" s="37">
        <f>IF(B103="","",IF(ISNUMBER(SEARCH("information technology",I103))+ISNUMBER(SEARCH("software",I103))+ISNUMBER(SEARCH("internet",I103))+ISNUMBER(SEARCH("computer",I103))+ISNUMBER(SEARCH("saas",I103))+ISNUMBER(SEARCH("fintech",I103))+ISNUMBER(SEARCH("information services",I103))+ISNUMBER(SEARCH("telecommunications",I103))&gt;0,'Configuración'!$B$27,'Configuración'!$B$28))</f>
        <v>12</v>
      </c>
      <c r="U103" s="25">
        <f>IF(B103="","",IF(ISNUMBER(SEARCH("CEO",C103))+ISNUMBER(SEARCH("Founder",C103))+ISNUMBER(SEARCH("Owner",C103))+ISNUMBER(SEARCH("Dueño",C103))+ISNUMBER(SEARCH("Director General",C103))+ISNUMBER(SEARCH("Presidente",C103))+ISNUMBER(SEARCH("President",C103))&gt;0,'Configuración'!$B$31,IF(ISNUMBER(SEARCH("CMO",C103))+ISNUMBER(SEARCH("Chief Marketing",C103))+ISNUMBER(SEARCH("VP Marketing",C103))+ISNUMBER(SEARCH("Director de Marketing",C103))+ISNUMBER(SEARCH("Director Marketing",C103))+ISNUMBER(SEARCH("Head of Marketing",C103))+ISNUMBER(SEARCH("Head Marketing",C103))&gt;0,'Configuración'!$B$32,IF(ISNUMBER(SEARCH("Marketing Manager",C103))+ISNUMBER(SEARCH("Gerente de Marketing",C103))+ISNUMBER(SEARCH("Growth Manager",C103))+ISNUMBER(SEARCH("Demand Gen",C103))+ISNUMBER(SEARCH("Marketing Lead",C103))&gt;0,'Configuración'!$B$33,IF(ISNUMBER(SEARCH("COO",C103))+ISNUMBER(SEARCH("CFO",C103))+ISNUMBER(SEARCH("CTO",C103))+ISNUMBER(SEARCH("Chief Operating",C103))+ISNUMBER(SEARCH("Chief Financial",C103))+ISNUMBER(SEARCH("Gerente General",C103))+ISNUMBER(SEARCH("General Manager",C103))&gt;0,'Configuración'!$B$34,'Configuración'!$B$35)))))</f>
        <v>12</v>
      </c>
      <c r="V103" s="38">
        <f>IF(B103="","",IF(K103="Sí",'Configuración'!$B$5,0)+IF(L103="Semanal",'Configuración'!$B$6,IF(L103="Mensual",'Configuración'!$B$7,0))+IF(M103="Sí",'Configuración'!$B$8,0)+IF(N103="Sí",'Configuración'!$B$9,0)+IF(O103="Sí",'Configuración'!$B$10,0)+IF(P103="Sí",'Configuración'!$B$11,0)+IF(Q103="Sí",'Configuración'!$B$12,0)+S103+T103+U103)</f>
        <v>36</v>
      </c>
      <c r="W103" s="39" t="str">
        <f>IF(B103="","",IF(V103&gt;='Configuración'!$B$19,"A",IF(V103&gt;='Configuración'!$B$20,"B",IF(V103&gt;='Configuración'!$B$21,"C","Descarte"))))</f>
        <v>C</v>
      </c>
    </row>
    <row r="104" ht="15.75" customHeight="1">
      <c r="A104" s="34">
        <f t="shared" si="1"/>
        <v>102</v>
      </c>
      <c r="B104" s="29" t="s">
        <v>784</v>
      </c>
      <c r="C104" s="29" t="s">
        <v>785</v>
      </c>
      <c r="D104" s="29" t="s">
        <v>786</v>
      </c>
      <c r="E104" s="29" t="s">
        <v>787</v>
      </c>
      <c r="F104" s="30" t="s">
        <v>788</v>
      </c>
      <c r="G104" s="30" t="s">
        <v>789</v>
      </c>
      <c r="H104" s="30" t="s">
        <v>790</v>
      </c>
      <c r="I104" s="29" t="s">
        <v>350</v>
      </c>
      <c r="J104" s="31">
        <v>2.0</v>
      </c>
      <c r="K104" s="36" t="s">
        <v>119</v>
      </c>
      <c r="L104" s="36" t="s">
        <v>128</v>
      </c>
      <c r="M104" s="36" t="s">
        <v>117</v>
      </c>
      <c r="N104" s="36" t="s">
        <v>119</v>
      </c>
      <c r="O104" s="36" t="s">
        <v>119</v>
      </c>
      <c r="P104" s="35"/>
      <c r="Q104" s="36" t="s">
        <v>119</v>
      </c>
      <c r="R104" s="35"/>
      <c r="S104" s="37">
        <f>IF(B104="","",IF(ISNUMBER(J104),IF(J104&lt;=10,'Configuración'!$B$23,IF(J104&lt;=50,'Configuración'!$B$24,IF(J104&lt;=200,'Configuración'!$B$25,0))),0))</f>
        <v>12</v>
      </c>
      <c r="T104" s="37">
        <f>IF(B104="","",IF(ISNUMBER(SEARCH("information technology",I104))+ISNUMBER(SEARCH("software",I104))+ISNUMBER(SEARCH("internet",I104))+ISNUMBER(SEARCH("computer",I104))+ISNUMBER(SEARCH("saas",I104))+ISNUMBER(SEARCH("fintech",I104))+ISNUMBER(SEARCH("information services",I104))+ISNUMBER(SEARCH("telecommunications",I104))&gt;0,'Configuración'!$B$27,'Configuración'!$B$28))</f>
        <v>4</v>
      </c>
      <c r="U104" s="25">
        <f>IF(B104="","",IF(ISNUMBER(SEARCH("CEO",C104))+ISNUMBER(SEARCH("Founder",C104))+ISNUMBER(SEARCH("Owner",C104))+ISNUMBER(SEARCH("Dueño",C104))+ISNUMBER(SEARCH("Director General",C104))+ISNUMBER(SEARCH("Presidente",C104))+ISNUMBER(SEARCH("President",C104))&gt;0,'Configuración'!$B$31,IF(ISNUMBER(SEARCH("CMO",C104))+ISNUMBER(SEARCH("Chief Marketing",C104))+ISNUMBER(SEARCH("VP Marketing",C104))+ISNUMBER(SEARCH("Director de Marketing",C104))+ISNUMBER(SEARCH("Director Marketing",C104))+ISNUMBER(SEARCH("Head of Marketing",C104))+ISNUMBER(SEARCH("Head Marketing",C104))&gt;0,'Configuración'!$B$32,IF(ISNUMBER(SEARCH("Marketing Manager",C104))+ISNUMBER(SEARCH("Gerente de Marketing",C104))+ISNUMBER(SEARCH("Growth Manager",C104))+ISNUMBER(SEARCH("Demand Gen",C104))+ISNUMBER(SEARCH("Marketing Lead",C104))&gt;0,'Configuración'!$B$33,IF(ISNUMBER(SEARCH("COO",C104))+ISNUMBER(SEARCH("CFO",C104))+ISNUMBER(SEARCH("CTO",C104))+ISNUMBER(SEARCH("Chief Operating",C104))+ISNUMBER(SEARCH("Chief Financial",C104))+ISNUMBER(SEARCH("Gerente General",C104))+ISNUMBER(SEARCH("General Manager",C104))&gt;0,'Configuración'!$B$34,'Configuración'!$B$35)))))</f>
        <v>0</v>
      </c>
      <c r="V104" s="38">
        <f>IF(B104="","",IF(K104="Sí",'Configuración'!$B$5,0)+IF(L104="Semanal",'Configuración'!$B$6,IF(L104="Mensual",'Configuración'!$B$7,0))+IF(M104="Sí",'Configuración'!$B$8,0)+IF(N104="Sí",'Configuración'!$B$9,0)+IF(O104="Sí",'Configuración'!$B$10,0)+IF(P104="Sí",'Configuración'!$B$11,0)+IF(Q104="Sí",'Configuración'!$B$12,0)+S104+T104+U104)</f>
        <v>28</v>
      </c>
      <c r="W104" s="39" t="str">
        <f>IF(B104="","",IF(V104&gt;='Configuración'!$B$19,"A",IF(V104&gt;='Configuración'!$B$20,"B",IF(V104&gt;='Configuración'!$B$21,"C","Descarte"))))</f>
        <v>C</v>
      </c>
    </row>
    <row r="105" ht="15.75" customHeight="1">
      <c r="A105" s="34">
        <f t="shared" si="1"/>
        <v>103</v>
      </c>
      <c r="B105" s="29" t="s">
        <v>223</v>
      </c>
      <c r="C105" s="29" t="s">
        <v>131</v>
      </c>
      <c r="D105" s="29" t="s">
        <v>791</v>
      </c>
      <c r="E105" s="29" t="s">
        <v>792</v>
      </c>
      <c r="F105" s="30" t="s">
        <v>793</v>
      </c>
      <c r="G105" s="30" t="s">
        <v>794</v>
      </c>
      <c r="H105" s="30" t="s">
        <v>795</v>
      </c>
      <c r="I105" s="29" t="s">
        <v>145</v>
      </c>
      <c r="J105" s="31">
        <v>12.0</v>
      </c>
      <c r="K105" s="36" t="s">
        <v>117</v>
      </c>
      <c r="L105" s="36" t="s">
        <v>118</v>
      </c>
      <c r="M105" s="36" t="s">
        <v>117</v>
      </c>
      <c r="N105" s="36" t="s">
        <v>119</v>
      </c>
      <c r="O105" s="36" t="s">
        <v>119</v>
      </c>
      <c r="P105" s="35"/>
      <c r="Q105" s="36" t="s">
        <v>119</v>
      </c>
      <c r="R105" s="35"/>
      <c r="S105" s="37">
        <f>IF(B105="","",IF(ISNUMBER(J105),IF(J105&lt;=10,'Configuración'!$B$23,IF(J105&lt;=50,'Configuración'!$B$24,IF(J105&lt;=200,'Configuración'!$B$25,0))),0))</f>
        <v>4</v>
      </c>
      <c r="T105" s="37">
        <f>IF(B105="","",IF(ISNUMBER(SEARCH("information technology",I105))+ISNUMBER(SEARCH("software",I105))+ISNUMBER(SEARCH("internet",I105))+ISNUMBER(SEARCH("computer",I105))+ISNUMBER(SEARCH("saas",I105))+ISNUMBER(SEARCH("fintech",I105))+ISNUMBER(SEARCH("information services",I105))+ISNUMBER(SEARCH("telecommunications",I105))&gt;0,'Configuración'!$B$27,'Configuración'!$B$28))</f>
        <v>4</v>
      </c>
      <c r="U105" s="25">
        <f>IF(B105="","",IF(ISNUMBER(SEARCH("CEO",C105))+ISNUMBER(SEARCH("Founder",C105))+ISNUMBER(SEARCH("Owner",C105))+ISNUMBER(SEARCH("Dueño",C105))+ISNUMBER(SEARCH("Director General",C105))+ISNUMBER(SEARCH("Presidente",C105))+ISNUMBER(SEARCH("President",C105))&gt;0,'Configuración'!$B$31,IF(ISNUMBER(SEARCH("CMO",C105))+ISNUMBER(SEARCH("Chief Marketing",C105))+ISNUMBER(SEARCH("VP Marketing",C105))+ISNUMBER(SEARCH("Director de Marketing",C105))+ISNUMBER(SEARCH("Director Marketing",C105))+ISNUMBER(SEARCH("Head of Marketing",C105))+ISNUMBER(SEARCH("Head Marketing",C105))&gt;0,'Configuración'!$B$32,IF(ISNUMBER(SEARCH("Marketing Manager",C105))+ISNUMBER(SEARCH("Gerente de Marketing",C105))+ISNUMBER(SEARCH("Growth Manager",C105))+ISNUMBER(SEARCH("Demand Gen",C105))+ISNUMBER(SEARCH("Marketing Lead",C105))&gt;0,'Configuración'!$B$33,IF(ISNUMBER(SEARCH("COO",C105))+ISNUMBER(SEARCH("CFO",C105))+ISNUMBER(SEARCH("CTO",C105))+ISNUMBER(SEARCH("Chief Operating",C105))+ISNUMBER(SEARCH("Chief Financial",C105))+ISNUMBER(SEARCH("Gerente General",C105))+ISNUMBER(SEARCH("General Manager",C105))&gt;0,'Configuración'!$B$34,'Configuración'!$B$35)))))</f>
        <v>12</v>
      </c>
      <c r="V105" s="38">
        <f>IF(B105="","",IF(K105="Sí",'Configuración'!$B$5,0)+IF(L105="Semanal",'Configuración'!$B$6,IF(L105="Mensual",'Configuración'!$B$7,0))+IF(M105="Sí",'Configuración'!$B$8,0)+IF(N105="Sí",'Configuración'!$B$9,0)+IF(O105="Sí",'Configuración'!$B$10,0)+IF(P105="Sí",'Configuración'!$B$11,0)+IF(Q105="Sí",'Configuración'!$B$12,0)+S105+T105+U105)</f>
        <v>56</v>
      </c>
      <c r="W105" s="39" t="str">
        <f>IF(B105="","",IF(V105&gt;='Configuración'!$B$19,"A",IF(V105&gt;='Configuración'!$B$20,"B",IF(V105&gt;='Configuración'!$B$21,"C","Descarte"))))</f>
        <v>B</v>
      </c>
    </row>
    <row r="106" ht="15.75" customHeight="1">
      <c r="A106" s="34">
        <f t="shared" si="1"/>
        <v>104</v>
      </c>
      <c r="B106" s="29" t="s">
        <v>324</v>
      </c>
      <c r="C106" s="29" t="s">
        <v>796</v>
      </c>
      <c r="D106" s="29" t="s">
        <v>797</v>
      </c>
      <c r="E106" s="29" t="s">
        <v>798</v>
      </c>
      <c r="F106" s="30" t="s">
        <v>799</v>
      </c>
      <c r="G106" s="30" t="s">
        <v>800</v>
      </c>
      <c r="H106" s="30" t="s">
        <v>801</v>
      </c>
      <c r="I106" s="29" t="s">
        <v>659</v>
      </c>
      <c r="J106" s="31">
        <v>2.0</v>
      </c>
      <c r="K106" s="36" t="s">
        <v>119</v>
      </c>
      <c r="L106" s="36" t="s">
        <v>173</v>
      </c>
      <c r="M106" s="36" t="s">
        <v>117</v>
      </c>
      <c r="N106" s="36" t="s">
        <v>119</v>
      </c>
      <c r="O106" s="36" t="s">
        <v>119</v>
      </c>
      <c r="P106" s="35"/>
      <c r="Q106" s="36" t="s">
        <v>119</v>
      </c>
      <c r="R106" s="35"/>
      <c r="S106" s="37">
        <f>IF(B106="","",IF(ISNUMBER(J106),IF(J106&lt;=10,'Configuración'!$B$23,IF(J106&lt;=50,'Configuración'!$B$24,IF(J106&lt;=200,'Configuración'!$B$25,0))),0))</f>
        <v>12</v>
      </c>
      <c r="T106" s="37">
        <f>IF(B106="","",IF(ISNUMBER(SEARCH("information technology",I106))+ISNUMBER(SEARCH("software",I106))+ISNUMBER(SEARCH("internet",I106))+ISNUMBER(SEARCH("computer",I106))+ISNUMBER(SEARCH("saas",I106))+ISNUMBER(SEARCH("fintech",I106))+ISNUMBER(SEARCH("information services",I106))+ISNUMBER(SEARCH("telecommunications",I106))&gt;0,'Configuración'!$B$27,'Configuración'!$B$28))</f>
        <v>4</v>
      </c>
      <c r="U106" s="25">
        <f>IF(B106="","",IF(ISNUMBER(SEARCH("CEO",C106))+ISNUMBER(SEARCH("Founder",C106))+ISNUMBER(SEARCH("Owner",C106))+ISNUMBER(SEARCH("Dueño",C106))+ISNUMBER(SEARCH("Director General",C106))+ISNUMBER(SEARCH("Presidente",C106))+ISNUMBER(SEARCH("President",C106))&gt;0,'Configuración'!$B$31,IF(ISNUMBER(SEARCH("CMO",C106))+ISNUMBER(SEARCH("Chief Marketing",C106))+ISNUMBER(SEARCH("VP Marketing",C106))+ISNUMBER(SEARCH("Director de Marketing",C106))+ISNUMBER(SEARCH("Director Marketing",C106))+ISNUMBER(SEARCH("Head of Marketing",C106))+ISNUMBER(SEARCH("Head Marketing",C106))&gt;0,'Configuración'!$B$32,IF(ISNUMBER(SEARCH("Marketing Manager",C106))+ISNUMBER(SEARCH("Gerente de Marketing",C106))+ISNUMBER(SEARCH("Growth Manager",C106))+ISNUMBER(SEARCH("Demand Gen",C106))+ISNUMBER(SEARCH("Marketing Lead",C106))&gt;0,'Configuración'!$B$33,IF(ISNUMBER(SEARCH("COO",C106))+ISNUMBER(SEARCH("CFO",C106))+ISNUMBER(SEARCH("CTO",C106))+ISNUMBER(SEARCH("Chief Operating",C106))+ISNUMBER(SEARCH("Chief Financial",C106))+ISNUMBER(SEARCH("Gerente General",C106))+ISNUMBER(SEARCH("General Manager",C106))&gt;0,'Configuración'!$B$34,'Configuración'!$B$35)))))</f>
        <v>12</v>
      </c>
      <c r="V106" s="38">
        <f>IF(B106="","",IF(K106="Sí",'Configuración'!$B$5,0)+IF(L106="Semanal",'Configuración'!$B$6,IF(L106="Mensual",'Configuración'!$B$7,0))+IF(M106="Sí",'Configuración'!$B$8,0)+IF(N106="Sí",'Configuración'!$B$9,0)+IF(O106="Sí",'Configuración'!$B$10,0)+IF(P106="Sí",'Configuración'!$B$11,0)+IF(Q106="Sí",'Configuración'!$B$12,0)+S106+T106+U106)</f>
        <v>44</v>
      </c>
      <c r="W106" s="39" t="str">
        <f>IF(B106="","",IF(V106&gt;='Configuración'!$B$19,"A",IF(V106&gt;='Configuración'!$B$20,"B",IF(V106&gt;='Configuración'!$B$21,"C","Descarte"))))</f>
        <v>B</v>
      </c>
    </row>
    <row r="107" ht="15.75" customHeight="1">
      <c r="A107" s="34">
        <f t="shared" si="1"/>
        <v>105</v>
      </c>
      <c r="B107" s="29" t="s">
        <v>351</v>
      </c>
      <c r="C107" s="29" t="s">
        <v>591</v>
      </c>
      <c r="D107" s="29" t="s">
        <v>802</v>
      </c>
      <c r="E107" s="29" t="s">
        <v>803</v>
      </c>
      <c r="F107" s="30" t="s">
        <v>804</v>
      </c>
      <c r="G107" s="30" t="s">
        <v>805</v>
      </c>
      <c r="H107" s="30" t="s">
        <v>806</v>
      </c>
      <c r="I107" s="29" t="s">
        <v>188</v>
      </c>
      <c r="J107" s="31">
        <v>4.0</v>
      </c>
      <c r="K107" s="36" t="s">
        <v>119</v>
      </c>
      <c r="L107" s="36" t="s">
        <v>128</v>
      </c>
      <c r="M107" s="36" t="s">
        <v>119</v>
      </c>
      <c r="N107" s="36" t="s">
        <v>117</v>
      </c>
      <c r="O107" s="36" t="s">
        <v>119</v>
      </c>
      <c r="P107" s="35"/>
      <c r="Q107" s="36" t="s">
        <v>119</v>
      </c>
      <c r="R107" s="35"/>
      <c r="S107" s="37">
        <f>IF(B107="","",IF(ISNUMBER(J107),IF(J107&lt;=10,'Configuración'!$B$23,IF(J107&lt;=50,'Configuración'!$B$24,IF(J107&lt;=200,'Configuración'!$B$25,0))),0))</f>
        <v>12</v>
      </c>
      <c r="T107" s="37">
        <f>IF(B107="","",IF(ISNUMBER(SEARCH("information technology",I107))+ISNUMBER(SEARCH("software",I107))+ISNUMBER(SEARCH("internet",I107))+ISNUMBER(SEARCH("computer",I107))+ISNUMBER(SEARCH("saas",I107))+ISNUMBER(SEARCH("fintech",I107))+ISNUMBER(SEARCH("information services",I107))+ISNUMBER(SEARCH("telecommunications",I107))&gt;0,'Configuración'!$B$27,'Configuración'!$B$28))</f>
        <v>4</v>
      </c>
      <c r="U107" s="25">
        <f>IF(B107="","",IF(ISNUMBER(SEARCH("CEO",C107))+ISNUMBER(SEARCH("Founder",C107))+ISNUMBER(SEARCH("Owner",C107))+ISNUMBER(SEARCH("Dueño",C107))+ISNUMBER(SEARCH("Director General",C107))+ISNUMBER(SEARCH("Presidente",C107))+ISNUMBER(SEARCH("President",C107))&gt;0,'Configuración'!$B$31,IF(ISNUMBER(SEARCH("CMO",C107))+ISNUMBER(SEARCH("Chief Marketing",C107))+ISNUMBER(SEARCH("VP Marketing",C107))+ISNUMBER(SEARCH("Director de Marketing",C107))+ISNUMBER(SEARCH("Director Marketing",C107))+ISNUMBER(SEARCH("Head of Marketing",C107))+ISNUMBER(SEARCH("Head Marketing",C107))&gt;0,'Configuración'!$B$32,IF(ISNUMBER(SEARCH("Marketing Manager",C107))+ISNUMBER(SEARCH("Gerente de Marketing",C107))+ISNUMBER(SEARCH("Growth Manager",C107))+ISNUMBER(SEARCH("Demand Gen",C107))+ISNUMBER(SEARCH("Marketing Lead",C107))&gt;0,'Configuración'!$B$33,IF(ISNUMBER(SEARCH("COO",C107))+ISNUMBER(SEARCH("CFO",C107))+ISNUMBER(SEARCH("CTO",C107))+ISNUMBER(SEARCH("Chief Operating",C107))+ISNUMBER(SEARCH("Chief Financial",C107))+ISNUMBER(SEARCH("Gerente General",C107))+ISNUMBER(SEARCH("General Manager",C107))&gt;0,'Configuración'!$B$34,'Configuración'!$B$35)))))</f>
        <v>12</v>
      </c>
      <c r="V107" s="38">
        <f>IF(B107="","",IF(K107="Sí",'Configuración'!$B$5,0)+IF(L107="Semanal",'Configuración'!$B$6,IF(L107="Mensual",'Configuración'!$B$7,0))+IF(M107="Sí",'Configuración'!$B$8,0)+IF(N107="Sí",'Configuración'!$B$9,0)+IF(O107="Sí",'Configuración'!$B$10,0)+IF(P107="Sí",'Configuración'!$B$11,0)+IF(Q107="Sí",'Configuración'!$B$12,0)+S107+T107+U107)</f>
        <v>32</v>
      </c>
      <c r="W107" s="39" t="str">
        <f>IF(B107="","",IF(V107&gt;='Configuración'!$B$19,"A",IF(V107&gt;='Configuración'!$B$20,"B",IF(V107&gt;='Configuración'!$B$21,"C","Descarte"))))</f>
        <v>C</v>
      </c>
    </row>
    <row r="108" ht="15.75" customHeight="1">
      <c r="A108" s="34">
        <f t="shared" si="1"/>
        <v>106</v>
      </c>
      <c r="B108" s="29" t="s">
        <v>351</v>
      </c>
      <c r="C108" s="29" t="s">
        <v>807</v>
      </c>
      <c r="D108" s="29" t="s">
        <v>808</v>
      </c>
      <c r="E108" s="29" t="s">
        <v>809</v>
      </c>
      <c r="F108" s="30" t="s">
        <v>810</v>
      </c>
      <c r="G108" s="30" t="s">
        <v>811</v>
      </c>
      <c r="H108" s="30" t="s">
        <v>812</v>
      </c>
      <c r="I108" s="29" t="s">
        <v>428</v>
      </c>
      <c r="J108" s="31">
        <v>13.0</v>
      </c>
      <c r="K108" s="36" t="s">
        <v>119</v>
      </c>
      <c r="L108" s="36" t="s">
        <v>118</v>
      </c>
      <c r="M108" s="36" t="s">
        <v>117</v>
      </c>
      <c r="N108" s="36" t="s">
        <v>119</v>
      </c>
      <c r="O108" s="36" t="s">
        <v>119</v>
      </c>
      <c r="P108" s="35"/>
      <c r="Q108" s="36" t="s">
        <v>119</v>
      </c>
      <c r="R108" s="35"/>
      <c r="S108" s="37">
        <f>IF(B108="","",IF(ISNUMBER(J108),IF(J108&lt;=10,'Configuración'!$B$23,IF(J108&lt;=50,'Configuración'!$B$24,IF(J108&lt;=200,'Configuración'!$B$25,0))),0))</f>
        <v>4</v>
      </c>
      <c r="T108" s="37">
        <f>IF(B108="","",IF(ISNUMBER(SEARCH("information technology",I108))+ISNUMBER(SEARCH("software",I108))+ISNUMBER(SEARCH("internet",I108))+ISNUMBER(SEARCH("computer",I108))+ISNUMBER(SEARCH("saas",I108))+ISNUMBER(SEARCH("fintech",I108))+ISNUMBER(SEARCH("information services",I108))+ISNUMBER(SEARCH("telecommunications",I108))&gt;0,'Configuración'!$B$27,'Configuración'!$B$28))</f>
        <v>12</v>
      </c>
      <c r="U108" s="25">
        <f>IF(B108="","",IF(ISNUMBER(SEARCH("CEO",C108))+ISNUMBER(SEARCH("Founder",C108))+ISNUMBER(SEARCH("Owner",C108))+ISNUMBER(SEARCH("Dueño",C108))+ISNUMBER(SEARCH("Director General",C108))+ISNUMBER(SEARCH("Presidente",C108))+ISNUMBER(SEARCH("President",C108))&gt;0,'Configuración'!$B$31,IF(ISNUMBER(SEARCH("CMO",C108))+ISNUMBER(SEARCH("Chief Marketing",C108))+ISNUMBER(SEARCH("VP Marketing",C108))+ISNUMBER(SEARCH("Director de Marketing",C108))+ISNUMBER(SEARCH("Director Marketing",C108))+ISNUMBER(SEARCH("Head of Marketing",C108))+ISNUMBER(SEARCH("Head Marketing",C108))&gt;0,'Configuración'!$B$32,IF(ISNUMBER(SEARCH("Marketing Manager",C108))+ISNUMBER(SEARCH("Gerente de Marketing",C108))+ISNUMBER(SEARCH("Growth Manager",C108))+ISNUMBER(SEARCH("Demand Gen",C108))+ISNUMBER(SEARCH("Marketing Lead",C108))&gt;0,'Configuración'!$B$33,IF(ISNUMBER(SEARCH("COO",C108))+ISNUMBER(SEARCH("CFO",C108))+ISNUMBER(SEARCH("CTO",C108))+ISNUMBER(SEARCH("Chief Operating",C108))+ISNUMBER(SEARCH("Chief Financial",C108))+ISNUMBER(SEARCH("Gerente General",C108))+ISNUMBER(SEARCH("General Manager",C108))&gt;0,'Configuración'!$B$34,'Configuración'!$B$35)))))</f>
        <v>12</v>
      </c>
      <c r="V108" s="38">
        <f>IF(B108="","",IF(K108="Sí",'Configuración'!$B$5,0)+IF(L108="Semanal",'Configuración'!$B$6,IF(L108="Mensual",'Configuración'!$B$7,0))+IF(M108="Sí",'Configuración'!$B$8,0)+IF(N108="Sí",'Configuración'!$B$9,0)+IF(O108="Sí",'Configuración'!$B$10,0)+IF(P108="Sí",'Configuración'!$B$11,0)+IF(Q108="Sí",'Configuración'!$B$12,0)+S108+T108+U108)</f>
        <v>52</v>
      </c>
      <c r="W108" s="39" t="str">
        <f>IF(B108="","",IF(V108&gt;='Configuración'!$B$19,"A",IF(V108&gt;='Configuración'!$B$20,"B",IF(V108&gt;='Configuración'!$B$21,"C","Descarte"))))</f>
        <v>B</v>
      </c>
    </row>
    <row r="109" ht="15.75" customHeight="1">
      <c r="A109" s="34">
        <f t="shared" si="1"/>
        <v>107</v>
      </c>
      <c r="B109" s="29" t="s">
        <v>813</v>
      </c>
      <c r="C109" s="29" t="s">
        <v>160</v>
      </c>
      <c r="D109" s="29" t="s">
        <v>814</v>
      </c>
      <c r="E109" s="29" t="s">
        <v>815</v>
      </c>
      <c r="F109" s="30" t="s">
        <v>816</v>
      </c>
      <c r="G109" s="30" t="s">
        <v>817</v>
      </c>
      <c r="H109" s="30" t="s">
        <v>818</v>
      </c>
      <c r="I109" s="29" t="s">
        <v>222</v>
      </c>
      <c r="J109" s="31">
        <v>9.0</v>
      </c>
      <c r="K109" s="36" t="s">
        <v>119</v>
      </c>
      <c r="L109" s="36" t="s">
        <v>128</v>
      </c>
      <c r="M109" s="36" t="s">
        <v>117</v>
      </c>
      <c r="N109" s="36" t="s">
        <v>119</v>
      </c>
      <c r="O109" s="36" t="s">
        <v>119</v>
      </c>
      <c r="P109" s="35"/>
      <c r="Q109" s="36" t="s">
        <v>119</v>
      </c>
      <c r="R109" s="35"/>
      <c r="S109" s="37">
        <f>IF(B109="","",IF(ISNUMBER(J109),IF(J109&lt;=10,'Configuración'!$B$23,IF(J109&lt;=50,'Configuración'!$B$24,IF(J109&lt;=200,'Configuración'!$B$25,0))),0))</f>
        <v>12</v>
      </c>
      <c r="T109" s="37">
        <f>IF(B109="","",IF(ISNUMBER(SEARCH("information technology",I109))+ISNUMBER(SEARCH("software",I109))+ISNUMBER(SEARCH("internet",I109))+ISNUMBER(SEARCH("computer",I109))+ISNUMBER(SEARCH("saas",I109))+ISNUMBER(SEARCH("fintech",I109))+ISNUMBER(SEARCH("information services",I109))+ISNUMBER(SEARCH("telecommunications",I109))&gt;0,'Configuración'!$B$27,'Configuración'!$B$28))</f>
        <v>4</v>
      </c>
      <c r="U109" s="25">
        <f>IF(B109="","",IF(ISNUMBER(SEARCH("CEO",C109))+ISNUMBER(SEARCH("Founder",C109))+ISNUMBER(SEARCH("Owner",C109))+ISNUMBER(SEARCH("Dueño",C109))+ISNUMBER(SEARCH("Director General",C109))+ISNUMBER(SEARCH("Presidente",C109))+ISNUMBER(SEARCH("President",C109))&gt;0,'Configuración'!$B$31,IF(ISNUMBER(SEARCH("CMO",C109))+ISNUMBER(SEARCH("Chief Marketing",C109))+ISNUMBER(SEARCH("VP Marketing",C109))+ISNUMBER(SEARCH("Director de Marketing",C109))+ISNUMBER(SEARCH("Director Marketing",C109))+ISNUMBER(SEARCH("Head of Marketing",C109))+ISNUMBER(SEARCH("Head Marketing",C109))&gt;0,'Configuración'!$B$32,IF(ISNUMBER(SEARCH("Marketing Manager",C109))+ISNUMBER(SEARCH("Gerente de Marketing",C109))+ISNUMBER(SEARCH("Growth Manager",C109))+ISNUMBER(SEARCH("Demand Gen",C109))+ISNUMBER(SEARCH("Marketing Lead",C109))&gt;0,'Configuración'!$B$33,IF(ISNUMBER(SEARCH("COO",C109))+ISNUMBER(SEARCH("CFO",C109))+ISNUMBER(SEARCH("CTO",C109))+ISNUMBER(SEARCH("Chief Operating",C109))+ISNUMBER(SEARCH("Chief Financial",C109))+ISNUMBER(SEARCH("Gerente General",C109))+ISNUMBER(SEARCH("General Manager",C109))&gt;0,'Configuración'!$B$34,'Configuración'!$B$35)))))</f>
        <v>0</v>
      </c>
      <c r="V109" s="38">
        <f>IF(B109="","",IF(K109="Sí",'Configuración'!$B$5,0)+IF(L109="Semanal",'Configuración'!$B$6,IF(L109="Mensual",'Configuración'!$B$7,0))+IF(M109="Sí",'Configuración'!$B$8,0)+IF(N109="Sí",'Configuración'!$B$9,0)+IF(O109="Sí",'Configuración'!$B$10,0)+IF(P109="Sí",'Configuración'!$B$11,0)+IF(Q109="Sí",'Configuración'!$B$12,0)+S109+T109+U109)</f>
        <v>28</v>
      </c>
      <c r="W109" s="39" t="str">
        <f>IF(B109="","",IF(V109&gt;='Configuración'!$B$19,"A",IF(V109&gt;='Configuración'!$B$20,"B",IF(V109&gt;='Configuración'!$B$21,"C","Descarte"))))</f>
        <v>C</v>
      </c>
    </row>
    <row r="110" ht="15.75" customHeight="1">
      <c r="A110" s="34">
        <f t="shared" si="1"/>
        <v>108</v>
      </c>
      <c r="B110" s="29" t="s">
        <v>819</v>
      </c>
      <c r="C110" s="29" t="s">
        <v>820</v>
      </c>
      <c r="D110" s="29" t="s">
        <v>821</v>
      </c>
      <c r="E110" s="29" t="s">
        <v>822</v>
      </c>
      <c r="F110" s="30" t="s">
        <v>823</v>
      </c>
      <c r="G110" s="30" t="s">
        <v>824</v>
      </c>
      <c r="H110" s="30" t="s">
        <v>825</v>
      </c>
      <c r="I110" s="29" t="s">
        <v>188</v>
      </c>
      <c r="J110" s="31">
        <v>8.0</v>
      </c>
      <c r="K110" s="36" t="s">
        <v>117</v>
      </c>
      <c r="L110" s="36" t="s">
        <v>118</v>
      </c>
      <c r="M110" s="36" t="s">
        <v>117</v>
      </c>
      <c r="N110" s="36" t="s">
        <v>119</v>
      </c>
      <c r="O110" s="36" t="s">
        <v>119</v>
      </c>
      <c r="P110" s="35"/>
      <c r="Q110" s="36" t="s">
        <v>119</v>
      </c>
      <c r="R110" s="35"/>
      <c r="S110" s="37">
        <f>IF(B110="","",IF(ISNUMBER(J110),IF(J110&lt;=10,'Configuración'!$B$23,IF(J110&lt;=50,'Configuración'!$B$24,IF(J110&lt;=200,'Configuración'!$B$25,0))),0))</f>
        <v>12</v>
      </c>
      <c r="T110" s="37">
        <f>IF(B110="","",IF(ISNUMBER(SEARCH("information technology",I110))+ISNUMBER(SEARCH("software",I110))+ISNUMBER(SEARCH("internet",I110))+ISNUMBER(SEARCH("computer",I110))+ISNUMBER(SEARCH("saas",I110))+ISNUMBER(SEARCH("fintech",I110))+ISNUMBER(SEARCH("information services",I110))+ISNUMBER(SEARCH("telecommunications",I110))&gt;0,'Configuración'!$B$27,'Configuración'!$B$28))</f>
        <v>4</v>
      </c>
      <c r="U110" s="25">
        <f>IF(B110="","",IF(ISNUMBER(SEARCH("CEO",C110))+ISNUMBER(SEARCH("Founder",C110))+ISNUMBER(SEARCH("Owner",C110))+ISNUMBER(SEARCH("Dueño",C110))+ISNUMBER(SEARCH("Director General",C110))+ISNUMBER(SEARCH("Presidente",C110))+ISNUMBER(SEARCH("President",C110))&gt;0,'Configuración'!$B$31,IF(ISNUMBER(SEARCH("CMO",C110))+ISNUMBER(SEARCH("Chief Marketing",C110))+ISNUMBER(SEARCH("VP Marketing",C110))+ISNUMBER(SEARCH("Director de Marketing",C110))+ISNUMBER(SEARCH("Director Marketing",C110))+ISNUMBER(SEARCH("Head of Marketing",C110))+ISNUMBER(SEARCH("Head Marketing",C110))&gt;0,'Configuración'!$B$32,IF(ISNUMBER(SEARCH("Marketing Manager",C110))+ISNUMBER(SEARCH("Gerente de Marketing",C110))+ISNUMBER(SEARCH("Growth Manager",C110))+ISNUMBER(SEARCH("Demand Gen",C110))+ISNUMBER(SEARCH("Marketing Lead",C110))&gt;0,'Configuración'!$B$33,IF(ISNUMBER(SEARCH("COO",C110))+ISNUMBER(SEARCH("CFO",C110))+ISNUMBER(SEARCH("CTO",C110))+ISNUMBER(SEARCH("Chief Operating",C110))+ISNUMBER(SEARCH("Chief Financial",C110))+ISNUMBER(SEARCH("Gerente General",C110))+ISNUMBER(SEARCH("General Manager",C110))&gt;0,'Configuración'!$B$34,'Configuración'!$B$35)))))</f>
        <v>12</v>
      </c>
      <c r="V110" s="38">
        <f>IF(B110="","",IF(K110="Sí",'Configuración'!$B$5,0)+IF(L110="Semanal",'Configuración'!$B$6,IF(L110="Mensual",'Configuración'!$B$7,0))+IF(M110="Sí",'Configuración'!$B$8,0)+IF(N110="Sí",'Configuración'!$B$9,0)+IF(O110="Sí",'Configuración'!$B$10,0)+IF(P110="Sí",'Configuración'!$B$11,0)+IF(Q110="Sí",'Configuración'!$B$12,0)+S110+T110+U110)</f>
        <v>64</v>
      </c>
      <c r="W110" s="39" t="str">
        <f>IF(B110="","",IF(V110&gt;='Configuración'!$B$19,"A",IF(V110&gt;='Configuración'!$B$20,"B",IF(V110&gt;='Configuración'!$B$21,"C","Descarte"))))</f>
        <v>A</v>
      </c>
    </row>
    <row r="111" ht="15.75" customHeight="1">
      <c r="A111" s="34">
        <f t="shared" si="1"/>
        <v>109</v>
      </c>
      <c r="B111" s="29" t="s">
        <v>826</v>
      </c>
      <c r="C111" s="29" t="s">
        <v>131</v>
      </c>
      <c r="D111" s="29" t="s">
        <v>827</v>
      </c>
      <c r="E111" s="29" t="s">
        <v>828</v>
      </c>
      <c r="F111" s="30" t="s">
        <v>829</v>
      </c>
      <c r="G111" s="30" t="s">
        <v>830</v>
      </c>
      <c r="H111" s="30" t="s">
        <v>831</v>
      </c>
      <c r="I111" s="29" t="s">
        <v>832</v>
      </c>
      <c r="J111" s="31">
        <v>6.0</v>
      </c>
      <c r="K111" s="36" t="s">
        <v>119</v>
      </c>
      <c r="L111" s="36" t="s">
        <v>118</v>
      </c>
      <c r="M111" s="36" t="s">
        <v>117</v>
      </c>
      <c r="N111" s="36" t="s">
        <v>119</v>
      </c>
      <c r="O111" s="36" t="s">
        <v>119</v>
      </c>
      <c r="P111" s="35"/>
      <c r="Q111" s="36" t="s">
        <v>119</v>
      </c>
      <c r="R111" s="35"/>
      <c r="S111" s="37">
        <f>IF(B111="","",IF(ISNUMBER(J111),IF(J111&lt;=10,'Configuración'!$B$23,IF(J111&lt;=50,'Configuración'!$B$24,IF(J111&lt;=200,'Configuración'!$B$25,0))),0))</f>
        <v>12</v>
      </c>
      <c r="T111" s="37">
        <f>IF(B111="","",IF(ISNUMBER(SEARCH("information technology",I111))+ISNUMBER(SEARCH("software",I111))+ISNUMBER(SEARCH("internet",I111))+ISNUMBER(SEARCH("computer",I111))+ISNUMBER(SEARCH("saas",I111))+ISNUMBER(SEARCH("fintech",I111))+ISNUMBER(SEARCH("information services",I111))+ISNUMBER(SEARCH("telecommunications",I111))&gt;0,'Configuración'!$B$27,'Configuración'!$B$28))</f>
        <v>4</v>
      </c>
      <c r="U111" s="25">
        <f>IF(B111="","",IF(ISNUMBER(SEARCH("CEO",C111))+ISNUMBER(SEARCH("Founder",C111))+ISNUMBER(SEARCH("Owner",C111))+ISNUMBER(SEARCH("Dueño",C111))+ISNUMBER(SEARCH("Director General",C111))+ISNUMBER(SEARCH("Presidente",C111))+ISNUMBER(SEARCH("President",C111))&gt;0,'Configuración'!$B$31,IF(ISNUMBER(SEARCH("CMO",C111))+ISNUMBER(SEARCH("Chief Marketing",C111))+ISNUMBER(SEARCH("VP Marketing",C111))+ISNUMBER(SEARCH("Director de Marketing",C111))+ISNUMBER(SEARCH("Director Marketing",C111))+ISNUMBER(SEARCH("Head of Marketing",C111))+ISNUMBER(SEARCH("Head Marketing",C111))&gt;0,'Configuración'!$B$32,IF(ISNUMBER(SEARCH("Marketing Manager",C111))+ISNUMBER(SEARCH("Gerente de Marketing",C111))+ISNUMBER(SEARCH("Growth Manager",C111))+ISNUMBER(SEARCH("Demand Gen",C111))+ISNUMBER(SEARCH("Marketing Lead",C111))&gt;0,'Configuración'!$B$33,IF(ISNUMBER(SEARCH("COO",C111))+ISNUMBER(SEARCH("CFO",C111))+ISNUMBER(SEARCH("CTO",C111))+ISNUMBER(SEARCH("Chief Operating",C111))+ISNUMBER(SEARCH("Chief Financial",C111))+ISNUMBER(SEARCH("Gerente General",C111))+ISNUMBER(SEARCH("General Manager",C111))&gt;0,'Configuración'!$B$34,'Configuración'!$B$35)))))</f>
        <v>12</v>
      </c>
      <c r="V111" s="38">
        <f>IF(B111="","",IF(K111="Sí",'Configuración'!$B$5,0)+IF(L111="Semanal",'Configuración'!$B$6,IF(L111="Mensual",'Configuración'!$B$7,0))+IF(M111="Sí",'Configuración'!$B$8,0)+IF(N111="Sí",'Configuración'!$B$9,0)+IF(O111="Sí",'Configuración'!$B$10,0)+IF(P111="Sí",'Configuración'!$B$11,0)+IF(Q111="Sí",'Configuración'!$B$12,0)+S111+T111+U111)</f>
        <v>52</v>
      </c>
      <c r="W111" s="39" t="str">
        <f>IF(B111="","",IF(V111&gt;='Configuración'!$B$19,"A",IF(V111&gt;='Configuración'!$B$20,"B",IF(V111&gt;='Configuración'!$B$21,"C","Descarte"))))</f>
        <v>B</v>
      </c>
    </row>
    <row r="112" ht="15.75" customHeight="1">
      <c r="A112" s="34">
        <f t="shared" si="1"/>
        <v>110</v>
      </c>
      <c r="B112" s="29" t="s">
        <v>833</v>
      </c>
      <c r="C112" s="29" t="s">
        <v>494</v>
      </c>
      <c r="D112" s="29" t="s">
        <v>834</v>
      </c>
      <c r="E112" s="29" t="s">
        <v>835</v>
      </c>
      <c r="F112" s="30" t="s">
        <v>836</v>
      </c>
      <c r="G112" s="30" t="s">
        <v>837</v>
      </c>
      <c r="H112" s="30" t="s">
        <v>838</v>
      </c>
      <c r="I112" s="29" t="s">
        <v>839</v>
      </c>
      <c r="J112" s="31">
        <v>2.0</v>
      </c>
      <c r="K112" s="36" t="s">
        <v>117</v>
      </c>
      <c r="L112" s="36" t="s">
        <v>128</v>
      </c>
      <c r="M112" s="36" t="s">
        <v>117</v>
      </c>
      <c r="N112" s="36" t="s">
        <v>119</v>
      </c>
      <c r="O112" s="36" t="s">
        <v>117</v>
      </c>
      <c r="P112" s="35"/>
      <c r="Q112" s="36" t="s">
        <v>119</v>
      </c>
      <c r="R112" s="36" t="s">
        <v>840</v>
      </c>
      <c r="S112" s="37">
        <f>IF(B112="","",IF(ISNUMBER(J112),IF(J112&lt;=10,'Configuración'!$B$23,IF(J112&lt;=50,'Configuración'!$B$24,IF(J112&lt;=200,'Configuración'!$B$25,0))),0))</f>
        <v>12</v>
      </c>
      <c r="T112" s="37">
        <f>IF(B112="","",IF(ISNUMBER(SEARCH("information technology",I112))+ISNUMBER(SEARCH("software",I112))+ISNUMBER(SEARCH("internet",I112))+ISNUMBER(SEARCH("computer",I112))+ISNUMBER(SEARCH("saas",I112))+ISNUMBER(SEARCH("fintech",I112))+ISNUMBER(SEARCH("information services",I112))+ISNUMBER(SEARCH("telecommunications",I112))&gt;0,'Configuración'!$B$27,'Configuración'!$B$28))</f>
        <v>4</v>
      </c>
      <c r="U112" s="25">
        <f>IF(B112="","",IF(ISNUMBER(SEARCH("CEO",C112))+ISNUMBER(SEARCH("Founder",C112))+ISNUMBER(SEARCH("Owner",C112))+ISNUMBER(SEARCH("Dueño",C112))+ISNUMBER(SEARCH("Director General",C112))+ISNUMBER(SEARCH("Presidente",C112))+ISNUMBER(SEARCH("President",C112))&gt;0,'Configuración'!$B$31,IF(ISNUMBER(SEARCH("CMO",C112))+ISNUMBER(SEARCH("Chief Marketing",C112))+ISNUMBER(SEARCH("VP Marketing",C112))+ISNUMBER(SEARCH("Director de Marketing",C112))+ISNUMBER(SEARCH("Director Marketing",C112))+ISNUMBER(SEARCH("Head of Marketing",C112))+ISNUMBER(SEARCH("Head Marketing",C112))&gt;0,'Configuración'!$B$32,IF(ISNUMBER(SEARCH("Marketing Manager",C112))+ISNUMBER(SEARCH("Gerente de Marketing",C112))+ISNUMBER(SEARCH("Growth Manager",C112))+ISNUMBER(SEARCH("Demand Gen",C112))+ISNUMBER(SEARCH("Marketing Lead",C112))&gt;0,'Configuración'!$B$33,IF(ISNUMBER(SEARCH("COO",C112))+ISNUMBER(SEARCH("CFO",C112))+ISNUMBER(SEARCH("CTO",C112))+ISNUMBER(SEARCH("Chief Operating",C112))+ISNUMBER(SEARCH("Chief Financial",C112))+ISNUMBER(SEARCH("Gerente General",C112))+ISNUMBER(SEARCH("General Manager",C112))&gt;0,'Configuración'!$B$34,'Configuración'!$B$35)))))</f>
        <v>4</v>
      </c>
      <c r="V112" s="38">
        <f>IF(B112="","",IF(K112="Sí",'Configuración'!$B$5,0)+IF(L112="Semanal",'Configuración'!$B$6,IF(L112="Mensual",'Configuración'!$B$7,0))+IF(M112="Sí",'Configuración'!$B$8,0)+IF(N112="Sí",'Configuración'!$B$9,0)+IF(O112="Sí",'Configuración'!$B$10,0)+IF(P112="Sí",'Configuración'!$B$11,0)+IF(Q112="Sí",'Configuración'!$B$12,0)+S112+T112+U112)</f>
        <v>52</v>
      </c>
      <c r="W112" s="39" t="str">
        <f>IF(B112="","",IF(V112&gt;='Configuración'!$B$19,"A",IF(V112&gt;='Configuración'!$B$20,"B",IF(V112&gt;='Configuración'!$B$21,"C","Descarte"))))</f>
        <v>B</v>
      </c>
    </row>
    <row r="113" ht="15.75" customHeight="1">
      <c r="A113" s="34">
        <f t="shared" si="1"/>
        <v>111</v>
      </c>
      <c r="B113" s="29" t="s">
        <v>223</v>
      </c>
      <c r="C113" s="29" t="s">
        <v>841</v>
      </c>
      <c r="D113" s="29" t="s">
        <v>842</v>
      </c>
      <c r="E113" s="29" t="s">
        <v>843</v>
      </c>
      <c r="F113" s="30" t="s">
        <v>844</v>
      </c>
      <c r="G113" s="30" t="s">
        <v>845</v>
      </c>
      <c r="H113" s="30" t="s">
        <v>846</v>
      </c>
      <c r="I113" s="29" t="s">
        <v>847</v>
      </c>
      <c r="J113" s="31">
        <v>12.0</v>
      </c>
      <c r="K113" s="36" t="s">
        <v>119</v>
      </c>
      <c r="L113" s="36" t="s">
        <v>118</v>
      </c>
      <c r="M113" s="36" t="s">
        <v>117</v>
      </c>
      <c r="N113" s="36" t="s">
        <v>119</v>
      </c>
      <c r="O113" s="36" t="s">
        <v>119</v>
      </c>
      <c r="P113" s="35"/>
      <c r="Q113" s="36" t="s">
        <v>119</v>
      </c>
      <c r="R113" s="35"/>
      <c r="S113" s="37">
        <f>IF(B113="","",IF(ISNUMBER(J113),IF(J113&lt;=10,'Configuración'!$B$23,IF(J113&lt;=50,'Configuración'!$B$24,IF(J113&lt;=200,'Configuración'!$B$25,0))),0))</f>
        <v>4</v>
      </c>
      <c r="T113" s="37">
        <f>IF(B113="","",IF(ISNUMBER(SEARCH("information technology",I113))+ISNUMBER(SEARCH("software",I113))+ISNUMBER(SEARCH("internet",I113))+ISNUMBER(SEARCH("computer",I113))+ISNUMBER(SEARCH("saas",I113))+ISNUMBER(SEARCH("fintech",I113))+ISNUMBER(SEARCH("information services",I113))+ISNUMBER(SEARCH("telecommunications",I113))&gt;0,'Configuración'!$B$27,'Configuración'!$B$28))</f>
        <v>4</v>
      </c>
      <c r="U113" s="25">
        <f>IF(B113="","",IF(ISNUMBER(SEARCH("CEO",C113))+ISNUMBER(SEARCH("Founder",C113))+ISNUMBER(SEARCH("Owner",C113))+ISNUMBER(SEARCH("Dueño",C113))+ISNUMBER(SEARCH("Director General",C113))+ISNUMBER(SEARCH("Presidente",C113))+ISNUMBER(SEARCH("President",C113))&gt;0,'Configuración'!$B$31,IF(ISNUMBER(SEARCH("CMO",C113))+ISNUMBER(SEARCH("Chief Marketing",C113))+ISNUMBER(SEARCH("VP Marketing",C113))+ISNUMBER(SEARCH("Director de Marketing",C113))+ISNUMBER(SEARCH("Director Marketing",C113))+ISNUMBER(SEARCH("Head of Marketing",C113))+ISNUMBER(SEARCH("Head Marketing",C113))&gt;0,'Configuración'!$B$32,IF(ISNUMBER(SEARCH("Marketing Manager",C113))+ISNUMBER(SEARCH("Gerente de Marketing",C113))+ISNUMBER(SEARCH("Growth Manager",C113))+ISNUMBER(SEARCH("Demand Gen",C113))+ISNUMBER(SEARCH("Marketing Lead",C113))&gt;0,'Configuración'!$B$33,IF(ISNUMBER(SEARCH("COO",C113))+ISNUMBER(SEARCH("CFO",C113))+ISNUMBER(SEARCH("CTO",C113))+ISNUMBER(SEARCH("Chief Operating",C113))+ISNUMBER(SEARCH("Chief Financial",C113))+ISNUMBER(SEARCH("Gerente General",C113))+ISNUMBER(SEARCH("General Manager",C113))&gt;0,'Configuración'!$B$34,'Configuración'!$B$35)))))</f>
        <v>12</v>
      </c>
      <c r="V113" s="38">
        <f>IF(B113="","",IF(K113="Sí",'Configuración'!$B$5,0)+IF(L113="Semanal",'Configuración'!$B$6,IF(L113="Mensual",'Configuración'!$B$7,0))+IF(M113="Sí",'Configuración'!$B$8,0)+IF(N113="Sí",'Configuración'!$B$9,0)+IF(O113="Sí",'Configuración'!$B$10,0)+IF(P113="Sí",'Configuración'!$B$11,0)+IF(Q113="Sí",'Configuración'!$B$12,0)+S113+T113+U113)</f>
        <v>44</v>
      </c>
      <c r="W113" s="39" t="str">
        <f>IF(B113="","",IF(V113&gt;='Configuración'!$B$19,"A",IF(V113&gt;='Configuración'!$B$20,"B",IF(V113&gt;='Configuración'!$B$21,"C","Descarte"))))</f>
        <v>B</v>
      </c>
    </row>
    <row r="114" ht="15.75" customHeight="1">
      <c r="A114" s="34">
        <f t="shared" si="1"/>
        <v>112</v>
      </c>
      <c r="B114" s="29" t="s">
        <v>848</v>
      </c>
      <c r="C114" s="29" t="s">
        <v>849</v>
      </c>
      <c r="D114" s="29" t="s">
        <v>850</v>
      </c>
      <c r="E114" s="29" t="s">
        <v>851</v>
      </c>
      <c r="F114" s="30" t="s">
        <v>852</v>
      </c>
      <c r="G114" s="30" t="s">
        <v>853</v>
      </c>
      <c r="H114" s="30" t="s">
        <v>854</v>
      </c>
      <c r="I114" s="29" t="s">
        <v>127</v>
      </c>
      <c r="J114" s="31">
        <v>32.0</v>
      </c>
      <c r="K114" s="36" t="s">
        <v>119</v>
      </c>
      <c r="L114" s="36" t="s">
        <v>118</v>
      </c>
      <c r="M114" s="36" t="s">
        <v>117</v>
      </c>
      <c r="N114" s="36" t="s">
        <v>119</v>
      </c>
      <c r="O114" s="36" t="s">
        <v>119</v>
      </c>
      <c r="P114" s="35"/>
      <c r="Q114" s="36" t="s">
        <v>119</v>
      </c>
      <c r="R114" s="35"/>
      <c r="S114" s="37">
        <f>IF(B114="","",IF(ISNUMBER(J114),IF(J114&lt;=10,'Configuración'!$B$23,IF(J114&lt;=50,'Configuración'!$B$24,IF(J114&lt;=200,'Configuración'!$B$25,0))),0))</f>
        <v>4</v>
      </c>
      <c r="T114" s="37">
        <f>IF(B114="","",IF(ISNUMBER(SEARCH("information technology",I114))+ISNUMBER(SEARCH("software",I114))+ISNUMBER(SEARCH("internet",I114))+ISNUMBER(SEARCH("computer",I114))+ISNUMBER(SEARCH("saas",I114))+ISNUMBER(SEARCH("fintech",I114))+ISNUMBER(SEARCH("information services",I114))+ISNUMBER(SEARCH("telecommunications",I114))&gt;0,'Configuración'!$B$27,'Configuración'!$B$28))</f>
        <v>12</v>
      </c>
      <c r="U114" s="25">
        <f>IF(B114="","",IF(ISNUMBER(SEARCH("CEO",C114))+ISNUMBER(SEARCH("Founder",C114))+ISNUMBER(SEARCH("Owner",C114))+ISNUMBER(SEARCH("Dueño",C114))+ISNUMBER(SEARCH("Director General",C114))+ISNUMBER(SEARCH("Presidente",C114))+ISNUMBER(SEARCH("President",C114))&gt;0,'Configuración'!$B$31,IF(ISNUMBER(SEARCH("CMO",C114))+ISNUMBER(SEARCH("Chief Marketing",C114))+ISNUMBER(SEARCH("VP Marketing",C114))+ISNUMBER(SEARCH("Director de Marketing",C114))+ISNUMBER(SEARCH("Director Marketing",C114))+ISNUMBER(SEARCH("Head of Marketing",C114))+ISNUMBER(SEARCH("Head Marketing",C114))&gt;0,'Configuración'!$B$32,IF(ISNUMBER(SEARCH("Marketing Manager",C114))+ISNUMBER(SEARCH("Gerente de Marketing",C114))+ISNUMBER(SEARCH("Growth Manager",C114))+ISNUMBER(SEARCH("Demand Gen",C114))+ISNUMBER(SEARCH("Marketing Lead",C114))&gt;0,'Configuración'!$B$33,IF(ISNUMBER(SEARCH("COO",C114))+ISNUMBER(SEARCH("CFO",C114))+ISNUMBER(SEARCH("CTO",C114))+ISNUMBER(SEARCH("Chief Operating",C114))+ISNUMBER(SEARCH("Chief Financial",C114))+ISNUMBER(SEARCH("Gerente General",C114))+ISNUMBER(SEARCH("General Manager",C114))&gt;0,'Configuración'!$B$34,'Configuración'!$B$35)))))</f>
        <v>4</v>
      </c>
      <c r="V114" s="38">
        <f>IF(B114="","",IF(K114="Sí",'Configuración'!$B$5,0)+IF(L114="Semanal",'Configuración'!$B$6,IF(L114="Mensual",'Configuración'!$B$7,0))+IF(M114="Sí",'Configuración'!$B$8,0)+IF(N114="Sí",'Configuración'!$B$9,0)+IF(O114="Sí",'Configuración'!$B$10,0)+IF(P114="Sí",'Configuración'!$B$11,0)+IF(Q114="Sí",'Configuración'!$B$12,0)+S114+T114+U114)</f>
        <v>44</v>
      </c>
      <c r="W114" s="39" t="str">
        <f>IF(B114="","",IF(V114&gt;='Configuración'!$B$19,"A",IF(V114&gt;='Configuración'!$B$20,"B",IF(V114&gt;='Configuración'!$B$21,"C","Descarte"))))</f>
        <v>B</v>
      </c>
    </row>
    <row r="115" ht="15.75" customHeight="1">
      <c r="A115" s="34">
        <f t="shared" si="1"/>
        <v>113</v>
      </c>
      <c r="B115" s="29" t="s">
        <v>629</v>
      </c>
      <c r="C115" s="29" t="s">
        <v>855</v>
      </c>
      <c r="D115" s="29" t="s">
        <v>856</v>
      </c>
      <c r="E115" s="29" t="s">
        <v>857</v>
      </c>
      <c r="F115" s="30" t="s">
        <v>858</v>
      </c>
      <c r="G115" s="30" t="s">
        <v>859</v>
      </c>
      <c r="H115" s="30" t="s">
        <v>860</v>
      </c>
      <c r="I115" s="29" t="s">
        <v>500</v>
      </c>
      <c r="J115" s="31">
        <v>3.0</v>
      </c>
      <c r="K115" s="36" t="s">
        <v>119</v>
      </c>
      <c r="L115" s="36" t="s">
        <v>128</v>
      </c>
      <c r="M115" s="36" t="s">
        <v>119</v>
      </c>
      <c r="N115" s="36" t="s">
        <v>119</v>
      </c>
      <c r="O115" s="36" t="s">
        <v>119</v>
      </c>
      <c r="P115" s="35"/>
      <c r="Q115" s="36" t="s">
        <v>119</v>
      </c>
      <c r="R115" s="35"/>
      <c r="S115" s="37">
        <f>IF(B115="","",IF(ISNUMBER(J115),IF(J115&lt;=10,'Configuración'!$B$23,IF(J115&lt;=50,'Configuración'!$B$24,IF(J115&lt;=200,'Configuración'!$B$25,0))),0))</f>
        <v>12</v>
      </c>
      <c r="T115" s="37">
        <f>IF(B115="","",IF(ISNUMBER(SEARCH("information technology",I115))+ISNUMBER(SEARCH("software",I115))+ISNUMBER(SEARCH("internet",I115))+ISNUMBER(SEARCH("computer",I115))+ISNUMBER(SEARCH("saas",I115))+ISNUMBER(SEARCH("fintech",I115))+ISNUMBER(SEARCH("information services",I115))+ISNUMBER(SEARCH("telecommunications",I115))&gt;0,'Configuración'!$B$27,'Configuración'!$B$28))</f>
        <v>4</v>
      </c>
      <c r="U115" s="25">
        <f>IF(B115="","",IF(ISNUMBER(SEARCH("CEO",C115))+ISNUMBER(SEARCH("Founder",C115))+ISNUMBER(SEARCH("Owner",C115))+ISNUMBER(SEARCH("Dueño",C115))+ISNUMBER(SEARCH("Director General",C115))+ISNUMBER(SEARCH("Presidente",C115))+ISNUMBER(SEARCH("President",C115))&gt;0,'Configuración'!$B$31,IF(ISNUMBER(SEARCH("CMO",C115))+ISNUMBER(SEARCH("Chief Marketing",C115))+ISNUMBER(SEARCH("VP Marketing",C115))+ISNUMBER(SEARCH("Director de Marketing",C115))+ISNUMBER(SEARCH("Director Marketing",C115))+ISNUMBER(SEARCH("Head of Marketing",C115))+ISNUMBER(SEARCH("Head Marketing",C115))&gt;0,'Configuración'!$B$32,IF(ISNUMBER(SEARCH("Marketing Manager",C115))+ISNUMBER(SEARCH("Gerente de Marketing",C115))+ISNUMBER(SEARCH("Growth Manager",C115))+ISNUMBER(SEARCH("Demand Gen",C115))+ISNUMBER(SEARCH("Marketing Lead",C115))&gt;0,'Configuración'!$B$33,IF(ISNUMBER(SEARCH("COO",C115))+ISNUMBER(SEARCH("CFO",C115))+ISNUMBER(SEARCH("CTO",C115))+ISNUMBER(SEARCH("Chief Operating",C115))+ISNUMBER(SEARCH("Chief Financial",C115))+ISNUMBER(SEARCH("Gerente General",C115))+ISNUMBER(SEARCH("General Manager",C115))&gt;0,'Configuración'!$B$34,'Configuración'!$B$35)))))</f>
        <v>0</v>
      </c>
      <c r="V115" s="38">
        <f>IF(B115="","",IF(K115="Sí",'Configuración'!$B$5,0)+IF(L115="Semanal",'Configuración'!$B$6,IF(L115="Mensual",'Configuración'!$B$7,0))+IF(M115="Sí",'Configuración'!$B$8,0)+IF(N115="Sí",'Configuración'!$B$9,0)+IF(O115="Sí",'Configuración'!$B$10,0)+IF(P115="Sí",'Configuración'!$B$11,0)+IF(Q115="Sí",'Configuración'!$B$12,0)+S115+T115+U115)</f>
        <v>16</v>
      </c>
      <c r="W115" s="39" t="str">
        <f>IF(B115="","",IF(V115&gt;='Configuración'!$B$19,"A",IF(V115&gt;='Configuración'!$B$20,"B",IF(V115&gt;='Configuración'!$B$21,"C","Descarte"))))</f>
        <v>Descarte</v>
      </c>
    </row>
    <row r="116" ht="15.75" customHeight="1">
      <c r="A116" s="34">
        <f t="shared" si="1"/>
        <v>114</v>
      </c>
      <c r="B116" s="29" t="s">
        <v>861</v>
      </c>
      <c r="C116" s="29" t="s">
        <v>131</v>
      </c>
      <c r="D116" s="29" t="s">
        <v>862</v>
      </c>
      <c r="E116" s="29" t="s">
        <v>863</v>
      </c>
      <c r="F116" s="30" t="s">
        <v>864</v>
      </c>
      <c r="G116" s="30" t="s">
        <v>865</v>
      </c>
      <c r="H116" s="30" t="s">
        <v>866</v>
      </c>
      <c r="I116" s="29" t="s">
        <v>542</v>
      </c>
      <c r="J116" s="31">
        <v>34.0</v>
      </c>
      <c r="K116" s="36" t="s">
        <v>119</v>
      </c>
      <c r="L116" s="36" t="s">
        <v>128</v>
      </c>
      <c r="M116" s="36" t="s">
        <v>119</v>
      </c>
      <c r="N116" s="36" t="s">
        <v>119</v>
      </c>
      <c r="O116" s="36" t="s">
        <v>117</v>
      </c>
      <c r="P116" s="35"/>
      <c r="Q116" s="36" t="s">
        <v>119</v>
      </c>
      <c r="R116" s="35"/>
      <c r="S116" s="37">
        <f>IF(B116="","",IF(ISNUMBER(J116),IF(J116&lt;=10,'Configuración'!$B$23,IF(J116&lt;=50,'Configuración'!$B$24,IF(J116&lt;=200,'Configuración'!$B$25,0))),0))</f>
        <v>4</v>
      </c>
      <c r="T116" s="37">
        <f>IF(B116="","",IF(ISNUMBER(SEARCH("information technology",I116))+ISNUMBER(SEARCH("software",I116))+ISNUMBER(SEARCH("internet",I116))+ISNUMBER(SEARCH("computer",I116))+ISNUMBER(SEARCH("saas",I116))+ISNUMBER(SEARCH("fintech",I116))+ISNUMBER(SEARCH("information services",I116))+ISNUMBER(SEARCH("telecommunications",I116))&gt;0,'Configuración'!$B$27,'Configuración'!$B$28))</f>
        <v>4</v>
      </c>
      <c r="U116" s="25">
        <f>IF(B116="","",IF(ISNUMBER(SEARCH("CEO",C116))+ISNUMBER(SEARCH("Founder",C116))+ISNUMBER(SEARCH("Owner",C116))+ISNUMBER(SEARCH("Dueño",C116))+ISNUMBER(SEARCH("Director General",C116))+ISNUMBER(SEARCH("Presidente",C116))+ISNUMBER(SEARCH("President",C116))&gt;0,'Configuración'!$B$31,IF(ISNUMBER(SEARCH("CMO",C116))+ISNUMBER(SEARCH("Chief Marketing",C116))+ISNUMBER(SEARCH("VP Marketing",C116))+ISNUMBER(SEARCH("Director de Marketing",C116))+ISNUMBER(SEARCH("Director Marketing",C116))+ISNUMBER(SEARCH("Head of Marketing",C116))+ISNUMBER(SEARCH("Head Marketing",C116))&gt;0,'Configuración'!$B$32,IF(ISNUMBER(SEARCH("Marketing Manager",C116))+ISNUMBER(SEARCH("Gerente de Marketing",C116))+ISNUMBER(SEARCH("Growth Manager",C116))+ISNUMBER(SEARCH("Demand Gen",C116))+ISNUMBER(SEARCH("Marketing Lead",C116))&gt;0,'Configuración'!$B$33,IF(ISNUMBER(SEARCH("COO",C116))+ISNUMBER(SEARCH("CFO",C116))+ISNUMBER(SEARCH("CTO",C116))+ISNUMBER(SEARCH("Chief Operating",C116))+ISNUMBER(SEARCH("Chief Financial",C116))+ISNUMBER(SEARCH("Gerente General",C116))+ISNUMBER(SEARCH("General Manager",C116))&gt;0,'Configuración'!$B$34,'Configuración'!$B$35)))))</f>
        <v>12</v>
      </c>
      <c r="V116" s="38">
        <f>IF(B116="","",IF(K116="Sí",'Configuración'!$B$5,0)+IF(L116="Semanal",'Configuración'!$B$6,IF(L116="Mensual",'Configuración'!$B$7,0))+IF(M116="Sí",'Configuración'!$B$8,0)+IF(N116="Sí",'Configuración'!$B$9,0)+IF(O116="Sí",'Configuración'!$B$10,0)+IF(P116="Sí",'Configuración'!$B$11,0)+IF(Q116="Sí",'Configuración'!$B$12,0)+S116+T116+U116)</f>
        <v>28</v>
      </c>
      <c r="W116" s="39" t="str">
        <f>IF(B116="","",IF(V116&gt;='Configuración'!$B$19,"A",IF(V116&gt;='Configuración'!$B$20,"B",IF(V116&gt;='Configuración'!$B$21,"C","Descarte"))))</f>
        <v>C</v>
      </c>
    </row>
    <row r="117" ht="15.75" customHeight="1">
      <c r="A117" s="34">
        <f t="shared" si="1"/>
        <v>115</v>
      </c>
      <c r="B117" s="29" t="s">
        <v>867</v>
      </c>
      <c r="C117" s="29" t="s">
        <v>361</v>
      </c>
      <c r="D117" s="29" t="s">
        <v>868</v>
      </c>
      <c r="E117" s="29" t="s">
        <v>869</v>
      </c>
      <c r="F117" s="30" t="s">
        <v>870</v>
      </c>
      <c r="G117" s="30" t="s">
        <v>871</v>
      </c>
      <c r="H117" s="30" t="s">
        <v>872</v>
      </c>
      <c r="I117" s="29" t="s">
        <v>873</v>
      </c>
      <c r="J117" s="31">
        <v>33.0</v>
      </c>
      <c r="K117" s="36" t="s">
        <v>117</v>
      </c>
      <c r="L117" s="36" t="s">
        <v>118</v>
      </c>
      <c r="M117" s="36" t="s">
        <v>117</v>
      </c>
      <c r="N117" s="36" t="s">
        <v>117</v>
      </c>
      <c r="O117" s="36" t="s">
        <v>117</v>
      </c>
      <c r="P117" s="35"/>
      <c r="Q117" s="36" t="s">
        <v>119</v>
      </c>
      <c r="R117" s="35"/>
      <c r="S117" s="37">
        <f>IF(B117="","",IF(ISNUMBER(J117),IF(J117&lt;=10,'Configuración'!$B$23,IF(J117&lt;=50,'Configuración'!$B$24,IF(J117&lt;=200,'Configuración'!$B$25,0))),0))</f>
        <v>4</v>
      </c>
      <c r="T117" s="37">
        <f>IF(B117="","",IF(ISNUMBER(SEARCH("information technology",I117))+ISNUMBER(SEARCH("software",I117))+ISNUMBER(SEARCH("internet",I117))+ISNUMBER(SEARCH("computer",I117))+ISNUMBER(SEARCH("saas",I117))+ISNUMBER(SEARCH("fintech",I117))+ISNUMBER(SEARCH("information services",I117))+ISNUMBER(SEARCH("telecommunications",I117))&gt;0,'Configuración'!$B$27,'Configuración'!$B$28))</f>
        <v>4</v>
      </c>
      <c r="U117" s="25">
        <f>IF(B117="","",IF(ISNUMBER(SEARCH("CEO",C117))+ISNUMBER(SEARCH("Founder",C117))+ISNUMBER(SEARCH("Owner",C117))+ISNUMBER(SEARCH("Dueño",C117))+ISNUMBER(SEARCH("Director General",C117))+ISNUMBER(SEARCH("Presidente",C117))+ISNUMBER(SEARCH("President",C117))&gt;0,'Configuración'!$B$31,IF(ISNUMBER(SEARCH("CMO",C117))+ISNUMBER(SEARCH("Chief Marketing",C117))+ISNUMBER(SEARCH("VP Marketing",C117))+ISNUMBER(SEARCH("Director de Marketing",C117))+ISNUMBER(SEARCH("Director Marketing",C117))+ISNUMBER(SEARCH("Head of Marketing",C117))+ISNUMBER(SEARCH("Head Marketing",C117))&gt;0,'Configuración'!$B$32,IF(ISNUMBER(SEARCH("Marketing Manager",C117))+ISNUMBER(SEARCH("Gerente de Marketing",C117))+ISNUMBER(SEARCH("Growth Manager",C117))+ISNUMBER(SEARCH("Demand Gen",C117))+ISNUMBER(SEARCH("Marketing Lead",C117))&gt;0,'Configuración'!$B$33,IF(ISNUMBER(SEARCH("COO",C117))+ISNUMBER(SEARCH("CFO",C117))+ISNUMBER(SEARCH("CTO",C117))+ISNUMBER(SEARCH("Chief Operating",C117))+ISNUMBER(SEARCH("Chief Financial",C117))+ISNUMBER(SEARCH("Gerente General",C117))+ISNUMBER(SEARCH("General Manager",C117))&gt;0,'Configuración'!$B$34,'Configuración'!$B$35)))))</f>
        <v>0</v>
      </c>
      <c r="V117" s="38">
        <f>IF(B117="","",IF(K117="Sí",'Configuración'!$B$5,0)+IF(L117="Semanal",'Configuración'!$B$6,IF(L117="Mensual",'Configuración'!$B$7,0))+IF(M117="Sí",'Configuración'!$B$8,0)+IF(N117="Sí",'Configuración'!$B$9,0)+IF(O117="Sí",'Configuración'!$B$10,0)+IF(P117="Sí",'Configuración'!$B$11,0)+IF(Q117="Sí",'Configuración'!$B$12,0)+S117+T117+U117)</f>
        <v>56</v>
      </c>
      <c r="W117" s="39" t="str">
        <f>IF(B117="","",IF(V117&gt;='Configuración'!$B$19,"A",IF(V117&gt;='Configuración'!$B$20,"B",IF(V117&gt;='Configuración'!$B$21,"C","Descarte"))))</f>
        <v>B</v>
      </c>
    </row>
    <row r="118" ht="15.75" customHeight="1">
      <c r="A118" s="34">
        <f t="shared" si="1"/>
        <v>116</v>
      </c>
      <c r="B118" s="29" t="s">
        <v>874</v>
      </c>
      <c r="C118" s="29" t="s">
        <v>361</v>
      </c>
      <c r="D118" s="29" t="s">
        <v>875</v>
      </c>
      <c r="E118" s="29" t="s">
        <v>876</v>
      </c>
      <c r="F118" s="30" t="s">
        <v>877</v>
      </c>
      <c r="G118" s="30" t="s">
        <v>878</v>
      </c>
      <c r="H118" s="30" t="s">
        <v>879</v>
      </c>
      <c r="I118" s="29" t="s">
        <v>127</v>
      </c>
      <c r="J118" s="31">
        <v>34.0</v>
      </c>
      <c r="K118" s="36" t="s">
        <v>119</v>
      </c>
      <c r="L118" s="36" t="s">
        <v>118</v>
      </c>
      <c r="M118" s="36" t="s">
        <v>117</v>
      </c>
      <c r="N118" s="36" t="s">
        <v>117</v>
      </c>
      <c r="O118" s="36" t="s">
        <v>119</v>
      </c>
      <c r="P118" s="35"/>
      <c r="Q118" s="36" t="s">
        <v>119</v>
      </c>
      <c r="R118" s="35"/>
      <c r="S118" s="37">
        <f>IF(B118="","",IF(ISNUMBER(J118),IF(J118&lt;=10,'Configuración'!$B$23,IF(J118&lt;=50,'Configuración'!$B$24,IF(J118&lt;=200,'Configuración'!$B$25,0))),0))</f>
        <v>4</v>
      </c>
      <c r="T118" s="37">
        <f>IF(B118="","",IF(ISNUMBER(SEARCH("information technology",I118))+ISNUMBER(SEARCH("software",I118))+ISNUMBER(SEARCH("internet",I118))+ISNUMBER(SEARCH("computer",I118))+ISNUMBER(SEARCH("saas",I118))+ISNUMBER(SEARCH("fintech",I118))+ISNUMBER(SEARCH("information services",I118))+ISNUMBER(SEARCH("telecommunications",I118))&gt;0,'Configuración'!$B$27,'Configuración'!$B$28))</f>
        <v>12</v>
      </c>
      <c r="U118" s="25">
        <f>IF(B118="","",IF(ISNUMBER(SEARCH("CEO",C118))+ISNUMBER(SEARCH("Founder",C118))+ISNUMBER(SEARCH("Owner",C118))+ISNUMBER(SEARCH("Dueño",C118))+ISNUMBER(SEARCH("Director General",C118))+ISNUMBER(SEARCH("Presidente",C118))+ISNUMBER(SEARCH("President",C118))&gt;0,'Configuración'!$B$31,IF(ISNUMBER(SEARCH("CMO",C118))+ISNUMBER(SEARCH("Chief Marketing",C118))+ISNUMBER(SEARCH("VP Marketing",C118))+ISNUMBER(SEARCH("Director de Marketing",C118))+ISNUMBER(SEARCH("Director Marketing",C118))+ISNUMBER(SEARCH("Head of Marketing",C118))+ISNUMBER(SEARCH("Head Marketing",C118))&gt;0,'Configuración'!$B$32,IF(ISNUMBER(SEARCH("Marketing Manager",C118))+ISNUMBER(SEARCH("Gerente de Marketing",C118))+ISNUMBER(SEARCH("Growth Manager",C118))+ISNUMBER(SEARCH("Demand Gen",C118))+ISNUMBER(SEARCH("Marketing Lead",C118))&gt;0,'Configuración'!$B$33,IF(ISNUMBER(SEARCH("COO",C118))+ISNUMBER(SEARCH("CFO",C118))+ISNUMBER(SEARCH("CTO",C118))+ISNUMBER(SEARCH("Chief Operating",C118))+ISNUMBER(SEARCH("Chief Financial",C118))+ISNUMBER(SEARCH("Gerente General",C118))+ISNUMBER(SEARCH("General Manager",C118))&gt;0,'Configuración'!$B$34,'Configuración'!$B$35)))))</f>
        <v>0</v>
      </c>
      <c r="V118" s="38">
        <f>IF(B118="","",IF(K118="Sí",'Configuración'!$B$5,0)+IF(L118="Semanal",'Configuración'!$B$6,IF(L118="Mensual",'Configuración'!$B$7,0))+IF(M118="Sí",'Configuración'!$B$8,0)+IF(N118="Sí",'Configuración'!$B$9,0)+IF(O118="Sí",'Configuración'!$B$10,0)+IF(P118="Sí",'Configuración'!$B$11,0)+IF(Q118="Sí",'Configuración'!$B$12,0)+S118+T118+U118)</f>
        <v>44</v>
      </c>
      <c r="W118" s="39" t="str">
        <f>IF(B118="","",IF(V118&gt;='Configuración'!$B$19,"A",IF(V118&gt;='Configuración'!$B$20,"B",IF(V118&gt;='Configuración'!$B$21,"C","Descarte"))))</f>
        <v>B</v>
      </c>
    </row>
    <row r="119" ht="15.75" customHeight="1">
      <c r="A119" s="34">
        <f t="shared" si="1"/>
        <v>117</v>
      </c>
      <c r="B119" s="29" t="s">
        <v>281</v>
      </c>
      <c r="C119" s="29" t="s">
        <v>880</v>
      </c>
      <c r="D119" s="29" t="s">
        <v>881</v>
      </c>
      <c r="E119" s="29" t="s">
        <v>882</v>
      </c>
      <c r="F119" s="30" t="s">
        <v>883</v>
      </c>
      <c r="G119" s="30" t="s">
        <v>884</v>
      </c>
      <c r="H119" s="30" t="s">
        <v>885</v>
      </c>
      <c r="I119" s="29" t="s">
        <v>769</v>
      </c>
      <c r="J119" s="31">
        <v>24.0</v>
      </c>
      <c r="K119" s="36" t="s">
        <v>117</v>
      </c>
      <c r="L119" s="36" t="s">
        <v>173</v>
      </c>
      <c r="M119" s="36" t="s">
        <v>117</v>
      </c>
      <c r="N119" s="36" t="s">
        <v>119</v>
      </c>
      <c r="O119" s="36" t="s">
        <v>119</v>
      </c>
      <c r="P119" s="35"/>
      <c r="Q119" s="36" t="s">
        <v>119</v>
      </c>
      <c r="R119" s="35"/>
      <c r="S119" s="37">
        <f>IF(B119="","",IF(ISNUMBER(J119),IF(J119&lt;=10,'Configuración'!$B$23,IF(J119&lt;=50,'Configuración'!$B$24,IF(J119&lt;=200,'Configuración'!$B$25,0))),0))</f>
        <v>4</v>
      </c>
      <c r="T119" s="37">
        <f>IF(B119="","",IF(ISNUMBER(SEARCH("information technology",I119))+ISNUMBER(SEARCH("software",I119))+ISNUMBER(SEARCH("internet",I119))+ISNUMBER(SEARCH("computer",I119))+ISNUMBER(SEARCH("saas",I119))+ISNUMBER(SEARCH("fintech",I119))+ISNUMBER(SEARCH("information services",I119))+ISNUMBER(SEARCH("telecommunications",I119))&gt;0,'Configuración'!$B$27,'Configuración'!$B$28))</f>
        <v>4</v>
      </c>
      <c r="U119" s="25">
        <f>IF(B119="","",IF(ISNUMBER(SEARCH("CEO",C119))+ISNUMBER(SEARCH("Founder",C119))+ISNUMBER(SEARCH("Owner",C119))+ISNUMBER(SEARCH("Dueño",C119))+ISNUMBER(SEARCH("Director General",C119))+ISNUMBER(SEARCH("Presidente",C119))+ISNUMBER(SEARCH("President",C119))&gt;0,'Configuración'!$B$31,IF(ISNUMBER(SEARCH("CMO",C119))+ISNUMBER(SEARCH("Chief Marketing",C119))+ISNUMBER(SEARCH("VP Marketing",C119))+ISNUMBER(SEARCH("Director de Marketing",C119))+ISNUMBER(SEARCH("Director Marketing",C119))+ISNUMBER(SEARCH("Head of Marketing",C119))+ISNUMBER(SEARCH("Head Marketing",C119))&gt;0,'Configuración'!$B$32,IF(ISNUMBER(SEARCH("Marketing Manager",C119))+ISNUMBER(SEARCH("Gerente de Marketing",C119))+ISNUMBER(SEARCH("Growth Manager",C119))+ISNUMBER(SEARCH("Demand Gen",C119))+ISNUMBER(SEARCH("Marketing Lead",C119))&gt;0,'Configuración'!$B$33,IF(ISNUMBER(SEARCH("COO",C119))+ISNUMBER(SEARCH("CFO",C119))+ISNUMBER(SEARCH("CTO",C119))+ISNUMBER(SEARCH("Chief Operating",C119))+ISNUMBER(SEARCH("Chief Financial",C119))+ISNUMBER(SEARCH("Gerente General",C119))+ISNUMBER(SEARCH("General Manager",C119))&gt;0,'Configuración'!$B$34,'Configuración'!$B$35)))))</f>
        <v>12</v>
      </c>
      <c r="V119" s="38">
        <f>IF(B119="","",IF(K119="Sí",'Configuración'!$B$5,0)+IF(L119="Semanal",'Configuración'!$B$6,IF(L119="Mensual",'Configuración'!$B$7,0))+IF(M119="Sí",'Configuración'!$B$8,0)+IF(N119="Sí",'Configuración'!$B$9,0)+IF(O119="Sí",'Configuración'!$B$10,0)+IF(P119="Sí",'Configuración'!$B$11,0)+IF(Q119="Sí",'Configuración'!$B$12,0)+S119+T119+U119)</f>
        <v>48</v>
      </c>
      <c r="W119" s="39" t="str">
        <f>IF(B119="","",IF(V119&gt;='Configuración'!$B$19,"A",IF(V119&gt;='Configuración'!$B$20,"B",IF(V119&gt;='Configuración'!$B$21,"C","Descarte"))))</f>
        <v>B</v>
      </c>
    </row>
    <row r="120" ht="15.75" customHeight="1">
      <c r="A120" s="34">
        <f t="shared" si="1"/>
        <v>118</v>
      </c>
      <c r="B120" s="29" t="s">
        <v>174</v>
      </c>
      <c r="C120" s="29" t="s">
        <v>622</v>
      </c>
      <c r="D120" s="29" t="s">
        <v>886</v>
      </c>
      <c r="E120" s="29" t="s">
        <v>887</v>
      </c>
      <c r="F120" s="30" t="s">
        <v>888</v>
      </c>
      <c r="G120" s="30" t="s">
        <v>889</v>
      </c>
      <c r="H120" s="30" t="s">
        <v>890</v>
      </c>
      <c r="I120" s="29" t="s">
        <v>847</v>
      </c>
      <c r="J120" s="31">
        <v>4.0</v>
      </c>
      <c r="K120" s="36" t="s">
        <v>119</v>
      </c>
      <c r="L120" s="36" t="s">
        <v>128</v>
      </c>
      <c r="M120" s="36" t="s">
        <v>119</v>
      </c>
      <c r="N120" s="36" t="s">
        <v>119</v>
      </c>
      <c r="O120" s="36" t="s">
        <v>119</v>
      </c>
      <c r="P120" s="35"/>
      <c r="Q120" s="36" t="s">
        <v>119</v>
      </c>
      <c r="R120" s="35"/>
      <c r="S120" s="37">
        <f>IF(B120="","",IF(ISNUMBER(J120),IF(J120&lt;=10,'Configuración'!$B$23,IF(J120&lt;=50,'Configuración'!$B$24,IF(J120&lt;=200,'Configuración'!$B$25,0))),0))</f>
        <v>12</v>
      </c>
      <c r="T120" s="37">
        <f>IF(B120="","",IF(ISNUMBER(SEARCH("information technology",I120))+ISNUMBER(SEARCH("software",I120))+ISNUMBER(SEARCH("internet",I120))+ISNUMBER(SEARCH("computer",I120))+ISNUMBER(SEARCH("saas",I120))+ISNUMBER(SEARCH("fintech",I120))+ISNUMBER(SEARCH("information services",I120))+ISNUMBER(SEARCH("telecommunications",I120))&gt;0,'Configuración'!$B$27,'Configuración'!$B$28))</f>
        <v>4</v>
      </c>
      <c r="U120" s="25">
        <f>IF(B120="","",IF(ISNUMBER(SEARCH("CEO",C120))+ISNUMBER(SEARCH("Founder",C120))+ISNUMBER(SEARCH("Owner",C120))+ISNUMBER(SEARCH("Dueño",C120))+ISNUMBER(SEARCH("Director General",C120))+ISNUMBER(SEARCH("Presidente",C120))+ISNUMBER(SEARCH("President",C120))&gt;0,'Configuración'!$B$31,IF(ISNUMBER(SEARCH("CMO",C120))+ISNUMBER(SEARCH("Chief Marketing",C120))+ISNUMBER(SEARCH("VP Marketing",C120))+ISNUMBER(SEARCH("Director de Marketing",C120))+ISNUMBER(SEARCH("Director Marketing",C120))+ISNUMBER(SEARCH("Head of Marketing",C120))+ISNUMBER(SEARCH("Head Marketing",C120))&gt;0,'Configuración'!$B$32,IF(ISNUMBER(SEARCH("Marketing Manager",C120))+ISNUMBER(SEARCH("Gerente de Marketing",C120))+ISNUMBER(SEARCH("Growth Manager",C120))+ISNUMBER(SEARCH("Demand Gen",C120))+ISNUMBER(SEARCH("Marketing Lead",C120))&gt;0,'Configuración'!$B$33,IF(ISNUMBER(SEARCH("COO",C120))+ISNUMBER(SEARCH("CFO",C120))+ISNUMBER(SEARCH("CTO",C120))+ISNUMBER(SEARCH("Chief Operating",C120))+ISNUMBER(SEARCH("Chief Financial",C120))+ISNUMBER(SEARCH("Gerente General",C120))+ISNUMBER(SEARCH("General Manager",C120))&gt;0,'Configuración'!$B$34,'Configuración'!$B$35)))))</f>
        <v>12</v>
      </c>
      <c r="V120" s="38">
        <f>IF(B120="","",IF(K120="Sí",'Configuración'!$B$5,0)+IF(L120="Semanal",'Configuración'!$B$6,IF(L120="Mensual",'Configuración'!$B$7,0))+IF(M120="Sí",'Configuración'!$B$8,0)+IF(N120="Sí",'Configuración'!$B$9,0)+IF(O120="Sí",'Configuración'!$B$10,0)+IF(P120="Sí",'Configuración'!$B$11,0)+IF(Q120="Sí",'Configuración'!$B$12,0)+S120+T120+U120)</f>
        <v>28</v>
      </c>
      <c r="W120" s="39" t="str">
        <f>IF(B120="","",IF(V120&gt;='Configuración'!$B$19,"A",IF(V120&gt;='Configuración'!$B$20,"B",IF(V120&gt;='Configuración'!$B$21,"C","Descarte"))))</f>
        <v>C</v>
      </c>
    </row>
    <row r="121" ht="15.75" customHeight="1">
      <c r="A121" s="34">
        <f t="shared" si="1"/>
        <v>119</v>
      </c>
      <c r="B121" s="29" t="s">
        <v>181</v>
      </c>
      <c r="C121" s="29" t="s">
        <v>304</v>
      </c>
      <c r="D121" s="29" t="s">
        <v>891</v>
      </c>
      <c r="E121" s="29" t="s">
        <v>892</v>
      </c>
      <c r="F121" s="30" t="s">
        <v>893</v>
      </c>
      <c r="G121" s="30" t="s">
        <v>894</v>
      </c>
      <c r="H121" s="30" t="s">
        <v>895</v>
      </c>
      <c r="I121" s="29" t="s">
        <v>896</v>
      </c>
      <c r="J121" s="31">
        <v>4.0</v>
      </c>
      <c r="K121" s="36" t="s">
        <v>119</v>
      </c>
      <c r="L121" s="36" t="s">
        <v>173</v>
      </c>
      <c r="M121" s="36" t="s">
        <v>117</v>
      </c>
      <c r="N121" s="36" t="s">
        <v>119</v>
      </c>
      <c r="O121" s="36" t="s">
        <v>119</v>
      </c>
      <c r="P121" s="35"/>
      <c r="Q121" s="36" t="s">
        <v>119</v>
      </c>
      <c r="R121" s="35"/>
      <c r="S121" s="37">
        <f>IF(B121="","",IF(ISNUMBER(J121),IF(J121&lt;=10,'Configuración'!$B$23,IF(J121&lt;=50,'Configuración'!$B$24,IF(J121&lt;=200,'Configuración'!$B$25,0))),0))</f>
        <v>12</v>
      </c>
      <c r="T121" s="37">
        <f>IF(B121="","",IF(ISNUMBER(SEARCH("information technology",I121))+ISNUMBER(SEARCH("software",I121))+ISNUMBER(SEARCH("internet",I121))+ISNUMBER(SEARCH("computer",I121))+ISNUMBER(SEARCH("saas",I121))+ISNUMBER(SEARCH("fintech",I121))+ISNUMBER(SEARCH("information services",I121))+ISNUMBER(SEARCH("telecommunications",I121))&gt;0,'Configuración'!$B$27,'Configuración'!$B$28))</f>
        <v>4</v>
      </c>
      <c r="U121" s="25">
        <f>IF(B121="","",IF(ISNUMBER(SEARCH("CEO",C121))+ISNUMBER(SEARCH("Founder",C121))+ISNUMBER(SEARCH("Owner",C121))+ISNUMBER(SEARCH("Dueño",C121))+ISNUMBER(SEARCH("Director General",C121))+ISNUMBER(SEARCH("Presidente",C121))+ISNUMBER(SEARCH("President",C121))&gt;0,'Configuración'!$B$31,IF(ISNUMBER(SEARCH("CMO",C121))+ISNUMBER(SEARCH("Chief Marketing",C121))+ISNUMBER(SEARCH("VP Marketing",C121))+ISNUMBER(SEARCH("Director de Marketing",C121))+ISNUMBER(SEARCH("Director Marketing",C121))+ISNUMBER(SEARCH("Head of Marketing",C121))+ISNUMBER(SEARCH("Head Marketing",C121))&gt;0,'Configuración'!$B$32,IF(ISNUMBER(SEARCH("Marketing Manager",C121))+ISNUMBER(SEARCH("Gerente de Marketing",C121))+ISNUMBER(SEARCH("Growth Manager",C121))+ISNUMBER(SEARCH("Demand Gen",C121))+ISNUMBER(SEARCH("Marketing Lead",C121))&gt;0,'Configuración'!$B$33,IF(ISNUMBER(SEARCH("COO",C121))+ISNUMBER(SEARCH("CFO",C121))+ISNUMBER(SEARCH("CTO",C121))+ISNUMBER(SEARCH("Chief Operating",C121))+ISNUMBER(SEARCH("Chief Financial",C121))+ISNUMBER(SEARCH("Gerente General",C121))+ISNUMBER(SEARCH("General Manager",C121))&gt;0,'Configuración'!$B$34,'Configuración'!$B$35)))))</f>
        <v>4</v>
      </c>
      <c r="V121" s="38">
        <f>IF(B121="","",IF(K121="Sí",'Configuración'!$B$5,0)+IF(L121="Semanal",'Configuración'!$B$6,IF(L121="Mensual",'Configuración'!$B$7,0))+IF(M121="Sí",'Configuración'!$B$8,0)+IF(N121="Sí",'Configuración'!$B$9,0)+IF(O121="Sí",'Configuración'!$B$10,0)+IF(P121="Sí",'Configuración'!$B$11,0)+IF(Q121="Sí",'Configuración'!$B$12,0)+S121+T121+U121)</f>
        <v>36</v>
      </c>
      <c r="W121" s="39" t="str">
        <f>IF(B121="","",IF(V121&gt;='Configuración'!$B$19,"A",IF(V121&gt;='Configuración'!$B$20,"B",IF(V121&gt;='Configuración'!$B$21,"C","Descarte"))))</f>
        <v>C</v>
      </c>
    </row>
    <row r="122" ht="15.75" customHeight="1">
      <c r="A122" s="34">
        <f t="shared" si="1"/>
        <v>120</v>
      </c>
      <c r="B122" s="29" t="s">
        <v>897</v>
      </c>
      <c r="C122" s="29" t="s">
        <v>146</v>
      </c>
      <c r="D122" s="29" t="s">
        <v>898</v>
      </c>
      <c r="E122" s="29" t="s">
        <v>899</v>
      </c>
      <c r="F122" s="30" t="s">
        <v>900</v>
      </c>
      <c r="G122" s="30" t="s">
        <v>901</v>
      </c>
      <c r="H122" s="30" t="s">
        <v>902</v>
      </c>
      <c r="I122" s="29" t="s">
        <v>127</v>
      </c>
      <c r="J122" s="31">
        <v>11.0</v>
      </c>
      <c r="K122" s="36" t="s">
        <v>119</v>
      </c>
      <c r="L122" s="36" t="s">
        <v>128</v>
      </c>
      <c r="M122" s="36" t="s">
        <v>119</v>
      </c>
      <c r="N122" s="36" t="s">
        <v>119</v>
      </c>
      <c r="O122" s="36" t="s">
        <v>119</v>
      </c>
      <c r="P122" s="35"/>
      <c r="Q122" s="36" t="s">
        <v>119</v>
      </c>
      <c r="R122" s="36" t="s">
        <v>230</v>
      </c>
      <c r="S122" s="37">
        <f>IF(B122="","",IF(ISNUMBER(J122),IF(J122&lt;=10,'Configuración'!$B$23,IF(J122&lt;=50,'Configuración'!$B$24,IF(J122&lt;=200,'Configuración'!$B$25,0))),0))</f>
        <v>4</v>
      </c>
      <c r="T122" s="37">
        <f>IF(B122="","",IF(ISNUMBER(SEARCH("information technology",I122))+ISNUMBER(SEARCH("software",I122))+ISNUMBER(SEARCH("internet",I122))+ISNUMBER(SEARCH("computer",I122))+ISNUMBER(SEARCH("saas",I122))+ISNUMBER(SEARCH("fintech",I122))+ISNUMBER(SEARCH("information services",I122))+ISNUMBER(SEARCH("telecommunications",I122))&gt;0,'Configuración'!$B$27,'Configuración'!$B$28))</f>
        <v>12</v>
      </c>
      <c r="U122" s="25">
        <f>IF(B122="","",IF(ISNUMBER(SEARCH("CEO",C122))+ISNUMBER(SEARCH("Founder",C122))+ISNUMBER(SEARCH("Owner",C122))+ISNUMBER(SEARCH("Dueño",C122))+ISNUMBER(SEARCH("Director General",C122))+ISNUMBER(SEARCH("Presidente",C122))+ISNUMBER(SEARCH("President",C122))&gt;0,'Configuración'!$B$31,IF(ISNUMBER(SEARCH("CMO",C122))+ISNUMBER(SEARCH("Chief Marketing",C122))+ISNUMBER(SEARCH("VP Marketing",C122))+ISNUMBER(SEARCH("Director de Marketing",C122))+ISNUMBER(SEARCH("Director Marketing",C122))+ISNUMBER(SEARCH("Head of Marketing",C122))+ISNUMBER(SEARCH("Head Marketing",C122))&gt;0,'Configuración'!$B$32,IF(ISNUMBER(SEARCH("Marketing Manager",C122))+ISNUMBER(SEARCH("Gerente de Marketing",C122))+ISNUMBER(SEARCH("Growth Manager",C122))+ISNUMBER(SEARCH("Demand Gen",C122))+ISNUMBER(SEARCH("Marketing Lead",C122))&gt;0,'Configuración'!$B$33,IF(ISNUMBER(SEARCH("COO",C122))+ISNUMBER(SEARCH("CFO",C122))+ISNUMBER(SEARCH("CTO",C122))+ISNUMBER(SEARCH("Chief Operating",C122))+ISNUMBER(SEARCH("Chief Financial",C122))+ISNUMBER(SEARCH("Gerente General",C122))+ISNUMBER(SEARCH("General Manager",C122))&gt;0,'Configuración'!$B$34,'Configuración'!$B$35)))))</f>
        <v>0</v>
      </c>
      <c r="V122" s="38">
        <f>IF(B122="","",IF(K122="Sí",'Configuración'!$B$5,0)+IF(L122="Semanal",'Configuración'!$B$6,IF(L122="Mensual",'Configuración'!$B$7,0))+IF(M122="Sí",'Configuración'!$B$8,0)+IF(N122="Sí",'Configuración'!$B$9,0)+IF(O122="Sí",'Configuración'!$B$10,0)+IF(P122="Sí",'Configuración'!$B$11,0)+IF(Q122="Sí",'Configuración'!$B$12,0)+S122+T122+U122)</f>
        <v>16</v>
      </c>
      <c r="W122" s="39" t="str">
        <f>IF(B122="","",IF(V122&gt;='Configuración'!$B$19,"A",IF(V122&gt;='Configuración'!$B$20,"B",IF(V122&gt;='Configuración'!$B$21,"C","Descarte"))))</f>
        <v>Descarte</v>
      </c>
    </row>
    <row r="123" ht="15.75" customHeight="1">
      <c r="A123" s="34">
        <f t="shared" si="1"/>
        <v>121</v>
      </c>
      <c r="B123" s="29" t="s">
        <v>903</v>
      </c>
      <c r="C123" s="29" t="s">
        <v>121</v>
      </c>
      <c r="D123" s="29" t="s">
        <v>904</v>
      </c>
      <c r="E123" s="29" t="s">
        <v>905</v>
      </c>
      <c r="F123" s="30" t="s">
        <v>906</v>
      </c>
      <c r="G123" s="30" t="s">
        <v>907</v>
      </c>
      <c r="H123" s="30" t="s">
        <v>908</v>
      </c>
      <c r="I123" s="29" t="s">
        <v>480</v>
      </c>
      <c r="J123" s="31">
        <v>5.0</v>
      </c>
      <c r="K123" s="36" t="s">
        <v>119</v>
      </c>
      <c r="L123" s="36" t="s">
        <v>128</v>
      </c>
      <c r="M123" s="36" t="s">
        <v>117</v>
      </c>
      <c r="N123" s="36" t="s">
        <v>119</v>
      </c>
      <c r="O123" s="36" t="s">
        <v>119</v>
      </c>
      <c r="P123" s="35"/>
      <c r="Q123" s="36" t="s">
        <v>119</v>
      </c>
      <c r="R123" s="35"/>
      <c r="S123" s="37">
        <f>IF(B123="","",IF(ISNUMBER(J123),IF(J123&lt;=10,'Configuración'!$B$23,IF(J123&lt;=50,'Configuración'!$B$24,IF(J123&lt;=200,'Configuración'!$B$25,0))),0))</f>
        <v>12</v>
      </c>
      <c r="T123" s="37">
        <f>IF(B123="","",IF(ISNUMBER(SEARCH("information technology",I123))+ISNUMBER(SEARCH("software",I123))+ISNUMBER(SEARCH("internet",I123))+ISNUMBER(SEARCH("computer",I123))+ISNUMBER(SEARCH("saas",I123))+ISNUMBER(SEARCH("fintech",I123))+ISNUMBER(SEARCH("information services",I123))+ISNUMBER(SEARCH("telecommunications",I123))&gt;0,'Configuración'!$B$27,'Configuración'!$B$28))</f>
        <v>4</v>
      </c>
      <c r="U123" s="25">
        <f>IF(B123="","",IF(ISNUMBER(SEARCH("CEO",C123))+ISNUMBER(SEARCH("Founder",C123))+ISNUMBER(SEARCH("Owner",C123))+ISNUMBER(SEARCH("Dueño",C123))+ISNUMBER(SEARCH("Director General",C123))+ISNUMBER(SEARCH("Presidente",C123))+ISNUMBER(SEARCH("President",C123))&gt;0,'Configuración'!$B$31,IF(ISNUMBER(SEARCH("CMO",C123))+ISNUMBER(SEARCH("Chief Marketing",C123))+ISNUMBER(SEARCH("VP Marketing",C123))+ISNUMBER(SEARCH("Director de Marketing",C123))+ISNUMBER(SEARCH("Director Marketing",C123))+ISNUMBER(SEARCH("Head of Marketing",C123))+ISNUMBER(SEARCH("Head Marketing",C123))&gt;0,'Configuración'!$B$32,IF(ISNUMBER(SEARCH("Marketing Manager",C123))+ISNUMBER(SEARCH("Gerente de Marketing",C123))+ISNUMBER(SEARCH("Growth Manager",C123))+ISNUMBER(SEARCH("Demand Gen",C123))+ISNUMBER(SEARCH("Marketing Lead",C123))&gt;0,'Configuración'!$B$33,IF(ISNUMBER(SEARCH("COO",C123))+ISNUMBER(SEARCH("CFO",C123))+ISNUMBER(SEARCH("CTO",C123))+ISNUMBER(SEARCH("Chief Operating",C123))+ISNUMBER(SEARCH("Chief Financial",C123))+ISNUMBER(SEARCH("Gerente General",C123))+ISNUMBER(SEARCH("General Manager",C123))&gt;0,'Configuración'!$B$34,'Configuración'!$B$35)))))</f>
        <v>12</v>
      </c>
      <c r="V123" s="38">
        <f>IF(B123="","",IF(K123="Sí",'Configuración'!$B$5,0)+IF(L123="Semanal",'Configuración'!$B$6,IF(L123="Mensual",'Configuración'!$B$7,0))+IF(M123="Sí",'Configuración'!$B$8,0)+IF(N123="Sí",'Configuración'!$B$9,0)+IF(O123="Sí",'Configuración'!$B$10,0)+IF(P123="Sí",'Configuración'!$B$11,0)+IF(Q123="Sí",'Configuración'!$B$12,0)+S123+T123+U123)</f>
        <v>40</v>
      </c>
      <c r="W123" s="39" t="str">
        <f>IF(B123="","",IF(V123&gt;='Configuración'!$B$19,"A",IF(V123&gt;='Configuración'!$B$20,"B",IF(V123&gt;='Configuración'!$B$21,"C","Descarte"))))</f>
        <v>B</v>
      </c>
    </row>
    <row r="124" ht="15.75" customHeight="1">
      <c r="A124" s="34">
        <f t="shared" si="1"/>
        <v>122</v>
      </c>
      <c r="B124" s="29" t="s">
        <v>138</v>
      </c>
      <c r="C124" s="29" t="s">
        <v>909</v>
      </c>
      <c r="D124" s="29" t="s">
        <v>910</v>
      </c>
      <c r="E124" s="29" t="s">
        <v>911</v>
      </c>
      <c r="F124" s="30" t="s">
        <v>912</v>
      </c>
      <c r="G124" s="30" t="s">
        <v>913</v>
      </c>
      <c r="H124" s="30" t="s">
        <v>914</v>
      </c>
      <c r="I124" s="29" t="s">
        <v>188</v>
      </c>
      <c r="J124" s="31">
        <v>13.0</v>
      </c>
      <c r="K124" s="36" t="s">
        <v>119</v>
      </c>
      <c r="L124" s="36" t="s">
        <v>118</v>
      </c>
      <c r="M124" s="36" t="s">
        <v>117</v>
      </c>
      <c r="N124" s="36" t="s">
        <v>119</v>
      </c>
      <c r="O124" s="36" t="s">
        <v>119</v>
      </c>
      <c r="P124" s="35"/>
      <c r="Q124" s="36" t="s">
        <v>119</v>
      </c>
      <c r="R124" s="35"/>
      <c r="S124" s="37">
        <f>IF(B124="","",IF(ISNUMBER(J124),IF(J124&lt;=10,'Configuración'!$B$23,IF(J124&lt;=50,'Configuración'!$B$24,IF(J124&lt;=200,'Configuración'!$B$25,0))),0))</f>
        <v>4</v>
      </c>
      <c r="T124" s="37">
        <f>IF(B124="","",IF(ISNUMBER(SEARCH("information technology",I124))+ISNUMBER(SEARCH("software",I124))+ISNUMBER(SEARCH("internet",I124))+ISNUMBER(SEARCH("computer",I124))+ISNUMBER(SEARCH("saas",I124))+ISNUMBER(SEARCH("fintech",I124))+ISNUMBER(SEARCH("information services",I124))+ISNUMBER(SEARCH("telecommunications",I124))&gt;0,'Configuración'!$B$27,'Configuración'!$B$28))</f>
        <v>4</v>
      </c>
      <c r="U124" s="25">
        <f>IF(B124="","",IF(ISNUMBER(SEARCH("CEO",C124))+ISNUMBER(SEARCH("Founder",C124))+ISNUMBER(SEARCH("Owner",C124))+ISNUMBER(SEARCH("Dueño",C124))+ISNUMBER(SEARCH("Director General",C124))+ISNUMBER(SEARCH("Presidente",C124))+ISNUMBER(SEARCH("President",C124))&gt;0,'Configuración'!$B$31,IF(ISNUMBER(SEARCH("CMO",C124))+ISNUMBER(SEARCH("Chief Marketing",C124))+ISNUMBER(SEARCH("VP Marketing",C124))+ISNUMBER(SEARCH("Director de Marketing",C124))+ISNUMBER(SEARCH("Director Marketing",C124))+ISNUMBER(SEARCH("Head of Marketing",C124))+ISNUMBER(SEARCH("Head Marketing",C124))&gt;0,'Configuración'!$B$32,IF(ISNUMBER(SEARCH("Marketing Manager",C124))+ISNUMBER(SEARCH("Gerente de Marketing",C124))+ISNUMBER(SEARCH("Growth Manager",C124))+ISNUMBER(SEARCH("Demand Gen",C124))+ISNUMBER(SEARCH("Marketing Lead",C124))&gt;0,'Configuración'!$B$33,IF(ISNUMBER(SEARCH("COO",C124))+ISNUMBER(SEARCH("CFO",C124))+ISNUMBER(SEARCH("CTO",C124))+ISNUMBER(SEARCH("Chief Operating",C124))+ISNUMBER(SEARCH("Chief Financial",C124))+ISNUMBER(SEARCH("Gerente General",C124))+ISNUMBER(SEARCH("General Manager",C124))&gt;0,'Configuración'!$B$34,'Configuración'!$B$35)))))</f>
        <v>12</v>
      </c>
      <c r="V124" s="38">
        <f>IF(B124="","",IF(K124="Sí",'Configuración'!$B$5,0)+IF(L124="Semanal",'Configuración'!$B$6,IF(L124="Mensual",'Configuración'!$B$7,0))+IF(M124="Sí",'Configuración'!$B$8,0)+IF(N124="Sí",'Configuración'!$B$9,0)+IF(O124="Sí",'Configuración'!$B$10,0)+IF(P124="Sí",'Configuración'!$B$11,0)+IF(Q124="Sí",'Configuración'!$B$12,0)+S124+T124+U124)</f>
        <v>44</v>
      </c>
      <c r="W124" s="39" t="str">
        <f>IF(B124="","",IF(V124&gt;='Configuración'!$B$19,"A",IF(V124&gt;='Configuración'!$B$20,"B",IF(V124&gt;='Configuración'!$B$21,"C","Descarte"))))</f>
        <v>B</v>
      </c>
    </row>
    <row r="125" ht="15.75" customHeight="1">
      <c r="A125" s="34">
        <f t="shared" si="1"/>
        <v>123</v>
      </c>
      <c r="B125" s="29" t="s">
        <v>174</v>
      </c>
      <c r="C125" s="29" t="s">
        <v>915</v>
      </c>
      <c r="D125" s="29" t="s">
        <v>916</v>
      </c>
      <c r="E125" s="29" t="s">
        <v>917</v>
      </c>
      <c r="F125" s="30" t="s">
        <v>918</v>
      </c>
      <c r="G125" s="30" t="s">
        <v>919</v>
      </c>
      <c r="H125" s="30" t="s">
        <v>920</v>
      </c>
      <c r="I125" s="29" t="s">
        <v>116</v>
      </c>
      <c r="J125" s="31">
        <v>15.0</v>
      </c>
      <c r="K125" s="36" t="s">
        <v>119</v>
      </c>
      <c r="L125" s="36" t="s">
        <v>128</v>
      </c>
      <c r="M125" s="36" t="s">
        <v>119</v>
      </c>
      <c r="N125" s="36" t="s">
        <v>119</v>
      </c>
      <c r="O125" s="36" t="s">
        <v>119</v>
      </c>
      <c r="P125" s="35"/>
      <c r="Q125" s="36" t="s">
        <v>119</v>
      </c>
      <c r="R125" s="35"/>
      <c r="S125" s="37">
        <f>IF(B125="","",IF(ISNUMBER(J125),IF(J125&lt;=10,'Configuración'!$B$23,IF(J125&lt;=50,'Configuración'!$B$24,IF(J125&lt;=200,'Configuración'!$B$25,0))),0))</f>
        <v>4</v>
      </c>
      <c r="T125" s="37">
        <f>IF(B125="","",IF(ISNUMBER(SEARCH("information technology",I125))+ISNUMBER(SEARCH("software",I125))+ISNUMBER(SEARCH("internet",I125))+ISNUMBER(SEARCH("computer",I125))+ISNUMBER(SEARCH("saas",I125))+ISNUMBER(SEARCH("fintech",I125))+ISNUMBER(SEARCH("information services",I125))+ISNUMBER(SEARCH("telecommunications",I125))&gt;0,'Configuración'!$B$27,'Configuración'!$B$28))</f>
        <v>4</v>
      </c>
      <c r="U125" s="25">
        <f>IF(B125="","",IF(ISNUMBER(SEARCH("CEO",C125))+ISNUMBER(SEARCH("Founder",C125))+ISNUMBER(SEARCH("Owner",C125))+ISNUMBER(SEARCH("Dueño",C125))+ISNUMBER(SEARCH("Director General",C125))+ISNUMBER(SEARCH("Presidente",C125))+ISNUMBER(SEARCH("President",C125))&gt;0,'Configuración'!$B$31,IF(ISNUMBER(SEARCH("CMO",C125))+ISNUMBER(SEARCH("Chief Marketing",C125))+ISNUMBER(SEARCH("VP Marketing",C125))+ISNUMBER(SEARCH("Director de Marketing",C125))+ISNUMBER(SEARCH("Director Marketing",C125))+ISNUMBER(SEARCH("Head of Marketing",C125))+ISNUMBER(SEARCH("Head Marketing",C125))&gt;0,'Configuración'!$B$32,IF(ISNUMBER(SEARCH("Marketing Manager",C125))+ISNUMBER(SEARCH("Gerente de Marketing",C125))+ISNUMBER(SEARCH("Growth Manager",C125))+ISNUMBER(SEARCH("Demand Gen",C125))+ISNUMBER(SEARCH("Marketing Lead",C125))&gt;0,'Configuración'!$B$33,IF(ISNUMBER(SEARCH("COO",C125))+ISNUMBER(SEARCH("CFO",C125))+ISNUMBER(SEARCH("CTO",C125))+ISNUMBER(SEARCH("Chief Operating",C125))+ISNUMBER(SEARCH("Chief Financial",C125))+ISNUMBER(SEARCH("Gerente General",C125))+ISNUMBER(SEARCH("General Manager",C125))&gt;0,'Configuración'!$B$34,'Configuración'!$B$35)))))</f>
        <v>12</v>
      </c>
      <c r="V125" s="38">
        <f>IF(B125="","",IF(K125="Sí",'Configuración'!$B$5,0)+IF(L125="Semanal",'Configuración'!$B$6,IF(L125="Mensual",'Configuración'!$B$7,0))+IF(M125="Sí",'Configuración'!$B$8,0)+IF(N125="Sí",'Configuración'!$B$9,0)+IF(O125="Sí",'Configuración'!$B$10,0)+IF(P125="Sí",'Configuración'!$B$11,0)+IF(Q125="Sí",'Configuración'!$B$12,0)+S125+T125+U125)</f>
        <v>20</v>
      </c>
      <c r="W125" s="39" t="str">
        <f>IF(B125="","",IF(V125&gt;='Configuración'!$B$19,"A",IF(V125&gt;='Configuración'!$B$20,"B",IF(V125&gt;='Configuración'!$B$21,"C","Descarte"))))</f>
        <v>Descarte</v>
      </c>
    </row>
    <row r="126" ht="15.75" customHeight="1">
      <c r="A126" s="34">
        <f t="shared" si="1"/>
        <v>124</v>
      </c>
      <c r="B126" s="29" t="s">
        <v>159</v>
      </c>
      <c r="C126" s="29" t="s">
        <v>921</v>
      </c>
      <c r="D126" s="29" t="s">
        <v>922</v>
      </c>
      <c r="E126" s="29" t="s">
        <v>923</v>
      </c>
      <c r="F126" s="30" t="s">
        <v>924</v>
      </c>
      <c r="G126" s="30" t="s">
        <v>925</v>
      </c>
      <c r="H126" s="30" t="s">
        <v>926</v>
      </c>
      <c r="I126" s="29" t="s">
        <v>116</v>
      </c>
      <c r="J126" s="31">
        <v>9.0</v>
      </c>
      <c r="K126" s="36" t="s">
        <v>119</v>
      </c>
      <c r="L126" s="36" t="s">
        <v>128</v>
      </c>
      <c r="M126" s="36" t="s">
        <v>119</v>
      </c>
      <c r="N126" s="36" t="s">
        <v>119</v>
      </c>
      <c r="O126" s="36" t="s">
        <v>119</v>
      </c>
      <c r="P126" s="35"/>
      <c r="Q126" s="36" t="s">
        <v>119</v>
      </c>
      <c r="R126" s="35"/>
      <c r="S126" s="37">
        <f>IF(B126="","",IF(ISNUMBER(J126),IF(J126&lt;=10,'Configuración'!$B$23,IF(J126&lt;=50,'Configuración'!$B$24,IF(J126&lt;=200,'Configuración'!$B$25,0))),0))</f>
        <v>12</v>
      </c>
      <c r="T126" s="37">
        <f>IF(B126="","",IF(ISNUMBER(SEARCH("information technology",I126))+ISNUMBER(SEARCH("software",I126))+ISNUMBER(SEARCH("internet",I126))+ISNUMBER(SEARCH("computer",I126))+ISNUMBER(SEARCH("saas",I126))+ISNUMBER(SEARCH("fintech",I126))+ISNUMBER(SEARCH("information services",I126))+ISNUMBER(SEARCH("telecommunications",I126))&gt;0,'Configuración'!$B$27,'Configuración'!$B$28))</f>
        <v>4</v>
      </c>
      <c r="U126" s="25">
        <f>IF(B126="","",IF(ISNUMBER(SEARCH("CEO",C126))+ISNUMBER(SEARCH("Founder",C126))+ISNUMBER(SEARCH("Owner",C126))+ISNUMBER(SEARCH("Dueño",C126))+ISNUMBER(SEARCH("Director General",C126))+ISNUMBER(SEARCH("Presidente",C126))+ISNUMBER(SEARCH("President",C126))&gt;0,'Configuración'!$B$31,IF(ISNUMBER(SEARCH("CMO",C126))+ISNUMBER(SEARCH("Chief Marketing",C126))+ISNUMBER(SEARCH("VP Marketing",C126))+ISNUMBER(SEARCH("Director de Marketing",C126))+ISNUMBER(SEARCH("Director Marketing",C126))+ISNUMBER(SEARCH("Head of Marketing",C126))+ISNUMBER(SEARCH("Head Marketing",C126))&gt;0,'Configuración'!$B$32,IF(ISNUMBER(SEARCH("Marketing Manager",C126))+ISNUMBER(SEARCH("Gerente de Marketing",C126))+ISNUMBER(SEARCH("Growth Manager",C126))+ISNUMBER(SEARCH("Demand Gen",C126))+ISNUMBER(SEARCH("Marketing Lead",C126))&gt;0,'Configuración'!$B$33,IF(ISNUMBER(SEARCH("COO",C126))+ISNUMBER(SEARCH("CFO",C126))+ISNUMBER(SEARCH("CTO",C126))+ISNUMBER(SEARCH("Chief Operating",C126))+ISNUMBER(SEARCH("Chief Financial",C126))+ISNUMBER(SEARCH("Gerente General",C126))+ISNUMBER(SEARCH("General Manager",C126))&gt;0,'Configuración'!$B$34,'Configuración'!$B$35)))))</f>
        <v>12</v>
      </c>
      <c r="V126" s="38">
        <f>IF(B126="","",IF(K126="Sí",'Configuración'!$B$5,0)+IF(L126="Semanal",'Configuración'!$B$6,IF(L126="Mensual",'Configuración'!$B$7,0))+IF(M126="Sí",'Configuración'!$B$8,0)+IF(N126="Sí",'Configuración'!$B$9,0)+IF(O126="Sí",'Configuración'!$B$10,0)+IF(P126="Sí",'Configuración'!$B$11,0)+IF(Q126="Sí",'Configuración'!$B$12,0)+S126+T126+U126)</f>
        <v>28</v>
      </c>
      <c r="W126" s="39" t="str">
        <f>IF(B126="","",IF(V126&gt;='Configuración'!$B$19,"A",IF(V126&gt;='Configuración'!$B$20,"B",IF(V126&gt;='Configuración'!$B$21,"C","Descarte"))))</f>
        <v>C</v>
      </c>
    </row>
    <row r="127" ht="15.75" customHeight="1">
      <c r="A127" s="34">
        <f t="shared" si="1"/>
        <v>125</v>
      </c>
      <c r="B127" s="29" t="s">
        <v>296</v>
      </c>
      <c r="C127" s="29" t="s">
        <v>131</v>
      </c>
      <c r="D127" s="29" t="s">
        <v>927</v>
      </c>
      <c r="E127" s="29" t="s">
        <v>928</v>
      </c>
      <c r="F127" s="30" t="s">
        <v>929</v>
      </c>
      <c r="G127" s="30" t="s">
        <v>930</v>
      </c>
      <c r="H127" s="30" t="s">
        <v>931</v>
      </c>
      <c r="I127" s="29" t="s">
        <v>932</v>
      </c>
      <c r="J127" s="31">
        <v>10.0</v>
      </c>
      <c r="K127" s="36" t="s">
        <v>119</v>
      </c>
      <c r="L127" s="36" t="s">
        <v>118</v>
      </c>
      <c r="M127" s="36" t="s">
        <v>117</v>
      </c>
      <c r="N127" s="36" t="s">
        <v>119</v>
      </c>
      <c r="O127" s="36" t="s">
        <v>119</v>
      </c>
      <c r="P127" s="35"/>
      <c r="Q127" s="36" t="s">
        <v>119</v>
      </c>
      <c r="R127" s="35"/>
      <c r="S127" s="37">
        <f>IF(B127="","",IF(ISNUMBER(J127),IF(J127&lt;=10,'Configuración'!$B$23,IF(J127&lt;=50,'Configuración'!$B$24,IF(J127&lt;=200,'Configuración'!$B$25,0))),0))</f>
        <v>12</v>
      </c>
      <c r="T127" s="37">
        <f>IF(B127="","",IF(ISNUMBER(SEARCH("information technology",I127))+ISNUMBER(SEARCH("software",I127))+ISNUMBER(SEARCH("internet",I127))+ISNUMBER(SEARCH("computer",I127))+ISNUMBER(SEARCH("saas",I127))+ISNUMBER(SEARCH("fintech",I127))+ISNUMBER(SEARCH("information services",I127))+ISNUMBER(SEARCH("telecommunications",I127))&gt;0,'Configuración'!$B$27,'Configuración'!$B$28))</f>
        <v>4</v>
      </c>
      <c r="U127" s="25">
        <f>IF(B127="","",IF(ISNUMBER(SEARCH("CEO",C127))+ISNUMBER(SEARCH("Founder",C127))+ISNUMBER(SEARCH("Owner",C127))+ISNUMBER(SEARCH("Dueño",C127))+ISNUMBER(SEARCH("Director General",C127))+ISNUMBER(SEARCH("Presidente",C127))+ISNUMBER(SEARCH("President",C127))&gt;0,'Configuración'!$B$31,IF(ISNUMBER(SEARCH("CMO",C127))+ISNUMBER(SEARCH("Chief Marketing",C127))+ISNUMBER(SEARCH("VP Marketing",C127))+ISNUMBER(SEARCH("Director de Marketing",C127))+ISNUMBER(SEARCH("Director Marketing",C127))+ISNUMBER(SEARCH("Head of Marketing",C127))+ISNUMBER(SEARCH("Head Marketing",C127))&gt;0,'Configuración'!$B$32,IF(ISNUMBER(SEARCH("Marketing Manager",C127))+ISNUMBER(SEARCH("Gerente de Marketing",C127))+ISNUMBER(SEARCH("Growth Manager",C127))+ISNUMBER(SEARCH("Demand Gen",C127))+ISNUMBER(SEARCH("Marketing Lead",C127))&gt;0,'Configuración'!$B$33,IF(ISNUMBER(SEARCH("COO",C127))+ISNUMBER(SEARCH("CFO",C127))+ISNUMBER(SEARCH("CTO",C127))+ISNUMBER(SEARCH("Chief Operating",C127))+ISNUMBER(SEARCH("Chief Financial",C127))+ISNUMBER(SEARCH("Gerente General",C127))+ISNUMBER(SEARCH("General Manager",C127))&gt;0,'Configuración'!$B$34,'Configuración'!$B$35)))))</f>
        <v>12</v>
      </c>
      <c r="V127" s="38">
        <f>IF(B127="","",IF(K127="Sí",'Configuración'!$B$5,0)+IF(L127="Semanal",'Configuración'!$B$6,IF(L127="Mensual",'Configuración'!$B$7,0))+IF(M127="Sí",'Configuración'!$B$8,0)+IF(N127="Sí",'Configuración'!$B$9,0)+IF(O127="Sí",'Configuración'!$B$10,0)+IF(P127="Sí",'Configuración'!$B$11,0)+IF(Q127="Sí",'Configuración'!$B$12,0)+S127+T127+U127)</f>
        <v>52</v>
      </c>
      <c r="W127" s="39" t="str">
        <f>IF(B127="","",IF(V127&gt;='Configuración'!$B$19,"A",IF(V127&gt;='Configuración'!$B$20,"B",IF(V127&gt;='Configuración'!$B$21,"C","Descarte"))))</f>
        <v>B</v>
      </c>
    </row>
    <row r="128" ht="15.75" customHeight="1">
      <c r="A128" s="34">
        <f t="shared" si="1"/>
        <v>126</v>
      </c>
      <c r="B128" s="29" t="s">
        <v>933</v>
      </c>
      <c r="C128" s="29" t="s">
        <v>934</v>
      </c>
      <c r="D128" s="29" t="s">
        <v>935</v>
      </c>
      <c r="E128" s="29" t="s">
        <v>936</v>
      </c>
      <c r="F128" s="30" t="s">
        <v>937</v>
      </c>
      <c r="G128" s="30" t="s">
        <v>938</v>
      </c>
      <c r="H128" s="30" t="s">
        <v>939</v>
      </c>
      <c r="I128" s="29" t="s">
        <v>127</v>
      </c>
      <c r="J128" s="31">
        <v>25.0</v>
      </c>
      <c r="K128" s="36" t="s">
        <v>117</v>
      </c>
      <c r="L128" s="36" t="s">
        <v>118</v>
      </c>
      <c r="M128" s="36" t="s">
        <v>117</v>
      </c>
      <c r="N128" s="36" t="s">
        <v>119</v>
      </c>
      <c r="O128" s="36" t="s">
        <v>119</v>
      </c>
      <c r="P128" s="35"/>
      <c r="Q128" s="36" t="s">
        <v>119</v>
      </c>
      <c r="R128" s="35"/>
      <c r="S128" s="37">
        <f>IF(B128="","",IF(ISNUMBER(J128),IF(J128&lt;=10,'Configuración'!$B$23,IF(J128&lt;=50,'Configuración'!$B$24,IF(J128&lt;=200,'Configuración'!$B$25,0))),0))</f>
        <v>4</v>
      </c>
      <c r="T128" s="37">
        <f>IF(B128="","",IF(ISNUMBER(SEARCH("information technology",I128))+ISNUMBER(SEARCH("software",I128))+ISNUMBER(SEARCH("internet",I128))+ISNUMBER(SEARCH("computer",I128))+ISNUMBER(SEARCH("saas",I128))+ISNUMBER(SEARCH("fintech",I128))+ISNUMBER(SEARCH("information services",I128))+ISNUMBER(SEARCH("telecommunications",I128))&gt;0,'Configuración'!$B$27,'Configuración'!$B$28))</f>
        <v>12</v>
      </c>
      <c r="U128" s="25">
        <f>IF(B128="","",IF(ISNUMBER(SEARCH("CEO",C128))+ISNUMBER(SEARCH("Founder",C128))+ISNUMBER(SEARCH("Owner",C128))+ISNUMBER(SEARCH("Dueño",C128))+ISNUMBER(SEARCH("Director General",C128))+ISNUMBER(SEARCH("Presidente",C128))+ISNUMBER(SEARCH("President",C128))&gt;0,'Configuración'!$B$31,IF(ISNUMBER(SEARCH("CMO",C128))+ISNUMBER(SEARCH("Chief Marketing",C128))+ISNUMBER(SEARCH("VP Marketing",C128))+ISNUMBER(SEARCH("Director de Marketing",C128))+ISNUMBER(SEARCH("Director Marketing",C128))+ISNUMBER(SEARCH("Head of Marketing",C128))+ISNUMBER(SEARCH("Head Marketing",C128))&gt;0,'Configuración'!$B$32,IF(ISNUMBER(SEARCH("Marketing Manager",C128))+ISNUMBER(SEARCH("Gerente de Marketing",C128))+ISNUMBER(SEARCH("Growth Manager",C128))+ISNUMBER(SEARCH("Demand Gen",C128))+ISNUMBER(SEARCH("Marketing Lead",C128))&gt;0,'Configuración'!$B$33,IF(ISNUMBER(SEARCH("COO",C128))+ISNUMBER(SEARCH("CFO",C128))+ISNUMBER(SEARCH("CTO",C128))+ISNUMBER(SEARCH("Chief Operating",C128))+ISNUMBER(SEARCH("Chief Financial",C128))+ISNUMBER(SEARCH("Gerente General",C128))+ISNUMBER(SEARCH("General Manager",C128))&gt;0,'Configuración'!$B$34,'Configuración'!$B$35)))))</f>
        <v>12</v>
      </c>
      <c r="V128" s="38">
        <f>IF(B128="","",IF(K128="Sí",'Configuración'!$B$5,0)+IF(L128="Semanal",'Configuración'!$B$6,IF(L128="Mensual",'Configuración'!$B$7,0))+IF(M128="Sí",'Configuración'!$B$8,0)+IF(N128="Sí",'Configuración'!$B$9,0)+IF(O128="Sí",'Configuración'!$B$10,0)+IF(P128="Sí",'Configuración'!$B$11,0)+IF(Q128="Sí",'Configuración'!$B$12,0)+S128+T128+U128)</f>
        <v>64</v>
      </c>
      <c r="W128" s="39" t="str">
        <f>IF(B128="","",IF(V128&gt;='Configuración'!$B$19,"A",IF(V128&gt;='Configuración'!$B$20,"B",IF(V128&gt;='Configuración'!$B$21,"C","Descarte"))))</f>
        <v>A</v>
      </c>
    </row>
    <row r="129" ht="15.75" customHeight="1">
      <c r="A129" s="34">
        <f t="shared" si="1"/>
        <v>127</v>
      </c>
      <c r="B129" s="29" t="s">
        <v>940</v>
      </c>
      <c r="C129" s="29" t="s">
        <v>131</v>
      </c>
      <c r="D129" s="29" t="s">
        <v>941</v>
      </c>
      <c r="E129" s="29" t="s">
        <v>942</v>
      </c>
      <c r="F129" s="30" t="s">
        <v>943</v>
      </c>
      <c r="G129" s="30" t="s">
        <v>944</v>
      </c>
      <c r="H129" s="30" t="s">
        <v>945</v>
      </c>
      <c r="I129" s="29" t="s">
        <v>946</v>
      </c>
      <c r="J129" s="31">
        <v>5.0</v>
      </c>
      <c r="K129" s="36" t="s">
        <v>119</v>
      </c>
      <c r="L129" s="36" t="s">
        <v>128</v>
      </c>
      <c r="M129" s="36" t="s">
        <v>119</v>
      </c>
      <c r="N129" s="36" t="s">
        <v>119</v>
      </c>
      <c r="O129" s="36" t="s">
        <v>119</v>
      </c>
      <c r="P129" s="35"/>
      <c r="Q129" s="36" t="s">
        <v>119</v>
      </c>
      <c r="R129" s="35"/>
      <c r="S129" s="37">
        <f>IF(B129="","",IF(ISNUMBER(J129),IF(J129&lt;=10,'Configuración'!$B$23,IF(J129&lt;=50,'Configuración'!$B$24,IF(J129&lt;=200,'Configuración'!$B$25,0))),0))</f>
        <v>12</v>
      </c>
      <c r="T129" s="37">
        <f>IF(B129="","",IF(ISNUMBER(SEARCH("information technology",I129))+ISNUMBER(SEARCH("software",I129))+ISNUMBER(SEARCH("internet",I129))+ISNUMBER(SEARCH("computer",I129))+ISNUMBER(SEARCH("saas",I129))+ISNUMBER(SEARCH("fintech",I129))+ISNUMBER(SEARCH("information services",I129))+ISNUMBER(SEARCH("telecommunications",I129))&gt;0,'Configuración'!$B$27,'Configuración'!$B$28))</f>
        <v>4</v>
      </c>
      <c r="U129" s="25">
        <f>IF(B129="","",IF(ISNUMBER(SEARCH("CEO",C129))+ISNUMBER(SEARCH("Founder",C129))+ISNUMBER(SEARCH("Owner",C129))+ISNUMBER(SEARCH("Dueño",C129))+ISNUMBER(SEARCH("Director General",C129))+ISNUMBER(SEARCH("Presidente",C129))+ISNUMBER(SEARCH("President",C129))&gt;0,'Configuración'!$B$31,IF(ISNUMBER(SEARCH("CMO",C129))+ISNUMBER(SEARCH("Chief Marketing",C129))+ISNUMBER(SEARCH("VP Marketing",C129))+ISNUMBER(SEARCH("Director de Marketing",C129))+ISNUMBER(SEARCH("Director Marketing",C129))+ISNUMBER(SEARCH("Head of Marketing",C129))+ISNUMBER(SEARCH("Head Marketing",C129))&gt;0,'Configuración'!$B$32,IF(ISNUMBER(SEARCH("Marketing Manager",C129))+ISNUMBER(SEARCH("Gerente de Marketing",C129))+ISNUMBER(SEARCH("Growth Manager",C129))+ISNUMBER(SEARCH("Demand Gen",C129))+ISNUMBER(SEARCH("Marketing Lead",C129))&gt;0,'Configuración'!$B$33,IF(ISNUMBER(SEARCH("COO",C129))+ISNUMBER(SEARCH("CFO",C129))+ISNUMBER(SEARCH("CTO",C129))+ISNUMBER(SEARCH("Chief Operating",C129))+ISNUMBER(SEARCH("Chief Financial",C129))+ISNUMBER(SEARCH("Gerente General",C129))+ISNUMBER(SEARCH("General Manager",C129))&gt;0,'Configuración'!$B$34,'Configuración'!$B$35)))))</f>
        <v>12</v>
      </c>
      <c r="V129" s="38">
        <f>IF(B129="","",IF(K129="Sí",'Configuración'!$B$5,0)+IF(L129="Semanal",'Configuración'!$B$6,IF(L129="Mensual",'Configuración'!$B$7,0))+IF(M129="Sí",'Configuración'!$B$8,0)+IF(N129="Sí",'Configuración'!$B$9,0)+IF(O129="Sí",'Configuración'!$B$10,0)+IF(P129="Sí",'Configuración'!$B$11,0)+IF(Q129="Sí",'Configuración'!$B$12,0)+S129+T129+U129)</f>
        <v>28</v>
      </c>
      <c r="W129" s="39" t="str">
        <f>IF(B129="","",IF(V129&gt;='Configuración'!$B$19,"A",IF(V129&gt;='Configuración'!$B$20,"B",IF(V129&gt;='Configuración'!$B$21,"C","Descarte"))))</f>
        <v>C</v>
      </c>
    </row>
    <row r="130" ht="15.75" customHeight="1">
      <c r="A130" s="34">
        <f t="shared" si="1"/>
        <v>128</v>
      </c>
      <c r="B130" s="29" t="s">
        <v>947</v>
      </c>
      <c r="C130" s="29"/>
      <c r="D130" s="29" t="s">
        <v>948</v>
      </c>
      <c r="E130" s="29" t="s">
        <v>949</v>
      </c>
      <c r="F130" s="30" t="s">
        <v>950</v>
      </c>
      <c r="G130" s="30" t="s">
        <v>951</v>
      </c>
      <c r="H130" s="30" t="s">
        <v>952</v>
      </c>
      <c r="I130" s="29" t="s">
        <v>508</v>
      </c>
      <c r="J130" s="31">
        <v>36.0</v>
      </c>
      <c r="K130" s="36" t="s">
        <v>119</v>
      </c>
      <c r="L130" s="36" t="s">
        <v>128</v>
      </c>
      <c r="M130" s="36" t="s">
        <v>117</v>
      </c>
      <c r="N130" s="36" t="s">
        <v>119</v>
      </c>
      <c r="O130" s="36" t="s">
        <v>119</v>
      </c>
      <c r="P130" s="35"/>
      <c r="Q130" s="36" t="s">
        <v>119</v>
      </c>
      <c r="R130" s="35"/>
      <c r="S130" s="37">
        <f>IF(B130="","",IF(ISNUMBER(J130),IF(J130&lt;=10,'Configuración'!$B$23,IF(J130&lt;=50,'Configuración'!$B$24,IF(J130&lt;=200,'Configuración'!$B$25,0))),0))</f>
        <v>4</v>
      </c>
      <c r="T130" s="37">
        <f>IF(B130="","",IF(ISNUMBER(SEARCH("information technology",I130))+ISNUMBER(SEARCH("software",I130))+ISNUMBER(SEARCH("internet",I130))+ISNUMBER(SEARCH("computer",I130))+ISNUMBER(SEARCH("saas",I130))+ISNUMBER(SEARCH("fintech",I130))+ISNUMBER(SEARCH("information services",I130))+ISNUMBER(SEARCH("telecommunications",I130))&gt;0,'Configuración'!$B$27,'Configuración'!$B$28))</f>
        <v>4</v>
      </c>
      <c r="U130" s="25">
        <f>IF(B130="","",IF(ISNUMBER(SEARCH("CEO",C130))+ISNUMBER(SEARCH("Founder",C130))+ISNUMBER(SEARCH("Owner",C130))+ISNUMBER(SEARCH("Dueño",C130))+ISNUMBER(SEARCH("Director General",C130))+ISNUMBER(SEARCH("Presidente",C130))+ISNUMBER(SEARCH("President",C130))&gt;0,'Configuración'!$B$31,IF(ISNUMBER(SEARCH("CMO",C130))+ISNUMBER(SEARCH("Chief Marketing",C130))+ISNUMBER(SEARCH("VP Marketing",C130))+ISNUMBER(SEARCH("Director de Marketing",C130))+ISNUMBER(SEARCH("Director Marketing",C130))+ISNUMBER(SEARCH("Head of Marketing",C130))+ISNUMBER(SEARCH("Head Marketing",C130))&gt;0,'Configuración'!$B$32,IF(ISNUMBER(SEARCH("Marketing Manager",C130))+ISNUMBER(SEARCH("Gerente de Marketing",C130))+ISNUMBER(SEARCH("Growth Manager",C130))+ISNUMBER(SEARCH("Demand Gen",C130))+ISNUMBER(SEARCH("Marketing Lead",C130))&gt;0,'Configuración'!$B$33,IF(ISNUMBER(SEARCH("COO",C130))+ISNUMBER(SEARCH("CFO",C130))+ISNUMBER(SEARCH("CTO",C130))+ISNUMBER(SEARCH("Chief Operating",C130))+ISNUMBER(SEARCH("Chief Financial",C130))+ISNUMBER(SEARCH("Gerente General",C130))+ISNUMBER(SEARCH("General Manager",C130))&gt;0,'Configuración'!$B$34,'Configuración'!$B$35)))))</f>
        <v>0</v>
      </c>
      <c r="V130" s="38">
        <f>IF(B130="","",IF(K130="Sí",'Configuración'!$B$5,0)+IF(L130="Semanal",'Configuración'!$B$6,IF(L130="Mensual",'Configuración'!$B$7,0))+IF(M130="Sí",'Configuración'!$B$8,0)+IF(N130="Sí",'Configuración'!$B$9,0)+IF(O130="Sí",'Configuración'!$B$10,0)+IF(P130="Sí",'Configuración'!$B$11,0)+IF(Q130="Sí",'Configuración'!$B$12,0)+S130+T130+U130)</f>
        <v>20</v>
      </c>
      <c r="W130" s="39" t="str">
        <f>IF(B130="","",IF(V130&gt;='Configuración'!$B$19,"A",IF(V130&gt;='Configuración'!$B$20,"B",IF(V130&gt;='Configuración'!$B$21,"C","Descarte"))))</f>
        <v>Descarte</v>
      </c>
    </row>
    <row r="131" ht="15.75" customHeight="1">
      <c r="A131" s="34">
        <f t="shared" si="1"/>
        <v>129</v>
      </c>
      <c r="B131" s="29" t="s">
        <v>867</v>
      </c>
      <c r="C131" s="29" t="s">
        <v>953</v>
      </c>
      <c r="D131" s="29" t="s">
        <v>954</v>
      </c>
      <c r="E131" s="29" t="s">
        <v>955</v>
      </c>
      <c r="F131" s="30" t="s">
        <v>956</v>
      </c>
      <c r="G131" s="30" t="s">
        <v>957</v>
      </c>
      <c r="H131" s="30" t="s">
        <v>958</v>
      </c>
      <c r="I131" s="29" t="s">
        <v>769</v>
      </c>
      <c r="J131" s="31">
        <v>3.0</v>
      </c>
      <c r="K131" s="35"/>
      <c r="L131" s="35"/>
      <c r="M131" s="35"/>
      <c r="N131" s="35"/>
      <c r="O131" s="35"/>
      <c r="P131" s="35"/>
      <c r="Q131" s="35"/>
      <c r="R131" s="36" t="s">
        <v>200</v>
      </c>
      <c r="S131" s="37">
        <f>IF(B131="","",IF(ISNUMBER(J131),IF(J131&lt;=10,'Configuración'!$B$23,IF(J131&lt;=50,'Configuración'!$B$24,IF(J131&lt;=200,'Configuración'!$B$25,0))),0))</f>
        <v>12</v>
      </c>
      <c r="T131" s="37">
        <f>IF(B131="","",IF(ISNUMBER(SEARCH("information technology",I131))+ISNUMBER(SEARCH("software",I131))+ISNUMBER(SEARCH("internet",I131))+ISNUMBER(SEARCH("computer",I131))+ISNUMBER(SEARCH("saas",I131))+ISNUMBER(SEARCH("fintech",I131))+ISNUMBER(SEARCH("information services",I131))+ISNUMBER(SEARCH("telecommunications",I131))&gt;0,'Configuración'!$B$27,'Configuración'!$B$28))</f>
        <v>4</v>
      </c>
      <c r="U131" s="25">
        <f>IF(B131="","",IF(ISNUMBER(SEARCH("CEO",C131))+ISNUMBER(SEARCH("Founder",C131))+ISNUMBER(SEARCH("Owner",C131))+ISNUMBER(SEARCH("Dueño",C131))+ISNUMBER(SEARCH("Director General",C131))+ISNUMBER(SEARCH("Presidente",C131))+ISNUMBER(SEARCH("President",C131))&gt;0,'Configuración'!$B$31,IF(ISNUMBER(SEARCH("CMO",C131))+ISNUMBER(SEARCH("Chief Marketing",C131))+ISNUMBER(SEARCH("VP Marketing",C131))+ISNUMBER(SEARCH("Director de Marketing",C131))+ISNUMBER(SEARCH("Director Marketing",C131))+ISNUMBER(SEARCH("Head of Marketing",C131))+ISNUMBER(SEARCH("Head Marketing",C131))&gt;0,'Configuración'!$B$32,IF(ISNUMBER(SEARCH("Marketing Manager",C131))+ISNUMBER(SEARCH("Gerente de Marketing",C131))+ISNUMBER(SEARCH("Growth Manager",C131))+ISNUMBER(SEARCH("Demand Gen",C131))+ISNUMBER(SEARCH("Marketing Lead",C131))&gt;0,'Configuración'!$B$33,IF(ISNUMBER(SEARCH("COO",C131))+ISNUMBER(SEARCH("CFO",C131))+ISNUMBER(SEARCH("CTO",C131))+ISNUMBER(SEARCH("Chief Operating",C131))+ISNUMBER(SEARCH("Chief Financial",C131))+ISNUMBER(SEARCH("Gerente General",C131))+ISNUMBER(SEARCH("General Manager",C131))&gt;0,'Configuración'!$B$34,'Configuración'!$B$35)))))</f>
        <v>12</v>
      </c>
      <c r="V131" s="38">
        <f>IF(B131="","",IF(K131="Sí",'Configuración'!$B$5,0)+IF(L131="Semanal",'Configuración'!$B$6,IF(L131="Mensual",'Configuración'!$B$7,0))+IF(M131="Sí",'Configuración'!$B$8,0)+IF(N131="Sí",'Configuración'!$B$9,0)+IF(O131="Sí",'Configuración'!$B$10,0)+IF(P131="Sí",'Configuración'!$B$11,0)+IF(Q131="Sí",'Configuración'!$B$12,0)+S131+T131+U131)</f>
        <v>28</v>
      </c>
      <c r="W131" s="39" t="str">
        <f>IF(B131="","",IF(V131&gt;='Configuración'!$B$19,"A",IF(V131&gt;='Configuración'!$B$20,"B",IF(V131&gt;='Configuración'!$B$21,"C","Descarte"))))</f>
        <v>C</v>
      </c>
    </row>
    <row r="132" ht="15.75" customHeight="1">
      <c r="A132" s="34">
        <f t="shared" si="1"/>
        <v>130</v>
      </c>
      <c r="B132" s="29" t="s">
        <v>874</v>
      </c>
      <c r="C132" s="29" t="s">
        <v>304</v>
      </c>
      <c r="D132" s="29" t="s">
        <v>959</v>
      </c>
      <c r="E132" s="29" t="s">
        <v>960</v>
      </c>
      <c r="F132" s="30" t="s">
        <v>961</v>
      </c>
      <c r="G132" s="30" t="s">
        <v>962</v>
      </c>
      <c r="H132" s="30" t="s">
        <v>963</v>
      </c>
      <c r="I132" s="29" t="s">
        <v>964</v>
      </c>
      <c r="J132" s="31">
        <v>35.0</v>
      </c>
      <c r="K132" s="36" t="s">
        <v>119</v>
      </c>
      <c r="L132" s="36" t="s">
        <v>128</v>
      </c>
      <c r="M132" s="36" t="s">
        <v>119</v>
      </c>
      <c r="N132" s="36" t="s">
        <v>119</v>
      </c>
      <c r="O132" s="36" t="s">
        <v>119</v>
      </c>
      <c r="P132" s="35"/>
      <c r="Q132" s="36" t="s">
        <v>119</v>
      </c>
      <c r="R132" s="35"/>
      <c r="S132" s="37">
        <f>IF(B132="","",IF(ISNUMBER(J132),IF(J132&lt;=10,'Configuración'!$B$23,IF(J132&lt;=50,'Configuración'!$B$24,IF(J132&lt;=200,'Configuración'!$B$25,0))),0))</f>
        <v>4</v>
      </c>
      <c r="T132" s="37">
        <f>IF(B132="","",IF(ISNUMBER(SEARCH("information technology",I132))+ISNUMBER(SEARCH("software",I132))+ISNUMBER(SEARCH("internet",I132))+ISNUMBER(SEARCH("computer",I132))+ISNUMBER(SEARCH("saas",I132))+ISNUMBER(SEARCH("fintech",I132))+ISNUMBER(SEARCH("information services",I132))+ISNUMBER(SEARCH("telecommunications",I132))&gt;0,'Configuración'!$B$27,'Configuración'!$B$28))</f>
        <v>4</v>
      </c>
      <c r="U132" s="25">
        <f>IF(B132="","",IF(ISNUMBER(SEARCH("CEO",C132))+ISNUMBER(SEARCH("Founder",C132))+ISNUMBER(SEARCH("Owner",C132))+ISNUMBER(SEARCH("Dueño",C132))+ISNUMBER(SEARCH("Director General",C132))+ISNUMBER(SEARCH("Presidente",C132))+ISNUMBER(SEARCH("President",C132))&gt;0,'Configuración'!$B$31,IF(ISNUMBER(SEARCH("CMO",C132))+ISNUMBER(SEARCH("Chief Marketing",C132))+ISNUMBER(SEARCH("VP Marketing",C132))+ISNUMBER(SEARCH("Director de Marketing",C132))+ISNUMBER(SEARCH("Director Marketing",C132))+ISNUMBER(SEARCH("Head of Marketing",C132))+ISNUMBER(SEARCH("Head Marketing",C132))&gt;0,'Configuración'!$B$32,IF(ISNUMBER(SEARCH("Marketing Manager",C132))+ISNUMBER(SEARCH("Gerente de Marketing",C132))+ISNUMBER(SEARCH("Growth Manager",C132))+ISNUMBER(SEARCH("Demand Gen",C132))+ISNUMBER(SEARCH("Marketing Lead",C132))&gt;0,'Configuración'!$B$33,IF(ISNUMBER(SEARCH("COO",C132))+ISNUMBER(SEARCH("CFO",C132))+ISNUMBER(SEARCH("CTO",C132))+ISNUMBER(SEARCH("Chief Operating",C132))+ISNUMBER(SEARCH("Chief Financial",C132))+ISNUMBER(SEARCH("Gerente General",C132))+ISNUMBER(SEARCH("General Manager",C132))&gt;0,'Configuración'!$B$34,'Configuración'!$B$35)))))</f>
        <v>4</v>
      </c>
      <c r="V132" s="38">
        <f>IF(B132="","",IF(K132="Sí",'Configuración'!$B$5,0)+IF(L132="Semanal",'Configuración'!$B$6,IF(L132="Mensual",'Configuración'!$B$7,0))+IF(M132="Sí",'Configuración'!$B$8,0)+IF(N132="Sí",'Configuración'!$B$9,0)+IF(O132="Sí",'Configuración'!$B$10,0)+IF(P132="Sí",'Configuración'!$B$11,0)+IF(Q132="Sí",'Configuración'!$B$12,0)+S132+T132+U132)</f>
        <v>12</v>
      </c>
      <c r="W132" s="39" t="str">
        <f>IF(B132="","",IF(V132&gt;='Configuración'!$B$19,"A",IF(V132&gt;='Configuración'!$B$20,"B",IF(V132&gt;='Configuración'!$B$21,"C","Descarte"))))</f>
        <v>Descarte</v>
      </c>
    </row>
    <row r="133" ht="15.75" customHeight="1">
      <c r="A133" s="34">
        <f t="shared" si="1"/>
        <v>131</v>
      </c>
      <c r="B133" s="29" t="s">
        <v>501</v>
      </c>
      <c r="C133" s="29" t="s">
        <v>965</v>
      </c>
      <c r="D133" s="29" t="s">
        <v>966</v>
      </c>
      <c r="E133" s="29" t="s">
        <v>967</v>
      </c>
      <c r="F133" s="30" t="s">
        <v>968</v>
      </c>
      <c r="G133" s="30" t="s">
        <v>969</v>
      </c>
      <c r="H133" s="30" t="s">
        <v>970</v>
      </c>
      <c r="I133" s="29" t="s">
        <v>127</v>
      </c>
      <c r="J133" s="31">
        <v>7.0</v>
      </c>
      <c r="K133" s="36" t="s">
        <v>117</v>
      </c>
      <c r="L133" s="36" t="s">
        <v>173</v>
      </c>
      <c r="M133" s="36" t="s">
        <v>117</v>
      </c>
      <c r="N133" s="36" t="s">
        <v>119</v>
      </c>
      <c r="O133" s="36" t="s">
        <v>119</v>
      </c>
      <c r="P133" s="35"/>
      <c r="Q133" s="36" t="s">
        <v>119</v>
      </c>
      <c r="R133" s="36" t="s">
        <v>230</v>
      </c>
      <c r="S133" s="37">
        <f>IF(B133="","",IF(ISNUMBER(J133),IF(J133&lt;=10,'Configuración'!$B$23,IF(J133&lt;=50,'Configuración'!$B$24,IF(J133&lt;=200,'Configuración'!$B$25,0))),0))</f>
        <v>12</v>
      </c>
      <c r="T133" s="37">
        <f>IF(B133="","",IF(ISNUMBER(SEARCH("information technology",I133))+ISNUMBER(SEARCH("software",I133))+ISNUMBER(SEARCH("internet",I133))+ISNUMBER(SEARCH("computer",I133))+ISNUMBER(SEARCH("saas",I133))+ISNUMBER(SEARCH("fintech",I133))+ISNUMBER(SEARCH("information services",I133))+ISNUMBER(SEARCH("telecommunications",I133))&gt;0,'Configuración'!$B$27,'Configuración'!$B$28))</f>
        <v>12</v>
      </c>
      <c r="U133" s="25">
        <f>IF(B133="","",IF(ISNUMBER(SEARCH("CEO",C133))+ISNUMBER(SEARCH("Founder",C133))+ISNUMBER(SEARCH("Owner",C133))+ISNUMBER(SEARCH("Dueño",C133))+ISNUMBER(SEARCH("Director General",C133))+ISNUMBER(SEARCH("Presidente",C133))+ISNUMBER(SEARCH("President",C133))&gt;0,'Configuración'!$B$31,IF(ISNUMBER(SEARCH("CMO",C133))+ISNUMBER(SEARCH("Chief Marketing",C133))+ISNUMBER(SEARCH("VP Marketing",C133))+ISNUMBER(SEARCH("Director de Marketing",C133))+ISNUMBER(SEARCH("Director Marketing",C133))+ISNUMBER(SEARCH("Head of Marketing",C133))+ISNUMBER(SEARCH("Head Marketing",C133))&gt;0,'Configuración'!$B$32,IF(ISNUMBER(SEARCH("Marketing Manager",C133))+ISNUMBER(SEARCH("Gerente de Marketing",C133))+ISNUMBER(SEARCH("Growth Manager",C133))+ISNUMBER(SEARCH("Demand Gen",C133))+ISNUMBER(SEARCH("Marketing Lead",C133))&gt;0,'Configuración'!$B$33,IF(ISNUMBER(SEARCH("COO",C133))+ISNUMBER(SEARCH("CFO",C133))+ISNUMBER(SEARCH("CTO",C133))+ISNUMBER(SEARCH("Chief Operating",C133))+ISNUMBER(SEARCH("Chief Financial",C133))+ISNUMBER(SEARCH("Gerente General",C133))+ISNUMBER(SEARCH("General Manager",C133))&gt;0,'Configuración'!$B$34,'Configuración'!$B$35)))))</f>
        <v>12</v>
      </c>
      <c r="V133" s="38">
        <f>IF(B133="","",IF(K133="Sí",'Configuración'!$B$5,0)+IF(L133="Semanal",'Configuración'!$B$6,IF(L133="Mensual",'Configuración'!$B$7,0))+IF(M133="Sí",'Configuración'!$B$8,0)+IF(N133="Sí",'Configuración'!$B$9,0)+IF(O133="Sí",'Configuración'!$B$10,0)+IF(P133="Sí",'Configuración'!$B$11,0)+IF(Q133="Sí",'Configuración'!$B$12,0)+S133+T133+U133)</f>
        <v>64</v>
      </c>
      <c r="W133" s="39" t="str">
        <f>IF(B133="","",IF(V133&gt;='Configuración'!$B$19,"A",IF(V133&gt;='Configuración'!$B$20,"B",IF(V133&gt;='Configuración'!$B$21,"C","Descarte"))))</f>
        <v>A</v>
      </c>
    </row>
    <row r="134" ht="15.75" customHeight="1">
      <c r="A134" s="34">
        <f t="shared" si="1"/>
        <v>132</v>
      </c>
      <c r="B134" s="29" t="s">
        <v>971</v>
      </c>
      <c r="C134" s="29" t="s">
        <v>972</v>
      </c>
      <c r="D134" s="29" t="s">
        <v>973</v>
      </c>
      <c r="E134" s="29" t="s">
        <v>974</v>
      </c>
      <c r="F134" s="30" t="s">
        <v>975</v>
      </c>
      <c r="G134" s="30" t="s">
        <v>976</v>
      </c>
      <c r="H134" s="30" t="s">
        <v>977</v>
      </c>
      <c r="I134" s="29" t="s">
        <v>127</v>
      </c>
      <c r="J134" s="31">
        <v>25.0</v>
      </c>
      <c r="K134" s="36" t="s">
        <v>117</v>
      </c>
      <c r="L134" s="36" t="s">
        <v>118</v>
      </c>
      <c r="M134" s="36" t="s">
        <v>117</v>
      </c>
      <c r="N134" s="36" t="s">
        <v>119</v>
      </c>
      <c r="O134" s="36" t="s">
        <v>119</v>
      </c>
      <c r="P134" s="35"/>
      <c r="Q134" s="36" t="s">
        <v>119</v>
      </c>
      <c r="R134" s="35"/>
      <c r="S134" s="37">
        <f>IF(B134="","",IF(ISNUMBER(J134),IF(J134&lt;=10,'Configuración'!$B$23,IF(J134&lt;=50,'Configuración'!$B$24,IF(J134&lt;=200,'Configuración'!$B$25,0))),0))</f>
        <v>4</v>
      </c>
      <c r="T134" s="37">
        <f>IF(B134="","",IF(ISNUMBER(SEARCH("information technology",I134))+ISNUMBER(SEARCH("software",I134))+ISNUMBER(SEARCH("internet",I134))+ISNUMBER(SEARCH("computer",I134))+ISNUMBER(SEARCH("saas",I134))+ISNUMBER(SEARCH("fintech",I134))+ISNUMBER(SEARCH("information services",I134))+ISNUMBER(SEARCH("telecommunications",I134))&gt;0,'Configuración'!$B$27,'Configuración'!$B$28))</f>
        <v>12</v>
      </c>
      <c r="U134" s="25">
        <f>IF(B134="","",IF(ISNUMBER(SEARCH("CEO",C134))+ISNUMBER(SEARCH("Founder",C134))+ISNUMBER(SEARCH("Owner",C134))+ISNUMBER(SEARCH("Dueño",C134))+ISNUMBER(SEARCH("Director General",C134))+ISNUMBER(SEARCH("Presidente",C134))+ISNUMBER(SEARCH("President",C134))&gt;0,'Configuración'!$B$31,IF(ISNUMBER(SEARCH("CMO",C134))+ISNUMBER(SEARCH("Chief Marketing",C134))+ISNUMBER(SEARCH("VP Marketing",C134))+ISNUMBER(SEARCH("Director de Marketing",C134))+ISNUMBER(SEARCH("Director Marketing",C134))+ISNUMBER(SEARCH("Head of Marketing",C134))+ISNUMBER(SEARCH("Head Marketing",C134))&gt;0,'Configuración'!$B$32,IF(ISNUMBER(SEARCH("Marketing Manager",C134))+ISNUMBER(SEARCH("Gerente de Marketing",C134))+ISNUMBER(SEARCH("Growth Manager",C134))+ISNUMBER(SEARCH("Demand Gen",C134))+ISNUMBER(SEARCH("Marketing Lead",C134))&gt;0,'Configuración'!$B$33,IF(ISNUMBER(SEARCH("COO",C134))+ISNUMBER(SEARCH("CFO",C134))+ISNUMBER(SEARCH("CTO",C134))+ISNUMBER(SEARCH("Chief Operating",C134))+ISNUMBER(SEARCH("Chief Financial",C134))+ISNUMBER(SEARCH("Gerente General",C134))+ISNUMBER(SEARCH("General Manager",C134))&gt;0,'Configuración'!$B$34,'Configuración'!$B$35)))))</f>
        <v>12</v>
      </c>
      <c r="V134" s="38">
        <f>IF(B134="","",IF(K134="Sí",'Configuración'!$B$5,0)+IF(L134="Semanal",'Configuración'!$B$6,IF(L134="Mensual",'Configuración'!$B$7,0))+IF(M134="Sí",'Configuración'!$B$8,0)+IF(N134="Sí",'Configuración'!$B$9,0)+IF(O134="Sí",'Configuración'!$B$10,0)+IF(P134="Sí",'Configuración'!$B$11,0)+IF(Q134="Sí",'Configuración'!$B$12,0)+S134+T134+U134)</f>
        <v>64</v>
      </c>
      <c r="W134" s="39" t="str">
        <f>IF(B134="","",IF(V134&gt;='Configuración'!$B$19,"A",IF(V134&gt;='Configuración'!$B$20,"B",IF(V134&gt;='Configuración'!$B$21,"C","Descarte"))))</f>
        <v>A</v>
      </c>
    </row>
    <row r="135" ht="15.75" customHeight="1">
      <c r="A135" s="34">
        <f t="shared" si="1"/>
        <v>133</v>
      </c>
      <c r="B135" s="29" t="s">
        <v>978</v>
      </c>
      <c r="C135" s="29" t="s">
        <v>146</v>
      </c>
      <c r="D135" s="29" t="s">
        <v>979</v>
      </c>
      <c r="E135" s="29" t="s">
        <v>980</v>
      </c>
      <c r="F135" s="30" t="s">
        <v>981</v>
      </c>
      <c r="G135" s="30" t="s">
        <v>982</v>
      </c>
      <c r="H135" s="30" t="s">
        <v>983</v>
      </c>
      <c r="I135" s="29" t="s">
        <v>480</v>
      </c>
      <c r="J135" s="31">
        <v>8.0</v>
      </c>
      <c r="K135" s="36" t="s">
        <v>119</v>
      </c>
      <c r="L135" s="36" t="s">
        <v>128</v>
      </c>
      <c r="M135" s="36" t="s">
        <v>119</v>
      </c>
      <c r="N135" s="36" t="s">
        <v>119</v>
      </c>
      <c r="O135" s="36" t="s">
        <v>119</v>
      </c>
      <c r="P135" s="35"/>
      <c r="Q135" s="36" t="s">
        <v>119</v>
      </c>
      <c r="R135" s="35"/>
      <c r="S135" s="37">
        <f>IF(B135="","",IF(ISNUMBER(J135),IF(J135&lt;=10,'Configuración'!$B$23,IF(J135&lt;=50,'Configuración'!$B$24,IF(J135&lt;=200,'Configuración'!$B$25,0))),0))</f>
        <v>12</v>
      </c>
      <c r="T135" s="37">
        <f>IF(B135="","",IF(ISNUMBER(SEARCH("information technology",I135))+ISNUMBER(SEARCH("software",I135))+ISNUMBER(SEARCH("internet",I135))+ISNUMBER(SEARCH("computer",I135))+ISNUMBER(SEARCH("saas",I135))+ISNUMBER(SEARCH("fintech",I135))+ISNUMBER(SEARCH("information services",I135))+ISNUMBER(SEARCH("telecommunications",I135))&gt;0,'Configuración'!$B$27,'Configuración'!$B$28))</f>
        <v>4</v>
      </c>
      <c r="U135" s="25">
        <f>IF(B135="","",IF(ISNUMBER(SEARCH("CEO",C135))+ISNUMBER(SEARCH("Founder",C135))+ISNUMBER(SEARCH("Owner",C135))+ISNUMBER(SEARCH("Dueño",C135))+ISNUMBER(SEARCH("Director General",C135))+ISNUMBER(SEARCH("Presidente",C135))+ISNUMBER(SEARCH("President",C135))&gt;0,'Configuración'!$B$31,IF(ISNUMBER(SEARCH("CMO",C135))+ISNUMBER(SEARCH("Chief Marketing",C135))+ISNUMBER(SEARCH("VP Marketing",C135))+ISNUMBER(SEARCH("Director de Marketing",C135))+ISNUMBER(SEARCH("Director Marketing",C135))+ISNUMBER(SEARCH("Head of Marketing",C135))+ISNUMBER(SEARCH("Head Marketing",C135))&gt;0,'Configuración'!$B$32,IF(ISNUMBER(SEARCH("Marketing Manager",C135))+ISNUMBER(SEARCH("Gerente de Marketing",C135))+ISNUMBER(SEARCH("Growth Manager",C135))+ISNUMBER(SEARCH("Demand Gen",C135))+ISNUMBER(SEARCH("Marketing Lead",C135))&gt;0,'Configuración'!$B$33,IF(ISNUMBER(SEARCH("COO",C135))+ISNUMBER(SEARCH("CFO",C135))+ISNUMBER(SEARCH("CTO",C135))+ISNUMBER(SEARCH("Chief Operating",C135))+ISNUMBER(SEARCH("Chief Financial",C135))+ISNUMBER(SEARCH("Gerente General",C135))+ISNUMBER(SEARCH("General Manager",C135))&gt;0,'Configuración'!$B$34,'Configuración'!$B$35)))))</f>
        <v>0</v>
      </c>
      <c r="V135" s="38">
        <f>IF(B135="","",IF(K135="Sí",'Configuración'!$B$5,0)+IF(L135="Semanal",'Configuración'!$B$6,IF(L135="Mensual",'Configuración'!$B$7,0))+IF(M135="Sí",'Configuración'!$B$8,0)+IF(N135="Sí",'Configuración'!$B$9,0)+IF(O135="Sí",'Configuración'!$B$10,0)+IF(P135="Sí",'Configuración'!$B$11,0)+IF(Q135="Sí",'Configuración'!$B$12,0)+S135+T135+U135)</f>
        <v>16</v>
      </c>
      <c r="W135" s="39" t="str">
        <f>IF(B135="","",IF(V135&gt;='Configuración'!$B$19,"A",IF(V135&gt;='Configuración'!$B$20,"B",IF(V135&gt;='Configuración'!$B$21,"C","Descarte"))))</f>
        <v>Descarte</v>
      </c>
    </row>
    <row r="136" ht="15.75" customHeight="1">
      <c r="A136" s="34">
        <f t="shared" si="1"/>
        <v>134</v>
      </c>
      <c r="B136" s="29" t="s">
        <v>984</v>
      </c>
      <c r="C136" s="29" t="s">
        <v>175</v>
      </c>
      <c r="D136" s="29" t="s">
        <v>985</v>
      </c>
      <c r="E136" s="29" t="s">
        <v>986</v>
      </c>
      <c r="F136" s="30" t="s">
        <v>987</v>
      </c>
      <c r="G136" s="30" t="s">
        <v>988</v>
      </c>
      <c r="H136" s="30" t="s">
        <v>989</v>
      </c>
      <c r="I136" s="29" t="s">
        <v>990</v>
      </c>
      <c r="J136" s="31">
        <v>6.0</v>
      </c>
      <c r="K136" s="36" t="s">
        <v>119</v>
      </c>
      <c r="L136" s="36" t="s">
        <v>128</v>
      </c>
      <c r="M136" s="36" t="s">
        <v>119</v>
      </c>
      <c r="N136" s="36" t="s">
        <v>119</v>
      </c>
      <c r="O136" s="36" t="s">
        <v>119</v>
      </c>
      <c r="P136" s="35"/>
      <c r="Q136" s="36" t="s">
        <v>119</v>
      </c>
      <c r="R136" s="35"/>
      <c r="S136" s="37">
        <f>IF(B136="","",IF(ISNUMBER(J136),IF(J136&lt;=10,'Configuración'!$B$23,IF(J136&lt;=50,'Configuración'!$B$24,IF(J136&lt;=200,'Configuración'!$B$25,0))),0))</f>
        <v>12</v>
      </c>
      <c r="T136" s="37">
        <f>IF(B136="","",IF(ISNUMBER(SEARCH("information technology",I136))+ISNUMBER(SEARCH("software",I136))+ISNUMBER(SEARCH("internet",I136))+ISNUMBER(SEARCH("computer",I136))+ISNUMBER(SEARCH("saas",I136))+ISNUMBER(SEARCH("fintech",I136))+ISNUMBER(SEARCH("information services",I136))+ISNUMBER(SEARCH("telecommunications",I136))&gt;0,'Configuración'!$B$27,'Configuración'!$B$28))</f>
        <v>4</v>
      </c>
      <c r="U136" s="25">
        <f>IF(B136="","",IF(ISNUMBER(SEARCH("CEO",C136))+ISNUMBER(SEARCH("Founder",C136))+ISNUMBER(SEARCH("Owner",C136))+ISNUMBER(SEARCH("Dueño",C136))+ISNUMBER(SEARCH("Director General",C136))+ISNUMBER(SEARCH("Presidente",C136))+ISNUMBER(SEARCH("President",C136))&gt;0,'Configuración'!$B$31,IF(ISNUMBER(SEARCH("CMO",C136))+ISNUMBER(SEARCH("Chief Marketing",C136))+ISNUMBER(SEARCH("VP Marketing",C136))+ISNUMBER(SEARCH("Director de Marketing",C136))+ISNUMBER(SEARCH("Director Marketing",C136))+ISNUMBER(SEARCH("Head of Marketing",C136))+ISNUMBER(SEARCH("Head Marketing",C136))&gt;0,'Configuración'!$B$32,IF(ISNUMBER(SEARCH("Marketing Manager",C136))+ISNUMBER(SEARCH("Gerente de Marketing",C136))+ISNUMBER(SEARCH("Growth Manager",C136))+ISNUMBER(SEARCH("Demand Gen",C136))+ISNUMBER(SEARCH("Marketing Lead",C136))&gt;0,'Configuración'!$B$33,IF(ISNUMBER(SEARCH("COO",C136))+ISNUMBER(SEARCH("CFO",C136))+ISNUMBER(SEARCH("CTO",C136))+ISNUMBER(SEARCH("Chief Operating",C136))+ISNUMBER(SEARCH("Chief Financial",C136))+ISNUMBER(SEARCH("Gerente General",C136))+ISNUMBER(SEARCH("General Manager",C136))&gt;0,'Configuración'!$B$34,'Configuración'!$B$35)))))</f>
        <v>12</v>
      </c>
      <c r="V136" s="38">
        <f>IF(B136="","",IF(K136="Sí",'Configuración'!$B$5,0)+IF(L136="Semanal",'Configuración'!$B$6,IF(L136="Mensual",'Configuración'!$B$7,0))+IF(M136="Sí",'Configuración'!$B$8,0)+IF(N136="Sí",'Configuración'!$B$9,0)+IF(O136="Sí",'Configuración'!$B$10,0)+IF(P136="Sí",'Configuración'!$B$11,0)+IF(Q136="Sí",'Configuración'!$B$12,0)+S136+T136+U136)</f>
        <v>28</v>
      </c>
      <c r="W136" s="39" t="str">
        <f>IF(B136="","",IF(V136&gt;='Configuración'!$B$19,"A",IF(V136&gt;='Configuración'!$B$20,"B",IF(V136&gt;='Configuración'!$B$21,"C","Descarte"))))</f>
        <v>C</v>
      </c>
    </row>
    <row r="137" ht="15.75" customHeight="1">
      <c r="A137" s="34">
        <f t="shared" si="1"/>
        <v>135</v>
      </c>
      <c r="B137" s="29" t="s">
        <v>138</v>
      </c>
      <c r="C137" s="29" t="s">
        <v>991</v>
      </c>
      <c r="D137" s="29" t="s">
        <v>992</v>
      </c>
      <c r="E137" s="29" t="s">
        <v>993</v>
      </c>
      <c r="F137" s="30" t="s">
        <v>994</v>
      </c>
      <c r="G137" s="30" t="s">
        <v>995</v>
      </c>
      <c r="H137" s="30" t="s">
        <v>996</v>
      </c>
      <c r="I137" s="29" t="s">
        <v>222</v>
      </c>
      <c r="J137" s="31">
        <v>7.0</v>
      </c>
      <c r="K137" s="36" t="s">
        <v>119</v>
      </c>
      <c r="L137" s="36" t="s">
        <v>118</v>
      </c>
      <c r="M137" s="36" t="s">
        <v>117</v>
      </c>
      <c r="N137" s="36" t="s">
        <v>119</v>
      </c>
      <c r="O137" s="36" t="s">
        <v>119</v>
      </c>
      <c r="P137" s="35"/>
      <c r="Q137" s="36" t="s">
        <v>119</v>
      </c>
      <c r="R137" s="35"/>
      <c r="S137" s="37">
        <f>IF(B137="","",IF(ISNUMBER(J137),IF(J137&lt;=10,'Configuración'!$B$23,IF(J137&lt;=50,'Configuración'!$B$24,IF(J137&lt;=200,'Configuración'!$B$25,0))),0))</f>
        <v>12</v>
      </c>
      <c r="T137" s="37">
        <f>IF(B137="","",IF(ISNUMBER(SEARCH("information technology",I137))+ISNUMBER(SEARCH("software",I137))+ISNUMBER(SEARCH("internet",I137))+ISNUMBER(SEARCH("computer",I137))+ISNUMBER(SEARCH("saas",I137))+ISNUMBER(SEARCH("fintech",I137))+ISNUMBER(SEARCH("information services",I137))+ISNUMBER(SEARCH("telecommunications",I137))&gt;0,'Configuración'!$B$27,'Configuración'!$B$28))</f>
        <v>4</v>
      </c>
      <c r="U137" s="25">
        <f>IF(B137="","",IF(ISNUMBER(SEARCH("CEO",C137))+ISNUMBER(SEARCH("Founder",C137))+ISNUMBER(SEARCH("Owner",C137))+ISNUMBER(SEARCH("Dueño",C137))+ISNUMBER(SEARCH("Director General",C137))+ISNUMBER(SEARCH("Presidente",C137))+ISNUMBER(SEARCH("President",C137))&gt;0,'Configuración'!$B$31,IF(ISNUMBER(SEARCH("CMO",C137))+ISNUMBER(SEARCH("Chief Marketing",C137))+ISNUMBER(SEARCH("VP Marketing",C137))+ISNUMBER(SEARCH("Director de Marketing",C137))+ISNUMBER(SEARCH("Director Marketing",C137))+ISNUMBER(SEARCH("Head of Marketing",C137))+ISNUMBER(SEARCH("Head Marketing",C137))&gt;0,'Configuración'!$B$32,IF(ISNUMBER(SEARCH("Marketing Manager",C137))+ISNUMBER(SEARCH("Gerente de Marketing",C137))+ISNUMBER(SEARCH("Growth Manager",C137))+ISNUMBER(SEARCH("Demand Gen",C137))+ISNUMBER(SEARCH("Marketing Lead",C137))&gt;0,'Configuración'!$B$33,IF(ISNUMBER(SEARCH("COO",C137))+ISNUMBER(SEARCH("CFO",C137))+ISNUMBER(SEARCH("CTO",C137))+ISNUMBER(SEARCH("Chief Operating",C137))+ISNUMBER(SEARCH("Chief Financial",C137))+ISNUMBER(SEARCH("Gerente General",C137))+ISNUMBER(SEARCH("General Manager",C137))&gt;0,'Configuración'!$B$34,'Configuración'!$B$35)))))</f>
        <v>12</v>
      </c>
      <c r="V137" s="38">
        <f>IF(B137="","",IF(K137="Sí",'Configuración'!$B$5,0)+IF(L137="Semanal",'Configuración'!$B$6,IF(L137="Mensual",'Configuración'!$B$7,0))+IF(M137="Sí",'Configuración'!$B$8,0)+IF(N137="Sí",'Configuración'!$B$9,0)+IF(O137="Sí",'Configuración'!$B$10,0)+IF(P137="Sí",'Configuración'!$B$11,0)+IF(Q137="Sí",'Configuración'!$B$12,0)+S137+T137+U137)</f>
        <v>52</v>
      </c>
      <c r="W137" s="39" t="str">
        <f>IF(B137="","",IF(V137&gt;='Configuración'!$B$19,"A",IF(V137&gt;='Configuración'!$B$20,"B",IF(V137&gt;='Configuración'!$B$21,"C","Descarte"))))</f>
        <v>B</v>
      </c>
    </row>
    <row r="138" ht="15.75" customHeight="1">
      <c r="A138" s="34">
        <f t="shared" si="1"/>
        <v>136</v>
      </c>
      <c r="B138" s="29" t="s">
        <v>501</v>
      </c>
      <c r="C138" s="29" t="s">
        <v>487</v>
      </c>
      <c r="D138" s="29" t="s">
        <v>997</v>
      </c>
      <c r="E138" s="29" t="s">
        <v>998</v>
      </c>
      <c r="F138" s="30" t="s">
        <v>999</v>
      </c>
      <c r="G138" s="30" t="s">
        <v>1000</v>
      </c>
      <c r="H138" s="30" t="s">
        <v>1001</v>
      </c>
      <c r="I138" s="29"/>
      <c r="J138" s="31">
        <v>1.0</v>
      </c>
      <c r="K138" s="36" t="s">
        <v>119</v>
      </c>
      <c r="L138" s="36" t="s">
        <v>128</v>
      </c>
      <c r="M138" s="36" t="s">
        <v>117</v>
      </c>
      <c r="N138" s="36" t="s">
        <v>119</v>
      </c>
      <c r="O138" s="36" t="s">
        <v>119</v>
      </c>
      <c r="P138" s="35"/>
      <c r="Q138" s="36" t="s">
        <v>119</v>
      </c>
      <c r="R138" s="35"/>
      <c r="S138" s="37">
        <f>IF(B138="","",IF(ISNUMBER(J138),IF(J138&lt;=10,'Configuración'!$B$23,IF(J138&lt;=50,'Configuración'!$B$24,IF(J138&lt;=200,'Configuración'!$B$25,0))),0))</f>
        <v>12</v>
      </c>
      <c r="T138" s="37">
        <f>IF(B138="","",IF(ISNUMBER(SEARCH("information technology",I138))+ISNUMBER(SEARCH("software",I138))+ISNUMBER(SEARCH("internet",I138))+ISNUMBER(SEARCH("computer",I138))+ISNUMBER(SEARCH("saas",I138))+ISNUMBER(SEARCH("fintech",I138))+ISNUMBER(SEARCH("information services",I138))+ISNUMBER(SEARCH("telecommunications",I138))&gt;0,'Configuración'!$B$27,'Configuración'!$B$28))</f>
        <v>4</v>
      </c>
      <c r="U138" s="25">
        <f>IF(B138="","",IF(ISNUMBER(SEARCH("CEO",C138))+ISNUMBER(SEARCH("Founder",C138))+ISNUMBER(SEARCH("Owner",C138))+ISNUMBER(SEARCH("Dueño",C138))+ISNUMBER(SEARCH("Director General",C138))+ISNUMBER(SEARCH("Presidente",C138))+ISNUMBER(SEARCH("President",C138))&gt;0,'Configuración'!$B$31,IF(ISNUMBER(SEARCH("CMO",C138))+ISNUMBER(SEARCH("Chief Marketing",C138))+ISNUMBER(SEARCH("VP Marketing",C138))+ISNUMBER(SEARCH("Director de Marketing",C138))+ISNUMBER(SEARCH("Director Marketing",C138))+ISNUMBER(SEARCH("Head of Marketing",C138))+ISNUMBER(SEARCH("Head Marketing",C138))&gt;0,'Configuración'!$B$32,IF(ISNUMBER(SEARCH("Marketing Manager",C138))+ISNUMBER(SEARCH("Gerente de Marketing",C138))+ISNUMBER(SEARCH("Growth Manager",C138))+ISNUMBER(SEARCH("Demand Gen",C138))+ISNUMBER(SEARCH("Marketing Lead",C138))&gt;0,'Configuración'!$B$33,IF(ISNUMBER(SEARCH("COO",C138))+ISNUMBER(SEARCH("CFO",C138))+ISNUMBER(SEARCH("CTO",C138))+ISNUMBER(SEARCH("Chief Operating",C138))+ISNUMBER(SEARCH("Chief Financial",C138))+ISNUMBER(SEARCH("Gerente General",C138))+ISNUMBER(SEARCH("General Manager",C138))&gt;0,'Configuración'!$B$34,'Configuración'!$B$35)))))</f>
        <v>12</v>
      </c>
      <c r="V138" s="38">
        <f>IF(B138="","",IF(K138="Sí",'Configuración'!$B$5,0)+IF(L138="Semanal",'Configuración'!$B$6,IF(L138="Mensual",'Configuración'!$B$7,0))+IF(M138="Sí",'Configuración'!$B$8,0)+IF(N138="Sí",'Configuración'!$B$9,0)+IF(O138="Sí",'Configuración'!$B$10,0)+IF(P138="Sí",'Configuración'!$B$11,0)+IF(Q138="Sí",'Configuración'!$B$12,0)+S138+T138+U138)</f>
        <v>40</v>
      </c>
      <c r="W138" s="39" t="str">
        <f>IF(B138="","",IF(V138&gt;='Configuración'!$B$19,"A",IF(V138&gt;='Configuración'!$B$20,"B",IF(V138&gt;='Configuración'!$B$21,"C","Descarte"))))</f>
        <v>B</v>
      </c>
    </row>
    <row r="139" ht="15.75" customHeight="1">
      <c r="A139" s="34">
        <f t="shared" si="1"/>
        <v>137</v>
      </c>
      <c r="B139" s="29" t="s">
        <v>1002</v>
      </c>
      <c r="C139" s="29" t="s">
        <v>622</v>
      </c>
      <c r="D139" s="29" t="s">
        <v>1003</v>
      </c>
      <c r="E139" s="29" t="s">
        <v>1004</v>
      </c>
      <c r="F139" s="30" t="s">
        <v>1005</v>
      </c>
      <c r="G139" s="30" t="s">
        <v>1006</v>
      </c>
      <c r="H139" s="30" t="s">
        <v>1007</v>
      </c>
      <c r="I139" s="29" t="s">
        <v>188</v>
      </c>
      <c r="J139" s="31">
        <v>2.0</v>
      </c>
      <c r="K139" s="36" t="s">
        <v>119</v>
      </c>
      <c r="L139" s="36" t="s">
        <v>128</v>
      </c>
      <c r="M139" s="36" t="s">
        <v>119</v>
      </c>
      <c r="N139" s="36" t="s">
        <v>119</v>
      </c>
      <c r="O139" s="36" t="s">
        <v>119</v>
      </c>
      <c r="P139" s="35"/>
      <c r="Q139" s="36" t="s">
        <v>119</v>
      </c>
      <c r="R139" s="35"/>
      <c r="S139" s="37">
        <f>IF(B139="","",IF(ISNUMBER(J139),IF(J139&lt;=10,'Configuración'!$B$23,IF(J139&lt;=50,'Configuración'!$B$24,IF(J139&lt;=200,'Configuración'!$B$25,0))),0))</f>
        <v>12</v>
      </c>
      <c r="T139" s="37">
        <f>IF(B139="","",IF(ISNUMBER(SEARCH("information technology",I139))+ISNUMBER(SEARCH("software",I139))+ISNUMBER(SEARCH("internet",I139))+ISNUMBER(SEARCH("computer",I139))+ISNUMBER(SEARCH("saas",I139))+ISNUMBER(SEARCH("fintech",I139))+ISNUMBER(SEARCH("information services",I139))+ISNUMBER(SEARCH("telecommunications",I139))&gt;0,'Configuración'!$B$27,'Configuración'!$B$28))</f>
        <v>4</v>
      </c>
      <c r="U139" s="25">
        <f>IF(B139="","",IF(ISNUMBER(SEARCH("CEO",C139))+ISNUMBER(SEARCH("Founder",C139))+ISNUMBER(SEARCH("Owner",C139))+ISNUMBER(SEARCH("Dueño",C139))+ISNUMBER(SEARCH("Director General",C139))+ISNUMBER(SEARCH("Presidente",C139))+ISNUMBER(SEARCH("President",C139))&gt;0,'Configuración'!$B$31,IF(ISNUMBER(SEARCH("CMO",C139))+ISNUMBER(SEARCH("Chief Marketing",C139))+ISNUMBER(SEARCH("VP Marketing",C139))+ISNUMBER(SEARCH("Director de Marketing",C139))+ISNUMBER(SEARCH("Director Marketing",C139))+ISNUMBER(SEARCH("Head of Marketing",C139))+ISNUMBER(SEARCH("Head Marketing",C139))&gt;0,'Configuración'!$B$32,IF(ISNUMBER(SEARCH("Marketing Manager",C139))+ISNUMBER(SEARCH("Gerente de Marketing",C139))+ISNUMBER(SEARCH("Growth Manager",C139))+ISNUMBER(SEARCH("Demand Gen",C139))+ISNUMBER(SEARCH("Marketing Lead",C139))&gt;0,'Configuración'!$B$33,IF(ISNUMBER(SEARCH("COO",C139))+ISNUMBER(SEARCH("CFO",C139))+ISNUMBER(SEARCH("CTO",C139))+ISNUMBER(SEARCH("Chief Operating",C139))+ISNUMBER(SEARCH("Chief Financial",C139))+ISNUMBER(SEARCH("Gerente General",C139))+ISNUMBER(SEARCH("General Manager",C139))&gt;0,'Configuración'!$B$34,'Configuración'!$B$35)))))</f>
        <v>12</v>
      </c>
      <c r="V139" s="38">
        <f>IF(B139="","",IF(K139="Sí",'Configuración'!$B$5,0)+IF(L139="Semanal",'Configuración'!$B$6,IF(L139="Mensual",'Configuración'!$B$7,0))+IF(M139="Sí",'Configuración'!$B$8,0)+IF(N139="Sí",'Configuración'!$B$9,0)+IF(O139="Sí",'Configuración'!$B$10,0)+IF(P139="Sí",'Configuración'!$B$11,0)+IF(Q139="Sí",'Configuración'!$B$12,0)+S139+T139+U139)</f>
        <v>28</v>
      </c>
      <c r="W139" s="39" t="str">
        <f>IF(B139="","",IF(V139&gt;='Configuración'!$B$19,"A",IF(V139&gt;='Configuración'!$B$20,"B",IF(V139&gt;='Configuración'!$B$21,"C","Descarte"))))</f>
        <v>C</v>
      </c>
    </row>
    <row r="140" ht="15.75" customHeight="1">
      <c r="A140" s="34">
        <f t="shared" si="1"/>
        <v>138</v>
      </c>
      <c r="B140" s="29" t="s">
        <v>1008</v>
      </c>
      <c r="C140" s="29" t="s">
        <v>175</v>
      </c>
      <c r="D140" s="29" t="s">
        <v>1009</v>
      </c>
      <c r="E140" s="29" t="s">
        <v>1010</v>
      </c>
      <c r="F140" s="30" t="s">
        <v>1011</v>
      </c>
      <c r="G140" s="30" t="s">
        <v>1012</v>
      </c>
      <c r="H140" s="30" t="s">
        <v>1013</v>
      </c>
      <c r="I140" s="29" t="s">
        <v>116</v>
      </c>
      <c r="J140" s="31">
        <v>2.0</v>
      </c>
      <c r="K140" s="36" t="s">
        <v>119</v>
      </c>
      <c r="L140" s="36" t="s">
        <v>118</v>
      </c>
      <c r="M140" s="36" t="s">
        <v>117</v>
      </c>
      <c r="N140" s="36" t="s">
        <v>119</v>
      </c>
      <c r="O140" s="36" t="s">
        <v>119</v>
      </c>
      <c r="P140" s="35"/>
      <c r="Q140" s="36" t="s">
        <v>119</v>
      </c>
      <c r="R140" s="35"/>
      <c r="S140" s="37">
        <f>IF(B140="","",IF(ISNUMBER(J140),IF(J140&lt;=10,'Configuración'!$B$23,IF(J140&lt;=50,'Configuración'!$B$24,IF(J140&lt;=200,'Configuración'!$B$25,0))),0))</f>
        <v>12</v>
      </c>
      <c r="T140" s="37">
        <f>IF(B140="","",IF(ISNUMBER(SEARCH("information technology",I140))+ISNUMBER(SEARCH("software",I140))+ISNUMBER(SEARCH("internet",I140))+ISNUMBER(SEARCH("computer",I140))+ISNUMBER(SEARCH("saas",I140))+ISNUMBER(SEARCH("fintech",I140))+ISNUMBER(SEARCH("information services",I140))+ISNUMBER(SEARCH("telecommunications",I140))&gt;0,'Configuración'!$B$27,'Configuración'!$B$28))</f>
        <v>4</v>
      </c>
      <c r="U140" s="25">
        <f>IF(B140="","",IF(ISNUMBER(SEARCH("CEO",C140))+ISNUMBER(SEARCH("Founder",C140))+ISNUMBER(SEARCH("Owner",C140))+ISNUMBER(SEARCH("Dueño",C140))+ISNUMBER(SEARCH("Director General",C140))+ISNUMBER(SEARCH("Presidente",C140))+ISNUMBER(SEARCH("President",C140))&gt;0,'Configuración'!$B$31,IF(ISNUMBER(SEARCH("CMO",C140))+ISNUMBER(SEARCH("Chief Marketing",C140))+ISNUMBER(SEARCH("VP Marketing",C140))+ISNUMBER(SEARCH("Director de Marketing",C140))+ISNUMBER(SEARCH("Director Marketing",C140))+ISNUMBER(SEARCH("Head of Marketing",C140))+ISNUMBER(SEARCH("Head Marketing",C140))&gt;0,'Configuración'!$B$32,IF(ISNUMBER(SEARCH("Marketing Manager",C140))+ISNUMBER(SEARCH("Gerente de Marketing",C140))+ISNUMBER(SEARCH("Growth Manager",C140))+ISNUMBER(SEARCH("Demand Gen",C140))+ISNUMBER(SEARCH("Marketing Lead",C140))&gt;0,'Configuración'!$B$33,IF(ISNUMBER(SEARCH("COO",C140))+ISNUMBER(SEARCH("CFO",C140))+ISNUMBER(SEARCH("CTO",C140))+ISNUMBER(SEARCH("Chief Operating",C140))+ISNUMBER(SEARCH("Chief Financial",C140))+ISNUMBER(SEARCH("Gerente General",C140))+ISNUMBER(SEARCH("General Manager",C140))&gt;0,'Configuración'!$B$34,'Configuración'!$B$35)))))</f>
        <v>12</v>
      </c>
      <c r="V140" s="38">
        <f>IF(B140="","",IF(K140="Sí",'Configuración'!$B$5,0)+IF(L140="Semanal",'Configuración'!$B$6,IF(L140="Mensual",'Configuración'!$B$7,0))+IF(M140="Sí",'Configuración'!$B$8,0)+IF(N140="Sí",'Configuración'!$B$9,0)+IF(O140="Sí",'Configuración'!$B$10,0)+IF(P140="Sí",'Configuración'!$B$11,0)+IF(Q140="Sí",'Configuración'!$B$12,0)+S140+T140+U140)</f>
        <v>52</v>
      </c>
      <c r="W140" s="39" t="str">
        <f>IF(B140="","",IF(V140&gt;='Configuración'!$B$19,"A",IF(V140&gt;='Configuración'!$B$20,"B",IF(V140&gt;='Configuración'!$B$21,"C","Descarte"))))</f>
        <v>B</v>
      </c>
    </row>
    <row r="141" ht="15.75" customHeight="1">
      <c r="A141" s="34">
        <f t="shared" si="1"/>
        <v>139</v>
      </c>
      <c r="B141" s="29" t="s">
        <v>138</v>
      </c>
      <c r="C141" s="29" t="s">
        <v>1014</v>
      </c>
      <c r="D141" s="29" t="s">
        <v>1015</v>
      </c>
      <c r="E141" s="29" t="s">
        <v>1016</v>
      </c>
      <c r="F141" s="30" t="s">
        <v>1017</v>
      </c>
      <c r="G141" s="30" t="s">
        <v>1018</v>
      </c>
      <c r="H141" s="30" t="s">
        <v>1019</v>
      </c>
      <c r="I141" s="29" t="s">
        <v>137</v>
      </c>
      <c r="J141" s="31">
        <v>10.0</v>
      </c>
      <c r="K141" s="36" t="s">
        <v>119</v>
      </c>
      <c r="L141" s="36" t="s">
        <v>128</v>
      </c>
      <c r="M141" s="36" t="s">
        <v>117</v>
      </c>
      <c r="N141" s="36" t="s">
        <v>119</v>
      </c>
      <c r="O141" s="36" t="s">
        <v>119</v>
      </c>
      <c r="P141" s="35"/>
      <c r="Q141" s="36" t="s">
        <v>119</v>
      </c>
      <c r="R141" s="35"/>
      <c r="S141" s="37">
        <f>IF(B141="","",IF(ISNUMBER(J141),IF(J141&lt;=10,'Configuración'!$B$23,IF(J141&lt;=50,'Configuración'!$B$24,IF(J141&lt;=200,'Configuración'!$B$25,0))),0))</f>
        <v>12</v>
      </c>
      <c r="T141" s="37">
        <f>IF(B141="","",IF(ISNUMBER(SEARCH("information technology",I141))+ISNUMBER(SEARCH("software",I141))+ISNUMBER(SEARCH("internet",I141))+ISNUMBER(SEARCH("computer",I141))+ISNUMBER(SEARCH("saas",I141))+ISNUMBER(SEARCH("fintech",I141))+ISNUMBER(SEARCH("information services",I141))+ISNUMBER(SEARCH("telecommunications",I141))&gt;0,'Configuración'!$B$27,'Configuración'!$B$28))</f>
        <v>4</v>
      </c>
      <c r="U141" s="25">
        <f>IF(B141="","",IF(ISNUMBER(SEARCH("CEO",C141))+ISNUMBER(SEARCH("Founder",C141))+ISNUMBER(SEARCH("Owner",C141))+ISNUMBER(SEARCH("Dueño",C141))+ISNUMBER(SEARCH("Director General",C141))+ISNUMBER(SEARCH("Presidente",C141))+ISNUMBER(SEARCH("President",C141))&gt;0,'Configuración'!$B$31,IF(ISNUMBER(SEARCH("CMO",C141))+ISNUMBER(SEARCH("Chief Marketing",C141))+ISNUMBER(SEARCH("VP Marketing",C141))+ISNUMBER(SEARCH("Director de Marketing",C141))+ISNUMBER(SEARCH("Director Marketing",C141))+ISNUMBER(SEARCH("Head of Marketing",C141))+ISNUMBER(SEARCH("Head Marketing",C141))&gt;0,'Configuración'!$B$32,IF(ISNUMBER(SEARCH("Marketing Manager",C141))+ISNUMBER(SEARCH("Gerente de Marketing",C141))+ISNUMBER(SEARCH("Growth Manager",C141))+ISNUMBER(SEARCH("Demand Gen",C141))+ISNUMBER(SEARCH("Marketing Lead",C141))&gt;0,'Configuración'!$B$33,IF(ISNUMBER(SEARCH("COO",C141))+ISNUMBER(SEARCH("CFO",C141))+ISNUMBER(SEARCH("CTO",C141))+ISNUMBER(SEARCH("Chief Operating",C141))+ISNUMBER(SEARCH("Chief Financial",C141))+ISNUMBER(SEARCH("Gerente General",C141))+ISNUMBER(SEARCH("General Manager",C141))&gt;0,'Configuración'!$B$34,'Configuración'!$B$35)))))</f>
        <v>12</v>
      </c>
      <c r="V141" s="38">
        <f>IF(B141="","",IF(K141="Sí",'Configuración'!$B$5,0)+IF(L141="Semanal",'Configuración'!$B$6,IF(L141="Mensual",'Configuración'!$B$7,0))+IF(M141="Sí",'Configuración'!$B$8,0)+IF(N141="Sí",'Configuración'!$B$9,0)+IF(O141="Sí",'Configuración'!$B$10,0)+IF(P141="Sí",'Configuración'!$B$11,0)+IF(Q141="Sí",'Configuración'!$B$12,0)+S141+T141+U141)</f>
        <v>40</v>
      </c>
      <c r="W141" s="39" t="str">
        <f>IF(B141="","",IF(V141&gt;='Configuración'!$B$19,"A",IF(V141&gt;='Configuración'!$B$20,"B",IF(V141&gt;='Configuración'!$B$21,"C","Descarte"))))</f>
        <v>B</v>
      </c>
    </row>
    <row r="142" ht="15.75" customHeight="1">
      <c r="A142" s="34">
        <f t="shared" si="1"/>
        <v>140</v>
      </c>
      <c r="B142" s="29" t="s">
        <v>1020</v>
      </c>
      <c r="C142" s="29" t="s">
        <v>1021</v>
      </c>
      <c r="D142" s="29" t="s">
        <v>1022</v>
      </c>
      <c r="E142" s="29" t="s">
        <v>1023</v>
      </c>
      <c r="F142" s="30" t="s">
        <v>1024</v>
      </c>
      <c r="G142" s="30" t="s">
        <v>1025</v>
      </c>
      <c r="H142" s="30" t="s">
        <v>1026</v>
      </c>
      <c r="I142" s="29" t="s">
        <v>1027</v>
      </c>
      <c r="J142" s="31">
        <v>5.0</v>
      </c>
      <c r="K142" s="36" t="s">
        <v>119</v>
      </c>
      <c r="L142" s="36" t="s">
        <v>173</v>
      </c>
      <c r="M142" s="36" t="s">
        <v>117</v>
      </c>
      <c r="N142" s="36" t="s">
        <v>119</v>
      </c>
      <c r="O142" s="36" t="s">
        <v>119</v>
      </c>
      <c r="P142" s="35"/>
      <c r="Q142" s="36" t="s">
        <v>119</v>
      </c>
      <c r="R142" s="35"/>
      <c r="S142" s="37">
        <f>IF(B142="","",IF(ISNUMBER(J142),IF(J142&lt;=10,'Configuración'!$B$23,IF(J142&lt;=50,'Configuración'!$B$24,IF(J142&lt;=200,'Configuración'!$B$25,0))),0))</f>
        <v>12</v>
      </c>
      <c r="T142" s="37">
        <f>IF(B142="","",IF(ISNUMBER(SEARCH("information technology",I142))+ISNUMBER(SEARCH("software",I142))+ISNUMBER(SEARCH("internet",I142))+ISNUMBER(SEARCH("computer",I142))+ISNUMBER(SEARCH("saas",I142))+ISNUMBER(SEARCH("fintech",I142))+ISNUMBER(SEARCH("information services",I142))+ISNUMBER(SEARCH("telecommunications",I142))&gt;0,'Configuración'!$B$27,'Configuración'!$B$28))</f>
        <v>4</v>
      </c>
      <c r="U142" s="25">
        <f>IF(B142="","",IF(ISNUMBER(SEARCH("CEO",C142))+ISNUMBER(SEARCH("Founder",C142))+ISNUMBER(SEARCH("Owner",C142))+ISNUMBER(SEARCH("Dueño",C142))+ISNUMBER(SEARCH("Director General",C142))+ISNUMBER(SEARCH("Presidente",C142))+ISNUMBER(SEARCH("President",C142))&gt;0,'Configuración'!$B$31,IF(ISNUMBER(SEARCH("CMO",C142))+ISNUMBER(SEARCH("Chief Marketing",C142))+ISNUMBER(SEARCH("VP Marketing",C142))+ISNUMBER(SEARCH("Director de Marketing",C142))+ISNUMBER(SEARCH("Director Marketing",C142))+ISNUMBER(SEARCH("Head of Marketing",C142))+ISNUMBER(SEARCH("Head Marketing",C142))&gt;0,'Configuración'!$B$32,IF(ISNUMBER(SEARCH("Marketing Manager",C142))+ISNUMBER(SEARCH("Gerente de Marketing",C142))+ISNUMBER(SEARCH("Growth Manager",C142))+ISNUMBER(SEARCH("Demand Gen",C142))+ISNUMBER(SEARCH("Marketing Lead",C142))&gt;0,'Configuración'!$B$33,IF(ISNUMBER(SEARCH("COO",C142))+ISNUMBER(SEARCH("CFO",C142))+ISNUMBER(SEARCH("CTO",C142))+ISNUMBER(SEARCH("Chief Operating",C142))+ISNUMBER(SEARCH("Chief Financial",C142))+ISNUMBER(SEARCH("Gerente General",C142))+ISNUMBER(SEARCH("General Manager",C142))&gt;0,'Configuración'!$B$34,'Configuración'!$B$35)))))</f>
        <v>12</v>
      </c>
      <c r="V142" s="38">
        <f>IF(B142="","",IF(K142="Sí",'Configuración'!$B$5,0)+IF(L142="Semanal",'Configuración'!$B$6,IF(L142="Mensual",'Configuración'!$B$7,0))+IF(M142="Sí",'Configuración'!$B$8,0)+IF(N142="Sí",'Configuración'!$B$9,0)+IF(O142="Sí",'Configuración'!$B$10,0)+IF(P142="Sí",'Configuración'!$B$11,0)+IF(Q142="Sí",'Configuración'!$B$12,0)+S142+T142+U142)</f>
        <v>44</v>
      </c>
      <c r="W142" s="39" t="str">
        <f>IF(B142="","",IF(V142&gt;='Configuración'!$B$19,"A",IF(V142&gt;='Configuración'!$B$20,"B",IF(V142&gt;='Configuración'!$B$21,"C","Descarte"))))</f>
        <v>B</v>
      </c>
    </row>
    <row r="143" ht="15.75" customHeight="1">
      <c r="A143" s="34">
        <f t="shared" si="1"/>
        <v>141</v>
      </c>
      <c r="B143" s="29" t="s">
        <v>1028</v>
      </c>
      <c r="C143" s="29" t="s">
        <v>146</v>
      </c>
      <c r="D143" s="29" t="s">
        <v>1029</v>
      </c>
      <c r="E143" s="29" t="s">
        <v>1030</v>
      </c>
      <c r="F143" s="30" t="s">
        <v>1031</v>
      </c>
      <c r="G143" s="30" t="s">
        <v>1032</v>
      </c>
      <c r="H143" s="30" t="s">
        <v>1033</v>
      </c>
      <c r="I143" s="29" t="s">
        <v>1034</v>
      </c>
      <c r="J143" s="31">
        <v>3.0</v>
      </c>
      <c r="K143" s="36" t="s">
        <v>119</v>
      </c>
      <c r="L143" s="36" t="s">
        <v>128</v>
      </c>
      <c r="M143" s="36" t="s">
        <v>119</v>
      </c>
      <c r="N143" s="36" t="s">
        <v>119</v>
      </c>
      <c r="O143" s="36" t="s">
        <v>119</v>
      </c>
      <c r="P143" s="35"/>
      <c r="Q143" s="36" t="s">
        <v>119</v>
      </c>
      <c r="R143" s="35"/>
      <c r="S143" s="37">
        <f>IF(B143="","",IF(ISNUMBER(J143),IF(J143&lt;=10,'Configuración'!$B$23,IF(J143&lt;=50,'Configuración'!$B$24,IF(J143&lt;=200,'Configuración'!$B$25,0))),0))</f>
        <v>12</v>
      </c>
      <c r="T143" s="37">
        <f>IF(B143="","",IF(ISNUMBER(SEARCH("information technology",I143))+ISNUMBER(SEARCH("software",I143))+ISNUMBER(SEARCH("internet",I143))+ISNUMBER(SEARCH("computer",I143))+ISNUMBER(SEARCH("saas",I143))+ISNUMBER(SEARCH("fintech",I143))+ISNUMBER(SEARCH("information services",I143))+ISNUMBER(SEARCH("telecommunications",I143))&gt;0,'Configuración'!$B$27,'Configuración'!$B$28))</f>
        <v>4</v>
      </c>
      <c r="U143" s="25">
        <f>IF(B143="","",IF(ISNUMBER(SEARCH("CEO",C143))+ISNUMBER(SEARCH("Founder",C143))+ISNUMBER(SEARCH("Owner",C143))+ISNUMBER(SEARCH("Dueño",C143))+ISNUMBER(SEARCH("Director General",C143))+ISNUMBER(SEARCH("Presidente",C143))+ISNUMBER(SEARCH("President",C143))&gt;0,'Configuración'!$B$31,IF(ISNUMBER(SEARCH("CMO",C143))+ISNUMBER(SEARCH("Chief Marketing",C143))+ISNUMBER(SEARCH("VP Marketing",C143))+ISNUMBER(SEARCH("Director de Marketing",C143))+ISNUMBER(SEARCH("Director Marketing",C143))+ISNUMBER(SEARCH("Head of Marketing",C143))+ISNUMBER(SEARCH("Head Marketing",C143))&gt;0,'Configuración'!$B$32,IF(ISNUMBER(SEARCH("Marketing Manager",C143))+ISNUMBER(SEARCH("Gerente de Marketing",C143))+ISNUMBER(SEARCH("Growth Manager",C143))+ISNUMBER(SEARCH("Demand Gen",C143))+ISNUMBER(SEARCH("Marketing Lead",C143))&gt;0,'Configuración'!$B$33,IF(ISNUMBER(SEARCH("COO",C143))+ISNUMBER(SEARCH("CFO",C143))+ISNUMBER(SEARCH("CTO",C143))+ISNUMBER(SEARCH("Chief Operating",C143))+ISNUMBER(SEARCH("Chief Financial",C143))+ISNUMBER(SEARCH("Gerente General",C143))+ISNUMBER(SEARCH("General Manager",C143))&gt;0,'Configuración'!$B$34,'Configuración'!$B$35)))))</f>
        <v>0</v>
      </c>
      <c r="V143" s="38">
        <f>IF(B143="","",IF(K143="Sí",'Configuración'!$B$5,0)+IF(L143="Semanal",'Configuración'!$B$6,IF(L143="Mensual",'Configuración'!$B$7,0))+IF(M143="Sí",'Configuración'!$B$8,0)+IF(N143="Sí",'Configuración'!$B$9,0)+IF(O143="Sí",'Configuración'!$B$10,0)+IF(P143="Sí",'Configuración'!$B$11,0)+IF(Q143="Sí",'Configuración'!$B$12,0)+S143+T143+U143)</f>
        <v>16</v>
      </c>
      <c r="W143" s="39" t="str">
        <f>IF(B143="","",IF(V143&gt;='Configuración'!$B$19,"A",IF(V143&gt;='Configuración'!$B$20,"B",IF(V143&gt;='Configuración'!$B$21,"C","Descarte"))))</f>
        <v>Descarte</v>
      </c>
    </row>
    <row r="144" ht="15.75" customHeight="1">
      <c r="A144" s="34">
        <f t="shared" si="1"/>
        <v>142</v>
      </c>
      <c r="B144" s="29" t="s">
        <v>1035</v>
      </c>
      <c r="C144" s="29" t="s">
        <v>1036</v>
      </c>
      <c r="D144" s="29" t="s">
        <v>1037</v>
      </c>
      <c r="E144" s="29" t="s">
        <v>1038</v>
      </c>
      <c r="F144" s="30" t="s">
        <v>1039</v>
      </c>
      <c r="G144" s="30" t="s">
        <v>1040</v>
      </c>
      <c r="H144" s="30" t="s">
        <v>1041</v>
      </c>
      <c r="I144" s="29" t="s">
        <v>1042</v>
      </c>
      <c r="J144" s="31">
        <v>4.0</v>
      </c>
      <c r="K144" s="36" t="s">
        <v>117</v>
      </c>
      <c r="L144" s="36" t="s">
        <v>128</v>
      </c>
      <c r="M144" s="36" t="s">
        <v>117</v>
      </c>
      <c r="N144" s="36" t="s">
        <v>119</v>
      </c>
      <c r="O144" s="36" t="s">
        <v>119</v>
      </c>
      <c r="P144" s="35"/>
      <c r="Q144" s="36" t="s">
        <v>119</v>
      </c>
      <c r="R144" s="35"/>
      <c r="S144" s="37">
        <f>IF(B144="","",IF(ISNUMBER(J144),IF(J144&lt;=10,'Configuración'!$B$23,IF(J144&lt;=50,'Configuración'!$B$24,IF(J144&lt;=200,'Configuración'!$B$25,0))),0))</f>
        <v>12</v>
      </c>
      <c r="T144" s="37">
        <f>IF(B144="","",IF(ISNUMBER(SEARCH("information technology",I144))+ISNUMBER(SEARCH("software",I144))+ISNUMBER(SEARCH("internet",I144))+ISNUMBER(SEARCH("computer",I144))+ISNUMBER(SEARCH("saas",I144))+ISNUMBER(SEARCH("fintech",I144))+ISNUMBER(SEARCH("information services",I144))+ISNUMBER(SEARCH("telecommunications",I144))&gt;0,'Configuración'!$B$27,'Configuración'!$B$28))</f>
        <v>4</v>
      </c>
      <c r="U144" s="25">
        <f>IF(B144="","",IF(ISNUMBER(SEARCH("CEO",C144))+ISNUMBER(SEARCH("Founder",C144))+ISNUMBER(SEARCH("Owner",C144))+ISNUMBER(SEARCH("Dueño",C144))+ISNUMBER(SEARCH("Director General",C144))+ISNUMBER(SEARCH("Presidente",C144))+ISNUMBER(SEARCH("President",C144))&gt;0,'Configuración'!$B$31,IF(ISNUMBER(SEARCH("CMO",C144))+ISNUMBER(SEARCH("Chief Marketing",C144))+ISNUMBER(SEARCH("VP Marketing",C144))+ISNUMBER(SEARCH("Director de Marketing",C144))+ISNUMBER(SEARCH("Director Marketing",C144))+ISNUMBER(SEARCH("Head of Marketing",C144))+ISNUMBER(SEARCH("Head Marketing",C144))&gt;0,'Configuración'!$B$32,IF(ISNUMBER(SEARCH("Marketing Manager",C144))+ISNUMBER(SEARCH("Gerente de Marketing",C144))+ISNUMBER(SEARCH("Growth Manager",C144))+ISNUMBER(SEARCH("Demand Gen",C144))+ISNUMBER(SEARCH("Marketing Lead",C144))&gt;0,'Configuración'!$B$33,IF(ISNUMBER(SEARCH("COO",C144))+ISNUMBER(SEARCH("CFO",C144))+ISNUMBER(SEARCH("CTO",C144))+ISNUMBER(SEARCH("Chief Operating",C144))+ISNUMBER(SEARCH("Chief Financial",C144))+ISNUMBER(SEARCH("Gerente General",C144))+ISNUMBER(SEARCH("General Manager",C144))&gt;0,'Configuración'!$B$34,'Configuración'!$B$35)))))</f>
        <v>12</v>
      </c>
      <c r="V144" s="38">
        <f>IF(B144="","",IF(K144="Sí",'Configuración'!$B$5,0)+IF(L144="Semanal",'Configuración'!$B$6,IF(L144="Mensual",'Configuración'!$B$7,0))+IF(M144="Sí",'Configuración'!$B$8,0)+IF(N144="Sí",'Configuración'!$B$9,0)+IF(O144="Sí",'Configuración'!$B$10,0)+IF(P144="Sí",'Configuración'!$B$11,0)+IF(Q144="Sí",'Configuración'!$B$12,0)+S144+T144+U144)</f>
        <v>52</v>
      </c>
      <c r="W144" s="39" t="str">
        <f>IF(B144="","",IF(V144&gt;='Configuración'!$B$19,"A",IF(V144&gt;='Configuración'!$B$20,"B",IF(V144&gt;='Configuración'!$B$21,"C","Descarte"))))</f>
        <v>B</v>
      </c>
    </row>
    <row r="145" ht="15.75" customHeight="1">
      <c r="A145" s="34">
        <f t="shared" si="1"/>
        <v>143</v>
      </c>
      <c r="B145" s="29" t="s">
        <v>159</v>
      </c>
      <c r="C145" s="29" t="s">
        <v>318</v>
      </c>
      <c r="D145" s="29" t="s">
        <v>1043</v>
      </c>
      <c r="E145" s="29" t="s">
        <v>1044</v>
      </c>
      <c r="F145" s="30" t="s">
        <v>1045</v>
      </c>
      <c r="G145" s="30" t="s">
        <v>1046</v>
      </c>
      <c r="H145" s="30" t="s">
        <v>1047</v>
      </c>
      <c r="I145" s="29" t="s">
        <v>116</v>
      </c>
      <c r="J145" s="31">
        <v>12.0</v>
      </c>
      <c r="K145" s="36" t="s">
        <v>119</v>
      </c>
      <c r="L145" s="36" t="s">
        <v>128</v>
      </c>
      <c r="M145" s="36" t="s">
        <v>119</v>
      </c>
      <c r="N145" s="36" t="s">
        <v>119</v>
      </c>
      <c r="O145" s="36" t="s">
        <v>119</v>
      </c>
      <c r="P145" s="35"/>
      <c r="Q145" s="36" t="s">
        <v>119</v>
      </c>
      <c r="R145" s="35"/>
      <c r="S145" s="37">
        <f>IF(B145="","",IF(ISNUMBER(J145),IF(J145&lt;=10,'Configuración'!$B$23,IF(J145&lt;=50,'Configuración'!$B$24,IF(J145&lt;=200,'Configuración'!$B$25,0))),0))</f>
        <v>4</v>
      </c>
      <c r="T145" s="37">
        <f>IF(B145="","",IF(ISNUMBER(SEARCH("information technology",I145))+ISNUMBER(SEARCH("software",I145))+ISNUMBER(SEARCH("internet",I145))+ISNUMBER(SEARCH("computer",I145))+ISNUMBER(SEARCH("saas",I145))+ISNUMBER(SEARCH("fintech",I145))+ISNUMBER(SEARCH("information services",I145))+ISNUMBER(SEARCH("telecommunications",I145))&gt;0,'Configuración'!$B$27,'Configuración'!$B$28))</f>
        <v>4</v>
      </c>
      <c r="U145" s="25">
        <f>IF(B145="","",IF(ISNUMBER(SEARCH("CEO",C145))+ISNUMBER(SEARCH("Founder",C145))+ISNUMBER(SEARCH("Owner",C145))+ISNUMBER(SEARCH("Dueño",C145))+ISNUMBER(SEARCH("Director General",C145))+ISNUMBER(SEARCH("Presidente",C145))+ISNUMBER(SEARCH("President",C145))&gt;0,'Configuración'!$B$31,IF(ISNUMBER(SEARCH("CMO",C145))+ISNUMBER(SEARCH("Chief Marketing",C145))+ISNUMBER(SEARCH("VP Marketing",C145))+ISNUMBER(SEARCH("Director de Marketing",C145))+ISNUMBER(SEARCH("Director Marketing",C145))+ISNUMBER(SEARCH("Head of Marketing",C145))+ISNUMBER(SEARCH("Head Marketing",C145))&gt;0,'Configuración'!$B$32,IF(ISNUMBER(SEARCH("Marketing Manager",C145))+ISNUMBER(SEARCH("Gerente de Marketing",C145))+ISNUMBER(SEARCH("Growth Manager",C145))+ISNUMBER(SEARCH("Demand Gen",C145))+ISNUMBER(SEARCH("Marketing Lead",C145))&gt;0,'Configuración'!$B$33,IF(ISNUMBER(SEARCH("COO",C145))+ISNUMBER(SEARCH("CFO",C145))+ISNUMBER(SEARCH("CTO",C145))+ISNUMBER(SEARCH("Chief Operating",C145))+ISNUMBER(SEARCH("Chief Financial",C145))+ISNUMBER(SEARCH("Gerente General",C145))+ISNUMBER(SEARCH("General Manager",C145))&gt;0,'Configuración'!$B$34,'Configuración'!$B$35)))))</f>
        <v>4</v>
      </c>
      <c r="V145" s="38">
        <f>IF(B145="","",IF(K145="Sí",'Configuración'!$B$5,0)+IF(L145="Semanal",'Configuración'!$B$6,IF(L145="Mensual",'Configuración'!$B$7,0))+IF(M145="Sí",'Configuración'!$B$8,0)+IF(N145="Sí",'Configuración'!$B$9,0)+IF(O145="Sí",'Configuración'!$B$10,0)+IF(P145="Sí",'Configuración'!$B$11,0)+IF(Q145="Sí",'Configuración'!$B$12,0)+S145+T145+U145)</f>
        <v>12</v>
      </c>
      <c r="W145" s="39" t="str">
        <f>IF(B145="","",IF(V145&gt;='Configuración'!$B$19,"A",IF(V145&gt;='Configuración'!$B$20,"B",IF(V145&gt;='Configuración'!$B$21,"C","Descarte"))))</f>
        <v>Descarte</v>
      </c>
    </row>
    <row r="146" ht="15.75" customHeight="1">
      <c r="A146" s="34">
        <f t="shared" si="1"/>
        <v>144</v>
      </c>
      <c r="B146" s="29" t="s">
        <v>1048</v>
      </c>
      <c r="C146" s="29" t="s">
        <v>1049</v>
      </c>
      <c r="D146" s="29" t="s">
        <v>1050</v>
      </c>
      <c r="E146" s="29" t="s">
        <v>1051</v>
      </c>
      <c r="F146" s="30" t="s">
        <v>1052</v>
      </c>
      <c r="G146" s="30" t="s">
        <v>1053</v>
      </c>
      <c r="H146" s="30" t="s">
        <v>1054</v>
      </c>
      <c r="I146" s="29" t="s">
        <v>127</v>
      </c>
      <c r="J146" s="31">
        <v>2.0</v>
      </c>
      <c r="K146" s="36" t="s">
        <v>119</v>
      </c>
      <c r="L146" s="36" t="s">
        <v>128</v>
      </c>
      <c r="M146" s="36" t="s">
        <v>117</v>
      </c>
      <c r="N146" s="36" t="s">
        <v>117</v>
      </c>
      <c r="O146" s="36" t="s">
        <v>119</v>
      </c>
      <c r="P146" s="35"/>
      <c r="Q146" s="36" t="s">
        <v>119</v>
      </c>
      <c r="R146" s="36" t="s">
        <v>230</v>
      </c>
      <c r="S146" s="37">
        <f>IF(B146="","",IF(ISNUMBER(J146),IF(J146&lt;=10,'Configuración'!$B$23,IF(J146&lt;=50,'Configuración'!$B$24,IF(J146&lt;=200,'Configuración'!$B$25,0))),0))</f>
        <v>12</v>
      </c>
      <c r="T146" s="37">
        <f>IF(B146="","",IF(ISNUMBER(SEARCH("information technology",I146))+ISNUMBER(SEARCH("software",I146))+ISNUMBER(SEARCH("internet",I146))+ISNUMBER(SEARCH("computer",I146))+ISNUMBER(SEARCH("saas",I146))+ISNUMBER(SEARCH("fintech",I146))+ISNUMBER(SEARCH("information services",I146))+ISNUMBER(SEARCH("telecommunications",I146))&gt;0,'Configuración'!$B$27,'Configuración'!$B$28))</f>
        <v>12</v>
      </c>
      <c r="U146" s="25">
        <f>IF(B146="","",IF(ISNUMBER(SEARCH("CEO",C146))+ISNUMBER(SEARCH("Founder",C146))+ISNUMBER(SEARCH("Owner",C146))+ISNUMBER(SEARCH("Dueño",C146))+ISNUMBER(SEARCH("Director General",C146))+ISNUMBER(SEARCH("Presidente",C146))+ISNUMBER(SEARCH("President",C146))&gt;0,'Configuración'!$B$31,IF(ISNUMBER(SEARCH("CMO",C146))+ISNUMBER(SEARCH("Chief Marketing",C146))+ISNUMBER(SEARCH("VP Marketing",C146))+ISNUMBER(SEARCH("Director de Marketing",C146))+ISNUMBER(SEARCH("Director Marketing",C146))+ISNUMBER(SEARCH("Head of Marketing",C146))+ISNUMBER(SEARCH("Head Marketing",C146))&gt;0,'Configuración'!$B$32,IF(ISNUMBER(SEARCH("Marketing Manager",C146))+ISNUMBER(SEARCH("Gerente de Marketing",C146))+ISNUMBER(SEARCH("Growth Manager",C146))+ISNUMBER(SEARCH("Demand Gen",C146))+ISNUMBER(SEARCH("Marketing Lead",C146))&gt;0,'Configuración'!$B$33,IF(ISNUMBER(SEARCH("COO",C146))+ISNUMBER(SEARCH("CFO",C146))+ISNUMBER(SEARCH("CTO",C146))+ISNUMBER(SEARCH("Chief Operating",C146))+ISNUMBER(SEARCH("Chief Financial",C146))+ISNUMBER(SEARCH("Gerente General",C146))+ISNUMBER(SEARCH("General Manager",C146))&gt;0,'Configuración'!$B$34,'Configuración'!$B$35)))))</f>
        <v>12</v>
      </c>
      <c r="V146" s="38">
        <f>IF(B146="","",IF(K146="Sí",'Configuración'!$B$5,0)+IF(L146="Semanal",'Configuración'!$B$6,IF(L146="Mensual",'Configuración'!$B$7,0))+IF(M146="Sí",'Configuración'!$B$8,0)+IF(N146="Sí",'Configuración'!$B$9,0)+IF(O146="Sí",'Configuración'!$B$10,0)+IF(P146="Sí",'Configuración'!$B$11,0)+IF(Q146="Sí",'Configuración'!$B$12,0)+S146+T146+U146)</f>
        <v>52</v>
      </c>
      <c r="W146" s="39" t="str">
        <f>IF(B146="","",IF(V146&gt;='Configuración'!$B$19,"A",IF(V146&gt;='Configuración'!$B$20,"B",IF(V146&gt;='Configuración'!$B$21,"C","Descarte"))))</f>
        <v>B</v>
      </c>
    </row>
    <row r="147" ht="15.75" customHeight="1">
      <c r="A147" s="34">
        <f t="shared" si="1"/>
        <v>145</v>
      </c>
      <c r="B147" s="29" t="s">
        <v>466</v>
      </c>
      <c r="C147" s="29" t="s">
        <v>622</v>
      </c>
      <c r="D147" s="29" t="s">
        <v>1055</v>
      </c>
      <c r="E147" s="29" t="s">
        <v>1056</v>
      </c>
      <c r="F147" s="30" t="s">
        <v>1057</v>
      </c>
      <c r="G147" s="30" t="s">
        <v>1058</v>
      </c>
      <c r="H147" s="30" t="s">
        <v>1059</v>
      </c>
      <c r="I147" s="29" t="s">
        <v>990</v>
      </c>
      <c r="J147" s="31">
        <v>3.0</v>
      </c>
      <c r="K147" s="36" t="s">
        <v>119</v>
      </c>
      <c r="L147" s="36" t="s">
        <v>128</v>
      </c>
      <c r="M147" s="36" t="s">
        <v>117</v>
      </c>
      <c r="N147" s="36" t="s">
        <v>117</v>
      </c>
      <c r="O147" s="36" t="s">
        <v>117</v>
      </c>
      <c r="P147" s="35"/>
      <c r="Q147" s="36" t="s">
        <v>119</v>
      </c>
      <c r="R147" s="35"/>
      <c r="S147" s="37">
        <f>IF(B147="","",IF(ISNUMBER(J147),IF(J147&lt;=10,'Configuración'!$B$23,IF(J147&lt;=50,'Configuración'!$B$24,IF(J147&lt;=200,'Configuración'!$B$25,0))),0))</f>
        <v>12</v>
      </c>
      <c r="T147" s="37">
        <f>IF(B147="","",IF(ISNUMBER(SEARCH("information technology",I147))+ISNUMBER(SEARCH("software",I147))+ISNUMBER(SEARCH("internet",I147))+ISNUMBER(SEARCH("computer",I147))+ISNUMBER(SEARCH("saas",I147))+ISNUMBER(SEARCH("fintech",I147))+ISNUMBER(SEARCH("information services",I147))+ISNUMBER(SEARCH("telecommunications",I147))&gt;0,'Configuración'!$B$27,'Configuración'!$B$28))</f>
        <v>4</v>
      </c>
      <c r="U147" s="25">
        <f>IF(B147="","",IF(ISNUMBER(SEARCH("CEO",C147))+ISNUMBER(SEARCH("Founder",C147))+ISNUMBER(SEARCH("Owner",C147))+ISNUMBER(SEARCH("Dueño",C147))+ISNUMBER(SEARCH("Director General",C147))+ISNUMBER(SEARCH("Presidente",C147))+ISNUMBER(SEARCH("President",C147))&gt;0,'Configuración'!$B$31,IF(ISNUMBER(SEARCH("CMO",C147))+ISNUMBER(SEARCH("Chief Marketing",C147))+ISNUMBER(SEARCH("VP Marketing",C147))+ISNUMBER(SEARCH("Director de Marketing",C147))+ISNUMBER(SEARCH("Director Marketing",C147))+ISNUMBER(SEARCH("Head of Marketing",C147))+ISNUMBER(SEARCH("Head Marketing",C147))&gt;0,'Configuración'!$B$32,IF(ISNUMBER(SEARCH("Marketing Manager",C147))+ISNUMBER(SEARCH("Gerente de Marketing",C147))+ISNUMBER(SEARCH("Growth Manager",C147))+ISNUMBER(SEARCH("Demand Gen",C147))+ISNUMBER(SEARCH("Marketing Lead",C147))&gt;0,'Configuración'!$B$33,IF(ISNUMBER(SEARCH("COO",C147))+ISNUMBER(SEARCH("CFO",C147))+ISNUMBER(SEARCH("CTO",C147))+ISNUMBER(SEARCH("Chief Operating",C147))+ISNUMBER(SEARCH("Chief Financial",C147))+ISNUMBER(SEARCH("Gerente General",C147))+ISNUMBER(SEARCH("General Manager",C147))&gt;0,'Configuración'!$B$34,'Configuración'!$B$35)))))</f>
        <v>12</v>
      </c>
      <c r="V147" s="38">
        <f>IF(B147="","",IF(K147="Sí",'Configuración'!$B$5,0)+IF(L147="Semanal",'Configuración'!$B$6,IF(L147="Mensual",'Configuración'!$B$7,0))+IF(M147="Sí",'Configuración'!$B$8,0)+IF(N147="Sí",'Configuración'!$B$9,0)+IF(O147="Sí",'Configuración'!$B$10,0)+IF(P147="Sí",'Configuración'!$B$11,0)+IF(Q147="Sí",'Configuración'!$B$12,0)+S147+T147+U147)</f>
        <v>52</v>
      </c>
      <c r="W147" s="39" t="str">
        <f>IF(B147="","",IF(V147&gt;='Configuración'!$B$19,"A",IF(V147&gt;='Configuración'!$B$20,"B",IF(V147&gt;='Configuración'!$B$21,"C","Descarte"))))</f>
        <v>B</v>
      </c>
    </row>
    <row r="148" ht="15.75" customHeight="1">
      <c r="A148" s="34">
        <f t="shared" si="1"/>
        <v>146</v>
      </c>
      <c r="B148" s="29" t="s">
        <v>813</v>
      </c>
      <c r="C148" s="29" t="s">
        <v>1060</v>
      </c>
      <c r="D148" s="29" t="s">
        <v>1061</v>
      </c>
      <c r="E148" s="29" t="s">
        <v>1062</v>
      </c>
      <c r="F148" s="30" t="s">
        <v>1063</v>
      </c>
      <c r="G148" s="30" t="s">
        <v>1064</v>
      </c>
      <c r="H148" s="30" t="s">
        <v>1065</v>
      </c>
      <c r="I148" s="29" t="s">
        <v>310</v>
      </c>
      <c r="J148" s="31">
        <v>8.0</v>
      </c>
      <c r="K148" s="36" t="s">
        <v>119</v>
      </c>
      <c r="L148" s="36" t="s">
        <v>128</v>
      </c>
      <c r="M148" s="36" t="s">
        <v>119</v>
      </c>
      <c r="N148" s="36" t="s">
        <v>119</v>
      </c>
      <c r="O148" s="36" t="s">
        <v>119</v>
      </c>
      <c r="P148" s="35"/>
      <c r="Q148" s="36" t="s">
        <v>119</v>
      </c>
      <c r="R148" s="35"/>
      <c r="S148" s="37">
        <f>IF(B148="","",IF(ISNUMBER(J148),IF(J148&lt;=10,'Configuración'!$B$23,IF(J148&lt;=50,'Configuración'!$B$24,IF(J148&lt;=200,'Configuración'!$B$25,0))),0))</f>
        <v>12</v>
      </c>
      <c r="T148" s="37">
        <f>IF(B148="","",IF(ISNUMBER(SEARCH("information technology",I148))+ISNUMBER(SEARCH("software",I148))+ISNUMBER(SEARCH("internet",I148))+ISNUMBER(SEARCH("computer",I148))+ISNUMBER(SEARCH("saas",I148))+ISNUMBER(SEARCH("fintech",I148))+ISNUMBER(SEARCH("information services",I148))+ISNUMBER(SEARCH("telecommunications",I148))&gt;0,'Configuración'!$B$27,'Configuración'!$B$28))</f>
        <v>4</v>
      </c>
      <c r="U148" s="25">
        <f>IF(B148="","",IF(ISNUMBER(SEARCH("CEO",C148))+ISNUMBER(SEARCH("Founder",C148))+ISNUMBER(SEARCH("Owner",C148))+ISNUMBER(SEARCH("Dueño",C148))+ISNUMBER(SEARCH("Director General",C148))+ISNUMBER(SEARCH("Presidente",C148))+ISNUMBER(SEARCH("President",C148))&gt;0,'Configuración'!$B$31,IF(ISNUMBER(SEARCH("CMO",C148))+ISNUMBER(SEARCH("Chief Marketing",C148))+ISNUMBER(SEARCH("VP Marketing",C148))+ISNUMBER(SEARCH("Director de Marketing",C148))+ISNUMBER(SEARCH("Director Marketing",C148))+ISNUMBER(SEARCH("Head of Marketing",C148))+ISNUMBER(SEARCH("Head Marketing",C148))&gt;0,'Configuración'!$B$32,IF(ISNUMBER(SEARCH("Marketing Manager",C148))+ISNUMBER(SEARCH("Gerente de Marketing",C148))+ISNUMBER(SEARCH("Growth Manager",C148))+ISNUMBER(SEARCH("Demand Gen",C148))+ISNUMBER(SEARCH("Marketing Lead",C148))&gt;0,'Configuración'!$B$33,IF(ISNUMBER(SEARCH("COO",C148))+ISNUMBER(SEARCH("CFO",C148))+ISNUMBER(SEARCH("CTO",C148))+ISNUMBER(SEARCH("Chief Operating",C148))+ISNUMBER(SEARCH("Chief Financial",C148))+ISNUMBER(SEARCH("Gerente General",C148))+ISNUMBER(SEARCH("General Manager",C148))&gt;0,'Configuración'!$B$34,'Configuración'!$B$35)))))</f>
        <v>12</v>
      </c>
      <c r="V148" s="38">
        <f>IF(B148="","",IF(K148="Sí",'Configuración'!$B$5,0)+IF(L148="Semanal",'Configuración'!$B$6,IF(L148="Mensual",'Configuración'!$B$7,0))+IF(M148="Sí",'Configuración'!$B$8,0)+IF(N148="Sí",'Configuración'!$B$9,0)+IF(O148="Sí",'Configuración'!$B$10,0)+IF(P148="Sí",'Configuración'!$B$11,0)+IF(Q148="Sí",'Configuración'!$B$12,0)+S148+T148+U148)</f>
        <v>28</v>
      </c>
      <c r="W148" s="39" t="str">
        <f>IF(B148="","",IF(V148&gt;='Configuración'!$B$19,"A",IF(V148&gt;='Configuración'!$B$20,"B",IF(V148&gt;='Configuración'!$B$21,"C","Descarte"))))</f>
        <v>C</v>
      </c>
    </row>
    <row r="149" ht="15.75" customHeight="1">
      <c r="A149" s="34">
        <f t="shared" si="1"/>
        <v>147</v>
      </c>
      <c r="B149" s="29" t="s">
        <v>109</v>
      </c>
      <c r="C149" s="29" t="s">
        <v>1066</v>
      </c>
      <c r="D149" s="29" t="s">
        <v>1067</v>
      </c>
      <c r="E149" s="29" t="s">
        <v>1068</v>
      </c>
      <c r="F149" s="30" t="s">
        <v>1069</v>
      </c>
      <c r="G149" s="30" t="s">
        <v>1070</v>
      </c>
      <c r="H149" s="30" t="s">
        <v>1071</v>
      </c>
      <c r="I149" s="29" t="s">
        <v>116</v>
      </c>
      <c r="J149" s="31">
        <v>42.0</v>
      </c>
      <c r="K149" s="36" t="s">
        <v>119</v>
      </c>
      <c r="L149" s="36" t="s">
        <v>173</v>
      </c>
      <c r="M149" s="36" t="s">
        <v>119</v>
      </c>
      <c r="N149" s="36" t="s">
        <v>119</v>
      </c>
      <c r="O149" s="36" t="s">
        <v>119</v>
      </c>
      <c r="P149" s="35"/>
      <c r="Q149" s="36" t="s">
        <v>119</v>
      </c>
      <c r="R149" s="35"/>
      <c r="S149" s="37">
        <f>IF(B149="","",IF(ISNUMBER(J149),IF(J149&lt;=10,'Configuración'!$B$23,IF(J149&lt;=50,'Configuración'!$B$24,IF(J149&lt;=200,'Configuración'!$B$25,0))),0))</f>
        <v>4</v>
      </c>
      <c r="T149" s="37">
        <f>IF(B149="","",IF(ISNUMBER(SEARCH("information technology",I149))+ISNUMBER(SEARCH("software",I149))+ISNUMBER(SEARCH("internet",I149))+ISNUMBER(SEARCH("computer",I149))+ISNUMBER(SEARCH("saas",I149))+ISNUMBER(SEARCH("fintech",I149))+ISNUMBER(SEARCH("information services",I149))+ISNUMBER(SEARCH("telecommunications",I149))&gt;0,'Configuración'!$B$27,'Configuración'!$B$28))</f>
        <v>4</v>
      </c>
      <c r="U149" s="25">
        <f>IF(B149="","",IF(ISNUMBER(SEARCH("CEO",C149))+ISNUMBER(SEARCH("Founder",C149))+ISNUMBER(SEARCH("Owner",C149))+ISNUMBER(SEARCH("Dueño",C149))+ISNUMBER(SEARCH("Director General",C149))+ISNUMBER(SEARCH("Presidente",C149))+ISNUMBER(SEARCH("President",C149))&gt;0,'Configuración'!$B$31,IF(ISNUMBER(SEARCH("CMO",C149))+ISNUMBER(SEARCH("Chief Marketing",C149))+ISNUMBER(SEARCH("VP Marketing",C149))+ISNUMBER(SEARCH("Director de Marketing",C149))+ISNUMBER(SEARCH("Director Marketing",C149))+ISNUMBER(SEARCH("Head of Marketing",C149))+ISNUMBER(SEARCH("Head Marketing",C149))&gt;0,'Configuración'!$B$32,IF(ISNUMBER(SEARCH("Marketing Manager",C149))+ISNUMBER(SEARCH("Gerente de Marketing",C149))+ISNUMBER(SEARCH("Growth Manager",C149))+ISNUMBER(SEARCH("Demand Gen",C149))+ISNUMBER(SEARCH("Marketing Lead",C149))&gt;0,'Configuración'!$B$33,IF(ISNUMBER(SEARCH("COO",C149))+ISNUMBER(SEARCH("CFO",C149))+ISNUMBER(SEARCH("CTO",C149))+ISNUMBER(SEARCH("Chief Operating",C149))+ISNUMBER(SEARCH("Chief Financial",C149))+ISNUMBER(SEARCH("Gerente General",C149))+ISNUMBER(SEARCH("General Manager",C149))&gt;0,'Configuración'!$B$34,'Configuración'!$B$35)))))</f>
        <v>12</v>
      </c>
      <c r="V149" s="38">
        <f>IF(B149="","",IF(K149="Sí",'Configuración'!$B$5,0)+IF(L149="Semanal",'Configuración'!$B$6,IF(L149="Mensual",'Configuración'!$B$7,0))+IF(M149="Sí",'Configuración'!$B$8,0)+IF(N149="Sí",'Configuración'!$B$9,0)+IF(O149="Sí",'Configuración'!$B$10,0)+IF(P149="Sí",'Configuración'!$B$11,0)+IF(Q149="Sí",'Configuración'!$B$12,0)+S149+T149+U149)</f>
        <v>24</v>
      </c>
      <c r="W149" s="39" t="str">
        <f>IF(B149="","",IF(V149&gt;='Configuración'!$B$19,"A",IF(V149&gt;='Configuración'!$B$20,"B",IF(V149&gt;='Configuración'!$B$21,"C","Descarte"))))</f>
        <v>C</v>
      </c>
    </row>
    <row r="150" ht="15.75" customHeight="1">
      <c r="A150" s="34">
        <f t="shared" si="1"/>
        <v>148</v>
      </c>
      <c r="B150" s="29" t="s">
        <v>1072</v>
      </c>
      <c r="C150" s="29" t="s">
        <v>494</v>
      </c>
      <c r="D150" s="29" t="s">
        <v>1073</v>
      </c>
      <c r="E150" s="29" t="s">
        <v>1074</v>
      </c>
      <c r="F150" s="30" t="s">
        <v>1075</v>
      </c>
      <c r="G150" s="30" t="s">
        <v>1076</v>
      </c>
      <c r="H150" s="30" t="s">
        <v>1077</v>
      </c>
      <c r="I150" s="29" t="s">
        <v>1078</v>
      </c>
      <c r="J150" s="31">
        <v>14.0</v>
      </c>
      <c r="K150" s="36" t="s">
        <v>119</v>
      </c>
      <c r="L150" s="36" t="s">
        <v>128</v>
      </c>
      <c r="M150" s="36" t="s">
        <v>119</v>
      </c>
      <c r="N150" s="36" t="s">
        <v>117</v>
      </c>
      <c r="O150" s="36" t="s">
        <v>119</v>
      </c>
      <c r="P150" s="35"/>
      <c r="Q150" s="36" t="s">
        <v>119</v>
      </c>
      <c r="R150" s="35"/>
      <c r="S150" s="37">
        <f>IF(B150="","",IF(ISNUMBER(J150),IF(J150&lt;=10,'Configuración'!$B$23,IF(J150&lt;=50,'Configuración'!$B$24,IF(J150&lt;=200,'Configuración'!$B$25,0))),0))</f>
        <v>4</v>
      </c>
      <c r="T150" s="37">
        <f>IF(B150="","",IF(ISNUMBER(SEARCH("information technology",I150))+ISNUMBER(SEARCH("software",I150))+ISNUMBER(SEARCH("internet",I150))+ISNUMBER(SEARCH("computer",I150))+ISNUMBER(SEARCH("saas",I150))+ISNUMBER(SEARCH("fintech",I150))+ISNUMBER(SEARCH("information services",I150))+ISNUMBER(SEARCH("telecommunications",I150))&gt;0,'Configuración'!$B$27,'Configuración'!$B$28))</f>
        <v>4</v>
      </c>
      <c r="U150" s="25">
        <f>IF(B150="","",IF(ISNUMBER(SEARCH("CEO",C150))+ISNUMBER(SEARCH("Founder",C150))+ISNUMBER(SEARCH("Owner",C150))+ISNUMBER(SEARCH("Dueño",C150))+ISNUMBER(SEARCH("Director General",C150))+ISNUMBER(SEARCH("Presidente",C150))+ISNUMBER(SEARCH("President",C150))&gt;0,'Configuración'!$B$31,IF(ISNUMBER(SEARCH("CMO",C150))+ISNUMBER(SEARCH("Chief Marketing",C150))+ISNUMBER(SEARCH("VP Marketing",C150))+ISNUMBER(SEARCH("Director de Marketing",C150))+ISNUMBER(SEARCH("Director Marketing",C150))+ISNUMBER(SEARCH("Head of Marketing",C150))+ISNUMBER(SEARCH("Head Marketing",C150))&gt;0,'Configuración'!$B$32,IF(ISNUMBER(SEARCH("Marketing Manager",C150))+ISNUMBER(SEARCH("Gerente de Marketing",C150))+ISNUMBER(SEARCH("Growth Manager",C150))+ISNUMBER(SEARCH("Demand Gen",C150))+ISNUMBER(SEARCH("Marketing Lead",C150))&gt;0,'Configuración'!$B$33,IF(ISNUMBER(SEARCH("COO",C150))+ISNUMBER(SEARCH("CFO",C150))+ISNUMBER(SEARCH("CTO",C150))+ISNUMBER(SEARCH("Chief Operating",C150))+ISNUMBER(SEARCH("Chief Financial",C150))+ISNUMBER(SEARCH("Gerente General",C150))+ISNUMBER(SEARCH("General Manager",C150))&gt;0,'Configuración'!$B$34,'Configuración'!$B$35)))))</f>
        <v>4</v>
      </c>
      <c r="V150" s="38">
        <f>IF(B150="","",IF(K150="Sí",'Configuración'!$B$5,0)+IF(L150="Semanal",'Configuración'!$B$6,IF(L150="Mensual",'Configuración'!$B$7,0))+IF(M150="Sí",'Configuración'!$B$8,0)+IF(N150="Sí",'Configuración'!$B$9,0)+IF(O150="Sí",'Configuración'!$B$10,0)+IF(P150="Sí",'Configuración'!$B$11,0)+IF(Q150="Sí",'Configuración'!$B$12,0)+S150+T150+U150)</f>
        <v>16</v>
      </c>
      <c r="W150" s="39" t="str">
        <f>IF(B150="","",IF(V150&gt;='Configuración'!$B$19,"A",IF(V150&gt;='Configuración'!$B$20,"B",IF(V150&gt;='Configuración'!$B$21,"C","Descarte"))))</f>
        <v>Descarte</v>
      </c>
    </row>
    <row r="151" ht="15.75" customHeight="1">
      <c r="A151" s="34">
        <f t="shared" si="1"/>
        <v>149</v>
      </c>
      <c r="B151" s="29" t="s">
        <v>1079</v>
      </c>
      <c r="C151" s="29" t="s">
        <v>146</v>
      </c>
      <c r="D151" s="29" t="s">
        <v>1080</v>
      </c>
      <c r="E151" s="29" t="s">
        <v>1081</v>
      </c>
      <c r="F151" s="30" t="s">
        <v>1082</v>
      </c>
      <c r="G151" s="30" t="s">
        <v>1083</v>
      </c>
      <c r="H151" s="30" t="s">
        <v>1084</v>
      </c>
      <c r="I151" s="29" t="s">
        <v>1085</v>
      </c>
      <c r="J151" s="31">
        <v>40.0</v>
      </c>
      <c r="K151" s="36" t="s">
        <v>119</v>
      </c>
      <c r="L151" s="36" t="s">
        <v>128</v>
      </c>
      <c r="M151" s="36" t="s">
        <v>117</v>
      </c>
      <c r="N151" s="36" t="s">
        <v>119</v>
      </c>
      <c r="O151" s="36" t="s">
        <v>119</v>
      </c>
      <c r="P151" s="35"/>
      <c r="Q151" s="36" t="s">
        <v>119</v>
      </c>
      <c r="R151" s="35"/>
      <c r="S151" s="37">
        <f>IF(B151="","",IF(ISNUMBER(J151),IF(J151&lt;=10,'Configuración'!$B$23,IF(J151&lt;=50,'Configuración'!$B$24,IF(J151&lt;=200,'Configuración'!$B$25,0))),0))</f>
        <v>4</v>
      </c>
      <c r="T151" s="37">
        <f>IF(B151="","",IF(ISNUMBER(SEARCH("information technology",I151))+ISNUMBER(SEARCH("software",I151))+ISNUMBER(SEARCH("internet",I151))+ISNUMBER(SEARCH("computer",I151))+ISNUMBER(SEARCH("saas",I151))+ISNUMBER(SEARCH("fintech",I151))+ISNUMBER(SEARCH("information services",I151))+ISNUMBER(SEARCH("telecommunications",I151))&gt;0,'Configuración'!$B$27,'Configuración'!$B$28))</f>
        <v>4</v>
      </c>
      <c r="U151" s="25">
        <f>IF(B151="","",IF(ISNUMBER(SEARCH("CEO",C151))+ISNUMBER(SEARCH("Founder",C151))+ISNUMBER(SEARCH("Owner",C151))+ISNUMBER(SEARCH("Dueño",C151))+ISNUMBER(SEARCH("Director General",C151))+ISNUMBER(SEARCH("Presidente",C151))+ISNUMBER(SEARCH("President",C151))&gt;0,'Configuración'!$B$31,IF(ISNUMBER(SEARCH("CMO",C151))+ISNUMBER(SEARCH("Chief Marketing",C151))+ISNUMBER(SEARCH("VP Marketing",C151))+ISNUMBER(SEARCH("Director de Marketing",C151))+ISNUMBER(SEARCH("Director Marketing",C151))+ISNUMBER(SEARCH("Head of Marketing",C151))+ISNUMBER(SEARCH("Head Marketing",C151))&gt;0,'Configuración'!$B$32,IF(ISNUMBER(SEARCH("Marketing Manager",C151))+ISNUMBER(SEARCH("Gerente de Marketing",C151))+ISNUMBER(SEARCH("Growth Manager",C151))+ISNUMBER(SEARCH("Demand Gen",C151))+ISNUMBER(SEARCH("Marketing Lead",C151))&gt;0,'Configuración'!$B$33,IF(ISNUMBER(SEARCH("COO",C151))+ISNUMBER(SEARCH("CFO",C151))+ISNUMBER(SEARCH("CTO",C151))+ISNUMBER(SEARCH("Chief Operating",C151))+ISNUMBER(SEARCH("Chief Financial",C151))+ISNUMBER(SEARCH("Gerente General",C151))+ISNUMBER(SEARCH("General Manager",C151))&gt;0,'Configuración'!$B$34,'Configuración'!$B$35)))))</f>
        <v>0</v>
      </c>
      <c r="V151" s="38">
        <f>IF(B151="","",IF(K151="Sí",'Configuración'!$B$5,0)+IF(L151="Semanal",'Configuración'!$B$6,IF(L151="Mensual",'Configuración'!$B$7,0))+IF(M151="Sí",'Configuración'!$B$8,0)+IF(N151="Sí",'Configuración'!$B$9,0)+IF(O151="Sí",'Configuración'!$B$10,0)+IF(P151="Sí",'Configuración'!$B$11,0)+IF(Q151="Sí",'Configuración'!$B$12,0)+S151+T151+U151)</f>
        <v>20</v>
      </c>
      <c r="W151" s="39" t="str">
        <f>IF(B151="","",IF(V151&gt;='Configuración'!$B$19,"A",IF(V151&gt;='Configuración'!$B$20,"B",IF(V151&gt;='Configuración'!$B$21,"C","Descarte"))))</f>
        <v>Descarte</v>
      </c>
    </row>
    <row r="152" ht="15.75" customHeight="1">
      <c r="A152" s="34">
        <f t="shared" si="1"/>
        <v>150</v>
      </c>
      <c r="B152" s="29" t="s">
        <v>181</v>
      </c>
      <c r="C152" s="29" t="s">
        <v>597</v>
      </c>
      <c r="D152" s="29" t="s">
        <v>1086</v>
      </c>
      <c r="E152" s="29" t="s">
        <v>1087</v>
      </c>
      <c r="F152" s="30" t="s">
        <v>1088</v>
      </c>
      <c r="G152" s="30" t="s">
        <v>1089</v>
      </c>
      <c r="H152" s="30" t="s">
        <v>1090</v>
      </c>
      <c r="I152" s="29" t="s">
        <v>116</v>
      </c>
      <c r="J152" s="31">
        <v>38.0</v>
      </c>
      <c r="K152" s="36" t="s">
        <v>119</v>
      </c>
      <c r="L152" s="36" t="s">
        <v>118</v>
      </c>
      <c r="M152" s="36" t="s">
        <v>117</v>
      </c>
      <c r="N152" s="36" t="s">
        <v>119</v>
      </c>
      <c r="O152" s="36" t="s">
        <v>119</v>
      </c>
      <c r="P152" s="35"/>
      <c r="Q152" s="36" t="s">
        <v>119</v>
      </c>
      <c r="R152" s="35"/>
      <c r="S152" s="37">
        <f>IF(B152="","",IF(ISNUMBER(J152),IF(J152&lt;=10,'Configuración'!$B$23,IF(J152&lt;=50,'Configuración'!$B$24,IF(J152&lt;=200,'Configuración'!$B$25,0))),0))</f>
        <v>4</v>
      </c>
      <c r="T152" s="37">
        <f>IF(B152="","",IF(ISNUMBER(SEARCH("information technology",I152))+ISNUMBER(SEARCH("software",I152))+ISNUMBER(SEARCH("internet",I152))+ISNUMBER(SEARCH("computer",I152))+ISNUMBER(SEARCH("saas",I152))+ISNUMBER(SEARCH("fintech",I152))+ISNUMBER(SEARCH("information services",I152))+ISNUMBER(SEARCH("telecommunications",I152))&gt;0,'Configuración'!$B$27,'Configuración'!$B$28))</f>
        <v>4</v>
      </c>
      <c r="U152" s="25">
        <f>IF(B152="","",IF(ISNUMBER(SEARCH("CEO",C152))+ISNUMBER(SEARCH("Founder",C152))+ISNUMBER(SEARCH("Owner",C152))+ISNUMBER(SEARCH("Dueño",C152))+ISNUMBER(SEARCH("Director General",C152))+ISNUMBER(SEARCH("Presidente",C152))+ISNUMBER(SEARCH("President",C152))&gt;0,'Configuración'!$B$31,IF(ISNUMBER(SEARCH("CMO",C152))+ISNUMBER(SEARCH("Chief Marketing",C152))+ISNUMBER(SEARCH("VP Marketing",C152))+ISNUMBER(SEARCH("Director de Marketing",C152))+ISNUMBER(SEARCH("Director Marketing",C152))+ISNUMBER(SEARCH("Head of Marketing",C152))+ISNUMBER(SEARCH("Head Marketing",C152))&gt;0,'Configuración'!$B$32,IF(ISNUMBER(SEARCH("Marketing Manager",C152))+ISNUMBER(SEARCH("Gerente de Marketing",C152))+ISNUMBER(SEARCH("Growth Manager",C152))+ISNUMBER(SEARCH("Demand Gen",C152))+ISNUMBER(SEARCH("Marketing Lead",C152))&gt;0,'Configuración'!$B$33,IF(ISNUMBER(SEARCH("COO",C152))+ISNUMBER(SEARCH("CFO",C152))+ISNUMBER(SEARCH("CTO",C152))+ISNUMBER(SEARCH("Chief Operating",C152))+ISNUMBER(SEARCH("Chief Financial",C152))+ISNUMBER(SEARCH("Gerente General",C152))+ISNUMBER(SEARCH("General Manager",C152))&gt;0,'Configuración'!$B$34,'Configuración'!$B$35)))))</f>
        <v>12</v>
      </c>
      <c r="V152" s="38">
        <f>IF(B152="","",IF(K152="Sí",'Configuración'!$B$5,0)+IF(L152="Semanal",'Configuración'!$B$6,IF(L152="Mensual",'Configuración'!$B$7,0))+IF(M152="Sí",'Configuración'!$B$8,0)+IF(N152="Sí",'Configuración'!$B$9,0)+IF(O152="Sí",'Configuración'!$B$10,0)+IF(P152="Sí",'Configuración'!$B$11,0)+IF(Q152="Sí",'Configuración'!$B$12,0)+S152+T152+U152)</f>
        <v>44</v>
      </c>
      <c r="W152" s="39" t="str">
        <f>IF(B152="","",IF(V152&gt;='Configuración'!$B$19,"A",IF(V152&gt;='Configuración'!$B$20,"B",IF(V152&gt;='Configuración'!$B$21,"C","Descarte"))))</f>
        <v>B</v>
      </c>
    </row>
    <row r="153" ht="15.75" customHeight="1">
      <c r="A153" s="34">
        <f t="shared" si="1"/>
        <v>151</v>
      </c>
      <c r="B153" s="29" t="s">
        <v>1028</v>
      </c>
      <c r="C153" s="29" t="s">
        <v>304</v>
      </c>
      <c r="D153" s="29" t="s">
        <v>1091</v>
      </c>
      <c r="E153" s="29" t="s">
        <v>1092</v>
      </c>
      <c r="F153" s="30" t="s">
        <v>1093</v>
      </c>
      <c r="G153" s="30" t="s">
        <v>1094</v>
      </c>
      <c r="H153" s="30" t="s">
        <v>1095</v>
      </c>
      <c r="I153" s="29" t="s">
        <v>127</v>
      </c>
      <c r="J153" s="31">
        <v>25.0</v>
      </c>
      <c r="K153" s="36" t="s">
        <v>119</v>
      </c>
      <c r="L153" s="36" t="s">
        <v>173</v>
      </c>
      <c r="M153" s="36" t="s">
        <v>119</v>
      </c>
      <c r="N153" s="36" t="s">
        <v>119</v>
      </c>
      <c r="O153" s="36" t="s">
        <v>119</v>
      </c>
      <c r="P153" s="35"/>
      <c r="Q153" s="36" t="s">
        <v>119</v>
      </c>
      <c r="R153" s="35"/>
      <c r="S153" s="37">
        <f>IF(B153="","",IF(ISNUMBER(J153),IF(J153&lt;=10,'Configuración'!$B$23,IF(J153&lt;=50,'Configuración'!$B$24,IF(J153&lt;=200,'Configuración'!$B$25,0))),0))</f>
        <v>4</v>
      </c>
      <c r="T153" s="37">
        <f>IF(B153="","",IF(ISNUMBER(SEARCH("information technology",I153))+ISNUMBER(SEARCH("software",I153))+ISNUMBER(SEARCH("internet",I153))+ISNUMBER(SEARCH("computer",I153))+ISNUMBER(SEARCH("saas",I153))+ISNUMBER(SEARCH("fintech",I153))+ISNUMBER(SEARCH("information services",I153))+ISNUMBER(SEARCH("telecommunications",I153))&gt;0,'Configuración'!$B$27,'Configuración'!$B$28))</f>
        <v>12</v>
      </c>
      <c r="U153" s="25">
        <f>IF(B153="","",IF(ISNUMBER(SEARCH("CEO",C153))+ISNUMBER(SEARCH("Founder",C153))+ISNUMBER(SEARCH("Owner",C153))+ISNUMBER(SEARCH("Dueño",C153))+ISNUMBER(SEARCH("Director General",C153))+ISNUMBER(SEARCH("Presidente",C153))+ISNUMBER(SEARCH("President",C153))&gt;0,'Configuración'!$B$31,IF(ISNUMBER(SEARCH("CMO",C153))+ISNUMBER(SEARCH("Chief Marketing",C153))+ISNUMBER(SEARCH("VP Marketing",C153))+ISNUMBER(SEARCH("Director de Marketing",C153))+ISNUMBER(SEARCH("Director Marketing",C153))+ISNUMBER(SEARCH("Head of Marketing",C153))+ISNUMBER(SEARCH("Head Marketing",C153))&gt;0,'Configuración'!$B$32,IF(ISNUMBER(SEARCH("Marketing Manager",C153))+ISNUMBER(SEARCH("Gerente de Marketing",C153))+ISNUMBER(SEARCH("Growth Manager",C153))+ISNUMBER(SEARCH("Demand Gen",C153))+ISNUMBER(SEARCH("Marketing Lead",C153))&gt;0,'Configuración'!$B$33,IF(ISNUMBER(SEARCH("COO",C153))+ISNUMBER(SEARCH("CFO",C153))+ISNUMBER(SEARCH("CTO",C153))+ISNUMBER(SEARCH("Chief Operating",C153))+ISNUMBER(SEARCH("Chief Financial",C153))+ISNUMBER(SEARCH("Gerente General",C153))+ISNUMBER(SEARCH("General Manager",C153))&gt;0,'Configuración'!$B$34,'Configuración'!$B$35)))))</f>
        <v>4</v>
      </c>
      <c r="V153" s="38">
        <f>IF(B153="","",IF(K153="Sí",'Configuración'!$B$5,0)+IF(L153="Semanal",'Configuración'!$B$6,IF(L153="Mensual",'Configuración'!$B$7,0))+IF(M153="Sí",'Configuración'!$B$8,0)+IF(N153="Sí",'Configuración'!$B$9,0)+IF(O153="Sí",'Configuración'!$B$10,0)+IF(P153="Sí",'Configuración'!$B$11,0)+IF(Q153="Sí",'Configuración'!$B$12,0)+S153+T153+U153)</f>
        <v>24</v>
      </c>
      <c r="W153" s="39" t="str">
        <f>IF(B153="","",IF(V153&gt;='Configuración'!$B$19,"A",IF(V153&gt;='Configuración'!$B$20,"B",IF(V153&gt;='Configuración'!$B$21,"C","Descarte"))))</f>
        <v>C</v>
      </c>
    </row>
    <row r="154" ht="15.75" customHeight="1">
      <c r="A154" s="34">
        <f t="shared" si="1"/>
        <v>152</v>
      </c>
      <c r="B154" s="29" t="s">
        <v>1096</v>
      </c>
      <c r="C154" s="29" t="s">
        <v>1097</v>
      </c>
      <c r="D154" s="29" t="s">
        <v>1098</v>
      </c>
      <c r="E154" s="29" t="s">
        <v>1099</v>
      </c>
      <c r="F154" s="30" t="s">
        <v>1100</v>
      </c>
      <c r="G154" s="30" t="s">
        <v>1101</v>
      </c>
      <c r="H154" s="30" t="s">
        <v>1102</v>
      </c>
      <c r="I154" s="29" t="s">
        <v>188</v>
      </c>
      <c r="J154" s="31">
        <v>1.0</v>
      </c>
      <c r="K154" s="36" t="s">
        <v>119</v>
      </c>
      <c r="L154" s="36" t="s">
        <v>128</v>
      </c>
      <c r="M154" s="36" t="s">
        <v>117</v>
      </c>
      <c r="N154" s="36" t="s">
        <v>119</v>
      </c>
      <c r="O154" s="36" t="s">
        <v>119</v>
      </c>
      <c r="P154" s="35"/>
      <c r="Q154" s="36" t="s">
        <v>119</v>
      </c>
      <c r="R154" s="35"/>
      <c r="S154" s="37">
        <f>IF(B154="","",IF(ISNUMBER(J154),IF(J154&lt;=10,'Configuración'!$B$23,IF(J154&lt;=50,'Configuración'!$B$24,IF(J154&lt;=200,'Configuración'!$B$25,0))),0))</f>
        <v>12</v>
      </c>
      <c r="T154" s="37">
        <f>IF(B154="","",IF(ISNUMBER(SEARCH("information technology",I154))+ISNUMBER(SEARCH("software",I154))+ISNUMBER(SEARCH("internet",I154))+ISNUMBER(SEARCH("computer",I154))+ISNUMBER(SEARCH("saas",I154))+ISNUMBER(SEARCH("fintech",I154))+ISNUMBER(SEARCH("information services",I154))+ISNUMBER(SEARCH("telecommunications",I154))&gt;0,'Configuración'!$B$27,'Configuración'!$B$28))</f>
        <v>4</v>
      </c>
      <c r="U154" s="25">
        <f>IF(B154="","",IF(ISNUMBER(SEARCH("CEO",C154))+ISNUMBER(SEARCH("Founder",C154))+ISNUMBER(SEARCH("Owner",C154))+ISNUMBER(SEARCH("Dueño",C154))+ISNUMBER(SEARCH("Director General",C154))+ISNUMBER(SEARCH("Presidente",C154))+ISNUMBER(SEARCH("President",C154))&gt;0,'Configuración'!$B$31,IF(ISNUMBER(SEARCH("CMO",C154))+ISNUMBER(SEARCH("Chief Marketing",C154))+ISNUMBER(SEARCH("VP Marketing",C154))+ISNUMBER(SEARCH("Director de Marketing",C154))+ISNUMBER(SEARCH("Director Marketing",C154))+ISNUMBER(SEARCH("Head of Marketing",C154))+ISNUMBER(SEARCH("Head Marketing",C154))&gt;0,'Configuración'!$B$32,IF(ISNUMBER(SEARCH("Marketing Manager",C154))+ISNUMBER(SEARCH("Gerente de Marketing",C154))+ISNUMBER(SEARCH("Growth Manager",C154))+ISNUMBER(SEARCH("Demand Gen",C154))+ISNUMBER(SEARCH("Marketing Lead",C154))&gt;0,'Configuración'!$B$33,IF(ISNUMBER(SEARCH("COO",C154))+ISNUMBER(SEARCH("CFO",C154))+ISNUMBER(SEARCH("CTO",C154))+ISNUMBER(SEARCH("Chief Operating",C154))+ISNUMBER(SEARCH("Chief Financial",C154))+ISNUMBER(SEARCH("Gerente General",C154))+ISNUMBER(SEARCH("General Manager",C154))&gt;0,'Configuración'!$B$34,'Configuración'!$B$35)))))</f>
        <v>12</v>
      </c>
      <c r="V154" s="38">
        <f>IF(B154="","",IF(K154="Sí",'Configuración'!$B$5,0)+IF(L154="Semanal",'Configuración'!$B$6,IF(L154="Mensual",'Configuración'!$B$7,0))+IF(M154="Sí",'Configuración'!$B$8,0)+IF(N154="Sí",'Configuración'!$B$9,0)+IF(O154="Sí",'Configuración'!$B$10,0)+IF(P154="Sí",'Configuración'!$B$11,0)+IF(Q154="Sí",'Configuración'!$B$12,0)+S154+T154+U154)</f>
        <v>40</v>
      </c>
      <c r="W154" s="39" t="str">
        <f>IF(B154="","",IF(V154&gt;='Configuración'!$B$19,"A",IF(V154&gt;='Configuración'!$B$20,"B",IF(V154&gt;='Configuración'!$B$21,"C","Descarte"))))</f>
        <v>B</v>
      </c>
    </row>
    <row r="155" ht="15.75" customHeight="1">
      <c r="A155" s="34">
        <f t="shared" si="1"/>
        <v>153</v>
      </c>
      <c r="B155" s="29" t="s">
        <v>1103</v>
      </c>
      <c r="C155" s="29" t="s">
        <v>1104</v>
      </c>
      <c r="D155" s="29" t="s">
        <v>1105</v>
      </c>
      <c r="E155" s="29"/>
      <c r="F155" s="30" t="s">
        <v>1106</v>
      </c>
      <c r="G155" s="30" t="s">
        <v>1107</v>
      </c>
      <c r="H155" s="30" t="s">
        <v>1108</v>
      </c>
      <c r="I155" s="29" t="s">
        <v>659</v>
      </c>
      <c r="J155" s="31">
        <v>4.0</v>
      </c>
      <c r="K155" s="36" t="s">
        <v>119</v>
      </c>
      <c r="L155" s="36" t="s">
        <v>118</v>
      </c>
      <c r="M155" s="36" t="s">
        <v>117</v>
      </c>
      <c r="N155" s="36" t="s">
        <v>119</v>
      </c>
      <c r="O155" s="36" t="s">
        <v>119</v>
      </c>
      <c r="P155" s="35"/>
      <c r="Q155" s="36" t="s">
        <v>119</v>
      </c>
      <c r="R155" s="35"/>
      <c r="S155" s="37">
        <f>IF(B155="","",IF(ISNUMBER(J155),IF(J155&lt;=10,'Configuración'!$B$23,IF(J155&lt;=50,'Configuración'!$B$24,IF(J155&lt;=200,'Configuración'!$B$25,0))),0))</f>
        <v>12</v>
      </c>
      <c r="T155" s="37">
        <f>IF(B155="","",IF(ISNUMBER(SEARCH("information technology",I155))+ISNUMBER(SEARCH("software",I155))+ISNUMBER(SEARCH("internet",I155))+ISNUMBER(SEARCH("computer",I155))+ISNUMBER(SEARCH("saas",I155))+ISNUMBER(SEARCH("fintech",I155))+ISNUMBER(SEARCH("information services",I155))+ISNUMBER(SEARCH("telecommunications",I155))&gt;0,'Configuración'!$B$27,'Configuración'!$B$28))</f>
        <v>4</v>
      </c>
      <c r="U155" s="25">
        <f>IF(B155="","",IF(ISNUMBER(SEARCH("CEO",C155))+ISNUMBER(SEARCH("Founder",C155))+ISNUMBER(SEARCH("Owner",C155))+ISNUMBER(SEARCH("Dueño",C155))+ISNUMBER(SEARCH("Director General",C155))+ISNUMBER(SEARCH("Presidente",C155))+ISNUMBER(SEARCH("President",C155))&gt;0,'Configuración'!$B$31,IF(ISNUMBER(SEARCH("CMO",C155))+ISNUMBER(SEARCH("Chief Marketing",C155))+ISNUMBER(SEARCH("VP Marketing",C155))+ISNUMBER(SEARCH("Director de Marketing",C155))+ISNUMBER(SEARCH("Director Marketing",C155))+ISNUMBER(SEARCH("Head of Marketing",C155))+ISNUMBER(SEARCH("Head Marketing",C155))&gt;0,'Configuración'!$B$32,IF(ISNUMBER(SEARCH("Marketing Manager",C155))+ISNUMBER(SEARCH("Gerente de Marketing",C155))+ISNUMBER(SEARCH("Growth Manager",C155))+ISNUMBER(SEARCH("Demand Gen",C155))+ISNUMBER(SEARCH("Marketing Lead",C155))&gt;0,'Configuración'!$B$33,IF(ISNUMBER(SEARCH("COO",C155))+ISNUMBER(SEARCH("CFO",C155))+ISNUMBER(SEARCH("CTO",C155))+ISNUMBER(SEARCH("Chief Operating",C155))+ISNUMBER(SEARCH("Chief Financial",C155))+ISNUMBER(SEARCH("Gerente General",C155))+ISNUMBER(SEARCH("General Manager",C155))&gt;0,'Configuración'!$B$34,'Configuración'!$B$35)))))</f>
        <v>12</v>
      </c>
      <c r="V155" s="38">
        <f>IF(B155="","",IF(K155="Sí",'Configuración'!$B$5,0)+IF(L155="Semanal",'Configuración'!$B$6,IF(L155="Mensual",'Configuración'!$B$7,0))+IF(M155="Sí",'Configuración'!$B$8,0)+IF(N155="Sí",'Configuración'!$B$9,0)+IF(O155="Sí",'Configuración'!$B$10,0)+IF(P155="Sí",'Configuración'!$B$11,0)+IF(Q155="Sí",'Configuración'!$B$12,0)+S155+T155+U155)</f>
        <v>52</v>
      </c>
      <c r="W155" s="39" t="str">
        <f>IF(B155="","",IF(V155&gt;='Configuración'!$B$19,"A",IF(V155&gt;='Configuración'!$B$20,"B",IF(V155&gt;='Configuración'!$B$21,"C","Descarte"))))</f>
        <v>B</v>
      </c>
    </row>
    <row r="156" ht="15.75" customHeight="1">
      <c r="A156" s="34">
        <f t="shared" si="1"/>
        <v>154</v>
      </c>
      <c r="B156" s="29" t="s">
        <v>1109</v>
      </c>
      <c r="C156" s="29" t="s">
        <v>494</v>
      </c>
      <c r="D156" s="29" t="s">
        <v>1110</v>
      </c>
      <c r="E156" s="29" t="s">
        <v>1111</v>
      </c>
      <c r="F156" s="30" t="s">
        <v>1112</v>
      </c>
      <c r="G156" s="30" t="s">
        <v>1113</v>
      </c>
      <c r="H156" s="30" t="s">
        <v>1114</v>
      </c>
      <c r="I156" s="29" t="s">
        <v>116</v>
      </c>
      <c r="J156" s="31">
        <v>20.0</v>
      </c>
      <c r="K156" s="36" t="s">
        <v>117</v>
      </c>
      <c r="L156" s="36" t="s">
        <v>118</v>
      </c>
      <c r="M156" s="36" t="s">
        <v>117</v>
      </c>
      <c r="N156" s="36" t="s">
        <v>119</v>
      </c>
      <c r="O156" s="36" t="s">
        <v>119</v>
      </c>
      <c r="P156" s="35"/>
      <c r="Q156" s="36" t="s">
        <v>119</v>
      </c>
      <c r="R156" s="35"/>
      <c r="S156" s="37">
        <f>IF(B156="","",IF(ISNUMBER(J156),IF(J156&lt;=10,'Configuración'!$B$23,IF(J156&lt;=50,'Configuración'!$B$24,IF(J156&lt;=200,'Configuración'!$B$25,0))),0))</f>
        <v>4</v>
      </c>
      <c r="T156" s="37">
        <f>IF(B156="","",IF(ISNUMBER(SEARCH("information technology",I156))+ISNUMBER(SEARCH("software",I156))+ISNUMBER(SEARCH("internet",I156))+ISNUMBER(SEARCH("computer",I156))+ISNUMBER(SEARCH("saas",I156))+ISNUMBER(SEARCH("fintech",I156))+ISNUMBER(SEARCH("information services",I156))+ISNUMBER(SEARCH("telecommunications",I156))&gt;0,'Configuración'!$B$27,'Configuración'!$B$28))</f>
        <v>4</v>
      </c>
      <c r="U156" s="25">
        <f>IF(B156="","",IF(ISNUMBER(SEARCH("CEO",C156))+ISNUMBER(SEARCH("Founder",C156))+ISNUMBER(SEARCH("Owner",C156))+ISNUMBER(SEARCH("Dueño",C156))+ISNUMBER(SEARCH("Director General",C156))+ISNUMBER(SEARCH("Presidente",C156))+ISNUMBER(SEARCH("President",C156))&gt;0,'Configuración'!$B$31,IF(ISNUMBER(SEARCH("CMO",C156))+ISNUMBER(SEARCH("Chief Marketing",C156))+ISNUMBER(SEARCH("VP Marketing",C156))+ISNUMBER(SEARCH("Director de Marketing",C156))+ISNUMBER(SEARCH("Director Marketing",C156))+ISNUMBER(SEARCH("Head of Marketing",C156))+ISNUMBER(SEARCH("Head Marketing",C156))&gt;0,'Configuración'!$B$32,IF(ISNUMBER(SEARCH("Marketing Manager",C156))+ISNUMBER(SEARCH("Gerente de Marketing",C156))+ISNUMBER(SEARCH("Growth Manager",C156))+ISNUMBER(SEARCH("Demand Gen",C156))+ISNUMBER(SEARCH("Marketing Lead",C156))&gt;0,'Configuración'!$B$33,IF(ISNUMBER(SEARCH("COO",C156))+ISNUMBER(SEARCH("CFO",C156))+ISNUMBER(SEARCH("CTO",C156))+ISNUMBER(SEARCH("Chief Operating",C156))+ISNUMBER(SEARCH("Chief Financial",C156))+ISNUMBER(SEARCH("Gerente General",C156))+ISNUMBER(SEARCH("General Manager",C156))&gt;0,'Configuración'!$B$34,'Configuración'!$B$35)))))</f>
        <v>4</v>
      </c>
      <c r="V156" s="38">
        <f>IF(B156="","",IF(K156="Sí",'Configuración'!$B$5,0)+IF(L156="Semanal",'Configuración'!$B$6,IF(L156="Mensual",'Configuración'!$B$7,0))+IF(M156="Sí",'Configuración'!$B$8,0)+IF(N156="Sí",'Configuración'!$B$9,0)+IF(O156="Sí",'Configuración'!$B$10,0)+IF(P156="Sí",'Configuración'!$B$11,0)+IF(Q156="Sí",'Configuración'!$B$12,0)+S156+T156+U156)</f>
        <v>48</v>
      </c>
      <c r="W156" s="39" t="str">
        <f>IF(B156="","",IF(V156&gt;='Configuración'!$B$19,"A",IF(V156&gt;='Configuración'!$B$20,"B",IF(V156&gt;='Configuración'!$B$21,"C","Descarte"))))</f>
        <v>B</v>
      </c>
    </row>
    <row r="157" ht="15.75" customHeight="1">
      <c r="A157" s="34">
        <f t="shared" si="1"/>
        <v>155</v>
      </c>
      <c r="B157" s="29" t="s">
        <v>1048</v>
      </c>
      <c r="C157" s="29" t="s">
        <v>131</v>
      </c>
      <c r="D157" s="40" t="s">
        <v>1115</v>
      </c>
      <c r="E157" s="29" t="s">
        <v>1116</v>
      </c>
      <c r="F157" s="30" t="s">
        <v>1117</v>
      </c>
      <c r="G157" s="30" t="s">
        <v>1118</v>
      </c>
      <c r="H157" s="30" t="s">
        <v>1119</v>
      </c>
      <c r="I157" s="29" t="s">
        <v>127</v>
      </c>
      <c r="J157" s="31">
        <v>14.0</v>
      </c>
      <c r="K157" s="36" t="s">
        <v>119</v>
      </c>
      <c r="L157" s="36" t="s">
        <v>118</v>
      </c>
      <c r="M157" s="36" t="s">
        <v>117</v>
      </c>
      <c r="N157" s="36" t="s">
        <v>119</v>
      </c>
      <c r="O157" s="36" t="s">
        <v>119</v>
      </c>
      <c r="P157" s="35"/>
      <c r="Q157" s="36" t="s">
        <v>119</v>
      </c>
      <c r="R157" s="36" t="s">
        <v>230</v>
      </c>
      <c r="S157" s="37">
        <f>IF(B157="","",IF(ISNUMBER(J157),IF(J157&lt;=10,'Configuración'!$B$23,IF(J157&lt;=50,'Configuración'!$B$24,IF(J157&lt;=200,'Configuración'!$B$25,0))),0))</f>
        <v>4</v>
      </c>
      <c r="T157" s="37">
        <f>IF(B157="","",IF(ISNUMBER(SEARCH("information technology",I157))+ISNUMBER(SEARCH("software",I157))+ISNUMBER(SEARCH("internet",I157))+ISNUMBER(SEARCH("computer",I157))+ISNUMBER(SEARCH("saas",I157))+ISNUMBER(SEARCH("fintech",I157))+ISNUMBER(SEARCH("information services",I157))+ISNUMBER(SEARCH("telecommunications",I157))&gt;0,'Configuración'!$B$27,'Configuración'!$B$28))</f>
        <v>12</v>
      </c>
      <c r="U157" s="25">
        <f>IF(B157="","",IF(ISNUMBER(SEARCH("CEO",C157))+ISNUMBER(SEARCH("Founder",C157))+ISNUMBER(SEARCH("Owner",C157))+ISNUMBER(SEARCH("Dueño",C157))+ISNUMBER(SEARCH("Director General",C157))+ISNUMBER(SEARCH("Presidente",C157))+ISNUMBER(SEARCH("President",C157))&gt;0,'Configuración'!$B$31,IF(ISNUMBER(SEARCH("CMO",C157))+ISNUMBER(SEARCH("Chief Marketing",C157))+ISNUMBER(SEARCH("VP Marketing",C157))+ISNUMBER(SEARCH("Director de Marketing",C157))+ISNUMBER(SEARCH("Director Marketing",C157))+ISNUMBER(SEARCH("Head of Marketing",C157))+ISNUMBER(SEARCH("Head Marketing",C157))&gt;0,'Configuración'!$B$32,IF(ISNUMBER(SEARCH("Marketing Manager",C157))+ISNUMBER(SEARCH("Gerente de Marketing",C157))+ISNUMBER(SEARCH("Growth Manager",C157))+ISNUMBER(SEARCH("Demand Gen",C157))+ISNUMBER(SEARCH("Marketing Lead",C157))&gt;0,'Configuración'!$B$33,IF(ISNUMBER(SEARCH("COO",C157))+ISNUMBER(SEARCH("CFO",C157))+ISNUMBER(SEARCH("CTO",C157))+ISNUMBER(SEARCH("Chief Operating",C157))+ISNUMBER(SEARCH("Chief Financial",C157))+ISNUMBER(SEARCH("Gerente General",C157))+ISNUMBER(SEARCH("General Manager",C157))&gt;0,'Configuración'!$B$34,'Configuración'!$B$35)))))</f>
        <v>12</v>
      </c>
      <c r="V157" s="38">
        <f>IF(B157="","",IF(K157="Sí",'Configuración'!$B$5,0)+IF(L157="Semanal",'Configuración'!$B$6,IF(L157="Mensual",'Configuración'!$B$7,0))+IF(M157="Sí",'Configuración'!$B$8,0)+IF(N157="Sí",'Configuración'!$B$9,0)+IF(O157="Sí",'Configuración'!$B$10,0)+IF(P157="Sí",'Configuración'!$B$11,0)+IF(Q157="Sí",'Configuración'!$B$12,0)+S157+T157+U157)</f>
        <v>52</v>
      </c>
      <c r="W157" s="39" t="str">
        <f>IF(B157="","",IF(V157&gt;='Configuración'!$B$19,"A",IF(V157&gt;='Configuración'!$B$20,"B",IF(V157&gt;='Configuración'!$B$21,"C","Descarte"))))</f>
        <v>B</v>
      </c>
    </row>
    <row r="158" ht="15.75" customHeight="1">
      <c r="A158" s="34">
        <f t="shared" si="1"/>
        <v>156</v>
      </c>
      <c r="B158" s="29" t="s">
        <v>529</v>
      </c>
      <c r="C158" s="29" t="s">
        <v>1120</v>
      </c>
      <c r="D158" s="30" t="s">
        <v>1121</v>
      </c>
      <c r="E158" s="29" t="s">
        <v>1122</v>
      </c>
      <c r="F158" s="30" t="s">
        <v>1123</v>
      </c>
      <c r="G158" s="30" t="s">
        <v>1124</v>
      </c>
      <c r="H158" s="30" t="s">
        <v>1125</v>
      </c>
      <c r="I158" s="29" t="s">
        <v>1126</v>
      </c>
      <c r="J158" s="31">
        <v>16.0</v>
      </c>
      <c r="K158" s="36" t="s">
        <v>117</v>
      </c>
      <c r="L158" s="36" t="s">
        <v>118</v>
      </c>
      <c r="M158" s="36" t="s">
        <v>117</v>
      </c>
      <c r="N158" s="36" t="s">
        <v>119</v>
      </c>
      <c r="O158" s="36" t="s">
        <v>119</v>
      </c>
      <c r="P158" s="35"/>
      <c r="Q158" s="36" t="s">
        <v>119</v>
      </c>
      <c r="R158" s="35"/>
      <c r="S158" s="37">
        <f>IF(B158="","",IF(ISNUMBER(J158),IF(J158&lt;=10,'Configuración'!$B$23,IF(J158&lt;=50,'Configuración'!$B$24,IF(J158&lt;=200,'Configuración'!$B$25,0))),0))</f>
        <v>4</v>
      </c>
      <c r="T158" s="37">
        <f>IF(B158="","",IF(ISNUMBER(SEARCH("information technology",I158))+ISNUMBER(SEARCH("software",I158))+ISNUMBER(SEARCH("internet",I158))+ISNUMBER(SEARCH("computer",I158))+ISNUMBER(SEARCH("saas",I158))+ISNUMBER(SEARCH("fintech",I158))+ISNUMBER(SEARCH("information services",I158))+ISNUMBER(SEARCH("telecommunications",I158))&gt;0,'Configuración'!$B$27,'Configuración'!$B$28))</f>
        <v>4</v>
      </c>
      <c r="U158" s="25">
        <f>IF(B158="","",IF(ISNUMBER(SEARCH("CEO",C158))+ISNUMBER(SEARCH("Founder",C158))+ISNUMBER(SEARCH("Owner",C158))+ISNUMBER(SEARCH("Dueño",C158))+ISNUMBER(SEARCH("Director General",C158))+ISNUMBER(SEARCH("Presidente",C158))+ISNUMBER(SEARCH("President",C158))&gt;0,'Configuración'!$B$31,IF(ISNUMBER(SEARCH("CMO",C158))+ISNUMBER(SEARCH("Chief Marketing",C158))+ISNUMBER(SEARCH("VP Marketing",C158))+ISNUMBER(SEARCH("Director de Marketing",C158))+ISNUMBER(SEARCH("Director Marketing",C158))+ISNUMBER(SEARCH("Head of Marketing",C158))+ISNUMBER(SEARCH("Head Marketing",C158))&gt;0,'Configuración'!$B$32,IF(ISNUMBER(SEARCH("Marketing Manager",C158))+ISNUMBER(SEARCH("Gerente de Marketing",C158))+ISNUMBER(SEARCH("Growth Manager",C158))+ISNUMBER(SEARCH("Demand Gen",C158))+ISNUMBER(SEARCH("Marketing Lead",C158))&gt;0,'Configuración'!$B$33,IF(ISNUMBER(SEARCH("COO",C158))+ISNUMBER(SEARCH("CFO",C158))+ISNUMBER(SEARCH("CTO",C158))+ISNUMBER(SEARCH("Chief Operating",C158))+ISNUMBER(SEARCH("Chief Financial",C158))+ISNUMBER(SEARCH("Gerente General",C158))+ISNUMBER(SEARCH("General Manager",C158))&gt;0,'Configuración'!$B$34,'Configuración'!$B$35)))))</f>
        <v>4</v>
      </c>
      <c r="V158" s="38">
        <f>IF(B158="","",IF(K158="Sí",'Configuración'!$B$5,0)+IF(L158="Semanal",'Configuración'!$B$6,IF(L158="Mensual",'Configuración'!$B$7,0))+IF(M158="Sí",'Configuración'!$B$8,0)+IF(N158="Sí",'Configuración'!$B$9,0)+IF(O158="Sí",'Configuración'!$B$10,0)+IF(P158="Sí",'Configuración'!$B$11,0)+IF(Q158="Sí",'Configuración'!$B$12,0)+S158+T158+U158)</f>
        <v>48</v>
      </c>
      <c r="W158" s="39" t="str">
        <f>IF(B158="","",IF(V158&gt;='Configuración'!$B$19,"A",IF(V158&gt;='Configuración'!$B$20,"B",IF(V158&gt;='Configuración'!$B$21,"C","Descarte"))))</f>
        <v>B</v>
      </c>
    </row>
    <row r="159" ht="15.75" customHeight="1">
      <c r="A159" s="34">
        <f t="shared" si="1"/>
        <v>157</v>
      </c>
      <c r="B159" s="29" t="s">
        <v>138</v>
      </c>
      <c r="C159" s="29" t="s">
        <v>175</v>
      </c>
      <c r="D159" s="29" t="s">
        <v>1127</v>
      </c>
      <c r="E159" s="29" t="s">
        <v>1128</v>
      </c>
      <c r="F159" s="30" t="s">
        <v>1129</v>
      </c>
      <c r="G159" s="30" t="s">
        <v>1130</v>
      </c>
      <c r="H159" s="30" t="s">
        <v>1131</v>
      </c>
      <c r="I159" s="29" t="s">
        <v>127</v>
      </c>
      <c r="J159" s="31">
        <v>1.0</v>
      </c>
      <c r="K159" s="36" t="s">
        <v>119</v>
      </c>
      <c r="L159" s="36" t="s">
        <v>128</v>
      </c>
      <c r="M159" s="36" t="s">
        <v>117</v>
      </c>
      <c r="N159" s="36" t="s">
        <v>119</v>
      </c>
      <c r="O159" s="36" t="s">
        <v>119</v>
      </c>
      <c r="P159" s="35"/>
      <c r="Q159" s="36" t="s">
        <v>119</v>
      </c>
      <c r="R159" s="36" t="s">
        <v>230</v>
      </c>
      <c r="S159" s="37">
        <f>IF(B159="","",IF(ISNUMBER(J159),IF(J159&lt;=10,'Configuración'!$B$23,IF(J159&lt;=50,'Configuración'!$B$24,IF(J159&lt;=200,'Configuración'!$B$25,0))),0))</f>
        <v>12</v>
      </c>
      <c r="T159" s="37">
        <f>IF(B159="","",IF(ISNUMBER(SEARCH("information technology",I159))+ISNUMBER(SEARCH("software",I159))+ISNUMBER(SEARCH("internet",I159))+ISNUMBER(SEARCH("computer",I159))+ISNUMBER(SEARCH("saas",I159))+ISNUMBER(SEARCH("fintech",I159))+ISNUMBER(SEARCH("information services",I159))+ISNUMBER(SEARCH("telecommunications",I159))&gt;0,'Configuración'!$B$27,'Configuración'!$B$28))</f>
        <v>12</v>
      </c>
      <c r="U159" s="25">
        <f>IF(B159="","",IF(ISNUMBER(SEARCH("CEO",C159))+ISNUMBER(SEARCH("Founder",C159))+ISNUMBER(SEARCH("Owner",C159))+ISNUMBER(SEARCH("Dueño",C159))+ISNUMBER(SEARCH("Director General",C159))+ISNUMBER(SEARCH("Presidente",C159))+ISNUMBER(SEARCH("President",C159))&gt;0,'Configuración'!$B$31,IF(ISNUMBER(SEARCH("CMO",C159))+ISNUMBER(SEARCH("Chief Marketing",C159))+ISNUMBER(SEARCH("VP Marketing",C159))+ISNUMBER(SEARCH("Director de Marketing",C159))+ISNUMBER(SEARCH("Director Marketing",C159))+ISNUMBER(SEARCH("Head of Marketing",C159))+ISNUMBER(SEARCH("Head Marketing",C159))&gt;0,'Configuración'!$B$32,IF(ISNUMBER(SEARCH("Marketing Manager",C159))+ISNUMBER(SEARCH("Gerente de Marketing",C159))+ISNUMBER(SEARCH("Growth Manager",C159))+ISNUMBER(SEARCH("Demand Gen",C159))+ISNUMBER(SEARCH("Marketing Lead",C159))&gt;0,'Configuración'!$B$33,IF(ISNUMBER(SEARCH("COO",C159))+ISNUMBER(SEARCH("CFO",C159))+ISNUMBER(SEARCH("CTO",C159))+ISNUMBER(SEARCH("Chief Operating",C159))+ISNUMBER(SEARCH("Chief Financial",C159))+ISNUMBER(SEARCH("Gerente General",C159))+ISNUMBER(SEARCH("General Manager",C159))&gt;0,'Configuración'!$B$34,'Configuración'!$B$35)))))</f>
        <v>12</v>
      </c>
      <c r="V159" s="38">
        <f>IF(B159="","",IF(K159="Sí",'Configuración'!$B$5,0)+IF(L159="Semanal",'Configuración'!$B$6,IF(L159="Mensual",'Configuración'!$B$7,0))+IF(M159="Sí",'Configuración'!$B$8,0)+IF(N159="Sí",'Configuración'!$B$9,0)+IF(O159="Sí",'Configuración'!$B$10,0)+IF(P159="Sí",'Configuración'!$B$11,0)+IF(Q159="Sí",'Configuración'!$B$12,0)+S159+T159+U159)</f>
        <v>48</v>
      </c>
      <c r="W159" s="39" t="str">
        <f>IF(B159="","",IF(V159&gt;='Configuración'!$B$19,"A",IF(V159&gt;='Configuración'!$B$20,"B",IF(V159&gt;='Configuración'!$B$21,"C","Descarte"))))</f>
        <v>B</v>
      </c>
    </row>
    <row r="160" ht="15.75" customHeight="1">
      <c r="A160" s="34">
        <f t="shared" si="1"/>
        <v>158</v>
      </c>
      <c r="B160" s="29" t="s">
        <v>501</v>
      </c>
      <c r="C160" s="29" t="s">
        <v>202</v>
      </c>
      <c r="D160" s="29" t="s">
        <v>1132</v>
      </c>
      <c r="E160" s="29" t="s">
        <v>1133</v>
      </c>
      <c r="F160" s="30" t="s">
        <v>1134</v>
      </c>
      <c r="G160" s="30" t="s">
        <v>1135</v>
      </c>
      <c r="H160" s="30" t="s">
        <v>1136</v>
      </c>
      <c r="I160" s="29" t="s">
        <v>127</v>
      </c>
      <c r="J160" s="31">
        <v>50.0</v>
      </c>
      <c r="K160" s="36" t="s">
        <v>119</v>
      </c>
      <c r="L160" s="36" t="s">
        <v>128</v>
      </c>
      <c r="M160" s="36" t="s">
        <v>119</v>
      </c>
      <c r="N160" s="36" t="s">
        <v>119</v>
      </c>
      <c r="O160" s="36" t="s">
        <v>119</v>
      </c>
      <c r="P160" s="35"/>
      <c r="Q160" s="36" t="s">
        <v>119</v>
      </c>
      <c r="R160" s="35"/>
      <c r="S160" s="37">
        <f>IF(B160="","",IF(ISNUMBER(J160),IF(J160&lt;=10,'Configuración'!$B$23,IF(J160&lt;=50,'Configuración'!$B$24,IF(J160&lt;=200,'Configuración'!$B$25,0))),0))</f>
        <v>4</v>
      </c>
      <c r="T160" s="37">
        <f>IF(B160="","",IF(ISNUMBER(SEARCH("information technology",I160))+ISNUMBER(SEARCH("software",I160))+ISNUMBER(SEARCH("internet",I160))+ISNUMBER(SEARCH("computer",I160))+ISNUMBER(SEARCH("saas",I160))+ISNUMBER(SEARCH("fintech",I160))+ISNUMBER(SEARCH("information services",I160))+ISNUMBER(SEARCH("telecommunications",I160))&gt;0,'Configuración'!$B$27,'Configuración'!$B$28))</f>
        <v>12</v>
      </c>
      <c r="U160" s="25">
        <f>IF(B160="","",IF(ISNUMBER(SEARCH("CEO",C160))+ISNUMBER(SEARCH("Founder",C160))+ISNUMBER(SEARCH("Owner",C160))+ISNUMBER(SEARCH("Dueño",C160))+ISNUMBER(SEARCH("Director General",C160))+ISNUMBER(SEARCH("Presidente",C160))+ISNUMBER(SEARCH("President",C160))&gt;0,'Configuración'!$B$31,IF(ISNUMBER(SEARCH("CMO",C160))+ISNUMBER(SEARCH("Chief Marketing",C160))+ISNUMBER(SEARCH("VP Marketing",C160))+ISNUMBER(SEARCH("Director de Marketing",C160))+ISNUMBER(SEARCH("Director Marketing",C160))+ISNUMBER(SEARCH("Head of Marketing",C160))+ISNUMBER(SEARCH("Head Marketing",C160))&gt;0,'Configuración'!$B$32,IF(ISNUMBER(SEARCH("Marketing Manager",C160))+ISNUMBER(SEARCH("Gerente de Marketing",C160))+ISNUMBER(SEARCH("Growth Manager",C160))+ISNUMBER(SEARCH("Demand Gen",C160))+ISNUMBER(SEARCH("Marketing Lead",C160))&gt;0,'Configuración'!$B$33,IF(ISNUMBER(SEARCH("COO",C160))+ISNUMBER(SEARCH("CFO",C160))+ISNUMBER(SEARCH("CTO",C160))+ISNUMBER(SEARCH("Chief Operating",C160))+ISNUMBER(SEARCH("Chief Financial",C160))+ISNUMBER(SEARCH("Gerente General",C160))+ISNUMBER(SEARCH("General Manager",C160))&gt;0,'Configuración'!$B$34,'Configuración'!$B$35)))))</f>
        <v>12</v>
      </c>
      <c r="V160" s="38">
        <f>IF(B160="","",IF(K160="Sí",'Configuración'!$B$5,0)+IF(L160="Semanal",'Configuración'!$B$6,IF(L160="Mensual",'Configuración'!$B$7,0))+IF(M160="Sí",'Configuración'!$B$8,0)+IF(N160="Sí",'Configuración'!$B$9,0)+IF(O160="Sí",'Configuración'!$B$10,0)+IF(P160="Sí",'Configuración'!$B$11,0)+IF(Q160="Sí",'Configuración'!$B$12,0)+S160+T160+U160)</f>
        <v>28</v>
      </c>
      <c r="W160" s="39" t="str">
        <f>IF(B160="","",IF(V160&gt;='Configuración'!$B$19,"A",IF(V160&gt;='Configuración'!$B$20,"B",IF(V160&gt;='Configuración'!$B$21,"C","Descarte"))))</f>
        <v>C</v>
      </c>
    </row>
    <row r="161" ht="15.75" customHeight="1">
      <c r="A161" s="34">
        <f t="shared" si="1"/>
        <v>159</v>
      </c>
      <c r="B161" s="29" t="s">
        <v>1137</v>
      </c>
      <c r="C161" s="29" t="s">
        <v>175</v>
      </c>
      <c r="D161" s="29" t="s">
        <v>1138</v>
      </c>
      <c r="E161" s="29" t="s">
        <v>1139</v>
      </c>
      <c r="F161" s="30" t="s">
        <v>1140</v>
      </c>
      <c r="G161" s="30" t="s">
        <v>1141</v>
      </c>
      <c r="H161" s="30" t="s">
        <v>1142</v>
      </c>
      <c r="I161" s="29" t="s">
        <v>337</v>
      </c>
      <c r="J161" s="31">
        <v>5.0</v>
      </c>
      <c r="K161" s="36" t="s">
        <v>119</v>
      </c>
      <c r="L161" s="36" t="s">
        <v>128</v>
      </c>
      <c r="M161" s="36" t="s">
        <v>117</v>
      </c>
      <c r="N161" s="36" t="s">
        <v>119</v>
      </c>
      <c r="O161" s="36" t="s">
        <v>119</v>
      </c>
      <c r="P161" s="35"/>
      <c r="Q161" s="36" t="s">
        <v>119</v>
      </c>
      <c r="R161" s="35"/>
      <c r="S161" s="37">
        <f>IF(B161="","",IF(ISNUMBER(J161),IF(J161&lt;=10,'Configuración'!$B$23,IF(J161&lt;=50,'Configuración'!$B$24,IF(J161&lt;=200,'Configuración'!$B$25,0))),0))</f>
        <v>12</v>
      </c>
      <c r="T161" s="37">
        <f>IF(B161="","",IF(ISNUMBER(SEARCH("information technology",I161))+ISNUMBER(SEARCH("software",I161))+ISNUMBER(SEARCH("internet",I161))+ISNUMBER(SEARCH("computer",I161))+ISNUMBER(SEARCH("saas",I161))+ISNUMBER(SEARCH("fintech",I161))+ISNUMBER(SEARCH("information services",I161))+ISNUMBER(SEARCH("telecommunications",I161))&gt;0,'Configuración'!$B$27,'Configuración'!$B$28))</f>
        <v>4</v>
      </c>
      <c r="U161" s="25">
        <f>IF(B161="","",IF(ISNUMBER(SEARCH("CEO",C161))+ISNUMBER(SEARCH("Founder",C161))+ISNUMBER(SEARCH("Owner",C161))+ISNUMBER(SEARCH("Dueño",C161))+ISNUMBER(SEARCH("Director General",C161))+ISNUMBER(SEARCH("Presidente",C161))+ISNUMBER(SEARCH("President",C161))&gt;0,'Configuración'!$B$31,IF(ISNUMBER(SEARCH("CMO",C161))+ISNUMBER(SEARCH("Chief Marketing",C161))+ISNUMBER(SEARCH("VP Marketing",C161))+ISNUMBER(SEARCH("Director de Marketing",C161))+ISNUMBER(SEARCH("Director Marketing",C161))+ISNUMBER(SEARCH("Head of Marketing",C161))+ISNUMBER(SEARCH("Head Marketing",C161))&gt;0,'Configuración'!$B$32,IF(ISNUMBER(SEARCH("Marketing Manager",C161))+ISNUMBER(SEARCH("Gerente de Marketing",C161))+ISNUMBER(SEARCH("Growth Manager",C161))+ISNUMBER(SEARCH("Demand Gen",C161))+ISNUMBER(SEARCH("Marketing Lead",C161))&gt;0,'Configuración'!$B$33,IF(ISNUMBER(SEARCH("COO",C161))+ISNUMBER(SEARCH("CFO",C161))+ISNUMBER(SEARCH("CTO",C161))+ISNUMBER(SEARCH("Chief Operating",C161))+ISNUMBER(SEARCH("Chief Financial",C161))+ISNUMBER(SEARCH("Gerente General",C161))+ISNUMBER(SEARCH("General Manager",C161))&gt;0,'Configuración'!$B$34,'Configuración'!$B$35)))))</f>
        <v>12</v>
      </c>
      <c r="V161" s="38">
        <f>IF(B161="","",IF(K161="Sí",'Configuración'!$B$5,0)+IF(L161="Semanal",'Configuración'!$B$6,IF(L161="Mensual",'Configuración'!$B$7,0))+IF(M161="Sí",'Configuración'!$B$8,0)+IF(N161="Sí",'Configuración'!$B$9,0)+IF(O161="Sí",'Configuración'!$B$10,0)+IF(P161="Sí",'Configuración'!$B$11,0)+IF(Q161="Sí",'Configuración'!$B$12,0)+S161+T161+U161)</f>
        <v>40</v>
      </c>
      <c r="W161" s="39" t="str">
        <f>IF(B161="","",IF(V161&gt;='Configuración'!$B$19,"A",IF(V161&gt;='Configuración'!$B$20,"B",IF(V161&gt;='Configuración'!$B$21,"C","Descarte"))))</f>
        <v>B</v>
      </c>
    </row>
    <row r="162" ht="15.75" customHeight="1">
      <c r="A162" s="34">
        <f t="shared" si="1"/>
        <v>160</v>
      </c>
      <c r="B162" s="29" t="s">
        <v>897</v>
      </c>
      <c r="C162" s="29" t="s">
        <v>131</v>
      </c>
      <c r="D162" s="29" t="s">
        <v>1143</v>
      </c>
      <c r="E162" s="29" t="s">
        <v>1144</v>
      </c>
      <c r="F162" s="30" t="s">
        <v>1145</v>
      </c>
      <c r="G162" s="30" t="s">
        <v>1146</v>
      </c>
      <c r="H162" s="30" t="s">
        <v>1147</v>
      </c>
      <c r="I162" s="29" t="s">
        <v>127</v>
      </c>
      <c r="J162" s="31">
        <v>22.0</v>
      </c>
      <c r="K162" s="36" t="s">
        <v>119</v>
      </c>
      <c r="L162" s="36" t="s">
        <v>173</v>
      </c>
      <c r="M162" s="36" t="s">
        <v>117</v>
      </c>
      <c r="N162" s="36" t="s">
        <v>119</v>
      </c>
      <c r="O162" s="36" t="s">
        <v>119</v>
      </c>
      <c r="P162" s="35"/>
      <c r="Q162" s="36" t="s">
        <v>119</v>
      </c>
      <c r="R162" s="36" t="s">
        <v>230</v>
      </c>
      <c r="S162" s="37">
        <f>IF(B162="","",IF(ISNUMBER(J162),IF(J162&lt;=10,'Configuración'!$B$23,IF(J162&lt;=50,'Configuración'!$B$24,IF(J162&lt;=200,'Configuración'!$B$25,0))),0))</f>
        <v>4</v>
      </c>
      <c r="T162" s="37">
        <f>IF(B162="","",IF(ISNUMBER(SEARCH("information technology",I162))+ISNUMBER(SEARCH("software",I162))+ISNUMBER(SEARCH("internet",I162))+ISNUMBER(SEARCH("computer",I162))+ISNUMBER(SEARCH("saas",I162))+ISNUMBER(SEARCH("fintech",I162))+ISNUMBER(SEARCH("information services",I162))+ISNUMBER(SEARCH("telecommunications",I162))&gt;0,'Configuración'!$B$27,'Configuración'!$B$28))</f>
        <v>12</v>
      </c>
      <c r="U162" s="25">
        <f>IF(B162="","",IF(ISNUMBER(SEARCH("CEO",C162))+ISNUMBER(SEARCH("Founder",C162))+ISNUMBER(SEARCH("Owner",C162))+ISNUMBER(SEARCH("Dueño",C162))+ISNUMBER(SEARCH("Director General",C162))+ISNUMBER(SEARCH("Presidente",C162))+ISNUMBER(SEARCH("President",C162))&gt;0,'Configuración'!$B$31,IF(ISNUMBER(SEARCH("CMO",C162))+ISNUMBER(SEARCH("Chief Marketing",C162))+ISNUMBER(SEARCH("VP Marketing",C162))+ISNUMBER(SEARCH("Director de Marketing",C162))+ISNUMBER(SEARCH("Director Marketing",C162))+ISNUMBER(SEARCH("Head of Marketing",C162))+ISNUMBER(SEARCH("Head Marketing",C162))&gt;0,'Configuración'!$B$32,IF(ISNUMBER(SEARCH("Marketing Manager",C162))+ISNUMBER(SEARCH("Gerente de Marketing",C162))+ISNUMBER(SEARCH("Growth Manager",C162))+ISNUMBER(SEARCH("Demand Gen",C162))+ISNUMBER(SEARCH("Marketing Lead",C162))&gt;0,'Configuración'!$B$33,IF(ISNUMBER(SEARCH("COO",C162))+ISNUMBER(SEARCH("CFO",C162))+ISNUMBER(SEARCH("CTO",C162))+ISNUMBER(SEARCH("Chief Operating",C162))+ISNUMBER(SEARCH("Chief Financial",C162))+ISNUMBER(SEARCH("Gerente General",C162))+ISNUMBER(SEARCH("General Manager",C162))&gt;0,'Configuración'!$B$34,'Configuración'!$B$35)))))</f>
        <v>12</v>
      </c>
      <c r="V162" s="38">
        <f>IF(B162="","",IF(K162="Sí",'Configuración'!$B$5,0)+IF(L162="Semanal",'Configuración'!$B$6,IF(L162="Mensual",'Configuración'!$B$7,0))+IF(M162="Sí",'Configuración'!$B$8,0)+IF(N162="Sí",'Configuración'!$B$9,0)+IF(O162="Sí",'Configuración'!$B$10,0)+IF(P162="Sí",'Configuración'!$B$11,0)+IF(Q162="Sí",'Configuración'!$B$12,0)+S162+T162+U162)</f>
        <v>44</v>
      </c>
      <c r="W162" s="39" t="str">
        <f>IF(B162="","",IF(V162&gt;='Configuración'!$B$19,"A",IF(V162&gt;='Configuración'!$B$20,"B",IF(V162&gt;='Configuración'!$B$21,"C","Descarte"))))</f>
        <v>B</v>
      </c>
    </row>
    <row r="163" ht="15.75" customHeight="1">
      <c r="A163" s="34">
        <f t="shared" si="1"/>
        <v>161</v>
      </c>
      <c r="B163" s="29" t="s">
        <v>1137</v>
      </c>
      <c r="C163" s="29" t="s">
        <v>1148</v>
      </c>
      <c r="D163" s="29" t="s">
        <v>1149</v>
      </c>
      <c r="E163" s="29" t="s">
        <v>1150</v>
      </c>
      <c r="F163" s="30" t="s">
        <v>1151</v>
      </c>
      <c r="G163" s="30" t="s">
        <v>1152</v>
      </c>
      <c r="H163" s="30" t="s">
        <v>1153</v>
      </c>
      <c r="I163" s="29" t="s">
        <v>188</v>
      </c>
      <c r="J163" s="31">
        <v>7.0</v>
      </c>
      <c r="K163" s="36" t="s">
        <v>119</v>
      </c>
      <c r="L163" s="36" t="s">
        <v>128</v>
      </c>
      <c r="M163" s="36" t="s">
        <v>119</v>
      </c>
      <c r="N163" s="36" t="s">
        <v>119</v>
      </c>
      <c r="O163" s="36" t="s">
        <v>119</v>
      </c>
      <c r="P163" s="35"/>
      <c r="Q163" s="36" t="s">
        <v>119</v>
      </c>
      <c r="R163" s="35"/>
      <c r="S163" s="37">
        <f>IF(B163="","",IF(ISNUMBER(J163),IF(J163&lt;=10,'Configuración'!$B$23,IF(J163&lt;=50,'Configuración'!$B$24,IF(J163&lt;=200,'Configuración'!$B$25,0))),0))</f>
        <v>12</v>
      </c>
      <c r="T163" s="37">
        <f>IF(B163="","",IF(ISNUMBER(SEARCH("information technology",I163))+ISNUMBER(SEARCH("software",I163))+ISNUMBER(SEARCH("internet",I163))+ISNUMBER(SEARCH("computer",I163))+ISNUMBER(SEARCH("saas",I163))+ISNUMBER(SEARCH("fintech",I163))+ISNUMBER(SEARCH("information services",I163))+ISNUMBER(SEARCH("telecommunications",I163))&gt;0,'Configuración'!$B$27,'Configuración'!$B$28))</f>
        <v>4</v>
      </c>
      <c r="U163" s="25">
        <f>IF(B163="","",IF(ISNUMBER(SEARCH("CEO",C163))+ISNUMBER(SEARCH("Founder",C163))+ISNUMBER(SEARCH("Owner",C163))+ISNUMBER(SEARCH("Dueño",C163))+ISNUMBER(SEARCH("Director General",C163))+ISNUMBER(SEARCH("Presidente",C163))+ISNUMBER(SEARCH("President",C163))&gt;0,'Configuración'!$B$31,IF(ISNUMBER(SEARCH("CMO",C163))+ISNUMBER(SEARCH("Chief Marketing",C163))+ISNUMBER(SEARCH("VP Marketing",C163))+ISNUMBER(SEARCH("Director de Marketing",C163))+ISNUMBER(SEARCH("Director Marketing",C163))+ISNUMBER(SEARCH("Head of Marketing",C163))+ISNUMBER(SEARCH("Head Marketing",C163))&gt;0,'Configuración'!$B$32,IF(ISNUMBER(SEARCH("Marketing Manager",C163))+ISNUMBER(SEARCH("Gerente de Marketing",C163))+ISNUMBER(SEARCH("Growth Manager",C163))+ISNUMBER(SEARCH("Demand Gen",C163))+ISNUMBER(SEARCH("Marketing Lead",C163))&gt;0,'Configuración'!$B$33,IF(ISNUMBER(SEARCH("COO",C163))+ISNUMBER(SEARCH("CFO",C163))+ISNUMBER(SEARCH("CTO",C163))+ISNUMBER(SEARCH("Chief Operating",C163))+ISNUMBER(SEARCH("Chief Financial",C163))+ISNUMBER(SEARCH("Gerente General",C163))+ISNUMBER(SEARCH("General Manager",C163))&gt;0,'Configuración'!$B$34,'Configuración'!$B$35)))))</f>
        <v>4</v>
      </c>
      <c r="V163" s="38">
        <f>IF(B163="","",IF(K163="Sí",'Configuración'!$B$5,0)+IF(L163="Semanal",'Configuración'!$B$6,IF(L163="Mensual",'Configuración'!$B$7,0))+IF(M163="Sí",'Configuración'!$B$8,0)+IF(N163="Sí",'Configuración'!$B$9,0)+IF(O163="Sí",'Configuración'!$B$10,0)+IF(P163="Sí",'Configuración'!$B$11,0)+IF(Q163="Sí",'Configuración'!$B$12,0)+S163+T163+U163)</f>
        <v>20</v>
      </c>
      <c r="W163" s="39" t="str">
        <f>IF(B163="","",IF(V163&gt;='Configuración'!$B$19,"A",IF(V163&gt;='Configuración'!$B$20,"B",IF(V163&gt;='Configuración'!$B$21,"C","Descarte"))))</f>
        <v>Descarte</v>
      </c>
    </row>
    <row r="164" ht="15.75" customHeight="1">
      <c r="A164" s="34">
        <f t="shared" si="1"/>
        <v>162</v>
      </c>
      <c r="B164" s="29" t="s">
        <v>501</v>
      </c>
      <c r="C164" s="29" t="s">
        <v>110</v>
      </c>
      <c r="D164" s="29" t="s">
        <v>1154</v>
      </c>
      <c r="E164" s="29" t="s">
        <v>1155</v>
      </c>
      <c r="F164" s="30" t="s">
        <v>1156</v>
      </c>
      <c r="G164" s="30" t="s">
        <v>1157</v>
      </c>
      <c r="H164" s="30" t="s">
        <v>1158</v>
      </c>
      <c r="I164" s="29" t="s">
        <v>127</v>
      </c>
      <c r="J164" s="31">
        <v>3.0</v>
      </c>
      <c r="K164" s="36" t="s">
        <v>119</v>
      </c>
      <c r="L164" s="36" t="s">
        <v>128</v>
      </c>
      <c r="M164" s="36" t="s">
        <v>119</v>
      </c>
      <c r="N164" s="36" t="s">
        <v>119</v>
      </c>
      <c r="O164" s="36" t="s">
        <v>119</v>
      </c>
      <c r="P164" s="35"/>
      <c r="Q164" s="36" t="s">
        <v>119</v>
      </c>
      <c r="R164" s="36" t="s">
        <v>230</v>
      </c>
      <c r="S164" s="37">
        <f>IF(B164="","",IF(ISNUMBER(J164),IF(J164&lt;=10,'Configuración'!$B$23,IF(J164&lt;=50,'Configuración'!$B$24,IF(J164&lt;=200,'Configuración'!$B$25,0))),0))</f>
        <v>12</v>
      </c>
      <c r="T164" s="37">
        <f>IF(B164="","",IF(ISNUMBER(SEARCH("information technology",I164))+ISNUMBER(SEARCH("software",I164))+ISNUMBER(SEARCH("internet",I164))+ISNUMBER(SEARCH("computer",I164))+ISNUMBER(SEARCH("saas",I164))+ISNUMBER(SEARCH("fintech",I164))+ISNUMBER(SEARCH("information services",I164))+ISNUMBER(SEARCH("telecommunications",I164))&gt;0,'Configuración'!$B$27,'Configuración'!$B$28))</f>
        <v>12</v>
      </c>
      <c r="U164" s="25">
        <f>IF(B164="","",IF(ISNUMBER(SEARCH("CEO",C164))+ISNUMBER(SEARCH("Founder",C164))+ISNUMBER(SEARCH("Owner",C164))+ISNUMBER(SEARCH("Dueño",C164))+ISNUMBER(SEARCH("Director General",C164))+ISNUMBER(SEARCH("Presidente",C164))+ISNUMBER(SEARCH("President",C164))&gt;0,'Configuración'!$B$31,IF(ISNUMBER(SEARCH("CMO",C164))+ISNUMBER(SEARCH("Chief Marketing",C164))+ISNUMBER(SEARCH("VP Marketing",C164))+ISNUMBER(SEARCH("Director de Marketing",C164))+ISNUMBER(SEARCH("Director Marketing",C164))+ISNUMBER(SEARCH("Head of Marketing",C164))+ISNUMBER(SEARCH("Head Marketing",C164))&gt;0,'Configuración'!$B$32,IF(ISNUMBER(SEARCH("Marketing Manager",C164))+ISNUMBER(SEARCH("Gerente de Marketing",C164))+ISNUMBER(SEARCH("Growth Manager",C164))+ISNUMBER(SEARCH("Demand Gen",C164))+ISNUMBER(SEARCH("Marketing Lead",C164))&gt;0,'Configuración'!$B$33,IF(ISNUMBER(SEARCH("COO",C164))+ISNUMBER(SEARCH("CFO",C164))+ISNUMBER(SEARCH("CTO",C164))+ISNUMBER(SEARCH("Chief Operating",C164))+ISNUMBER(SEARCH("Chief Financial",C164))+ISNUMBER(SEARCH("Gerente General",C164))+ISNUMBER(SEARCH("General Manager",C164))&gt;0,'Configuración'!$B$34,'Configuración'!$B$35)))))</f>
        <v>12</v>
      </c>
      <c r="V164" s="38">
        <f>IF(B164="","",IF(K164="Sí",'Configuración'!$B$5,0)+IF(L164="Semanal",'Configuración'!$B$6,IF(L164="Mensual",'Configuración'!$B$7,0))+IF(M164="Sí",'Configuración'!$B$8,0)+IF(N164="Sí",'Configuración'!$B$9,0)+IF(O164="Sí",'Configuración'!$B$10,0)+IF(P164="Sí",'Configuración'!$B$11,0)+IF(Q164="Sí",'Configuración'!$B$12,0)+S164+T164+U164)</f>
        <v>36</v>
      </c>
      <c r="W164" s="39" t="str">
        <f>IF(B164="","",IF(V164&gt;='Configuración'!$B$19,"A",IF(V164&gt;='Configuración'!$B$20,"B",IF(V164&gt;='Configuración'!$B$21,"C","Descarte"))))</f>
        <v>C</v>
      </c>
    </row>
    <row r="165" ht="15.75" customHeight="1">
      <c r="A165" s="34">
        <f t="shared" si="1"/>
        <v>163</v>
      </c>
      <c r="B165" s="29" t="s">
        <v>1159</v>
      </c>
      <c r="C165" s="29" t="s">
        <v>1160</v>
      </c>
      <c r="D165" s="29" t="s">
        <v>1161</v>
      </c>
      <c r="E165" s="29" t="s">
        <v>1162</v>
      </c>
      <c r="F165" s="30" t="s">
        <v>1163</v>
      </c>
      <c r="G165" s="30" t="s">
        <v>1164</v>
      </c>
      <c r="H165" s="30" t="s">
        <v>1165</v>
      </c>
      <c r="I165" s="29" t="s">
        <v>127</v>
      </c>
      <c r="J165" s="31">
        <v>30.0</v>
      </c>
      <c r="K165" s="36" t="s">
        <v>119</v>
      </c>
      <c r="L165" s="36" t="s">
        <v>128</v>
      </c>
      <c r="M165" s="36" t="s">
        <v>119</v>
      </c>
      <c r="N165" s="36" t="s">
        <v>119</v>
      </c>
      <c r="O165" s="36" t="s">
        <v>119</v>
      </c>
      <c r="P165" s="35"/>
      <c r="Q165" s="36" t="s">
        <v>119</v>
      </c>
      <c r="R165" s="35"/>
      <c r="S165" s="37">
        <f>IF(B165="","",IF(ISNUMBER(J165),IF(J165&lt;=10,'Configuración'!$B$23,IF(J165&lt;=50,'Configuración'!$B$24,IF(J165&lt;=200,'Configuración'!$B$25,0))),0))</f>
        <v>4</v>
      </c>
      <c r="T165" s="37">
        <f>IF(B165="","",IF(ISNUMBER(SEARCH("information technology",I165))+ISNUMBER(SEARCH("software",I165))+ISNUMBER(SEARCH("internet",I165))+ISNUMBER(SEARCH("computer",I165))+ISNUMBER(SEARCH("saas",I165))+ISNUMBER(SEARCH("fintech",I165))+ISNUMBER(SEARCH("information services",I165))+ISNUMBER(SEARCH("telecommunications",I165))&gt;0,'Configuración'!$B$27,'Configuración'!$B$28))</f>
        <v>12</v>
      </c>
      <c r="U165" s="25">
        <f>IF(B165="","",IF(ISNUMBER(SEARCH("CEO",C165))+ISNUMBER(SEARCH("Founder",C165))+ISNUMBER(SEARCH("Owner",C165))+ISNUMBER(SEARCH("Dueño",C165))+ISNUMBER(SEARCH("Director General",C165))+ISNUMBER(SEARCH("Presidente",C165))+ISNUMBER(SEARCH("President",C165))&gt;0,'Configuración'!$B$31,IF(ISNUMBER(SEARCH("CMO",C165))+ISNUMBER(SEARCH("Chief Marketing",C165))+ISNUMBER(SEARCH("VP Marketing",C165))+ISNUMBER(SEARCH("Director de Marketing",C165))+ISNUMBER(SEARCH("Director Marketing",C165))+ISNUMBER(SEARCH("Head of Marketing",C165))+ISNUMBER(SEARCH("Head Marketing",C165))&gt;0,'Configuración'!$B$32,IF(ISNUMBER(SEARCH("Marketing Manager",C165))+ISNUMBER(SEARCH("Gerente de Marketing",C165))+ISNUMBER(SEARCH("Growth Manager",C165))+ISNUMBER(SEARCH("Demand Gen",C165))+ISNUMBER(SEARCH("Marketing Lead",C165))&gt;0,'Configuración'!$B$33,IF(ISNUMBER(SEARCH("COO",C165))+ISNUMBER(SEARCH("CFO",C165))+ISNUMBER(SEARCH("CTO",C165))+ISNUMBER(SEARCH("Chief Operating",C165))+ISNUMBER(SEARCH("Chief Financial",C165))+ISNUMBER(SEARCH("Gerente General",C165))+ISNUMBER(SEARCH("General Manager",C165))&gt;0,'Configuración'!$B$34,'Configuración'!$B$35)))))</f>
        <v>12</v>
      </c>
      <c r="V165" s="38">
        <f>IF(B165="","",IF(K165="Sí",'Configuración'!$B$5,0)+IF(L165="Semanal",'Configuración'!$B$6,IF(L165="Mensual",'Configuración'!$B$7,0))+IF(M165="Sí",'Configuración'!$B$8,0)+IF(N165="Sí",'Configuración'!$B$9,0)+IF(O165="Sí",'Configuración'!$B$10,0)+IF(P165="Sí",'Configuración'!$B$11,0)+IF(Q165="Sí",'Configuración'!$B$12,0)+S165+T165+U165)</f>
        <v>28</v>
      </c>
      <c r="W165" s="39" t="str">
        <f>IF(B165="","",IF(V165&gt;='Configuración'!$B$19,"A",IF(V165&gt;='Configuración'!$B$20,"B",IF(V165&gt;='Configuración'!$B$21,"C","Descarte"))))</f>
        <v>C</v>
      </c>
    </row>
    <row r="166" ht="15.75" customHeight="1">
      <c r="A166" s="34">
        <f t="shared" si="1"/>
        <v>164</v>
      </c>
      <c r="B166" s="29" t="s">
        <v>174</v>
      </c>
      <c r="C166" s="29" t="s">
        <v>121</v>
      </c>
      <c r="D166" s="40" t="s">
        <v>1166</v>
      </c>
      <c r="E166" s="29" t="s">
        <v>1167</v>
      </c>
      <c r="F166" s="30" t="s">
        <v>1168</v>
      </c>
      <c r="G166" s="30" t="s">
        <v>1169</v>
      </c>
      <c r="H166" s="30" t="s">
        <v>1170</v>
      </c>
      <c r="I166" s="29" t="s">
        <v>137</v>
      </c>
      <c r="J166" s="31">
        <v>4.0</v>
      </c>
      <c r="K166" s="36" t="s">
        <v>119</v>
      </c>
      <c r="L166" s="36" t="s">
        <v>128</v>
      </c>
      <c r="M166" s="36" t="s">
        <v>117</v>
      </c>
      <c r="N166" s="36" t="s">
        <v>119</v>
      </c>
      <c r="O166" s="36" t="s">
        <v>119</v>
      </c>
      <c r="P166" s="35"/>
      <c r="Q166" s="36" t="s">
        <v>119</v>
      </c>
      <c r="R166" s="35"/>
      <c r="S166" s="37">
        <f>IF(B166="","",IF(ISNUMBER(J166),IF(J166&lt;=10,'Configuración'!$B$23,IF(J166&lt;=50,'Configuración'!$B$24,IF(J166&lt;=200,'Configuración'!$B$25,0))),0))</f>
        <v>12</v>
      </c>
      <c r="T166" s="37">
        <f>IF(B166="","",IF(ISNUMBER(SEARCH("information technology",I166))+ISNUMBER(SEARCH("software",I166))+ISNUMBER(SEARCH("internet",I166))+ISNUMBER(SEARCH("computer",I166))+ISNUMBER(SEARCH("saas",I166))+ISNUMBER(SEARCH("fintech",I166))+ISNUMBER(SEARCH("information services",I166))+ISNUMBER(SEARCH("telecommunications",I166))&gt;0,'Configuración'!$B$27,'Configuración'!$B$28))</f>
        <v>4</v>
      </c>
      <c r="U166" s="25">
        <f>IF(B166="","",IF(ISNUMBER(SEARCH("CEO",C166))+ISNUMBER(SEARCH("Founder",C166))+ISNUMBER(SEARCH("Owner",C166))+ISNUMBER(SEARCH("Dueño",C166))+ISNUMBER(SEARCH("Director General",C166))+ISNUMBER(SEARCH("Presidente",C166))+ISNUMBER(SEARCH("President",C166))&gt;0,'Configuración'!$B$31,IF(ISNUMBER(SEARCH("CMO",C166))+ISNUMBER(SEARCH("Chief Marketing",C166))+ISNUMBER(SEARCH("VP Marketing",C166))+ISNUMBER(SEARCH("Director de Marketing",C166))+ISNUMBER(SEARCH("Director Marketing",C166))+ISNUMBER(SEARCH("Head of Marketing",C166))+ISNUMBER(SEARCH("Head Marketing",C166))&gt;0,'Configuración'!$B$32,IF(ISNUMBER(SEARCH("Marketing Manager",C166))+ISNUMBER(SEARCH("Gerente de Marketing",C166))+ISNUMBER(SEARCH("Growth Manager",C166))+ISNUMBER(SEARCH("Demand Gen",C166))+ISNUMBER(SEARCH("Marketing Lead",C166))&gt;0,'Configuración'!$B$33,IF(ISNUMBER(SEARCH("COO",C166))+ISNUMBER(SEARCH("CFO",C166))+ISNUMBER(SEARCH("CTO",C166))+ISNUMBER(SEARCH("Chief Operating",C166))+ISNUMBER(SEARCH("Chief Financial",C166))+ISNUMBER(SEARCH("Gerente General",C166))+ISNUMBER(SEARCH("General Manager",C166))&gt;0,'Configuración'!$B$34,'Configuración'!$B$35)))))</f>
        <v>12</v>
      </c>
      <c r="V166" s="38">
        <f>IF(B166="","",IF(K166="Sí",'Configuración'!$B$5,0)+IF(L166="Semanal",'Configuración'!$B$6,IF(L166="Mensual",'Configuración'!$B$7,0))+IF(M166="Sí",'Configuración'!$B$8,0)+IF(N166="Sí",'Configuración'!$B$9,0)+IF(O166="Sí",'Configuración'!$B$10,0)+IF(P166="Sí",'Configuración'!$B$11,0)+IF(Q166="Sí",'Configuración'!$B$12,0)+S166+T166+U166)</f>
        <v>40</v>
      </c>
      <c r="W166" s="39" t="str">
        <f>IF(B166="","",IF(V166&gt;='Configuración'!$B$19,"A",IF(V166&gt;='Configuración'!$B$20,"B",IF(V166&gt;='Configuración'!$B$21,"C","Descarte"))))</f>
        <v>B</v>
      </c>
    </row>
    <row r="167" ht="15.75" customHeight="1">
      <c r="A167" s="34">
        <f t="shared" si="1"/>
        <v>165</v>
      </c>
      <c r="B167" s="29" t="s">
        <v>1171</v>
      </c>
      <c r="C167" s="29" t="s">
        <v>110</v>
      </c>
      <c r="D167" s="30" t="s">
        <v>1172</v>
      </c>
      <c r="E167" s="29" t="s">
        <v>1173</v>
      </c>
      <c r="F167" s="30" t="s">
        <v>1174</v>
      </c>
      <c r="G167" s="30" t="s">
        <v>1175</v>
      </c>
      <c r="H167" s="30" t="s">
        <v>1176</v>
      </c>
      <c r="I167" s="29" t="s">
        <v>769</v>
      </c>
      <c r="J167" s="31">
        <v>31.0</v>
      </c>
      <c r="K167" s="36" t="s">
        <v>119</v>
      </c>
      <c r="L167" s="36" t="s">
        <v>118</v>
      </c>
      <c r="M167" s="36" t="s">
        <v>117</v>
      </c>
      <c r="N167" s="36" t="s">
        <v>119</v>
      </c>
      <c r="O167" s="36" t="s">
        <v>119</v>
      </c>
      <c r="P167" s="35"/>
      <c r="Q167" s="36" t="s">
        <v>119</v>
      </c>
      <c r="R167" s="35"/>
      <c r="S167" s="37">
        <f>IF(B167="","",IF(ISNUMBER(J167),IF(J167&lt;=10,'Configuración'!$B$23,IF(J167&lt;=50,'Configuración'!$B$24,IF(J167&lt;=200,'Configuración'!$B$25,0))),0))</f>
        <v>4</v>
      </c>
      <c r="T167" s="37">
        <f>IF(B167="","",IF(ISNUMBER(SEARCH("information technology",I167))+ISNUMBER(SEARCH("software",I167))+ISNUMBER(SEARCH("internet",I167))+ISNUMBER(SEARCH("computer",I167))+ISNUMBER(SEARCH("saas",I167))+ISNUMBER(SEARCH("fintech",I167))+ISNUMBER(SEARCH("information services",I167))+ISNUMBER(SEARCH("telecommunications",I167))&gt;0,'Configuración'!$B$27,'Configuración'!$B$28))</f>
        <v>4</v>
      </c>
      <c r="U167" s="25">
        <f>IF(B167="","",IF(ISNUMBER(SEARCH("CEO",C167))+ISNUMBER(SEARCH("Founder",C167))+ISNUMBER(SEARCH("Owner",C167))+ISNUMBER(SEARCH("Dueño",C167))+ISNUMBER(SEARCH("Director General",C167))+ISNUMBER(SEARCH("Presidente",C167))+ISNUMBER(SEARCH("President",C167))&gt;0,'Configuración'!$B$31,IF(ISNUMBER(SEARCH("CMO",C167))+ISNUMBER(SEARCH("Chief Marketing",C167))+ISNUMBER(SEARCH("VP Marketing",C167))+ISNUMBER(SEARCH("Director de Marketing",C167))+ISNUMBER(SEARCH("Director Marketing",C167))+ISNUMBER(SEARCH("Head of Marketing",C167))+ISNUMBER(SEARCH("Head Marketing",C167))&gt;0,'Configuración'!$B$32,IF(ISNUMBER(SEARCH("Marketing Manager",C167))+ISNUMBER(SEARCH("Gerente de Marketing",C167))+ISNUMBER(SEARCH("Growth Manager",C167))+ISNUMBER(SEARCH("Demand Gen",C167))+ISNUMBER(SEARCH("Marketing Lead",C167))&gt;0,'Configuración'!$B$33,IF(ISNUMBER(SEARCH("COO",C167))+ISNUMBER(SEARCH("CFO",C167))+ISNUMBER(SEARCH("CTO",C167))+ISNUMBER(SEARCH("Chief Operating",C167))+ISNUMBER(SEARCH("Chief Financial",C167))+ISNUMBER(SEARCH("Gerente General",C167))+ISNUMBER(SEARCH("General Manager",C167))&gt;0,'Configuración'!$B$34,'Configuración'!$B$35)))))</f>
        <v>12</v>
      </c>
      <c r="V167" s="38">
        <f>IF(B167="","",IF(K167="Sí",'Configuración'!$B$5,0)+IF(L167="Semanal",'Configuración'!$B$6,IF(L167="Mensual",'Configuración'!$B$7,0))+IF(M167="Sí",'Configuración'!$B$8,0)+IF(N167="Sí",'Configuración'!$B$9,0)+IF(O167="Sí",'Configuración'!$B$10,0)+IF(P167="Sí",'Configuración'!$B$11,0)+IF(Q167="Sí",'Configuración'!$B$12,0)+S167+T167+U167)</f>
        <v>44</v>
      </c>
      <c r="W167" s="39" t="str">
        <f>IF(B167="","",IF(V167&gt;='Configuración'!$B$19,"A",IF(V167&gt;='Configuración'!$B$20,"B",IF(V167&gt;='Configuración'!$B$21,"C","Descarte"))))</f>
        <v>B</v>
      </c>
    </row>
    <row r="168" ht="15.75" customHeight="1">
      <c r="A168" s="34">
        <f t="shared" si="1"/>
        <v>166</v>
      </c>
      <c r="B168" s="29" t="s">
        <v>1159</v>
      </c>
      <c r="C168" s="29" t="s">
        <v>1177</v>
      </c>
      <c r="D168" s="29" t="s">
        <v>1178</v>
      </c>
      <c r="E168" s="29" t="s">
        <v>1179</v>
      </c>
      <c r="F168" s="30" t="s">
        <v>1180</v>
      </c>
      <c r="G168" s="30" t="s">
        <v>1181</v>
      </c>
      <c r="H168" s="30" t="s">
        <v>1182</v>
      </c>
      <c r="I168" s="29" t="s">
        <v>508</v>
      </c>
      <c r="J168" s="31">
        <v>2.0</v>
      </c>
      <c r="K168" s="36" t="s">
        <v>119</v>
      </c>
      <c r="L168" s="36" t="s">
        <v>128</v>
      </c>
      <c r="M168" s="36" t="s">
        <v>119</v>
      </c>
      <c r="N168" s="36" t="s">
        <v>119</v>
      </c>
      <c r="O168" s="36" t="s">
        <v>119</v>
      </c>
      <c r="P168" s="35"/>
      <c r="Q168" s="36" t="s">
        <v>119</v>
      </c>
      <c r="R168" s="35"/>
      <c r="S168" s="37">
        <f>IF(B168="","",IF(ISNUMBER(J168),IF(J168&lt;=10,'Configuración'!$B$23,IF(J168&lt;=50,'Configuración'!$B$24,IF(J168&lt;=200,'Configuración'!$B$25,0))),0))</f>
        <v>12</v>
      </c>
      <c r="T168" s="37">
        <f>IF(B168="","",IF(ISNUMBER(SEARCH("information technology",I168))+ISNUMBER(SEARCH("software",I168))+ISNUMBER(SEARCH("internet",I168))+ISNUMBER(SEARCH("computer",I168))+ISNUMBER(SEARCH("saas",I168))+ISNUMBER(SEARCH("fintech",I168))+ISNUMBER(SEARCH("information services",I168))+ISNUMBER(SEARCH("telecommunications",I168))&gt;0,'Configuración'!$B$27,'Configuración'!$B$28))</f>
        <v>4</v>
      </c>
      <c r="U168" s="25">
        <f>IF(B168="","",IF(ISNUMBER(SEARCH("CEO",C168))+ISNUMBER(SEARCH("Founder",C168))+ISNUMBER(SEARCH("Owner",C168))+ISNUMBER(SEARCH("Dueño",C168))+ISNUMBER(SEARCH("Director General",C168))+ISNUMBER(SEARCH("Presidente",C168))+ISNUMBER(SEARCH("President",C168))&gt;0,'Configuración'!$B$31,IF(ISNUMBER(SEARCH("CMO",C168))+ISNUMBER(SEARCH("Chief Marketing",C168))+ISNUMBER(SEARCH("VP Marketing",C168))+ISNUMBER(SEARCH("Director de Marketing",C168))+ISNUMBER(SEARCH("Director Marketing",C168))+ISNUMBER(SEARCH("Head of Marketing",C168))+ISNUMBER(SEARCH("Head Marketing",C168))&gt;0,'Configuración'!$B$32,IF(ISNUMBER(SEARCH("Marketing Manager",C168))+ISNUMBER(SEARCH("Gerente de Marketing",C168))+ISNUMBER(SEARCH("Growth Manager",C168))+ISNUMBER(SEARCH("Demand Gen",C168))+ISNUMBER(SEARCH("Marketing Lead",C168))&gt;0,'Configuración'!$B$33,IF(ISNUMBER(SEARCH("COO",C168))+ISNUMBER(SEARCH("CFO",C168))+ISNUMBER(SEARCH("CTO",C168))+ISNUMBER(SEARCH("Chief Operating",C168))+ISNUMBER(SEARCH("Chief Financial",C168))+ISNUMBER(SEARCH("Gerente General",C168))+ISNUMBER(SEARCH("General Manager",C168))&gt;0,'Configuración'!$B$34,'Configuración'!$B$35)))))</f>
        <v>12</v>
      </c>
      <c r="V168" s="38">
        <f>IF(B168="","",IF(K168="Sí",'Configuración'!$B$5,0)+IF(L168="Semanal",'Configuración'!$B$6,IF(L168="Mensual",'Configuración'!$B$7,0))+IF(M168="Sí",'Configuración'!$B$8,0)+IF(N168="Sí",'Configuración'!$B$9,0)+IF(O168="Sí",'Configuración'!$B$10,0)+IF(P168="Sí",'Configuración'!$B$11,0)+IF(Q168="Sí",'Configuración'!$B$12,0)+S168+T168+U168)</f>
        <v>28</v>
      </c>
      <c r="W168" s="39" t="str">
        <f>IF(B168="","",IF(V168&gt;='Configuración'!$B$19,"A",IF(V168&gt;='Configuración'!$B$20,"B",IF(V168&gt;='Configuración'!$B$21,"C","Descarte"))))</f>
        <v>C</v>
      </c>
    </row>
    <row r="169" ht="15.75" customHeight="1">
      <c r="A169" s="34">
        <f t="shared" si="1"/>
        <v>167</v>
      </c>
      <c r="B169" s="29" t="s">
        <v>1183</v>
      </c>
      <c r="C169" s="29" t="s">
        <v>131</v>
      </c>
      <c r="D169" s="29" t="s">
        <v>1184</v>
      </c>
      <c r="E169" s="29" t="s">
        <v>1185</v>
      </c>
      <c r="F169" s="30" t="s">
        <v>1186</v>
      </c>
      <c r="G169" s="30" t="s">
        <v>1187</v>
      </c>
      <c r="H169" s="30" t="s">
        <v>1188</v>
      </c>
      <c r="I169" s="29" t="s">
        <v>145</v>
      </c>
      <c r="J169" s="31">
        <v>25.0</v>
      </c>
      <c r="K169" s="36" t="s">
        <v>119</v>
      </c>
      <c r="L169" s="36" t="s">
        <v>128</v>
      </c>
      <c r="M169" s="36" t="s">
        <v>117</v>
      </c>
      <c r="N169" s="36" t="s">
        <v>119</v>
      </c>
      <c r="O169" s="36" t="s">
        <v>119</v>
      </c>
      <c r="P169" s="36"/>
      <c r="Q169" s="36" t="s">
        <v>117</v>
      </c>
      <c r="R169" s="36" t="s">
        <v>1189</v>
      </c>
      <c r="S169" s="37">
        <f>IF(B169="","",IF(ISNUMBER(J169),IF(J169&lt;=10,'Configuración'!$B$23,IF(J169&lt;=50,'Configuración'!$B$24,IF(J169&lt;=200,'Configuración'!$B$25,0))),0))</f>
        <v>4</v>
      </c>
      <c r="T169" s="37">
        <f>IF(B169="","",IF(ISNUMBER(SEARCH("information technology",I169))+ISNUMBER(SEARCH("software",I169))+ISNUMBER(SEARCH("internet",I169))+ISNUMBER(SEARCH("computer",I169))+ISNUMBER(SEARCH("saas",I169))+ISNUMBER(SEARCH("fintech",I169))+ISNUMBER(SEARCH("information services",I169))+ISNUMBER(SEARCH("telecommunications",I169))&gt;0,'Configuración'!$B$27,'Configuración'!$B$28))</f>
        <v>4</v>
      </c>
      <c r="U169" s="25">
        <f>IF(B169="","",IF(ISNUMBER(SEARCH("CEO",C169))+ISNUMBER(SEARCH("Founder",C169))+ISNUMBER(SEARCH("Owner",C169))+ISNUMBER(SEARCH("Dueño",C169))+ISNUMBER(SEARCH("Director General",C169))+ISNUMBER(SEARCH("Presidente",C169))+ISNUMBER(SEARCH("President",C169))&gt;0,'Configuración'!$B$31,IF(ISNUMBER(SEARCH("CMO",C169))+ISNUMBER(SEARCH("Chief Marketing",C169))+ISNUMBER(SEARCH("VP Marketing",C169))+ISNUMBER(SEARCH("Director de Marketing",C169))+ISNUMBER(SEARCH("Director Marketing",C169))+ISNUMBER(SEARCH("Head of Marketing",C169))+ISNUMBER(SEARCH("Head Marketing",C169))&gt;0,'Configuración'!$B$32,IF(ISNUMBER(SEARCH("Marketing Manager",C169))+ISNUMBER(SEARCH("Gerente de Marketing",C169))+ISNUMBER(SEARCH("Growth Manager",C169))+ISNUMBER(SEARCH("Demand Gen",C169))+ISNUMBER(SEARCH("Marketing Lead",C169))&gt;0,'Configuración'!$B$33,IF(ISNUMBER(SEARCH("COO",C169))+ISNUMBER(SEARCH("CFO",C169))+ISNUMBER(SEARCH("CTO",C169))+ISNUMBER(SEARCH("Chief Operating",C169))+ISNUMBER(SEARCH("Chief Financial",C169))+ISNUMBER(SEARCH("Gerente General",C169))+ISNUMBER(SEARCH("General Manager",C169))&gt;0,'Configuración'!$B$34,'Configuración'!$B$35)))))</f>
        <v>12</v>
      </c>
      <c r="V169" s="38">
        <f>IF(B169="","",IF(K169="Sí",'Configuración'!$B$5,0)+IF(L169="Semanal",'Configuración'!$B$6,IF(L169="Mensual",'Configuración'!$B$7,0))+IF(M169="Sí",'Configuración'!$B$8,0)+IF(N169="Sí",'Configuración'!$B$9,0)+IF(O169="Sí",'Configuración'!$B$10,0)+IF(P169="Sí",'Configuración'!$B$11,0)+IF(Q169="Sí",'Configuración'!$B$12,0)+S169+T169+U169)</f>
        <v>40</v>
      </c>
      <c r="W169" s="39" t="str">
        <f>IF(B169="","",IF(V169&gt;='Configuración'!$B$19,"A",IF(V169&gt;='Configuración'!$B$20,"B",IF(V169&gt;='Configuración'!$B$21,"C","Descarte"))))</f>
        <v>B</v>
      </c>
    </row>
    <row r="170" ht="15.75" customHeight="1">
      <c r="A170" s="34">
        <f t="shared" si="1"/>
        <v>168</v>
      </c>
      <c r="B170" s="29" t="s">
        <v>174</v>
      </c>
      <c r="C170" s="29" t="s">
        <v>1190</v>
      </c>
      <c r="D170" s="29" t="s">
        <v>1191</v>
      </c>
      <c r="E170" s="29" t="s">
        <v>1192</v>
      </c>
      <c r="F170" s="30" t="s">
        <v>1193</v>
      </c>
      <c r="G170" s="30" t="s">
        <v>1194</v>
      </c>
      <c r="H170" s="30" t="s">
        <v>1195</v>
      </c>
      <c r="I170" s="29" t="s">
        <v>1196</v>
      </c>
      <c r="J170" s="31">
        <v>33.0</v>
      </c>
      <c r="K170" s="36" t="s">
        <v>119</v>
      </c>
      <c r="L170" s="36" t="s">
        <v>118</v>
      </c>
      <c r="M170" s="36" t="s">
        <v>117</v>
      </c>
      <c r="N170" s="36" t="s">
        <v>119</v>
      </c>
      <c r="O170" s="36" t="s">
        <v>119</v>
      </c>
      <c r="P170" s="35"/>
      <c r="Q170" s="36" t="s">
        <v>119</v>
      </c>
      <c r="R170" s="35"/>
      <c r="S170" s="37">
        <f>IF(B170="","",IF(ISNUMBER(J170),IF(J170&lt;=10,'Configuración'!$B$23,IF(J170&lt;=50,'Configuración'!$B$24,IF(J170&lt;=200,'Configuración'!$B$25,0))),0))</f>
        <v>4</v>
      </c>
      <c r="T170" s="37">
        <f>IF(B170="","",IF(ISNUMBER(SEARCH("information technology",I170))+ISNUMBER(SEARCH("software",I170))+ISNUMBER(SEARCH("internet",I170))+ISNUMBER(SEARCH("computer",I170))+ISNUMBER(SEARCH("saas",I170))+ISNUMBER(SEARCH("fintech",I170))+ISNUMBER(SEARCH("information services",I170))+ISNUMBER(SEARCH("telecommunications",I170))&gt;0,'Configuración'!$B$27,'Configuración'!$B$28))</f>
        <v>4</v>
      </c>
      <c r="U170" s="25">
        <f>IF(B170="","",IF(ISNUMBER(SEARCH("CEO",C170))+ISNUMBER(SEARCH("Founder",C170))+ISNUMBER(SEARCH("Owner",C170))+ISNUMBER(SEARCH("Dueño",C170))+ISNUMBER(SEARCH("Director General",C170))+ISNUMBER(SEARCH("Presidente",C170))+ISNUMBER(SEARCH("President",C170))&gt;0,'Configuración'!$B$31,IF(ISNUMBER(SEARCH("CMO",C170))+ISNUMBER(SEARCH("Chief Marketing",C170))+ISNUMBER(SEARCH("VP Marketing",C170))+ISNUMBER(SEARCH("Director de Marketing",C170))+ISNUMBER(SEARCH("Director Marketing",C170))+ISNUMBER(SEARCH("Head of Marketing",C170))+ISNUMBER(SEARCH("Head Marketing",C170))&gt;0,'Configuración'!$B$32,IF(ISNUMBER(SEARCH("Marketing Manager",C170))+ISNUMBER(SEARCH("Gerente de Marketing",C170))+ISNUMBER(SEARCH("Growth Manager",C170))+ISNUMBER(SEARCH("Demand Gen",C170))+ISNUMBER(SEARCH("Marketing Lead",C170))&gt;0,'Configuración'!$B$33,IF(ISNUMBER(SEARCH("COO",C170))+ISNUMBER(SEARCH("CFO",C170))+ISNUMBER(SEARCH("CTO",C170))+ISNUMBER(SEARCH("Chief Operating",C170))+ISNUMBER(SEARCH("Chief Financial",C170))+ISNUMBER(SEARCH("Gerente General",C170))+ISNUMBER(SEARCH("General Manager",C170))&gt;0,'Configuración'!$B$34,'Configuración'!$B$35)))))</f>
        <v>4</v>
      </c>
      <c r="V170" s="38">
        <f>IF(B170="","",IF(K170="Sí",'Configuración'!$B$5,0)+IF(L170="Semanal",'Configuración'!$B$6,IF(L170="Mensual",'Configuración'!$B$7,0))+IF(M170="Sí",'Configuración'!$B$8,0)+IF(N170="Sí",'Configuración'!$B$9,0)+IF(O170="Sí",'Configuración'!$B$10,0)+IF(P170="Sí",'Configuración'!$B$11,0)+IF(Q170="Sí",'Configuración'!$B$12,0)+S170+T170+U170)</f>
        <v>36</v>
      </c>
      <c r="W170" s="39" t="str">
        <f>IF(B170="","",IF(V170&gt;='Configuración'!$B$19,"A",IF(V170&gt;='Configuración'!$B$20,"B",IF(V170&gt;='Configuración'!$B$21,"C","Descarte"))))</f>
        <v>C</v>
      </c>
    </row>
    <row r="171" ht="15.75" customHeight="1">
      <c r="A171" s="34">
        <f t="shared" si="1"/>
        <v>169</v>
      </c>
      <c r="B171" s="29" t="s">
        <v>473</v>
      </c>
      <c r="C171" s="29" t="s">
        <v>494</v>
      </c>
      <c r="D171" s="29" t="s">
        <v>1197</v>
      </c>
      <c r="E171" s="29" t="s">
        <v>1198</v>
      </c>
      <c r="F171" s="30" t="s">
        <v>1199</v>
      </c>
      <c r="G171" s="30" t="s">
        <v>1200</v>
      </c>
      <c r="H171" s="30" t="s">
        <v>1201</v>
      </c>
      <c r="I171" s="29" t="s">
        <v>127</v>
      </c>
      <c r="J171" s="31">
        <v>14.0</v>
      </c>
      <c r="K171" s="36" t="s">
        <v>119</v>
      </c>
      <c r="L171" s="36" t="s">
        <v>128</v>
      </c>
      <c r="M171" s="36" t="s">
        <v>119</v>
      </c>
      <c r="N171" s="36" t="s">
        <v>119</v>
      </c>
      <c r="O171" s="36" t="s">
        <v>119</v>
      </c>
      <c r="P171" s="35"/>
      <c r="Q171" s="36" t="s">
        <v>119</v>
      </c>
      <c r="R171" s="36" t="s">
        <v>230</v>
      </c>
      <c r="S171" s="37">
        <f>IF(B171="","",IF(ISNUMBER(J171),IF(J171&lt;=10,'Configuración'!$B$23,IF(J171&lt;=50,'Configuración'!$B$24,IF(J171&lt;=200,'Configuración'!$B$25,0))),0))</f>
        <v>4</v>
      </c>
      <c r="T171" s="37">
        <f>IF(B171="","",IF(ISNUMBER(SEARCH("information technology",I171))+ISNUMBER(SEARCH("software",I171))+ISNUMBER(SEARCH("internet",I171))+ISNUMBER(SEARCH("computer",I171))+ISNUMBER(SEARCH("saas",I171))+ISNUMBER(SEARCH("fintech",I171))+ISNUMBER(SEARCH("information services",I171))+ISNUMBER(SEARCH("telecommunications",I171))&gt;0,'Configuración'!$B$27,'Configuración'!$B$28))</f>
        <v>12</v>
      </c>
      <c r="U171" s="25">
        <f>IF(B171="","",IF(ISNUMBER(SEARCH("CEO",C171))+ISNUMBER(SEARCH("Founder",C171))+ISNUMBER(SEARCH("Owner",C171))+ISNUMBER(SEARCH("Dueño",C171))+ISNUMBER(SEARCH("Director General",C171))+ISNUMBER(SEARCH("Presidente",C171))+ISNUMBER(SEARCH("President",C171))&gt;0,'Configuración'!$B$31,IF(ISNUMBER(SEARCH("CMO",C171))+ISNUMBER(SEARCH("Chief Marketing",C171))+ISNUMBER(SEARCH("VP Marketing",C171))+ISNUMBER(SEARCH("Director de Marketing",C171))+ISNUMBER(SEARCH("Director Marketing",C171))+ISNUMBER(SEARCH("Head of Marketing",C171))+ISNUMBER(SEARCH("Head Marketing",C171))&gt;0,'Configuración'!$B$32,IF(ISNUMBER(SEARCH("Marketing Manager",C171))+ISNUMBER(SEARCH("Gerente de Marketing",C171))+ISNUMBER(SEARCH("Growth Manager",C171))+ISNUMBER(SEARCH("Demand Gen",C171))+ISNUMBER(SEARCH("Marketing Lead",C171))&gt;0,'Configuración'!$B$33,IF(ISNUMBER(SEARCH("COO",C171))+ISNUMBER(SEARCH("CFO",C171))+ISNUMBER(SEARCH("CTO",C171))+ISNUMBER(SEARCH("Chief Operating",C171))+ISNUMBER(SEARCH("Chief Financial",C171))+ISNUMBER(SEARCH("Gerente General",C171))+ISNUMBER(SEARCH("General Manager",C171))&gt;0,'Configuración'!$B$34,'Configuración'!$B$35)))))</f>
        <v>4</v>
      </c>
      <c r="V171" s="38">
        <f>IF(B171="","",IF(K171="Sí",'Configuración'!$B$5,0)+IF(L171="Semanal",'Configuración'!$B$6,IF(L171="Mensual",'Configuración'!$B$7,0))+IF(M171="Sí",'Configuración'!$B$8,0)+IF(N171="Sí",'Configuración'!$B$9,0)+IF(O171="Sí",'Configuración'!$B$10,0)+IF(P171="Sí",'Configuración'!$B$11,0)+IF(Q171="Sí",'Configuración'!$B$12,0)+S171+T171+U171)</f>
        <v>20</v>
      </c>
      <c r="W171" s="39" t="str">
        <f>IF(B171="","",IF(V171&gt;='Configuración'!$B$19,"A",IF(V171&gt;='Configuración'!$B$20,"B",IF(V171&gt;='Configuración'!$B$21,"C","Descarte"))))</f>
        <v>Descarte</v>
      </c>
    </row>
    <row r="172" ht="15.75" customHeight="1">
      <c r="A172" s="34">
        <f t="shared" si="1"/>
        <v>170</v>
      </c>
      <c r="B172" s="29" t="s">
        <v>324</v>
      </c>
      <c r="C172" s="29" t="s">
        <v>131</v>
      </c>
      <c r="D172" s="29" t="s">
        <v>1202</v>
      </c>
      <c r="E172" s="29" t="s">
        <v>1203</v>
      </c>
      <c r="F172" s="30" t="s">
        <v>1204</v>
      </c>
      <c r="G172" s="30" t="s">
        <v>1205</v>
      </c>
      <c r="H172" s="30" t="s">
        <v>1206</v>
      </c>
      <c r="I172" s="29" t="s">
        <v>188</v>
      </c>
      <c r="J172" s="31">
        <v>1.0</v>
      </c>
      <c r="K172" s="36" t="s">
        <v>117</v>
      </c>
      <c r="L172" s="36" t="s">
        <v>118</v>
      </c>
      <c r="M172" s="36" t="s">
        <v>117</v>
      </c>
      <c r="N172" s="36" t="s">
        <v>119</v>
      </c>
      <c r="O172" s="36" t="s">
        <v>119</v>
      </c>
      <c r="P172" s="35"/>
      <c r="Q172" s="36" t="s">
        <v>119</v>
      </c>
      <c r="R172" s="35"/>
      <c r="S172" s="37">
        <f>IF(B172="","",IF(ISNUMBER(J172),IF(J172&lt;=10,'Configuración'!$B$23,IF(J172&lt;=50,'Configuración'!$B$24,IF(J172&lt;=200,'Configuración'!$B$25,0))),0))</f>
        <v>12</v>
      </c>
      <c r="T172" s="37">
        <f>IF(B172="","",IF(ISNUMBER(SEARCH("information technology",I172))+ISNUMBER(SEARCH("software",I172))+ISNUMBER(SEARCH("internet",I172))+ISNUMBER(SEARCH("computer",I172))+ISNUMBER(SEARCH("saas",I172))+ISNUMBER(SEARCH("fintech",I172))+ISNUMBER(SEARCH("information services",I172))+ISNUMBER(SEARCH("telecommunications",I172))&gt;0,'Configuración'!$B$27,'Configuración'!$B$28))</f>
        <v>4</v>
      </c>
      <c r="U172" s="25">
        <f>IF(B172="","",IF(ISNUMBER(SEARCH("CEO",C172))+ISNUMBER(SEARCH("Founder",C172))+ISNUMBER(SEARCH("Owner",C172))+ISNUMBER(SEARCH("Dueño",C172))+ISNUMBER(SEARCH("Director General",C172))+ISNUMBER(SEARCH("Presidente",C172))+ISNUMBER(SEARCH("President",C172))&gt;0,'Configuración'!$B$31,IF(ISNUMBER(SEARCH("CMO",C172))+ISNUMBER(SEARCH("Chief Marketing",C172))+ISNUMBER(SEARCH("VP Marketing",C172))+ISNUMBER(SEARCH("Director de Marketing",C172))+ISNUMBER(SEARCH("Director Marketing",C172))+ISNUMBER(SEARCH("Head of Marketing",C172))+ISNUMBER(SEARCH("Head Marketing",C172))&gt;0,'Configuración'!$B$32,IF(ISNUMBER(SEARCH("Marketing Manager",C172))+ISNUMBER(SEARCH("Gerente de Marketing",C172))+ISNUMBER(SEARCH("Growth Manager",C172))+ISNUMBER(SEARCH("Demand Gen",C172))+ISNUMBER(SEARCH("Marketing Lead",C172))&gt;0,'Configuración'!$B$33,IF(ISNUMBER(SEARCH("COO",C172))+ISNUMBER(SEARCH("CFO",C172))+ISNUMBER(SEARCH("CTO",C172))+ISNUMBER(SEARCH("Chief Operating",C172))+ISNUMBER(SEARCH("Chief Financial",C172))+ISNUMBER(SEARCH("Gerente General",C172))+ISNUMBER(SEARCH("General Manager",C172))&gt;0,'Configuración'!$B$34,'Configuración'!$B$35)))))</f>
        <v>12</v>
      </c>
      <c r="V172" s="38">
        <f>IF(B172="","",IF(K172="Sí",'Configuración'!$B$5,0)+IF(L172="Semanal",'Configuración'!$B$6,IF(L172="Mensual",'Configuración'!$B$7,0))+IF(M172="Sí",'Configuración'!$B$8,0)+IF(N172="Sí",'Configuración'!$B$9,0)+IF(O172="Sí",'Configuración'!$B$10,0)+IF(P172="Sí",'Configuración'!$B$11,0)+IF(Q172="Sí",'Configuración'!$B$12,0)+S172+T172+U172)</f>
        <v>64</v>
      </c>
      <c r="W172" s="39" t="str">
        <f>IF(B172="","",IF(V172&gt;='Configuración'!$B$19,"A",IF(V172&gt;='Configuración'!$B$20,"B",IF(V172&gt;='Configuración'!$B$21,"C","Descarte"))))</f>
        <v>A</v>
      </c>
    </row>
    <row r="173" ht="15.75" customHeight="1">
      <c r="A173" s="34">
        <f t="shared" si="1"/>
        <v>171</v>
      </c>
      <c r="B173" s="29" t="s">
        <v>1207</v>
      </c>
      <c r="C173" s="29" t="s">
        <v>1208</v>
      </c>
      <c r="D173" s="29" t="s">
        <v>1209</v>
      </c>
      <c r="E173" s="29" t="s">
        <v>1210</v>
      </c>
      <c r="F173" s="30" t="s">
        <v>1211</v>
      </c>
      <c r="G173" s="30" t="s">
        <v>1212</v>
      </c>
      <c r="H173" s="30" t="s">
        <v>1213</v>
      </c>
      <c r="I173" s="29" t="s">
        <v>188</v>
      </c>
      <c r="J173" s="31">
        <v>7.0</v>
      </c>
      <c r="K173" s="36" t="s">
        <v>119</v>
      </c>
      <c r="L173" s="36" t="s">
        <v>128</v>
      </c>
      <c r="M173" s="36" t="s">
        <v>119</v>
      </c>
      <c r="N173" s="36" t="s">
        <v>119</v>
      </c>
      <c r="O173" s="36" t="s">
        <v>117</v>
      </c>
      <c r="P173" s="35"/>
      <c r="Q173" s="36" t="s">
        <v>119</v>
      </c>
      <c r="R173" s="35"/>
      <c r="S173" s="37">
        <f>IF(B173="","",IF(ISNUMBER(J173),IF(J173&lt;=10,'Configuración'!$B$23,IF(J173&lt;=50,'Configuración'!$B$24,IF(J173&lt;=200,'Configuración'!$B$25,0))),0))</f>
        <v>12</v>
      </c>
      <c r="T173" s="37">
        <f>IF(B173="","",IF(ISNUMBER(SEARCH("information technology",I173))+ISNUMBER(SEARCH("software",I173))+ISNUMBER(SEARCH("internet",I173))+ISNUMBER(SEARCH("computer",I173))+ISNUMBER(SEARCH("saas",I173))+ISNUMBER(SEARCH("fintech",I173))+ISNUMBER(SEARCH("information services",I173))+ISNUMBER(SEARCH("telecommunications",I173))&gt;0,'Configuración'!$B$27,'Configuración'!$B$28))</f>
        <v>4</v>
      </c>
      <c r="U173" s="25">
        <f>IF(B173="","",IF(ISNUMBER(SEARCH("CEO",C173))+ISNUMBER(SEARCH("Founder",C173))+ISNUMBER(SEARCH("Owner",C173))+ISNUMBER(SEARCH("Dueño",C173))+ISNUMBER(SEARCH("Director General",C173))+ISNUMBER(SEARCH("Presidente",C173))+ISNUMBER(SEARCH("President",C173))&gt;0,'Configuración'!$B$31,IF(ISNUMBER(SEARCH("CMO",C173))+ISNUMBER(SEARCH("Chief Marketing",C173))+ISNUMBER(SEARCH("VP Marketing",C173))+ISNUMBER(SEARCH("Director de Marketing",C173))+ISNUMBER(SEARCH("Director Marketing",C173))+ISNUMBER(SEARCH("Head of Marketing",C173))+ISNUMBER(SEARCH("Head Marketing",C173))&gt;0,'Configuración'!$B$32,IF(ISNUMBER(SEARCH("Marketing Manager",C173))+ISNUMBER(SEARCH("Gerente de Marketing",C173))+ISNUMBER(SEARCH("Growth Manager",C173))+ISNUMBER(SEARCH("Demand Gen",C173))+ISNUMBER(SEARCH("Marketing Lead",C173))&gt;0,'Configuración'!$B$33,IF(ISNUMBER(SEARCH("COO",C173))+ISNUMBER(SEARCH("CFO",C173))+ISNUMBER(SEARCH("CTO",C173))+ISNUMBER(SEARCH("Chief Operating",C173))+ISNUMBER(SEARCH("Chief Financial",C173))+ISNUMBER(SEARCH("Gerente General",C173))+ISNUMBER(SEARCH("General Manager",C173))&gt;0,'Configuración'!$B$34,'Configuración'!$B$35)))))</f>
        <v>12</v>
      </c>
      <c r="V173" s="38">
        <f>IF(B173="","",IF(K173="Sí",'Configuración'!$B$5,0)+IF(L173="Semanal",'Configuración'!$B$6,IF(L173="Mensual",'Configuración'!$B$7,0))+IF(M173="Sí",'Configuración'!$B$8,0)+IF(N173="Sí",'Configuración'!$B$9,0)+IF(O173="Sí",'Configuración'!$B$10,0)+IF(P173="Sí",'Configuración'!$B$11,0)+IF(Q173="Sí",'Configuración'!$B$12,0)+S173+T173+U173)</f>
        <v>36</v>
      </c>
      <c r="W173" s="39" t="str">
        <f>IF(B173="","",IF(V173&gt;='Configuración'!$B$19,"A",IF(V173&gt;='Configuración'!$B$20,"B",IF(V173&gt;='Configuración'!$B$21,"C","Descarte"))))</f>
        <v>C</v>
      </c>
    </row>
    <row r="174" ht="15.75" customHeight="1">
      <c r="A174" s="34">
        <f t="shared" si="1"/>
        <v>172</v>
      </c>
      <c r="B174" s="29" t="s">
        <v>296</v>
      </c>
      <c r="C174" s="29" t="s">
        <v>1214</v>
      </c>
      <c r="D174" s="29" t="s">
        <v>1215</v>
      </c>
      <c r="E174" s="29" t="s">
        <v>1216</v>
      </c>
      <c r="F174" s="30" t="s">
        <v>1217</v>
      </c>
      <c r="G174" s="30" t="s">
        <v>1218</v>
      </c>
      <c r="H174" s="30" t="s">
        <v>1219</v>
      </c>
      <c r="I174" s="29" t="s">
        <v>188</v>
      </c>
      <c r="J174" s="31">
        <v>2.0</v>
      </c>
      <c r="K174" s="36" t="s">
        <v>119</v>
      </c>
      <c r="L174" s="36" t="s">
        <v>128</v>
      </c>
      <c r="M174" s="36" t="s">
        <v>117</v>
      </c>
      <c r="N174" s="36" t="s">
        <v>119</v>
      </c>
      <c r="O174" s="36" t="s">
        <v>119</v>
      </c>
      <c r="P174" s="35"/>
      <c r="Q174" s="36" t="s">
        <v>119</v>
      </c>
      <c r="R174" s="35"/>
      <c r="S174" s="37">
        <f>IF(B174="","",IF(ISNUMBER(J174),IF(J174&lt;=10,'Configuración'!$B$23,IF(J174&lt;=50,'Configuración'!$B$24,IF(J174&lt;=200,'Configuración'!$B$25,0))),0))</f>
        <v>12</v>
      </c>
      <c r="T174" s="37">
        <f>IF(B174="","",IF(ISNUMBER(SEARCH("information technology",I174))+ISNUMBER(SEARCH("software",I174))+ISNUMBER(SEARCH("internet",I174))+ISNUMBER(SEARCH("computer",I174))+ISNUMBER(SEARCH("saas",I174))+ISNUMBER(SEARCH("fintech",I174))+ISNUMBER(SEARCH("information services",I174))+ISNUMBER(SEARCH("telecommunications",I174))&gt;0,'Configuración'!$B$27,'Configuración'!$B$28))</f>
        <v>4</v>
      </c>
      <c r="U174" s="25">
        <f>IF(B174="","",IF(ISNUMBER(SEARCH("CEO",C174))+ISNUMBER(SEARCH("Founder",C174))+ISNUMBER(SEARCH("Owner",C174))+ISNUMBER(SEARCH("Dueño",C174))+ISNUMBER(SEARCH("Director General",C174))+ISNUMBER(SEARCH("Presidente",C174))+ISNUMBER(SEARCH("President",C174))&gt;0,'Configuración'!$B$31,IF(ISNUMBER(SEARCH("CMO",C174))+ISNUMBER(SEARCH("Chief Marketing",C174))+ISNUMBER(SEARCH("VP Marketing",C174))+ISNUMBER(SEARCH("Director de Marketing",C174))+ISNUMBER(SEARCH("Director Marketing",C174))+ISNUMBER(SEARCH("Head of Marketing",C174))+ISNUMBER(SEARCH("Head Marketing",C174))&gt;0,'Configuración'!$B$32,IF(ISNUMBER(SEARCH("Marketing Manager",C174))+ISNUMBER(SEARCH("Gerente de Marketing",C174))+ISNUMBER(SEARCH("Growth Manager",C174))+ISNUMBER(SEARCH("Demand Gen",C174))+ISNUMBER(SEARCH("Marketing Lead",C174))&gt;0,'Configuración'!$B$33,IF(ISNUMBER(SEARCH("COO",C174))+ISNUMBER(SEARCH("CFO",C174))+ISNUMBER(SEARCH("CTO",C174))+ISNUMBER(SEARCH("Chief Operating",C174))+ISNUMBER(SEARCH("Chief Financial",C174))+ISNUMBER(SEARCH("Gerente General",C174))+ISNUMBER(SEARCH("General Manager",C174))&gt;0,'Configuración'!$B$34,'Configuración'!$B$35)))))</f>
        <v>12</v>
      </c>
      <c r="V174" s="38">
        <f>IF(B174="","",IF(K174="Sí",'Configuración'!$B$5,0)+IF(L174="Semanal",'Configuración'!$B$6,IF(L174="Mensual",'Configuración'!$B$7,0))+IF(M174="Sí",'Configuración'!$B$8,0)+IF(N174="Sí",'Configuración'!$B$9,0)+IF(O174="Sí",'Configuración'!$B$10,0)+IF(P174="Sí",'Configuración'!$B$11,0)+IF(Q174="Sí",'Configuración'!$B$12,0)+S174+T174+U174)</f>
        <v>40</v>
      </c>
      <c r="W174" s="39" t="str">
        <f>IF(B174="","",IF(V174&gt;='Configuración'!$B$19,"A",IF(V174&gt;='Configuración'!$B$20,"B",IF(V174&gt;='Configuración'!$B$21,"C","Descarte"))))</f>
        <v>B</v>
      </c>
    </row>
    <row r="175" ht="15.75" customHeight="1">
      <c r="A175" s="34">
        <f t="shared" si="1"/>
        <v>173</v>
      </c>
      <c r="B175" s="29" t="s">
        <v>1220</v>
      </c>
      <c r="C175" s="29" t="s">
        <v>1221</v>
      </c>
      <c r="D175" s="29" t="s">
        <v>1222</v>
      </c>
      <c r="E175" s="29" t="s">
        <v>1223</v>
      </c>
      <c r="F175" s="30" t="s">
        <v>1224</v>
      </c>
      <c r="G175" s="30" t="s">
        <v>1225</v>
      </c>
      <c r="H175" s="30" t="s">
        <v>1226</v>
      </c>
      <c r="I175" s="29" t="s">
        <v>127</v>
      </c>
      <c r="J175" s="31">
        <v>43.0</v>
      </c>
      <c r="K175" s="36" t="s">
        <v>117</v>
      </c>
      <c r="L175" s="36" t="s">
        <v>118</v>
      </c>
      <c r="M175" s="36" t="s">
        <v>117</v>
      </c>
      <c r="N175" s="36" t="s">
        <v>119</v>
      </c>
      <c r="O175" s="36" t="s">
        <v>119</v>
      </c>
      <c r="P175" s="35"/>
      <c r="Q175" s="36" t="s">
        <v>119</v>
      </c>
      <c r="R175" s="35"/>
      <c r="S175" s="37">
        <f>IF(B175="","",IF(ISNUMBER(J175),IF(J175&lt;=10,'Configuración'!$B$23,IF(J175&lt;=50,'Configuración'!$B$24,IF(J175&lt;=200,'Configuración'!$B$25,0))),0))</f>
        <v>4</v>
      </c>
      <c r="T175" s="37">
        <f>IF(B175="","",IF(ISNUMBER(SEARCH("information technology",I175))+ISNUMBER(SEARCH("software",I175))+ISNUMBER(SEARCH("internet",I175))+ISNUMBER(SEARCH("computer",I175))+ISNUMBER(SEARCH("saas",I175))+ISNUMBER(SEARCH("fintech",I175))+ISNUMBER(SEARCH("information services",I175))+ISNUMBER(SEARCH("telecommunications",I175))&gt;0,'Configuración'!$B$27,'Configuración'!$B$28))</f>
        <v>12</v>
      </c>
      <c r="U175" s="25">
        <f>IF(B175="","",IF(ISNUMBER(SEARCH("CEO",C175))+ISNUMBER(SEARCH("Founder",C175))+ISNUMBER(SEARCH("Owner",C175))+ISNUMBER(SEARCH("Dueño",C175))+ISNUMBER(SEARCH("Director General",C175))+ISNUMBER(SEARCH("Presidente",C175))+ISNUMBER(SEARCH("President",C175))&gt;0,'Configuración'!$B$31,IF(ISNUMBER(SEARCH("CMO",C175))+ISNUMBER(SEARCH("Chief Marketing",C175))+ISNUMBER(SEARCH("VP Marketing",C175))+ISNUMBER(SEARCH("Director de Marketing",C175))+ISNUMBER(SEARCH("Director Marketing",C175))+ISNUMBER(SEARCH("Head of Marketing",C175))+ISNUMBER(SEARCH("Head Marketing",C175))&gt;0,'Configuración'!$B$32,IF(ISNUMBER(SEARCH("Marketing Manager",C175))+ISNUMBER(SEARCH("Gerente de Marketing",C175))+ISNUMBER(SEARCH("Growth Manager",C175))+ISNUMBER(SEARCH("Demand Gen",C175))+ISNUMBER(SEARCH("Marketing Lead",C175))&gt;0,'Configuración'!$B$33,IF(ISNUMBER(SEARCH("COO",C175))+ISNUMBER(SEARCH("CFO",C175))+ISNUMBER(SEARCH("CTO",C175))+ISNUMBER(SEARCH("Chief Operating",C175))+ISNUMBER(SEARCH("Chief Financial",C175))+ISNUMBER(SEARCH("Gerente General",C175))+ISNUMBER(SEARCH("General Manager",C175))&gt;0,'Configuración'!$B$34,'Configuración'!$B$35)))))</f>
        <v>0</v>
      </c>
      <c r="V175" s="38">
        <f>IF(B175="","",IF(K175="Sí",'Configuración'!$B$5,0)+IF(L175="Semanal",'Configuración'!$B$6,IF(L175="Mensual",'Configuración'!$B$7,0))+IF(M175="Sí",'Configuración'!$B$8,0)+IF(N175="Sí",'Configuración'!$B$9,0)+IF(O175="Sí",'Configuración'!$B$10,0)+IF(P175="Sí",'Configuración'!$B$11,0)+IF(Q175="Sí",'Configuración'!$B$12,0)+S175+T175+U175)</f>
        <v>52</v>
      </c>
      <c r="W175" s="39" t="str">
        <f>IF(B175="","",IF(V175&gt;='Configuración'!$B$19,"A",IF(V175&gt;='Configuración'!$B$20,"B",IF(V175&gt;='Configuración'!$B$21,"C","Descarte"))))</f>
        <v>B</v>
      </c>
    </row>
    <row r="176" ht="15.75" customHeight="1">
      <c r="A176" s="34">
        <f t="shared" si="1"/>
        <v>174</v>
      </c>
      <c r="B176" s="29" t="s">
        <v>1227</v>
      </c>
      <c r="C176" s="29" t="s">
        <v>131</v>
      </c>
      <c r="D176" s="29" t="s">
        <v>1228</v>
      </c>
      <c r="E176" s="29" t="s">
        <v>1229</v>
      </c>
      <c r="F176" s="30" t="s">
        <v>1230</v>
      </c>
      <c r="G176" s="30" t="s">
        <v>1231</v>
      </c>
      <c r="H176" s="30" t="s">
        <v>1232</v>
      </c>
      <c r="I176" s="29" t="s">
        <v>127</v>
      </c>
      <c r="J176" s="31">
        <v>9.0</v>
      </c>
      <c r="K176" s="36" t="s">
        <v>119</v>
      </c>
      <c r="L176" s="36" t="s">
        <v>128</v>
      </c>
      <c r="M176" s="36" t="s">
        <v>119</v>
      </c>
      <c r="N176" s="36" t="s">
        <v>119</v>
      </c>
      <c r="O176" s="36" t="s">
        <v>119</v>
      </c>
      <c r="P176" s="35"/>
      <c r="Q176" s="36" t="s">
        <v>119</v>
      </c>
      <c r="R176" s="36" t="s">
        <v>230</v>
      </c>
      <c r="S176" s="37">
        <f>IF(B176="","",IF(ISNUMBER(J176),IF(J176&lt;=10,'Configuración'!$B$23,IF(J176&lt;=50,'Configuración'!$B$24,IF(J176&lt;=200,'Configuración'!$B$25,0))),0))</f>
        <v>12</v>
      </c>
      <c r="T176" s="37">
        <f>IF(B176="","",IF(ISNUMBER(SEARCH("information technology",I176))+ISNUMBER(SEARCH("software",I176))+ISNUMBER(SEARCH("internet",I176))+ISNUMBER(SEARCH("computer",I176))+ISNUMBER(SEARCH("saas",I176))+ISNUMBER(SEARCH("fintech",I176))+ISNUMBER(SEARCH("information services",I176))+ISNUMBER(SEARCH("telecommunications",I176))&gt;0,'Configuración'!$B$27,'Configuración'!$B$28))</f>
        <v>12</v>
      </c>
      <c r="U176" s="25">
        <f>IF(B176="","",IF(ISNUMBER(SEARCH("CEO",C176))+ISNUMBER(SEARCH("Founder",C176))+ISNUMBER(SEARCH("Owner",C176))+ISNUMBER(SEARCH("Dueño",C176))+ISNUMBER(SEARCH("Director General",C176))+ISNUMBER(SEARCH("Presidente",C176))+ISNUMBER(SEARCH("President",C176))&gt;0,'Configuración'!$B$31,IF(ISNUMBER(SEARCH("CMO",C176))+ISNUMBER(SEARCH("Chief Marketing",C176))+ISNUMBER(SEARCH("VP Marketing",C176))+ISNUMBER(SEARCH("Director de Marketing",C176))+ISNUMBER(SEARCH("Director Marketing",C176))+ISNUMBER(SEARCH("Head of Marketing",C176))+ISNUMBER(SEARCH("Head Marketing",C176))&gt;0,'Configuración'!$B$32,IF(ISNUMBER(SEARCH("Marketing Manager",C176))+ISNUMBER(SEARCH("Gerente de Marketing",C176))+ISNUMBER(SEARCH("Growth Manager",C176))+ISNUMBER(SEARCH("Demand Gen",C176))+ISNUMBER(SEARCH("Marketing Lead",C176))&gt;0,'Configuración'!$B$33,IF(ISNUMBER(SEARCH("COO",C176))+ISNUMBER(SEARCH("CFO",C176))+ISNUMBER(SEARCH("CTO",C176))+ISNUMBER(SEARCH("Chief Operating",C176))+ISNUMBER(SEARCH("Chief Financial",C176))+ISNUMBER(SEARCH("Gerente General",C176))+ISNUMBER(SEARCH("General Manager",C176))&gt;0,'Configuración'!$B$34,'Configuración'!$B$35)))))</f>
        <v>12</v>
      </c>
      <c r="V176" s="38">
        <f>IF(B176="","",IF(K176="Sí",'Configuración'!$B$5,0)+IF(L176="Semanal",'Configuración'!$B$6,IF(L176="Mensual",'Configuración'!$B$7,0))+IF(M176="Sí",'Configuración'!$B$8,0)+IF(N176="Sí",'Configuración'!$B$9,0)+IF(O176="Sí",'Configuración'!$B$10,0)+IF(P176="Sí",'Configuración'!$B$11,0)+IF(Q176="Sí",'Configuración'!$B$12,0)+S176+T176+U176)</f>
        <v>36</v>
      </c>
      <c r="W176" s="39" t="str">
        <f>IF(B176="","",IF(V176&gt;='Configuración'!$B$19,"A",IF(V176&gt;='Configuración'!$B$20,"B",IF(V176&gt;='Configuración'!$B$21,"C","Descarte"))))</f>
        <v>C</v>
      </c>
    </row>
    <row r="177" ht="15.75" customHeight="1">
      <c r="A177" s="34">
        <f t="shared" si="1"/>
        <v>175</v>
      </c>
      <c r="B177" s="29" t="s">
        <v>1233</v>
      </c>
      <c r="C177" s="29" t="s">
        <v>1234</v>
      </c>
      <c r="D177" s="29" t="s">
        <v>1235</v>
      </c>
      <c r="E177" s="29" t="s">
        <v>1236</v>
      </c>
      <c r="F177" s="30" t="s">
        <v>1237</v>
      </c>
      <c r="G177" s="30" t="s">
        <v>1238</v>
      </c>
      <c r="H177" s="30" t="s">
        <v>1239</v>
      </c>
      <c r="I177" s="29" t="s">
        <v>337</v>
      </c>
      <c r="J177" s="31">
        <v>4.0</v>
      </c>
      <c r="K177" s="36" t="s">
        <v>119</v>
      </c>
      <c r="L177" s="36" t="s">
        <v>128</v>
      </c>
      <c r="M177" s="36" t="s">
        <v>117</v>
      </c>
      <c r="N177" s="36" t="s">
        <v>119</v>
      </c>
      <c r="O177" s="36" t="s">
        <v>117</v>
      </c>
      <c r="P177" s="35"/>
      <c r="Q177" s="36" t="s">
        <v>119</v>
      </c>
      <c r="R177" s="35"/>
      <c r="S177" s="37">
        <f>IF(B177="","",IF(ISNUMBER(J177),IF(J177&lt;=10,'Configuración'!$B$23,IF(J177&lt;=50,'Configuración'!$B$24,IF(J177&lt;=200,'Configuración'!$B$25,0))),0))</f>
        <v>12</v>
      </c>
      <c r="T177" s="37">
        <f>IF(B177="","",IF(ISNUMBER(SEARCH("information technology",I177))+ISNUMBER(SEARCH("software",I177))+ISNUMBER(SEARCH("internet",I177))+ISNUMBER(SEARCH("computer",I177))+ISNUMBER(SEARCH("saas",I177))+ISNUMBER(SEARCH("fintech",I177))+ISNUMBER(SEARCH("information services",I177))+ISNUMBER(SEARCH("telecommunications",I177))&gt;0,'Configuración'!$B$27,'Configuración'!$B$28))</f>
        <v>4</v>
      </c>
      <c r="U177" s="25">
        <f>IF(B177="","",IF(ISNUMBER(SEARCH("CEO",C177))+ISNUMBER(SEARCH("Founder",C177))+ISNUMBER(SEARCH("Owner",C177))+ISNUMBER(SEARCH("Dueño",C177))+ISNUMBER(SEARCH("Director General",C177))+ISNUMBER(SEARCH("Presidente",C177))+ISNUMBER(SEARCH("President",C177))&gt;0,'Configuración'!$B$31,IF(ISNUMBER(SEARCH("CMO",C177))+ISNUMBER(SEARCH("Chief Marketing",C177))+ISNUMBER(SEARCH("VP Marketing",C177))+ISNUMBER(SEARCH("Director de Marketing",C177))+ISNUMBER(SEARCH("Director Marketing",C177))+ISNUMBER(SEARCH("Head of Marketing",C177))+ISNUMBER(SEARCH("Head Marketing",C177))&gt;0,'Configuración'!$B$32,IF(ISNUMBER(SEARCH("Marketing Manager",C177))+ISNUMBER(SEARCH("Gerente de Marketing",C177))+ISNUMBER(SEARCH("Growth Manager",C177))+ISNUMBER(SEARCH("Demand Gen",C177))+ISNUMBER(SEARCH("Marketing Lead",C177))&gt;0,'Configuración'!$B$33,IF(ISNUMBER(SEARCH("COO",C177))+ISNUMBER(SEARCH("CFO",C177))+ISNUMBER(SEARCH("CTO",C177))+ISNUMBER(SEARCH("Chief Operating",C177))+ISNUMBER(SEARCH("Chief Financial",C177))+ISNUMBER(SEARCH("Gerente General",C177))+ISNUMBER(SEARCH("General Manager",C177))&gt;0,'Configuración'!$B$34,'Configuración'!$B$35)))))</f>
        <v>4</v>
      </c>
      <c r="V177" s="38">
        <f>IF(B177="","",IF(K177="Sí",'Configuración'!$B$5,0)+IF(L177="Semanal",'Configuración'!$B$6,IF(L177="Mensual",'Configuración'!$B$7,0))+IF(M177="Sí",'Configuración'!$B$8,0)+IF(N177="Sí",'Configuración'!$B$9,0)+IF(O177="Sí",'Configuración'!$B$10,0)+IF(P177="Sí",'Configuración'!$B$11,0)+IF(Q177="Sí",'Configuración'!$B$12,0)+S177+T177+U177)</f>
        <v>40</v>
      </c>
      <c r="W177" s="39" t="str">
        <f>IF(B177="","",IF(V177&gt;='Configuración'!$B$19,"A",IF(V177&gt;='Configuración'!$B$20,"B",IF(V177&gt;='Configuración'!$B$21,"C","Descarte"))))</f>
        <v>B</v>
      </c>
    </row>
    <row r="178" ht="15.75" customHeight="1">
      <c r="A178" s="34">
        <f t="shared" si="1"/>
        <v>176</v>
      </c>
      <c r="B178" s="29" t="s">
        <v>174</v>
      </c>
      <c r="C178" s="29" t="s">
        <v>368</v>
      </c>
      <c r="D178" s="29" t="s">
        <v>1240</v>
      </c>
      <c r="E178" s="29" t="s">
        <v>1241</v>
      </c>
      <c r="F178" s="30" t="s">
        <v>1242</v>
      </c>
      <c r="G178" s="30" t="s">
        <v>1243</v>
      </c>
      <c r="H178" s="30" t="s">
        <v>1244</v>
      </c>
      <c r="I178" s="29" t="s">
        <v>1245</v>
      </c>
      <c r="J178" s="31">
        <v>22.0</v>
      </c>
      <c r="K178" s="36" t="s">
        <v>119</v>
      </c>
      <c r="L178" s="36" t="s">
        <v>118</v>
      </c>
      <c r="M178" s="36" t="s">
        <v>117</v>
      </c>
      <c r="N178" s="36" t="s">
        <v>119</v>
      </c>
      <c r="O178" s="36" t="s">
        <v>119</v>
      </c>
      <c r="P178" s="35"/>
      <c r="Q178" s="36" t="s">
        <v>119</v>
      </c>
      <c r="R178" s="35"/>
      <c r="S178" s="37">
        <f>IF(B178="","",IF(ISNUMBER(J178),IF(J178&lt;=10,'Configuración'!$B$23,IF(J178&lt;=50,'Configuración'!$B$24,IF(J178&lt;=200,'Configuración'!$B$25,0))),0))</f>
        <v>4</v>
      </c>
      <c r="T178" s="37">
        <f>IF(B178="","",IF(ISNUMBER(SEARCH("information technology",I178))+ISNUMBER(SEARCH("software",I178))+ISNUMBER(SEARCH("internet",I178))+ISNUMBER(SEARCH("computer",I178))+ISNUMBER(SEARCH("saas",I178))+ISNUMBER(SEARCH("fintech",I178))+ISNUMBER(SEARCH("information services",I178))+ISNUMBER(SEARCH("telecommunications",I178))&gt;0,'Configuración'!$B$27,'Configuración'!$B$28))</f>
        <v>4</v>
      </c>
      <c r="U178" s="25">
        <f>IF(B178="","",IF(ISNUMBER(SEARCH("CEO",C178))+ISNUMBER(SEARCH("Founder",C178))+ISNUMBER(SEARCH("Owner",C178))+ISNUMBER(SEARCH("Dueño",C178))+ISNUMBER(SEARCH("Director General",C178))+ISNUMBER(SEARCH("Presidente",C178))+ISNUMBER(SEARCH("President",C178))&gt;0,'Configuración'!$B$31,IF(ISNUMBER(SEARCH("CMO",C178))+ISNUMBER(SEARCH("Chief Marketing",C178))+ISNUMBER(SEARCH("VP Marketing",C178))+ISNUMBER(SEARCH("Director de Marketing",C178))+ISNUMBER(SEARCH("Director Marketing",C178))+ISNUMBER(SEARCH("Head of Marketing",C178))+ISNUMBER(SEARCH("Head Marketing",C178))&gt;0,'Configuración'!$B$32,IF(ISNUMBER(SEARCH("Marketing Manager",C178))+ISNUMBER(SEARCH("Gerente de Marketing",C178))+ISNUMBER(SEARCH("Growth Manager",C178))+ISNUMBER(SEARCH("Demand Gen",C178))+ISNUMBER(SEARCH("Marketing Lead",C178))&gt;0,'Configuración'!$B$33,IF(ISNUMBER(SEARCH("COO",C178))+ISNUMBER(SEARCH("CFO",C178))+ISNUMBER(SEARCH("CTO",C178))+ISNUMBER(SEARCH("Chief Operating",C178))+ISNUMBER(SEARCH("Chief Financial",C178))+ISNUMBER(SEARCH("Gerente General",C178))+ISNUMBER(SEARCH("General Manager",C178))&gt;0,'Configuración'!$B$34,'Configuración'!$B$35)))))</f>
        <v>12</v>
      </c>
      <c r="V178" s="38">
        <f>IF(B178="","",IF(K178="Sí",'Configuración'!$B$5,0)+IF(L178="Semanal",'Configuración'!$B$6,IF(L178="Mensual",'Configuración'!$B$7,0))+IF(M178="Sí",'Configuración'!$B$8,0)+IF(N178="Sí",'Configuración'!$B$9,0)+IF(O178="Sí",'Configuración'!$B$10,0)+IF(P178="Sí",'Configuración'!$B$11,0)+IF(Q178="Sí",'Configuración'!$B$12,0)+S178+T178+U178)</f>
        <v>44</v>
      </c>
      <c r="W178" s="39" t="str">
        <f>IF(B178="","",IF(V178&gt;='Configuración'!$B$19,"A",IF(V178&gt;='Configuración'!$B$20,"B",IF(V178&gt;='Configuración'!$B$21,"C","Descarte"))))</f>
        <v>B</v>
      </c>
    </row>
    <row r="179" ht="15.75" customHeight="1">
      <c r="A179" s="34">
        <f t="shared" si="1"/>
        <v>177</v>
      </c>
      <c r="B179" s="29" t="s">
        <v>1246</v>
      </c>
      <c r="C179" s="29" t="s">
        <v>1247</v>
      </c>
      <c r="D179" s="29" t="s">
        <v>1248</v>
      </c>
      <c r="E179" s="29" t="s">
        <v>1249</v>
      </c>
      <c r="F179" s="30" t="s">
        <v>1250</v>
      </c>
      <c r="G179" s="30" t="s">
        <v>1251</v>
      </c>
      <c r="H179" s="30" t="s">
        <v>1252</v>
      </c>
      <c r="I179" s="29" t="s">
        <v>188</v>
      </c>
      <c r="J179" s="31">
        <v>39.0</v>
      </c>
      <c r="K179" s="36" t="s">
        <v>117</v>
      </c>
      <c r="L179" s="36" t="s">
        <v>118</v>
      </c>
      <c r="M179" s="36" t="s">
        <v>117</v>
      </c>
      <c r="N179" s="36" t="s">
        <v>119</v>
      </c>
      <c r="O179" s="36" t="s">
        <v>119</v>
      </c>
      <c r="P179" s="35"/>
      <c r="Q179" s="36" t="s">
        <v>119</v>
      </c>
      <c r="R179" s="35"/>
      <c r="S179" s="37">
        <f>IF(B179="","",IF(ISNUMBER(J179),IF(J179&lt;=10,'Configuración'!$B$23,IF(J179&lt;=50,'Configuración'!$B$24,IF(J179&lt;=200,'Configuración'!$B$25,0))),0))</f>
        <v>4</v>
      </c>
      <c r="T179" s="37">
        <f>IF(B179="","",IF(ISNUMBER(SEARCH("information technology",I179))+ISNUMBER(SEARCH("software",I179))+ISNUMBER(SEARCH("internet",I179))+ISNUMBER(SEARCH("computer",I179))+ISNUMBER(SEARCH("saas",I179))+ISNUMBER(SEARCH("fintech",I179))+ISNUMBER(SEARCH("information services",I179))+ISNUMBER(SEARCH("telecommunications",I179))&gt;0,'Configuración'!$B$27,'Configuración'!$B$28))</f>
        <v>4</v>
      </c>
      <c r="U179" s="25">
        <f>IF(B179="","",IF(ISNUMBER(SEARCH("CEO",C179))+ISNUMBER(SEARCH("Founder",C179))+ISNUMBER(SEARCH("Owner",C179))+ISNUMBER(SEARCH("Dueño",C179))+ISNUMBER(SEARCH("Director General",C179))+ISNUMBER(SEARCH("Presidente",C179))+ISNUMBER(SEARCH("President",C179))&gt;0,'Configuración'!$B$31,IF(ISNUMBER(SEARCH("CMO",C179))+ISNUMBER(SEARCH("Chief Marketing",C179))+ISNUMBER(SEARCH("VP Marketing",C179))+ISNUMBER(SEARCH("Director de Marketing",C179))+ISNUMBER(SEARCH("Director Marketing",C179))+ISNUMBER(SEARCH("Head of Marketing",C179))+ISNUMBER(SEARCH("Head Marketing",C179))&gt;0,'Configuración'!$B$32,IF(ISNUMBER(SEARCH("Marketing Manager",C179))+ISNUMBER(SEARCH("Gerente de Marketing",C179))+ISNUMBER(SEARCH("Growth Manager",C179))+ISNUMBER(SEARCH("Demand Gen",C179))+ISNUMBER(SEARCH("Marketing Lead",C179))&gt;0,'Configuración'!$B$33,IF(ISNUMBER(SEARCH("COO",C179))+ISNUMBER(SEARCH("CFO",C179))+ISNUMBER(SEARCH("CTO",C179))+ISNUMBER(SEARCH("Chief Operating",C179))+ISNUMBER(SEARCH("Chief Financial",C179))+ISNUMBER(SEARCH("Gerente General",C179))+ISNUMBER(SEARCH("General Manager",C179))&gt;0,'Configuración'!$B$34,'Configuración'!$B$35)))))</f>
        <v>12</v>
      </c>
      <c r="V179" s="38">
        <f>IF(B179="","",IF(K179="Sí",'Configuración'!$B$5,0)+IF(L179="Semanal",'Configuración'!$B$6,IF(L179="Mensual",'Configuración'!$B$7,0))+IF(M179="Sí",'Configuración'!$B$8,0)+IF(N179="Sí",'Configuración'!$B$9,0)+IF(O179="Sí",'Configuración'!$B$10,0)+IF(P179="Sí",'Configuración'!$B$11,0)+IF(Q179="Sí",'Configuración'!$B$12,0)+S179+T179+U179)</f>
        <v>56</v>
      </c>
      <c r="W179" s="39" t="str">
        <f>IF(B179="","",IF(V179&gt;='Configuración'!$B$19,"A",IF(V179&gt;='Configuración'!$B$20,"B",IF(V179&gt;='Configuración'!$B$21,"C","Descarte"))))</f>
        <v>B</v>
      </c>
    </row>
    <row r="180" ht="15.75" customHeight="1">
      <c r="A180" s="34">
        <f t="shared" si="1"/>
        <v>178</v>
      </c>
      <c r="B180" s="29" t="s">
        <v>1253</v>
      </c>
      <c r="C180" s="29" t="s">
        <v>175</v>
      </c>
      <c r="D180" s="29" t="s">
        <v>1254</v>
      </c>
      <c r="E180" s="29" t="s">
        <v>1255</v>
      </c>
      <c r="F180" s="30" t="s">
        <v>1256</v>
      </c>
      <c r="G180" s="30" t="s">
        <v>1257</v>
      </c>
      <c r="H180" s="30" t="s">
        <v>1258</v>
      </c>
      <c r="I180" s="29" t="s">
        <v>1078</v>
      </c>
      <c r="J180" s="31">
        <v>9.0</v>
      </c>
      <c r="K180" s="36" t="s">
        <v>119</v>
      </c>
      <c r="L180" s="36" t="s">
        <v>128</v>
      </c>
      <c r="M180" s="36" t="s">
        <v>119</v>
      </c>
      <c r="N180" s="36" t="s">
        <v>119</v>
      </c>
      <c r="O180" s="36" t="s">
        <v>119</v>
      </c>
      <c r="P180" s="35"/>
      <c r="Q180" s="36" t="s">
        <v>119</v>
      </c>
      <c r="R180" s="35"/>
      <c r="S180" s="37">
        <f>IF(B180="","",IF(ISNUMBER(J180),IF(J180&lt;=10,'Configuración'!$B$23,IF(J180&lt;=50,'Configuración'!$B$24,IF(J180&lt;=200,'Configuración'!$B$25,0))),0))</f>
        <v>12</v>
      </c>
      <c r="T180" s="37">
        <f>IF(B180="","",IF(ISNUMBER(SEARCH("information technology",I180))+ISNUMBER(SEARCH("software",I180))+ISNUMBER(SEARCH("internet",I180))+ISNUMBER(SEARCH("computer",I180))+ISNUMBER(SEARCH("saas",I180))+ISNUMBER(SEARCH("fintech",I180))+ISNUMBER(SEARCH("information services",I180))+ISNUMBER(SEARCH("telecommunications",I180))&gt;0,'Configuración'!$B$27,'Configuración'!$B$28))</f>
        <v>4</v>
      </c>
      <c r="U180" s="25">
        <f>IF(B180="","",IF(ISNUMBER(SEARCH("CEO",C180))+ISNUMBER(SEARCH("Founder",C180))+ISNUMBER(SEARCH("Owner",C180))+ISNUMBER(SEARCH("Dueño",C180))+ISNUMBER(SEARCH("Director General",C180))+ISNUMBER(SEARCH("Presidente",C180))+ISNUMBER(SEARCH("President",C180))&gt;0,'Configuración'!$B$31,IF(ISNUMBER(SEARCH("CMO",C180))+ISNUMBER(SEARCH("Chief Marketing",C180))+ISNUMBER(SEARCH("VP Marketing",C180))+ISNUMBER(SEARCH("Director de Marketing",C180))+ISNUMBER(SEARCH("Director Marketing",C180))+ISNUMBER(SEARCH("Head of Marketing",C180))+ISNUMBER(SEARCH("Head Marketing",C180))&gt;0,'Configuración'!$B$32,IF(ISNUMBER(SEARCH("Marketing Manager",C180))+ISNUMBER(SEARCH("Gerente de Marketing",C180))+ISNUMBER(SEARCH("Growth Manager",C180))+ISNUMBER(SEARCH("Demand Gen",C180))+ISNUMBER(SEARCH("Marketing Lead",C180))&gt;0,'Configuración'!$B$33,IF(ISNUMBER(SEARCH("COO",C180))+ISNUMBER(SEARCH("CFO",C180))+ISNUMBER(SEARCH("CTO",C180))+ISNUMBER(SEARCH("Chief Operating",C180))+ISNUMBER(SEARCH("Chief Financial",C180))+ISNUMBER(SEARCH("Gerente General",C180))+ISNUMBER(SEARCH("General Manager",C180))&gt;0,'Configuración'!$B$34,'Configuración'!$B$35)))))</f>
        <v>12</v>
      </c>
      <c r="V180" s="38">
        <f>IF(B180="","",IF(K180="Sí",'Configuración'!$B$5,0)+IF(L180="Semanal",'Configuración'!$B$6,IF(L180="Mensual",'Configuración'!$B$7,0))+IF(M180="Sí",'Configuración'!$B$8,0)+IF(N180="Sí",'Configuración'!$B$9,0)+IF(O180="Sí",'Configuración'!$B$10,0)+IF(P180="Sí",'Configuración'!$B$11,0)+IF(Q180="Sí",'Configuración'!$B$12,0)+S180+T180+U180)</f>
        <v>28</v>
      </c>
      <c r="W180" s="39" t="str">
        <f>IF(B180="","",IF(V180&gt;='Configuración'!$B$19,"A",IF(V180&gt;='Configuración'!$B$20,"B",IF(V180&gt;='Configuración'!$B$21,"C","Descarte"))))</f>
        <v>C</v>
      </c>
    </row>
    <row r="181" ht="15.75" customHeight="1">
      <c r="A181" s="34">
        <f t="shared" si="1"/>
        <v>179</v>
      </c>
      <c r="B181" s="29" t="s">
        <v>610</v>
      </c>
      <c r="C181" s="29" t="s">
        <v>131</v>
      </c>
      <c r="D181" s="29" t="s">
        <v>1259</v>
      </c>
      <c r="E181" s="29" t="s">
        <v>1260</v>
      </c>
      <c r="F181" s="30" t="s">
        <v>1261</v>
      </c>
      <c r="G181" s="30" t="s">
        <v>1262</v>
      </c>
      <c r="H181" s="30" t="s">
        <v>1263</v>
      </c>
      <c r="I181" s="29" t="s">
        <v>1245</v>
      </c>
      <c r="J181" s="31">
        <v>7.0</v>
      </c>
      <c r="K181" s="36" t="s">
        <v>119</v>
      </c>
      <c r="L181" s="36" t="s">
        <v>118</v>
      </c>
      <c r="M181" s="36" t="s">
        <v>117</v>
      </c>
      <c r="N181" s="36" t="s">
        <v>119</v>
      </c>
      <c r="O181" s="36" t="s">
        <v>119</v>
      </c>
      <c r="P181" s="35"/>
      <c r="Q181" s="36" t="s">
        <v>119</v>
      </c>
      <c r="R181" s="35"/>
      <c r="S181" s="37">
        <f>IF(B181="","",IF(ISNUMBER(J181),IF(J181&lt;=10,'Configuración'!$B$23,IF(J181&lt;=50,'Configuración'!$B$24,IF(J181&lt;=200,'Configuración'!$B$25,0))),0))</f>
        <v>12</v>
      </c>
      <c r="T181" s="37">
        <f>IF(B181="","",IF(ISNUMBER(SEARCH("information technology",I181))+ISNUMBER(SEARCH("software",I181))+ISNUMBER(SEARCH("internet",I181))+ISNUMBER(SEARCH("computer",I181))+ISNUMBER(SEARCH("saas",I181))+ISNUMBER(SEARCH("fintech",I181))+ISNUMBER(SEARCH("information services",I181))+ISNUMBER(SEARCH("telecommunications",I181))&gt;0,'Configuración'!$B$27,'Configuración'!$B$28))</f>
        <v>4</v>
      </c>
      <c r="U181" s="25">
        <f>IF(B181="","",IF(ISNUMBER(SEARCH("CEO",C181))+ISNUMBER(SEARCH("Founder",C181))+ISNUMBER(SEARCH("Owner",C181))+ISNUMBER(SEARCH("Dueño",C181))+ISNUMBER(SEARCH("Director General",C181))+ISNUMBER(SEARCH("Presidente",C181))+ISNUMBER(SEARCH("President",C181))&gt;0,'Configuración'!$B$31,IF(ISNUMBER(SEARCH("CMO",C181))+ISNUMBER(SEARCH("Chief Marketing",C181))+ISNUMBER(SEARCH("VP Marketing",C181))+ISNUMBER(SEARCH("Director de Marketing",C181))+ISNUMBER(SEARCH("Director Marketing",C181))+ISNUMBER(SEARCH("Head of Marketing",C181))+ISNUMBER(SEARCH("Head Marketing",C181))&gt;0,'Configuración'!$B$32,IF(ISNUMBER(SEARCH("Marketing Manager",C181))+ISNUMBER(SEARCH("Gerente de Marketing",C181))+ISNUMBER(SEARCH("Growth Manager",C181))+ISNUMBER(SEARCH("Demand Gen",C181))+ISNUMBER(SEARCH("Marketing Lead",C181))&gt;0,'Configuración'!$B$33,IF(ISNUMBER(SEARCH("COO",C181))+ISNUMBER(SEARCH("CFO",C181))+ISNUMBER(SEARCH("CTO",C181))+ISNUMBER(SEARCH("Chief Operating",C181))+ISNUMBER(SEARCH("Chief Financial",C181))+ISNUMBER(SEARCH("Gerente General",C181))+ISNUMBER(SEARCH("General Manager",C181))&gt;0,'Configuración'!$B$34,'Configuración'!$B$35)))))</f>
        <v>12</v>
      </c>
      <c r="V181" s="38">
        <f>IF(B181="","",IF(K181="Sí",'Configuración'!$B$5,0)+IF(L181="Semanal",'Configuración'!$B$6,IF(L181="Mensual",'Configuración'!$B$7,0))+IF(M181="Sí",'Configuración'!$B$8,0)+IF(N181="Sí",'Configuración'!$B$9,0)+IF(O181="Sí",'Configuración'!$B$10,0)+IF(P181="Sí",'Configuración'!$B$11,0)+IF(Q181="Sí",'Configuración'!$B$12,0)+S181+T181+U181)</f>
        <v>52</v>
      </c>
      <c r="W181" s="39" t="str">
        <f>IF(B181="","",IF(V181&gt;='Configuración'!$B$19,"A",IF(V181&gt;='Configuración'!$B$20,"B",IF(V181&gt;='Configuración'!$B$21,"C","Descarte"))))</f>
        <v>B</v>
      </c>
    </row>
    <row r="182" ht="15.75" customHeight="1">
      <c r="A182" s="34">
        <f t="shared" si="1"/>
        <v>180</v>
      </c>
      <c r="B182" s="29" t="s">
        <v>1264</v>
      </c>
      <c r="C182" s="29" t="s">
        <v>1265</v>
      </c>
      <c r="D182" s="29" t="s">
        <v>1266</v>
      </c>
      <c r="E182" s="29" t="s">
        <v>1267</v>
      </c>
      <c r="F182" s="30" t="s">
        <v>1268</v>
      </c>
      <c r="G182" s="30" t="s">
        <v>1269</v>
      </c>
      <c r="H182" s="30" t="s">
        <v>1270</v>
      </c>
      <c r="I182" s="29" t="s">
        <v>295</v>
      </c>
      <c r="J182" s="31">
        <v>12.0</v>
      </c>
      <c r="K182" s="36" t="s">
        <v>119</v>
      </c>
      <c r="L182" s="36" t="s">
        <v>118</v>
      </c>
      <c r="M182" s="36" t="s">
        <v>117</v>
      </c>
      <c r="N182" s="36" t="s">
        <v>117</v>
      </c>
      <c r="O182" s="36" t="s">
        <v>117</v>
      </c>
      <c r="P182" s="35"/>
      <c r="Q182" s="36" t="s">
        <v>119</v>
      </c>
      <c r="R182" s="35"/>
      <c r="S182" s="37">
        <f>IF(B182="","",IF(ISNUMBER(J182),IF(J182&lt;=10,'Configuración'!$B$23,IF(J182&lt;=50,'Configuración'!$B$24,IF(J182&lt;=200,'Configuración'!$B$25,0))),0))</f>
        <v>4</v>
      </c>
      <c r="T182" s="37">
        <f>IF(B182="","",IF(ISNUMBER(SEARCH("information technology",I182))+ISNUMBER(SEARCH("software",I182))+ISNUMBER(SEARCH("internet",I182))+ISNUMBER(SEARCH("computer",I182))+ISNUMBER(SEARCH("saas",I182))+ISNUMBER(SEARCH("fintech",I182))+ISNUMBER(SEARCH("information services",I182))+ISNUMBER(SEARCH("telecommunications",I182))&gt;0,'Configuración'!$B$27,'Configuración'!$B$28))</f>
        <v>4</v>
      </c>
      <c r="U182" s="25">
        <f>IF(B182="","",IF(ISNUMBER(SEARCH("CEO",C182))+ISNUMBER(SEARCH("Founder",C182))+ISNUMBER(SEARCH("Owner",C182))+ISNUMBER(SEARCH("Dueño",C182))+ISNUMBER(SEARCH("Director General",C182))+ISNUMBER(SEARCH("Presidente",C182))+ISNUMBER(SEARCH("President",C182))&gt;0,'Configuración'!$B$31,IF(ISNUMBER(SEARCH("CMO",C182))+ISNUMBER(SEARCH("Chief Marketing",C182))+ISNUMBER(SEARCH("VP Marketing",C182))+ISNUMBER(SEARCH("Director de Marketing",C182))+ISNUMBER(SEARCH("Director Marketing",C182))+ISNUMBER(SEARCH("Head of Marketing",C182))+ISNUMBER(SEARCH("Head Marketing",C182))&gt;0,'Configuración'!$B$32,IF(ISNUMBER(SEARCH("Marketing Manager",C182))+ISNUMBER(SEARCH("Gerente de Marketing",C182))+ISNUMBER(SEARCH("Growth Manager",C182))+ISNUMBER(SEARCH("Demand Gen",C182))+ISNUMBER(SEARCH("Marketing Lead",C182))&gt;0,'Configuración'!$B$33,IF(ISNUMBER(SEARCH("COO",C182))+ISNUMBER(SEARCH("CFO",C182))+ISNUMBER(SEARCH("CTO",C182))+ISNUMBER(SEARCH("Chief Operating",C182))+ISNUMBER(SEARCH("Chief Financial",C182))+ISNUMBER(SEARCH("Gerente General",C182))+ISNUMBER(SEARCH("General Manager",C182))&gt;0,'Configuración'!$B$34,'Configuración'!$B$35)))))</f>
        <v>4</v>
      </c>
      <c r="V182" s="38">
        <f>IF(B182="","",IF(K182="Sí",'Configuración'!$B$5,0)+IF(L182="Semanal",'Configuración'!$B$6,IF(L182="Mensual",'Configuración'!$B$7,0))+IF(M182="Sí",'Configuración'!$B$8,0)+IF(N182="Sí",'Configuración'!$B$9,0)+IF(O182="Sí",'Configuración'!$B$10,0)+IF(P182="Sí",'Configuración'!$B$11,0)+IF(Q182="Sí",'Configuración'!$B$12,0)+S182+T182+U182)</f>
        <v>48</v>
      </c>
      <c r="W182" s="39" t="str">
        <f>IF(B182="","",IF(V182&gt;='Configuración'!$B$19,"A",IF(V182&gt;='Configuración'!$B$20,"B",IF(V182&gt;='Configuración'!$B$21,"C","Descarte"))))</f>
        <v>B</v>
      </c>
    </row>
    <row r="183" ht="15.75" customHeight="1">
      <c r="A183" s="34">
        <f t="shared" si="1"/>
        <v>181</v>
      </c>
      <c r="B183" s="29" t="s">
        <v>1028</v>
      </c>
      <c r="C183" s="29" t="s">
        <v>1271</v>
      </c>
      <c r="D183" s="29" t="s">
        <v>1272</v>
      </c>
      <c r="E183" s="29" t="s">
        <v>1273</v>
      </c>
      <c r="F183" s="30" t="s">
        <v>1274</v>
      </c>
      <c r="G183" s="30" t="s">
        <v>1275</v>
      </c>
      <c r="H183" s="30" t="s">
        <v>1276</v>
      </c>
      <c r="I183" s="29" t="s">
        <v>1277</v>
      </c>
      <c r="J183" s="31">
        <v>6.0</v>
      </c>
      <c r="K183" s="36" t="s">
        <v>119</v>
      </c>
      <c r="L183" s="36" t="s">
        <v>128</v>
      </c>
      <c r="M183" s="36" t="s">
        <v>119</v>
      </c>
      <c r="N183" s="36" t="s">
        <v>119</v>
      </c>
      <c r="O183" s="36" t="s">
        <v>119</v>
      </c>
      <c r="P183" s="35"/>
      <c r="Q183" s="36" t="s">
        <v>119</v>
      </c>
      <c r="R183" s="35"/>
      <c r="S183" s="37">
        <f>IF(B183="","",IF(ISNUMBER(J183),IF(J183&lt;=10,'Configuración'!$B$23,IF(J183&lt;=50,'Configuración'!$B$24,IF(J183&lt;=200,'Configuración'!$B$25,0))),0))</f>
        <v>12</v>
      </c>
      <c r="T183" s="37">
        <f>IF(B183="","",IF(ISNUMBER(SEARCH("information technology",I183))+ISNUMBER(SEARCH("software",I183))+ISNUMBER(SEARCH("internet",I183))+ISNUMBER(SEARCH("computer",I183))+ISNUMBER(SEARCH("saas",I183))+ISNUMBER(SEARCH("fintech",I183))+ISNUMBER(SEARCH("information services",I183))+ISNUMBER(SEARCH("telecommunications",I183))&gt;0,'Configuración'!$B$27,'Configuración'!$B$28))</f>
        <v>4</v>
      </c>
      <c r="U183" s="25">
        <f>IF(B183="","",IF(ISNUMBER(SEARCH("CEO",C183))+ISNUMBER(SEARCH("Founder",C183))+ISNUMBER(SEARCH("Owner",C183))+ISNUMBER(SEARCH("Dueño",C183))+ISNUMBER(SEARCH("Director General",C183))+ISNUMBER(SEARCH("Presidente",C183))+ISNUMBER(SEARCH("President",C183))&gt;0,'Configuración'!$B$31,IF(ISNUMBER(SEARCH("CMO",C183))+ISNUMBER(SEARCH("Chief Marketing",C183))+ISNUMBER(SEARCH("VP Marketing",C183))+ISNUMBER(SEARCH("Director de Marketing",C183))+ISNUMBER(SEARCH("Director Marketing",C183))+ISNUMBER(SEARCH("Head of Marketing",C183))+ISNUMBER(SEARCH("Head Marketing",C183))&gt;0,'Configuración'!$B$32,IF(ISNUMBER(SEARCH("Marketing Manager",C183))+ISNUMBER(SEARCH("Gerente de Marketing",C183))+ISNUMBER(SEARCH("Growth Manager",C183))+ISNUMBER(SEARCH("Demand Gen",C183))+ISNUMBER(SEARCH("Marketing Lead",C183))&gt;0,'Configuración'!$B$33,IF(ISNUMBER(SEARCH("COO",C183))+ISNUMBER(SEARCH("CFO",C183))+ISNUMBER(SEARCH("CTO",C183))+ISNUMBER(SEARCH("Chief Operating",C183))+ISNUMBER(SEARCH("Chief Financial",C183))+ISNUMBER(SEARCH("Gerente General",C183))+ISNUMBER(SEARCH("General Manager",C183))&gt;0,'Configuración'!$B$34,'Configuración'!$B$35)))))</f>
        <v>12</v>
      </c>
      <c r="V183" s="38">
        <f>IF(B183="","",IF(K183="Sí",'Configuración'!$B$5,0)+IF(L183="Semanal",'Configuración'!$B$6,IF(L183="Mensual",'Configuración'!$B$7,0))+IF(M183="Sí",'Configuración'!$B$8,0)+IF(N183="Sí",'Configuración'!$B$9,0)+IF(O183="Sí",'Configuración'!$B$10,0)+IF(P183="Sí",'Configuración'!$B$11,0)+IF(Q183="Sí",'Configuración'!$B$12,0)+S183+T183+U183)</f>
        <v>28</v>
      </c>
      <c r="W183" s="39" t="str">
        <f>IF(B183="","",IF(V183&gt;='Configuración'!$B$19,"A",IF(V183&gt;='Configuración'!$B$20,"B",IF(V183&gt;='Configuración'!$B$21,"C","Descarte"))))</f>
        <v>C</v>
      </c>
    </row>
    <row r="184" ht="15.75" customHeight="1">
      <c r="A184" s="34">
        <f t="shared" si="1"/>
        <v>182</v>
      </c>
      <c r="B184" s="29" t="s">
        <v>174</v>
      </c>
      <c r="C184" s="29" t="s">
        <v>1278</v>
      </c>
      <c r="D184" s="29" t="s">
        <v>1279</v>
      </c>
      <c r="E184" s="29" t="s">
        <v>1280</v>
      </c>
      <c r="F184" s="30" t="s">
        <v>1281</v>
      </c>
      <c r="G184" s="30" t="s">
        <v>1282</v>
      </c>
      <c r="H184" s="30" t="s">
        <v>1283</v>
      </c>
      <c r="I184" s="29" t="s">
        <v>116</v>
      </c>
      <c r="J184" s="31">
        <v>19.0</v>
      </c>
      <c r="K184" s="36" t="s">
        <v>119</v>
      </c>
      <c r="L184" s="36" t="s">
        <v>128</v>
      </c>
      <c r="M184" s="36" t="s">
        <v>117</v>
      </c>
      <c r="N184" s="36" t="s">
        <v>119</v>
      </c>
      <c r="O184" s="36" t="s">
        <v>119</v>
      </c>
      <c r="P184" s="35"/>
      <c r="Q184" s="36" t="s">
        <v>119</v>
      </c>
      <c r="R184" s="35"/>
      <c r="S184" s="37">
        <f>IF(B184="","",IF(ISNUMBER(J184),IF(J184&lt;=10,'Configuración'!$B$23,IF(J184&lt;=50,'Configuración'!$B$24,IF(J184&lt;=200,'Configuración'!$B$25,0))),0))</f>
        <v>4</v>
      </c>
      <c r="T184" s="37">
        <f>IF(B184="","",IF(ISNUMBER(SEARCH("information technology",I184))+ISNUMBER(SEARCH("software",I184))+ISNUMBER(SEARCH("internet",I184))+ISNUMBER(SEARCH("computer",I184))+ISNUMBER(SEARCH("saas",I184))+ISNUMBER(SEARCH("fintech",I184))+ISNUMBER(SEARCH("information services",I184))+ISNUMBER(SEARCH("telecommunications",I184))&gt;0,'Configuración'!$B$27,'Configuración'!$B$28))</f>
        <v>4</v>
      </c>
      <c r="U184" s="25">
        <f>IF(B184="","",IF(ISNUMBER(SEARCH("CEO",C184))+ISNUMBER(SEARCH("Founder",C184))+ISNUMBER(SEARCH("Owner",C184))+ISNUMBER(SEARCH("Dueño",C184))+ISNUMBER(SEARCH("Director General",C184))+ISNUMBER(SEARCH("Presidente",C184))+ISNUMBER(SEARCH("President",C184))&gt;0,'Configuración'!$B$31,IF(ISNUMBER(SEARCH("CMO",C184))+ISNUMBER(SEARCH("Chief Marketing",C184))+ISNUMBER(SEARCH("VP Marketing",C184))+ISNUMBER(SEARCH("Director de Marketing",C184))+ISNUMBER(SEARCH("Director Marketing",C184))+ISNUMBER(SEARCH("Head of Marketing",C184))+ISNUMBER(SEARCH("Head Marketing",C184))&gt;0,'Configuración'!$B$32,IF(ISNUMBER(SEARCH("Marketing Manager",C184))+ISNUMBER(SEARCH("Gerente de Marketing",C184))+ISNUMBER(SEARCH("Growth Manager",C184))+ISNUMBER(SEARCH("Demand Gen",C184))+ISNUMBER(SEARCH("Marketing Lead",C184))&gt;0,'Configuración'!$B$33,IF(ISNUMBER(SEARCH("COO",C184))+ISNUMBER(SEARCH("CFO",C184))+ISNUMBER(SEARCH("CTO",C184))+ISNUMBER(SEARCH("Chief Operating",C184))+ISNUMBER(SEARCH("Chief Financial",C184))+ISNUMBER(SEARCH("Gerente General",C184))+ISNUMBER(SEARCH("General Manager",C184))&gt;0,'Configuración'!$B$34,'Configuración'!$B$35)))))</f>
        <v>12</v>
      </c>
      <c r="V184" s="38">
        <f>IF(B184="","",IF(K184="Sí",'Configuración'!$B$5,0)+IF(L184="Semanal",'Configuración'!$B$6,IF(L184="Mensual",'Configuración'!$B$7,0))+IF(M184="Sí",'Configuración'!$B$8,0)+IF(N184="Sí",'Configuración'!$B$9,0)+IF(O184="Sí",'Configuración'!$B$10,0)+IF(P184="Sí",'Configuración'!$B$11,0)+IF(Q184="Sí",'Configuración'!$B$12,0)+S184+T184+U184)</f>
        <v>32</v>
      </c>
      <c r="W184" s="39" t="str">
        <f>IF(B184="","",IF(V184&gt;='Configuración'!$B$19,"A",IF(V184&gt;='Configuración'!$B$20,"B",IF(V184&gt;='Configuración'!$B$21,"C","Descarte"))))</f>
        <v>C</v>
      </c>
    </row>
    <row r="185" ht="15.75" customHeight="1">
      <c r="A185" s="34">
        <f t="shared" si="1"/>
        <v>183</v>
      </c>
      <c r="B185" s="29" t="s">
        <v>1137</v>
      </c>
      <c r="C185" s="29" t="s">
        <v>131</v>
      </c>
      <c r="D185" s="40" t="s">
        <v>1284</v>
      </c>
      <c r="E185" s="29" t="s">
        <v>1285</v>
      </c>
      <c r="F185" s="30" t="s">
        <v>1286</v>
      </c>
      <c r="G185" s="30" t="s">
        <v>1287</v>
      </c>
      <c r="H185" s="30" t="s">
        <v>1288</v>
      </c>
      <c r="I185" s="29" t="s">
        <v>873</v>
      </c>
      <c r="J185" s="31">
        <v>3.0</v>
      </c>
      <c r="K185" s="36" t="s">
        <v>119</v>
      </c>
      <c r="L185" s="36" t="s">
        <v>128</v>
      </c>
      <c r="M185" s="36" t="s">
        <v>117</v>
      </c>
      <c r="N185" s="36" t="s">
        <v>117</v>
      </c>
      <c r="O185" s="36" t="s">
        <v>119</v>
      </c>
      <c r="P185" s="35"/>
      <c r="Q185" s="36" t="s">
        <v>119</v>
      </c>
      <c r="R185" s="35"/>
      <c r="S185" s="37">
        <f>IF(B185="","",IF(ISNUMBER(J185),IF(J185&lt;=10,'Configuración'!$B$23,IF(J185&lt;=50,'Configuración'!$B$24,IF(J185&lt;=200,'Configuración'!$B$25,0))),0))</f>
        <v>12</v>
      </c>
      <c r="T185" s="37">
        <f>IF(B185="","",IF(ISNUMBER(SEARCH("information technology",I185))+ISNUMBER(SEARCH("software",I185))+ISNUMBER(SEARCH("internet",I185))+ISNUMBER(SEARCH("computer",I185))+ISNUMBER(SEARCH("saas",I185))+ISNUMBER(SEARCH("fintech",I185))+ISNUMBER(SEARCH("information services",I185))+ISNUMBER(SEARCH("telecommunications",I185))&gt;0,'Configuración'!$B$27,'Configuración'!$B$28))</f>
        <v>4</v>
      </c>
      <c r="U185" s="25">
        <f>IF(B185="","",IF(ISNUMBER(SEARCH("CEO",C185))+ISNUMBER(SEARCH("Founder",C185))+ISNUMBER(SEARCH("Owner",C185))+ISNUMBER(SEARCH("Dueño",C185))+ISNUMBER(SEARCH("Director General",C185))+ISNUMBER(SEARCH("Presidente",C185))+ISNUMBER(SEARCH("President",C185))&gt;0,'Configuración'!$B$31,IF(ISNUMBER(SEARCH("CMO",C185))+ISNUMBER(SEARCH("Chief Marketing",C185))+ISNUMBER(SEARCH("VP Marketing",C185))+ISNUMBER(SEARCH("Director de Marketing",C185))+ISNUMBER(SEARCH("Director Marketing",C185))+ISNUMBER(SEARCH("Head of Marketing",C185))+ISNUMBER(SEARCH("Head Marketing",C185))&gt;0,'Configuración'!$B$32,IF(ISNUMBER(SEARCH("Marketing Manager",C185))+ISNUMBER(SEARCH("Gerente de Marketing",C185))+ISNUMBER(SEARCH("Growth Manager",C185))+ISNUMBER(SEARCH("Demand Gen",C185))+ISNUMBER(SEARCH("Marketing Lead",C185))&gt;0,'Configuración'!$B$33,IF(ISNUMBER(SEARCH("COO",C185))+ISNUMBER(SEARCH("CFO",C185))+ISNUMBER(SEARCH("CTO",C185))+ISNUMBER(SEARCH("Chief Operating",C185))+ISNUMBER(SEARCH("Chief Financial",C185))+ISNUMBER(SEARCH("Gerente General",C185))+ISNUMBER(SEARCH("General Manager",C185))&gt;0,'Configuración'!$B$34,'Configuración'!$B$35)))))</f>
        <v>12</v>
      </c>
      <c r="V185" s="38">
        <f>IF(B185="","",IF(K185="Sí",'Configuración'!$B$5,0)+IF(L185="Semanal",'Configuración'!$B$6,IF(L185="Mensual",'Configuración'!$B$7,0))+IF(M185="Sí",'Configuración'!$B$8,0)+IF(N185="Sí",'Configuración'!$B$9,0)+IF(O185="Sí",'Configuración'!$B$10,0)+IF(P185="Sí",'Configuración'!$B$11,0)+IF(Q185="Sí",'Configuración'!$B$12,0)+S185+T185+U185)</f>
        <v>44</v>
      </c>
      <c r="W185" s="39" t="str">
        <f>IF(B185="","",IF(V185&gt;='Configuración'!$B$19,"A",IF(V185&gt;='Configuración'!$B$20,"B",IF(V185&gt;='Configuración'!$B$21,"C","Descarte"))))</f>
        <v>B</v>
      </c>
    </row>
    <row r="186" ht="15.75" customHeight="1">
      <c r="A186" s="34">
        <f t="shared" si="1"/>
        <v>184</v>
      </c>
      <c r="B186" s="29" t="s">
        <v>181</v>
      </c>
      <c r="C186" s="29" t="s">
        <v>202</v>
      </c>
      <c r="D186" s="30" t="s">
        <v>1289</v>
      </c>
      <c r="E186" s="29" t="s">
        <v>1290</v>
      </c>
      <c r="F186" s="30" t="s">
        <v>1291</v>
      </c>
      <c r="G186" s="30" t="s">
        <v>1292</v>
      </c>
      <c r="H186" s="30" t="s">
        <v>1293</v>
      </c>
      <c r="I186" s="29" t="s">
        <v>769</v>
      </c>
      <c r="J186" s="31">
        <v>34.0</v>
      </c>
      <c r="K186" s="36" t="s">
        <v>119</v>
      </c>
      <c r="L186" s="36" t="s">
        <v>118</v>
      </c>
      <c r="M186" s="36" t="s">
        <v>117</v>
      </c>
      <c r="N186" s="36" t="s">
        <v>119</v>
      </c>
      <c r="O186" s="36" t="s">
        <v>119</v>
      </c>
      <c r="P186" s="35"/>
      <c r="Q186" s="36" t="s">
        <v>119</v>
      </c>
      <c r="R186" s="35"/>
      <c r="S186" s="37">
        <f>IF(B186="","",IF(ISNUMBER(J186),IF(J186&lt;=10,'Configuración'!$B$23,IF(J186&lt;=50,'Configuración'!$B$24,IF(J186&lt;=200,'Configuración'!$B$25,0))),0))</f>
        <v>4</v>
      </c>
      <c r="T186" s="37">
        <f>IF(B186="","",IF(ISNUMBER(SEARCH("information technology",I186))+ISNUMBER(SEARCH("software",I186))+ISNUMBER(SEARCH("internet",I186))+ISNUMBER(SEARCH("computer",I186))+ISNUMBER(SEARCH("saas",I186))+ISNUMBER(SEARCH("fintech",I186))+ISNUMBER(SEARCH("information services",I186))+ISNUMBER(SEARCH("telecommunications",I186))&gt;0,'Configuración'!$B$27,'Configuración'!$B$28))</f>
        <v>4</v>
      </c>
      <c r="U186" s="25">
        <f>IF(B186="","",IF(ISNUMBER(SEARCH("CEO",C186))+ISNUMBER(SEARCH("Founder",C186))+ISNUMBER(SEARCH("Owner",C186))+ISNUMBER(SEARCH("Dueño",C186))+ISNUMBER(SEARCH("Director General",C186))+ISNUMBER(SEARCH("Presidente",C186))+ISNUMBER(SEARCH("President",C186))&gt;0,'Configuración'!$B$31,IF(ISNUMBER(SEARCH("CMO",C186))+ISNUMBER(SEARCH("Chief Marketing",C186))+ISNUMBER(SEARCH("VP Marketing",C186))+ISNUMBER(SEARCH("Director de Marketing",C186))+ISNUMBER(SEARCH("Director Marketing",C186))+ISNUMBER(SEARCH("Head of Marketing",C186))+ISNUMBER(SEARCH("Head Marketing",C186))&gt;0,'Configuración'!$B$32,IF(ISNUMBER(SEARCH("Marketing Manager",C186))+ISNUMBER(SEARCH("Gerente de Marketing",C186))+ISNUMBER(SEARCH("Growth Manager",C186))+ISNUMBER(SEARCH("Demand Gen",C186))+ISNUMBER(SEARCH("Marketing Lead",C186))&gt;0,'Configuración'!$B$33,IF(ISNUMBER(SEARCH("COO",C186))+ISNUMBER(SEARCH("CFO",C186))+ISNUMBER(SEARCH("CTO",C186))+ISNUMBER(SEARCH("Chief Operating",C186))+ISNUMBER(SEARCH("Chief Financial",C186))+ISNUMBER(SEARCH("Gerente General",C186))+ISNUMBER(SEARCH("General Manager",C186))&gt;0,'Configuración'!$B$34,'Configuración'!$B$35)))))</f>
        <v>12</v>
      </c>
      <c r="V186" s="38">
        <f>IF(B186="","",IF(K186="Sí",'Configuración'!$B$5,0)+IF(L186="Semanal",'Configuración'!$B$6,IF(L186="Mensual",'Configuración'!$B$7,0))+IF(M186="Sí",'Configuración'!$B$8,0)+IF(N186="Sí",'Configuración'!$B$9,0)+IF(O186="Sí",'Configuración'!$B$10,0)+IF(P186="Sí",'Configuración'!$B$11,0)+IF(Q186="Sí",'Configuración'!$B$12,0)+S186+T186+U186)</f>
        <v>44</v>
      </c>
      <c r="W186" s="39" t="str">
        <f>IF(B186="","",IF(V186&gt;='Configuración'!$B$19,"A",IF(V186&gt;='Configuración'!$B$20,"B",IF(V186&gt;='Configuración'!$B$21,"C","Descarte"))))</f>
        <v>B</v>
      </c>
    </row>
    <row r="187" ht="15.75" customHeight="1">
      <c r="A187" s="34">
        <f t="shared" si="1"/>
        <v>185</v>
      </c>
      <c r="B187" s="29" t="s">
        <v>1294</v>
      </c>
      <c r="C187" s="29" t="s">
        <v>1295</v>
      </c>
      <c r="D187" s="29" t="s">
        <v>1296</v>
      </c>
      <c r="E187" s="29" t="s">
        <v>1297</v>
      </c>
      <c r="F187" s="30" t="s">
        <v>1298</v>
      </c>
      <c r="G187" s="30" t="s">
        <v>1299</v>
      </c>
      <c r="H187" s="30" t="s">
        <v>1300</v>
      </c>
      <c r="I187" s="29" t="s">
        <v>127</v>
      </c>
      <c r="J187" s="31">
        <v>3.0</v>
      </c>
      <c r="K187" s="36" t="s">
        <v>119</v>
      </c>
      <c r="L187" s="36" t="s">
        <v>128</v>
      </c>
      <c r="M187" s="36" t="s">
        <v>119</v>
      </c>
      <c r="N187" s="36" t="s">
        <v>119</v>
      </c>
      <c r="O187" s="36" t="s">
        <v>119</v>
      </c>
      <c r="P187" s="35"/>
      <c r="Q187" s="36" t="s">
        <v>119</v>
      </c>
      <c r="R187" s="36" t="s">
        <v>230</v>
      </c>
      <c r="S187" s="37">
        <f>IF(B187="","",IF(ISNUMBER(J187),IF(J187&lt;=10,'Configuración'!$B$23,IF(J187&lt;=50,'Configuración'!$B$24,IF(J187&lt;=200,'Configuración'!$B$25,0))),0))</f>
        <v>12</v>
      </c>
      <c r="T187" s="37">
        <f>IF(B187="","",IF(ISNUMBER(SEARCH("information technology",I187))+ISNUMBER(SEARCH("software",I187))+ISNUMBER(SEARCH("internet",I187))+ISNUMBER(SEARCH("computer",I187))+ISNUMBER(SEARCH("saas",I187))+ISNUMBER(SEARCH("fintech",I187))+ISNUMBER(SEARCH("information services",I187))+ISNUMBER(SEARCH("telecommunications",I187))&gt;0,'Configuración'!$B$27,'Configuración'!$B$28))</f>
        <v>12</v>
      </c>
      <c r="U187" s="25">
        <f>IF(B187="","",IF(ISNUMBER(SEARCH("CEO",C187))+ISNUMBER(SEARCH("Founder",C187))+ISNUMBER(SEARCH("Owner",C187))+ISNUMBER(SEARCH("Dueño",C187))+ISNUMBER(SEARCH("Director General",C187))+ISNUMBER(SEARCH("Presidente",C187))+ISNUMBER(SEARCH("President",C187))&gt;0,'Configuración'!$B$31,IF(ISNUMBER(SEARCH("CMO",C187))+ISNUMBER(SEARCH("Chief Marketing",C187))+ISNUMBER(SEARCH("VP Marketing",C187))+ISNUMBER(SEARCH("Director de Marketing",C187))+ISNUMBER(SEARCH("Director Marketing",C187))+ISNUMBER(SEARCH("Head of Marketing",C187))+ISNUMBER(SEARCH("Head Marketing",C187))&gt;0,'Configuración'!$B$32,IF(ISNUMBER(SEARCH("Marketing Manager",C187))+ISNUMBER(SEARCH("Gerente de Marketing",C187))+ISNUMBER(SEARCH("Growth Manager",C187))+ISNUMBER(SEARCH("Demand Gen",C187))+ISNUMBER(SEARCH("Marketing Lead",C187))&gt;0,'Configuración'!$B$33,IF(ISNUMBER(SEARCH("COO",C187))+ISNUMBER(SEARCH("CFO",C187))+ISNUMBER(SEARCH("CTO",C187))+ISNUMBER(SEARCH("Chief Operating",C187))+ISNUMBER(SEARCH("Chief Financial",C187))+ISNUMBER(SEARCH("Gerente General",C187))+ISNUMBER(SEARCH("General Manager",C187))&gt;0,'Configuración'!$B$34,'Configuración'!$B$35)))))</f>
        <v>4</v>
      </c>
      <c r="V187" s="38">
        <f>IF(B187="","",IF(K187="Sí",'Configuración'!$B$5,0)+IF(L187="Semanal",'Configuración'!$B$6,IF(L187="Mensual",'Configuración'!$B$7,0))+IF(M187="Sí",'Configuración'!$B$8,0)+IF(N187="Sí",'Configuración'!$B$9,0)+IF(O187="Sí",'Configuración'!$B$10,0)+IF(P187="Sí",'Configuración'!$B$11,0)+IF(Q187="Sí",'Configuración'!$B$12,0)+S187+T187+U187)</f>
        <v>28</v>
      </c>
      <c r="W187" s="39" t="str">
        <f>IF(B187="","",IF(V187&gt;='Configuración'!$B$19,"A",IF(V187&gt;='Configuración'!$B$20,"B",IF(V187&gt;='Configuración'!$B$21,"C","Descarte"))))</f>
        <v>C</v>
      </c>
    </row>
    <row r="188" ht="15.75" customHeight="1">
      <c r="A188" s="34">
        <f t="shared" si="1"/>
        <v>186</v>
      </c>
      <c r="B188" s="29" t="s">
        <v>466</v>
      </c>
      <c r="C188" s="29" t="s">
        <v>175</v>
      </c>
      <c r="D188" s="29" t="s">
        <v>1301</v>
      </c>
      <c r="E188" s="29" t="s">
        <v>1302</v>
      </c>
      <c r="F188" s="30" t="s">
        <v>1303</v>
      </c>
      <c r="G188" s="30" t="s">
        <v>1304</v>
      </c>
      <c r="H188" s="30" t="s">
        <v>1305</v>
      </c>
      <c r="I188" s="29" t="s">
        <v>172</v>
      </c>
      <c r="J188" s="31">
        <v>3.0</v>
      </c>
      <c r="K188" s="36" t="s">
        <v>119</v>
      </c>
      <c r="L188" s="36" t="s">
        <v>128</v>
      </c>
      <c r="M188" s="36" t="s">
        <v>117</v>
      </c>
      <c r="N188" s="36" t="s">
        <v>119</v>
      </c>
      <c r="O188" s="36" t="s">
        <v>119</v>
      </c>
      <c r="P188" s="35"/>
      <c r="Q188" s="36" t="s">
        <v>119</v>
      </c>
      <c r="R188" s="35"/>
      <c r="S188" s="37">
        <f>IF(B188="","",IF(ISNUMBER(J188),IF(J188&lt;=10,'Configuración'!$B$23,IF(J188&lt;=50,'Configuración'!$B$24,IF(J188&lt;=200,'Configuración'!$B$25,0))),0))</f>
        <v>12</v>
      </c>
      <c r="T188" s="37">
        <f>IF(B188="","",IF(ISNUMBER(SEARCH("information technology",I188))+ISNUMBER(SEARCH("software",I188))+ISNUMBER(SEARCH("internet",I188))+ISNUMBER(SEARCH("computer",I188))+ISNUMBER(SEARCH("saas",I188))+ISNUMBER(SEARCH("fintech",I188))+ISNUMBER(SEARCH("information services",I188))+ISNUMBER(SEARCH("telecommunications",I188))&gt;0,'Configuración'!$B$27,'Configuración'!$B$28))</f>
        <v>4</v>
      </c>
      <c r="U188" s="25">
        <f>IF(B188="","",IF(ISNUMBER(SEARCH("CEO",C188))+ISNUMBER(SEARCH("Founder",C188))+ISNUMBER(SEARCH("Owner",C188))+ISNUMBER(SEARCH("Dueño",C188))+ISNUMBER(SEARCH("Director General",C188))+ISNUMBER(SEARCH("Presidente",C188))+ISNUMBER(SEARCH("President",C188))&gt;0,'Configuración'!$B$31,IF(ISNUMBER(SEARCH("CMO",C188))+ISNUMBER(SEARCH("Chief Marketing",C188))+ISNUMBER(SEARCH("VP Marketing",C188))+ISNUMBER(SEARCH("Director de Marketing",C188))+ISNUMBER(SEARCH("Director Marketing",C188))+ISNUMBER(SEARCH("Head of Marketing",C188))+ISNUMBER(SEARCH("Head Marketing",C188))&gt;0,'Configuración'!$B$32,IF(ISNUMBER(SEARCH("Marketing Manager",C188))+ISNUMBER(SEARCH("Gerente de Marketing",C188))+ISNUMBER(SEARCH("Growth Manager",C188))+ISNUMBER(SEARCH("Demand Gen",C188))+ISNUMBER(SEARCH("Marketing Lead",C188))&gt;0,'Configuración'!$B$33,IF(ISNUMBER(SEARCH("COO",C188))+ISNUMBER(SEARCH("CFO",C188))+ISNUMBER(SEARCH("CTO",C188))+ISNUMBER(SEARCH("Chief Operating",C188))+ISNUMBER(SEARCH("Chief Financial",C188))+ISNUMBER(SEARCH("Gerente General",C188))+ISNUMBER(SEARCH("General Manager",C188))&gt;0,'Configuración'!$B$34,'Configuración'!$B$35)))))</f>
        <v>12</v>
      </c>
      <c r="V188" s="38">
        <f>IF(B188="","",IF(K188="Sí",'Configuración'!$B$5,0)+IF(L188="Semanal",'Configuración'!$B$6,IF(L188="Mensual",'Configuración'!$B$7,0))+IF(M188="Sí",'Configuración'!$B$8,0)+IF(N188="Sí",'Configuración'!$B$9,0)+IF(O188="Sí",'Configuración'!$B$10,0)+IF(P188="Sí",'Configuración'!$B$11,0)+IF(Q188="Sí",'Configuración'!$B$12,0)+S188+T188+U188)</f>
        <v>40</v>
      </c>
      <c r="W188" s="39" t="str">
        <f>IF(B188="","",IF(V188&gt;='Configuración'!$B$19,"A",IF(V188&gt;='Configuración'!$B$20,"B",IF(V188&gt;='Configuración'!$B$21,"C","Descarte"))))</f>
        <v>B</v>
      </c>
    </row>
    <row r="189" ht="15.75" customHeight="1">
      <c r="A189" s="34">
        <f t="shared" si="1"/>
        <v>187</v>
      </c>
      <c r="B189" s="29" t="s">
        <v>1306</v>
      </c>
      <c r="C189" s="29" t="s">
        <v>1307</v>
      </c>
      <c r="D189" s="29" t="s">
        <v>1308</v>
      </c>
      <c r="E189" s="29" t="s">
        <v>1309</v>
      </c>
      <c r="F189" s="30" t="s">
        <v>1310</v>
      </c>
      <c r="G189" s="30" t="s">
        <v>1311</v>
      </c>
      <c r="H189" s="30" t="s">
        <v>1312</v>
      </c>
      <c r="I189" s="29" t="s">
        <v>145</v>
      </c>
      <c r="J189" s="31">
        <v>23.0</v>
      </c>
      <c r="K189" s="36" t="s">
        <v>119</v>
      </c>
      <c r="L189" s="36" t="s">
        <v>173</v>
      </c>
      <c r="M189" s="36" t="s">
        <v>119</v>
      </c>
      <c r="N189" s="36" t="s">
        <v>119</v>
      </c>
      <c r="O189" s="36" t="s">
        <v>119</v>
      </c>
      <c r="P189" s="35"/>
      <c r="Q189" s="36" t="s">
        <v>119</v>
      </c>
      <c r="R189" s="35"/>
      <c r="S189" s="37">
        <f>IF(B189="","",IF(ISNUMBER(J189),IF(J189&lt;=10,'Configuración'!$B$23,IF(J189&lt;=50,'Configuración'!$B$24,IF(J189&lt;=200,'Configuración'!$B$25,0))),0))</f>
        <v>4</v>
      </c>
      <c r="T189" s="37">
        <f>IF(B189="","",IF(ISNUMBER(SEARCH("information technology",I189))+ISNUMBER(SEARCH("software",I189))+ISNUMBER(SEARCH("internet",I189))+ISNUMBER(SEARCH("computer",I189))+ISNUMBER(SEARCH("saas",I189))+ISNUMBER(SEARCH("fintech",I189))+ISNUMBER(SEARCH("information services",I189))+ISNUMBER(SEARCH("telecommunications",I189))&gt;0,'Configuración'!$B$27,'Configuración'!$B$28))</f>
        <v>4</v>
      </c>
      <c r="U189" s="25">
        <f>IF(B189="","",IF(ISNUMBER(SEARCH("CEO",C189))+ISNUMBER(SEARCH("Founder",C189))+ISNUMBER(SEARCH("Owner",C189))+ISNUMBER(SEARCH("Dueño",C189))+ISNUMBER(SEARCH("Director General",C189))+ISNUMBER(SEARCH("Presidente",C189))+ISNUMBER(SEARCH("President",C189))&gt;0,'Configuración'!$B$31,IF(ISNUMBER(SEARCH("CMO",C189))+ISNUMBER(SEARCH("Chief Marketing",C189))+ISNUMBER(SEARCH("VP Marketing",C189))+ISNUMBER(SEARCH("Director de Marketing",C189))+ISNUMBER(SEARCH("Director Marketing",C189))+ISNUMBER(SEARCH("Head of Marketing",C189))+ISNUMBER(SEARCH("Head Marketing",C189))&gt;0,'Configuración'!$B$32,IF(ISNUMBER(SEARCH("Marketing Manager",C189))+ISNUMBER(SEARCH("Gerente de Marketing",C189))+ISNUMBER(SEARCH("Growth Manager",C189))+ISNUMBER(SEARCH("Demand Gen",C189))+ISNUMBER(SEARCH("Marketing Lead",C189))&gt;0,'Configuración'!$B$33,IF(ISNUMBER(SEARCH("COO",C189))+ISNUMBER(SEARCH("CFO",C189))+ISNUMBER(SEARCH("CTO",C189))+ISNUMBER(SEARCH("Chief Operating",C189))+ISNUMBER(SEARCH("Chief Financial",C189))+ISNUMBER(SEARCH("Gerente General",C189))+ISNUMBER(SEARCH("General Manager",C189))&gt;0,'Configuración'!$B$34,'Configuración'!$B$35)))))</f>
        <v>4</v>
      </c>
      <c r="V189" s="38">
        <f>IF(B189="","",IF(K189="Sí",'Configuración'!$B$5,0)+IF(L189="Semanal",'Configuración'!$B$6,IF(L189="Mensual",'Configuración'!$B$7,0))+IF(M189="Sí",'Configuración'!$B$8,0)+IF(N189="Sí",'Configuración'!$B$9,0)+IF(O189="Sí",'Configuración'!$B$10,0)+IF(P189="Sí",'Configuración'!$B$11,0)+IF(Q189="Sí",'Configuración'!$B$12,0)+S189+T189+U189)</f>
        <v>16</v>
      </c>
      <c r="W189" s="39" t="str">
        <f>IF(B189="","",IF(V189&gt;='Configuración'!$B$19,"A",IF(V189&gt;='Configuración'!$B$20,"B",IF(V189&gt;='Configuración'!$B$21,"C","Descarte"))))</f>
        <v>Descarte</v>
      </c>
    </row>
    <row r="190" ht="15.75" customHeight="1">
      <c r="A190" s="34">
        <f t="shared" si="1"/>
        <v>188</v>
      </c>
      <c r="B190" s="29" t="s">
        <v>250</v>
      </c>
      <c r="C190" s="29" t="s">
        <v>1313</v>
      </c>
      <c r="D190" s="29" t="s">
        <v>1314</v>
      </c>
      <c r="E190" s="29" t="s">
        <v>1315</v>
      </c>
      <c r="F190" s="30" t="s">
        <v>1316</v>
      </c>
      <c r="G190" s="30" t="s">
        <v>1317</v>
      </c>
      <c r="H190" s="30" t="s">
        <v>1318</v>
      </c>
      <c r="I190" s="29" t="s">
        <v>337</v>
      </c>
      <c r="J190" s="31">
        <v>11.0</v>
      </c>
      <c r="K190" s="36" t="s">
        <v>119</v>
      </c>
      <c r="L190" s="36" t="s">
        <v>128</v>
      </c>
      <c r="M190" s="36" t="s">
        <v>119</v>
      </c>
      <c r="N190" s="36" t="s">
        <v>119</v>
      </c>
      <c r="O190" s="36" t="s">
        <v>119</v>
      </c>
      <c r="P190" s="35"/>
      <c r="Q190" s="36" t="s">
        <v>119</v>
      </c>
      <c r="R190" s="35"/>
      <c r="S190" s="37">
        <f>IF(B190="","",IF(ISNUMBER(J190),IF(J190&lt;=10,'Configuración'!$B$23,IF(J190&lt;=50,'Configuración'!$B$24,IF(J190&lt;=200,'Configuración'!$B$25,0))),0))</f>
        <v>4</v>
      </c>
      <c r="T190" s="37">
        <f>IF(B190="","",IF(ISNUMBER(SEARCH("information technology",I190))+ISNUMBER(SEARCH("software",I190))+ISNUMBER(SEARCH("internet",I190))+ISNUMBER(SEARCH("computer",I190))+ISNUMBER(SEARCH("saas",I190))+ISNUMBER(SEARCH("fintech",I190))+ISNUMBER(SEARCH("information services",I190))+ISNUMBER(SEARCH("telecommunications",I190))&gt;0,'Configuración'!$B$27,'Configuración'!$B$28))</f>
        <v>4</v>
      </c>
      <c r="U190" s="25">
        <f>IF(B190="","",IF(ISNUMBER(SEARCH("CEO",C190))+ISNUMBER(SEARCH("Founder",C190))+ISNUMBER(SEARCH("Owner",C190))+ISNUMBER(SEARCH("Dueño",C190))+ISNUMBER(SEARCH("Director General",C190))+ISNUMBER(SEARCH("Presidente",C190))+ISNUMBER(SEARCH("President",C190))&gt;0,'Configuración'!$B$31,IF(ISNUMBER(SEARCH("CMO",C190))+ISNUMBER(SEARCH("Chief Marketing",C190))+ISNUMBER(SEARCH("VP Marketing",C190))+ISNUMBER(SEARCH("Director de Marketing",C190))+ISNUMBER(SEARCH("Director Marketing",C190))+ISNUMBER(SEARCH("Head of Marketing",C190))+ISNUMBER(SEARCH("Head Marketing",C190))&gt;0,'Configuración'!$B$32,IF(ISNUMBER(SEARCH("Marketing Manager",C190))+ISNUMBER(SEARCH("Gerente de Marketing",C190))+ISNUMBER(SEARCH("Growth Manager",C190))+ISNUMBER(SEARCH("Demand Gen",C190))+ISNUMBER(SEARCH("Marketing Lead",C190))&gt;0,'Configuración'!$B$33,IF(ISNUMBER(SEARCH("COO",C190))+ISNUMBER(SEARCH("CFO",C190))+ISNUMBER(SEARCH("CTO",C190))+ISNUMBER(SEARCH("Chief Operating",C190))+ISNUMBER(SEARCH("Chief Financial",C190))+ISNUMBER(SEARCH("Gerente General",C190))+ISNUMBER(SEARCH("General Manager",C190))&gt;0,'Configuración'!$B$34,'Configuración'!$B$35)))))</f>
        <v>12</v>
      </c>
      <c r="V190" s="38">
        <f>IF(B190="","",IF(K190="Sí",'Configuración'!$B$5,0)+IF(L190="Semanal",'Configuración'!$B$6,IF(L190="Mensual",'Configuración'!$B$7,0))+IF(M190="Sí",'Configuración'!$B$8,0)+IF(N190="Sí",'Configuración'!$B$9,0)+IF(O190="Sí",'Configuración'!$B$10,0)+IF(P190="Sí",'Configuración'!$B$11,0)+IF(Q190="Sí",'Configuración'!$B$12,0)+S190+T190+U190)</f>
        <v>20</v>
      </c>
      <c r="W190" s="39" t="str">
        <f>IF(B190="","",IF(V190&gt;='Configuración'!$B$19,"A",IF(V190&gt;='Configuración'!$B$20,"B",IF(V190&gt;='Configuración'!$B$21,"C","Descarte"))))</f>
        <v>Descarte</v>
      </c>
    </row>
    <row r="191" ht="15.75" customHeight="1">
      <c r="A191" s="34">
        <f t="shared" si="1"/>
        <v>189</v>
      </c>
      <c r="B191" s="29" t="s">
        <v>564</v>
      </c>
      <c r="C191" s="29" t="s">
        <v>131</v>
      </c>
      <c r="D191" s="29" t="s">
        <v>1319</v>
      </c>
      <c r="E191" s="29" t="s">
        <v>1320</v>
      </c>
      <c r="F191" s="30" t="s">
        <v>1321</v>
      </c>
      <c r="G191" s="30" t="s">
        <v>1322</v>
      </c>
      <c r="H191" s="30" t="s">
        <v>1323</v>
      </c>
      <c r="I191" s="29" t="s">
        <v>127</v>
      </c>
      <c r="J191" s="31">
        <v>4.0</v>
      </c>
      <c r="K191" s="36" t="s">
        <v>117</v>
      </c>
      <c r="L191" s="36" t="s">
        <v>118</v>
      </c>
      <c r="M191" s="36" t="s">
        <v>117</v>
      </c>
      <c r="N191" s="36" t="s">
        <v>119</v>
      </c>
      <c r="O191" s="36" t="s">
        <v>119</v>
      </c>
      <c r="P191" s="35"/>
      <c r="Q191" s="36" t="s">
        <v>119</v>
      </c>
      <c r="R191" s="36" t="s">
        <v>230</v>
      </c>
      <c r="S191" s="37">
        <f>IF(B191="","",IF(ISNUMBER(J191),IF(J191&lt;=10,'Configuración'!$B$23,IF(J191&lt;=50,'Configuración'!$B$24,IF(J191&lt;=200,'Configuración'!$B$25,0))),0))</f>
        <v>12</v>
      </c>
      <c r="T191" s="37">
        <f>IF(B191="","",IF(ISNUMBER(SEARCH("information technology",I191))+ISNUMBER(SEARCH("software",I191))+ISNUMBER(SEARCH("internet",I191))+ISNUMBER(SEARCH("computer",I191))+ISNUMBER(SEARCH("saas",I191))+ISNUMBER(SEARCH("fintech",I191))+ISNUMBER(SEARCH("information services",I191))+ISNUMBER(SEARCH("telecommunications",I191))&gt;0,'Configuración'!$B$27,'Configuración'!$B$28))</f>
        <v>12</v>
      </c>
      <c r="U191" s="25">
        <f>IF(B191="","",IF(ISNUMBER(SEARCH("CEO",C191))+ISNUMBER(SEARCH("Founder",C191))+ISNUMBER(SEARCH("Owner",C191))+ISNUMBER(SEARCH("Dueño",C191))+ISNUMBER(SEARCH("Director General",C191))+ISNUMBER(SEARCH("Presidente",C191))+ISNUMBER(SEARCH("President",C191))&gt;0,'Configuración'!$B$31,IF(ISNUMBER(SEARCH("CMO",C191))+ISNUMBER(SEARCH("Chief Marketing",C191))+ISNUMBER(SEARCH("VP Marketing",C191))+ISNUMBER(SEARCH("Director de Marketing",C191))+ISNUMBER(SEARCH("Director Marketing",C191))+ISNUMBER(SEARCH("Head of Marketing",C191))+ISNUMBER(SEARCH("Head Marketing",C191))&gt;0,'Configuración'!$B$32,IF(ISNUMBER(SEARCH("Marketing Manager",C191))+ISNUMBER(SEARCH("Gerente de Marketing",C191))+ISNUMBER(SEARCH("Growth Manager",C191))+ISNUMBER(SEARCH("Demand Gen",C191))+ISNUMBER(SEARCH("Marketing Lead",C191))&gt;0,'Configuración'!$B$33,IF(ISNUMBER(SEARCH("COO",C191))+ISNUMBER(SEARCH("CFO",C191))+ISNUMBER(SEARCH("CTO",C191))+ISNUMBER(SEARCH("Chief Operating",C191))+ISNUMBER(SEARCH("Chief Financial",C191))+ISNUMBER(SEARCH("Gerente General",C191))+ISNUMBER(SEARCH("General Manager",C191))&gt;0,'Configuración'!$B$34,'Configuración'!$B$35)))))</f>
        <v>12</v>
      </c>
      <c r="V191" s="38">
        <f>IF(B191="","",IF(K191="Sí",'Configuración'!$B$5,0)+IF(L191="Semanal",'Configuración'!$B$6,IF(L191="Mensual",'Configuración'!$B$7,0))+IF(M191="Sí",'Configuración'!$B$8,0)+IF(N191="Sí",'Configuración'!$B$9,0)+IF(O191="Sí",'Configuración'!$B$10,0)+IF(P191="Sí",'Configuración'!$B$11,0)+IF(Q191="Sí",'Configuración'!$B$12,0)+S191+T191+U191)</f>
        <v>72</v>
      </c>
      <c r="W191" s="39" t="str">
        <f>IF(B191="","",IF(V191&gt;='Configuración'!$B$19,"A",IF(V191&gt;='Configuración'!$B$20,"B",IF(V191&gt;='Configuración'!$B$21,"C","Descarte"))))</f>
        <v>A</v>
      </c>
    </row>
    <row r="192" ht="15.75" customHeight="1">
      <c r="A192" s="34">
        <f t="shared" si="1"/>
        <v>190</v>
      </c>
      <c r="B192" s="29" t="s">
        <v>1324</v>
      </c>
      <c r="C192" s="29" t="s">
        <v>1325</v>
      </c>
      <c r="D192" s="29" t="s">
        <v>1326</v>
      </c>
      <c r="E192" s="29" t="s">
        <v>1327</v>
      </c>
      <c r="F192" s="30" t="s">
        <v>1328</v>
      </c>
      <c r="G192" s="30" t="s">
        <v>1329</v>
      </c>
      <c r="H192" s="30" t="s">
        <v>1330</v>
      </c>
      <c r="I192" s="29" t="s">
        <v>127</v>
      </c>
      <c r="J192" s="31">
        <v>28.0</v>
      </c>
      <c r="K192" s="36" t="s">
        <v>119</v>
      </c>
      <c r="L192" s="36" t="s">
        <v>118</v>
      </c>
      <c r="M192" s="36" t="s">
        <v>117</v>
      </c>
      <c r="N192" s="36" t="s">
        <v>119</v>
      </c>
      <c r="O192" s="36" t="s">
        <v>119</v>
      </c>
      <c r="P192" s="35"/>
      <c r="Q192" s="36" t="s">
        <v>119</v>
      </c>
      <c r="R192" s="35"/>
      <c r="S192" s="37">
        <f>IF(B192="","",IF(ISNUMBER(J192),IF(J192&lt;=10,'Configuración'!$B$23,IF(J192&lt;=50,'Configuración'!$B$24,IF(J192&lt;=200,'Configuración'!$B$25,0))),0))</f>
        <v>4</v>
      </c>
      <c r="T192" s="37">
        <f>IF(B192="","",IF(ISNUMBER(SEARCH("information technology",I192))+ISNUMBER(SEARCH("software",I192))+ISNUMBER(SEARCH("internet",I192))+ISNUMBER(SEARCH("computer",I192))+ISNUMBER(SEARCH("saas",I192))+ISNUMBER(SEARCH("fintech",I192))+ISNUMBER(SEARCH("information services",I192))+ISNUMBER(SEARCH("telecommunications",I192))&gt;0,'Configuración'!$B$27,'Configuración'!$B$28))</f>
        <v>12</v>
      </c>
      <c r="U192" s="25">
        <f>IF(B192="","",IF(ISNUMBER(SEARCH("CEO",C192))+ISNUMBER(SEARCH("Founder",C192))+ISNUMBER(SEARCH("Owner",C192))+ISNUMBER(SEARCH("Dueño",C192))+ISNUMBER(SEARCH("Director General",C192))+ISNUMBER(SEARCH("Presidente",C192))+ISNUMBER(SEARCH("President",C192))&gt;0,'Configuración'!$B$31,IF(ISNUMBER(SEARCH("CMO",C192))+ISNUMBER(SEARCH("Chief Marketing",C192))+ISNUMBER(SEARCH("VP Marketing",C192))+ISNUMBER(SEARCH("Director de Marketing",C192))+ISNUMBER(SEARCH("Director Marketing",C192))+ISNUMBER(SEARCH("Head of Marketing",C192))+ISNUMBER(SEARCH("Head Marketing",C192))&gt;0,'Configuración'!$B$32,IF(ISNUMBER(SEARCH("Marketing Manager",C192))+ISNUMBER(SEARCH("Gerente de Marketing",C192))+ISNUMBER(SEARCH("Growth Manager",C192))+ISNUMBER(SEARCH("Demand Gen",C192))+ISNUMBER(SEARCH("Marketing Lead",C192))&gt;0,'Configuración'!$B$33,IF(ISNUMBER(SEARCH("COO",C192))+ISNUMBER(SEARCH("CFO",C192))+ISNUMBER(SEARCH("CTO",C192))+ISNUMBER(SEARCH("Chief Operating",C192))+ISNUMBER(SEARCH("Chief Financial",C192))+ISNUMBER(SEARCH("Gerente General",C192))+ISNUMBER(SEARCH("General Manager",C192))&gt;0,'Configuración'!$B$34,'Configuración'!$B$35)))))</f>
        <v>12</v>
      </c>
      <c r="V192" s="38">
        <f>IF(B192="","",IF(K192="Sí",'Configuración'!$B$5,0)+IF(L192="Semanal",'Configuración'!$B$6,IF(L192="Mensual",'Configuración'!$B$7,0))+IF(M192="Sí",'Configuración'!$B$8,0)+IF(N192="Sí",'Configuración'!$B$9,0)+IF(O192="Sí",'Configuración'!$B$10,0)+IF(P192="Sí",'Configuración'!$B$11,0)+IF(Q192="Sí",'Configuración'!$B$12,0)+S192+T192+U192)</f>
        <v>52</v>
      </c>
      <c r="W192" s="39" t="str">
        <f>IF(B192="","",IF(V192&gt;='Configuración'!$B$19,"A",IF(V192&gt;='Configuración'!$B$20,"B",IF(V192&gt;='Configuración'!$B$21,"C","Descarte"))))</f>
        <v>B</v>
      </c>
    </row>
    <row r="193" ht="15.75" customHeight="1">
      <c r="A193" s="34">
        <f t="shared" si="1"/>
        <v>191</v>
      </c>
      <c r="B193" s="29" t="s">
        <v>1331</v>
      </c>
      <c r="C193" s="29" t="s">
        <v>131</v>
      </c>
      <c r="D193" s="29" t="s">
        <v>1332</v>
      </c>
      <c r="E193" s="29" t="s">
        <v>1333</v>
      </c>
      <c r="F193" s="30" t="s">
        <v>1334</v>
      </c>
      <c r="G193" s="30" t="s">
        <v>1335</v>
      </c>
      <c r="H193" s="30" t="s">
        <v>1336</v>
      </c>
      <c r="I193" s="29" t="s">
        <v>137</v>
      </c>
      <c r="J193" s="31">
        <v>7.0</v>
      </c>
      <c r="K193" s="36" t="s">
        <v>119</v>
      </c>
      <c r="L193" s="36" t="s">
        <v>128</v>
      </c>
      <c r="M193" s="36" t="s">
        <v>119</v>
      </c>
      <c r="N193" s="36" t="s">
        <v>119</v>
      </c>
      <c r="O193" s="36" t="s">
        <v>119</v>
      </c>
      <c r="P193" s="35"/>
      <c r="Q193" s="36" t="s">
        <v>119</v>
      </c>
      <c r="R193" s="35"/>
      <c r="S193" s="37">
        <f>IF(B193="","",IF(ISNUMBER(J193),IF(J193&lt;=10,'Configuración'!$B$23,IF(J193&lt;=50,'Configuración'!$B$24,IF(J193&lt;=200,'Configuración'!$B$25,0))),0))</f>
        <v>12</v>
      </c>
      <c r="T193" s="37">
        <f>IF(B193="","",IF(ISNUMBER(SEARCH("information technology",I193))+ISNUMBER(SEARCH("software",I193))+ISNUMBER(SEARCH("internet",I193))+ISNUMBER(SEARCH("computer",I193))+ISNUMBER(SEARCH("saas",I193))+ISNUMBER(SEARCH("fintech",I193))+ISNUMBER(SEARCH("information services",I193))+ISNUMBER(SEARCH("telecommunications",I193))&gt;0,'Configuración'!$B$27,'Configuración'!$B$28))</f>
        <v>4</v>
      </c>
      <c r="U193" s="25">
        <f>IF(B193="","",IF(ISNUMBER(SEARCH("CEO",C193))+ISNUMBER(SEARCH("Founder",C193))+ISNUMBER(SEARCH("Owner",C193))+ISNUMBER(SEARCH("Dueño",C193))+ISNUMBER(SEARCH("Director General",C193))+ISNUMBER(SEARCH("Presidente",C193))+ISNUMBER(SEARCH("President",C193))&gt;0,'Configuración'!$B$31,IF(ISNUMBER(SEARCH("CMO",C193))+ISNUMBER(SEARCH("Chief Marketing",C193))+ISNUMBER(SEARCH("VP Marketing",C193))+ISNUMBER(SEARCH("Director de Marketing",C193))+ISNUMBER(SEARCH("Director Marketing",C193))+ISNUMBER(SEARCH("Head of Marketing",C193))+ISNUMBER(SEARCH("Head Marketing",C193))&gt;0,'Configuración'!$B$32,IF(ISNUMBER(SEARCH("Marketing Manager",C193))+ISNUMBER(SEARCH("Gerente de Marketing",C193))+ISNUMBER(SEARCH("Growth Manager",C193))+ISNUMBER(SEARCH("Demand Gen",C193))+ISNUMBER(SEARCH("Marketing Lead",C193))&gt;0,'Configuración'!$B$33,IF(ISNUMBER(SEARCH("COO",C193))+ISNUMBER(SEARCH("CFO",C193))+ISNUMBER(SEARCH("CTO",C193))+ISNUMBER(SEARCH("Chief Operating",C193))+ISNUMBER(SEARCH("Chief Financial",C193))+ISNUMBER(SEARCH("Gerente General",C193))+ISNUMBER(SEARCH("General Manager",C193))&gt;0,'Configuración'!$B$34,'Configuración'!$B$35)))))</f>
        <v>12</v>
      </c>
      <c r="V193" s="38">
        <f>IF(B193="","",IF(K193="Sí",'Configuración'!$B$5,0)+IF(L193="Semanal",'Configuración'!$B$6,IF(L193="Mensual",'Configuración'!$B$7,0))+IF(M193="Sí",'Configuración'!$B$8,0)+IF(N193="Sí",'Configuración'!$B$9,0)+IF(O193="Sí",'Configuración'!$B$10,0)+IF(P193="Sí",'Configuración'!$B$11,0)+IF(Q193="Sí",'Configuración'!$B$12,0)+S193+T193+U193)</f>
        <v>28</v>
      </c>
      <c r="W193" s="39" t="str">
        <f>IF(B193="","",IF(V193&gt;='Configuración'!$B$19,"A",IF(V193&gt;='Configuración'!$B$20,"B",IF(V193&gt;='Configuración'!$B$21,"C","Descarte"))))</f>
        <v>C</v>
      </c>
    </row>
    <row r="194" ht="15.75" customHeight="1">
      <c r="A194" s="34">
        <f t="shared" si="1"/>
        <v>192</v>
      </c>
      <c r="B194" s="29" t="s">
        <v>529</v>
      </c>
      <c r="C194" s="29" t="s">
        <v>1337</v>
      </c>
      <c r="D194" s="29" t="s">
        <v>1338</v>
      </c>
      <c r="E194" s="29" t="s">
        <v>1339</v>
      </c>
      <c r="F194" s="30" t="s">
        <v>1340</v>
      </c>
      <c r="G194" s="30" t="s">
        <v>1341</v>
      </c>
      <c r="H194" s="30" t="s">
        <v>1342</v>
      </c>
      <c r="I194" s="29" t="s">
        <v>1343</v>
      </c>
      <c r="J194" s="31">
        <v>150.0</v>
      </c>
      <c r="K194" s="36" t="s">
        <v>119</v>
      </c>
      <c r="L194" s="36" t="s">
        <v>118</v>
      </c>
      <c r="M194" s="36" t="s">
        <v>117</v>
      </c>
      <c r="N194" s="36" t="s">
        <v>119</v>
      </c>
      <c r="O194" s="36" t="s">
        <v>119</v>
      </c>
      <c r="P194" s="35"/>
      <c r="Q194" s="36" t="s">
        <v>119</v>
      </c>
      <c r="R194" s="35"/>
      <c r="S194" s="37">
        <f>IF(B194="","",IF(ISNUMBER(J194),IF(J194&lt;=10,'Configuración'!$B$23,IF(J194&lt;=50,'Configuración'!$B$24,IF(J194&lt;=200,'Configuración'!$B$25,0))),0))</f>
        <v>0</v>
      </c>
      <c r="T194" s="37">
        <f>IF(B194="","",IF(ISNUMBER(SEARCH("information technology",I194))+ISNUMBER(SEARCH("software",I194))+ISNUMBER(SEARCH("internet",I194))+ISNUMBER(SEARCH("computer",I194))+ISNUMBER(SEARCH("saas",I194))+ISNUMBER(SEARCH("fintech",I194))+ISNUMBER(SEARCH("information services",I194))+ISNUMBER(SEARCH("telecommunications",I194))&gt;0,'Configuración'!$B$27,'Configuración'!$B$28))</f>
        <v>4</v>
      </c>
      <c r="U194" s="25">
        <f>IF(B194="","",IF(ISNUMBER(SEARCH("CEO",C194))+ISNUMBER(SEARCH("Founder",C194))+ISNUMBER(SEARCH("Owner",C194))+ISNUMBER(SEARCH("Dueño",C194))+ISNUMBER(SEARCH("Director General",C194))+ISNUMBER(SEARCH("Presidente",C194))+ISNUMBER(SEARCH("President",C194))&gt;0,'Configuración'!$B$31,IF(ISNUMBER(SEARCH("CMO",C194))+ISNUMBER(SEARCH("Chief Marketing",C194))+ISNUMBER(SEARCH("VP Marketing",C194))+ISNUMBER(SEARCH("Director de Marketing",C194))+ISNUMBER(SEARCH("Director Marketing",C194))+ISNUMBER(SEARCH("Head of Marketing",C194))+ISNUMBER(SEARCH("Head Marketing",C194))&gt;0,'Configuración'!$B$32,IF(ISNUMBER(SEARCH("Marketing Manager",C194))+ISNUMBER(SEARCH("Gerente de Marketing",C194))+ISNUMBER(SEARCH("Growth Manager",C194))+ISNUMBER(SEARCH("Demand Gen",C194))+ISNUMBER(SEARCH("Marketing Lead",C194))&gt;0,'Configuración'!$B$33,IF(ISNUMBER(SEARCH("COO",C194))+ISNUMBER(SEARCH("CFO",C194))+ISNUMBER(SEARCH("CTO",C194))+ISNUMBER(SEARCH("Chief Operating",C194))+ISNUMBER(SEARCH("Chief Financial",C194))+ISNUMBER(SEARCH("Gerente General",C194))+ISNUMBER(SEARCH("General Manager",C194))&gt;0,'Configuración'!$B$34,'Configuración'!$B$35)))))</f>
        <v>4</v>
      </c>
      <c r="V194" s="38">
        <f>IF(B194="","",IF(K194="Sí",'Configuración'!$B$5,0)+IF(L194="Semanal",'Configuración'!$B$6,IF(L194="Mensual",'Configuración'!$B$7,0))+IF(M194="Sí",'Configuración'!$B$8,0)+IF(N194="Sí",'Configuración'!$B$9,0)+IF(O194="Sí",'Configuración'!$B$10,0)+IF(P194="Sí",'Configuración'!$B$11,0)+IF(Q194="Sí",'Configuración'!$B$12,0)+S194+T194+U194)</f>
        <v>32</v>
      </c>
      <c r="W194" s="39" t="str">
        <f>IF(B194="","",IF(V194&gt;='Configuración'!$B$19,"A",IF(V194&gt;='Configuración'!$B$20,"B",IF(V194&gt;='Configuración'!$B$21,"C","Descarte"))))</f>
        <v>C</v>
      </c>
    </row>
    <row r="195" ht="15.75" customHeight="1">
      <c r="A195" s="34">
        <f t="shared" si="1"/>
        <v>193</v>
      </c>
      <c r="B195" s="29" t="s">
        <v>174</v>
      </c>
      <c r="C195" s="29" t="s">
        <v>1344</v>
      </c>
      <c r="D195" s="29" t="s">
        <v>1345</v>
      </c>
      <c r="E195" s="29" t="s">
        <v>1346</v>
      </c>
      <c r="F195" s="30" t="s">
        <v>1347</v>
      </c>
      <c r="G195" s="30" t="s">
        <v>1348</v>
      </c>
      <c r="H195" s="30" t="s">
        <v>1349</v>
      </c>
      <c r="I195" s="29" t="s">
        <v>127</v>
      </c>
      <c r="J195" s="31">
        <v>22.0</v>
      </c>
      <c r="K195" s="36" t="s">
        <v>119</v>
      </c>
      <c r="L195" s="36" t="s">
        <v>118</v>
      </c>
      <c r="M195" s="36" t="s">
        <v>117</v>
      </c>
      <c r="N195" s="36" t="s">
        <v>119</v>
      </c>
      <c r="O195" s="36" t="s">
        <v>119</v>
      </c>
      <c r="P195" s="35"/>
      <c r="Q195" s="36" t="s">
        <v>119</v>
      </c>
      <c r="R195" s="35"/>
      <c r="S195" s="37">
        <f>IF(B195="","",IF(ISNUMBER(J195),IF(J195&lt;=10,'Configuración'!$B$23,IF(J195&lt;=50,'Configuración'!$B$24,IF(J195&lt;=200,'Configuración'!$B$25,0))),0))</f>
        <v>4</v>
      </c>
      <c r="T195" s="37">
        <f>IF(B195="","",IF(ISNUMBER(SEARCH("information technology",I195))+ISNUMBER(SEARCH("software",I195))+ISNUMBER(SEARCH("internet",I195))+ISNUMBER(SEARCH("computer",I195))+ISNUMBER(SEARCH("saas",I195))+ISNUMBER(SEARCH("fintech",I195))+ISNUMBER(SEARCH("information services",I195))+ISNUMBER(SEARCH("telecommunications",I195))&gt;0,'Configuración'!$B$27,'Configuración'!$B$28))</f>
        <v>12</v>
      </c>
      <c r="U195" s="25">
        <f>IF(B195="","",IF(ISNUMBER(SEARCH("CEO",C195))+ISNUMBER(SEARCH("Founder",C195))+ISNUMBER(SEARCH("Owner",C195))+ISNUMBER(SEARCH("Dueño",C195))+ISNUMBER(SEARCH("Director General",C195))+ISNUMBER(SEARCH("Presidente",C195))+ISNUMBER(SEARCH("President",C195))&gt;0,'Configuración'!$B$31,IF(ISNUMBER(SEARCH("CMO",C195))+ISNUMBER(SEARCH("Chief Marketing",C195))+ISNUMBER(SEARCH("VP Marketing",C195))+ISNUMBER(SEARCH("Director de Marketing",C195))+ISNUMBER(SEARCH("Director Marketing",C195))+ISNUMBER(SEARCH("Head of Marketing",C195))+ISNUMBER(SEARCH("Head Marketing",C195))&gt;0,'Configuración'!$B$32,IF(ISNUMBER(SEARCH("Marketing Manager",C195))+ISNUMBER(SEARCH("Gerente de Marketing",C195))+ISNUMBER(SEARCH("Growth Manager",C195))+ISNUMBER(SEARCH("Demand Gen",C195))+ISNUMBER(SEARCH("Marketing Lead",C195))&gt;0,'Configuración'!$B$33,IF(ISNUMBER(SEARCH("COO",C195))+ISNUMBER(SEARCH("CFO",C195))+ISNUMBER(SEARCH("CTO",C195))+ISNUMBER(SEARCH("Chief Operating",C195))+ISNUMBER(SEARCH("Chief Financial",C195))+ISNUMBER(SEARCH("Gerente General",C195))+ISNUMBER(SEARCH("General Manager",C195))&gt;0,'Configuración'!$B$34,'Configuración'!$B$35)))))</f>
        <v>12</v>
      </c>
      <c r="V195" s="38">
        <f>IF(B195="","",IF(K195="Sí",'Configuración'!$B$5,0)+IF(L195="Semanal",'Configuración'!$B$6,IF(L195="Mensual",'Configuración'!$B$7,0))+IF(M195="Sí",'Configuración'!$B$8,0)+IF(N195="Sí",'Configuración'!$B$9,0)+IF(O195="Sí",'Configuración'!$B$10,0)+IF(P195="Sí",'Configuración'!$B$11,0)+IF(Q195="Sí",'Configuración'!$B$12,0)+S195+T195+U195)</f>
        <v>52</v>
      </c>
      <c r="W195" s="39" t="str">
        <f>IF(B195="","",IF(V195&gt;='Configuración'!$B$19,"A",IF(V195&gt;='Configuración'!$B$20,"B",IF(V195&gt;='Configuración'!$B$21,"C","Descarte"))))</f>
        <v>B</v>
      </c>
    </row>
    <row r="196" ht="15.75" customHeight="1">
      <c r="A196" s="34">
        <f t="shared" si="1"/>
        <v>194</v>
      </c>
      <c r="B196" s="29" t="s">
        <v>536</v>
      </c>
      <c r="C196" s="29" t="s">
        <v>1350</v>
      </c>
      <c r="D196" s="29" t="s">
        <v>1351</v>
      </c>
      <c r="E196" s="29" t="s">
        <v>1352</v>
      </c>
      <c r="F196" s="30" t="s">
        <v>1353</v>
      </c>
      <c r="G196" s="30" t="s">
        <v>1354</v>
      </c>
      <c r="H196" s="30" t="s">
        <v>1355</v>
      </c>
      <c r="I196" s="29" t="s">
        <v>1356</v>
      </c>
      <c r="J196" s="31">
        <v>24.0</v>
      </c>
      <c r="K196" s="36" t="s">
        <v>119</v>
      </c>
      <c r="L196" s="36" t="s">
        <v>128</v>
      </c>
      <c r="M196" s="36" t="s">
        <v>119</v>
      </c>
      <c r="N196" s="36" t="s">
        <v>119</v>
      </c>
      <c r="O196" s="36" t="s">
        <v>119</v>
      </c>
      <c r="P196" s="35"/>
      <c r="Q196" s="36" t="s">
        <v>119</v>
      </c>
      <c r="R196" s="35"/>
      <c r="S196" s="37">
        <f>IF(B196="","",IF(ISNUMBER(J196),IF(J196&lt;=10,'Configuración'!$B$23,IF(J196&lt;=50,'Configuración'!$B$24,IF(J196&lt;=200,'Configuración'!$B$25,0))),0))</f>
        <v>4</v>
      </c>
      <c r="T196" s="37">
        <f>IF(B196="","",IF(ISNUMBER(SEARCH("information technology",I196))+ISNUMBER(SEARCH("software",I196))+ISNUMBER(SEARCH("internet",I196))+ISNUMBER(SEARCH("computer",I196))+ISNUMBER(SEARCH("saas",I196))+ISNUMBER(SEARCH("fintech",I196))+ISNUMBER(SEARCH("information services",I196))+ISNUMBER(SEARCH("telecommunications",I196))&gt;0,'Configuración'!$B$27,'Configuración'!$B$28))</f>
        <v>4</v>
      </c>
      <c r="U196" s="25">
        <f>IF(B196="","",IF(ISNUMBER(SEARCH("CEO",C196))+ISNUMBER(SEARCH("Founder",C196))+ISNUMBER(SEARCH("Owner",C196))+ISNUMBER(SEARCH("Dueño",C196))+ISNUMBER(SEARCH("Director General",C196))+ISNUMBER(SEARCH("Presidente",C196))+ISNUMBER(SEARCH("President",C196))&gt;0,'Configuración'!$B$31,IF(ISNUMBER(SEARCH("CMO",C196))+ISNUMBER(SEARCH("Chief Marketing",C196))+ISNUMBER(SEARCH("VP Marketing",C196))+ISNUMBER(SEARCH("Director de Marketing",C196))+ISNUMBER(SEARCH("Director Marketing",C196))+ISNUMBER(SEARCH("Head of Marketing",C196))+ISNUMBER(SEARCH("Head Marketing",C196))&gt;0,'Configuración'!$B$32,IF(ISNUMBER(SEARCH("Marketing Manager",C196))+ISNUMBER(SEARCH("Gerente de Marketing",C196))+ISNUMBER(SEARCH("Growth Manager",C196))+ISNUMBER(SEARCH("Demand Gen",C196))+ISNUMBER(SEARCH("Marketing Lead",C196))&gt;0,'Configuración'!$B$33,IF(ISNUMBER(SEARCH("COO",C196))+ISNUMBER(SEARCH("CFO",C196))+ISNUMBER(SEARCH("CTO",C196))+ISNUMBER(SEARCH("Chief Operating",C196))+ISNUMBER(SEARCH("Chief Financial",C196))+ISNUMBER(SEARCH("Gerente General",C196))+ISNUMBER(SEARCH("General Manager",C196))&gt;0,'Configuración'!$B$34,'Configuración'!$B$35)))))</f>
        <v>12</v>
      </c>
      <c r="V196" s="38">
        <f>IF(B196="","",IF(K196="Sí",'Configuración'!$B$5,0)+IF(L196="Semanal",'Configuración'!$B$6,IF(L196="Mensual",'Configuración'!$B$7,0))+IF(M196="Sí",'Configuración'!$B$8,0)+IF(N196="Sí",'Configuración'!$B$9,0)+IF(O196="Sí",'Configuración'!$B$10,0)+IF(P196="Sí",'Configuración'!$B$11,0)+IF(Q196="Sí",'Configuración'!$B$12,0)+S196+T196+U196)</f>
        <v>20</v>
      </c>
      <c r="W196" s="39" t="str">
        <f>IF(B196="","",IF(V196&gt;='Configuración'!$B$19,"A",IF(V196&gt;='Configuración'!$B$20,"B",IF(V196&gt;='Configuración'!$B$21,"C","Descarte"))))</f>
        <v>Descarte</v>
      </c>
    </row>
    <row r="197" ht="15.75" customHeight="1">
      <c r="A197" s="34">
        <f t="shared" si="1"/>
        <v>195</v>
      </c>
      <c r="B197" s="29" t="s">
        <v>578</v>
      </c>
      <c r="C197" s="29" t="s">
        <v>1357</v>
      </c>
      <c r="D197" s="29" t="s">
        <v>1358</v>
      </c>
      <c r="E197" s="29" t="s">
        <v>1359</v>
      </c>
      <c r="F197" s="30" t="s">
        <v>1360</v>
      </c>
      <c r="G197" s="30" t="s">
        <v>1361</v>
      </c>
      <c r="H197" s="30" t="s">
        <v>1362</v>
      </c>
      <c r="I197" s="29" t="s">
        <v>127</v>
      </c>
      <c r="J197" s="31">
        <v>40.0</v>
      </c>
      <c r="K197" s="36" t="s">
        <v>119</v>
      </c>
      <c r="L197" s="36" t="s">
        <v>118</v>
      </c>
      <c r="M197" s="36" t="s">
        <v>117</v>
      </c>
      <c r="N197" s="36" t="s">
        <v>119</v>
      </c>
      <c r="O197" s="36" t="s">
        <v>119</v>
      </c>
      <c r="P197" s="35"/>
      <c r="Q197" s="36" t="s">
        <v>119</v>
      </c>
      <c r="R197" s="35"/>
      <c r="S197" s="37">
        <f>IF(B197="","",IF(ISNUMBER(J197),IF(J197&lt;=10,'Configuración'!$B$23,IF(J197&lt;=50,'Configuración'!$B$24,IF(J197&lt;=200,'Configuración'!$B$25,0))),0))</f>
        <v>4</v>
      </c>
      <c r="T197" s="37">
        <f>IF(B197="","",IF(ISNUMBER(SEARCH("information technology",I197))+ISNUMBER(SEARCH("software",I197))+ISNUMBER(SEARCH("internet",I197))+ISNUMBER(SEARCH("computer",I197))+ISNUMBER(SEARCH("saas",I197))+ISNUMBER(SEARCH("fintech",I197))+ISNUMBER(SEARCH("information services",I197))+ISNUMBER(SEARCH("telecommunications",I197))&gt;0,'Configuración'!$B$27,'Configuración'!$B$28))</f>
        <v>12</v>
      </c>
      <c r="U197" s="25">
        <f>IF(B197="","",IF(ISNUMBER(SEARCH("CEO",C197))+ISNUMBER(SEARCH("Founder",C197))+ISNUMBER(SEARCH("Owner",C197))+ISNUMBER(SEARCH("Dueño",C197))+ISNUMBER(SEARCH("Director General",C197))+ISNUMBER(SEARCH("Presidente",C197))+ISNUMBER(SEARCH("President",C197))&gt;0,'Configuración'!$B$31,IF(ISNUMBER(SEARCH("CMO",C197))+ISNUMBER(SEARCH("Chief Marketing",C197))+ISNUMBER(SEARCH("VP Marketing",C197))+ISNUMBER(SEARCH("Director de Marketing",C197))+ISNUMBER(SEARCH("Director Marketing",C197))+ISNUMBER(SEARCH("Head of Marketing",C197))+ISNUMBER(SEARCH("Head Marketing",C197))&gt;0,'Configuración'!$B$32,IF(ISNUMBER(SEARCH("Marketing Manager",C197))+ISNUMBER(SEARCH("Gerente de Marketing",C197))+ISNUMBER(SEARCH("Growth Manager",C197))+ISNUMBER(SEARCH("Demand Gen",C197))+ISNUMBER(SEARCH("Marketing Lead",C197))&gt;0,'Configuración'!$B$33,IF(ISNUMBER(SEARCH("COO",C197))+ISNUMBER(SEARCH("CFO",C197))+ISNUMBER(SEARCH("CTO",C197))+ISNUMBER(SEARCH("Chief Operating",C197))+ISNUMBER(SEARCH("Chief Financial",C197))+ISNUMBER(SEARCH("Gerente General",C197))+ISNUMBER(SEARCH("General Manager",C197))&gt;0,'Configuración'!$B$34,'Configuración'!$B$35)))))</f>
        <v>12</v>
      </c>
      <c r="V197" s="38">
        <f>IF(B197="","",IF(K197="Sí",'Configuración'!$B$5,0)+IF(L197="Semanal",'Configuración'!$B$6,IF(L197="Mensual",'Configuración'!$B$7,0))+IF(M197="Sí",'Configuración'!$B$8,0)+IF(N197="Sí",'Configuración'!$B$9,0)+IF(O197="Sí",'Configuración'!$B$10,0)+IF(P197="Sí",'Configuración'!$B$11,0)+IF(Q197="Sí",'Configuración'!$B$12,0)+S197+T197+U197)</f>
        <v>52</v>
      </c>
      <c r="W197" s="39" t="str">
        <f>IF(B197="","",IF(V197&gt;='Configuración'!$B$19,"A",IF(V197&gt;='Configuración'!$B$20,"B",IF(V197&gt;='Configuración'!$B$21,"C","Descarte"))))</f>
        <v>B</v>
      </c>
    </row>
    <row r="198" ht="15.75" customHeight="1">
      <c r="A198" s="34">
        <f t="shared" si="1"/>
        <v>196</v>
      </c>
      <c r="B198" s="29" t="s">
        <v>1331</v>
      </c>
      <c r="C198" s="29" t="s">
        <v>1363</v>
      </c>
      <c r="D198" s="29" t="s">
        <v>1364</v>
      </c>
      <c r="E198" s="29" t="s">
        <v>1365</v>
      </c>
      <c r="F198" s="30" t="s">
        <v>1366</v>
      </c>
      <c r="G198" s="30" t="s">
        <v>1367</v>
      </c>
      <c r="H198" s="30" t="s">
        <v>1368</v>
      </c>
      <c r="I198" s="29" t="s">
        <v>1245</v>
      </c>
      <c r="J198" s="31">
        <v>12.0</v>
      </c>
      <c r="K198" s="36" t="s">
        <v>119</v>
      </c>
      <c r="L198" s="36" t="s">
        <v>128</v>
      </c>
      <c r="M198" s="36" t="s">
        <v>119</v>
      </c>
      <c r="N198" s="36" t="s">
        <v>119</v>
      </c>
      <c r="O198" s="36" t="s">
        <v>119</v>
      </c>
      <c r="P198" s="35"/>
      <c r="Q198" s="36" t="s">
        <v>119</v>
      </c>
      <c r="R198" s="35"/>
      <c r="S198" s="37">
        <f>IF(B198="","",IF(ISNUMBER(J198),IF(J198&lt;=10,'Configuración'!$B$23,IF(J198&lt;=50,'Configuración'!$B$24,IF(J198&lt;=200,'Configuración'!$B$25,0))),0))</f>
        <v>4</v>
      </c>
      <c r="T198" s="37">
        <f>IF(B198="","",IF(ISNUMBER(SEARCH("information technology",I198))+ISNUMBER(SEARCH("software",I198))+ISNUMBER(SEARCH("internet",I198))+ISNUMBER(SEARCH("computer",I198))+ISNUMBER(SEARCH("saas",I198))+ISNUMBER(SEARCH("fintech",I198))+ISNUMBER(SEARCH("information services",I198))+ISNUMBER(SEARCH("telecommunications",I198))&gt;0,'Configuración'!$B$27,'Configuración'!$B$28))</f>
        <v>4</v>
      </c>
      <c r="U198" s="25">
        <f>IF(B198="","",IF(ISNUMBER(SEARCH("CEO",C198))+ISNUMBER(SEARCH("Founder",C198))+ISNUMBER(SEARCH("Owner",C198))+ISNUMBER(SEARCH("Dueño",C198))+ISNUMBER(SEARCH("Director General",C198))+ISNUMBER(SEARCH("Presidente",C198))+ISNUMBER(SEARCH("President",C198))&gt;0,'Configuración'!$B$31,IF(ISNUMBER(SEARCH("CMO",C198))+ISNUMBER(SEARCH("Chief Marketing",C198))+ISNUMBER(SEARCH("VP Marketing",C198))+ISNUMBER(SEARCH("Director de Marketing",C198))+ISNUMBER(SEARCH("Director Marketing",C198))+ISNUMBER(SEARCH("Head of Marketing",C198))+ISNUMBER(SEARCH("Head Marketing",C198))&gt;0,'Configuración'!$B$32,IF(ISNUMBER(SEARCH("Marketing Manager",C198))+ISNUMBER(SEARCH("Gerente de Marketing",C198))+ISNUMBER(SEARCH("Growth Manager",C198))+ISNUMBER(SEARCH("Demand Gen",C198))+ISNUMBER(SEARCH("Marketing Lead",C198))&gt;0,'Configuración'!$B$33,IF(ISNUMBER(SEARCH("COO",C198))+ISNUMBER(SEARCH("CFO",C198))+ISNUMBER(SEARCH("CTO",C198))+ISNUMBER(SEARCH("Chief Operating",C198))+ISNUMBER(SEARCH("Chief Financial",C198))+ISNUMBER(SEARCH("Gerente General",C198))+ISNUMBER(SEARCH("General Manager",C198))&gt;0,'Configuración'!$B$34,'Configuración'!$B$35)))))</f>
        <v>4</v>
      </c>
      <c r="V198" s="38">
        <f>IF(B198="","",IF(K198="Sí",'Configuración'!$B$5,0)+IF(L198="Semanal",'Configuración'!$B$6,IF(L198="Mensual",'Configuración'!$B$7,0))+IF(M198="Sí",'Configuración'!$B$8,0)+IF(N198="Sí",'Configuración'!$B$9,0)+IF(O198="Sí",'Configuración'!$B$10,0)+IF(P198="Sí",'Configuración'!$B$11,0)+IF(Q198="Sí",'Configuración'!$B$12,0)+S198+T198+U198)</f>
        <v>12</v>
      </c>
      <c r="W198" s="39" t="str">
        <f>IF(B198="","",IF(V198&gt;='Configuración'!$B$19,"A",IF(V198&gt;='Configuración'!$B$20,"B",IF(V198&gt;='Configuración'!$B$21,"C","Descarte"))))</f>
        <v>Descarte</v>
      </c>
    </row>
    <row r="199" ht="15.75" customHeight="1">
      <c r="A199" s="34">
        <f t="shared" si="1"/>
        <v>197</v>
      </c>
      <c r="B199" s="29" t="s">
        <v>236</v>
      </c>
      <c r="C199" s="29" t="s">
        <v>1369</v>
      </c>
      <c r="D199" s="29" t="s">
        <v>1370</v>
      </c>
      <c r="E199" s="29" t="s">
        <v>1371</v>
      </c>
      <c r="F199" s="30" t="s">
        <v>1372</v>
      </c>
      <c r="G199" s="30" t="s">
        <v>1373</v>
      </c>
      <c r="H199" s="30" t="s">
        <v>1374</v>
      </c>
      <c r="I199" s="29" t="s">
        <v>350</v>
      </c>
      <c r="J199" s="31">
        <v>4.0</v>
      </c>
      <c r="K199" s="36" t="s">
        <v>119</v>
      </c>
      <c r="L199" s="36" t="s">
        <v>173</v>
      </c>
      <c r="M199" s="36" t="s">
        <v>117</v>
      </c>
      <c r="N199" s="36" t="s">
        <v>119</v>
      </c>
      <c r="O199" s="36" t="s">
        <v>119</v>
      </c>
      <c r="P199" s="35"/>
      <c r="Q199" s="36" t="s">
        <v>119</v>
      </c>
      <c r="R199" s="35"/>
      <c r="S199" s="37">
        <f>IF(B199="","",IF(ISNUMBER(J199),IF(J199&lt;=10,'Configuración'!$B$23,IF(J199&lt;=50,'Configuración'!$B$24,IF(J199&lt;=200,'Configuración'!$B$25,0))),0))</f>
        <v>12</v>
      </c>
      <c r="T199" s="37">
        <f>IF(B199="","",IF(ISNUMBER(SEARCH("information technology",I199))+ISNUMBER(SEARCH("software",I199))+ISNUMBER(SEARCH("internet",I199))+ISNUMBER(SEARCH("computer",I199))+ISNUMBER(SEARCH("saas",I199))+ISNUMBER(SEARCH("fintech",I199))+ISNUMBER(SEARCH("information services",I199))+ISNUMBER(SEARCH("telecommunications",I199))&gt;0,'Configuración'!$B$27,'Configuración'!$B$28))</f>
        <v>4</v>
      </c>
      <c r="U199" s="25">
        <f>IF(B199="","",IF(ISNUMBER(SEARCH("CEO",C199))+ISNUMBER(SEARCH("Founder",C199))+ISNUMBER(SEARCH("Owner",C199))+ISNUMBER(SEARCH("Dueño",C199))+ISNUMBER(SEARCH("Director General",C199))+ISNUMBER(SEARCH("Presidente",C199))+ISNUMBER(SEARCH("President",C199))&gt;0,'Configuración'!$B$31,IF(ISNUMBER(SEARCH("CMO",C199))+ISNUMBER(SEARCH("Chief Marketing",C199))+ISNUMBER(SEARCH("VP Marketing",C199))+ISNUMBER(SEARCH("Director de Marketing",C199))+ISNUMBER(SEARCH("Director Marketing",C199))+ISNUMBER(SEARCH("Head of Marketing",C199))+ISNUMBER(SEARCH("Head Marketing",C199))&gt;0,'Configuración'!$B$32,IF(ISNUMBER(SEARCH("Marketing Manager",C199))+ISNUMBER(SEARCH("Gerente de Marketing",C199))+ISNUMBER(SEARCH("Growth Manager",C199))+ISNUMBER(SEARCH("Demand Gen",C199))+ISNUMBER(SEARCH("Marketing Lead",C199))&gt;0,'Configuración'!$B$33,IF(ISNUMBER(SEARCH("COO",C199))+ISNUMBER(SEARCH("CFO",C199))+ISNUMBER(SEARCH("CTO",C199))+ISNUMBER(SEARCH("Chief Operating",C199))+ISNUMBER(SEARCH("Chief Financial",C199))+ISNUMBER(SEARCH("Gerente General",C199))+ISNUMBER(SEARCH("General Manager",C199))&gt;0,'Configuración'!$B$34,'Configuración'!$B$35)))))</f>
        <v>4</v>
      </c>
      <c r="V199" s="38">
        <f>IF(B199="","",IF(K199="Sí",'Configuración'!$B$5,0)+IF(L199="Semanal",'Configuración'!$B$6,IF(L199="Mensual",'Configuración'!$B$7,0))+IF(M199="Sí",'Configuración'!$B$8,0)+IF(N199="Sí",'Configuración'!$B$9,0)+IF(O199="Sí",'Configuración'!$B$10,0)+IF(P199="Sí",'Configuración'!$B$11,0)+IF(Q199="Sí",'Configuración'!$B$12,0)+S199+T199+U199)</f>
        <v>36</v>
      </c>
      <c r="W199" s="39" t="str">
        <f>IF(B199="","",IF(V199&gt;='Configuración'!$B$19,"A",IF(V199&gt;='Configuración'!$B$20,"B",IF(V199&gt;='Configuración'!$B$21,"C","Descarte"))))</f>
        <v>C</v>
      </c>
    </row>
    <row r="200" ht="15.75" customHeight="1">
      <c r="A200" s="34">
        <f t="shared" si="1"/>
        <v>198</v>
      </c>
      <c r="B200" s="29" t="s">
        <v>174</v>
      </c>
      <c r="C200" s="29" t="s">
        <v>1375</v>
      </c>
      <c r="D200" s="29" t="s">
        <v>1376</v>
      </c>
      <c r="E200" s="29" t="s">
        <v>1377</v>
      </c>
      <c r="F200" s="30" t="s">
        <v>1378</v>
      </c>
      <c r="G200" s="30" t="s">
        <v>1379</v>
      </c>
      <c r="H200" s="30" t="s">
        <v>1380</v>
      </c>
      <c r="I200" s="29" t="s">
        <v>508</v>
      </c>
      <c r="J200" s="31">
        <v>36.0</v>
      </c>
      <c r="K200" s="36" t="s">
        <v>119</v>
      </c>
      <c r="L200" s="36" t="s">
        <v>118</v>
      </c>
      <c r="M200" s="36" t="s">
        <v>117</v>
      </c>
      <c r="N200" s="36" t="s">
        <v>119</v>
      </c>
      <c r="O200" s="36" t="s">
        <v>119</v>
      </c>
      <c r="P200" s="35"/>
      <c r="Q200" s="36" t="s">
        <v>119</v>
      </c>
      <c r="R200" s="35"/>
      <c r="S200" s="37">
        <f>IF(B200="","",IF(ISNUMBER(J200),IF(J200&lt;=10,'Configuración'!$B$23,IF(J200&lt;=50,'Configuración'!$B$24,IF(J200&lt;=200,'Configuración'!$B$25,0))),0))</f>
        <v>4</v>
      </c>
      <c r="T200" s="37">
        <f>IF(B200="","",IF(ISNUMBER(SEARCH("information technology",I200))+ISNUMBER(SEARCH("software",I200))+ISNUMBER(SEARCH("internet",I200))+ISNUMBER(SEARCH("computer",I200))+ISNUMBER(SEARCH("saas",I200))+ISNUMBER(SEARCH("fintech",I200))+ISNUMBER(SEARCH("information services",I200))+ISNUMBER(SEARCH("telecommunications",I200))&gt;0,'Configuración'!$B$27,'Configuración'!$B$28))</f>
        <v>4</v>
      </c>
      <c r="U200" s="25">
        <f>IF(B200="","",IF(ISNUMBER(SEARCH("CEO",C200))+ISNUMBER(SEARCH("Founder",C200))+ISNUMBER(SEARCH("Owner",C200))+ISNUMBER(SEARCH("Dueño",C200))+ISNUMBER(SEARCH("Director General",C200))+ISNUMBER(SEARCH("Presidente",C200))+ISNUMBER(SEARCH("President",C200))&gt;0,'Configuración'!$B$31,IF(ISNUMBER(SEARCH("CMO",C200))+ISNUMBER(SEARCH("Chief Marketing",C200))+ISNUMBER(SEARCH("VP Marketing",C200))+ISNUMBER(SEARCH("Director de Marketing",C200))+ISNUMBER(SEARCH("Director Marketing",C200))+ISNUMBER(SEARCH("Head of Marketing",C200))+ISNUMBER(SEARCH("Head Marketing",C200))&gt;0,'Configuración'!$B$32,IF(ISNUMBER(SEARCH("Marketing Manager",C200))+ISNUMBER(SEARCH("Gerente de Marketing",C200))+ISNUMBER(SEARCH("Growth Manager",C200))+ISNUMBER(SEARCH("Demand Gen",C200))+ISNUMBER(SEARCH("Marketing Lead",C200))&gt;0,'Configuración'!$B$33,IF(ISNUMBER(SEARCH("COO",C200))+ISNUMBER(SEARCH("CFO",C200))+ISNUMBER(SEARCH("CTO",C200))+ISNUMBER(SEARCH("Chief Operating",C200))+ISNUMBER(SEARCH("Chief Financial",C200))+ISNUMBER(SEARCH("Gerente General",C200))+ISNUMBER(SEARCH("General Manager",C200))&gt;0,'Configuración'!$B$34,'Configuración'!$B$35)))))</f>
        <v>4</v>
      </c>
      <c r="V200" s="38">
        <f>IF(B200="","",IF(K200="Sí",'Configuración'!$B$5,0)+IF(L200="Semanal",'Configuración'!$B$6,IF(L200="Mensual",'Configuración'!$B$7,0))+IF(M200="Sí",'Configuración'!$B$8,0)+IF(N200="Sí",'Configuración'!$B$9,0)+IF(O200="Sí",'Configuración'!$B$10,0)+IF(P200="Sí",'Configuración'!$B$11,0)+IF(Q200="Sí",'Configuración'!$B$12,0)+S200+T200+U200)</f>
        <v>36</v>
      </c>
      <c r="W200" s="39" t="str">
        <f>IF(B200="","",IF(V200&gt;='Configuración'!$B$19,"A",IF(V200&gt;='Configuración'!$B$20,"B",IF(V200&gt;='Configuración'!$B$21,"C","Descarte"))))</f>
        <v>C</v>
      </c>
    </row>
    <row r="201" ht="15.75" customHeight="1">
      <c r="A201" s="34">
        <f t="shared" si="1"/>
        <v>199</v>
      </c>
      <c r="B201" s="29" t="s">
        <v>1008</v>
      </c>
      <c r="C201" s="29" t="s">
        <v>1381</v>
      </c>
      <c r="D201" s="29" t="s">
        <v>1382</v>
      </c>
      <c r="E201" s="29" t="s">
        <v>1383</v>
      </c>
      <c r="F201" s="30" t="s">
        <v>1384</v>
      </c>
      <c r="G201" s="30" t="s">
        <v>1385</v>
      </c>
      <c r="H201" s="30" t="s">
        <v>1386</v>
      </c>
      <c r="I201" s="29" t="s">
        <v>188</v>
      </c>
      <c r="J201" s="31">
        <v>6.0</v>
      </c>
      <c r="K201" s="36" t="s">
        <v>119</v>
      </c>
      <c r="L201" s="36" t="s">
        <v>128</v>
      </c>
      <c r="M201" s="36" t="s">
        <v>117</v>
      </c>
      <c r="N201" s="36" t="s">
        <v>119</v>
      </c>
      <c r="O201" s="36" t="s">
        <v>119</v>
      </c>
      <c r="P201" s="35"/>
      <c r="Q201" s="36" t="s">
        <v>119</v>
      </c>
      <c r="R201" s="35"/>
      <c r="S201" s="37">
        <f>IF(B201="","",IF(ISNUMBER(J201),IF(J201&lt;=10,'Configuración'!$B$23,IF(J201&lt;=50,'Configuración'!$B$24,IF(J201&lt;=200,'Configuración'!$B$25,0))),0))</f>
        <v>12</v>
      </c>
      <c r="T201" s="37">
        <f>IF(B201="","",IF(ISNUMBER(SEARCH("information technology",I201))+ISNUMBER(SEARCH("software",I201))+ISNUMBER(SEARCH("internet",I201))+ISNUMBER(SEARCH("computer",I201))+ISNUMBER(SEARCH("saas",I201))+ISNUMBER(SEARCH("fintech",I201))+ISNUMBER(SEARCH("information services",I201))+ISNUMBER(SEARCH("telecommunications",I201))&gt;0,'Configuración'!$B$27,'Configuración'!$B$28))</f>
        <v>4</v>
      </c>
      <c r="U201" s="25">
        <f>IF(B201="","",IF(ISNUMBER(SEARCH("CEO",C201))+ISNUMBER(SEARCH("Founder",C201))+ISNUMBER(SEARCH("Owner",C201))+ISNUMBER(SEARCH("Dueño",C201))+ISNUMBER(SEARCH("Director General",C201))+ISNUMBER(SEARCH("Presidente",C201))+ISNUMBER(SEARCH("President",C201))&gt;0,'Configuración'!$B$31,IF(ISNUMBER(SEARCH("CMO",C201))+ISNUMBER(SEARCH("Chief Marketing",C201))+ISNUMBER(SEARCH("VP Marketing",C201))+ISNUMBER(SEARCH("Director de Marketing",C201))+ISNUMBER(SEARCH("Director Marketing",C201))+ISNUMBER(SEARCH("Head of Marketing",C201))+ISNUMBER(SEARCH("Head Marketing",C201))&gt;0,'Configuración'!$B$32,IF(ISNUMBER(SEARCH("Marketing Manager",C201))+ISNUMBER(SEARCH("Gerente de Marketing",C201))+ISNUMBER(SEARCH("Growth Manager",C201))+ISNUMBER(SEARCH("Demand Gen",C201))+ISNUMBER(SEARCH("Marketing Lead",C201))&gt;0,'Configuración'!$B$33,IF(ISNUMBER(SEARCH("COO",C201))+ISNUMBER(SEARCH("CFO",C201))+ISNUMBER(SEARCH("CTO",C201))+ISNUMBER(SEARCH("Chief Operating",C201))+ISNUMBER(SEARCH("Chief Financial",C201))+ISNUMBER(SEARCH("Gerente General",C201))+ISNUMBER(SEARCH("General Manager",C201))&gt;0,'Configuración'!$B$34,'Configuración'!$B$35)))))</f>
        <v>12</v>
      </c>
      <c r="V201" s="38">
        <f>IF(B201="","",IF(K201="Sí",'Configuración'!$B$5,0)+IF(L201="Semanal",'Configuración'!$B$6,IF(L201="Mensual",'Configuración'!$B$7,0))+IF(M201="Sí",'Configuración'!$B$8,0)+IF(N201="Sí",'Configuración'!$B$9,0)+IF(O201="Sí",'Configuración'!$B$10,0)+IF(P201="Sí",'Configuración'!$B$11,0)+IF(Q201="Sí",'Configuración'!$B$12,0)+S201+T201+U201)</f>
        <v>40</v>
      </c>
      <c r="W201" s="39" t="str">
        <f>IF(B201="","",IF(V201&gt;='Configuración'!$B$19,"A",IF(V201&gt;='Configuración'!$B$20,"B",IF(V201&gt;='Configuración'!$B$21,"C","Descarte"))))</f>
        <v>B</v>
      </c>
    </row>
    <row r="202" ht="15.75" customHeight="1">
      <c r="A202" s="34">
        <f t="shared" si="1"/>
        <v>200</v>
      </c>
      <c r="B202" s="29" t="s">
        <v>1387</v>
      </c>
      <c r="C202" s="29" t="s">
        <v>318</v>
      </c>
      <c r="D202" s="29" t="s">
        <v>1388</v>
      </c>
      <c r="E202" s="29" t="s">
        <v>1389</v>
      </c>
      <c r="F202" s="30" t="s">
        <v>1390</v>
      </c>
      <c r="G202" s="30" t="s">
        <v>1391</v>
      </c>
      <c r="H202" s="30" t="s">
        <v>1392</v>
      </c>
      <c r="I202" s="29" t="s">
        <v>1393</v>
      </c>
      <c r="J202" s="31">
        <v>37.0</v>
      </c>
      <c r="K202" s="36" t="s">
        <v>119</v>
      </c>
      <c r="L202" s="36" t="s">
        <v>118</v>
      </c>
      <c r="M202" s="36" t="s">
        <v>117</v>
      </c>
      <c r="N202" s="36" t="s">
        <v>119</v>
      </c>
      <c r="O202" s="36" t="s">
        <v>119</v>
      </c>
      <c r="P202" s="35"/>
      <c r="Q202" s="36" t="s">
        <v>119</v>
      </c>
      <c r="R202" s="35"/>
      <c r="S202" s="37">
        <f>IF(B202="","",IF(ISNUMBER(J202),IF(J202&lt;=10,'Configuración'!$B$23,IF(J202&lt;=50,'Configuración'!$B$24,IF(J202&lt;=200,'Configuración'!$B$25,0))),0))</f>
        <v>4</v>
      </c>
      <c r="T202" s="37">
        <f>IF(B202="","",IF(ISNUMBER(SEARCH("information technology",I202))+ISNUMBER(SEARCH("software",I202))+ISNUMBER(SEARCH("internet",I202))+ISNUMBER(SEARCH("computer",I202))+ISNUMBER(SEARCH("saas",I202))+ISNUMBER(SEARCH("fintech",I202))+ISNUMBER(SEARCH("information services",I202))+ISNUMBER(SEARCH("telecommunications",I202))&gt;0,'Configuración'!$B$27,'Configuración'!$B$28))</f>
        <v>4</v>
      </c>
      <c r="U202" s="25">
        <f>IF(B202="","",IF(ISNUMBER(SEARCH("CEO",C202))+ISNUMBER(SEARCH("Founder",C202))+ISNUMBER(SEARCH("Owner",C202))+ISNUMBER(SEARCH("Dueño",C202))+ISNUMBER(SEARCH("Director General",C202))+ISNUMBER(SEARCH("Presidente",C202))+ISNUMBER(SEARCH("President",C202))&gt;0,'Configuración'!$B$31,IF(ISNUMBER(SEARCH("CMO",C202))+ISNUMBER(SEARCH("Chief Marketing",C202))+ISNUMBER(SEARCH("VP Marketing",C202))+ISNUMBER(SEARCH("Director de Marketing",C202))+ISNUMBER(SEARCH("Director Marketing",C202))+ISNUMBER(SEARCH("Head of Marketing",C202))+ISNUMBER(SEARCH("Head Marketing",C202))&gt;0,'Configuración'!$B$32,IF(ISNUMBER(SEARCH("Marketing Manager",C202))+ISNUMBER(SEARCH("Gerente de Marketing",C202))+ISNUMBER(SEARCH("Growth Manager",C202))+ISNUMBER(SEARCH("Demand Gen",C202))+ISNUMBER(SEARCH("Marketing Lead",C202))&gt;0,'Configuración'!$B$33,IF(ISNUMBER(SEARCH("COO",C202))+ISNUMBER(SEARCH("CFO",C202))+ISNUMBER(SEARCH("CTO",C202))+ISNUMBER(SEARCH("Chief Operating",C202))+ISNUMBER(SEARCH("Chief Financial",C202))+ISNUMBER(SEARCH("Gerente General",C202))+ISNUMBER(SEARCH("General Manager",C202))&gt;0,'Configuración'!$B$34,'Configuración'!$B$35)))))</f>
        <v>4</v>
      </c>
      <c r="V202" s="38">
        <f>IF(B202="","",IF(K202="Sí",'Configuración'!$B$5,0)+IF(L202="Semanal",'Configuración'!$B$6,IF(L202="Mensual",'Configuración'!$B$7,0))+IF(M202="Sí",'Configuración'!$B$8,0)+IF(N202="Sí",'Configuración'!$B$9,0)+IF(O202="Sí",'Configuración'!$B$10,0)+IF(P202="Sí",'Configuración'!$B$11,0)+IF(Q202="Sí",'Configuración'!$B$12,0)+S202+T202+U202)</f>
        <v>36</v>
      </c>
      <c r="W202" s="39" t="str">
        <f>IF(B202="","",IF(V202&gt;='Configuración'!$B$19,"A",IF(V202&gt;='Configuración'!$B$20,"B",IF(V202&gt;='Configuración'!$B$21,"C","Descarte"))))</f>
        <v>C</v>
      </c>
    </row>
    <row r="203" ht="15.75" customHeight="1">
      <c r="A203" s="34">
        <f t="shared" si="1"/>
        <v>201</v>
      </c>
      <c r="B203" s="29" t="s">
        <v>174</v>
      </c>
      <c r="C203" s="29" t="s">
        <v>202</v>
      </c>
      <c r="D203" s="29" t="s">
        <v>1394</v>
      </c>
      <c r="E203" s="29" t="s">
        <v>1395</v>
      </c>
      <c r="F203" s="30" t="s">
        <v>1396</v>
      </c>
      <c r="G203" s="30" t="s">
        <v>1397</v>
      </c>
      <c r="H203" s="30" t="s">
        <v>1398</v>
      </c>
      <c r="I203" s="29" t="s">
        <v>188</v>
      </c>
      <c r="J203" s="31">
        <v>4.0</v>
      </c>
      <c r="K203" s="36" t="s">
        <v>119</v>
      </c>
      <c r="L203" s="36" t="s">
        <v>128</v>
      </c>
      <c r="M203" s="36" t="s">
        <v>117</v>
      </c>
      <c r="N203" s="36" t="s">
        <v>119</v>
      </c>
      <c r="O203" s="36" t="s">
        <v>119</v>
      </c>
      <c r="P203" s="35"/>
      <c r="Q203" s="36" t="s">
        <v>119</v>
      </c>
      <c r="R203" s="35"/>
      <c r="S203" s="37">
        <f>IF(B203="","",IF(ISNUMBER(J203),IF(J203&lt;=10,'Configuración'!$B$23,IF(J203&lt;=50,'Configuración'!$B$24,IF(J203&lt;=200,'Configuración'!$B$25,0))),0))</f>
        <v>12</v>
      </c>
      <c r="T203" s="37">
        <f>IF(B203="","",IF(ISNUMBER(SEARCH("information technology",I203))+ISNUMBER(SEARCH("software",I203))+ISNUMBER(SEARCH("internet",I203))+ISNUMBER(SEARCH("computer",I203))+ISNUMBER(SEARCH("saas",I203))+ISNUMBER(SEARCH("fintech",I203))+ISNUMBER(SEARCH("information services",I203))+ISNUMBER(SEARCH("telecommunications",I203))&gt;0,'Configuración'!$B$27,'Configuración'!$B$28))</f>
        <v>4</v>
      </c>
      <c r="U203" s="25">
        <f>IF(B203="","",IF(ISNUMBER(SEARCH("CEO",C203))+ISNUMBER(SEARCH("Founder",C203))+ISNUMBER(SEARCH("Owner",C203))+ISNUMBER(SEARCH("Dueño",C203))+ISNUMBER(SEARCH("Director General",C203))+ISNUMBER(SEARCH("Presidente",C203))+ISNUMBER(SEARCH("President",C203))&gt;0,'Configuración'!$B$31,IF(ISNUMBER(SEARCH("CMO",C203))+ISNUMBER(SEARCH("Chief Marketing",C203))+ISNUMBER(SEARCH("VP Marketing",C203))+ISNUMBER(SEARCH("Director de Marketing",C203))+ISNUMBER(SEARCH("Director Marketing",C203))+ISNUMBER(SEARCH("Head of Marketing",C203))+ISNUMBER(SEARCH("Head Marketing",C203))&gt;0,'Configuración'!$B$32,IF(ISNUMBER(SEARCH("Marketing Manager",C203))+ISNUMBER(SEARCH("Gerente de Marketing",C203))+ISNUMBER(SEARCH("Growth Manager",C203))+ISNUMBER(SEARCH("Demand Gen",C203))+ISNUMBER(SEARCH("Marketing Lead",C203))&gt;0,'Configuración'!$B$33,IF(ISNUMBER(SEARCH("COO",C203))+ISNUMBER(SEARCH("CFO",C203))+ISNUMBER(SEARCH("CTO",C203))+ISNUMBER(SEARCH("Chief Operating",C203))+ISNUMBER(SEARCH("Chief Financial",C203))+ISNUMBER(SEARCH("Gerente General",C203))+ISNUMBER(SEARCH("General Manager",C203))&gt;0,'Configuración'!$B$34,'Configuración'!$B$35)))))</f>
        <v>12</v>
      </c>
      <c r="V203" s="38">
        <f>IF(B203="","",IF(K203="Sí",'Configuración'!$B$5,0)+IF(L203="Semanal",'Configuración'!$B$6,IF(L203="Mensual",'Configuración'!$B$7,0))+IF(M203="Sí",'Configuración'!$B$8,0)+IF(N203="Sí",'Configuración'!$B$9,0)+IF(O203="Sí",'Configuración'!$B$10,0)+IF(P203="Sí",'Configuración'!$B$11,0)+IF(Q203="Sí",'Configuración'!$B$12,0)+S203+T203+U203)</f>
        <v>40</v>
      </c>
      <c r="W203" s="39" t="str">
        <f>IF(B203="","",IF(V203&gt;='Configuración'!$B$19,"A",IF(V203&gt;='Configuración'!$B$20,"B",IF(V203&gt;='Configuración'!$B$21,"C","Descarte"))))</f>
        <v>B</v>
      </c>
    </row>
    <row r="204" ht="15.75" customHeight="1">
      <c r="A204" s="34">
        <f t="shared" si="1"/>
        <v>202</v>
      </c>
      <c r="B204" s="29" t="s">
        <v>181</v>
      </c>
      <c r="C204" s="29" t="s">
        <v>175</v>
      </c>
      <c r="D204" s="29" t="s">
        <v>1399</v>
      </c>
      <c r="E204" s="29" t="s">
        <v>1400</v>
      </c>
      <c r="F204" s="30" t="s">
        <v>1401</v>
      </c>
      <c r="G204" s="30" t="s">
        <v>1402</v>
      </c>
      <c r="H204" s="30" t="s">
        <v>1403</v>
      </c>
      <c r="I204" s="29" t="s">
        <v>1404</v>
      </c>
      <c r="J204" s="31">
        <v>7.0</v>
      </c>
      <c r="K204" s="36" t="s">
        <v>119</v>
      </c>
      <c r="L204" s="36" t="s">
        <v>118</v>
      </c>
      <c r="M204" s="36" t="s">
        <v>117</v>
      </c>
      <c r="N204" s="36" t="s">
        <v>119</v>
      </c>
      <c r="O204" s="36" t="s">
        <v>119</v>
      </c>
      <c r="P204" s="35"/>
      <c r="Q204" s="36" t="s">
        <v>119</v>
      </c>
      <c r="R204" s="35"/>
      <c r="S204" s="37">
        <f>IF(B204="","",IF(ISNUMBER(J204),IF(J204&lt;=10,'Configuración'!$B$23,IF(J204&lt;=50,'Configuración'!$B$24,IF(J204&lt;=200,'Configuración'!$B$25,0))),0))</f>
        <v>12</v>
      </c>
      <c r="T204" s="37">
        <f>IF(B204="","",IF(ISNUMBER(SEARCH("information technology",I204))+ISNUMBER(SEARCH("software",I204))+ISNUMBER(SEARCH("internet",I204))+ISNUMBER(SEARCH("computer",I204))+ISNUMBER(SEARCH("saas",I204))+ISNUMBER(SEARCH("fintech",I204))+ISNUMBER(SEARCH("information services",I204))+ISNUMBER(SEARCH("telecommunications",I204))&gt;0,'Configuración'!$B$27,'Configuración'!$B$28))</f>
        <v>4</v>
      </c>
      <c r="U204" s="25">
        <f>IF(B204="","",IF(ISNUMBER(SEARCH("CEO",C204))+ISNUMBER(SEARCH("Founder",C204))+ISNUMBER(SEARCH("Owner",C204))+ISNUMBER(SEARCH("Dueño",C204))+ISNUMBER(SEARCH("Director General",C204))+ISNUMBER(SEARCH("Presidente",C204))+ISNUMBER(SEARCH("President",C204))&gt;0,'Configuración'!$B$31,IF(ISNUMBER(SEARCH("CMO",C204))+ISNUMBER(SEARCH("Chief Marketing",C204))+ISNUMBER(SEARCH("VP Marketing",C204))+ISNUMBER(SEARCH("Director de Marketing",C204))+ISNUMBER(SEARCH("Director Marketing",C204))+ISNUMBER(SEARCH("Head of Marketing",C204))+ISNUMBER(SEARCH("Head Marketing",C204))&gt;0,'Configuración'!$B$32,IF(ISNUMBER(SEARCH("Marketing Manager",C204))+ISNUMBER(SEARCH("Gerente de Marketing",C204))+ISNUMBER(SEARCH("Growth Manager",C204))+ISNUMBER(SEARCH("Demand Gen",C204))+ISNUMBER(SEARCH("Marketing Lead",C204))&gt;0,'Configuración'!$B$33,IF(ISNUMBER(SEARCH("COO",C204))+ISNUMBER(SEARCH("CFO",C204))+ISNUMBER(SEARCH("CTO",C204))+ISNUMBER(SEARCH("Chief Operating",C204))+ISNUMBER(SEARCH("Chief Financial",C204))+ISNUMBER(SEARCH("Gerente General",C204))+ISNUMBER(SEARCH("General Manager",C204))&gt;0,'Configuración'!$B$34,'Configuración'!$B$35)))))</f>
        <v>12</v>
      </c>
      <c r="V204" s="38">
        <f>IF(B204="","",IF(K204="Sí",'Configuración'!$B$5,0)+IF(L204="Semanal",'Configuración'!$B$6,IF(L204="Mensual",'Configuración'!$B$7,0))+IF(M204="Sí",'Configuración'!$B$8,0)+IF(N204="Sí",'Configuración'!$B$9,0)+IF(O204="Sí",'Configuración'!$B$10,0)+IF(P204="Sí",'Configuración'!$B$11,0)+IF(Q204="Sí",'Configuración'!$B$12,0)+S204+T204+U204)</f>
        <v>52</v>
      </c>
      <c r="W204" s="39" t="str">
        <f>IF(B204="","",IF(V204&gt;='Configuración'!$B$19,"A",IF(V204&gt;='Configuración'!$B$20,"B",IF(V204&gt;='Configuración'!$B$21,"C","Descarte"))))</f>
        <v>B</v>
      </c>
    </row>
    <row r="205" ht="15.75" customHeight="1">
      <c r="A205" s="34">
        <f t="shared" si="1"/>
        <v>203</v>
      </c>
      <c r="B205" s="29" t="s">
        <v>138</v>
      </c>
      <c r="C205" s="29" t="s">
        <v>1405</v>
      </c>
      <c r="D205" s="29" t="s">
        <v>1406</v>
      </c>
      <c r="E205" s="29" t="s">
        <v>1407</v>
      </c>
      <c r="F205" s="30" t="s">
        <v>1408</v>
      </c>
      <c r="G205" s="30" t="s">
        <v>1409</v>
      </c>
      <c r="H205" s="30" t="s">
        <v>1410</v>
      </c>
      <c r="I205" s="29" t="s">
        <v>127</v>
      </c>
      <c r="J205" s="31">
        <v>11.0</v>
      </c>
      <c r="K205" s="36" t="s">
        <v>119</v>
      </c>
      <c r="L205" s="36" t="s">
        <v>118</v>
      </c>
      <c r="M205" s="36" t="s">
        <v>117</v>
      </c>
      <c r="N205" s="36" t="s">
        <v>119</v>
      </c>
      <c r="O205" s="36" t="s">
        <v>119</v>
      </c>
      <c r="P205" s="35"/>
      <c r="Q205" s="36" t="s">
        <v>119</v>
      </c>
      <c r="R205" s="36" t="s">
        <v>230</v>
      </c>
      <c r="S205" s="37">
        <f>IF(B205="","",IF(ISNUMBER(J205),IF(J205&lt;=10,'Configuración'!$B$23,IF(J205&lt;=50,'Configuración'!$B$24,IF(J205&lt;=200,'Configuración'!$B$25,0))),0))</f>
        <v>4</v>
      </c>
      <c r="T205" s="37">
        <f>IF(B205="","",IF(ISNUMBER(SEARCH("information technology",I205))+ISNUMBER(SEARCH("software",I205))+ISNUMBER(SEARCH("internet",I205))+ISNUMBER(SEARCH("computer",I205))+ISNUMBER(SEARCH("saas",I205))+ISNUMBER(SEARCH("fintech",I205))+ISNUMBER(SEARCH("information services",I205))+ISNUMBER(SEARCH("telecommunications",I205))&gt;0,'Configuración'!$B$27,'Configuración'!$B$28))</f>
        <v>12</v>
      </c>
      <c r="U205" s="25">
        <f>IF(B205="","",IF(ISNUMBER(SEARCH("CEO",C205))+ISNUMBER(SEARCH("Founder",C205))+ISNUMBER(SEARCH("Owner",C205))+ISNUMBER(SEARCH("Dueño",C205))+ISNUMBER(SEARCH("Director General",C205))+ISNUMBER(SEARCH("Presidente",C205))+ISNUMBER(SEARCH("President",C205))&gt;0,'Configuración'!$B$31,IF(ISNUMBER(SEARCH("CMO",C205))+ISNUMBER(SEARCH("Chief Marketing",C205))+ISNUMBER(SEARCH("VP Marketing",C205))+ISNUMBER(SEARCH("Director de Marketing",C205))+ISNUMBER(SEARCH("Director Marketing",C205))+ISNUMBER(SEARCH("Head of Marketing",C205))+ISNUMBER(SEARCH("Head Marketing",C205))&gt;0,'Configuración'!$B$32,IF(ISNUMBER(SEARCH("Marketing Manager",C205))+ISNUMBER(SEARCH("Gerente de Marketing",C205))+ISNUMBER(SEARCH("Growth Manager",C205))+ISNUMBER(SEARCH("Demand Gen",C205))+ISNUMBER(SEARCH("Marketing Lead",C205))&gt;0,'Configuración'!$B$33,IF(ISNUMBER(SEARCH("COO",C205))+ISNUMBER(SEARCH("CFO",C205))+ISNUMBER(SEARCH("CTO",C205))+ISNUMBER(SEARCH("Chief Operating",C205))+ISNUMBER(SEARCH("Chief Financial",C205))+ISNUMBER(SEARCH("Gerente General",C205))+ISNUMBER(SEARCH("General Manager",C205))&gt;0,'Configuración'!$B$34,'Configuración'!$B$35)))))</f>
        <v>12</v>
      </c>
      <c r="V205" s="38">
        <f>IF(B205="","",IF(K205="Sí",'Configuración'!$B$5,0)+IF(L205="Semanal",'Configuración'!$B$6,IF(L205="Mensual",'Configuración'!$B$7,0))+IF(M205="Sí",'Configuración'!$B$8,0)+IF(N205="Sí",'Configuración'!$B$9,0)+IF(O205="Sí",'Configuración'!$B$10,0)+IF(P205="Sí",'Configuración'!$B$11,0)+IF(Q205="Sí",'Configuración'!$B$12,0)+S205+T205+U205)</f>
        <v>52</v>
      </c>
      <c r="W205" s="39" t="str">
        <f>IF(B205="","",IF(V205&gt;='Configuración'!$B$19,"A",IF(V205&gt;='Configuración'!$B$20,"B",IF(V205&gt;='Configuración'!$B$21,"C","Descarte"))))</f>
        <v>B</v>
      </c>
    </row>
    <row r="206" ht="15.75" customHeight="1">
      <c r="A206" s="34">
        <f t="shared" si="1"/>
        <v>204</v>
      </c>
      <c r="B206" s="29" t="s">
        <v>1072</v>
      </c>
      <c r="C206" s="29" t="s">
        <v>1411</v>
      </c>
      <c r="D206" s="29" t="s">
        <v>1412</v>
      </c>
      <c r="E206" s="29" t="s">
        <v>1413</v>
      </c>
      <c r="F206" s="30" t="s">
        <v>1414</v>
      </c>
      <c r="G206" s="30" t="s">
        <v>1415</v>
      </c>
      <c r="H206" s="30" t="s">
        <v>1416</v>
      </c>
      <c r="I206" s="29" t="s">
        <v>188</v>
      </c>
      <c r="J206" s="31">
        <v>2.0</v>
      </c>
      <c r="K206" s="36" t="s">
        <v>119</v>
      </c>
      <c r="L206" s="36" t="s">
        <v>118</v>
      </c>
      <c r="M206" s="36" t="s">
        <v>117</v>
      </c>
      <c r="N206" s="36" t="s">
        <v>119</v>
      </c>
      <c r="O206" s="36" t="s">
        <v>119</v>
      </c>
      <c r="P206" s="35"/>
      <c r="Q206" s="36" t="s">
        <v>119</v>
      </c>
      <c r="R206" s="35"/>
      <c r="S206" s="37">
        <f>IF(B206="","",IF(ISNUMBER(J206),IF(J206&lt;=10,'Configuración'!$B$23,IF(J206&lt;=50,'Configuración'!$B$24,IF(J206&lt;=200,'Configuración'!$B$25,0))),0))</f>
        <v>12</v>
      </c>
      <c r="T206" s="37">
        <f>IF(B206="","",IF(ISNUMBER(SEARCH("information technology",I206))+ISNUMBER(SEARCH("software",I206))+ISNUMBER(SEARCH("internet",I206))+ISNUMBER(SEARCH("computer",I206))+ISNUMBER(SEARCH("saas",I206))+ISNUMBER(SEARCH("fintech",I206))+ISNUMBER(SEARCH("information services",I206))+ISNUMBER(SEARCH("telecommunications",I206))&gt;0,'Configuración'!$B$27,'Configuración'!$B$28))</f>
        <v>4</v>
      </c>
      <c r="U206" s="25">
        <f>IF(B206="","",IF(ISNUMBER(SEARCH("CEO",C206))+ISNUMBER(SEARCH("Founder",C206))+ISNUMBER(SEARCH("Owner",C206))+ISNUMBER(SEARCH("Dueño",C206))+ISNUMBER(SEARCH("Director General",C206))+ISNUMBER(SEARCH("Presidente",C206))+ISNUMBER(SEARCH("President",C206))&gt;0,'Configuración'!$B$31,IF(ISNUMBER(SEARCH("CMO",C206))+ISNUMBER(SEARCH("Chief Marketing",C206))+ISNUMBER(SEARCH("VP Marketing",C206))+ISNUMBER(SEARCH("Director de Marketing",C206))+ISNUMBER(SEARCH("Director Marketing",C206))+ISNUMBER(SEARCH("Head of Marketing",C206))+ISNUMBER(SEARCH("Head Marketing",C206))&gt;0,'Configuración'!$B$32,IF(ISNUMBER(SEARCH("Marketing Manager",C206))+ISNUMBER(SEARCH("Gerente de Marketing",C206))+ISNUMBER(SEARCH("Growth Manager",C206))+ISNUMBER(SEARCH("Demand Gen",C206))+ISNUMBER(SEARCH("Marketing Lead",C206))&gt;0,'Configuración'!$B$33,IF(ISNUMBER(SEARCH("COO",C206))+ISNUMBER(SEARCH("CFO",C206))+ISNUMBER(SEARCH("CTO",C206))+ISNUMBER(SEARCH("Chief Operating",C206))+ISNUMBER(SEARCH("Chief Financial",C206))+ISNUMBER(SEARCH("Gerente General",C206))+ISNUMBER(SEARCH("General Manager",C206))&gt;0,'Configuración'!$B$34,'Configuración'!$B$35)))))</f>
        <v>0</v>
      </c>
      <c r="V206" s="38">
        <f>IF(B206="","",IF(K206="Sí",'Configuración'!$B$5,0)+IF(L206="Semanal",'Configuración'!$B$6,IF(L206="Mensual",'Configuración'!$B$7,0))+IF(M206="Sí",'Configuración'!$B$8,0)+IF(N206="Sí",'Configuración'!$B$9,0)+IF(O206="Sí",'Configuración'!$B$10,0)+IF(P206="Sí",'Configuración'!$B$11,0)+IF(Q206="Sí",'Configuración'!$B$12,0)+S206+T206+U206)</f>
        <v>40</v>
      </c>
      <c r="W206" s="39" t="str">
        <f>IF(B206="","",IF(V206&gt;='Configuración'!$B$19,"A",IF(V206&gt;='Configuración'!$B$20,"B",IF(V206&gt;='Configuración'!$B$21,"C","Descarte"))))</f>
        <v>B</v>
      </c>
    </row>
    <row r="207" ht="15.75" customHeight="1">
      <c r="A207" s="34">
        <f t="shared" si="1"/>
        <v>205</v>
      </c>
      <c r="B207" s="29" t="s">
        <v>1417</v>
      </c>
      <c r="C207" s="29" t="s">
        <v>597</v>
      </c>
      <c r="D207" s="29" t="s">
        <v>1418</v>
      </c>
      <c r="E207" s="29" t="s">
        <v>1419</v>
      </c>
      <c r="F207" s="30" t="s">
        <v>1420</v>
      </c>
      <c r="G207" s="30" t="s">
        <v>1421</v>
      </c>
      <c r="H207" s="30" t="s">
        <v>1422</v>
      </c>
      <c r="I207" s="29" t="s">
        <v>127</v>
      </c>
      <c r="J207" s="31">
        <v>7.0</v>
      </c>
      <c r="K207" s="36" t="s">
        <v>119</v>
      </c>
      <c r="L207" s="36" t="s">
        <v>128</v>
      </c>
      <c r="M207" s="36" t="s">
        <v>119</v>
      </c>
      <c r="N207" s="36" t="s">
        <v>119</v>
      </c>
      <c r="O207" s="36" t="s">
        <v>119</v>
      </c>
      <c r="P207" s="35"/>
      <c r="Q207" s="36" t="s">
        <v>119</v>
      </c>
      <c r="R207" s="36" t="s">
        <v>230</v>
      </c>
      <c r="S207" s="37">
        <f>IF(B207="","",IF(ISNUMBER(J207),IF(J207&lt;=10,'Configuración'!$B$23,IF(J207&lt;=50,'Configuración'!$B$24,IF(J207&lt;=200,'Configuración'!$B$25,0))),0))</f>
        <v>12</v>
      </c>
      <c r="T207" s="37">
        <f>IF(B207="","",IF(ISNUMBER(SEARCH("information technology",I207))+ISNUMBER(SEARCH("software",I207))+ISNUMBER(SEARCH("internet",I207))+ISNUMBER(SEARCH("computer",I207))+ISNUMBER(SEARCH("saas",I207))+ISNUMBER(SEARCH("fintech",I207))+ISNUMBER(SEARCH("information services",I207))+ISNUMBER(SEARCH("telecommunications",I207))&gt;0,'Configuración'!$B$27,'Configuración'!$B$28))</f>
        <v>12</v>
      </c>
      <c r="U207" s="25">
        <f>IF(B207="","",IF(ISNUMBER(SEARCH("CEO",C207))+ISNUMBER(SEARCH("Founder",C207))+ISNUMBER(SEARCH("Owner",C207))+ISNUMBER(SEARCH("Dueño",C207))+ISNUMBER(SEARCH("Director General",C207))+ISNUMBER(SEARCH("Presidente",C207))+ISNUMBER(SEARCH("President",C207))&gt;0,'Configuración'!$B$31,IF(ISNUMBER(SEARCH("CMO",C207))+ISNUMBER(SEARCH("Chief Marketing",C207))+ISNUMBER(SEARCH("VP Marketing",C207))+ISNUMBER(SEARCH("Director de Marketing",C207))+ISNUMBER(SEARCH("Director Marketing",C207))+ISNUMBER(SEARCH("Head of Marketing",C207))+ISNUMBER(SEARCH("Head Marketing",C207))&gt;0,'Configuración'!$B$32,IF(ISNUMBER(SEARCH("Marketing Manager",C207))+ISNUMBER(SEARCH("Gerente de Marketing",C207))+ISNUMBER(SEARCH("Growth Manager",C207))+ISNUMBER(SEARCH("Demand Gen",C207))+ISNUMBER(SEARCH("Marketing Lead",C207))&gt;0,'Configuración'!$B$33,IF(ISNUMBER(SEARCH("COO",C207))+ISNUMBER(SEARCH("CFO",C207))+ISNUMBER(SEARCH("CTO",C207))+ISNUMBER(SEARCH("Chief Operating",C207))+ISNUMBER(SEARCH("Chief Financial",C207))+ISNUMBER(SEARCH("Gerente General",C207))+ISNUMBER(SEARCH("General Manager",C207))&gt;0,'Configuración'!$B$34,'Configuración'!$B$35)))))</f>
        <v>12</v>
      </c>
      <c r="V207" s="38">
        <f>IF(B207="","",IF(K207="Sí",'Configuración'!$B$5,0)+IF(L207="Semanal",'Configuración'!$B$6,IF(L207="Mensual",'Configuración'!$B$7,0))+IF(M207="Sí",'Configuración'!$B$8,0)+IF(N207="Sí",'Configuración'!$B$9,0)+IF(O207="Sí",'Configuración'!$B$10,0)+IF(P207="Sí",'Configuración'!$B$11,0)+IF(Q207="Sí",'Configuración'!$B$12,0)+S207+T207+U207)</f>
        <v>36</v>
      </c>
      <c r="W207" s="39" t="str">
        <f>IF(B207="","",IF(V207&gt;='Configuración'!$B$19,"A",IF(V207&gt;='Configuración'!$B$20,"B",IF(V207&gt;='Configuración'!$B$21,"C","Descarte"))))</f>
        <v>C</v>
      </c>
    </row>
    <row r="208" ht="15.75" customHeight="1">
      <c r="A208" s="34">
        <f t="shared" si="1"/>
        <v>206</v>
      </c>
      <c r="B208" s="29" t="s">
        <v>529</v>
      </c>
      <c r="C208" s="29" t="s">
        <v>1423</v>
      </c>
      <c r="D208" s="29" t="s">
        <v>1424</v>
      </c>
      <c r="E208" s="29" t="s">
        <v>1425</v>
      </c>
      <c r="F208" s="30" t="s">
        <v>1426</v>
      </c>
      <c r="G208" s="30" t="s">
        <v>1427</v>
      </c>
      <c r="H208" s="30" t="s">
        <v>1428</v>
      </c>
      <c r="I208" s="29" t="s">
        <v>1429</v>
      </c>
      <c r="J208" s="31">
        <v>33.0</v>
      </c>
      <c r="K208" s="36" t="s">
        <v>119</v>
      </c>
      <c r="L208" s="36" t="s">
        <v>128</v>
      </c>
      <c r="M208" s="36" t="s">
        <v>119</v>
      </c>
      <c r="N208" s="36" t="s">
        <v>119</v>
      </c>
      <c r="O208" s="36" t="s">
        <v>117</v>
      </c>
      <c r="P208" s="35"/>
      <c r="Q208" s="36" t="s">
        <v>119</v>
      </c>
      <c r="R208" s="35"/>
      <c r="S208" s="37">
        <f>IF(B208="","",IF(ISNUMBER(J208),IF(J208&lt;=10,'Configuración'!$B$23,IF(J208&lt;=50,'Configuración'!$B$24,IF(J208&lt;=200,'Configuración'!$B$25,0))),0))</f>
        <v>4</v>
      </c>
      <c r="T208" s="37">
        <f>IF(B208="","",IF(ISNUMBER(SEARCH("information technology",I208))+ISNUMBER(SEARCH("software",I208))+ISNUMBER(SEARCH("internet",I208))+ISNUMBER(SEARCH("computer",I208))+ISNUMBER(SEARCH("saas",I208))+ISNUMBER(SEARCH("fintech",I208))+ISNUMBER(SEARCH("information services",I208))+ISNUMBER(SEARCH("telecommunications",I208))&gt;0,'Configuración'!$B$27,'Configuración'!$B$28))</f>
        <v>4</v>
      </c>
      <c r="U208" s="25">
        <f>IF(B208="","",IF(ISNUMBER(SEARCH("CEO",C208))+ISNUMBER(SEARCH("Founder",C208))+ISNUMBER(SEARCH("Owner",C208))+ISNUMBER(SEARCH("Dueño",C208))+ISNUMBER(SEARCH("Director General",C208))+ISNUMBER(SEARCH("Presidente",C208))+ISNUMBER(SEARCH("President",C208))&gt;0,'Configuración'!$B$31,IF(ISNUMBER(SEARCH("CMO",C208))+ISNUMBER(SEARCH("Chief Marketing",C208))+ISNUMBER(SEARCH("VP Marketing",C208))+ISNUMBER(SEARCH("Director de Marketing",C208))+ISNUMBER(SEARCH("Director Marketing",C208))+ISNUMBER(SEARCH("Head of Marketing",C208))+ISNUMBER(SEARCH("Head Marketing",C208))&gt;0,'Configuración'!$B$32,IF(ISNUMBER(SEARCH("Marketing Manager",C208))+ISNUMBER(SEARCH("Gerente de Marketing",C208))+ISNUMBER(SEARCH("Growth Manager",C208))+ISNUMBER(SEARCH("Demand Gen",C208))+ISNUMBER(SEARCH("Marketing Lead",C208))&gt;0,'Configuración'!$B$33,IF(ISNUMBER(SEARCH("COO",C208))+ISNUMBER(SEARCH("CFO",C208))+ISNUMBER(SEARCH("CTO",C208))+ISNUMBER(SEARCH("Chief Operating",C208))+ISNUMBER(SEARCH("Chief Financial",C208))+ISNUMBER(SEARCH("Gerente General",C208))+ISNUMBER(SEARCH("General Manager",C208))&gt;0,'Configuración'!$B$34,'Configuración'!$B$35)))))</f>
        <v>12</v>
      </c>
      <c r="V208" s="38">
        <f>IF(B208="","",IF(K208="Sí",'Configuración'!$B$5,0)+IF(L208="Semanal",'Configuración'!$B$6,IF(L208="Mensual",'Configuración'!$B$7,0))+IF(M208="Sí",'Configuración'!$B$8,0)+IF(N208="Sí",'Configuración'!$B$9,0)+IF(O208="Sí",'Configuración'!$B$10,0)+IF(P208="Sí",'Configuración'!$B$11,0)+IF(Q208="Sí",'Configuración'!$B$12,0)+S208+T208+U208)</f>
        <v>28</v>
      </c>
      <c r="W208" s="39" t="str">
        <f>IF(B208="","",IF(V208&gt;='Configuración'!$B$19,"A",IF(V208&gt;='Configuración'!$B$20,"B",IF(V208&gt;='Configuración'!$B$21,"C","Descarte"))))</f>
        <v>C</v>
      </c>
    </row>
    <row r="209" ht="15.75" customHeight="1">
      <c r="A209" s="34">
        <f t="shared" si="1"/>
        <v>207</v>
      </c>
      <c r="B209" s="29" t="s">
        <v>250</v>
      </c>
      <c r="C209" s="29" t="s">
        <v>1430</v>
      </c>
      <c r="D209" s="29" t="s">
        <v>1431</v>
      </c>
      <c r="E209" s="29" t="s">
        <v>1432</v>
      </c>
      <c r="F209" s="30" t="s">
        <v>1433</v>
      </c>
      <c r="G209" s="30" t="s">
        <v>1434</v>
      </c>
      <c r="H209" s="30" t="s">
        <v>1435</v>
      </c>
      <c r="I209" s="29" t="s">
        <v>964</v>
      </c>
      <c r="J209" s="31">
        <v>31.0</v>
      </c>
      <c r="K209" s="36" t="s">
        <v>119</v>
      </c>
      <c r="L209" s="36" t="s">
        <v>128</v>
      </c>
      <c r="M209" s="36" t="s">
        <v>119</v>
      </c>
      <c r="N209" s="36" t="s">
        <v>119</v>
      </c>
      <c r="O209" s="36" t="s">
        <v>119</v>
      </c>
      <c r="P209" s="35"/>
      <c r="Q209" s="36" t="s">
        <v>119</v>
      </c>
      <c r="R209" s="35"/>
      <c r="S209" s="37">
        <f>IF(B209="","",IF(ISNUMBER(J209),IF(J209&lt;=10,'Configuración'!$B$23,IF(J209&lt;=50,'Configuración'!$B$24,IF(J209&lt;=200,'Configuración'!$B$25,0))),0))</f>
        <v>4</v>
      </c>
      <c r="T209" s="37">
        <f>IF(B209="","",IF(ISNUMBER(SEARCH("information technology",I209))+ISNUMBER(SEARCH("software",I209))+ISNUMBER(SEARCH("internet",I209))+ISNUMBER(SEARCH("computer",I209))+ISNUMBER(SEARCH("saas",I209))+ISNUMBER(SEARCH("fintech",I209))+ISNUMBER(SEARCH("information services",I209))+ISNUMBER(SEARCH("telecommunications",I209))&gt;0,'Configuración'!$B$27,'Configuración'!$B$28))</f>
        <v>4</v>
      </c>
      <c r="U209" s="25">
        <f>IF(B209="","",IF(ISNUMBER(SEARCH("CEO",C209))+ISNUMBER(SEARCH("Founder",C209))+ISNUMBER(SEARCH("Owner",C209))+ISNUMBER(SEARCH("Dueño",C209))+ISNUMBER(SEARCH("Director General",C209))+ISNUMBER(SEARCH("Presidente",C209))+ISNUMBER(SEARCH("President",C209))&gt;0,'Configuración'!$B$31,IF(ISNUMBER(SEARCH("CMO",C209))+ISNUMBER(SEARCH("Chief Marketing",C209))+ISNUMBER(SEARCH("VP Marketing",C209))+ISNUMBER(SEARCH("Director de Marketing",C209))+ISNUMBER(SEARCH("Director Marketing",C209))+ISNUMBER(SEARCH("Head of Marketing",C209))+ISNUMBER(SEARCH("Head Marketing",C209))&gt;0,'Configuración'!$B$32,IF(ISNUMBER(SEARCH("Marketing Manager",C209))+ISNUMBER(SEARCH("Gerente de Marketing",C209))+ISNUMBER(SEARCH("Growth Manager",C209))+ISNUMBER(SEARCH("Demand Gen",C209))+ISNUMBER(SEARCH("Marketing Lead",C209))&gt;0,'Configuración'!$B$33,IF(ISNUMBER(SEARCH("COO",C209))+ISNUMBER(SEARCH("CFO",C209))+ISNUMBER(SEARCH("CTO",C209))+ISNUMBER(SEARCH("Chief Operating",C209))+ISNUMBER(SEARCH("Chief Financial",C209))+ISNUMBER(SEARCH("Gerente General",C209))+ISNUMBER(SEARCH("General Manager",C209))&gt;0,'Configuración'!$B$34,'Configuración'!$B$35)))))</f>
        <v>4</v>
      </c>
      <c r="V209" s="38">
        <f>IF(B209="","",IF(K209="Sí",'Configuración'!$B$5,0)+IF(L209="Semanal",'Configuración'!$B$6,IF(L209="Mensual",'Configuración'!$B$7,0))+IF(M209="Sí",'Configuración'!$B$8,0)+IF(N209="Sí",'Configuración'!$B$9,0)+IF(O209="Sí",'Configuración'!$B$10,0)+IF(P209="Sí",'Configuración'!$B$11,0)+IF(Q209="Sí",'Configuración'!$B$12,0)+S209+T209+U209)</f>
        <v>12</v>
      </c>
      <c r="W209" s="39" t="str">
        <f>IF(B209="","",IF(V209&gt;='Configuración'!$B$19,"A",IF(V209&gt;='Configuración'!$B$20,"B",IF(V209&gt;='Configuración'!$B$21,"C","Descarte"))))</f>
        <v>Descarte</v>
      </c>
    </row>
    <row r="210" ht="15.75" customHeight="1">
      <c r="A210" s="34">
        <f t="shared" si="1"/>
        <v>208</v>
      </c>
      <c r="B210" s="29" t="s">
        <v>324</v>
      </c>
      <c r="C210" s="29" t="s">
        <v>131</v>
      </c>
      <c r="D210" s="29" t="s">
        <v>1436</v>
      </c>
      <c r="E210" s="29" t="s">
        <v>1437</v>
      </c>
      <c r="F210" s="30" t="s">
        <v>1438</v>
      </c>
      <c r="G210" s="30" t="s">
        <v>1439</v>
      </c>
      <c r="H210" s="30" t="s">
        <v>1440</v>
      </c>
      <c r="I210" s="29" t="s">
        <v>188</v>
      </c>
      <c r="J210" s="31">
        <v>15.0</v>
      </c>
      <c r="K210" s="35"/>
      <c r="L210" s="35"/>
      <c r="M210" s="35"/>
      <c r="N210" s="35"/>
      <c r="O210" s="35"/>
      <c r="P210" s="35"/>
      <c r="Q210" s="35"/>
      <c r="R210" s="35"/>
      <c r="S210" s="37">
        <f>IF(B210="","",IF(ISNUMBER(J210),IF(J210&lt;=10,'Configuración'!$B$23,IF(J210&lt;=50,'Configuración'!$B$24,IF(J210&lt;=200,'Configuración'!$B$25,0))),0))</f>
        <v>4</v>
      </c>
      <c r="T210" s="37">
        <f>IF(B210="","",IF(ISNUMBER(SEARCH("information technology",I210))+ISNUMBER(SEARCH("software",I210))+ISNUMBER(SEARCH("internet",I210))+ISNUMBER(SEARCH("computer",I210))+ISNUMBER(SEARCH("saas",I210))+ISNUMBER(SEARCH("fintech",I210))+ISNUMBER(SEARCH("information services",I210))+ISNUMBER(SEARCH("telecommunications",I210))&gt;0,'Configuración'!$B$27,'Configuración'!$B$28))</f>
        <v>4</v>
      </c>
      <c r="U210" s="25">
        <f>IF(B210="","",IF(ISNUMBER(SEARCH("CEO",C210))+ISNUMBER(SEARCH("Founder",C210))+ISNUMBER(SEARCH("Owner",C210))+ISNUMBER(SEARCH("Dueño",C210))+ISNUMBER(SEARCH("Director General",C210))+ISNUMBER(SEARCH("Presidente",C210))+ISNUMBER(SEARCH("President",C210))&gt;0,'Configuración'!$B$31,IF(ISNUMBER(SEARCH("CMO",C210))+ISNUMBER(SEARCH("Chief Marketing",C210))+ISNUMBER(SEARCH("VP Marketing",C210))+ISNUMBER(SEARCH("Director de Marketing",C210))+ISNUMBER(SEARCH("Director Marketing",C210))+ISNUMBER(SEARCH("Head of Marketing",C210))+ISNUMBER(SEARCH("Head Marketing",C210))&gt;0,'Configuración'!$B$32,IF(ISNUMBER(SEARCH("Marketing Manager",C210))+ISNUMBER(SEARCH("Gerente de Marketing",C210))+ISNUMBER(SEARCH("Growth Manager",C210))+ISNUMBER(SEARCH("Demand Gen",C210))+ISNUMBER(SEARCH("Marketing Lead",C210))&gt;0,'Configuración'!$B$33,IF(ISNUMBER(SEARCH("COO",C210))+ISNUMBER(SEARCH("CFO",C210))+ISNUMBER(SEARCH("CTO",C210))+ISNUMBER(SEARCH("Chief Operating",C210))+ISNUMBER(SEARCH("Chief Financial",C210))+ISNUMBER(SEARCH("Gerente General",C210))+ISNUMBER(SEARCH("General Manager",C210))&gt;0,'Configuración'!$B$34,'Configuración'!$B$35)))))</f>
        <v>12</v>
      </c>
      <c r="V210" s="38">
        <f>IF(B210="","",IF(K210="Sí",'Configuración'!$B$5,0)+IF(L210="Semanal",'Configuración'!$B$6,IF(L210="Mensual",'Configuración'!$B$7,0))+IF(M210="Sí",'Configuración'!$B$8,0)+IF(N210="Sí",'Configuración'!$B$9,0)+IF(O210="Sí",'Configuración'!$B$10,0)+IF(P210="Sí",'Configuración'!$B$11,0)+IF(Q210="Sí",'Configuración'!$B$12,0)+S210+T210+U210)</f>
        <v>20</v>
      </c>
      <c r="W210" s="39" t="str">
        <f>IF(B210="","",IF(V210&gt;='Configuración'!$B$19,"A",IF(V210&gt;='Configuración'!$B$20,"B",IF(V210&gt;='Configuración'!$B$21,"C","Descarte"))))</f>
        <v>Descarte</v>
      </c>
    </row>
    <row r="211" ht="15.75" customHeight="1">
      <c r="A211" s="34">
        <f t="shared" si="1"/>
        <v>209</v>
      </c>
      <c r="B211" s="29" t="s">
        <v>501</v>
      </c>
      <c r="C211" s="29" t="s">
        <v>597</v>
      </c>
      <c r="D211" s="29" t="s">
        <v>1441</v>
      </c>
      <c r="E211" s="29" t="s">
        <v>1442</v>
      </c>
      <c r="F211" s="30" t="s">
        <v>1443</v>
      </c>
      <c r="G211" s="30" t="s">
        <v>1444</v>
      </c>
      <c r="H211" s="30" t="s">
        <v>1445</v>
      </c>
      <c r="I211" s="29" t="s">
        <v>1446</v>
      </c>
      <c r="J211" s="31">
        <v>2.0</v>
      </c>
      <c r="K211" s="35"/>
      <c r="L211" s="35"/>
      <c r="M211" s="35"/>
      <c r="N211" s="35"/>
      <c r="O211" s="35"/>
      <c r="P211" s="35"/>
      <c r="Q211" s="35"/>
      <c r="R211" s="35"/>
      <c r="S211" s="37">
        <f>IF(B211="","",IF(ISNUMBER(J211),IF(J211&lt;=10,'Configuración'!$B$23,IF(J211&lt;=50,'Configuración'!$B$24,IF(J211&lt;=200,'Configuración'!$B$25,0))),0))</f>
        <v>12</v>
      </c>
      <c r="T211" s="37">
        <f>IF(B211="","",IF(ISNUMBER(SEARCH("information technology",I211))+ISNUMBER(SEARCH("software",I211))+ISNUMBER(SEARCH("internet",I211))+ISNUMBER(SEARCH("computer",I211))+ISNUMBER(SEARCH("saas",I211))+ISNUMBER(SEARCH("fintech",I211))+ISNUMBER(SEARCH("information services",I211))+ISNUMBER(SEARCH("telecommunications",I211))&gt;0,'Configuración'!$B$27,'Configuración'!$B$28))</f>
        <v>4</v>
      </c>
      <c r="U211" s="25">
        <f>IF(B211="","",IF(ISNUMBER(SEARCH("CEO",C211))+ISNUMBER(SEARCH("Founder",C211))+ISNUMBER(SEARCH("Owner",C211))+ISNUMBER(SEARCH("Dueño",C211))+ISNUMBER(SEARCH("Director General",C211))+ISNUMBER(SEARCH("Presidente",C211))+ISNUMBER(SEARCH("President",C211))&gt;0,'Configuración'!$B$31,IF(ISNUMBER(SEARCH("CMO",C211))+ISNUMBER(SEARCH("Chief Marketing",C211))+ISNUMBER(SEARCH("VP Marketing",C211))+ISNUMBER(SEARCH("Director de Marketing",C211))+ISNUMBER(SEARCH("Director Marketing",C211))+ISNUMBER(SEARCH("Head of Marketing",C211))+ISNUMBER(SEARCH("Head Marketing",C211))&gt;0,'Configuración'!$B$32,IF(ISNUMBER(SEARCH("Marketing Manager",C211))+ISNUMBER(SEARCH("Gerente de Marketing",C211))+ISNUMBER(SEARCH("Growth Manager",C211))+ISNUMBER(SEARCH("Demand Gen",C211))+ISNUMBER(SEARCH("Marketing Lead",C211))&gt;0,'Configuración'!$B$33,IF(ISNUMBER(SEARCH("COO",C211))+ISNUMBER(SEARCH("CFO",C211))+ISNUMBER(SEARCH("CTO",C211))+ISNUMBER(SEARCH("Chief Operating",C211))+ISNUMBER(SEARCH("Chief Financial",C211))+ISNUMBER(SEARCH("Gerente General",C211))+ISNUMBER(SEARCH("General Manager",C211))&gt;0,'Configuración'!$B$34,'Configuración'!$B$35)))))</f>
        <v>12</v>
      </c>
      <c r="V211" s="38">
        <f>IF(B211="","",IF(K211="Sí",'Configuración'!$B$5,0)+IF(L211="Semanal",'Configuración'!$B$6,IF(L211="Mensual",'Configuración'!$B$7,0))+IF(M211="Sí",'Configuración'!$B$8,0)+IF(N211="Sí",'Configuración'!$B$9,0)+IF(O211="Sí",'Configuración'!$B$10,0)+IF(P211="Sí",'Configuración'!$B$11,0)+IF(Q211="Sí",'Configuración'!$B$12,0)+S211+T211+U211)</f>
        <v>28</v>
      </c>
      <c r="W211" s="39" t="str">
        <f>IF(B211="","",IF(V211&gt;='Configuración'!$B$19,"A",IF(V211&gt;='Configuración'!$B$20,"B",IF(V211&gt;='Configuración'!$B$21,"C","Descarte"))))</f>
        <v>C</v>
      </c>
    </row>
    <row r="212" ht="15.75" customHeight="1">
      <c r="A212" s="34">
        <f t="shared" si="1"/>
        <v>210</v>
      </c>
      <c r="B212" s="29" t="s">
        <v>1447</v>
      </c>
      <c r="C212" s="29" t="s">
        <v>494</v>
      </c>
      <c r="D212" s="29" t="s">
        <v>1448</v>
      </c>
      <c r="E212" s="29" t="s">
        <v>1449</v>
      </c>
      <c r="F212" s="30" t="s">
        <v>1450</v>
      </c>
      <c r="G212" s="30" t="s">
        <v>1451</v>
      </c>
      <c r="H212" s="30" t="s">
        <v>1452</v>
      </c>
      <c r="I212" s="29" t="s">
        <v>317</v>
      </c>
      <c r="J212" s="31">
        <v>29.0</v>
      </c>
      <c r="K212" s="35"/>
      <c r="L212" s="35"/>
      <c r="M212" s="35"/>
      <c r="N212" s="35"/>
      <c r="O212" s="35"/>
      <c r="P212" s="35"/>
      <c r="Q212" s="35"/>
      <c r="R212" s="35"/>
      <c r="S212" s="37">
        <f>IF(B212="","",IF(ISNUMBER(J212),IF(J212&lt;=10,'Configuración'!$B$23,IF(J212&lt;=50,'Configuración'!$B$24,IF(J212&lt;=200,'Configuración'!$B$25,0))),0))</f>
        <v>4</v>
      </c>
      <c r="T212" s="37">
        <f>IF(B212="","",IF(ISNUMBER(SEARCH("information technology",I212))+ISNUMBER(SEARCH("software",I212))+ISNUMBER(SEARCH("internet",I212))+ISNUMBER(SEARCH("computer",I212))+ISNUMBER(SEARCH("saas",I212))+ISNUMBER(SEARCH("fintech",I212))+ISNUMBER(SEARCH("information services",I212))+ISNUMBER(SEARCH("telecommunications",I212))&gt;0,'Configuración'!$B$27,'Configuración'!$B$28))</f>
        <v>4</v>
      </c>
      <c r="U212" s="25">
        <f>IF(B212="","",IF(ISNUMBER(SEARCH("CEO",C212))+ISNUMBER(SEARCH("Founder",C212))+ISNUMBER(SEARCH("Owner",C212))+ISNUMBER(SEARCH("Dueño",C212))+ISNUMBER(SEARCH("Director General",C212))+ISNUMBER(SEARCH("Presidente",C212))+ISNUMBER(SEARCH("President",C212))&gt;0,'Configuración'!$B$31,IF(ISNUMBER(SEARCH("CMO",C212))+ISNUMBER(SEARCH("Chief Marketing",C212))+ISNUMBER(SEARCH("VP Marketing",C212))+ISNUMBER(SEARCH("Director de Marketing",C212))+ISNUMBER(SEARCH("Director Marketing",C212))+ISNUMBER(SEARCH("Head of Marketing",C212))+ISNUMBER(SEARCH("Head Marketing",C212))&gt;0,'Configuración'!$B$32,IF(ISNUMBER(SEARCH("Marketing Manager",C212))+ISNUMBER(SEARCH("Gerente de Marketing",C212))+ISNUMBER(SEARCH("Growth Manager",C212))+ISNUMBER(SEARCH("Demand Gen",C212))+ISNUMBER(SEARCH("Marketing Lead",C212))&gt;0,'Configuración'!$B$33,IF(ISNUMBER(SEARCH("COO",C212))+ISNUMBER(SEARCH("CFO",C212))+ISNUMBER(SEARCH("CTO",C212))+ISNUMBER(SEARCH("Chief Operating",C212))+ISNUMBER(SEARCH("Chief Financial",C212))+ISNUMBER(SEARCH("Gerente General",C212))+ISNUMBER(SEARCH("General Manager",C212))&gt;0,'Configuración'!$B$34,'Configuración'!$B$35)))))</f>
        <v>4</v>
      </c>
      <c r="V212" s="38">
        <f>IF(B212="","",IF(K212="Sí",'Configuración'!$B$5,0)+IF(L212="Semanal",'Configuración'!$B$6,IF(L212="Mensual",'Configuración'!$B$7,0))+IF(M212="Sí",'Configuración'!$B$8,0)+IF(N212="Sí",'Configuración'!$B$9,0)+IF(O212="Sí",'Configuración'!$B$10,0)+IF(P212="Sí",'Configuración'!$B$11,0)+IF(Q212="Sí",'Configuración'!$B$12,0)+S212+T212+U212)</f>
        <v>12</v>
      </c>
      <c r="W212" s="39" t="str">
        <f>IF(B212="","",IF(V212&gt;='Configuración'!$B$19,"A",IF(V212&gt;='Configuración'!$B$20,"B",IF(V212&gt;='Configuración'!$B$21,"C","Descarte"))))</f>
        <v>Descarte</v>
      </c>
    </row>
    <row r="213" ht="15.75" customHeight="1">
      <c r="A213" s="34">
        <f t="shared" si="1"/>
        <v>211</v>
      </c>
      <c r="B213" s="29" t="s">
        <v>181</v>
      </c>
      <c r="C213" s="29" t="s">
        <v>1453</v>
      </c>
      <c r="D213" s="29" t="s">
        <v>1454</v>
      </c>
      <c r="E213" s="29" t="s">
        <v>1455</v>
      </c>
      <c r="F213" s="30" t="s">
        <v>1456</v>
      </c>
      <c r="G213" s="30" t="s">
        <v>1457</v>
      </c>
      <c r="H213" s="30" t="s">
        <v>1458</v>
      </c>
      <c r="I213" s="29" t="s">
        <v>310</v>
      </c>
      <c r="J213" s="31">
        <v>1.0</v>
      </c>
      <c r="K213" s="35"/>
      <c r="L213" s="35"/>
      <c r="M213" s="35"/>
      <c r="N213" s="35"/>
      <c r="O213" s="35"/>
      <c r="P213" s="35"/>
      <c r="Q213" s="35"/>
      <c r="R213" s="35"/>
      <c r="S213" s="37">
        <f>IF(B213="","",IF(ISNUMBER(J213),IF(J213&lt;=10,'Configuración'!$B$23,IF(J213&lt;=50,'Configuración'!$B$24,IF(J213&lt;=200,'Configuración'!$B$25,0))),0))</f>
        <v>12</v>
      </c>
      <c r="T213" s="37">
        <f>IF(B213="","",IF(ISNUMBER(SEARCH("information technology",I213))+ISNUMBER(SEARCH("software",I213))+ISNUMBER(SEARCH("internet",I213))+ISNUMBER(SEARCH("computer",I213))+ISNUMBER(SEARCH("saas",I213))+ISNUMBER(SEARCH("fintech",I213))+ISNUMBER(SEARCH("information services",I213))+ISNUMBER(SEARCH("telecommunications",I213))&gt;0,'Configuración'!$B$27,'Configuración'!$B$28))</f>
        <v>4</v>
      </c>
      <c r="U213" s="25">
        <f>IF(B213="","",IF(ISNUMBER(SEARCH("CEO",C213))+ISNUMBER(SEARCH("Founder",C213))+ISNUMBER(SEARCH("Owner",C213))+ISNUMBER(SEARCH("Dueño",C213))+ISNUMBER(SEARCH("Director General",C213))+ISNUMBER(SEARCH("Presidente",C213))+ISNUMBER(SEARCH("President",C213))&gt;0,'Configuración'!$B$31,IF(ISNUMBER(SEARCH("CMO",C213))+ISNUMBER(SEARCH("Chief Marketing",C213))+ISNUMBER(SEARCH("VP Marketing",C213))+ISNUMBER(SEARCH("Director de Marketing",C213))+ISNUMBER(SEARCH("Director Marketing",C213))+ISNUMBER(SEARCH("Head of Marketing",C213))+ISNUMBER(SEARCH("Head Marketing",C213))&gt;0,'Configuración'!$B$32,IF(ISNUMBER(SEARCH("Marketing Manager",C213))+ISNUMBER(SEARCH("Gerente de Marketing",C213))+ISNUMBER(SEARCH("Growth Manager",C213))+ISNUMBER(SEARCH("Demand Gen",C213))+ISNUMBER(SEARCH("Marketing Lead",C213))&gt;0,'Configuración'!$B$33,IF(ISNUMBER(SEARCH("COO",C213))+ISNUMBER(SEARCH("CFO",C213))+ISNUMBER(SEARCH("CTO",C213))+ISNUMBER(SEARCH("Chief Operating",C213))+ISNUMBER(SEARCH("Chief Financial",C213))+ISNUMBER(SEARCH("Gerente General",C213))+ISNUMBER(SEARCH("General Manager",C213))&gt;0,'Configuración'!$B$34,'Configuración'!$B$35)))))</f>
        <v>12</v>
      </c>
      <c r="V213" s="38">
        <f>IF(B213="","",IF(K213="Sí",'Configuración'!$B$5,0)+IF(L213="Semanal",'Configuración'!$B$6,IF(L213="Mensual",'Configuración'!$B$7,0))+IF(M213="Sí",'Configuración'!$B$8,0)+IF(N213="Sí",'Configuración'!$B$9,0)+IF(O213="Sí",'Configuración'!$B$10,0)+IF(P213="Sí",'Configuración'!$B$11,0)+IF(Q213="Sí",'Configuración'!$B$12,0)+S213+T213+U213)</f>
        <v>28</v>
      </c>
      <c r="W213" s="39" t="str">
        <f>IF(B213="","",IF(V213&gt;='Configuración'!$B$19,"A",IF(V213&gt;='Configuración'!$B$20,"B",IF(V213&gt;='Configuración'!$B$21,"C","Descarte"))))</f>
        <v>C</v>
      </c>
    </row>
    <row r="214" ht="15.75" customHeight="1">
      <c r="A214" s="34">
        <f t="shared" si="1"/>
        <v>212</v>
      </c>
      <c r="B214" s="29" t="s">
        <v>138</v>
      </c>
      <c r="C214" s="29" t="s">
        <v>146</v>
      </c>
      <c r="D214" s="29" t="s">
        <v>1459</v>
      </c>
      <c r="E214" s="29" t="s">
        <v>1460</v>
      </c>
      <c r="F214" s="30" t="s">
        <v>1461</v>
      </c>
      <c r="G214" s="30" t="s">
        <v>1462</v>
      </c>
      <c r="H214" s="30" t="s">
        <v>1463</v>
      </c>
      <c r="I214" s="29" t="s">
        <v>127</v>
      </c>
      <c r="J214" s="31">
        <v>24.0</v>
      </c>
      <c r="K214" s="35"/>
      <c r="L214" s="35"/>
      <c r="M214" s="35"/>
      <c r="N214" s="35"/>
      <c r="O214" s="35"/>
      <c r="P214" s="35"/>
      <c r="Q214" s="35"/>
      <c r="R214" s="35"/>
      <c r="S214" s="37">
        <f>IF(B214="","",IF(ISNUMBER(J214),IF(J214&lt;=10,'Configuración'!$B$23,IF(J214&lt;=50,'Configuración'!$B$24,IF(J214&lt;=200,'Configuración'!$B$25,0))),0))</f>
        <v>4</v>
      </c>
      <c r="T214" s="37">
        <f>IF(B214="","",IF(ISNUMBER(SEARCH("information technology",I214))+ISNUMBER(SEARCH("software",I214))+ISNUMBER(SEARCH("internet",I214))+ISNUMBER(SEARCH("computer",I214))+ISNUMBER(SEARCH("saas",I214))+ISNUMBER(SEARCH("fintech",I214))+ISNUMBER(SEARCH("information services",I214))+ISNUMBER(SEARCH("telecommunications",I214))&gt;0,'Configuración'!$B$27,'Configuración'!$B$28))</f>
        <v>12</v>
      </c>
      <c r="U214" s="25">
        <f>IF(B214="","",IF(ISNUMBER(SEARCH("CEO",C214))+ISNUMBER(SEARCH("Founder",C214))+ISNUMBER(SEARCH("Owner",C214))+ISNUMBER(SEARCH("Dueño",C214))+ISNUMBER(SEARCH("Director General",C214))+ISNUMBER(SEARCH("Presidente",C214))+ISNUMBER(SEARCH("President",C214))&gt;0,'Configuración'!$B$31,IF(ISNUMBER(SEARCH("CMO",C214))+ISNUMBER(SEARCH("Chief Marketing",C214))+ISNUMBER(SEARCH("VP Marketing",C214))+ISNUMBER(SEARCH("Director de Marketing",C214))+ISNUMBER(SEARCH("Director Marketing",C214))+ISNUMBER(SEARCH("Head of Marketing",C214))+ISNUMBER(SEARCH("Head Marketing",C214))&gt;0,'Configuración'!$B$32,IF(ISNUMBER(SEARCH("Marketing Manager",C214))+ISNUMBER(SEARCH("Gerente de Marketing",C214))+ISNUMBER(SEARCH("Growth Manager",C214))+ISNUMBER(SEARCH("Demand Gen",C214))+ISNUMBER(SEARCH("Marketing Lead",C214))&gt;0,'Configuración'!$B$33,IF(ISNUMBER(SEARCH("COO",C214))+ISNUMBER(SEARCH("CFO",C214))+ISNUMBER(SEARCH("CTO",C214))+ISNUMBER(SEARCH("Chief Operating",C214))+ISNUMBER(SEARCH("Chief Financial",C214))+ISNUMBER(SEARCH("Gerente General",C214))+ISNUMBER(SEARCH("General Manager",C214))&gt;0,'Configuración'!$B$34,'Configuración'!$B$35)))))</f>
        <v>0</v>
      </c>
      <c r="V214" s="38">
        <f>IF(B214="","",IF(K214="Sí",'Configuración'!$B$5,0)+IF(L214="Semanal",'Configuración'!$B$6,IF(L214="Mensual",'Configuración'!$B$7,0))+IF(M214="Sí",'Configuración'!$B$8,0)+IF(N214="Sí",'Configuración'!$B$9,0)+IF(O214="Sí",'Configuración'!$B$10,0)+IF(P214="Sí",'Configuración'!$B$11,0)+IF(Q214="Sí",'Configuración'!$B$12,0)+S214+T214+U214)</f>
        <v>16</v>
      </c>
      <c r="W214" s="39" t="str">
        <f>IF(B214="","",IF(V214&gt;='Configuración'!$B$19,"A",IF(V214&gt;='Configuración'!$B$20,"B",IF(V214&gt;='Configuración'!$B$21,"C","Descarte"))))</f>
        <v>Descarte</v>
      </c>
    </row>
    <row r="215" ht="15.75" customHeight="1">
      <c r="A215" s="34">
        <f t="shared" si="1"/>
        <v>213</v>
      </c>
      <c r="B215" s="29" t="s">
        <v>1464</v>
      </c>
      <c r="C215" s="29" t="s">
        <v>1465</v>
      </c>
      <c r="D215" s="29" t="s">
        <v>1466</v>
      </c>
      <c r="E215" s="29" t="s">
        <v>1467</v>
      </c>
      <c r="F215" s="30" t="s">
        <v>1468</v>
      </c>
      <c r="G215" s="30" t="s">
        <v>1469</v>
      </c>
      <c r="H215" s="30" t="s">
        <v>1470</v>
      </c>
      <c r="I215" s="29" t="s">
        <v>116</v>
      </c>
      <c r="J215" s="31">
        <v>36.0</v>
      </c>
      <c r="K215" s="35"/>
      <c r="L215" s="35"/>
      <c r="M215" s="35"/>
      <c r="N215" s="35"/>
      <c r="O215" s="35"/>
      <c r="P215" s="35"/>
      <c r="Q215" s="35"/>
      <c r="R215" s="35"/>
      <c r="S215" s="37">
        <f>IF(B215="","",IF(ISNUMBER(J215),IF(J215&lt;=10,'Configuración'!$B$23,IF(J215&lt;=50,'Configuración'!$B$24,IF(J215&lt;=200,'Configuración'!$B$25,0))),0))</f>
        <v>4</v>
      </c>
      <c r="T215" s="37">
        <f>IF(B215="","",IF(ISNUMBER(SEARCH("information technology",I215))+ISNUMBER(SEARCH("software",I215))+ISNUMBER(SEARCH("internet",I215))+ISNUMBER(SEARCH("computer",I215))+ISNUMBER(SEARCH("saas",I215))+ISNUMBER(SEARCH("fintech",I215))+ISNUMBER(SEARCH("information services",I215))+ISNUMBER(SEARCH("telecommunications",I215))&gt;0,'Configuración'!$B$27,'Configuración'!$B$28))</f>
        <v>4</v>
      </c>
      <c r="U215" s="25">
        <f>IF(B215="","",IF(ISNUMBER(SEARCH("CEO",C215))+ISNUMBER(SEARCH("Founder",C215))+ISNUMBER(SEARCH("Owner",C215))+ISNUMBER(SEARCH("Dueño",C215))+ISNUMBER(SEARCH("Director General",C215))+ISNUMBER(SEARCH("Presidente",C215))+ISNUMBER(SEARCH("President",C215))&gt;0,'Configuración'!$B$31,IF(ISNUMBER(SEARCH("CMO",C215))+ISNUMBER(SEARCH("Chief Marketing",C215))+ISNUMBER(SEARCH("VP Marketing",C215))+ISNUMBER(SEARCH("Director de Marketing",C215))+ISNUMBER(SEARCH("Director Marketing",C215))+ISNUMBER(SEARCH("Head of Marketing",C215))+ISNUMBER(SEARCH("Head Marketing",C215))&gt;0,'Configuración'!$B$32,IF(ISNUMBER(SEARCH("Marketing Manager",C215))+ISNUMBER(SEARCH("Gerente de Marketing",C215))+ISNUMBER(SEARCH("Growth Manager",C215))+ISNUMBER(SEARCH("Demand Gen",C215))+ISNUMBER(SEARCH("Marketing Lead",C215))&gt;0,'Configuración'!$B$33,IF(ISNUMBER(SEARCH("COO",C215))+ISNUMBER(SEARCH("CFO",C215))+ISNUMBER(SEARCH("CTO",C215))+ISNUMBER(SEARCH("Chief Operating",C215))+ISNUMBER(SEARCH("Chief Financial",C215))+ISNUMBER(SEARCH("Gerente General",C215))+ISNUMBER(SEARCH("General Manager",C215))&gt;0,'Configuración'!$B$34,'Configuración'!$B$35)))))</f>
        <v>4</v>
      </c>
      <c r="V215" s="38">
        <f>IF(B215="","",IF(K215="Sí",'Configuración'!$B$5,0)+IF(L215="Semanal",'Configuración'!$B$6,IF(L215="Mensual",'Configuración'!$B$7,0))+IF(M215="Sí",'Configuración'!$B$8,0)+IF(N215="Sí",'Configuración'!$B$9,0)+IF(O215="Sí",'Configuración'!$B$10,0)+IF(P215="Sí",'Configuración'!$B$11,0)+IF(Q215="Sí",'Configuración'!$B$12,0)+S215+T215+U215)</f>
        <v>12</v>
      </c>
      <c r="W215" s="39" t="str">
        <f>IF(B215="","",IF(V215&gt;='Configuración'!$B$19,"A",IF(V215&gt;='Configuración'!$B$20,"B",IF(V215&gt;='Configuración'!$B$21,"C","Descarte"))))</f>
        <v>Descarte</v>
      </c>
    </row>
    <row r="216" ht="15.75" customHeight="1">
      <c r="A216" s="34">
        <f t="shared" si="1"/>
        <v>214</v>
      </c>
      <c r="B216" s="29" t="s">
        <v>262</v>
      </c>
      <c r="C216" s="29" t="s">
        <v>1471</v>
      </c>
      <c r="D216" s="29" t="s">
        <v>1472</v>
      </c>
      <c r="E216" s="29" t="s">
        <v>1473</v>
      </c>
      <c r="F216" s="30" t="s">
        <v>1474</v>
      </c>
      <c r="G216" s="30" t="s">
        <v>1475</v>
      </c>
      <c r="H216" s="30" t="s">
        <v>1476</v>
      </c>
      <c r="I216" s="29" t="s">
        <v>127</v>
      </c>
      <c r="J216" s="31">
        <v>7.0</v>
      </c>
      <c r="K216" s="35"/>
      <c r="L216" s="35"/>
      <c r="M216" s="35"/>
      <c r="N216" s="35"/>
      <c r="O216" s="35"/>
      <c r="P216" s="35"/>
      <c r="Q216" s="35"/>
      <c r="R216" s="35"/>
      <c r="S216" s="37">
        <f>IF(B216="","",IF(ISNUMBER(J216),IF(J216&lt;=10,'Configuración'!$B$23,IF(J216&lt;=50,'Configuración'!$B$24,IF(J216&lt;=200,'Configuración'!$B$25,0))),0))</f>
        <v>12</v>
      </c>
      <c r="T216" s="37">
        <f>IF(B216="","",IF(ISNUMBER(SEARCH("information technology",I216))+ISNUMBER(SEARCH("software",I216))+ISNUMBER(SEARCH("internet",I216))+ISNUMBER(SEARCH("computer",I216))+ISNUMBER(SEARCH("saas",I216))+ISNUMBER(SEARCH("fintech",I216))+ISNUMBER(SEARCH("information services",I216))+ISNUMBER(SEARCH("telecommunications",I216))&gt;0,'Configuración'!$B$27,'Configuración'!$B$28))</f>
        <v>12</v>
      </c>
      <c r="U216" s="25">
        <f>IF(B216="","",IF(ISNUMBER(SEARCH("CEO",C216))+ISNUMBER(SEARCH("Founder",C216))+ISNUMBER(SEARCH("Owner",C216))+ISNUMBER(SEARCH("Dueño",C216))+ISNUMBER(SEARCH("Director General",C216))+ISNUMBER(SEARCH("Presidente",C216))+ISNUMBER(SEARCH("President",C216))&gt;0,'Configuración'!$B$31,IF(ISNUMBER(SEARCH("CMO",C216))+ISNUMBER(SEARCH("Chief Marketing",C216))+ISNUMBER(SEARCH("VP Marketing",C216))+ISNUMBER(SEARCH("Director de Marketing",C216))+ISNUMBER(SEARCH("Director Marketing",C216))+ISNUMBER(SEARCH("Head of Marketing",C216))+ISNUMBER(SEARCH("Head Marketing",C216))&gt;0,'Configuración'!$B$32,IF(ISNUMBER(SEARCH("Marketing Manager",C216))+ISNUMBER(SEARCH("Gerente de Marketing",C216))+ISNUMBER(SEARCH("Growth Manager",C216))+ISNUMBER(SEARCH("Demand Gen",C216))+ISNUMBER(SEARCH("Marketing Lead",C216))&gt;0,'Configuración'!$B$33,IF(ISNUMBER(SEARCH("COO",C216))+ISNUMBER(SEARCH("CFO",C216))+ISNUMBER(SEARCH("CTO",C216))+ISNUMBER(SEARCH("Chief Operating",C216))+ISNUMBER(SEARCH("Chief Financial",C216))+ISNUMBER(SEARCH("Gerente General",C216))+ISNUMBER(SEARCH("General Manager",C216))&gt;0,'Configuración'!$B$34,'Configuración'!$B$35)))))</f>
        <v>12</v>
      </c>
      <c r="V216" s="38">
        <f>IF(B216="","",IF(K216="Sí",'Configuración'!$B$5,0)+IF(L216="Semanal",'Configuración'!$B$6,IF(L216="Mensual",'Configuración'!$B$7,0))+IF(M216="Sí",'Configuración'!$B$8,0)+IF(N216="Sí",'Configuración'!$B$9,0)+IF(O216="Sí",'Configuración'!$B$10,0)+IF(P216="Sí",'Configuración'!$B$11,0)+IF(Q216="Sí",'Configuración'!$B$12,0)+S216+T216+U216)</f>
        <v>36</v>
      </c>
      <c r="W216" s="39" t="str">
        <f>IF(B216="","",IF(V216&gt;='Configuración'!$B$19,"A",IF(V216&gt;='Configuración'!$B$20,"B",IF(V216&gt;='Configuración'!$B$21,"C","Descarte"))))</f>
        <v>C</v>
      </c>
    </row>
    <row r="217" ht="15.75" customHeight="1">
      <c r="A217" s="34">
        <f t="shared" si="1"/>
        <v>215</v>
      </c>
      <c r="B217" s="29" t="s">
        <v>1477</v>
      </c>
      <c r="C217" s="29" t="s">
        <v>175</v>
      </c>
      <c r="D217" s="29" t="s">
        <v>1478</v>
      </c>
      <c r="E217" s="29" t="s">
        <v>1479</v>
      </c>
      <c r="F217" s="30" t="s">
        <v>1480</v>
      </c>
      <c r="G217" s="30" t="s">
        <v>1481</v>
      </c>
      <c r="H217" s="30" t="s">
        <v>1482</v>
      </c>
      <c r="I217" s="29" t="s">
        <v>222</v>
      </c>
      <c r="J217" s="31">
        <v>22.0</v>
      </c>
      <c r="K217" s="35"/>
      <c r="L217" s="35"/>
      <c r="M217" s="35"/>
      <c r="N217" s="35"/>
      <c r="O217" s="35"/>
      <c r="P217" s="35"/>
      <c r="Q217" s="35"/>
      <c r="R217" s="35"/>
      <c r="S217" s="37">
        <f>IF(B217="","",IF(ISNUMBER(J217),IF(J217&lt;=10,'Configuración'!$B$23,IF(J217&lt;=50,'Configuración'!$B$24,IF(J217&lt;=200,'Configuración'!$B$25,0))),0))</f>
        <v>4</v>
      </c>
      <c r="T217" s="37">
        <f>IF(B217="","",IF(ISNUMBER(SEARCH("information technology",I217))+ISNUMBER(SEARCH("software",I217))+ISNUMBER(SEARCH("internet",I217))+ISNUMBER(SEARCH("computer",I217))+ISNUMBER(SEARCH("saas",I217))+ISNUMBER(SEARCH("fintech",I217))+ISNUMBER(SEARCH("information services",I217))+ISNUMBER(SEARCH("telecommunications",I217))&gt;0,'Configuración'!$B$27,'Configuración'!$B$28))</f>
        <v>4</v>
      </c>
      <c r="U217" s="25">
        <f>IF(B217="","",IF(ISNUMBER(SEARCH("CEO",C217))+ISNUMBER(SEARCH("Founder",C217))+ISNUMBER(SEARCH("Owner",C217))+ISNUMBER(SEARCH("Dueño",C217))+ISNUMBER(SEARCH("Director General",C217))+ISNUMBER(SEARCH("Presidente",C217))+ISNUMBER(SEARCH("President",C217))&gt;0,'Configuración'!$B$31,IF(ISNUMBER(SEARCH("CMO",C217))+ISNUMBER(SEARCH("Chief Marketing",C217))+ISNUMBER(SEARCH("VP Marketing",C217))+ISNUMBER(SEARCH("Director de Marketing",C217))+ISNUMBER(SEARCH("Director Marketing",C217))+ISNUMBER(SEARCH("Head of Marketing",C217))+ISNUMBER(SEARCH("Head Marketing",C217))&gt;0,'Configuración'!$B$32,IF(ISNUMBER(SEARCH("Marketing Manager",C217))+ISNUMBER(SEARCH("Gerente de Marketing",C217))+ISNUMBER(SEARCH("Growth Manager",C217))+ISNUMBER(SEARCH("Demand Gen",C217))+ISNUMBER(SEARCH("Marketing Lead",C217))&gt;0,'Configuración'!$B$33,IF(ISNUMBER(SEARCH("COO",C217))+ISNUMBER(SEARCH("CFO",C217))+ISNUMBER(SEARCH("CTO",C217))+ISNUMBER(SEARCH("Chief Operating",C217))+ISNUMBER(SEARCH("Chief Financial",C217))+ISNUMBER(SEARCH("Gerente General",C217))+ISNUMBER(SEARCH("General Manager",C217))&gt;0,'Configuración'!$B$34,'Configuración'!$B$35)))))</f>
        <v>12</v>
      </c>
      <c r="V217" s="38">
        <f>IF(B217="","",IF(K217="Sí",'Configuración'!$B$5,0)+IF(L217="Semanal",'Configuración'!$B$6,IF(L217="Mensual",'Configuración'!$B$7,0))+IF(M217="Sí",'Configuración'!$B$8,0)+IF(N217="Sí",'Configuración'!$B$9,0)+IF(O217="Sí",'Configuración'!$B$10,0)+IF(P217="Sí",'Configuración'!$B$11,0)+IF(Q217="Sí",'Configuración'!$B$12,0)+S217+T217+U217)</f>
        <v>20</v>
      </c>
      <c r="W217" s="39" t="str">
        <f>IF(B217="","",IF(V217&gt;='Configuración'!$B$19,"A",IF(V217&gt;='Configuración'!$B$20,"B",IF(V217&gt;='Configuración'!$B$21,"C","Descarte"))))</f>
        <v>Descarte</v>
      </c>
    </row>
    <row r="218" ht="15.75" customHeight="1">
      <c r="A218" s="34">
        <f t="shared" si="1"/>
        <v>216</v>
      </c>
      <c r="B218" s="29" t="s">
        <v>250</v>
      </c>
      <c r="C218" s="29" t="s">
        <v>202</v>
      </c>
      <c r="D218" s="29" t="s">
        <v>680</v>
      </c>
      <c r="E218" s="29" t="s">
        <v>1483</v>
      </c>
      <c r="F218" s="30" t="s">
        <v>1484</v>
      </c>
      <c r="G218" s="30" t="s">
        <v>683</v>
      </c>
      <c r="H218" s="30" t="s">
        <v>684</v>
      </c>
      <c r="I218" s="29" t="s">
        <v>659</v>
      </c>
      <c r="J218" s="31">
        <v>3.0</v>
      </c>
      <c r="K218" s="35"/>
      <c r="L218" s="35"/>
      <c r="M218" s="35"/>
      <c r="N218" s="35"/>
      <c r="O218" s="35"/>
      <c r="P218" s="35"/>
      <c r="Q218" s="35"/>
      <c r="R218" s="35"/>
      <c r="S218" s="37">
        <f>IF(B218="","",IF(ISNUMBER(J218),IF(J218&lt;=10,'Configuración'!$B$23,IF(J218&lt;=50,'Configuración'!$B$24,IF(J218&lt;=200,'Configuración'!$B$25,0))),0))</f>
        <v>12</v>
      </c>
      <c r="T218" s="37">
        <f>IF(B218="","",IF(ISNUMBER(SEARCH("information technology",I218))+ISNUMBER(SEARCH("software",I218))+ISNUMBER(SEARCH("internet",I218))+ISNUMBER(SEARCH("computer",I218))+ISNUMBER(SEARCH("saas",I218))+ISNUMBER(SEARCH("fintech",I218))+ISNUMBER(SEARCH("information services",I218))+ISNUMBER(SEARCH("telecommunications",I218))&gt;0,'Configuración'!$B$27,'Configuración'!$B$28))</f>
        <v>4</v>
      </c>
      <c r="U218" s="25">
        <f>IF(B218="","",IF(ISNUMBER(SEARCH("CEO",C218))+ISNUMBER(SEARCH("Founder",C218))+ISNUMBER(SEARCH("Owner",C218))+ISNUMBER(SEARCH("Dueño",C218))+ISNUMBER(SEARCH("Director General",C218))+ISNUMBER(SEARCH("Presidente",C218))+ISNUMBER(SEARCH("President",C218))&gt;0,'Configuración'!$B$31,IF(ISNUMBER(SEARCH("CMO",C218))+ISNUMBER(SEARCH("Chief Marketing",C218))+ISNUMBER(SEARCH("VP Marketing",C218))+ISNUMBER(SEARCH("Director de Marketing",C218))+ISNUMBER(SEARCH("Director Marketing",C218))+ISNUMBER(SEARCH("Head of Marketing",C218))+ISNUMBER(SEARCH("Head Marketing",C218))&gt;0,'Configuración'!$B$32,IF(ISNUMBER(SEARCH("Marketing Manager",C218))+ISNUMBER(SEARCH("Gerente de Marketing",C218))+ISNUMBER(SEARCH("Growth Manager",C218))+ISNUMBER(SEARCH("Demand Gen",C218))+ISNUMBER(SEARCH("Marketing Lead",C218))&gt;0,'Configuración'!$B$33,IF(ISNUMBER(SEARCH("COO",C218))+ISNUMBER(SEARCH("CFO",C218))+ISNUMBER(SEARCH("CTO",C218))+ISNUMBER(SEARCH("Chief Operating",C218))+ISNUMBER(SEARCH("Chief Financial",C218))+ISNUMBER(SEARCH("Gerente General",C218))+ISNUMBER(SEARCH("General Manager",C218))&gt;0,'Configuración'!$B$34,'Configuración'!$B$35)))))</f>
        <v>12</v>
      </c>
      <c r="V218" s="38">
        <f>IF(B218="","",IF(K218="Sí",'Configuración'!$B$5,0)+IF(L218="Semanal",'Configuración'!$B$6,IF(L218="Mensual",'Configuración'!$B$7,0))+IF(M218="Sí",'Configuración'!$B$8,0)+IF(N218="Sí",'Configuración'!$B$9,0)+IF(O218="Sí",'Configuración'!$B$10,0)+IF(P218="Sí",'Configuración'!$B$11,0)+IF(Q218="Sí",'Configuración'!$B$12,0)+S218+T218+U218)</f>
        <v>28</v>
      </c>
      <c r="W218" s="39" t="str">
        <f>IF(B218="","",IF(V218&gt;='Configuración'!$B$19,"A",IF(V218&gt;='Configuración'!$B$20,"B",IF(V218&gt;='Configuración'!$B$21,"C","Descarte"))))</f>
        <v>C</v>
      </c>
    </row>
    <row r="219" ht="15.75" customHeight="1">
      <c r="A219" s="34">
        <f t="shared" si="1"/>
        <v>217</v>
      </c>
      <c r="B219" s="29" t="s">
        <v>1137</v>
      </c>
      <c r="C219" s="29" t="s">
        <v>1120</v>
      </c>
      <c r="D219" s="29" t="s">
        <v>1485</v>
      </c>
      <c r="E219" s="29" t="s">
        <v>1486</v>
      </c>
      <c r="F219" s="30" t="s">
        <v>1487</v>
      </c>
      <c r="G219" s="30" t="s">
        <v>1488</v>
      </c>
      <c r="H219" s="30" t="s">
        <v>1489</v>
      </c>
      <c r="I219" s="29"/>
      <c r="J219" s="31">
        <v>11.0</v>
      </c>
      <c r="K219" s="35"/>
      <c r="L219" s="35"/>
      <c r="M219" s="35"/>
      <c r="N219" s="35"/>
      <c r="O219" s="35"/>
      <c r="P219" s="35"/>
      <c r="Q219" s="35"/>
      <c r="R219" s="35"/>
      <c r="S219" s="37">
        <f>IF(B219="","",IF(ISNUMBER(J219),IF(J219&lt;=10,'Configuración'!$B$23,IF(J219&lt;=50,'Configuración'!$B$24,IF(J219&lt;=200,'Configuración'!$B$25,0))),0))</f>
        <v>4</v>
      </c>
      <c r="T219" s="37">
        <f>IF(B219="","",IF(ISNUMBER(SEARCH("information technology",I219))+ISNUMBER(SEARCH("software",I219))+ISNUMBER(SEARCH("internet",I219))+ISNUMBER(SEARCH("computer",I219))+ISNUMBER(SEARCH("saas",I219))+ISNUMBER(SEARCH("fintech",I219))+ISNUMBER(SEARCH("information services",I219))+ISNUMBER(SEARCH("telecommunications",I219))&gt;0,'Configuración'!$B$27,'Configuración'!$B$28))</f>
        <v>4</v>
      </c>
      <c r="U219" s="25">
        <f>IF(B219="","",IF(ISNUMBER(SEARCH("CEO",C219))+ISNUMBER(SEARCH("Founder",C219))+ISNUMBER(SEARCH("Owner",C219))+ISNUMBER(SEARCH("Dueño",C219))+ISNUMBER(SEARCH("Director General",C219))+ISNUMBER(SEARCH("Presidente",C219))+ISNUMBER(SEARCH("President",C219))&gt;0,'Configuración'!$B$31,IF(ISNUMBER(SEARCH("CMO",C219))+ISNUMBER(SEARCH("Chief Marketing",C219))+ISNUMBER(SEARCH("VP Marketing",C219))+ISNUMBER(SEARCH("Director de Marketing",C219))+ISNUMBER(SEARCH("Director Marketing",C219))+ISNUMBER(SEARCH("Head of Marketing",C219))+ISNUMBER(SEARCH("Head Marketing",C219))&gt;0,'Configuración'!$B$32,IF(ISNUMBER(SEARCH("Marketing Manager",C219))+ISNUMBER(SEARCH("Gerente de Marketing",C219))+ISNUMBER(SEARCH("Growth Manager",C219))+ISNUMBER(SEARCH("Demand Gen",C219))+ISNUMBER(SEARCH("Marketing Lead",C219))&gt;0,'Configuración'!$B$33,IF(ISNUMBER(SEARCH("COO",C219))+ISNUMBER(SEARCH("CFO",C219))+ISNUMBER(SEARCH("CTO",C219))+ISNUMBER(SEARCH("Chief Operating",C219))+ISNUMBER(SEARCH("Chief Financial",C219))+ISNUMBER(SEARCH("Gerente General",C219))+ISNUMBER(SEARCH("General Manager",C219))&gt;0,'Configuración'!$B$34,'Configuración'!$B$35)))))</f>
        <v>4</v>
      </c>
      <c r="V219" s="38">
        <f>IF(B219="","",IF(K219="Sí",'Configuración'!$B$5,0)+IF(L219="Semanal",'Configuración'!$B$6,IF(L219="Mensual",'Configuración'!$B$7,0))+IF(M219="Sí",'Configuración'!$B$8,0)+IF(N219="Sí",'Configuración'!$B$9,0)+IF(O219="Sí",'Configuración'!$B$10,0)+IF(P219="Sí",'Configuración'!$B$11,0)+IF(Q219="Sí",'Configuración'!$B$12,0)+S219+T219+U219)</f>
        <v>12</v>
      </c>
      <c r="W219" s="39" t="str">
        <f>IF(B219="","",IF(V219&gt;='Configuración'!$B$19,"A",IF(V219&gt;='Configuración'!$B$20,"B",IF(V219&gt;='Configuración'!$B$21,"C","Descarte"))))</f>
        <v>Descarte</v>
      </c>
    </row>
    <row r="220" ht="15.75" customHeight="1">
      <c r="A220" s="34">
        <f t="shared" si="1"/>
        <v>218</v>
      </c>
      <c r="B220" s="29" t="s">
        <v>181</v>
      </c>
      <c r="C220" s="29" t="s">
        <v>131</v>
      </c>
      <c r="D220" s="29" t="s">
        <v>1490</v>
      </c>
      <c r="E220" s="29" t="s">
        <v>1491</v>
      </c>
      <c r="F220" s="30" t="s">
        <v>1492</v>
      </c>
      <c r="G220" s="30" t="s">
        <v>1493</v>
      </c>
      <c r="H220" s="30" t="s">
        <v>1494</v>
      </c>
      <c r="I220" s="29" t="s">
        <v>563</v>
      </c>
      <c r="J220" s="31">
        <v>6.0</v>
      </c>
      <c r="K220" s="35"/>
      <c r="L220" s="35"/>
      <c r="M220" s="35"/>
      <c r="N220" s="35"/>
      <c r="O220" s="35"/>
      <c r="P220" s="35"/>
      <c r="Q220" s="35"/>
      <c r="R220" s="35"/>
      <c r="S220" s="37">
        <f>IF(B220="","",IF(ISNUMBER(J220),IF(J220&lt;=10,'Configuración'!$B$23,IF(J220&lt;=50,'Configuración'!$B$24,IF(J220&lt;=200,'Configuración'!$B$25,0))),0))</f>
        <v>12</v>
      </c>
      <c r="T220" s="37">
        <f>IF(B220="","",IF(ISNUMBER(SEARCH("information technology",I220))+ISNUMBER(SEARCH("software",I220))+ISNUMBER(SEARCH("internet",I220))+ISNUMBER(SEARCH("computer",I220))+ISNUMBER(SEARCH("saas",I220))+ISNUMBER(SEARCH("fintech",I220))+ISNUMBER(SEARCH("information services",I220))+ISNUMBER(SEARCH("telecommunications",I220))&gt;0,'Configuración'!$B$27,'Configuración'!$B$28))</f>
        <v>4</v>
      </c>
      <c r="U220" s="25">
        <f>IF(B220="","",IF(ISNUMBER(SEARCH("CEO",C220))+ISNUMBER(SEARCH("Founder",C220))+ISNUMBER(SEARCH("Owner",C220))+ISNUMBER(SEARCH("Dueño",C220))+ISNUMBER(SEARCH("Director General",C220))+ISNUMBER(SEARCH("Presidente",C220))+ISNUMBER(SEARCH("President",C220))&gt;0,'Configuración'!$B$31,IF(ISNUMBER(SEARCH("CMO",C220))+ISNUMBER(SEARCH("Chief Marketing",C220))+ISNUMBER(SEARCH("VP Marketing",C220))+ISNUMBER(SEARCH("Director de Marketing",C220))+ISNUMBER(SEARCH("Director Marketing",C220))+ISNUMBER(SEARCH("Head of Marketing",C220))+ISNUMBER(SEARCH("Head Marketing",C220))&gt;0,'Configuración'!$B$32,IF(ISNUMBER(SEARCH("Marketing Manager",C220))+ISNUMBER(SEARCH("Gerente de Marketing",C220))+ISNUMBER(SEARCH("Growth Manager",C220))+ISNUMBER(SEARCH("Demand Gen",C220))+ISNUMBER(SEARCH("Marketing Lead",C220))&gt;0,'Configuración'!$B$33,IF(ISNUMBER(SEARCH("COO",C220))+ISNUMBER(SEARCH("CFO",C220))+ISNUMBER(SEARCH("CTO",C220))+ISNUMBER(SEARCH("Chief Operating",C220))+ISNUMBER(SEARCH("Chief Financial",C220))+ISNUMBER(SEARCH("Gerente General",C220))+ISNUMBER(SEARCH("General Manager",C220))&gt;0,'Configuración'!$B$34,'Configuración'!$B$35)))))</f>
        <v>12</v>
      </c>
      <c r="V220" s="38">
        <f>IF(B220="","",IF(K220="Sí",'Configuración'!$B$5,0)+IF(L220="Semanal",'Configuración'!$B$6,IF(L220="Mensual",'Configuración'!$B$7,0))+IF(M220="Sí",'Configuración'!$B$8,0)+IF(N220="Sí",'Configuración'!$B$9,0)+IF(O220="Sí",'Configuración'!$B$10,0)+IF(P220="Sí",'Configuración'!$B$11,0)+IF(Q220="Sí",'Configuración'!$B$12,0)+S220+T220+U220)</f>
        <v>28</v>
      </c>
      <c r="W220" s="39" t="str">
        <f>IF(B220="","",IF(V220&gt;='Configuración'!$B$19,"A",IF(V220&gt;='Configuración'!$B$20,"B",IF(V220&gt;='Configuración'!$B$21,"C","Descarte"))))</f>
        <v>C</v>
      </c>
    </row>
    <row r="221" ht="15.75" customHeight="1">
      <c r="A221" s="34">
        <f t="shared" si="1"/>
        <v>219</v>
      </c>
      <c r="B221" s="29" t="s">
        <v>1048</v>
      </c>
      <c r="C221" s="29" t="s">
        <v>131</v>
      </c>
      <c r="D221" s="29" t="s">
        <v>1495</v>
      </c>
      <c r="E221" s="29" t="s">
        <v>1496</v>
      </c>
      <c r="F221" s="30" t="s">
        <v>1497</v>
      </c>
      <c r="G221" s="30" t="s">
        <v>1498</v>
      </c>
      <c r="H221" s="30" t="s">
        <v>1499</v>
      </c>
      <c r="I221" s="29" t="s">
        <v>127</v>
      </c>
      <c r="J221" s="31">
        <v>8.0</v>
      </c>
      <c r="K221" s="35"/>
      <c r="L221" s="35"/>
      <c r="M221" s="35"/>
      <c r="N221" s="35"/>
      <c r="O221" s="35"/>
      <c r="P221" s="35"/>
      <c r="Q221" s="35"/>
      <c r="R221" s="35"/>
      <c r="S221" s="37">
        <f>IF(B221="","",IF(ISNUMBER(J221),IF(J221&lt;=10,'Configuración'!$B$23,IF(J221&lt;=50,'Configuración'!$B$24,IF(J221&lt;=200,'Configuración'!$B$25,0))),0))</f>
        <v>12</v>
      </c>
      <c r="T221" s="37">
        <f>IF(B221="","",IF(ISNUMBER(SEARCH("information technology",I221))+ISNUMBER(SEARCH("software",I221))+ISNUMBER(SEARCH("internet",I221))+ISNUMBER(SEARCH("computer",I221))+ISNUMBER(SEARCH("saas",I221))+ISNUMBER(SEARCH("fintech",I221))+ISNUMBER(SEARCH("information services",I221))+ISNUMBER(SEARCH("telecommunications",I221))&gt;0,'Configuración'!$B$27,'Configuración'!$B$28))</f>
        <v>12</v>
      </c>
      <c r="U221" s="25">
        <f>IF(B221="","",IF(ISNUMBER(SEARCH("CEO",C221))+ISNUMBER(SEARCH("Founder",C221))+ISNUMBER(SEARCH("Owner",C221))+ISNUMBER(SEARCH("Dueño",C221))+ISNUMBER(SEARCH("Director General",C221))+ISNUMBER(SEARCH("Presidente",C221))+ISNUMBER(SEARCH("President",C221))&gt;0,'Configuración'!$B$31,IF(ISNUMBER(SEARCH("CMO",C221))+ISNUMBER(SEARCH("Chief Marketing",C221))+ISNUMBER(SEARCH("VP Marketing",C221))+ISNUMBER(SEARCH("Director de Marketing",C221))+ISNUMBER(SEARCH("Director Marketing",C221))+ISNUMBER(SEARCH("Head of Marketing",C221))+ISNUMBER(SEARCH("Head Marketing",C221))&gt;0,'Configuración'!$B$32,IF(ISNUMBER(SEARCH("Marketing Manager",C221))+ISNUMBER(SEARCH("Gerente de Marketing",C221))+ISNUMBER(SEARCH("Growth Manager",C221))+ISNUMBER(SEARCH("Demand Gen",C221))+ISNUMBER(SEARCH("Marketing Lead",C221))&gt;0,'Configuración'!$B$33,IF(ISNUMBER(SEARCH("COO",C221))+ISNUMBER(SEARCH("CFO",C221))+ISNUMBER(SEARCH("CTO",C221))+ISNUMBER(SEARCH("Chief Operating",C221))+ISNUMBER(SEARCH("Chief Financial",C221))+ISNUMBER(SEARCH("Gerente General",C221))+ISNUMBER(SEARCH("General Manager",C221))&gt;0,'Configuración'!$B$34,'Configuración'!$B$35)))))</f>
        <v>12</v>
      </c>
      <c r="V221" s="38">
        <f>IF(B221="","",IF(K221="Sí",'Configuración'!$B$5,0)+IF(L221="Semanal",'Configuración'!$B$6,IF(L221="Mensual",'Configuración'!$B$7,0))+IF(M221="Sí",'Configuración'!$B$8,0)+IF(N221="Sí",'Configuración'!$B$9,0)+IF(O221="Sí",'Configuración'!$B$10,0)+IF(P221="Sí",'Configuración'!$B$11,0)+IF(Q221="Sí",'Configuración'!$B$12,0)+S221+T221+U221)</f>
        <v>36</v>
      </c>
      <c r="W221" s="39" t="str">
        <f>IF(B221="","",IF(V221&gt;='Configuración'!$B$19,"A",IF(V221&gt;='Configuración'!$B$20,"B",IF(V221&gt;='Configuración'!$B$21,"C","Descarte"))))</f>
        <v>C</v>
      </c>
    </row>
    <row r="222" ht="15.75" customHeight="1">
      <c r="A222" s="34">
        <f t="shared" si="1"/>
        <v>220</v>
      </c>
      <c r="B222" s="29" t="s">
        <v>351</v>
      </c>
      <c r="C222" s="29" t="s">
        <v>202</v>
      </c>
      <c r="D222" s="29" t="s">
        <v>1500</v>
      </c>
      <c r="E222" s="29" t="s">
        <v>1501</v>
      </c>
      <c r="F222" s="30" t="s">
        <v>1502</v>
      </c>
      <c r="G222" s="30" t="s">
        <v>1503</v>
      </c>
      <c r="H222" s="30" t="s">
        <v>1504</v>
      </c>
      <c r="I222" s="29" t="s">
        <v>127</v>
      </c>
      <c r="J222" s="31">
        <v>11.0</v>
      </c>
      <c r="K222" s="35"/>
      <c r="L222" s="35"/>
      <c r="M222" s="35"/>
      <c r="N222" s="35"/>
      <c r="O222" s="35"/>
      <c r="P222" s="35"/>
      <c r="Q222" s="35"/>
      <c r="R222" s="35"/>
      <c r="S222" s="37">
        <f>IF(B222="","",IF(ISNUMBER(J222),IF(J222&lt;=10,'Configuración'!$B$23,IF(J222&lt;=50,'Configuración'!$B$24,IF(J222&lt;=200,'Configuración'!$B$25,0))),0))</f>
        <v>4</v>
      </c>
      <c r="T222" s="37">
        <f>IF(B222="","",IF(ISNUMBER(SEARCH("information technology",I222))+ISNUMBER(SEARCH("software",I222))+ISNUMBER(SEARCH("internet",I222))+ISNUMBER(SEARCH("computer",I222))+ISNUMBER(SEARCH("saas",I222))+ISNUMBER(SEARCH("fintech",I222))+ISNUMBER(SEARCH("information services",I222))+ISNUMBER(SEARCH("telecommunications",I222))&gt;0,'Configuración'!$B$27,'Configuración'!$B$28))</f>
        <v>12</v>
      </c>
      <c r="U222" s="25">
        <f>IF(B222="","",IF(ISNUMBER(SEARCH("CEO",C222))+ISNUMBER(SEARCH("Founder",C222))+ISNUMBER(SEARCH("Owner",C222))+ISNUMBER(SEARCH("Dueño",C222))+ISNUMBER(SEARCH("Director General",C222))+ISNUMBER(SEARCH("Presidente",C222))+ISNUMBER(SEARCH("President",C222))&gt;0,'Configuración'!$B$31,IF(ISNUMBER(SEARCH("CMO",C222))+ISNUMBER(SEARCH("Chief Marketing",C222))+ISNUMBER(SEARCH("VP Marketing",C222))+ISNUMBER(SEARCH("Director de Marketing",C222))+ISNUMBER(SEARCH("Director Marketing",C222))+ISNUMBER(SEARCH("Head of Marketing",C222))+ISNUMBER(SEARCH("Head Marketing",C222))&gt;0,'Configuración'!$B$32,IF(ISNUMBER(SEARCH("Marketing Manager",C222))+ISNUMBER(SEARCH("Gerente de Marketing",C222))+ISNUMBER(SEARCH("Growth Manager",C222))+ISNUMBER(SEARCH("Demand Gen",C222))+ISNUMBER(SEARCH("Marketing Lead",C222))&gt;0,'Configuración'!$B$33,IF(ISNUMBER(SEARCH("COO",C222))+ISNUMBER(SEARCH("CFO",C222))+ISNUMBER(SEARCH("CTO",C222))+ISNUMBER(SEARCH("Chief Operating",C222))+ISNUMBER(SEARCH("Chief Financial",C222))+ISNUMBER(SEARCH("Gerente General",C222))+ISNUMBER(SEARCH("General Manager",C222))&gt;0,'Configuración'!$B$34,'Configuración'!$B$35)))))</f>
        <v>12</v>
      </c>
      <c r="V222" s="38">
        <f>IF(B222="","",IF(K222="Sí",'Configuración'!$B$5,0)+IF(L222="Semanal",'Configuración'!$B$6,IF(L222="Mensual",'Configuración'!$B$7,0))+IF(M222="Sí",'Configuración'!$B$8,0)+IF(N222="Sí",'Configuración'!$B$9,0)+IF(O222="Sí",'Configuración'!$B$10,0)+IF(P222="Sí",'Configuración'!$B$11,0)+IF(Q222="Sí",'Configuración'!$B$12,0)+S222+T222+U222)</f>
        <v>28</v>
      </c>
      <c r="W222" s="39" t="str">
        <f>IF(B222="","",IF(V222&gt;='Configuración'!$B$19,"A",IF(V222&gt;='Configuración'!$B$20,"B",IF(V222&gt;='Configuración'!$B$21,"C","Descarte"))))</f>
        <v>C</v>
      </c>
    </row>
    <row r="223" ht="15.75" customHeight="1">
      <c r="A223" s="34">
        <f t="shared" si="1"/>
        <v>221</v>
      </c>
      <c r="B223" s="29" t="s">
        <v>324</v>
      </c>
      <c r="C223" s="29" t="s">
        <v>622</v>
      </c>
      <c r="D223" s="29" t="s">
        <v>1505</v>
      </c>
      <c r="E223" s="29" t="s">
        <v>1506</v>
      </c>
      <c r="F223" s="30" t="s">
        <v>1507</v>
      </c>
      <c r="G223" s="30" t="s">
        <v>1508</v>
      </c>
      <c r="H223" s="30" t="s">
        <v>1509</v>
      </c>
      <c r="I223" s="29" t="s">
        <v>127</v>
      </c>
      <c r="J223" s="31">
        <v>1.0</v>
      </c>
      <c r="K223" s="35"/>
      <c r="L223" s="35"/>
      <c r="M223" s="35"/>
      <c r="N223" s="35"/>
      <c r="O223" s="35"/>
      <c r="P223" s="35"/>
      <c r="Q223" s="35"/>
      <c r="R223" s="35"/>
      <c r="S223" s="37">
        <f>IF(B223="","",IF(ISNUMBER(J223),IF(J223&lt;=10,'Configuración'!$B$23,IF(J223&lt;=50,'Configuración'!$B$24,IF(J223&lt;=200,'Configuración'!$B$25,0))),0))</f>
        <v>12</v>
      </c>
      <c r="T223" s="37">
        <f>IF(B223="","",IF(ISNUMBER(SEARCH("information technology",I223))+ISNUMBER(SEARCH("software",I223))+ISNUMBER(SEARCH("internet",I223))+ISNUMBER(SEARCH("computer",I223))+ISNUMBER(SEARCH("saas",I223))+ISNUMBER(SEARCH("fintech",I223))+ISNUMBER(SEARCH("information services",I223))+ISNUMBER(SEARCH("telecommunications",I223))&gt;0,'Configuración'!$B$27,'Configuración'!$B$28))</f>
        <v>12</v>
      </c>
      <c r="U223" s="25">
        <f>IF(B223="","",IF(ISNUMBER(SEARCH("CEO",C223))+ISNUMBER(SEARCH("Founder",C223))+ISNUMBER(SEARCH("Owner",C223))+ISNUMBER(SEARCH("Dueño",C223))+ISNUMBER(SEARCH("Director General",C223))+ISNUMBER(SEARCH("Presidente",C223))+ISNUMBER(SEARCH("President",C223))&gt;0,'Configuración'!$B$31,IF(ISNUMBER(SEARCH("CMO",C223))+ISNUMBER(SEARCH("Chief Marketing",C223))+ISNUMBER(SEARCH("VP Marketing",C223))+ISNUMBER(SEARCH("Director de Marketing",C223))+ISNUMBER(SEARCH("Director Marketing",C223))+ISNUMBER(SEARCH("Head of Marketing",C223))+ISNUMBER(SEARCH("Head Marketing",C223))&gt;0,'Configuración'!$B$32,IF(ISNUMBER(SEARCH("Marketing Manager",C223))+ISNUMBER(SEARCH("Gerente de Marketing",C223))+ISNUMBER(SEARCH("Growth Manager",C223))+ISNUMBER(SEARCH("Demand Gen",C223))+ISNUMBER(SEARCH("Marketing Lead",C223))&gt;0,'Configuración'!$B$33,IF(ISNUMBER(SEARCH("COO",C223))+ISNUMBER(SEARCH("CFO",C223))+ISNUMBER(SEARCH("CTO",C223))+ISNUMBER(SEARCH("Chief Operating",C223))+ISNUMBER(SEARCH("Chief Financial",C223))+ISNUMBER(SEARCH("Gerente General",C223))+ISNUMBER(SEARCH("General Manager",C223))&gt;0,'Configuración'!$B$34,'Configuración'!$B$35)))))</f>
        <v>12</v>
      </c>
      <c r="V223" s="38">
        <f>IF(B223="","",IF(K223="Sí",'Configuración'!$B$5,0)+IF(L223="Semanal",'Configuración'!$B$6,IF(L223="Mensual",'Configuración'!$B$7,0))+IF(M223="Sí",'Configuración'!$B$8,0)+IF(N223="Sí",'Configuración'!$B$9,0)+IF(O223="Sí",'Configuración'!$B$10,0)+IF(P223="Sí",'Configuración'!$B$11,0)+IF(Q223="Sí",'Configuración'!$B$12,0)+S223+T223+U223)</f>
        <v>36</v>
      </c>
      <c r="W223" s="39" t="str">
        <f>IF(B223="","",IF(V223&gt;='Configuración'!$B$19,"A",IF(V223&gt;='Configuración'!$B$20,"B",IF(V223&gt;='Configuración'!$B$21,"C","Descarte"))))</f>
        <v>C</v>
      </c>
    </row>
    <row r="224" ht="15.75" customHeight="1">
      <c r="A224" s="34">
        <f t="shared" si="1"/>
        <v>222</v>
      </c>
      <c r="B224" s="29" t="s">
        <v>1510</v>
      </c>
      <c r="C224" s="29" t="s">
        <v>1511</v>
      </c>
      <c r="D224" s="29" t="s">
        <v>1512</v>
      </c>
      <c r="E224" s="29" t="s">
        <v>1513</v>
      </c>
      <c r="F224" s="30" t="s">
        <v>1514</v>
      </c>
      <c r="G224" s="30" t="s">
        <v>1515</v>
      </c>
      <c r="H224" s="30" t="s">
        <v>1516</v>
      </c>
      <c r="I224" s="29" t="s">
        <v>1034</v>
      </c>
      <c r="J224" s="31">
        <v>7.0</v>
      </c>
      <c r="K224" s="35"/>
      <c r="L224" s="35"/>
      <c r="M224" s="35"/>
      <c r="N224" s="35"/>
      <c r="O224" s="35"/>
      <c r="P224" s="35"/>
      <c r="Q224" s="35"/>
      <c r="R224" s="35"/>
      <c r="S224" s="37">
        <f>IF(B224="","",IF(ISNUMBER(J224),IF(J224&lt;=10,'Configuración'!$B$23,IF(J224&lt;=50,'Configuración'!$B$24,IF(J224&lt;=200,'Configuración'!$B$25,0))),0))</f>
        <v>12</v>
      </c>
      <c r="T224" s="37">
        <f>IF(B224="","",IF(ISNUMBER(SEARCH("information technology",I224))+ISNUMBER(SEARCH("software",I224))+ISNUMBER(SEARCH("internet",I224))+ISNUMBER(SEARCH("computer",I224))+ISNUMBER(SEARCH("saas",I224))+ISNUMBER(SEARCH("fintech",I224))+ISNUMBER(SEARCH("information services",I224))+ISNUMBER(SEARCH("telecommunications",I224))&gt;0,'Configuración'!$B$27,'Configuración'!$B$28))</f>
        <v>4</v>
      </c>
      <c r="U224" s="25">
        <f>IF(B224="","",IF(ISNUMBER(SEARCH("CEO",C224))+ISNUMBER(SEARCH("Founder",C224))+ISNUMBER(SEARCH("Owner",C224))+ISNUMBER(SEARCH("Dueño",C224))+ISNUMBER(SEARCH("Director General",C224))+ISNUMBER(SEARCH("Presidente",C224))+ISNUMBER(SEARCH("President",C224))&gt;0,'Configuración'!$B$31,IF(ISNUMBER(SEARCH("CMO",C224))+ISNUMBER(SEARCH("Chief Marketing",C224))+ISNUMBER(SEARCH("VP Marketing",C224))+ISNUMBER(SEARCH("Director de Marketing",C224))+ISNUMBER(SEARCH("Director Marketing",C224))+ISNUMBER(SEARCH("Head of Marketing",C224))+ISNUMBER(SEARCH("Head Marketing",C224))&gt;0,'Configuración'!$B$32,IF(ISNUMBER(SEARCH("Marketing Manager",C224))+ISNUMBER(SEARCH("Gerente de Marketing",C224))+ISNUMBER(SEARCH("Growth Manager",C224))+ISNUMBER(SEARCH("Demand Gen",C224))+ISNUMBER(SEARCH("Marketing Lead",C224))&gt;0,'Configuración'!$B$33,IF(ISNUMBER(SEARCH("COO",C224))+ISNUMBER(SEARCH("CFO",C224))+ISNUMBER(SEARCH("CTO",C224))+ISNUMBER(SEARCH("Chief Operating",C224))+ISNUMBER(SEARCH("Chief Financial",C224))+ISNUMBER(SEARCH("Gerente General",C224))+ISNUMBER(SEARCH("General Manager",C224))&gt;0,'Configuración'!$B$34,'Configuración'!$B$35)))))</f>
        <v>12</v>
      </c>
      <c r="V224" s="38">
        <f>IF(B224="","",IF(K224="Sí",'Configuración'!$B$5,0)+IF(L224="Semanal",'Configuración'!$B$6,IF(L224="Mensual",'Configuración'!$B$7,0))+IF(M224="Sí",'Configuración'!$B$8,0)+IF(N224="Sí",'Configuración'!$B$9,0)+IF(O224="Sí",'Configuración'!$B$10,0)+IF(P224="Sí",'Configuración'!$B$11,0)+IF(Q224="Sí",'Configuración'!$B$12,0)+S224+T224+U224)</f>
        <v>28</v>
      </c>
      <c r="W224" s="39" t="str">
        <f>IF(B224="","",IF(V224&gt;='Configuración'!$B$19,"A",IF(V224&gt;='Configuración'!$B$20,"B",IF(V224&gt;='Configuración'!$B$21,"C","Descarte"))))</f>
        <v>C</v>
      </c>
    </row>
    <row r="225" ht="15.75" customHeight="1">
      <c r="A225" s="34">
        <f t="shared" si="1"/>
        <v>223</v>
      </c>
      <c r="B225" s="29" t="s">
        <v>777</v>
      </c>
      <c r="C225" s="29" t="s">
        <v>487</v>
      </c>
      <c r="D225" s="29" t="s">
        <v>1517</v>
      </c>
      <c r="E225" s="29" t="s">
        <v>1518</v>
      </c>
      <c r="F225" s="30" t="s">
        <v>1519</v>
      </c>
      <c r="G225" s="30" t="s">
        <v>1520</v>
      </c>
      <c r="H225" s="30" t="s">
        <v>1521</v>
      </c>
      <c r="I225" s="29" t="s">
        <v>847</v>
      </c>
      <c r="J225" s="31">
        <v>3.0</v>
      </c>
      <c r="K225" s="35"/>
      <c r="L225" s="35"/>
      <c r="M225" s="35"/>
      <c r="N225" s="35"/>
      <c r="O225" s="35"/>
      <c r="P225" s="35"/>
      <c r="Q225" s="35"/>
      <c r="R225" s="35"/>
      <c r="S225" s="37">
        <f>IF(B225="","",IF(ISNUMBER(J225),IF(J225&lt;=10,'Configuración'!$B$23,IF(J225&lt;=50,'Configuración'!$B$24,IF(J225&lt;=200,'Configuración'!$B$25,0))),0))</f>
        <v>12</v>
      </c>
      <c r="T225" s="37">
        <f>IF(B225="","",IF(ISNUMBER(SEARCH("information technology",I225))+ISNUMBER(SEARCH("software",I225))+ISNUMBER(SEARCH("internet",I225))+ISNUMBER(SEARCH("computer",I225))+ISNUMBER(SEARCH("saas",I225))+ISNUMBER(SEARCH("fintech",I225))+ISNUMBER(SEARCH("information services",I225))+ISNUMBER(SEARCH("telecommunications",I225))&gt;0,'Configuración'!$B$27,'Configuración'!$B$28))</f>
        <v>4</v>
      </c>
      <c r="U225" s="25">
        <f>IF(B225="","",IF(ISNUMBER(SEARCH("CEO",C225))+ISNUMBER(SEARCH("Founder",C225))+ISNUMBER(SEARCH("Owner",C225))+ISNUMBER(SEARCH("Dueño",C225))+ISNUMBER(SEARCH("Director General",C225))+ISNUMBER(SEARCH("Presidente",C225))+ISNUMBER(SEARCH("President",C225))&gt;0,'Configuración'!$B$31,IF(ISNUMBER(SEARCH("CMO",C225))+ISNUMBER(SEARCH("Chief Marketing",C225))+ISNUMBER(SEARCH("VP Marketing",C225))+ISNUMBER(SEARCH("Director de Marketing",C225))+ISNUMBER(SEARCH("Director Marketing",C225))+ISNUMBER(SEARCH("Head of Marketing",C225))+ISNUMBER(SEARCH("Head Marketing",C225))&gt;0,'Configuración'!$B$32,IF(ISNUMBER(SEARCH("Marketing Manager",C225))+ISNUMBER(SEARCH("Gerente de Marketing",C225))+ISNUMBER(SEARCH("Growth Manager",C225))+ISNUMBER(SEARCH("Demand Gen",C225))+ISNUMBER(SEARCH("Marketing Lead",C225))&gt;0,'Configuración'!$B$33,IF(ISNUMBER(SEARCH("COO",C225))+ISNUMBER(SEARCH("CFO",C225))+ISNUMBER(SEARCH("CTO",C225))+ISNUMBER(SEARCH("Chief Operating",C225))+ISNUMBER(SEARCH("Chief Financial",C225))+ISNUMBER(SEARCH("Gerente General",C225))+ISNUMBER(SEARCH("General Manager",C225))&gt;0,'Configuración'!$B$34,'Configuración'!$B$35)))))</f>
        <v>12</v>
      </c>
      <c r="V225" s="38">
        <f>IF(B225="","",IF(K225="Sí",'Configuración'!$B$5,0)+IF(L225="Semanal",'Configuración'!$B$6,IF(L225="Mensual",'Configuración'!$B$7,0))+IF(M225="Sí",'Configuración'!$B$8,0)+IF(N225="Sí",'Configuración'!$B$9,0)+IF(O225="Sí",'Configuración'!$B$10,0)+IF(P225="Sí",'Configuración'!$B$11,0)+IF(Q225="Sí",'Configuración'!$B$12,0)+S225+T225+U225)</f>
        <v>28</v>
      </c>
      <c r="W225" s="39" t="str">
        <f>IF(B225="","",IF(V225&gt;='Configuración'!$B$19,"A",IF(V225&gt;='Configuración'!$B$20,"B",IF(V225&gt;='Configuración'!$B$21,"C","Descarte"))))</f>
        <v>C</v>
      </c>
    </row>
    <row r="226" ht="15.75" customHeight="1">
      <c r="A226" s="34">
        <f t="shared" si="1"/>
        <v>224</v>
      </c>
      <c r="B226" s="29" t="s">
        <v>181</v>
      </c>
      <c r="C226" s="29" t="s">
        <v>1522</v>
      </c>
      <c r="D226" s="29" t="s">
        <v>1523</v>
      </c>
      <c r="E226" s="29" t="s">
        <v>1524</v>
      </c>
      <c r="F226" s="30" t="s">
        <v>1525</v>
      </c>
      <c r="G226" s="30" t="s">
        <v>1526</v>
      </c>
      <c r="H226" s="30" t="s">
        <v>1527</v>
      </c>
      <c r="I226" s="29" t="s">
        <v>563</v>
      </c>
      <c r="J226" s="31">
        <v>5.0</v>
      </c>
      <c r="K226" s="35"/>
      <c r="L226" s="35"/>
      <c r="M226" s="35"/>
      <c r="N226" s="35"/>
      <c r="O226" s="35"/>
      <c r="P226" s="35"/>
      <c r="Q226" s="35"/>
      <c r="R226" s="35"/>
      <c r="S226" s="37">
        <f>IF(B226="","",IF(ISNUMBER(J226),IF(J226&lt;=10,'Configuración'!$B$23,IF(J226&lt;=50,'Configuración'!$B$24,IF(J226&lt;=200,'Configuración'!$B$25,0))),0))</f>
        <v>12</v>
      </c>
      <c r="T226" s="37">
        <f>IF(B226="","",IF(ISNUMBER(SEARCH("information technology",I226))+ISNUMBER(SEARCH("software",I226))+ISNUMBER(SEARCH("internet",I226))+ISNUMBER(SEARCH("computer",I226))+ISNUMBER(SEARCH("saas",I226))+ISNUMBER(SEARCH("fintech",I226))+ISNUMBER(SEARCH("information services",I226))+ISNUMBER(SEARCH("telecommunications",I226))&gt;0,'Configuración'!$B$27,'Configuración'!$B$28))</f>
        <v>4</v>
      </c>
      <c r="U226" s="25">
        <f>IF(B226="","",IF(ISNUMBER(SEARCH("CEO",C226))+ISNUMBER(SEARCH("Founder",C226))+ISNUMBER(SEARCH("Owner",C226))+ISNUMBER(SEARCH("Dueño",C226))+ISNUMBER(SEARCH("Director General",C226))+ISNUMBER(SEARCH("Presidente",C226))+ISNUMBER(SEARCH("President",C226))&gt;0,'Configuración'!$B$31,IF(ISNUMBER(SEARCH("CMO",C226))+ISNUMBER(SEARCH("Chief Marketing",C226))+ISNUMBER(SEARCH("VP Marketing",C226))+ISNUMBER(SEARCH("Director de Marketing",C226))+ISNUMBER(SEARCH("Director Marketing",C226))+ISNUMBER(SEARCH("Head of Marketing",C226))+ISNUMBER(SEARCH("Head Marketing",C226))&gt;0,'Configuración'!$B$32,IF(ISNUMBER(SEARCH("Marketing Manager",C226))+ISNUMBER(SEARCH("Gerente de Marketing",C226))+ISNUMBER(SEARCH("Growth Manager",C226))+ISNUMBER(SEARCH("Demand Gen",C226))+ISNUMBER(SEARCH("Marketing Lead",C226))&gt;0,'Configuración'!$B$33,IF(ISNUMBER(SEARCH("COO",C226))+ISNUMBER(SEARCH("CFO",C226))+ISNUMBER(SEARCH("CTO",C226))+ISNUMBER(SEARCH("Chief Operating",C226))+ISNUMBER(SEARCH("Chief Financial",C226))+ISNUMBER(SEARCH("Gerente General",C226))+ISNUMBER(SEARCH("General Manager",C226))&gt;0,'Configuración'!$B$34,'Configuración'!$B$35)))))</f>
        <v>12</v>
      </c>
      <c r="V226" s="38">
        <f>IF(B226="","",IF(K226="Sí",'Configuración'!$B$5,0)+IF(L226="Semanal",'Configuración'!$B$6,IF(L226="Mensual",'Configuración'!$B$7,0))+IF(M226="Sí",'Configuración'!$B$8,0)+IF(N226="Sí",'Configuración'!$B$9,0)+IF(O226="Sí",'Configuración'!$B$10,0)+IF(P226="Sí",'Configuración'!$B$11,0)+IF(Q226="Sí",'Configuración'!$B$12,0)+S226+T226+U226)</f>
        <v>28</v>
      </c>
      <c r="W226" s="39" t="str">
        <f>IF(B226="","",IF(V226&gt;='Configuración'!$B$19,"A",IF(V226&gt;='Configuración'!$B$20,"B",IF(V226&gt;='Configuración'!$B$21,"C","Descarte"))))</f>
        <v>C</v>
      </c>
    </row>
    <row r="227" ht="15.75" customHeight="1">
      <c r="A227" s="34">
        <f t="shared" si="1"/>
        <v>225</v>
      </c>
      <c r="B227" s="29" t="s">
        <v>1528</v>
      </c>
      <c r="C227" s="29" t="s">
        <v>224</v>
      </c>
      <c r="D227" s="29" t="s">
        <v>1529</v>
      </c>
      <c r="E227" s="29" t="s">
        <v>1530</v>
      </c>
      <c r="F227" s="30" t="s">
        <v>1531</v>
      </c>
      <c r="G227" s="30" t="s">
        <v>1532</v>
      </c>
      <c r="H227" s="30" t="s">
        <v>1533</v>
      </c>
      <c r="I227" s="29" t="s">
        <v>542</v>
      </c>
      <c r="J227" s="31">
        <v>3.0</v>
      </c>
      <c r="K227" s="35"/>
      <c r="L227" s="35"/>
      <c r="M227" s="35"/>
      <c r="N227" s="35"/>
      <c r="O227" s="35"/>
      <c r="P227" s="35"/>
      <c r="Q227" s="35"/>
      <c r="R227" s="35"/>
      <c r="S227" s="37">
        <f>IF(B227="","",IF(ISNUMBER(J227),IF(J227&lt;=10,'Configuración'!$B$23,IF(J227&lt;=50,'Configuración'!$B$24,IF(J227&lt;=200,'Configuración'!$B$25,0))),0))</f>
        <v>12</v>
      </c>
      <c r="T227" s="37">
        <f>IF(B227="","",IF(ISNUMBER(SEARCH("information technology",I227))+ISNUMBER(SEARCH("software",I227))+ISNUMBER(SEARCH("internet",I227))+ISNUMBER(SEARCH("computer",I227))+ISNUMBER(SEARCH("saas",I227))+ISNUMBER(SEARCH("fintech",I227))+ISNUMBER(SEARCH("information services",I227))+ISNUMBER(SEARCH("telecommunications",I227))&gt;0,'Configuración'!$B$27,'Configuración'!$B$28))</f>
        <v>4</v>
      </c>
      <c r="U227" s="25">
        <f>IF(B227="","",IF(ISNUMBER(SEARCH("CEO",C227))+ISNUMBER(SEARCH("Founder",C227))+ISNUMBER(SEARCH("Owner",C227))+ISNUMBER(SEARCH("Dueño",C227))+ISNUMBER(SEARCH("Director General",C227))+ISNUMBER(SEARCH("Presidente",C227))+ISNUMBER(SEARCH("President",C227))&gt;0,'Configuración'!$B$31,IF(ISNUMBER(SEARCH("CMO",C227))+ISNUMBER(SEARCH("Chief Marketing",C227))+ISNUMBER(SEARCH("VP Marketing",C227))+ISNUMBER(SEARCH("Director de Marketing",C227))+ISNUMBER(SEARCH("Director Marketing",C227))+ISNUMBER(SEARCH("Head of Marketing",C227))+ISNUMBER(SEARCH("Head Marketing",C227))&gt;0,'Configuración'!$B$32,IF(ISNUMBER(SEARCH("Marketing Manager",C227))+ISNUMBER(SEARCH("Gerente de Marketing",C227))+ISNUMBER(SEARCH("Growth Manager",C227))+ISNUMBER(SEARCH("Demand Gen",C227))+ISNUMBER(SEARCH("Marketing Lead",C227))&gt;0,'Configuración'!$B$33,IF(ISNUMBER(SEARCH("COO",C227))+ISNUMBER(SEARCH("CFO",C227))+ISNUMBER(SEARCH("CTO",C227))+ISNUMBER(SEARCH("Chief Operating",C227))+ISNUMBER(SEARCH("Chief Financial",C227))+ISNUMBER(SEARCH("Gerente General",C227))+ISNUMBER(SEARCH("General Manager",C227))&gt;0,'Configuración'!$B$34,'Configuración'!$B$35)))))</f>
        <v>12</v>
      </c>
      <c r="V227" s="38">
        <f>IF(B227="","",IF(K227="Sí",'Configuración'!$B$5,0)+IF(L227="Semanal",'Configuración'!$B$6,IF(L227="Mensual",'Configuración'!$B$7,0))+IF(M227="Sí",'Configuración'!$B$8,0)+IF(N227="Sí",'Configuración'!$B$9,0)+IF(O227="Sí",'Configuración'!$B$10,0)+IF(P227="Sí",'Configuración'!$B$11,0)+IF(Q227="Sí",'Configuración'!$B$12,0)+S227+T227+U227)</f>
        <v>28</v>
      </c>
      <c r="W227" s="39" t="str">
        <f>IF(B227="","",IF(V227&gt;='Configuración'!$B$19,"A",IF(V227&gt;='Configuración'!$B$20,"B",IF(V227&gt;='Configuración'!$B$21,"C","Descarte"))))</f>
        <v>C</v>
      </c>
    </row>
    <row r="228" ht="15.75" customHeight="1">
      <c r="A228" s="34">
        <f t="shared" si="1"/>
        <v>226</v>
      </c>
      <c r="B228" s="29" t="s">
        <v>1534</v>
      </c>
      <c r="C228" s="29" t="s">
        <v>1535</v>
      </c>
      <c r="D228" s="29" t="s">
        <v>1536</v>
      </c>
      <c r="E228" s="29" t="s">
        <v>1537</v>
      </c>
      <c r="F228" s="30" t="s">
        <v>1538</v>
      </c>
      <c r="G228" s="30" t="s">
        <v>1539</v>
      </c>
      <c r="H228" s="30" t="s">
        <v>1540</v>
      </c>
      <c r="I228" s="29" t="s">
        <v>188</v>
      </c>
      <c r="J228" s="31">
        <v>9.0</v>
      </c>
      <c r="K228" s="35"/>
      <c r="L228" s="35"/>
      <c r="M228" s="35"/>
      <c r="N228" s="35"/>
      <c r="O228" s="35"/>
      <c r="P228" s="35"/>
      <c r="Q228" s="35"/>
      <c r="R228" s="35"/>
      <c r="S228" s="37">
        <f>IF(B228="","",IF(ISNUMBER(J228),IF(J228&lt;=10,'Configuración'!$B$23,IF(J228&lt;=50,'Configuración'!$B$24,IF(J228&lt;=200,'Configuración'!$B$25,0))),0))</f>
        <v>12</v>
      </c>
      <c r="T228" s="37">
        <f>IF(B228="","",IF(ISNUMBER(SEARCH("information technology",I228))+ISNUMBER(SEARCH("software",I228))+ISNUMBER(SEARCH("internet",I228))+ISNUMBER(SEARCH("computer",I228))+ISNUMBER(SEARCH("saas",I228))+ISNUMBER(SEARCH("fintech",I228))+ISNUMBER(SEARCH("information services",I228))+ISNUMBER(SEARCH("telecommunications",I228))&gt;0,'Configuración'!$B$27,'Configuración'!$B$28))</f>
        <v>4</v>
      </c>
      <c r="U228" s="25">
        <f>IF(B228="","",IF(ISNUMBER(SEARCH("CEO",C228))+ISNUMBER(SEARCH("Founder",C228))+ISNUMBER(SEARCH("Owner",C228))+ISNUMBER(SEARCH("Dueño",C228))+ISNUMBER(SEARCH("Director General",C228))+ISNUMBER(SEARCH("Presidente",C228))+ISNUMBER(SEARCH("President",C228))&gt;0,'Configuración'!$B$31,IF(ISNUMBER(SEARCH("CMO",C228))+ISNUMBER(SEARCH("Chief Marketing",C228))+ISNUMBER(SEARCH("VP Marketing",C228))+ISNUMBER(SEARCH("Director de Marketing",C228))+ISNUMBER(SEARCH("Director Marketing",C228))+ISNUMBER(SEARCH("Head of Marketing",C228))+ISNUMBER(SEARCH("Head Marketing",C228))&gt;0,'Configuración'!$B$32,IF(ISNUMBER(SEARCH("Marketing Manager",C228))+ISNUMBER(SEARCH("Gerente de Marketing",C228))+ISNUMBER(SEARCH("Growth Manager",C228))+ISNUMBER(SEARCH("Demand Gen",C228))+ISNUMBER(SEARCH("Marketing Lead",C228))&gt;0,'Configuración'!$B$33,IF(ISNUMBER(SEARCH("COO",C228))+ISNUMBER(SEARCH("CFO",C228))+ISNUMBER(SEARCH("CTO",C228))+ISNUMBER(SEARCH("Chief Operating",C228))+ISNUMBER(SEARCH("Chief Financial",C228))+ISNUMBER(SEARCH("Gerente General",C228))+ISNUMBER(SEARCH("General Manager",C228))&gt;0,'Configuración'!$B$34,'Configuración'!$B$35)))))</f>
        <v>12</v>
      </c>
      <c r="V228" s="38">
        <f>IF(B228="","",IF(K228="Sí",'Configuración'!$B$5,0)+IF(L228="Semanal",'Configuración'!$B$6,IF(L228="Mensual",'Configuración'!$B$7,0))+IF(M228="Sí",'Configuración'!$B$8,0)+IF(N228="Sí",'Configuración'!$B$9,0)+IF(O228="Sí",'Configuración'!$B$10,0)+IF(P228="Sí",'Configuración'!$B$11,0)+IF(Q228="Sí",'Configuración'!$B$12,0)+S228+T228+U228)</f>
        <v>28</v>
      </c>
      <c r="W228" s="39" t="str">
        <f>IF(B228="","",IF(V228&gt;='Configuración'!$B$19,"A",IF(V228&gt;='Configuración'!$B$20,"B",IF(V228&gt;='Configuración'!$B$21,"C","Descarte"))))</f>
        <v>C</v>
      </c>
    </row>
    <row r="229" ht="15.75" customHeight="1">
      <c r="A229" s="34">
        <f t="shared" si="1"/>
        <v>227</v>
      </c>
      <c r="B229" s="29" t="s">
        <v>1541</v>
      </c>
      <c r="C229" s="29" t="s">
        <v>1542</v>
      </c>
      <c r="D229" s="29" t="s">
        <v>1543</v>
      </c>
      <c r="E229" s="29" t="s">
        <v>1544</v>
      </c>
      <c r="F229" s="30" t="s">
        <v>1545</v>
      </c>
      <c r="G229" s="30" t="s">
        <v>1546</v>
      </c>
      <c r="H229" s="30" t="s">
        <v>1547</v>
      </c>
      <c r="I229" s="29" t="s">
        <v>188</v>
      </c>
      <c r="J229" s="31">
        <v>12.0</v>
      </c>
      <c r="K229" s="35"/>
      <c r="L229" s="35"/>
      <c r="M229" s="35"/>
      <c r="N229" s="35"/>
      <c r="O229" s="35"/>
      <c r="P229" s="35"/>
      <c r="Q229" s="35"/>
      <c r="R229" s="35"/>
      <c r="S229" s="37">
        <f>IF(B229="","",IF(ISNUMBER(J229),IF(J229&lt;=10,'Configuración'!$B$23,IF(J229&lt;=50,'Configuración'!$B$24,IF(J229&lt;=200,'Configuración'!$B$25,0))),0))</f>
        <v>4</v>
      </c>
      <c r="T229" s="37">
        <f>IF(B229="","",IF(ISNUMBER(SEARCH("information technology",I229))+ISNUMBER(SEARCH("software",I229))+ISNUMBER(SEARCH("internet",I229))+ISNUMBER(SEARCH("computer",I229))+ISNUMBER(SEARCH("saas",I229))+ISNUMBER(SEARCH("fintech",I229))+ISNUMBER(SEARCH("information services",I229))+ISNUMBER(SEARCH("telecommunications",I229))&gt;0,'Configuración'!$B$27,'Configuración'!$B$28))</f>
        <v>4</v>
      </c>
      <c r="U229" s="25">
        <f>IF(B229="","",IF(ISNUMBER(SEARCH("CEO",C229))+ISNUMBER(SEARCH("Founder",C229))+ISNUMBER(SEARCH("Owner",C229))+ISNUMBER(SEARCH("Dueño",C229))+ISNUMBER(SEARCH("Director General",C229))+ISNUMBER(SEARCH("Presidente",C229))+ISNUMBER(SEARCH("President",C229))&gt;0,'Configuración'!$B$31,IF(ISNUMBER(SEARCH("CMO",C229))+ISNUMBER(SEARCH("Chief Marketing",C229))+ISNUMBER(SEARCH("VP Marketing",C229))+ISNUMBER(SEARCH("Director de Marketing",C229))+ISNUMBER(SEARCH("Director Marketing",C229))+ISNUMBER(SEARCH("Head of Marketing",C229))+ISNUMBER(SEARCH("Head Marketing",C229))&gt;0,'Configuración'!$B$32,IF(ISNUMBER(SEARCH("Marketing Manager",C229))+ISNUMBER(SEARCH("Gerente de Marketing",C229))+ISNUMBER(SEARCH("Growth Manager",C229))+ISNUMBER(SEARCH("Demand Gen",C229))+ISNUMBER(SEARCH("Marketing Lead",C229))&gt;0,'Configuración'!$B$33,IF(ISNUMBER(SEARCH("COO",C229))+ISNUMBER(SEARCH("CFO",C229))+ISNUMBER(SEARCH("CTO",C229))+ISNUMBER(SEARCH("Chief Operating",C229))+ISNUMBER(SEARCH("Chief Financial",C229))+ISNUMBER(SEARCH("Gerente General",C229))+ISNUMBER(SEARCH("General Manager",C229))&gt;0,'Configuración'!$B$34,'Configuración'!$B$35)))))</f>
        <v>12</v>
      </c>
      <c r="V229" s="38">
        <f>IF(B229="","",IF(K229="Sí",'Configuración'!$B$5,0)+IF(L229="Semanal",'Configuración'!$B$6,IF(L229="Mensual",'Configuración'!$B$7,0))+IF(M229="Sí",'Configuración'!$B$8,0)+IF(N229="Sí",'Configuración'!$B$9,0)+IF(O229="Sí",'Configuración'!$B$10,0)+IF(P229="Sí",'Configuración'!$B$11,0)+IF(Q229="Sí",'Configuración'!$B$12,0)+S229+T229+U229)</f>
        <v>20</v>
      </c>
      <c r="W229" s="39" t="str">
        <f>IF(B229="","",IF(V229&gt;='Configuración'!$B$19,"A",IF(V229&gt;='Configuración'!$B$20,"B",IF(V229&gt;='Configuración'!$B$21,"C","Descarte"))))</f>
        <v>Descarte</v>
      </c>
    </row>
    <row r="230" ht="15.75" customHeight="1">
      <c r="A230" s="34">
        <f t="shared" si="1"/>
        <v>228</v>
      </c>
      <c r="B230" s="29" t="s">
        <v>1548</v>
      </c>
      <c r="C230" s="29" t="s">
        <v>1549</v>
      </c>
      <c r="D230" s="29" t="s">
        <v>1550</v>
      </c>
      <c r="E230" s="29" t="s">
        <v>1551</v>
      </c>
      <c r="F230" s="30" t="s">
        <v>1552</v>
      </c>
      <c r="G230" s="30" t="s">
        <v>1553</v>
      </c>
      <c r="H230" s="30" t="s">
        <v>1554</v>
      </c>
      <c r="I230" s="29" t="s">
        <v>127</v>
      </c>
      <c r="J230" s="31">
        <v>4.0</v>
      </c>
      <c r="K230" s="35"/>
      <c r="L230" s="35"/>
      <c r="M230" s="35"/>
      <c r="N230" s="35"/>
      <c r="O230" s="35"/>
      <c r="P230" s="35"/>
      <c r="Q230" s="35"/>
      <c r="R230" s="35"/>
      <c r="S230" s="37">
        <f>IF(B230="","",IF(ISNUMBER(J230),IF(J230&lt;=10,'Configuración'!$B$23,IF(J230&lt;=50,'Configuración'!$B$24,IF(J230&lt;=200,'Configuración'!$B$25,0))),0))</f>
        <v>12</v>
      </c>
      <c r="T230" s="37">
        <f>IF(B230="","",IF(ISNUMBER(SEARCH("information technology",I230))+ISNUMBER(SEARCH("software",I230))+ISNUMBER(SEARCH("internet",I230))+ISNUMBER(SEARCH("computer",I230))+ISNUMBER(SEARCH("saas",I230))+ISNUMBER(SEARCH("fintech",I230))+ISNUMBER(SEARCH("information services",I230))+ISNUMBER(SEARCH("telecommunications",I230))&gt;0,'Configuración'!$B$27,'Configuración'!$B$28))</f>
        <v>12</v>
      </c>
      <c r="U230" s="25">
        <f>IF(B230="","",IF(ISNUMBER(SEARCH("CEO",C230))+ISNUMBER(SEARCH("Founder",C230))+ISNUMBER(SEARCH("Owner",C230))+ISNUMBER(SEARCH("Dueño",C230))+ISNUMBER(SEARCH("Director General",C230))+ISNUMBER(SEARCH("Presidente",C230))+ISNUMBER(SEARCH("President",C230))&gt;0,'Configuración'!$B$31,IF(ISNUMBER(SEARCH("CMO",C230))+ISNUMBER(SEARCH("Chief Marketing",C230))+ISNUMBER(SEARCH("VP Marketing",C230))+ISNUMBER(SEARCH("Director de Marketing",C230))+ISNUMBER(SEARCH("Director Marketing",C230))+ISNUMBER(SEARCH("Head of Marketing",C230))+ISNUMBER(SEARCH("Head Marketing",C230))&gt;0,'Configuración'!$B$32,IF(ISNUMBER(SEARCH("Marketing Manager",C230))+ISNUMBER(SEARCH("Gerente de Marketing",C230))+ISNUMBER(SEARCH("Growth Manager",C230))+ISNUMBER(SEARCH("Demand Gen",C230))+ISNUMBER(SEARCH("Marketing Lead",C230))&gt;0,'Configuración'!$B$33,IF(ISNUMBER(SEARCH("COO",C230))+ISNUMBER(SEARCH("CFO",C230))+ISNUMBER(SEARCH("CTO",C230))+ISNUMBER(SEARCH("Chief Operating",C230))+ISNUMBER(SEARCH("Chief Financial",C230))+ISNUMBER(SEARCH("Gerente General",C230))+ISNUMBER(SEARCH("General Manager",C230))&gt;0,'Configuración'!$B$34,'Configuración'!$B$35)))))</f>
        <v>0</v>
      </c>
      <c r="V230" s="38">
        <f>IF(B230="","",IF(K230="Sí",'Configuración'!$B$5,0)+IF(L230="Semanal",'Configuración'!$B$6,IF(L230="Mensual",'Configuración'!$B$7,0))+IF(M230="Sí",'Configuración'!$B$8,0)+IF(N230="Sí",'Configuración'!$B$9,0)+IF(O230="Sí",'Configuración'!$B$10,0)+IF(P230="Sí",'Configuración'!$B$11,0)+IF(Q230="Sí",'Configuración'!$B$12,0)+S230+T230+U230)</f>
        <v>24</v>
      </c>
      <c r="W230" s="39" t="str">
        <f>IF(B230="","",IF(V230&gt;='Configuración'!$B$19,"A",IF(V230&gt;='Configuración'!$B$20,"B",IF(V230&gt;='Configuración'!$B$21,"C","Descarte"))))</f>
        <v>C</v>
      </c>
    </row>
    <row r="231" ht="15.75" customHeight="1">
      <c r="A231" s="34">
        <f t="shared" si="1"/>
        <v>229</v>
      </c>
      <c r="B231" s="29" t="s">
        <v>603</v>
      </c>
      <c r="C231" s="29" t="s">
        <v>202</v>
      </c>
      <c r="D231" s="29" t="s">
        <v>1555</v>
      </c>
      <c r="E231" s="29" t="s">
        <v>1556</v>
      </c>
      <c r="F231" s="30" t="s">
        <v>1557</v>
      </c>
      <c r="G231" s="30" t="s">
        <v>1558</v>
      </c>
      <c r="H231" s="30" t="s">
        <v>1559</v>
      </c>
      <c r="I231" s="29" t="s">
        <v>1196</v>
      </c>
      <c r="J231" s="31">
        <v>8.0</v>
      </c>
      <c r="K231" s="35"/>
      <c r="L231" s="35"/>
      <c r="M231" s="35"/>
      <c r="N231" s="35"/>
      <c r="O231" s="35"/>
      <c r="P231" s="35"/>
      <c r="Q231" s="35"/>
      <c r="R231" s="35"/>
      <c r="S231" s="37">
        <f>IF(B231="","",IF(ISNUMBER(J231),IF(J231&lt;=10,'Configuración'!$B$23,IF(J231&lt;=50,'Configuración'!$B$24,IF(J231&lt;=200,'Configuración'!$B$25,0))),0))</f>
        <v>12</v>
      </c>
      <c r="T231" s="37">
        <f>IF(B231="","",IF(ISNUMBER(SEARCH("information technology",I231))+ISNUMBER(SEARCH("software",I231))+ISNUMBER(SEARCH("internet",I231))+ISNUMBER(SEARCH("computer",I231))+ISNUMBER(SEARCH("saas",I231))+ISNUMBER(SEARCH("fintech",I231))+ISNUMBER(SEARCH("information services",I231))+ISNUMBER(SEARCH("telecommunications",I231))&gt;0,'Configuración'!$B$27,'Configuración'!$B$28))</f>
        <v>4</v>
      </c>
      <c r="U231" s="25">
        <f>IF(B231="","",IF(ISNUMBER(SEARCH("CEO",C231))+ISNUMBER(SEARCH("Founder",C231))+ISNUMBER(SEARCH("Owner",C231))+ISNUMBER(SEARCH("Dueño",C231))+ISNUMBER(SEARCH("Director General",C231))+ISNUMBER(SEARCH("Presidente",C231))+ISNUMBER(SEARCH("President",C231))&gt;0,'Configuración'!$B$31,IF(ISNUMBER(SEARCH("CMO",C231))+ISNUMBER(SEARCH("Chief Marketing",C231))+ISNUMBER(SEARCH("VP Marketing",C231))+ISNUMBER(SEARCH("Director de Marketing",C231))+ISNUMBER(SEARCH("Director Marketing",C231))+ISNUMBER(SEARCH("Head of Marketing",C231))+ISNUMBER(SEARCH("Head Marketing",C231))&gt;0,'Configuración'!$B$32,IF(ISNUMBER(SEARCH("Marketing Manager",C231))+ISNUMBER(SEARCH("Gerente de Marketing",C231))+ISNUMBER(SEARCH("Growth Manager",C231))+ISNUMBER(SEARCH("Demand Gen",C231))+ISNUMBER(SEARCH("Marketing Lead",C231))&gt;0,'Configuración'!$B$33,IF(ISNUMBER(SEARCH("COO",C231))+ISNUMBER(SEARCH("CFO",C231))+ISNUMBER(SEARCH("CTO",C231))+ISNUMBER(SEARCH("Chief Operating",C231))+ISNUMBER(SEARCH("Chief Financial",C231))+ISNUMBER(SEARCH("Gerente General",C231))+ISNUMBER(SEARCH("General Manager",C231))&gt;0,'Configuración'!$B$34,'Configuración'!$B$35)))))</f>
        <v>12</v>
      </c>
      <c r="V231" s="38">
        <f>IF(B231="","",IF(K231="Sí",'Configuración'!$B$5,0)+IF(L231="Semanal",'Configuración'!$B$6,IF(L231="Mensual",'Configuración'!$B$7,0))+IF(M231="Sí",'Configuración'!$B$8,0)+IF(N231="Sí",'Configuración'!$B$9,0)+IF(O231="Sí",'Configuración'!$B$10,0)+IF(P231="Sí",'Configuración'!$B$11,0)+IF(Q231="Sí",'Configuración'!$B$12,0)+S231+T231+U231)</f>
        <v>28</v>
      </c>
      <c r="W231" s="39" t="str">
        <f>IF(B231="","",IF(V231&gt;='Configuración'!$B$19,"A",IF(V231&gt;='Configuración'!$B$20,"B",IF(V231&gt;='Configuración'!$B$21,"C","Descarte"))))</f>
        <v>C</v>
      </c>
    </row>
    <row r="232" ht="15.75" customHeight="1">
      <c r="A232" s="34">
        <f t="shared" si="1"/>
        <v>230</v>
      </c>
      <c r="B232" s="29" t="s">
        <v>1560</v>
      </c>
      <c r="C232" s="29" t="s">
        <v>1561</v>
      </c>
      <c r="D232" s="29" t="s">
        <v>1562</v>
      </c>
      <c r="E232" s="29" t="s">
        <v>1563</v>
      </c>
      <c r="F232" s="30" t="s">
        <v>1564</v>
      </c>
      <c r="G232" s="30" t="s">
        <v>1565</v>
      </c>
      <c r="H232" s="30" t="s">
        <v>1566</v>
      </c>
      <c r="I232" s="29" t="s">
        <v>659</v>
      </c>
      <c r="J232" s="31">
        <v>41.0</v>
      </c>
      <c r="K232" s="35"/>
      <c r="L232" s="35"/>
      <c r="M232" s="35"/>
      <c r="N232" s="35"/>
      <c r="O232" s="35"/>
      <c r="P232" s="35"/>
      <c r="Q232" s="35"/>
      <c r="R232" s="35"/>
      <c r="S232" s="37">
        <f>IF(B232="","",IF(ISNUMBER(J232),IF(J232&lt;=10,'Configuración'!$B$23,IF(J232&lt;=50,'Configuración'!$B$24,IF(J232&lt;=200,'Configuración'!$B$25,0))),0))</f>
        <v>4</v>
      </c>
      <c r="T232" s="37">
        <f>IF(B232="","",IF(ISNUMBER(SEARCH("information technology",I232))+ISNUMBER(SEARCH("software",I232))+ISNUMBER(SEARCH("internet",I232))+ISNUMBER(SEARCH("computer",I232))+ISNUMBER(SEARCH("saas",I232))+ISNUMBER(SEARCH("fintech",I232))+ISNUMBER(SEARCH("information services",I232))+ISNUMBER(SEARCH("telecommunications",I232))&gt;0,'Configuración'!$B$27,'Configuración'!$B$28))</f>
        <v>4</v>
      </c>
      <c r="U232" s="25">
        <f>IF(B232="","",IF(ISNUMBER(SEARCH("CEO",C232))+ISNUMBER(SEARCH("Founder",C232))+ISNUMBER(SEARCH("Owner",C232))+ISNUMBER(SEARCH("Dueño",C232))+ISNUMBER(SEARCH("Director General",C232))+ISNUMBER(SEARCH("Presidente",C232))+ISNUMBER(SEARCH("President",C232))&gt;0,'Configuración'!$B$31,IF(ISNUMBER(SEARCH("CMO",C232))+ISNUMBER(SEARCH("Chief Marketing",C232))+ISNUMBER(SEARCH("VP Marketing",C232))+ISNUMBER(SEARCH("Director de Marketing",C232))+ISNUMBER(SEARCH("Director Marketing",C232))+ISNUMBER(SEARCH("Head of Marketing",C232))+ISNUMBER(SEARCH("Head Marketing",C232))&gt;0,'Configuración'!$B$32,IF(ISNUMBER(SEARCH("Marketing Manager",C232))+ISNUMBER(SEARCH("Gerente de Marketing",C232))+ISNUMBER(SEARCH("Growth Manager",C232))+ISNUMBER(SEARCH("Demand Gen",C232))+ISNUMBER(SEARCH("Marketing Lead",C232))&gt;0,'Configuración'!$B$33,IF(ISNUMBER(SEARCH("COO",C232))+ISNUMBER(SEARCH("CFO",C232))+ISNUMBER(SEARCH("CTO",C232))+ISNUMBER(SEARCH("Chief Operating",C232))+ISNUMBER(SEARCH("Chief Financial",C232))+ISNUMBER(SEARCH("Gerente General",C232))+ISNUMBER(SEARCH("General Manager",C232))&gt;0,'Configuración'!$B$34,'Configuración'!$B$35)))))</f>
        <v>4</v>
      </c>
      <c r="V232" s="38">
        <f>IF(B232="","",IF(K232="Sí",'Configuración'!$B$5,0)+IF(L232="Semanal",'Configuración'!$B$6,IF(L232="Mensual",'Configuración'!$B$7,0))+IF(M232="Sí",'Configuración'!$B$8,0)+IF(N232="Sí",'Configuración'!$B$9,0)+IF(O232="Sí",'Configuración'!$B$10,0)+IF(P232="Sí",'Configuración'!$B$11,0)+IF(Q232="Sí",'Configuración'!$B$12,0)+S232+T232+U232)</f>
        <v>12</v>
      </c>
      <c r="W232" s="39" t="str">
        <f>IF(B232="","",IF(V232&gt;='Configuración'!$B$19,"A",IF(V232&gt;='Configuración'!$B$20,"B",IF(V232&gt;='Configuración'!$B$21,"C","Descarte"))))</f>
        <v>Descarte</v>
      </c>
    </row>
    <row r="233" ht="15.75" customHeight="1">
      <c r="A233" s="34">
        <f t="shared" si="1"/>
        <v>231</v>
      </c>
      <c r="B233" s="29" t="s">
        <v>1567</v>
      </c>
      <c r="C233" s="29" t="s">
        <v>146</v>
      </c>
      <c r="D233" s="29" t="s">
        <v>1568</v>
      </c>
      <c r="E233" s="29" t="s">
        <v>1569</v>
      </c>
      <c r="F233" s="30" t="s">
        <v>1570</v>
      </c>
      <c r="G233" s="30" t="s">
        <v>1571</v>
      </c>
      <c r="H233" s="30" t="s">
        <v>1572</v>
      </c>
      <c r="I233" s="29" t="s">
        <v>542</v>
      </c>
      <c r="J233" s="31">
        <v>14.0</v>
      </c>
      <c r="K233" s="35"/>
      <c r="L233" s="35"/>
      <c r="M233" s="35"/>
      <c r="N233" s="35"/>
      <c r="O233" s="35"/>
      <c r="P233" s="35"/>
      <c r="Q233" s="35"/>
      <c r="R233" s="35"/>
      <c r="S233" s="37">
        <f>IF(B233="","",IF(ISNUMBER(J233),IF(J233&lt;=10,'Configuración'!$B$23,IF(J233&lt;=50,'Configuración'!$B$24,IF(J233&lt;=200,'Configuración'!$B$25,0))),0))</f>
        <v>4</v>
      </c>
      <c r="T233" s="37">
        <f>IF(B233="","",IF(ISNUMBER(SEARCH("information technology",I233))+ISNUMBER(SEARCH("software",I233))+ISNUMBER(SEARCH("internet",I233))+ISNUMBER(SEARCH("computer",I233))+ISNUMBER(SEARCH("saas",I233))+ISNUMBER(SEARCH("fintech",I233))+ISNUMBER(SEARCH("information services",I233))+ISNUMBER(SEARCH("telecommunications",I233))&gt;0,'Configuración'!$B$27,'Configuración'!$B$28))</f>
        <v>4</v>
      </c>
      <c r="U233" s="25">
        <f>IF(B233="","",IF(ISNUMBER(SEARCH("CEO",C233))+ISNUMBER(SEARCH("Founder",C233))+ISNUMBER(SEARCH("Owner",C233))+ISNUMBER(SEARCH("Dueño",C233))+ISNUMBER(SEARCH("Director General",C233))+ISNUMBER(SEARCH("Presidente",C233))+ISNUMBER(SEARCH("President",C233))&gt;0,'Configuración'!$B$31,IF(ISNUMBER(SEARCH("CMO",C233))+ISNUMBER(SEARCH("Chief Marketing",C233))+ISNUMBER(SEARCH("VP Marketing",C233))+ISNUMBER(SEARCH("Director de Marketing",C233))+ISNUMBER(SEARCH("Director Marketing",C233))+ISNUMBER(SEARCH("Head of Marketing",C233))+ISNUMBER(SEARCH("Head Marketing",C233))&gt;0,'Configuración'!$B$32,IF(ISNUMBER(SEARCH("Marketing Manager",C233))+ISNUMBER(SEARCH("Gerente de Marketing",C233))+ISNUMBER(SEARCH("Growth Manager",C233))+ISNUMBER(SEARCH("Demand Gen",C233))+ISNUMBER(SEARCH("Marketing Lead",C233))&gt;0,'Configuración'!$B$33,IF(ISNUMBER(SEARCH("COO",C233))+ISNUMBER(SEARCH("CFO",C233))+ISNUMBER(SEARCH("CTO",C233))+ISNUMBER(SEARCH("Chief Operating",C233))+ISNUMBER(SEARCH("Chief Financial",C233))+ISNUMBER(SEARCH("Gerente General",C233))+ISNUMBER(SEARCH("General Manager",C233))&gt;0,'Configuración'!$B$34,'Configuración'!$B$35)))))</f>
        <v>0</v>
      </c>
      <c r="V233" s="38">
        <f>IF(B233="","",IF(K233="Sí",'Configuración'!$B$5,0)+IF(L233="Semanal",'Configuración'!$B$6,IF(L233="Mensual",'Configuración'!$B$7,0))+IF(M233="Sí",'Configuración'!$B$8,0)+IF(N233="Sí",'Configuración'!$B$9,0)+IF(O233="Sí",'Configuración'!$B$10,0)+IF(P233="Sí",'Configuración'!$B$11,0)+IF(Q233="Sí",'Configuración'!$B$12,0)+S233+T233+U233)</f>
        <v>8</v>
      </c>
      <c r="W233" s="39" t="str">
        <f>IF(B233="","",IF(V233&gt;='Configuración'!$B$19,"A",IF(V233&gt;='Configuración'!$B$20,"B",IF(V233&gt;='Configuración'!$B$21,"C","Descarte"))))</f>
        <v>Descarte</v>
      </c>
    </row>
    <row r="234" ht="15.75" customHeight="1">
      <c r="A234" s="34">
        <f t="shared" si="1"/>
        <v>232</v>
      </c>
      <c r="B234" s="29" t="s">
        <v>296</v>
      </c>
      <c r="C234" s="29" t="s">
        <v>1573</v>
      </c>
      <c r="D234" s="29" t="s">
        <v>1574</v>
      </c>
      <c r="E234" s="29" t="s">
        <v>1575</v>
      </c>
      <c r="F234" s="30" t="s">
        <v>1576</v>
      </c>
      <c r="G234" s="30" t="s">
        <v>1577</v>
      </c>
      <c r="H234" s="30" t="s">
        <v>1578</v>
      </c>
      <c r="I234" s="29" t="s">
        <v>249</v>
      </c>
      <c r="J234" s="31">
        <v>14.0</v>
      </c>
      <c r="K234" s="35"/>
      <c r="L234" s="35"/>
      <c r="M234" s="35"/>
      <c r="N234" s="35"/>
      <c r="O234" s="35"/>
      <c r="P234" s="35"/>
      <c r="Q234" s="35"/>
      <c r="R234" s="35"/>
      <c r="S234" s="37">
        <f>IF(B234="","",IF(ISNUMBER(J234),IF(J234&lt;=10,'Configuración'!$B$23,IF(J234&lt;=50,'Configuración'!$B$24,IF(J234&lt;=200,'Configuración'!$B$25,0))),0))</f>
        <v>4</v>
      </c>
      <c r="T234" s="37">
        <f>IF(B234="","",IF(ISNUMBER(SEARCH("information technology",I234))+ISNUMBER(SEARCH("software",I234))+ISNUMBER(SEARCH("internet",I234))+ISNUMBER(SEARCH("computer",I234))+ISNUMBER(SEARCH("saas",I234))+ISNUMBER(SEARCH("fintech",I234))+ISNUMBER(SEARCH("information services",I234))+ISNUMBER(SEARCH("telecommunications",I234))&gt;0,'Configuración'!$B$27,'Configuración'!$B$28))</f>
        <v>4</v>
      </c>
      <c r="U234" s="25">
        <f>IF(B234="","",IF(ISNUMBER(SEARCH("CEO",C234))+ISNUMBER(SEARCH("Founder",C234))+ISNUMBER(SEARCH("Owner",C234))+ISNUMBER(SEARCH("Dueño",C234))+ISNUMBER(SEARCH("Director General",C234))+ISNUMBER(SEARCH("Presidente",C234))+ISNUMBER(SEARCH("President",C234))&gt;0,'Configuración'!$B$31,IF(ISNUMBER(SEARCH("CMO",C234))+ISNUMBER(SEARCH("Chief Marketing",C234))+ISNUMBER(SEARCH("VP Marketing",C234))+ISNUMBER(SEARCH("Director de Marketing",C234))+ISNUMBER(SEARCH("Director Marketing",C234))+ISNUMBER(SEARCH("Head of Marketing",C234))+ISNUMBER(SEARCH("Head Marketing",C234))&gt;0,'Configuración'!$B$32,IF(ISNUMBER(SEARCH("Marketing Manager",C234))+ISNUMBER(SEARCH("Gerente de Marketing",C234))+ISNUMBER(SEARCH("Growth Manager",C234))+ISNUMBER(SEARCH("Demand Gen",C234))+ISNUMBER(SEARCH("Marketing Lead",C234))&gt;0,'Configuración'!$B$33,IF(ISNUMBER(SEARCH("COO",C234))+ISNUMBER(SEARCH("CFO",C234))+ISNUMBER(SEARCH("CTO",C234))+ISNUMBER(SEARCH("Chief Operating",C234))+ISNUMBER(SEARCH("Chief Financial",C234))+ISNUMBER(SEARCH("Gerente General",C234))+ISNUMBER(SEARCH("General Manager",C234))&gt;0,'Configuración'!$B$34,'Configuración'!$B$35)))))</f>
        <v>12</v>
      </c>
      <c r="V234" s="38">
        <f>IF(B234="","",IF(K234="Sí",'Configuración'!$B$5,0)+IF(L234="Semanal",'Configuración'!$B$6,IF(L234="Mensual",'Configuración'!$B$7,0))+IF(M234="Sí",'Configuración'!$B$8,0)+IF(N234="Sí",'Configuración'!$B$9,0)+IF(O234="Sí",'Configuración'!$B$10,0)+IF(P234="Sí",'Configuración'!$B$11,0)+IF(Q234="Sí",'Configuración'!$B$12,0)+S234+T234+U234)</f>
        <v>20</v>
      </c>
      <c r="W234" s="39" t="str">
        <f>IF(B234="","",IF(V234&gt;='Configuración'!$B$19,"A",IF(V234&gt;='Configuración'!$B$20,"B",IF(V234&gt;='Configuración'!$B$21,"C","Descarte"))))</f>
        <v>Descarte</v>
      </c>
    </row>
    <row r="235" ht="15.75" customHeight="1">
      <c r="A235" s="34">
        <f t="shared" si="1"/>
        <v>233</v>
      </c>
      <c r="B235" s="29" t="s">
        <v>174</v>
      </c>
      <c r="C235" s="29" t="s">
        <v>934</v>
      </c>
      <c r="D235" s="29" t="s">
        <v>1579</v>
      </c>
      <c r="E235" s="29" t="s">
        <v>1580</v>
      </c>
      <c r="F235" s="30" t="s">
        <v>1581</v>
      </c>
      <c r="G235" s="30" t="s">
        <v>1582</v>
      </c>
      <c r="H235" s="30" t="s">
        <v>1583</v>
      </c>
      <c r="I235" s="29" t="s">
        <v>116</v>
      </c>
      <c r="J235" s="31">
        <v>9.0</v>
      </c>
      <c r="K235" s="35"/>
      <c r="L235" s="35"/>
      <c r="M235" s="35"/>
      <c r="N235" s="35"/>
      <c r="O235" s="35"/>
      <c r="P235" s="35"/>
      <c r="Q235" s="35"/>
      <c r="R235" s="35"/>
      <c r="S235" s="37">
        <f>IF(B235="","",IF(ISNUMBER(J235),IF(J235&lt;=10,'Configuración'!$B$23,IF(J235&lt;=50,'Configuración'!$B$24,IF(J235&lt;=200,'Configuración'!$B$25,0))),0))</f>
        <v>12</v>
      </c>
      <c r="T235" s="37">
        <f>IF(B235="","",IF(ISNUMBER(SEARCH("information technology",I235))+ISNUMBER(SEARCH("software",I235))+ISNUMBER(SEARCH("internet",I235))+ISNUMBER(SEARCH("computer",I235))+ISNUMBER(SEARCH("saas",I235))+ISNUMBER(SEARCH("fintech",I235))+ISNUMBER(SEARCH("information services",I235))+ISNUMBER(SEARCH("telecommunications",I235))&gt;0,'Configuración'!$B$27,'Configuración'!$B$28))</f>
        <v>4</v>
      </c>
      <c r="U235" s="25">
        <f>IF(B235="","",IF(ISNUMBER(SEARCH("CEO",C235))+ISNUMBER(SEARCH("Founder",C235))+ISNUMBER(SEARCH("Owner",C235))+ISNUMBER(SEARCH("Dueño",C235))+ISNUMBER(SEARCH("Director General",C235))+ISNUMBER(SEARCH("Presidente",C235))+ISNUMBER(SEARCH("President",C235))&gt;0,'Configuración'!$B$31,IF(ISNUMBER(SEARCH("CMO",C235))+ISNUMBER(SEARCH("Chief Marketing",C235))+ISNUMBER(SEARCH("VP Marketing",C235))+ISNUMBER(SEARCH("Director de Marketing",C235))+ISNUMBER(SEARCH("Director Marketing",C235))+ISNUMBER(SEARCH("Head of Marketing",C235))+ISNUMBER(SEARCH("Head Marketing",C235))&gt;0,'Configuración'!$B$32,IF(ISNUMBER(SEARCH("Marketing Manager",C235))+ISNUMBER(SEARCH("Gerente de Marketing",C235))+ISNUMBER(SEARCH("Growth Manager",C235))+ISNUMBER(SEARCH("Demand Gen",C235))+ISNUMBER(SEARCH("Marketing Lead",C235))&gt;0,'Configuración'!$B$33,IF(ISNUMBER(SEARCH("COO",C235))+ISNUMBER(SEARCH("CFO",C235))+ISNUMBER(SEARCH("CTO",C235))+ISNUMBER(SEARCH("Chief Operating",C235))+ISNUMBER(SEARCH("Chief Financial",C235))+ISNUMBER(SEARCH("Gerente General",C235))+ISNUMBER(SEARCH("General Manager",C235))&gt;0,'Configuración'!$B$34,'Configuración'!$B$35)))))</f>
        <v>12</v>
      </c>
      <c r="V235" s="38">
        <f>IF(B235="","",IF(K235="Sí",'Configuración'!$B$5,0)+IF(L235="Semanal",'Configuración'!$B$6,IF(L235="Mensual",'Configuración'!$B$7,0))+IF(M235="Sí",'Configuración'!$B$8,0)+IF(N235="Sí",'Configuración'!$B$9,0)+IF(O235="Sí",'Configuración'!$B$10,0)+IF(P235="Sí",'Configuración'!$B$11,0)+IF(Q235="Sí",'Configuración'!$B$12,0)+S235+T235+U235)</f>
        <v>28</v>
      </c>
      <c r="W235" s="39" t="str">
        <f>IF(B235="","",IF(V235&gt;='Configuración'!$B$19,"A",IF(V235&gt;='Configuración'!$B$20,"B",IF(V235&gt;='Configuración'!$B$21,"C","Descarte"))))</f>
        <v>C</v>
      </c>
    </row>
    <row r="236" ht="15.75" customHeight="1">
      <c r="A236" s="34">
        <f t="shared" si="1"/>
        <v>234</v>
      </c>
      <c r="B236" s="29" t="s">
        <v>1510</v>
      </c>
      <c r="C236" s="29" t="s">
        <v>1584</v>
      </c>
      <c r="D236" s="29" t="s">
        <v>1585</v>
      </c>
      <c r="E236" s="29" t="s">
        <v>1586</v>
      </c>
      <c r="F236" s="30" t="s">
        <v>1587</v>
      </c>
      <c r="G236" s="30" t="s">
        <v>1588</v>
      </c>
      <c r="H236" s="30" t="s">
        <v>1589</v>
      </c>
      <c r="I236" s="29" t="s">
        <v>116</v>
      </c>
      <c r="J236" s="31">
        <v>37.0</v>
      </c>
      <c r="K236" s="35"/>
      <c r="L236" s="35"/>
      <c r="M236" s="35"/>
      <c r="N236" s="35"/>
      <c r="O236" s="35"/>
      <c r="P236" s="35"/>
      <c r="Q236" s="35"/>
      <c r="R236" s="35"/>
      <c r="S236" s="37">
        <f>IF(B236="","",IF(ISNUMBER(J236),IF(J236&lt;=10,'Configuración'!$B$23,IF(J236&lt;=50,'Configuración'!$B$24,IF(J236&lt;=200,'Configuración'!$B$25,0))),0))</f>
        <v>4</v>
      </c>
      <c r="T236" s="37">
        <f>IF(B236="","",IF(ISNUMBER(SEARCH("information technology",I236))+ISNUMBER(SEARCH("software",I236))+ISNUMBER(SEARCH("internet",I236))+ISNUMBER(SEARCH("computer",I236))+ISNUMBER(SEARCH("saas",I236))+ISNUMBER(SEARCH("fintech",I236))+ISNUMBER(SEARCH("information services",I236))+ISNUMBER(SEARCH("telecommunications",I236))&gt;0,'Configuración'!$B$27,'Configuración'!$B$28))</f>
        <v>4</v>
      </c>
      <c r="U236" s="25">
        <f>IF(B236="","",IF(ISNUMBER(SEARCH("CEO",C236))+ISNUMBER(SEARCH("Founder",C236))+ISNUMBER(SEARCH("Owner",C236))+ISNUMBER(SEARCH("Dueño",C236))+ISNUMBER(SEARCH("Director General",C236))+ISNUMBER(SEARCH("Presidente",C236))+ISNUMBER(SEARCH("President",C236))&gt;0,'Configuración'!$B$31,IF(ISNUMBER(SEARCH("CMO",C236))+ISNUMBER(SEARCH("Chief Marketing",C236))+ISNUMBER(SEARCH("VP Marketing",C236))+ISNUMBER(SEARCH("Director de Marketing",C236))+ISNUMBER(SEARCH("Director Marketing",C236))+ISNUMBER(SEARCH("Head of Marketing",C236))+ISNUMBER(SEARCH("Head Marketing",C236))&gt;0,'Configuración'!$B$32,IF(ISNUMBER(SEARCH("Marketing Manager",C236))+ISNUMBER(SEARCH("Gerente de Marketing",C236))+ISNUMBER(SEARCH("Growth Manager",C236))+ISNUMBER(SEARCH("Demand Gen",C236))+ISNUMBER(SEARCH("Marketing Lead",C236))&gt;0,'Configuración'!$B$33,IF(ISNUMBER(SEARCH("COO",C236))+ISNUMBER(SEARCH("CFO",C236))+ISNUMBER(SEARCH("CTO",C236))+ISNUMBER(SEARCH("Chief Operating",C236))+ISNUMBER(SEARCH("Chief Financial",C236))+ISNUMBER(SEARCH("Gerente General",C236))+ISNUMBER(SEARCH("General Manager",C236))&gt;0,'Configuración'!$B$34,'Configuración'!$B$35)))))</f>
        <v>0</v>
      </c>
      <c r="V236" s="38">
        <f>IF(B236="","",IF(K236="Sí",'Configuración'!$B$5,0)+IF(L236="Semanal",'Configuración'!$B$6,IF(L236="Mensual",'Configuración'!$B$7,0))+IF(M236="Sí",'Configuración'!$B$8,0)+IF(N236="Sí",'Configuración'!$B$9,0)+IF(O236="Sí",'Configuración'!$B$10,0)+IF(P236="Sí",'Configuración'!$B$11,0)+IF(Q236="Sí",'Configuración'!$B$12,0)+S236+T236+U236)</f>
        <v>8</v>
      </c>
      <c r="W236" s="39" t="str">
        <f>IF(B236="","",IF(V236&gt;='Configuración'!$B$19,"A",IF(V236&gt;='Configuración'!$B$20,"B",IF(V236&gt;='Configuración'!$B$21,"C","Descarte"))))</f>
        <v>Descarte</v>
      </c>
    </row>
    <row r="237" ht="15.75" customHeight="1">
      <c r="A237" s="34">
        <f t="shared" si="1"/>
        <v>235</v>
      </c>
      <c r="B237" s="29" t="s">
        <v>501</v>
      </c>
      <c r="C237" s="29" t="s">
        <v>1590</v>
      </c>
      <c r="D237" s="29" t="s">
        <v>1591</v>
      </c>
      <c r="E237" s="29" t="s">
        <v>1592</v>
      </c>
      <c r="F237" s="30" t="s">
        <v>1593</v>
      </c>
      <c r="G237" s="30" t="s">
        <v>1594</v>
      </c>
      <c r="H237" s="30" t="s">
        <v>1595</v>
      </c>
      <c r="I237" s="29" t="s">
        <v>127</v>
      </c>
      <c r="J237" s="31">
        <v>8.0</v>
      </c>
      <c r="K237" s="35"/>
      <c r="L237" s="35"/>
      <c r="M237" s="35"/>
      <c r="N237" s="35"/>
      <c r="O237" s="35"/>
      <c r="P237" s="35"/>
      <c r="Q237" s="35"/>
      <c r="R237" s="35"/>
      <c r="S237" s="37">
        <f>IF(B237="","",IF(ISNUMBER(J237),IF(J237&lt;=10,'Configuración'!$B$23,IF(J237&lt;=50,'Configuración'!$B$24,IF(J237&lt;=200,'Configuración'!$B$25,0))),0))</f>
        <v>12</v>
      </c>
      <c r="T237" s="37">
        <f>IF(B237="","",IF(ISNUMBER(SEARCH("information technology",I237))+ISNUMBER(SEARCH("software",I237))+ISNUMBER(SEARCH("internet",I237))+ISNUMBER(SEARCH("computer",I237))+ISNUMBER(SEARCH("saas",I237))+ISNUMBER(SEARCH("fintech",I237))+ISNUMBER(SEARCH("information services",I237))+ISNUMBER(SEARCH("telecommunications",I237))&gt;0,'Configuración'!$B$27,'Configuración'!$B$28))</f>
        <v>12</v>
      </c>
      <c r="U237" s="25">
        <f>IF(B237="","",IF(ISNUMBER(SEARCH("CEO",C237))+ISNUMBER(SEARCH("Founder",C237))+ISNUMBER(SEARCH("Owner",C237))+ISNUMBER(SEARCH("Dueño",C237))+ISNUMBER(SEARCH("Director General",C237))+ISNUMBER(SEARCH("Presidente",C237))+ISNUMBER(SEARCH("President",C237))&gt;0,'Configuración'!$B$31,IF(ISNUMBER(SEARCH("CMO",C237))+ISNUMBER(SEARCH("Chief Marketing",C237))+ISNUMBER(SEARCH("VP Marketing",C237))+ISNUMBER(SEARCH("Director de Marketing",C237))+ISNUMBER(SEARCH("Director Marketing",C237))+ISNUMBER(SEARCH("Head of Marketing",C237))+ISNUMBER(SEARCH("Head Marketing",C237))&gt;0,'Configuración'!$B$32,IF(ISNUMBER(SEARCH("Marketing Manager",C237))+ISNUMBER(SEARCH("Gerente de Marketing",C237))+ISNUMBER(SEARCH("Growth Manager",C237))+ISNUMBER(SEARCH("Demand Gen",C237))+ISNUMBER(SEARCH("Marketing Lead",C237))&gt;0,'Configuración'!$B$33,IF(ISNUMBER(SEARCH("COO",C237))+ISNUMBER(SEARCH("CFO",C237))+ISNUMBER(SEARCH("CTO",C237))+ISNUMBER(SEARCH("Chief Operating",C237))+ISNUMBER(SEARCH("Chief Financial",C237))+ISNUMBER(SEARCH("Gerente General",C237))+ISNUMBER(SEARCH("General Manager",C237))&gt;0,'Configuración'!$B$34,'Configuración'!$B$35)))))</f>
        <v>12</v>
      </c>
      <c r="V237" s="38">
        <f>IF(B237="","",IF(K237="Sí",'Configuración'!$B$5,0)+IF(L237="Semanal",'Configuración'!$B$6,IF(L237="Mensual",'Configuración'!$B$7,0))+IF(M237="Sí",'Configuración'!$B$8,0)+IF(N237="Sí",'Configuración'!$B$9,0)+IF(O237="Sí",'Configuración'!$B$10,0)+IF(P237="Sí",'Configuración'!$B$11,0)+IF(Q237="Sí",'Configuración'!$B$12,0)+S237+T237+U237)</f>
        <v>36</v>
      </c>
      <c r="W237" s="39" t="str">
        <f>IF(B237="","",IF(V237&gt;='Configuración'!$B$19,"A",IF(V237&gt;='Configuración'!$B$20,"B",IF(V237&gt;='Configuración'!$B$21,"C","Descarte"))))</f>
        <v>C</v>
      </c>
    </row>
    <row r="238" ht="15.75" customHeight="1">
      <c r="A238" s="34">
        <f t="shared" si="1"/>
        <v>236</v>
      </c>
      <c r="B238" s="29" t="s">
        <v>466</v>
      </c>
      <c r="C238" s="29" t="s">
        <v>131</v>
      </c>
      <c r="D238" s="29" t="s">
        <v>1596</v>
      </c>
      <c r="E238" s="29" t="s">
        <v>1597</v>
      </c>
      <c r="F238" s="30" t="s">
        <v>1598</v>
      </c>
      <c r="G238" s="30" t="s">
        <v>1599</v>
      </c>
      <c r="H238" s="30" t="s">
        <v>1600</v>
      </c>
      <c r="I238" s="29" t="s">
        <v>1245</v>
      </c>
      <c r="J238" s="31">
        <v>30.0</v>
      </c>
      <c r="K238" s="35"/>
      <c r="L238" s="35"/>
      <c r="M238" s="35"/>
      <c r="N238" s="35"/>
      <c r="O238" s="35"/>
      <c r="P238" s="35"/>
      <c r="Q238" s="35"/>
      <c r="R238" s="35"/>
      <c r="S238" s="37">
        <f>IF(B238="","",IF(ISNUMBER(J238),IF(J238&lt;=10,'Configuración'!$B$23,IF(J238&lt;=50,'Configuración'!$B$24,IF(J238&lt;=200,'Configuración'!$B$25,0))),0))</f>
        <v>4</v>
      </c>
      <c r="T238" s="37">
        <f>IF(B238="","",IF(ISNUMBER(SEARCH("information technology",I238))+ISNUMBER(SEARCH("software",I238))+ISNUMBER(SEARCH("internet",I238))+ISNUMBER(SEARCH("computer",I238))+ISNUMBER(SEARCH("saas",I238))+ISNUMBER(SEARCH("fintech",I238))+ISNUMBER(SEARCH("information services",I238))+ISNUMBER(SEARCH("telecommunications",I238))&gt;0,'Configuración'!$B$27,'Configuración'!$B$28))</f>
        <v>4</v>
      </c>
      <c r="U238" s="25">
        <f>IF(B238="","",IF(ISNUMBER(SEARCH("CEO",C238))+ISNUMBER(SEARCH("Founder",C238))+ISNUMBER(SEARCH("Owner",C238))+ISNUMBER(SEARCH("Dueño",C238))+ISNUMBER(SEARCH("Director General",C238))+ISNUMBER(SEARCH("Presidente",C238))+ISNUMBER(SEARCH("President",C238))&gt;0,'Configuración'!$B$31,IF(ISNUMBER(SEARCH("CMO",C238))+ISNUMBER(SEARCH("Chief Marketing",C238))+ISNUMBER(SEARCH("VP Marketing",C238))+ISNUMBER(SEARCH("Director de Marketing",C238))+ISNUMBER(SEARCH("Director Marketing",C238))+ISNUMBER(SEARCH("Head of Marketing",C238))+ISNUMBER(SEARCH("Head Marketing",C238))&gt;0,'Configuración'!$B$32,IF(ISNUMBER(SEARCH("Marketing Manager",C238))+ISNUMBER(SEARCH("Gerente de Marketing",C238))+ISNUMBER(SEARCH("Growth Manager",C238))+ISNUMBER(SEARCH("Demand Gen",C238))+ISNUMBER(SEARCH("Marketing Lead",C238))&gt;0,'Configuración'!$B$33,IF(ISNUMBER(SEARCH("COO",C238))+ISNUMBER(SEARCH("CFO",C238))+ISNUMBER(SEARCH("CTO",C238))+ISNUMBER(SEARCH("Chief Operating",C238))+ISNUMBER(SEARCH("Chief Financial",C238))+ISNUMBER(SEARCH("Gerente General",C238))+ISNUMBER(SEARCH("General Manager",C238))&gt;0,'Configuración'!$B$34,'Configuración'!$B$35)))))</f>
        <v>12</v>
      </c>
      <c r="V238" s="38">
        <f>IF(B238="","",IF(K238="Sí",'Configuración'!$B$5,0)+IF(L238="Semanal",'Configuración'!$B$6,IF(L238="Mensual",'Configuración'!$B$7,0))+IF(M238="Sí",'Configuración'!$B$8,0)+IF(N238="Sí",'Configuración'!$B$9,0)+IF(O238="Sí",'Configuración'!$B$10,0)+IF(P238="Sí",'Configuración'!$B$11,0)+IF(Q238="Sí",'Configuración'!$B$12,0)+S238+T238+U238)</f>
        <v>20</v>
      </c>
      <c r="W238" s="39" t="str">
        <f>IF(B238="","",IF(V238&gt;='Configuración'!$B$19,"A",IF(V238&gt;='Configuración'!$B$20,"B",IF(V238&gt;='Configuración'!$B$21,"C","Descarte"))))</f>
        <v>Descarte</v>
      </c>
    </row>
    <row r="239" ht="15.75" customHeight="1">
      <c r="A239" s="34">
        <f t="shared" si="1"/>
        <v>237</v>
      </c>
      <c r="B239" s="29" t="s">
        <v>1601</v>
      </c>
      <c r="C239" s="29" t="s">
        <v>131</v>
      </c>
      <c r="D239" s="29" t="s">
        <v>1602</v>
      </c>
      <c r="E239" s="29" t="s">
        <v>1603</v>
      </c>
      <c r="F239" s="30" t="s">
        <v>1604</v>
      </c>
      <c r="G239" s="30" t="s">
        <v>1605</v>
      </c>
      <c r="H239" s="30" t="s">
        <v>1606</v>
      </c>
      <c r="I239" s="29" t="s">
        <v>127</v>
      </c>
      <c r="J239" s="31">
        <v>18.0</v>
      </c>
      <c r="K239" s="35"/>
      <c r="L239" s="35"/>
      <c r="M239" s="35"/>
      <c r="N239" s="35"/>
      <c r="O239" s="35"/>
      <c r="P239" s="35"/>
      <c r="Q239" s="35"/>
      <c r="R239" s="35"/>
      <c r="S239" s="37">
        <f>IF(B239="","",IF(ISNUMBER(J239),IF(J239&lt;=10,'Configuración'!$B$23,IF(J239&lt;=50,'Configuración'!$B$24,IF(J239&lt;=200,'Configuración'!$B$25,0))),0))</f>
        <v>4</v>
      </c>
      <c r="T239" s="37">
        <f>IF(B239="","",IF(ISNUMBER(SEARCH("information technology",I239))+ISNUMBER(SEARCH("software",I239))+ISNUMBER(SEARCH("internet",I239))+ISNUMBER(SEARCH("computer",I239))+ISNUMBER(SEARCH("saas",I239))+ISNUMBER(SEARCH("fintech",I239))+ISNUMBER(SEARCH("information services",I239))+ISNUMBER(SEARCH("telecommunications",I239))&gt;0,'Configuración'!$B$27,'Configuración'!$B$28))</f>
        <v>12</v>
      </c>
      <c r="U239" s="25">
        <f>IF(B239="","",IF(ISNUMBER(SEARCH("CEO",C239))+ISNUMBER(SEARCH("Founder",C239))+ISNUMBER(SEARCH("Owner",C239))+ISNUMBER(SEARCH("Dueño",C239))+ISNUMBER(SEARCH("Director General",C239))+ISNUMBER(SEARCH("Presidente",C239))+ISNUMBER(SEARCH("President",C239))&gt;0,'Configuración'!$B$31,IF(ISNUMBER(SEARCH("CMO",C239))+ISNUMBER(SEARCH("Chief Marketing",C239))+ISNUMBER(SEARCH("VP Marketing",C239))+ISNUMBER(SEARCH("Director de Marketing",C239))+ISNUMBER(SEARCH("Director Marketing",C239))+ISNUMBER(SEARCH("Head of Marketing",C239))+ISNUMBER(SEARCH("Head Marketing",C239))&gt;0,'Configuración'!$B$32,IF(ISNUMBER(SEARCH("Marketing Manager",C239))+ISNUMBER(SEARCH("Gerente de Marketing",C239))+ISNUMBER(SEARCH("Growth Manager",C239))+ISNUMBER(SEARCH("Demand Gen",C239))+ISNUMBER(SEARCH("Marketing Lead",C239))&gt;0,'Configuración'!$B$33,IF(ISNUMBER(SEARCH("COO",C239))+ISNUMBER(SEARCH("CFO",C239))+ISNUMBER(SEARCH("CTO",C239))+ISNUMBER(SEARCH("Chief Operating",C239))+ISNUMBER(SEARCH("Chief Financial",C239))+ISNUMBER(SEARCH("Gerente General",C239))+ISNUMBER(SEARCH("General Manager",C239))&gt;0,'Configuración'!$B$34,'Configuración'!$B$35)))))</f>
        <v>12</v>
      </c>
      <c r="V239" s="38">
        <f>IF(B239="","",IF(K239="Sí",'Configuración'!$B$5,0)+IF(L239="Semanal",'Configuración'!$B$6,IF(L239="Mensual",'Configuración'!$B$7,0))+IF(M239="Sí",'Configuración'!$B$8,0)+IF(N239="Sí",'Configuración'!$B$9,0)+IF(O239="Sí",'Configuración'!$B$10,0)+IF(P239="Sí",'Configuración'!$B$11,0)+IF(Q239="Sí",'Configuración'!$B$12,0)+S239+T239+U239)</f>
        <v>28</v>
      </c>
      <c r="W239" s="39" t="str">
        <f>IF(B239="","",IF(V239&gt;='Configuración'!$B$19,"A",IF(V239&gt;='Configuración'!$B$20,"B",IF(V239&gt;='Configuración'!$B$21,"C","Descarte"))))</f>
        <v>C</v>
      </c>
    </row>
    <row r="240" ht="15.75" customHeight="1">
      <c r="A240" s="34">
        <f t="shared" si="1"/>
        <v>238</v>
      </c>
      <c r="B240" s="29" t="s">
        <v>1079</v>
      </c>
      <c r="C240" s="29" t="s">
        <v>131</v>
      </c>
      <c r="D240" s="29" t="s">
        <v>1607</v>
      </c>
      <c r="E240" s="29" t="s">
        <v>1608</v>
      </c>
      <c r="F240" s="30" t="s">
        <v>1609</v>
      </c>
      <c r="G240" s="30" t="s">
        <v>1610</v>
      </c>
      <c r="H240" s="30" t="s">
        <v>1611</v>
      </c>
      <c r="I240" s="29" t="s">
        <v>127</v>
      </c>
      <c r="J240" s="31">
        <v>46.0</v>
      </c>
      <c r="K240" s="35"/>
      <c r="L240" s="35"/>
      <c r="M240" s="35"/>
      <c r="N240" s="35"/>
      <c r="O240" s="35"/>
      <c r="P240" s="35"/>
      <c r="Q240" s="35"/>
      <c r="R240" s="35"/>
      <c r="S240" s="37">
        <f>IF(B240="","",IF(ISNUMBER(J240),IF(J240&lt;=10,'Configuración'!$B$23,IF(J240&lt;=50,'Configuración'!$B$24,IF(J240&lt;=200,'Configuración'!$B$25,0))),0))</f>
        <v>4</v>
      </c>
      <c r="T240" s="37">
        <f>IF(B240="","",IF(ISNUMBER(SEARCH("information technology",I240))+ISNUMBER(SEARCH("software",I240))+ISNUMBER(SEARCH("internet",I240))+ISNUMBER(SEARCH("computer",I240))+ISNUMBER(SEARCH("saas",I240))+ISNUMBER(SEARCH("fintech",I240))+ISNUMBER(SEARCH("information services",I240))+ISNUMBER(SEARCH("telecommunications",I240))&gt;0,'Configuración'!$B$27,'Configuración'!$B$28))</f>
        <v>12</v>
      </c>
      <c r="U240" s="25">
        <f>IF(B240="","",IF(ISNUMBER(SEARCH("CEO",C240))+ISNUMBER(SEARCH("Founder",C240))+ISNUMBER(SEARCH("Owner",C240))+ISNUMBER(SEARCH("Dueño",C240))+ISNUMBER(SEARCH("Director General",C240))+ISNUMBER(SEARCH("Presidente",C240))+ISNUMBER(SEARCH("President",C240))&gt;0,'Configuración'!$B$31,IF(ISNUMBER(SEARCH("CMO",C240))+ISNUMBER(SEARCH("Chief Marketing",C240))+ISNUMBER(SEARCH("VP Marketing",C240))+ISNUMBER(SEARCH("Director de Marketing",C240))+ISNUMBER(SEARCH("Director Marketing",C240))+ISNUMBER(SEARCH("Head of Marketing",C240))+ISNUMBER(SEARCH("Head Marketing",C240))&gt;0,'Configuración'!$B$32,IF(ISNUMBER(SEARCH("Marketing Manager",C240))+ISNUMBER(SEARCH("Gerente de Marketing",C240))+ISNUMBER(SEARCH("Growth Manager",C240))+ISNUMBER(SEARCH("Demand Gen",C240))+ISNUMBER(SEARCH("Marketing Lead",C240))&gt;0,'Configuración'!$B$33,IF(ISNUMBER(SEARCH("COO",C240))+ISNUMBER(SEARCH("CFO",C240))+ISNUMBER(SEARCH("CTO",C240))+ISNUMBER(SEARCH("Chief Operating",C240))+ISNUMBER(SEARCH("Chief Financial",C240))+ISNUMBER(SEARCH("Gerente General",C240))+ISNUMBER(SEARCH("General Manager",C240))&gt;0,'Configuración'!$B$34,'Configuración'!$B$35)))))</f>
        <v>12</v>
      </c>
      <c r="V240" s="38">
        <f>IF(B240="","",IF(K240="Sí",'Configuración'!$B$5,0)+IF(L240="Semanal",'Configuración'!$B$6,IF(L240="Mensual",'Configuración'!$B$7,0))+IF(M240="Sí",'Configuración'!$B$8,0)+IF(N240="Sí",'Configuración'!$B$9,0)+IF(O240="Sí",'Configuración'!$B$10,0)+IF(P240="Sí",'Configuración'!$B$11,0)+IF(Q240="Sí",'Configuración'!$B$12,0)+S240+T240+U240)</f>
        <v>28</v>
      </c>
      <c r="W240" s="39" t="str">
        <f>IF(B240="","",IF(V240&gt;='Configuración'!$B$19,"A",IF(V240&gt;='Configuración'!$B$20,"B",IF(V240&gt;='Configuración'!$B$21,"C","Descarte"))))</f>
        <v>C</v>
      </c>
    </row>
    <row r="241" ht="15.75" customHeight="1">
      <c r="A241" s="34">
        <f t="shared" si="1"/>
        <v>239</v>
      </c>
      <c r="B241" s="29" t="s">
        <v>209</v>
      </c>
      <c r="C241" s="29" t="s">
        <v>131</v>
      </c>
      <c r="D241" s="29" t="s">
        <v>1612</v>
      </c>
      <c r="E241" s="29" t="s">
        <v>1613</v>
      </c>
      <c r="F241" s="30" t="s">
        <v>1614</v>
      </c>
      <c r="G241" s="30" t="s">
        <v>1615</v>
      </c>
      <c r="H241" s="30" t="s">
        <v>1616</v>
      </c>
      <c r="I241" s="29" t="s">
        <v>145</v>
      </c>
      <c r="J241" s="31">
        <v>7.0</v>
      </c>
      <c r="K241" s="35"/>
      <c r="L241" s="35"/>
      <c r="M241" s="35"/>
      <c r="N241" s="35"/>
      <c r="O241" s="35"/>
      <c r="P241" s="35"/>
      <c r="Q241" s="35"/>
      <c r="R241" s="35"/>
      <c r="S241" s="37">
        <f>IF(B241="","",IF(ISNUMBER(J241),IF(J241&lt;=10,'Configuración'!$B$23,IF(J241&lt;=50,'Configuración'!$B$24,IF(J241&lt;=200,'Configuración'!$B$25,0))),0))</f>
        <v>12</v>
      </c>
      <c r="T241" s="37">
        <f>IF(B241="","",IF(ISNUMBER(SEARCH("information technology",I241))+ISNUMBER(SEARCH("software",I241))+ISNUMBER(SEARCH("internet",I241))+ISNUMBER(SEARCH("computer",I241))+ISNUMBER(SEARCH("saas",I241))+ISNUMBER(SEARCH("fintech",I241))+ISNUMBER(SEARCH("information services",I241))+ISNUMBER(SEARCH("telecommunications",I241))&gt;0,'Configuración'!$B$27,'Configuración'!$B$28))</f>
        <v>4</v>
      </c>
      <c r="U241" s="25">
        <f>IF(B241="","",IF(ISNUMBER(SEARCH("CEO",C241))+ISNUMBER(SEARCH("Founder",C241))+ISNUMBER(SEARCH("Owner",C241))+ISNUMBER(SEARCH("Dueño",C241))+ISNUMBER(SEARCH("Director General",C241))+ISNUMBER(SEARCH("Presidente",C241))+ISNUMBER(SEARCH("President",C241))&gt;0,'Configuración'!$B$31,IF(ISNUMBER(SEARCH("CMO",C241))+ISNUMBER(SEARCH("Chief Marketing",C241))+ISNUMBER(SEARCH("VP Marketing",C241))+ISNUMBER(SEARCH("Director de Marketing",C241))+ISNUMBER(SEARCH("Director Marketing",C241))+ISNUMBER(SEARCH("Head of Marketing",C241))+ISNUMBER(SEARCH("Head Marketing",C241))&gt;0,'Configuración'!$B$32,IF(ISNUMBER(SEARCH("Marketing Manager",C241))+ISNUMBER(SEARCH("Gerente de Marketing",C241))+ISNUMBER(SEARCH("Growth Manager",C241))+ISNUMBER(SEARCH("Demand Gen",C241))+ISNUMBER(SEARCH("Marketing Lead",C241))&gt;0,'Configuración'!$B$33,IF(ISNUMBER(SEARCH("COO",C241))+ISNUMBER(SEARCH("CFO",C241))+ISNUMBER(SEARCH("CTO",C241))+ISNUMBER(SEARCH("Chief Operating",C241))+ISNUMBER(SEARCH("Chief Financial",C241))+ISNUMBER(SEARCH("Gerente General",C241))+ISNUMBER(SEARCH("General Manager",C241))&gt;0,'Configuración'!$B$34,'Configuración'!$B$35)))))</f>
        <v>12</v>
      </c>
      <c r="V241" s="38">
        <f>IF(B241="","",IF(K241="Sí",'Configuración'!$B$5,0)+IF(L241="Semanal",'Configuración'!$B$6,IF(L241="Mensual",'Configuración'!$B$7,0))+IF(M241="Sí",'Configuración'!$B$8,0)+IF(N241="Sí",'Configuración'!$B$9,0)+IF(O241="Sí",'Configuración'!$B$10,0)+IF(P241="Sí",'Configuración'!$B$11,0)+IF(Q241="Sí",'Configuración'!$B$12,0)+S241+T241+U241)</f>
        <v>28</v>
      </c>
      <c r="W241" s="39" t="str">
        <f>IF(B241="","",IF(V241&gt;='Configuración'!$B$19,"A",IF(V241&gt;='Configuración'!$B$20,"B",IF(V241&gt;='Configuración'!$B$21,"C","Descarte"))))</f>
        <v>C</v>
      </c>
    </row>
    <row r="242" ht="15.75" customHeight="1">
      <c r="A242" s="34">
        <f t="shared" si="1"/>
        <v>240</v>
      </c>
      <c r="B242" s="29" t="s">
        <v>296</v>
      </c>
      <c r="C242" s="29" t="s">
        <v>1617</v>
      </c>
      <c r="D242" s="29" t="s">
        <v>1618</v>
      </c>
      <c r="E242" s="29" t="s">
        <v>1619</v>
      </c>
      <c r="F242" s="30" t="s">
        <v>1620</v>
      </c>
      <c r="G242" s="30" t="s">
        <v>1621</v>
      </c>
      <c r="H242" s="30" t="s">
        <v>1622</v>
      </c>
      <c r="I242" s="29" t="s">
        <v>127</v>
      </c>
      <c r="J242" s="31">
        <v>11.0</v>
      </c>
      <c r="K242" s="35"/>
      <c r="L242" s="35"/>
      <c r="M242" s="35"/>
      <c r="N242" s="35"/>
      <c r="O242" s="35"/>
      <c r="P242" s="35"/>
      <c r="Q242" s="35"/>
      <c r="R242" s="35"/>
      <c r="S242" s="37">
        <f>IF(B242="","",IF(ISNUMBER(J242),IF(J242&lt;=10,'Configuración'!$B$23,IF(J242&lt;=50,'Configuración'!$B$24,IF(J242&lt;=200,'Configuración'!$B$25,0))),0))</f>
        <v>4</v>
      </c>
      <c r="T242" s="37">
        <f>IF(B242="","",IF(ISNUMBER(SEARCH("information technology",I242))+ISNUMBER(SEARCH("software",I242))+ISNUMBER(SEARCH("internet",I242))+ISNUMBER(SEARCH("computer",I242))+ISNUMBER(SEARCH("saas",I242))+ISNUMBER(SEARCH("fintech",I242))+ISNUMBER(SEARCH("information services",I242))+ISNUMBER(SEARCH("telecommunications",I242))&gt;0,'Configuración'!$B$27,'Configuración'!$B$28))</f>
        <v>12</v>
      </c>
      <c r="U242" s="25">
        <f>IF(B242="","",IF(ISNUMBER(SEARCH("CEO",C242))+ISNUMBER(SEARCH("Founder",C242))+ISNUMBER(SEARCH("Owner",C242))+ISNUMBER(SEARCH("Dueño",C242))+ISNUMBER(SEARCH("Director General",C242))+ISNUMBER(SEARCH("Presidente",C242))+ISNUMBER(SEARCH("President",C242))&gt;0,'Configuración'!$B$31,IF(ISNUMBER(SEARCH("CMO",C242))+ISNUMBER(SEARCH("Chief Marketing",C242))+ISNUMBER(SEARCH("VP Marketing",C242))+ISNUMBER(SEARCH("Director de Marketing",C242))+ISNUMBER(SEARCH("Director Marketing",C242))+ISNUMBER(SEARCH("Head of Marketing",C242))+ISNUMBER(SEARCH("Head Marketing",C242))&gt;0,'Configuración'!$B$32,IF(ISNUMBER(SEARCH("Marketing Manager",C242))+ISNUMBER(SEARCH("Gerente de Marketing",C242))+ISNUMBER(SEARCH("Growth Manager",C242))+ISNUMBER(SEARCH("Demand Gen",C242))+ISNUMBER(SEARCH("Marketing Lead",C242))&gt;0,'Configuración'!$B$33,IF(ISNUMBER(SEARCH("COO",C242))+ISNUMBER(SEARCH("CFO",C242))+ISNUMBER(SEARCH("CTO",C242))+ISNUMBER(SEARCH("Chief Operating",C242))+ISNUMBER(SEARCH("Chief Financial",C242))+ISNUMBER(SEARCH("Gerente General",C242))+ISNUMBER(SEARCH("General Manager",C242))&gt;0,'Configuración'!$B$34,'Configuración'!$B$35)))))</f>
        <v>12</v>
      </c>
      <c r="V242" s="38">
        <f>IF(B242="","",IF(K242="Sí",'Configuración'!$B$5,0)+IF(L242="Semanal",'Configuración'!$B$6,IF(L242="Mensual",'Configuración'!$B$7,0))+IF(M242="Sí",'Configuración'!$B$8,0)+IF(N242="Sí",'Configuración'!$B$9,0)+IF(O242="Sí",'Configuración'!$B$10,0)+IF(P242="Sí",'Configuración'!$B$11,0)+IF(Q242="Sí",'Configuración'!$B$12,0)+S242+T242+U242)</f>
        <v>28</v>
      </c>
      <c r="W242" s="39" t="str">
        <f>IF(B242="","",IF(V242&gt;='Configuración'!$B$19,"A",IF(V242&gt;='Configuración'!$B$20,"B",IF(V242&gt;='Configuración'!$B$21,"C","Descarte"))))</f>
        <v>C</v>
      </c>
    </row>
    <row r="243" ht="15.75" customHeight="1">
      <c r="A243" s="34">
        <f t="shared" si="1"/>
        <v>241</v>
      </c>
      <c r="B243" s="29" t="s">
        <v>1623</v>
      </c>
      <c r="C243" s="29" t="s">
        <v>131</v>
      </c>
      <c r="D243" s="29" t="s">
        <v>1624</v>
      </c>
      <c r="E243" s="29" t="s">
        <v>1625</v>
      </c>
      <c r="F243" s="30" t="s">
        <v>1626</v>
      </c>
      <c r="G243" s="30" t="s">
        <v>1627</v>
      </c>
      <c r="H243" s="30" t="s">
        <v>1628</v>
      </c>
      <c r="I243" s="29" t="s">
        <v>158</v>
      </c>
      <c r="J243" s="31">
        <v>13.0</v>
      </c>
      <c r="K243" s="35"/>
      <c r="L243" s="35"/>
      <c r="M243" s="35"/>
      <c r="N243" s="35"/>
      <c r="O243" s="35"/>
      <c r="P243" s="35"/>
      <c r="Q243" s="35"/>
      <c r="R243" s="35"/>
      <c r="S243" s="37">
        <f>IF(B243="","",IF(ISNUMBER(J243),IF(J243&lt;=10,'Configuración'!$B$23,IF(J243&lt;=50,'Configuración'!$B$24,IF(J243&lt;=200,'Configuración'!$B$25,0))),0))</f>
        <v>4</v>
      </c>
      <c r="T243" s="37">
        <f>IF(B243="","",IF(ISNUMBER(SEARCH("information technology",I243))+ISNUMBER(SEARCH("software",I243))+ISNUMBER(SEARCH("internet",I243))+ISNUMBER(SEARCH("computer",I243))+ISNUMBER(SEARCH("saas",I243))+ISNUMBER(SEARCH("fintech",I243))+ISNUMBER(SEARCH("information services",I243))+ISNUMBER(SEARCH("telecommunications",I243))&gt;0,'Configuración'!$B$27,'Configuración'!$B$28))</f>
        <v>4</v>
      </c>
      <c r="U243" s="25">
        <f>IF(B243="","",IF(ISNUMBER(SEARCH("CEO",C243))+ISNUMBER(SEARCH("Founder",C243))+ISNUMBER(SEARCH("Owner",C243))+ISNUMBER(SEARCH("Dueño",C243))+ISNUMBER(SEARCH("Director General",C243))+ISNUMBER(SEARCH("Presidente",C243))+ISNUMBER(SEARCH("President",C243))&gt;0,'Configuración'!$B$31,IF(ISNUMBER(SEARCH("CMO",C243))+ISNUMBER(SEARCH("Chief Marketing",C243))+ISNUMBER(SEARCH("VP Marketing",C243))+ISNUMBER(SEARCH("Director de Marketing",C243))+ISNUMBER(SEARCH("Director Marketing",C243))+ISNUMBER(SEARCH("Head of Marketing",C243))+ISNUMBER(SEARCH("Head Marketing",C243))&gt;0,'Configuración'!$B$32,IF(ISNUMBER(SEARCH("Marketing Manager",C243))+ISNUMBER(SEARCH("Gerente de Marketing",C243))+ISNUMBER(SEARCH("Growth Manager",C243))+ISNUMBER(SEARCH("Demand Gen",C243))+ISNUMBER(SEARCH("Marketing Lead",C243))&gt;0,'Configuración'!$B$33,IF(ISNUMBER(SEARCH("COO",C243))+ISNUMBER(SEARCH("CFO",C243))+ISNUMBER(SEARCH("CTO",C243))+ISNUMBER(SEARCH("Chief Operating",C243))+ISNUMBER(SEARCH("Chief Financial",C243))+ISNUMBER(SEARCH("Gerente General",C243))+ISNUMBER(SEARCH("General Manager",C243))&gt;0,'Configuración'!$B$34,'Configuración'!$B$35)))))</f>
        <v>12</v>
      </c>
      <c r="V243" s="38">
        <f>IF(B243="","",IF(K243="Sí",'Configuración'!$B$5,0)+IF(L243="Semanal",'Configuración'!$B$6,IF(L243="Mensual",'Configuración'!$B$7,0))+IF(M243="Sí",'Configuración'!$B$8,0)+IF(N243="Sí",'Configuración'!$B$9,0)+IF(O243="Sí",'Configuración'!$B$10,0)+IF(P243="Sí",'Configuración'!$B$11,0)+IF(Q243="Sí",'Configuración'!$B$12,0)+S243+T243+U243)</f>
        <v>20</v>
      </c>
      <c r="W243" s="39" t="str">
        <f>IF(B243="","",IF(V243&gt;='Configuración'!$B$19,"A",IF(V243&gt;='Configuración'!$B$20,"B",IF(V243&gt;='Configuración'!$B$21,"C","Descarte"))))</f>
        <v>Descarte</v>
      </c>
    </row>
    <row r="244" ht="15.75" customHeight="1">
      <c r="A244" s="34">
        <f t="shared" si="1"/>
        <v>242</v>
      </c>
      <c r="B244" s="29" t="s">
        <v>536</v>
      </c>
      <c r="C244" s="29" t="s">
        <v>1629</v>
      </c>
      <c r="D244" s="29" t="s">
        <v>1630</v>
      </c>
      <c r="E244" s="29" t="s">
        <v>1631</v>
      </c>
      <c r="F244" s="30" t="s">
        <v>1632</v>
      </c>
      <c r="G244" s="30" t="s">
        <v>1633</v>
      </c>
      <c r="H244" s="30" t="s">
        <v>1634</v>
      </c>
      <c r="I244" s="29" t="s">
        <v>1446</v>
      </c>
      <c r="J244" s="31">
        <v>34.0</v>
      </c>
      <c r="K244" s="35"/>
      <c r="L244" s="35"/>
      <c r="M244" s="35"/>
      <c r="N244" s="35"/>
      <c r="O244" s="35"/>
      <c r="P244" s="35"/>
      <c r="Q244" s="35"/>
      <c r="R244" s="35"/>
      <c r="S244" s="37">
        <f>IF(B244="","",IF(ISNUMBER(J244),IF(J244&lt;=10,'Configuración'!$B$23,IF(J244&lt;=50,'Configuración'!$B$24,IF(J244&lt;=200,'Configuración'!$B$25,0))),0))</f>
        <v>4</v>
      </c>
      <c r="T244" s="37">
        <f>IF(B244="","",IF(ISNUMBER(SEARCH("information technology",I244))+ISNUMBER(SEARCH("software",I244))+ISNUMBER(SEARCH("internet",I244))+ISNUMBER(SEARCH("computer",I244))+ISNUMBER(SEARCH("saas",I244))+ISNUMBER(SEARCH("fintech",I244))+ISNUMBER(SEARCH("information services",I244))+ISNUMBER(SEARCH("telecommunications",I244))&gt;0,'Configuración'!$B$27,'Configuración'!$B$28))</f>
        <v>4</v>
      </c>
      <c r="U244" s="25">
        <f>IF(B244="","",IF(ISNUMBER(SEARCH("CEO",C244))+ISNUMBER(SEARCH("Founder",C244))+ISNUMBER(SEARCH("Owner",C244))+ISNUMBER(SEARCH("Dueño",C244))+ISNUMBER(SEARCH("Director General",C244))+ISNUMBER(SEARCH("Presidente",C244))+ISNUMBER(SEARCH("President",C244))&gt;0,'Configuración'!$B$31,IF(ISNUMBER(SEARCH("CMO",C244))+ISNUMBER(SEARCH("Chief Marketing",C244))+ISNUMBER(SEARCH("VP Marketing",C244))+ISNUMBER(SEARCH("Director de Marketing",C244))+ISNUMBER(SEARCH("Director Marketing",C244))+ISNUMBER(SEARCH("Head of Marketing",C244))+ISNUMBER(SEARCH("Head Marketing",C244))&gt;0,'Configuración'!$B$32,IF(ISNUMBER(SEARCH("Marketing Manager",C244))+ISNUMBER(SEARCH("Gerente de Marketing",C244))+ISNUMBER(SEARCH("Growth Manager",C244))+ISNUMBER(SEARCH("Demand Gen",C244))+ISNUMBER(SEARCH("Marketing Lead",C244))&gt;0,'Configuración'!$B$33,IF(ISNUMBER(SEARCH("COO",C244))+ISNUMBER(SEARCH("CFO",C244))+ISNUMBER(SEARCH("CTO",C244))+ISNUMBER(SEARCH("Chief Operating",C244))+ISNUMBER(SEARCH("Chief Financial",C244))+ISNUMBER(SEARCH("Gerente General",C244))+ISNUMBER(SEARCH("General Manager",C244))&gt;0,'Configuración'!$B$34,'Configuración'!$B$35)))))</f>
        <v>12</v>
      </c>
      <c r="V244" s="38">
        <f>IF(B244="","",IF(K244="Sí",'Configuración'!$B$5,0)+IF(L244="Semanal",'Configuración'!$B$6,IF(L244="Mensual",'Configuración'!$B$7,0))+IF(M244="Sí",'Configuración'!$B$8,0)+IF(N244="Sí",'Configuración'!$B$9,0)+IF(O244="Sí",'Configuración'!$B$10,0)+IF(P244="Sí",'Configuración'!$B$11,0)+IF(Q244="Sí",'Configuración'!$B$12,0)+S244+T244+U244)</f>
        <v>20</v>
      </c>
      <c r="W244" s="39" t="str">
        <f>IF(B244="","",IF(V244&gt;='Configuración'!$B$19,"A",IF(V244&gt;='Configuración'!$B$20,"B",IF(V244&gt;='Configuración'!$B$21,"C","Descarte"))))</f>
        <v>Descarte</v>
      </c>
    </row>
    <row r="245" ht="15.75" customHeight="1">
      <c r="A245" s="34">
        <f t="shared" si="1"/>
        <v>243</v>
      </c>
      <c r="B245" s="29" t="s">
        <v>1635</v>
      </c>
      <c r="C245" s="29" t="s">
        <v>1636</v>
      </c>
      <c r="D245" s="29" t="s">
        <v>1637</v>
      </c>
      <c r="E245" s="29" t="s">
        <v>1638</v>
      </c>
      <c r="F245" s="30" t="s">
        <v>1639</v>
      </c>
      <c r="G245" s="30" t="s">
        <v>1640</v>
      </c>
      <c r="H245" s="30" t="s">
        <v>1641</v>
      </c>
      <c r="I245" s="29" t="s">
        <v>188</v>
      </c>
      <c r="J245" s="31">
        <v>4.0</v>
      </c>
      <c r="K245" s="35"/>
      <c r="L245" s="35"/>
      <c r="M245" s="35"/>
      <c r="N245" s="35"/>
      <c r="O245" s="35"/>
      <c r="P245" s="35"/>
      <c r="Q245" s="35"/>
      <c r="R245" s="35"/>
      <c r="S245" s="37">
        <f>IF(B245="","",IF(ISNUMBER(J245),IF(J245&lt;=10,'Configuración'!$B$23,IF(J245&lt;=50,'Configuración'!$B$24,IF(J245&lt;=200,'Configuración'!$B$25,0))),0))</f>
        <v>12</v>
      </c>
      <c r="T245" s="37">
        <f>IF(B245="","",IF(ISNUMBER(SEARCH("information technology",I245))+ISNUMBER(SEARCH("software",I245))+ISNUMBER(SEARCH("internet",I245))+ISNUMBER(SEARCH("computer",I245))+ISNUMBER(SEARCH("saas",I245))+ISNUMBER(SEARCH("fintech",I245))+ISNUMBER(SEARCH("information services",I245))+ISNUMBER(SEARCH("telecommunications",I245))&gt;0,'Configuración'!$B$27,'Configuración'!$B$28))</f>
        <v>4</v>
      </c>
      <c r="U245" s="25">
        <f>IF(B245="","",IF(ISNUMBER(SEARCH("CEO",C245))+ISNUMBER(SEARCH("Founder",C245))+ISNUMBER(SEARCH("Owner",C245))+ISNUMBER(SEARCH("Dueño",C245))+ISNUMBER(SEARCH("Director General",C245))+ISNUMBER(SEARCH("Presidente",C245))+ISNUMBER(SEARCH("President",C245))&gt;0,'Configuración'!$B$31,IF(ISNUMBER(SEARCH("CMO",C245))+ISNUMBER(SEARCH("Chief Marketing",C245))+ISNUMBER(SEARCH("VP Marketing",C245))+ISNUMBER(SEARCH("Director de Marketing",C245))+ISNUMBER(SEARCH("Director Marketing",C245))+ISNUMBER(SEARCH("Head of Marketing",C245))+ISNUMBER(SEARCH("Head Marketing",C245))&gt;0,'Configuración'!$B$32,IF(ISNUMBER(SEARCH("Marketing Manager",C245))+ISNUMBER(SEARCH("Gerente de Marketing",C245))+ISNUMBER(SEARCH("Growth Manager",C245))+ISNUMBER(SEARCH("Demand Gen",C245))+ISNUMBER(SEARCH("Marketing Lead",C245))&gt;0,'Configuración'!$B$33,IF(ISNUMBER(SEARCH("COO",C245))+ISNUMBER(SEARCH("CFO",C245))+ISNUMBER(SEARCH("CTO",C245))+ISNUMBER(SEARCH("Chief Operating",C245))+ISNUMBER(SEARCH("Chief Financial",C245))+ISNUMBER(SEARCH("Gerente General",C245))+ISNUMBER(SEARCH("General Manager",C245))&gt;0,'Configuración'!$B$34,'Configuración'!$B$35)))))</f>
        <v>12</v>
      </c>
      <c r="V245" s="38">
        <f>IF(B245="","",IF(K245="Sí",'Configuración'!$B$5,0)+IF(L245="Semanal",'Configuración'!$B$6,IF(L245="Mensual",'Configuración'!$B$7,0))+IF(M245="Sí",'Configuración'!$B$8,0)+IF(N245="Sí",'Configuración'!$B$9,0)+IF(O245="Sí",'Configuración'!$B$10,0)+IF(P245="Sí",'Configuración'!$B$11,0)+IF(Q245="Sí",'Configuración'!$B$12,0)+S245+T245+U245)</f>
        <v>28</v>
      </c>
      <c r="W245" s="39" t="str">
        <f>IF(B245="","",IF(V245&gt;='Configuración'!$B$19,"A",IF(V245&gt;='Configuración'!$B$20,"B",IF(V245&gt;='Configuración'!$B$21,"C","Descarte"))))</f>
        <v>C</v>
      </c>
    </row>
    <row r="246" ht="15.75" customHeight="1">
      <c r="A246" s="34">
        <f t="shared" si="1"/>
        <v>244</v>
      </c>
      <c r="B246" s="29" t="s">
        <v>367</v>
      </c>
      <c r="C246" s="29" t="s">
        <v>311</v>
      </c>
      <c r="D246" s="29" t="s">
        <v>1642</v>
      </c>
      <c r="E246" s="29" t="s">
        <v>1643</v>
      </c>
      <c r="F246" s="30" t="s">
        <v>1644</v>
      </c>
      <c r="G246" s="30" t="s">
        <v>1645</v>
      </c>
      <c r="H246" s="30" t="s">
        <v>1646</v>
      </c>
      <c r="I246" s="29" t="s">
        <v>1245</v>
      </c>
      <c r="J246" s="31">
        <v>3.0</v>
      </c>
      <c r="K246" s="35"/>
      <c r="L246" s="35"/>
      <c r="M246" s="35"/>
      <c r="N246" s="35"/>
      <c r="O246" s="35"/>
      <c r="P246" s="35"/>
      <c r="Q246" s="35"/>
      <c r="R246" s="35"/>
      <c r="S246" s="37">
        <f>IF(B246="","",IF(ISNUMBER(J246),IF(J246&lt;=10,'Configuración'!$B$23,IF(J246&lt;=50,'Configuración'!$B$24,IF(J246&lt;=200,'Configuración'!$B$25,0))),0))</f>
        <v>12</v>
      </c>
      <c r="T246" s="37">
        <f>IF(B246="","",IF(ISNUMBER(SEARCH("information technology",I246))+ISNUMBER(SEARCH("software",I246))+ISNUMBER(SEARCH("internet",I246))+ISNUMBER(SEARCH("computer",I246))+ISNUMBER(SEARCH("saas",I246))+ISNUMBER(SEARCH("fintech",I246))+ISNUMBER(SEARCH("information services",I246))+ISNUMBER(SEARCH("telecommunications",I246))&gt;0,'Configuración'!$B$27,'Configuración'!$B$28))</f>
        <v>4</v>
      </c>
      <c r="U246" s="25">
        <f>IF(B246="","",IF(ISNUMBER(SEARCH("CEO",C246))+ISNUMBER(SEARCH("Founder",C246))+ISNUMBER(SEARCH("Owner",C246))+ISNUMBER(SEARCH("Dueño",C246))+ISNUMBER(SEARCH("Director General",C246))+ISNUMBER(SEARCH("Presidente",C246))+ISNUMBER(SEARCH("President",C246))&gt;0,'Configuración'!$B$31,IF(ISNUMBER(SEARCH("CMO",C246))+ISNUMBER(SEARCH("Chief Marketing",C246))+ISNUMBER(SEARCH("VP Marketing",C246))+ISNUMBER(SEARCH("Director de Marketing",C246))+ISNUMBER(SEARCH("Director Marketing",C246))+ISNUMBER(SEARCH("Head of Marketing",C246))+ISNUMBER(SEARCH("Head Marketing",C246))&gt;0,'Configuración'!$B$32,IF(ISNUMBER(SEARCH("Marketing Manager",C246))+ISNUMBER(SEARCH("Gerente de Marketing",C246))+ISNUMBER(SEARCH("Growth Manager",C246))+ISNUMBER(SEARCH("Demand Gen",C246))+ISNUMBER(SEARCH("Marketing Lead",C246))&gt;0,'Configuración'!$B$33,IF(ISNUMBER(SEARCH("COO",C246))+ISNUMBER(SEARCH("CFO",C246))+ISNUMBER(SEARCH("CTO",C246))+ISNUMBER(SEARCH("Chief Operating",C246))+ISNUMBER(SEARCH("Chief Financial",C246))+ISNUMBER(SEARCH("Gerente General",C246))+ISNUMBER(SEARCH("General Manager",C246))&gt;0,'Configuración'!$B$34,'Configuración'!$B$35)))))</f>
        <v>12</v>
      </c>
      <c r="V246" s="38">
        <f>IF(B246="","",IF(K246="Sí",'Configuración'!$B$5,0)+IF(L246="Semanal",'Configuración'!$B$6,IF(L246="Mensual",'Configuración'!$B$7,0))+IF(M246="Sí",'Configuración'!$B$8,0)+IF(N246="Sí",'Configuración'!$B$9,0)+IF(O246="Sí",'Configuración'!$B$10,0)+IF(P246="Sí",'Configuración'!$B$11,0)+IF(Q246="Sí",'Configuración'!$B$12,0)+S246+T246+U246)</f>
        <v>28</v>
      </c>
      <c r="W246" s="39" t="str">
        <f>IF(B246="","",IF(V246&gt;='Configuración'!$B$19,"A",IF(V246&gt;='Configuración'!$B$20,"B",IF(V246&gt;='Configuración'!$B$21,"C","Descarte"))))</f>
        <v>C</v>
      </c>
    </row>
    <row r="247" ht="15.75" customHeight="1">
      <c r="A247" s="34">
        <f t="shared" si="1"/>
        <v>245</v>
      </c>
      <c r="B247" s="29" t="s">
        <v>1647</v>
      </c>
      <c r="C247" s="29" t="s">
        <v>591</v>
      </c>
      <c r="D247" s="29" t="s">
        <v>1648</v>
      </c>
      <c r="E247" s="29" t="s">
        <v>1649</v>
      </c>
      <c r="F247" s="30" t="s">
        <v>1650</v>
      </c>
      <c r="G247" s="30" t="s">
        <v>1651</v>
      </c>
      <c r="H247" s="30" t="s">
        <v>1652</v>
      </c>
      <c r="I247" s="29" t="s">
        <v>1653</v>
      </c>
      <c r="J247" s="31">
        <v>8.0</v>
      </c>
      <c r="K247" s="35"/>
      <c r="L247" s="35"/>
      <c r="M247" s="35"/>
      <c r="N247" s="35"/>
      <c r="O247" s="35"/>
      <c r="P247" s="35"/>
      <c r="Q247" s="35"/>
      <c r="R247" s="35"/>
      <c r="S247" s="37">
        <f>IF(B247="","",IF(ISNUMBER(J247),IF(J247&lt;=10,'Configuración'!$B$23,IF(J247&lt;=50,'Configuración'!$B$24,IF(J247&lt;=200,'Configuración'!$B$25,0))),0))</f>
        <v>12</v>
      </c>
      <c r="T247" s="37">
        <f>IF(B247="","",IF(ISNUMBER(SEARCH("information technology",I247))+ISNUMBER(SEARCH("software",I247))+ISNUMBER(SEARCH("internet",I247))+ISNUMBER(SEARCH("computer",I247))+ISNUMBER(SEARCH("saas",I247))+ISNUMBER(SEARCH("fintech",I247))+ISNUMBER(SEARCH("information services",I247))+ISNUMBER(SEARCH("telecommunications",I247))&gt;0,'Configuración'!$B$27,'Configuración'!$B$28))</f>
        <v>4</v>
      </c>
      <c r="U247" s="25">
        <f>IF(B247="","",IF(ISNUMBER(SEARCH("CEO",C247))+ISNUMBER(SEARCH("Founder",C247))+ISNUMBER(SEARCH("Owner",C247))+ISNUMBER(SEARCH("Dueño",C247))+ISNUMBER(SEARCH("Director General",C247))+ISNUMBER(SEARCH("Presidente",C247))+ISNUMBER(SEARCH("President",C247))&gt;0,'Configuración'!$B$31,IF(ISNUMBER(SEARCH("CMO",C247))+ISNUMBER(SEARCH("Chief Marketing",C247))+ISNUMBER(SEARCH("VP Marketing",C247))+ISNUMBER(SEARCH("Director de Marketing",C247))+ISNUMBER(SEARCH("Director Marketing",C247))+ISNUMBER(SEARCH("Head of Marketing",C247))+ISNUMBER(SEARCH("Head Marketing",C247))&gt;0,'Configuración'!$B$32,IF(ISNUMBER(SEARCH("Marketing Manager",C247))+ISNUMBER(SEARCH("Gerente de Marketing",C247))+ISNUMBER(SEARCH("Growth Manager",C247))+ISNUMBER(SEARCH("Demand Gen",C247))+ISNUMBER(SEARCH("Marketing Lead",C247))&gt;0,'Configuración'!$B$33,IF(ISNUMBER(SEARCH("COO",C247))+ISNUMBER(SEARCH("CFO",C247))+ISNUMBER(SEARCH("CTO",C247))+ISNUMBER(SEARCH("Chief Operating",C247))+ISNUMBER(SEARCH("Chief Financial",C247))+ISNUMBER(SEARCH("Gerente General",C247))+ISNUMBER(SEARCH("General Manager",C247))&gt;0,'Configuración'!$B$34,'Configuración'!$B$35)))))</f>
        <v>12</v>
      </c>
      <c r="V247" s="38">
        <f>IF(B247="","",IF(K247="Sí",'Configuración'!$B$5,0)+IF(L247="Semanal",'Configuración'!$B$6,IF(L247="Mensual",'Configuración'!$B$7,0))+IF(M247="Sí",'Configuración'!$B$8,0)+IF(N247="Sí",'Configuración'!$B$9,0)+IF(O247="Sí",'Configuración'!$B$10,0)+IF(P247="Sí",'Configuración'!$B$11,0)+IF(Q247="Sí",'Configuración'!$B$12,0)+S247+T247+U247)</f>
        <v>28</v>
      </c>
      <c r="W247" s="39" t="str">
        <f>IF(B247="","",IF(V247&gt;='Configuración'!$B$19,"A",IF(V247&gt;='Configuración'!$B$20,"B",IF(V247&gt;='Configuración'!$B$21,"C","Descarte"))))</f>
        <v>C</v>
      </c>
    </row>
    <row r="248" ht="15.75" customHeight="1">
      <c r="A248" s="34">
        <f t="shared" si="1"/>
        <v>246</v>
      </c>
      <c r="B248" s="29" t="s">
        <v>324</v>
      </c>
      <c r="C248" s="29" t="s">
        <v>224</v>
      </c>
      <c r="D248" s="29" t="s">
        <v>140</v>
      </c>
      <c r="E248" s="29" t="s">
        <v>1654</v>
      </c>
      <c r="F248" s="30" t="s">
        <v>1655</v>
      </c>
      <c r="G248" s="30" t="s">
        <v>143</v>
      </c>
      <c r="H248" s="30" t="s">
        <v>144</v>
      </c>
      <c r="I248" s="29" t="s">
        <v>145</v>
      </c>
      <c r="J248" s="31">
        <v>11.0</v>
      </c>
      <c r="K248" s="35"/>
      <c r="L248" s="35"/>
      <c r="M248" s="35"/>
      <c r="N248" s="35"/>
      <c r="O248" s="35"/>
      <c r="P248" s="35"/>
      <c r="Q248" s="35"/>
      <c r="R248" s="35"/>
      <c r="S248" s="37">
        <f>IF(B248="","",IF(ISNUMBER(J248),IF(J248&lt;=10,'Configuración'!$B$23,IF(J248&lt;=50,'Configuración'!$B$24,IF(J248&lt;=200,'Configuración'!$B$25,0))),0))</f>
        <v>4</v>
      </c>
      <c r="T248" s="37">
        <f>IF(B248="","",IF(ISNUMBER(SEARCH("information technology",I248))+ISNUMBER(SEARCH("software",I248))+ISNUMBER(SEARCH("internet",I248))+ISNUMBER(SEARCH("computer",I248))+ISNUMBER(SEARCH("saas",I248))+ISNUMBER(SEARCH("fintech",I248))+ISNUMBER(SEARCH("information services",I248))+ISNUMBER(SEARCH("telecommunications",I248))&gt;0,'Configuración'!$B$27,'Configuración'!$B$28))</f>
        <v>4</v>
      </c>
      <c r="U248" s="25">
        <f>IF(B248="","",IF(ISNUMBER(SEARCH("CEO",C248))+ISNUMBER(SEARCH("Founder",C248))+ISNUMBER(SEARCH("Owner",C248))+ISNUMBER(SEARCH("Dueño",C248))+ISNUMBER(SEARCH("Director General",C248))+ISNUMBER(SEARCH("Presidente",C248))+ISNUMBER(SEARCH("President",C248))&gt;0,'Configuración'!$B$31,IF(ISNUMBER(SEARCH("CMO",C248))+ISNUMBER(SEARCH("Chief Marketing",C248))+ISNUMBER(SEARCH("VP Marketing",C248))+ISNUMBER(SEARCH("Director de Marketing",C248))+ISNUMBER(SEARCH("Director Marketing",C248))+ISNUMBER(SEARCH("Head of Marketing",C248))+ISNUMBER(SEARCH("Head Marketing",C248))&gt;0,'Configuración'!$B$32,IF(ISNUMBER(SEARCH("Marketing Manager",C248))+ISNUMBER(SEARCH("Gerente de Marketing",C248))+ISNUMBER(SEARCH("Growth Manager",C248))+ISNUMBER(SEARCH("Demand Gen",C248))+ISNUMBER(SEARCH("Marketing Lead",C248))&gt;0,'Configuración'!$B$33,IF(ISNUMBER(SEARCH("COO",C248))+ISNUMBER(SEARCH("CFO",C248))+ISNUMBER(SEARCH("CTO",C248))+ISNUMBER(SEARCH("Chief Operating",C248))+ISNUMBER(SEARCH("Chief Financial",C248))+ISNUMBER(SEARCH("Gerente General",C248))+ISNUMBER(SEARCH("General Manager",C248))&gt;0,'Configuración'!$B$34,'Configuración'!$B$35)))))</f>
        <v>12</v>
      </c>
      <c r="V248" s="38">
        <f>IF(B248="","",IF(K248="Sí",'Configuración'!$B$5,0)+IF(L248="Semanal",'Configuración'!$B$6,IF(L248="Mensual",'Configuración'!$B$7,0))+IF(M248="Sí",'Configuración'!$B$8,0)+IF(N248="Sí",'Configuración'!$B$9,0)+IF(O248="Sí",'Configuración'!$B$10,0)+IF(P248="Sí",'Configuración'!$B$11,0)+IF(Q248="Sí",'Configuración'!$B$12,0)+S248+T248+U248)</f>
        <v>20</v>
      </c>
      <c r="W248" s="39" t="str">
        <f>IF(B248="","",IF(V248&gt;='Configuración'!$B$19,"A",IF(V248&gt;='Configuración'!$B$20,"B",IF(V248&gt;='Configuración'!$B$21,"C","Descarte"))))</f>
        <v>Descarte</v>
      </c>
    </row>
    <row r="249" ht="15.75" customHeight="1">
      <c r="A249" s="34">
        <f t="shared" si="1"/>
        <v>247</v>
      </c>
      <c r="B249" s="29" t="s">
        <v>262</v>
      </c>
      <c r="C249" s="29" t="s">
        <v>1656</v>
      </c>
      <c r="D249" s="29" t="s">
        <v>1657</v>
      </c>
      <c r="E249" s="29" t="s">
        <v>1658</v>
      </c>
      <c r="F249" s="30" t="s">
        <v>1659</v>
      </c>
      <c r="G249" s="30" t="s">
        <v>1660</v>
      </c>
      <c r="H249" s="30" t="s">
        <v>1661</v>
      </c>
      <c r="I249" s="29" t="s">
        <v>127</v>
      </c>
      <c r="J249" s="31">
        <v>21.0</v>
      </c>
      <c r="K249" s="35"/>
      <c r="L249" s="35"/>
      <c r="M249" s="35"/>
      <c r="N249" s="35"/>
      <c r="O249" s="35"/>
      <c r="P249" s="35"/>
      <c r="Q249" s="35"/>
      <c r="R249" s="35"/>
      <c r="S249" s="37">
        <f>IF(B249="","",IF(ISNUMBER(J249),IF(J249&lt;=10,'Configuración'!$B$23,IF(J249&lt;=50,'Configuración'!$B$24,IF(J249&lt;=200,'Configuración'!$B$25,0))),0))</f>
        <v>4</v>
      </c>
      <c r="T249" s="37">
        <f>IF(B249="","",IF(ISNUMBER(SEARCH("information technology",I249))+ISNUMBER(SEARCH("software",I249))+ISNUMBER(SEARCH("internet",I249))+ISNUMBER(SEARCH("computer",I249))+ISNUMBER(SEARCH("saas",I249))+ISNUMBER(SEARCH("fintech",I249))+ISNUMBER(SEARCH("information services",I249))+ISNUMBER(SEARCH("telecommunications",I249))&gt;0,'Configuración'!$B$27,'Configuración'!$B$28))</f>
        <v>12</v>
      </c>
      <c r="U249" s="25">
        <f>IF(B249="","",IF(ISNUMBER(SEARCH("CEO",C249))+ISNUMBER(SEARCH("Founder",C249))+ISNUMBER(SEARCH("Owner",C249))+ISNUMBER(SEARCH("Dueño",C249))+ISNUMBER(SEARCH("Director General",C249))+ISNUMBER(SEARCH("Presidente",C249))+ISNUMBER(SEARCH("President",C249))&gt;0,'Configuración'!$B$31,IF(ISNUMBER(SEARCH("CMO",C249))+ISNUMBER(SEARCH("Chief Marketing",C249))+ISNUMBER(SEARCH("VP Marketing",C249))+ISNUMBER(SEARCH("Director de Marketing",C249))+ISNUMBER(SEARCH("Director Marketing",C249))+ISNUMBER(SEARCH("Head of Marketing",C249))+ISNUMBER(SEARCH("Head Marketing",C249))&gt;0,'Configuración'!$B$32,IF(ISNUMBER(SEARCH("Marketing Manager",C249))+ISNUMBER(SEARCH("Gerente de Marketing",C249))+ISNUMBER(SEARCH("Growth Manager",C249))+ISNUMBER(SEARCH("Demand Gen",C249))+ISNUMBER(SEARCH("Marketing Lead",C249))&gt;0,'Configuración'!$B$33,IF(ISNUMBER(SEARCH("COO",C249))+ISNUMBER(SEARCH("CFO",C249))+ISNUMBER(SEARCH("CTO",C249))+ISNUMBER(SEARCH("Chief Operating",C249))+ISNUMBER(SEARCH("Chief Financial",C249))+ISNUMBER(SEARCH("Gerente General",C249))+ISNUMBER(SEARCH("General Manager",C249))&gt;0,'Configuración'!$B$34,'Configuración'!$B$35)))))</f>
        <v>12</v>
      </c>
      <c r="V249" s="38">
        <f>IF(B249="","",IF(K249="Sí",'Configuración'!$B$5,0)+IF(L249="Semanal",'Configuración'!$B$6,IF(L249="Mensual",'Configuración'!$B$7,0))+IF(M249="Sí",'Configuración'!$B$8,0)+IF(N249="Sí",'Configuración'!$B$9,0)+IF(O249="Sí",'Configuración'!$B$10,0)+IF(P249="Sí",'Configuración'!$B$11,0)+IF(Q249="Sí",'Configuración'!$B$12,0)+S249+T249+U249)</f>
        <v>28</v>
      </c>
      <c r="W249" s="39" t="str">
        <f>IF(B249="","",IF(V249&gt;='Configuración'!$B$19,"A",IF(V249&gt;='Configuración'!$B$20,"B",IF(V249&gt;='Configuración'!$B$21,"C","Descarte"))))</f>
        <v>C</v>
      </c>
    </row>
    <row r="250" ht="15.75" customHeight="1">
      <c r="A250" s="34">
        <f t="shared" si="1"/>
        <v>248</v>
      </c>
      <c r="B250" s="29" t="s">
        <v>529</v>
      </c>
      <c r="C250" s="29" t="s">
        <v>1662</v>
      </c>
      <c r="D250" s="29" t="s">
        <v>1663</v>
      </c>
      <c r="E250" s="29" t="s">
        <v>1664</v>
      </c>
      <c r="F250" s="30" t="s">
        <v>1665</v>
      </c>
      <c r="G250" s="30" t="s">
        <v>1666</v>
      </c>
      <c r="H250" s="30" t="s">
        <v>1667</v>
      </c>
      <c r="I250" s="29" t="s">
        <v>310</v>
      </c>
      <c r="J250" s="31">
        <v>3.0</v>
      </c>
      <c r="K250" s="35"/>
      <c r="L250" s="35"/>
      <c r="M250" s="35"/>
      <c r="N250" s="35"/>
      <c r="O250" s="35"/>
      <c r="P250" s="35"/>
      <c r="Q250" s="35"/>
      <c r="R250" s="35"/>
      <c r="S250" s="37">
        <f>IF(B250="","",IF(ISNUMBER(J250),IF(J250&lt;=10,'Configuración'!$B$23,IF(J250&lt;=50,'Configuración'!$B$24,IF(J250&lt;=200,'Configuración'!$B$25,0))),0))</f>
        <v>12</v>
      </c>
      <c r="T250" s="37">
        <f>IF(B250="","",IF(ISNUMBER(SEARCH("information technology",I250))+ISNUMBER(SEARCH("software",I250))+ISNUMBER(SEARCH("internet",I250))+ISNUMBER(SEARCH("computer",I250))+ISNUMBER(SEARCH("saas",I250))+ISNUMBER(SEARCH("fintech",I250))+ISNUMBER(SEARCH("information services",I250))+ISNUMBER(SEARCH("telecommunications",I250))&gt;0,'Configuración'!$B$27,'Configuración'!$B$28))</f>
        <v>4</v>
      </c>
      <c r="U250" s="25">
        <f>IF(B250="","",IF(ISNUMBER(SEARCH("CEO",C250))+ISNUMBER(SEARCH("Founder",C250))+ISNUMBER(SEARCH("Owner",C250))+ISNUMBER(SEARCH("Dueño",C250))+ISNUMBER(SEARCH("Director General",C250))+ISNUMBER(SEARCH("Presidente",C250))+ISNUMBER(SEARCH("President",C250))&gt;0,'Configuración'!$B$31,IF(ISNUMBER(SEARCH("CMO",C250))+ISNUMBER(SEARCH("Chief Marketing",C250))+ISNUMBER(SEARCH("VP Marketing",C250))+ISNUMBER(SEARCH("Director de Marketing",C250))+ISNUMBER(SEARCH("Director Marketing",C250))+ISNUMBER(SEARCH("Head of Marketing",C250))+ISNUMBER(SEARCH("Head Marketing",C250))&gt;0,'Configuración'!$B$32,IF(ISNUMBER(SEARCH("Marketing Manager",C250))+ISNUMBER(SEARCH("Gerente de Marketing",C250))+ISNUMBER(SEARCH("Growth Manager",C250))+ISNUMBER(SEARCH("Demand Gen",C250))+ISNUMBER(SEARCH("Marketing Lead",C250))&gt;0,'Configuración'!$B$33,IF(ISNUMBER(SEARCH("COO",C250))+ISNUMBER(SEARCH("CFO",C250))+ISNUMBER(SEARCH("CTO",C250))+ISNUMBER(SEARCH("Chief Operating",C250))+ISNUMBER(SEARCH("Chief Financial",C250))+ISNUMBER(SEARCH("Gerente General",C250))+ISNUMBER(SEARCH("General Manager",C250))&gt;0,'Configuración'!$B$34,'Configuración'!$B$35)))))</f>
        <v>4</v>
      </c>
      <c r="V250" s="38">
        <f>IF(B250="","",IF(K250="Sí",'Configuración'!$B$5,0)+IF(L250="Semanal",'Configuración'!$B$6,IF(L250="Mensual",'Configuración'!$B$7,0))+IF(M250="Sí",'Configuración'!$B$8,0)+IF(N250="Sí",'Configuración'!$B$9,0)+IF(O250="Sí",'Configuración'!$B$10,0)+IF(P250="Sí",'Configuración'!$B$11,0)+IF(Q250="Sí",'Configuración'!$B$12,0)+S250+T250+U250)</f>
        <v>20</v>
      </c>
      <c r="W250" s="39" t="str">
        <f>IF(B250="","",IF(V250&gt;='Configuración'!$B$19,"A",IF(V250&gt;='Configuración'!$B$20,"B",IF(V250&gt;='Configuración'!$B$21,"C","Descarte"))))</f>
        <v>Descarte</v>
      </c>
    </row>
    <row r="251" ht="15.75" customHeight="1">
      <c r="A251" s="34">
        <f t="shared" si="1"/>
        <v>249</v>
      </c>
      <c r="B251" s="29" t="s">
        <v>262</v>
      </c>
      <c r="C251" s="29" t="s">
        <v>1668</v>
      </c>
      <c r="D251" s="29" t="s">
        <v>1669</v>
      </c>
      <c r="E251" s="29" t="s">
        <v>1670</v>
      </c>
      <c r="F251" s="30" t="s">
        <v>1671</v>
      </c>
      <c r="G251" s="30" t="s">
        <v>1672</v>
      </c>
      <c r="H251" s="30" t="s">
        <v>1673</v>
      </c>
      <c r="I251" s="29" t="s">
        <v>769</v>
      </c>
      <c r="J251" s="31">
        <v>22.0</v>
      </c>
      <c r="K251" s="35"/>
      <c r="L251" s="35"/>
      <c r="M251" s="35"/>
      <c r="N251" s="35"/>
      <c r="O251" s="35"/>
      <c r="P251" s="35"/>
      <c r="Q251" s="35"/>
      <c r="R251" s="35"/>
      <c r="S251" s="37">
        <f>IF(B251="","",IF(ISNUMBER(J251),IF(J251&lt;=10,'Configuración'!$B$23,IF(J251&lt;=50,'Configuración'!$B$24,IF(J251&lt;=200,'Configuración'!$B$25,0))),0))</f>
        <v>4</v>
      </c>
      <c r="T251" s="37">
        <f>IF(B251="","",IF(ISNUMBER(SEARCH("information technology",I251))+ISNUMBER(SEARCH("software",I251))+ISNUMBER(SEARCH("internet",I251))+ISNUMBER(SEARCH("computer",I251))+ISNUMBER(SEARCH("saas",I251))+ISNUMBER(SEARCH("fintech",I251))+ISNUMBER(SEARCH("information services",I251))+ISNUMBER(SEARCH("telecommunications",I251))&gt;0,'Configuración'!$B$27,'Configuración'!$B$28))</f>
        <v>4</v>
      </c>
      <c r="U251" s="25">
        <f>IF(B251="","",IF(ISNUMBER(SEARCH("CEO",C251))+ISNUMBER(SEARCH("Founder",C251))+ISNUMBER(SEARCH("Owner",C251))+ISNUMBER(SEARCH("Dueño",C251))+ISNUMBER(SEARCH("Director General",C251))+ISNUMBER(SEARCH("Presidente",C251))+ISNUMBER(SEARCH("President",C251))&gt;0,'Configuración'!$B$31,IF(ISNUMBER(SEARCH("CMO",C251))+ISNUMBER(SEARCH("Chief Marketing",C251))+ISNUMBER(SEARCH("VP Marketing",C251))+ISNUMBER(SEARCH("Director de Marketing",C251))+ISNUMBER(SEARCH("Director Marketing",C251))+ISNUMBER(SEARCH("Head of Marketing",C251))+ISNUMBER(SEARCH("Head Marketing",C251))&gt;0,'Configuración'!$B$32,IF(ISNUMBER(SEARCH("Marketing Manager",C251))+ISNUMBER(SEARCH("Gerente de Marketing",C251))+ISNUMBER(SEARCH("Growth Manager",C251))+ISNUMBER(SEARCH("Demand Gen",C251))+ISNUMBER(SEARCH("Marketing Lead",C251))&gt;0,'Configuración'!$B$33,IF(ISNUMBER(SEARCH("COO",C251))+ISNUMBER(SEARCH("CFO",C251))+ISNUMBER(SEARCH("CTO",C251))+ISNUMBER(SEARCH("Chief Operating",C251))+ISNUMBER(SEARCH("Chief Financial",C251))+ISNUMBER(SEARCH("Gerente General",C251))+ISNUMBER(SEARCH("General Manager",C251))&gt;0,'Configuración'!$B$34,'Configuración'!$B$35)))))</f>
        <v>12</v>
      </c>
      <c r="V251" s="38">
        <f>IF(B251="","",IF(K251="Sí",'Configuración'!$B$5,0)+IF(L251="Semanal",'Configuración'!$B$6,IF(L251="Mensual",'Configuración'!$B$7,0))+IF(M251="Sí",'Configuración'!$B$8,0)+IF(N251="Sí",'Configuración'!$B$9,0)+IF(O251="Sí",'Configuración'!$B$10,0)+IF(P251="Sí",'Configuración'!$B$11,0)+IF(Q251="Sí",'Configuración'!$B$12,0)+S251+T251+U251)</f>
        <v>20</v>
      </c>
      <c r="W251" s="39" t="str">
        <f>IF(B251="","",IF(V251&gt;='Configuración'!$B$19,"A",IF(V251&gt;='Configuración'!$B$20,"B",IF(V251&gt;='Configuración'!$B$21,"C","Descarte"))))</f>
        <v>Descarte</v>
      </c>
    </row>
    <row r="252" ht="15.75" customHeight="1">
      <c r="A252" s="34">
        <f t="shared" si="1"/>
        <v>250</v>
      </c>
      <c r="B252" s="29" t="s">
        <v>1674</v>
      </c>
      <c r="C252" s="29" t="s">
        <v>934</v>
      </c>
      <c r="D252" s="29" t="s">
        <v>1675</v>
      </c>
      <c r="E252" s="29" t="s">
        <v>1676</v>
      </c>
      <c r="F252" s="30" t="s">
        <v>1677</v>
      </c>
      <c r="G252" s="30" t="s">
        <v>1678</v>
      </c>
      <c r="H252" s="30" t="s">
        <v>1679</v>
      </c>
      <c r="I252" s="29" t="s">
        <v>1034</v>
      </c>
      <c r="J252" s="31">
        <v>11.0</v>
      </c>
      <c r="K252" s="35"/>
      <c r="L252" s="35"/>
      <c r="M252" s="35"/>
      <c r="N252" s="35"/>
      <c r="O252" s="35"/>
      <c r="P252" s="35"/>
      <c r="Q252" s="35"/>
      <c r="R252" s="35"/>
      <c r="S252" s="37">
        <f>IF(B252="","",IF(ISNUMBER(J252),IF(J252&lt;=10,'Configuración'!$B$23,IF(J252&lt;=50,'Configuración'!$B$24,IF(J252&lt;=200,'Configuración'!$B$25,0))),0))</f>
        <v>4</v>
      </c>
      <c r="T252" s="37">
        <f>IF(B252="","",IF(ISNUMBER(SEARCH("information technology",I252))+ISNUMBER(SEARCH("software",I252))+ISNUMBER(SEARCH("internet",I252))+ISNUMBER(SEARCH("computer",I252))+ISNUMBER(SEARCH("saas",I252))+ISNUMBER(SEARCH("fintech",I252))+ISNUMBER(SEARCH("information services",I252))+ISNUMBER(SEARCH("telecommunications",I252))&gt;0,'Configuración'!$B$27,'Configuración'!$B$28))</f>
        <v>4</v>
      </c>
      <c r="U252" s="25">
        <f>IF(B252="","",IF(ISNUMBER(SEARCH("CEO",C252))+ISNUMBER(SEARCH("Founder",C252))+ISNUMBER(SEARCH("Owner",C252))+ISNUMBER(SEARCH("Dueño",C252))+ISNUMBER(SEARCH("Director General",C252))+ISNUMBER(SEARCH("Presidente",C252))+ISNUMBER(SEARCH("President",C252))&gt;0,'Configuración'!$B$31,IF(ISNUMBER(SEARCH("CMO",C252))+ISNUMBER(SEARCH("Chief Marketing",C252))+ISNUMBER(SEARCH("VP Marketing",C252))+ISNUMBER(SEARCH("Director de Marketing",C252))+ISNUMBER(SEARCH("Director Marketing",C252))+ISNUMBER(SEARCH("Head of Marketing",C252))+ISNUMBER(SEARCH("Head Marketing",C252))&gt;0,'Configuración'!$B$32,IF(ISNUMBER(SEARCH("Marketing Manager",C252))+ISNUMBER(SEARCH("Gerente de Marketing",C252))+ISNUMBER(SEARCH("Growth Manager",C252))+ISNUMBER(SEARCH("Demand Gen",C252))+ISNUMBER(SEARCH("Marketing Lead",C252))&gt;0,'Configuración'!$B$33,IF(ISNUMBER(SEARCH("COO",C252))+ISNUMBER(SEARCH("CFO",C252))+ISNUMBER(SEARCH("CTO",C252))+ISNUMBER(SEARCH("Chief Operating",C252))+ISNUMBER(SEARCH("Chief Financial",C252))+ISNUMBER(SEARCH("Gerente General",C252))+ISNUMBER(SEARCH("General Manager",C252))&gt;0,'Configuración'!$B$34,'Configuración'!$B$35)))))</f>
        <v>12</v>
      </c>
      <c r="V252" s="38">
        <f>IF(B252="","",IF(K252="Sí",'Configuración'!$B$5,0)+IF(L252="Semanal",'Configuración'!$B$6,IF(L252="Mensual",'Configuración'!$B$7,0))+IF(M252="Sí",'Configuración'!$B$8,0)+IF(N252="Sí",'Configuración'!$B$9,0)+IF(O252="Sí",'Configuración'!$B$10,0)+IF(P252="Sí",'Configuración'!$B$11,0)+IF(Q252="Sí",'Configuración'!$B$12,0)+S252+T252+U252)</f>
        <v>20</v>
      </c>
      <c r="W252" s="39" t="str">
        <f>IF(B252="","",IF(V252&gt;='Configuración'!$B$19,"A",IF(V252&gt;='Configuración'!$B$20,"B",IF(V252&gt;='Configuración'!$B$21,"C","Descarte"))))</f>
        <v>Descarte</v>
      </c>
    </row>
    <row r="253" ht="15.75" customHeight="1">
      <c r="A253" s="34">
        <f t="shared" si="1"/>
        <v>251</v>
      </c>
      <c r="B253" s="29" t="s">
        <v>984</v>
      </c>
      <c r="C253" s="29" t="s">
        <v>1680</v>
      </c>
      <c r="D253" s="29" t="s">
        <v>1681</v>
      </c>
      <c r="E253" s="29" t="s">
        <v>1682</v>
      </c>
      <c r="F253" s="30" t="s">
        <v>1683</v>
      </c>
      <c r="G253" s="30" t="s">
        <v>1684</v>
      </c>
      <c r="H253" s="30" t="s">
        <v>1685</v>
      </c>
      <c r="I253" s="29" t="s">
        <v>659</v>
      </c>
      <c r="J253" s="31">
        <v>6.0</v>
      </c>
      <c r="K253" s="35"/>
      <c r="L253" s="35"/>
      <c r="M253" s="35"/>
      <c r="N253" s="35"/>
      <c r="O253" s="35"/>
      <c r="P253" s="35"/>
      <c r="Q253" s="35"/>
      <c r="R253" s="35"/>
      <c r="S253" s="37">
        <f>IF(B253="","",IF(ISNUMBER(J253),IF(J253&lt;=10,'Configuración'!$B$23,IF(J253&lt;=50,'Configuración'!$B$24,IF(J253&lt;=200,'Configuración'!$B$25,0))),0))</f>
        <v>12</v>
      </c>
      <c r="T253" s="37">
        <f>IF(B253="","",IF(ISNUMBER(SEARCH("information technology",I253))+ISNUMBER(SEARCH("software",I253))+ISNUMBER(SEARCH("internet",I253))+ISNUMBER(SEARCH("computer",I253))+ISNUMBER(SEARCH("saas",I253))+ISNUMBER(SEARCH("fintech",I253))+ISNUMBER(SEARCH("information services",I253))+ISNUMBER(SEARCH("telecommunications",I253))&gt;0,'Configuración'!$B$27,'Configuración'!$B$28))</f>
        <v>4</v>
      </c>
      <c r="U253" s="25">
        <f>IF(B253="","",IF(ISNUMBER(SEARCH("CEO",C253))+ISNUMBER(SEARCH("Founder",C253))+ISNUMBER(SEARCH("Owner",C253))+ISNUMBER(SEARCH("Dueño",C253))+ISNUMBER(SEARCH("Director General",C253))+ISNUMBER(SEARCH("Presidente",C253))+ISNUMBER(SEARCH("President",C253))&gt;0,'Configuración'!$B$31,IF(ISNUMBER(SEARCH("CMO",C253))+ISNUMBER(SEARCH("Chief Marketing",C253))+ISNUMBER(SEARCH("VP Marketing",C253))+ISNUMBER(SEARCH("Director de Marketing",C253))+ISNUMBER(SEARCH("Director Marketing",C253))+ISNUMBER(SEARCH("Head of Marketing",C253))+ISNUMBER(SEARCH("Head Marketing",C253))&gt;0,'Configuración'!$B$32,IF(ISNUMBER(SEARCH("Marketing Manager",C253))+ISNUMBER(SEARCH("Gerente de Marketing",C253))+ISNUMBER(SEARCH("Growth Manager",C253))+ISNUMBER(SEARCH("Demand Gen",C253))+ISNUMBER(SEARCH("Marketing Lead",C253))&gt;0,'Configuración'!$B$33,IF(ISNUMBER(SEARCH("COO",C253))+ISNUMBER(SEARCH("CFO",C253))+ISNUMBER(SEARCH("CTO",C253))+ISNUMBER(SEARCH("Chief Operating",C253))+ISNUMBER(SEARCH("Chief Financial",C253))+ISNUMBER(SEARCH("Gerente General",C253))+ISNUMBER(SEARCH("General Manager",C253))&gt;0,'Configuración'!$B$34,'Configuración'!$B$35)))))</f>
        <v>12</v>
      </c>
      <c r="V253" s="38">
        <f>IF(B253="","",IF(K253="Sí",'Configuración'!$B$5,0)+IF(L253="Semanal",'Configuración'!$B$6,IF(L253="Mensual",'Configuración'!$B$7,0))+IF(M253="Sí",'Configuración'!$B$8,0)+IF(N253="Sí",'Configuración'!$B$9,0)+IF(O253="Sí",'Configuración'!$B$10,0)+IF(P253="Sí",'Configuración'!$B$11,0)+IF(Q253="Sí",'Configuración'!$B$12,0)+S253+T253+U253)</f>
        <v>28</v>
      </c>
      <c r="W253" s="39" t="str">
        <f>IF(B253="","",IF(V253&gt;='Configuración'!$B$19,"A",IF(V253&gt;='Configuración'!$B$20,"B",IF(V253&gt;='Configuración'!$B$21,"C","Descarte"))))</f>
        <v>C</v>
      </c>
    </row>
    <row r="254" ht="15.75" customHeight="1">
      <c r="A254" s="34">
        <f t="shared" si="1"/>
        <v>252</v>
      </c>
      <c r="B254" s="29" t="s">
        <v>1686</v>
      </c>
      <c r="C254" s="29" t="s">
        <v>1687</v>
      </c>
      <c r="D254" s="29" t="s">
        <v>1688</v>
      </c>
      <c r="E254" s="29" t="s">
        <v>1689</v>
      </c>
      <c r="F254" s="30" t="s">
        <v>1690</v>
      </c>
      <c r="G254" s="30" t="s">
        <v>1691</v>
      </c>
      <c r="H254" s="30" t="s">
        <v>1692</v>
      </c>
      <c r="I254" s="29" t="s">
        <v>1693</v>
      </c>
      <c r="J254" s="31">
        <v>34.0</v>
      </c>
      <c r="K254" s="35"/>
      <c r="L254" s="35"/>
      <c r="M254" s="35"/>
      <c r="N254" s="35"/>
      <c r="O254" s="35"/>
      <c r="P254" s="35"/>
      <c r="Q254" s="35"/>
      <c r="R254" s="35"/>
      <c r="S254" s="37">
        <f>IF(B254="","",IF(ISNUMBER(J254),IF(J254&lt;=10,'Configuración'!$B$23,IF(J254&lt;=50,'Configuración'!$B$24,IF(J254&lt;=200,'Configuración'!$B$25,0))),0))</f>
        <v>4</v>
      </c>
      <c r="T254" s="37">
        <f>IF(B254="","",IF(ISNUMBER(SEARCH("information technology",I254))+ISNUMBER(SEARCH("software",I254))+ISNUMBER(SEARCH("internet",I254))+ISNUMBER(SEARCH("computer",I254))+ISNUMBER(SEARCH("saas",I254))+ISNUMBER(SEARCH("fintech",I254))+ISNUMBER(SEARCH("information services",I254))+ISNUMBER(SEARCH("telecommunications",I254))&gt;0,'Configuración'!$B$27,'Configuración'!$B$28))</f>
        <v>4</v>
      </c>
      <c r="U254" s="25">
        <f>IF(B254="","",IF(ISNUMBER(SEARCH("CEO",C254))+ISNUMBER(SEARCH("Founder",C254))+ISNUMBER(SEARCH("Owner",C254))+ISNUMBER(SEARCH("Dueño",C254))+ISNUMBER(SEARCH("Director General",C254))+ISNUMBER(SEARCH("Presidente",C254))+ISNUMBER(SEARCH("President",C254))&gt;0,'Configuración'!$B$31,IF(ISNUMBER(SEARCH("CMO",C254))+ISNUMBER(SEARCH("Chief Marketing",C254))+ISNUMBER(SEARCH("VP Marketing",C254))+ISNUMBER(SEARCH("Director de Marketing",C254))+ISNUMBER(SEARCH("Director Marketing",C254))+ISNUMBER(SEARCH("Head of Marketing",C254))+ISNUMBER(SEARCH("Head Marketing",C254))&gt;0,'Configuración'!$B$32,IF(ISNUMBER(SEARCH("Marketing Manager",C254))+ISNUMBER(SEARCH("Gerente de Marketing",C254))+ISNUMBER(SEARCH("Growth Manager",C254))+ISNUMBER(SEARCH("Demand Gen",C254))+ISNUMBER(SEARCH("Marketing Lead",C254))&gt;0,'Configuración'!$B$33,IF(ISNUMBER(SEARCH("COO",C254))+ISNUMBER(SEARCH("CFO",C254))+ISNUMBER(SEARCH("CTO",C254))+ISNUMBER(SEARCH("Chief Operating",C254))+ISNUMBER(SEARCH("Chief Financial",C254))+ISNUMBER(SEARCH("Gerente General",C254))+ISNUMBER(SEARCH("General Manager",C254))&gt;0,'Configuración'!$B$34,'Configuración'!$B$35)))))</f>
        <v>12</v>
      </c>
      <c r="V254" s="38">
        <f>IF(B254="","",IF(K254="Sí",'Configuración'!$B$5,0)+IF(L254="Semanal",'Configuración'!$B$6,IF(L254="Mensual",'Configuración'!$B$7,0))+IF(M254="Sí",'Configuración'!$B$8,0)+IF(N254="Sí",'Configuración'!$B$9,0)+IF(O254="Sí",'Configuración'!$B$10,0)+IF(P254="Sí",'Configuración'!$B$11,0)+IF(Q254="Sí",'Configuración'!$B$12,0)+S254+T254+U254)</f>
        <v>20</v>
      </c>
      <c r="W254" s="39" t="str">
        <f>IF(B254="","",IF(V254&gt;='Configuración'!$B$19,"A",IF(V254&gt;='Configuración'!$B$20,"B",IF(V254&gt;='Configuración'!$B$21,"C","Descarte"))))</f>
        <v>Descarte</v>
      </c>
    </row>
    <row r="255" ht="15.75" customHeight="1">
      <c r="A255" s="34">
        <f t="shared" si="1"/>
        <v>253</v>
      </c>
      <c r="B255" s="29" t="s">
        <v>223</v>
      </c>
      <c r="C255" s="29" t="s">
        <v>175</v>
      </c>
      <c r="D255" s="29" t="s">
        <v>1694</v>
      </c>
      <c r="E255" s="29" t="s">
        <v>1695</v>
      </c>
      <c r="F255" s="30" t="s">
        <v>1696</v>
      </c>
      <c r="G255" s="30" t="s">
        <v>1697</v>
      </c>
      <c r="H255" s="30" t="s">
        <v>1698</v>
      </c>
      <c r="I255" s="29" t="s">
        <v>127</v>
      </c>
      <c r="J255" s="31">
        <v>37.0</v>
      </c>
      <c r="K255" s="35"/>
      <c r="L255" s="35"/>
      <c r="M255" s="35"/>
      <c r="N255" s="35"/>
      <c r="O255" s="35"/>
      <c r="P255" s="35"/>
      <c r="Q255" s="35"/>
      <c r="R255" s="35"/>
      <c r="S255" s="37">
        <f>IF(B255="","",IF(ISNUMBER(J255),IF(J255&lt;=10,'Configuración'!$B$23,IF(J255&lt;=50,'Configuración'!$B$24,IF(J255&lt;=200,'Configuración'!$B$25,0))),0))</f>
        <v>4</v>
      </c>
      <c r="T255" s="37">
        <f>IF(B255="","",IF(ISNUMBER(SEARCH("information technology",I255))+ISNUMBER(SEARCH("software",I255))+ISNUMBER(SEARCH("internet",I255))+ISNUMBER(SEARCH("computer",I255))+ISNUMBER(SEARCH("saas",I255))+ISNUMBER(SEARCH("fintech",I255))+ISNUMBER(SEARCH("information services",I255))+ISNUMBER(SEARCH("telecommunications",I255))&gt;0,'Configuración'!$B$27,'Configuración'!$B$28))</f>
        <v>12</v>
      </c>
      <c r="U255" s="25">
        <f>IF(B255="","",IF(ISNUMBER(SEARCH("CEO",C255))+ISNUMBER(SEARCH("Founder",C255))+ISNUMBER(SEARCH("Owner",C255))+ISNUMBER(SEARCH("Dueño",C255))+ISNUMBER(SEARCH("Director General",C255))+ISNUMBER(SEARCH("Presidente",C255))+ISNUMBER(SEARCH("President",C255))&gt;0,'Configuración'!$B$31,IF(ISNUMBER(SEARCH("CMO",C255))+ISNUMBER(SEARCH("Chief Marketing",C255))+ISNUMBER(SEARCH("VP Marketing",C255))+ISNUMBER(SEARCH("Director de Marketing",C255))+ISNUMBER(SEARCH("Director Marketing",C255))+ISNUMBER(SEARCH("Head of Marketing",C255))+ISNUMBER(SEARCH("Head Marketing",C255))&gt;0,'Configuración'!$B$32,IF(ISNUMBER(SEARCH("Marketing Manager",C255))+ISNUMBER(SEARCH("Gerente de Marketing",C255))+ISNUMBER(SEARCH("Growth Manager",C255))+ISNUMBER(SEARCH("Demand Gen",C255))+ISNUMBER(SEARCH("Marketing Lead",C255))&gt;0,'Configuración'!$B$33,IF(ISNUMBER(SEARCH("COO",C255))+ISNUMBER(SEARCH("CFO",C255))+ISNUMBER(SEARCH("CTO",C255))+ISNUMBER(SEARCH("Chief Operating",C255))+ISNUMBER(SEARCH("Chief Financial",C255))+ISNUMBER(SEARCH("Gerente General",C255))+ISNUMBER(SEARCH("General Manager",C255))&gt;0,'Configuración'!$B$34,'Configuración'!$B$35)))))</f>
        <v>12</v>
      </c>
      <c r="V255" s="38">
        <f>IF(B255="","",IF(K255="Sí",'Configuración'!$B$5,0)+IF(L255="Semanal",'Configuración'!$B$6,IF(L255="Mensual",'Configuración'!$B$7,0))+IF(M255="Sí",'Configuración'!$B$8,0)+IF(N255="Sí",'Configuración'!$B$9,0)+IF(O255="Sí",'Configuración'!$B$10,0)+IF(P255="Sí",'Configuración'!$B$11,0)+IF(Q255="Sí",'Configuración'!$B$12,0)+S255+T255+U255)</f>
        <v>28</v>
      </c>
      <c r="W255" s="39" t="str">
        <f>IF(B255="","",IF(V255&gt;='Configuración'!$B$19,"A",IF(V255&gt;='Configuración'!$B$20,"B",IF(V255&gt;='Configuración'!$B$21,"C","Descarte"))))</f>
        <v>C</v>
      </c>
    </row>
    <row r="256" ht="15.75" customHeight="1">
      <c r="A256" s="34">
        <f t="shared" si="1"/>
        <v>254</v>
      </c>
      <c r="B256" s="29" t="s">
        <v>1699</v>
      </c>
      <c r="C256" s="29" t="s">
        <v>1700</v>
      </c>
      <c r="D256" s="29" t="s">
        <v>1701</v>
      </c>
      <c r="E256" s="29" t="s">
        <v>1702</v>
      </c>
      <c r="F256" s="30" t="s">
        <v>1703</v>
      </c>
      <c r="G256" s="30" t="s">
        <v>1704</v>
      </c>
      <c r="H256" s="30" t="s">
        <v>1705</v>
      </c>
      <c r="I256" s="29" t="s">
        <v>1706</v>
      </c>
      <c r="J256" s="31">
        <v>15.0</v>
      </c>
      <c r="K256" s="35"/>
      <c r="L256" s="35"/>
      <c r="M256" s="35"/>
      <c r="N256" s="35"/>
      <c r="O256" s="35"/>
      <c r="P256" s="35"/>
      <c r="Q256" s="35"/>
      <c r="R256" s="35"/>
      <c r="S256" s="37">
        <f>IF(B256="","",IF(ISNUMBER(J256),IF(J256&lt;=10,'Configuración'!$B$23,IF(J256&lt;=50,'Configuración'!$B$24,IF(J256&lt;=200,'Configuración'!$B$25,0))),0))</f>
        <v>4</v>
      </c>
      <c r="T256" s="37">
        <f>IF(B256="","",IF(ISNUMBER(SEARCH("information technology",I256))+ISNUMBER(SEARCH("software",I256))+ISNUMBER(SEARCH("internet",I256))+ISNUMBER(SEARCH("computer",I256))+ISNUMBER(SEARCH("saas",I256))+ISNUMBER(SEARCH("fintech",I256))+ISNUMBER(SEARCH("information services",I256))+ISNUMBER(SEARCH("telecommunications",I256))&gt;0,'Configuración'!$B$27,'Configuración'!$B$28))</f>
        <v>4</v>
      </c>
      <c r="U256" s="25">
        <f>IF(B256="","",IF(ISNUMBER(SEARCH("CEO",C256))+ISNUMBER(SEARCH("Founder",C256))+ISNUMBER(SEARCH("Owner",C256))+ISNUMBER(SEARCH("Dueño",C256))+ISNUMBER(SEARCH("Director General",C256))+ISNUMBER(SEARCH("Presidente",C256))+ISNUMBER(SEARCH("President",C256))&gt;0,'Configuración'!$B$31,IF(ISNUMBER(SEARCH("CMO",C256))+ISNUMBER(SEARCH("Chief Marketing",C256))+ISNUMBER(SEARCH("VP Marketing",C256))+ISNUMBER(SEARCH("Director de Marketing",C256))+ISNUMBER(SEARCH("Director Marketing",C256))+ISNUMBER(SEARCH("Head of Marketing",C256))+ISNUMBER(SEARCH("Head Marketing",C256))&gt;0,'Configuración'!$B$32,IF(ISNUMBER(SEARCH("Marketing Manager",C256))+ISNUMBER(SEARCH("Gerente de Marketing",C256))+ISNUMBER(SEARCH("Growth Manager",C256))+ISNUMBER(SEARCH("Demand Gen",C256))+ISNUMBER(SEARCH("Marketing Lead",C256))&gt;0,'Configuración'!$B$33,IF(ISNUMBER(SEARCH("COO",C256))+ISNUMBER(SEARCH("CFO",C256))+ISNUMBER(SEARCH("CTO",C256))+ISNUMBER(SEARCH("Chief Operating",C256))+ISNUMBER(SEARCH("Chief Financial",C256))+ISNUMBER(SEARCH("Gerente General",C256))+ISNUMBER(SEARCH("General Manager",C256))&gt;0,'Configuración'!$B$34,'Configuración'!$B$35)))))</f>
        <v>12</v>
      </c>
      <c r="V256" s="38">
        <f>IF(B256="","",IF(K256="Sí",'Configuración'!$B$5,0)+IF(L256="Semanal",'Configuración'!$B$6,IF(L256="Mensual",'Configuración'!$B$7,0))+IF(M256="Sí",'Configuración'!$B$8,0)+IF(N256="Sí",'Configuración'!$B$9,0)+IF(O256="Sí",'Configuración'!$B$10,0)+IF(P256="Sí",'Configuración'!$B$11,0)+IF(Q256="Sí",'Configuración'!$B$12,0)+S256+T256+U256)</f>
        <v>20</v>
      </c>
      <c r="W256" s="39" t="str">
        <f>IF(B256="","",IF(V256&gt;='Configuración'!$B$19,"A",IF(V256&gt;='Configuración'!$B$20,"B",IF(V256&gt;='Configuración'!$B$21,"C","Descarte"))))</f>
        <v>Descarte</v>
      </c>
    </row>
    <row r="257" ht="15.75" customHeight="1">
      <c r="A257" s="34">
        <f t="shared" si="1"/>
        <v>255</v>
      </c>
      <c r="B257" s="29" t="s">
        <v>174</v>
      </c>
      <c r="C257" s="29" t="s">
        <v>121</v>
      </c>
      <c r="D257" s="40" t="s">
        <v>1707</v>
      </c>
      <c r="E257" s="29" t="s">
        <v>1708</v>
      </c>
      <c r="F257" s="30" t="s">
        <v>1709</v>
      </c>
      <c r="G257" s="30" t="s">
        <v>1710</v>
      </c>
      <c r="H257" s="30" t="s">
        <v>1711</v>
      </c>
      <c r="I257" s="29" t="s">
        <v>946</v>
      </c>
      <c r="J257" s="31">
        <v>7.0</v>
      </c>
      <c r="K257" s="35"/>
      <c r="L257" s="35"/>
      <c r="M257" s="35"/>
      <c r="N257" s="35"/>
      <c r="O257" s="35"/>
      <c r="P257" s="35"/>
      <c r="Q257" s="35"/>
      <c r="R257" s="35"/>
      <c r="S257" s="37">
        <f>IF(B257="","",IF(ISNUMBER(J257),IF(J257&lt;=10,'Configuración'!$B$23,IF(J257&lt;=50,'Configuración'!$B$24,IF(J257&lt;=200,'Configuración'!$B$25,0))),0))</f>
        <v>12</v>
      </c>
      <c r="T257" s="37">
        <f>IF(B257="","",IF(ISNUMBER(SEARCH("information technology",I257))+ISNUMBER(SEARCH("software",I257))+ISNUMBER(SEARCH("internet",I257))+ISNUMBER(SEARCH("computer",I257))+ISNUMBER(SEARCH("saas",I257))+ISNUMBER(SEARCH("fintech",I257))+ISNUMBER(SEARCH("information services",I257))+ISNUMBER(SEARCH("telecommunications",I257))&gt;0,'Configuración'!$B$27,'Configuración'!$B$28))</f>
        <v>4</v>
      </c>
      <c r="U257" s="25">
        <f>IF(B257="","",IF(ISNUMBER(SEARCH("CEO",C257))+ISNUMBER(SEARCH("Founder",C257))+ISNUMBER(SEARCH("Owner",C257))+ISNUMBER(SEARCH("Dueño",C257))+ISNUMBER(SEARCH("Director General",C257))+ISNUMBER(SEARCH("Presidente",C257))+ISNUMBER(SEARCH("President",C257))&gt;0,'Configuración'!$B$31,IF(ISNUMBER(SEARCH("CMO",C257))+ISNUMBER(SEARCH("Chief Marketing",C257))+ISNUMBER(SEARCH("VP Marketing",C257))+ISNUMBER(SEARCH("Director de Marketing",C257))+ISNUMBER(SEARCH("Director Marketing",C257))+ISNUMBER(SEARCH("Head of Marketing",C257))+ISNUMBER(SEARCH("Head Marketing",C257))&gt;0,'Configuración'!$B$32,IF(ISNUMBER(SEARCH("Marketing Manager",C257))+ISNUMBER(SEARCH("Gerente de Marketing",C257))+ISNUMBER(SEARCH("Growth Manager",C257))+ISNUMBER(SEARCH("Demand Gen",C257))+ISNUMBER(SEARCH("Marketing Lead",C257))&gt;0,'Configuración'!$B$33,IF(ISNUMBER(SEARCH("COO",C257))+ISNUMBER(SEARCH("CFO",C257))+ISNUMBER(SEARCH("CTO",C257))+ISNUMBER(SEARCH("Chief Operating",C257))+ISNUMBER(SEARCH("Chief Financial",C257))+ISNUMBER(SEARCH("Gerente General",C257))+ISNUMBER(SEARCH("General Manager",C257))&gt;0,'Configuración'!$B$34,'Configuración'!$B$35)))))</f>
        <v>12</v>
      </c>
      <c r="V257" s="38">
        <f>IF(B257="","",IF(K257="Sí",'Configuración'!$B$5,0)+IF(L257="Semanal",'Configuración'!$B$6,IF(L257="Mensual",'Configuración'!$B$7,0))+IF(M257="Sí",'Configuración'!$B$8,0)+IF(N257="Sí",'Configuración'!$B$9,0)+IF(O257="Sí",'Configuración'!$B$10,0)+IF(P257="Sí",'Configuración'!$B$11,0)+IF(Q257="Sí",'Configuración'!$B$12,0)+S257+T257+U257)</f>
        <v>28</v>
      </c>
      <c r="W257" s="39" t="str">
        <f>IF(B257="","",IF(V257&gt;='Configuración'!$B$19,"A",IF(V257&gt;='Configuración'!$B$20,"B",IF(V257&gt;='Configuración'!$B$21,"C","Descarte"))))</f>
        <v>C</v>
      </c>
    </row>
    <row r="258" ht="15.75" customHeight="1">
      <c r="A258" s="34">
        <f t="shared" si="1"/>
        <v>256</v>
      </c>
      <c r="B258" s="29" t="s">
        <v>466</v>
      </c>
      <c r="C258" s="29" t="s">
        <v>311</v>
      </c>
      <c r="D258" s="30" t="s">
        <v>1712</v>
      </c>
      <c r="E258" s="29" t="s">
        <v>1713</v>
      </c>
      <c r="F258" s="30" t="s">
        <v>1714</v>
      </c>
      <c r="G258" s="30" t="s">
        <v>1715</v>
      </c>
      <c r="H258" s="30" t="s">
        <v>1716</v>
      </c>
      <c r="I258" s="29" t="s">
        <v>127</v>
      </c>
      <c r="J258" s="31">
        <v>4.0</v>
      </c>
      <c r="K258" s="35"/>
      <c r="L258" s="35"/>
      <c r="M258" s="35"/>
      <c r="N258" s="35"/>
      <c r="O258" s="35"/>
      <c r="P258" s="35"/>
      <c r="Q258" s="35"/>
      <c r="R258" s="35"/>
      <c r="S258" s="37">
        <f>IF(B258="","",IF(ISNUMBER(J258),IF(J258&lt;=10,'Configuración'!$B$23,IF(J258&lt;=50,'Configuración'!$B$24,IF(J258&lt;=200,'Configuración'!$B$25,0))),0))</f>
        <v>12</v>
      </c>
      <c r="T258" s="37">
        <f>IF(B258="","",IF(ISNUMBER(SEARCH("information technology",I258))+ISNUMBER(SEARCH("software",I258))+ISNUMBER(SEARCH("internet",I258))+ISNUMBER(SEARCH("computer",I258))+ISNUMBER(SEARCH("saas",I258))+ISNUMBER(SEARCH("fintech",I258))+ISNUMBER(SEARCH("information services",I258))+ISNUMBER(SEARCH("telecommunications",I258))&gt;0,'Configuración'!$B$27,'Configuración'!$B$28))</f>
        <v>12</v>
      </c>
      <c r="U258" s="25">
        <f>IF(B258="","",IF(ISNUMBER(SEARCH("CEO",C258))+ISNUMBER(SEARCH("Founder",C258))+ISNUMBER(SEARCH("Owner",C258))+ISNUMBER(SEARCH("Dueño",C258))+ISNUMBER(SEARCH("Director General",C258))+ISNUMBER(SEARCH("Presidente",C258))+ISNUMBER(SEARCH("President",C258))&gt;0,'Configuración'!$B$31,IF(ISNUMBER(SEARCH("CMO",C258))+ISNUMBER(SEARCH("Chief Marketing",C258))+ISNUMBER(SEARCH("VP Marketing",C258))+ISNUMBER(SEARCH("Director de Marketing",C258))+ISNUMBER(SEARCH("Director Marketing",C258))+ISNUMBER(SEARCH("Head of Marketing",C258))+ISNUMBER(SEARCH("Head Marketing",C258))&gt;0,'Configuración'!$B$32,IF(ISNUMBER(SEARCH("Marketing Manager",C258))+ISNUMBER(SEARCH("Gerente de Marketing",C258))+ISNUMBER(SEARCH("Growth Manager",C258))+ISNUMBER(SEARCH("Demand Gen",C258))+ISNUMBER(SEARCH("Marketing Lead",C258))&gt;0,'Configuración'!$B$33,IF(ISNUMBER(SEARCH("COO",C258))+ISNUMBER(SEARCH("CFO",C258))+ISNUMBER(SEARCH("CTO",C258))+ISNUMBER(SEARCH("Chief Operating",C258))+ISNUMBER(SEARCH("Chief Financial",C258))+ISNUMBER(SEARCH("Gerente General",C258))+ISNUMBER(SEARCH("General Manager",C258))&gt;0,'Configuración'!$B$34,'Configuración'!$B$35)))))</f>
        <v>12</v>
      </c>
      <c r="V258" s="38">
        <f>IF(B258="","",IF(K258="Sí",'Configuración'!$B$5,0)+IF(L258="Semanal",'Configuración'!$B$6,IF(L258="Mensual",'Configuración'!$B$7,0))+IF(M258="Sí",'Configuración'!$B$8,0)+IF(N258="Sí",'Configuración'!$B$9,0)+IF(O258="Sí",'Configuración'!$B$10,0)+IF(P258="Sí",'Configuración'!$B$11,0)+IF(Q258="Sí",'Configuración'!$B$12,0)+S258+T258+U258)</f>
        <v>36</v>
      </c>
      <c r="W258" s="39" t="str">
        <f>IF(B258="","",IF(V258&gt;='Configuración'!$B$19,"A",IF(V258&gt;='Configuración'!$B$20,"B",IF(V258&gt;='Configuración'!$B$21,"C","Descarte"))))</f>
        <v>C</v>
      </c>
    </row>
    <row r="259" ht="15.75" customHeight="1">
      <c r="A259" s="34">
        <f t="shared" si="1"/>
        <v>257</v>
      </c>
      <c r="B259" s="29" t="s">
        <v>1717</v>
      </c>
      <c r="C259" s="29" t="s">
        <v>131</v>
      </c>
      <c r="D259" s="29" t="s">
        <v>1718</v>
      </c>
      <c r="E259" s="29" t="s">
        <v>1719</v>
      </c>
      <c r="F259" s="30" t="s">
        <v>1720</v>
      </c>
      <c r="G259" s="30" t="s">
        <v>1721</v>
      </c>
      <c r="H259" s="30" t="s">
        <v>1722</v>
      </c>
      <c r="I259" s="29" t="s">
        <v>188</v>
      </c>
      <c r="J259" s="31">
        <v>5.0</v>
      </c>
      <c r="K259" s="35"/>
      <c r="L259" s="35"/>
      <c r="M259" s="35"/>
      <c r="N259" s="35"/>
      <c r="O259" s="35"/>
      <c r="P259" s="35"/>
      <c r="Q259" s="35"/>
      <c r="R259" s="35"/>
      <c r="S259" s="37">
        <f>IF(B259="","",IF(ISNUMBER(J259),IF(J259&lt;=10,'Configuración'!$B$23,IF(J259&lt;=50,'Configuración'!$B$24,IF(J259&lt;=200,'Configuración'!$B$25,0))),0))</f>
        <v>12</v>
      </c>
      <c r="T259" s="37">
        <f>IF(B259="","",IF(ISNUMBER(SEARCH("information technology",I259))+ISNUMBER(SEARCH("software",I259))+ISNUMBER(SEARCH("internet",I259))+ISNUMBER(SEARCH("computer",I259))+ISNUMBER(SEARCH("saas",I259))+ISNUMBER(SEARCH("fintech",I259))+ISNUMBER(SEARCH("information services",I259))+ISNUMBER(SEARCH("telecommunications",I259))&gt;0,'Configuración'!$B$27,'Configuración'!$B$28))</f>
        <v>4</v>
      </c>
      <c r="U259" s="25">
        <f>IF(B259="","",IF(ISNUMBER(SEARCH("CEO",C259))+ISNUMBER(SEARCH("Founder",C259))+ISNUMBER(SEARCH("Owner",C259))+ISNUMBER(SEARCH("Dueño",C259))+ISNUMBER(SEARCH("Director General",C259))+ISNUMBER(SEARCH("Presidente",C259))+ISNUMBER(SEARCH("President",C259))&gt;0,'Configuración'!$B$31,IF(ISNUMBER(SEARCH("CMO",C259))+ISNUMBER(SEARCH("Chief Marketing",C259))+ISNUMBER(SEARCH("VP Marketing",C259))+ISNUMBER(SEARCH("Director de Marketing",C259))+ISNUMBER(SEARCH("Director Marketing",C259))+ISNUMBER(SEARCH("Head of Marketing",C259))+ISNUMBER(SEARCH("Head Marketing",C259))&gt;0,'Configuración'!$B$32,IF(ISNUMBER(SEARCH("Marketing Manager",C259))+ISNUMBER(SEARCH("Gerente de Marketing",C259))+ISNUMBER(SEARCH("Growth Manager",C259))+ISNUMBER(SEARCH("Demand Gen",C259))+ISNUMBER(SEARCH("Marketing Lead",C259))&gt;0,'Configuración'!$B$33,IF(ISNUMBER(SEARCH("COO",C259))+ISNUMBER(SEARCH("CFO",C259))+ISNUMBER(SEARCH("CTO",C259))+ISNUMBER(SEARCH("Chief Operating",C259))+ISNUMBER(SEARCH("Chief Financial",C259))+ISNUMBER(SEARCH("Gerente General",C259))+ISNUMBER(SEARCH("General Manager",C259))&gt;0,'Configuración'!$B$34,'Configuración'!$B$35)))))</f>
        <v>12</v>
      </c>
      <c r="V259" s="38">
        <f>IF(B259="","",IF(K259="Sí",'Configuración'!$B$5,0)+IF(L259="Semanal",'Configuración'!$B$6,IF(L259="Mensual",'Configuración'!$B$7,0))+IF(M259="Sí",'Configuración'!$B$8,0)+IF(N259="Sí",'Configuración'!$B$9,0)+IF(O259="Sí",'Configuración'!$B$10,0)+IF(P259="Sí",'Configuración'!$B$11,0)+IF(Q259="Sí",'Configuración'!$B$12,0)+S259+T259+U259)</f>
        <v>28</v>
      </c>
      <c r="W259" s="39" t="str">
        <f>IF(B259="","",IF(V259&gt;='Configuración'!$B$19,"A",IF(V259&gt;='Configuración'!$B$20,"B",IF(V259&gt;='Configuración'!$B$21,"C","Descarte"))))</f>
        <v>C</v>
      </c>
    </row>
    <row r="260" ht="15.75" customHeight="1">
      <c r="A260" s="34">
        <f t="shared" si="1"/>
        <v>258</v>
      </c>
      <c r="B260" s="29" t="s">
        <v>174</v>
      </c>
      <c r="C260" s="29" t="s">
        <v>175</v>
      </c>
      <c r="D260" s="29" t="s">
        <v>1723</v>
      </c>
      <c r="E260" s="29" t="s">
        <v>1724</v>
      </c>
      <c r="F260" s="30" t="s">
        <v>1725</v>
      </c>
      <c r="G260" s="30" t="s">
        <v>1726</v>
      </c>
      <c r="H260" s="30" t="s">
        <v>1727</v>
      </c>
      <c r="I260" s="29" t="s">
        <v>127</v>
      </c>
      <c r="J260" s="31">
        <v>2.0</v>
      </c>
      <c r="K260" s="35"/>
      <c r="L260" s="35"/>
      <c r="M260" s="35"/>
      <c r="N260" s="35"/>
      <c r="O260" s="35"/>
      <c r="P260" s="35"/>
      <c r="Q260" s="35"/>
      <c r="R260" s="35"/>
      <c r="S260" s="37">
        <f>IF(B260="","",IF(ISNUMBER(J260),IF(J260&lt;=10,'Configuración'!$B$23,IF(J260&lt;=50,'Configuración'!$B$24,IF(J260&lt;=200,'Configuración'!$B$25,0))),0))</f>
        <v>12</v>
      </c>
      <c r="T260" s="37">
        <f>IF(B260="","",IF(ISNUMBER(SEARCH("information technology",I260))+ISNUMBER(SEARCH("software",I260))+ISNUMBER(SEARCH("internet",I260))+ISNUMBER(SEARCH("computer",I260))+ISNUMBER(SEARCH("saas",I260))+ISNUMBER(SEARCH("fintech",I260))+ISNUMBER(SEARCH("information services",I260))+ISNUMBER(SEARCH("telecommunications",I260))&gt;0,'Configuración'!$B$27,'Configuración'!$B$28))</f>
        <v>12</v>
      </c>
      <c r="U260" s="25">
        <f>IF(B260="","",IF(ISNUMBER(SEARCH("CEO",C260))+ISNUMBER(SEARCH("Founder",C260))+ISNUMBER(SEARCH("Owner",C260))+ISNUMBER(SEARCH("Dueño",C260))+ISNUMBER(SEARCH("Director General",C260))+ISNUMBER(SEARCH("Presidente",C260))+ISNUMBER(SEARCH("President",C260))&gt;0,'Configuración'!$B$31,IF(ISNUMBER(SEARCH("CMO",C260))+ISNUMBER(SEARCH("Chief Marketing",C260))+ISNUMBER(SEARCH("VP Marketing",C260))+ISNUMBER(SEARCH("Director de Marketing",C260))+ISNUMBER(SEARCH("Director Marketing",C260))+ISNUMBER(SEARCH("Head of Marketing",C260))+ISNUMBER(SEARCH("Head Marketing",C260))&gt;0,'Configuración'!$B$32,IF(ISNUMBER(SEARCH("Marketing Manager",C260))+ISNUMBER(SEARCH("Gerente de Marketing",C260))+ISNUMBER(SEARCH("Growth Manager",C260))+ISNUMBER(SEARCH("Demand Gen",C260))+ISNUMBER(SEARCH("Marketing Lead",C260))&gt;0,'Configuración'!$B$33,IF(ISNUMBER(SEARCH("COO",C260))+ISNUMBER(SEARCH("CFO",C260))+ISNUMBER(SEARCH("CTO",C260))+ISNUMBER(SEARCH("Chief Operating",C260))+ISNUMBER(SEARCH("Chief Financial",C260))+ISNUMBER(SEARCH("Gerente General",C260))+ISNUMBER(SEARCH("General Manager",C260))&gt;0,'Configuración'!$B$34,'Configuración'!$B$35)))))</f>
        <v>12</v>
      </c>
      <c r="V260" s="38">
        <f>IF(B260="","",IF(K260="Sí",'Configuración'!$B$5,0)+IF(L260="Semanal",'Configuración'!$B$6,IF(L260="Mensual",'Configuración'!$B$7,0))+IF(M260="Sí",'Configuración'!$B$8,0)+IF(N260="Sí",'Configuración'!$B$9,0)+IF(O260="Sí",'Configuración'!$B$10,0)+IF(P260="Sí",'Configuración'!$B$11,0)+IF(Q260="Sí",'Configuración'!$B$12,0)+S260+T260+U260)</f>
        <v>36</v>
      </c>
      <c r="W260" s="39" t="str">
        <f>IF(B260="","",IF(V260&gt;='Configuración'!$B$19,"A",IF(V260&gt;='Configuración'!$B$20,"B",IF(V260&gt;='Configuración'!$B$21,"C","Descarte"))))</f>
        <v>C</v>
      </c>
    </row>
    <row r="261" ht="15.75" customHeight="1">
      <c r="A261" s="34">
        <f t="shared" si="1"/>
        <v>259</v>
      </c>
      <c r="B261" s="29" t="s">
        <v>174</v>
      </c>
      <c r="C261" s="29" t="s">
        <v>1221</v>
      </c>
      <c r="D261" s="29" t="s">
        <v>1728</v>
      </c>
      <c r="E261" s="29" t="s">
        <v>1729</v>
      </c>
      <c r="F261" s="30" t="s">
        <v>1730</v>
      </c>
      <c r="G261" s="30" t="s">
        <v>1731</v>
      </c>
      <c r="H261" s="30" t="s">
        <v>1732</v>
      </c>
      <c r="I261" s="29" t="s">
        <v>450</v>
      </c>
      <c r="J261" s="31">
        <v>16.0</v>
      </c>
      <c r="K261" s="35"/>
      <c r="L261" s="35"/>
      <c r="M261" s="35"/>
      <c r="N261" s="35"/>
      <c r="O261" s="35"/>
      <c r="P261" s="35"/>
      <c r="Q261" s="35"/>
      <c r="R261" s="35"/>
      <c r="S261" s="37">
        <f>IF(B261="","",IF(ISNUMBER(J261),IF(J261&lt;=10,'Configuración'!$B$23,IF(J261&lt;=50,'Configuración'!$B$24,IF(J261&lt;=200,'Configuración'!$B$25,0))),0))</f>
        <v>4</v>
      </c>
      <c r="T261" s="37">
        <f>IF(B261="","",IF(ISNUMBER(SEARCH("information technology",I261))+ISNUMBER(SEARCH("software",I261))+ISNUMBER(SEARCH("internet",I261))+ISNUMBER(SEARCH("computer",I261))+ISNUMBER(SEARCH("saas",I261))+ISNUMBER(SEARCH("fintech",I261))+ISNUMBER(SEARCH("information services",I261))+ISNUMBER(SEARCH("telecommunications",I261))&gt;0,'Configuración'!$B$27,'Configuración'!$B$28))</f>
        <v>12</v>
      </c>
      <c r="U261" s="25">
        <f>IF(B261="","",IF(ISNUMBER(SEARCH("CEO",C261))+ISNUMBER(SEARCH("Founder",C261))+ISNUMBER(SEARCH("Owner",C261))+ISNUMBER(SEARCH("Dueño",C261))+ISNUMBER(SEARCH("Director General",C261))+ISNUMBER(SEARCH("Presidente",C261))+ISNUMBER(SEARCH("President",C261))&gt;0,'Configuración'!$B$31,IF(ISNUMBER(SEARCH("CMO",C261))+ISNUMBER(SEARCH("Chief Marketing",C261))+ISNUMBER(SEARCH("VP Marketing",C261))+ISNUMBER(SEARCH("Director de Marketing",C261))+ISNUMBER(SEARCH("Director Marketing",C261))+ISNUMBER(SEARCH("Head of Marketing",C261))+ISNUMBER(SEARCH("Head Marketing",C261))&gt;0,'Configuración'!$B$32,IF(ISNUMBER(SEARCH("Marketing Manager",C261))+ISNUMBER(SEARCH("Gerente de Marketing",C261))+ISNUMBER(SEARCH("Growth Manager",C261))+ISNUMBER(SEARCH("Demand Gen",C261))+ISNUMBER(SEARCH("Marketing Lead",C261))&gt;0,'Configuración'!$B$33,IF(ISNUMBER(SEARCH("COO",C261))+ISNUMBER(SEARCH("CFO",C261))+ISNUMBER(SEARCH("CTO",C261))+ISNUMBER(SEARCH("Chief Operating",C261))+ISNUMBER(SEARCH("Chief Financial",C261))+ISNUMBER(SEARCH("Gerente General",C261))+ISNUMBER(SEARCH("General Manager",C261))&gt;0,'Configuración'!$B$34,'Configuración'!$B$35)))))</f>
        <v>0</v>
      </c>
      <c r="V261" s="38">
        <f>IF(B261="","",IF(K261="Sí",'Configuración'!$B$5,0)+IF(L261="Semanal",'Configuración'!$B$6,IF(L261="Mensual",'Configuración'!$B$7,0))+IF(M261="Sí",'Configuración'!$B$8,0)+IF(N261="Sí",'Configuración'!$B$9,0)+IF(O261="Sí",'Configuración'!$B$10,0)+IF(P261="Sí",'Configuración'!$B$11,0)+IF(Q261="Sí",'Configuración'!$B$12,0)+S261+T261+U261)</f>
        <v>16</v>
      </c>
      <c r="W261" s="39" t="str">
        <f>IF(B261="","",IF(V261&gt;='Configuración'!$B$19,"A",IF(V261&gt;='Configuración'!$B$20,"B",IF(V261&gt;='Configuración'!$B$21,"C","Descarte"))))</f>
        <v>Descarte</v>
      </c>
    </row>
    <row r="262" ht="15.75" customHeight="1">
      <c r="A262" s="34">
        <f t="shared" si="1"/>
        <v>260</v>
      </c>
      <c r="B262" s="29" t="s">
        <v>223</v>
      </c>
      <c r="C262" s="29" t="s">
        <v>719</v>
      </c>
      <c r="D262" s="29" t="s">
        <v>1733</v>
      </c>
      <c r="E262" s="29" t="s">
        <v>1734</v>
      </c>
      <c r="F262" s="30" t="s">
        <v>1735</v>
      </c>
      <c r="G262" s="30" t="s">
        <v>1736</v>
      </c>
      <c r="H262" s="30" t="s">
        <v>1737</v>
      </c>
      <c r="I262" s="29" t="s">
        <v>127</v>
      </c>
      <c r="J262" s="31">
        <v>9.0</v>
      </c>
      <c r="K262" s="35"/>
      <c r="L262" s="35"/>
      <c r="M262" s="35"/>
      <c r="N262" s="35"/>
      <c r="O262" s="35"/>
      <c r="P262" s="35"/>
      <c r="Q262" s="35"/>
      <c r="R262" s="35"/>
      <c r="S262" s="37">
        <f>IF(B262="","",IF(ISNUMBER(J262),IF(J262&lt;=10,'Configuración'!$B$23,IF(J262&lt;=50,'Configuración'!$B$24,IF(J262&lt;=200,'Configuración'!$B$25,0))),0))</f>
        <v>12</v>
      </c>
      <c r="T262" s="37">
        <f>IF(B262="","",IF(ISNUMBER(SEARCH("information technology",I262))+ISNUMBER(SEARCH("software",I262))+ISNUMBER(SEARCH("internet",I262))+ISNUMBER(SEARCH("computer",I262))+ISNUMBER(SEARCH("saas",I262))+ISNUMBER(SEARCH("fintech",I262))+ISNUMBER(SEARCH("information services",I262))+ISNUMBER(SEARCH("telecommunications",I262))&gt;0,'Configuración'!$B$27,'Configuración'!$B$28))</f>
        <v>12</v>
      </c>
      <c r="U262" s="25">
        <f>IF(B262="","",IF(ISNUMBER(SEARCH("CEO",C262))+ISNUMBER(SEARCH("Founder",C262))+ISNUMBER(SEARCH("Owner",C262))+ISNUMBER(SEARCH("Dueño",C262))+ISNUMBER(SEARCH("Director General",C262))+ISNUMBER(SEARCH("Presidente",C262))+ISNUMBER(SEARCH("President",C262))&gt;0,'Configuración'!$B$31,IF(ISNUMBER(SEARCH("CMO",C262))+ISNUMBER(SEARCH("Chief Marketing",C262))+ISNUMBER(SEARCH("VP Marketing",C262))+ISNUMBER(SEARCH("Director de Marketing",C262))+ISNUMBER(SEARCH("Director Marketing",C262))+ISNUMBER(SEARCH("Head of Marketing",C262))+ISNUMBER(SEARCH("Head Marketing",C262))&gt;0,'Configuración'!$B$32,IF(ISNUMBER(SEARCH("Marketing Manager",C262))+ISNUMBER(SEARCH("Gerente de Marketing",C262))+ISNUMBER(SEARCH("Growth Manager",C262))+ISNUMBER(SEARCH("Demand Gen",C262))+ISNUMBER(SEARCH("Marketing Lead",C262))&gt;0,'Configuración'!$B$33,IF(ISNUMBER(SEARCH("COO",C262))+ISNUMBER(SEARCH("CFO",C262))+ISNUMBER(SEARCH("CTO",C262))+ISNUMBER(SEARCH("Chief Operating",C262))+ISNUMBER(SEARCH("Chief Financial",C262))+ISNUMBER(SEARCH("Gerente General",C262))+ISNUMBER(SEARCH("General Manager",C262))&gt;0,'Configuración'!$B$34,'Configuración'!$B$35)))))</f>
        <v>12</v>
      </c>
      <c r="V262" s="38">
        <f>IF(B262="","",IF(K262="Sí",'Configuración'!$B$5,0)+IF(L262="Semanal",'Configuración'!$B$6,IF(L262="Mensual",'Configuración'!$B$7,0))+IF(M262="Sí",'Configuración'!$B$8,0)+IF(N262="Sí",'Configuración'!$B$9,0)+IF(O262="Sí",'Configuración'!$B$10,0)+IF(P262="Sí",'Configuración'!$B$11,0)+IF(Q262="Sí",'Configuración'!$B$12,0)+S262+T262+U262)</f>
        <v>36</v>
      </c>
      <c r="W262" s="39" t="str">
        <f>IF(B262="","",IF(V262&gt;='Configuración'!$B$19,"A",IF(V262&gt;='Configuración'!$B$20,"B",IF(V262&gt;='Configuración'!$B$21,"C","Descarte"))))</f>
        <v>C</v>
      </c>
    </row>
    <row r="263" ht="15.75" customHeight="1">
      <c r="A263" s="34">
        <f t="shared" si="1"/>
        <v>261</v>
      </c>
      <c r="B263" s="29" t="s">
        <v>501</v>
      </c>
      <c r="C263" s="29" t="s">
        <v>1465</v>
      </c>
      <c r="D263" s="29" t="s">
        <v>1738</v>
      </c>
      <c r="E263" s="29" t="s">
        <v>1739</v>
      </c>
      <c r="F263" s="30" t="s">
        <v>1740</v>
      </c>
      <c r="G263" s="30" t="s">
        <v>1741</v>
      </c>
      <c r="H263" s="30" t="s">
        <v>1742</v>
      </c>
      <c r="I263" s="29" t="s">
        <v>116</v>
      </c>
      <c r="J263" s="31">
        <v>31.0</v>
      </c>
      <c r="K263" s="35"/>
      <c r="L263" s="35"/>
      <c r="M263" s="35"/>
      <c r="N263" s="35"/>
      <c r="O263" s="35"/>
      <c r="P263" s="35"/>
      <c r="Q263" s="35"/>
      <c r="R263" s="35"/>
      <c r="S263" s="37">
        <f>IF(B263="","",IF(ISNUMBER(J263),IF(J263&lt;=10,'Configuración'!$B$23,IF(J263&lt;=50,'Configuración'!$B$24,IF(J263&lt;=200,'Configuración'!$B$25,0))),0))</f>
        <v>4</v>
      </c>
      <c r="T263" s="37">
        <f>IF(B263="","",IF(ISNUMBER(SEARCH("information technology",I263))+ISNUMBER(SEARCH("software",I263))+ISNUMBER(SEARCH("internet",I263))+ISNUMBER(SEARCH("computer",I263))+ISNUMBER(SEARCH("saas",I263))+ISNUMBER(SEARCH("fintech",I263))+ISNUMBER(SEARCH("information services",I263))+ISNUMBER(SEARCH("telecommunications",I263))&gt;0,'Configuración'!$B$27,'Configuración'!$B$28))</f>
        <v>4</v>
      </c>
      <c r="U263" s="25">
        <f>IF(B263="","",IF(ISNUMBER(SEARCH("CEO",C263))+ISNUMBER(SEARCH("Founder",C263))+ISNUMBER(SEARCH("Owner",C263))+ISNUMBER(SEARCH("Dueño",C263))+ISNUMBER(SEARCH("Director General",C263))+ISNUMBER(SEARCH("Presidente",C263))+ISNUMBER(SEARCH("President",C263))&gt;0,'Configuración'!$B$31,IF(ISNUMBER(SEARCH("CMO",C263))+ISNUMBER(SEARCH("Chief Marketing",C263))+ISNUMBER(SEARCH("VP Marketing",C263))+ISNUMBER(SEARCH("Director de Marketing",C263))+ISNUMBER(SEARCH("Director Marketing",C263))+ISNUMBER(SEARCH("Head of Marketing",C263))+ISNUMBER(SEARCH("Head Marketing",C263))&gt;0,'Configuración'!$B$32,IF(ISNUMBER(SEARCH("Marketing Manager",C263))+ISNUMBER(SEARCH("Gerente de Marketing",C263))+ISNUMBER(SEARCH("Growth Manager",C263))+ISNUMBER(SEARCH("Demand Gen",C263))+ISNUMBER(SEARCH("Marketing Lead",C263))&gt;0,'Configuración'!$B$33,IF(ISNUMBER(SEARCH("COO",C263))+ISNUMBER(SEARCH("CFO",C263))+ISNUMBER(SEARCH("CTO",C263))+ISNUMBER(SEARCH("Chief Operating",C263))+ISNUMBER(SEARCH("Chief Financial",C263))+ISNUMBER(SEARCH("Gerente General",C263))+ISNUMBER(SEARCH("General Manager",C263))&gt;0,'Configuración'!$B$34,'Configuración'!$B$35)))))</f>
        <v>4</v>
      </c>
      <c r="V263" s="38">
        <f>IF(B263="","",IF(K263="Sí",'Configuración'!$B$5,0)+IF(L263="Semanal",'Configuración'!$B$6,IF(L263="Mensual",'Configuración'!$B$7,0))+IF(M263="Sí",'Configuración'!$B$8,0)+IF(N263="Sí",'Configuración'!$B$9,0)+IF(O263="Sí",'Configuración'!$B$10,0)+IF(P263="Sí",'Configuración'!$B$11,0)+IF(Q263="Sí",'Configuración'!$B$12,0)+S263+T263+U263)</f>
        <v>12</v>
      </c>
      <c r="W263" s="39" t="str">
        <f>IF(B263="","",IF(V263&gt;='Configuración'!$B$19,"A",IF(V263&gt;='Configuración'!$B$20,"B",IF(V263&gt;='Configuración'!$B$21,"C","Descarte"))))</f>
        <v>Descarte</v>
      </c>
    </row>
    <row r="264" ht="15.75" customHeight="1">
      <c r="A264" s="34">
        <f t="shared" si="1"/>
        <v>262</v>
      </c>
      <c r="B264" s="29" t="s">
        <v>296</v>
      </c>
      <c r="C264" s="29" t="s">
        <v>1743</v>
      </c>
      <c r="D264" s="29" t="s">
        <v>1744</v>
      </c>
      <c r="E264" s="29" t="s">
        <v>1745</v>
      </c>
      <c r="F264" s="30" t="s">
        <v>1746</v>
      </c>
      <c r="G264" s="30" t="s">
        <v>1747</v>
      </c>
      <c r="H264" s="30" t="s">
        <v>1748</v>
      </c>
      <c r="I264" s="29" t="s">
        <v>127</v>
      </c>
      <c r="J264" s="31">
        <v>5.0</v>
      </c>
      <c r="K264" s="35"/>
      <c r="L264" s="35"/>
      <c r="M264" s="35"/>
      <c r="N264" s="35"/>
      <c r="O264" s="35"/>
      <c r="P264" s="35"/>
      <c r="Q264" s="35"/>
      <c r="R264" s="35"/>
      <c r="S264" s="37">
        <f>IF(B264="","",IF(ISNUMBER(J264),IF(J264&lt;=10,'Configuración'!$B$23,IF(J264&lt;=50,'Configuración'!$B$24,IF(J264&lt;=200,'Configuración'!$B$25,0))),0))</f>
        <v>12</v>
      </c>
      <c r="T264" s="37">
        <f>IF(B264="","",IF(ISNUMBER(SEARCH("information technology",I264))+ISNUMBER(SEARCH("software",I264))+ISNUMBER(SEARCH("internet",I264))+ISNUMBER(SEARCH("computer",I264))+ISNUMBER(SEARCH("saas",I264))+ISNUMBER(SEARCH("fintech",I264))+ISNUMBER(SEARCH("information services",I264))+ISNUMBER(SEARCH("telecommunications",I264))&gt;0,'Configuración'!$B$27,'Configuración'!$B$28))</f>
        <v>12</v>
      </c>
      <c r="U264" s="25">
        <f>IF(B264="","",IF(ISNUMBER(SEARCH("CEO",C264))+ISNUMBER(SEARCH("Founder",C264))+ISNUMBER(SEARCH("Owner",C264))+ISNUMBER(SEARCH("Dueño",C264))+ISNUMBER(SEARCH("Director General",C264))+ISNUMBER(SEARCH("Presidente",C264))+ISNUMBER(SEARCH("President",C264))&gt;0,'Configuración'!$B$31,IF(ISNUMBER(SEARCH("CMO",C264))+ISNUMBER(SEARCH("Chief Marketing",C264))+ISNUMBER(SEARCH("VP Marketing",C264))+ISNUMBER(SEARCH("Director de Marketing",C264))+ISNUMBER(SEARCH("Director Marketing",C264))+ISNUMBER(SEARCH("Head of Marketing",C264))+ISNUMBER(SEARCH("Head Marketing",C264))&gt;0,'Configuración'!$B$32,IF(ISNUMBER(SEARCH("Marketing Manager",C264))+ISNUMBER(SEARCH("Gerente de Marketing",C264))+ISNUMBER(SEARCH("Growth Manager",C264))+ISNUMBER(SEARCH("Demand Gen",C264))+ISNUMBER(SEARCH("Marketing Lead",C264))&gt;0,'Configuración'!$B$33,IF(ISNUMBER(SEARCH("COO",C264))+ISNUMBER(SEARCH("CFO",C264))+ISNUMBER(SEARCH("CTO",C264))+ISNUMBER(SEARCH("Chief Operating",C264))+ISNUMBER(SEARCH("Chief Financial",C264))+ISNUMBER(SEARCH("Gerente General",C264))+ISNUMBER(SEARCH("General Manager",C264))&gt;0,'Configuración'!$B$34,'Configuración'!$B$35)))))</f>
        <v>12</v>
      </c>
      <c r="V264" s="38">
        <f>IF(B264="","",IF(K264="Sí",'Configuración'!$B$5,0)+IF(L264="Semanal",'Configuración'!$B$6,IF(L264="Mensual",'Configuración'!$B$7,0))+IF(M264="Sí",'Configuración'!$B$8,0)+IF(N264="Sí",'Configuración'!$B$9,0)+IF(O264="Sí",'Configuración'!$B$10,0)+IF(P264="Sí",'Configuración'!$B$11,0)+IF(Q264="Sí",'Configuración'!$B$12,0)+S264+T264+U264)</f>
        <v>36</v>
      </c>
      <c r="W264" s="39" t="str">
        <f>IF(B264="","",IF(V264&gt;='Configuración'!$B$19,"A",IF(V264&gt;='Configuración'!$B$20,"B",IF(V264&gt;='Configuración'!$B$21,"C","Descarte"))))</f>
        <v>C</v>
      </c>
    </row>
    <row r="265" ht="15.75" customHeight="1">
      <c r="A265" s="34">
        <f t="shared" si="1"/>
        <v>263</v>
      </c>
      <c r="B265" s="29" t="s">
        <v>501</v>
      </c>
      <c r="C265" s="29" t="s">
        <v>224</v>
      </c>
      <c r="D265" s="29" t="s">
        <v>1749</v>
      </c>
      <c r="E265" s="29" t="s">
        <v>1750</v>
      </c>
      <c r="F265" s="30" t="s">
        <v>1751</v>
      </c>
      <c r="G265" s="30" t="s">
        <v>1752</v>
      </c>
      <c r="H265" s="30" t="s">
        <v>1753</v>
      </c>
      <c r="I265" s="29" t="s">
        <v>127</v>
      </c>
      <c r="J265" s="31">
        <v>6.0</v>
      </c>
      <c r="K265" s="35"/>
      <c r="L265" s="35"/>
      <c r="M265" s="35"/>
      <c r="N265" s="35"/>
      <c r="O265" s="35"/>
      <c r="P265" s="35"/>
      <c r="Q265" s="35"/>
      <c r="R265" s="35"/>
      <c r="S265" s="37">
        <f>IF(B265="","",IF(ISNUMBER(J265),IF(J265&lt;=10,'Configuración'!$B$23,IF(J265&lt;=50,'Configuración'!$B$24,IF(J265&lt;=200,'Configuración'!$B$25,0))),0))</f>
        <v>12</v>
      </c>
      <c r="T265" s="37">
        <f>IF(B265="","",IF(ISNUMBER(SEARCH("information technology",I265))+ISNUMBER(SEARCH("software",I265))+ISNUMBER(SEARCH("internet",I265))+ISNUMBER(SEARCH("computer",I265))+ISNUMBER(SEARCH("saas",I265))+ISNUMBER(SEARCH("fintech",I265))+ISNUMBER(SEARCH("information services",I265))+ISNUMBER(SEARCH("telecommunications",I265))&gt;0,'Configuración'!$B$27,'Configuración'!$B$28))</f>
        <v>12</v>
      </c>
      <c r="U265" s="25">
        <f>IF(B265="","",IF(ISNUMBER(SEARCH("CEO",C265))+ISNUMBER(SEARCH("Founder",C265))+ISNUMBER(SEARCH("Owner",C265))+ISNUMBER(SEARCH("Dueño",C265))+ISNUMBER(SEARCH("Director General",C265))+ISNUMBER(SEARCH("Presidente",C265))+ISNUMBER(SEARCH("President",C265))&gt;0,'Configuración'!$B$31,IF(ISNUMBER(SEARCH("CMO",C265))+ISNUMBER(SEARCH("Chief Marketing",C265))+ISNUMBER(SEARCH("VP Marketing",C265))+ISNUMBER(SEARCH("Director de Marketing",C265))+ISNUMBER(SEARCH("Director Marketing",C265))+ISNUMBER(SEARCH("Head of Marketing",C265))+ISNUMBER(SEARCH("Head Marketing",C265))&gt;0,'Configuración'!$B$32,IF(ISNUMBER(SEARCH("Marketing Manager",C265))+ISNUMBER(SEARCH("Gerente de Marketing",C265))+ISNUMBER(SEARCH("Growth Manager",C265))+ISNUMBER(SEARCH("Demand Gen",C265))+ISNUMBER(SEARCH("Marketing Lead",C265))&gt;0,'Configuración'!$B$33,IF(ISNUMBER(SEARCH("COO",C265))+ISNUMBER(SEARCH("CFO",C265))+ISNUMBER(SEARCH("CTO",C265))+ISNUMBER(SEARCH("Chief Operating",C265))+ISNUMBER(SEARCH("Chief Financial",C265))+ISNUMBER(SEARCH("Gerente General",C265))+ISNUMBER(SEARCH("General Manager",C265))&gt;0,'Configuración'!$B$34,'Configuración'!$B$35)))))</f>
        <v>12</v>
      </c>
      <c r="V265" s="38">
        <f>IF(B265="","",IF(K265="Sí",'Configuración'!$B$5,0)+IF(L265="Semanal",'Configuración'!$B$6,IF(L265="Mensual",'Configuración'!$B$7,0))+IF(M265="Sí",'Configuración'!$B$8,0)+IF(N265="Sí",'Configuración'!$B$9,0)+IF(O265="Sí",'Configuración'!$B$10,0)+IF(P265="Sí",'Configuración'!$B$11,0)+IF(Q265="Sí",'Configuración'!$B$12,0)+S265+T265+U265)</f>
        <v>36</v>
      </c>
      <c r="W265" s="39" t="str">
        <f>IF(B265="","",IF(V265&gt;='Configuración'!$B$19,"A",IF(V265&gt;='Configuración'!$B$20,"B",IF(V265&gt;='Configuración'!$B$21,"C","Descarte"))))</f>
        <v>C</v>
      </c>
    </row>
    <row r="266" ht="15.75" customHeight="1">
      <c r="A266" s="34">
        <f t="shared" si="1"/>
        <v>264</v>
      </c>
      <c r="B266" s="29" t="s">
        <v>556</v>
      </c>
      <c r="C266" s="29" t="s">
        <v>202</v>
      </c>
      <c r="D266" s="29" t="s">
        <v>1754</v>
      </c>
      <c r="E266" s="29" t="s">
        <v>1755</v>
      </c>
      <c r="F266" s="30" t="s">
        <v>1756</v>
      </c>
      <c r="G266" s="30" t="s">
        <v>1757</v>
      </c>
      <c r="H266" s="30" t="s">
        <v>1758</v>
      </c>
      <c r="I266" s="29" t="s">
        <v>310</v>
      </c>
      <c r="J266" s="31">
        <v>3.0</v>
      </c>
      <c r="K266" s="35"/>
      <c r="L266" s="35"/>
      <c r="M266" s="35"/>
      <c r="N266" s="35"/>
      <c r="O266" s="35"/>
      <c r="P266" s="35"/>
      <c r="Q266" s="35"/>
      <c r="R266" s="35"/>
      <c r="S266" s="37">
        <f>IF(B266="","",IF(ISNUMBER(J266),IF(J266&lt;=10,'Configuración'!$B$23,IF(J266&lt;=50,'Configuración'!$B$24,IF(J266&lt;=200,'Configuración'!$B$25,0))),0))</f>
        <v>12</v>
      </c>
      <c r="T266" s="37">
        <f>IF(B266="","",IF(ISNUMBER(SEARCH("information technology",I266))+ISNUMBER(SEARCH("software",I266))+ISNUMBER(SEARCH("internet",I266))+ISNUMBER(SEARCH("computer",I266))+ISNUMBER(SEARCH("saas",I266))+ISNUMBER(SEARCH("fintech",I266))+ISNUMBER(SEARCH("information services",I266))+ISNUMBER(SEARCH("telecommunications",I266))&gt;0,'Configuración'!$B$27,'Configuración'!$B$28))</f>
        <v>4</v>
      </c>
      <c r="U266" s="25">
        <f>IF(B266="","",IF(ISNUMBER(SEARCH("CEO",C266))+ISNUMBER(SEARCH("Founder",C266))+ISNUMBER(SEARCH("Owner",C266))+ISNUMBER(SEARCH("Dueño",C266))+ISNUMBER(SEARCH("Director General",C266))+ISNUMBER(SEARCH("Presidente",C266))+ISNUMBER(SEARCH("President",C266))&gt;0,'Configuración'!$B$31,IF(ISNUMBER(SEARCH("CMO",C266))+ISNUMBER(SEARCH("Chief Marketing",C266))+ISNUMBER(SEARCH("VP Marketing",C266))+ISNUMBER(SEARCH("Director de Marketing",C266))+ISNUMBER(SEARCH("Director Marketing",C266))+ISNUMBER(SEARCH("Head of Marketing",C266))+ISNUMBER(SEARCH("Head Marketing",C266))&gt;0,'Configuración'!$B$32,IF(ISNUMBER(SEARCH("Marketing Manager",C266))+ISNUMBER(SEARCH("Gerente de Marketing",C266))+ISNUMBER(SEARCH("Growth Manager",C266))+ISNUMBER(SEARCH("Demand Gen",C266))+ISNUMBER(SEARCH("Marketing Lead",C266))&gt;0,'Configuración'!$B$33,IF(ISNUMBER(SEARCH("COO",C266))+ISNUMBER(SEARCH("CFO",C266))+ISNUMBER(SEARCH("CTO",C266))+ISNUMBER(SEARCH("Chief Operating",C266))+ISNUMBER(SEARCH("Chief Financial",C266))+ISNUMBER(SEARCH("Gerente General",C266))+ISNUMBER(SEARCH("General Manager",C266))&gt;0,'Configuración'!$B$34,'Configuración'!$B$35)))))</f>
        <v>12</v>
      </c>
      <c r="V266" s="38">
        <f>IF(B266="","",IF(K266="Sí",'Configuración'!$B$5,0)+IF(L266="Semanal",'Configuración'!$B$6,IF(L266="Mensual",'Configuración'!$B$7,0))+IF(M266="Sí",'Configuración'!$B$8,0)+IF(N266="Sí",'Configuración'!$B$9,0)+IF(O266="Sí",'Configuración'!$B$10,0)+IF(P266="Sí",'Configuración'!$B$11,0)+IF(Q266="Sí",'Configuración'!$B$12,0)+S266+T266+U266)</f>
        <v>28</v>
      </c>
      <c r="W266" s="39" t="str">
        <f>IF(B266="","",IF(V266&gt;='Configuración'!$B$19,"A",IF(V266&gt;='Configuración'!$B$20,"B",IF(V266&gt;='Configuración'!$B$21,"C","Descarte"))))</f>
        <v>C</v>
      </c>
    </row>
    <row r="267" ht="15.75" customHeight="1">
      <c r="A267" s="34">
        <f t="shared" si="1"/>
        <v>265</v>
      </c>
      <c r="B267" s="29" t="s">
        <v>1759</v>
      </c>
      <c r="C267" s="29" t="s">
        <v>1760</v>
      </c>
      <c r="D267" s="29" t="s">
        <v>1761</v>
      </c>
      <c r="E267" s="29" t="s">
        <v>1762</v>
      </c>
      <c r="F267" s="30" t="s">
        <v>1763</v>
      </c>
      <c r="G267" s="30" t="s">
        <v>1764</v>
      </c>
      <c r="H267" s="30" t="s">
        <v>1765</v>
      </c>
      <c r="I267" s="29" t="s">
        <v>310</v>
      </c>
      <c r="J267" s="31">
        <v>5.0</v>
      </c>
      <c r="K267" s="35"/>
      <c r="L267" s="35"/>
      <c r="M267" s="35"/>
      <c r="N267" s="35"/>
      <c r="O267" s="35"/>
      <c r="P267" s="35"/>
      <c r="Q267" s="35"/>
      <c r="R267" s="35"/>
      <c r="S267" s="37">
        <f>IF(B267="","",IF(ISNUMBER(J267),IF(J267&lt;=10,'Configuración'!$B$23,IF(J267&lt;=50,'Configuración'!$B$24,IF(J267&lt;=200,'Configuración'!$B$25,0))),0))</f>
        <v>12</v>
      </c>
      <c r="T267" s="37">
        <f>IF(B267="","",IF(ISNUMBER(SEARCH("information technology",I267))+ISNUMBER(SEARCH("software",I267))+ISNUMBER(SEARCH("internet",I267))+ISNUMBER(SEARCH("computer",I267))+ISNUMBER(SEARCH("saas",I267))+ISNUMBER(SEARCH("fintech",I267))+ISNUMBER(SEARCH("information services",I267))+ISNUMBER(SEARCH("telecommunications",I267))&gt;0,'Configuración'!$B$27,'Configuración'!$B$28))</f>
        <v>4</v>
      </c>
      <c r="U267" s="25">
        <f>IF(B267="","",IF(ISNUMBER(SEARCH("CEO",C267))+ISNUMBER(SEARCH("Founder",C267))+ISNUMBER(SEARCH("Owner",C267))+ISNUMBER(SEARCH("Dueño",C267))+ISNUMBER(SEARCH("Director General",C267))+ISNUMBER(SEARCH("Presidente",C267))+ISNUMBER(SEARCH("President",C267))&gt;0,'Configuración'!$B$31,IF(ISNUMBER(SEARCH("CMO",C267))+ISNUMBER(SEARCH("Chief Marketing",C267))+ISNUMBER(SEARCH("VP Marketing",C267))+ISNUMBER(SEARCH("Director de Marketing",C267))+ISNUMBER(SEARCH("Director Marketing",C267))+ISNUMBER(SEARCH("Head of Marketing",C267))+ISNUMBER(SEARCH("Head Marketing",C267))&gt;0,'Configuración'!$B$32,IF(ISNUMBER(SEARCH("Marketing Manager",C267))+ISNUMBER(SEARCH("Gerente de Marketing",C267))+ISNUMBER(SEARCH("Growth Manager",C267))+ISNUMBER(SEARCH("Demand Gen",C267))+ISNUMBER(SEARCH("Marketing Lead",C267))&gt;0,'Configuración'!$B$33,IF(ISNUMBER(SEARCH("COO",C267))+ISNUMBER(SEARCH("CFO",C267))+ISNUMBER(SEARCH("CTO",C267))+ISNUMBER(SEARCH("Chief Operating",C267))+ISNUMBER(SEARCH("Chief Financial",C267))+ISNUMBER(SEARCH("Gerente General",C267))+ISNUMBER(SEARCH("General Manager",C267))&gt;0,'Configuración'!$B$34,'Configuración'!$B$35)))))</f>
        <v>12</v>
      </c>
      <c r="V267" s="38">
        <f>IF(B267="","",IF(K267="Sí",'Configuración'!$B$5,0)+IF(L267="Semanal",'Configuración'!$B$6,IF(L267="Mensual",'Configuración'!$B$7,0))+IF(M267="Sí",'Configuración'!$B$8,0)+IF(N267="Sí",'Configuración'!$B$9,0)+IF(O267="Sí",'Configuración'!$B$10,0)+IF(P267="Sí",'Configuración'!$B$11,0)+IF(Q267="Sí",'Configuración'!$B$12,0)+S267+T267+U267)</f>
        <v>28</v>
      </c>
      <c r="W267" s="39" t="str">
        <f>IF(B267="","",IF(V267&gt;='Configuración'!$B$19,"A",IF(V267&gt;='Configuración'!$B$20,"B",IF(V267&gt;='Configuración'!$B$21,"C","Descarte"))))</f>
        <v>C</v>
      </c>
    </row>
    <row r="268" ht="15.75" customHeight="1">
      <c r="A268" s="34">
        <f t="shared" si="1"/>
        <v>266</v>
      </c>
      <c r="B268" s="29" t="s">
        <v>1766</v>
      </c>
      <c r="C268" s="29" t="s">
        <v>1767</v>
      </c>
      <c r="D268" s="29" t="s">
        <v>1768</v>
      </c>
      <c r="E268" s="29" t="s">
        <v>1769</v>
      </c>
      <c r="F268" s="30" t="s">
        <v>1770</v>
      </c>
      <c r="G268" s="30" t="s">
        <v>1771</v>
      </c>
      <c r="H268" s="30" t="s">
        <v>1772</v>
      </c>
      <c r="I268" s="29" t="s">
        <v>1356</v>
      </c>
      <c r="J268" s="31">
        <v>24.0</v>
      </c>
      <c r="K268" s="35"/>
      <c r="L268" s="35"/>
      <c r="M268" s="35"/>
      <c r="N268" s="35"/>
      <c r="O268" s="35"/>
      <c r="P268" s="35"/>
      <c r="Q268" s="35"/>
      <c r="R268" s="35"/>
      <c r="S268" s="37">
        <f>IF(B268="","",IF(ISNUMBER(J268),IF(J268&lt;=10,'Configuración'!$B$23,IF(J268&lt;=50,'Configuración'!$B$24,IF(J268&lt;=200,'Configuración'!$B$25,0))),0))</f>
        <v>4</v>
      </c>
      <c r="T268" s="37">
        <f>IF(B268="","",IF(ISNUMBER(SEARCH("information technology",I268))+ISNUMBER(SEARCH("software",I268))+ISNUMBER(SEARCH("internet",I268))+ISNUMBER(SEARCH("computer",I268))+ISNUMBER(SEARCH("saas",I268))+ISNUMBER(SEARCH("fintech",I268))+ISNUMBER(SEARCH("information services",I268))+ISNUMBER(SEARCH("telecommunications",I268))&gt;0,'Configuración'!$B$27,'Configuración'!$B$28))</f>
        <v>4</v>
      </c>
      <c r="U268" s="25">
        <f>IF(B268="","",IF(ISNUMBER(SEARCH("CEO",C268))+ISNUMBER(SEARCH("Founder",C268))+ISNUMBER(SEARCH("Owner",C268))+ISNUMBER(SEARCH("Dueño",C268))+ISNUMBER(SEARCH("Director General",C268))+ISNUMBER(SEARCH("Presidente",C268))+ISNUMBER(SEARCH("President",C268))&gt;0,'Configuración'!$B$31,IF(ISNUMBER(SEARCH("CMO",C268))+ISNUMBER(SEARCH("Chief Marketing",C268))+ISNUMBER(SEARCH("VP Marketing",C268))+ISNUMBER(SEARCH("Director de Marketing",C268))+ISNUMBER(SEARCH("Director Marketing",C268))+ISNUMBER(SEARCH("Head of Marketing",C268))+ISNUMBER(SEARCH("Head Marketing",C268))&gt;0,'Configuración'!$B$32,IF(ISNUMBER(SEARCH("Marketing Manager",C268))+ISNUMBER(SEARCH("Gerente de Marketing",C268))+ISNUMBER(SEARCH("Growth Manager",C268))+ISNUMBER(SEARCH("Demand Gen",C268))+ISNUMBER(SEARCH("Marketing Lead",C268))&gt;0,'Configuración'!$B$33,IF(ISNUMBER(SEARCH("COO",C268))+ISNUMBER(SEARCH("CFO",C268))+ISNUMBER(SEARCH("CTO",C268))+ISNUMBER(SEARCH("Chief Operating",C268))+ISNUMBER(SEARCH("Chief Financial",C268))+ISNUMBER(SEARCH("Gerente General",C268))+ISNUMBER(SEARCH("General Manager",C268))&gt;0,'Configuración'!$B$34,'Configuración'!$B$35)))))</f>
        <v>4</v>
      </c>
      <c r="V268" s="38">
        <f>IF(B268="","",IF(K268="Sí",'Configuración'!$B$5,0)+IF(L268="Semanal",'Configuración'!$B$6,IF(L268="Mensual",'Configuración'!$B$7,0))+IF(M268="Sí",'Configuración'!$B$8,0)+IF(N268="Sí",'Configuración'!$B$9,0)+IF(O268="Sí",'Configuración'!$B$10,0)+IF(P268="Sí",'Configuración'!$B$11,0)+IF(Q268="Sí",'Configuración'!$B$12,0)+S268+T268+U268)</f>
        <v>12</v>
      </c>
      <c r="W268" s="39" t="str">
        <f>IF(B268="","",IF(V268&gt;='Configuración'!$B$19,"A",IF(V268&gt;='Configuración'!$B$20,"B",IF(V268&gt;='Configuración'!$B$21,"C","Descarte"))))</f>
        <v>Descarte</v>
      </c>
    </row>
    <row r="269" ht="15.75" customHeight="1">
      <c r="A269" s="34">
        <f t="shared" si="1"/>
        <v>267</v>
      </c>
      <c r="B269" s="29" t="s">
        <v>1623</v>
      </c>
      <c r="C269" s="29" t="s">
        <v>131</v>
      </c>
      <c r="D269" s="29" t="s">
        <v>1773</v>
      </c>
      <c r="E269" s="29" t="s">
        <v>1774</v>
      </c>
      <c r="F269" s="30" t="s">
        <v>1775</v>
      </c>
      <c r="G269" s="30" t="s">
        <v>1776</v>
      </c>
      <c r="H269" s="30" t="s">
        <v>1777</v>
      </c>
      <c r="I269" s="29" t="s">
        <v>127</v>
      </c>
      <c r="J269" s="31">
        <v>17.0</v>
      </c>
      <c r="K269" s="35"/>
      <c r="L269" s="35"/>
      <c r="M269" s="35"/>
      <c r="N269" s="35"/>
      <c r="O269" s="35"/>
      <c r="P269" s="35"/>
      <c r="Q269" s="35"/>
      <c r="R269" s="35"/>
      <c r="S269" s="37">
        <f>IF(B269="","",IF(ISNUMBER(J269),IF(J269&lt;=10,'Configuración'!$B$23,IF(J269&lt;=50,'Configuración'!$B$24,IF(J269&lt;=200,'Configuración'!$B$25,0))),0))</f>
        <v>4</v>
      </c>
      <c r="T269" s="37">
        <f>IF(B269="","",IF(ISNUMBER(SEARCH("information technology",I269))+ISNUMBER(SEARCH("software",I269))+ISNUMBER(SEARCH("internet",I269))+ISNUMBER(SEARCH("computer",I269))+ISNUMBER(SEARCH("saas",I269))+ISNUMBER(SEARCH("fintech",I269))+ISNUMBER(SEARCH("information services",I269))+ISNUMBER(SEARCH("telecommunications",I269))&gt;0,'Configuración'!$B$27,'Configuración'!$B$28))</f>
        <v>12</v>
      </c>
      <c r="U269" s="25">
        <f>IF(B269="","",IF(ISNUMBER(SEARCH("CEO",C269))+ISNUMBER(SEARCH("Founder",C269))+ISNUMBER(SEARCH("Owner",C269))+ISNUMBER(SEARCH("Dueño",C269))+ISNUMBER(SEARCH("Director General",C269))+ISNUMBER(SEARCH("Presidente",C269))+ISNUMBER(SEARCH("President",C269))&gt;0,'Configuración'!$B$31,IF(ISNUMBER(SEARCH("CMO",C269))+ISNUMBER(SEARCH("Chief Marketing",C269))+ISNUMBER(SEARCH("VP Marketing",C269))+ISNUMBER(SEARCH("Director de Marketing",C269))+ISNUMBER(SEARCH("Director Marketing",C269))+ISNUMBER(SEARCH("Head of Marketing",C269))+ISNUMBER(SEARCH("Head Marketing",C269))&gt;0,'Configuración'!$B$32,IF(ISNUMBER(SEARCH("Marketing Manager",C269))+ISNUMBER(SEARCH("Gerente de Marketing",C269))+ISNUMBER(SEARCH("Growth Manager",C269))+ISNUMBER(SEARCH("Demand Gen",C269))+ISNUMBER(SEARCH("Marketing Lead",C269))&gt;0,'Configuración'!$B$33,IF(ISNUMBER(SEARCH("COO",C269))+ISNUMBER(SEARCH("CFO",C269))+ISNUMBER(SEARCH("CTO",C269))+ISNUMBER(SEARCH("Chief Operating",C269))+ISNUMBER(SEARCH("Chief Financial",C269))+ISNUMBER(SEARCH("Gerente General",C269))+ISNUMBER(SEARCH("General Manager",C269))&gt;0,'Configuración'!$B$34,'Configuración'!$B$35)))))</f>
        <v>12</v>
      </c>
      <c r="V269" s="38">
        <f>IF(B269="","",IF(K269="Sí",'Configuración'!$B$5,0)+IF(L269="Semanal",'Configuración'!$B$6,IF(L269="Mensual",'Configuración'!$B$7,0))+IF(M269="Sí",'Configuración'!$B$8,0)+IF(N269="Sí",'Configuración'!$B$9,0)+IF(O269="Sí",'Configuración'!$B$10,0)+IF(P269="Sí",'Configuración'!$B$11,0)+IF(Q269="Sí",'Configuración'!$B$12,0)+S269+T269+U269)</f>
        <v>28</v>
      </c>
      <c r="W269" s="39" t="str">
        <f>IF(B269="","",IF(V269&gt;='Configuración'!$B$19,"A",IF(V269&gt;='Configuración'!$B$20,"B",IF(V269&gt;='Configuración'!$B$21,"C","Descarte"))))</f>
        <v>C</v>
      </c>
    </row>
    <row r="270" ht="15.75" customHeight="1">
      <c r="A270" s="34">
        <f t="shared" si="1"/>
        <v>268</v>
      </c>
      <c r="B270" s="29" t="s">
        <v>1778</v>
      </c>
      <c r="C270" s="29" t="s">
        <v>1779</v>
      </c>
      <c r="D270" s="29" t="s">
        <v>1780</v>
      </c>
      <c r="E270" s="29" t="s">
        <v>1781</v>
      </c>
      <c r="F270" s="30" t="s">
        <v>1782</v>
      </c>
      <c r="G270" s="30" t="s">
        <v>1783</v>
      </c>
      <c r="H270" s="30" t="s">
        <v>1784</v>
      </c>
      <c r="I270" s="29" t="s">
        <v>1785</v>
      </c>
      <c r="J270" s="31">
        <v>15.0</v>
      </c>
      <c r="K270" s="35"/>
      <c r="L270" s="35"/>
      <c r="M270" s="35"/>
      <c r="N270" s="35"/>
      <c r="O270" s="35"/>
      <c r="P270" s="35"/>
      <c r="Q270" s="35"/>
      <c r="R270" s="35"/>
      <c r="S270" s="37">
        <f>IF(B270="","",IF(ISNUMBER(J270),IF(J270&lt;=10,'Configuración'!$B$23,IF(J270&lt;=50,'Configuración'!$B$24,IF(J270&lt;=200,'Configuración'!$B$25,0))),0))</f>
        <v>4</v>
      </c>
      <c r="T270" s="37">
        <f>IF(B270="","",IF(ISNUMBER(SEARCH("information technology",I270))+ISNUMBER(SEARCH("software",I270))+ISNUMBER(SEARCH("internet",I270))+ISNUMBER(SEARCH("computer",I270))+ISNUMBER(SEARCH("saas",I270))+ISNUMBER(SEARCH("fintech",I270))+ISNUMBER(SEARCH("information services",I270))+ISNUMBER(SEARCH("telecommunications",I270))&gt;0,'Configuración'!$B$27,'Configuración'!$B$28))</f>
        <v>4</v>
      </c>
      <c r="U270" s="25">
        <f>IF(B270="","",IF(ISNUMBER(SEARCH("CEO",C270))+ISNUMBER(SEARCH("Founder",C270))+ISNUMBER(SEARCH("Owner",C270))+ISNUMBER(SEARCH("Dueño",C270))+ISNUMBER(SEARCH("Director General",C270))+ISNUMBER(SEARCH("Presidente",C270))+ISNUMBER(SEARCH("President",C270))&gt;0,'Configuración'!$B$31,IF(ISNUMBER(SEARCH("CMO",C270))+ISNUMBER(SEARCH("Chief Marketing",C270))+ISNUMBER(SEARCH("VP Marketing",C270))+ISNUMBER(SEARCH("Director de Marketing",C270))+ISNUMBER(SEARCH("Director Marketing",C270))+ISNUMBER(SEARCH("Head of Marketing",C270))+ISNUMBER(SEARCH("Head Marketing",C270))&gt;0,'Configuración'!$B$32,IF(ISNUMBER(SEARCH("Marketing Manager",C270))+ISNUMBER(SEARCH("Gerente de Marketing",C270))+ISNUMBER(SEARCH("Growth Manager",C270))+ISNUMBER(SEARCH("Demand Gen",C270))+ISNUMBER(SEARCH("Marketing Lead",C270))&gt;0,'Configuración'!$B$33,IF(ISNUMBER(SEARCH("COO",C270))+ISNUMBER(SEARCH("CFO",C270))+ISNUMBER(SEARCH("CTO",C270))+ISNUMBER(SEARCH("Chief Operating",C270))+ISNUMBER(SEARCH("Chief Financial",C270))+ISNUMBER(SEARCH("Gerente General",C270))+ISNUMBER(SEARCH("General Manager",C270))&gt;0,'Configuración'!$B$34,'Configuración'!$B$35)))))</f>
        <v>0</v>
      </c>
      <c r="V270" s="38">
        <f>IF(B270="","",IF(K270="Sí",'Configuración'!$B$5,0)+IF(L270="Semanal",'Configuración'!$B$6,IF(L270="Mensual",'Configuración'!$B$7,0))+IF(M270="Sí",'Configuración'!$B$8,0)+IF(N270="Sí",'Configuración'!$B$9,0)+IF(O270="Sí",'Configuración'!$B$10,0)+IF(P270="Sí",'Configuración'!$B$11,0)+IF(Q270="Sí",'Configuración'!$B$12,0)+S270+T270+U270)</f>
        <v>8</v>
      </c>
      <c r="W270" s="39" t="str">
        <f>IF(B270="","",IF(V270&gt;='Configuración'!$B$19,"A",IF(V270&gt;='Configuración'!$B$20,"B",IF(V270&gt;='Configuración'!$B$21,"C","Descarte"))))</f>
        <v>Descarte</v>
      </c>
    </row>
    <row r="271" ht="15.75" customHeight="1">
      <c r="A271" s="34">
        <f t="shared" si="1"/>
        <v>269</v>
      </c>
      <c r="B271" s="29" t="s">
        <v>725</v>
      </c>
      <c r="C271" s="29" t="s">
        <v>597</v>
      </c>
      <c r="D271" s="29" t="s">
        <v>1786</v>
      </c>
      <c r="E271" s="29" t="s">
        <v>1787</v>
      </c>
      <c r="F271" s="30" t="s">
        <v>1788</v>
      </c>
      <c r="G271" s="30" t="s">
        <v>1789</v>
      </c>
      <c r="H271" s="30" t="s">
        <v>1790</v>
      </c>
      <c r="I271" s="29" t="s">
        <v>127</v>
      </c>
      <c r="J271" s="31">
        <v>19.0</v>
      </c>
      <c r="K271" s="35"/>
      <c r="L271" s="35"/>
      <c r="M271" s="35"/>
      <c r="N271" s="35"/>
      <c r="O271" s="35"/>
      <c r="P271" s="35"/>
      <c r="Q271" s="35"/>
      <c r="R271" s="35"/>
      <c r="S271" s="37">
        <f>IF(B271="","",IF(ISNUMBER(J271),IF(J271&lt;=10,'Configuración'!$B$23,IF(J271&lt;=50,'Configuración'!$B$24,IF(J271&lt;=200,'Configuración'!$B$25,0))),0))</f>
        <v>4</v>
      </c>
      <c r="T271" s="37">
        <f>IF(B271="","",IF(ISNUMBER(SEARCH("information technology",I271))+ISNUMBER(SEARCH("software",I271))+ISNUMBER(SEARCH("internet",I271))+ISNUMBER(SEARCH("computer",I271))+ISNUMBER(SEARCH("saas",I271))+ISNUMBER(SEARCH("fintech",I271))+ISNUMBER(SEARCH("information services",I271))+ISNUMBER(SEARCH("telecommunications",I271))&gt;0,'Configuración'!$B$27,'Configuración'!$B$28))</f>
        <v>12</v>
      </c>
      <c r="U271" s="25">
        <f>IF(B271="","",IF(ISNUMBER(SEARCH("CEO",C271))+ISNUMBER(SEARCH("Founder",C271))+ISNUMBER(SEARCH("Owner",C271))+ISNUMBER(SEARCH("Dueño",C271))+ISNUMBER(SEARCH("Director General",C271))+ISNUMBER(SEARCH("Presidente",C271))+ISNUMBER(SEARCH("President",C271))&gt;0,'Configuración'!$B$31,IF(ISNUMBER(SEARCH("CMO",C271))+ISNUMBER(SEARCH("Chief Marketing",C271))+ISNUMBER(SEARCH("VP Marketing",C271))+ISNUMBER(SEARCH("Director de Marketing",C271))+ISNUMBER(SEARCH("Director Marketing",C271))+ISNUMBER(SEARCH("Head of Marketing",C271))+ISNUMBER(SEARCH("Head Marketing",C271))&gt;0,'Configuración'!$B$32,IF(ISNUMBER(SEARCH("Marketing Manager",C271))+ISNUMBER(SEARCH("Gerente de Marketing",C271))+ISNUMBER(SEARCH("Growth Manager",C271))+ISNUMBER(SEARCH("Demand Gen",C271))+ISNUMBER(SEARCH("Marketing Lead",C271))&gt;0,'Configuración'!$B$33,IF(ISNUMBER(SEARCH("COO",C271))+ISNUMBER(SEARCH("CFO",C271))+ISNUMBER(SEARCH("CTO",C271))+ISNUMBER(SEARCH("Chief Operating",C271))+ISNUMBER(SEARCH("Chief Financial",C271))+ISNUMBER(SEARCH("Gerente General",C271))+ISNUMBER(SEARCH("General Manager",C271))&gt;0,'Configuración'!$B$34,'Configuración'!$B$35)))))</f>
        <v>12</v>
      </c>
      <c r="V271" s="38">
        <f>IF(B271="","",IF(K271="Sí",'Configuración'!$B$5,0)+IF(L271="Semanal",'Configuración'!$B$6,IF(L271="Mensual",'Configuración'!$B$7,0))+IF(M271="Sí",'Configuración'!$B$8,0)+IF(N271="Sí",'Configuración'!$B$9,0)+IF(O271="Sí",'Configuración'!$B$10,0)+IF(P271="Sí",'Configuración'!$B$11,0)+IF(Q271="Sí",'Configuración'!$B$12,0)+S271+T271+U271)</f>
        <v>28</v>
      </c>
      <c r="W271" s="39" t="str">
        <f>IF(B271="","",IF(V271&gt;='Configuración'!$B$19,"A",IF(V271&gt;='Configuración'!$B$20,"B",IF(V271&gt;='Configuración'!$B$21,"C","Descarte"))))</f>
        <v>C</v>
      </c>
    </row>
    <row r="272" ht="15.75" customHeight="1">
      <c r="A272" s="34">
        <f t="shared" si="1"/>
        <v>270</v>
      </c>
      <c r="B272" s="29" t="s">
        <v>1227</v>
      </c>
      <c r="C272" s="29" t="s">
        <v>131</v>
      </c>
      <c r="D272" s="29" t="s">
        <v>1791</v>
      </c>
      <c r="E272" s="29" t="s">
        <v>1792</v>
      </c>
      <c r="F272" s="30" t="s">
        <v>1793</v>
      </c>
      <c r="G272" s="30" t="s">
        <v>1794</v>
      </c>
      <c r="H272" s="30" t="s">
        <v>1795</v>
      </c>
      <c r="I272" s="29" t="s">
        <v>127</v>
      </c>
      <c r="J272" s="31">
        <v>23.0</v>
      </c>
      <c r="K272" s="35"/>
      <c r="L272" s="35"/>
      <c r="M272" s="35"/>
      <c r="N272" s="35"/>
      <c r="O272" s="35"/>
      <c r="P272" s="35"/>
      <c r="Q272" s="35"/>
      <c r="R272" s="35"/>
      <c r="S272" s="37">
        <f>IF(B272="","",IF(ISNUMBER(J272),IF(J272&lt;=10,'Configuración'!$B$23,IF(J272&lt;=50,'Configuración'!$B$24,IF(J272&lt;=200,'Configuración'!$B$25,0))),0))</f>
        <v>4</v>
      </c>
      <c r="T272" s="37">
        <f>IF(B272="","",IF(ISNUMBER(SEARCH("information technology",I272))+ISNUMBER(SEARCH("software",I272))+ISNUMBER(SEARCH("internet",I272))+ISNUMBER(SEARCH("computer",I272))+ISNUMBER(SEARCH("saas",I272))+ISNUMBER(SEARCH("fintech",I272))+ISNUMBER(SEARCH("information services",I272))+ISNUMBER(SEARCH("telecommunications",I272))&gt;0,'Configuración'!$B$27,'Configuración'!$B$28))</f>
        <v>12</v>
      </c>
      <c r="U272" s="25">
        <f>IF(B272="","",IF(ISNUMBER(SEARCH("CEO",C272))+ISNUMBER(SEARCH("Founder",C272))+ISNUMBER(SEARCH("Owner",C272))+ISNUMBER(SEARCH("Dueño",C272))+ISNUMBER(SEARCH("Director General",C272))+ISNUMBER(SEARCH("Presidente",C272))+ISNUMBER(SEARCH("President",C272))&gt;0,'Configuración'!$B$31,IF(ISNUMBER(SEARCH("CMO",C272))+ISNUMBER(SEARCH("Chief Marketing",C272))+ISNUMBER(SEARCH("VP Marketing",C272))+ISNUMBER(SEARCH("Director de Marketing",C272))+ISNUMBER(SEARCH("Director Marketing",C272))+ISNUMBER(SEARCH("Head of Marketing",C272))+ISNUMBER(SEARCH("Head Marketing",C272))&gt;0,'Configuración'!$B$32,IF(ISNUMBER(SEARCH("Marketing Manager",C272))+ISNUMBER(SEARCH("Gerente de Marketing",C272))+ISNUMBER(SEARCH("Growth Manager",C272))+ISNUMBER(SEARCH("Demand Gen",C272))+ISNUMBER(SEARCH("Marketing Lead",C272))&gt;0,'Configuración'!$B$33,IF(ISNUMBER(SEARCH("COO",C272))+ISNUMBER(SEARCH("CFO",C272))+ISNUMBER(SEARCH("CTO",C272))+ISNUMBER(SEARCH("Chief Operating",C272))+ISNUMBER(SEARCH("Chief Financial",C272))+ISNUMBER(SEARCH("Gerente General",C272))+ISNUMBER(SEARCH("General Manager",C272))&gt;0,'Configuración'!$B$34,'Configuración'!$B$35)))))</f>
        <v>12</v>
      </c>
      <c r="V272" s="38">
        <f>IF(B272="","",IF(K272="Sí",'Configuración'!$B$5,0)+IF(L272="Semanal",'Configuración'!$B$6,IF(L272="Mensual",'Configuración'!$B$7,0))+IF(M272="Sí",'Configuración'!$B$8,0)+IF(N272="Sí",'Configuración'!$B$9,0)+IF(O272="Sí",'Configuración'!$B$10,0)+IF(P272="Sí",'Configuración'!$B$11,0)+IF(Q272="Sí",'Configuración'!$B$12,0)+S272+T272+U272)</f>
        <v>28</v>
      </c>
      <c r="W272" s="39" t="str">
        <f>IF(B272="","",IF(V272&gt;='Configuración'!$B$19,"A",IF(V272&gt;='Configuración'!$B$20,"B",IF(V272&gt;='Configuración'!$B$21,"C","Descarte"))))</f>
        <v>C</v>
      </c>
    </row>
    <row r="273" ht="15.75" customHeight="1">
      <c r="A273" s="34">
        <f t="shared" si="1"/>
        <v>271</v>
      </c>
      <c r="B273" s="29" t="s">
        <v>138</v>
      </c>
      <c r="C273" s="29" t="s">
        <v>1796</v>
      </c>
      <c r="D273" s="29" t="s">
        <v>1797</v>
      </c>
      <c r="E273" s="29" t="s">
        <v>1798</v>
      </c>
      <c r="F273" s="30" t="s">
        <v>1799</v>
      </c>
      <c r="G273" s="30" t="s">
        <v>1800</v>
      </c>
      <c r="H273" s="30" t="s">
        <v>1801</v>
      </c>
      <c r="I273" s="29" t="s">
        <v>145</v>
      </c>
      <c r="J273" s="31">
        <v>7.0</v>
      </c>
      <c r="K273" s="35"/>
      <c r="L273" s="35"/>
      <c r="M273" s="35"/>
      <c r="N273" s="35"/>
      <c r="O273" s="35"/>
      <c r="P273" s="35"/>
      <c r="Q273" s="35"/>
      <c r="R273" s="35"/>
      <c r="S273" s="37">
        <f>IF(B273="","",IF(ISNUMBER(J273),IF(J273&lt;=10,'Configuración'!$B$23,IF(J273&lt;=50,'Configuración'!$B$24,IF(J273&lt;=200,'Configuración'!$B$25,0))),0))</f>
        <v>12</v>
      </c>
      <c r="T273" s="37">
        <f>IF(B273="","",IF(ISNUMBER(SEARCH("information technology",I273))+ISNUMBER(SEARCH("software",I273))+ISNUMBER(SEARCH("internet",I273))+ISNUMBER(SEARCH("computer",I273))+ISNUMBER(SEARCH("saas",I273))+ISNUMBER(SEARCH("fintech",I273))+ISNUMBER(SEARCH("information services",I273))+ISNUMBER(SEARCH("telecommunications",I273))&gt;0,'Configuración'!$B$27,'Configuración'!$B$28))</f>
        <v>4</v>
      </c>
      <c r="U273" s="25">
        <f>IF(B273="","",IF(ISNUMBER(SEARCH("CEO",C273))+ISNUMBER(SEARCH("Founder",C273))+ISNUMBER(SEARCH("Owner",C273))+ISNUMBER(SEARCH("Dueño",C273))+ISNUMBER(SEARCH("Director General",C273))+ISNUMBER(SEARCH("Presidente",C273))+ISNUMBER(SEARCH("President",C273))&gt;0,'Configuración'!$B$31,IF(ISNUMBER(SEARCH("CMO",C273))+ISNUMBER(SEARCH("Chief Marketing",C273))+ISNUMBER(SEARCH("VP Marketing",C273))+ISNUMBER(SEARCH("Director de Marketing",C273))+ISNUMBER(SEARCH("Director Marketing",C273))+ISNUMBER(SEARCH("Head of Marketing",C273))+ISNUMBER(SEARCH("Head Marketing",C273))&gt;0,'Configuración'!$B$32,IF(ISNUMBER(SEARCH("Marketing Manager",C273))+ISNUMBER(SEARCH("Gerente de Marketing",C273))+ISNUMBER(SEARCH("Growth Manager",C273))+ISNUMBER(SEARCH("Demand Gen",C273))+ISNUMBER(SEARCH("Marketing Lead",C273))&gt;0,'Configuración'!$B$33,IF(ISNUMBER(SEARCH("COO",C273))+ISNUMBER(SEARCH("CFO",C273))+ISNUMBER(SEARCH("CTO",C273))+ISNUMBER(SEARCH("Chief Operating",C273))+ISNUMBER(SEARCH("Chief Financial",C273))+ISNUMBER(SEARCH("Gerente General",C273))+ISNUMBER(SEARCH("General Manager",C273))&gt;0,'Configuración'!$B$34,'Configuración'!$B$35)))))</f>
        <v>12</v>
      </c>
      <c r="V273" s="38">
        <f>IF(B273="","",IF(K273="Sí",'Configuración'!$B$5,0)+IF(L273="Semanal",'Configuración'!$B$6,IF(L273="Mensual",'Configuración'!$B$7,0))+IF(M273="Sí",'Configuración'!$B$8,0)+IF(N273="Sí",'Configuración'!$B$9,0)+IF(O273="Sí",'Configuración'!$B$10,0)+IF(P273="Sí",'Configuración'!$B$11,0)+IF(Q273="Sí",'Configuración'!$B$12,0)+S273+T273+U273)</f>
        <v>28</v>
      </c>
      <c r="W273" s="39" t="str">
        <f>IF(B273="","",IF(V273&gt;='Configuración'!$B$19,"A",IF(V273&gt;='Configuración'!$B$20,"B",IF(V273&gt;='Configuración'!$B$21,"C","Descarte"))))</f>
        <v>C</v>
      </c>
    </row>
    <row r="274" ht="15.75" customHeight="1">
      <c r="A274" s="34">
        <f t="shared" si="1"/>
        <v>272</v>
      </c>
      <c r="B274" s="29" t="s">
        <v>174</v>
      </c>
      <c r="C274" s="29" t="s">
        <v>152</v>
      </c>
      <c r="D274" s="29" t="s">
        <v>1802</v>
      </c>
      <c r="E274" s="29" t="s">
        <v>1803</v>
      </c>
      <c r="F274" s="30" t="s">
        <v>1804</v>
      </c>
      <c r="G274" s="30" t="s">
        <v>1805</v>
      </c>
      <c r="H274" s="30" t="s">
        <v>1806</v>
      </c>
      <c r="I274" s="29" t="s">
        <v>563</v>
      </c>
      <c r="J274" s="31">
        <v>3.0</v>
      </c>
      <c r="K274" s="35"/>
      <c r="L274" s="35"/>
      <c r="M274" s="35"/>
      <c r="N274" s="35"/>
      <c r="O274" s="35"/>
      <c r="P274" s="35"/>
      <c r="Q274" s="35"/>
      <c r="R274" s="35"/>
      <c r="S274" s="37">
        <f>IF(B274="","",IF(ISNUMBER(J274),IF(J274&lt;=10,'Configuración'!$B$23,IF(J274&lt;=50,'Configuración'!$B$24,IF(J274&lt;=200,'Configuración'!$B$25,0))),0))</f>
        <v>12</v>
      </c>
      <c r="T274" s="37">
        <f>IF(B274="","",IF(ISNUMBER(SEARCH("information technology",I274))+ISNUMBER(SEARCH("software",I274))+ISNUMBER(SEARCH("internet",I274))+ISNUMBER(SEARCH("computer",I274))+ISNUMBER(SEARCH("saas",I274))+ISNUMBER(SEARCH("fintech",I274))+ISNUMBER(SEARCH("information services",I274))+ISNUMBER(SEARCH("telecommunications",I274))&gt;0,'Configuración'!$B$27,'Configuración'!$B$28))</f>
        <v>4</v>
      </c>
      <c r="U274" s="25">
        <f>IF(B274="","",IF(ISNUMBER(SEARCH("CEO",C274))+ISNUMBER(SEARCH("Founder",C274))+ISNUMBER(SEARCH("Owner",C274))+ISNUMBER(SEARCH("Dueño",C274))+ISNUMBER(SEARCH("Director General",C274))+ISNUMBER(SEARCH("Presidente",C274))+ISNUMBER(SEARCH("President",C274))&gt;0,'Configuración'!$B$31,IF(ISNUMBER(SEARCH("CMO",C274))+ISNUMBER(SEARCH("Chief Marketing",C274))+ISNUMBER(SEARCH("VP Marketing",C274))+ISNUMBER(SEARCH("Director de Marketing",C274))+ISNUMBER(SEARCH("Director Marketing",C274))+ISNUMBER(SEARCH("Head of Marketing",C274))+ISNUMBER(SEARCH("Head Marketing",C274))&gt;0,'Configuración'!$B$32,IF(ISNUMBER(SEARCH("Marketing Manager",C274))+ISNUMBER(SEARCH("Gerente de Marketing",C274))+ISNUMBER(SEARCH("Growth Manager",C274))+ISNUMBER(SEARCH("Demand Gen",C274))+ISNUMBER(SEARCH("Marketing Lead",C274))&gt;0,'Configuración'!$B$33,IF(ISNUMBER(SEARCH("COO",C274))+ISNUMBER(SEARCH("CFO",C274))+ISNUMBER(SEARCH("CTO",C274))+ISNUMBER(SEARCH("Chief Operating",C274))+ISNUMBER(SEARCH("Chief Financial",C274))+ISNUMBER(SEARCH("Gerente General",C274))+ISNUMBER(SEARCH("General Manager",C274))&gt;0,'Configuración'!$B$34,'Configuración'!$B$35)))))</f>
        <v>12</v>
      </c>
      <c r="V274" s="38">
        <f>IF(B274="","",IF(K274="Sí",'Configuración'!$B$5,0)+IF(L274="Semanal",'Configuración'!$B$6,IF(L274="Mensual",'Configuración'!$B$7,0))+IF(M274="Sí",'Configuración'!$B$8,0)+IF(N274="Sí",'Configuración'!$B$9,0)+IF(O274="Sí",'Configuración'!$B$10,0)+IF(P274="Sí",'Configuración'!$B$11,0)+IF(Q274="Sí",'Configuración'!$B$12,0)+S274+T274+U274)</f>
        <v>28</v>
      </c>
      <c r="W274" s="39" t="str">
        <f>IF(B274="","",IF(V274&gt;='Configuración'!$B$19,"A",IF(V274&gt;='Configuración'!$B$20,"B",IF(V274&gt;='Configuración'!$B$21,"C","Descarte"))))</f>
        <v>C</v>
      </c>
    </row>
    <row r="275" ht="15.75" customHeight="1">
      <c r="A275" s="34">
        <f t="shared" si="1"/>
        <v>273</v>
      </c>
      <c r="B275" s="29" t="s">
        <v>1807</v>
      </c>
      <c r="C275" s="29" t="s">
        <v>1808</v>
      </c>
      <c r="D275" s="29" t="s">
        <v>1809</v>
      </c>
      <c r="E275" s="29" t="s">
        <v>1810</v>
      </c>
      <c r="F275" s="30" t="s">
        <v>1811</v>
      </c>
      <c r="G275" s="30" t="s">
        <v>1812</v>
      </c>
      <c r="H275" s="30" t="s">
        <v>1813</v>
      </c>
      <c r="I275" s="29" t="s">
        <v>188</v>
      </c>
      <c r="J275" s="31">
        <v>1.0</v>
      </c>
      <c r="K275" s="35"/>
      <c r="L275" s="35"/>
      <c r="M275" s="35"/>
      <c r="N275" s="35"/>
      <c r="O275" s="35"/>
      <c r="P275" s="35"/>
      <c r="Q275" s="35"/>
      <c r="R275" s="35"/>
      <c r="S275" s="37">
        <f>IF(B275="","",IF(ISNUMBER(J275),IF(J275&lt;=10,'Configuración'!$B$23,IF(J275&lt;=50,'Configuración'!$B$24,IF(J275&lt;=200,'Configuración'!$B$25,0))),0))</f>
        <v>12</v>
      </c>
      <c r="T275" s="37">
        <f>IF(B275="","",IF(ISNUMBER(SEARCH("information technology",I275))+ISNUMBER(SEARCH("software",I275))+ISNUMBER(SEARCH("internet",I275))+ISNUMBER(SEARCH("computer",I275))+ISNUMBER(SEARCH("saas",I275))+ISNUMBER(SEARCH("fintech",I275))+ISNUMBER(SEARCH("information services",I275))+ISNUMBER(SEARCH("telecommunications",I275))&gt;0,'Configuración'!$B$27,'Configuración'!$B$28))</f>
        <v>4</v>
      </c>
      <c r="U275" s="25">
        <f>IF(B275="","",IF(ISNUMBER(SEARCH("CEO",C275))+ISNUMBER(SEARCH("Founder",C275))+ISNUMBER(SEARCH("Owner",C275))+ISNUMBER(SEARCH("Dueño",C275))+ISNUMBER(SEARCH("Director General",C275))+ISNUMBER(SEARCH("Presidente",C275))+ISNUMBER(SEARCH("President",C275))&gt;0,'Configuración'!$B$31,IF(ISNUMBER(SEARCH("CMO",C275))+ISNUMBER(SEARCH("Chief Marketing",C275))+ISNUMBER(SEARCH("VP Marketing",C275))+ISNUMBER(SEARCH("Director de Marketing",C275))+ISNUMBER(SEARCH("Director Marketing",C275))+ISNUMBER(SEARCH("Head of Marketing",C275))+ISNUMBER(SEARCH("Head Marketing",C275))&gt;0,'Configuración'!$B$32,IF(ISNUMBER(SEARCH("Marketing Manager",C275))+ISNUMBER(SEARCH("Gerente de Marketing",C275))+ISNUMBER(SEARCH("Growth Manager",C275))+ISNUMBER(SEARCH("Demand Gen",C275))+ISNUMBER(SEARCH("Marketing Lead",C275))&gt;0,'Configuración'!$B$33,IF(ISNUMBER(SEARCH("COO",C275))+ISNUMBER(SEARCH("CFO",C275))+ISNUMBER(SEARCH("CTO",C275))+ISNUMBER(SEARCH("Chief Operating",C275))+ISNUMBER(SEARCH("Chief Financial",C275))+ISNUMBER(SEARCH("Gerente General",C275))+ISNUMBER(SEARCH("General Manager",C275))&gt;0,'Configuración'!$B$34,'Configuración'!$B$35)))))</f>
        <v>12</v>
      </c>
      <c r="V275" s="38">
        <f>IF(B275="","",IF(K275="Sí",'Configuración'!$B$5,0)+IF(L275="Semanal",'Configuración'!$B$6,IF(L275="Mensual",'Configuración'!$B$7,0))+IF(M275="Sí",'Configuración'!$B$8,0)+IF(N275="Sí",'Configuración'!$B$9,0)+IF(O275="Sí",'Configuración'!$B$10,0)+IF(P275="Sí",'Configuración'!$B$11,0)+IF(Q275="Sí",'Configuración'!$B$12,0)+S275+T275+U275)</f>
        <v>28</v>
      </c>
      <c r="W275" s="39" t="str">
        <f>IF(B275="","",IF(V275&gt;='Configuración'!$B$19,"A",IF(V275&gt;='Configuración'!$B$20,"B",IF(V275&gt;='Configuración'!$B$21,"C","Descarte"))))</f>
        <v>C</v>
      </c>
    </row>
    <row r="276" ht="15.75" customHeight="1">
      <c r="A276" s="34">
        <f t="shared" si="1"/>
        <v>274</v>
      </c>
      <c r="B276" s="29" t="s">
        <v>1814</v>
      </c>
      <c r="C276" s="29" t="s">
        <v>1815</v>
      </c>
      <c r="D276" s="29" t="s">
        <v>1816</v>
      </c>
      <c r="E276" s="29" t="s">
        <v>1817</v>
      </c>
      <c r="F276" s="30" t="s">
        <v>1818</v>
      </c>
      <c r="G276" s="30" t="s">
        <v>1819</v>
      </c>
      <c r="H276" s="30" t="s">
        <v>1820</v>
      </c>
      <c r="I276" s="29" t="s">
        <v>127</v>
      </c>
      <c r="J276" s="31">
        <v>3.0</v>
      </c>
      <c r="K276" s="35"/>
      <c r="L276" s="35"/>
      <c r="M276" s="35"/>
      <c r="N276" s="35"/>
      <c r="O276" s="35"/>
      <c r="P276" s="35"/>
      <c r="Q276" s="35"/>
      <c r="R276" s="35"/>
      <c r="S276" s="37">
        <f>IF(B276="","",IF(ISNUMBER(J276),IF(J276&lt;=10,'Configuración'!$B$23,IF(J276&lt;=50,'Configuración'!$B$24,IF(J276&lt;=200,'Configuración'!$B$25,0))),0))</f>
        <v>12</v>
      </c>
      <c r="T276" s="37">
        <f>IF(B276="","",IF(ISNUMBER(SEARCH("information technology",I276))+ISNUMBER(SEARCH("software",I276))+ISNUMBER(SEARCH("internet",I276))+ISNUMBER(SEARCH("computer",I276))+ISNUMBER(SEARCH("saas",I276))+ISNUMBER(SEARCH("fintech",I276))+ISNUMBER(SEARCH("information services",I276))+ISNUMBER(SEARCH("telecommunications",I276))&gt;0,'Configuración'!$B$27,'Configuración'!$B$28))</f>
        <v>12</v>
      </c>
      <c r="U276" s="25">
        <f>IF(B276="","",IF(ISNUMBER(SEARCH("CEO",C276))+ISNUMBER(SEARCH("Founder",C276))+ISNUMBER(SEARCH("Owner",C276))+ISNUMBER(SEARCH("Dueño",C276))+ISNUMBER(SEARCH("Director General",C276))+ISNUMBER(SEARCH("Presidente",C276))+ISNUMBER(SEARCH("President",C276))&gt;0,'Configuración'!$B$31,IF(ISNUMBER(SEARCH("CMO",C276))+ISNUMBER(SEARCH("Chief Marketing",C276))+ISNUMBER(SEARCH("VP Marketing",C276))+ISNUMBER(SEARCH("Director de Marketing",C276))+ISNUMBER(SEARCH("Director Marketing",C276))+ISNUMBER(SEARCH("Head of Marketing",C276))+ISNUMBER(SEARCH("Head Marketing",C276))&gt;0,'Configuración'!$B$32,IF(ISNUMBER(SEARCH("Marketing Manager",C276))+ISNUMBER(SEARCH("Gerente de Marketing",C276))+ISNUMBER(SEARCH("Growth Manager",C276))+ISNUMBER(SEARCH("Demand Gen",C276))+ISNUMBER(SEARCH("Marketing Lead",C276))&gt;0,'Configuración'!$B$33,IF(ISNUMBER(SEARCH("COO",C276))+ISNUMBER(SEARCH("CFO",C276))+ISNUMBER(SEARCH("CTO",C276))+ISNUMBER(SEARCH("Chief Operating",C276))+ISNUMBER(SEARCH("Chief Financial",C276))+ISNUMBER(SEARCH("Gerente General",C276))+ISNUMBER(SEARCH("General Manager",C276))&gt;0,'Configuración'!$B$34,'Configuración'!$B$35)))))</f>
        <v>12</v>
      </c>
      <c r="V276" s="38">
        <f>IF(B276="","",IF(K276="Sí",'Configuración'!$B$5,0)+IF(L276="Semanal",'Configuración'!$B$6,IF(L276="Mensual",'Configuración'!$B$7,0))+IF(M276="Sí",'Configuración'!$B$8,0)+IF(N276="Sí",'Configuración'!$B$9,0)+IF(O276="Sí",'Configuración'!$B$10,0)+IF(P276="Sí",'Configuración'!$B$11,0)+IF(Q276="Sí",'Configuración'!$B$12,0)+S276+T276+U276)</f>
        <v>36</v>
      </c>
      <c r="W276" s="39" t="str">
        <f>IF(B276="","",IF(V276&gt;='Configuración'!$B$19,"A",IF(V276&gt;='Configuración'!$B$20,"B",IF(V276&gt;='Configuración'!$B$21,"C","Descarte"))))</f>
        <v>C</v>
      </c>
    </row>
    <row r="277" ht="15.75" customHeight="1">
      <c r="A277" s="34">
        <f t="shared" si="1"/>
        <v>275</v>
      </c>
      <c r="B277" s="29" t="s">
        <v>1821</v>
      </c>
      <c r="C277" s="29" t="s">
        <v>1822</v>
      </c>
      <c r="D277" s="29" t="s">
        <v>1823</v>
      </c>
      <c r="E277" s="29" t="s">
        <v>1824</v>
      </c>
      <c r="F277" s="30" t="s">
        <v>1825</v>
      </c>
      <c r="G277" s="30" t="s">
        <v>1826</v>
      </c>
      <c r="H277" s="30" t="s">
        <v>1827</v>
      </c>
      <c r="I277" s="29" t="s">
        <v>127</v>
      </c>
      <c r="J277" s="31">
        <v>5.0</v>
      </c>
      <c r="K277" s="35"/>
      <c r="L277" s="35"/>
      <c r="M277" s="35"/>
      <c r="N277" s="35"/>
      <c r="O277" s="35"/>
      <c r="P277" s="35"/>
      <c r="Q277" s="35"/>
      <c r="R277" s="35"/>
      <c r="S277" s="37">
        <f>IF(B277="","",IF(ISNUMBER(J277),IF(J277&lt;=10,'Configuración'!$B$23,IF(J277&lt;=50,'Configuración'!$B$24,IF(J277&lt;=200,'Configuración'!$B$25,0))),0))</f>
        <v>12</v>
      </c>
      <c r="T277" s="37">
        <f>IF(B277="","",IF(ISNUMBER(SEARCH("information technology",I277))+ISNUMBER(SEARCH("software",I277))+ISNUMBER(SEARCH("internet",I277))+ISNUMBER(SEARCH("computer",I277))+ISNUMBER(SEARCH("saas",I277))+ISNUMBER(SEARCH("fintech",I277))+ISNUMBER(SEARCH("information services",I277))+ISNUMBER(SEARCH("telecommunications",I277))&gt;0,'Configuración'!$B$27,'Configuración'!$B$28))</f>
        <v>12</v>
      </c>
      <c r="U277" s="25">
        <f>IF(B277="","",IF(ISNUMBER(SEARCH("CEO",C277))+ISNUMBER(SEARCH("Founder",C277))+ISNUMBER(SEARCH("Owner",C277))+ISNUMBER(SEARCH("Dueño",C277))+ISNUMBER(SEARCH("Director General",C277))+ISNUMBER(SEARCH("Presidente",C277))+ISNUMBER(SEARCH("President",C277))&gt;0,'Configuración'!$B$31,IF(ISNUMBER(SEARCH("CMO",C277))+ISNUMBER(SEARCH("Chief Marketing",C277))+ISNUMBER(SEARCH("VP Marketing",C277))+ISNUMBER(SEARCH("Director de Marketing",C277))+ISNUMBER(SEARCH("Director Marketing",C277))+ISNUMBER(SEARCH("Head of Marketing",C277))+ISNUMBER(SEARCH("Head Marketing",C277))&gt;0,'Configuración'!$B$32,IF(ISNUMBER(SEARCH("Marketing Manager",C277))+ISNUMBER(SEARCH("Gerente de Marketing",C277))+ISNUMBER(SEARCH("Growth Manager",C277))+ISNUMBER(SEARCH("Demand Gen",C277))+ISNUMBER(SEARCH("Marketing Lead",C277))&gt;0,'Configuración'!$B$33,IF(ISNUMBER(SEARCH("COO",C277))+ISNUMBER(SEARCH("CFO",C277))+ISNUMBER(SEARCH("CTO",C277))+ISNUMBER(SEARCH("Chief Operating",C277))+ISNUMBER(SEARCH("Chief Financial",C277))+ISNUMBER(SEARCH("Gerente General",C277))+ISNUMBER(SEARCH("General Manager",C277))&gt;0,'Configuración'!$B$34,'Configuración'!$B$35)))))</f>
        <v>12</v>
      </c>
      <c r="V277" s="38">
        <f>IF(B277="","",IF(K277="Sí",'Configuración'!$B$5,0)+IF(L277="Semanal",'Configuración'!$B$6,IF(L277="Mensual",'Configuración'!$B$7,0))+IF(M277="Sí",'Configuración'!$B$8,0)+IF(N277="Sí",'Configuración'!$B$9,0)+IF(O277="Sí",'Configuración'!$B$10,0)+IF(P277="Sí",'Configuración'!$B$11,0)+IF(Q277="Sí",'Configuración'!$B$12,0)+S277+T277+U277)</f>
        <v>36</v>
      </c>
      <c r="W277" s="39" t="str">
        <f>IF(B277="","",IF(V277&gt;='Configuración'!$B$19,"A",IF(V277&gt;='Configuración'!$B$20,"B",IF(V277&gt;='Configuración'!$B$21,"C","Descarte"))))</f>
        <v>C</v>
      </c>
    </row>
    <row r="278" ht="15.75" customHeight="1">
      <c r="A278" s="34">
        <f t="shared" si="1"/>
        <v>276</v>
      </c>
      <c r="B278" s="29" t="s">
        <v>174</v>
      </c>
      <c r="C278" s="29" t="s">
        <v>131</v>
      </c>
      <c r="D278" s="29" t="s">
        <v>1828</v>
      </c>
      <c r="E278" s="29" t="s">
        <v>1829</v>
      </c>
      <c r="F278" s="30" t="s">
        <v>1830</v>
      </c>
      <c r="G278" s="30" t="s">
        <v>1831</v>
      </c>
      <c r="H278" s="30" t="s">
        <v>1832</v>
      </c>
      <c r="I278" s="29" t="s">
        <v>127</v>
      </c>
      <c r="J278" s="31">
        <v>2.0</v>
      </c>
      <c r="K278" s="35"/>
      <c r="L278" s="35"/>
      <c r="M278" s="35"/>
      <c r="N278" s="35"/>
      <c r="O278" s="35"/>
      <c r="P278" s="35"/>
      <c r="Q278" s="35"/>
      <c r="R278" s="35"/>
      <c r="S278" s="37">
        <f>IF(B278="","",IF(ISNUMBER(J278),IF(J278&lt;=10,'Configuración'!$B$23,IF(J278&lt;=50,'Configuración'!$B$24,IF(J278&lt;=200,'Configuración'!$B$25,0))),0))</f>
        <v>12</v>
      </c>
      <c r="T278" s="37">
        <f>IF(B278="","",IF(ISNUMBER(SEARCH("information technology",I278))+ISNUMBER(SEARCH("software",I278))+ISNUMBER(SEARCH("internet",I278))+ISNUMBER(SEARCH("computer",I278))+ISNUMBER(SEARCH("saas",I278))+ISNUMBER(SEARCH("fintech",I278))+ISNUMBER(SEARCH("information services",I278))+ISNUMBER(SEARCH("telecommunications",I278))&gt;0,'Configuración'!$B$27,'Configuración'!$B$28))</f>
        <v>12</v>
      </c>
      <c r="U278" s="25">
        <f>IF(B278="","",IF(ISNUMBER(SEARCH("CEO",C278))+ISNUMBER(SEARCH("Founder",C278))+ISNUMBER(SEARCH("Owner",C278))+ISNUMBER(SEARCH("Dueño",C278))+ISNUMBER(SEARCH("Director General",C278))+ISNUMBER(SEARCH("Presidente",C278))+ISNUMBER(SEARCH("President",C278))&gt;0,'Configuración'!$B$31,IF(ISNUMBER(SEARCH("CMO",C278))+ISNUMBER(SEARCH("Chief Marketing",C278))+ISNUMBER(SEARCH("VP Marketing",C278))+ISNUMBER(SEARCH("Director de Marketing",C278))+ISNUMBER(SEARCH("Director Marketing",C278))+ISNUMBER(SEARCH("Head of Marketing",C278))+ISNUMBER(SEARCH("Head Marketing",C278))&gt;0,'Configuración'!$B$32,IF(ISNUMBER(SEARCH("Marketing Manager",C278))+ISNUMBER(SEARCH("Gerente de Marketing",C278))+ISNUMBER(SEARCH("Growth Manager",C278))+ISNUMBER(SEARCH("Demand Gen",C278))+ISNUMBER(SEARCH("Marketing Lead",C278))&gt;0,'Configuración'!$B$33,IF(ISNUMBER(SEARCH("COO",C278))+ISNUMBER(SEARCH("CFO",C278))+ISNUMBER(SEARCH("CTO",C278))+ISNUMBER(SEARCH("Chief Operating",C278))+ISNUMBER(SEARCH("Chief Financial",C278))+ISNUMBER(SEARCH("Gerente General",C278))+ISNUMBER(SEARCH("General Manager",C278))&gt;0,'Configuración'!$B$34,'Configuración'!$B$35)))))</f>
        <v>12</v>
      </c>
      <c r="V278" s="38">
        <f>IF(B278="","",IF(K278="Sí",'Configuración'!$B$5,0)+IF(L278="Semanal",'Configuración'!$B$6,IF(L278="Mensual",'Configuración'!$B$7,0))+IF(M278="Sí",'Configuración'!$B$8,0)+IF(N278="Sí",'Configuración'!$B$9,0)+IF(O278="Sí",'Configuración'!$B$10,0)+IF(P278="Sí",'Configuración'!$B$11,0)+IF(Q278="Sí",'Configuración'!$B$12,0)+S278+T278+U278)</f>
        <v>36</v>
      </c>
      <c r="W278" s="39" t="str">
        <f>IF(B278="","",IF(V278&gt;='Configuración'!$B$19,"A",IF(V278&gt;='Configuración'!$B$20,"B",IF(V278&gt;='Configuración'!$B$21,"C","Descarte"))))</f>
        <v>C</v>
      </c>
    </row>
    <row r="279" ht="15.75" customHeight="1">
      <c r="A279" s="34">
        <f t="shared" si="1"/>
        <v>277</v>
      </c>
      <c r="B279" s="29" t="s">
        <v>1028</v>
      </c>
      <c r="C279" s="29" t="s">
        <v>1833</v>
      </c>
      <c r="D279" s="29" t="s">
        <v>1834</v>
      </c>
      <c r="E279" s="29" t="s">
        <v>1835</v>
      </c>
      <c r="F279" s="30" t="s">
        <v>1836</v>
      </c>
      <c r="G279" s="30" t="s">
        <v>1837</v>
      </c>
      <c r="H279" s="30" t="s">
        <v>1838</v>
      </c>
      <c r="I279" s="29" t="s">
        <v>295</v>
      </c>
      <c r="J279" s="31">
        <v>27.0</v>
      </c>
      <c r="K279" s="35"/>
      <c r="L279" s="35"/>
      <c r="M279" s="35"/>
      <c r="N279" s="35"/>
      <c r="O279" s="35"/>
      <c r="P279" s="35"/>
      <c r="Q279" s="35"/>
      <c r="R279" s="35"/>
      <c r="S279" s="37">
        <f>IF(B279="","",IF(ISNUMBER(J279),IF(J279&lt;=10,'Configuración'!$B$23,IF(J279&lt;=50,'Configuración'!$B$24,IF(J279&lt;=200,'Configuración'!$B$25,0))),0))</f>
        <v>4</v>
      </c>
      <c r="T279" s="37">
        <f>IF(B279="","",IF(ISNUMBER(SEARCH("information technology",I279))+ISNUMBER(SEARCH("software",I279))+ISNUMBER(SEARCH("internet",I279))+ISNUMBER(SEARCH("computer",I279))+ISNUMBER(SEARCH("saas",I279))+ISNUMBER(SEARCH("fintech",I279))+ISNUMBER(SEARCH("information services",I279))+ISNUMBER(SEARCH("telecommunications",I279))&gt;0,'Configuración'!$B$27,'Configuración'!$B$28))</f>
        <v>4</v>
      </c>
      <c r="U279" s="25">
        <f>IF(B279="","",IF(ISNUMBER(SEARCH("CEO",C279))+ISNUMBER(SEARCH("Founder",C279))+ISNUMBER(SEARCH("Owner",C279))+ISNUMBER(SEARCH("Dueño",C279))+ISNUMBER(SEARCH("Director General",C279))+ISNUMBER(SEARCH("Presidente",C279))+ISNUMBER(SEARCH("President",C279))&gt;0,'Configuración'!$B$31,IF(ISNUMBER(SEARCH("CMO",C279))+ISNUMBER(SEARCH("Chief Marketing",C279))+ISNUMBER(SEARCH("VP Marketing",C279))+ISNUMBER(SEARCH("Director de Marketing",C279))+ISNUMBER(SEARCH("Director Marketing",C279))+ISNUMBER(SEARCH("Head of Marketing",C279))+ISNUMBER(SEARCH("Head Marketing",C279))&gt;0,'Configuración'!$B$32,IF(ISNUMBER(SEARCH("Marketing Manager",C279))+ISNUMBER(SEARCH("Gerente de Marketing",C279))+ISNUMBER(SEARCH("Growth Manager",C279))+ISNUMBER(SEARCH("Demand Gen",C279))+ISNUMBER(SEARCH("Marketing Lead",C279))&gt;0,'Configuración'!$B$33,IF(ISNUMBER(SEARCH("COO",C279))+ISNUMBER(SEARCH("CFO",C279))+ISNUMBER(SEARCH("CTO",C279))+ISNUMBER(SEARCH("Chief Operating",C279))+ISNUMBER(SEARCH("Chief Financial",C279))+ISNUMBER(SEARCH("Gerente General",C279))+ISNUMBER(SEARCH("General Manager",C279))&gt;0,'Configuración'!$B$34,'Configuración'!$B$35)))))</f>
        <v>12</v>
      </c>
      <c r="V279" s="38">
        <f>IF(B279="","",IF(K279="Sí",'Configuración'!$B$5,0)+IF(L279="Semanal",'Configuración'!$B$6,IF(L279="Mensual",'Configuración'!$B$7,0))+IF(M279="Sí",'Configuración'!$B$8,0)+IF(N279="Sí",'Configuración'!$B$9,0)+IF(O279="Sí",'Configuración'!$B$10,0)+IF(P279="Sí",'Configuración'!$B$11,0)+IF(Q279="Sí",'Configuración'!$B$12,0)+S279+T279+U279)</f>
        <v>20</v>
      </c>
      <c r="W279" s="39" t="str">
        <f>IF(B279="","",IF(V279&gt;='Configuración'!$B$19,"A",IF(V279&gt;='Configuración'!$B$20,"B",IF(V279&gt;='Configuración'!$B$21,"C","Descarte"))))</f>
        <v>Descarte</v>
      </c>
    </row>
    <row r="280" ht="15.75" customHeight="1">
      <c r="A280" s="34">
        <f t="shared" si="1"/>
        <v>278</v>
      </c>
      <c r="B280" s="29" t="s">
        <v>223</v>
      </c>
      <c r="C280" s="29" t="s">
        <v>1839</v>
      </c>
      <c r="D280" s="29" t="s">
        <v>1840</v>
      </c>
      <c r="E280" s="29" t="s">
        <v>1841</v>
      </c>
      <c r="F280" s="30" t="s">
        <v>1842</v>
      </c>
      <c r="G280" s="30" t="s">
        <v>1843</v>
      </c>
      <c r="H280" s="30" t="s">
        <v>1844</v>
      </c>
      <c r="I280" s="29" t="s">
        <v>1845</v>
      </c>
      <c r="J280" s="31">
        <v>49.0</v>
      </c>
      <c r="K280" s="35"/>
      <c r="L280" s="35"/>
      <c r="M280" s="35"/>
      <c r="N280" s="35"/>
      <c r="O280" s="35"/>
      <c r="P280" s="35"/>
      <c r="Q280" s="35"/>
      <c r="R280" s="35"/>
      <c r="S280" s="37">
        <f>IF(B280="","",IF(ISNUMBER(J280),IF(J280&lt;=10,'Configuración'!$B$23,IF(J280&lt;=50,'Configuración'!$B$24,IF(J280&lt;=200,'Configuración'!$B$25,0))),0))</f>
        <v>4</v>
      </c>
      <c r="T280" s="37">
        <f>IF(B280="","",IF(ISNUMBER(SEARCH("information technology",I280))+ISNUMBER(SEARCH("software",I280))+ISNUMBER(SEARCH("internet",I280))+ISNUMBER(SEARCH("computer",I280))+ISNUMBER(SEARCH("saas",I280))+ISNUMBER(SEARCH("fintech",I280))+ISNUMBER(SEARCH("information services",I280))+ISNUMBER(SEARCH("telecommunications",I280))&gt;0,'Configuración'!$B$27,'Configuración'!$B$28))</f>
        <v>4</v>
      </c>
      <c r="U280" s="25">
        <f>IF(B280="","",IF(ISNUMBER(SEARCH("CEO",C280))+ISNUMBER(SEARCH("Founder",C280))+ISNUMBER(SEARCH("Owner",C280))+ISNUMBER(SEARCH("Dueño",C280))+ISNUMBER(SEARCH("Director General",C280))+ISNUMBER(SEARCH("Presidente",C280))+ISNUMBER(SEARCH("President",C280))&gt;0,'Configuración'!$B$31,IF(ISNUMBER(SEARCH("CMO",C280))+ISNUMBER(SEARCH("Chief Marketing",C280))+ISNUMBER(SEARCH("VP Marketing",C280))+ISNUMBER(SEARCH("Director de Marketing",C280))+ISNUMBER(SEARCH("Director Marketing",C280))+ISNUMBER(SEARCH("Head of Marketing",C280))+ISNUMBER(SEARCH("Head Marketing",C280))&gt;0,'Configuración'!$B$32,IF(ISNUMBER(SEARCH("Marketing Manager",C280))+ISNUMBER(SEARCH("Gerente de Marketing",C280))+ISNUMBER(SEARCH("Growth Manager",C280))+ISNUMBER(SEARCH("Demand Gen",C280))+ISNUMBER(SEARCH("Marketing Lead",C280))&gt;0,'Configuración'!$B$33,IF(ISNUMBER(SEARCH("COO",C280))+ISNUMBER(SEARCH("CFO",C280))+ISNUMBER(SEARCH("CTO",C280))+ISNUMBER(SEARCH("Chief Operating",C280))+ISNUMBER(SEARCH("Chief Financial",C280))+ISNUMBER(SEARCH("Gerente General",C280))+ISNUMBER(SEARCH("General Manager",C280))&gt;0,'Configuración'!$B$34,'Configuración'!$B$35)))))</f>
        <v>12</v>
      </c>
      <c r="V280" s="38">
        <f>IF(B280="","",IF(K280="Sí",'Configuración'!$B$5,0)+IF(L280="Semanal",'Configuración'!$B$6,IF(L280="Mensual",'Configuración'!$B$7,0))+IF(M280="Sí",'Configuración'!$B$8,0)+IF(N280="Sí",'Configuración'!$B$9,0)+IF(O280="Sí",'Configuración'!$B$10,0)+IF(P280="Sí",'Configuración'!$B$11,0)+IF(Q280="Sí",'Configuración'!$B$12,0)+S280+T280+U280)</f>
        <v>20</v>
      </c>
      <c r="W280" s="39" t="str">
        <f>IF(B280="","",IF(V280&gt;='Configuración'!$B$19,"A",IF(V280&gt;='Configuración'!$B$20,"B",IF(V280&gt;='Configuración'!$B$21,"C","Descarte"))))</f>
        <v>Descarte</v>
      </c>
    </row>
    <row r="281" ht="15.75" customHeight="1">
      <c r="A281" s="34">
        <f t="shared" si="1"/>
        <v>279</v>
      </c>
      <c r="B281" s="29" t="s">
        <v>1846</v>
      </c>
      <c r="C281" s="29" t="s">
        <v>1847</v>
      </c>
      <c r="D281" s="29" t="s">
        <v>1848</v>
      </c>
      <c r="E281" s="29" t="s">
        <v>1849</v>
      </c>
      <c r="F281" s="30" t="s">
        <v>1850</v>
      </c>
      <c r="G281" s="30" t="s">
        <v>1851</v>
      </c>
      <c r="H281" s="30" t="s">
        <v>1852</v>
      </c>
      <c r="I281" s="29" t="s">
        <v>127</v>
      </c>
      <c r="J281" s="31">
        <v>13.0</v>
      </c>
      <c r="K281" s="35"/>
      <c r="L281" s="35"/>
      <c r="M281" s="35"/>
      <c r="N281" s="35"/>
      <c r="O281" s="35"/>
      <c r="P281" s="35"/>
      <c r="Q281" s="35"/>
      <c r="R281" s="35"/>
      <c r="S281" s="37">
        <f>IF(B281="","",IF(ISNUMBER(J281),IF(J281&lt;=10,'Configuración'!$B$23,IF(J281&lt;=50,'Configuración'!$B$24,IF(J281&lt;=200,'Configuración'!$B$25,0))),0))</f>
        <v>4</v>
      </c>
      <c r="T281" s="37">
        <f>IF(B281="","",IF(ISNUMBER(SEARCH("information technology",I281))+ISNUMBER(SEARCH("software",I281))+ISNUMBER(SEARCH("internet",I281))+ISNUMBER(SEARCH("computer",I281))+ISNUMBER(SEARCH("saas",I281))+ISNUMBER(SEARCH("fintech",I281))+ISNUMBER(SEARCH("information services",I281))+ISNUMBER(SEARCH("telecommunications",I281))&gt;0,'Configuración'!$B$27,'Configuración'!$B$28))</f>
        <v>12</v>
      </c>
      <c r="U281" s="25">
        <f>IF(B281="","",IF(ISNUMBER(SEARCH("CEO",C281))+ISNUMBER(SEARCH("Founder",C281))+ISNUMBER(SEARCH("Owner",C281))+ISNUMBER(SEARCH("Dueño",C281))+ISNUMBER(SEARCH("Director General",C281))+ISNUMBER(SEARCH("Presidente",C281))+ISNUMBER(SEARCH("President",C281))&gt;0,'Configuración'!$B$31,IF(ISNUMBER(SEARCH("CMO",C281))+ISNUMBER(SEARCH("Chief Marketing",C281))+ISNUMBER(SEARCH("VP Marketing",C281))+ISNUMBER(SEARCH("Director de Marketing",C281))+ISNUMBER(SEARCH("Director Marketing",C281))+ISNUMBER(SEARCH("Head of Marketing",C281))+ISNUMBER(SEARCH("Head Marketing",C281))&gt;0,'Configuración'!$B$32,IF(ISNUMBER(SEARCH("Marketing Manager",C281))+ISNUMBER(SEARCH("Gerente de Marketing",C281))+ISNUMBER(SEARCH("Growth Manager",C281))+ISNUMBER(SEARCH("Demand Gen",C281))+ISNUMBER(SEARCH("Marketing Lead",C281))&gt;0,'Configuración'!$B$33,IF(ISNUMBER(SEARCH("COO",C281))+ISNUMBER(SEARCH("CFO",C281))+ISNUMBER(SEARCH("CTO",C281))+ISNUMBER(SEARCH("Chief Operating",C281))+ISNUMBER(SEARCH("Chief Financial",C281))+ISNUMBER(SEARCH("Gerente General",C281))+ISNUMBER(SEARCH("General Manager",C281))&gt;0,'Configuración'!$B$34,'Configuración'!$B$35)))))</f>
        <v>12</v>
      </c>
      <c r="V281" s="38">
        <f>IF(B281="","",IF(K281="Sí",'Configuración'!$B$5,0)+IF(L281="Semanal",'Configuración'!$B$6,IF(L281="Mensual",'Configuración'!$B$7,0))+IF(M281="Sí",'Configuración'!$B$8,0)+IF(N281="Sí",'Configuración'!$B$9,0)+IF(O281="Sí",'Configuración'!$B$10,0)+IF(P281="Sí",'Configuración'!$B$11,0)+IF(Q281="Sí",'Configuración'!$B$12,0)+S281+T281+U281)</f>
        <v>28</v>
      </c>
      <c r="W281" s="39" t="str">
        <f>IF(B281="","",IF(V281&gt;='Configuración'!$B$19,"A",IF(V281&gt;='Configuración'!$B$20,"B",IF(V281&gt;='Configuración'!$B$21,"C","Descarte"))))</f>
        <v>C</v>
      </c>
    </row>
    <row r="282" ht="15.75" customHeight="1">
      <c r="A282" s="34">
        <f t="shared" si="1"/>
        <v>280</v>
      </c>
      <c r="B282" s="29" t="s">
        <v>1008</v>
      </c>
      <c r="C282" s="29" t="s">
        <v>146</v>
      </c>
      <c r="D282" s="29" t="s">
        <v>1853</v>
      </c>
      <c r="E282" s="29" t="s">
        <v>1854</v>
      </c>
      <c r="F282" s="30" t="s">
        <v>1855</v>
      </c>
      <c r="G282" s="30" t="s">
        <v>1856</v>
      </c>
      <c r="H282" s="30" t="s">
        <v>1857</v>
      </c>
      <c r="I282" s="29" t="s">
        <v>188</v>
      </c>
      <c r="J282" s="31">
        <v>2.0</v>
      </c>
      <c r="K282" s="35"/>
      <c r="L282" s="35"/>
      <c r="M282" s="35"/>
      <c r="N282" s="35"/>
      <c r="O282" s="35"/>
      <c r="P282" s="35"/>
      <c r="Q282" s="35"/>
      <c r="R282" s="35"/>
      <c r="S282" s="37">
        <f>IF(B282="","",IF(ISNUMBER(J282),IF(J282&lt;=10,'Configuración'!$B$23,IF(J282&lt;=50,'Configuración'!$B$24,IF(J282&lt;=200,'Configuración'!$B$25,0))),0))</f>
        <v>12</v>
      </c>
      <c r="T282" s="37">
        <f>IF(B282="","",IF(ISNUMBER(SEARCH("information technology",I282))+ISNUMBER(SEARCH("software",I282))+ISNUMBER(SEARCH("internet",I282))+ISNUMBER(SEARCH("computer",I282))+ISNUMBER(SEARCH("saas",I282))+ISNUMBER(SEARCH("fintech",I282))+ISNUMBER(SEARCH("information services",I282))+ISNUMBER(SEARCH("telecommunications",I282))&gt;0,'Configuración'!$B$27,'Configuración'!$B$28))</f>
        <v>4</v>
      </c>
      <c r="U282" s="25">
        <f>IF(B282="","",IF(ISNUMBER(SEARCH("CEO",C282))+ISNUMBER(SEARCH("Founder",C282))+ISNUMBER(SEARCH("Owner",C282))+ISNUMBER(SEARCH("Dueño",C282))+ISNUMBER(SEARCH("Director General",C282))+ISNUMBER(SEARCH("Presidente",C282))+ISNUMBER(SEARCH("President",C282))&gt;0,'Configuración'!$B$31,IF(ISNUMBER(SEARCH("CMO",C282))+ISNUMBER(SEARCH("Chief Marketing",C282))+ISNUMBER(SEARCH("VP Marketing",C282))+ISNUMBER(SEARCH("Director de Marketing",C282))+ISNUMBER(SEARCH("Director Marketing",C282))+ISNUMBER(SEARCH("Head of Marketing",C282))+ISNUMBER(SEARCH("Head Marketing",C282))&gt;0,'Configuración'!$B$32,IF(ISNUMBER(SEARCH("Marketing Manager",C282))+ISNUMBER(SEARCH("Gerente de Marketing",C282))+ISNUMBER(SEARCH("Growth Manager",C282))+ISNUMBER(SEARCH("Demand Gen",C282))+ISNUMBER(SEARCH("Marketing Lead",C282))&gt;0,'Configuración'!$B$33,IF(ISNUMBER(SEARCH("COO",C282))+ISNUMBER(SEARCH("CFO",C282))+ISNUMBER(SEARCH("CTO",C282))+ISNUMBER(SEARCH("Chief Operating",C282))+ISNUMBER(SEARCH("Chief Financial",C282))+ISNUMBER(SEARCH("Gerente General",C282))+ISNUMBER(SEARCH("General Manager",C282))&gt;0,'Configuración'!$B$34,'Configuración'!$B$35)))))</f>
        <v>0</v>
      </c>
      <c r="V282" s="38">
        <f>IF(B282="","",IF(K282="Sí",'Configuración'!$B$5,0)+IF(L282="Semanal",'Configuración'!$B$6,IF(L282="Mensual",'Configuración'!$B$7,0))+IF(M282="Sí",'Configuración'!$B$8,0)+IF(N282="Sí",'Configuración'!$B$9,0)+IF(O282="Sí",'Configuración'!$B$10,0)+IF(P282="Sí",'Configuración'!$B$11,0)+IF(Q282="Sí",'Configuración'!$B$12,0)+S282+T282+U282)</f>
        <v>16</v>
      </c>
      <c r="W282" s="39" t="str">
        <f>IF(B282="","",IF(V282&gt;='Configuración'!$B$19,"A",IF(V282&gt;='Configuración'!$B$20,"B",IF(V282&gt;='Configuración'!$B$21,"C","Descarte"))))</f>
        <v>Descarte</v>
      </c>
    </row>
    <row r="283" ht="15.75" customHeight="1">
      <c r="A283" s="34">
        <f t="shared" si="1"/>
        <v>281</v>
      </c>
      <c r="B283" s="29" t="s">
        <v>1858</v>
      </c>
      <c r="C283" s="29" t="s">
        <v>1859</v>
      </c>
      <c r="D283" s="29" t="s">
        <v>1860</v>
      </c>
      <c r="E283" s="29" t="s">
        <v>1861</v>
      </c>
      <c r="F283" s="30" t="s">
        <v>1862</v>
      </c>
      <c r="G283" s="30" t="s">
        <v>1863</v>
      </c>
      <c r="H283" s="30" t="s">
        <v>1864</v>
      </c>
      <c r="I283" s="29" t="s">
        <v>1429</v>
      </c>
      <c r="J283" s="31">
        <v>44.0</v>
      </c>
      <c r="K283" s="35"/>
      <c r="L283" s="35"/>
      <c r="M283" s="35"/>
      <c r="N283" s="35"/>
      <c r="O283" s="35"/>
      <c r="P283" s="35"/>
      <c r="Q283" s="35"/>
      <c r="R283" s="35"/>
      <c r="S283" s="37">
        <f>IF(B283="","",IF(ISNUMBER(J283),IF(J283&lt;=10,'Configuración'!$B$23,IF(J283&lt;=50,'Configuración'!$B$24,IF(J283&lt;=200,'Configuración'!$B$25,0))),0))</f>
        <v>4</v>
      </c>
      <c r="T283" s="37">
        <f>IF(B283="","",IF(ISNUMBER(SEARCH("information technology",I283))+ISNUMBER(SEARCH("software",I283))+ISNUMBER(SEARCH("internet",I283))+ISNUMBER(SEARCH("computer",I283))+ISNUMBER(SEARCH("saas",I283))+ISNUMBER(SEARCH("fintech",I283))+ISNUMBER(SEARCH("information services",I283))+ISNUMBER(SEARCH("telecommunications",I283))&gt;0,'Configuración'!$B$27,'Configuración'!$B$28))</f>
        <v>4</v>
      </c>
      <c r="U283" s="25">
        <f>IF(B283="","",IF(ISNUMBER(SEARCH("CEO",C283))+ISNUMBER(SEARCH("Founder",C283))+ISNUMBER(SEARCH("Owner",C283))+ISNUMBER(SEARCH("Dueño",C283))+ISNUMBER(SEARCH("Director General",C283))+ISNUMBER(SEARCH("Presidente",C283))+ISNUMBER(SEARCH("President",C283))&gt;0,'Configuración'!$B$31,IF(ISNUMBER(SEARCH("CMO",C283))+ISNUMBER(SEARCH("Chief Marketing",C283))+ISNUMBER(SEARCH("VP Marketing",C283))+ISNUMBER(SEARCH("Director de Marketing",C283))+ISNUMBER(SEARCH("Director Marketing",C283))+ISNUMBER(SEARCH("Head of Marketing",C283))+ISNUMBER(SEARCH("Head Marketing",C283))&gt;0,'Configuración'!$B$32,IF(ISNUMBER(SEARCH("Marketing Manager",C283))+ISNUMBER(SEARCH("Gerente de Marketing",C283))+ISNUMBER(SEARCH("Growth Manager",C283))+ISNUMBER(SEARCH("Demand Gen",C283))+ISNUMBER(SEARCH("Marketing Lead",C283))&gt;0,'Configuración'!$B$33,IF(ISNUMBER(SEARCH("COO",C283))+ISNUMBER(SEARCH("CFO",C283))+ISNUMBER(SEARCH("CTO",C283))+ISNUMBER(SEARCH("Chief Operating",C283))+ISNUMBER(SEARCH("Chief Financial",C283))+ISNUMBER(SEARCH("Gerente General",C283))+ISNUMBER(SEARCH("General Manager",C283))&gt;0,'Configuración'!$B$34,'Configuración'!$B$35)))))</f>
        <v>12</v>
      </c>
      <c r="V283" s="38">
        <f>IF(B283="","",IF(K283="Sí",'Configuración'!$B$5,0)+IF(L283="Semanal",'Configuración'!$B$6,IF(L283="Mensual",'Configuración'!$B$7,0))+IF(M283="Sí",'Configuración'!$B$8,0)+IF(N283="Sí",'Configuración'!$B$9,0)+IF(O283="Sí",'Configuración'!$B$10,0)+IF(P283="Sí",'Configuración'!$B$11,0)+IF(Q283="Sí",'Configuración'!$B$12,0)+S283+T283+U283)</f>
        <v>20</v>
      </c>
      <c r="W283" s="39" t="str">
        <f>IF(B283="","",IF(V283&gt;='Configuración'!$B$19,"A",IF(V283&gt;='Configuración'!$B$20,"B",IF(V283&gt;='Configuración'!$B$21,"C","Descarte"))))</f>
        <v>Descarte</v>
      </c>
    </row>
    <row r="284" ht="15.75" customHeight="1">
      <c r="A284" s="34">
        <f t="shared" si="1"/>
        <v>282</v>
      </c>
      <c r="B284" s="29" t="s">
        <v>564</v>
      </c>
      <c r="C284" s="29" t="s">
        <v>1865</v>
      </c>
      <c r="D284" s="29" t="s">
        <v>1866</v>
      </c>
      <c r="E284" s="29" t="s">
        <v>1867</v>
      </c>
      <c r="F284" s="30" t="s">
        <v>1868</v>
      </c>
      <c r="G284" s="30" t="s">
        <v>1869</v>
      </c>
      <c r="H284" s="30" t="s">
        <v>1870</v>
      </c>
      <c r="I284" s="29" t="s">
        <v>769</v>
      </c>
      <c r="J284" s="31">
        <v>10.0</v>
      </c>
      <c r="K284" s="35"/>
      <c r="L284" s="35"/>
      <c r="M284" s="35"/>
      <c r="N284" s="35"/>
      <c r="O284" s="35"/>
      <c r="P284" s="35"/>
      <c r="Q284" s="35"/>
      <c r="R284" s="35"/>
      <c r="S284" s="37">
        <f>IF(B284="","",IF(ISNUMBER(J284),IF(J284&lt;=10,'Configuración'!$B$23,IF(J284&lt;=50,'Configuración'!$B$24,IF(J284&lt;=200,'Configuración'!$B$25,0))),0))</f>
        <v>12</v>
      </c>
      <c r="T284" s="37">
        <f>IF(B284="","",IF(ISNUMBER(SEARCH("information technology",I284))+ISNUMBER(SEARCH("software",I284))+ISNUMBER(SEARCH("internet",I284))+ISNUMBER(SEARCH("computer",I284))+ISNUMBER(SEARCH("saas",I284))+ISNUMBER(SEARCH("fintech",I284))+ISNUMBER(SEARCH("information services",I284))+ISNUMBER(SEARCH("telecommunications",I284))&gt;0,'Configuración'!$B$27,'Configuración'!$B$28))</f>
        <v>4</v>
      </c>
      <c r="U284" s="25">
        <f>IF(B284="","",IF(ISNUMBER(SEARCH("CEO",C284))+ISNUMBER(SEARCH("Founder",C284))+ISNUMBER(SEARCH("Owner",C284))+ISNUMBER(SEARCH("Dueño",C284))+ISNUMBER(SEARCH("Director General",C284))+ISNUMBER(SEARCH("Presidente",C284))+ISNUMBER(SEARCH("President",C284))&gt;0,'Configuración'!$B$31,IF(ISNUMBER(SEARCH("CMO",C284))+ISNUMBER(SEARCH("Chief Marketing",C284))+ISNUMBER(SEARCH("VP Marketing",C284))+ISNUMBER(SEARCH("Director de Marketing",C284))+ISNUMBER(SEARCH("Director Marketing",C284))+ISNUMBER(SEARCH("Head of Marketing",C284))+ISNUMBER(SEARCH("Head Marketing",C284))&gt;0,'Configuración'!$B$32,IF(ISNUMBER(SEARCH("Marketing Manager",C284))+ISNUMBER(SEARCH("Gerente de Marketing",C284))+ISNUMBER(SEARCH("Growth Manager",C284))+ISNUMBER(SEARCH("Demand Gen",C284))+ISNUMBER(SEARCH("Marketing Lead",C284))&gt;0,'Configuración'!$B$33,IF(ISNUMBER(SEARCH("COO",C284))+ISNUMBER(SEARCH("CFO",C284))+ISNUMBER(SEARCH("CTO",C284))+ISNUMBER(SEARCH("Chief Operating",C284))+ISNUMBER(SEARCH("Chief Financial",C284))+ISNUMBER(SEARCH("Gerente General",C284))+ISNUMBER(SEARCH("General Manager",C284))&gt;0,'Configuración'!$B$34,'Configuración'!$B$35)))))</f>
        <v>12</v>
      </c>
      <c r="V284" s="38">
        <f>IF(B284="","",IF(K284="Sí",'Configuración'!$B$5,0)+IF(L284="Semanal",'Configuración'!$B$6,IF(L284="Mensual",'Configuración'!$B$7,0))+IF(M284="Sí",'Configuración'!$B$8,0)+IF(N284="Sí",'Configuración'!$B$9,0)+IF(O284="Sí",'Configuración'!$B$10,0)+IF(P284="Sí",'Configuración'!$B$11,0)+IF(Q284="Sí",'Configuración'!$B$12,0)+S284+T284+U284)</f>
        <v>28</v>
      </c>
      <c r="W284" s="39" t="str">
        <f>IF(B284="","",IF(V284&gt;='Configuración'!$B$19,"A",IF(V284&gt;='Configuración'!$B$20,"B",IF(V284&gt;='Configuración'!$B$21,"C","Descarte"))))</f>
        <v>C</v>
      </c>
    </row>
    <row r="285" ht="15.75" customHeight="1">
      <c r="A285" s="34">
        <f t="shared" si="1"/>
        <v>283</v>
      </c>
      <c r="B285" s="29" t="s">
        <v>466</v>
      </c>
      <c r="C285" s="29" t="s">
        <v>1871</v>
      </c>
      <c r="D285" s="29" t="s">
        <v>1872</v>
      </c>
      <c r="E285" s="29" t="s">
        <v>1873</v>
      </c>
      <c r="F285" s="30" t="s">
        <v>1874</v>
      </c>
      <c r="G285" s="30" t="s">
        <v>1875</v>
      </c>
      <c r="H285" s="30" t="s">
        <v>1876</v>
      </c>
      <c r="I285" s="29" t="s">
        <v>127</v>
      </c>
      <c r="J285" s="31">
        <v>9.0</v>
      </c>
      <c r="K285" s="35"/>
      <c r="L285" s="35"/>
      <c r="M285" s="35"/>
      <c r="N285" s="35"/>
      <c r="O285" s="35"/>
      <c r="P285" s="35"/>
      <c r="Q285" s="35"/>
      <c r="R285" s="35"/>
      <c r="S285" s="37">
        <f>IF(B285="","",IF(ISNUMBER(J285),IF(J285&lt;=10,'Configuración'!$B$23,IF(J285&lt;=50,'Configuración'!$B$24,IF(J285&lt;=200,'Configuración'!$B$25,0))),0))</f>
        <v>12</v>
      </c>
      <c r="T285" s="37">
        <f>IF(B285="","",IF(ISNUMBER(SEARCH("information technology",I285))+ISNUMBER(SEARCH("software",I285))+ISNUMBER(SEARCH("internet",I285))+ISNUMBER(SEARCH("computer",I285))+ISNUMBER(SEARCH("saas",I285))+ISNUMBER(SEARCH("fintech",I285))+ISNUMBER(SEARCH("information services",I285))+ISNUMBER(SEARCH("telecommunications",I285))&gt;0,'Configuración'!$B$27,'Configuración'!$B$28))</f>
        <v>12</v>
      </c>
      <c r="U285" s="25">
        <f>IF(B285="","",IF(ISNUMBER(SEARCH("CEO",C285))+ISNUMBER(SEARCH("Founder",C285))+ISNUMBER(SEARCH("Owner",C285))+ISNUMBER(SEARCH("Dueño",C285))+ISNUMBER(SEARCH("Director General",C285))+ISNUMBER(SEARCH("Presidente",C285))+ISNUMBER(SEARCH("President",C285))&gt;0,'Configuración'!$B$31,IF(ISNUMBER(SEARCH("CMO",C285))+ISNUMBER(SEARCH("Chief Marketing",C285))+ISNUMBER(SEARCH("VP Marketing",C285))+ISNUMBER(SEARCH("Director de Marketing",C285))+ISNUMBER(SEARCH("Director Marketing",C285))+ISNUMBER(SEARCH("Head of Marketing",C285))+ISNUMBER(SEARCH("Head Marketing",C285))&gt;0,'Configuración'!$B$32,IF(ISNUMBER(SEARCH("Marketing Manager",C285))+ISNUMBER(SEARCH("Gerente de Marketing",C285))+ISNUMBER(SEARCH("Growth Manager",C285))+ISNUMBER(SEARCH("Demand Gen",C285))+ISNUMBER(SEARCH("Marketing Lead",C285))&gt;0,'Configuración'!$B$33,IF(ISNUMBER(SEARCH("COO",C285))+ISNUMBER(SEARCH("CFO",C285))+ISNUMBER(SEARCH("CTO",C285))+ISNUMBER(SEARCH("Chief Operating",C285))+ISNUMBER(SEARCH("Chief Financial",C285))+ISNUMBER(SEARCH("Gerente General",C285))+ISNUMBER(SEARCH("General Manager",C285))&gt;0,'Configuración'!$B$34,'Configuración'!$B$35)))))</f>
        <v>12</v>
      </c>
      <c r="V285" s="38">
        <f>IF(B285="","",IF(K285="Sí",'Configuración'!$B$5,0)+IF(L285="Semanal",'Configuración'!$B$6,IF(L285="Mensual",'Configuración'!$B$7,0))+IF(M285="Sí",'Configuración'!$B$8,0)+IF(N285="Sí",'Configuración'!$B$9,0)+IF(O285="Sí",'Configuración'!$B$10,0)+IF(P285="Sí",'Configuración'!$B$11,0)+IF(Q285="Sí",'Configuración'!$B$12,0)+S285+T285+U285)</f>
        <v>36</v>
      </c>
      <c r="W285" s="39" t="str">
        <f>IF(B285="","",IF(V285&gt;='Configuración'!$B$19,"A",IF(V285&gt;='Configuración'!$B$20,"B",IF(V285&gt;='Configuración'!$B$21,"C","Descarte"))))</f>
        <v>C</v>
      </c>
    </row>
    <row r="286" ht="15.75" customHeight="1">
      <c r="A286" s="34">
        <f t="shared" si="1"/>
        <v>284</v>
      </c>
      <c r="B286" s="29" t="s">
        <v>159</v>
      </c>
      <c r="C286" s="29" t="s">
        <v>597</v>
      </c>
      <c r="D286" s="40" t="s">
        <v>1877</v>
      </c>
      <c r="E286" s="29" t="s">
        <v>1878</v>
      </c>
      <c r="F286" s="30" t="s">
        <v>1879</v>
      </c>
      <c r="G286" s="30" t="s">
        <v>1880</v>
      </c>
      <c r="H286" s="30" t="s">
        <v>1881</v>
      </c>
      <c r="I286" s="29" t="s">
        <v>337</v>
      </c>
      <c r="J286" s="31">
        <v>12.0</v>
      </c>
      <c r="K286" s="35"/>
      <c r="L286" s="35"/>
      <c r="M286" s="35"/>
      <c r="N286" s="35"/>
      <c r="O286" s="35"/>
      <c r="P286" s="35"/>
      <c r="Q286" s="35"/>
      <c r="R286" s="35"/>
      <c r="S286" s="37">
        <f>IF(B286="","",IF(ISNUMBER(J286),IF(J286&lt;=10,'Configuración'!$B$23,IF(J286&lt;=50,'Configuración'!$B$24,IF(J286&lt;=200,'Configuración'!$B$25,0))),0))</f>
        <v>4</v>
      </c>
      <c r="T286" s="37">
        <f>IF(B286="","",IF(ISNUMBER(SEARCH("information technology",I286))+ISNUMBER(SEARCH("software",I286))+ISNUMBER(SEARCH("internet",I286))+ISNUMBER(SEARCH("computer",I286))+ISNUMBER(SEARCH("saas",I286))+ISNUMBER(SEARCH("fintech",I286))+ISNUMBER(SEARCH("information services",I286))+ISNUMBER(SEARCH("telecommunications",I286))&gt;0,'Configuración'!$B$27,'Configuración'!$B$28))</f>
        <v>4</v>
      </c>
      <c r="U286" s="25">
        <f>IF(B286="","",IF(ISNUMBER(SEARCH("CEO",C286))+ISNUMBER(SEARCH("Founder",C286))+ISNUMBER(SEARCH("Owner",C286))+ISNUMBER(SEARCH("Dueño",C286))+ISNUMBER(SEARCH("Director General",C286))+ISNUMBER(SEARCH("Presidente",C286))+ISNUMBER(SEARCH("President",C286))&gt;0,'Configuración'!$B$31,IF(ISNUMBER(SEARCH("CMO",C286))+ISNUMBER(SEARCH("Chief Marketing",C286))+ISNUMBER(SEARCH("VP Marketing",C286))+ISNUMBER(SEARCH("Director de Marketing",C286))+ISNUMBER(SEARCH("Director Marketing",C286))+ISNUMBER(SEARCH("Head of Marketing",C286))+ISNUMBER(SEARCH("Head Marketing",C286))&gt;0,'Configuración'!$B$32,IF(ISNUMBER(SEARCH("Marketing Manager",C286))+ISNUMBER(SEARCH("Gerente de Marketing",C286))+ISNUMBER(SEARCH("Growth Manager",C286))+ISNUMBER(SEARCH("Demand Gen",C286))+ISNUMBER(SEARCH("Marketing Lead",C286))&gt;0,'Configuración'!$B$33,IF(ISNUMBER(SEARCH("COO",C286))+ISNUMBER(SEARCH("CFO",C286))+ISNUMBER(SEARCH("CTO",C286))+ISNUMBER(SEARCH("Chief Operating",C286))+ISNUMBER(SEARCH("Chief Financial",C286))+ISNUMBER(SEARCH("Gerente General",C286))+ISNUMBER(SEARCH("General Manager",C286))&gt;0,'Configuración'!$B$34,'Configuración'!$B$35)))))</f>
        <v>12</v>
      </c>
      <c r="V286" s="38">
        <f>IF(B286="","",IF(K286="Sí",'Configuración'!$B$5,0)+IF(L286="Semanal",'Configuración'!$B$6,IF(L286="Mensual",'Configuración'!$B$7,0))+IF(M286="Sí",'Configuración'!$B$8,0)+IF(N286="Sí",'Configuración'!$B$9,0)+IF(O286="Sí",'Configuración'!$B$10,0)+IF(P286="Sí",'Configuración'!$B$11,0)+IF(Q286="Sí",'Configuración'!$B$12,0)+S286+T286+U286)</f>
        <v>20</v>
      </c>
      <c r="W286" s="39" t="str">
        <f>IF(B286="","",IF(V286&gt;='Configuración'!$B$19,"A",IF(V286&gt;='Configuración'!$B$20,"B",IF(V286&gt;='Configuración'!$B$21,"C","Descarte"))))</f>
        <v>Descarte</v>
      </c>
    </row>
    <row r="287" ht="15.75" customHeight="1">
      <c r="A287" s="34">
        <f t="shared" si="1"/>
        <v>285</v>
      </c>
      <c r="B287" s="29" t="s">
        <v>1882</v>
      </c>
      <c r="C287" s="29" t="s">
        <v>146</v>
      </c>
      <c r="D287" s="30" t="s">
        <v>1883</v>
      </c>
      <c r="E287" s="29" t="s">
        <v>1884</v>
      </c>
      <c r="F287" s="30" t="s">
        <v>1885</v>
      </c>
      <c r="G287" s="30" t="s">
        <v>1886</v>
      </c>
      <c r="H287" s="30" t="s">
        <v>1887</v>
      </c>
      <c r="I287" s="29" t="s">
        <v>127</v>
      </c>
      <c r="J287" s="31">
        <v>6.0</v>
      </c>
      <c r="K287" s="35"/>
      <c r="L287" s="35"/>
      <c r="M287" s="35"/>
      <c r="N287" s="35"/>
      <c r="O287" s="35"/>
      <c r="P287" s="35"/>
      <c r="Q287" s="35"/>
      <c r="R287" s="35"/>
      <c r="S287" s="37">
        <f>IF(B287="","",IF(ISNUMBER(J287),IF(J287&lt;=10,'Configuración'!$B$23,IF(J287&lt;=50,'Configuración'!$B$24,IF(J287&lt;=200,'Configuración'!$B$25,0))),0))</f>
        <v>12</v>
      </c>
      <c r="T287" s="37">
        <f>IF(B287="","",IF(ISNUMBER(SEARCH("information technology",I287))+ISNUMBER(SEARCH("software",I287))+ISNUMBER(SEARCH("internet",I287))+ISNUMBER(SEARCH("computer",I287))+ISNUMBER(SEARCH("saas",I287))+ISNUMBER(SEARCH("fintech",I287))+ISNUMBER(SEARCH("information services",I287))+ISNUMBER(SEARCH("telecommunications",I287))&gt;0,'Configuración'!$B$27,'Configuración'!$B$28))</f>
        <v>12</v>
      </c>
      <c r="U287" s="25">
        <f>IF(B287="","",IF(ISNUMBER(SEARCH("CEO",C287))+ISNUMBER(SEARCH("Founder",C287))+ISNUMBER(SEARCH("Owner",C287))+ISNUMBER(SEARCH("Dueño",C287))+ISNUMBER(SEARCH("Director General",C287))+ISNUMBER(SEARCH("Presidente",C287))+ISNUMBER(SEARCH("President",C287))&gt;0,'Configuración'!$B$31,IF(ISNUMBER(SEARCH("CMO",C287))+ISNUMBER(SEARCH("Chief Marketing",C287))+ISNUMBER(SEARCH("VP Marketing",C287))+ISNUMBER(SEARCH("Director de Marketing",C287))+ISNUMBER(SEARCH("Director Marketing",C287))+ISNUMBER(SEARCH("Head of Marketing",C287))+ISNUMBER(SEARCH("Head Marketing",C287))&gt;0,'Configuración'!$B$32,IF(ISNUMBER(SEARCH("Marketing Manager",C287))+ISNUMBER(SEARCH("Gerente de Marketing",C287))+ISNUMBER(SEARCH("Growth Manager",C287))+ISNUMBER(SEARCH("Demand Gen",C287))+ISNUMBER(SEARCH("Marketing Lead",C287))&gt;0,'Configuración'!$B$33,IF(ISNUMBER(SEARCH("COO",C287))+ISNUMBER(SEARCH("CFO",C287))+ISNUMBER(SEARCH("CTO",C287))+ISNUMBER(SEARCH("Chief Operating",C287))+ISNUMBER(SEARCH("Chief Financial",C287))+ISNUMBER(SEARCH("Gerente General",C287))+ISNUMBER(SEARCH("General Manager",C287))&gt;0,'Configuración'!$B$34,'Configuración'!$B$35)))))</f>
        <v>0</v>
      </c>
      <c r="V287" s="38">
        <f>IF(B287="","",IF(K287="Sí",'Configuración'!$B$5,0)+IF(L287="Semanal",'Configuración'!$B$6,IF(L287="Mensual",'Configuración'!$B$7,0))+IF(M287="Sí",'Configuración'!$B$8,0)+IF(N287="Sí",'Configuración'!$B$9,0)+IF(O287="Sí",'Configuración'!$B$10,0)+IF(P287="Sí",'Configuración'!$B$11,0)+IF(Q287="Sí",'Configuración'!$B$12,0)+S287+T287+U287)</f>
        <v>24</v>
      </c>
      <c r="W287" s="39" t="str">
        <f>IF(B287="","",IF(V287&gt;='Configuración'!$B$19,"A",IF(V287&gt;='Configuración'!$B$20,"B",IF(V287&gt;='Configuración'!$B$21,"C","Descarte"))))</f>
        <v>C</v>
      </c>
    </row>
    <row r="288" ht="15.75" customHeight="1">
      <c r="A288" s="34">
        <f t="shared" si="1"/>
        <v>286</v>
      </c>
      <c r="B288" s="29" t="s">
        <v>501</v>
      </c>
      <c r="C288" s="29" t="s">
        <v>175</v>
      </c>
      <c r="D288" s="29" t="s">
        <v>1888</v>
      </c>
      <c r="E288" s="29" t="s">
        <v>1889</v>
      </c>
      <c r="F288" s="30" t="s">
        <v>1890</v>
      </c>
      <c r="G288" s="30" t="s">
        <v>1891</v>
      </c>
      <c r="H288" s="30" t="s">
        <v>1892</v>
      </c>
      <c r="I288" s="29" t="s">
        <v>127</v>
      </c>
      <c r="J288" s="31">
        <v>1.0</v>
      </c>
      <c r="K288" s="35"/>
      <c r="L288" s="35"/>
      <c r="M288" s="35"/>
      <c r="N288" s="35"/>
      <c r="O288" s="35"/>
      <c r="P288" s="35"/>
      <c r="Q288" s="35"/>
      <c r="R288" s="35"/>
      <c r="S288" s="37">
        <f>IF(B288="","",IF(ISNUMBER(J288),IF(J288&lt;=10,'Configuración'!$B$23,IF(J288&lt;=50,'Configuración'!$B$24,IF(J288&lt;=200,'Configuración'!$B$25,0))),0))</f>
        <v>12</v>
      </c>
      <c r="T288" s="37">
        <f>IF(B288="","",IF(ISNUMBER(SEARCH("information technology",I288))+ISNUMBER(SEARCH("software",I288))+ISNUMBER(SEARCH("internet",I288))+ISNUMBER(SEARCH("computer",I288))+ISNUMBER(SEARCH("saas",I288))+ISNUMBER(SEARCH("fintech",I288))+ISNUMBER(SEARCH("information services",I288))+ISNUMBER(SEARCH("telecommunications",I288))&gt;0,'Configuración'!$B$27,'Configuración'!$B$28))</f>
        <v>12</v>
      </c>
      <c r="U288" s="25">
        <f>IF(B288="","",IF(ISNUMBER(SEARCH("CEO",C288))+ISNUMBER(SEARCH("Founder",C288))+ISNUMBER(SEARCH("Owner",C288))+ISNUMBER(SEARCH("Dueño",C288))+ISNUMBER(SEARCH("Director General",C288))+ISNUMBER(SEARCH("Presidente",C288))+ISNUMBER(SEARCH("President",C288))&gt;0,'Configuración'!$B$31,IF(ISNUMBER(SEARCH("CMO",C288))+ISNUMBER(SEARCH("Chief Marketing",C288))+ISNUMBER(SEARCH("VP Marketing",C288))+ISNUMBER(SEARCH("Director de Marketing",C288))+ISNUMBER(SEARCH("Director Marketing",C288))+ISNUMBER(SEARCH("Head of Marketing",C288))+ISNUMBER(SEARCH("Head Marketing",C288))&gt;0,'Configuración'!$B$32,IF(ISNUMBER(SEARCH("Marketing Manager",C288))+ISNUMBER(SEARCH("Gerente de Marketing",C288))+ISNUMBER(SEARCH("Growth Manager",C288))+ISNUMBER(SEARCH("Demand Gen",C288))+ISNUMBER(SEARCH("Marketing Lead",C288))&gt;0,'Configuración'!$B$33,IF(ISNUMBER(SEARCH("COO",C288))+ISNUMBER(SEARCH("CFO",C288))+ISNUMBER(SEARCH("CTO",C288))+ISNUMBER(SEARCH("Chief Operating",C288))+ISNUMBER(SEARCH("Chief Financial",C288))+ISNUMBER(SEARCH("Gerente General",C288))+ISNUMBER(SEARCH("General Manager",C288))&gt;0,'Configuración'!$B$34,'Configuración'!$B$35)))))</f>
        <v>12</v>
      </c>
      <c r="V288" s="38">
        <f>IF(B288="","",IF(K288="Sí",'Configuración'!$B$5,0)+IF(L288="Semanal",'Configuración'!$B$6,IF(L288="Mensual",'Configuración'!$B$7,0))+IF(M288="Sí",'Configuración'!$B$8,0)+IF(N288="Sí",'Configuración'!$B$9,0)+IF(O288="Sí",'Configuración'!$B$10,0)+IF(P288="Sí",'Configuración'!$B$11,0)+IF(Q288="Sí",'Configuración'!$B$12,0)+S288+T288+U288)</f>
        <v>36</v>
      </c>
      <c r="W288" s="39" t="str">
        <f>IF(B288="","",IF(V288&gt;='Configuración'!$B$19,"A",IF(V288&gt;='Configuración'!$B$20,"B",IF(V288&gt;='Configuración'!$B$21,"C","Descarte"))))</f>
        <v>C</v>
      </c>
    </row>
    <row r="289" ht="15.75" customHeight="1">
      <c r="A289" s="34">
        <f t="shared" si="1"/>
        <v>287</v>
      </c>
      <c r="B289" s="29" t="s">
        <v>1008</v>
      </c>
      <c r="C289" s="29" t="s">
        <v>121</v>
      </c>
      <c r="D289" s="29" t="s">
        <v>1893</v>
      </c>
      <c r="E289" s="29" t="s">
        <v>1894</v>
      </c>
      <c r="F289" s="30" t="s">
        <v>1895</v>
      </c>
      <c r="G289" s="30" t="s">
        <v>1896</v>
      </c>
      <c r="H289" s="30" t="s">
        <v>1897</v>
      </c>
      <c r="I289" s="29" t="s">
        <v>127</v>
      </c>
      <c r="J289" s="31">
        <v>20.0</v>
      </c>
      <c r="K289" s="35"/>
      <c r="L289" s="35"/>
      <c r="M289" s="35"/>
      <c r="N289" s="35"/>
      <c r="O289" s="35"/>
      <c r="P289" s="35"/>
      <c r="Q289" s="35"/>
      <c r="R289" s="35"/>
      <c r="S289" s="37">
        <f>IF(B289="","",IF(ISNUMBER(J289),IF(J289&lt;=10,'Configuración'!$B$23,IF(J289&lt;=50,'Configuración'!$B$24,IF(J289&lt;=200,'Configuración'!$B$25,0))),0))</f>
        <v>4</v>
      </c>
      <c r="T289" s="37">
        <f>IF(B289="","",IF(ISNUMBER(SEARCH("information technology",I289))+ISNUMBER(SEARCH("software",I289))+ISNUMBER(SEARCH("internet",I289))+ISNUMBER(SEARCH("computer",I289))+ISNUMBER(SEARCH("saas",I289))+ISNUMBER(SEARCH("fintech",I289))+ISNUMBER(SEARCH("information services",I289))+ISNUMBER(SEARCH("telecommunications",I289))&gt;0,'Configuración'!$B$27,'Configuración'!$B$28))</f>
        <v>12</v>
      </c>
      <c r="U289" s="25">
        <f>IF(B289="","",IF(ISNUMBER(SEARCH("CEO",C289))+ISNUMBER(SEARCH("Founder",C289))+ISNUMBER(SEARCH("Owner",C289))+ISNUMBER(SEARCH("Dueño",C289))+ISNUMBER(SEARCH("Director General",C289))+ISNUMBER(SEARCH("Presidente",C289))+ISNUMBER(SEARCH("President",C289))&gt;0,'Configuración'!$B$31,IF(ISNUMBER(SEARCH("CMO",C289))+ISNUMBER(SEARCH("Chief Marketing",C289))+ISNUMBER(SEARCH("VP Marketing",C289))+ISNUMBER(SEARCH("Director de Marketing",C289))+ISNUMBER(SEARCH("Director Marketing",C289))+ISNUMBER(SEARCH("Head of Marketing",C289))+ISNUMBER(SEARCH("Head Marketing",C289))&gt;0,'Configuración'!$B$32,IF(ISNUMBER(SEARCH("Marketing Manager",C289))+ISNUMBER(SEARCH("Gerente de Marketing",C289))+ISNUMBER(SEARCH("Growth Manager",C289))+ISNUMBER(SEARCH("Demand Gen",C289))+ISNUMBER(SEARCH("Marketing Lead",C289))&gt;0,'Configuración'!$B$33,IF(ISNUMBER(SEARCH("COO",C289))+ISNUMBER(SEARCH("CFO",C289))+ISNUMBER(SEARCH("CTO",C289))+ISNUMBER(SEARCH("Chief Operating",C289))+ISNUMBER(SEARCH("Chief Financial",C289))+ISNUMBER(SEARCH("Gerente General",C289))+ISNUMBER(SEARCH("General Manager",C289))&gt;0,'Configuración'!$B$34,'Configuración'!$B$35)))))</f>
        <v>12</v>
      </c>
      <c r="V289" s="38">
        <f>IF(B289="","",IF(K289="Sí",'Configuración'!$B$5,0)+IF(L289="Semanal",'Configuración'!$B$6,IF(L289="Mensual",'Configuración'!$B$7,0))+IF(M289="Sí",'Configuración'!$B$8,0)+IF(N289="Sí",'Configuración'!$B$9,0)+IF(O289="Sí",'Configuración'!$B$10,0)+IF(P289="Sí",'Configuración'!$B$11,0)+IF(Q289="Sí",'Configuración'!$B$12,0)+S289+T289+U289)</f>
        <v>28</v>
      </c>
      <c r="W289" s="39" t="str">
        <f>IF(B289="","",IF(V289&gt;='Configuración'!$B$19,"A",IF(V289&gt;='Configuración'!$B$20,"B",IF(V289&gt;='Configuración'!$B$21,"C","Descarte"))))</f>
        <v>C</v>
      </c>
    </row>
    <row r="290" ht="15.75" customHeight="1">
      <c r="A290" s="34">
        <f t="shared" si="1"/>
        <v>288</v>
      </c>
      <c r="B290" s="29" t="s">
        <v>174</v>
      </c>
      <c r="C290" s="29" t="s">
        <v>1898</v>
      </c>
      <c r="D290" s="29" t="s">
        <v>1899</v>
      </c>
      <c r="E290" s="29" t="s">
        <v>1900</v>
      </c>
      <c r="F290" s="30" t="s">
        <v>1901</v>
      </c>
      <c r="G290" s="30" t="s">
        <v>1902</v>
      </c>
      <c r="H290" s="30" t="s">
        <v>1903</v>
      </c>
      <c r="I290" s="29" t="s">
        <v>127</v>
      </c>
      <c r="J290" s="31">
        <v>5.0</v>
      </c>
      <c r="K290" s="35"/>
      <c r="L290" s="35"/>
      <c r="M290" s="35"/>
      <c r="N290" s="35"/>
      <c r="O290" s="35"/>
      <c r="P290" s="35"/>
      <c r="Q290" s="35"/>
      <c r="R290" s="35"/>
      <c r="S290" s="37">
        <f>IF(B290="","",IF(ISNUMBER(J290),IF(J290&lt;=10,'Configuración'!$B$23,IF(J290&lt;=50,'Configuración'!$B$24,IF(J290&lt;=200,'Configuración'!$B$25,0))),0))</f>
        <v>12</v>
      </c>
      <c r="T290" s="37">
        <f>IF(B290="","",IF(ISNUMBER(SEARCH("information technology",I290))+ISNUMBER(SEARCH("software",I290))+ISNUMBER(SEARCH("internet",I290))+ISNUMBER(SEARCH("computer",I290))+ISNUMBER(SEARCH("saas",I290))+ISNUMBER(SEARCH("fintech",I290))+ISNUMBER(SEARCH("information services",I290))+ISNUMBER(SEARCH("telecommunications",I290))&gt;0,'Configuración'!$B$27,'Configuración'!$B$28))</f>
        <v>12</v>
      </c>
      <c r="U290" s="25">
        <f>IF(B290="","",IF(ISNUMBER(SEARCH("CEO",C290))+ISNUMBER(SEARCH("Founder",C290))+ISNUMBER(SEARCH("Owner",C290))+ISNUMBER(SEARCH("Dueño",C290))+ISNUMBER(SEARCH("Director General",C290))+ISNUMBER(SEARCH("Presidente",C290))+ISNUMBER(SEARCH("President",C290))&gt;0,'Configuración'!$B$31,IF(ISNUMBER(SEARCH("CMO",C290))+ISNUMBER(SEARCH("Chief Marketing",C290))+ISNUMBER(SEARCH("VP Marketing",C290))+ISNUMBER(SEARCH("Director de Marketing",C290))+ISNUMBER(SEARCH("Director Marketing",C290))+ISNUMBER(SEARCH("Head of Marketing",C290))+ISNUMBER(SEARCH("Head Marketing",C290))&gt;0,'Configuración'!$B$32,IF(ISNUMBER(SEARCH("Marketing Manager",C290))+ISNUMBER(SEARCH("Gerente de Marketing",C290))+ISNUMBER(SEARCH("Growth Manager",C290))+ISNUMBER(SEARCH("Demand Gen",C290))+ISNUMBER(SEARCH("Marketing Lead",C290))&gt;0,'Configuración'!$B$33,IF(ISNUMBER(SEARCH("COO",C290))+ISNUMBER(SEARCH("CFO",C290))+ISNUMBER(SEARCH("CTO",C290))+ISNUMBER(SEARCH("Chief Operating",C290))+ISNUMBER(SEARCH("Chief Financial",C290))+ISNUMBER(SEARCH("Gerente General",C290))+ISNUMBER(SEARCH("General Manager",C290))&gt;0,'Configuración'!$B$34,'Configuración'!$B$35)))))</f>
        <v>12</v>
      </c>
      <c r="V290" s="38">
        <f>IF(B290="","",IF(K290="Sí",'Configuración'!$B$5,0)+IF(L290="Semanal",'Configuración'!$B$6,IF(L290="Mensual",'Configuración'!$B$7,0))+IF(M290="Sí",'Configuración'!$B$8,0)+IF(N290="Sí",'Configuración'!$B$9,0)+IF(O290="Sí",'Configuración'!$B$10,0)+IF(P290="Sí",'Configuración'!$B$11,0)+IF(Q290="Sí",'Configuración'!$B$12,0)+S290+T290+U290)</f>
        <v>36</v>
      </c>
      <c r="W290" s="39" t="str">
        <f>IF(B290="","",IF(V290&gt;='Configuración'!$B$19,"A",IF(V290&gt;='Configuración'!$B$20,"B",IF(V290&gt;='Configuración'!$B$21,"C","Descarte"))))</f>
        <v>C</v>
      </c>
    </row>
    <row r="291" ht="15.75" customHeight="1">
      <c r="A291" s="34">
        <f t="shared" si="1"/>
        <v>289</v>
      </c>
      <c r="B291" s="29" t="s">
        <v>1821</v>
      </c>
      <c r="C291" s="29" t="s">
        <v>146</v>
      </c>
      <c r="D291" s="29" t="s">
        <v>1904</v>
      </c>
      <c r="E291" s="29" t="s">
        <v>1905</v>
      </c>
      <c r="F291" s="30" t="s">
        <v>1906</v>
      </c>
      <c r="G291" s="30" t="s">
        <v>1907</v>
      </c>
      <c r="H291" s="30" t="s">
        <v>1908</v>
      </c>
      <c r="I291" s="29" t="s">
        <v>1909</v>
      </c>
      <c r="J291" s="31">
        <v>3.0</v>
      </c>
      <c r="K291" s="35"/>
      <c r="L291" s="35"/>
      <c r="M291" s="35"/>
      <c r="N291" s="35"/>
      <c r="O291" s="35"/>
      <c r="P291" s="35"/>
      <c r="Q291" s="35"/>
      <c r="R291" s="35"/>
      <c r="S291" s="37">
        <f>IF(B291="","",IF(ISNUMBER(J291),IF(J291&lt;=10,'Configuración'!$B$23,IF(J291&lt;=50,'Configuración'!$B$24,IF(J291&lt;=200,'Configuración'!$B$25,0))),0))</f>
        <v>12</v>
      </c>
      <c r="T291" s="37">
        <f>IF(B291="","",IF(ISNUMBER(SEARCH("information technology",I291))+ISNUMBER(SEARCH("software",I291))+ISNUMBER(SEARCH("internet",I291))+ISNUMBER(SEARCH("computer",I291))+ISNUMBER(SEARCH("saas",I291))+ISNUMBER(SEARCH("fintech",I291))+ISNUMBER(SEARCH("information services",I291))+ISNUMBER(SEARCH("telecommunications",I291))&gt;0,'Configuración'!$B$27,'Configuración'!$B$28))</f>
        <v>4</v>
      </c>
      <c r="U291" s="25">
        <f>IF(B291="","",IF(ISNUMBER(SEARCH("CEO",C291))+ISNUMBER(SEARCH("Founder",C291))+ISNUMBER(SEARCH("Owner",C291))+ISNUMBER(SEARCH("Dueño",C291))+ISNUMBER(SEARCH("Director General",C291))+ISNUMBER(SEARCH("Presidente",C291))+ISNUMBER(SEARCH("President",C291))&gt;0,'Configuración'!$B$31,IF(ISNUMBER(SEARCH("CMO",C291))+ISNUMBER(SEARCH("Chief Marketing",C291))+ISNUMBER(SEARCH("VP Marketing",C291))+ISNUMBER(SEARCH("Director de Marketing",C291))+ISNUMBER(SEARCH("Director Marketing",C291))+ISNUMBER(SEARCH("Head of Marketing",C291))+ISNUMBER(SEARCH("Head Marketing",C291))&gt;0,'Configuración'!$B$32,IF(ISNUMBER(SEARCH("Marketing Manager",C291))+ISNUMBER(SEARCH("Gerente de Marketing",C291))+ISNUMBER(SEARCH("Growth Manager",C291))+ISNUMBER(SEARCH("Demand Gen",C291))+ISNUMBER(SEARCH("Marketing Lead",C291))&gt;0,'Configuración'!$B$33,IF(ISNUMBER(SEARCH("COO",C291))+ISNUMBER(SEARCH("CFO",C291))+ISNUMBER(SEARCH("CTO",C291))+ISNUMBER(SEARCH("Chief Operating",C291))+ISNUMBER(SEARCH("Chief Financial",C291))+ISNUMBER(SEARCH("Gerente General",C291))+ISNUMBER(SEARCH("General Manager",C291))&gt;0,'Configuración'!$B$34,'Configuración'!$B$35)))))</f>
        <v>0</v>
      </c>
      <c r="V291" s="38">
        <f>IF(B291="","",IF(K291="Sí",'Configuración'!$B$5,0)+IF(L291="Semanal",'Configuración'!$B$6,IF(L291="Mensual",'Configuración'!$B$7,0))+IF(M291="Sí",'Configuración'!$B$8,0)+IF(N291="Sí",'Configuración'!$B$9,0)+IF(O291="Sí",'Configuración'!$B$10,0)+IF(P291="Sí",'Configuración'!$B$11,0)+IF(Q291="Sí",'Configuración'!$B$12,0)+S291+T291+U291)</f>
        <v>16</v>
      </c>
      <c r="W291" s="39" t="str">
        <f>IF(B291="","",IF(V291&gt;='Configuración'!$B$19,"A",IF(V291&gt;='Configuración'!$B$20,"B",IF(V291&gt;='Configuración'!$B$21,"C","Descarte"))))</f>
        <v>Descarte</v>
      </c>
    </row>
    <row r="292" ht="15.75" customHeight="1">
      <c r="A292" s="34">
        <f t="shared" si="1"/>
        <v>290</v>
      </c>
      <c r="B292" s="29" t="s">
        <v>1103</v>
      </c>
      <c r="C292" s="29" t="s">
        <v>1910</v>
      </c>
      <c r="D292" s="29" t="s">
        <v>1911</v>
      </c>
      <c r="E292" s="29" t="s">
        <v>1912</v>
      </c>
      <c r="F292" s="30" t="s">
        <v>1913</v>
      </c>
      <c r="G292" s="30" t="s">
        <v>1914</v>
      </c>
      <c r="H292" s="30" t="s">
        <v>1915</v>
      </c>
      <c r="I292" s="29" t="s">
        <v>116</v>
      </c>
      <c r="J292" s="31">
        <v>13.0</v>
      </c>
      <c r="K292" s="35"/>
      <c r="L292" s="35"/>
      <c r="M292" s="35"/>
      <c r="N292" s="35"/>
      <c r="O292" s="35"/>
      <c r="P292" s="35"/>
      <c r="Q292" s="35"/>
      <c r="R292" s="35"/>
      <c r="S292" s="37">
        <f>IF(B292="","",IF(ISNUMBER(J292),IF(J292&lt;=10,'Configuración'!$B$23,IF(J292&lt;=50,'Configuración'!$B$24,IF(J292&lt;=200,'Configuración'!$B$25,0))),0))</f>
        <v>4</v>
      </c>
      <c r="T292" s="37">
        <f>IF(B292="","",IF(ISNUMBER(SEARCH("information technology",I292))+ISNUMBER(SEARCH("software",I292))+ISNUMBER(SEARCH("internet",I292))+ISNUMBER(SEARCH("computer",I292))+ISNUMBER(SEARCH("saas",I292))+ISNUMBER(SEARCH("fintech",I292))+ISNUMBER(SEARCH("information services",I292))+ISNUMBER(SEARCH("telecommunications",I292))&gt;0,'Configuración'!$B$27,'Configuración'!$B$28))</f>
        <v>4</v>
      </c>
      <c r="U292" s="25">
        <f>IF(B292="","",IF(ISNUMBER(SEARCH("CEO",C292))+ISNUMBER(SEARCH("Founder",C292))+ISNUMBER(SEARCH("Owner",C292))+ISNUMBER(SEARCH("Dueño",C292))+ISNUMBER(SEARCH("Director General",C292))+ISNUMBER(SEARCH("Presidente",C292))+ISNUMBER(SEARCH("President",C292))&gt;0,'Configuración'!$B$31,IF(ISNUMBER(SEARCH("CMO",C292))+ISNUMBER(SEARCH("Chief Marketing",C292))+ISNUMBER(SEARCH("VP Marketing",C292))+ISNUMBER(SEARCH("Director de Marketing",C292))+ISNUMBER(SEARCH("Director Marketing",C292))+ISNUMBER(SEARCH("Head of Marketing",C292))+ISNUMBER(SEARCH("Head Marketing",C292))&gt;0,'Configuración'!$B$32,IF(ISNUMBER(SEARCH("Marketing Manager",C292))+ISNUMBER(SEARCH("Gerente de Marketing",C292))+ISNUMBER(SEARCH("Growth Manager",C292))+ISNUMBER(SEARCH("Demand Gen",C292))+ISNUMBER(SEARCH("Marketing Lead",C292))&gt;0,'Configuración'!$B$33,IF(ISNUMBER(SEARCH("COO",C292))+ISNUMBER(SEARCH("CFO",C292))+ISNUMBER(SEARCH("CTO",C292))+ISNUMBER(SEARCH("Chief Operating",C292))+ISNUMBER(SEARCH("Chief Financial",C292))+ISNUMBER(SEARCH("Gerente General",C292))+ISNUMBER(SEARCH("General Manager",C292))&gt;0,'Configuración'!$B$34,'Configuración'!$B$35)))))</f>
        <v>0</v>
      </c>
      <c r="V292" s="38">
        <f>IF(B292="","",IF(K292="Sí",'Configuración'!$B$5,0)+IF(L292="Semanal",'Configuración'!$B$6,IF(L292="Mensual",'Configuración'!$B$7,0))+IF(M292="Sí",'Configuración'!$B$8,0)+IF(N292="Sí",'Configuración'!$B$9,0)+IF(O292="Sí",'Configuración'!$B$10,0)+IF(P292="Sí",'Configuración'!$B$11,0)+IF(Q292="Sí",'Configuración'!$B$12,0)+S292+T292+U292)</f>
        <v>8</v>
      </c>
      <c r="W292" s="39" t="str">
        <f>IF(B292="","",IF(V292&gt;='Configuración'!$B$19,"A",IF(V292&gt;='Configuración'!$B$20,"B",IF(V292&gt;='Configuración'!$B$21,"C","Descarte"))))</f>
        <v>Descarte</v>
      </c>
    </row>
    <row r="293" ht="15.75" customHeight="1">
      <c r="A293" s="34">
        <f t="shared" si="1"/>
        <v>291</v>
      </c>
      <c r="B293" s="29" t="s">
        <v>762</v>
      </c>
      <c r="C293" s="29" t="s">
        <v>1916</v>
      </c>
      <c r="D293" s="29" t="s">
        <v>1917</v>
      </c>
      <c r="E293" s="29" t="s">
        <v>1918</v>
      </c>
      <c r="F293" s="30" t="s">
        <v>1919</v>
      </c>
      <c r="G293" s="30" t="s">
        <v>1920</v>
      </c>
      <c r="H293" s="30" t="s">
        <v>1921</v>
      </c>
      <c r="I293" s="29" t="s">
        <v>1922</v>
      </c>
      <c r="J293" s="31">
        <v>10.0</v>
      </c>
      <c r="K293" s="35"/>
      <c r="L293" s="35"/>
      <c r="M293" s="35"/>
      <c r="N293" s="35"/>
      <c r="O293" s="35"/>
      <c r="P293" s="35"/>
      <c r="Q293" s="35"/>
      <c r="R293" s="35"/>
      <c r="S293" s="37">
        <f>IF(B293="","",IF(ISNUMBER(J293),IF(J293&lt;=10,'Configuración'!$B$23,IF(J293&lt;=50,'Configuración'!$B$24,IF(J293&lt;=200,'Configuración'!$B$25,0))),0))</f>
        <v>12</v>
      </c>
      <c r="T293" s="37">
        <f>IF(B293="","",IF(ISNUMBER(SEARCH("information technology",I293))+ISNUMBER(SEARCH("software",I293))+ISNUMBER(SEARCH("internet",I293))+ISNUMBER(SEARCH("computer",I293))+ISNUMBER(SEARCH("saas",I293))+ISNUMBER(SEARCH("fintech",I293))+ISNUMBER(SEARCH("information services",I293))+ISNUMBER(SEARCH("telecommunications",I293))&gt;0,'Configuración'!$B$27,'Configuración'!$B$28))</f>
        <v>4</v>
      </c>
      <c r="U293" s="25">
        <f>IF(B293="","",IF(ISNUMBER(SEARCH("CEO",C293))+ISNUMBER(SEARCH("Founder",C293))+ISNUMBER(SEARCH("Owner",C293))+ISNUMBER(SEARCH("Dueño",C293))+ISNUMBER(SEARCH("Director General",C293))+ISNUMBER(SEARCH("Presidente",C293))+ISNUMBER(SEARCH("President",C293))&gt;0,'Configuración'!$B$31,IF(ISNUMBER(SEARCH("CMO",C293))+ISNUMBER(SEARCH("Chief Marketing",C293))+ISNUMBER(SEARCH("VP Marketing",C293))+ISNUMBER(SEARCH("Director de Marketing",C293))+ISNUMBER(SEARCH("Director Marketing",C293))+ISNUMBER(SEARCH("Head of Marketing",C293))+ISNUMBER(SEARCH("Head Marketing",C293))&gt;0,'Configuración'!$B$32,IF(ISNUMBER(SEARCH("Marketing Manager",C293))+ISNUMBER(SEARCH("Gerente de Marketing",C293))+ISNUMBER(SEARCH("Growth Manager",C293))+ISNUMBER(SEARCH("Demand Gen",C293))+ISNUMBER(SEARCH("Marketing Lead",C293))&gt;0,'Configuración'!$B$33,IF(ISNUMBER(SEARCH("COO",C293))+ISNUMBER(SEARCH("CFO",C293))+ISNUMBER(SEARCH("CTO",C293))+ISNUMBER(SEARCH("Chief Operating",C293))+ISNUMBER(SEARCH("Chief Financial",C293))+ISNUMBER(SEARCH("Gerente General",C293))+ISNUMBER(SEARCH("General Manager",C293))&gt;0,'Configuración'!$B$34,'Configuración'!$B$35)))))</f>
        <v>12</v>
      </c>
      <c r="V293" s="38">
        <f>IF(B293="","",IF(K293="Sí",'Configuración'!$B$5,0)+IF(L293="Semanal",'Configuración'!$B$6,IF(L293="Mensual",'Configuración'!$B$7,0))+IF(M293="Sí",'Configuración'!$B$8,0)+IF(N293="Sí",'Configuración'!$B$9,0)+IF(O293="Sí",'Configuración'!$B$10,0)+IF(P293="Sí",'Configuración'!$B$11,0)+IF(Q293="Sí",'Configuración'!$B$12,0)+S293+T293+U293)</f>
        <v>28</v>
      </c>
      <c r="W293" s="39" t="str">
        <f>IF(B293="","",IF(V293&gt;='Configuración'!$B$19,"A",IF(V293&gt;='Configuración'!$B$20,"B",IF(V293&gt;='Configuración'!$B$21,"C","Descarte"))))</f>
        <v>C</v>
      </c>
    </row>
    <row r="294" ht="15.75" customHeight="1">
      <c r="A294" s="34">
        <f t="shared" si="1"/>
        <v>292</v>
      </c>
      <c r="B294" s="29" t="s">
        <v>130</v>
      </c>
      <c r="C294" s="29" t="s">
        <v>1375</v>
      </c>
      <c r="D294" s="29" t="s">
        <v>1923</v>
      </c>
      <c r="E294" s="29"/>
      <c r="F294" s="30" t="s">
        <v>1924</v>
      </c>
      <c r="G294" s="30" t="s">
        <v>1925</v>
      </c>
      <c r="H294" s="30" t="s">
        <v>1926</v>
      </c>
      <c r="I294" s="29" t="s">
        <v>616</v>
      </c>
      <c r="J294" s="31">
        <v>5.0</v>
      </c>
      <c r="K294" s="35"/>
      <c r="L294" s="35"/>
      <c r="M294" s="35"/>
      <c r="N294" s="35"/>
      <c r="O294" s="35"/>
      <c r="P294" s="35"/>
      <c r="Q294" s="35"/>
      <c r="R294" s="35"/>
      <c r="S294" s="37">
        <f>IF(B294="","",IF(ISNUMBER(J294),IF(J294&lt;=10,'Configuración'!$B$23,IF(J294&lt;=50,'Configuración'!$B$24,IF(J294&lt;=200,'Configuración'!$B$25,0))),0))</f>
        <v>12</v>
      </c>
      <c r="T294" s="37">
        <f>IF(B294="","",IF(ISNUMBER(SEARCH("information technology",I294))+ISNUMBER(SEARCH("software",I294))+ISNUMBER(SEARCH("internet",I294))+ISNUMBER(SEARCH("computer",I294))+ISNUMBER(SEARCH("saas",I294))+ISNUMBER(SEARCH("fintech",I294))+ISNUMBER(SEARCH("information services",I294))+ISNUMBER(SEARCH("telecommunications",I294))&gt;0,'Configuración'!$B$27,'Configuración'!$B$28))</f>
        <v>4</v>
      </c>
      <c r="U294" s="25">
        <f>IF(B294="","",IF(ISNUMBER(SEARCH("CEO",C294))+ISNUMBER(SEARCH("Founder",C294))+ISNUMBER(SEARCH("Owner",C294))+ISNUMBER(SEARCH("Dueño",C294))+ISNUMBER(SEARCH("Director General",C294))+ISNUMBER(SEARCH("Presidente",C294))+ISNUMBER(SEARCH("President",C294))&gt;0,'Configuración'!$B$31,IF(ISNUMBER(SEARCH("CMO",C294))+ISNUMBER(SEARCH("Chief Marketing",C294))+ISNUMBER(SEARCH("VP Marketing",C294))+ISNUMBER(SEARCH("Director de Marketing",C294))+ISNUMBER(SEARCH("Director Marketing",C294))+ISNUMBER(SEARCH("Head of Marketing",C294))+ISNUMBER(SEARCH("Head Marketing",C294))&gt;0,'Configuración'!$B$32,IF(ISNUMBER(SEARCH("Marketing Manager",C294))+ISNUMBER(SEARCH("Gerente de Marketing",C294))+ISNUMBER(SEARCH("Growth Manager",C294))+ISNUMBER(SEARCH("Demand Gen",C294))+ISNUMBER(SEARCH("Marketing Lead",C294))&gt;0,'Configuración'!$B$33,IF(ISNUMBER(SEARCH("COO",C294))+ISNUMBER(SEARCH("CFO",C294))+ISNUMBER(SEARCH("CTO",C294))+ISNUMBER(SEARCH("Chief Operating",C294))+ISNUMBER(SEARCH("Chief Financial",C294))+ISNUMBER(SEARCH("Gerente General",C294))+ISNUMBER(SEARCH("General Manager",C294))&gt;0,'Configuración'!$B$34,'Configuración'!$B$35)))))</f>
        <v>4</v>
      </c>
      <c r="V294" s="38">
        <f>IF(B294="","",IF(K294="Sí",'Configuración'!$B$5,0)+IF(L294="Semanal",'Configuración'!$B$6,IF(L294="Mensual",'Configuración'!$B$7,0))+IF(M294="Sí",'Configuración'!$B$8,0)+IF(N294="Sí",'Configuración'!$B$9,0)+IF(O294="Sí",'Configuración'!$B$10,0)+IF(P294="Sí",'Configuración'!$B$11,0)+IF(Q294="Sí",'Configuración'!$B$12,0)+S294+T294+U294)</f>
        <v>20</v>
      </c>
      <c r="W294" s="39" t="str">
        <f>IF(B294="","",IF(V294&gt;='Configuración'!$B$19,"A",IF(V294&gt;='Configuración'!$B$20,"B",IF(V294&gt;='Configuración'!$B$21,"C","Descarte"))))</f>
        <v>Descarte</v>
      </c>
    </row>
    <row r="295" ht="15.75" customHeight="1">
      <c r="A295" s="34">
        <f t="shared" si="1"/>
        <v>293</v>
      </c>
      <c r="B295" s="29" t="s">
        <v>1927</v>
      </c>
      <c r="C295" s="29" t="s">
        <v>131</v>
      </c>
      <c r="D295" s="29" t="s">
        <v>1928</v>
      </c>
      <c r="E295" s="29" t="s">
        <v>1929</v>
      </c>
      <c r="F295" s="30" t="s">
        <v>1930</v>
      </c>
      <c r="G295" s="30" t="s">
        <v>1931</v>
      </c>
      <c r="H295" s="30" t="s">
        <v>1932</v>
      </c>
      <c r="I295" s="29" t="s">
        <v>288</v>
      </c>
      <c r="J295" s="31">
        <v>43.0</v>
      </c>
      <c r="K295" s="35"/>
      <c r="L295" s="35"/>
      <c r="M295" s="35"/>
      <c r="N295" s="35"/>
      <c r="O295" s="35"/>
      <c r="P295" s="35"/>
      <c r="Q295" s="35"/>
      <c r="R295" s="35"/>
      <c r="S295" s="37">
        <f>IF(B295="","",IF(ISNUMBER(J295),IF(J295&lt;=10,'Configuración'!$B$23,IF(J295&lt;=50,'Configuración'!$B$24,IF(J295&lt;=200,'Configuración'!$B$25,0))),0))</f>
        <v>4</v>
      </c>
      <c r="T295" s="37">
        <f>IF(B295="","",IF(ISNUMBER(SEARCH("information technology",I295))+ISNUMBER(SEARCH("software",I295))+ISNUMBER(SEARCH("internet",I295))+ISNUMBER(SEARCH("computer",I295))+ISNUMBER(SEARCH("saas",I295))+ISNUMBER(SEARCH("fintech",I295))+ISNUMBER(SEARCH("information services",I295))+ISNUMBER(SEARCH("telecommunications",I295))&gt;0,'Configuración'!$B$27,'Configuración'!$B$28))</f>
        <v>4</v>
      </c>
      <c r="U295" s="25">
        <f>IF(B295="","",IF(ISNUMBER(SEARCH("CEO",C295))+ISNUMBER(SEARCH("Founder",C295))+ISNUMBER(SEARCH("Owner",C295))+ISNUMBER(SEARCH("Dueño",C295))+ISNUMBER(SEARCH("Director General",C295))+ISNUMBER(SEARCH("Presidente",C295))+ISNUMBER(SEARCH("President",C295))&gt;0,'Configuración'!$B$31,IF(ISNUMBER(SEARCH("CMO",C295))+ISNUMBER(SEARCH("Chief Marketing",C295))+ISNUMBER(SEARCH("VP Marketing",C295))+ISNUMBER(SEARCH("Director de Marketing",C295))+ISNUMBER(SEARCH("Director Marketing",C295))+ISNUMBER(SEARCH("Head of Marketing",C295))+ISNUMBER(SEARCH("Head Marketing",C295))&gt;0,'Configuración'!$B$32,IF(ISNUMBER(SEARCH("Marketing Manager",C295))+ISNUMBER(SEARCH("Gerente de Marketing",C295))+ISNUMBER(SEARCH("Growth Manager",C295))+ISNUMBER(SEARCH("Demand Gen",C295))+ISNUMBER(SEARCH("Marketing Lead",C295))&gt;0,'Configuración'!$B$33,IF(ISNUMBER(SEARCH("COO",C295))+ISNUMBER(SEARCH("CFO",C295))+ISNUMBER(SEARCH("CTO",C295))+ISNUMBER(SEARCH("Chief Operating",C295))+ISNUMBER(SEARCH("Chief Financial",C295))+ISNUMBER(SEARCH("Gerente General",C295))+ISNUMBER(SEARCH("General Manager",C295))&gt;0,'Configuración'!$B$34,'Configuración'!$B$35)))))</f>
        <v>12</v>
      </c>
      <c r="V295" s="38">
        <f>IF(B295="","",IF(K295="Sí",'Configuración'!$B$5,0)+IF(L295="Semanal",'Configuración'!$B$6,IF(L295="Mensual",'Configuración'!$B$7,0))+IF(M295="Sí",'Configuración'!$B$8,0)+IF(N295="Sí",'Configuración'!$B$9,0)+IF(O295="Sí",'Configuración'!$B$10,0)+IF(P295="Sí",'Configuración'!$B$11,0)+IF(Q295="Sí",'Configuración'!$B$12,0)+S295+T295+U295)</f>
        <v>20</v>
      </c>
      <c r="W295" s="39" t="str">
        <f>IF(B295="","",IF(V295&gt;='Configuración'!$B$19,"A",IF(V295&gt;='Configuración'!$B$20,"B",IF(V295&gt;='Configuración'!$B$21,"C","Descarte"))))</f>
        <v>Descarte</v>
      </c>
    </row>
    <row r="296" ht="15.75" customHeight="1">
      <c r="A296" s="34">
        <f t="shared" si="1"/>
        <v>294</v>
      </c>
      <c r="B296" s="29" t="s">
        <v>166</v>
      </c>
      <c r="C296" s="29" t="s">
        <v>622</v>
      </c>
      <c r="D296" s="29" t="s">
        <v>1933</v>
      </c>
      <c r="E296" s="29" t="s">
        <v>1934</v>
      </c>
      <c r="F296" s="30" t="s">
        <v>1935</v>
      </c>
      <c r="G296" s="30" t="s">
        <v>1936</v>
      </c>
      <c r="H296" s="30" t="s">
        <v>1937</v>
      </c>
      <c r="I296" s="29" t="s">
        <v>873</v>
      </c>
      <c r="J296" s="31">
        <v>9.0</v>
      </c>
      <c r="K296" s="35"/>
      <c r="L296" s="35"/>
      <c r="M296" s="35"/>
      <c r="N296" s="35"/>
      <c r="O296" s="35"/>
      <c r="P296" s="35"/>
      <c r="Q296" s="35"/>
      <c r="R296" s="35"/>
      <c r="S296" s="37">
        <f>IF(B296="","",IF(ISNUMBER(J296),IF(J296&lt;=10,'Configuración'!$B$23,IF(J296&lt;=50,'Configuración'!$B$24,IF(J296&lt;=200,'Configuración'!$B$25,0))),0))</f>
        <v>12</v>
      </c>
      <c r="T296" s="37">
        <f>IF(B296="","",IF(ISNUMBER(SEARCH("information technology",I296))+ISNUMBER(SEARCH("software",I296))+ISNUMBER(SEARCH("internet",I296))+ISNUMBER(SEARCH("computer",I296))+ISNUMBER(SEARCH("saas",I296))+ISNUMBER(SEARCH("fintech",I296))+ISNUMBER(SEARCH("information services",I296))+ISNUMBER(SEARCH("telecommunications",I296))&gt;0,'Configuración'!$B$27,'Configuración'!$B$28))</f>
        <v>4</v>
      </c>
      <c r="U296" s="25">
        <f>IF(B296="","",IF(ISNUMBER(SEARCH("CEO",C296))+ISNUMBER(SEARCH("Founder",C296))+ISNUMBER(SEARCH("Owner",C296))+ISNUMBER(SEARCH("Dueño",C296))+ISNUMBER(SEARCH("Director General",C296))+ISNUMBER(SEARCH("Presidente",C296))+ISNUMBER(SEARCH("President",C296))&gt;0,'Configuración'!$B$31,IF(ISNUMBER(SEARCH("CMO",C296))+ISNUMBER(SEARCH("Chief Marketing",C296))+ISNUMBER(SEARCH("VP Marketing",C296))+ISNUMBER(SEARCH("Director de Marketing",C296))+ISNUMBER(SEARCH("Director Marketing",C296))+ISNUMBER(SEARCH("Head of Marketing",C296))+ISNUMBER(SEARCH("Head Marketing",C296))&gt;0,'Configuración'!$B$32,IF(ISNUMBER(SEARCH("Marketing Manager",C296))+ISNUMBER(SEARCH("Gerente de Marketing",C296))+ISNUMBER(SEARCH("Growth Manager",C296))+ISNUMBER(SEARCH("Demand Gen",C296))+ISNUMBER(SEARCH("Marketing Lead",C296))&gt;0,'Configuración'!$B$33,IF(ISNUMBER(SEARCH("COO",C296))+ISNUMBER(SEARCH("CFO",C296))+ISNUMBER(SEARCH("CTO",C296))+ISNUMBER(SEARCH("Chief Operating",C296))+ISNUMBER(SEARCH("Chief Financial",C296))+ISNUMBER(SEARCH("Gerente General",C296))+ISNUMBER(SEARCH("General Manager",C296))&gt;0,'Configuración'!$B$34,'Configuración'!$B$35)))))</f>
        <v>12</v>
      </c>
      <c r="V296" s="38">
        <f>IF(B296="","",IF(K296="Sí",'Configuración'!$B$5,0)+IF(L296="Semanal",'Configuración'!$B$6,IF(L296="Mensual",'Configuración'!$B$7,0))+IF(M296="Sí",'Configuración'!$B$8,0)+IF(N296="Sí",'Configuración'!$B$9,0)+IF(O296="Sí",'Configuración'!$B$10,0)+IF(P296="Sí",'Configuración'!$B$11,0)+IF(Q296="Sí",'Configuración'!$B$12,0)+S296+T296+U296)</f>
        <v>28</v>
      </c>
      <c r="W296" s="39" t="str">
        <f>IF(B296="","",IF(V296&gt;='Configuración'!$B$19,"A",IF(V296&gt;='Configuración'!$B$20,"B",IF(V296&gt;='Configuración'!$B$21,"C","Descarte"))))</f>
        <v>C</v>
      </c>
    </row>
    <row r="297" ht="15.75" customHeight="1">
      <c r="A297" s="34">
        <f t="shared" si="1"/>
        <v>295</v>
      </c>
      <c r="B297" s="29" t="s">
        <v>1294</v>
      </c>
      <c r="C297" s="29" t="s">
        <v>1938</v>
      </c>
      <c r="D297" s="29" t="s">
        <v>1939</v>
      </c>
      <c r="E297" s="29" t="s">
        <v>1940</v>
      </c>
      <c r="F297" s="30" t="s">
        <v>1941</v>
      </c>
      <c r="G297" s="30" t="s">
        <v>1942</v>
      </c>
      <c r="H297" s="30" t="s">
        <v>1943</v>
      </c>
      <c r="I297" s="29" t="s">
        <v>116</v>
      </c>
      <c r="J297" s="31">
        <v>19.0</v>
      </c>
      <c r="K297" s="35"/>
      <c r="L297" s="35"/>
      <c r="M297" s="35"/>
      <c r="N297" s="35"/>
      <c r="O297" s="35"/>
      <c r="P297" s="35"/>
      <c r="Q297" s="35"/>
      <c r="R297" s="35"/>
      <c r="S297" s="37">
        <f>IF(B297="","",IF(ISNUMBER(J297),IF(J297&lt;=10,'Configuración'!$B$23,IF(J297&lt;=50,'Configuración'!$B$24,IF(J297&lt;=200,'Configuración'!$B$25,0))),0))</f>
        <v>4</v>
      </c>
      <c r="T297" s="37">
        <f>IF(B297="","",IF(ISNUMBER(SEARCH("information technology",I297))+ISNUMBER(SEARCH("software",I297))+ISNUMBER(SEARCH("internet",I297))+ISNUMBER(SEARCH("computer",I297))+ISNUMBER(SEARCH("saas",I297))+ISNUMBER(SEARCH("fintech",I297))+ISNUMBER(SEARCH("information services",I297))+ISNUMBER(SEARCH("telecommunications",I297))&gt;0,'Configuración'!$B$27,'Configuración'!$B$28))</f>
        <v>4</v>
      </c>
      <c r="U297" s="25">
        <f>IF(B297="","",IF(ISNUMBER(SEARCH("CEO",C297))+ISNUMBER(SEARCH("Founder",C297))+ISNUMBER(SEARCH("Owner",C297))+ISNUMBER(SEARCH("Dueño",C297))+ISNUMBER(SEARCH("Director General",C297))+ISNUMBER(SEARCH("Presidente",C297))+ISNUMBER(SEARCH("President",C297))&gt;0,'Configuración'!$B$31,IF(ISNUMBER(SEARCH("CMO",C297))+ISNUMBER(SEARCH("Chief Marketing",C297))+ISNUMBER(SEARCH("VP Marketing",C297))+ISNUMBER(SEARCH("Director de Marketing",C297))+ISNUMBER(SEARCH("Director Marketing",C297))+ISNUMBER(SEARCH("Head of Marketing",C297))+ISNUMBER(SEARCH("Head Marketing",C297))&gt;0,'Configuración'!$B$32,IF(ISNUMBER(SEARCH("Marketing Manager",C297))+ISNUMBER(SEARCH("Gerente de Marketing",C297))+ISNUMBER(SEARCH("Growth Manager",C297))+ISNUMBER(SEARCH("Demand Gen",C297))+ISNUMBER(SEARCH("Marketing Lead",C297))&gt;0,'Configuración'!$B$33,IF(ISNUMBER(SEARCH("COO",C297))+ISNUMBER(SEARCH("CFO",C297))+ISNUMBER(SEARCH("CTO",C297))+ISNUMBER(SEARCH("Chief Operating",C297))+ISNUMBER(SEARCH("Chief Financial",C297))+ISNUMBER(SEARCH("Gerente General",C297))+ISNUMBER(SEARCH("General Manager",C297))&gt;0,'Configuración'!$B$34,'Configuración'!$B$35)))))</f>
        <v>12</v>
      </c>
      <c r="V297" s="38">
        <f>IF(B297="","",IF(K297="Sí",'Configuración'!$B$5,0)+IF(L297="Semanal",'Configuración'!$B$6,IF(L297="Mensual",'Configuración'!$B$7,0))+IF(M297="Sí",'Configuración'!$B$8,0)+IF(N297="Sí",'Configuración'!$B$9,0)+IF(O297="Sí",'Configuración'!$B$10,0)+IF(P297="Sí",'Configuración'!$B$11,0)+IF(Q297="Sí",'Configuración'!$B$12,0)+S297+T297+U297)</f>
        <v>20</v>
      </c>
      <c r="W297" s="39" t="str">
        <f>IF(B297="","",IF(V297&gt;='Configuración'!$B$19,"A",IF(V297&gt;='Configuración'!$B$20,"B",IF(V297&gt;='Configuración'!$B$21,"C","Descarte"))))</f>
        <v>Descarte</v>
      </c>
    </row>
    <row r="298" ht="15.75" customHeight="1">
      <c r="A298" s="34">
        <f t="shared" si="1"/>
        <v>296</v>
      </c>
      <c r="B298" s="29" t="s">
        <v>250</v>
      </c>
      <c r="C298" s="29" t="s">
        <v>1944</v>
      </c>
      <c r="D298" s="29" t="s">
        <v>1945</v>
      </c>
      <c r="E298" s="29" t="s">
        <v>1946</v>
      </c>
      <c r="F298" s="30" t="s">
        <v>1947</v>
      </c>
      <c r="G298" s="30" t="s">
        <v>1948</v>
      </c>
      <c r="H298" s="30" t="s">
        <v>1949</v>
      </c>
      <c r="I298" s="29" t="s">
        <v>1950</v>
      </c>
      <c r="J298" s="31">
        <v>35.0</v>
      </c>
      <c r="K298" s="35"/>
      <c r="L298" s="35"/>
      <c r="M298" s="35"/>
      <c r="N298" s="35"/>
      <c r="O298" s="35"/>
      <c r="P298" s="35"/>
      <c r="Q298" s="35"/>
      <c r="R298" s="35"/>
      <c r="S298" s="37">
        <f>IF(B298="","",IF(ISNUMBER(J298),IF(J298&lt;=10,'Configuración'!$B$23,IF(J298&lt;=50,'Configuración'!$B$24,IF(J298&lt;=200,'Configuración'!$B$25,0))),0))</f>
        <v>4</v>
      </c>
      <c r="T298" s="37">
        <f>IF(B298="","",IF(ISNUMBER(SEARCH("information technology",I298))+ISNUMBER(SEARCH("software",I298))+ISNUMBER(SEARCH("internet",I298))+ISNUMBER(SEARCH("computer",I298))+ISNUMBER(SEARCH("saas",I298))+ISNUMBER(SEARCH("fintech",I298))+ISNUMBER(SEARCH("information services",I298))+ISNUMBER(SEARCH("telecommunications",I298))&gt;0,'Configuración'!$B$27,'Configuración'!$B$28))</f>
        <v>4</v>
      </c>
      <c r="U298" s="25">
        <f>IF(B298="","",IF(ISNUMBER(SEARCH("CEO",C298))+ISNUMBER(SEARCH("Founder",C298))+ISNUMBER(SEARCH("Owner",C298))+ISNUMBER(SEARCH("Dueño",C298))+ISNUMBER(SEARCH("Director General",C298))+ISNUMBER(SEARCH("Presidente",C298))+ISNUMBER(SEARCH("President",C298))&gt;0,'Configuración'!$B$31,IF(ISNUMBER(SEARCH("CMO",C298))+ISNUMBER(SEARCH("Chief Marketing",C298))+ISNUMBER(SEARCH("VP Marketing",C298))+ISNUMBER(SEARCH("Director de Marketing",C298))+ISNUMBER(SEARCH("Director Marketing",C298))+ISNUMBER(SEARCH("Head of Marketing",C298))+ISNUMBER(SEARCH("Head Marketing",C298))&gt;0,'Configuración'!$B$32,IF(ISNUMBER(SEARCH("Marketing Manager",C298))+ISNUMBER(SEARCH("Gerente de Marketing",C298))+ISNUMBER(SEARCH("Growth Manager",C298))+ISNUMBER(SEARCH("Demand Gen",C298))+ISNUMBER(SEARCH("Marketing Lead",C298))&gt;0,'Configuración'!$B$33,IF(ISNUMBER(SEARCH("COO",C298))+ISNUMBER(SEARCH("CFO",C298))+ISNUMBER(SEARCH("CTO",C298))+ISNUMBER(SEARCH("Chief Operating",C298))+ISNUMBER(SEARCH("Chief Financial",C298))+ISNUMBER(SEARCH("Gerente General",C298))+ISNUMBER(SEARCH("General Manager",C298))&gt;0,'Configuración'!$B$34,'Configuración'!$B$35)))))</f>
        <v>12</v>
      </c>
      <c r="V298" s="38">
        <f>IF(B298="","",IF(K298="Sí",'Configuración'!$B$5,0)+IF(L298="Semanal",'Configuración'!$B$6,IF(L298="Mensual",'Configuración'!$B$7,0))+IF(M298="Sí",'Configuración'!$B$8,0)+IF(N298="Sí",'Configuración'!$B$9,0)+IF(O298="Sí",'Configuración'!$B$10,0)+IF(P298="Sí",'Configuración'!$B$11,0)+IF(Q298="Sí",'Configuración'!$B$12,0)+S298+T298+U298)</f>
        <v>20</v>
      </c>
      <c r="W298" s="39" t="str">
        <f>IF(B298="","",IF(V298&gt;='Configuración'!$B$19,"A",IF(V298&gt;='Configuración'!$B$20,"B",IF(V298&gt;='Configuración'!$B$21,"C","Descarte"))))</f>
        <v>Descarte</v>
      </c>
    </row>
    <row r="299" ht="15.75" customHeight="1">
      <c r="A299" s="34">
        <f t="shared" si="1"/>
        <v>297</v>
      </c>
      <c r="B299" s="29" t="s">
        <v>1821</v>
      </c>
      <c r="C299" s="29" t="s">
        <v>202</v>
      </c>
      <c r="D299" s="29" t="s">
        <v>468</v>
      </c>
      <c r="E299" s="29" t="s">
        <v>1951</v>
      </c>
      <c r="F299" s="30" t="s">
        <v>1952</v>
      </c>
      <c r="G299" s="30" t="s">
        <v>471</v>
      </c>
      <c r="H299" s="30" t="s">
        <v>472</v>
      </c>
      <c r="I299" s="29" t="s">
        <v>116</v>
      </c>
      <c r="J299" s="31">
        <v>36.0</v>
      </c>
      <c r="K299" s="35"/>
      <c r="L299" s="35"/>
      <c r="M299" s="35"/>
      <c r="N299" s="35"/>
      <c r="O299" s="35"/>
      <c r="P299" s="35"/>
      <c r="Q299" s="35"/>
      <c r="R299" s="35"/>
      <c r="S299" s="37">
        <f>IF(B299="","",IF(ISNUMBER(J299),IF(J299&lt;=10,'Configuración'!$B$23,IF(J299&lt;=50,'Configuración'!$B$24,IF(J299&lt;=200,'Configuración'!$B$25,0))),0))</f>
        <v>4</v>
      </c>
      <c r="T299" s="37">
        <f>IF(B299="","",IF(ISNUMBER(SEARCH("information technology",I299))+ISNUMBER(SEARCH("software",I299))+ISNUMBER(SEARCH("internet",I299))+ISNUMBER(SEARCH("computer",I299))+ISNUMBER(SEARCH("saas",I299))+ISNUMBER(SEARCH("fintech",I299))+ISNUMBER(SEARCH("information services",I299))+ISNUMBER(SEARCH("telecommunications",I299))&gt;0,'Configuración'!$B$27,'Configuración'!$B$28))</f>
        <v>4</v>
      </c>
      <c r="U299" s="25">
        <f>IF(B299="","",IF(ISNUMBER(SEARCH("CEO",C299))+ISNUMBER(SEARCH("Founder",C299))+ISNUMBER(SEARCH("Owner",C299))+ISNUMBER(SEARCH("Dueño",C299))+ISNUMBER(SEARCH("Director General",C299))+ISNUMBER(SEARCH("Presidente",C299))+ISNUMBER(SEARCH("President",C299))&gt;0,'Configuración'!$B$31,IF(ISNUMBER(SEARCH("CMO",C299))+ISNUMBER(SEARCH("Chief Marketing",C299))+ISNUMBER(SEARCH("VP Marketing",C299))+ISNUMBER(SEARCH("Director de Marketing",C299))+ISNUMBER(SEARCH("Director Marketing",C299))+ISNUMBER(SEARCH("Head of Marketing",C299))+ISNUMBER(SEARCH("Head Marketing",C299))&gt;0,'Configuración'!$B$32,IF(ISNUMBER(SEARCH("Marketing Manager",C299))+ISNUMBER(SEARCH("Gerente de Marketing",C299))+ISNUMBER(SEARCH("Growth Manager",C299))+ISNUMBER(SEARCH("Demand Gen",C299))+ISNUMBER(SEARCH("Marketing Lead",C299))&gt;0,'Configuración'!$B$33,IF(ISNUMBER(SEARCH("COO",C299))+ISNUMBER(SEARCH("CFO",C299))+ISNUMBER(SEARCH("CTO",C299))+ISNUMBER(SEARCH("Chief Operating",C299))+ISNUMBER(SEARCH("Chief Financial",C299))+ISNUMBER(SEARCH("Gerente General",C299))+ISNUMBER(SEARCH("General Manager",C299))&gt;0,'Configuración'!$B$34,'Configuración'!$B$35)))))</f>
        <v>12</v>
      </c>
      <c r="V299" s="38">
        <f>IF(B299="","",IF(K299="Sí",'Configuración'!$B$5,0)+IF(L299="Semanal",'Configuración'!$B$6,IF(L299="Mensual",'Configuración'!$B$7,0))+IF(M299="Sí",'Configuración'!$B$8,0)+IF(N299="Sí",'Configuración'!$B$9,0)+IF(O299="Sí",'Configuración'!$B$10,0)+IF(P299="Sí",'Configuración'!$B$11,0)+IF(Q299="Sí",'Configuración'!$B$12,0)+S299+T299+U299)</f>
        <v>20</v>
      </c>
      <c r="W299" s="39" t="str">
        <f>IF(B299="","",IF(V299&gt;='Configuración'!$B$19,"A",IF(V299&gt;='Configuración'!$B$20,"B",IF(V299&gt;='Configuración'!$B$21,"C","Descarte"))))</f>
        <v>Descarte</v>
      </c>
    </row>
    <row r="300" ht="15.75" customHeight="1">
      <c r="A300" s="34">
        <f t="shared" si="1"/>
        <v>298</v>
      </c>
      <c r="B300" s="29" t="s">
        <v>351</v>
      </c>
      <c r="C300" s="29" t="s">
        <v>1953</v>
      </c>
      <c r="D300" s="29" t="s">
        <v>771</v>
      </c>
      <c r="E300" s="29" t="s">
        <v>1954</v>
      </c>
      <c r="F300" s="30" t="s">
        <v>1955</v>
      </c>
      <c r="G300" s="30" t="s">
        <v>774</v>
      </c>
      <c r="H300" s="30" t="s">
        <v>775</v>
      </c>
      <c r="I300" s="29" t="s">
        <v>776</v>
      </c>
      <c r="J300" s="31">
        <v>11.0</v>
      </c>
      <c r="K300" s="35"/>
      <c r="L300" s="35"/>
      <c r="M300" s="35"/>
      <c r="N300" s="35"/>
      <c r="O300" s="35"/>
      <c r="P300" s="35"/>
      <c r="Q300" s="35"/>
      <c r="R300" s="35"/>
      <c r="S300" s="37">
        <f>IF(B300="","",IF(ISNUMBER(J300),IF(J300&lt;=10,'Configuración'!$B$23,IF(J300&lt;=50,'Configuración'!$B$24,IF(J300&lt;=200,'Configuración'!$B$25,0))),0))</f>
        <v>4</v>
      </c>
      <c r="T300" s="37">
        <f>IF(B300="","",IF(ISNUMBER(SEARCH("information technology",I300))+ISNUMBER(SEARCH("software",I300))+ISNUMBER(SEARCH("internet",I300))+ISNUMBER(SEARCH("computer",I300))+ISNUMBER(SEARCH("saas",I300))+ISNUMBER(SEARCH("fintech",I300))+ISNUMBER(SEARCH("information services",I300))+ISNUMBER(SEARCH("telecommunications",I300))&gt;0,'Configuración'!$B$27,'Configuración'!$B$28))</f>
        <v>4</v>
      </c>
      <c r="U300" s="25">
        <f>IF(B300="","",IF(ISNUMBER(SEARCH("CEO",C300))+ISNUMBER(SEARCH("Founder",C300))+ISNUMBER(SEARCH("Owner",C300))+ISNUMBER(SEARCH("Dueño",C300))+ISNUMBER(SEARCH("Director General",C300))+ISNUMBER(SEARCH("Presidente",C300))+ISNUMBER(SEARCH("President",C300))&gt;0,'Configuración'!$B$31,IF(ISNUMBER(SEARCH("CMO",C300))+ISNUMBER(SEARCH("Chief Marketing",C300))+ISNUMBER(SEARCH("VP Marketing",C300))+ISNUMBER(SEARCH("Director de Marketing",C300))+ISNUMBER(SEARCH("Director Marketing",C300))+ISNUMBER(SEARCH("Head of Marketing",C300))+ISNUMBER(SEARCH("Head Marketing",C300))&gt;0,'Configuración'!$B$32,IF(ISNUMBER(SEARCH("Marketing Manager",C300))+ISNUMBER(SEARCH("Gerente de Marketing",C300))+ISNUMBER(SEARCH("Growth Manager",C300))+ISNUMBER(SEARCH("Demand Gen",C300))+ISNUMBER(SEARCH("Marketing Lead",C300))&gt;0,'Configuración'!$B$33,IF(ISNUMBER(SEARCH("COO",C300))+ISNUMBER(SEARCH("CFO",C300))+ISNUMBER(SEARCH("CTO",C300))+ISNUMBER(SEARCH("Chief Operating",C300))+ISNUMBER(SEARCH("Chief Financial",C300))+ISNUMBER(SEARCH("Gerente General",C300))+ISNUMBER(SEARCH("General Manager",C300))&gt;0,'Configuración'!$B$34,'Configuración'!$B$35)))))</f>
        <v>12</v>
      </c>
      <c r="V300" s="38">
        <f>IF(B300="","",IF(K300="Sí",'Configuración'!$B$5,0)+IF(L300="Semanal",'Configuración'!$B$6,IF(L300="Mensual",'Configuración'!$B$7,0))+IF(M300="Sí",'Configuración'!$B$8,0)+IF(N300="Sí",'Configuración'!$B$9,0)+IF(O300="Sí",'Configuración'!$B$10,0)+IF(P300="Sí",'Configuración'!$B$11,0)+IF(Q300="Sí",'Configuración'!$B$12,0)+S300+T300+U300)</f>
        <v>20</v>
      </c>
      <c r="W300" s="39" t="str">
        <f>IF(B300="","",IF(V300&gt;='Configuración'!$B$19,"A",IF(V300&gt;='Configuración'!$B$20,"B",IF(V300&gt;='Configuración'!$B$21,"C","Descarte"))))</f>
        <v>Descarte</v>
      </c>
    </row>
    <row r="301" ht="15.75" customHeight="1">
      <c r="A301" s="34">
        <f t="shared" si="1"/>
        <v>299</v>
      </c>
      <c r="B301" s="29" t="s">
        <v>174</v>
      </c>
      <c r="C301" s="29" t="s">
        <v>175</v>
      </c>
      <c r="D301" s="29" t="s">
        <v>1956</v>
      </c>
      <c r="E301" s="29" t="s">
        <v>1957</v>
      </c>
      <c r="F301" s="30" t="s">
        <v>1958</v>
      </c>
      <c r="G301" s="30" t="s">
        <v>1959</v>
      </c>
      <c r="H301" s="30" t="s">
        <v>1960</v>
      </c>
      <c r="I301" s="29" t="s">
        <v>450</v>
      </c>
      <c r="J301" s="31">
        <v>3.0</v>
      </c>
      <c r="K301" s="35"/>
      <c r="L301" s="35"/>
      <c r="M301" s="35"/>
      <c r="N301" s="35"/>
      <c r="O301" s="35"/>
      <c r="P301" s="35"/>
      <c r="Q301" s="35"/>
      <c r="R301" s="35"/>
      <c r="S301" s="37">
        <f>IF(B301="","",IF(ISNUMBER(J301),IF(J301&lt;=10,'Configuración'!$B$23,IF(J301&lt;=50,'Configuración'!$B$24,IF(J301&lt;=200,'Configuración'!$B$25,0))),0))</f>
        <v>12</v>
      </c>
      <c r="T301" s="37">
        <f>IF(B301="","",IF(ISNUMBER(SEARCH("information technology",I301))+ISNUMBER(SEARCH("software",I301))+ISNUMBER(SEARCH("internet",I301))+ISNUMBER(SEARCH("computer",I301))+ISNUMBER(SEARCH("saas",I301))+ISNUMBER(SEARCH("fintech",I301))+ISNUMBER(SEARCH("information services",I301))+ISNUMBER(SEARCH("telecommunications",I301))&gt;0,'Configuración'!$B$27,'Configuración'!$B$28))</f>
        <v>12</v>
      </c>
      <c r="U301" s="25">
        <f>IF(B301="","",IF(ISNUMBER(SEARCH("CEO",C301))+ISNUMBER(SEARCH("Founder",C301))+ISNUMBER(SEARCH("Owner",C301))+ISNUMBER(SEARCH("Dueño",C301))+ISNUMBER(SEARCH("Director General",C301))+ISNUMBER(SEARCH("Presidente",C301))+ISNUMBER(SEARCH("President",C301))&gt;0,'Configuración'!$B$31,IF(ISNUMBER(SEARCH("CMO",C301))+ISNUMBER(SEARCH("Chief Marketing",C301))+ISNUMBER(SEARCH("VP Marketing",C301))+ISNUMBER(SEARCH("Director de Marketing",C301))+ISNUMBER(SEARCH("Director Marketing",C301))+ISNUMBER(SEARCH("Head of Marketing",C301))+ISNUMBER(SEARCH("Head Marketing",C301))&gt;0,'Configuración'!$B$32,IF(ISNUMBER(SEARCH("Marketing Manager",C301))+ISNUMBER(SEARCH("Gerente de Marketing",C301))+ISNUMBER(SEARCH("Growth Manager",C301))+ISNUMBER(SEARCH("Demand Gen",C301))+ISNUMBER(SEARCH("Marketing Lead",C301))&gt;0,'Configuración'!$B$33,IF(ISNUMBER(SEARCH("COO",C301))+ISNUMBER(SEARCH("CFO",C301))+ISNUMBER(SEARCH("CTO",C301))+ISNUMBER(SEARCH("Chief Operating",C301))+ISNUMBER(SEARCH("Chief Financial",C301))+ISNUMBER(SEARCH("Gerente General",C301))+ISNUMBER(SEARCH("General Manager",C301))&gt;0,'Configuración'!$B$34,'Configuración'!$B$35)))))</f>
        <v>12</v>
      </c>
      <c r="V301" s="38">
        <f>IF(B301="","",IF(K301="Sí",'Configuración'!$B$5,0)+IF(L301="Semanal",'Configuración'!$B$6,IF(L301="Mensual",'Configuración'!$B$7,0))+IF(M301="Sí",'Configuración'!$B$8,0)+IF(N301="Sí",'Configuración'!$B$9,0)+IF(O301="Sí",'Configuración'!$B$10,0)+IF(P301="Sí",'Configuración'!$B$11,0)+IF(Q301="Sí",'Configuración'!$B$12,0)+S301+T301+U301)</f>
        <v>36</v>
      </c>
      <c r="W301" s="39" t="str">
        <f>IF(B301="","",IF(V301&gt;='Configuración'!$B$19,"A",IF(V301&gt;='Configuración'!$B$20,"B",IF(V301&gt;='Configuración'!$B$21,"C","Descarte"))))</f>
        <v>C</v>
      </c>
    </row>
    <row r="302" ht="15.75" customHeight="1">
      <c r="A302" s="34">
        <f t="shared" si="1"/>
        <v>300</v>
      </c>
      <c r="B302" s="29" t="s">
        <v>1961</v>
      </c>
      <c r="C302" s="29" t="s">
        <v>1962</v>
      </c>
      <c r="D302" s="29" t="s">
        <v>1963</v>
      </c>
      <c r="E302" s="29" t="s">
        <v>1964</v>
      </c>
      <c r="F302" s="30" t="s">
        <v>1965</v>
      </c>
      <c r="G302" s="30" t="s">
        <v>1966</v>
      </c>
      <c r="H302" s="30" t="s">
        <v>1967</v>
      </c>
      <c r="I302" s="29" t="s">
        <v>137</v>
      </c>
      <c r="J302" s="31">
        <v>23.0</v>
      </c>
      <c r="K302" s="35"/>
      <c r="L302" s="35"/>
      <c r="M302" s="35"/>
      <c r="N302" s="35"/>
      <c r="O302" s="35"/>
      <c r="P302" s="35"/>
      <c r="Q302" s="35"/>
      <c r="R302" s="35"/>
      <c r="S302" s="37">
        <f>IF(B302="","",IF(ISNUMBER(J302),IF(J302&lt;=10,'Configuración'!$B$23,IF(J302&lt;=50,'Configuración'!$B$24,IF(J302&lt;=200,'Configuración'!$B$25,0))),0))</f>
        <v>4</v>
      </c>
      <c r="T302" s="37">
        <f>IF(B302="","",IF(ISNUMBER(SEARCH("information technology",I302))+ISNUMBER(SEARCH("software",I302))+ISNUMBER(SEARCH("internet",I302))+ISNUMBER(SEARCH("computer",I302))+ISNUMBER(SEARCH("saas",I302))+ISNUMBER(SEARCH("fintech",I302))+ISNUMBER(SEARCH("information services",I302))+ISNUMBER(SEARCH("telecommunications",I302))&gt;0,'Configuración'!$B$27,'Configuración'!$B$28))</f>
        <v>4</v>
      </c>
      <c r="U302" s="25">
        <f>IF(B302="","",IF(ISNUMBER(SEARCH("CEO",C302))+ISNUMBER(SEARCH("Founder",C302))+ISNUMBER(SEARCH("Owner",C302))+ISNUMBER(SEARCH("Dueño",C302))+ISNUMBER(SEARCH("Director General",C302))+ISNUMBER(SEARCH("Presidente",C302))+ISNUMBER(SEARCH("President",C302))&gt;0,'Configuración'!$B$31,IF(ISNUMBER(SEARCH("CMO",C302))+ISNUMBER(SEARCH("Chief Marketing",C302))+ISNUMBER(SEARCH("VP Marketing",C302))+ISNUMBER(SEARCH("Director de Marketing",C302))+ISNUMBER(SEARCH("Director Marketing",C302))+ISNUMBER(SEARCH("Head of Marketing",C302))+ISNUMBER(SEARCH("Head Marketing",C302))&gt;0,'Configuración'!$B$32,IF(ISNUMBER(SEARCH("Marketing Manager",C302))+ISNUMBER(SEARCH("Gerente de Marketing",C302))+ISNUMBER(SEARCH("Growth Manager",C302))+ISNUMBER(SEARCH("Demand Gen",C302))+ISNUMBER(SEARCH("Marketing Lead",C302))&gt;0,'Configuración'!$B$33,IF(ISNUMBER(SEARCH("COO",C302))+ISNUMBER(SEARCH("CFO",C302))+ISNUMBER(SEARCH("CTO",C302))+ISNUMBER(SEARCH("Chief Operating",C302))+ISNUMBER(SEARCH("Chief Financial",C302))+ISNUMBER(SEARCH("Gerente General",C302))+ISNUMBER(SEARCH("General Manager",C302))&gt;0,'Configuración'!$B$34,'Configuración'!$B$35)))))</f>
        <v>12</v>
      </c>
      <c r="V302" s="38">
        <f>IF(B302="","",IF(K302="Sí",'Configuración'!$B$5,0)+IF(L302="Semanal",'Configuración'!$B$6,IF(L302="Mensual",'Configuración'!$B$7,0))+IF(M302="Sí",'Configuración'!$B$8,0)+IF(N302="Sí",'Configuración'!$B$9,0)+IF(O302="Sí",'Configuración'!$B$10,0)+IF(P302="Sí",'Configuración'!$B$11,0)+IF(Q302="Sí",'Configuración'!$B$12,0)+S302+T302+U302)</f>
        <v>20</v>
      </c>
      <c r="W302" s="39" t="str">
        <f>IF(B302="","",IF(V302&gt;='Configuración'!$B$19,"A",IF(V302&gt;='Configuración'!$B$20,"B",IF(V302&gt;='Configuración'!$B$21,"C","Descarte"))))</f>
        <v>Descarte</v>
      </c>
    </row>
    <row r="303" ht="15.75" customHeight="1">
      <c r="A303" s="34">
        <f t="shared" si="1"/>
        <v>301</v>
      </c>
      <c r="B303" s="29" t="s">
        <v>1137</v>
      </c>
      <c r="C303" s="29" t="s">
        <v>224</v>
      </c>
      <c r="D303" s="29" t="s">
        <v>1968</v>
      </c>
      <c r="E303" s="29" t="s">
        <v>1969</v>
      </c>
      <c r="F303" s="30" t="s">
        <v>1970</v>
      </c>
      <c r="G303" s="30" t="s">
        <v>1971</v>
      </c>
      <c r="H303" s="30" t="s">
        <v>1972</v>
      </c>
      <c r="I303" s="29" t="s">
        <v>127</v>
      </c>
      <c r="J303" s="31">
        <v>3.0</v>
      </c>
      <c r="K303" s="35"/>
      <c r="L303" s="35"/>
      <c r="M303" s="35"/>
      <c r="N303" s="35"/>
      <c r="O303" s="35"/>
      <c r="P303" s="35"/>
      <c r="Q303" s="35"/>
      <c r="R303" s="35"/>
      <c r="S303" s="37">
        <f>IF(B303="","",IF(ISNUMBER(J303),IF(J303&lt;=10,'Configuración'!$B$23,IF(J303&lt;=50,'Configuración'!$B$24,IF(J303&lt;=200,'Configuración'!$B$25,0))),0))</f>
        <v>12</v>
      </c>
      <c r="T303" s="37">
        <f>IF(B303="","",IF(ISNUMBER(SEARCH("information technology",I303))+ISNUMBER(SEARCH("software",I303))+ISNUMBER(SEARCH("internet",I303))+ISNUMBER(SEARCH("computer",I303))+ISNUMBER(SEARCH("saas",I303))+ISNUMBER(SEARCH("fintech",I303))+ISNUMBER(SEARCH("information services",I303))+ISNUMBER(SEARCH("telecommunications",I303))&gt;0,'Configuración'!$B$27,'Configuración'!$B$28))</f>
        <v>12</v>
      </c>
      <c r="U303" s="25">
        <f>IF(B303="","",IF(ISNUMBER(SEARCH("CEO",C303))+ISNUMBER(SEARCH("Founder",C303))+ISNUMBER(SEARCH("Owner",C303))+ISNUMBER(SEARCH("Dueño",C303))+ISNUMBER(SEARCH("Director General",C303))+ISNUMBER(SEARCH("Presidente",C303))+ISNUMBER(SEARCH("President",C303))&gt;0,'Configuración'!$B$31,IF(ISNUMBER(SEARCH("CMO",C303))+ISNUMBER(SEARCH("Chief Marketing",C303))+ISNUMBER(SEARCH("VP Marketing",C303))+ISNUMBER(SEARCH("Director de Marketing",C303))+ISNUMBER(SEARCH("Director Marketing",C303))+ISNUMBER(SEARCH("Head of Marketing",C303))+ISNUMBER(SEARCH("Head Marketing",C303))&gt;0,'Configuración'!$B$32,IF(ISNUMBER(SEARCH("Marketing Manager",C303))+ISNUMBER(SEARCH("Gerente de Marketing",C303))+ISNUMBER(SEARCH("Growth Manager",C303))+ISNUMBER(SEARCH("Demand Gen",C303))+ISNUMBER(SEARCH("Marketing Lead",C303))&gt;0,'Configuración'!$B$33,IF(ISNUMBER(SEARCH("COO",C303))+ISNUMBER(SEARCH("CFO",C303))+ISNUMBER(SEARCH("CTO",C303))+ISNUMBER(SEARCH("Chief Operating",C303))+ISNUMBER(SEARCH("Chief Financial",C303))+ISNUMBER(SEARCH("Gerente General",C303))+ISNUMBER(SEARCH("General Manager",C303))&gt;0,'Configuración'!$B$34,'Configuración'!$B$35)))))</f>
        <v>12</v>
      </c>
      <c r="V303" s="38">
        <f>IF(B303="","",IF(K303="Sí",'Configuración'!$B$5,0)+IF(L303="Semanal",'Configuración'!$B$6,IF(L303="Mensual",'Configuración'!$B$7,0))+IF(M303="Sí",'Configuración'!$B$8,0)+IF(N303="Sí",'Configuración'!$B$9,0)+IF(O303="Sí",'Configuración'!$B$10,0)+IF(P303="Sí",'Configuración'!$B$11,0)+IF(Q303="Sí",'Configuración'!$B$12,0)+S303+T303+U303)</f>
        <v>36</v>
      </c>
      <c r="W303" s="39" t="str">
        <f>IF(B303="","",IF(V303&gt;='Configuración'!$B$19,"A",IF(V303&gt;='Configuración'!$B$20,"B",IF(V303&gt;='Configuración'!$B$21,"C","Descarte"))))</f>
        <v>C</v>
      </c>
    </row>
    <row r="304" ht="15.75" customHeight="1">
      <c r="A304" s="34">
        <f t="shared" si="1"/>
        <v>302</v>
      </c>
      <c r="B304" s="29" t="s">
        <v>529</v>
      </c>
      <c r="C304" s="29" t="s">
        <v>121</v>
      </c>
      <c r="D304" s="29" t="s">
        <v>1973</v>
      </c>
      <c r="E304" s="29" t="s">
        <v>1974</v>
      </c>
      <c r="F304" s="30" t="s">
        <v>1975</v>
      </c>
      <c r="G304" s="30" t="s">
        <v>1976</v>
      </c>
      <c r="H304" s="30" t="s">
        <v>1977</v>
      </c>
      <c r="I304" s="29" t="s">
        <v>127</v>
      </c>
      <c r="J304" s="31">
        <v>1.0</v>
      </c>
      <c r="K304" s="35"/>
      <c r="L304" s="35"/>
      <c r="M304" s="35"/>
      <c r="N304" s="35"/>
      <c r="O304" s="35"/>
      <c r="P304" s="35"/>
      <c r="Q304" s="35"/>
      <c r="R304" s="35"/>
      <c r="S304" s="37">
        <f>IF(B304="","",IF(ISNUMBER(J304),IF(J304&lt;=10,'Configuración'!$B$23,IF(J304&lt;=50,'Configuración'!$B$24,IF(J304&lt;=200,'Configuración'!$B$25,0))),0))</f>
        <v>12</v>
      </c>
      <c r="T304" s="37">
        <f>IF(B304="","",IF(ISNUMBER(SEARCH("information technology",I304))+ISNUMBER(SEARCH("software",I304))+ISNUMBER(SEARCH("internet",I304))+ISNUMBER(SEARCH("computer",I304))+ISNUMBER(SEARCH("saas",I304))+ISNUMBER(SEARCH("fintech",I304))+ISNUMBER(SEARCH("information services",I304))+ISNUMBER(SEARCH("telecommunications",I304))&gt;0,'Configuración'!$B$27,'Configuración'!$B$28))</f>
        <v>12</v>
      </c>
      <c r="U304" s="25">
        <f>IF(B304="","",IF(ISNUMBER(SEARCH("CEO",C304))+ISNUMBER(SEARCH("Founder",C304))+ISNUMBER(SEARCH("Owner",C304))+ISNUMBER(SEARCH("Dueño",C304))+ISNUMBER(SEARCH("Director General",C304))+ISNUMBER(SEARCH("Presidente",C304))+ISNUMBER(SEARCH("President",C304))&gt;0,'Configuración'!$B$31,IF(ISNUMBER(SEARCH("CMO",C304))+ISNUMBER(SEARCH("Chief Marketing",C304))+ISNUMBER(SEARCH("VP Marketing",C304))+ISNUMBER(SEARCH("Director de Marketing",C304))+ISNUMBER(SEARCH("Director Marketing",C304))+ISNUMBER(SEARCH("Head of Marketing",C304))+ISNUMBER(SEARCH("Head Marketing",C304))&gt;0,'Configuración'!$B$32,IF(ISNUMBER(SEARCH("Marketing Manager",C304))+ISNUMBER(SEARCH("Gerente de Marketing",C304))+ISNUMBER(SEARCH("Growth Manager",C304))+ISNUMBER(SEARCH("Demand Gen",C304))+ISNUMBER(SEARCH("Marketing Lead",C304))&gt;0,'Configuración'!$B$33,IF(ISNUMBER(SEARCH("COO",C304))+ISNUMBER(SEARCH("CFO",C304))+ISNUMBER(SEARCH("CTO",C304))+ISNUMBER(SEARCH("Chief Operating",C304))+ISNUMBER(SEARCH("Chief Financial",C304))+ISNUMBER(SEARCH("Gerente General",C304))+ISNUMBER(SEARCH("General Manager",C304))&gt;0,'Configuración'!$B$34,'Configuración'!$B$35)))))</f>
        <v>12</v>
      </c>
      <c r="V304" s="38">
        <f>IF(B304="","",IF(K304="Sí",'Configuración'!$B$5,0)+IF(L304="Semanal",'Configuración'!$B$6,IF(L304="Mensual",'Configuración'!$B$7,0))+IF(M304="Sí",'Configuración'!$B$8,0)+IF(N304="Sí",'Configuración'!$B$9,0)+IF(O304="Sí",'Configuración'!$B$10,0)+IF(P304="Sí",'Configuración'!$B$11,0)+IF(Q304="Sí",'Configuración'!$B$12,0)+S304+T304+U304)</f>
        <v>36</v>
      </c>
      <c r="W304" s="39" t="str">
        <f>IF(B304="","",IF(V304&gt;='Configuración'!$B$19,"A",IF(V304&gt;='Configuración'!$B$20,"B",IF(V304&gt;='Configuración'!$B$21,"C","Descarte"))))</f>
        <v>C</v>
      </c>
    </row>
    <row r="305" ht="15.75" customHeight="1">
      <c r="A305" s="34">
        <f t="shared" si="1"/>
        <v>303</v>
      </c>
      <c r="B305" s="29" t="s">
        <v>201</v>
      </c>
      <c r="C305" s="29" t="s">
        <v>1978</v>
      </c>
      <c r="D305" s="29" t="s">
        <v>1979</v>
      </c>
      <c r="E305" s="29" t="s">
        <v>1980</v>
      </c>
      <c r="F305" s="30" t="s">
        <v>1981</v>
      </c>
      <c r="G305" s="30" t="s">
        <v>1982</v>
      </c>
      <c r="H305" s="30" t="s">
        <v>1983</v>
      </c>
      <c r="I305" s="29" t="s">
        <v>188</v>
      </c>
      <c r="J305" s="31">
        <v>11.0</v>
      </c>
      <c r="K305" s="35"/>
      <c r="L305" s="35"/>
      <c r="M305" s="35"/>
      <c r="N305" s="35"/>
      <c r="O305" s="35"/>
      <c r="P305" s="35"/>
      <c r="Q305" s="35"/>
      <c r="R305" s="35"/>
      <c r="S305" s="37">
        <f>IF(B305="","",IF(ISNUMBER(J305),IF(J305&lt;=10,'Configuración'!$B$23,IF(J305&lt;=50,'Configuración'!$B$24,IF(J305&lt;=200,'Configuración'!$B$25,0))),0))</f>
        <v>4</v>
      </c>
      <c r="T305" s="37">
        <f>IF(B305="","",IF(ISNUMBER(SEARCH("information technology",I305))+ISNUMBER(SEARCH("software",I305))+ISNUMBER(SEARCH("internet",I305))+ISNUMBER(SEARCH("computer",I305))+ISNUMBER(SEARCH("saas",I305))+ISNUMBER(SEARCH("fintech",I305))+ISNUMBER(SEARCH("information services",I305))+ISNUMBER(SEARCH("telecommunications",I305))&gt;0,'Configuración'!$B$27,'Configuración'!$B$28))</f>
        <v>4</v>
      </c>
      <c r="U305" s="25">
        <f>IF(B305="","",IF(ISNUMBER(SEARCH("CEO",C305))+ISNUMBER(SEARCH("Founder",C305))+ISNUMBER(SEARCH("Owner",C305))+ISNUMBER(SEARCH("Dueño",C305))+ISNUMBER(SEARCH("Director General",C305))+ISNUMBER(SEARCH("Presidente",C305))+ISNUMBER(SEARCH("President",C305))&gt;0,'Configuración'!$B$31,IF(ISNUMBER(SEARCH("CMO",C305))+ISNUMBER(SEARCH("Chief Marketing",C305))+ISNUMBER(SEARCH("VP Marketing",C305))+ISNUMBER(SEARCH("Director de Marketing",C305))+ISNUMBER(SEARCH("Director Marketing",C305))+ISNUMBER(SEARCH("Head of Marketing",C305))+ISNUMBER(SEARCH("Head Marketing",C305))&gt;0,'Configuración'!$B$32,IF(ISNUMBER(SEARCH("Marketing Manager",C305))+ISNUMBER(SEARCH("Gerente de Marketing",C305))+ISNUMBER(SEARCH("Growth Manager",C305))+ISNUMBER(SEARCH("Demand Gen",C305))+ISNUMBER(SEARCH("Marketing Lead",C305))&gt;0,'Configuración'!$B$33,IF(ISNUMBER(SEARCH("COO",C305))+ISNUMBER(SEARCH("CFO",C305))+ISNUMBER(SEARCH("CTO",C305))+ISNUMBER(SEARCH("Chief Operating",C305))+ISNUMBER(SEARCH("Chief Financial",C305))+ISNUMBER(SEARCH("Gerente General",C305))+ISNUMBER(SEARCH("General Manager",C305))&gt;0,'Configuración'!$B$34,'Configuración'!$B$35)))))</f>
        <v>12</v>
      </c>
      <c r="V305" s="38">
        <f>IF(B305="","",IF(K305="Sí",'Configuración'!$B$5,0)+IF(L305="Semanal",'Configuración'!$B$6,IF(L305="Mensual",'Configuración'!$B$7,0))+IF(M305="Sí",'Configuración'!$B$8,0)+IF(N305="Sí",'Configuración'!$B$9,0)+IF(O305="Sí",'Configuración'!$B$10,0)+IF(P305="Sí",'Configuración'!$B$11,0)+IF(Q305="Sí",'Configuración'!$B$12,0)+S305+T305+U305)</f>
        <v>20</v>
      </c>
      <c r="W305" s="39" t="str">
        <f>IF(B305="","",IF(V305&gt;='Configuración'!$B$19,"A",IF(V305&gt;='Configuración'!$B$20,"B",IF(V305&gt;='Configuración'!$B$21,"C","Descarte"))))</f>
        <v>Descarte</v>
      </c>
    </row>
    <row r="306" ht="15.75" customHeight="1">
      <c r="A306" s="34">
        <f t="shared" si="1"/>
        <v>304</v>
      </c>
      <c r="B306" s="29" t="s">
        <v>1227</v>
      </c>
      <c r="C306" s="29" t="s">
        <v>1984</v>
      </c>
      <c r="D306" s="29" t="s">
        <v>1240</v>
      </c>
      <c r="E306" s="29" t="s">
        <v>1985</v>
      </c>
      <c r="F306" s="30" t="s">
        <v>1986</v>
      </c>
      <c r="G306" s="30" t="s">
        <v>1243</v>
      </c>
      <c r="H306" s="30" t="s">
        <v>1244</v>
      </c>
      <c r="I306" s="29" t="s">
        <v>1245</v>
      </c>
      <c r="J306" s="31">
        <v>22.0</v>
      </c>
      <c r="K306" s="35"/>
      <c r="L306" s="35"/>
      <c r="M306" s="35"/>
      <c r="N306" s="35"/>
      <c r="O306" s="35"/>
      <c r="P306" s="35"/>
      <c r="Q306" s="35"/>
      <c r="R306" s="35"/>
      <c r="S306" s="37">
        <f>IF(B306="","",IF(ISNUMBER(J306),IF(J306&lt;=10,'Configuración'!$B$23,IF(J306&lt;=50,'Configuración'!$B$24,IF(J306&lt;=200,'Configuración'!$B$25,0))),0))</f>
        <v>4</v>
      </c>
      <c r="T306" s="37">
        <f>IF(B306="","",IF(ISNUMBER(SEARCH("information technology",I306))+ISNUMBER(SEARCH("software",I306))+ISNUMBER(SEARCH("internet",I306))+ISNUMBER(SEARCH("computer",I306))+ISNUMBER(SEARCH("saas",I306))+ISNUMBER(SEARCH("fintech",I306))+ISNUMBER(SEARCH("information services",I306))+ISNUMBER(SEARCH("telecommunications",I306))&gt;0,'Configuración'!$B$27,'Configuración'!$B$28))</f>
        <v>4</v>
      </c>
      <c r="U306" s="25">
        <f>IF(B306="","",IF(ISNUMBER(SEARCH("CEO",C306))+ISNUMBER(SEARCH("Founder",C306))+ISNUMBER(SEARCH("Owner",C306))+ISNUMBER(SEARCH("Dueño",C306))+ISNUMBER(SEARCH("Director General",C306))+ISNUMBER(SEARCH("Presidente",C306))+ISNUMBER(SEARCH("President",C306))&gt;0,'Configuración'!$B$31,IF(ISNUMBER(SEARCH("CMO",C306))+ISNUMBER(SEARCH("Chief Marketing",C306))+ISNUMBER(SEARCH("VP Marketing",C306))+ISNUMBER(SEARCH("Director de Marketing",C306))+ISNUMBER(SEARCH("Director Marketing",C306))+ISNUMBER(SEARCH("Head of Marketing",C306))+ISNUMBER(SEARCH("Head Marketing",C306))&gt;0,'Configuración'!$B$32,IF(ISNUMBER(SEARCH("Marketing Manager",C306))+ISNUMBER(SEARCH("Gerente de Marketing",C306))+ISNUMBER(SEARCH("Growth Manager",C306))+ISNUMBER(SEARCH("Demand Gen",C306))+ISNUMBER(SEARCH("Marketing Lead",C306))&gt;0,'Configuración'!$B$33,IF(ISNUMBER(SEARCH("COO",C306))+ISNUMBER(SEARCH("CFO",C306))+ISNUMBER(SEARCH("CTO",C306))+ISNUMBER(SEARCH("Chief Operating",C306))+ISNUMBER(SEARCH("Chief Financial",C306))+ISNUMBER(SEARCH("Gerente General",C306))+ISNUMBER(SEARCH("General Manager",C306))&gt;0,'Configuración'!$B$34,'Configuración'!$B$35)))))</f>
        <v>4</v>
      </c>
      <c r="V306" s="38">
        <f>IF(B306="","",IF(K306="Sí",'Configuración'!$B$5,0)+IF(L306="Semanal",'Configuración'!$B$6,IF(L306="Mensual",'Configuración'!$B$7,0))+IF(M306="Sí",'Configuración'!$B$8,0)+IF(N306="Sí",'Configuración'!$B$9,0)+IF(O306="Sí",'Configuración'!$B$10,0)+IF(P306="Sí",'Configuración'!$B$11,0)+IF(Q306="Sí",'Configuración'!$B$12,0)+S306+T306+U306)</f>
        <v>12</v>
      </c>
      <c r="W306" s="39" t="str">
        <f>IF(B306="","",IF(V306&gt;='Configuración'!$B$19,"A",IF(V306&gt;='Configuración'!$B$20,"B",IF(V306&gt;='Configuración'!$B$21,"C","Descarte"))))</f>
        <v>Descarte</v>
      </c>
    </row>
    <row r="307" ht="15.75" customHeight="1">
      <c r="A307" s="34">
        <f t="shared" si="1"/>
        <v>305</v>
      </c>
      <c r="B307" s="29" t="s">
        <v>166</v>
      </c>
      <c r="C307" s="29" t="s">
        <v>175</v>
      </c>
      <c r="D307" s="29" t="s">
        <v>1987</v>
      </c>
      <c r="E307" s="29" t="s">
        <v>1988</v>
      </c>
      <c r="F307" s="30" t="s">
        <v>1989</v>
      </c>
      <c r="G307" s="30" t="s">
        <v>1990</v>
      </c>
      <c r="H307" s="30" t="s">
        <v>1991</v>
      </c>
      <c r="I307" s="29" t="s">
        <v>127</v>
      </c>
      <c r="J307" s="31">
        <v>2.0</v>
      </c>
      <c r="K307" s="35"/>
      <c r="L307" s="35"/>
      <c r="M307" s="35"/>
      <c r="N307" s="35"/>
      <c r="O307" s="35"/>
      <c r="P307" s="35"/>
      <c r="Q307" s="35"/>
      <c r="R307" s="35"/>
      <c r="S307" s="37">
        <f>IF(B307="","",IF(ISNUMBER(J307),IF(J307&lt;=10,'Configuración'!$B$23,IF(J307&lt;=50,'Configuración'!$B$24,IF(J307&lt;=200,'Configuración'!$B$25,0))),0))</f>
        <v>12</v>
      </c>
      <c r="T307" s="37">
        <f>IF(B307="","",IF(ISNUMBER(SEARCH("information technology",I307))+ISNUMBER(SEARCH("software",I307))+ISNUMBER(SEARCH("internet",I307))+ISNUMBER(SEARCH("computer",I307))+ISNUMBER(SEARCH("saas",I307))+ISNUMBER(SEARCH("fintech",I307))+ISNUMBER(SEARCH("information services",I307))+ISNUMBER(SEARCH("telecommunications",I307))&gt;0,'Configuración'!$B$27,'Configuración'!$B$28))</f>
        <v>12</v>
      </c>
      <c r="U307" s="25">
        <f>IF(B307="","",IF(ISNUMBER(SEARCH("CEO",C307))+ISNUMBER(SEARCH("Founder",C307))+ISNUMBER(SEARCH("Owner",C307))+ISNUMBER(SEARCH("Dueño",C307))+ISNUMBER(SEARCH("Director General",C307))+ISNUMBER(SEARCH("Presidente",C307))+ISNUMBER(SEARCH("President",C307))&gt;0,'Configuración'!$B$31,IF(ISNUMBER(SEARCH("CMO",C307))+ISNUMBER(SEARCH("Chief Marketing",C307))+ISNUMBER(SEARCH("VP Marketing",C307))+ISNUMBER(SEARCH("Director de Marketing",C307))+ISNUMBER(SEARCH("Director Marketing",C307))+ISNUMBER(SEARCH("Head of Marketing",C307))+ISNUMBER(SEARCH("Head Marketing",C307))&gt;0,'Configuración'!$B$32,IF(ISNUMBER(SEARCH("Marketing Manager",C307))+ISNUMBER(SEARCH("Gerente de Marketing",C307))+ISNUMBER(SEARCH("Growth Manager",C307))+ISNUMBER(SEARCH("Demand Gen",C307))+ISNUMBER(SEARCH("Marketing Lead",C307))&gt;0,'Configuración'!$B$33,IF(ISNUMBER(SEARCH("COO",C307))+ISNUMBER(SEARCH("CFO",C307))+ISNUMBER(SEARCH("CTO",C307))+ISNUMBER(SEARCH("Chief Operating",C307))+ISNUMBER(SEARCH("Chief Financial",C307))+ISNUMBER(SEARCH("Gerente General",C307))+ISNUMBER(SEARCH("General Manager",C307))&gt;0,'Configuración'!$B$34,'Configuración'!$B$35)))))</f>
        <v>12</v>
      </c>
      <c r="V307" s="38">
        <f>IF(B307="","",IF(K307="Sí",'Configuración'!$B$5,0)+IF(L307="Semanal",'Configuración'!$B$6,IF(L307="Mensual",'Configuración'!$B$7,0))+IF(M307="Sí",'Configuración'!$B$8,0)+IF(N307="Sí",'Configuración'!$B$9,0)+IF(O307="Sí",'Configuración'!$B$10,0)+IF(P307="Sí",'Configuración'!$B$11,0)+IF(Q307="Sí",'Configuración'!$B$12,0)+S307+T307+U307)</f>
        <v>36</v>
      </c>
      <c r="W307" s="39" t="str">
        <f>IF(B307="","",IF(V307&gt;='Configuración'!$B$19,"A",IF(V307&gt;='Configuración'!$B$20,"B",IF(V307&gt;='Configuración'!$B$21,"C","Descarte"))))</f>
        <v>C</v>
      </c>
    </row>
    <row r="308" ht="15.75" customHeight="1">
      <c r="A308" s="34">
        <f t="shared" si="1"/>
        <v>306</v>
      </c>
      <c r="B308" s="29" t="s">
        <v>473</v>
      </c>
      <c r="C308" s="29" t="s">
        <v>131</v>
      </c>
      <c r="D308" s="29" t="s">
        <v>1992</v>
      </c>
      <c r="E308" s="29" t="s">
        <v>1993</v>
      </c>
      <c r="F308" s="30" t="s">
        <v>1994</v>
      </c>
      <c r="G308" s="30" t="s">
        <v>1995</v>
      </c>
      <c r="H308" s="30" t="s">
        <v>1996</v>
      </c>
      <c r="I308" s="29" t="s">
        <v>127</v>
      </c>
      <c r="J308" s="31">
        <v>28.0</v>
      </c>
      <c r="K308" s="35"/>
      <c r="L308" s="35"/>
      <c r="M308" s="35"/>
      <c r="N308" s="35"/>
      <c r="O308" s="35"/>
      <c r="P308" s="35"/>
      <c r="Q308" s="35"/>
      <c r="R308" s="35"/>
      <c r="S308" s="37">
        <f>IF(B308="","",IF(ISNUMBER(J308),IF(J308&lt;=10,'Configuración'!$B$23,IF(J308&lt;=50,'Configuración'!$B$24,IF(J308&lt;=200,'Configuración'!$B$25,0))),0))</f>
        <v>4</v>
      </c>
      <c r="T308" s="37">
        <f>IF(B308="","",IF(ISNUMBER(SEARCH("information technology",I308))+ISNUMBER(SEARCH("software",I308))+ISNUMBER(SEARCH("internet",I308))+ISNUMBER(SEARCH("computer",I308))+ISNUMBER(SEARCH("saas",I308))+ISNUMBER(SEARCH("fintech",I308))+ISNUMBER(SEARCH("information services",I308))+ISNUMBER(SEARCH("telecommunications",I308))&gt;0,'Configuración'!$B$27,'Configuración'!$B$28))</f>
        <v>12</v>
      </c>
      <c r="U308" s="25">
        <f>IF(B308="","",IF(ISNUMBER(SEARCH("CEO",C308))+ISNUMBER(SEARCH("Founder",C308))+ISNUMBER(SEARCH("Owner",C308))+ISNUMBER(SEARCH("Dueño",C308))+ISNUMBER(SEARCH("Director General",C308))+ISNUMBER(SEARCH("Presidente",C308))+ISNUMBER(SEARCH("President",C308))&gt;0,'Configuración'!$B$31,IF(ISNUMBER(SEARCH("CMO",C308))+ISNUMBER(SEARCH("Chief Marketing",C308))+ISNUMBER(SEARCH("VP Marketing",C308))+ISNUMBER(SEARCH("Director de Marketing",C308))+ISNUMBER(SEARCH("Director Marketing",C308))+ISNUMBER(SEARCH("Head of Marketing",C308))+ISNUMBER(SEARCH("Head Marketing",C308))&gt;0,'Configuración'!$B$32,IF(ISNUMBER(SEARCH("Marketing Manager",C308))+ISNUMBER(SEARCH("Gerente de Marketing",C308))+ISNUMBER(SEARCH("Growth Manager",C308))+ISNUMBER(SEARCH("Demand Gen",C308))+ISNUMBER(SEARCH("Marketing Lead",C308))&gt;0,'Configuración'!$B$33,IF(ISNUMBER(SEARCH("COO",C308))+ISNUMBER(SEARCH("CFO",C308))+ISNUMBER(SEARCH("CTO",C308))+ISNUMBER(SEARCH("Chief Operating",C308))+ISNUMBER(SEARCH("Chief Financial",C308))+ISNUMBER(SEARCH("Gerente General",C308))+ISNUMBER(SEARCH("General Manager",C308))&gt;0,'Configuración'!$B$34,'Configuración'!$B$35)))))</f>
        <v>12</v>
      </c>
      <c r="V308" s="38">
        <f>IF(B308="","",IF(K308="Sí",'Configuración'!$B$5,0)+IF(L308="Semanal",'Configuración'!$B$6,IF(L308="Mensual",'Configuración'!$B$7,0))+IF(M308="Sí",'Configuración'!$B$8,0)+IF(N308="Sí",'Configuración'!$B$9,0)+IF(O308="Sí",'Configuración'!$B$10,0)+IF(P308="Sí",'Configuración'!$B$11,0)+IF(Q308="Sí",'Configuración'!$B$12,0)+S308+T308+U308)</f>
        <v>28</v>
      </c>
      <c r="W308" s="39" t="str">
        <f>IF(B308="","",IF(V308&gt;='Configuración'!$B$19,"A",IF(V308&gt;='Configuración'!$B$20,"B",IF(V308&gt;='Configuración'!$B$21,"C","Descarte"))))</f>
        <v>C</v>
      </c>
    </row>
    <row r="309" ht="15.75" customHeight="1">
      <c r="A309" s="34">
        <f t="shared" si="1"/>
        <v>307</v>
      </c>
      <c r="B309" s="29" t="s">
        <v>1548</v>
      </c>
      <c r="C309" s="29" t="s">
        <v>1997</v>
      </c>
      <c r="D309" s="29" t="s">
        <v>1998</v>
      </c>
      <c r="E309" s="29" t="s">
        <v>1999</v>
      </c>
      <c r="F309" s="30" t="s">
        <v>2000</v>
      </c>
      <c r="G309" s="30" t="s">
        <v>2001</v>
      </c>
      <c r="H309" s="30" t="s">
        <v>2002</v>
      </c>
      <c r="I309" s="29" t="s">
        <v>508</v>
      </c>
      <c r="J309" s="31">
        <v>9.0</v>
      </c>
      <c r="K309" s="35"/>
      <c r="L309" s="35"/>
      <c r="M309" s="35"/>
      <c r="N309" s="35"/>
      <c r="O309" s="35"/>
      <c r="P309" s="35"/>
      <c r="Q309" s="35"/>
      <c r="R309" s="35"/>
      <c r="S309" s="37">
        <f>IF(B309="","",IF(ISNUMBER(J309),IF(J309&lt;=10,'Configuración'!$B$23,IF(J309&lt;=50,'Configuración'!$B$24,IF(J309&lt;=200,'Configuración'!$B$25,0))),0))</f>
        <v>12</v>
      </c>
      <c r="T309" s="37">
        <f>IF(B309="","",IF(ISNUMBER(SEARCH("information technology",I309))+ISNUMBER(SEARCH("software",I309))+ISNUMBER(SEARCH("internet",I309))+ISNUMBER(SEARCH("computer",I309))+ISNUMBER(SEARCH("saas",I309))+ISNUMBER(SEARCH("fintech",I309))+ISNUMBER(SEARCH("information services",I309))+ISNUMBER(SEARCH("telecommunications",I309))&gt;0,'Configuración'!$B$27,'Configuración'!$B$28))</f>
        <v>4</v>
      </c>
      <c r="U309" s="25">
        <f>IF(B309="","",IF(ISNUMBER(SEARCH("CEO",C309))+ISNUMBER(SEARCH("Founder",C309))+ISNUMBER(SEARCH("Owner",C309))+ISNUMBER(SEARCH("Dueño",C309))+ISNUMBER(SEARCH("Director General",C309))+ISNUMBER(SEARCH("Presidente",C309))+ISNUMBER(SEARCH("President",C309))&gt;0,'Configuración'!$B$31,IF(ISNUMBER(SEARCH("CMO",C309))+ISNUMBER(SEARCH("Chief Marketing",C309))+ISNUMBER(SEARCH("VP Marketing",C309))+ISNUMBER(SEARCH("Director de Marketing",C309))+ISNUMBER(SEARCH("Director Marketing",C309))+ISNUMBER(SEARCH("Head of Marketing",C309))+ISNUMBER(SEARCH("Head Marketing",C309))&gt;0,'Configuración'!$B$32,IF(ISNUMBER(SEARCH("Marketing Manager",C309))+ISNUMBER(SEARCH("Gerente de Marketing",C309))+ISNUMBER(SEARCH("Growth Manager",C309))+ISNUMBER(SEARCH("Demand Gen",C309))+ISNUMBER(SEARCH("Marketing Lead",C309))&gt;0,'Configuración'!$B$33,IF(ISNUMBER(SEARCH("COO",C309))+ISNUMBER(SEARCH("CFO",C309))+ISNUMBER(SEARCH("CTO",C309))+ISNUMBER(SEARCH("Chief Operating",C309))+ISNUMBER(SEARCH("Chief Financial",C309))+ISNUMBER(SEARCH("Gerente General",C309))+ISNUMBER(SEARCH("General Manager",C309))&gt;0,'Configuración'!$B$34,'Configuración'!$B$35)))))</f>
        <v>12</v>
      </c>
      <c r="V309" s="38">
        <f>IF(B309="","",IF(K309="Sí",'Configuración'!$B$5,0)+IF(L309="Semanal",'Configuración'!$B$6,IF(L309="Mensual",'Configuración'!$B$7,0))+IF(M309="Sí",'Configuración'!$B$8,0)+IF(N309="Sí",'Configuración'!$B$9,0)+IF(O309="Sí",'Configuración'!$B$10,0)+IF(P309="Sí",'Configuración'!$B$11,0)+IF(Q309="Sí",'Configuración'!$B$12,0)+S309+T309+U309)</f>
        <v>28</v>
      </c>
      <c r="W309" s="39" t="str">
        <f>IF(B309="","",IF(V309&gt;='Configuración'!$B$19,"A",IF(V309&gt;='Configuración'!$B$20,"B",IF(V309&gt;='Configuración'!$B$21,"C","Descarte"))))</f>
        <v>C</v>
      </c>
    </row>
    <row r="310" ht="15.75" customHeight="1">
      <c r="A310" s="34">
        <f t="shared" si="1"/>
        <v>308</v>
      </c>
      <c r="B310" s="29" t="s">
        <v>1048</v>
      </c>
      <c r="C310" s="29" t="s">
        <v>2003</v>
      </c>
      <c r="D310" s="29" t="s">
        <v>2004</v>
      </c>
      <c r="E310" s="29" t="s">
        <v>2005</v>
      </c>
      <c r="F310" s="30" t="s">
        <v>2006</v>
      </c>
      <c r="G310" s="30" t="s">
        <v>2007</v>
      </c>
      <c r="H310" s="30" t="s">
        <v>2008</v>
      </c>
      <c r="I310" s="29" t="s">
        <v>2009</v>
      </c>
      <c r="J310" s="31">
        <v>27.0</v>
      </c>
      <c r="K310" s="35"/>
      <c r="L310" s="35"/>
      <c r="M310" s="35"/>
      <c r="N310" s="35"/>
      <c r="O310" s="35"/>
      <c r="P310" s="35"/>
      <c r="Q310" s="35"/>
      <c r="R310" s="35"/>
      <c r="S310" s="37">
        <f>IF(B310="","",IF(ISNUMBER(J310),IF(J310&lt;=10,'Configuración'!$B$23,IF(J310&lt;=50,'Configuración'!$B$24,IF(J310&lt;=200,'Configuración'!$B$25,0))),0))</f>
        <v>4</v>
      </c>
      <c r="T310" s="37">
        <f>IF(B310="","",IF(ISNUMBER(SEARCH("information technology",I310))+ISNUMBER(SEARCH("software",I310))+ISNUMBER(SEARCH("internet",I310))+ISNUMBER(SEARCH("computer",I310))+ISNUMBER(SEARCH("saas",I310))+ISNUMBER(SEARCH("fintech",I310))+ISNUMBER(SEARCH("information services",I310))+ISNUMBER(SEARCH("telecommunications",I310))&gt;0,'Configuración'!$B$27,'Configuración'!$B$28))</f>
        <v>4</v>
      </c>
      <c r="U310" s="25">
        <f>IF(B310="","",IF(ISNUMBER(SEARCH("CEO",C310))+ISNUMBER(SEARCH("Founder",C310))+ISNUMBER(SEARCH("Owner",C310))+ISNUMBER(SEARCH("Dueño",C310))+ISNUMBER(SEARCH("Director General",C310))+ISNUMBER(SEARCH("Presidente",C310))+ISNUMBER(SEARCH("President",C310))&gt;0,'Configuración'!$B$31,IF(ISNUMBER(SEARCH("CMO",C310))+ISNUMBER(SEARCH("Chief Marketing",C310))+ISNUMBER(SEARCH("VP Marketing",C310))+ISNUMBER(SEARCH("Director de Marketing",C310))+ISNUMBER(SEARCH("Director Marketing",C310))+ISNUMBER(SEARCH("Head of Marketing",C310))+ISNUMBER(SEARCH("Head Marketing",C310))&gt;0,'Configuración'!$B$32,IF(ISNUMBER(SEARCH("Marketing Manager",C310))+ISNUMBER(SEARCH("Gerente de Marketing",C310))+ISNUMBER(SEARCH("Growth Manager",C310))+ISNUMBER(SEARCH("Demand Gen",C310))+ISNUMBER(SEARCH("Marketing Lead",C310))&gt;0,'Configuración'!$B$33,IF(ISNUMBER(SEARCH("COO",C310))+ISNUMBER(SEARCH("CFO",C310))+ISNUMBER(SEARCH("CTO",C310))+ISNUMBER(SEARCH("Chief Operating",C310))+ISNUMBER(SEARCH("Chief Financial",C310))+ISNUMBER(SEARCH("Gerente General",C310))+ISNUMBER(SEARCH("General Manager",C310))&gt;0,'Configuración'!$B$34,'Configuración'!$B$35)))))</f>
        <v>12</v>
      </c>
      <c r="V310" s="38">
        <f>IF(B310="","",IF(K310="Sí",'Configuración'!$B$5,0)+IF(L310="Semanal",'Configuración'!$B$6,IF(L310="Mensual",'Configuración'!$B$7,0))+IF(M310="Sí",'Configuración'!$B$8,0)+IF(N310="Sí",'Configuración'!$B$9,0)+IF(O310="Sí",'Configuración'!$B$10,0)+IF(P310="Sí",'Configuración'!$B$11,0)+IF(Q310="Sí",'Configuración'!$B$12,0)+S310+T310+U310)</f>
        <v>20</v>
      </c>
      <c r="W310" s="39" t="str">
        <f>IF(B310="","",IF(V310&gt;='Configuración'!$B$19,"A",IF(V310&gt;='Configuración'!$B$20,"B",IF(V310&gt;='Configuración'!$B$21,"C","Descarte"))))</f>
        <v>Descarte</v>
      </c>
    </row>
    <row r="311" ht="15.75" customHeight="1">
      <c r="A311" s="34">
        <f t="shared" si="1"/>
        <v>309</v>
      </c>
      <c r="B311" s="29" t="s">
        <v>1534</v>
      </c>
      <c r="C311" s="29" t="s">
        <v>121</v>
      </c>
      <c r="D311" s="29" t="s">
        <v>2010</v>
      </c>
      <c r="E311" s="29" t="s">
        <v>2011</v>
      </c>
      <c r="F311" s="30" t="s">
        <v>2012</v>
      </c>
      <c r="G311" s="30" t="s">
        <v>2013</v>
      </c>
      <c r="H311" s="30" t="s">
        <v>2014</v>
      </c>
      <c r="I311" s="29" t="s">
        <v>1950</v>
      </c>
      <c r="J311" s="31">
        <v>8.0</v>
      </c>
      <c r="K311" s="35"/>
      <c r="L311" s="35"/>
      <c r="M311" s="35"/>
      <c r="N311" s="35"/>
      <c r="O311" s="35"/>
      <c r="P311" s="35"/>
      <c r="Q311" s="35"/>
      <c r="R311" s="35"/>
      <c r="S311" s="37">
        <f>IF(B311="","",IF(ISNUMBER(J311),IF(J311&lt;=10,'Configuración'!$B$23,IF(J311&lt;=50,'Configuración'!$B$24,IF(J311&lt;=200,'Configuración'!$B$25,0))),0))</f>
        <v>12</v>
      </c>
      <c r="T311" s="37">
        <f>IF(B311="","",IF(ISNUMBER(SEARCH("information technology",I311))+ISNUMBER(SEARCH("software",I311))+ISNUMBER(SEARCH("internet",I311))+ISNUMBER(SEARCH("computer",I311))+ISNUMBER(SEARCH("saas",I311))+ISNUMBER(SEARCH("fintech",I311))+ISNUMBER(SEARCH("information services",I311))+ISNUMBER(SEARCH("telecommunications",I311))&gt;0,'Configuración'!$B$27,'Configuración'!$B$28))</f>
        <v>4</v>
      </c>
      <c r="U311" s="25">
        <f>IF(B311="","",IF(ISNUMBER(SEARCH("CEO",C311))+ISNUMBER(SEARCH("Founder",C311))+ISNUMBER(SEARCH("Owner",C311))+ISNUMBER(SEARCH("Dueño",C311))+ISNUMBER(SEARCH("Director General",C311))+ISNUMBER(SEARCH("Presidente",C311))+ISNUMBER(SEARCH("President",C311))&gt;0,'Configuración'!$B$31,IF(ISNUMBER(SEARCH("CMO",C311))+ISNUMBER(SEARCH("Chief Marketing",C311))+ISNUMBER(SEARCH("VP Marketing",C311))+ISNUMBER(SEARCH("Director de Marketing",C311))+ISNUMBER(SEARCH("Director Marketing",C311))+ISNUMBER(SEARCH("Head of Marketing",C311))+ISNUMBER(SEARCH("Head Marketing",C311))&gt;0,'Configuración'!$B$32,IF(ISNUMBER(SEARCH("Marketing Manager",C311))+ISNUMBER(SEARCH("Gerente de Marketing",C311))+ISNUMBER(SEARCH("Growth Manager",C311))+ISNUMBER(SEARCH("Demand Gen",C311))+ISNUMBER(SEARCH("Marketing Lead",C311))&gt;0,'Configuración'!$B$33,IF(ISNUMBER(SEARCH("COO",C311))+ISNUMBER(SEARCH("CFO",C311))+ISNUMBER(SEARCH("CTO",C311))+ISNUMBER(SEARCH("Chief Operating",C311))+ISNUMBER(SEARCH("Chief Financial",C311))+ISNUMBER(SEARCH("Gerente General",C311))+ISNUMBER(SEARCH("General Manager",C311))&gt;0,'Configuración'!$B$34,'Configuración'!$B$35)))))</f>
        <v>12</v>
      </c>
      <c r="V311" s="38">
        <f>IF(B311="","",IF(K311="Sí",'Configuración'!$B$5,0)+IF(L311="Semanal",'Configuración'!$B$6,IF(L311="Mensual",'Configuración'!$B$7,0))+IF(M311="Sí",'Configuración'!$B$8,0)+IF(N311="Sí",'Configuración'!$B$9,0)+IF(O311="Sí",'Configuración'!$B$10,0)+IF(P311="Sí",'Configuración'!$B$11,0)+IF(Q311="Sí",'Configuración'!$B$12,0)+S311+T311+U311)</f>
        <v>28</v>
      </c>
      <c r="W311" s="39" t="str">
        <f>IF(B311="","",IF(V311&gt;='Configuración'!$B$19,"A",IF(V311&gt;='Configuración'!$B$20,"B",IF(V311&gt;='Configuración'!$B$21,"C","Descarte"))))</f>
        <v>C</v>
      </c>
    </row>
    <row r="312" ht="15.75" customHeight="1">
      <c r="A312" s="34">
        <f t="shared" si="1"/>
        <v>310</v>
      </c>
      <c r="B312" s="29" t="s">
        <v>1927</v>
      </c>
      <c r="C312" s="29" t="s">
        <v>2015</v>
      </c>
      <c r="D312" s="29" t="s">
        <v>2016</v>
      </c>
      <c r="E312" s="29" t="s">
        <v>2017</v>
      </c>
      <c r="F312" s="30" t="s">
        <v>2018</v>
      </c>
      <c r="G312" s="30" t="s">
        <v>2019</v>
      </c>
      <c r="H312" s="30" t="s">
        <v>2020</v>
      </c>
      <c r="I312" s="29" t="s">
        <v>310</v>
      </c>
      <c r="J312" s="31">
        <v>26.0</v>
      </c>
      <c r="K312" s="35"/>
      <c r="L312" s="35"/>
      <c r="M312" s="35"/>
      <c r="N312" s="35"/>
      <c r="O312" s="35"/>
      <c r="P312" s="35"/>
      <c r="Q312" s="35"/>
      <c r="R312" s="35"/>
      <c r="S312" s="37">
        <f>IF(B312="","",IF(ISNUMBER(J312),IF(J312&lt;=10,'Configuración'!$B$23,IF(J312&lt;=50,'Configuración'!$B$24,IF(J312&lt;=200,'Configuración'!$B$25,0))),0))</f>
        <v>4</v>
      </c>
      <c r="T312" s="37">
        <f>IF(B312="","",IF(ISNUMBER(SEARCH("information technology",I312))+ISNUMBER(SEARCH("software",I312))+ISNUMBER(SEARCH("internet",I312))+ISNUMBER(SEARCH("computer",I312))+ISNUMBER(SEARCH("saas",I312))+ISNUMBER(SEARCH("fintech",I312))+ISNUMBER(SEARCH("information services",I312))+ISNUMBER(SEARCH("telecommunications",I312))&gt;0,'Configuración'!$B$27,'Configuración'!$B$28))</f>
        <v>4</v>
      </c>
      <c r="U312" s="25">
        <f>IF(B312="","",IF(ISNUMBER(SEARCH("CEO",C312))+ISNUMBER(SEARCH("Founder",C312))+ISNUMBER(SEARCH("Owner",C312))+ISNUMBER(SEARCH("Dueño",C312))+ISNUMBER(SEARCH("Director General",C312))+ISNUMBER(SEARCH("Presidente",C312))+ISNUMBER(SEARCH("President",C312))&gt;0,'Configuración'!$B$31,IF(ISNUMBER(SEARCH("CMO",C312))+ISNUMBER(SEARCH("Chief Marketing",C312))+ISNUMBER(SEARCH("VP Marketing",C312))+ISNUMBER(SEARCH("Director de Marketing",C312))+ISNUMBER(SEARCH("Director Marketing",C312))+ISNUMBER(SEARCH("Head of Marketing",C312))+ISNUMBER(SEARCH("Head Marketing",C312))&gt;0,'Configuración'!$B$32,IF(ISNUMBER(SEARCH("Marketing Manager",C312))+ISNUMBER(SEARCH("Gerente de Marketing",C312))+ISNUMBER(SEARCH("Growth Manager",C312))+ISNUMBER(SEARCH("Demand Gen",C312))+ISNUMBER(SEARCH("Marketing Lead",C312))&gt;0,'Configuración'!$B$33,IF(ISNUMBER(SEARCH("COO",C312))+ISNUMBER(SEARCH("CFO",C312))+ISNUMBER(SEARCH("CTO",C312))+ISNUMBER(SEARCH("Chief Operating",C312))+ISNUMBER(SEARCH("Chief Financial",C312))+ISNUMBER(SEARCH("Gerente General",C312))+ISNUMBER(SEARCH("General Manager",C312))&gt;0,'Configuración'!$B$34,'Configuración'!$B$35)))))</f>
        <v>12</v>
      </c>
      <c r="V312" s="38">
        <f>IF(B312="","",IF(K312="Sí",'Configuración'!$B$5,0)+IF(L312="Semanal",'Configuración'!$B$6,IF(L312="Mensual",'Configuración'!$B$7,0))+IF(M312="Sí",'Configuración'!$B$8,0)+IF(N312="Sí",'Configuración'!$B$9,0)+IF(O312="Sí",'Configuración'!$B$10,0)+IF(P312="Sí",'Configuración'!$B$11,0)+IF(Q312="Sí",'Configuración'!$B$12,0)+S312+T312+U312)</f>
        <v>20</v>
      </c>
      <c r="W312" s="39" t="str">
        <f>IF(B312="","",IF(V312&gt;='Configuración'!$B$19,"A",IF(V312&gt;='Configuración'!$B$20,"B",IF(V312&gt;='Configuración'!$B$21,"C","Descarte"))))</f>
        <v>Descarte</v>
      </c>
    </row>
    <row r="313" ht="15.75" customHeight="1">
      <c r="A313" s="34">
        <f t="shared" si="1"/>
        <v>311</v>
      </c>
      <c r="B313" s="29" t="s">
        <v>1028</v>
      </c>
      <c r="C313" s="29" t="s">
        <v>1953</v>
      </c>
      <c r="D313" s="29" t="s">
        <v>2021</v>
      </c>
      <c r="E313" s="29" t="s">
        <v>2022</v>
      </c>
      <c r="F313" s="30" t="s">
        <v>2023</v>
      </c>
      <c r="G313" s="30" t="s">
        <v>2024</v>
      </c>
      <c r="H313" s="30" t="s">
        <v>2025</v>
      </c>
      <c r="I313" s="29" t="s">
        <v>116</v>
      </c>
      <c r="J313" s="31">
        <v>19.0</v>
      </c>
      <c r="K313" s="35"/>
      <c r="L313" s="35"/>
      <c r="M313" s="35"/>
      <c r="N313" s="35"/>
      <c r="O313" s="35"/>
      <c r="P313" s="35"/>
      <c r="Q313" s="35"/>
      <c r="R313" s="35"/>
      <c r="S313" s="37">
        <f>IF(B313="","",IF(ISNUMBER(J313),IF(J313&lt;=10,'Configuración'!$B$23,IF(J313&lt;=50,'Configuración'!$B$24,IF(J313&lt;=200,'Configuración'!$B$25,0))),0))</f>
        <v>4</v>
      </c>
      <c r="T313" s="37">
        <f>IF(B313="","",IF(ISNUMBER(SEARCH("information technology",I313))+ISNUMBER(SEARCH("software",I313))+ISNUMBER(SEARCH("internet",I313))+ISNUMBER(SEARCH("computer",I313))+ISNUMBER(SEARCH("saas",I313))+ISNUMBER(SEARCH("fintech",I313))+ISNUMBER(SEARCH("information services",I313))+ISNUMBER(SEARCH("telecommunications",I313))&gt;0,'Configuración'!$B$27,'Configuración'!$B$28))</f>
        <v>4</v>
      </c>
      <c r="U313" s="25">
        <f>IF(B313="","",IF(ISNUMBER(SEARCH("CEO",C313))+ISNUMBER(SEARCH("Founder",C313))+ISNUMBER(SEARCH("Owner",C313))+ISNUMBER(SEARCH("Dueño",C313))+ISNUMBER(SEARCH("Director General",C313))+ISNUMBER(SEARCH("Presidente",C313))+ISNUMBER(SEARCH("President",C313))&gt;0,'Configuración'!$B$31,IF(ISNUMBER(SEARCH("CMO",C313))+ISNUMBER(SEARCH("Chief Marketing",C313))+ISNUMBER(SEARCH("VP Marketing",C313))+ISNUMBER(SEARCH("Director de Marketing",C313))+ISNUMBER(SEARCH("Director Marketing",C313))+ISNUMBER(SEARCH("Head of Marketing",C313))+ISNUMBER(SEARCH("Head Marketing",C313))&gt;0,'Configuración'!$B$32,IF(ISNUMBER(SEARCH("Marketing Manager",C313))+ISNUMBER(SEARCH("Gerente de Marketing",C313))+ISNUMBER(SEARCH("Growth Manager",C313))+ISNUMBER(SEARCH("Demand Gen",C313))+ISNUMBER(SEARCH("Marketing Lead",C313))&gt;0,'Configuración'!$B$33,IF(ISNUMBER(SEARCH("COO",C313))+ISNUMBER(SEARCH("CFO",C313))+ISNUMBER(SEARCH("CTO",C313))+ISNUMBER(SEARCH("Chief Operating",C313))+ISNUMBER(SEARCH("Chief Financial",C313))+ISNUMBER(SEARCH("Gerente General",C313))+ISNUMBER(SEARCH("General Manager",C313))&gt;0,'Configuración'!$B$34,'Configuración'!$B$35)))))</f>
        <v>12</v>
      </c>
      <c r="V313" s="38">
        <f>IF(B313="","",IF(K313="Sí",'Configuración'!$B$5,0)+IF(L313="Semanal",'Configuración'!$B$6,IF(L313="Mensual",'Configuración'!$B$7,0))+IF(M313="Sí",'Configuración'!$B$8,0)+IF(N313="Sí",'Configuración'!$B$9,0)+IF(O313="Sí",'Configuración'!$B$10,0)+IF(P313="Sí",'Configuración'!$B$11,0)+IF(Q313="Sí",'Configuración'!$B$12,0)+S313+T313+U313)</f>
        <v>20</v>
      </c>
      <c r="W313" s="39" t="str">
        <f>IF(B313="","",IF(V313&gt;='Configuración'!$B$19,"A",IF(V313&gt;='Configuración'!$B$20,"B",IF(V313&gt;='Configuración'!$B$21,"C","Descarte"))))</f>
        <v>Descarte</v>
      </c>
    </row>
    <row r="314" ht="15.75" customHeight="1">
      <c r="A314" s="34">
        <f t="shared" si="1"/>
        <v>312</v>
      </c>
      <c r="B314" s="29" t="s">
        <v>223</v>
      </c>
      <c r="C314" s="29" t="s">
        <v>202</v>
      </c>
      <c r="D314" s="29" t="s">
        <v>2026</v>
      </c>
      <c r="E314" s="29" t="s">
        <v>2027</v>
      </c>
      <c r="F314" s="30" t="s">
        <v>2028</v>
      </c>
      <c r="G314" s="30" t="s">
        <v>2029</v>
      </c>
      <c r="H314" s="30" t="s">
        <v>2030</v>
      </c>
      <c r="I314" s="29" t="s">
        <v>2031</v>
      </c>
      <c r="J314" s="31">
        <v>5.0</v>
      </c>
      <c r="K314" s="35"/>
      <c r="L314" s="35"/>
      <c r="M314" s="35"/>
      <c r="N314" s="35"/>
      <c r="O314" s="35"/>
      <c r="P314" s="35"/>
      <c r="Q314" s="35"/>
      <c r="R314" s="35"/>
      <c r="S314" s="37">
        <f>IF(B314="","",IF(ISNUMBER(J314),IF(J314&lt;=10,'Configuración'!$B$23,IF(J314&lt;=50,'Configuración'!$B$24,IF(J314&lt;=200,'Configuración'!$B$25,0))),0))</f>
        <v>12</v>
      </c>
      <c r="T314" s="37">
        <f>IF(B314="","",IF(ISNUMBER(SEARCH("information technology",I314))+ISNUMBER(SEARCH("software",I314))+ISNUMBER(SEARCH("internet",I314))+ISNUMBER(SEARCH("computer",I314))+ISNUMBER(SEARCH("saas",I314))+ISNUMBER(SEARCH("fintech",I314))+ISNUMBER(SEARCH("information services",I314))+ISNUMBER(SEARCH("telecommunications",I314))&gt;0,'Configuración'!$B$27,'Configuración'!$B$28))</f>
        <v>4</v>
      </c>
      <c r="U314" s="25">
        <f>IF(B314="","",IF(ISNUMBER(SEARCH("CEO",C314))+ISNUMBER(SEARCH("Founder",C314))+ISNUMBER(SEARCH("Owner",C314))+ISNUMBER(SEARCH("Dueño",C314))+ISNUMBER(SEARCH("Director General",C314))+ISNUMBER(SEARCH("Presidente",C314))+ISNUMBER(SEARCH("President",C314))&gt;0,'Configuración'!$B$31,IF(ISNUMBER(SEARCH("CMO",C314))+ISNUMBER(SEARCH("Chief Marketing",C314))+ISNUMBER(SEARCH("VP Marketing",C314))+ISNUMBER(SEARCH("Director de Marketing",C314))+ISNUMBER(SEARCH("Director Marketing",C314))+ISNUMBER(SEARCH("Head of Marketing",C314))+ISNUMBER(SEARCH("Head Marketing",C314))&gt;0,'Configuración'!$B$32,IF(ISNUMBER(SEARCH("Marketing Manager",C314))+ISNUMBER(SEARCH("Gerente de Marketing",C314))+ISNUMBER(SEARCH("Growth Manager",C314))+ISNUMBER(SEARCH("Demand Gen",C314))+ISNUMBER(SEARCH("Marketing Lead",C314))&gt;0,'Configuración'!$B$33,IF(ISNUMBER(SEARCH("COO",C314))+ISNUMBER(SEARCH("CFO",C314))+ISNUMBER(SEARCH("CTO",C314))+ISNUMBER(SEARCH("Chief Operating",C314))+ISNUMBER(SEARCH("Chief Financial",C314))+ISNUMBER(SEARCH("Gerente General",C314))+ISNUMBER(SEARCH("General Manager",C314))&gt;0,'Configuración'!$B$34,'Configuración'!$B$35)))))</f>
        <v>12</v>
      </c>
      <c r="V314" s="38">
        <f>IF(B314="","",IF(K314="Sí",'Configuración'!$B$5,0)+IF(L314="Semanal",'Configuración'!$B$6,IF(L314="Mensual",'Configuración'!$B$7,0))+IF(M314="Sí",'Configuración'!$B$8,0)+IF(N314="Sí",'Configuración'!$B$9,0)+IF(O314="Sí",'Configuración'!$B$10,0)+IF(P314="Sí",'Configuración'!$B$11,0)+IF(Q314="Sí",'Configuración'!$B$12,0)+S314+T314+U314)</f>
        <v>28</v>
      </c>
      <c r="W314" s="39" t="str">
        <f>IF(B314="","",IF(V314&gt;='Configuración'!$B$19,"A",IF(V314&gt;='Configuración'!$B$20,"B",IF(V314&gt;='Configuración'!$B$21,"C","Descarte"))))</f>
        <v>C</v>
      </c>
    </row>
    <row r="315" ht="15.75" customHeight="1">
      <c r="A315" s="34">
        <f t="shared" si="1"/>
        <v>313</v>
      </c>
      <c r="B315" s="29" t="s">
        <v>1048</v>
      </c>
      <c r="C315" s="29" t="s">
        <v>224</v>
      </c>
      <c r="D315" s="29" t="s">
        <v>2032</v>
      </c>
      <c r="E315" s="29" t="s">
        <v>2033</v>
      </c>
      <c r="F315" s="30" t="s">
        <v>2034</v>
      </c>
      <c r="G315" s="30" t="s">
        <v>2035</v>
      </c>
      <c r="H315" s="30" t="s">
        <v>2036</v>
      </c>
      <c r="I315" s="29" t="s">
        <v>127</v>
      </c>
      <c r="J315" s="31">
        <v>35.0</v>
      </c>
      <c r="K315" s="35"/>
      <c r="L315" s="35"/>
      <c r="M315" s="35"/>
      <c r="N315" s="35"/>
      <c r="O315" s="35"/>
      <c r="P315" s="35"/>
      <c r="Q315" s="35"/>
      <c r="R315" s="35"/>
      <c r="S315" s="37">
        <f>IF(B315="","",IF(ISNUMBER(J315),IF(J315&lt;=10,'Configuración'!$B$23,IF(J315&lt;=50,'Configuración'!$B$24,IF(J315&lt;=200,'Configuración'!$B$25,0))),0))</f>
        <v>4</v>
      </c>
      <c r="T315" s="37">
        <f>IF(B315="","",IF(ISNUMBER(SEARCH("information technology",I315))+ISNUMBER(SEARCH("software",I315))+ISNUMBER(SEARCH("internet",I315))+ISNUMBER(SEARCH("computer",I315))+ISNUMBER(SEARCH("saas",I315))+ISNUMBER(SEARCH("fintech",I315))+ISNUMBER(SEARCH("information services",I315))+ISNUMBER(SEARCH("telecommunications",I315))&gt;0,'Configuración'!$B$27,'Configuración'!$B$28))</f>
        <v>12</v>
      </c>
      <c r="U315" s="25">
        <f>IF(B315="","",IF(ISNUMBER(SEARCH("CEO",C315))+ISNUMBER(SEARCH("Founder",C315))+ISNUMBER(SEARCH("Owner",C315))+ISNUMBER(SEARCH("Dueño",C315))+ISNUMBER(SEARCH("Director General",C315))+ISNUMBER(SEARCH("Presidente",C315))+ISNUMBER(SEARCH("President",C315))&gt;0,'Configuración'!$B$31,IF(ISNUMBER(SEARCH("CMO",C315))+ISNUMBER(SEARCH("Chief Marketing",C315))+ISNUMBER(SEARCH("VP Marketing",C315))+ISNUMBER(SEARCH("Director de Marketing",C315))+ISNUMBER(SEARCH("Director Marketing",C315))+ISNUMBER(SEARCH("Head of Marketing",C315))+ISNUMBER(SEARCH("Head Marketing",C315))&gt;0,'Configuración'!$B$32,IF(ISNUMBER(SEARCH("Marketing Manager",C315))+ISNUMBER(SEARCH("Gerente de Marketing",C315))+ISNUMBER(SEARCH("Growth Manager",C315))+ISNUMBER(SEARCH("Demand Gen",C315))+ISNUMBER(SEARCH("Marketing Lead",C315))&gt;0,'Configuración'!$B$33,IF(ISNUMBER(SEARCH("COO",C315))+ISNUMBER(SEARCH("CFO",C315))+ISNUMBER(SEARCH("CTO",C315))+ISNUMBER(SEARCH("Chief Operating",C315))+ISNUMBER(SEARCH("Chief Financial",C315))+ISNUMBER(SEARCH("Gerente General",C315))+ISNUMBER(SEARCH("General Manager",C315))&gt;0,'Configuración'!$B$34,'Configuración'!$B$35)))))</f>
        <v>12</v>
      </c>
      <c r="V315" s="38">
        <f>IF(B315="","",IF(K315="Sí",'Configuración'!$B$5,0)+IF(L315="Semanal",'Configuración'!$B$6,IF(L315="Mensual",'Configuración'!$B$7,0))+IF(M315="Sí",'Configuración'!$B$8,0)+IF(N315="Sí",'Configuración'!$B$9,0)+IF(O315="Sí",'Configuración'!$B$10,0)+IF(P315="Sí",'Configuración'!$B$11,0)+IF(Q315="Sí",'Configuración'!$B$12,0)+S315+T315+U315)</f>
        <v>28</v>
      </c>
      <c r="W315" s="39" t="str">
        <f>IF(B315="","",IF(V315&gt;='Configuración'!$B$19,"A",IF(V315&gt;='Configuración'!$B$20,"B",IF(V315&gt;='Configuración'!$B$21,"C","Descarte"))))</f>
        <v>C</v>
      </c>
    </row>
    <row r="316" ht="15.75" customHeight="1">
      <c r="A316" s="34">
        <f t="shared" si="1"/>
        <v>314</v>
      </c>
      <c r="B316" s="29" t="s">
        <v>556</v>
      </c>
      <c r="C316" s="29" t="s">
        <v>131</v>
      </c>
      <c r="D316" s="29" t="s">
        <v>2037</v>
      </c>
      <c r="E316" s="29" t="s">
        <v>2038</v>
      </c>
      <c r="F316" s="30" t="s">
        <v>2039</v>
      </c>
      <c r="G316" s="30" t="s">
        <v>2040</v>
      </c>
      <c r="H316" s="30" t="s">
        <v>2041</v>
      </c>
      <c r="I316" s="29" t="s">
        <v>946</v>
      </c>
      <c r="J316" s="31">
        <v>2.0</v>
      </c>
      <c r="K316" s="35"/>
      <c r="L316" s="35"/>
      <c r="M316" s="35"/>
      <c r="N316" s="35"/>
      <c r="O316" s="35"/>
      <c r="P316" s="35"/>
      <c r="Q316" s="35"/>
      <c r="R316" s="35"/>
      <c r="S316" s="37">
        <f>IF(B316="","",IF(ISNUMBER(J316),IF(J316&lt;=10,'Configuración'!$B$23,IF(J316&lt;=50,'Configuración'!$B$24,IF(J316&lt;=200,'Configuración'!$B$25,0))),0))</f>
        <v>12</v>
      </c>
      <c r="T316" s="37">
        <f>IF(B316="","",IF(ISNUMBER(SEARCH("information technology",I316))+ISNUMBER(SEARCH("software",I316))+ISNUMBER(SEARCH("internet",I316))+ISNUMBER(SEARCH("computer",I316))+ISNUMBER(SEARCH("saas",I316))+ISNUMBER(SEARCH("fintech",I316))+ISNUMBER(SEARCH("information services",I316))+ISNUMBER(SEARCH("telecommunications",I316))&gt;0,'Configuración'!$B$27,'Configuración'!$B$28))</f>
        <v>4</v>
      </c>
      <c r="U316" s="25">
        <f>IF(B316="","",IF(ISNUMBER(SEARCH("CEO",C316))+ISNUMBER(SEARCH("Founder",C316))+ISNUMBER(SEARCH("Owner",C316))+ISNUMBER(SEARCH("Dueño",C316))+ISNUMBER(SEARCH("Director General",C316))+ISNUMBER(SEARCH("Presidente",C316))+ISNUMBER(SEARCH("President",C316))&gt;0,'Configuración'!$B$31,IF(ISNUMBER(SEARCH("CMO",C316))+ISNUMBER(SEARCH("Chief Marketing",C316))+ISNUMBER(SEARCH("VP Marketing",C316))+ISNUMBER(SEARCH("Director de Marketing",C316))+ISNUMBER(SEARCH("Director Marketing",C316))+ISNUMBER(SEARCH("Head of Marketing",C316))+ISNUMBER(SEARCH("Head Marketing",C316))&gt;0,'Configuración'!$B$32,IF(ISNUMBER(SEARCH("Marketing Manager",C316))+ISNUMBER(SEARCH("Gerente de Marketing",C316))+ISNUMBER(SEARCH("Growth Manager",C316))+ISNUMBER(SEARCH("Demand Gen",C316))+ISNUMBER(SEARCH("Marketing Lead",C316))&gt;0,'Configuración'!$B$33,IF(ISNUMBER(SEARCH("COO",C316))+ISNUMBER(SEARCH("CFO",C316))+ISNUMBER(SEARCH("CTO",C316))+ISNUMBER(SEARCH("Chief Operating",C316))+ISNUMBER(SEARCH("Chief Financial",C316))+ISNUMBER(SEARCH("Gerente General",C316))+ISNUMBER(SEARCH("General Manager",C316))&gt;0,'Configuración'!$B$34,'Configuración'!$B$35)))))</f>
        <v>12</v>
      </c>
      <c r="V316" s="38">
        <f>IF(B316="","",IF(K316="Sí",'Configuración'!$B$5,0)+IF(L316="Semanal",'Configuración'!$B$6,IF(L316="Mensual",'Configuración'!$B$7,0))+IF(M316="Sí",'Configuración'!$B$8,0)+IF(N316="Sí",'Configuración'!$B$9,0)+IF(O316="Sí",'Configuración'!$B$10,0)+IF(P316="Sí",'Configuración'!$B$11,0)+IF(Q316="Sí",'Configuración'!$B$12,0)+S316+T316+U316)</f>
        <v>28</v>
      </c>
      <c r="W316" s="39" t="str">
        <f>IF(B316="","",IF(V316&gt;='Configuración'!$B$19,"A",IF(V316&gt;='Configuración'!$B$20,"B",IF(V316&gt;='Configuración'!$B$21,"C","Descarte"))))</f>
        <v>C</v>
      </c>
    </row>
    <row r="317" ht="15.75" customHeight="1">
      <c r="A317" s="34">
        <f t="shared" si="1"/>
        <v>315</v>
      </c>
      <c r="B317" s="29" t="s">
        <v>2042</v>
      </c>
      <c r="C317" s="29" t="s">
        <v>131</v>
      </c>
      <c r="D317" s="29" t="s">
        <v>2043</v>
      </c>
      <c r="E317" s="29" t="s">
        <v>2044</v>
      </c>
      <c r="F317" s="30" t="s">
        <v>2045</v>
      </c>
      <c r="G317" s="30" t="s">
        <v>2046</v>
      </c>
      <c r="H317" s="30" t="s">
        <v>2047</v>
      </c>
      <c r="I317" s="29" t="s">
        <v>188</v>
      </c>
      <c r="J317" s="31">
        <v>47.0</v>
      </c>
      <c r="K317" s="35"/>
      <c r="L317" s="35"/>
      <c r="M317" s="35"/>
      <c r="N317" s="35"/>
      <c r="O317" s="35"/>
      <c r="P317" s="35"/>
      <c r="Q317" s="35"/>
      <c r="R317" s="35"/>
      <c r="S317" s="37">
        <f>IF(B317="","",IF(ISNUMBER(J317),IF(J317&lt;=10,'Configuración'!$B$23,IF(J317&lt;=50,'Configuración'!$B$24,IF(J317&lt;=200,'Configuración'!$B$25,0))),0))</f>
        <v>4</v>
      </c>
      <c r="T317" s="37">
        <f>IF(B317="","",IF(ISNUMBER(SEARCH("information technology",I317))+ISNUMBER(SEARCH("software",I317))+ISNUMBER(SEARCH("internet",I317))+ISNUMBER(SEARCH("computer",I317))+ISNUMBER(SEARCH("saas",I317))+ISNUMBER(SEARCH("fintech",I317))+ISNUMBER(SEARCH("information services",I317))+ISNUMBER(SEARCH("telecommunications",I317))&gt;0,'Configuración'!$B$27,'Configuración'!$B$28))</f>
        <v>4</v>
      </c>
      <c r="U317" s="25">
        <f>IF(B317="","",IF(ISNUMBER(SEARCH("CEO",C317))+ISNUMBER(SEARCH("Founder",C317))+ISNUMBER(SEARCH("Owner",C317))+ISNUMBER(SEARCH("Dueño",C317))+ISNUMBER(SEARCH("Director General",C317))+ISNUMBER(SEARCH("Presidente",C317))+ISNUMBER(SEARCH("President",C317))&gt;0,'Configuración'!$B$31,IF(ISNUMBER(SEARCH("CMO",C317))+ISNUMBER(SEARCH("Chief Marketing",C317))+ISNUMBER(SEARCH("VP Marketing",C317))+ISNUMBER(SEARCH("Director de Marketing",C317))+ISNUMBER(SEARCH("Director Marketing",C317))+ISNUMBER(SEARCH("Head of Marketing",C317))+ISNUMBER(SEARCH("Head Marketing",C317))&gt;0,'Configuración'!$B$32,IF(ISNUMBER(SEARCH("Marketing Manager",C317))+ISNUMBER(SEARCH("Gerente de Marketing",C317))+ISNUMBER(SEARCH("Growth Manager",C317))+ISNUMBER(SEARCH("Demand Gen",C317))+ISNUMBER(SEARCH("Marketing Lead",C317))&gt;0,'Configuración'!$B$33,IF(ISNUMBER(SEARCH("COO",C317))+ISNUMBER(SEARCH("CFO",C317))+ISNUMBER(SEARCH("CTO",C317))+ISNUMBER(SEARCH("Chief Operating",C317))+ISNUMBER(SEARCH("Chief Financial",C317))+ISNUMBER(SEARCH("Gerente General",C317))+ISNUMBER(SEARCH("General Manager",C317))&gt;0,'Configuración'!$B$34,'Configuración'!$B$35)))))</f>
        <v>12</v>
      </c>
      <c r="V317" s="38">
        <f>IF(B317="","",IF(K317="Sí",'Configuración'!$B$5,0)+IF(L317="Semanal",'Configuración'!$B$6,IF(L317="Mensual",'Configuración'!$B$7,0))+IF(M317="Sí",'Configuración'!$B$8,0)+IF(N317="Sí",'Configuración'!$B$9,0)+IF(O317="Sí",'Configuración'!$B$10,0)+IF(P317="Sí",'Configuración'!$B$11,0)+IF(Q317="Sí",'Configuración'!$B$12,0)+S317+T317+U317)</f>
        <v>20</v>
      </c>
      <c r="W317" s="39" t="str">
        <f>IF(B317="","",IF(V317&gt;='Configuración'!$B$19,"A",IF(V317&gt;='Configuración'!$B$20,"B",IF(V317&gt;='Configuración'!$B$21,"C","Descarte"))))</f>
        <v>Descarte</v>
      </c>
    </row>
    <row r="318" ht="15.75" customHeight="1">
      <c r="A318" s="34">
        <f t="shared" si="1"/>
        <v>316</v>
      </c>
      <c r="B318" s="29" t="s">
        <v>181</v>
      </c>
      <c r="C318" s="29" t="s">
        <v>202</v>
      </c>
      <c r="D318" s="29" t="s">
        <v>2048</v>
      </c>
      <c r="E318" s="29" t="s">
        <v>2049</v>
      </c>
      <c r="F318" s="30" t="s">
        <v>2050</v>
      </c>
      <c r="G318" s="30" t="s">
        <v>2051</v>
      </c>
      <c r="H318" s="30" t="s">
        <v>2052</v>
      </c>
      <c r="I318" s="29" t="s">
        <v>188</v>
      </c>
      <c r="J318" s="31">
        <v>6.0</v>
      </c>
      <c r="K318" s="35"/>
      <c r="L318" s="35"/>
      <c r="M318" s="35"/>
      <c r="N318" s="35"/>
      <c r="O318" s="35"/>
      <c r="P318" s="35"/>
      <c r="Q318" s="35"/>
      <c r="R318" s="35"/>
      <c r="S318" s="37">
        <f>IF(B318="","",IF(ISNUMBER(J318),IF(J318&lt;=10,'Configuración'!$B$23,IF(J318&lt;=50,'Configuración'!$B$24,IF(J318&lt;=200,'Configuración'!$B$25,0))),0))</f>
        <v>12</v>
      </c>
      <c r="T318" s="37">
        <f>IF(B318="","",IF(ISNUMBER(SEARCH("information technology",I318))+ISNUMBER(SEARCH("software",I318))+ISNUMBER(SEARCH("internet",I318))+ISNUMBER(SEARCH("computer",I318))+ISNUMBER(SEARCH("saas",I318))+ISNUMBER(SEARCH("fintech",I318))+ISNUMBER(SEARCH("information services",I318))+ISNUMBER(SEARCH("telecommunications",I318))&gt;0,'Configuración'!$B$27,'Configuración'!$B$28))</f>
        <v>4</v>
      </c>
      <c r="U318" s="25">
        <f>IF(B318="","",IF(ISNUMBER(SEARCH("CEO",C318))+ISNUMBER(SEARCH("Founder",C318))+ISNUMBER(SEARCH("Owner",C318))+ISNUMBER(SEARCH("Dueño",C318))+ISNUMBER(SEARCH("Director General",C318))+ISNUMBER(SEARCH("Presidente",C318))+ISNUMBER(SEARCH("President",C318))&gt;0,'Configuración'!$B$31,IF(ISNUMBER(SEARCH("CMO",C318))+ISNUMBER(SEARCH("Chief Marketing",C318))+ISNUMBER(SEARCH("VP Marketing",C318))+ISNUMBER(SEARCH("Director de Marketing",C318))+ISNUMBER(SEARCH("Director Marketing",C318))+ISNUMBER(SEARCH("Head of Marketing",C318))+ISNUMBER(SEARCH("Head Marketing",C318))&gt;0,'Configuración'!$B$32,IF(ISNUMBER(SEARCH("Marketing Manager",C318))+ISNUMBER(SEARCH("Gerente de Marketing",C318))+ISNUMBER(SEARCH("Growth Manager",C318))+ISNUMBER(SEARCH("Demand Gen",C318))+ISNUMBER(SEARCH("Marketing Lead",C318))&gt;0,'Configuración'!$B$33,IF(ISNUMBER(SEARCH("COO",C318))+ISNUMBER(SEARCH("CFO",C318))+ISNUMBER(SEARCH("CTO",C318))+ISNUMBER(SEARCH("Chief Operating",C318))+ISNUMBER(SEARCH("Chief Financial",C318))+ISNUMBER(SEARCH("Gerente General",C318))+ISNUMBER(SEARCH("General Manager",C318))&gt;0,'Configuración'!$B$34,'Configuración'!$B$35)))))</f>
        <v>12</v>
      </c>
      <c r="V318" s="38">
        <f>IF(B318="","",IF(K318="Sí",'Configuración'!$B$5,0)+IF(L318="Semanal",'Configuración'!$B$6,IF(L318="Mensual",'Configuración'!$B$7,0))+IF(M318="Sí",'Configuración'!$B$8,0)+IF(N318="Sí",'Configuración'!$B$9,0)+IF(O318="Sí",'Configuración'!$B$10,0)+IF(P318="Sí",'Configuración'!$B$11,0)+IF(Q318="Sí",'Configuración'!$B$12,0)+S318+T318+U318)</f>
        <v>28</v>
      </c>
      <c r="W318" s="39" t="str">
        <f>IF(B318="","",IF(V318&gt;='Configuración'!$B$19,"A",IF(V318&gt;='Configuración'!$B$20,"B",IF(V318&gt;='Configuración'!$B$21,"C","Descarte"))))</f>
        <v>C</v>
      </c>
    </row>
    <row r="319" ht="15.75" customHeight="1">
      <c r="A319" s="34">
        <f t="shared" si="1"/>
        <v>317</v>
      </c>
      <c r="B319" s="29" t="s">
        <v>610</v>
      </c>
      <c r="C319" s="29" t="s">
        <v>2053</v>
      </c>
      <c r="D319" s="29" t="s">
        <v>2054</v>
      </c>
      <c r="E319" s="29" t="s">
        <v>2055</v>
      </c>
      <c r="F319" s="30" t="s">
        <v>2056</v>
      </c>
      <c r="G319" s="30" t="s">
        <v>2057</v>
      </c>
      <c r="H319" s="30" t="s">
        <v>2058</v>
      </c>
      <c r="I319" s="29" t="s">
        <v>628</v>
      </c>
      <c r="J319" s="31">
        <v>11.0</v>
      </c>
      <c r="K319" s="35"/>
      <c r="L319" s="35"/>
      <c r="M319" s="35"/>
      <c r="N319" s="35"/>
      <c r="O319" s="35"/>
      <c r="P319" s="35"/>
      <c r="Q319" s="35"/>
      <c r="R319" s="35"/>
      <c r="S319" s="37">
        <f>IF(B319="","",IF(ISNUMBER(J319),IF(J319&lt;=10,'Configuración'!$B$23,IF(J319&lt;=50,'Configuración'!$B$24,IF(J319&lt;=200,'Configuración'!$B$25,0))),0))</f>
        <v>4</v>
      </c>
      <c r="T319" s="37">
        <f>IF(B319="","",IF(ISNUMBER(SEARCH("information technology",I319))+ISNUMBER(SEARCH("software",I319))+ISNUMBER(SEARCH("internet",I319))+ISNUMBER(SEARCH("computer",I319))+ISNUMBER(SEARCH("saas",I319))+ISNUMBER(SEARCH("fintech",I319))+ISNUMBER(SEARCH("information services",I319))+ISNUMBER(SEARCH("telecommunications",I319))&gt;0,'Configuración'!$B$27,'Configuración'!$B$28))</f>
        <v>4</v>
      </c>
      <c r="U319" s="25">
        <f>IF(B319="","",IF(ISNUMBER(SEARCH("CEO",C319))+ISNUMBER(SEARCH("Founder",C319))+ISNUMBER(SEARCH("Owner",C319))+ISNUMBER(SEARCH("Dueño",C319))+ISNUMBER(SEARCH("Director General",C319))+ISNUMBER(SEARCH("Presidente",C319))+ISNUMBER(SEARCH("President",C319))&gt;0,'Configuración'!$B$31,IF(ISNUMBER(SEARCH("CMO",C319))+ISNUMBER(SEARCH("Chief Marketing",C319))+ISNUMBER(SEARCH("VP Marketing",C319))+ISNUMBER(SEARCH("Director de Marketing",C319))+ISNUMBER(SEARCH("Director Marketing",C319))+ISNUMBER(SEARCH("Head of Marketing",C319))+ISNUMBER(SEARCH("Head Marketing",C319))&gt;0,'Configuración'!$B$32,IF(ISNUMBER(SEARCH("Marketing Manager",C319))+ISNUMBER(SEARCH("Gerente de Marketing",C319))+ISNUMBER(SEARCH("Growth Manager",C319))+ISNUMBER(SEARCH("Demand Gen",C319))+ISNUMBER(SEARCH("Marketing Lead",C319))&gt;0,'Configuración'!$B$33,IF(ISNUMBER(SEARCH("COO",C319))+ISNUMBER(SEARCH("CFO",C319))+ISNUMBER(SEARCH("CTO",C319))+ISNUMBER(SEARCH("Chief Operating",C319))+ISNUMBER(SEARCH("Chief Financial",C319))+ISNUMBER(SEARCH("Gerente General",C319))+ISNUMBER(SEARCH("General Manager",C319))&gt;0,'Configuración'!$B$34,'Configuración'!$B$35)))))</f>
        <v>12</v>
      </c>
      <c r="V319" s="38">
        <f>IF(B319="","",IF(K319="Sí",'Configuración'!$B$5,0)+IF(L319="Semanal",'Configuración'!$B$6,IF(L319="Mensual",'Configuración'!$B$7,0))+IF(M319="Sí",'Configuración'!$B$8,0)+IF(N319="Sí",'Configuración'!$B$9,0)+IF(O319="Sí",'Configuración'!$B$10,0)+IF(P319="Sí",'Configuración'!$B$11,0)+IF(Q319="Sí",'Configuración'!$B$12,0)+S319+T319+U319)</f>
        <v>20</v>
      </c>
      <c r="W319" s="39" t="str">
        <f>IF(B319="","",IF(V319&gt;='Configuración'!$B$19,"A",IF(V319&gt;='Configuración'!$B$20,"B",IF(V319&gt;='Configuración'!$B$21,"C","Descarte"))))</f>
        <v>Descarte</v>
      </c>
    </row>
    <row r="320" ht="15.75" customHeight="1">
      <c r="A320" s="34">
        <f t="shared" si="1"/>
        <v>318</v>
      </c>
      <c r="B320" s="29" t="s">
        <v>501</v>
      </c>
      <c r="C320" s="29" t="s">
        <v>2059</v>
      </c>
      <c r="D320" s="29" t="s">
        <v>2060</v>
      </c>
      <c r="E320" s="29" t="s">
        <v>2061</v>
      </c>
      <c r="F320" s="30" t="s">
        <v>2062</v>
      </c>
      <c r="G320" s="30" t="s">
        <v>2063</v>
      </c>
      <c r="H320" s="30" t="s">
        <v>2064</v>
      </c>
      <c r="I320" s="29" t="s">
        <v>127</v>
      </c>
      <c r="J320" s="31">
        <v>14.0</v>
      </c>
      <c r="K320" s="35"/>
      <c r="L320" s="35"/>
      <c r="M320" s="35"/>
      <c r="N320" s="35"/>
      <c r="O320" s="35"/>
      <c r="P320" s="35"/>
      <c r="Q320" s="35"/>
      <c r="R320" s="35"/>
      <c r="S320" s="37">
        <f>IF(B320="","",IF(ISNUMBER(J320),IF(J320&lt;=10,'Configuración'!$B$23,IF(J320&lt;=50,'Configuración'!$B$24,IF(J320&lt;=200,'Configuración'!$B$25,0))),0))</f>
        <v>4</v>
      </c>
      <c r="T320" s="37">
        <f>IF(B320="","",IF(ISNUMBER(SEARCH("information technology",I320))+ISNUMBER(SEARCH("software",I320))+ISNUMBER(SEARCH("internet",I320))+ISNUMBER(SEARCH("computer",I320))+ISNUMBER(SEARCH("saas",I320))+ISNUMBER(SEARCH("fintech",I320))+ISNUMBER(SEARCH("information services",I320))+ISNUMBER(SEARCH("telecommunications",I320))&gt;0,'Configuración'!$B$27,'Configuración'!$B$28))</f>
        <v>12</v>
      </c>
      <c r="U320" s="25">
        <f>IF(B320="","",IF(ISNUMBER(SEARCH("CEO",C320))+ISNUMBER(SEARCH("Founder",C320))+ISNUMBER(SEARCH("Owner",C320))+ISNUMBER(SEARCH("Dueño",C320))+ISNUMBER(SEARCH("Director General",C320))+ISNUMBER(SEARCH("Presidente",C320))+ISNUMBER(SEARCH("President",C320))&gt;0,'Configuración'!$B$31,IF(ISNUMBER(SEARCH("CMO",C320))+ISNUMBER(SEARCH("Chief Marketing",C320))+ISNUMBER(SEARCH("VP Marketing",C320))+ISNUMBER(SEARCH("Director de Marketing",C320))+ISNUMBER(SEARCH("Director Marketing",C320))+ISNUMBER(SEARCH("Head of Marketing",C320))+ISNUMBER(SEARCH("Head Marketing",C320))&gt;0,'Configuración'!$B$32,IF(ISNUMBER(SEARCH("Marketing Manager",C320))+ISNUMBER(SEARCH("Gerente de Marketing",C320))+ISNUMBER(SEARCH("Growth Manager",C320))+ISNUMBER(SEARCH("Demand Gen",C320))+ISNUMBER(SEARCH("Marketing Lead",C320))&gt;0,'Configuración'!$B$33,IF(ISNUMBER(SEARCH("COO",C320))+ISNUMBER(SEARCH("CFO",C320))+ISNUMBER(SEARCH("CTO",C320))+ISNUMBER(SEARCH("Chief Operating",C320))+ISNUMBER(SEARCH("Chief Financial",C320))+ISNUMBER(SEARCH("Gerente General",C320))+ISNUMBER(SEARCH("General Manager",C320))&gt;0,'Configuración'!$B$34,'Configuración'!$B$35)))))</f>
        <v>4</v>
      </c>
      <c r="V320" s="38">
        <f>IF(B320="","",IF(K320="Sí",'Configuración'!$B$5,0)+IF(L320="Semanal",'Configuración'!$B$6,IF(L320="Mensual",'Configuración'!$B$7,0))+IF(M320="Sí",'Configuración'!$B$8,0)+IF(N320="Sí",'Configuración'!$B$9,0)+IF(O320="Sí",'Configuración'!$B$10,0)+IF(P320="Sí",'Configuración'!$B$11,0)+IF(Q320="Sí",'Configuración'!$B$12,0)+S320+T320+U320)</f>
        <v>20</v>
      </c>
      <c r="W320" s="39" t="str">
        <f>IF(B320="","",IF(V320&gt;='Configuración'!$B$19,"A",IF(V320&gt;='Configuración'!$B$20,"B",IF(V320&gt;='Configuración'!$B$21,"C","Descarte"))))</f>
        <v>Descarte</v>
      </c>
    </row>
    <row r="321" ht="15.75" customHeight="1">
      <c r="A321" s="34">
        <f t="shared" si="1"/>
        <v>319</v>
      </c>
      <c r="B321" s="29" t="s">
        <v>2065</v>
      </c>
      <c r="C321" s="29" t="s">
        <v>2066</v>
      </c>
      <c r="D321" s="29" t="s">
        <v>2067</v>
      </c>
      <c r="E321" s="29" t="s">
        <v>2068</v>
      </c>
      <c r="F321" s="30" t="s">
        <v>2069</v>
      </c>
      <c r="G321" s="30" t="s">
        <v>2070</v>
      </c>
      <c r="H321" s="30" t="s">
        <v>2071</v>
      </c>
      <c r="I321" s="29" t="s">
        <v>145</v>
      </c>
      <c r="J321" s="31">
        <v>5.0</v>
      </c>
      <c r="K321" s="35"/>
      <c r="L321" s="35"/>
      <c r="M321" s="35"/>
      <c r="N321" s="35"/>
      <c r="O321" s="35"/>
      <c r="P321" s="35"/>
      <c r="Q321" s="35"/>
      <c r="R321" s="35"/>
      <c r="S321" s="37">
        <f>IF(B321="","",IF(ISNUMBER(J321),IF(J321&lt;=10,'Configuración'!$B$23,IF(J321&lt;=50,'Configuración'!$B$24,IF(J321&lt;=200,'Configuración'!$B$25,0))),0))</f>
        <v>12</v>
      </c>
      <c r="T321" s="37">
        <f>IF(B321="","",IF(ISNUMBER(SEARCH("information technology",I321))+ISNUMBER(SEARCH("software",I321))+ISNUMBER(SEARCH("internet",I321))+ISNUMBER(SEARCH("computer",I321))+ISNUMBER(SEARCH("saas",I321))+ISNUMBER(SEARCH("fintech",I321))+ISNUMBER(SEARCH("information services",I321))+ISNUMBER(SEARCH("telecommunications",I321))&gt;0,'Configuración'!$B$27,'Configuración'!$B$28))</f>
        <v>4</v>
      </c>
      <c r="U321" s="25">
        <f>IF(B321="","",IF(ISNUMBER(SEARCH("CEO",C321))+ISNUMBER(SEARCH("Founder",C321))+ISNUMBER(SEARCH("Owner",C321))+ISNUMBER(SEARCH("Dueño",C321))+ISNUMBER(SEARCH("Director General",C321))+ISNUMBER(SEARCH("Presidente",C321))+ISNUMBER(SEARCH("President",C321))&gt;0,'Configuración'!$B$31,IF(ISNUMBER(SEARCH("CMO",C321))+ISNUMBER(SEARCH("Chief Marketing",C321))+ISNUMBER(SEARCH("VP Marketing",C321))+ISNUMBER(SEARCH("Director de Marketing",C321))+ISNUMBER(SEARCH("Director Marketing",C321))+ISNUMBER(SEARCH("Head of Marketing",C321))+ISNUMBER(SEARCH("Head Marketing",C321))&gt;0,'Configuración'!$B$32,IF(ISNUMBER(SEARCH("Marketing Manager",C321))+ISNUMBER(SEARCH("Gerente de Marketing",C321))+ISNUMBER(SEARCH("Growth Manager",C321))+ISNUMBER(SEARCH("Demand Gen",C321))+ISNUMBER(SEARCH("Marketing Lead",C321))&gt;0,'Configuración'!$B$33,IF(ISNUMBER(SEARCH("COO",C321))+ISNUMBER(SEARCH("CFO",C321))+ISNUMBER(SEARCH("CTO",C321))+ISNUMBER(SEARCH("Chief Operating",C321))+ISNUMBER(SEARCH("Chief Financial",C321))+ISNUMBER(SEARCH("Gerente General",C321))+ISNUMBER(SEARCH("General Manager",C321))&gt;0,'Configuración'!$B$34,'Configuración'!$B$35)))))</f>
        <v>12</v>
      </c>
      <c r="V321" s="38">
        <f>IF(B321="","",IF(K321="Sí",'Configuración'!$B$5,0)+IF(L321="Semanal",'Configuración'!$B$6,IF(L321="Mensual",'Configuración'!$B$7,0))+IF(M321="Sí",'Configuración'!$B$8,0)+IF(N321="Sí",'Configuración'!$B$9,0)+IF(O321="Sí",'Configuración'!$B$10,0)+IF(P321="Sí",'Configuración'!$B$11,0)+IF(Q321="Sí",'Configuración'!$B$12,0)+S321+T321+U321)</f>
        <v>28</v>
      </c>
      <c r="W321" s="39" t="str">
        <f>IF(B321="","",IF(V321&gt;='Configuración'!$B$19,"A",IF(V321&gt;='Configuración'!$B$20,"B",IF(V321&gt;='Configuración'!$B$21,"C","Descarte"))))</f>
        <v>C</v>
      </c>
    </row>
    <row r="322" ht="15.75" customHeight="1">
      <c r="A322" s="34">
        <f t="shared" si="1"/>
        <v>320</v>
      </c>
      <c r="B322" s="29" t="s">
        <v>2072</v>
      </c>
      <c r="C322" s="29" t="s">
        <v>146</v>
      </c>
      <c r="D322" s="29" t="s">
        <v>2073</v>
      </c>
      <c r="E322" s="29" t="s">
        <v>2074</v>
      </c>
      <c r="F322" s="30" t="s">
        <v>2075</v>
      </c>
      <c r="G322" s="30" t="s">
        <v>2076</v>
      </c>
      <c r="H322" s="30" t="s">
        <v>2077</v>
      </c>
      <c r="I322" s="29" t="s">
        <v>188</v>
      </c>
      <c r="J322" s="31">
        <v>5.0</v>
      </c>
      <c r="K322" s="35"/>
      <c r="L322" s="35"/>
      <c r="M322" s="35"/>
      <c r="N322" s="35"/>
      <c r="O322" s="35"/>
      <c r="P322" s="35"/>
      <c r="Q322" s="35"/>
      <c r="R322" s="35"/>
      <c r="S322" s="37">
        <f>IF(B322="","",IF(ISNUMBER(J322),IF(J322&lt;=10,'Configuración'!$B$23,IF(J322&lt;=50,'Configuración'!$B$24,IF(J322&lt;=200,'Configuración'!$B$25,0))),0))</f>
        <v>12</v>
      </c>
      <c r="T322" s="37">
        <f>IF(B322="","",IF(ISNUMBER(SEARCH("information technology",I322))+ISNUMBER(SEARCH("software",I322))+ISNUMBER(SEARCH("internet",I322))+ISNUMBER(SEARCH("computer",I322))+ISNUMBER(SEARCH("saas",I322))+ISNUMBER(SEARCH("fintech",I322))+ISNUMBER(SEARCH("information services",I322))+ISNUMBER(SEARCH("telecommunications",I322))&gt;0,'Configuración'!$B$27,'Configuración'!$B$28))</f>
        <v>4</v>
      </c>
      <c r="U322" s="25">
        <f>IF(B322="","",IF(ISNUMBER(SEARCH("CEO",C322))+ISNUMBER(SEARCH("Founder",C322))+ISNUMBER(SEARCH("Owner",C322))+ISNUMBER(SEARCH("Dueño",C322))+ISNUMBER(SEARCH("Director General",C322))+ISNUMBER(SEARCH("Presidente",C322))+ISNUMBER(SEARCH("President",C322))&gt;0,'Configuración'!$B$31,IF(ISNUMBER(SEARCH("CMO",C322))+ISNUMBER(SEARCH("Chief Marketing",C322))+ISNUMBER(SEARCH("VP Marketing",C322))+ISNUMBER(SEARCH("Director de Marketing",C322))+ISNUMBER(SEARCH("Director Marketing",C322))+ISNUMBER(SEARCH("Head of Marketing",C322))+ISNUMBER(SEARCH("Head Marketing",C322))&gt;0,'Configuración'!$B$32,IF(ISNUMBER(SEARCH("Marketing Manager",C322))+ISNUMBER(SEARCH("Gerente de Marketing",C322))+ISNUMBER(SEARCH("Growth Manager",C322))+ISNUMBER(SEARCH("Demand Gen",C322))+ISNUMBER(SEARCH("Marketing Lead",C322))&gt;0,'Configuración'!$B$33,IF(ISNUMBER(SEARCH("COO",C322))+ISNUMBER(SEARCH("CFO",C322))+ISNUMBER(SEARCH("CTO",C322))+ISNUMBER(SEARCH("Chief Operating",C322))+ISNUMBER(SEARCH("Chief Financial",C322))+ISNUMBER(SEARCH("Gerente General",C322))+ISNUMBER(SEARCH("General Manager",C322))&gt;0,'Configuración'!$B$34,'Configuración'!$B$35)))))</f>
        <v>0</v>
      </c>
      <c r="V322" s="38">
        <f>IF(B322="","",IF(K322="Sí",'Configuración'!$B$5,0)+IF(L322="Semanal",'Configuración'!$B$6,IF(L322="Mensual",'Configuración'!$B$7,0))+IF(M322="Sí",'Configuración'!$B$8,0)+IF(N322="Sí",'Configuración'!$B$9,0)+IF(O322="Sí",'Configuración'!$B$10,0)+IF(P322="Sí",'Configuración'!$B$11,0)+IF(Q322="Sí",'Configuración'!$B$12,0)+S322+T322+U322)</f>
        <v>16</v>
      </c>
      <c r="W322" s="39" t="str">
        <f>IF(B322="","",IF(V322&gt;='Configuración'!$B$19,"A",IF(V322&gt;='Configuración'!$B$20,"B",IF(V322&gt;='Configuración'!$B$21,"C","Descarte"))))</f>
        <v>Descarte</v>
      </c>
    </row>
    <row r="323" ht="15.75" customHeight="1">
      <c r="A323" s="34">
        <f t="shared" si="1"/>
        <v>321</v>
      </c>
      <c r="B323" s="29" t="s">
        <v>351</v>
      </c>
      <c r="C323" s="29" t="s">
        <v>131</v>
      </c>
      <c r="D323" s="29" t="s">
        <v>2078</v>
      </c>
      <c r="E323" s="29" t="s">
        <v>2079</v>
      </c>
      <c r="F323" s="30" t="s">
        <v>2080</v>
      </c>
      <c r="G323" s="30" t="s">
        <v>2081</v>
      </c>
      <c r="H323" s="30" t="s">
        <v>2082</v>
      </c>
      <c r="I323" s="29" t="s">
        <v>127</v>
      </c>
      <c r="J323" s="31">
        <v>4.0</v>
      </c>
      <c r="K323" s="35"/>
      <c r="L323" s="35"/>
      <c r="M323" s="35"/>
      <c r="N323" s="35"/>
      <c r="O323" s="35"/>
      <c r="P323" s="35"/>
      <c r="Q323" s="35"/>
      <c r="R323" s="35"/>
      <c r="S323" s="37">
        <f>IF(B323="","",IF(ISNUMBER(J323),IF(J323&lt;=10,'Configuración'!$B$23,IF(J323&lt;=50,'Configuración'!$B$24,IF(J323&lt;=200,'Configuración'!$B$25,0))),0))</f>
        <v>12</v>
      </c>
      <c r="T323" s="37">
        <f>IF(B323="","",IF(ISNUMBER(SEARCH("information technology",I323))+ISNUMBER(SEARCH("software",I323))+ISNUMBER(SEARCH("internet",I323))+ISNUMBER(SEARCH("computer",I323))+ISNUMBER(SEARCH("saas",I323))+ISNUMBER(SEARCH("fintech",I323))+ISNUMBER(SEARCH("information services",I323))+ISNUMBER(SEARCH("telecommunications",I323))&gt;0,'Configuración'!$B$27,'Configuración'!$B$28))</f>
        <v>12</v>
      </c>
      <c r="U323" s="25">
        <f>IF(B323="","",IF(ISNUMBER(SEARCH("CEO",C323))+ISNUMBER(SEARCH("Founder",C323))+ISNUMBER(SEARCH("Owner",C323))+ISNUMBER(SEARCH("Dueño",C323))+ISNUMBER(SEARCH("Director General",C323))+ISNUMBER(SEARCH("Presidente",C323))+ISNUMBER(SEARCH("President",C323))&gt;0,'Configuración'!$B$31,IF(ISNUMBER(SEARCH("CMO",C323))+ISNUMBER(SEARCH("Chief Marketing",C323))+ISNUMBER(SEARCH("VP Marketing",C323))+ISNUMBER(SEARCH("Director de Marketing",C323))+ISNUMBER(SEARCH("Director Marketing",C323))+ISNUMBER(SEARCH("Head of Marketing",C323))+ISNUMBER(SEARCH("Head Marketing",C323))&gt;0,'Configuración'!$B$32,IF(ISNUMBER(SEARCH("Marketing Manager",C323))+ISNUMBER(SEARCH("Gerente de Marketing",C323))+ISNUMBER(SEARCH("Growth Manager",C323))+ISNUMBER(SEARCH("Demand Gen",C323))+ISNUMBER(SEARCH("Marketing Lead",C323))&gt;0,'Configuración'!$B$33,IF(ISNUMBER(SEARCH("COO",C323))+ISNUMBER(SEARCH("CFO",C323))+ISNUMBER(SEARCH("CTO",C323))+ISNUMBER(SEARCH("Chief Operating",C323))+ISNUMBER(SEARCH("Chief Financial",C323))+ISNUMBER(SEARCH("Gerente General",C323))+ISNUMBER(SEARCH("General Manager",C323))&gt;0,'Configuración'!$B$34,'Configuración'!$B$35)))))</f>
        <v>12</v>
      </c>
      <c r="V323" s="38">
        <f>IF(B323="","",IF(K323="Sí",'Configuración'!$B$5,0)+IF(L323="Semanal",'Configuración'!$B$6,IF(L323="Mensual",'Configuración'!$B$7,0))+IF(M323="Sí",'Configuración'!$B$8,0)+IF(N323="Sí",'Configuración'!$B$9,0)+IF(O323="Sí",'Configuración'!$B$10,0)+IF(P323="Sí",'Configuración'!$B$11,0)+IF(Q323="Sí",'Configuración'!$B$12,0)+S323+T323+U323)</f>
        <v>36</v>
      </c>
      <c r="W323" s="39" t="str">
        <f>IF(B323="","",IF(V323&gt;='Configuración'!$B$19,"A",IF(V323&gt;='Configuración'!$B$20,"B",IF(V323&gt;='Configuración'!$B$21,"C","Descarte"))))</f>
        <v>C</v>
      </c>
    </row>
    <row r="324" ht="15.75" customHeight="1">
      <c r="A324" s="34">
        <f t="shared" si="1"/>
        <v>322</v>
      </c>
      <c r="B324" s="29" t="s">
        <v>351</v>
      </c>
      <c r="C324" s="29" t="s">
        <v>131</v>
      </c>
      <c r="D324" s="29" t="s">
        <v>2083</v>
      </c>
      <c r="E324" s="29" t="s">
        <v>2084</v>
      </c>
      <c r="F324" s="30" t="s">
        <v>2085</v>
      </c>
      <c r="G324" s="30" t="s">
        <v>2086</v>
      </c>
      <c r="H324" s="30" t="s">
        <v>2087</v>
      </c>
      <c r="I324" s="29" t="s">
        <v>127</v>
      </c>
      <c r="J324" s="31">
        <v>3.0</v>
      </c>
      <c r="K324" s="35"/>
      <c r="L324" s="35"/>
      <c r="M324" s="35"/>
      <c r="N324" s="35"/>
      <c r="O324" s="35"/>
      <c r="P324" s="35"/>
      <c r="Q324" s="35"/>
      <c r="R324" s="35"/>
      <c r="S324" s="37">
        <f>IF(B324="","",IF(ISNUMBER(J324),IF(J324&lt;=10,'Configuración'!$B$23,IF(J324&lt;=50,'Configuración'!$B$24,IF(J324&lt;=200,'Configuración'!$B$25,0))),0))</f>
        <v>12</v>
      </c>
      <c r="T324" s="37">
        <f>IF(B324="","",IF(ISNUMBER(SEARCH("information technology",I324))+ISNUMBER(SEARCH("software",I324))+ISNUMBER(SEARCH("internet",I324))+ISNUMBER(SEARCH("computer",I324))+ISNUMBER(SEARCH("saas",I324))+ISNUMBER(SEARCH("fintech",I324))+ISNUMBER(SEARCH("information services",I324))+ISNUMBER(SEARCH("telecommunications",I324))&gt;0,'Configuración'!$B$27,'Configuración'!$B$28))</f>
        <v>12</v>
      </c>
      <c r="U324" s="25">
        <f>IF(B324="","",IF(ISNUMBER(SEARCH("CEO",C324))+ISNUMBER(SEARCH("Founder",C324))+ISNUMBER(SEARCH("Owner",C324))+ISNUMBER(SEARCH("Dueño",C324))+ISNUMBER(SEARCH("Director General",C324))+ISNUMBER(SEARCH("Presidente",C324))+ISNUMBER(SEARCH("President",C324))&gt;0,'Configuración'!$B$31,IF(ISNUMBER(SEARCH("CMO",C324))+ISNUMBER(SEARCH("Chief Marketing",C324))+ISNUMBER(SEARCH("VP Marketing",C324))+ISNUMBER(SEARCH("Director de Marketing",C324))+ISNUMBER(SEARCH("Director Marketing",C324))+ISNUMBER(SEARCH("Head of Marketing",C324))+ISNUMBER(SEARCH("Head Marketing",C324))&gt;0,'Configuración'!$B$32,IF(ISNUMBER(SEARCH("Marketing Manager",C324))+ISNUMBER(SEARCH("Gerente de Marketing",C324))+ISNUMBER(SEARCH("Growth Manager",C324))+ISNUMBER(SEARCH("Demand Gen",C324))+ISNUMBER(SEARCH("Marketing Lead",C324))&gt;0,'Configuración'!$B$33,IF(ISNUMBER(SEARCH("COO",C324))+ISNUMBER(SEARCH("CFO",C324))+ISNUMBER(SEARCH("CTO",C324))+ISNUMBER(SEARCH("Chief Operating",C324))+ISNUMBER(SEARCH("Chief Financial",C324))+ISNUMBER(SEARCH("Gerente General",C324))+ISNUMBER(SEARCH("General Manager",C324))&gt;0,'Configuración'!$B$34,'Configuración'!$B$35)))))</f>
        <v>12</v>
      </c>
      <c r="V324" s="38">
        <f>IF(B324="","",IF(K324="Sí",'Configuración'!$B$5,0)+IF(L324="Semanal",'Configuración'!$B$6,IF(L324="Mensual",'Configuración'!$B$7,0))+IF(M324="Sí",'Configuración'!$B$8,0)+IF(N324="Sí",'Configuración'!$B$9,0)+IF(O324="Sí",'Configuración'!$B$10,0)+IF(P324="Sí",'Configuración'!$B$11,0)+IF(Q324="Sí",'Configuración'!$B$12,0)+S324+T324+U324)</f>
        <v>36</v>
      </c>
      <c r="W324" s="39" t="str">
        <f>IF(B324="","",IF(V324&gt;='Configuración'!$B$19,"A",IF(V324&gt;='Configuración'!$B$20,"B",IF(V324&gt;='Configuración'!$B$21,"C","Descarte"))))</f>
        <v>C</v>
      </c>
    </row>
    <row r="325" ht="15.75" customHeight="1">
      <c r="A325" s="34">
        <f t="shared" si="1"/>
        <v>323</v>
      </c>
      <c r="B325" s="29" t="s">
        <v>2088</v>
      </c>
      <c r="C325" s="29" t="s">
        <v>131</v>
      </c>
      <c r="D325" s="29" t="s">
        <v>2089</v>
      </c>
      <c r="E325" s="29" t="s">
        <v>2090</v>
      </c>
      <c r="F325" s="30" t="s">
        <v>2091</v>
      </c>
      <c r="G325" s="30" t="s">
        <v>2092</v>
      </c>
      <c r="H325" s="30" t="s">
        <v>2093</v>
      </c>
      <c r="I325" s="29" t="s">
        <v>188</v>
      </c>
      <c r="J325" s="31">
        <v>2.0</v>
      </c>
      <c r="K325" s="35"/>
      <c r="L325" s="35"/>
      <c r="M325" s="35"/>
      <c r="N325" s="35"/>
      <c r="O325" s="35"/>
      <c r="P325" s="35"/>
      <c r="Q325" s="35"/>
      <c r="R325" s="35"/>
      <c r="S325" s="37">
        <f>IF(B325="","",IF(ISNUMBER(J325),IF(J325&lt;=10,'Configuración'!$B$23,IF(J325&lt;=50,'Configuración'!$B$24,IF(J325&lt;=200,'Configuración'!$B$25,0))),0))</f>
        <v>12</v>
      </c>
      <c r="T325" s="37">
        <f>IF(B325="","",IF(ISNUMBER(SEARCH("information technology",I325))+ISNUMBER(SEARCH("software",I325))+ISNUMBER(SEARCH("internet",I325))+ISNUMBER(SEARCH("computer",I325))+ISNUMBER(SEARCH("saas",I325))+ISNUMBER(SEARCH("fintech",I325))+ISNUMBER(SEARCH("information services",I325))+ISNUMBER(SEARCH("telecommunications",I325))&gt;0,'Configuración'!$B$27,'Configuración'!$B$28))</f>
        <v>4</v>
      </c>
      <c r="U325" s="25">
        <f>IF(B325="","",IF(ISNUMBER(SEARCH("CEO",C325))+ISNUMBER(SEARCH("Founder",C325))+ISNUMBER(SEARCH("Owner",C325))+ISNUMBER(SEARCH("Dueño",C325))+ISNUMBER(SEARCH("Director General",C325))+ISNUMBER(SEARCH("Presidente",C325))+ISNUMBER(SEARCH("President",C325))&gt;0,'Configuración'!$B$31,IF(ISNUMBER(SEARCH("CMO",C325))+ISNUMBER(SEARCH("Chief Marketing",C325))+ISNUMBER(SEARCH("VP Marketing",C325))+ISNUMBER(SEARCH("Director de Marketing",C325))+ISNUMBER(SEARCH("Director Marketing",C325))+ISNUMBER(SEARCH("Head of Marketing",C325))+ISNUMBER(SEARCH("Head Marketing",C325))&gt;0,'Configuración'!$B$32,IF(ISNUMBER(SEARCH("Marketing Manager",C325))+ISNUMBER(SEARCH("Gerente de Marketing",C325))+ISNUMBER(SEARCH("Growth Manager",C325))+ISNUMBER(SEARCH("Demand Gen",C325))+ISNUMBER(SEARCH("Marketing Lead",C325))&gt;0,'Configuración'!$B$33,IF(ISNUMBER(SEARCH("COO",C325))+ISNUMBER(SEARCH("CFO",C325))+ISNUMBER(SEARCH("CTO",C325))+ISNUMBER(SEARCH("Chief Operating",C325))+ISNUMBER(SEARCH("Chief Financial",C325))+ISNUMBER(SEARCH("Gerente General",C325))+ISNUMBER(SEARCH("General Manager",C325))&gt;0,'Configuración'!$B$34,'Configuración'!$B$35)))))</f>
        <v>12</v>
      </c>
      <c r="V325" s="38">
        <f>IF(B325="","",IF(K325="Sí",'Configuración'!$B$5,0)+IF(L325="Semanal",'Configuración'!$B$6,IF(L325="Mensual",'Configuración'!$B$7,0))+IF(M325="Sí",'Configuración'!$B$8,0)+IF(N325="Sí",'Configuración'!$B$9,0)+IF(O325="Sí",'Configuración'!$B$10,0)+IF(P325="Sí",'Configuración'!$B$11,0)+IF(Q325="Sí",'Configuración'!$B$12,0)+S325+T325+U325)</f>
        <v>28</v>
      </c>
      <c r="W325" s="39" t="str">
        <f>IF(B325="","",IF(V325&gt;='Configuración'!$B$19,"A",IF(V325&gt;='Configuración'!$B$20,"B",IF(V325&gt;='Configuración'!$B$21,"C","Descarte"))))</f>
        <v>C</v>
      </c>
    </row>
    <row r="326" ht="15.75" customHeight="1">
      <c r="A326" s="34">
        <f t="shared" si="1"/>
        <v>324</v>
      </c>
      <c r="B326" s="29" t="s">
        <v>2094</v>
      </c>
      <c r="C326" s="29" t="s">
        <v>2095</v>
      </c>
      <c r="D326" s="29" t="s">
        <v>2096</v>
      </c>
      <c r="E326" s="29" t="s">
        <v>2097</v>
      </c>
      <c r="F326" s="30" t="s">
        <v>2098</v>
      </c>
      <c r="G326" s="30" t="s">
        <v>2099</v>
      </c>
      <c r="H326" s="30" t="s">
        <v>2100</v>
      </c>
      <c r="I326" s="29" t="s">
        <v>127</v>
      </c>
      <c r="J326" s="31">
        <v>36.0</v>
      </c>
      <c r="K326" s="35"/>
      <c r="L326" s="35"/>
      <c r="M326" s="35"/>
      <c r="N326" s="35"/>
      <c r="O326" s="35"/>
      <c r="P326" s="35"/>
      <c r="Q326" s="35"/>
      <c r="R326" s="35"/>
      <c r="S326" s="37">
        <f>IF(B326="","",IF(ISNUMBER(J326),IF(J326&lt;=10,'Configuración'!$B$23,IF(J326&lt;=50,'Configuración'!$B$24,IF(J326&lt;=200,'Configuración'!$B$25,0))),0))</f>
        <v>4</v>
      </c>
      <c r="T326" s="37">
        <f>IF(B326="","",IF(ISNUMBER(SEARCH("information technology",I326))+ISNUMBER(SEARCH("software",I326))+ISNUMBER(SEARCH("internet",I326))+ISNUMBER(SEARCH("computer",I326))+ISNUMBER(SEARCH("saas",I326))+ISNUMBER(SEARCH("fintech",I326))+ISNUMBER(SEARCH("information services",I326))+ISNUMBER(SEARCH("telecommunications",I326))&gt;0,'Configuración'!$B$27,'Configuración'!$B$28))</f>
        <v>12</v>
      </c>
      <c r="U326" s="25">
        <f>IF(B326="","",IF(ISNUMBER(SEARCH("CEO",C326))+ISNUMBER(SEARCH("Founder",C326))+ISNUMBER(SEARCH("Owner",C326))+ISNUMBER(SEARCH("Dueño",C326))+ISNUMBER(SEARCH("Director General",C326))+ISNUMBER(SEARCH("Presidente",C326))+ISNUMBER(SEARCH("President",C326))&gt;0,'Configuración'!$B$31,IF(ISNUMBER(SEARCH("CMO",C326))+ISNUMBER(SEARCH("Chief Marketing",C326))+ISNUMBER(SEARCH("VP Marketing",C326))+ISNUMBER(SEARCH("Director de Marketing",C326))+ISNUMBER(SEARCH("Director Marketing",C326))+ISNUMBER(SEARCH("Head of Marketing",C326))+ISNUMBER(SEARCH("Head Marketing",C326))&gt;0,'Configuración'!$B$32,IF(ISNUMBER(SEARCH("Marketing Manager",C326))+ISNUMBER(SEARCH("Gerente de Marketing",C326))+ISNUMBER(SEARCH("Growth Manager",C326))+ISNUMBER(SEARCH("Demand Gen",C326))+ISNUMBER(SEARCH("Marketing Lead",C326))&gt;0,'Configuración'!$B$33,IF(ISNUMBER(SEARCH("COO",C326))+ISNUMBER(SEARCH("CFO",C326))+ISNUMBER(SEARCH("CTO",C326))+ISNUMBER(SEARCH("Chief Operating",C326))+ISNUMBER(SEARCH("Chief Financial",C326))+ISNUMBER(SEARCH("Gerente General",C326))+ISNUMBER(SEARCH("General Manager",C326))&gt;0,'Configuración'!$B$34,'Configuración'!$B$35)))))</f>
        <v>12</v>
      </c>
      <c r="V326" s="38">
        <f>IF(B326="","",IF(K326="Sí",'Configuración'!$B$5,0)+IF(L326="Semanal",'Configuración'!$B$6,IF(L326="Mensual",'Configuración'!$B$7,0))+IF(M326="Sí",'Configuración'!$B$8,0)+IF(N326="Sí",'Configuración'!$B$9,0)+IF(O326="Sí",'Configuración'!$B$10,0)+IF(P326="Sí",'Configuración'!$B$11,0)+IF(Q326="Sí",'Configuración'!$B$12,0)+S326+T326+U326)</f>
        <v>28</v>
      </c>
      <c r="W326" s="39" t="str">
        <f>IF(B326="","",IF(V326&gt;='Configuración'!$B$19,"A",IF(V326&gt;='Configuración'!$B$20,"B",IF(V326&gt;='Configuración'!$B$21,"C","Descarte"))))</f>
        <v>C</v>
      </c>
    </row>
    <row r="327" ht="15.75" customHeight="1">
      <c r="A327" s="34">
        <f t="shared" si="1"/>
        <v>325</v>
      </c>
      <c r="B327" s="29" t="s">
        <v>1623</v>
      </c>
      <c r="C327" s="29" t="s">
        <v>131</v>
      </c>
      <c r="D327" s="29" t="s">
        <v>2101</v>
      </c>
      <c r="E327" s="29" t="s">
        <v>2102</v>
      </c>
      <c r="F327" s="30" t="s">
        <v>2103</v>
      </c>
      <c r="G327" s="30" t="s">
        <v>2104</v>
      </c>
      <c r="H327" s="30" t="s">
        <v>2105</v>
      </c>
      <c r="I327" s="29" t="s">
        <v>172</v>
      </c>
      <c r="J327" s="31">
        <v>5.0</v>
      </c>
      <c r="K327" s="35"/>
      <c r="L327" s="35"/>
      <c r="M327" s="35"/>
      <c r="N327" s="35"/>
      <c r="O327" s="35"/>
      <c r="P327" s="35"/>
      <c r="Q327" s="35"/>
      <c r="R327" s="35"/>
      <c r="S327" s="37">
        <f>IF(B327="","",IF(ISNUMBER(J327),IF(J327&lt;=10,'Configuración'!$B$23,IF(J327&lt;=50,'Configuración'!$B$24,IF(J327&lt;=200,'Configuración'!$B$25,0))),0))</f>
        <v>12</v>
      </c>
      <c r="T327" s="37">
        <f>IF(B327="","",IF(ISNUMBER(SEARCH("information technology",I327))+ISNUMBER(SEARCH("software",I327))+ISNUMBER(SEARCH("internet",I327))+ISNUMBER(SEARCH("computer",I327))+ISNUMBER(SEARCH("saas",I327))+ISNUMBER(SEARCH("fintech",I327))+ISNUMBER(SEARCH("information services",I327))+ISNUMBER(SEARCH("telecommunications",I327))&gt;0,'Configuración'!$B$27,'Configuración'!$B$28))</f>
        <v>4</v>
      </c>
      <c r="U327" s="25">
        <f>IF(B327="","",IF(ISNUMBER(SEARCH("CEO",C327))+ISNUMBER(SEARCH("Founder",C327))+ISNUMBER(SEARCH("Owner",C327))+ISNUMBER(SEARCH("Dueño",C327))+ISNUMBER(SEARCH("Director General",C327))+ISNUMBER(SEARCH("Presidente",C327))+ISNUMBER(SEARCH("President",C327))&gt;0,'Configuración'!$B$31,IF(ISNUMBER(SEARCH("CMO",C327))+ISNUMBER(SEARCH("Chief Marketing",C327))+ISNUMBER(SEARCH("VP Marketing",C327))+ISNUMBER(SEARCH("Director de Marketing",C327))+ISNUMBER(SEARCH("Director Marketing",C327))+ISNUMBER(SEARCH("Head of Marketing",C327))+ISNUMBER(SEARCH("Head Marketing",C327))&gt;0,'Configuración'!$B$32,IF(ISNUMBER(SEARCH("Marketing Manager",C327))+ISNUMBER(SEARCH("Gerente de Marketing",C327))+ISNUMBER(SEARCH("Growth Manager",C327))+ISNUMBER(SEARCH("Demand Gen",C327))+ISNUMBER(SEARCH("Marketing Lead",C327))&gt;0,'Configuración'!$B$33,IF(ISNUMBER(SEARCH("COO",C327))+ISNUMBER(SEARCH("CFO",C327))+ISNUMBER(SEARCH("CTO",C327))+ISNUMBER(SEARCH("Chief Operating",C327))+ISNUMBER(SEARCH("Chief Financial",C327))+ISNUMBER(SEARCH("Gerente General",C327))+ISNUMBER(SEARCH("General Manager",C327))&gt;0,'Configuración'!$B$34,'Configuración'!$B$35)))))</f>
        <v>12</v>
      </c>
      <c r="V327" s="38">
        <f>IF(B327="","",IF(K327="Sí",'Configuración'!$B$5,0)+IF(L327="Semanal",'Configuración'!$B$6,IF(L327="Mensual",'Configuración'!$B$7,0))+IF(M327="Sí",'Configuración'!$B$8,0)+IF(N327="Sí",'Configuración'!$B$9,0)+IF(O327="Sí",'Configuración'!$B$10,0)+IF(P327="Sí",'Configuración'!$B$11,0)+IF(Q327="Sí",'Configuración'!$B$12,0)+S327+T327+U327)</f>
        <v>28</v>
      </c>
      <c r="W327" s="39" t="str">
        <f>IF(B327="","",IF(V327&gt;='Configuración'!$B$19,"A",IF(V327&gt;='Configuración'!$B$20,"B",IF(V327&gt;='Configuración'!$B$21,"C","Descarte"))))</f>
        <v>C</v>
      </c>
    </row>
    <row r="328" ht="15.75" customHeight="1">
      <c r="A328" s="34">
        <f t="shared" si="1"/>
        <v>326</v>
      </c>
      <c r="B328" s="29" t="s">
        <v>762</v>
      </c>
      <c r="C328" s="29" t="s">
        <v>2106</v>
      </c>
      <c r="D328" s="29" t="s">
        <v>2107</v>
      </c>
      <c r="E328" s="29" t="s">
        <v>2108</v>
      </c>
      <c r="F328" s="30" t="s">
        <v>2109</v>
      </c>
      <c r="G328" s="30" t="s">
        <v>2110</v>
      </c>
      <c r="H328" s="30" t="s">
        <v>2111</v>
      </c>
      <c r="I328" s="29" t="s">
        <v>2031</v>
      </c>
      <c r="J328" s="31">
        <v>8400.0</v>
      </c>
      <c r="K328" s="35"/>
      <c r="L328" s="35"/>
      <c r="M328" s="35"/>
      <c r="N328" s="35"/>
      <c r="O328" s="35"/>
      <c r="P328" s="35"/>
      <c r="Q328" s="35"/>
      <c r="R328" s="35"/>
      <c r="S328" s="37">
        <f>IF(B328="","",IF(ISNUMBER(J328),IF(J328&lt;=10,'Configuración'!$B$23,IF(J328&lt;=50,'Configuración'!$B$24,IF(J328&lt;=200,'Configuración'!$B$25,0))),0))</f>
        <v>0</v>
      </c>
      <c r="T328" s="37">
        <f>IF(B328="","",IF(ISNUMBER(SEARCH("information technology",I328))+ISNUMBER(SEARCH("software",I328))+ISNUMBER(SEARCH("internet",I328))+ISNUMBER(SEARCH("computer",I328))+ISNUMBER(SEARCH("saas",I328))+ISNUMBER(SEARCH("fintech",I328))+ISNUMBER(SEARCH("information services",I328))+ISNUMBER(SEARCH("telecommunications",I328))&gt;0,'Configuración'!$B$27,'Configuración'!$B$28))</f>
        <v>4</v>
      </c>
      <c r="U328" s="25">
        <f>IF(B328="","",IF(ISNUMBER(SEARCH("CEO",C328))+ISNUMBER(SEARCH("Founder",C328))+ISNUMBER(SEARCH("Owner",C328))+ISNUMBER(SEARCH("Dueño",C328))+ISNUMBER(SEARCH("Director General",C328))+ISNUMBER(SEARCH("Presidente",C328))+ISNUMBER(SEARCH("President",C328))&gt;0,'Configuración'!$B$31,IF(ISNUMBER(SEARCH("CMO",C328))+ISNUMBER(SEARCH("Chief Marketing",C328))+ISNUMBER(SEARCH("VP Marketing",C328))+ISNUMBER(SEARCH("Director de Marketing",C328))+ISNUMBER(SEARCH("Director Marketing",C328))+ISNUMBER(SEARCH("Head of Marketing",C328))+ISNUMBER(SEARCH("Head Marketing",C328))&gt;0,'Configuración'!$B$32,IF(ISNUMBER(SEARCH("Marketing Manager",C328))+ISNUMBER(SEARCH("Gerente de Marketing",C328))+ISNUMBER(SEARCH("Growth Manager",C328))+ISNUMBER(SEARCH("Demand Gen",C328))+ISNUMBER(SEARCH("Marketing Lead",C328))&gt;0,'Configuración'!$B$33,IF(ISNUMBER(SEARCH("COO",C328))+ISNUMBER(SEARCH("CFO",C328))+ISNUMBER(SEARCH("CTO",C328))+ISNUMBER(SEARCH("Chief Operating",C328))+ISNUMBER(SEARCH("Chief Financial",C328))+ISNUMBER(SEARCH("Gerente General",C328))+ISNUMBER(SEARCH("General Manager",C328))&gt;0,'Configuración'!$B$34,'Configuración'!$B$35)))))</f>
        <v>0</v>
      </c>
      <c r="V328" s="38">
        <f>IF(B328="","",IF(K328="Sí",'Configuración'!$B$5,0)+IF(L328="Semanal",'Configuración'!$B$6,IF(L328="Mensual",'Configuración'!$B$7,0))+IF(M328="Sí",'Configuración'!$B$8,0)+IF(N328="Sí",'Configuración'!$B$9,0)+IF(O328="Sí",'Configuración'!$B$10,0)+IF(P328="Sí",'Configuración'!$B$11,0)+IF(Q328="Sí",'Configuración'!$B$12,0)+S328+T328+U328)</f>
        <v>4</v>
      </c>
      <c r="W328" s="39" t="str">
        <f>IF(B328="","",IF(V328&gt;='Configuración'!$B$19,"A",IF(V328&gt;='Configuración'!$B$20,"B",IF(V328&gt;='Configuración'!$B$21,"C","Descarte"))))</f>
        <v>Descarte</v>
      </c>
    </row>
    <row r="329" ht="15.75" customHeight="1">
      <c r="A329" s="34">
        <f t="shared" si="1"/>
        <v>327</v>
      </c>
      <c r="B329" s="29" t="s">
        <v>1072</v>
      </c>
      <c r="C329" s="29" t="s">
        <v>2112</v>
      </c>
      <c r="D329" s="29" t="s">
        <v>2113</v>
      </c>
      <c r="E329" s="29" t="s">
        <v>2114</v>
      </c>
      <c r="F329" s="30" t="s">
        <v>2115</v>
      </c>
      <c r="G329" s="30" t="s">
        <v>2116</v>
      </c>
      <c r="H329" s="30" t="s">
        <v>2117</v>
      </c>
      <c r="I329" s="29" t="s">
        <v>337</v>
      </c>
      <c r="J329" s="31">
        <v>3.0</v>
      </c>
      <c r="K329" s="35"/>
      <c r="L329" s="35"/>
      <c r="M329" s="35"/>
      <c r="N329" s="35"/>
      <c r="O329" s="35"/>
      <c r="P329" s="35"/>
      <c r="Q329" s="35"/>
      <c r="R329" s="35"/>
      <c r="S329" s="37">
        <f>IF(B329="","",IF(ISNUMBER(J329),IF(J329&lt;=10,'Configuración'!$B$23,IF(J329&lt;=50,'Configuración'!$B$24,IF(J329&lt;=200,'Configuración'!$B$25,0))),0))</f>
        <v>12</v>
      </c>
      <c r="T329" s="37">
        <f>IF(B329="","",IF(ISNUMBER(SEARCH("information technology",I329))+ISNUMBER(SEARCH("software",I329))+ISNUMBER(SEARCH("internet",I329))+ISNUMBER(SEARCH("computer",I329))+ISNUMBER(SEARCH("saas",I329))+ISNUMBER(SEARCH("fintech",I329))+ISNUMBER(SEARCH("information services",I329))+ISNUMBER(SEARCH("telecommunications",I329))&gt;0,'Configuración'!$B$27,'Configuración'!$B$28))</f>
        <v>4</v>
      </c>
      <c r="U329" s="25">
        <f>IF(B329="","",IF(ISNUMBER(SEARCH("CEO",C329))+ISNUMBER(SEARCH("Founder",C329))+ISNUMBER(SEARCH("Owner",C329))+ISNUMBER(SEARCH("Dueño",C329))+ISNUMBER(SEARCH("Director General",C329))+ISNUMBER(SEARCH("Presidente",C329))+ISNUMBER(SEARCH("President",C329))&gt;0,'Configuración'!$B$31,IF(ISNUMBER(SEARCH("CMO",C329))+ISNUMBER(SEARCH("Chief Marketing",C329))+ISNUMBER(SEARCH("VP Marketing",C329))+ISNUMBER(SEARCH("Director de Marketing",C329))+ISNUMBER(SEARCH("Director Marketing",C329))+ISNUMBER(SEARCH("Head of Marketing",C329))+ISNUMBER(SEARCH("Head Marketing",C329))&gt;0,'Configuración'!$B$32,IF(ISNUMBER(SEARCH("Marketing Manager",C329))+ISNUMBER(SEARCH("Gerente de Marketing",C329))+ISNUMBER(SEARCH("Growth Manager",C329))+ISNUMBER(SEARCH("Demand Gen",C329))+ISNUMBER(SEARCH("Marketing Lead",C329))&gt;0,'Configuración'!$B$33,IF(ISNUMBER(SEARCH("COO",C329))+ISNUMBER(SEARCH("CFO",C329))+ISNUMBER(SEARCH("CTO",C329))+ISNUMBER(SEARCH("Chief Operating",C329))+ISNUMBER(SEARCH("Chief Financial",C329))+ISNUMBER(SEARCH("Gerente General",C329))+ISNUMBER(SEARCH("General Manager",C329))&gt;0,'Configuración'!$B$34,'Configuración'!$B$35)))))</f>
        <v>12</v>
      </c>
      <c r="V329" s="38">
        <f>IF(B329="","",IF(K329="Sí",'Configuración'!$B$5,0)+IF(L329="Semanal",'Configuración'!$B$6,IF(L329="Mensual",'Configuración'!$B$7,0))+IF(M329="Sí",'Configuración'!$B$8,0)+IF(N329="Sí",'Configuración'!$B$9,0)+IF(O329="Sí",'Configuración'!$B$10,0)+IF(P329="Sí",'Configuración'!$B$11,0)+IF(Q329="Sí",'Configuración'!$B$12,0)+S329+T329+U329)</f>
        <v>28</v>
      </c>
      <c r="W329" s="39" t="str">
        <f>IF(B329="","",IF(V329&gt;='Configuración'!$B$19,"A",IF(V329&gt;='Configuración'!$B$20,"B",IF(V329&gt;='Configuración'!$B$21,"C","Descarte"))))</f>
        <v>C</v>
      </c>
    </row>
    <row r="330" ht="15.75" customHeight="1">
      <c r="A330" s="34">
        <f t="shared" si="1"/>
        <v>328</v>
      </c>
      <c r="B330" s="29" t="s">
        <v>181</v>
      </c>
      <c r="C330" s="29" t="s">
        <v>318</v>
      </c>
      <c r="D330" s="29" t="s">
        <v>2118</v>
      </c>
      <c r="E330" s="29" t="s">
        <v>2119</v>
      </c>
      <c r="F330" s="30" t="s">
        <v>2120</v>
      </c>
      <c r="G330" s="30" t="s">
        <v>2121</v>
      </c>
      <c r="H330" s="30" t="s">
        <v>2122</v>
      </c>
      <c r="I330" s="29" t="s">
        <v>127</v>
      </c>
      <c r="J330" s="31">
        <v>32.0</v>
      </c>
      <c r="K330" s="35"/>
      <c r="L330" s="35"/>
      <c r="M330" s="35"/>
      <c r="N330" s="35"/>
      <c r="O330" s="35"/>
      <c r="P330" s="35"/>
      <c r="Q330" s="35"/>
      <c r="R330" s="35"/>
      <c r="S330" s="37">
        <f>IF(B330="","",IF(ISNUMBER(J330),IF(J330&lt;=10,'Configuración'!$B$23,IF(J330&lt;=50,'Configuración'!$B$24,IF(J330&lt;=200,'Configuración'!$B$25,0))),0))</f>
        <v>4</v>
      </c>
      <c r="T330" s="37">
        <f>IF(B330="","",IF(ISNUMBER(SEARCH("information technology",I330))+ISNUMBER(SEARCH("software",I330))+ISNUMBER(SEARCH("internet",I330))+ISNUMBER(SEARCH("computer",I330))+ISNUMBER(SEARCH("saas",I330))+ISNUMBER(SEARCH("fintech",I330))+ISNUMBER(SEARCH("information services",I330))+ISNUMBER(SEARCH("telecommunications",I330))&gt;0,'Configuración'!$B$27,'Configuración'!$B$28))</f>
        <v>12</v>
      </c>
      <c r="U330" s="25">
        <f>IF(B330="","",IF(ISNUMBER(SEARCH("CEO",C330))+ISNUMBER(SEARCH("Founder",C330))+ISNUMBER(SEARCH("Owner",C330))+ISNUMBER(SEARCH("Dueño",C330))+ISNUMBER(SEARCH("Director General",C330))+ISNUMBER(SEARCH("Presidente",C330))+ISNUMBER(SEARCH("President",C330))&gt;0,'Configuración'!$B$31,IF(ISNUMBER(SEARCH("CMO",C330))+ISNUMBER(SEARCH("Chief Marketing",C330))+ISNUMBER(SEARCH("VP Marketing",C330))+ISNUMBER(SEARCH("Director de Marketing",C330))+ISNUMBER(SEARCH("Director Marketing",C330))+ISNUMBER(SEARCH("Head of Marketing",C330))+ISNUMBER(SEARCH("Head Marketing",C330))&gt;0,'Configuración'!$B$32,IF(ISNUMBER(SEARCH("Marketing Manager",C330))+ISNUMBER(SEARCH("Gerente de Marketing",C330))+ISNUMBER(SEARCH("Growth Manager",C330))+ISNUMBER(SEARCH("Demand Gen",C330))+ISNUMBER(SEARCH("Marketing Lead",C330))&gt;0,'Configuración'!$B$33,IF(ISNUMBER(SEARCH("COO",C330))+ISNUMBER(SEARCH("CFO",C330))+ISNUMBER(SEARCH("CTO",C330))+ISNUMBER(SEARCH("Chief Operating",C330))+ISNUMBER(SEARCH("Chief Financial",C330))+ISNUMBER(SEARCH("Gerente General",C330))+ISNUMBER(SEARCH("General Manager",C330))&gt;0,'Configuración'!$B$34,'Configuración'!$B$35)))))</f>
        <v>4</v>
      </c>
      <c r="V330" s="38">
        <f>IF(B330="","",IF(K330="Sí",'Configuración'!$B$5,0)+IF(L330="Semanal",'Configuración'!$B$6,IF(L330="Mensual",'Configuración'!$B$7,0))+IF(M330="Sí",'Configuración'!$B$8,0)+IF(N330="Sí",'Configuración'!$B$9,0)+IF(O330="Sí",'Configuración'!$B$10,0)+IF(P330="Sí",'Configuración'!$B$11,0)+IF(Q330="Sí",'Configuración'!$B$12,0)+S330+T330+U330)</f>
        <v>20</v>
      </c>
      <c r="W330" s="39" t="str">
        <f>IF(B330="","",IF(V330&gt;='Configuración'!$B$19,"A",IF(V330&gt;='Configuración'!$B$20,"B",IF(V330&gt;='Configuración'!$B$21,"C","Descarte"))))</f>
        <v>Descarte</v>
      </c>
    </row>
    <row r="331" ht="15.75" customHeight="1">
      <c r="A331" s="34">
        <f t="shared" si="1"/>
        <v>329</v>
      </c>
      <c r="B331" s="29" t="s">
        <v>181</v>
      </c>
      <c r="C331" s="29" t="s">
        <v>2123</v>
      </c>
      <c r="D331" s="29" t="s">
        <v>2124</v>
      </c>
      <c r="E331" s="29" t="s">
        <v>2125</v>
      </c>
      <c r="F331" s="30" t="s">
        <v>2126</v>
      </c>
      <c r="G331" s="30" t="s">
        <v>2127</v>
      </c>
      <c r="H331" s="30" t="s">
        <v>2128</v>
      </c>
      <c r="I331" s="29" t="s">
        <v>310</v>
      </c>
      <c r="J331" s="31">
        <v>50.0</v>
      </c>
      <c r="K331" s="35"/>
      <c r="L331" s="35"/>
      <c r="M331" s="35"/>
      <c r="N331" s="35"/>
      <c r="O331" s="35"/>
      <c r="P331" s="35"/>
      <c r="Q331" s="35"/>
      <c r="R331" s="35"/>
      <c r="S331" s="37">
        <f>IF(B331="","",IF(ISNUMBER(J331),IF(J331&lt;=10,'Configuración'!$B$23,IF(J331&lt;=50,'Configuración'!$B$24,IF(J331&lt;=200,'Configuración'!$B$25,0))),0))</f>
        <v>4</v>
      </c>
      <c r="T331" s="37">
        <f>IF(B331="","",IF(ISNUMBER(SEARCH("information technology",I331))+ISNUMBER(SEARCH("software",I331))+ISNUMBER(SEARCH("internet",I331))+ISNUMBER(SEARCH("computer",I331))+ISNUMBER(SEARCH("saas",I331))+ISNUMBER(SEARCH("fintech",I331))+ISNUMBER(SEARCH("information services",I331))+ISNUMBER(SEARCH("telecommunications",I331))&gt;0,'Configuración'!$B$27,'Configuración'!$B$28))</f>
        <v>4</v>
      </c>
      <c r="U331" s="25">
        <f>IF(B331="","",IF(ISNUMBER(SEARCH("CEO",C331))+ISNUMBER(SEARCH("Founder",C331))+ISNUMBER(SEARCH("Owner",C331))+ISNUMBER(SEARCH("Dueño",C331))+ISNUMBER(SEARCH("Director General",C331))+ISNUMBER(SEARCH("Presidente",C331))+ISNUMBER(SEARCH("President",C331))&gt;0,'Configuración'!$B$31,IF(ISNUMBER(SEARCH("CMO",C331))+ISNUMBER(SEARCH("Chief Marketing",C331))+ISNUMBER(SEARCH("VP Marketing",C331))+ISNUMBER(SEARCH("Director de Marketing",C331))+ISNUMBER(SEARCH("Director Marketing",C331))+ISNUMBER(SEARCH("Head of Marketing",C331))+ISNUMBER(SEARCH("Head Marketing",C331))&gt;0,'Configuración'!$B$32,IF(ISNUMBER(SEARCH("Marketing Manager",C331))+ISNUMBER(SEARCH("Gerente de Marketing",C331))+ISNUMBER(SEARCH("Growth Manager",C331))+ISNUMBER(SEARCH("Demand Gen",C331))+ISNUMBER(SEARCH("Marketing Lead",C331))&gt;0,'Configuración'!$B$33,IF(ISNUMBER(SEARCH("COO",C331))+ISNUMBER(SEARCH("CFO",C331))+ISNUMBER(SEARCH("CTO",C331))+ISNUMBER(SEARCH("Chief Operating",C331))+ISNUMBER(SEARCH("Chief Financial",C331))+ISNUMBER(SEARCH("Gerente General",C331))+ISNUMBER(SEARCH("General Manager",C331))&gt;0,'Configuración'!$B$34,'Configuración'!$B$35)))))</f>
        <v>12</v>
      </c>
      <c r="V331" s="38">
        <f>IF(B331="","",IF(K331="Sí",'Configuración'!$B$5,0)+IF(L331="Semanal",'Configuración'!$B$6,IF(L331="Mensual",'Configuración'!$B$7,0))+IF(M331="Sí",'Configuración'!$B$8,0)+IF(N331="Sí",'Configuración'!$B$9,0)+IF(O331="Sí",'Configuración'!$B$10,0)+IF(P331="Sí",'Configuración'!$B$11,0)+IF(Q331="Sí",'Configuración'!$B$12,0)+S331+T331+U331)</f>
        <v>20</v>
      </c>
      <c r="W331" s="39" t="str">
        <f>IF(B331="","",IF(V331&gt;='Configuración'!$B$19,"A",IF(V331&gt;='Configuración'!$B$20,"B",IF(V331&gt;='Configuración'!$B$21,"C","Descarte"))))</f>
        <v>Descarte</v>
      </c>
    </row>
    <row r="332" ht="15.75" customHeight="1">
      <c r="A332" s="34">
        <f t="shared" si="1"/>
        <v>330</v>
      </c>
      <c r="B332" s="29" t="s">
        <v>629</v>
      </c>
      <c r="C332" s="29" t="s">
        <v>2129</v>
      </c>
      <c r="D332" s="29" t="s">
        <v>2130</v>
      </c>
      <c r="E332" s="29" t="s">
        <v>2131</v>
      </c>
      <c r="F332" s="30" t="s">
        <v>2132</v>
      </c>
      <c r="G332" s="30" t="s">
        <v>2133</v>
      </c>
      <c r="H332" s="30" t="s">
        <v>2134</v>
      </c>
      <c r="I332" s="29" t="s">
        <v>127</v>
      </c>
      <c r="J332" s="31">
        <v>25.0</v>
      </c>
      <c r="K332" s="35"/>
      <c r="L332" s="35"/>
      <c r="M332" s="35"/>
      <c r="N332" s="35"/>
      <c r="O332" s="35"/>
      <c r="P332" s="35"/>
      <c r="Q332" s="35"/>
      <c r="R332" s="35"/>
      <c r="S332" s="37">
        <f>IF(B332="","",IF(ISNUMBER(J332),IF(J332&lt;=10,'Configuración'!$B$23,IF(J332&lt;=50,'Configuración'!$B$24,IF(J332&lt;=200,'Configuración'!$B$25,0))),0))</f>
        <v>4</v>
      </c>
      <c r="T332" s="37">
        <f>IF(B332="","",IF(ISNUMBER(SEARCH("information technology",I332))+ISNUMBER(SEARCH("software",I332))+ISNUMBER(SEARCH("internet",I332))+ISNUMBER(SEARCH("computer",I332))+ISNUMBER(SEARCH("saas",I332))+ISNUMBER(SEARCH("fintech",I332))+ISNUMBER(SEARCH("information services",I332))+ISNUMBER(SEARCH("telecommunications",I332))&gt;0,'Configuración'!$B$27,'Configuración'!$B$28))</f>
        <v>12</v>
      </c>
      <c r="U332" s="25">
        <f>IF(B332="","",IF(ISNUMBER(SEARCH("CEO",C332))+ISNUMBER(SEARCH("Founder",C332))+ISNUMBER(SEARCH("Owner",C332))+ISNUMBER(SEARCH("Dueño",C332))+ISNUMBER(SEARCH("Director General",C332))+ISNUMBER(SEARCH("Presidente",C332))+ISNUMBER(SEARCH("President",C332))&gt;0,'Configuración'!$B$31,IF(ISNUMBER(SEARCH("CMO",C332))+ISNUMBER(SEARCH("Chief Marketing",C332))+ISNUMBER(SEARCH("VP Marketing",C332))+ISNUMBER(SEARCH("Director de Marketing",C332))+ISNUMBER(SEARCH("Director Marketing",C332))+ISNUMBER(SEARCH("Head of Marketing",C332))+ISNUMBER(SEARCH("Head Marketing",C332))&gt;0,'Configuración'!$B$32,IF(ISNUMBER(SEARCH("Marketing Manager",C332))+ISNUMBER(SEARCH("Gerente de Marketing",C332))+ISNUMBER(SEARCH("Growth Manager",C332))+ISNUMBER(SEARCH("Demand Gen",C332))+ISNUMBER(SEARCH("Marketing Lead",C332))&gt;0,'Configuración'!$B$33,IF(ISNUMBER(SEARCH("COO",C332))+ISNUMBER(SEARCH("CFO",C332))+ISNUMBER(SEARCH("CTO",C332))+ISNUMBER(SEARCH("Chief Operating",C332))+ISNUMBER(SEARCH("Chief Financial",C332))+ISNUMBER(SEARCH("Gerente General",C332))+ISNUMBER(SEARCH("General Manager",C332))&gt;0,'Configuración'!$B$34,'Configuración'!$B$35)))))</f>
        <v>12</v>
      </c>
      <c r="V332" s="38">
        <f>IF(B332="","",IF(K332="Sí",'Configuración'!$B$5,0)+IF(L332="Semanal",'Configuración'!$B$6,IF(L332="Mensual",'Configuración'!$B$7,0))+IF(M332="Sí",'Configuración'!$B$8,0)+IF(N332="Sí",'Configuración'!$B$9,0)+IF(O332="Sí",'Configuración'!$B$10,0)+IF(P332="Sí",'Configuración'!$B$11,0)+IF(Q332="Sí",'Configuración'!$B$12,0)+S332+T332+U332)</f>
        <v>28</v>
      </c>
      <c r="W332" s="39" t="str">
        <f>IF(B332="","",IF(V332&gt;='Configuración'!$B$19,"A",IF(V332&gt;='Configuración'!$B$20,"B",IF(V332&gt;='Configuración'!$B$21,"C","Descarte"))))</f>
        <v>C</v>
      </c>
    </row>
    <row r="333" ht="15.75" customHeight="1">
      <c r="A333" s="34">
        <f t="shared" si="1"/>
        <v>331</v>
      </c>
      <c r="B333" s="29" t="s">
        <v>331</v>
      </c>
      <c r="C333" s="29" t="s">
        <v>224</v>
      </c>
      <c r="D333" s="29" t="s">
        <v>2135</v>
      </c>
      <c r="E333" s="29" t="s">
        <v>2136</v>
      </c>
      <c r="F333" s="30" t="s">
        <v>2137</v>
      </c>
      <c r="G333" s="30" t="s">
        <v>2138</v>
      </c>
      <c r="H333" s="30" t="s">
        <v>2139</v>
      </c>
      <c r="I333" s="29" t="s">
        <v>145</v>
      </c>
      <c r="J333" s="31">
        <v>5.0</v>
      </c>
      <c r="K333" s="35"/>
      <c r="L333" s="35"/>
      <c r="M333" s="35"/>
      <c r="N333" s="35"/>
      <c r="O333" s="35"/>
      <c r="P333" s="35"/>
      <c r="Q333" s="35"/>
      <c r="R333" s="35"/>
      <c r="S333" s="37">
        <f>IF(B333="","",IF(ISNUMBER(J333),IF(J333&lt;=10,'Configuración'!$B$23,IF(J333&lt;=50,'Configuración'!$B$24,IF(J333&lt;=200,'Configuración'!$B$25,0))),0))</f>
        <v>12</v>
      </c>
      <c r="T333" s="37">
        <f>IF(B333="","",IF(ISNUMBER(SEARCH("information technology",I333))+ISNUMBER(SEARCH("software",I333))+ISNUMBER(SEARCH("internet",I333))+ISNUMBER(SEARCH("computer",I333))+ISNUMBER(SEARCH("saas",I333))+ISNUMBER(SEARCH("fintech",I333))+ISNUMBER(SEARCH("information services",I333))+ISNUMBER(SEARCH("telecommunications",I333))&gt;0,'Configuración'!$B$27,'Configuración'!$B$28))</f>
        <v>4</v>
      </c>
      <c r="U333" s="25">
        <f>IF(B333="","",IF(ISNUMBER(SEARCH("CEO",C333))+ISNUMBER(SEARCH("Founder",C333))+ISNUMBER(SEARCH("Owner",C333))+ISNUMBER(SEARCH("Dueño",C333))+ISNUMBER(SEARCH("Director General",C333))+ISNUMBER(SEARCH("Presidente",C333))+ISNUMBER(SEARCH("President",C333))&gt;0,'Configuración'!$B$31,IF(ISNUMBER(SEARCH("CMO",C333))+ISNUMBER(SEARCH("Chief Marketing",C333))+ISNUMBER(SEARCH("VP Marketing",C333))+ISNUMBER(SEARCH("Director de Marketing",C333))+ISNUMBER(SEARCH("Director Marketing",C333))+ISNUMBER(SEARCH("Head of Marketing",C333))+ISNUMBER(SEARCH("Head Marketing",C333))&gt;0,'Configuración'!$B$32,IF(ISNUMBER(SEARCH("Marketing Manager",C333))+ISNUMBER(SEARCH("Gerente de Marketing",C333))+ISNUMBER(SEARCH("Growth Manager",C333))+ISNUMBER(SEARCH("Demand Gen",C333))+ISNUMBER(SEARCH("Marketing Lead",C333))&gt;0,'Configuración'!$B$33,IF(ISNUMBER(SEARCH("COO",C333))+ISNUMBER(SEARCH("CFO",C333))+ISNUMBER(SEARCH("CTO",C333))+ISNUMBER(SEARCH("Chief Operating",C333))+ISNUMBER(SEARCH("Chief Financial",C333))+ISNUMBER(SEARCH("Gerente General",C333))+ISNUMBER(SEARCH("General Manager",C333))&gt;0,'Configuración'!$B$34,'Configuración'!$B$35)))))</f>
        <v>12</v>
      </c>
      <c r="V333" s="38">
        <f>IF(B333="","",IF(K333="Sí",'Configuración'!$B$5,0)+IF(L333="Semanal",'Configuración'!$B$6,IF(L333="Mensual",'Configuración'!$B$7,0))+IF(M333="Sí",'Configuración'!$B$8,0)+IF(N333="Sí",'Configuración'!$B$9,0)+IF(O333="Sí",'Configuración'!$B$10,0)+IF(P333="Sí",'Configuración'!$B$11,0)+IF(Q333="Sí",'Configuración'!$B$12,0)+S333+T333+U333)</f>
        <v>28</v>
      </c>
      <c r="W333" s="39" t="str">
        <f>IF(B333="","",IF(V333&gt;='Configuración'!$B$19,"A",IF(V333&gt;='Configuración'!$B$20,"B",IF(V333&gt;='Configuración'!$B$21,"C","Descarte"))))</f>
        <v>C</v>
      </c>
    </row>
    <row r="334" ht="15.75" customHeight="1">
      <c r="A334" s="34">
        <f t="shared" si="1"/>
        <v>332</v>
      </c>
      <c r="B334" s="29" t="s">
        <v>2140</v>
      </c>
      <c r="C334" s="29" t="s">
        <v>1535</v>
      </c>
      <c r="D334" s="29" t="s">
        <v>2141</v>
      </c>
      <c r="E334" s="29" t="s">
        <v>2142</v>
      </c>
      <c r="F334" s="30" t="s">
        <v>2143</v>
      </c>
      <c r="G334" s="30" t="s">
        <v>2144</v>
      </c>
      <c r="H334" s="30" t="s">
        <v>2145</v>
      </c>
      <c r="I334" s="29" t="s">
        <v>127</v>
      </c>
      <c r="J334" s="31">
        <v>6.0</v>
      </c>
      <c r="K334" s="35"/>
      <c r="L334" s="35"/>
      <c r="M334" s="35"/>
      <c r="N334" s="35"/>
      <c r="O334" s="35"/>
      <c r="P334" s="35"/>
      <c r="Q334" s="35"/>
      <c r="R334" s="35"/>
      <c r="S334" s="37">
        <f>IF(B334="","",IF(ISNUMBER(J334),IF(J334&lt;=10,'Configuración'!$B$23,IF(J334&lt;=50,'Configuración'!$B$24,IF(J334&lt;=200,'Configuración'!$B$25,0))),0))</f>
        <v>12</v>
      </c>
      <c r="T334" s="37">
        <f>IF(B334="","",IF(ISNUMBER(SEARCH("information technology",I334))+ISNUMBER(SEARCH("software",I334))+ISNUMBER(SEARCH("internet",I334))+ISNUMBER(SEARCH("computer",I334))+ISNUMBER(SEARCH("saas",I334))+ISNUMBER(SEARCH("fintech",I334))+ISNUMBER(SEARCH("information services",I334))+ISNUMBER(SEARCH("telecommunications",I334))&gt;0,'Configuración'!$B$27,'Configuración'!$B$28))</f>
        <v>12</v>
      </c>
      <c r="U334" s="25">
        <f>IF(B334="","",IF(ISNUMBER(SEARCH("CEO",C334))+ISNUMBER(SEARCH("Founder",C334))+ISNUMBER(SEARCH("Owner",C334))+ISNUMBER(SEARCH("Dueño",C334))+ISNUMBER(SEARCH("Director General",C334))+ISNUMBER(SEARCH("Presidente",C334))+ISNUMBER(SEARCH("President",C334))&gt;0,'Configuración'!$B$31,IF(ISNUMBER(SEARCH("CMO",C334))+ISNUMBER(SEARCH("Chief Marketing",C334))+ISNUMBER(SEARCH("VP Marketing",C334))+ISNUMBER(SEARCH("Director de Marketing",C334))+ISNUMBER(SEARCH("Director Marketing",C334))+ISNUMBER(SEARCH("Head of Marketing",C334))+ISNUMBER(SEARCH("Head Marketing",C334))&gt;0,'Configuración'!$B$32,IF(ISNUMBER(SEARCH("Marketing Manager",C334))+ISNUMBER(SEARCH("Gerente de Marketing",C334))+ISNUMBER(SEARCH("Growth Manager",C334))+ISNUMBER(SEARCH("Demand Gen",C334))+ISNUMBER(SEARCH("Marketing Lead",C334))&gt;0,'Configuración'!$B$33,IF(ISNUMBER(SEARCH("COO",C334))+ISNUMBER(SEARCH("CFO",C334))+ISNUMBER(SEARCH("CTO",C334))+ISNUMBER(SEARCH("Chief Operating",C334))+ISNUMBER(SEARCH("Chief Financial",C334))+ISNUMBER(SEARCH("Gerente General",C334))+ISNUMBER(SEARCH("General Manager",C334))&gt;0,'Configuración'!$B$34,'Configuración'!$B$35)))))</f>
        <v>12</v>
      </c>
      <c r="V334" s="38">
        <f>IF(B334="","",IF(K334="Sí",'Configuración'!$B$5,0)+IF(L334="Semanal",'Configuración'!$B$6,IF(L334="Mensual",'Configuración'!$B$7,0))+IF(M334="Sí",'Configuración'!$B$8,0)+IF(N334="Sí",'Configuración'!$B$9,0)+IF(O334="Sí",'Configuración'!$B$10,0)+IF(P334="Sí",'Configuración'!$B$11,0)+IF(Q334="Sí",'Configuración'!$B$12,0)+S334+T334+U334)</f>
        <v>36</v>
      </c>
      <c r="W334" s="39" t="str">
        <f>IF(B334="","",IF(V334&gt;='Configuración'!$B$19,"A",IF(V334&gt;='Configuración'!$B$20,"B",IF(V334&gt;='Configuración'!$B$21,"C","Descarte"))))</f>
        <v>C</v>
      </c>
    </row>
    <row r="335" ht="15.75" customHeight="1">
      <c r="A335" s="34">
        <f t="shared" si="1"/>
        <v>333</v>
      </c>
      <c r="B335" s="29" t="s">
        <v>296</v>
      </c>
      <c r="C335" s="29" t="s">
        <v>2146</v>
      </c>
      <c r="D335" s="29" t="s">
        <v>2147</v>
      </c>
      <c r="E335" s="29" t="s">
        <v>2148</v>
      </c>
      <c r="F335" s="30" t="s">
        <v>2149</v>
      </c>
      <c r="G335" s="30" t="s">
        <v>2150</v>
      </c>
      <c r="H335" s="30" t="s">
        <v>2151</v>
      </c>
      <c r="I335" s="29" t="s">
        <v>188</v>
      </c>
      <c r="J335" s="31">
        <v>35.0</v>
      </c>
      <c r="K335" s="35"/>
      <c r="L335" s="35"/>
      <c r="M335" s="35"/>
      <c r="N335" s="35"/>
      <c r="O335" s="35"/>
      <c r="P335" s="35"/>
      <c r="Q335" s="35"/>
      <c r="R335" s="35"/>
      <c r="S335" s="37">
        <f>IF(B335="","",IF(ISNUMBER(J335),IF(J335&lt;=10,'Configuración'!$B$23,IF(J335&lt;=50,'Configuración'!$B$24,IF(J335&lt;=200,'Configuración'!$B$25,0))),0))</f>
        <v>4</v>
      </c>
      <c r="T335" s="37">
        <f>IF(B335="","",IF(ISNUMBER(SEARCH("information technology",I335))+ISNUMBER(SEARCH("software",I335))+ISNUMBER(SEARCH("internet",I335))+ISNUMBER(SEARCH("computer",I335))+ISNUMBER(SEARCH("saas",I335))+ISNUMBER(SEARCH("fintech",I335))+ISNUMBER(SEARCH("information services",I335))+ISNUMBER(SEARCH("telecommunications",I335))&gt;0,'Configuración'!$B$27,'Configuración'!$B$28))</f>
        <v>4</v>
      </c>
      <c r="U335" s="25">
        <f>IF(B335="","",IF(ISNUMBER(SEARCH("CEO",C335))+ISNUMBER(SEARCH("Founder",C335))+ISNUMBER(SEARCH("Owner",C335))+ISNUMBER(SEARCH("Dueño",C335))+ISNUMBER(SEARCH("Director General",C335))+ISNUMBER(SEARCH("Presidente",C335))+ISNUMBER(SEARCH("President",C335))&gt;0,'Configuración'!$B$31,IF(ISNUMBER(SEARCH("CMO",C335))+ISNUMBER(SEARCH("Chief Marketing",C335))+ISNUMBER(SEARCH("VP Marketing",C335))+ISNUMBER(SEARCH("Director de Marketing",C335))+ISNUMBER(SEARCH("Director Marketing",C335))+ISNUMBER(SEARCH("Head of Marketing",C335))+ISNUMBER(SEARCH("Head Marketing",C335))&gt;0,'Configuración'!$B$32,IF(ISNUMBER(SEARCH("Marketing Manager",C335))+ISNUMBER(SEARCH("Gerente de Marketing",C335))+ISNUMBER(SEARCH("Growth Manager",C335))+ISNUMBER(SEARCH("Demand Gen",C335))+ISNUMBER(SEARCH("Marketing Lead",C335))&gt;0,'Configuración'!$B$33,IF(ISNUMBER(SEARCH("COO",C335))+ISNUMBER(SEARCH("CFO",C335))+ISNUMBER(SEARCH("CTO",C335))+ISNUMBER(SEARCH("Chief Operating",C335))+ISNUMBER(SEARCH("Chief Financial",C335))+ISNUMBER(SEARCH("Gerente General",C335))+ISNUMBER(SEARCH("General Manager",C335))&gt;0,'Configuración'!$B$34,'Configuración'!$B$35)))))</f>
        <v>0</v>
      </c>
      <c r="V335" s="38">
        <f>IF(B335="","",IF(K335="Sí",'Configuración'!$B$5,0)+IF(L335="Semanal",'Configuración'!$B$6,IF(L335="Mensual",'Configuración'!$B$7,0))+IF(M335="Sí",'Configuración'!$B$8,0)+IF(N335="Sí",'Configuración'!$B$9,0)+IF(O335="Sí",'Configuración'!$B$10,0)+IF(P335="Sí",'Configuración'!$B$11,0)+IF(Q335="Sí",'Configuración'!$B$12,0)+S335+T335+U335)</f>
        <v>8</v>
      </c>
      <c r="W335" s="39" t="str">
        <f>IF(B335="","",IF(V335&gt;='Configuración'!$B$19,"A",IF(V335&gt;='Configuración'!$B$20,"B",IF(V335&gt;='Configuración'!$B$21,"C","Descarte"))))</f>
        <v>Descarte</v>
      </c>
    </row>
    <row r="336" ht="15.75" customHeight="1">
      <c r="A336" s="34">
        <f t="shared" si="1"/>
        <v>334</v>
      </c>
      <c r="B336" s="29" t="s">
        <v>813</v>
      </c>
      <c r="C336" s="29" t="s">
        <v>2152</v>
      </c>
      <c r="D336" s="29" t="s">
        <v>2153</v>
      </c>
      <c r="E336" s="29" t="s">
        <v>2154</v>
      </c>
      <c r="F336" s="30" t="s">
        <v>2155</v>
      </c>
      <c r="G336" s="30" t="s">
        <v>2156</v>
      </c>
      <c r="H336" s="30" t="s">
        <v>2157</v>
      </c>
      <c r="I336" s="29" t="s">
        <v>188</v>
      </c>
      <c r="J336" s="31">
        <v>18.0</v>
      </c>
      <c r="K336" s="35"/>
      <c r="L336" s="35"/>
      <c r="M336" s="35"/>
      <c r="N336" s="35"/>
      <c r="O336" s="35"/>
      <c r="P336" s="35"/>
      <c r="Q336" s="35"/>
      <c r="R336" s="35"/>
      <c r="S336" s="37">
        <f>IF(B336="","",IF(ISNUMBER(J336),IF(J336&lt;=10,'Configuración'!$B$23,IF(J336&lt;=50,'Configuración'!$B$24,IF(J336&lt;=200,'Configuración'!$B$25,0))),0))</f>
        <v>4</v>
      </c>
      <c r="T336" s="37">
        <f>IF(B336="","",IF(ISNUMBER(SEARCH("information technology",I336))+ISNUMBER(SEARCH("software",I336))+ISNUMBER(SEARCH("internet",I336))+ISNUMBER(SEARCH("computer",I336))+ISNUMBER(SEARCH("saas",I336))+ISNUMBER(SEARCH("fintech",I336))+ISNUMBER(SEARCH("information services",I336))+ISNUMBER(SEARCH("telecommunications",I336))&gt;0,'Configuración'!$B$27,'Configuración'!$B$28))</f>
        <v>4</v>
      </c>
      <c r="U336" s="25">
        <f>IF(B336="","",IF(ISNUMBER(SEARCH("CEO",C336))+ISNUMBER(SEARCH("Founder",C336))+ISNUMBER(SEARCH("Owner",C336))+ISNUMBER(SEARCH("Dueño",C336))+ISNUMBER(SEARCH("Director General",C336))+ISNUMBER(SEARCH("Presidente",C336))+ISNUMBER(SEARCH("President",C336))&gt;0,'Configuración'!$B$31,IF(ISNUMBER(SEARCH("CMO",C336))+ISNUMBER(SEARCH("Chief Marketing",C336))+ISNUMBER(SEARCH("VP Marketing",C336))+ISNUMBER(SEARCH("Director de Marketing",C336))+ISNUMBER(SEARCH("Director Marketing",C336))+ISNUMBER(SEARCH("Head of Marketing",C336))+ISNUMBER(SEARCH("Head Marketing",C336))&gt;0,'Configuración'!$B$32,IF(ISNUMBER(SEARCH("Marketing Manager",C336))+ISNUMBER(SEARCH("Gerente de Marketing",C336))+ISNUMBER(SEARCH("Growth Manager",C336))+ISNUMBER(SEARCH("Demand Gen",C336))+ISNUMBER(SEARCH("Marketing Lead",C336))&gt;0,'Configuración'!$B$33,IF(ISNUMBER(SEARCH("COO",C336))+ISNUMBER(SEARCH("CFO",C336))+ISNUMBER(SEARCH("CTO",C336))+ISNUMBER(SEARCH("Chief Operating",C336))+ISNUMBER(SEARCH("Chief Financial",C336))+ISNUMBER(SEARCH("Gerente General",C336))+ISNUMBER(SEARCH("General Manager",C336))&gt;0,'Configuración'!$B$34,'Configuración'!$B$35)))))</f>
        <v>12</v>
      </c>
      <c r="V336" s="38">
        <f>IF(B336="","",IF(K336="Sí",'Configuración'!$B$5,0)+IF(L336="Semanal",'Configuración'!$B$6,IF(L336="Mensual",'Configuración'!$B$7,0))+IF(M336="Sí",'Configuración'!$B$8,0)+IF(N336="Sí",'Configuración'!$B$9,0)+IF(O336="Sí",'Configuración'!$B$10,0)+IF(P336="Sí",'Configuración'!$B$11,0)+IF(Q336="Sí",'Configuración'!$B$12,0)+S336+T336+U336)</f>
        <v>20</v>
      </c>
      <c r="W336" s="39" t="str">
        <f>IF(B336="","",IF(V336&gt;='Configuración'!$B$19,"A",IF(V336&gt;='Configuración'!$B$20,"B",IF(V336&gt;='Configuración'!$B$21,"C","Descarte"))))</f>
        <v>Descarte</v>
      </c>
    </row>
    <row r="337" ht="15.75" customHeight="1">
      <c r="A337" s="34">
        <f t="shared" si="1"/>
        <v>335</v>
      </c>
      <c r="B337" s="29" t="s">
        <v>529</v>
      </c>
      <c r="C337" s="29" t="s">
        <v>131</v>
      </c>
      <c r="D337" s="29" t="s">
        <v>2158</v>
      </c>
      <c r="E337" s="29" t="s">
        <v>2159</v>
      </c>
      <c r="F337" s="30" t="s">
        <v>2160</v>
      </c>
      <c r="G337" s="30" t="s">
        <v>2161</v>
      </c>
      <c r="H337" s="30" t="s">
        <v>2162</v>
      </c>
      <c r="I337" s="29" t="s">
        <v>616</v>
      </c>
      <c r="J337" s="31">
        <v>29.0</v>
      </c>
      <c r="K337" s="35"/>
      <c r="L337" s="35"/>
      <c r="M337" s="35"/>
      <c r="N337" s="35"/>
      <c r="O337" s="35"/>
      <c r="P337" s="35"/>
      <c r="Q337" s="35"/>
      <c r="R337" s="35"/>
      <c r="S337" s="37">
        <f>IF(B337="","",IF(ISNUMBER(J337),IF(J337&lt;=10,'Configuración'!$B$23,IF(J337&lt;=50,'Configuración'!$B$24,IF(J337&lt;=200,'Configuración'!$B$25,0))),0))</f>
        <v>4</v>
      </c>
      <c r="T337" s="37">
        <f>IF(B337="","",IF(ISNUMBER(SEARCH("information technology",I337))+ISNUMBER(SEARCH("software",I337))+ISNUMBER(SEARCH("internet",I337))+ISNUMBER(SEARCH("computer",I337))+ISNUMBER(SEARCH("saas",I337))+ISNUMBER(SEARCH("fintech",I337))+ISNUMBER(SEARCH("information services",I337))+ISNUMBER(SEARCH("telecommunications",I337))&gt;0,'Configuración'!$B$27,'Configuración'!$B$28))</f>
        <v>4</v>
      </c>
      <c r="U337" s="25">
        <f>IF(B337="","",IF(ISNUMBER(SEARCH("CEO",C337))+ISNUMBER(SEARCH("Founder",C337))+ISNUMBER(SEARCH("Owner",C337))+ISNUMBER(SEARCH("Dueño",C337))+ISNUMBER(SEARCH("Director General",C337))+ISNUMBER(SEARCH("Presidente",C337))+ISNUMBER(SEARCH("President",C337))&gt;0,'Configuración'!$B$31,IF(ISNUMBER(SEARCH("CMO",C337))+ISNUMBER(SEARCH("Chief Marketing",C337))+ISNUMBER(SEARCH("VP Marketing",C337))+ISNUMBER(SEARCH("Director de Marketing",C337))+ISNUMBER(SEARCH("Director Marketing",C337))+ISNUMBER(SEARCH("Head of Marketing",C337))+ISNUMBER(SEARCH("Head Marketing",C337))&gt;0,'Configuración'!$B$32,IF(ISNUMBER(SEARCH("Marketing Manager",C337))+ISNUMBER(SEARCH("Gerente de Marketing",C337))+ISNUMBER(SEARCH("Growth Manager",C337))+ISNUMBER(SEARCH("Demand Gen",C337))+ISNUMBER(SEARCH("Marketing Lead",C337))&gt;0,'Configuración'!$B$33,IF(ISNUMBER(SEARCH("COO",C337))+ISNUMBER(SEARCH("CFO",C337))+ISNUMBER(SEARCH("CTO",C337))+ISNUMBER(SEARCH("Chief Operating",C337))+ISNUMBER(SEARCH("Chief Financial",C337))+ISNUMBER(SEARCH("Gerente General",C337))+ISNUMBER(SEARCH("General Manager",C337))&gt;0,'Configuración'!$B$34,'Configuración'!$B$35)))))</f>
        <v>12</v>
      </c>
      <c r="V337" s="38">
        <f>IF(B337="","",IF(K337="Sí",'Configuración'!$B$5,0)+IF(L337="Semanal",'Configuración'!$B$6,IF(L337="Mensual",'Configuración'!$B$7,0))+IF(M337="Sí",'Configuración'!$B$8,0)+IF(N337="Sí",'Configuración'!$B$9,0)+IF(O337="Sí",'Configuración'!$B$10,0)+IF(P337="Sí",'Configuración'!$B$11,0)+IF(Q337="Sí",'Configuración'!$B$12,0)+S337+T337+U337)</f>
        <v>20</v>
      </c>
      <c r="W337" s="39" t="str">
        <f>IF(B337="","",IF(V337&gt;='Configuración'!$B$19,"A",IF(V337&gt;='Configuración'!$B$20,"B",IF(V337&gt;='Configuración'!$B$21,"C","Descarte"))))</f>
        <v>Descarte</v>
      </c>
    </row>
    <row r="338" ht="15.75" customHeight="1">
      <c r="A338" s="34">
        <f t="shared" si="1"/>
        <v>336</v>
      </c>
      <c r="B338" s="29" t="s">
        <v>2163</v>
      </c>
      <c r="C338" s="29" t="s">
        <v>2164</v>
      </c>
      <c r="D338" s="29" t="s">
        <v>2165</v>
      </c>
      <c r="E338" s="29" t="s">
        <v>2166</v>
      </c>
      <c r="F338" s="30" t="s">
        <v>2167</v>
      </c>
      <c r="G338" s="30" t="s">
        <v>2168</v>
      </c>
      <c r="H338" s="30" t="s">
        <v>2169</v>
      </c>
      <c r="I338" s="29" t="s">
        <v>2170</v>
      </c>
      <c r="J338" s="31">
        <v>3.0</v>
      </c>
      <c r="K338" s="35"/>
      <c r="L338" s="35"/>
      <c r="M338" s="35"/>
      <c r="N338" s="35"/>
      <c r="O338" s="35"/>
      <c r="P338" s="35"/>
      <c r="Q338" s="35"/>
      <c r="R338" s="35"/>
      <c r="S338" s="37">
        <f>IF(B338="","",IF(ISNUMBER(J338),IF(J338&lt;=10,'Configuración'!$B$23,IF(J338&lt;=50,'Configuración'!$B$24,IF(J338&lt;=200,'Configuración'!$B$25,0))),0))</f>
        <v>12</v>
      </c>
      <c r="T338" s="37">
        <f>IF(B338="","",IF(ISNUMBER(SEARCH("information technology",I338))+ISNUMBER(SEARCH("software",I338))+ISNUMBER(SEARCH("internet",I338))+ISNUMBER(SEARCH("computer",I338))+ISNUMBER(SEARCH("saas",I338))+ISNUMBER(SEARCH("fintech",I338))+ISNUMBER(SEARCH("information services",I338))+ISNUMBER(SEARCH("telecommunications",I338))&gt;0,'Configuración'!$B$27,'Configuración'!$B$28))</f>
        <v>12</v>
      </c>
      <c r="U338" s="25">
        <f>IF(B338="","",IF(ISNUMBER(SEARCH("CEO",C338))+ISNUMBER(SEARCH("Founder",C338))+ISNUMBER(SEARCH("Owner",C338))+ISNUMBER(SEARCH("Dueño",C338))+ISNUMBER(SEARCH("Director General",C338))+ISNUMBER(SEARCH("Presidente",C338))+ISNUMBER(SEARCH("President",C338))&gt;0,'Configuración'!$B$31,IF(ISNUMBER(SEARCH("CMO",C338))+ISNUMBER(SEARCH("Chief Marketing",C338))+ISNUMBER(SEARCH("VP Marketing",C338))+ISNUMBER(SEARCH("Director de Marketing",C338))+ISNUMBER(SEARCH("Director Marketing",C338))+ISNUMBER(SEARCH("Head of Marketing",C338))+ISNUMBER(SEARCH("Head Marketing",C338))&gt;0,'Configuración'!$B$32,IF(ISNUMBER(SEARCH("Marketing Manager",C338))+ISNUMBER(SEARCH("Gerente de Marketing",C338))+ISNUMBER(SEARCH("Growth Manager",C338))+ISNUMBER(SEARCH("Demand Gen",C338))+ISNUMBER(SEARCH("Marketing Lead",C338))&gt;0,'Configuración'!$B$33,IF(ISNUMBER(SEARCH("COO",C338))+ISNUMBER(SEARCH("CFO",C338))+ISNUMBER(SEARCH("CTO",C338))+ISNUMBER(SEARCH("Chief Operating",C338))+ISNUMBER(SEARCH("Chief Financial",C338))+ISNUMBER(SEARCH("Gerente General",C338))+ISNUMBER(SEARCH("General Manager",C338))&gt;0,'Configuración'!$B$34,'Configuración'!$B$35)))))</f>
        <v>12</v>
      </c>
      <c r="V338" s="38">
        <f>IF(B338="","",IF(K338="Sí",'Configuración'!$B$5,0)+IF(L338="Semanal",'Configuración'!$B$6,IF(L338="Mensual",'Configuración'!$B$7,0))+IF(M338="Sí",'Configuración'!$B$8,0)+IF(N338="Sí",'Configuración'!$B$9,0)+IF(O338="Sí",'Configuración'!$B$10,0)+IF(P338="Sí",'Configuración'!$B$11,0)+IF(Q338="Sí",'Configuración'!$B$12,0)+S338+T338+U338)</f>
        <v>36</v>
      </c>
      <c r="W338" s="39" t="str">
        <f>IF(B338="","",IF(V338&gt;='Configuración'!$B$19,"A",IF(V338&gt;='Configuración'!$B$20,"B",IF(V338&gt;='Configuración'!$B$21,"C","Descarte"))))</f>
        <v>C</v>
      </c>
    </row>
    <row r="339" ht="15.75" customHeight="1">
      <c r="A339" s="34">
        <f t="shared" si="1"/>
        <v>337</v>
      </c>
      <c r="B339" s="29" t="s">
        <v>2171</v>
      </c>
      <c r="C339" s="29" t="s">
        <v>131</v>
      </c>
      <c r="D339" s="29" t="s">
        <v>2172</v>
      </c>
      <c r="E339" s="29" t="s">
        <v>2173</v>
      </c>
      <c r="F339" s="30" t="s">
        <v>2174</v>
      </c>
      <c r="G339" s="30" t="s">
        <v>2175</v>
      </c>
      <c r="H339" s="30" t="s">
        <v>2176</v>
      </c>
      <c r="I339" s="29" t="s">
        <v>222</v>
      </c>
      <c r="J339" s="31">
        <v>1.0</v>
      </c>
      <c r="K339" s="35"/>
      <c r="L339" s="35"/>
      <c r="M339" s="35"/>
      <c r="N339" s="35"/>
      <c r="O339" s="35"/>
      <c r="P339" s="35"/>
      <c r="Q339" s="35"/>
      <c r="R339" s="35"/>
      <c r="S339" s="37">
        <f>IF(B339="","",IF(ISNUMBER(J339),IF(J339&lt;=10,'Configuración'!$B$23,IF(J339&lt;=50,'Configuración'!$B$24,IF(J339&lt;=200,'Configuración'!$B$25,0))),0))</f>
        <v>12</v>
      </c>
      <c r="T339" s="37">
        <f>IF(B339="","",IF(ISNUMBER(SEARCH("information technology",I339))+ISNUMBER(SEARCH("software",I339))+ISNUMBER(SEARCH("internet",I339))+ISNUMBER(SEARCH("computer",I339))+ISNUMBER(SEARCH("saas",I339))+ISNUMBER(SEARCH("fintech",I339))+ISNUMBER(SEARCH("information services",I339))+ISNUMBER(SEARCH("telecommunications",I339))&gt;0,'Configuración'!$B$27,'Configuración'!$B$28))</f>
        <v>4</v>
      </c>
      <c r="U339" s="25">
        <f>IF(B339="","",IF(ISNUMBER(SEARCH("CEO",C339))+ISNUMBER(SEARCH("Founder",C339))+ISNUMBER(SEARCH("Owner",C339))+ISNUMBER(SEARCH("Dueño",C339))+ISNUMBER(SEARCH("Director General",C339))+ISNUMBER(SEARCH("Presidente",C339))+ISNUMBER(SEARCH("President",C339))&gt;0,'Configuración'!$B$31,IF(ISNUMBER(SEARCH("CMO",C339))+ISNUMBER(SEARCH("Chief Marketing",C339))+ISNUMBER(SEARCH("VP Marketing",C339))+ISNUMBER(SEARCH("Director de Marketing",C339))+ISNUMBER(SEARCH("Director Marketing",C339))+ISNUMBER(SEARCH("Head of Marketing",C339))+ISNUMBER(SEARCH("Head Marketing",C339))&gt;0,'Configuración'!$B$32,IF(ISNUMBER(SEARCH("Marketing Manager",C339))+ISNUMBER(SEARCH("Gerente de Marketing",C339))+ISNUMBER(SEARCH("Growth Manager",C339))+ISNUMBER(SEARCH("Demand Gen",C339))+ISNUMBER(SEARCH("Marketing Lead",C339))&gt;0,'Configuración'!$B$33,IF(ISNUMBER(SEARCH("COO",C339))+ISNUMBER(SEARCH("CFO",C339))+ISNUMBER(SEARCH("CTO",C339))+ISNUMBER(SEARCH("Chief Operating",C339))+ISNUMBER(SEARCH("Chief Financial",C339))+ISNUMBER(SEARCH("Gerente General",C339))+ISNUMBER(SEARCH("General Manager",C339))&gt;0,'Configuración'!$B$34,'Configuración'!$B$35)))))</f>
        <v>12</v>
      </c>
      <c r="V339" s="38">
        <f>IF(B339="","",IF(K339="Sí",'Configuración'!$B$5,0)+IF(L339="Semanal",'Configuración'!$B$6,IF(L339="Mensual",'Configuración'!$B$7,0))+IF(M339="Sí",'Configuración'!$B$8,0)+IF(N339="Sí",'Configuración'!$B$9,0)+IF(O339="Sí",'Configuración'!$B$10,0)+IF(P339="Sí",'Configuración'!$B$11,0)+IF(Q339="Sí",'Configuración'!$B$12,0)+S339+T339+U339)</f>
        <v>28</v>
      </c>
      <c r="W339" s="39" t="str">
        <f>IF(B339="","",IF(V339&gt;='Configuración'!$B$19,"A",IF(V339&gt;='Configuración'!$B$20,"B",IF(V339&gt;='Configuración'!$B$21,"C","Descarte"))))</f>
        <v>C</v>
      </c>
    </row>
    <row r="340" ht="15.75" customHeight="1">
      <c r="A340" s="34">
        <f t="shared" si="1"/>
        <v>338</v>
      </c>
      <c r="B340" s="29" t="s">
        <v>556</v>
      </c>
      <c r="C340" s="29" t="s">
        <v>202</v>
      </c>
      <c r="D340" s="29" t="s">
        <v>2177</v>
      </c>
      <c r="E340" s="29" t="s">
        <v>2178</v>
      </c>
      <c r="F340" s="30" t="s">
        <v>2179</v>
      </c>
      <c r="G340" s="30" t="s">
        <v>2180</v>
      </c>
      <c r="H340" s="30" t="s">
        <v>2181</v>
      </c>
      <c r="I340" s="29" t="s">
        <v>188</v>
      </c>
      <c r="J340" s="31">
        <v>2.0</v>
      </c>
      <c r="K340" s="35"/>
      <c r="L340" s="35"/>
      <c r="M340" s="35"/>
      <c r="N340" s="35"/>
      <c r="O340" s="35"/>
      <c r="P340" s="35"/>
      <c r="Q340" s="35"/>
      <c r="R340" s="35"/>
      <c r="S340" s="37">
        <f>IF(B340="","",IF(ISNUMBER(J340),IF(J340&lt;=10,'Configuración'!$B$23,IF(J340&lt;=50,'Configuración'!$B$24,IF(J340&lt;=200,'Configuración'!$B$25,0))),0))</f>
        <v>12</v>
      </c>
      <c r="T340" s="37">
        <f>IF(B340="","",IF(ISNUMBER(SEARCH("information technology",I340))+ISNUMBER(SEARCH("software",I340))+ISNUMBER(SEARCH("internet",I340))+ISNUMBER(SEARCH("computer",I340))+ISNUMBER(SEARCH("saas",I340))+ISNUMBER(SEARCH("fintech",I340))+ISNUMBER(SEARCH("information services",I340))+ISNUMBER(SEARCH("telecommunications",I340))&gt;0,'Configuración'!$B$27,'Configuración'!$B$28))</f>
        <v>4</v>
      </c>
      <c r="U340" s="25">
        <f>IF(B340="","",IF(ISNUMBER(SEARCH("CEO",C340))+ISNUMBER(SEARCH("Founder",C340))+ISNUMBER(SEARCH("Owner",C340))+ISNUMBER(SEARCH("Dueño",C340))+ISNUMBER(SEARCH("Director General",C340))+ISNUMBER(SEARCH("Presidente",C340))+ISNUMBER(SEARCH("President",C340))&gt;0,'Configuración'!$B$31,IF(ISNUMBER(SEARCH("CMO",C340))+ISNUMBER(SEARCH("Chief Marketing",C340))+ISNUMBER(SEARCH("VP Marketing",C340))+ISNUMBER(SEARCH("Director de Marketing",C340))+ISNUMBER(SEARCH("Director Marketing",C340))+ISNUMBER(SEARCH("Head of Marketing",C340))+ISNUMBER(SEARCH("Head Marketing",C340))&gt;0,'Configuración'!$B$32,IF(ISNUMBER(SEARCH("Marketing Manager",C340))+ISNUMBER(SEARCH("Gerente de Marketing",C340))+ISNUMBER(SEARCH("Growth Manager",C340))+ISNUMBER(SEARCH("Demand Gen",C340))+ISNUMBER(SEARCH("Marketing Lead",C340))&gt;0,'Configuración'!$B$33,IF(ISNUMBER(SEARCH("COO",C340))+ISNUMBER(SEARCH("CFO",C340))+ISNUMBER(SEARCH("CTO",C340))+ISNUMBER(SEARCH("Chief Operating",C340))+ISNUMBER(SEARCH("Chief Financial",C340))+ISNUMBER(SEARCH("Gerente General",C340))+ISNUMBER(SEARCH("General Manager",C340))&gt;0,'Configuración'!$B$34,'Configuración'!$B$35)))))</f>
        <v>12</v>
      </c>
      <c r="V340" s="38">
        <f>IF(B340="","",IF(K340="Sí",'Configuración'!$B$5,0)+IF(L340="Semanal",'Configuración'!$B$6,IF(L340="Mensual",'Configuración'!$B$7,0))+IF(M340="Sí",'Configuración'!$B$8,0)+IF(N340="Sí",'Configuración'!$B$9,0)+IF(O340="Sí",'Configuración'!$B$10,0)+IF(P340="Sí",'Configuración'!$B$11,0)+IF(Q340="Sí",'Configuración'!$B$12,0)+S340+T340+U340)</f>
        <v>28</v>
      </c>
      <c r="W340" s="39" t="str">
        <f>IF(B340="","",IF(V340&gt;='Configuración'!$B$19,"A",IF(V340&gt;='Configuración'!$B$20,"B",IF(V340&gt;='Configuración'!$B$21,"C","Descarte"))))</f>
        <v>C</v>
      </c>
    </row>
    <row r="341" ht="15.75" customHeight="1">
      <c r="A341" s="34">
        <f t="shared" si="1"/>
        <v>339</v>
      </c>
      <c r="B341" s="29" t="s">
        <v>2182</v>
      </c>
      <c r="C341" s="29" t="s">
        <v>311</v>
      </c>
      <c r="D341" s="29" t="s">
        <v>2183</v>
      </c>
      <c r="E341" s="29" t="s">
        <v>2184</v>
      </c>
      <c r="F341" s="30" t="s">
        <v>2185</v>
      </c>
      <c r="G341" s="30" t="s">
        <v>2186</v>
      </c>
      <c r="H341" s="30" t="s">
        <v>2187</v>
      </c>
      <c r="I341" s="29" t="s">
        <v>158</v>
      </c>
      <c r="J341" s="31">
        <v>1.0</v>
      </c>
      <c r="K341" s="35"/>
      <c r="L341" s="35"/>
      <c r="M341" s="35"/>
      <c r="N341" s="35"/>
      <c r="O341" s="35"/>
      <c r="P341" s="35"/>
      <c r="Q341" s="35"/>
      <c r="R341" s="35"/>
      <c r="S341" s="37">
        <f>IF(B341="","",IF(ISNUMBER(J341),IF(J341&lt;=10,'Configuración'!$B$23,IF(J341&lt;=50,'Configuración'!$B$24,IF(J341&lt;=200,'Configuración'!$B$25,0))),0))</f>
        <v>12</v>
      </c>
      <c r="T341" s="37">
        <f>IF(B341="","",IF(ISNUMBER(SEARCH("information technology",I341))+ISNUMBER(SEARCH("software",I341))+ISNUMBER(SEARCH("internet",I341))+ISNUMBER(SEARCH("computer",I341))+ISNUMBER(SEARCH("saas",I341))+ISNUMBER(SEARCH("fintech",I341))+ISNUMBER(SEARCH("information services",I341))+ISNUMBER(SEARCH("telecommunications",I341))&gt;0,'Configuración'!$B$27,'Configuración'!$B$28))</f>
        <v>4</v>
      </c>
      <c r="U341" s="25">
        <f>IF(B341="","",IF(ISNUMBER(SEARCH("CEO",C341))+ISNUMBER(SEARCH("Founder",C341))+ISNUMBER(SEARCH("Owner",C341))+ISNUMBER(SEARCH("Dueño",C341))+ISNUMBER(SEARCH("Director General",C341))+ISNUMBER(SEARCH("Presidente",C341))+ISNUMBER(SEARCH("President",C341))&gt;0,'Configuración'!$B$31,IF(ISNUMBER(SEARCH("CMO",C341))+ISNUMBER(SEARCH("Chief Marketing",C341))+ISNUMBER(SEARCH("VP Marketing",C341))+ISNUMBER(SEARCH("Director de Marketing",C341))+ISNUMBER(SEARCH("Director Marketing",C341))+ISNUMBER(SEARCH("Head of Marketing",C341))+ISNUMBER(SEARCH("Head Marketing",C341))&gt;0,'Configuración'!$B$32,IF(ISNUMBER(SEARCH("Marketing Manager",C341))+ISNUMBER(SEARCH("Gerente de Marketing",C341))+ISNUMBER(SEARCH("Growth Manager",C341))+ISNUMBER(SEARCH("Demand Gen",C341))+ISNUMBER(SEARCH("Marketing Lead",C341))&gt;0,'Configuración'!$B$33,IF(ISNUMBER(SEARCH("COO",C341))+ISNUMBER(SEARCH("CFO",C341))+ISNUMBER(SEARCH("CTO",C341))+ISNUMBER(SEARCH("Chief Operating",C341))+ISNUMBER(SEARCH("Chief Financial",C341))+ISNUMBER(SEARCH("Gerente General",C341))+ISNUMBER(SEARCH("General Manager",C341))&gt;0,'Configuración'!$B$34,'Configuración'!$B$35)))))</f>
        <v>12</v>
      </c>
      <c r="V341" s="38">
        <f>IF(B341="","",IF(K341="Sí",'Configuración'!$B$5,0)+IF(L341="Semanal",'Configuración'!$B$6,IF(L341="Mensual",'Configuración'!$B$7,0))+IF(M341="Sí",'Configuración'!$B$8,0)+IF(N341="Sí",'Configuración'!$B$9,0)+IF(O341="Sí",'Configuración'!$B$10,0)+IF(P341="Sí",'Configuración'!$B$11,0)+IF(Q341="Sí",'Configuración'!$B$12,0)+S341+T341+U341)</f>
        <v>28</v>
      </c>
      <c r="W341" s="39" t="str">
        <f>IF(B341="","",IF(V341&gt;='Configuración'!$B$19,"A",IF(V341&gt;='Configuración'!$B$20,"B",IF(V341&gt;='Configuración'!$B$21,"C","Descarte"))))</f>
        <v>C</v>
      </c>
    </row>
    <row r="342" ht="15.75" customHeight="1">
      <c r="A342" s="34">
        <f t="shared" si="1"/>
        <v>340</v>
      </c>
      <c r="B342" s="29" t="s">
        <v>610</v>
      </c>
      <c r="C342" s="29" t="s">
        <v>2188</v>
      </c>
      <c r="D342" s="29" t="s">
        <v>2189</v>
      </c>
      <c r="E342" s="29" t="s">
        <v>2190</v>
      </c>
      <c r="F342" s="30" t="s">
        <v>2191</v>
      </c>
      <c r="G342" s="30" t="s">
        <v>2192</v>
      </c>
      <c r="H342" s="30" t="s">
        <v>2193</v>
      </c>
      <c r="I342" s="29" t="s">
        <v>776</v>
      </c>
      <c r="J342" s="31">
        <v>4.0</v>
      </c>
      <c r="K342" s="35"/>
      <c r="L342" s="35"/>
      <c r="M342" s="35"/>
      <c r="N342" s="35"/>
      <c r="O342" s="35"/>
      <c r="P342" s="35"/>
      <c r="Q342" s="35"/>
      <c r="R342" s="35"/>
      <c r="S342" s="37">
        <f>IF(B342="","",IF(ISNUMBER(J342),IF(J342&lt;=10,'Configuración'!$B$23,IF(J342&lt;=50,'Configuración'!$B$24,IF(J342&lt;=200,'Configuración'!$B$25,0))),0))</f>
        <v>12</v>
      </c>
      <c r="T342" s="37">
        <f>IF(B342="","",IF(ISNUMBER(SEARCH("information technology",I342))+ISNUMBER(SEARCH("software",I342))+ISNUMBER(SEARCH("internet",I342))+ISNUMBER(SEARCH("computer",I342))+ISNUMBER(SEARCH("saas",I342))+ISNUMBER(SEARCH("fintech",I342))+ISNUMBER(SEARCH("information services",I342))+ISNUMBER(SEARCH("telecommunications",I342))&gt;0,'Configuración'!$B$27,'Configuración'!$B$28))</f>
        <v>4</v>
      </c>
      <c r="U342" s="25">
        <f>IF(B342="","",IF(ISNUMBER(SEARCH("CEO",C342))+ISNUMBER(SEARCH("Founder",C342))+ISNUMBER(SEARCH("Owner",C342))+ISNUMBER(SEARCH("Dueño",C342))+ISNUMBER(SEARCH("Director General",C342))+ISNUMBER(SEARCH("Presidente",C342))+ISNUMBER(SEARCH("President",C342))&gt;0,'Configuración'!$B$31,IF(ISNUMBER(SEARCH("CMO",C342))+ISNUMBER(SEARCH("Chief Marketing",C342))+ISNUMBER(SEARCH("VP Marketing",C342))+ISNUMBER(SEARCH("Director de Marketing",C342))+ISNUMBER(SEARCH("Director Marketing",C342))+ISNUMBER(SEARCH("Head of Marketing",C342))+ISNUMBER(SEARCH("Head Marketing",C342))&gt;0,'Configuración'!$B$32,IF(ISNUMBER(SEARCH("Marketing Manager",C342))+ISNUMBER(SEARCH("Gerente de Marketing",C342))+ISNUMBER(SEARCH("Growth Manager",C342))+ISNUMBER(SEARCH("Demand Gen",C342))+ISNUMBER(SEARCH("Marketing Lead",C342))&gt;0,'Configuración'!$B$33,IF(ISNUMBER(SEARCH("COO",C342))+ISNUMBER(SEARCH("CFO",C342))+ISNUMBER(SEARCH("CTO",C342))+ISNUMBER(SEARCH("Chief Operating",C342))+ISNUMBER(SEARCH("Chief Financial",C342))+ISNUMBER(SEARCH("Gerente General",C342))+ISNUMBER(SEARCH("General Manager",C342))&gt;0,'Configuración'!$B$34,'Configuración'!$B$35)))))</f>
        <v>12</v>
      </c>
      <c r="V342" s="38">
        <f>IF(B342="","",IF(K342="Sí",'Configuración'!$B$5,0)+IF(L342="Semanal",'Configuración'!$B$6,IF(L342="Mensual",'Configuración'!$B$7,0))+IF(M342="Sí",'Configuración'!$B$8,0)+IF(N342="Sí",'Configuración'!$B$9,0)+IF(O342="Sí",'Configuración'!$B$10,0)+IF(P342="Sí",'Configuración'!$B$11,0)+IF(Q342="Sí",'Configuración'!$B$12,0)+S342+T342+U342)</f>
        <v>28</v>
      </c>
      <c r="W342" s="39" t="str">
        <f>IF(B342="","",IF(V342&gt;='Configuración'!$B$19,"A",IF(V342&gt;='Configuración'!$B$20,"B",IF(V342&gt;='Configuración'!$B$21,"C","Descarte"))))</f>
        <v>C</v>
      </c>
    </row>
    <row r="343" ht="15.75" customHeight="1">
      <c r="A343" s="34">
        <f t="shared" si="1"/>
        <v>341</v>
      </c>
      <c r="B343" s="29" t="s">
        <v>223</v>
      </c>
      <c r="C343" s="29" t="s">
        <v>175</v>
      </c>
      <c r="D343" s="29" t="s">
        <v>2194</v>
      </c>
      <c r="E343" s="29" t="s">
        <v>2195</v>
      </c>
      <c r="F343" s="30" t="s">
        <v>2196</v>
      </c>
      <c r="G343" s="30" t="s">
        <v>2197</v>
      </c>
      <c r="H343" s="30" t="s">
        <v>2198</v>
      </c>
      <c r="I343" s="29" t="s">
        <v>946</v>
      </c>
      <c r="J343" s="31">
        <v>1.0</v>
      </c>
      <c r="K343" s="35"/>
      <c r="L343" s="35"/>
      <c r="M343" s="35"/>
      <c r="N343" s="35"/>
      <c r="O343" s="35"/>
      <c r="P343" s="35"/>
      <c r="Q343" s="35"/>
      <c r="R343" s="35"/>
      <c r="S343" s="37">
        <f>IF(B343="","",IF(ISNUMBER(J343),IF(J343&lt;=10,'Configuración'!$B$23,IF(J343&lt;=50,'Configuración'!$B$24,IF(J343&lt;=200,'Configuración'!$B$25,0))),0))</f>
        <v>12</v>
      </c>
      <c r="T343" s="37">
        <f>IF(B343="","",IF(ISNUMBER(SEARCH("information technology",I343))+ISNUMBER(SEARCH("software",I343))+ISNUMBER(SEARCH("internet",I343))+ISNUMBER(SEARCH("computer",I343))+ISNUMBER(SEARCH("saas",I343))+ISNUMBER(SEARCH("fintech",I343))+ISNUMBER(SEARCH("information services",I343))+ISNUMBER(SEARCH("telecommunications",I343))&gt;0,'Configuración'!$B$27,'Configuración'!$B$28))</f>
        <v>4</v>
      </c>
      <c r="U343" s="25">
        <f>IF(B343="","",IF(ISNUMBER(SEARCH("CEO",C343))+ISNUMBER(SEARCH("Founder",C343))+ISNUMBER(SEARCH("Owner",C343))+ISNUMBER(SEARCH("Dueño",C343))+ISNUMBER(SEARCH("Director General",C343))+ISNUMBER(SEARCH("Presidente",C343))+ISNUMBER(SEARCH("President",C343))&gt;0,'Configuración'!$B$31,IF(ISNUMBER(SEARCH("CMO",C343))+ISNUMBER(SEARCH("Chief Marketing",C343))+ISNUMBER(SEARCH("VP Marketing",C343))+ISNUMBER(SEARCH("Director de Marketing",C343))+ISNUMBER(SEARCH("Director Marketing",C343))+ISNUMBER(SEARCH("Head of Marketing",C343))+ISNUMBER(SEARCH("Head Marketing",C343))&gt;0,'Configuración'!$B$32,IF(ISNUMBER(SEARCH("Marketing Manager",C343))+ISNUMBER(SEARCH("Gerente de Marketing",C343))+ISNUMBER(SEARCH("Growth Manager",C343))+ISNUMBER(SEARCH("Demand Gen",C343))+ISNUMBER(SEARCH("Marketing Lead",C343))&gt;0,'Configuración'!$B$33,IF(ISNUMBER(SEARCH("COO",C343))+ISNUMBER(SEARCH("CFO",C343))+ISNUMBER(SEARCH("CTO",C343))+ISNUMBER(SEARCH("Chief Operating",C343))+ISNUMBER(SEARCH("Chief Financial",C343))+ISNUMBER(SEARCH("Gerente General",C343))+ISNUMBER(SEARCH("General Manager",C343))&gt;0,'Configuración'!$B$34,'Configuración'!$B$35)))))</f>
        <v>12</v>
      </c>
      <c r="V343" s="38">
        <f>IF(B343="","",IF(K343="Sí",'Configuración'!$B$5,0)+IF(L343="Semanal",'Configuración'!$B$6,IF(L343="Mensual",'Configuración'!$B$7,0))+IF(M343="Sí",'Configuración'!$B$8,0)+IF(N343="Sí",'Configuración'!$B$9,0)+IF(O343="Sí",'Configuración'!$B$10,0)+IF(P343="Sí",'Configuración'!$B$11,0)+IF(Q343="Sí",'Configuración'!$B$12,0)+S343+T343+U343)</f>
        <v>28</v>
      </c>
      <c r="W343" s="39" t="str">
        <f>IF(B343="","",IF(V343&gt;='Configuración'!$B$19,"A",IF(V343&gt;='Configuración'!$B$20,"B",IF(V343&gt;='Configuración'!$B$21,"C","Descarte"))))</f>
        <v>C</v>
      </c>
    </row>
    <row r="344" ht="15.75" customHeight="1">
      <c r="A344" s="34">
        <f t="shared" si="1"/>
        <v>342</v>
      </c>
      <c r="B344" s="29" t="s">
        <v>2199</v>
      </c>
      <c r="C344" s="29" t="s">
        <v>2200</v>
      </c>
      <c r="D344" s="29" t="s">
        <v>2201</v>
      </c>
      <c r="E344" s="29" t="s">
        <v>2202</v>
      </c>
      <c r="F344" s="30" t="s">
        <v>2203</v>
      </c>
      <c r="G344" s="30" t="s">
        <v>2204</v>
      </c>
      <c r="H344" s="30" t="s">
        <v>2205</v>
      </c>
      <c r="I344" s="29" t="s">
        <v>127</v>
      </c>
      <c r="J344" s="31">
        <v>17.0</v>
      </c>
      <c r="K344" s="35"/>
      <c r="L344" s="35"/>
      <c r="M344" s="35"/>
      <c r="N344" s="35"/>
      <c r="O344" s="35"/>
      <c r="P344" s="35"/>
      <c r="Q344" s="35"/>
      <c r="R344" s="35"/>
      <c r="S344" s="37">
        <f>IF(B344="","",IF(ISNUMBER(J344),IF(J344&lt;=10,'Configuración'!$B$23,IF(J344&lt;=50,'Configuración'!$B$24,IF(J344&lt;=200,'Configuración'!$B$25,0))),0))</f>
        <v>4</v>
      </c>
      <c r="T344" s="37">
        <f>IF(B344="","",IF(ISNUMBER(SEARCH("information technology",I344))+ISNUMBER(SEARCH("software",I344))+ISNUMBER(SEARCH("internet",I344))+ISNUMBER(SEARCH("computer",I344))+ISNUMBER(SEARCH("saas",I344))+ISNUMBER(SEARCH("fintech",I344))+ISNUMBER(SEARCH("information services",I344))+ISNUMBER(SEARCH("telecommunications",I344))&gt;0,'Configuración'!$B$27,'Configuración'!$B$28))</f>
        <v>12</v>
      </c>
      <c r="U344" s="25">
        <f>IF(B344="","",IF(ISNUMBER(SEARCH("CEO",C344))+ISNUMBER(SEARCH("Founder",C344))+ISNUMBER(SEARCH("Owner",C344))+ISNUMBER(SEARCH("Dueño",C344))+ISNUMBER(SEARCH("Director General",C344))+ISNUMBER(SEARCH("Presidente",C344))+ISNUMBER(SEARCH("President",C344))&gt;0,'Configuración'!$B$31,IF(ISNUMBER(SEARCH("CMO",C344))+ISNUMBER(SEARCH("Chief Marketing",C344))+ISNUMBER(SEARCH("VP Marketing",C344))+ISNUMBER(SEARCH("Director de Marketing",C344))+ISNUMBER(SEARCH("Director Marketing",C344))+ISNUMBER(SEARCH("Head of Marketing",C344))+ISNUMBER(SEARCH("Head Marketing",C344))&gt;0,'Configuración'!$B$32,IF(ISNUMBER(SEARCH("Marketing Manager",C344))+ISNUMBER(SEARCH("Gerente de Marketing",C344))+ISNUMBER(SEARCH("Growth Manager",C344))+ISNUMBER(SEARCH("Demand Gen",C344))+ISNUMBER(SEARCH("Marketing Lead",C344))&gt;0,'Configuración'!$B$33,IF(ISNUMBER(SEARCH("COO",C344))+ISNUMBER(SEARCH("CFO",C344))+ISNUMBER(SEARCH("CTO",C344))+ISNUMBER(SEARCH("Chief Operating",C344))+ISNUMBER(SEARCH("Chief Financial",C344))+ISNUMBER(SEARCH("Gerente General",C344))+ISNUMBER(SEARCH("General Manager",C344))&gt;0,'Configuración'!$B$34,'Configuración'!$B$35)))))</f>
        <v>12</v>
      </c>
      <c r="V344" s="38">
        <f>IF(B344="","",IF(K344="Sí",'Configuración'!$B$5,0)+IF(L344="Semanal",'Configuración'!$B$6,IF(L344="Mensual",'Configuración'!$B$7,0))+IF(M344="Sí",'Configuración'!$B$8,0)+IF(N344="Sí",'Configuración'!$B$9,0)+IF(O344="Sí",'Configuración'!$B$10,0)+IF(P344="Sí",'Configuración'!$B$11,0)+IF(Q344="Sí",'Configuración'!$B$12,0)+S344+T344+U344)</f>
        <v>28</v>
      </c>
      <c r="W344" s="39" t="str">
        <f>IF(B344="","",IF(V344&gt;='Configuración'!$B$19,"A",IF(V344&gt;='Configuración'!$B$20,"B",IF(V344&gt;='Configuración'!$B$21,"C","Descarte"))))</f>
        <v>C</v>
      </c>
    </row>
    <row r="345" ht="15.75" customHeight="1">
      <c r="A345" s="34">
        <f t="shared" si="1"/>
        <v>343</v>
      </c>
      <c r="B345" s="29" t="s">
        <v>2206</v>
      </c>
      <c r="C345" s="29" t="s">
        <v>2207</v>
      </c>
      <c r="D345" s="29" t="s">
        <v>2208</v>
      </c>
      <c r="E345" s="29" t="s">
        <v>2209</v>
      </c>
      <c r="F345" s="30" t="s">
        <v>2210</v>
      </c>
      <c r="G345" s="30" t="s">
        <v>2211</v>
      </c>
      <c r="H345" s="30" t="s">
        <v>2212</v>
      </c>
      <c r="I345" s="29" t="s">
        <v>317</v>
      </c>
      <c r="J345" s="31">
        <v>1.0</v>
      </c>
      <c r="K345" s="35"/>
      <c r="L345" s="35"/>
      <c r="M345" s="35"/>
      <c r="N345" s="35"/>
      <c r="O345" s="35"/>
      <c r="P345" s="35"/>
      <c r="Q345" s="35"/>
      <c r="R345" s="35"/>
      <c r="S345" s="37">
        <f>IF(B345="","",IF(ISNUMBER(J345),IF(J345&lt;=10,'Configuración'!$B$23,IF(J345&lt;=50,'Configuración'!$B$24,IF(J345&lt;=200,'Configuración'!$B$25,0))),0))</f>
        <v>12</v>
      </c>
      <c r="T345" s="37">
        <f>IF(B345="","",IF(ISNUMBER(SEARCH("information technology",I345))+ISNUMBER(SEARCH("software",I345))+ISNUMBER(SEARCH("internet",I345))+ISNUMBER(SEARCH("computer",I345))+ISNUMBER(SEARCH("saas",I345))+ISNUMBER(SEARCH("fintech",I345))+ISNUMBER(SEARCH("information services",I345))+ISNUMBER(SEARCH("telecommunications",I345))&gt;0,'Configuración'!$B$27,'Configuración'!$B$28))</f>
        <v>4</v>
      </c>
      <c r="U345" s="25">
        <f>IF(B345="","",IF(ISNUMBER(SEARCH("CEO",C345))+ISNUMBER(SEARCH("Founder",C345))+ISNUMBER(SEARCH("Owner",C345))+ISNUMBER(SEARCH("Dueño",C345))+ISNUMBER(SEARCH("Director General",C345))+ISNUMBER(SEARCH("Presidente",C345))+ISNUMBER(SEARCH("President",C345))&gt;0,'Configuración'!$B$31,IF(ISNUMBER(SEARCH("CMO",C345))+ISNUMBER(SEARCH("Chief Marketing",C345))+ISNUMBER(SEARCH("VP Marketing",C345))+ISNUMBER(SEARCH("Director de Marketing",C345))+ISNUMBER(SEARCH("Director Marketing",C345))+ISNUMBER(SEARCH("Head of Marketing",C345))+ISNUMBER(SEARCH("Head Marketing",C345))&gt;0,'Configuración'!$B$32,IF(ISNUMBER(SEARCH("Marketing Manager",C345))+ISNUMBER(SEARCH("Gerente de Marketing",C345))+ISNUMBER(SEARCH("Growth Manager",C345))+ISNUMBER(SEARCH("Demand Gen",C345))+ISNUMBER(SEARCH("Marketing Lead",C345))&gt;0,'Configuración'!$B$33,IF(ISNUMBER(SEARCH("COO",C345))+ISNUMBER(SEARCH("CFO",C345))+ISNUMBER(SEARCH("CTO",C345))+ISNUMBER(SEARCH("Chief Operating",C345))+ISNUMBER(SEARCH("Chief Financial",C345))+ISNUMBER(SEARCH("Gerente General",C345))+ISNUMBER(SEARCH("General Manager",C345))&gt;0,'Configuración'!$B$34,'Configuración'!$B$35)))))</f>
        <v>12</v>
      </c>
      <c r="V345" s="38">
        <f>IF(B345="","",IF(K345="Sí",'Configuración'!$B$5,0)+IF(L345="Semanal",'Configuración'!$B$6,IF(L345="Mensual",'Configuración'!$B$7,0))+IF(M345="Sí",'Configuración'!$B$8,0)+IF(N345="Sí",'Configuración'!$B$9,0)+IF(O345="Sí",'Configuración'!$B$10,0)+IF(P345="Sí",'Configuración'!$B$11,0)+IF(Q345="Sí",'Configuración'!$B$12,0)+S345+T345+U345)</f>
        <v>28</v>
      </c>
      <c r="W345" s="39" t="str">
        <f>IF(B345="","",IF(V345&gt;='Configuración'!$B$19,"A",IF(V345&gt;='Configuración'!$B$20,"B",IF(V345&gt;='Configuración'!$B$21,"C","Descarte"))))</f>
        <v>C</v>
      </c>
    </row>
    <row r="346" ht="15.75" customHeight="1">
      <c r="A346" s="34">
        <f t="shared" si="1"/>
        <v>344</v>
      </c>
      <c r="B346" s="29" t="s">
        <v>324</v>
      </c>
      <c r="C346" s="29" t="s">
        <v>622</v>
      </c>
      <c r="D346" s="29" t="s">
        <v>2213</v>
      </c>
      <c r="E346" s="29" t="s">
        <v>2214</v>
      </c>
      <c r="F346" s="30" t="s">
        <v>2215</v>
      </c>
      <c r="G346" s="30" t="s">
        <v>2216</v>
      </c>
      <c r="H346" s="30" t="s">
        <v>2217</v>
      </c>
      <c r="I346" s="29" t="s">
        <v>188</v>
      </c>
      <c r="J346" s="31">
        <v>5.0</v>
      </c>
      <c r="K346" s="35"/>
      <c r="L346" s="35"/>
      <c r="M346" s="35"/>
      <c r="N346" s="35"/>
      <c r="O346" s="35"/>
      <c r="P346" s="35"/>
      <c r="Q346" s="35"/>
      <c r="R346" s="35"/>
      <c r="S346" s="37">
        <f>IF(B346="","",IF(ISNUMBER(J346),IF(J346&lt;=10,'Configuración'!$B$23,IF(J346&lt;=50,'Configuración'!$B$24,IF(J346&lt;=200,'Configuración'!$B$25,0))),0))</f>
        <v>12</v>
      </c>
      <c r="T346" s="37">
        <f>IF(B346="","",IF(ISNUMBER(SEARCH("information technology",I346))+ISNUMBER(SEARCH("software",I346))+ISNUMBER(SEARCH("internet",I346))+ISNUMBER(SEARCH("computer",I346))+ISNUMBER(SEARCH("saas",I346))+ISNUMBER(SEARCH("fintech",I346))+ISNUMBER(SEARCH("information services",I346))+ISNUMBER(SEARCH("telecommunications",I346))&gt;0,'Configuración'!$B$27,'Configuración'!$B$28))</f>
        <v>4</v>
      </c>
      <c r="U346" s="25">
        <f>IF(B346="","",IF(ISNUMBER(SEARCH("CEO",C346))+ISNUMBER(SEARCH("Founder",C346))+ISNUMBER(SEARCH("Owner",C346))+ISNUMBER(SEARCH("Dueño",C346))+ISNUMBER(SEARCH("Director General",C346))+ISNUMBER(SEARCH("Presidente",C346))+ISNUMBER(SEARCH("President",C346))&gt;0,'Configuración'!$B$31,IF(ISNUMBER(SEARCH("CMO",C346))+ISNUMBER(SEARCH("Chief Marketing",C346))+ISNUMBER(SEARCH("VP Marketing",C346))+ISNUMBER(SEARCH("Director de Marketing",C346))+ISNUMBER(SEARCH("Director Marketing",C346))+ISNUMBER(SEARCH("Head of Marketing",C346))+ISNUMBER(SEARCH("Head Marketing",C346))&gt;0,'Configuración'!$B$32,IF(ISNUMBER(SEARCH("Marketing Manager",C346))+ISNUMBER(SEARCH("Gerente de Marketing",C346))+ISNUMBER(SEARCH("Growth Manager",C346))+ISNUMBER(SEARCH("Demand Gen",C346))+ISNUMBER(SEARCH("Marketing Lead",C346))&gt;0,'Configuración'!$B$33,IF(ISNUMBER(SEARCH("COO",C346))+ISNUMBER(SEARCH("CFO",C346))+ISNUMBER(SEARCH("CTO",C346))+ISNUMBER(SEARCH("Chief Operating",C346))+ISNUMBER(SEARCH("Chief Financial",C346))+ISNUMBER(SEARCH("Gerente General",C346))+ISNUMBER(SEARCH("General Manager",C346))&gt;0,'Configuración'!$B$34,'Configuración'!$B$35)))))</f>
        <v>12</v>
      </c>
      <c r="V346" s="38">
        <f>IF(B346="","",IF(K346="Sí",'Configuración'!$B$5,0)+IF(L346="Semanal",'Configuración'!$B$6,IF(L346="Mensual",'Configuración'!$B$7,0))+IF(M346="Sí",'Configuración'!$B$8,0)+IF(N346="Sí",'Configuración'!$B$9,0)+IF(O346="Sí",'Configuración'!$B$10,0)+IF(P346="Sí",'Configuración'!$B$11,0)+IF(Q346="Sí",'Configuración'!$B$12,0)+S346+T346+U346)</f>
        <v>28</v>
      </c>
      <c r="W346" s="39" t="str">
        <f>IF(B346="","",IF(V346&gt;='Configuración'!$B$19,"A",IF(V346&gt;='Configuración'!$B$20,"B",IF(V346&gt;='Configuración'!$B$21,"C","Descarte"))))</f>
        <v>C</v>
      </c>
    </row>
    <row r="347" ht="15.75" customHeight="1">
      <c r="A347" s="34">
        <f t="shared" si="1"/>
        <v>345</v>
      </c>
      <c r="B347" s="29" t="s">
        <v>351</v>
      </c>
      <c r="C347" s="29" t="s">
        <v>1465</v>
      </c>
      <c r="D347" s="29" t="s">
        <v>1872</v>
      </c>
      <c r="E347" s="29" t="s">
        <v>2218</v>
      </c>
      <c r="F347" s="30" t="s">
        <v>2219</v>
      </c>
      <c r="G347" s="30" t="s">
        <v>1875</v>
      </c>
      <c r="H347" s="30" t="s">
        <v>1876</v>
      </c>
      <c r="I347" s="29" t="s">
        <v>127</v>
      </c>
      <c r="J347" s="31">
        <v>9.0</v>
      </c>
      <c r="K347" s="35"/>
      <c r="L347" s="35"/>
      <c r="M347" s="35"/>
      <c r="N347" s="35"/>
      <c r="O347" s="35"/>
      <c r="P347" s="35"/>
      <c r="Q347" s="35"/>
      <c r="R347" s="35"/>
      <c r="S347" s="37">
        <f>IF(B347="","",IF(ISNUMBER(J347),IF(J347&lt;=10,'Configuración'!$B$23,IF(J347&lt;=50,'Configuración'!$B$24,IF(J347&lt;=200,'Configuración'!$B$25,0))),0))</f>
        <v>12</v>
      </c>
      <c r="T347" s="37">
        <f>IF(B347="","",IF(ISNUMBER(SEARCH("information technology",I347))+ISNUMBER(SEARCH("software",I347))+ISNUMBER(SEARCH("internet",I347))+ISNUMBER(SEARCH("computer",I347))+ISNUMBER(SEARCH("saas",I347))+ISNUMBER(SEARCH("fintech",I347))+ISNUMBER(SEARCH("information services",I347))+ISNUMBER(SEARCH("telecommunications",I347))&gt;0,'Configuración'!$B$27,'Configuración'!$B$28))</f>
        <v>12</v>
      </c>
      <c r="U347" s="25">
        <f>IF(B347="","",IF(ISNUMBER(SEARCH("CEO",C347))+ISNUMBER(SEARCH("Founder",C347))+ISNUMBER(SEARCH("Owner",C347))+ISNUMBER(SEARCH("Dueño",C347))+ISNUMBER(SEARCH("Director General",C347))+ISNUMBER(SEARCH("Presidente",C347))+ISNUMBER(SEARCH("President",C347))&gt;0,'Configuración'!$B$31,IF(ISNUMBER(SEARCH("CMO",C347))+ISNUMBER(SEARCH("Chief Marketing",C347))+ISNUMBER(SEARCH("VP Marketing",C347))+ISNUMBER(SEARCH("Director de Marketing",C347))+ISNUMBER(SEARCH("Director Marketing",C347))+ISNUMBER(SEARCH("Head of Marketing",C347))+ISNUMBER(SEARCH("Head Marketing",C347))&gt;0,'Configuración'!$B$32,IF(ISNUMBER(SEARCH("Marketing Manager",C347))+ISNUMBER(SEARCH("Gerente de Marketing",C347))+ISNUMBER(SEARCH("Growth Manager",C347))+ISNUMBER(SEARCH("Demand Gen",C347))+ISNUMBER(SEARCH("Marketing Lead",C347))&gt;0,'Configuración'!$B$33,IF(ISNUMBER(SEARCH("COO",C347))+ISNUMBER(SEARCH("CFO",C347))+ISNUMBER(SEARCH("CTO",C347))+ISNUMBER(SEARCH("Chief Operating",C347))+ISNUMBER(SEARCH("Chief Financial",C347))+ISNUMBER(SEARCH("Gerente General",C347))+ISNUMBER(SEARCH("General Manager",C347))&gt;0,'Configuración'!$B$34,'Configuración'!$B$35)))))</f>
        <v>4</v>
      </c>
      <c r="V347" s="38">
        <f>IF(B347="","",IF(K347="Sí",'Configuración'!$B$5,0)+IF(L347="Semanal",'Configuración'!$B$6,IF(L347="Mensual",'Configuración'!$B$7,0))+IF(M347="Sí",'Configuración'!$B$8,0)+IF(N347="Sí",'Configuración'!$B$9,0)+IF(O347="Sí",'Configuración'!$B$10,0)+IF(P347="Sí",'Configuración'!$B$11,0)+IF(Q347="Sí",'Configuración'!$B$12,0)+S347+T347+U347)</f>
        <v>28</v>
      </c>
      <c r="W347" s="39" t="str">
        <f>IF(B347="","",IF(V347&gt;='Configuración'!$B$19,"A",IF(V347&gt;='Configuración'!$B$20,"B",IF(V347&gt;='Configuración'!$B$21,"C","Descarte"))))</f>
        <v>C</v>
      </c>
    </row>
    <row r="348" ht="15.75" customHeight="1">
      <c r="A348" s="34">
        <f t="shared" si="1"/>
        <v>346</v>
      </c>
      <c r="B348" s="29" t="s">
        <v>181</v>
      </c>
      <c r="C348" s="29" t="s">
        <v>131</v>
      </c>
      <c r="D348" s="29" t="s">
        <v>2220</v>
      </c>
      <c r="E348" s="29" t="s">
        <v>2221</v>
      </c>
      <c r="F348" s="30" t="s">
        <v>2222</v>
      </c>
      <c r="G348" s="30" t="s">
        <v>2223</v>
      </c>
      <c r="H348" s="30" t="s">
        <v>2224</v>
      </c>
      <c r="I348" s="29" t="s">
        <v>172</v>
      </c>
      <c r="J348" s="31">
        <v>7.0</v>
      </c>
      <c r="K348" s="35"/>
      <c r="L348" s="35"/>
      <c r="M348" s="35"/>
      <c r="N348" s="35"/>
      <c r="O348" s="35"/>
      <c r="P348" s="35"/>
      <c r="Q348" s="35"/>
      <c r="R348" s="35"/>
      <c r="S348" s="37">
        <f>IF(B348="","",IF(ISNUMBER(J348),IF(J348&lt;=10,'Configuración'!$B$23,IF(J348&lt;=50,'Configuración'!$B$24,IF(J348&lt;=200,'Configuración'!$B$25,0))),0))</f>
        <v>12</v>
      </c>
      <c r="T348" s="37">
        <f>IF(B348="","",IF(ISNUMBER(SEARCH("information technology",I348))+ISNUMBER(SEARCH("software",I348))+ISNUMBER(SEARCH("internet",I348))+ISNUMBER(SEARCH("computer",I348))+ISNUMBER(SEARCH("saas",I348))+ISNUMBER(SEARCH("fintech",I348))+ISNUMBER(SEARCH("information services",I348))+ISNUMBER(SEARCH("telecommunications",I348))&gt;0,'Configuración'!$B$27,'Configuración'!$B$28))</f>
        <v>4</v>
      </c>
      <c r="U348" s="25">
        <f>IF(B348="","",IF(ISNUMBER(SEARCH("CEO",C348))+ISNUMBER(SEARCH("Founder",C348))+ISNUMBER(SEARCH("Owner",C348))+ISNUMBER(SEARCH("Dueño",C348))+ISNUMBER(SEARCH("Director General",C348))+ISNUMBER(SEARCH("Presidente",C348))+ISNUMBER(SEARCH("President",C348))&gt;0,'Configuración'!$B$31,IF(ISNUMBER(SEARCH("CMO",C348))+ISNUMBER(SEARCH("Chief Marketing",C348))+ISNUMBER(SEARCH("VP Marketing",C348))+ISNUMBER(SEARCH("Director de Marketing",C348))+ISNUMBER(SEARCH("Director Marketing",C348))+ISNUMBER(SEARCH("Head of Marketing",C348))+ISNUMBER(SEARCH("Head Marketing",C348))&gt;0,'Configuración'!$B$32,IF(ISNUMBER(SEARCH("Marketing Manager",C348))+ISNUMBER(SEARCH("Gerente de Marketing",C348))+ISNUMBER(SEARCH("Growth Manager",C348))+ISNUMBER(SEARCH("Demand Gen",C348))+ISNUMBER(SEARCH("Marketing Lead",C348))&gt;0,'Configuración'!$B$33,IF(ISNUMBER(SEARCH("COO",C348))+ISNUMBER(SEARCH("CFO",C348))+ISNUMBER(SEARCH("CTO",C348))+ISNUMBER(SEARCH("Chief Operating",C348))+ISNUMBER(SEARCH("Chief Financial",C348))+ISNUMBER(SEARCH("Gerente General",C348))+ISNUMBER(SEARCH("General Manager",C348))&gt;0,'Configuración'!$B$34,'Configuración'!$B$35)))))</f>
        <v>12</v>
      </c>
      <c r="V348" s="38">
        <f>IF(B348="","",IF(K348="Sí",'Configuración'!$B$5,0)+IF(L348="Semanal",'Configuración'!$B$6,IF(L348="Mensual",'Configuración'!$B$7,0))+IF(M348="Sí",'Configuración'!$B$8,0)+IF(N348="Sí",'Configuración'!$B$9,0)+IF(O348="Sí",'Configuración'!$B$10,0)+IF(P348="Sí",'Configuración'!$B$11,0)+IF(Q348="Sí",'Configuración'!$B$12,0)+S348+T348+U348)</f>
        <v>28</v>
      </c>
      <c r="W348" s="39" t="str">
        <f>IF(B348="","",IF(V348&gt;='Configuración'!$B$19,"A",IF(V348&gt;='Configuración'!$B$20,"B",IF(V348&gt;='Configuración'!$B$21,"C","Descarte"))))</f>
        <v>C</v>
      </c>
    </row>
    <row r="349" ht="15.75" customHeight="1">
      <c r="A349" s="34">
        <f t="shared" si="1"/>
        <v>347</v>
      </c>
      <c r="B349" s="29" t="s">
        <v>2225</v>
      </c>
      <c r="C349" s="29" t="s">
        <v>2226</v>
      </c>
      <c r="D349" s="29" t="s">
        <v>2227</v>
      </c>
      <c r="E349" s="29" t="s">
        <v>2228</v>
      </c>
      <c r="F349" s="30" t="s">
        <v>2229</v>
      </c>
      <c r="G349" s="30" t="s">
        <v>2230</v>
      </c>
      <c r="H349" s="30" t="s">
        <v>2231</v>
      </c>
      <c r="I349" s="29" t="s">
        <v>116</v>
      </c>
      <c r="J349" s="31">
        <v>5.0</v>
      </c>
      <c r="K349" s="35"/>
      <c r="L349" s="35"/>
      <c r="M349" s="35"/>
      <c r="N349" s="35"/>
      <c r="O349" s="35"/>
      <c r="P349" s="35"/>
      <c r="Q349" s="35"/>
      <c r="R349" s="35"/>
      <c r="S349" s="37">
        <f>IF(B349="","",IF(ISNUMBER(J349),IF(J349&lt;=10,'Configuración'!$B$23,IF(J349&lt;=50,'Configuración'!$B$24,IF(J349&lt;=200,'Configuración'!$B$25,0))),0))</f>
        <v>12</v>
      </c>
      <c r="T349" s="37">
        <f>IF(B349="","",IF(ISNUMBER(SEARCH("information technology",I349))+ISNUMBER(SEARCH("software",I349))+ISNUMBER(SEARCH("internet",I349))+ISNUMBER(SEARCH("computer",I349))+ISNUMBER(SEARCH("saas",I349))+ISNUMBER(SEARCH("fintech",I349))+ISNUMBER(SEARCH("information services",I349))+ISNUMBER(SEARCH("telecommunications",I349))&gt;0,'Configuración'!$B$27,'Configuración'!$B$28))</f>
        <v>4</v>
      </c>
      <c r="U349" s="25">
        <f>IF(B349="","",IF(ISNUMBER(SEARCH("CEO",C349))+ISNUMBER(SEARCH("Founder",C349))+ISNUMBER(SEARCH("Owner",C349))+ISNUMBER(SEARCH("Dueño",C349))+ISNUMBER(SEARCH("Director General",C349))+ISNUMBER(SEARCH("Presidente",C349))+ISNUMBER(SEARCH("President",C349))&gt;0,'Configuración'!$B$31,IF(ISNUMBER(SEARCH("CMO",C349))+ISNUMBER(SEARCH("Chief Marketing",C349))+ISNUMBER(SEARCH("VP Marketing",C349))+ISNUMBER(SEARCH("Director de Marketing",C349))+ISNUMBER(SEARCH("Director Marketing",C349))+ISNUMBER(SEARCH("Head of Marketing",C349))+ISNUMBER(SEARCH("Head Marketing",C349))&gt;0,'Configuración'!$B$32,IF(ISNUMBER(SEARCH("Marketing Manager",C349))+ISNUMBER(SEARCH("Gerente de Marketing",C349))+ISNUMBER(SEARCH("Growth Manager",C349))+ISNUMBER(SEARCH("Demand Gen",C349))+ISNUMBER(SEARCH("Marketing Lead",C349))&gt;0,'Configuración'!$B$33,IF(ISNUMBER(SEARCH("COO",C349))+ISNUMBER(SEARCH("CFO",C349))+ISNUMBER(SEARCH("CTO",C349))+ISNUMBER(SEARCH("Chief Operating",C349))+ISNUMBER(SEARCH("Chief Financial",C349))+ISNUMBER(SEARCH("Gerente General",C349))+ISNUMBER(SEARCH("General Manager",C349))&gt;0,'Configuración'!$B$34,'Configuración'!$B$35)))))</f>
        <v>12</v>
      </c>
      <c r="V349" s="38">
        <f>IF(B349="","",IF(K349="Sí",'Configuración'!$B$5,0)+IF(L349="Semanal",'Configuración'!$B$6,IF(L349="Mensual",'Configuración'!$B$7,0))+IF(M349="Sí",'Configuración'!$B$8,0)+IF(N349="Sí",'Configuración'!$B$9,0)+IF(O349="Sí",'Configuración'!$B$10,0)+IF(P349="Sí",'Configuración'!$B$11,0)+IF(Q349="Sí",'Configuración'!$B$12,0)+S349+T349+U349)</f>
        <v>28</v>
      </c>
      <c r="W349" s="39" t="str">
        <f>IF(B349="","",IF(V349&gt;='Configuración'!$B$19,"A",IF(V349&gt;='Configuración'!$B$20,"B",IF(V349&gt;='Configuración'!$B$21,"C","Descarte"))))</f>
        <v>C</v>
      </c>
    </row>
    <row r="350" ht="15.75" customHeight="1">
      <c r="A350" s="34">
        <f t="shared" si="1"/>
        <v>348</v>
      </c>
      <c r="B350" s="29" t="s">
        <v>610</v>
      </c>
      <c r="C350" s="29" t="s">
        <v>2232</v>
      </c>
      <c r="D350" s="29" t="s">
        <v>2233</v>
      </c>
      <c r="E350" s="29" t="s">
        <v>2234</v>
      </c>
      <c r="F350" s="30" t="s">
        <v>2235</v>
      </c>
      <c r="G350" s="30" t="s">
        <v>2236</v>
      </c>
      <c r="H350" s="30" t="s">
        <v>2237</v>
      </c>
      <c r="I350" s="29" t="s">
        <v>1034</v>
      </c>
      <c r="J350" s="31">
        <v>2.0</v>
      </c>
      <c r="K350" s="35"/>
      <c r="L350" s="35"/>
      <c r="M350" s="35"/>
      <c r="N350" s="35"/>
      <c r="O350" s="35"/>
      <c r="P350" s="35"/>
      <c r="Q350" s="35"/>
      <c r="R350" s="35"/>
      <c r="S350" s="37">
        <f>IF(B350="","",IF(ISNUMBER(J350),IF(J350&lt;=10,'Configuración'!$B$23,IF(J350&lt;=50,'Configuración'!$B$24,IF(J350&lt;=200,'Configuración'!$B$25,0))),0))</f>
        <v>12</v>
      </c>
      <c r="T350" s="37">
        <f>IF(B350="","",IF(ISNUMBER(SEARCH("information technology",I350))+ISNUMBER(SEARCH("software",I350))+ISNUMBER(SEARCH("internet",I350))+ISNUMBER(SEARCH("computer",I350))+ISNUMBER(SEARCH("saas",I350))+ISNUMBER(SEARCH("fintech",I350))+ISNUMBER(SEARCH("information services",I350))+ISNUMBER(SEARCH("telecommunications",I350))&gt;0,'Configuración'!$B$27,'Configuración'!$B$28))</f>
        <v>4</v>
      </c>
      <c r="U350" s="25">
        <f>IF(B350="","",IF(ISNUMBER(SEARCH("CEO",C350))+ISNUMBER(SEARCH("Founder",C350))+ISNUMBER(SEARCH("Owner",C350))+ISNUMBER(SEARCH("Dueño",C350))+ISNUMBER(SEARCH("Director General",C350))+ISNUMBER(SEARCH("Presidente",C350))+ISNUMBER(SEARCH("President",C350))&gt;0,'Configuración'!$B$31,IF(ISNUMBER(SEARCH("CMO",C350))+ISNUMBER(SEARCH("Chief Marketing",C350))+ISNUMBER(SEARCH("VP Marketing",C350))+ISNUMBER(SEARCH("Director de Marketing",C350))+ISNUMBER(SEARCH("Director Marketing",C350))+ISNUMBER(SEARCH("Head of Marketing",C350))+ISNUMBER(SEARCH("Head Marketing",C350))&gt;0,'Configuración'!$B$32,IF(ISNUMBER(SEARCH("Marketing Manager",C350))+ISNUMBER(SEARCH("Gerente de Marketing",C350))+ISNUMBER(SEARCH("Growth Manager",C350))+ISNUMBER(SEARCH("Demand Gen",C350))+ISNUMBER(SEARCH("Marketing Lead",C350))&gt;0,'Configuración'!$B$33,IF(ISNUMBER(SEARCH("COO",C350))+ISNUMBER(SEARCH("CFO",C350))+ISNUMBER(SEARCH("CTO",C350))+ISNUMBER(SEARCH("Chief Operating",C350))+ISNUMBER(SEARCH("Chief Financial",C350))+ISNUMBER(SEARCH("Gerente General",C350))+ISNUMBER(SEARCH("General Manager",C350))&gt;0,'Configuración'!$B$34,'Configuración'!$B$35)))))</f>
        <v>12</v>
      </c>
      <c r="V350" s="38">
        <f>IF(B350="","",IF(K350="Sí",'Configuración'!$B$5,0)+IF(L350="Semanal",'Configuración'!$B$6,IF(L350="Mensual",'Configuración'!$B$7,0))+IF(M350="Sí",'Configuración'!$B$8,0)+IF(N350="Sí",'Configuración'!$B$9,0)+IF(O350="Sí",'Configuración'!$B$10,0)+IF(P350="Sí",'Configuración'!$B$11,0)+IF(Q350="Sí",'Configuración'!$B$12,0)+S350+T350+U350)</f>
        <v>28</v>
      </c>
      <c r="W350" s="39" t="str">
        <f>IF(B350="","",IF(V350&gt;='Configuración'!$B$19,"A",IF(V350&gt;='Configuración'!$B$20,"B",IF(V350&gt;='Configuración'!$B$21,"C","Descarte"))))</f>
        <v>C</v>
      </c>
    </row>
    <row r="351" ht="15.75" customHeight="1">
      <c r="A351" s="34">
        <f t="shared" si="1"/>
        <v>349</v>
      </c>
      <c r="B351" s="29" t="s">
        <v>138</v>
      </c>
      <c r="C351" s="29" t="s">
        <v>131</v>
      </c>
      <c r="D351" s="29" t="s">
        <v>2238</v>
      </c>
      <c r="E351" s="29" t="s">
        <v>2239</v>
      </c>
      <c r="F351" s="30" t="s">
        <v>2240</v>
      </c>
      <c r="G351" s="30" t="s">
        <v>2241</v>
      </c>
      <c r="H351" s="30" t="s">
        <v>2242</v>
      </c>
      <c r="I351" s="29" t="s">
        <v>1245</v>
      </c>
      <c r="J351" s="31">
        <v>1.0</v>
      </c>
      <c r="K351" s="35"/>
      <c r="L351" s="35"/>
      <c r="M351" s="35"/>
      <c r="N351" s="35"/>
      <c r="O351" s="35"/>
      <c r="P351" s="35"/>
      <c r="Q351" s="35"/>
      <c r="R351" s="35"/>
      <c r="S351" s="37">
        <f>IF(B351="","",IF(ISNUMBER(J351),IF(J351&lt;=10,'Configuración'!$B$23,IF(J351&lt;=50,'Configuración'!$B$24,IF(J351&lt;=200,'Configuración'!$B$25,0))),0))</f>
        <v>12</v>
      </c>
      <c r="T351" s="37">
        <f>IF(B351="","",IF(ISNUMBER(SEARCH("information technology",I351))+ISNUMBER(SEARCH("software",I351))+ISNUMBER(SEARCH("internet",I351))+ISNUMBER(SEARCH("computer",I351))+ISNUMBER(SEARCH("saas",I351))+ISNUMBER(SEARCH("fintech",I351))+ISNUMBER(SEARCH("information services",I351))+ISNUMBER(SEARCH("telecommunications",I351))&gt;0,'Configuración'!$B$27,'Configuración'!$B$28))</f>
        <v>4</v>
      </c>
      <c r="U351" s="25">
        <f>IF(B351="","",IF(ISNUMBER(SEARCH("CEO",C351))+ISNUMBER(SEARCH("Founder",C351))+ISNUMBER(SEARCH("Owner",C351))+ISNUMBER(SEARCH("Dueño",C351))+ISNUMBER(SEARCH("Director General",C351))+ISNUMBER(SEARCH("Presidente",C351))+ISNUMBER(SEARCH("President",C351))&gt;0,'Configuración'!$B$31,IF(ISNUMBER(SEARCH("CMO",C351))+ISNUMBER(SEARCH("Chief Marketing",C351))+ISNUMBER(SEARCH("VP Marketing",C351))+ISNUMBER(SEARCH("Director de Marketing",C351))+ISNUMBER(SEARCH("Director Marketing",C351))+ISNUMBER(SEARCH("Head of Marketing",C351))+ISNUMBER(SEARCH("Head Marketing",C351))&gt;0,'Configuración'!$B$32,IF(ISNUMBER(SEARCH("Marketing Manager",C351))+ISNUMBER(SEARCH("Gerente de Marketing",C351))+ISNUMBER(SEARCH("Growth Manager",C351))+ISNUMBER(SEARCH("Demand Gen",C351))+ISNUMBER(SEARCH("Marketing Lead",C351))&gt;0,'Configuración'!$B$33,IF(ISNUMBER(SEARCH("COO",C351))+ISNUMBER(SEARCH("CFO",C351))+ISNUMBER(SEARCH("CTO",C351))+ISNUMBER(SEARCH("Chief Operating",C351))+ISNUMBER(SEARCH("Chief Financial",C351))+ISNUMBER(SEARCH("Gerente General",C351))+ISNUMBER(SEARCH("General Manager",C351))&gt;0,'Configuración'!$B$34,'Configuración'!$B$35)))))</f>
        <v>12</v>
      </c>
      <c r="V351" s="38">
        <f>IF(B351="","",IF(K351="Sí",'Configuración'!$B$5,0)+IF(L351="Semanal",'Configuración'!$B$6,IF(L351="Mensual",'Configuración'!$B$7,0))+IF(M351="Sí",'Configuración'!$B$8,0)+IF(N351="Sí",'Configuración'!$B$9,0)+IF(O351="Sí",'Configuración'!$B$10,0)+IF(P351="Sí",'Configuración'!$B$11,0)+IF(Q351="Sí",'Configuración'!$B$12,0)+S351+T351+U351)</f>
        <v>28</v>
      </c>
      <c r="W351" s="39" t="str">
        <f>IF(B351="","",IF(V351&gt;='Configuración'!$B$19,"A",IF(V351&gt;='Configuración'!$B$20,"B",IF(V351&gt;='Configuración'!$B$21,"C","Descarte"))))</f>
        <v>C</v>
      </c>
    </row>
    <row r="352" ht="15.75" customHeight="1">
      <c r="A352" s="34">
        <f t="shared" si="1"/>
        <v>350</v>
      </c>
      <c r="B352" s="29" t="s">
        <v>536</v>
      </c>
      <c r="C352" s="29" t="s">
        <v>2243</v>
      </c>
      <c r="D352" s="29" t="s">
        <v>2244</v>
      </c>
      <c r="E352" s="29" t="s">
        <v>2245</v>
      </c>
      <c r="F352" s="30" t="s">
        <v>2246</v>
      </c>
      <c r="G352" s="30" t="s">
        <v>2247</v>
      </c>
      <c r="H352" s="30" t="s">
        <v>2248</v>
      </c>
      <c r="I352" s="29" t="s">
        <v>127</v>
      </c>
      <c r="J352" s="31">
        <v>24.0</v>
      </c>
      <c r="K352" s="35"/>
      <c r="L352" s="35"/>
      <c r="M352" s="35"/>
      <c r="N352" s="35"/>
      <c r="O352" s="35"/>
      <c r="P352" s="35"/>
      <c r="Q352" s="35"/>
      <c r="R352" s="35"/>
      <c r="S352" s="37">
        <f>IF(B352="","",IF(ISNUMBER(J352),IF(J352&lt;=10,'Configuración'!$B$23,IF(J352&lt;=50,'Configuración'!$B$24,IF(J352&lt;=200,'Configuración'!$B$25,0))),0))</f>
        <v>4</v>
      </c>
      <c r="T352" s="37">
        <f>IF(B352="","",IF(ISNUMBER(SEARCH("information technology",I352))+ISNUMBER(SEARCH("software",I352))+ISNUMBER(SEARCH("internet",I352))+ISNUMBER(SEARCH("computer",I352))+ISNUMBER(SEARCH("saas",I352))+ISNUMBER(SEARCH("fintech",I352))+ISNUMBER(SEARCH("information services",I352))+ISNUMBER(SEARCH("telecommunications",I352))&gt;0,'Configuración'!$B$27,'Configuración'!$B$28))</f>
        <v>12</v>
      </c>
      <c r="U352" s="25">
        <f>IF(B352="","",IF(ISNUMBER(SEARCH("CEO",C352))+ISNUMBER(SEARCH("Founder",C352))+ISNUMBER(SEARCH("Owner",C352))+ISNUMBER(SEARCH("Dueño",C352))+ISNUMBER(SEARCH("Director General",C352))+ISNUMBER(SEARCH("Presidente",C352))+ISNUMBER(SEARCH("President",C352))&gt;0,'Configuración'!$B$31,IF(ISNUMBER(SEARCH("CMO",C352))+ISNUMBER(SEARCH("Chief Marketing",C352))+ISNUMBER(SEARCH("VP Marketing",C352))+ISNUMBER(SEARCH("Director de Marketing",C352))+ISNUMBER(SEARCH("Director Marketing",C352))+ISNUMBER(SEARCH("Head of Marketing",C352))+ISNUMBER(SEARCH("Head Marketing",C352))&gt;0,'Configuración'!$B$32,IF(ISNUMBER(SEARCH("Marketing Manager",C352))+ISNUMBER(SEARCH("Gerente de Marketing",C352))+ISNUMBER(SEARCH("Growth Manager",C352))+ISNUMBER(SEARCH("Demand Gen",C352))+ISNUMBER(SEARCH("Marketing Lead",C352))&gt;0,'Configuración'!$B$33,IF(ISNUMBER(SEARCH("COO",C352))+ISNUMBER(SEARCH("CFO",C352))+ISNUMBER(SEARCH("CTO",C352))+ISNUMBER(SEARCH("Chief Operating",C352))+ISNUMBER(SEARCH("Chief Financial",C352))+ISNUMBER(SEARCH("Gerente General",C352))+ISNUMBER(SEARCH("General Manager",C352))&gt;0,'Configuración'!$B$34,'Configuración'!$B$35)))))</f>
        <v>12</v>
      </c>
      <c r="V352" s="38">
        <f>IF(B352="","",IF(K352="Sí",'Configuración'!$B$5,0)+IF(L352="Semanal",'Configuración'!$B$6,IF(L352="Mensual",'Configuración'!$B$7,0))+IF(M352="Sí",'Configuración'!$B$8,0)+IF(N352="Sí",'Configuración'!$B$9,0)+IF(O352="Sí",'Configuración'!$B$10,0)+IF(P352="Sí",'Configuración'!$B$11,0)+IF(Q352="Sí",'Configuración'!$B$12,0)+S352+T352+U352)</f>
        <v>28</v>
      </c>
      <c r="W352" s="39" t="str">
        <f>IF(B352="","",IF(V352&gt;='Configuración'!$B$19,"A",IF(V352&gt;='Configuración'!$B$20,"B",IF(V352&gt;='Configuración'!$B$21,"C","Descarte"))))</f>
        <v>C</v>
      </c>
    </row>
    <row r="353" ht="15.75" customHeight="1">
      <c r="A353" s="34">
        <f t="shared" si="1"/>
        <v>351</v>
      </c>
      <c r="B353" s="29" t="s">
        <v>236</v>
      </c>
      <c r="C353" s="29" t="s">
        <v>131</v>
      </c>
      <c r="D353" s="29" t="s">
        <v>2249</v>
      </c>
      <c r="E353" s="29" t="s">
        <v>2250</v>
      </c>
      <c r="F353" s="30" t="s">
        <v>2251</v>
      </c>
      <c r="G353" s="30" t="s">
        <v>2252</v>
      </c>
      <c r="H353" s="30" t="s">
        <v>2253</v>
      </c>
      <c r="I353" s="29" t="s">
        <v>946</v>
      </c>
      <c r="J353" s="31">
        <v>8.0</v>
      </c>
      <c r="K353" s="35"/>
      <c r="L353" s="35"/>
      <c r="M353" s="35"/>
      <c r="N353" s="35"/>
      <c r="O353" s="35"/>
      <c r="P353" s="35"/>
      <c r="Q353" s="35"/>
      <c r="R353" s="35"/>
      <c r="S353" s="37">
        <f>IF(B353="","",IF(ISNUMBER(J353),IF(J353&lt;=10,'Configuración'!$B$23,IF(J353&lt;=50,'Configuración'!$B$24,IF(J353&lt;=200,'Configuración'!$B$25,0))),0))</f>
        <v>12</v>
      </c>
      <c r="T353" s="37">
        <f>IF(B353="","",IF(ISNUMBER(SEARCH("information technology",I353))+ISNUMBER(SEARCH("software",I353))+ISNUMBER(SEARCH("internet",I353))+ISNUMBER(SEARCH("computer",I353))+ISNUMBER(SEARCH("saas",I353))+ISNUMBER(SEARCH("fintech",I353))+ISNUMBER(SEARCH("information services",I353))+ISNUMBER(SEARCH("telecommunications",I353))&gt;0,'Configuración'!$B$27,'Configuración'!$B$28))</f>
        <v>4</v>
      </c>
      <c r="U353" s="25">
        <f>IF(B353="","",IF(ISNUMBER(SEARCH("CEO",C353))+ISNUMBER(SEARCH("Founder",C353))+ISNUMBER(SEARCH("Owner",C353))+ISNUMBER(SEARCH("Dueño",C353))+ISNUMBER(SEARCH("Director General",C353))+ISNUMBER(SEARCH("Presidente",C353))+ISNUMBER(SEARCH("President",C353))&gt;0,'Configuración'!$B$31,IF(ISNUMBER(SEARCH("CMO",C353))+ISNUMBER(SEARCH("Chief Marketing",C353))+ISNUMBER(SEARCH("VP Marketing",C353))+ISNUMBER(SEARCH("Director de Marketing",C353))+ISNUMBER(SEARCH("Director Marketing",C353))+ISNUMBER(SEARCH("Head of Marketing",C353))+ISNUMBER(SEARCH("Head Marketing",C353))&gt;0,'Configuración'!$B$32,IF(ISNUMBER(SEARCH("Marketing Manager",C353))+ISNUMBER(SEARCH("Gerente de Marketing",C353))+ISNUMBER(SEARCH("Growth Manager",C353))+ISNUMBER(SEARCH("Demand Gen",C353))+ISNUMBER(SEARCH("Marketing Lead",C353))&gt;0,'Configuración'!$B$33,IF(ISNUMBER(SEARCH("COO",C353))+ISNUMBER(SEARCH("CFO",C353))+ISNUMBER(SEARCH("CTO",C353))+ISNUMBER(SEARCH("Chief Operating",C353))+ISNUMBER(SEARCH("Chief Financial",C353))+ISNUMBER(SEARCH("Gerente General",C353))+ISNUMBER(SEARCH("General Manager",C353))&gt;0,'Configuración'!$B$34,'Configuración'!$B$35)))))</f>
        <v>12</v>
      </c>
      <c r="V353" s="38">
        <f>IF(B353="","",IF(K353="Sí",'Configuración'!$B$5,0)+IF(L353="Semanal",'Configuración'!$B$6,IF(L353="Mensual",'Configuración'!$B$7,0))+IF(M353="Sí",'Configuración'!$B$8,0)+IF(N353="Sí",'Configuración'!$B$9,0)+IF(O353="Sí",'Configuración'!$B$10,0)+IF(P353="Sí",'Configuración'!$B$11,0)+IF(Q353="Sí",'Configuración'!$B$12,0)+S353+T353+U353)</f>
        <v>28</v>
      </c>
      <c r="W353" s="39" t="str">
        <f>IF(B353="","",IF(V353&gt;='Configuración'!$B$19,"A",IF(V353&gt;='Configuración'!$B$20,"B",IF(V353&gt;='Configuración'!$B$21,"C","Descarte"))))</f>
        <v>C</v>
      </c>
    </row>
    <row r="354" ht="15.75" customHeight="1">
      <c r="A354" s="34">
        <f t="shared" si="1"/>
        <v>352</v>
      </c>
      <c r="B354" s="29" t="s">
        <v>1171</v>
      </c>
      <c r="C354" s="29" t="s">
        <v>110</v>
      </c>
      <c r="D354" s="29" t="s">
        <v>685</v>
      </c>
      <c r="E354" s="29" t="s">
        <v>2254</v>
      </c>
      <c r="F354" s="30" t="s">
        <v>2255</v>
      </c>
      <c r="G354" s="30" t="s">
        <v>688</v>
      </c>
      <c r="H354" s="30" t="s">
        <v>689</v>
      </c>
      <c r="I354" s="29" t="s">
        <v>116</v>
      </c>
      <c r="J354" s="31">
        <v>5.0</v>
      </c>
      <c r="K354" s="35"/>
      <c r="L354" s="35"/>
      <c r="M354" s="35"/>
      <c r="N354" s="35"/>
      <c r="O354" s="35"/>
      <c r="P354" s="35"/>
      <c r="Q354" s="35"/>
      <c r="R354" s="35"/>
      <c r="S354" s="37">
        <f>IF(B354="","",IF(ISNUMBER(J354),IF(J354&lt;=10,'Configuración'!$B$23,IF(J354&lt;=50,'Configuración'!$B$24,IF(J354&lt;=200,'Configuración'!$B$25,0))),0))</f>
        <v>12</v>
      </c>
      <c r="T354" s="37">
        <f>IF(B354="","",IF(ISNUMBER(SEARCH("information technology",I354))+ISNUMBER(SEARCH("software",I354))+ISNUMBER(SEARCH("internet",I354))+ISNUMBER(SEARCH("computer",I354))+ISNUMBER(SEARCH("saas",I354))+ISNUMBER(SEARCH("fintech",I354))+ISNUMBER(SEARCH("information services",I354))+ISNUMBER(SEARCH("telecommunications",I354))&gt;0,'Configuración'!$B$27,'Configuración'!$B$28))</f>
        <v>4</v>
      </c>
      <c r="U354" s="25">
        <f>IF(B354="","",IF(ISNUMBER(SEARCH("CEO",C354))+ISNUMBER(SEARCH("Founder",C354))+ISNUMBER(SEARCH("Owner",C354))+ISNUMBER(SEARCH("Dueño",C354))+ISNUMBER(SEARCH("Director General",C354))+ISNUMBER(SEARCH("Presidente",C354))+ISNUMBER(SEARCH("President",C354))&gt;0,'Configuración'!$B$31,IF(ISNUMBER(SEARCH("CMO",C354))+ISNUMBER(SEARCH("Chief Marketing",C354))+ISNUMBER(SEARCH("VP Marketing",C354))+ISNUMBER(SEARCH("Director de Marketing",C354))+ISNUMBER(SEARCH("Director Marketing",C354))+ISNUMBER(SEARCH("Head of Marketing",C354))+ISNUMBER(SEARCH("Head Marketing",C354))&gt;0,'Configuración'!$B$32,IF(ISNUMBER(SEARCH("Marketing Manager",C354))+ISNUMBER(SEARCH("Gerente de Marketing",C354))+ISNUMBER(SEARCH("Growth Manager",C354))+ISNUMBER(SEARCH("Demand Gen",C354))+ISNUMBER(SEARCH("Marketing Lead",C354))&gt;0,'Configuración'!$B$33,IF(ISNUMBER(SEARCH("COO",C354))+ISNUMBER(SEARCH("CFO",C354))+ISNUMBER(SEARCH("CTO",C354))+ISNUMBER(SEARCH("Chief Operating",C354))+ISNUMBER(SEARCH("Chief Financial",C354))+ISNUMBER(SEARCH("Gerente General",C354))+ISNUMBER(SEARCH("General Manager",C354))&gt;0,'Configuración'!$B$34,'Configuración'!$B$35)))))</f>
        <v>12</v>
      </c>
      <c r="V354" s="38">
        <f>IF(B354="","",IF(K354="Sí",'Configuración'!$B$5,0)+IF(L354="Semanal",'Configuración'!$B$6,IF(L354="Mensual",'Configuración'!$B$7,0))+IF(M354="Sí",'Configuración'!$B$8,0)+IF(N354="Sí",'Configuración'!$B$9,0)+IF(O354="Sí",'Configuración'!$B$10,0)+IF(P354="Sí",'Configuración'!$B$11,0)+IF(Q354="Sí",'Configuración'!$B$12,0)+S354+T354+U354)</f>
        <v>28</v>
      </c>
      <c r="W354" s="39" t="str">
        <f>IF(B354="","",IF(V354&gt;='Configuración'!$B$19,"A",IF(V354&gt;='Configuración'!$B$20,"B",IF(V354&gt;='Configuración'!$B$21,"C","Descarte"))))</f>
        <v>C</v>
      </c>
    </row>
    <row r="355" ht="15.75" customHeight="1">
      <c r="A355" s="34">
        <f t="shared" si="1"/>
        <v>353</v>
      </c>
      <c r="B355" s="29" t="s">
        <v>174</v>
      </c>
      <c r="C355" s="29" t="s">
        <v>131</v>
      </c>
      <c r="D355" s="29" t="s">
        <v>2256</v>
      </c>
      <c r="E355" s="29" t="s">
        <v>2257</v>
      </c>
      <c r="F355" s="30" t="s">
        <v>2258</v>
      </c>
      <c r="G355" s="30" t="s">
        <v>2259</v>
      </c>
      <c r="H355" s="30" t="s">
        <v>2260</v>
      </c>
      <c r="I355" s="29" t="s">
        <v>188</v>
      </c>
      <c r="J355" s="31">
        <v>1.0</v>
      </c>
      <c r="K355" s="35"/>
      <c r="L355" s="35"/>
      <c r="M355" s="35"/>
      <c r="N355" s="35"/>
      <c r="O355" s="35"/>
      <c r="P355" s="35"/>
      <c r="Q355" s="35"/>
      <c r="R355" s="35"/>
      <c r="S355" s="37">
        <f>IF(B355="","",IF(ISNUMBER(J355),IF(J355&lt;=10,'Configuración'!$B$23,IF(J355&lt;=50,'Configuración'!$B$24,IF(J355&lt;=200,'Configuración'!$B$25,0))),0))</f>
        <v>12</v>
      </c>
      <c r="T355" s="37">
        <f>IF(B355="","",IF(ISNUMBER(SEARCH("information technology",I355))+ISNUMBER(SEARCH("software",I355))+ISNUMBER(SEARCH("internet",I355))+ISNUMBER(SEARCH("computer",I355))+ISNUMBER(SEARCH("saas",I355))+ISNUMBER(SEARCH("fintech",I355))+ISNUMBER(SEARCH("information services",I355))+ISNUMBER(SEARCH("telecommunications",I355))&gt;0,'Configuración'!$B$27,'Configuración'!$B$28))</f>
        <v>4</v>
      </c>
      <c r="U355" s="25">
        <f>IF(B355="","",IF(ISNUMBER(SEARCH("CEO",C355))+ISNUMBER(SEARCH("Founder",C355))+ISNUMBER(SEARCH("Owner",C355))+ISNUMBER(SEARCH("Dueño",C355))+ISNUMBER(SEARCH("Director General",C355))+ISNUMBER(SEARCH("Presidente",C355))+ISNUMBER(SEARCH("President",C355))&gt;0,'Configuración'!$B$31,IF(ISNUMBER(SEARCH("CMO",C355))+ISNUMBER(SEARCH("Chief Marketing",C355))+ISNUMBER(SEARCH("VP Marketing",C355))+ISNUMBER(SEARCH("Director de Marketing",C355))+ISNUMBER(SEARCH("Director Marketing",C355))+ISNUMBER(SEARCH("Head of Marketing",C355))+ISNUMBER(SEARCH("Head Marketing",C355))&gt;0,'Configuración'!$B$32,IF(ISNUMBER(SEARCH("Marketing Manager",C355))+ISNUMBER(SEARCH("Gerente de Marketing",C355))+ISNUMBER(SEARCH("Growth Manager",C355))+ISNUMBER(SEARCH("Demand Gen",C355))+ISNUMBER(SEARCH("Marketing Lead",C355))&gt;0,'Configuración'!$B$33,IF(ISNUMBER(SEARCH("COO",C355))+ISNUMBER(SEARCH("CFO",C355))+ISNUMBER(SEARCH("CTO",C355))+ISNUMBER(SEARCH("Chief Operating",C355))+ISNUMBER(SEARCH("Chief Financial",C355))+ISNUMBER(SEARCH("Gerente General",C355))+ISNUMBER(SEARCH("General Manager",C355))&gt;0,'Configuración'!$B$34,'Configuración'!$B$35)))))</f>
        <v>12</v>
      </c>
      <c r="V355" s="38">
        <f>IF(B355="","",IF(K355="Sí",'Configuración'!$B$5,0)+IF(L355="Semanal",'Configuración'!$B$6,IF(L355="Mensual",'Configuración'!$B$7,0))+IF(M355="Sí",'Configuración'!$B$8,0)+IF(N355="Sí",'Configuración'!$B$9,0)+IF(O355="Sí",'Configuración'!$B$10,0)+IF(P355="Sí",'Configuración'!$B$11,0)+IF(Q355="Sí",'Configuración'!$B$12,0)+S355+T355+U355)</f>
        <v>28</v>
      </c>
      <c r="W355" s="39" t="str">
        <f>IF(B355="","",IF(V355&gt;='Configuración'!$B$19,"A",IF(V355&gt;='Configuración'!$B$20,"B",IF(V355&gt;='Configuración'!$B$21,"C","Descarte"))))</f>
        <v>C</v>
      </c>
    </row>
    <row r="356" ht="15.75" customHeight="1">
      <c r="A356" s="34">
        <f t="shared" si="1"/>
        <v>354</v>
      </c>
      <c r="B356" s="29" t="s">
        <v>813</v>
      </c>
      <c r="C356" s="29" t="s">
        <v>1535</v>
      </c>
      <c r="D356" s="29" t="s">
        <v>2261</v>
      </c>
      <c r="E356" s="29" t="s">
        <v>2262</v>
      </c>
      <c r="F356" s="30" t="s">
        <v>2263</v>
      </c>
      <c r="G356" s="30" t="s">
        <v>2264</v>
      </c>
      <c r="H356" s="30" t="s">
        <v>2265</v>
      </c>
      <c r="I356" s="29" t="s">
        <v>127</v>
      </c>
      <c r="J356" s="31">
        <v>5.0</v>
      </c>
      <c r="K356" s="35"/>
      <c r="L356" s="35"/>
      <c r="M356" s="35"/>
      <c r="N356" s="35"/>
      <c r="O356" s="35"/>
      <c r="P356" s="35"/>
      <c r="Q356" s="35"/>
      <c r="R356" s="35"/>
      <c r="S356" s="37">
        <f>IF(B356="","",IF(ISNUMBER(J356),IF(J356&lt;=10,'Configuración'!$B$23,IF(J356&lt;=50,'Configuración'!$B$24,IF(J356&lt;=200,'Configuración'!$B$25,0))),0))</f>
        <v>12</v>
      </c>
      <c r="T356" s="37">
        <f>IF(B356="","",IF(ISNUMBER(SEARCH("information technology",I356))+ISNUMBER(SEARCH("software",I356))+ISNUMBER(SEARCH("internet",I356))+ISNUMBER(SEARCH("computer",I356))+ISNUMBER(SEARCH("saas",I356))+ISNUMBER(SEARCH("fintech",I356))+ISNUMBER(SEARCH("information services",I356))+ISNUMBER(SEARCH("telecommunications",I356))&gt;0,'Configuración'!$B$27,'Configuración'!$B$28))</f>
        <v>12</v>
      </c>
      <c r="U356" s="25">
        <f>IF(B356="","",IF(ISNUMBER(SEARCH("CEO",C356))+ISNUMBER(SEARCH("Founder",C356))+ISNUMBER(SEARCH("Owner",C356))+ISNUMBER(SEARCH("Dueño",C356))+ISNUMBER(SEARCH("Director General",C356))+ISNUMBER(SEARCH("Presidente",C356))+ISNUMBER(SEARCH("President",C356))&gt;0,'Configuración'!$B$31,IF(ISNUMBER(SEARCH("CMO",C356))+ISNUMBER(SEARCH("Chief Marketing",C356))+ISNUMBER(SEARCH("VP Marketing",C356))+ISNUMBER(SEARCH("Director de Marketing",C356))+ISNUMBER(SEARCH("Director Marketing",C356))+ISNUMBER(SEARCH("Head of Marketing",C356))+ISNUMBER(SEARCH("Head Marketing",C356))&gt;0,'Configuración'!$B$32,IF(ISNUMBER(SEARCH("Marketing Manager",C356))+ISNUMBER(SEARCH("Gerente de Marketing",C356))+ISNUMBER(SEARCH("Growth Manager",C356))+ISNUMBER(SEARCH("Demand Gen",C356))+ISNUMBER(SEARCH("Marketing Lead",C356))&gt;0,'Configuración'!$B$33,IF(ISNUMBER(SEARCH("COO",C356))+ISNUMBER(SEARCH("CFO",C356))+ISNUMBER(SEARCH("CTO",C356))+ISNUMBER(SEARCH("Chief Operating",C356))+ISNUMBER(SEARCH("Chief Financial",C356))+ISNUMBER(SEARCH("Gerente General",C356))+ISNUMBER(SEARCH("General Manager",C356))&gt;0,'Configuración'!$B$34,'Configuración'!$B$35)))))</f>
        <v>12</v>
      </c>
      <c r="V356" s="38">
        <f>IF(B356="","",IF(K356="Sí",'Configuración'!$B$5,0)+IF(L356="Semanal",'Configuración'!$B$6,IF(L356="Mensual",'Configuración'!$B$7,0))+IF(M356="Sí",'Configuración'!$B$8,0)+IF(N356="Sí",'Configuración'!$B$9,0)+IF(O356="Sí",'Configuración'!$B$10,0)+IF(P356="Sí",'Configuración'!$B$11,0)+IF(Q356="Sí",'Configuración'!$B$12,0)+S356+T356+U356)</f>
        <v>36</v>
      </c>
      <c r="W356" s="39" t="str">
        <f>IF(B356="","",IF(V356&gt;='Configuración'!$B$19,"A",IF(V356&gt;='Configuración'!$B$20,"B",IF(V356&gt;='Configuración'!$B$21,"C","Descarte"))))</f>
        <v>C</v>
      </c>
    </row>
    <row r="357" ht="15.75" customHeight="1">
      <c r="A357" s="34">
        <f t="shared" si="1"/>
        <v>355</v>
      </c>
      <c r="B357" s="29" t="s">
        <v>324</v>
      </c>
      <c r="C357" s="29" t="s">
        <v>2266</v>
      </c>
      <c r="D357" s="29" t="s">
        <v>2267</v>
      </c>
      <c r="E357" s="29" t="s">
        <v>2268</v>
      </c>
      <c r="F357" s="30" t="s">
        <v>2269</v>
      </c>
      <c r="G357" s="30" t="s">
        <v>2270</v>
      </c>
      <c r="H357" s="30" t="s">
        <v>2271</v>
      </c>
      <c r="I357" s="29" t="s">
        <v>2272</v>
      </c>
      <c r="J357" s="31">
        <v>28.0</v>
      </c>
      <c r="K357" s="35"/>
      <c r="L357" s="35"/>
      <c r="M357" s="35"/>
      <c r="N357" s="35"/>
      <c r="O357" s="35"/>
      <c r="P357" s="35"/>
      <c r="Q357" s="35"/>
      <c r="R357" s="35"/>
      <c r="S357" s="37">
        <f>IF(B357="","",IF(ISNUMBER(J357),IF(J357&lt;=10,'Configuración'!$B$23,IF(J357&lt;=50,'Configuración'!$B$24,IF(J357&lt;=200,'Configuración'!$B$25,0))),0))</f>
        <v>4</v>
      </c>
      <c r="T357" s="37">
        <f>IF(B357="","",IF(ISNUMBER(SEARCH("information technology",I357))+ISNUMBER(SEARCH("software",I357))+ISNUMBER(SEARCH("internet",I357))+ISNUMBER(SEARCH("computer",I357))+ISNUMBER(SEARCH("saas",I357))+ISNUMBER(SEARCH("fintech",I357))+ISNUMBER(SEARCH("information services",I357))+ISNUMBER(SEARCH("telecommunications",I357))&gt;0,'Configuración'!$B$27,'Configuración'!$B$28))</f>
        <v>4</v>
      </c>
      <c r="U357" s="25">
        <f>IF(B357="","",IF(ISNUMBER(SEARCH("CEO",C357))+ISNUMBER(SEARCH("Founder",C357))+ISNUMBER(SEARCH("Owner",C357))+ISNUMBER(SEARCH("Dueño",C357))+ISNUMBER(SEARCH("Director General",C357))+ISNUMBER(SEARCH("Presidente",C357))+ISNUMBER(SEARCH("President",C357))&gt;0,'Configuración'!$B$31,IF(ISNUMBER(SEARCH("CMO",C357))+ISNUMBER(SEARCH("Chief Marketing",C357))+ISNUMBER(SEARCH("VP Marketing",C357))+ISNUMBER(SEARCH("Director de Marketing",C357))+ISNUMBER(SEARCH("Director Marketing",C357))+ISNUMBER(SEARCH("Head of Marketing",C357))+ISNUMBER(SEARCH("Head Marketing",C357))&gt;0,'Configuración'!$B$32,IF(ISNUMBER(SEARCH("Marketing Manager",C357))+ISNUMBER(SEARCH("Gerente de Marketing",C357))+ISNUMBER(SEARCH("Growth Manager",C357))+ISNUMBER(SEARCH("Demand Gen",C357))+ISNUMBER(SEARCH("Marketing Lead",C357))&gt;0,'Configuración'!$B$33,IF(ISNUMBER(SEARCH("COO",C357))+ISNUMBER(SEARCH("CFO",C357))+ISNUMBER(SEARCH("CTO",C357))+ISNUMBER(SEARCH("Chief Operating",C357))+ISNUMBER(SEARCH("Chief Financial",C357))+ISNUMBER(SEARCH("Gerente General",C357))+ISNUMBER(SEARCH("General Manager",C357))&gt;0,'Configuración'!$B$34,'Configuración'!$B$35)))))</f>
        <v>12</v>
      </c>
      <c r="V357" s="38">
        <f>IF(B357="","",IF(K357="Sí",'Configuración'!$B$5,0)+IF(L357="Semanal",'Configuración'!$B$6,IF(L357="Mensual",'Configuración'!$B$7,0))+IF(M357="Sí",'Configuración'!$B$8,0)+IF(N357="Sí",'Configuración'!$B$9,0)+IF(O357="Sí",'Configuración'!$B$10,0)+IF(P357="Sí",'Configuración'!$B$11,0)+IF(Q357="Sí",'Configuración'!$B$12,0)+S357+T357+U357)</f>
        <v>20</v>
      </c>
      <c r="W357" s="39" t="str">
        <f>IF(B357="","",IF(V357&gt;='Configuración'!$B$19,"A",IF(V357&gt;='Configuración'!$B$20,"B",IF(V357&gt;='Configuración'!$B$21,"C","Descarte"))))</f>
        <v>Descarte</v>
      </c>
    </row>
    <row r="358" ht="15.75" customHeight="1">
      <c r="A358" s="34">
        <f t="shared" si="1"/>
        <v>356</v>
      </c>
      <c r="B358" s="29" t="s">
        <v>174</v>
      </c>
      <c r="C358" s="29" t="s">
        <v>2273</v>
      </c>
      <c r="D358" s="29" t="s">
        <v>2274</v>
      </c>
      <c r="E358" s="29" t="s">
        <v>2275</v>
      </c>
      <c r="F358" s="30" t="s">
        <v>2276</v>
      </c>
      <c r="G358" s="30" t="s">
        <v>2277</v>
      </c>
      <c r="H358" s="30" t="s">
        <v>2278</v>
      </c>
      <c r="I358" s="29" t="s">
        <v>616</v>
      </c>
      <c r="J358" s="31">
        <v>44.0</v>
      </c>
      <c r="K358" s="35"/>
      <c r="L358" s="35"/>
      <c r="M358" s="35"/>
      <c r="N358" s="35"/>
      <c r="O358" s="35"/>
      <c r="P358" s="35"/>
      <c r="Q358" s="35"/>
      <c r="R358" s="35"/>
      <c r="S358" s="37">
        <f>IF(B358="","",IF(ISNUMBER(J358),IF(J358&lt;=10,'Configuración'!$B$23,IF(J358&lt;=50,'Configuración'!$B$24,IF(J358&lt;=200,'Configuración'!$B$25,0))),0))</f>
        <v>4</v>
      </c>
      <c r="T358" s="37">
        <f>IF(B358="","",IF(ISNUMBER(SEARCH("information technology",I358))+ISNUMBER(SEARCH("software",I358))+ISNUMBER(SEARCH("internet",I358))+ISNUMBER(SEARCH("computer",I358))+ISNUMBER(SEARCH("saas",I358))+ISNUMBER(SEARCH("fintech",I358))+ISNUMBER(SEARCH("information services",I358))+ISNUMBER(SEARCH("telecommunications",I358))&gt;0,'Configuración'!$B$27,'Configuración'!$B$28))</f>
        <v>4</v>
      </c>
      <c r="U358" s="25">
        <f>IF(B358="","",IF(ISNUMBER(SEARCH("CEO",C358))+ISNUMBER(SEARCH("Founder",C358))+ISNUMBER(SEARCH("Owner",C358))+ISNUMBER(SEARCH("Dueño",C358))+ISNUMBER(SEARCH("Director General",C358))+ISNUMBER(SEARCH("Presidente",C358))+ISNUMBER(SEARCH("President",C358))&gt;0,'Configuración'!$B$31,IF(ISNUMBER(SEARCH("CMO",C358))+ISNUMBER(SEARCH("Chief Marketing",C358))+ISNUMBER(SEARCH("VP Marketing",C358))+ISNUMBER(SEARCH("Director de Marketing",C358))+ISNUMBER(SEARCH("Director Marketing",C358))+ISNUMBER(SEARCH("Head of Marketing",C358))+ISNUMBER(SEARCH("Head Marketing",C358))&gt;0,'Configuración'!$B$32,IF(ISNUMBER(SEARCH("Marketing Manager",C358))+ISNUMBER(SEARCH("Gerente de Marketing",C358))+ISNUMBER(SEARCH("Growth Manager",C358))+ISNUMBER(SEARCH("Demand Gen",C358))+ISNUMBER(SEARCH("Marketing Lead",C358))&gt;0,'Configuración'!$B$33,IF(ISNUMBER(SEARCH("COO",C358))+ISNUMBER(SEARCH("CFO",C358))+ISNUMBER(SEARCH("CTO",C358))+ISNUMBER(SEARCH("Chief Operating",C358))+ISNUMBER(SEARCH("Chief Financial",C358))+ISNUMBER(SEARCH("Gerente General",C358))+ISNUMBER(SEARCH("General Manager",C358))&gt;0,'Configuración'!$B$34,'Configuración'!$B$35)))))</f>
        <v>12</v>
      </c>
      <c r="V358" s="38">
        <f>IF(B358="","",IF(K358="Sí",'Configuración'!$B$5,0)+IF(L358="Semanal",'Configuración'!$B$6,IF(L358="Mensual",'Configuración'!$B$7,0))+IF(M358="Sí",'Configuración'!$B$8,0)+IF(N358="Sí",'Configuración'!$B$9,0)+IF(O358="Sí",'Configuración'!$B$10,0)+IF(P358="Sí",'Configuración'!$B$11,0)+IF(Q358="Sí",'Configuración'!$B$12,0)+S358+T358+U358)</f>
        <v>20</v>
      </c>
      <c r="W358" s="39" t="str">
        <f>IF(B358="","",IF(V358&gt;='Configuración'!$B$19,"A",IF(V358&gt;='Configuración'!$B$20,"B",IF(V358&gt;='Configuración'!$B$21,"C","Descarte"))))</f>
        <v>Descarte</v>
      </c>
    </row>
    <row r="359" ht="15.75" customHeight="1">
      <c r="A359" s="34">
        <f t="shared" si="1"/>
        <v>357</v>
      </c>
      <c r="B359" s="29" t="s">
        <v>250</v>
      </c>
      <c r="C359" s="29" t="s">
        <v>2279</v>
      </c>
      <c r="D359" s="29" t="s">
        <v>2280</v>
      </c>
      <c r="E359" s="29" t="s">
        <v>2281</v>
      </c>
      <c r="F359" s="30" t="s">
        <v>2282</v>
      </c>
      <c r="G359" s="30" t="s">
        <v>2283</v>
      </c>
      <c r="H359" s="30" t="s">
        <v>2284</v>
      </c>
      <c r="I359" s="29" t="s">
        <v>310</v>
      </c>
      <c r="J359" s="31">
        <v>3.0</v>
      </c>
      <c r="K359" s="35"/>
      <c r="L359" s="35"/>
      <c r="M359" s="35"/>
      <c r="N359" s="35"/>
      <c r="O359" s="35"/>
      <c r="P359" s="35"/>
      <c r="Q359" s="35"/>
      <c r="R359" s="35"/>
      <c r="S359" s="37">
        <f>IF(B359="","",IF(ISNUMBER(J359),IF(J359&lt;=10,'Configuración'!$B$23,IF(J359&lt;=50,'Configuración'!$B$24,IF(J359&lt;=200,'Configuración'!$B$25,0))),0))</f>
        <v>12</v>
      </c>
      <c r="T359" s="37">
        <f>IF(B359="","",IF(ISNUMBER(SEARCH("information technology",I359))+ISNUMBER(SEARCH("software",I359))+ISNUMBER(SEARCH("internet",I359))+ISNUMBER(SEARCH("computer",I359))+ISNUMBER(SEARCH("saas",I359))+ISNUMBER(SEARCH("fintech",I359))+ISNUMBER(SEARCH("information services",I359))+ISNUMBER(SEARCH("telecommunications",I359))&gt;0,'Configuración'!$B$27,'Configuración'!$B$28))</f>
        <v>4</v>
      </c>
      <c r="U359" s="25">
        <f>IF(B359="","",IF(ISNUMBER(SEARCH("CEO",C359))+ISNUMBER(SEARCH("Founder",C359))+ISNUMBER(SEARCH("Owner",C359))+ISNUMBER(SEARCH("Dueño",C359))+ISNUMBER(SEARCH("Director General",C359))+ISNUMBER(SEARCH("Presidente",C359))+ISNUMBER(SEARCH("President",C359))&gt;0,'Configuración'!$B$31,IF(ISNUMBER(SEARCH("CMO",C359))+ISNUMBER(SEARCH("Chief Marketing",C359))+ISNUMBER(SEARCH("VP Marketing",C359))+ISNUMBER(SEARCH("Director de Marketing",C359))+ISNUMBER(SEARCH("Director Marketing",C359))+ISNUMBER(SEARCH("Head of Marketing",C359))+ISNUMBER(SEARCH("Head Marketing",C359))&gt;0,'Configuración'!$B$32,IF(ISNUMBER(SEARCH("Marketing Manager",C359))+ISNUMBER(SEARCH("Gerente de Marketing",C359))+ISNUMBER(SEARCH("Growth Manager",C359))+ISNUMBER(SEARCH("Demand Gen",C359))+ISNUMBER(SEARCH("Marketing Lead",C359))&gt;0,'Configuración'!$B$33,IF(ISNUMBER(SEARCH("COO",C359))+ISNUMBER(SEARCH("CFO",C359))+ISNUMBER(SEARCH("CTO",C359))+ISNUMBER(SEARCH("Chief Operating",C359))+ISNUMBER(SEARCH("Chief Financial",C359))+ISNUMBER(SEARCH("Gerente General",C359))+ISNUMBER(SEARCH("General Manager",C359))&gt;0,'Configuración'!$B$34,'Configuración'!$B$35)))))</f>
        <v>12</v>
      </c>
      <c r="V359" s="38">
        <f>IF(B359="","",IF(K359="Sí",'Configuración'!$B$5,0)+IF(L359="Semanal",'Configuración'!$B$6,IF(L359="Mensual",'Configuración'!$B$7,0))+IF(M359="Sí",'Configuración'!$B$8,0)+IF(N359="Sí",'Configuración'!$B$9,0)+IF(O359="Sí",'Configuración'!$B$10,0)+IF(P359="Sí",'Configuración'!$B$11,0)+IF(Q359="Sí",'Configuración'!$B$12,0)+S359+T359+U359)</f>
        <v>28</v>
      </c>
      <c r="W359" s="39" t="str">
        <f>IF(B359="","",IF(V359&gt;='Configuración'!$B$19,"A",IF(V359&gt;='Configuración'!$B$20,"B",IF(V359&gt;='Configuración'!$B$21,"C","Descarte"))))</f>
        <v>C</v>
      </c>
    </row>
    <row r="360" ht="15.75" customHeight="1">
      <c r="A360" s="34">
        <f t="shared" si="1"/>
        <v>358</v>
      </c>
      <c r="B360" s="29" t="s">
        <v>1567</v>
      </c>
      <c r="C360" s="29" t="s">
        <v>2285</v>
      </c>
      <c r="D360" s="29" t="s">
        <v>2286</v>
      </c>
      <c r="E360" s="29" t="s">
        <v>2287</v>
      </c>
      <c r="F360" s="30" t="s">
        <v>2288</v>
      </c>
      <c r="G360" s="30" t="s">
        <v>2289</v>
      </c>
      <c r="H360" s="30" t="s">
        <v>2290</v>
      </c>
      <c r="I360" s="29" t="s">
        <v>873</v>
      </c>
      <c r="J360" s="31">
        <v>24.0</v>
      </c>
      <c r="K360" s="35"/>
      <c r="L360" s="35"/>
      <c r="M360" s="35"/>
      <c r="N360" s="35"/>
      <c r="O360" s="35"/>
      <c r="P360" s="35"/>
      <c r="Q360" s="35"/>
      <c r="R360" s="35"/>
      <c r="S360" s="37">
        <f>IF(B360="","",IF(ISNUMBER(J360),IF(J360&lt;=10,'Configuración'!$B$23,IF(J360&lt;=50,'Configuración'!$B$24,IF(J360&lt;=200,'Configuración'!$B$25,0))),0))</f>
        <v>4</v>
      </c>
      <c r="T360" s="37">
        <f>IF(B360="","",IF(ISNUMBER(SEARCH("information technology",I360))+ISNUMBER(SEARCH("software",I360))+ISNUMBER(SEARCH("internet",I360))+ISNUMBER(SEARCH("computer",I360))+ISNUMBER(SEARCH("saas",I360))+ISNUMBER(SEARCH("fintech",I360))+ISNUMBER(SEARCH("information services",I360))+ISNUMBER(SEARCH("telecommunications",I360))&gt;0,'Configuración'!$B$27,'Configuración'!$B$28))</f>
        <v>4</v>
      </c>
      <c r="U360" s="25">
        <f>IF(B360="","",IF(ISNUMBER(SEARCH("CEO",C360))+ISNUMBER(SEARCH("Founder",C360))+ISNUMBER(SEARCH("Owner",C360))+ISNUMBER(SEARCH("Dueño",C360))+ISNUMBER(SEARCH("Director General",C360))+ISNUMBER(SEARCH("Presidente",C360))+ISNUMBER(SEARCH("President",C360))&gt;0,'Configuración'!$B$31,IF(ISNUMBER(SEARCH("CMO",C360))+ISNUMBER(SEARCH("Chief Marketing",C360))+ISNUMBER(SEARCH("VP Marketing",C360))+ISNUMBER(SEARCH("Director de Marketing",C360))+ISNUMBER(SEARCH("Director Marketing",C360))+ISNUMBER(SEARCH("Head of Marketing",C360))+ISNUMBER(SEARCH("Head Marketing",C360))&gt;0,'Configuración'!$B$32,IF(ISNUMBER(SEARCH("Marketing Manager",C360))+ISNUMBER(SEARCH("Gerente de Marketing",C360))+ISNUMBER(SEARCH("Growth Manager",C360))+ISNUMBER(SEARCH("Demand Gen",C360))+ISNUMBER(SEARCH("Marketing Lead",C360))&gt;0,'Configuración'!$B$33,IF(ISNUMBER(SEARCH("COO",C360))+ISNUMBER(SEARCH("CFO",C360))+ISNUMBER(SEARCH("CTO",C360))+ISNUMBER(SEARCH("Chief Operating",C360))+ISNUMBER(SEARCH("Chief Financial",C360))+ISNUMBER(SEARCH("Gerente General",C360))+ISNUMBER(SEARCH("General Manager",C360))&gt;0,'Configuración'!$B$34,'Configuración'!$B$35)))))</f>
        <v>12</v>
      </c>
      <c r="V360" s="38">
        <f>IF(B360="","",IF(K360="Sí",'Configuración'!$B$5,0)+IF(L360="Semanal",'Configuración'!$B$6,IF(L360="Mensual",'Configuración'!$B$7,0))+IF(M360="Sí",'Configuración'!$B$8,0)+IF(N360="Sí",'Configuración'!$B$9,0)+IF(O360="Sí",'Configuración'!$B$10,0)+IF(P360="Sí",'Configuración'!$B$11,0)+IF(Q360="Sí",'Configuración'!$B$12,0)+S360+T360+U360)</f>
        <v>20</v>
      </c>
      <c r="W360" s="39" t="str">
        <f>IF(B360="","",IF(V360&gt;='Configuración'!$B$19,"A",IF(V360&gt;='Configuración'!$B$20,"B",IF(V360&gt;='Configuración'!$B$21,"C","Descarte"))))</f>
        <v>Descarte</v>
      </c>
    </row>
    <row r="361" ht="15.75" customHeight="1">
      <c r="A361" s="34">
        <f t="shared" si="1"/>
        <v>359</v>
      </c>
      <c r="B361" s="29" t="s">
        <v>351</v>
      </c>
      <c r="C361" s="29" t="s">
        <v>2291</v>
      </c>
      <c r="D361" s="29" t="s">
        <v>2292</v>
      </c>
      <c r="E361" s="29" t="s">
        <v>2293</v>
      </c>
      <c r="F361" s="30" t="s">
        <v>2294</v>
      </c>
      <c r="G361" s="30" t="s">
        <v>2295</v>
      </c>
      <c r="H361" s="30" t="s">
        <v>2296</v>
      </c>
      <c r="I361" s="29" t="s">
        <v>188</v>
      </c>
      <c r="J361" s="31">
        <v>1.0</v>
      </c>
      <c r="K361" s="35"/>
      <c r="L361" s="35"/>
      <c r="M361" s="35"/>
      <c r="N361" s="35"/>
      <c r="O361" s="35"/>
      <c r="P361" s="35"/>
      <c r="Q361" s="35"/>
      <c r="R361" s="35"/>
      <c r="S361" s="37">
        <f>IF(B361="","",IF(ISNUMBER(J361),IF(J361&lt;=10,'Configuración'!$B$23,IF(J361&lt;=50,'Configuración'!$B$24,IF(J361&lt;=200,'Configuración'!$B$25,0))),0))</f>
        <v>12</v>
      </c>
      <c r="T361" s="37">
        <f>IF(B361="","",IF(ISNUMBER(SEARCH("information technology",I361))+ISNUMBER(SEARCH("software",I361))+ISNUMBER(SEARCH("internet",I361))+ISNUMBER(SEARCH("computer",I361))+ISNUMBER(SEARCH("saas",I361))+ISNUMBER(SEARCH("fintech",I361))+ISNUMBER(SEARCH("information services",I361))+ISNUMBER(SEARCH("telecommunications",I361))&gt;0,'Configuración'!$B$27,'Configuración'!$B$28))</f>
        <v>4</v>
      </c>
      <c r="U361" s="25">
        <f>IF(B361="","",IF(ISNUMBER(SEARCH("CEO",C361))+ISNUMBER(SEARCH("Founder",C361))+ISNUMBER(SEARCH("Owner",C361))+ISNUMBER(SEARCH("Dueño",C361))+ISNUMBER(SEARCH("Director General",C361))+ISNUMBER(SEARCH("Presidente",C361))+ISNUMBER(SEARCH("President",C361))&gt;0,'Configuración'!$B$31,IF(ISNUMBER(SEARCH("CMO",C361))+ISNUMBER(SEARCH("Chief Marketing",C361))+ISNUMBER(SEARCH("VP Marketing",C361))+ISNUMBER(SEARCH("Director de Marketing",C361))+ISNUMBER(SEARCH("Director Marketing",C361))+ISNUMBER(SEARCH("Head of Marketing",C361))+ISNUMBER(SEARCH("Head Marketing",C361))&gt;0,'Configuración'!$B$32,IF(ISNUMBER(SEARCH("Marketing Manager",C361))+ISNUMBER(SEARCH("Gerente de Marketing",C361))+ISNUMBER(SEARCH("Growth Manager",C361))+ISNUMBER(SEARCH("Demand Gen",C361))+ISNUMBER(SEARCH("Marketing Lead",C361))&gt;0,'Configuración'!$B$33,IF(ISNUMBER(SEARCH("COO",C361))+ISNUMBER(SEARCH("CFO",C361))+ISNUMBER(SEARCH("CTO",C361))+ISNUMBER(SEARCH("Chief Operating",C361))+ISNUMBER(SEARCH("Chief Financial",C361))+ISNUMBER(SEARCH("Gerente General",C361))+ISNUMBER(SEARCH("General Manager",C361))&gt;0,'Configuración'!$B$34,'Configuración'!$B$35)))))</f>
        <v>12</v>
      </c>
      <c r="V361" s="38">
        <f>IF(B361="","",IF(K361="Sí",'Configuración'!$B$5,0)+IF(L361="Semanal",'Configuración'!$B$6,IF(L361="Mensual",'Configuración'!$B$7,0))+IF(M361="Sí",'Configuración'!$B$8,0)+IF(N361="Sí",'Configuración'!$B$9,0)+IF(O361="Sí",'Configuración'!$B$10,0)+IF(P361="Sí",'Configuración'!$B$11,0)+IF(Q361="Sí",'Configuración'!$B$12,0)+S361+T361+U361)</f>
        <v>28</v>
      </c>
      <c r="W361" s="39" t="str">
        <f>IF(B361="","",IF(V361&gt;='Configuración'!$B$19,"A",IF(V361&gt;='Configuración'!$B$20,"B",IF(V361&gt;='Configuración'!$B$21,"C","Descarte"))))</f>
        <v>C</v>
      </c>
    </row>
    <row r="362" ht="15.75" customHeight="1">
      <c r="A362" s="34">
        <f t="shared" si="1"/>
        <v>360</v>
      </c>
      <c r="B362" s="29" t="s">
        <v>755</v>
      </c>
      <c r="C362" s="29" t="s">
        <v>2297</v>
      </c>
      <c r="D362" s="29" t="s">
        <v>2298</v>
      </c>
      <c r="E362" s="29" t="s">
        <v>2299</v>
      </c>
      <c r="F362" s="30" t="s">
        <v>2300</v>
      </c>
      <c r="G362" s="30" t="s">
        <v>2301</v>
      </c>
      <c r="H362" s="30" t="s">
        <v>2302</v>
      </c>
      <c r="I362" s="29" t="s">
        <v>127</v>
      </c>
      <c r="J362" s="31">
        <v>21.0</v>
      </c>
      <c r="K362" s="35"/>
      <c r="L362" s="35"/>
      <c r="M362" s="35"/>
      <c r="N362" s="35"/>
      <c r="O362" s="35"/>
      <c r="P362" s="35"/>
      <c r="Q362" s="35"/>
      <c r="R362" s="35"/>
      <c r="S362" s="37">
        <f>IF(B362="","",IF(ISNUMBER(J362),IF(J362&lt;=10,'Configuración'!$B$23,IF(J362&lt;=50,'Configuración'!$B$24,IF(J362&lt;=200,'Configuración'!$B$25,0))),0))</f>
        <v>4</v>
      </c>
      <c r="T362" s="37">
        <f>IF(B362="","",IF(ISNUMBER(SEARCH("information technology",I362))+ISNUMBER(SEARCH("software",I362))+ISNUMBER(SEARCH("internet",I362))+ISNUMBER(SEARCH("computer",I362))+ISNUMBER(SEARCH("saas",I362))+ISNUMBER(SEARCH("fintech",I362))+ISNUMBER(SEARCH("information services",I362))+ISNUMBER(SEARCH("telecommunications",I362))&gt;0,'Configuración'!$B$27,'Configuración'!$B$28))</f>
        <v>12</v>
      </c>
      <c r="U362" s="25">
        <f>IF(B362="","",IF(ISNUMBER(SEARCH("CEO",C362))+ISNUMBER(SEARCH("Founder",C362))+ISNUMBER(SEARCH("Owner",C362))+ISNUMBER(SEARCH("Dueño",C362))+ISNUMBER(SEARCH("Director General",C362))+ISNUMBER(SEARCH("Presidente",C362))+ISNUMBER(SEARCH("President",C362))&gt;0,'Configuración'!$B$31,IF(ISNUMBER(SEARCH("CMO",C362))+ISNUMBER(SEARCH("Chief Marketing",C362))+ISNUMBER(SEARCH("VP Marketing",C362))+ISNUMBER(SEARCH("Director de Marketing",C362))+ISNUMBER(SEARCH("Director Marketing",C362))+ISNUMBER(SEARCH("Head of Marketing",C362))+ISNUMBER(SEARCH("Head Marketing",C362))&gt;0,'Configuración'!$B$32,IF(ISNUMBER(SEARCH("Marketing Manager",C362))+ISNUMBER(SEARCH("Gerente de Marketing",C362))+ISNUMBER(SEARCH("Growth Manager",C362))+ISNUMBER(SEARCH("Demand Gen",C362))+ISNUMBER(SEARCH("Marketing Lead",C362))&gt;0,'Configuración'!$B$33,IF(ISNUMBER(SEARCH("COO",C362))+ISNUMBER(SEARCH("CFO",C362))+ISNUMBER(SEARCH("CTO",C362))+ISNUMBER(SEARCH("Chief Operating",C362))+ISNUMBER(SEARCH("Chief Financial",C362))+ISNUMBER(SEARCH("Gerente General",C362))+ISNUMBER(SEARCH("General Manager",C362))&gt;0,'Configuración'!$B$34,'Configuración'!$B$35)))))</f>
        <v>12</v>
      </c>
      <c r="V362" s="38">
        <f>IF(B362="","",IF(K362="Sí",'Configuración'!$B$5,0)+IF(L362="Semanal",'Configuración'!$B$6,IF(L362="Mensual",'Configuración'!$B$7,0))+IF(M362="Sí",'Configuración'!$B$8,0)+IF(N362="Sí",'Configuración'!$B$9,0)+IF(O362="Sí",'Configuración'!$B$10,0)+IF(P362="Sí",'Configuración'!$B$11,0)+IF(Q362="Sí",'Configuración'!$B$12,0)+S362+T362+U362)</f>
        <v>28</v>
      </c>
      <c r="W362" s="39" t="str">
        <f>IF(B362="","",IF(V362&gt;='Configuración'!$B$19,"A",IF(V362&gt;='Configuración'!$B$20,"B",IF(V362&gt;='Configuración'!$B$21,"C","Descarte"))))</f>
        <v>C</v>
      </c>
    </row>
    <row r="363" ht="15.75" customHeight="1">
      <c r="A363" s="34">
        <f t="shared" si="1"/>
        <v>361</v>
      </c>
      <c r="B363" s="29" t="s">
        <v>2303</v>
      </c>
      <c r="C363" s="29" t="s">
        <v>2304</v>
      </c>
      <c r="D363" s="29" t="s">
        <v>2305</v>
      </c>
      <c r="E363" s="29" t="s">
        <v>2306</v>
      </c>
      <c r="F363" s="30" t="s">
        <v>2307</v>
      </c>
      <c r="G363" s="30" t="s">
        <v>2308</v>
      </c>
      <c r="H363" s="30" t="s">
        <v>2309</v>
      </c>
      <c r="I363" s="29" t="s">
        <v>380</v>
      </c>
      <c r="J363" s="31">
        <v>3.0</v>
      </c>
      <c r="K363" s="35"/>
      <c r="L363" s="35"/>
      <c r="M363" s="35"/>
      <c r="N363" s="35"/>
      <c r="O363" s="35"/>
      <c r="P363" s="35"/>
      <c r="Q363" s="35"/>
      <c r="R363" s="35"/>
      <c r="S363" s="37">
        <f>IF(B363="","",IF(ISNUMBER(J363),IF(J363&lt;=10,'Configuración'!$B$23,IF(J363&lt;=50,'Configuración'!$B$24,IF(J363&lt;=200,'Configuración'!$B$25,0))),0))</f>
        <v>12</v>
      </c>
      <c r="T363" s="37">
        <f>IF(B363="","",IF(ISNUMBER(SEARCH("information technology",I363))+ISNUMBER(SEARCH("software",I363))+ISNUMBER(SEARCH("internet",I363))+ISNUMBER(SEARCH("computer",I363))+ISNUMBER(SEARCH("saas",I363))+ISNUMBER(SEARCH("fintech",I363))+ISNUMBER(SEARCH("information services",I363))+ISNUMBER(SEARCH("telecommunications",I363))&gt;0,'Configuración'!$B$27,'Configuración'!$B$28))</f>
        <v>4</v>
      </c>
      <c r="U363" s="25">
        <f>IF(B363="","",IF(ISNUMBER(SEARCH("CEO",C363))+ISNUMBER(SEARCH("Founder",C363))+ISNUMBER(SEARCH("Owner",C363))+ISNUMBER(SEARCH("Dueño",C363))+ISNUMBER(SEARCH("Director General",C363))+ISNUMBER(SEARCH("Presidente",C363))+ISNUMBER(SEARCH("President",C363))&gt;0,'Configuración'!$B$31,IF(ISNUMBER(SEARCH("CMO",C363))+ISNUMBER(SEARCH("Chief Marketing",C363))+ISNUMBER(SEARCH("VP Marketing",C363))+ISNUMBER(SEARCH("Director de Marketing",C363))+ISNUMBER(SEARCH("Director Marketing",C363))+ISNUMBER(SEARCH("Head of Marketing",C363))+ISNUMBER(SEARCH("Head Marketing",C363))&gt;0,'Configuración'!$B$32,IF(ISNUMBER(SEARCH("Marketing Manager",C363))+ISNUMBER(SEARCH("Gerente de Marketing",C363))+ISNUMBER(SEARCH("Growth Manager",C363))+ISNUMBER(SEARCH("Demand Gen",C363))+ISNUMBER(SEARCH("Marketing Lead",C363))&gt;0,'Configuración'!$B$33,IF(ISNUMBER(SEARCH("COO",C363))+ISNUMBER(SEARCH("CFO",C363))+ISNUMBER(SEARCH("CTO",C363))+ISNUMBER(SEARCH("Chief Operating",C363))+ISNUMBER(SEARCH("Chief Financial",C363))+ISNUMBER(SEARCH("Gerente General",C363))+ISNUMBER(SEARCH("General Manager",C363))&gt;0,'Configuración'!$B$34,'Configuración'!$B$35)))))</f>
        <v>12</v>
      </c>
      <c r="V363" s="38">
        <f>IF(B363="","",IF(K363="Sí",'Configuración'!$B$5,0)+IF(L363="Semanal",'Configuración'!$B$6,IF(L363="Mensual",'Configuración'!$B$7,0))+IF(M363="Sí",'Configuración'!$B$8,0)+IF(N363="Sí",'Configuración'!$B$9,0)+IF(O363="Sí",'Configuración'!$B$10,0)+IF(P363="Sí",'Configuración'!$B$11,0)+IF(Q363="Sí",'Configuración'!$B$12,0)+S363+T363+U363)</f>
        <v>28</v>
      </c>
      <c r="W363" s="39" t="str">
        <f>IF(B363="","",IF(V363&gt;='Configuración'!$B$19,"A",IF(V363&gt;='Configuración'!$B$20,"B",IF(V363&gt;='Configuración'!$B$21,"C","Descarte"))))</f>
        <v>C</v>
      </c>
    </row>
    <row r="364" ht="15.75" customHeight="1">
      <c r="A364" s="34">
        <f t="shared" si="1"/>
        <v>362</v>
      </c>
      <c r="B364" s="29" t="s">
        <v>610</v>
      </c>
      <c r="C364" s="29" t="s">
        <v>131</v>
      </c>
      <c r="D364" s="29" t="s">
        <v>2310</v>
      </c>
      <c r="E364" s="29" t="s">
        <v>2311</v>
      </c>
      <c r="F364" s="30" t="s">
        <v>2312</v>
      </c>
      <c r="G364" s="30" t="s">
        <v>2313</v>
      </c>
      <c r="H364" s="30" t="s">
        <v>2314</v>
      </c>
      <c r="I364" s="29" t="s">
        <v>137</v>
      </c>
      <c r="J364" s="31">
        <v>31.0</v>
      </c>
      <c r="K364" s="35"/>
      <c r="L364" s="35"/>
      <c r="M364" s="35"/>
      <c r="N364" s="35"/>
      <c r="O364" s="35"/>
      <c r="P364" s="35"/>
      <c r="Q364" s="35"/>
      <c r="R364" s="35"/>
      <c r="S364" s="37">
        <f>IF(B364="","",IF(ISNUMBER(J364),IF(J364&lt;=10,'Configuración'!$B$23,IF(J364&lt;=50,'Configuración'!$B$24,IF(J364&lt;=200,'Configuración'!$B$25,0))),0))</f>
        <v>4</v>
      </c>
      <c r="T364" s="37">
        <f>IF(B364="","",IF(ISNUMBER(SEARCH("information technology",I364))+ISNUMBER(SEARCH("software",I364))+ISNUMBER(SEARCH("internet",I364))+ISNUMBER(SEARCH("computer",I364))+ISNUMBER(SEARCH("saas",I364))+ISNUMBER(SEARCH("fintech",I364))+ISNUMBER(SEARCH("information services",I364))+ISNUMBER(SEARCH("telecommunications",I364))&gt;0,'Configuración'!$B$27,'Configuración'!$B$28))</f>
        <v>4</v>
      </c>
      <c r="U364" s="25">
        <f>IF(B364="","",IF(ISNUMBER(SEARCH("CEO",C364))+ISNUMBER(SEARCH("Founder",C364))+ISNUMBER(SEARCH("Owner",C364))+ISNUMBER(SEARCH("Dueño",C364))+ISNUMBER(SEARCH("Director General",C364))+ISNUMBER(SEARCH("Presidente",C364))+ISNUMBER(SEARCH("President",C364))&gt;0,'Configuración'!$B$31,IF(ISNUMBER(SEARCH("CMO",C364))+ISNUMBER(SEARCH("Chief Marketing",C364))+ISNUMBER(SEARCH("VP Marketing",C364))+ISNUMBER(SEARCH("Director de Marketing",C364))+ISNUMBER(SEARCH("Director Marketing",C364))+ISNUMBER(SEARCH("Head of Marketing",C364))+ISNUMBER(SEARCH("Head Marketing",C364))&gt;0,'Configuración'!$B$32,IF(ISNUMBER(SEARCH("Marketing Manager",C364))+ISNUMBER(SEARCH("Gerente de Marketing",C364))+ISNUMBER(SEARCH("Growth Manager",C364))+ISNUMBER(SEARCH("Demand Gen",C364))+ISNUMBER(SEARCH("Marketing Lead",C364))&gt;0,'Configuración'!$B$33,IF(ISNUMBER(SEARCH("COO",C364))+ISNUMBER(SEARCH("CFO",C364))+ISNUMBER(SEARCH("CTO",C364))+ISNUMBER(SEARCH("Chief Operating",C364))+ISNUMBER(SEARCH("Chief Financial",C364))+ISNUMBER(SEARCH("Gerente General",C364))+ISNUMBER(SEARCH("General Manager",C364))&gt;0,'Configuración'!$B$34,'Configuración'!$B$35)))))</f>
        <v>12</v>
      </c>
      <c r="V364" s="38">
        <f>IF(B364="","",IF(K364="Sí",'Configuración'!$B$5,0)+IF(L364="Semanal",'Configuración'!$B$6,IF(L364="Mensual",'Configuración'!$B$7,0))+IF(M364="Sí",'Configuración'!$B$8,0)+IF(N364="Sí",'Configuración'!$B$9,0)+IF(O364="Sí",'Configuración'!$B$10,0)+IF(P364="Sí",'Configuración'!$B$11,0)+IF(Q364="Sí",'Configuración'!$B$12,0)+S364+T364+U364)</f>
        <v>20</v>
      </c>
      <c r="W364" s="39" t="str">
        <f>IF(B364="","",IF(V364&gt;='Configuración'!$B$19,"A",IF(V364&gt;='Configuración'!$B$20,"B",IF(V364&gt;='Configuración'!$B$21,"C","Descarte"))))</f>
        <v>Descarte</v>
      </c>
    </row>
    <row r="365" ht="15.75" customHeight="1">
      <c r="A365" s="34">
        <f t="shared" si="1"/>
        <v>363</v>
      </c>
      <c r="B365" s="29" t="s">
        <v>166</v>
      </c>
      <c r="C365" s="29" t="s">
        <v>131</v>
      </c>
      <c r="D365" s="29" t="s">
        <v>2315</v>
      </c>
      <c r="E365" s="29" t="s">
        <v>2316</v>
      </c>
      <c r="F365" s="30" t="s">
        <v>2317</v>
      </c>
      <c r="G365" s="30" t="s">
        <v>2318</v>
      </c>
      <c r="H365" s="30" t="s">
        <v>2319</v>
      </c>
      <c r="I365" s="29" t="s">
        <v>1245</v>
      </c>
      <c r="J365" s="31">
        <v>36.0</v>
      </c>
      <c r="K365" s="35"/>
      <c r="L365" s="35"/>
      <c r="M365" s="35"/>
      <c r="N365" s="35"/>
      <c r="O365" s="35"/>
      <c r="P365" s="35"/>
      <c r="Q365" s="35"/>
      <c r="R365" s="35"/>
      <c r="S365" s="37">
        <f>IF(B365="","",IF(ISNUMBER(J365),IF(J365&lt;=10,'Configuración'!$B$23,IF(J365&lt;=50,'Configuración'!$B$24,IF(J365&lt;=200,'Configuración'!$B$25,0))),0))</f>
        <v>4</v>
      </c>
      <c r="T365" s="37">
        <f>IF(B365="","",IF(ISNUMBER(SEARCH("information technology",I365))+ISNUMBER(SEARCH("software",I365))+ISNUMBER(SEARCH("internet",I365))+ISNUMBER(SEARCH("computer",I365))+ISNUMBER(SEARCH("saas",I365))+ISNUMBER(SEARCH("fintech",I365))+ISNUMBER(SEARCH("information services",I365))+ISNUMBER(SEARCH("telecommunications",I365))&gt;0,'Configuración'!$B$27,'Configuración'!$B$28))</f>
        <v>4</v>
      </c>
      <c r="U365" s="25">
        <f>IF(B365="","",IF(ISNUMBER(SEARCH("CEO",C365))+ISNUMBER(SEARCH("Founder",C365))+ISNUMBER(SEARCH("Owner",C365))+ISNUMBER(SEARCH("Dueño",C365))+ISNUMBER(SEARCH("Director General",C365))+ISNUMBER(SEARCH("Presidente",C365))+ISNUMBER(SEARCH("President",C365))&gt;0,'Configuración'!$B$31,IF(ISNUMBER(SEARCH("CMO",C365))+ISNUMBER(SEARCH("Chief Marketing",C365))+ISNUMBER(SEARCH("VP Marketing",C365))+ISNUMBER(SEARCH("Director de Marketing",C365))+ISNUMBER(SEARCH("Director Marketing",C365))+ISNUMBER(SEARCH("Head of Marketing",C365))+ISNUMBER(SEARCH("Head Marketing",C365))&gt;0,'Configuración'!$B$32,IF(ISNUMBER(SEARCH("Marketing Manager",C365))+ISNUMBER(SEARCH("Gerente de Marketing",C365))+ISNUMBER(SEARCH("Growth Manager",C365))+ISNUMBER(SEARCH("Demand Gen",C365))+ISNUMBER(SEARCH("Marketing Lead",C365))&gt;0,'Configuración'!$B$33,IF(ISNUMBER(SEARCH("COO",C365))+ISNUMBER(SEARCH("CFO",C365))+ISNUMBER(SEARCH("CTO",C365))+ISNUMBER(SEARCH("Chief Operating",C365))+ISNUMBER(SEARCH("Chief Financial",C365))+ISNUMBER(SEARCH("Gerente General",C365))+ISNUMBER(SEARCH("General Manager",C365))&gt;0,'Configuración'!$B$34,'Configuración'!$B$35)))))</f>
        <v>12</v>
      </c>
      <c r="V365" s="38">
        <f>IF(B365="","",IF(K365="Sí",'Configuración'!$B$5,0)+IF(L365="Semanal",'Configuración'!$B$6,IF(L365="Mensual",'Configuración'!$B$7,0))+IF(M365="Sí",'Configuración'!$B$8,0)+IF(N365="Sí",'Configuración'!$B$9,0)+IF(O365="Sí",'Configuración'!$B$10,0)+IF(P365="Sí",'Configuración'!$B$11,0)+IF(Q365="Sí",'Configuración'!$B$12,0)+S365+T365+U365)</f>
        <v>20</v>
      </c>
      <c r="W365" s="39" t="str">
        <f>IF(B365="","",IF(V365&gt;='Configuración'!$B$19,"A",IF(V365&gt;='Configuración'!$B$20,"B",IF(V365&gt;='Configuración'!$B$21,"C","Descarte"))))</f>
        <v>Descarte</v>
      </c>
    </row>
    <row r="366" ht="15.75" customHeight="1">
      <c r="A366" s="34">
        <f t="shared" si="1"/>
        <v>364</v>
      </c>
      <c r="B366" s="29" t="s">
        <v>201</v>
      </c>
      <c r="C366" s="29" t="s">
        <v>2320</v>
      </c>
      <c r="D366" s="29" t="s">
        <v>2321</v>
      </c>
      <c r="E366" s="29" t="s">
        <v>2322</v>
      </c>
      <c r="F366" s="30" t="s">
        <v>2323</v>
      </c>
      <c r="G366" s="30" t="s">
        <v>2324</v>
      </c>
      <c r="H366" s="30" t="s">
        <v>2325</v>
      </c>
      <c r="I366" s="29" t="s">
        <v>659</v>
      </c>
      <c r="J366" s="31">
        <v>44.0</v>
      </c>
      <c r="K366" s="35"/>
      <c r="L366" s="35"/>
      <c r="M366" s="35"/>
      <c r="N366" s="35"/>
      <c r="O366" s="35"/>
      <c r="P366" s="35"/>
      <c r="Q366" s="35"/>
      <c r="R366" s="35"/>
      <c r="S366" s="37">
        <f>IF(B366="","",IF(ISNUMBER(J366),IF(J366&lt;=10,'Configuración'!$B$23,IF(J366&lt;=50,'Configuración'!$B$24,IF(J366&lt;=200,'Configuración'!$B$25,0))),0))</f>
        <v>4</v>
      </c>
      <c r="T366" s="37">
        <f>IF(B366="","",IF(ISNUMBER(SEARCH("information technology",I366))+ISNUMBER(SEARCH("software",I366))+ISNUMBER(SEARCH("internet",I366))+ISNUMBER(SEARCH("computer",I366))+ISNUMBER(SEARCH("saas",I366))+ISNUMBER(SEARCH("fintech",I366))+ISNUMBER(SEARCH("information services",I366))+ISNUMBER(SEARCH("telecommunications",I366))&gt;0,'Configuración'!$B$27,'Configuración'!$B$28))</f>
        <v>4</v>
      </c>
      <c r="U366" s="25">
        <f>IF(B366="","",IF(ISNUMBER(SEARCH("CEO",C366))+ISNUMBER(SEARCH("Founder",C366))+ISNUMBER(SEARCH("Owner",C366))+ISNUMBER(SEARCH("Dueño",C366))+ISNUMBER(SEARCH("Director General",C366))+ISNUMBER(SEARCH("Presidente",C366))+ISNUMBER(SEARCH("President",C366))&gt;0,'Configuración'!$B$31,IF(ISNUMBER(SEARCH("CMO",C366))+ISNUMBER(SEARCH("Chief Marketing",C366))+ISNUMBER(SEARCH("VP Marketing",C366))+ISNUMBER(SEARCH("Director de Marketing",C366))+ISNUMBER(SEARCH("Director Marketing",C366))+ISNUMBER(SEARCH("Head of Marketing",C366))+ISNUMBER(SEARCH("Head Marketing",C366))&gt;0,'Configuración'!$B$32,IF(ISNUMBER(SEARCH("Marketing Manager",C366))+ISNUMBER(SEARCH("Gerente de Marketing",C366))+ISNUMBER(SEARCH("Growth Manager",C366))+ISNUMBER(SEARCH("Demand Gen",C366))+ISNUMBER(SEARCH("Marketing Lead",C366))&gt;0,'Configuración'!$B$33,IF(ISNUMBER(SEARCH("COO",C366))+ISNUMBER(SEARCH("CFO",C366))+ISNUMBER(SEARCH("CTO",C366))+ISNUMBER(SEARCH("Chief Operating",C366))+ISNUMBER(SEARCH("Chief Financial",C366))+ISNUMBER(SEARCH("Gerente General",C366))+ISNUMBER(SEARCH("General Manager",C366))&gt;0,'Configuración'!$B$34,'Configuración'!$B$35)))))</f>
        <v>12</v>
      </c>
      <c r="V366" s="38">
        <f>IF(B366="","",IF(K366="Sí",'Configuración'!$B$5,0)+IF(L366="Semanal",'Configuración'!$B$6,IF(L366="Mensual",'Configuración'!$B$7,0))+IF(M366="Sí",'Configuración'!$B$8,0)+IF(N366="Sí",'Configuración'!$B$9,0)+IF(O366="Sí",'Configuración'!$B$10,0)+IF(P366="Sí",'Configuración'!$B$11,0)+IF(Q366="Sí",'Configuración'!$B$12,0)+S366+T366+U366)</f>
        <v>20</v>
      </c>
      <c r="W366" s="39" t="str">
        <f>IF(B366="","",IF(V366&gt;='Configuración'!$B$19,"A",IF(V366&gt;='Configuración'!$B$20,"B",IF(V366&gt;='Configuración'!$B$21,"C","Descarte"))))</f>
        <v>Descarte</v>
      </c>
    </row>
    <row r="367" ht="15.75" customHeight="1">
      <c r="A367" s="34">
        <f t="shared" si="1"/>
        <v>365</v>
      </c>
      <c r="B367" s="29" t="s">
        <v>556</v>
      </c>
      <c r="C367" s="29" t="s">
        <v>2326</v>
      </c>
      <c r="D367" s="29" t="s">
        <v>1939</v>
      </c>
      <c r="E367" s="29" t="s">
        <v>2327</v>
      </c>
      <c r="F367" s="30" t="s">
        <v>2328</v>
      </c>
      <c r="G367" s="30" t="s">
        <v>1942</v>
      </c>
      <c r="H367" s="30" t="s">
        <v>1943</v>
      </c>
      <c r="I367" s="29" t="s">
        <v>116</v>
      </c>
      <c r="J367" s="31">
        <v>19.0</v>
      </c>
      <c r="K367" s="35"/>
      <c r="L367" s="35"/>
      <c r="M367" s="35"/>
      <c r="N367" s="35"/>
      <c r="O367" s="35"/>
      <c r="P367" s="35"/>
      <c r="Q367" s="35"/>
      <c r="R367" s="35"/>
      <c r="S367" s="37">
        <f>IF(B367="","",IF(ISNUMBER(J367),IF(J367&lt;=10,'Configuración'!$B$23,IF(J367&lt;=50,'Configuración'!$B$24,IF(J367&lt;=200,'Configuración'!$B$25,0))),0))</f>
        <v>4</v>
      </c>
      <c r="T367" s="37">
        <f>IF(B367="","",IF(ISNUMBER(SEARCH("information technology",I367))+ISNUMBER(SEARCH("software",I367))+ISNUMBER(SEARCH("internet",I367))+ISNUMBER(SEARCH("computer",I367))+ISNUMBER(SEARCH("saas",I367))+ISNUMBER(SEARCH("fintech",I367))+ISNUMBER(SEARCH("information services",I367))+ISNUMBER(SEARCH("telecommunications",I367))&gt;0,'Configuración'!$B$27,'Configuración'!$B$28))</f>
        <v>4</v>
      </c>
      <c r="U367" s="25">
        <f>IF(B367="","",IF(ISNUMBER(SEARCH("CEO",C367))+ISNUMBER(SEARCH("Founder",C367))+ISNUMBER(SEARCH("Owner",C367))+ISNUMBER(SEARCH("Dueño",C367))+ISNUMBER(SEARCH("Director General",C367))+ISNUMBER(SEARCH("Presidente",C367))+ISNUMBER(SEARCH("President",C367))&gt;0,'Configuración'!$B$31,IF(ISNUMBER(SEARCH("CMO",C367))+ISNUMBER(SEARCH("Chief Marketing",C367))+ISNUMBER(SEARCH("VP Marketing",C367))+ISNUMBER(SEARCH("Director de Marketing",C367))+ISNUMBER(SEARCH("Director Marketing",C367))+ISNUMBER(SEARCH("Head of Marketing",C367))+ISNUMBER(SEARCH("Head Marketing",C367))&gt;0,'Configuración'!$B$32,IF(ISNUMBER(SEARCH("Marketing Manager",C367))+ISNUMBER(SEARCH("Gerente de Marketing",C367))+ISNUMBER(SEARCH("Growth Manager",C367))+ISNUMBER(SEARCH("Demand Gen",C367))+ISNUMBER(SEARCH("Marketing Lead",C367))&gt;0,'Configuración'!$B$33,IF(ISNUMBER(SEARCH("COO",C367))+ISNUMBER(SEARCH("CFO",C367))+ISNUMBER(SEARCH("CTO",C367))+ISNUMBER(SEARCH("Chief Operating",C367))+ISNUMBER(SEARCH("Chief Financial",C367))+ISNUMBER(SEARCH("Gerente General",C367))+ISNUMBER(SEARCH("General Manager",C367))&gt;0,'Configuración'!$B$34,'Configuración'!$B$35)))))</f>
        <v>12</v>
      </c>
      <c r="V367" s="38">
        <f>IF(B367="","",IF(K367="Sí",'Configuración'!$B$5,0)+IF(L367="Semanal",'Configuración'!$B$6,IF(L367="Mensual",'Configuración'!$B$7,0))+IF(M367="Sí",'Configuración'!$B$8,0)+IF(N367="Sí",'Configuración'!$B$9,0)+IF(O367="Sí",'Configuración'!$B$10,0)+IF(P367="Sí",'Configuración'!$B$11,0)+IF(Q367="Sí",'Configuración'!$B$12,0)+S367+T367+U367)</f>
        <v>20</v>
      </c>
      <c r="W367" s="39" t="str">
        <f>IF(B367="","",IF(V367&gt;='Configuración'!$B$19,"A",IF(V367&gt;='Configuración'!$B$20,"B",IF(V367&gt;='Configuración'!$B$21,"C","Descarte"))))</f>
        <v>Descarte</v>
      </c>
    </row>
    <row r="368" ht="15.75" customHeight="1">
      <c r="A368" s="34">
        <f t="shared" si="1"/>
        <v>366</v>
      </c>
      <c r="B368" s="29" t="s">
        <v>1623</v>
      </c>
      <c r="C368" s="29" t="s">
        <v>131</v>
      </c>
      <c r="D368" s="40" t="s">
        <v>2329</v>
      </c>
      <c r="E368" s="29" t="s">
        <v>2330</v>
      </c>
      <c r="F368" s="30" t="s">
        <v>2331</v>
      </c>
      <c r="G368" s="30" t="s">
        <v>2332</v>
      </c>
      <c r="H368" s="30" t="s">
        <v>2333</v>
      </c>
      <c r="I368" s="29" t="s">
        <v>127</v>
      </c>
      <c r="J368" s="31">
        <v>9.0</v>
      </c>
      <c r="K368" s="35"/>
      <c r="L368" s="35"/>
      <c r="M368" s="35"/>
      <c r="N368" s="35"/>
      <c r="O368" s="35"/>
      <c r="P368" s="35"/>
      <c r="Q368" s="35"/>
      <c r="R368" s="35"/>
      <c r="S368" s="37">
        <f>IF(B368="","",IF(ISNUMBER(J368),IF(J368&lt;=10,'Configuración'!$B$23,IF(J368&lt;=50,'Configuración'!$B$24,IF(J368&lt;=200,'Configuración'!$B$25,0))),0))</f>
        <v>12</v>
      </c>
      <c r="T368" s="37">
        <f>IF(B368="","",IF(ISNUMBER(SEARCH("information technology",I368))+ISNUMBER(SEARCH("software",I368))+ISNUMBER(SEARCH("internet",I368))+ISNUMBER(SEARCH("computer",I368))+ISNUMBER(SEARCH("saas",I368))+ISNUMBER(SEARCH("fintech",I368))+ISNUMBER(SEARCH("information services",I368))+ISNUMBER(SEARCH("telecommunications",I368))&gt;0,'Configuración'!$B$27,'Configuración'!$B$28))</f>
        <v>12</v>
      </c>
      <c r="U368" s="25">
        <f>IF(B368="","",IF(ISNUMBER(SEARCH("CEO",C368))+ISNUMBER(SEARCH("Founder",C368))+ISNUMBER(SEARCH("Owner",C368))+ISNUMBER(SEARCH("Dueño",C368))+ISNUMBER(SEARCH("Director General",C368))+ISNUMBER(SEARCH("Presidente",C368))+ISNUMBER(SEARCH("President",C368))&gt;0,'Configuración'!$B$31,IF(ISNUMBER(SEARCH("CMO",C368))+ISNUMBER(SEARCH("Chief Marketing",C368))+ISNUMBER(SEARCH("VP Marketing",C368))+ISNUMBER(SEARCH("Director de Marketing",C368))+ISNUMBER(SEARCH("Director Marketing",C368))+ISNUMBER(SEARCH("Head of Marketing",C368))+ISNUMBER(SEARCH("Head Marketing",C368))&gt;0,'Configuración'!$B$32,IF(ISNUMBER(SEARCH("Marketing Manager",C368))+ISNUMBER(SEARCH("Gerente de Marketing",C368))+ISNUMBER(SEARCH("Growth Manager",C368))+ISNUMBER(SEARCH("Demand Gen",C368))+ISNUMBER(SEARCH("Marketing Lead",C368))&gt;0,'Configuración'!$B$33,IF(ISNUMBER(SEARCH("COO",C368))+ISNUMBER(SEARCH("CFO",C368))+ISNUMBER(SEARCH("CTO",C368))+ISNUMBER(SEARCH("Chief Operating",C368))+ISNUMBER(SEARCH("Chief Financial",C368))+ISNUMBER(SEARCH("Gerente General",C368))+ISNUMBER(SEARCH("General Manager",C368))&gt;0,'Configuración'!$B$34,'Configuración'!$B$35)))))</f>
        <v>12</v>
      </c>
      <c r="V368" s="38">
        <f>IF(B368="","",IF(K368="Sí",'Configuración'!$B$5,0)+IF(L368="Semanal",'Configuración'!$B$6,IF(L368="Mensual",'Configuración'!$B$7,0))+IF(M368="Sí",'Configuración'!$B$8,0)+IF(N368="Sí",'Configuración'!$B$9,0)+IF(O368="Sí",'Configuración'!$B$10,0)+IF(P368="Sí",'Configuración'!$B$11,0)+IF(Q368="Sí",'Configuración'!$B$12,0)+S368+T368+U368)</f>
        <v>36</v>
      </c>
      <c r="W368" s="39" t="str">
        <f>IF(B368="","",IF(V368&gt;='Configuración'!$B$19,"A",IF(V368&gt;='Configuración'!$B$20,"B",IF(V368&gt;='Configuración'!$B$21,"C","Descarte"))))</f>
        <v>C</v>
      </c>
    </row>
    <row r="369" ht="15.75" customHeight="1">
      <c r="A369" s="34">
        <f t="shared" si="1"/>
        <v>367</v>
      </c>
      <c r="B369" s="29" t="s">
        <v>174</v>
      </c>
      <c r="C369" s="29" t="s">
        <v>2334</v>
      </c>
      <c r="D369" s="30" t="s">
        <v>2335</v>
      </c>
      <c r="E369" s="29" t="s">
        <v>2336</v>
      </c>
      <c r="F369" s="30" t="s">
        <v>2337</v>
      </c>
      <c r="G369" s="30" t="s">
        <v>2338</v>
      </c>
      <c r="H369" s="30" t="s">
        <v>2339</v>
      </c>
      <c r="I369" s="29" t="s">
        <v>873</v>
      </c>
      <c r="J369" s="31">
        <v>1.0</v>
      </c>
      <c r="K369" s="35"/>
      <c r="L369" s="35"/>
      <c r="M369" s="35"/>
      <c r="N369" s="35"/>
      <c r="O369" s="35"/>
      <c r="P369" s="35"/>
      <c r="Q369" s="35"/>
      <c r="R369" s="35"/>
      <c r="S369" s="37">
        <f>IF(B369="","",IF(ISNUMBER(J369),IF(J369&lt;=10,'Configuración'!$B$23,IF(J369&lt;=50,'Configuración'!$B$24,IF(J369&lt;=200,'Configuración'!$B$25,0))),0))</f>
        <v>12</v>
      </c>
      <c r="T369" s="37">
        <f>IF(B369="","",IF(ISNUMBER(SEARCH("information technology",I369))+ISNUMBER(SEARCH("software",I369))+ISNUMBER(SEARCH("internet",I369))+ISNUMBER(SEARCH("computer",I369))+ISNUMBER(SEARCH("saas",I369))+ISNUMBER(SEARCH("fintech",I369))+ISNUMBER(SEARCH("information services",I369))+ISNUMBER(SEARCH("telecommunications",I369))&gt;0,'Configuración'!$B$27,'Configuración'!$B$28))</f>
        <v>4</v>
      </c>
      <c r="U369" s="25">
        <f>IF(B369="","",IF(ISNUMBER(SEARCH("CEO",C369))+ISNUMBER(SEARCH("Founder",C369))+ISNUMBER(SEARCH("Owner",C369))+ISNUMBER(SEARCH("Dueño",C369))+ISNUMBER(SEARCH("Director General",C369))+ISNUMBER(SEARCH("Presidente",C369))+ISNUMBER(SEARCH("President",C369))&gt;0,'Configuración'!$B$31,IF(ISNUMBER(SEARCH("CMO",C369))+ISNUMBER(SEARCH("Chief Marketing",C369))+ISNUMBER(SEARCH("VP Marketing",C369))+ISNUMBER(SEARCH("Director de Marketing",C369))+ISNUMBER(SEARCH("Director Marketing",C369))+ISNUMBER(SEARCH("Head of Marketing",C369))+ISNUMBER(SEARCH("Head Marketing",C369))&gt;0,'Configuración'!$B$32,IF(ISNUMBER(SEARCH("Marketing Manager",C369))+ISNUMBER(SEARCH("Gerente de Marketing",C369))+ISNUMBER(SEARCH("Growth Manager",C369))+ISNUMBER(SEARCH("Demand Gen",C369))+ISNUMBER(SEARCH("Marketing Lead",C369))&gt;0,'Configuración'!$B$33,IF(ISNUMBER(SEARCH("COO",C369))+ISNUMBER(SEARCH("CFO",C369))+ISNUMBER(SEARCH("CTO",C369))+ISNUMBER(SEARCH("Chief Operating",C369))+ISNUMBER(SEARCH("Chief Financial",C369))+ISNUMBER(SEARCH("Gerente General",C369))+ISNUMBER(SEARCH("General Manager",C369))&gt;0,'Configuración'!$B$34,'Configuración'!$B$35)))))</f>
        <v>12</v>
      </c>
      <c r="V369" s="38">
        <f>IF(B369="","",IF(K369="Sí",'Configuración'!$B$5,0)+IF(L369="Semanal",'Configuración'!$B$6,IF(L369="Mensual",'Configuración'!$B$7,0))+IF(M369="Sí",'Configuración'!$B$8,0)+IF(N369="Sí",'Configuración'!$B$9,0)+IF(O369="Sí",'Configuración'!$B$10,0)+IF(P369="Sí",'Configuración'!$B$11,0)+IF(Q369="Sí",'Configuración'!$B$12,0)+S369+T369+U369)</f>
        <v>28</v>
      </c>
      <c r="W369" s="39" t="str">
        <f>IF(B369="","",IF(V369&gt;='Configuración'!$B$19,"A",IF(V369&gt;='Configuración'!$B$20,"B",IF(V369&gt;='Configuración'!$B$21,"C","Descarte"))))</f>
        <v>C</v>
      </c>
    </row>
    <row r="370" ht="15.75" customHeight="1">
      <c r="A370" s="34">
        <f t="shared" si="1"/>
        <v>368</v>
      </c>
      <c r="B370" s="29" t="s">
        <v>603</v>
      </c>
      <c r="C370" s="29" t="s">
        <v>318</v>
      </c>
      <c r="D370" s="29" t="s">
        <v>2340</v>
      </c>
      <c r="E370" s="29" t="s">
        <v>2341</v>
      </c>
      <c r="F370" s="30" t="s">
        <v>2342</v>
      </c>
      <c r="G370" s="30" t="s">
        <v>2343</v>
      </c>
      <c r="H370" s="30" t="s">
        <v>2344</v>
      </c>
      <c r="I370" s="29" t="s">
        <v>127</v>
      </c>
      <c r="J370" s="31">
        <v>40.0</v>
      </c>
      <c r="K370" s="35"/>
      <c r="L370" s="35"/>
      <c r="M370" s="35"/>
      <c r="N370" s="35"/>
      <c r="O370" s="35"/>
      <c r="P370" s="35"/>
      <c r="Q370" s="35"/>
      <c r="R370" s="35"/>
      <c r="S370" s="37">
        <f>IF(B370="","",IF(ISNUMBER(J370),IF(J370&lt;=10,'Configuración'!$B$23,IF(J370&lt;=50,'Configuración'!$B$24,IF(J370&lt;=200,'Configuración'!$B$25,0))),0))</f>
        <v>4</v>
      </c>
      <c r="T370" s="37">
        <f>IF(B370="","",IF(ISNUMBER(SEARCH("information technology",I370))+ISNUMBER(SEARCH("software",I370))+ISNUMBER(SEARCH("internet",I370))+ISNUMBER(SEARCH("computer",I370))+ISNUMBER(SEARCH("saas",I370))+ISNUMBER(SEARCH("fintech",I370))+ISNUMBER(SEARCH("information services",I370))+ISNUMBER(SEARCH("telecommunications",I370))&gt;0,'Configuración'!$B$27,'Configuración'!$B$28))</f>
        <v>12</v>
      </c>
      <c r="U370" s="25">
        <f>IF(B370="","",IF(ISNUMBER(SEARCH("CEO",C370))+ISNUMBER(SEARCH("Founder",C370))+ISNUMBER(SEARCH("Owner",C370))+ISNUMBER(SEARCH("Dueño",C370))+ISNUMBER(SEARCH("Director General",C370))+ISNUMBER(SEARCH("Presidente",C370))+ISNUMBER(SEARCH("President",C370))&gt;0,'Configuración'!$B$31,IF(ISNUMBER(SEARCH("CMO",C370))+ISNUMBER(SEARCH("Chief Marketing",C370))+ISNUMBER(SEARCH("VP Marketing",C370))+ISNUMBER(SEARCH("Director de Marketing",C370))+ISNUMBER(SEARCH("Director Marketing",C370))+ISNUMBER(SEARCH("Head of Marketing",C370))+ISNUMBER(SEARCH("Head Marketing",C370))&gt;0,'Configuración'!$B$32,IF(ISNUMBER(SEARCH("Marketing Manager",C370))+ISNUMBER(SEARCH("Gerente de Marketing",C370))+ISNUMBER(SEARCH("Growth Manager",C370))+ISNUMBER(SEARCH("Demand Gen",C370))+ISNUMBER(SEARCH("Marketing Lead",C370))&gt;0,'Configuración'!$B$33,IF(ISNUMBER(SEARCH("COO",C370))+ISNUMBER(SEARCH("CFO",C370))+ISNUMBER(SEARCH("CTO",C370))+ISNUMBER(SEARCH("Chief Operating",C370))+ISNUMBER(SEARCH("Chief Financial",C370))+ISNUMBER(SEARCH("Gerente General",C370))+ISNUMBER(SEARCH("General Manager",C370))&gt;0,'Configuración'!$B$34,'Configuración'!$B$35)))))</f>
        <v>4</v>
      </c>
      <c r="V370" s="38">
        <f>IF(B370="","",IF(K370="Sí",'Configuración'!$B$5,0)+IF(L370="Semanal",'Configuración'!$B$6,IF(L370="Mensual",'Configuración'!$B$7,0))+IF(M370="Sí",'Configuración'!$B$8,0)+IF(N370="Sí",'Configuración'!$B$9,0)+IF(O370="Sí",'Configuración'!$B$10,0)+IF(P370="Sí",'Configuración'!$B$11,0)+IF(Q370="Sí",'Configuración'!$B$12,0)+S370+T370+U370)</f>
        <v>20</v>
      </c>
      <c r="W370" s="39" t="str">
        <f>IF(B370="","",IF(V370&gt;='Configuración'!$B$19,"A",IF(V370&gt;='Configuración'!$B$20,"B",IF(V370&gt;='Configuración'!$B$21,"C","Descarte"))))</f>
        <v>Descarte</v>
      </c>
    </row>
    <row r="371" ht="15.75" customHeight="1">
      <c r="A371" s="34">
        <f t="shared" si="1"/>
        <v>369</v>
      </c>
      <c r="B371" s="29" t="s">
        <v>201</v>
      </c>
      <c r="C371" s="29" t="s">
        <v>131</v>
      </c>
      <c r="D371" s="29" t="s">
        <v>2345</v>
      </c>
      <c r="E371" s="29" t="s">
        <v>2346</v>
      </c>
      <c r="F371" s="30" t="s">
        <v>2347</v>
      </c>
      <c r="G371" s="30" t="s">
        <v>2348</v>
      </c>
      <c r="H371" s="30" t="s">
        <v>2349</v>
      </c>
      <c r="I371" s="29" t="s">
        <v>2350</v>
      </c>
      <c r="J371" s="31">
        <v>6.0</v>
      </c>
      <c r="K371" s="35"/>
      <c r="L371" s="35"/>
      <c r="M371" s="35"/>
      <c r="N371" s="35"/>
      <c r="O371" s="35"/>
      <c r="P371" s="35"/>
      <c r="Q371" s="35"/>
      <c r="R371" s="35"/>
      <c r="S371" s="37">
        <f>IF(B371="","",IF(ISNUMBER(J371),IF(J371&lt;=10,'Configuración'!$B$23,IF(J371&lt;=50,'Configuración'!$B$24,IF(J371&lt;=200,'Configuración'!$B$25,0))),0))</f>
        <v>12</v>
      </c>
      <c r="T371" s="37">
        <f>IF(B371="","",IF(ISNUMBER(SEARCH("information technology",I371))+ISNUMBER(SEARCH("software",I371))+ISNUMBER(SEARCH("internet",I371))+ISNUMBER(SEARCH("computer",I371))+ISNUMBER(SEARCH("saas",I371))+ISNUMBER(SEARCH("fintech",I371))+ISNUMBER(SEARCH("information services",I371))+ISNUMBER(SEARCH("telecommunications",I371))&gt;0,'Configuración'!$B$27,'Configuración'!$B$28))</f>
        <v>4</v>
      </c>
      <c r="U371" s="25">
        <f>IF(B371="","",IF(ISNUMBER(SEARCH("CEO",C371))+ISNUMBER(SEARCH("Founder",C371))+ISNUMBER(SEARCH("Owner",C371))+ISNUMBER(SEARCH("Dueño",C371))+ISNUMBER(SEARCH("Director General",C371))+ISNUMBER(SEARCH("Presidente",C371))+ISNUMBER(SEARCH("President",C371))&gt;0,'Configuración'!$B$31,IF(ISNUMBER(SEARCH("CMO",C371))+ISNUMBER(SEARCH("Chief Marketing",C371))+ISNUMBER(SEARCH("VP Marketing",C371))+ISNUMBER(SEARCH("Director de Marketing",C371))+ISNUMBER(SEARCH("Director Marketing",C371))+ISNUMBER(SEARCH("Head of Marketing",C371))+ISNUMBER(SEARCH("Head Marketing",C371))&gt;0,'Configuración'!$B$32,IF(ISNUMBER(SEARCH("Marketing Manager",C371))+ISNUMBER(SEARCH("Gerente de Marketing",C371))+ISNUMBER(SEARCH("Growth Manager",C371))+ISNUMBER(SEARCH("Demand Gen",C371))+ISNUMBER(SEARCH("Marketing Lead",C371))&gt;0,'Configuración'!$B$33,IF(ISNUMBER(SEARCH("COO",C371))+ISNUMBER(SEARCH("CFO",C371))+ISNUMBER(SEARCH("CTO",C371))+ISNUMBER(SEARCH("Chief Operating",C371))+ISNUMBER(SEARCH("Chief Financial",C371))+ISNUMBER(SEARCH("Gerente General",C371))+ISNUMBER(SEARCH("General Manager",C371))&gt;0,'Configuración'!$B$34,'Configuración'!$B$35)))))</f>
        <v>12</v>
      </c>
      <c r="V371" s="38">
        <f>IF(B371="","",IF(K371="Sí",'Configuración'!$B$5,0)+IF(L371="Semanal",'Configuración'!$B$6,IF(L371="Mensual",'Configuración'!$B$7,0))+IF(M371="Sí",'Configuración'!$B$8,0)+IF(N371="Sí",'Configuración'!$B$9,0)+IF(O371="Sí",'Configuración'!$B$10,0)+IF(P371="Sí",'Configuración'!$B$11,0)+IF(Q371="Sí",'Configuración'!$B$12,0)+S371+T371+U371)</f>
        <v>28</v>
      </c>
      <c r="W371" s="39" t="str">
        <f>IF(B371="","",IF(V371&gt;='Configuración'!$B$19,"A",IF(V371&gt;='Configuración'!$B$20,"B",IF(V371&gt;='Configuración'!$B$21,"C","Descarte"))))</f>
        <v>C</v>
      </c>
    </row>
    <row r="372" ht="15.75" customHeight="1">
      <c r="A372" s="34">
        <f t="shared" si="1"/>
        <v>370</v>
      </c>
      <c r="B372" s="29" t="s">
        <v>2351</v>
      </c>
      <c r="C372" s="29" t="s">
        <v>175</v>
      </c>
      <c r="D372" s="29" t="s">
        <v>2352</v>
      </c>
      <c r="E372" s="29" t="s">
        <v>2353</v>
      </c>
      <c r="F372" s="30" t="s">
        <v>2354</v>
      </c>
      <c r="G372" s="30" t="s">
        <v>2355</v>
      </c>
      <c r="H372" s="30" t="s">
        <v>2356</v>
      </c>
      <c r="I372" s="29" t="s">
        <v>188</v>
      </c>
      <c r="J372" s="31">
        <v>1.0</v>
      </c>
      <c r="K372" s="35"/>
      <c r="L372" s="35"/>
      <c r="M372" s="35"/>
      <c r="N372" s="35"/>
      <c r="O372" s="35"/>
      <c r="P372" s="35"/>
      <c r="Q372" s="35"/>
      <c r="R372" s="35"/>
      <c r="S372" s="37">
        <f>IF(B372="","",IF(ISNUMBER(J372),IF(J372&lt;=10,'Configuración'!$B$23,IF(J372&lt;=50,'Configuración'!$B$24,IF(J372&lt;=200,'Configuración'!$B$25,0))),0))</f>
        <v>12</v>
      </c>
      <c r="T372" s="37">
        <f>IF(B372="","",IF(ISNUMBER(SEARCH("information technology",I372))+ISNUMBER(SEARCH("software",I372))+ISNUMBER(SEARCH("internet",I372))+ISNUMBER(SEARCH("computer",I372))+ISNUMBER(SEARCH("saas",I372))+ISNUMBER(SEARCH("fintech",I372))+ISNUMBER(SEARCH("information services",I372))+ISNUMBER(SEARCH("telecommunications",I372))&gt;0,'Configuración'!$B$27,'Configuración'!$B$28))</f>
        <v>4</v>
      </c>
      <c r="U372" s="25">
        <f>IF(B372="","",IF(ISNUMBER(SEARCH("CEO",C372))+ISNUMBER(SEARCH("Founder",C372))+ISNUMBER(SEARCH("Owner",C372))+ISNUMBER(SEARCH("Dueño",C372))+ISNUMBER(SEARCH("Director General",C372))+ISNUMBER(SEARCH("Presidente",C372))+ISNUMBER(SEARCH("President",C372))&gt;0,'Configuración'!$B$31,IF(ISNUMBER(SEARCH("CMO",C372))+ISNUMBER(SEARCH("Chief Marketing",C372))+ISNUMBER(SEARCH("VP Marketing",C372))+ISNUMBER(SEARCH("Director de Marketing",C372))+ISNUMBER(SEARCH("Director Marketing",C372))+ISNUMBER(SEARCH("Head of Marketing",C372))+ISNUMBER(SEARCH("Head Marketing",C372))&gt;0,'Configuración'!$B$32,IF(ISNUMBER(SEARCH("Marketing Manager",C372))+ISNUMBER(SEARCH("Gerente de Marketing",C372))+ISNUMBER(SEARCH("Growth Manager",C372))+ISNUMBER(SEARCH("Demand Gen",C372))+ISNUMBER(SEARCH("Marketing Lead",C372))&gt;0,'Configuración'!$B$33,IF(ISNUMBER(SEARCH("COO",C372))+ISNUMBER(SEARCH("CFO",C372))+ISNUMBER(SEARCH("CTO",C372))+ISNUMBER(SEARCH("Chief Operating",C372))+ISNUMBER(SEARCH("Chief Financial",C372))+ISNUMBER(SEARCH("Gerente General",C372))+ISNUMBER(SEARCH("General Manager",C372))&gt;0,'Configuración'!$B$34,'Configuración'!$B$35)))))</f>
        <v>12</v>
      </c>
      <c r="V372" s="38">
        <f>IF(B372="","",IF(K372="Sí",'Configuración'!$B$5,0)+IF(L372="Semanal",'Configuración'!$B$6,IF(L372="Mensual",'Configuración'!$B$7,0))+IF(M372="Sí",'Configuración'!$B$8,0)+IF(N372="Sí",'Configuración'!$B$9,0)+IF(O372="Sí",'Configuración'!$B$10,0)+IF(P372="Sí",'Configuración'!$B$11,0)+IF(Q372="Sí",'Configuración'!$B$12,0)+S372+T372+U372)</f>
        <v>28</v>
      </c>
      <c r="W372" s="39" t="str">
        <f>IF(B372="","",IF(V372&gt;='Configuración'!$B$19,"A",IF(V372&gt;='Configuración'!$B$20,"B",IF(V372&gt;='Configuración'!$B$21,"C","Descarte"))))</f>
        <v>C</v>
      </c>
    </row>
    <row r="373" ht="15.75" customHeight="1">
      <c r="A373" s="34">
        <f t="shared" si="1"/>
        <v>371</v>
      </c>
      <c r="B373" s="29" t="s">
        <v>501</v>
      </c>
      <c r="C373" s="29" t="s">
        <v>516</v>
      </c>
      <c r="D373" s="29" t="s">
        <v>2357</v>
      </c>
      <c r="E373" s="29" t="s">
        <v>2358</v>
      </c>
      <c r="F373" s="30" t="s">
        <v>2359</v>
      </c>
      <c r="G373" s="30" t="s">
        <v>2360</v>
      </c>
      <c r="H373" s="30" t="s">
        <v>2361</v>
      </c>
      <c r="I373" s="29" t="s">
        <v>116</v>
      </c>
      <c r="J373" s="31">
        <v>26.0</v>
      </c>
      <c r="K373" s="35"/>
      <c r="L373" s="35"/>
      <c r="M373" s="35"/>
      <c r="N373" s="35"/>
      <c r="O373" s="35"/>
      <c r="P373" s="35"/>
      <c r="Q373" s="35"/>
      <c r="R373" s="35"/>
      <c r="S373" s="37">
        <f>IF(B373="","",IF(ISNUMBER(J373),IF(J373&lt;=10,'Configuración'!$B$23,IF(J373&lt;=50,'Configuración'!$B$24,IF(J373&lt;=200,'Configuración'!$B$25,0))),0))</f>
        <v>4</v>
      </c>
      <c r="T373" s="37">
        <f>IF(B373="","",IF(ISNUMBER(SEARCH("information technology",I373))+ISNUMBER(SEARCH("software",I373))+ISNUMBER(SEARCH("internet",I373))+ISNUMBER(SEARCH("computer",I373))+ISNUMBER(SEARCH("saas",I373))+ISNUMBER(SEARCH("fintech",I373))+ISNUMBER(SEARCH("information services",I373))+ISNUMBER(SEARCH("telecommunications",I373))&gt;0,'Configuración'!$B$27,'Configuración'!$B$28))</f>
        <v>4</v>
      </c>
      <c r="U373" s="25">
        <f>IF(B373="","",IF(ISNUMBER(SEARCH("CEO",C373))+ISNUMBER(SEARCH("Founder",C373))+ISNUMBER(SEARCH("Owner",C373))+ISNUMBER(SEARCH("Dueño",C373))+ISNUMBER(SEARCH("Director General",C373))+ISNUMBER(SEARCH("Presidente",C373))+ISNUMBER(SEARCH("President",C373))&gt;0,'Configuración'!$B$31,IF(ISNUMBER(SEARCH("CMO",C373))+ISNUMBER(SEARCH("Chief Marketing",C373))+ISNUMBER(SEARCH("VP Marketing",C373))+ISNUMBER(SEARCH("Director de Marketing",C373))+ISNUMBER(SEARCH("Director Marketing",C373))+ISNUMBER(SEARCH("Head of Marketing",C373))+ISNUMBER(SEARCH("Head Marketing",C373))&gt;0,'Configuración'!$B$32,IF(ISNUMBER(SEARCH("Marketing Manager",C373))+ISNUMBER(SEARCH("Gerente de Marketing",C373))+ISNUMBER(SEARCH("Growth Manager",C373))+ISNUMBER(SEARCH("Demand Gen",C373))+ISNUMBER(SEARCH("Marketing Lead",C373))&gt;0,'Configuración'!$B$33,IF(ISNUMBER(SEARCH("COO",C373))+ISNUMBER(SEARCH("CFO",C373))+ISNUMBER(SEARCH("CTO",C373))+ISNUMBER(SEARCH("Chief Operating",C373))+ISNUMBER(SEARCH("Chief Financial",C373))+ISNUMBER(SEARCH("Gerente General",C373))+ISNUMBER(SEARCH("General Manager",C373))&gt;0,'Configuración'!$B$34,'Configuración'!$B$35)))))</f>
        <v>0</v>
      </c>
      <c r="V373" s="38">
        <f>IF(B373="","",IF(K373="Sí",'Configuración'!$B$5,0)+IF(L373="Semanal",'Configuración'!$B$6,IF(L373="Mensual",'Configuración'!$B$7,0))+IF(M373="Sí",'Configuración'!$B$8,0)+IF(N373="Sí",'Configuración'!$B$9,0)+IF(O373="Sí",'Configuración'!$B$10,0)+IF(P373="Sí",'Configuración'!$B$11,0)+IF(Q373="Sí",'Configuración'!$B$12,0)+S373+T373+U373)</f>
        <v>8</v>
      </c>
      <c r="W373" s="39" t="str">
        <f>IF(B373="","",IF(V373&gt;='Configuración'!$B$19,"A",IF(V373&gt;='Configuración'!$B$20,"B",IF(V373&gt;='Configuración'!$B$21,"C","Descarte"))))</f>
        <v>Descarte</v>
      </c>
    </row>
    <row r="374" ht="15.75" customHeight="1">
      <c r="A374" s="34">
        <f t="shared" si="1"/>
        <v>372</v>
      </c>
      <c r="B374" s="29" t="s">
        <v>174</v>
      </c>
      <c r="C374" s="29" t="s">
        <v>2362</v>
      </c>
      <c r="D374" s="29" t="s">
        <v>2363</v>
      </c>
      <c r="E374" s="29" t="s">
        <v>2364</v>
      </c>
      <c r="F374" s="30" t="s">
        <v>2365</v>
      </c>
      <c r="G374" s="30" t="s">
        <v>2366</v>
      </c>
      <c r="H374" s="30" t="s">
        <v>2367</v>
      </c>
      <c r="I374" s="29" t="s">
        <v>222</v>
      </c>
      <c r="J374" s="31">
        <v>31.0</v>
      </c>
      <c r="K374" s="35"/>
      <c r="L374" s="35"/>
      <c r="M374" s="35"/>
      <c r="N374" s="35"/>
      <c r="O374" s="35"/>
      <c r="P374" s="35"/>
      <c r="Q374" s="35"/>
      <c r="R374" s="35"/>
      <c r="S374" s="37">
        <f>IF(B374="","",IF(ISNUMBER(J374),IF(J374&lt;=10,'Configuración'!$B$23,IF(J374&lt;=50,'Configuración'!$B$24,IF(J374&lt;=200,'Configuración'!$B$25,0))),0))</f>
        <v>4</v>
      </c>
      <c r="T374" s="37">
        <f>IF(B374="","",IF(ISNUMBER(SEARCH("information technology",I374))+ISNUMBER(SEARCH("software",I374))+ISNUMBER(SEARCH("internet",I374))+ISNUMBER(SEARCH("computer",I374))+ISNUMBER(SEARCH("saas",I374))+ISNUMBER(SEARCH("fintech",I374))+ISNUMBER(SEARCH("information services",I374))+ISNUMBER(SEARCH("telecommunications",I374))&gt;0,'Configuración'!$B$27,'Configuración'!$B$28))</f>
        <v>4</v>
      </c>
      <c r="U374" s="25">
        <f>IF(B374="","",IF(ISNUMBER(SEARCH("CEO",C374))+ISNUMBER(SEARCH("Founder",C374))+ISNUMBER(SEARCH("Owner",C374))+ISNUMBER(SEARCH("Dueño",C374))+ISNUMBER(SEARCH("Director General",C374))+ISNUMBER(SEARCH("Presidente",C374))+ISNUMBER(SEARCH("President",C374))&gt;0,'Configuración'!$B$31,IF(ISNUMBER(SEARCH("CMO",C374))+ISNUMBER(SEARCH("Chief Marketing",C374))+ISNUMBER(SEARCH("VP Marketing",C374))+ISNUMBER(SEARCH("Director de Marketing",C374))+ISNUMBER(SEARCH("Director Marketing",C374))+ISNUMBER(SEARCH("Head of Marketing",C374))+ISNUMBER(SEARCH("Head Marketing",C374))&gt;0,'Configuración'!$B$32,IF(ISNUMBER(SEARCH("Marketing Manager",C374))+ISNUMBER(SEARCH("Gerente de Marketing",C374))+ISNUMBER(SEARCH("Growth Manager",C374))+ISNUMBER(SEARCH("Demand Gen",C374))+ISNUMBER(SEARCH("Marketing Lead",C374))&gt;0,'Configuración'!$B$33,IF(ISNUMBER(SEARCH("COO",C374))+ISNUMBER(SEARCH("CFO",C374))+ISNUMBER(SEARCH("CTO",C374))+ISNUMBER(SEARCH("Chief Operating",C374))+ISNUMBER(SEARCH("Chief Financial",C374))+ISNUMBER(SEARCH("Gerente General",C374))+ISNUMBER(SEARCH("General Manager",C374))&gt;0,'Configuración'!$B$34,'Configuración'!$B$35)))))</f>
        <v>12</v>
      </c>
      <c r="V374" s="38">
        <f>IF(B374="","",IF(K374="Sí",'Configuración'!$B$5,0)+IF(L374="Semanal",'Configuración'!$B$6,IF(L374="Mensual",'Configuración'!$B$7,0))+IF(M374="Sí",'Configuración'!$B$8,0)+IF(N374="Sí",'Configuración'!$B$9,0)+IF(O374="Sí",'Configuración'!$B$10,0)+IF(P374="Sí",'Configuración'!$B$11,0)+IF(Q374="Sí",'Configuración'!$B$12,0)+S374+T374+U374)</f>
        <v>20</v>
      </c>
      <c r="W374" s="39" t="str">
        <f>IF(B374="","",IF(V374&gt;='Configuración'!$B$19,"A",IF(V374&gt;='Configuración'!$B$20,"B",IF(V374&gt;='Configuración'!$B$21,"C","Descarte"))))</f>
        <v>Descarte</v>
      </c>
    </row>
    <row r="375" ht="15.75" customHeight="1">
      <c r="A375" s="34">
        <f t="shared" si="1"/>
        <v>373</v>
      </c>
      <c r="B375" s="29" t="s">
        <v>536</v>
      </c>
      <c r="C375" s="29" t="s">
        <v>131</v>
      </c>
      <c r="D375" s="29" t="s">
        <v>2368</v>
      </c>
      <c r="E375" s="29" t="s">
        <v>2369</v>
      </c>
      <c r="F375" s="30" t="s">
        <v>2370</v>
      </c>
      <c r="G375" s="30" t="s">
        <v>2371</v>
      </c>
      <c r="H375" s="30" t="s">
        <v>2372</v>
      </c>
      <c r="I375" s="29" t="s">
        <v>127</v>
      </c>
      <c r="J375" s="31">
        <v>2.0</v>
      </c>
      <c r="K375" s="35"/>
      <c r="L375" s="35"/>
      <c r="M375" s="35"/>
      <c r="N375" s="35"/>
      <c r="O375" s="35"/>
      <c r="P375" s="35"/>
      <c r="Q375" s="35"/>
      <c r="R375" s="35"/>
      <c r="S375" s="37">
        <f>IF(B375="","",IF(ISNUMBER(J375),IF(J375&lt;=10,'Configuración'!$B$23,IF(J375&lt;=50,'Configuración'!$B$24,IF(J375&lt;=200,'Configuración'!$B$25,0))),0))</f>
        <v>12</v>
      </c>
      <c r="T375" s="37">
        <f>IF(B375="","",IF(ISNUMBER(SEARCH("information technology",I375))+ISNUMBER(SEARCH("software",I375))+ISNUMBER(SEARCH("internet",I375))+ISNUMBER(SEARCH("computer",I375))+ISNUMBER(SEARCH("saas",I375))+ISNUMBER(SEARCH("fintech",I375))+ISNUMBER(SEARCH("information services",I375))+ISNUMBER(SEARCH("telecommunications",I375))&gt;0,'Configuración'!$B$27,'Configuración'!$B$28))</f>
        <v>12</v>
      </c>
      <c r="U375" s="25">
        <f>IF(B375="","",IF(ISNUMBER(SEARCH("CEO",C375))+ISNUMBER(SEARCH("Founder",C375))+ISNUMBER(SEARCH("Owner",C375))+ISNUMBER(SEARCH("Dueño",C375))+ISNUMBER(SEARCH("Director General",C375))+ISNUMBER(SEARCH("Presidente",C375))+ISNUMBER(SEARCH("President",C375))&gt;0,'Configuración'!$B$31,IF(ISNUMBER(SEARCH("CMO",C375))+ISNUMBER(SEARCH("Chief Marketing",C375))+ISNUMBER(SEARCH("VP Marketing",C375))+ISNUMBER(SEARCH("Director de Marketing",C375))+ISNUMBER(SEARCH("Director Marketing",C375))+ISNUMBER(SEARCH("Head of Marketing",C375))+ISNUMBER(SEARCH("Head Marketing",C375))&gt;0,'Configuración'!$B$32,IF(ISNUMBER(SEARCH("Marketing Manager",C375))+ISNUMBER(SEARCH("Gerente de Marketing",C375))+ISNUMBER(SEARCH("Growth Manager",C375))+ISNUMBER(SEARCH("Demand Gen",C375))+ISNUMBER(SEARCH("Marketing Lead",C375))&gt;0,'Configuración'!$B$33,IF(ISNUMBER(SEARCH("COO",C375))+ISNUMBER(SEARCH("CFO",C375))+ISNUMBER(SEARCH("CTO",C375))+ISNUMBER(SEARCH("Chief Operating",C375))+ISNUMBER(SEARCH("Chief Financial",C375))+ISNUMBER(SEARCH("Gerente General",C375))+ISNUMBER(SEARCH("General Manager",C375))&gt;0,'Configuración'!$B$34,'Configuración'!$B$35)))))</f>
        <v>12</v>
      </c>
      <c r="V375" s="38">
        <f>IF(B375="","",IF(K375="Sí",'Configuración'!$B$5,0)+IF(L375="Semanal",'Configuración'!$B$6,IF(L375="Mensual",'Configuración'!$B$7,0))+IF(M375="Sí",'Configuración'!$B$8,0)+IF(N375="Sí",'Configuración'!$B$9,0)+IF(O375="Sí",'Configuración'!$B$10,0)+IF(P375="Sí",'Configuración'!$B$11,0)+IF(Q375="Sí",'Configuración'!$B$12,0)+S375+T375+U375)</f>
        <v>36</v>
      </c>
      <c r="W375" s="39" t="str">
        <f>IF(B375="","",IF(V375&gt;='Configuración'!$B$19,"A",IF(V375&gt;='Configuración'!$B$20,"B",IF(V375&gt;='Configuración'!$B$21,"C","Descarte"))))</f>
        <v>C</v>
      </c>
    </row>
    <row r="376" ht="15.75" customHeight="1">
      <c r="A376" s="34">
        <f t="shared" si="1"/>
        <v>374</v>
      </c>
      <c r="B376" s="29" t="s">
        <v>324</v>
      </c>
      <c r="C376" s="29" t="s">
        <v>2373</v>
      </c>
      <c r="D376" s="29" t="s">
        <v>2374</v>
      </c>
      <c r="E376" s="29" t="s">
        <v>2375</v>
      </c>
      <c r="F376" s="30" t="s">
        <v>2376</v>
      </c>
      <c r="G376" s="30" t="s">
        <v>2377</v>
      </c>
      <c r="H376" s="30" t="s">
        <v>2378</v>
      </c>
      <c r="I376" s="29" t="s">
        <v>188</v>
      </c>
      <c r="J376" s="31">
        <v>5.0</v>
      </c>
      <c r="K376" s="35"/>
      <c r="L376" s="35"/>
      <c r="M376" s="35"/>
      <c r="N376" s="35"/>
      <c r="O376" s="35"/>
      <c r="P376" s="35"/>
      <c r="Q376" s="35"/>
      <c r="R376" s="35"/>
      <c r="S376" s="37">
        <f>IF(B376="","",IF(ISNUMBER(J376),IF(J376&lt;=10,'Configuración'!$B$23,IF(J376&lt;=50,'Configuración'!$B$24,IF(J376&lt;=200,'Configuración'!$B$25,0))),0))</f>
        <v>12</v>
      </c>
      <c r="T376" s="37">
        <f>IF(B376="","",IF(ISNUMBER(SEARCH("information technology",I376))+ISNUMBER(SEARCH("software",I376))+ISNUMBER(SEARCH("internet",I376))+ISNUMBER(SEARCH("computer",I376))+ISNUMBER(SEARCH("saas",I376))+ISNUMBER(SEARCH("fintech",I376))+ISNUMBER(SEARCH("information services",I376))+ISNUMBER(SEARCH("telecommunications",I376))&gt;0,'Configuración'!$B$27,'Configuración'!$B$28))</f>
        <v>4</v>
      </c>
      <c r="U376" s="25">
        <f>IF(B376="","",IF(ISNUMBER(SEARCH("CEO",C376))+ISNUMBER(SEARCH("Founder",C376))+ISNUMBER(SEARCH("Owner",C376))+ISNUMBER(SEARCH("Dueño",C376))+ISNUMBER(SEARCH("Director General",C376))+ISNUMBER(SEARCH("Presidente",C376))+ISNUMBER(SEARCH("President",C376))&gt;0,'Configuración'!$B$31,IF(ISNUMBER(SEARCH("CMO",C376))+ISNUMBER(SEARCH("Chief Marketing",C376))+ISNUMBER(SEARCH("VP Marketing",C376))+ISNUMBER(SEARCH("Director de Marketing",C376))+ISNUMBER(SEARCH("Director Marketing",C376))+ISNUMBER(SEARCH("Head of Marketing",C376))+ISNUMBER(SEARCH("Head Marketing",C376))&gt;0,'Configuración'!$B$32,IF(ISNUMBER(SEARCH("Marketing Manager",C376))+ISNUMBER(SEARCH("Gerente de Marketing",C376))+ISNUMBER(SEARCH("Growth Manager",C376))+ISNUMBER(SEARCH("Demand Gen",C376))+ISNUMBER(SEARCH("Marketing Lead",C376))&gt;0,'Configuración'!$B$33,IF(ISNUMBER(SEARCH("COO",C376))+ISNUMBER(SEARCH("CFO",C376))+ISNUMBER(SEARCH("CTO",C376))+ISNUMBER(SEARCH("Chief Operating",C376))+ISNUMBER(SEARCH("Chief Financial",C376))+ISNUMBER(SEARCH("Gerente General",C376))+ISNUMBER(SEARCH("General Manager",C376))&gt;0,'Configuración'!$B$34,'Configuración'!$B$35)))))</f>
        <v>12</v>
      </c>
      <c r="V376" s="38">
        <f>IF(B376="","",IF(K376="Sí",'Configuración'!$B$5,0)+IF(L376="Semanal",'Configuración'!$B$6,IF(L376="Mensual",'Configuración'!$B$7,0))+IF(M376="Sí",'Configuración'!$B$8,0)+IF(N376="Sí",'Configuración'!$B$9,0)+IF(O376="Sí",'Configuración'!$B$10,0)+IF(P376="Sí",'Configuración'!$B$11,0)+IF(Q376="Sí",'Configuración'!$B$12,0)+S376+T376+U376)</f>
        <v>28</v>
      </c>
      <c r="W376" s="39" t="str">
        <f>IF(B376="","",IF(V376&gt;='Configuración'!$B$19,"A",IF(V376&gt;='Configuración'!$B$20,"B",IF(V376&gt;='Configuración'!$B$21,"C","Descarte"))))</f>
        <v>C</v>
      </c>
    </row>
    <row r="377" ht="15.75" customHeight="1">
      <c r="A377" s="34">
        <f t="shared" si="1"/>
        <v>375</v>
      </c>
      <c r="B377" s="29" t="s">
        <v>610</v>
      </c>
      <c r="C377" s="29" t="s">
        <v>297</v>
      </c>
      <c r="D377" s="29" t="s">
        <v>2379</v>
      </c>
      <c r="E377" s="29" t="s">
        <v>2380</v>
      </c>
      <c r="F377" s="30" t="s">
        <v>2381</v>
      </c>
      <c r="G377" s="30" t="s">
        <v>2382</v>
      </c>
      <c r="H377" s="30" t="s">
        <v>2383</v>
      </c>
      <c r="I377" s="29" t="s">
        <v>127</v>
      </c>
      <c r="J377" s="31">
        <v>4.0</v>
      </c>
      <c r="K377" s="35"/>
      <c r="L377" s="35"/>
      <c r="M377" s="35"/>
      <c r="N377" s="35"/>
      <c r="O377" s="35"/>
      <c r="P377" s="35"/>
      <c r="Q377" s="35"/>
      <c r="R377" s="35"/>
      <c r="S377" s="37">
        <f>IF(B377="","",IF(ISNUMBER(J377),IF(J377&lt;=10,'Configuración'!$B$23,IF(J377&lt;=50,'Configuración'!$B$24,IF(J377&lt;=200,'Configuración'!$B$25,0))),0))</f>
        <v>12</v>
      </c>
      <c r="T377" s="37">
        <f>IF(B377="","",IF(ISNUMBER(SEARCH("information technology",I377))+ISNUMBER(SEARCH("software",I377))+ISNUMBER(SEARCH("internet",I377))+ISNUMBER(SEARCH("computer",I377))+ISNUMBER(SEARCH("saas",I377))+ISNUMBER(SEARCH("fintech",I377))+ISNUMBER(SEARCH("information services",I377))+ISNUMBER(SEARCH("telecommunications",I377))&gt;0,'Configuración'!$B$27,'Configuración'!$B$28))</f>
        <v>12</v>
      </c>
      <c r="U377" s="25">
        <f>IF(B377="","",IF(ISNUMBER(SEARCH("CEO",C377))+ISNUMBER(SEARCH("Founder",C377))+ISNUMBER(SEARCH("Owner",C377))+ISNUMBER(SEARCH("Dueño",C377))+ISNUMBER(SEARCH("Director General",C377))+ISNUMBER(SEARCH("Presidente",C377))+ISNUMBER(SEARCH("President",C377))&gt;0,'Configuración'!$B$31,IF(ISNUMBER(SEARCH("CMO",C377))+ISNUMBER(SEARCH("Chief Marketing",C377))+ISNUMBER(SEARCH("VP Marketing",C377))+ISNUMBER(SEARCH("Director de Marketing",C377))+ISNUMBER(SEARCH("Director Marketing",C377))+ISNUMBER(SEARCH("Head of Marketing",C377))+ISNUMBER(SEARCH("Head Marketing",C377))&gt;0,'Configuración'!$B$32,IF(ISNUMBER(SEARCH("Marketing Manager",C377))+ISNUMBER(SEARCH("Gerente de Marketing",C377))+ISNUMBER(SEARCH("Growth Manager",C377))+ISNUMBER(SEARCH("Demand Gen",C377))+ISNUMBER(SEARCH("Marketing Lead",C377))&gt;0,'Configuración'!$B$33,IF(ISNUMBER(SEARCH("COO",C377))+ISNUMBER(SEARCH("CFO",C377))+ISNUMBER(SEARCH("CTO",C377))+ISNUMBER(SEARCH("Chief Operating",C377))+ISNUMBER(SEARCH("Chief Financial",C377))+ISNUMBER(SEARCH("Gerente General",C377))+ISNUMBER(SEARCH("General Manager",C377))&gt;0,'Configuración'!$B$34,'Configuración'!$B$35)))))</f>
        <v>0</v>
      </c>
      <c r="V377" s="38">
        <f>IF(B377="","",IF(K377="Sí",'Configuración'!$B$5,0)+IF(L377="Semanal",'Configuración'!$B$6,IF(L377="Mensual",'Configuración'!$B$7,0))+IF(M377="Sí",'Configuración'!$B$8,0)+IF(N377="Sí",'Configuración'!$B$9,0)+IF(O377="Sí",'Configuración'!$B$10,0)+IF(P377="Sí",'Configuración'!$B$11,0)+IF(Q377="Sí",'Configuración'!$B$12,0)+S377+T377+U377)</f>
        <v>24</v>
      </c>
      <c r="W377" s="39" t="str">
        <f>IF(B377="","",IF(V377&gt;='Configuración'!$B$19,"A",IF(V377&gt;='Configuración'!$B$20,"B",IF(V377&gt;='Configuración'!$B$21,"C","Descarte"))))</f>
        <v>C</v>
      </c>
    </row>
    <row r="378" ht="15.75" customHeight="1">
      <c r="A378" s="34">
        <f t="shared" si="1"/>
        <v>376</v>
      </c>
      <c r="B378" s="29" t="s">
        <v>2384</v>
      </c>
      <c r="C378" s="29" t="s">
        <v>2385</v>
      </c>
      <c r="D378" s="29" t="s">
        <v>2386</v>
      </c>
      <c r="E378" s="29" t="s">
        <v>2387</v>
      </c>
      <c r="F378" s="30" t="s">
        <v>2388</v>
      </c>
      <c r="G378" s="30" t="s">
        <v>2389</v>
      </c>
      <c r="H378" s="30" t="s">
        <v>2390</v>
      </c>
      <c r="I378" s="29" t="s">
        <v>337</v>
      </c>
      <c r="J378" s="31">
        <v>15.0</v>
      </c>
      <c r="K378" s="35"/>
      <c r="L378" s="35"/>
      <c r="M378" s="35"/>
      <c r="N378" s="35"/>
      <c r="O378" s="35"/>
      <c r="P378" s="35"/>
      <c r="Q378" s="35"/>
      <c r="R378" s="35"/>
      <c r="S378" s="37">
        <f>IF(B378="","",IF(ISNUMBER(J378),IF(J378&lt;=10,'Configuración'!$B$23,IF(J378&lt;=50,'Configuración'!$B$24,IF(J378&lt;=200,'Configuración'!$B$25,0))),0))</f>
        <v>4</v>
      </c>
      <c r="T378" s="37">
        <f>IF(B378="","",IF(ISNUMBER(SEARCH("information technology",I378))+ISNUMBER(SEARCH("software",I378))+ISNUMBER(SEARCH("internet",I378))+ISNUMBER(SEARCH("computer",I378))+ISNUMBER(SEARCH("saas",I378))+ISNUMBER(SEARCH("fintech",I378))+ISNUMBER(SEARCH("information services",I378))+ISNUMBER(SEARCH("telecommunications",I378))&gt;0,'Configuración'!$B$27,'Configuración'!$B$28))</f>
        <v>4</v>
      </c>
      <c r="U378" s="25">
        <f>IF(B378="","",IF(ISNUMBER(SEARCH("CEO",C378))+ISNUMBER(SEARCH("Founder",C378))+ISNUMBER(SEARCH("Owner",C378))+ISNUMBER(SEARCH("Dueño",C378))+ISNUMBER(SEARCH("Director General",C378))+ISNUMBER(SEARCH("Presidente",C378))+ISNUMBER(SEARCH("President",C378))&gt;0,'Configuración'!$B$31,IF(ISNUMBER(SEARCH("CMO",C378))+ISNUMBER(SEARCH("Chief Marketing",C378))+ISNUMBER(SEARCH("VP Marketing",C378))+ISNUMBER(SEARCH("Director de Marketing",C378))+ISNUMBER(SEARCH("Director Marketing",C378))+ISNUMBER(SEARCH("Head of Marketing",C378))+ISNUMBER(SEARCH("Head Marketing",C378))&gt;0,'Configuración'!$B$32,IF(ISNUMBER(SEARCH("Marketing Manager",C378))+ISNUMBER(SEARCH("Gerente de Marketing",C378))+ISNUMBER(SEARCH("Growth Manager",C378))+ISNUMBER(SEARCH("Demand Gen",C378))+ISNUMBER(SEARCH("Marketing Lead",C378))&gt;0,'Configuración'!$B$33,IF(ISNUMBER(SEARCH("COO",C378))+ISNUMBER(SEARCH("CFO",C378))+ISNUMBER(SEARCH("CTO",C378))+ISNUMBER(SEARCH("Chief Operating",C378))+ISNUMBER(SEARCH("Chief Financial",C378))+ISNUMBER(SEARCH("Gerente General",C378))+ISNUMBER(SEARCH("General Manager",C378))&gt;0,'Configuración'!$B$34,'Configuración'!$B$35)))))</f>
        <v>12</v>
      </c>
      <c r="V378" s="38">
        <f>IF(B378="","",IF(K378="Sí",'Configuración'!$B$5,0)+IF(L378="Semanal",'Configuración'!$B$6,IF(L378="Mensual",'Configuración'!$B$7,0))+IF(M378="Sí",'Configuración'!$B$8,0)+IF(N378="Sí",'Configuración'!$B$9,0)+IF(O378="Sí",'Configuración'!$B$10,0)+IF(P378="Sí",'Configuración'!$B$11,0)+IF(Q378="Sí",'Configuración'!$B$12,0)+S378+T378+U378)</f>
        <v>20</v>
      </c>
      <c r="W378" s="39" t="str">
        <f>IF(B378="","",IF(V378&gt;='Configuración'!$B$19,"A",IF(V378&gt;='Configuración'!$B$20,"B",IF(V378&gt;='Configuración'!$B$21,"C","Descarte"))))</f>
        <v>Descarte</v>
      </c>
    </row>
    <row r="379" ht="15.75" customHeight="1">
      <c r="A379" s="34">
        <f t="shared" si="1"/>
        <v>377</v>
      </c>
      <c r="B379" s="29" t="s">
        <v>138</v>
      </c>
      <c r="C379" s="29" t="s">
        <v>202</v>
      </c>
      <c r="D379" s="29" t="s">
        <v>2391</v>
      </c>
      <c r="E379" s="29" t="s">
        <v>2392</v>
      </c>
      <c r="F379" s="30" t="s">
        <v>2393</v>
      </c>
      <c r="G379" s="30" t="s">
        <v>2394</v>
      </c>
      <c r="H379" s="30" t="s">
        <v>2395</v>
      </c>
      <c r="I379" s="29" t="s">
        <v>127</v>
      </c>
      <c r="J379" s="31">
        <v>4.0</v>
      </c>
      <c r="K379" s="35"/>
      <c r="L379" s="35"/>
      <c r="M379" s="35"/>
      <c r="N379" s="35"/>
      <c r="O379" s="35"/>
      <c r="P379" s="35"/>
      <c r="Q379" s="35"/>
      <c r="R379" s="35"/>
      <c r="S379" s="37">
        <f>IF(B379="","",IF(ISNUMBER(J379),IF(J379&lt;=10,'Configuración'!$B$23,IF(J379&lt;=50,'Configuración'!$B$24,IF(J379&lt;=200,'Configuración'!$B$25,0))),0))</f>
        <v>12</v>
      </c>
      <c r="T379" s="37">
        <f>IF(B379="","",IF(ISNUMBER(SEARCH("information technology",I379))+ISNUMBER(SEARCH("software",I379))+ISNUMBER(SEARCH("internet",I379))+ISNUMBER(SEARCH("computer",I379))+ISNUMBER(SEARCH("saas",I379))+ISNUMBER(SEARCH("fintech",I379))+ISNUMBER(SEARCH("information services",I379))+ISNUMBER(SEARCH("telecommunications",I379))&gt;0,'Configuración'!$B$27,'Configuración'!$B$28))</f>
        <v>12</v>
      </c>
      <c r="U379" s="25">
        <f>IF(B379="","",IF(ISNUMBER(SEARCH("CEO",C379))+ISNUMBER(SEARCH("Founder",C379))+ISNUMBER(SEARCH("Owner",C379))+ISNUMBER(SEARCH("Dueño",C379))+ISNUMBER(SEARCH("Director General",C379))+ISNUMBER(SEARCH("Presidente",C379))+ISNUMBER(SEARCH("President",C379))&gt;0,'Configuración'!$B$31,IF(ISNUMBER(SEARCH("CMO",C379))+ISNUMBER(SEARCH("Chief Marketing",C379))+ISNUMBER(SEARCH("VP Marketing",C379))+ISNUMBER(SEARCH("Director de Marketing",C379))+ISNUMBER(SEARCH("Director Marketing",C379))+ISNUMBER(SEARCH("Head of Marketing",C379))+ISNUMBER(SEARCH("Head Marketing",C379))&gt;0,'Configuración'!$B$32,IF(ISNUMBER(SEARCH("Marketing Manager",C379))+ISNUMBER(SEARCH("Gerente de Marketing",C379))+ISNUMBER(SEARCH("Growth Manager",C379))+ISNUMBER(SEARCH("Demand Gen",C379))+ISNUMBER(SEARCH("Marketing Lead",C379))&gt;0,'Configuración'!$B$33,IF(ISNUMBER(SEARCH("COO",C379))+ISNUMBER(SEARCH("CFO",C379))+ISNUMBER(SEARCH("CTO",C379))+ISNUMBER(SEARCH("Chief Operating",C379))+ISNUMBER(SEARCH("Chief Financial",C379))+ISNUMBER(SEARCH("Gerente General",C379))+ISNUMBER(SEARCH("General Manager",C379))&gt;0,'Configuración'!$B$34,'Configuración'!$B$35)))))</f>
        <v>12</v>
      </c>
      <c r="V379" s="38">
        <f>IF(B379="","",IF(K379="Sí",'Configuración'!$B$5,0)+IF(L379="Semanal",'Configuración'!$B$6,IF(L379="Mensual",'Configuración'!$B$7,0))+IF(M379="Sí",'Configuración'!$B$8,0)+IF(N379="Sí",'Configuración'!$B$9,0)+IF(O379="Sí",'Configuración'!$B$10,0)+IF(P379="Sí",'Configuración'!$B$11,0)+IF(Q379="Sí",'Configuración'!$B$12,0)+S379+T379+U379)</f>
        <v>36</v>
      </c>
      <c r="W379" s="39" t="str">
        <f>IF(B379="","",IF(V379&gt;='Configuración'!$B$19,"A",IF(V379&gt;='Configuración'!$B$20,"B",IF(V379&gt;='Configuración'!$B$21,"C","Descarte"))))</f>
        <v>C</v>
      </c>
    </row>
    <row r="380" ht="15.75" customHeight="1">
      <c r="A380" s="34">
        <f t="shared" si="1"/>
        <v>378</v>
      </c>
      <c r="B380" s="29" t="s">
        <v>2396</v>
      </c>
      <c r="C380" s="29" t="s">
        <v>175</v>
      </c>
      <c r="D380" s="29" t="s">
        <v>2397</v>
      </c>
      <c r="E380" s="29" t="s">
        <v>2398</v>
      </c>
      <c r="F380" s="30" t="s">
        <v>2399</v>
      </c>
      <c r="G380" s="30" t="s">
        <v>2400</v>
      </c>
      <c r="H380" s="30" t="s">
        <v>2401</v>
      </c>
      <c r="I380" s="29" t="s">
        <v>158</v>
      </c>
      <c r="J380" s="31">
        <v>6.0</v>
      </c>
      <c r="K380" s="35"/>
      <c r="L380" s="35"/>
      <c r="M380" s="35"/>
      <c r="N380" s="35"/>
      <c r="O380" s="35"/>
      <c r="P380" s="35"/>
      <c r="Q380" s="35"/>
      <c r="R380" s="35"/>
      <c r="S380" s="37">
        <f>IF(B380="","",IF(ISNUMBER(J380),IF(J380&lt;=10,'Configuración'!$B$23,IF(J380&lt;=50,'Configuración'!$B$24,IF(J380&lt;=200,'Configuración'!$B$25,0))),0))</f>
        <v>12</v>
      </c>
      <c r="T380" s="37">
        <f>IF(B380="","",IF(ISNUMBER(SEARCH("information technology",I380))+ISNUMBER(SEARCH("software",I380))+ISNUMBER(SEARCH("internet",I380))+ISNUMBER(SEARCH("computer",I380))+ISNUMBER(SEARCH("saas",I380))+ISNUMBER(SEARCH("fintech",I380))+ISNUMBER(SEARCH("information services",I380))+ISNUMBER(SEARCH("telecommunications",I380))&gt;0,'Configuración'!$B$27,'Configuración'!$B$28))</f>
        <v>4</v>
      </c>
      <c r="U380" s="25">
        <f>IF(B380="","",IF(ISNUMBER(SEARCH("CEO",C380))+ISNUMBER(SEARCH("Founder",C380))+ISNUMBER(SEARCH("Owner",C380))+ISNUMBER(SEARCH("Dueño",C380))+ISNUMBER(SEARCH("Director General",C380))+ISNUMBER(SEARCH("Presidente",C380))+ISNUMBER(SEARCH("President",C380))&gt;0,'Configuración'!$B$31,IF(ISNUMBER(SEARCH("CMO",C380))+ISNUMBER(SEARCH("Chief Marketing",C380))+ISNUMBER(SEARCH("VP Marketing",C380))+ISNUMBER(SEARCH("Director de Marketing",C380))+ISNUMBER(SEARCH("Director Marketing",C380))+ISNUMBER(SEARCH("Head of Marketing",C380))+ISNUMBER(SEARCH("Head Marketing",C380))&gt;0,'Configuración'!$B$32,IF(ISNUMBER(SEARCH("Marketing Manager",C380))+ISNUMBER(SEARCH("Gerente de Marketing",C380))+ISNUMBER(SEARCH("Growth Manager",C380))+ISNUMBER(SEARCH("Demand Gen",C380))+ISNUMBER(SEARCH("Marketing Lead",C380))&gt;0,'Configuración'!$B$33,IF(ISNUMBER(SEARCH("COO",C380))+ISNUMBER(SEARCH("CFO",C380))+ISNUMBER(SEARCH("CTO",C380))+ISNUMBER(SEARCH("Chief Operating",C380))+ISNUMBER(SEARCH("Chief Financial",C380))+ISNUMBER(SEARCH("Gerente General",C380))+ISNUMBER(SEARCH("General Manager",C380))&gt;0,'Configuración'!$B$34,'Configuración'!$B$35)))))</f>
        <v>12</v>
      </c>
      <c r="V380" s="38">
        <f>IF(B380="","",IF(K380="Sí",'Configuración'!$B$5,0)+IF(L380="Semanal",'Configuración'!$B$6,IF(L380="Mensual",'Configuración'!$B$7,0))+IF(M380="Sí",'Configuración'!$B$8,0)+IF(N380="Sí",'Configuración'!$B$9,0)+IF(O380="Sí",'Configuración'!$B$10,0)+IF(P380="Sí",'Configuración'!$B$11,0)+IF(Q380="Sí",'Configuración'!$B$12,0)+S380+T380+U380)</f>
        <v>28</v>
      </c>
      <c r="W380" s="39" t="str">
        <f>IF(B380="","",IF(V380&gt;='Configuración'!$B$19,"A",IF(V380&gt;='Configuración'!$B$20,"B",IF(V380&gt;='Configuración'!$B$21,"C","Descarte"))))</f>
        <v>C</v>
      </c>
    </row>
    <row r="381" ht="15.75" customHeight="1">
      <c r="A381" s="34">
        <f t="shared" si="1"/>
        <v>379</v>
      </c>
      <c r="B381" s="29" t="s">
        <v>2042</v>
      </c>
      <c r="C381" s="29" t="s">
        <v>2402</v>
      </c>
      <c r="D381" s="29" t="s">
        <v>2403</v>
      </c>
      <c r="E381" s="29" t="s">
        <v>2404</v>
      </c>
      <c r="F381" s="30" t="s">
        <v>2405</v>
      </c>
      <c r="G381" s="30" t="s">
        <v>2406</v>
      </c>
      <c r="H381" s="30" t="s">
        <v>2407</v>
      </c>
      <c r="I381" s="29" t="s">
        <v>172</v>
      </c>
      <c r="J381" s="31">
        <v>3.0</v>
      </c>
      <c r="K381" s="35"/>
      <c r="L381" s="35"/>
      <c r="M381" s="35"/>
      <c r="N381" s="35"/>
      <c r="O381" s="35"/>
      <c r="P381" s="35"/>
      <c r="Q381" s="35"/>
      <c r="R381" s="35"/>
      <c r="S381" s="37">
        <f>IF(B381="","",IF(ISNUMBER(J381),IF(J381&lt;=10,'Configuración'!$B$23,IF(J381&lt;=50,'Configuración'!$B$24,IF(J381&lt;=200,'Configuración'!$B$25,0))),0))</f>
        <v>12</v>
      </c>
      <c r="T381" s="37">
        <f>IF(B381="","",IF(ISNUMBER(SEARCH("information technology",I381))+ISNUMBER(SEARCH("software",I381))+ISNUMBER(SEARCH("internet",I381))+ISNUMBER(SEARCH("computer",I381))+ISNUMBER(SEARCH("saas",I381))+ISNUMBER(SEARCH("fintech",I381))+ISNUMBER(SEARCH("information services",I381))+ISNUMBER(SEARCH("telecommunications",I381))&gt;0,'Configuración'!$B$27,'Configuración'!$B$28))</f>
        <v>4</v>
      </c>
      <c r="U381" s="25">
        <f>IF(B381="","",IF(ISNUMBER(SEARCH("CEO",C381))+ISNUMBER(SEARCH("Founder",C381))+ISNUMBER(SEARCH("Owner",C381))+ISNUMBER(SEARCH("Dueño",C381))+ISNUMBER(SEARCH("Director General",C381))+ISNUMBER(SEARCH("Presidente",C381))+ISNUMBER(SEARCH("President",C381))&gt;0,'Configuración'!$B$31,IF(ISNUMBER(SEARCH("CMO",C381))+ISNUMBER(SEARCH("Chief Marketing",C381))+ISNUMBER(SEARCH("VP Marketing",C381))+ISNUMBER(SEARCH("Director de Marketing",C381))+ISNUMBER(SEARCH("Director Marketing",C381))+ISNUMBER(SEARCH("Head of Marketing",C381))+ISNUMBER(SEARCH("Head Marketing",C381))&gt;0,'Configuración'!$B$32,IF(ISNUMBER(SEARCH("Marketing Manager",C381))+ISNUMBER(SEARCH("Gerente de Marketing",C381))+ISNUMBER(SEARCH("Growth Manager",C381))+ISNUMBER(SEARCH("Demand Gen",C381))+ISNUMBER(SEARCH("Marketing Lead",C381))&gt;0,'Configuración'!$B$33,IF(ISNUMBER(SEARCH("COO",C381))+ISNUMBER(SEARCH("CFO",C381))+ISNUMBER(SEARCH("CTO",C381))+ISNUMBER(SEARCH("Chief Operating",C381))+ISNUMBER(SEARCH("Chief Financial",C381))+ISNUMBER(SEARCH("Gerente General",C381))+ISNUMBER(SEARCH("General Manager",C381))&gt;0,'Configuración'!$B$34,'Configuración'!$B$35)))))</f>
        <v>12</v>
      </c>
      <c r="V381" s="38">
        <f>IF(B381="","",IF(K381="Sí",'Configuración'!$B$5,0)+IF(L381="Semanal",'Configuración'!$B$6,IF(L381="Mensual",'Configuración'!$B$7,0))+IF(M381="Sí",'Configuración'!$B$8,0)+IF(N381="Sí",'Configuración'!$B$9,0)+IF(O381="Sí",'Configuración'!$B$10,0)+IF(P381="Sí",'Configuración'!$B$11,0)+IF(Q381="Sí",'Configuración'!$B$12,0)+S381+T381+U381)</f>
        <v>28</v>
      </c>
      <c r="W381" s="39" t="str">
        <f>IF(B381="","",IF(V381&gt;='Configuración'!$B$19,"A",IF(V381&gt;='Configuración'!$B$20,"B",IF(V381&gt;='Configuración'!$B$21,"C","Descarte"))))</f>
        <v>C</v>
      </c>
    </row>
    <row r="382" ht="15.75" customHeight="1">
      <c r="A382" s="34">
        <f t="shared" si="1"/>
        <v>380</v>
      </c>
      <c r="B382" s="29" t="s">
        <v>947</v>
      </c>
      <c r="C382" s="29" t="s">
        <v>2408</v>
      </c>
      <c r="D382" s="29" t="s">
        <v>2409</v>
      </c>
      <c r="E382" s="29" t="s">
        <v>2410</v>
      </c>
      <c r="F382" s="30" t="s">
        <v>2411</v>
      </c>
      <c r="G382" s="30" t="s">
        <v>2412</v>
      </c>
      <c r="H382" s="30" t="s">
        <v>2413</v>
      </c>
      <c r="I382" s="29" t="s">
        <v>127</v>
      </c>
      <c r="J382" s="31">
        <v>1.0</v>
      </c>
      <c r="K382" s="35"/>
      <c r="L382" s="35"/>
      <c r="M382" s="35"/>
      <c r="N382" s="35"/>
      <c r="O382" s="35"/>
      <c r="P382" s="35"/>
      <c r="Q382" s="35"/>
      <c r="R382" s="35"/>
      <c r="S382" s="37">
        <f>IF(B382="","",IF(ISNUMBER(J382),IF(J382&lt;=10,'Configuración'!$B$23,IF(J382&lt;=50,'Configuración'!$B$24,IF(J382&lt;=200,'Configuración'!$B$25,0))),0))</f>
        <v>12</v>
      </c>
      <c r="T382" s="37">
        <f>IF(B382="","",IF(ISNUMBER(SEARCH("information technology",I382))+ISNUMBER(SEARCH("software",I382))+ISNUMBER(SEARCH("internet",I382))+ISNUMBER(SEARCH("computer",I382))+ISNUMBER(SEARCH("saas",I382))+ISNUMBER(SEARCH("fintech",I382))+ISNUMBER(SEARCH("information services",I382))+ISNUMBER(SEARCH("telecommunications",I382))&gt;0,'Configuración'!$B$27,'Configuración'!$B$28))</f>
        <v>12</v>
      </c>
      <c r="U382" s="25">
        <f>IF(B382="","",IF(ISNUMBER(SEARCH("CEO",C382))+ISNUMBER(SEARCH("Founder",C382))+ISNUMBER(SEARCH("Owner",C382))+ISNUMBER(SEARCH("Dueño",C382))+ISNUMBER(SEARCH("Director General",C382))+ISNUMBER(SEARCH("Presidente",C382))+ISNUMBER(SEARCH("President",C382))&gt;0,'Configuración'!$B$31,IF(ISNUMBER(SEARCH("CMO",C382))+ISNUMBER(SEARCH("Chief Marketing",C382))+ISNUMBER(SEARCH("VP Marketing",C382))+ISNUMBER(SEARCH("Director de Marketing",C382))+ISNUMBER(SEARCH("Director Marketing",C382))+ISNUMBER(SEARCH("Head of Marketing",C382))+ISNUMBER(SEARCH("Head Marketing",C382))&gt;0,'Configuración'!$B$32,IF(ISNUMBER(SEARCH("Marketing Manager",C382))+ISNUMBER(SEARCH("Gerente de Marketing",C382))+ISNUMBER(SEARCH("Growth Manager",C382))+ISNUMBER(SEARCH("Demand Gen",C382))+ISNUMBER(SEARCH("Marketing Lead",C382))&gt;0,'Configuración'!$B$33,IF(ISNUMBER(SEARCH("COO",C382))+ISNUMBER(SEARCH("CFO",C382))+ISNUMBER(SEARCH("CTO",C382))+ISNUMBER(SEARCH("Chief Operating",C382))+ISNUMBER(SEARCH("Chief Financial",C382))+ISNUMBER(SEARCH("Gerente General",C382))+ISNUMBER(SEARCH("General Manager",C382))&gt;0,'Configuración'!$B$34,'Configuración'!$B$35)))))</f>
        <v>12</v>
      </c>
      <c r="V382" s="38">
        <f>IF(B382="","",IF(K382="Sí",'Configuración'!$B$5,0)+IF(L382="Semanal",'Configuración'!$B$6,IF(L382="Mensual",'Configuración'!$B$7,0))+IF(M382="Sí",'Configuración'!$B$8,0)+IF(N382="Sí",'Configuración'!$B$9,0)+IF(O382="Sí",'Configuración'!$B$10,0)+IF(P382="Sí",'Configuración'!$B$11,0)+IF(Q382="Sí",'Configuración'!$B$12,0)+S382+T382+U382)</f>
        <v>36</v>
      </c>
      <c r="W382" s="39" t="str">
        <f>IF(B382="","",IF(V382&gt;='Configuración'!$B$19,"A",IF(V382&gt;='Configuración'!$B$20,"B",IF(V382&gt;='Configuración'!$B$21,"C","Descarte"))))</f>
        <v>C</v>
      </c>
    </row>
    <row r="383" ht="15.75" customHeight="1">
      <c r="A383" s="34">
        <f t="shared" si="1"/>
        <v>381</v>
      </c>
      <c r="B383" s="29" t="s">
        <v>201</v>
      </c>
      <c r="C383" s="29" t="s">
        <v>1938</v>
      </c>
      <c r="D383" s="29" t="s">
        <v>2414</v>
      </c>
      <c r="E383" s="29" t="s">
        <v>2415</v>
      </c>
      <c r="F383" s="30" t="s">
        <v>2416</v>
      </c>
      <c r="G383" s="30" t="s">
        <v>2417</v>
      </c>
      <c r="H383" s="30" t="s">
        <v>2418</v>
      </c>
      <c r="I383" s="29" t="s">
        <v>847</v>
      </c>
      <c r="J383" s="31">
        <v>3.0</v>
      </c>
      <c r="K383" s="35"/>
      <c r="L383" s="35"/>
      <c r="M383" s="35"/>
      <c r="N383" s="35"/>
      <c r="O383" s="35"/>
      <c r="P383" s="35"/>
      <c r="Q383" s="35"/>
      <c r="R383" s="35"/>
      <c r="S383" s="37">
        <f>IF(B383="","",IF(ISNUMBER(J383),IF(J383&lt;=10,'Configuración'!$B$23,IF(J383&lt;=50,'Configuración'!$B$24,IF(J383&lt;=200,'Configuración'!$B$25,0))),0))</f>
        <v>12</v>
      </c>
      <c r="T383" s="37">
        <f>IF(B383="","",IF(ISNUMBER(SEARCH("information technology",I383))+ISNUMBER(SEARCH("software",I383))+ISNUMBER(SEARCH("internet",I383))+ISNUMBER(SEARCH("computer",I383))+ISNUMBER(SEARCH("saas",I383))+ISNUMBER(SEARCH("fintech",I383))+ISNUMBER(SEARCH("information services",I383))+ISNUMBER(SEARCH("telecommunications",I383))&gt;0,'Configuración'!$B$27,'Configuración'!$B$28))</f>
        <v>4</v>
      </c>
      <c r="U383" s="25">
        <f>IF(B383="","",IF(ISNUMBER(SEARCH("CEO",C383))+ISNUMBER(SEARCH("Founder",C383))+ISNUMBER(SEARCH("Owner",C383))+ISNUMBER(SEARCH("Dueño",C383))+ISNUMBER(SEARCH("Director General",C383))+ISNUMBER(SEARCH("Presidente",C383))+ISNUMBER(SEARCH("President",C383))&gt;0,'Configuración'!$B$31,IF(ISNUMBER(SEARCH("CMO",C383))+ISNUMBER(SEARCH("Chief Marketing",C383))+ISNUMBER(SEARCH("VP Marketing",C383))+ISNUMBER(SEARCH("Director de Marketing",C383))+ISNUMBER(SEARCH("Director Marketing",C383))+ISNUMBER(SEARCH("Head of Marketing",C383))+ISNUMBER(SEARCH("Head Marketing",C383))&gt;0,'Configuración'!$B$32,IF(ISNUMBER(SEARCH("Marketing Manager",C383))+ISNUMBER(SEARCH("Gerente de Marketing",C383))+ISNUMBER(SEARCH("Growth Manager",C383))+ISNUMBER(SEARCH("Demand Gen",C383))+ISNUMBER(SEARCH("Marketing Lead",C383))&gt;0,'Configuración'!$B$33,IF(ISNUMBER(SEARCH("COO",C383))+ISNUMBER(SEARCH("CFO",C383))+ISNUMBER(SEARCH("CTO",C383))+ISNUMBER(SEARCH("Chief Operating",C383))+ISNUMBER(SEARCH("Chief Financial",C383))+ISNUMBER(SEARCH("Gerente General",C383))+ISNUMBER(SEARCH("General Manager",C383))&gt;0,'Configuración'!$B$34,'Configuración'!$B$35)))))</f>
        <v>12</v>
      </c>
      <c r="V383" s="38">
        <f>IF(B383="","",IF(K383="Sí",'Configuración'!$B$5,0)+IF(L383="Semanal",'Configuración'!$B$6,IF(L383="Mensual",'Configuración'!$B$7,0))+IF(M383="Sí",'Configuración'!$B$8,0)+IF(N383="Sí",'Configuración'!$B$9,0)+IF(O383="Sí",'Configuración'!$B$10,0)+IF(P383="Sí",'Configuración'!$B$11,0)+IF(Q383="Sí",'Configuración'!$B$12,0)+S383+T383+U383)</f>
        <v>28</v>
      </c>
      <c r="W383" s="39" t="str">
        <f>IF(B383="","",IF(V383&gt;='Configuración'!$B$19,"A",IF(V383&gt;='Configuración'!$B$20,"B",IF(V383&gt;='Configuración'!$B$21,"C","Descarte"))))</f>
        <v>C</v>
      </c>
    </row>
    <row r="384" ht="15.75" customHeight="1">
      <c r="A384" s="34">
        <f t="shared" si="1"/>
        <v>382</v>
      </c>
      <c r="B384" s="29" t="s">
        <v>109</v>
      </c>
      <c r="C384" s="29" t="s">
        <v>622</v>
      </c>
      <c r="D384" s="29" t="s">
        <v>2419</v>
      </c>
      <c r="E384" s="29" t="s">
        <v>2420</v>
      </c>
      <c r="F384" s="30" t="s">
        <v>2421</v>
      </c>
      <c r="G384" s="30" t="s">
        <v>2422</v>
      </c>
      <c r="H384" s="30" t="s">
        <v>2423</v>
      </c>
      <c r="I384" s="29" t="s">
        <v>127</v>
      </c>
      <c r="J384" s="31">
        <v>1.0</v>
      </c>
      <c r="K384" s="35"/>
      <c r="L384" s="35"/>
      <c r="M384" s="35"/>
      <c r="N384" s="35"/>
      <c r="O384" s="35"/>
      <c r="P384" s="35"/>
      <c r="Q384" s="35"/>
      <c r="R384" s="35"/>
      <c r="S384" s="37">
        <f>IF(B384="","",IF(ISNUMBER(J384),IF(J384&lt;=10,'Configuración'!$B$23,IF(J384&lt;=50,'Configuración'!$B$24,IF(J384&lt;=200,'Configuración'!$B$25,0))),0))</f>
        <v>12</v>
      </c>
      <c r="T384" s="37">
        <f>IF(B384="","",IF(ISNUMBER(SEARCH("information technology",I384))+ISNUMBER(SEARCH("software",I384))+ISNUMBER(SEARCH("internet",I384))+ISNUMBER(SEARCH("computer",I384))+ISNUMBER(SEARCH("saas",I384))+ISNUMBER(SEARCH("fintech",I384))+ISNUMBER(SEARCH("information services",I384))+ISNUMBER(SEARCH("telecommunications",I384))&gt;0,'Configuración'!$B$27,'Configuración'!$B$28))</f>
        <v>12</v>
      </c>
      <c r="U384" s="25">
        <f>IF(B384="","",IF(ISNUMBER(SEARCH("CEO",C384))+ISNUMBER(SEARCH("Founder",C384))+ISNUMBER(SEARCH("Owner",C384))+ISNUMBER(SEARCH("Dueño",C384))+ISNUMBER(SEARCH("Director General",C384))+ISNUMBER(SEARCH("Presidente",C384))+ISNUMBER(SEARCH("President",C384))&gt;0,'Configuración'!$B$31,IF(ISNUMBER(SEARCH("CMO",C384))+ISNUMBER(SEARCH("Chief Marketing",C384))+ISNUMBER(SEARCH("VP Marketing",C384))+ISNUMBER(SEARCH("Director de Marketing",C384))+ISNUMBER(SEARCH("Director Marketing",C384))+ISNUMBER(SEARCH("Head of Marketing",C384))+ISNUMBER(SEARCH("Head Marketing",C384))&gt;0,'Configuración'!$B$32,IF(ISNUMBER(SEARCH("Marketing Manager",C384))+ISNUMBER(SEARCH("Gerente de Marketing",C384))+ISNUMBER(SEARCH("Growth Manager",C384))+ISNUMBER(SEARCH("Demand Gen",C384))+ISNUMBER(SEARCH("Marketing Lead",C384))&gt;0,'Configuración'!$B$33,IF(ISNUMBER(SEARCH("COO",C384))+ISNUMBER(SEARCH("CFO",C384))+ISNUMBER(SEARCH("CTO",C384))+ISNUMBER(SEARCH("Chief Operating",C384))+ISNUMBER(SEARCH("Chief Financial",C384))+ISNUMBER(SEARCH("Gerente General",C384))+ISNUMBER(SEARCH("General Manager",C384))&gt;0,'Configuración'!$B$34,'Configuración'!$B$35)))))</f>
        <v>12</v>
      </c>
      <c r="V384" s="38">
        <f>IF(B384="","",IF(K384="Sí",'Configuración'!$B$5,0)+IF(L384="Semanal",'Configuración'!$B$6,IF(L384="Mensual",'Configuración'!$B$7,0))+IF(M384="Sí",'Configuración'!$B$8,0)+IF(N384="Sí",'Configuración'!$B$9,0)+IF(O384="Sí",'Configuración'!$B$10,0)+IF(P384="Sí",'Configuración'!$B$11,0)+IF(Q384="Sí",'Configuración'!$B$12,0)+S384+T384+U384)</f>
        <v>36</v>
      </c>
      <c r="W384" s="39" t="str">
        <f>IF(B384="","",IF(V384&gt;='Configuración'!$B$19,"A",IF(V384&gt;='Configuración'!$B$20,"B",IF(V384&gt;='Configuración'!$B$21,"C","Descarte"))))</f>
        <v>C</v>
      </c>
    </row>
    <row r="385" ht="15.75" customHeight="1">
      <c r="A385" s="34">
        <f t="shared" si="1"/>
        <v>383</v>
      </c>
      <c r="B385" s="29" t="s">
        <v>181</v>
      </c>
      <c r="C385" s="29" t="s">
        <v>202</v>
      </c>
      <c r="D385" s="29" t="s">
        <v>2424</v>
      </c>
      <c r="E385" s="29" t="s">
        <v>2425</v>
      </c>
      <c r="F385" s="30" t="s">
        <v>2426</v>
      </c>
      <c r="G385" s="30" t="s">
        <v>2427</v>
      </c>
      <c r="H385" s="30" t="s">
        <v>2428</v>
      </c>
      <c r="I385" s="29" t="s">
        <v>1245</v>
      </c>
      <c r="J385" s="31">
        <v>23.0</v>
      </c>
      <c r="K385" s="35"/>
      <c r="L385" s="35"/>
      <c r="M385" s="35"/>
      <c r="N385" s="35"/>
      <c r="O385" s="35"/>
      <c r="P385" s="35"/>
      <c r="Q385" s="35"/>
      <c r="R385" s="35"/>
      <c r="S385" s="37">
        <f>IF(B385="","",IF(ISNUMBER(J385),IF(J385&lt;=10,'Configuración'!$B$23,IF(J385&lt;=50,'Configuración'!$B$24,IF(J385&lt;=200,'Configuración'!$B$25,0))),0))</f>
        <v>4</v>
      </c>
      <c r="T385" s="37">
        <f>IF(B385="","",IF(ISNUMBER(SEARCH("information technology",I385))+ISNUMBER(SEARCH("software",I385))+ISNUMBER(SEARCH("internet",I385))+ISNUMBER(SEARCH("computer",I385))+ISNUMBER(SEARCH("saas",I385))+ISNUMBER(SEARCH("fintech",I385))+ISNUMBER(SEARCH("information services",I385))+ISNUMBER(SEARCH("telecommunications",I385))&gt;0,'Configuración'!$B$27,'Configuración'!$B$28))</f>
        <v>4</v>
      </c>
      <c r="U385" s="25">
        <f>IF(B385="","",IF(ISNUMBER(SEARCH("CEO",C385))+ISNUMBER(SEARCH("Founder",C385))+ISNUMBER(SEARCH("Owner",C385))+ISNUMBER(SEARCH("Dueño",C385))+ISNUMBER(SEARCH("Director General",C385))+ISNUMBER(SEARCH("Presidente",C385))+ISNUMBER(SEARCH("President",C385))&gt;0,'Configuración'!$B$31,IF(ISNUMBER(SEARCH("CMO",C385))+ISNUMBER(SEARCH("Chief Marketing",C385))+ISNUMBER(SEARCH("VP Marketing",C385))+ISNUMBER(SEARCH("Director de Marketing",C385))+ISNUMBER(SEARCH("Director Marketing",C385))+ISNUMBER(SEARCH("Head of Marketing",C385))+ISNUMBER(SEARCH("Head Marketing",C385))&gt;0,'Configuración'!$B$32,IF(ISNUMBER(SEARCH("Marketing Manager",C385))+ISNUMBER(SEARCH("Gerente de Marketing",C385))+ISNUMBER(SEARCH("Growth Manager",C385))+ISNUMBER(SEARCH("Demand Gen",C385))+ISNUMBER(SEARCH("Marketing Lead",C385))&gt;0,'Configuración'!$B$33,IF(ISNUMBER(SEARCH("COO",C385))+ISNUMBER(SEARCH("CFO",C385))+ISNUMBER(SEARCH("CTO",C385))+ISNUMBER(SEARCH("Chief Operating",C385))+ISNUMBER(SEARCH("Chief Financial",C385))+ISNUMBER(SEARCH("Gerente General",C385))+ISNUMBER(SEARCH("General Manager",C385))&gt;0,'Configuración'!$B$34,'Configuración'!$B$35)))))</f>
        <v>12</v>
      </c>
      <c r="V385" s="38">
        <f>IF(B385="","",IF(K385="Sí",'Configuración'!$B$5,0)+IF(L385="Semanal",'Configuración'!$B$6,IF(L385="Mensual",'Configuración'!$B$7,0))+IF(M385="Sí",'Configuración'!$B$8,0)+IF(N385="Sí",'Configuración'!$B$9,0)+IF(O385="Sí",'Configuración'!$B$10,0)+IF(P385="Sí",'Configuración'!$B$11,0)+IF(Q385="Sí",'Configuración'!$B$12,0)+S385+T385+U385)</f>
        <v>20</v>
      </c>
      <c r="W385" s="39" t="str">
        <f>IF(B385="","",IF(V385&gt;='Configuración'!$B$19,"A",IF(V385&gt;='Configuración'!$B$20,"B",IF(V385&gt;='Configuración'!$B$21,"C","Descarte"))))</f>
        <v>Descarte</v>
      </c>
    </row>
    <row r="386" ht="15.75" customHeight="1">
      <c r="A386" s="34">
        <f t="shared" si="1"/>
        <v>384</v>
      </c>
      <c r="B386" s="29" t="s">
        <v>2429</v>
      </c>
      <c r="C386" s="29" t="s">
        <v>2430</v>
      </c>
      <c r="D386" s="29" t="s">
        <v>2431</v>
      </c>
      <c r="E386" s="29" t="s">
        <v>2432</v>
      </c>
      <c r="F386" s="30" t="s">
        <v>2433</v>
      </c>
      <c r="G386" s="30" t="s">
        <v>2434</v>
      </c>
      <c r="H386" s="30" t="s">
        <v>2435</v>
      </c>
      <c r="I386" s="29" t="s">
        <v>428</v>
      </c>
      <c r="J386" s="31">
        <v>3.0</v>
      </c>
      <c r="K386" s="35"/>
      <c r="L386" s="35"/>
      <c r="M386" s="35"/>
      <c r="N386" s="35"/>
      <c r="O386" s="35"/>
      <c r="P386" s="35"/>
      <c r="Q386" s="35"/>
      <c r="R386" s="35"/>
      <c r="S386" s="37">
        <f>IF(B386="","",IF(ISNUMBER(J386),IF(J386&lt;=10,'Configuración'!$B$23,IF(J386&lt;=50,'Configuración'!$B$24,IF(J386&lt;=200,'Configuración'!$B$25,0))),0))</f>
        <v>12</v>
      </c>
      <c r="T386" s="37">
        <f>IF(B386="","",IF(ISNUMBER(SEARCH("information technology",I386))+ISNUMBER(SEARCH("software",I386))+ISNUMBER(SEARCH("internet",I386))+ISNUMBER(SEARCH("computer",I386))+ISNUMBER(SEARCH("saas",I386))+ISNUMBER(SEARCH("fintech",I386))+ISNUMBER(SEARCH("information services",I386))+ISNUMBER(SEARCH("telecommunications",I386))&gt;0,'Configuración'!$B$27,'Configuración'!$B$28))</f>
        <v>12</v>
      </c>
      <c r="U386" s="25">
        <f>IF(B386="","",IF(ISNUMBER(SEARCH("CEO",C386))+ISNUMBER(SEARCH("Founder",C386))+ISNUMBER(SEARCH("Owner",C386))+ISNUMBER(SEARCH("Dueño",C386))+ISNUMBER(SEARCH("Director General",C386))+ISNUMBER(SEARCH("Presidente",C386))+ISNUMBER(SEARCH("President",C386))&gt;0,'Configuración'!$B$31,IF(ISNUMBER(SEARCH("CMO",C386))+ISNUMBER(SEARCH("Chief Marketing",C386))+ISNUMBER(SEARCH("VP Marketing",C386))+ISNUMBER(SEARCH("Director de Marketing",C386))+ISNUMBER(SEARCH("Director Marketing",C386))+ISNUMBER(SEARCH("Head of Marketing",C386))+ISNUMBER(SEARCH("Head Marketing",C386))&gt;0,'Configuración'!$B$32,IF(ISNUMBER(SEARCH("Marketing Manager",C386))+ISNUMBER(SEARCH("Gerente de Marketing",C386))+ISNUMBER(SEARCH("Growth Manager",C386))+ISNUMBER(SEARCH("Demand Gen",C386))+ISNUMBER(SEARCH("Marketing Lead",C386))&gt;0,'Configuración'!$B$33,IF(ISNUMBER(SEARCH("COO",C386))+ISNUMBER(SEARCH("CFO",C386))+ISNUMBER(SEARCH("CTO",C386))+ISNUMBER(SEARCH("Chief Operating",C386))+ISNUMBER(SEARCH("Chief Financial",C386))+ISNUMBER(SEARCH("Gerente General",C386))+ISNUMBER(SEARCH("General Manager",C386))&gt;0,'Configuración'!$B$34,'Configuración'!$B$35)))))</f>
        <v>12</v>
      </c>
      <c r="V386" s="38">
        <f>IF(B386="","",IF(K386="Sí",'Configuración'!$B$5,0)+IF(L386="Semanal",'Configuración'!$B$6,IF(L386="Mensual",'Configuración'!$B$7,0))+IF(M386="Sí",'Configuración'!$B$8,0)+IF(N386="Sí",'Configuración'!$B$9,0)+IF(O386="Sí",'Configuración'!$B$10,0)+IF(P386="Sí",'Configuración'!$B$11,0)+IF(Q386="Sí",'Configuración'!$B$12,0)+S386+T386+U386)</f>
        <v>36</v>
      </c>
      <c r="W386" s="39" t="str">
        <f>IF(B386="","",IF(V386&gt;='Configuración'!$B$19,"A",IF(V386&gt;='Configuración'!$B$20,"B",IF(V386&gt;='Configuración'!$B$21,"C","Descarte"))))</f>
        <v>C</v>
      </c>
    </row>
    <row r="387" ht="15.75" customHeight="1">
      <c r="A387" s="34">
        <f t="shared" si="1"/>
        <v>385</v>
      </c>
      <c r="B387" s="29" t="s">
        <v>755</v>
      </c>
      <c r="C387" s="29" t="s">
        <v>110</v>
      </c>
      <c r="D387" s="29" t="s">
        <v>2436</v>
      </c>
      <c r="E387" s="29" t="s">
        <v>2437</v>
      </c>
      <c r="F387" s="30" t="s">
        <v>2438</v>
      </c>
      <c r="G387" s="30" t="s">
        <v>2439</v>
      </c>
      <c r="H387" s="30" t="s">
        <v>2440</v>
      </c>
      <c r="I387" s="29" t="s">
        <v>127</v>
      </c>
      <c r="J387" s="31">
        <v>10.0</v>
      </c>
      <c r="K387" s="35"/>
      <c r="L387" s="35"/>
      <c r="M387" s="35"/>
      <c r="N387" s="35"/>
      <c r="O387" s="35"/>
      <c r="P387" s="35"/>
      <c r="Q387" s="35"/>
      <c r="R387" s="35"/>
      <c r="S387" s="37">
        <f>IF(B387="","",IF(ISNUMBER(J387),IF(J387&lt;=10,'Configuración'!$B$23,IF(J387&lt;=50,'Configuración'!$B$24,IF(J387&lt;=200,'Configuración'!$B$25,0))),0))</f>
        <v>12</v>
      </c>
      <c r="T387" s="37">
        <f>IF(B387="","",IF(ISNUMBER(SEARCH("information technology",I387))+ISNUMBER(SEARCH("software",I387))+ISNUMBER(SEARCH("internet",I387))+ISNUMBER(SEARCH("computer",I387))+ISNUMBER(SEARCH("saas",I387))+ISNUMBER(SEARCH("fintech",I387))+ISNUMBER(SEARCH("information services",I387))+ISNUMBER(SEARCH("telecommunications",I387))&gt;0,'Configuración'!$B$27,'Configuración'!$B$28))</f>
        <v>12</v>
      </c>
      <c r="U387" s="25">
        <f>IF(B387="","",IF(ISNUMBER(SEARCH("CEO",C387))+ISNUMBER(SEARCH("Founder",C387))+ISNUMBER(SEARCH("Owner",C387))+ISNUMBER(SEARCH("Dueño",C387))+ISNUMBER(SEARCH("Director General",C387))+ISNUMBER(SEARCH("Presidente",C387))+ISNUMBER(SEARCH("President",C387))&gt;0,'Configuración'!$B$31,IF(ISNUMBER(SEARCH("CMO",C387))+ISNUMBER(SEARCH("Chief Marketing",C387))+ISNUMBER(SEARCH("VP Marketing",C387))+ISNUMBER(SEARCH("Director de Marketing",C387))+ISNUMBER(SEARCH("Director Marketing",C387))+ISNUMBER(SEARCH("Head of Marketing",C387))+ISNUMBER(SEARCH("Head Marketing",C387))&gt;0,'Configuración'!$B$32,IF(ISNUMBER(SEARCH("Marketing Manager",C387))+ISNUMBER(SEARCH("Gerente de Marketing",C387))+ISNUMBER(SEARCH("Growth Manager",C387))+ISNUMBER(SEARCH("Demand Gen",C387))+ISNUMBER(SEARCH("Marketing Lead",C387))&gt;0,'Configuración'!$B$33,IF(ISNUMBER(SEARCH("COO",C387))+ISNUMBER(SEARCH("CFO",C387))+ISNUMBER(SEARCH("CTO",C387))+ISNUMBER(SEARCH("Chief Operating",C387))+ISNUMBER(SEARCH("Chief Financial",C387))+ISNUMBER(SEARCH("Gerente General",C387))+ISNUMBER(SEARCH("General Manager",C387))&gt;0,'Configuración'!$B$34,'Configuración'!$B$35)))))</f>
        <v>12</v>
      </c>
      <c r="V387" s="38">
        <f>IF(B387="","",IF(K387="Sí",'Configuración'!$B$5,0)+IF(L387="Semanal",'Configuración'!$B$6,IF(L387="Mensual",'Configuración'!$B$7,0))+IF(M387="Sí",'Configuración'!$B$8,0)+IF(N387="Sí",'Configuración'!$B$9,0)+IF(O387="Sí",'Configuración'!$B$10,0)+IF(P387="Sí",'Configuración'!$B$11,0)+IF(Q387="Sí",'Configuración'!$B$12,0)+S387+T387+U387)</f>
        <v>36</v>
      </c>
      <c r="W387" s="39" t="str">
        <f>IF(B387="","",IF(V387&gt;='Configuración'!$B$19,"A",IF(V387&gt;='Configuración'!$B$20,"B",IF(V387&gt;='Configuración'!$B$21,"C","Descarte"))))</f>
        <v>C</v>
      </c>
    </row>
    <row r="388" ht="15.75" customHeight="1">
      <c r="A388" s="34">
        <f t="shared" si="1"/>
        <v>386</v>
      </c>
      <c r="B388" s="29" t="s">
        <v>2441</v>
      </c>
      <c r="C388" s="29" t="s">
        <v>2442</v>
      </c>
      <c r="D388" s="29" t="s">
        <v>2443</v>
      </c>
      <c r="E388" s="29" t="s">
        <v>2444</v>
      </c>
      <c r="F388" s="30" t="s">
        <v>2445</v>
      </c>
      <c r="G388" s="30" t="s">
        <v>2446</v>
      </c>
      <c r="H388" s="30" t="s">
        <v>2447</v>
      </c>
      <c r="I388" s="29" t="s">
        <v>137</v>
      </c>
      <c r="J388" s="31">
        <v>27.0</v>
      </c>
      <c r="K388" s="35"/>
      <c r="L388" s="35"/>
      <c r="M388" s="35"/>
      <c r="N388" s="35"/>
      <c r="O388" s="35"/>
      <c r="P388" s="35"/>
      <c r="Q388" s="35"/>
      <c r="R388" s="35"/>
      <c r="S388" s="37">
        <f>IF(B388="","",IF(ISNUMBER(J388),IF(J388&lt;=10,'Configuración'!$B$23,IF(J388&lt;=50,'Configuración'!$B$24,IF(J388&lt;=200,'Configuración'!$B$25,0))),0))</f>
        <v>4</v>
      </c>
      <c r="T388" s="37">
        <f>IF(B388="","",IF(ISNUMBER(SEARCH("information technology",I388))+ISNUMBER(SEARCH("software",I388))+ISNUMBER(SEARCH("internet",I388))+ISNUMBER(SEARCH("computer",I388))+ISNUMBER(SEARCH("saas",I388))+ISNUMBER(SEARCH("fintech",I388))+ISNUMBER(SEARCH("information services",I388))+ISNUMBER(SEARCH("telecommunications",I388))&gt;0,'Configuración'!$B$27,'Configuración'!$B$28))</f>
        <v>4</v>
      </c>
      <c r="U388" s="25">
        <f>IF(B388="","",IF(ISNUMBER(SEARCH("CEO",C388))+ISNUMBER(SEARCH("Founder",C388))+ISNUMBER(SEARCH("Owner",C388))+ISNUMBER(SEARCH("Dueño",C388))+ISNUMBER(SEARCH("Director General",C388))+ISNUMBER(SEARCH("Presidente",C388))+ISNUMBER(SEARCH("President",C388))&gt;0,'Configuración'!$B$31,IF(ISNUMBER(SEARCH("CMO",C388))+ISNUMBER(SEARCH("Chief Marketing",C388))+ISNUMBER(SEARCH("VP Marketing",C388))+ISNUMBER(SEARCH("Director de Marketing",C388))+ISNUMBER(SEARCH("Director Marketing",C388))+ISNUMBER(SEARCH("Head of Marketing",C388))+ISNUMBER(SEARCH("Head Marketing",C388))&gt;0,'Configuración'!$B$32,IF(ISNUMBER(SEARCH("Marketing Manager",C388))+ISNUMBER(SEARCH("Gerente de Marketing",C388))+ISNUMBER(SEARCH("Growth Manager",C388))+ISNUMBER(SEARCH("Demand Gen",C388))+ISNUMBER(SEARCH("Marketing Lead",C388))&gt;0,'Configuración'!$B$33,IF(ISNUMBER(SEARCH("COO",C388))+ISNUMBER(SEARCH("CFO",C388))+ISNUMBER(SEARCH("CTO",C388))+ISNUMBER(SEARCH("Chief Operating",C388))+ISNUMBER(SEARCH("Chief Financial",C388))+ISNUMBER(SEARCH("Gerente General",C388))+ISNUMBER(SEARCH("General Manager",C388))&gt;0,'Configuración'!$B$34,'Configuración'!$B$35)))))</f>
        <v>4</v>
      </c>
      <c r="V388" s="38">
        <f>IF(B388="","",IF(K388="Sí",'Configuración'!$B$5,0)+IF(L388="Semanal",'Configuración'!$B$6,IF(L388="Mensual",'Configuración'!$B$7,0))+IF(M388="Sí",'Configuración'!$B$8,0)+IF(N388="Sí",'Configuración'!$B$9,0)+IF(O388="Sí",'Configuración'!$B$10,0)+IF(P388="Sí",'Configuración'!$B$11,0)+IF(Q388="Sí",'Configuración'!$B$12,0)+S388+T388+U388)</f>
        <v>12</v>
      </c>
      <c r="W388" s="39" t="str">
        <f>IF(B388="","",IF(V388&gt;='Configuración'!$B$19,"A",IF(V388&gt;='Configuración'!$B$20,"B",IF(V388&gt;='Configuración'!$B$21,"C","Descarte"))))</f>
        <v>Descarte</v>
      </c>
    </row>
    <row r="389" ht="15.75" customHeight="1">
      <c r="A389" s="34">
        <f t="shared" si="1"/>
        <v>387</v>
      </c>
      <c r="B389" s="29" t="s">
        <v>2448</v>
      </c>
      <c r="C389" s="29" t="s">
        <v>131</v>
      </c>
      <c r="D389" s="29" t="s">
        <v>2449</v>
      </c>
      <c r="E389" s="29" t="s">
        <v>2450</v>
      </c>
      <c r="F389" s="30" t="s">
        <v>2451</v>
      </c>
      <c r="G389" s="30" t="s">
        <v>2452</v>
      </c>
      <c r="H389" s="30" t="s">
        <v>2453</v>
      </c>
      <c r="I389" s="29" t="s">
        <v>188</v>
      </c>
      <c r="J389" s="31">
        <v>7.0</v>
      </c>
      <c r="K389" s="35"/>
      <c r="L389" s="35"/>
      <c r="M389" s="35"/>
      <c r="N389" s="35"/>
      <c r="O389" s="35"/>
      <c r="P389" s="35"/>
      <c r="Q389" s="35"/>
      <c r="R389" s="35"/>
      <c r="S389" s="37">
        <f>IF(B389="","",IF(ISNUMBER(J389),IF(J389&lt;=10,'Configuración'!$B$23,IF(J389&lt;=50,'Configuración'!$B$24,IF(J389&lt;=200,'Configuración'!$B$25,0))),0))</f>
        <v>12</v>
      </c>
      <c r="T389" s="37">
        <f>IF(B389="","",IF(ISNUMBER(SEARCH("information technology",I389))+ISNUMBER(SEARCH("software",I389))+ISNUMBER(SEARCH("internet",I389))+ISNUMBER(SEARCH("computer",I389))+ISNUMBER(SEARCH("saas",I389))+ISNUMBER(SEARCH("fintech",I389))+ISNUMBER(SEARCH("information services",I389))+ISNUMBER(SEARCH("telecommunications",I389))&gt;0,'Configuración'!$B$27,'Configuración'!$B$28))</f>
        <v>4</v>
      </c>
      <c r="U389" s="25">
        <f>IF(B389="","",IF(ISNUMBER(SEARCH("CEO",C389))+ISNUMBER(SEARCH("Founder",C389))+ISNUMBER(SEARCH("Owner",C389))+ISNUMBER(SEARCH("Dueño",C389))+ISNUMBER(SEARCH("Director General",C389))+ISNUMBER(SEARCH("Presidente",C389))+ISNUMBER(SEARCH("President",C389))&gt;0,'Configuración'!$B$31,IF(ISNUMBER(SEARCH("CMO",C389))+ISNUMBER(SEARCH("Chief Marketing",C389))+ISNUMBER(SEARCH("VP Marketing",C389))+ISNUMBER(SEARCH("Director de Marketing",C389))+ISNUMBER(SEARCH("Director Marketing",C389))+ISNUMBER(SEARCH("Head of Marketing",C389))+ISNUMBER(SEARCH("Head Marketing",C389))&gt;0,'Configuración'!$B$32,IF(ISNUMBER(SEARCH("Marketing Manager",C389))+ISNUMBER(SEARCH("Gerente de Marketing",C389))+ISNUMBER(SEARCH("Growth Manager",C389))+ISNUMBER(SEARCH("Demand Gen",C389))+ISNUMBER(SEARCH("Marketing Lead",C389))&gt;0,'Configuración'!$B$33,IF(ISNUMBER(SEARCH("COO",C389))+ISNUMBER(SEARCH("CFO",C389))+ISNUMBER(SEARCH("CTO",C389))+ISNUMBER(SEARCH("Chief Operating",C389))+ISNUMBER(SEARCH("Chief Financial",C389))+ISNUMBER(SEARCH("Gerente General",C389))+ISNUMBER(SEARCH("General Manager",C389))&gt;0,'Configuración'!$B$34,'Configuración'!$B$35)))))</f>
        <v>12</v>
      </c>
      <c r="V389" s="38">
        <f>IF(B389="","",IF(K389="Sí",'Configuración'!$B$5,0)+IF(L389="Semanal",'Configuración'!$B$6,IF(L389="Mensual",'Configuración'!$B$7,0))+IF(M389="Sí",'Configuración'!$B$8,0)+IF(N389="Sí",'Configuración'!$B$9,0)+IF(O389="Sí",'Configuración'!$B$10,0)+IF(P389="Sí",'Configuración'!$B$11,0)+IF(Q389="Sí",'Configuración'!$B$12,0)+S389+T389+U389)</f>
        <v>28</v>
      </c>
      <c r="W389" s="39" t="str">
        <f>IF(B389="","",IF(V389&gt;='Configuración'!$B$19,"A",IF(V389&gt;='Configuración'!$B$20,"B",IF(V389&gt;='Configuración'!$B$21,"C","Descarte"))))</f>
        <v>C</v>
      </c>
    </row>
    <row r="390" ht="15.75" customHeight="1">
      <c r="A390" s="34">
        <f t="shared" si="1"/>
        <v>388</v>
      </c>
      <c r="B390" s="29" t="s">
        <v>181</v>
      </c>
      <c r="C390" s="29" t="s">
        <v>146</v>
      </c>
      <c r="D390" s="29" t="s">
        <v>2454</v>
      </c>
      <c r="E390" s="29" t="s">
        <v>2455</v>
      </c>
      <c r="F390" s="30" t="s">
        <v>2456</v>
      </c>
      <c r="G390" s="30" t="s">
        <v>2457</v>
      </c>
      <c r="H390" s="30" t="s">
        <v>2458</v>
      </c>
      <c r="I390" s="29" t="s">
        <v>542</v>
      </c>
      <c r="J390" s="31">
        <v>1.0</v>
      </c>
      <c r="K390" s="35"/>
      <c r="L390" s="35"/>
      <c r="M390" s="35"/>
      <c r="N390" s="35"/>
      <c r="O390" s="35"/>
      <c r="P390" s="35"/>
      <c r="Q390" s="35"/>
      <c r="R390" s="35"/>
      <c r="S390" s="37">
        <f>IF(B390="","",IF(ISNUMBER(J390),IF(J390&lt;=10,'Configuración'!$B$23,IF(J390&lt;=50,'Configuración'!$B$24,IF(J390&lt;=200,'Configuración'!$B$25,0))),0))</f>
        <v>12</v>
      </c>
      <c r="T390" s="37">
        <f>IF(B390="","",IF(ISNUMBER(SEARCH("information technology",I390))+ISNUMBER(SEARCH("software",I390))+ISNUMBER(SEARCH("internet",I390))+ISNUMBER(SEARCH("computer",I390))+ISNUMBER(SEARCH("saas",I390))+ISNUMBER(SEARCH("fintech",I390))+ISNUMBER(SEARCH("information services",I390))+ISNUMBER(SEARCH("telecommunications",I390))&gt;0,'Configuración'!$B$27,'Configuración'!$B$28))</f>
        <v>4</v>
      </c>
      <c r="U390" s="25">
        <f>IF(B390="","",IF(ISNUMBER(SEARCH("CEO",C390))+ISNUMBER(SEARCH("Founder",C390))+ISNUMBER(SEARCH("Owner",C390))+ISNUMBER(SEARCH("Dueño",C390))+ISNUMBER(SEARCH("Director General",C390))+ISNUMBER(SEARCH("Presidente",C390))+ISNUMBER(SEARCH("President",C390))&gt;0,'Configuración'!$B$31,IF(ISNUMBER(SEARCH("CMO",C390))+ISNUMBER(SEARCH("Chief Marketing",C390))+ISNUMBER(SEARCH("VP Marketing",C390))+ISNUMBER(SEARCH("Director de Marketing",C390))+ISNUMBER(SEARCH("Director Marketing",C390))+ISNUMBER(SEARCH("Head of Marketing",C390))+ISNUMBER(SEARCH("Head Marketing",C390))&gt;0,'Configuración'!$B$32,IF(ISNUMBER(SEARCH("Marketing Manager",C390))+ISNUMBER(SEARCH("Gerente de Marketing",C390))+ISNUMBER(SEARCH("Growth Manager",C390))+ISNUMBER(SEARCH("Demand Gen",C390))+ISNUMBER(SEARCH("Marketing Lead",C390))&gt;0,'Configuración'!$B$33,IF(ISNUMBER(SEARCH("COO",C390))+ISNUMBER(SEARCH("CFO",C390))+ISNUMBER(SEARCH("CTO",C390))+ISNUMBER(SEARCH("Chief Operating",C390))+ISNUMBER(SEARCH("Chief Financial",C390))+ISNUMBER(SEARCH("Gerente General",C390))+ISNUMBER(SEARCH("General Manager",C390))&gt;0,'Configuración'!$B$34,'Configuración'!$B$35)))))</f>
        <v>0</v>
      </c>
      <c r="V390" s="38">
        <f>IF(B390="","",IF(K390="Sí",'Configuración'!$B$5,0)+IF(L390="Semanal",'Configuración'!$B$6,IF(L390="Mensual",'Configuración'!$B$7,0))+IF(M390="Sí",'Configuración'!$B$8,0)+IF(N390="Sí",'Configuración'!$B$9,0)+IF(O390="Sí",'Configuración'!$B$10,0)+IF(P390="Sí",'Configuración'!$B$11,0)+IF(Q390="Sí",'Configuración'!$B$12,0)+S390+T390+U390)</f>
        <v>16</v>
      </c>
      <c r="W390" s="39" t="str">
        <f>IF(B390="","",IF(V390&gt;='Configuración'!$B$19,"A",IF(V390&gt;='Configuración'!$B$20,"B",IF(V390&gt;='Configuración'!$B$21,"C","Descarte"))))</f>
        <v>Descarte</v>
      </c>
    </row>
    <row r="391" ht="15.75" customHeight="1">
      <c r="A391" s="34">
        <f t="shared" si="1"/>
        <v>389</v>
      </c>
      <c r="B391" s="29" t="s">
        <v>236</v>
      </c>
      <c r="C391" s="29" t="s">
        <v>2459</v>
      </c>
      <c r="D391" s="29" t="s">
        <v>2460</v>
      </c>
      <c r="E391" s="29" t="s">
        <v>2461</v>
      </c>
      <c r="F391" s="30" t="s">
        <v>2462</v>
      </c>
      <c r="G391" s="30" t="s">
        <v>2463</v>
      </c>
      <c r="H391" s="30" t="s">
        <v>2464</v>
      </c>
      <c r="I391" s="29" t="s">
        <v>480</v>
      </c>
      <c r="J391" s="31">
        <v>10.0</v>
      </c>
      <c r="K391" s="35"/>
      <c r="L391" s="35"/>
      <c r="M391" s="35"/>
      <c r="N391" s="35"/>
      <c r="O391" s="35"/>
      <c r="P391" s="35"/>
      <c r="Q391" s="35"/>
      <c r="R391" s="35"/>
      <c r="S391" s="37">
        <f>IF(B391="","",IF(ISNUMBER(J391),IF(J391&lt;=10,'Configuración'!$B$23,IF(J391&lt;=50,'Configuración'!$B$24,IF(J391&lt;=200,'Configuración'!$B$25,0))),0))</f>
        <v>12</v>
      </c>
      <c r="T391" s="37">
        <f>IF(B391="","",IF(ISNUMBER(SEARCH("information technology",I391))+ISNUMBER(SEARCH("software",I391))+ISNUMBER(SEARCH("internet",I391))+ISNUMBER(SEARCH("computer",I391))+ISNUMBER(SEARCH("saas",I391))+ISNUMBER(SEARCH("fintech",I391))+ISNUMBER(SEARCH("information services",I391))+ISNUMBER(SEARCH("telecommunications",I391))&gt;0,'Configuración'!$B$27,'Configuración'!$B$28))</f>
        <v>4</v>
      </c>
      <c r="U391" s="25">
        <f>IF(B391="","",IF(ISNUMBER(SEARCH("CEO",C391))+ISNUMBER(SEARCH("Founder",C391))+ISNUMBER(SEARCH("Owner",C391))+ISNUMBER(SEARCH("Dueño",C391))+ISNUMBER(SEARCH("Director General",C391))+ISNUMBER(SEARCH("Presidente",C391))+ISNUMBER(SEARCH("President",C391))&gt;0,'Configuración'!$B$31,IF(ISNUMBER(SEARCH("CMO",C391))+ISNUMBER(SEARCH("Chief Marketing",C391))+ISNUMBER(SEARCH("VP Marketing",C391))+ISNUMBER(SEARCH("Director de Marketing",C391))+ISNUMBER(SEARCH("Director Marketing",C391))+ISNUMBER(SEARCH("Head of Marketing",C391))+ISNUMBER(SEARCH("Head Marketing",C391))&gt;0,'Configuración'!$B$32,IF(ISNUMBER(SEARCH("Marketing Manager",C391))+ISNUMBER(SEARCH("Gerente de Marketing",C391))+ISNUMBER(SEARCH("Growth Manager",C391))+ISNUMBER(SEARCH("Demand Gen",C391))+ISNUMBER(SEARCH("Marketing Lead",C391))&gt;0,'Configuración'!$B$33,IF(ISNUMBER(SEARCH("COO",C391))+ISNUMBER(SEARCH("CFO",C391))+ISNUMBER(SEARCH("CTO",C391))+ISNUMBER(SEARCH("Chief Operating",C391))+ISNUMBER(SEARCH("Chief Financial",C391))+ISNUMBER(SEARCH("Gerente General",C391))+ISNUMBER(SEARCH("General Manager",C391))&gt;0,'Configuración'!$B$34,'Configuración'!$B$35)))))</f>
        <v>12</v>
      </c>
      <c r="V391" s="38">
        <f>IF(B391="","",IF(K391="Sí",'Configuración'!$B$5,0)+IF(L391="Semanal",'Configuración'!$B$6,IF(L391="Mensual",'Configuración'!$B$7,0))+IF(M391="Sí",'Configuración'!$B$8,0)+IF(N391="Sí",'Configuración'!$B$9,0)+IF(O391="Sí",'Configuración'!$B$10,0)+IF(P391="Sí",'Configuración'!$B$11,0)+IF(Q391="Sí",'Configuración'!$B$12,0)+S391+T391+U391)</f>
        <v>28</v>
      </c>
      <c r="W391" s="39" t="str">
        <f>IF(B391="","",IF(V391&gt;='Configuración'!$B$19,"A",IF(V391&gt;='Configuración'!$B$20,"B",IF(V391&gt;='Configuración'!$B$21,"C","Descarte"))))</f>
        <v>C</v>
      </c>
    </row>
    <row r="392" ht="15.75" customHeight="1">
      <c r="A392" s="34">
        <f t="shared" si="1"/>
        <v>390</v>
      </c>
      <c r="B392" s="29" t="s">
        <v>2384</v>
      </c>
      <c r="C392" s="29" t="s">
        <v>361</v>
      </c>
      <c r="D392" s="29" t="s">
        <v>2465</v>
      </c>
      <c r="E392" s="29" t="s">
        <v>2466</v>
      </c>
      <c r="F392" s="30" t="s">
        <v>2467</v>
      </c>
      <c r="G392" s="30" t="s">
        <v>2468</v>
      </c>
      <c r="H392" s="30" t="s">
        <v>2469</v>
      </c>
      <c r="I392" s="29" t="s">
        <v>127</v>
      </c>
      <c r="J392" s="31">
        <v>19.0</v>
      </c>
      <c r="K392" s="35"/>
      <c r="L392" s="35"/>
      <c r="M392" s="35"/>
      <c r="N392" s="35"/>
      <c r="O392" s="35"/>
      <c r="P392" s="35"/>
      <c r="Q392" s="35"/>
      <c r="R392" s="35"/>
      <c r="S392" s="37">
        <f>IF(B392="","",IF(ISNUMBER(J392),IF(J392&lt;=10,'Configuración'!$B$23,IF(J392&lt;=50,'Configuración'!$B$24,IF(J392&lt;=200,'Configuración'!$B$25,0))),0))</f>
        <v>4</v>
      </c>
      <c r="T392" s="37">
        <f>IF(B392="","",IF(ISNUMBER(SEARCH("information technology",I392))+ISNUMBER(SEARCH("software",I392))+ISNUMBER(SEARCH("internet",I392))+ISNUMBER(SEARCH("computer",I392))+ISNUMBER(SEARCH("saas",I392))+ISNUMBER(SEARCH("fintech",I392))+ISNUMBER(SEARCH("information services",I392))+ISNUMBER(SEARCH("telecommunications",I392))&gt;0,'Configuración'!$B$27,'Configuración'!$B$28))</f>
        <v>12</v>
      </c>
      <c r="U392" s="25">
        <f>IF(B392="","",IF(ISNUMBER(SEARCH("CEO",C392))+ISNUMBER(SEARCH("Founder",C392))+ISNUMBER(SEARCH("Owner",C392))+ISNUMBER(SEARCH("Dueño",C392))+ISNUMBER(SEARCH("Director General",C392))+ISNUMBER(SEARCH("Presidente",C392))+ISNUMBER(SEARCH("President",C392))&gt;0,'Configuración'!$B$31,IF(ISNUMBER(SEARCH("CMO",C392))+ISNUMBER(SEARCH("Chief Marketing",C392))+ISNUMBER(SEARCH("VP Marketing",C392))+ISNUMBER(SEARCH("Director de Marketing",C392))+ISNUMBER(SEARCH("Director Marketing",C392))+ISNUMBER(SEARCH("Head of Marketing",C392))+ISNUMBER(SEARCH("Head Marketing",C392))&gt;0,'Configuración'!$B$32,IF(ISNUMBER(SEARCH("Marketing Manager",C392))+ISNUMBER(SEARCH("Gerente de Marketing",C392))+ISNUMBER(SEARCH("Growth Manager",C392))+ISNUMBER(SEARCH("Demand Gen",C392))+ISNUMBER(SEARCH("Marketing Lead",C392))&gt;0,'Configuración'!$B$33,IF(ISNUMBER(SEARCH("COO",C392))+ISNUMBER(SEARCH("CFO",C392))+ISNUMBER(SEARCH("CTO",C392))+ISNUMBER(SEARCH("Chief Operating",C392))+ISNUMBER(SEARCH("Chief Financial",C392))+ISNUMBER(SEARCH("Gerente General",C392))+ISNUMBER(SEARCH("General Manager",C392))&gt;0,'Configuración'!$B$34,'Configuración'!$B$35)))))</f>
        <v>0</v>
      </c>
      <c r="V392" s="38">
        <f>IF(B392="","",IF(K392="Sí",'Configuración'!$B$5,0)+IF(L392="Semanal",'Configuración'!$B$6,IF(L392="Mensual",'Configuración'!$B$7,0))+IF(M392="Sí",'Configuración'!$B$8,0)+IF(N392="Sí",'Configuración'!$B$9,0)+IF(O392="Sí",'Configuración'!$B$10,0)+IF(P392="Sí",'Configuración'!$B$11,0)+IF(Q392="Sí",'Configuración'!$B$12,0)+S392+T392+U392)</f>
        <v>16</v>
      </c>
      <c r="W392" s="39" t="str">
        <f>IF(B392="","",IF(V392&gt;='Configuración'!$B$19,"A",IF(V392&gt;='Configuración'!$B$20,"B",IF(V392&gt;='Configuración'!$B$21,"C","Descarte"))))</f>
        <v>Descarte</v>
      </c>
    </row>
    <row r="393" ht="15.75" customHeight="1">
      <c r="A393" s="34">
        <f t="shared" si="1"/>
        <v>391</v>
      </c>
      <c r="B393" s="29" t="s">
        <v>2470</v>
      </c>
      <c r="C393" s="29" t="s">
        <v>202</v>
      </c>
      <c r="D393" s="29" t="s">
        <v>2471</v>
      </c>
      <c r="E393" s="29" t="s">
        <v>2472</v>
      </c>
      <c r="F393" s="30" t="s">
        <v>2473</v>
      </c>
      <c r="G393" s="30" t="s">
        <v>2474</v>
      </c>
      <c r="H393" s="30" t="s">
        <v>2475</v>
      </c>
      <c r="I393" s="29" t="s">
        <v>1785</v>
      </c>
      <c r="J393" s="31">
        <v>36.0</v>
      </c>
      <c r="K393" s="35"/>
      <c r="L393" s="35"/>
      <c r="M393" s="35"/>
      <c r="N393" s="35"/>
      <c r="O393" s="35"/>
      <c r="P393" s="35"/>
      <c r="Q393" s="35"/>
      <c r="R393" s="35"/>
      <c r="S393" s="37">
        <f>IF(B393="","",IF(ISNUMBER(J393),IF(J393&lt;=10,'Configuración'!$B$23,IF(J393&lt;=50,'Configuración'!$B$24,IF(J393&lt;=200,'Configuración'!$B$25,0))),0))</f>
        <v>4</v>
      </c>
      <c r="T393" s="37">
        <f>IF(B393="","",IF(ISNUMBER(SEARCH("information technology",I393))+ISNUMBER(SEARCH("software",I393))+ISNUMBER(SEARCH("internet",I393))+ISNUMBER(SEARCH("computer",I393))+ISNUMBER(SEARCH("saas",I393))+ISNUMBER(SEARCH("fintech",I393))+ISNUMBER(SEARCH("information services",I393))+ISNUMBER(SEARCH("telecommunications",I393))&gt;0,'Configuración'!$B$27,'Configuración'!$B$28))</f>
        <v>4</v>
      </c>
      <c r="U393" s="25">
        <f>IF(B393="","",IF(ISNUMBER(SEARCH("CEO",C393))+ISNUMBER(SEARCH("Founder",C393))+ISNUMBER(SEARCH("Owner",C393))+ISNUMBER(SEARCH("Dueño",C393))+ISNUMBER(SEARCH("Director General",C393))+ISNUMBER(SEARCH("Presidente",C393))+ISNUMBER(SEARCH("President",C393))&gt;0,'Configuración'!$B$31,IF(ISNUMBER(SEARCH("CMO",C393))+ISNUMBER(SEARCH("Chief Marketing",C393))+ISNUMBER(SEARCH("VP Marketing",C393))+ISNUMBER(SEARCH("Director de Marketing",C393))+ISNUMBER(SEARCH("Director Marketing",C393))+ISNUMBER(SEARCH("Head of Marketing",C393))+ISNUMBER(SEARCH("Head Marketing",C393))&gt;0,'Configuración'!$B$32,IF(ISNUMBER(SEARCH("Marketing Manager",C393))+ISNUMBER(SEARCH("Gerente de Marketing",C393))+ISNUMBER(SEARCH("Growth Manager",C393))+ISNUMBER(SEARCH("Demand Gen",C393))+ISNUMBER(SEARCH("Marketing Lead",C393))&gt;0,'Configuración'!$B$33,IF(ISNUMBER(SEARCH("COO",C393))+ISNUMBER(SEARCH("CFO",C393))+ISNUMBER(SEARCH("CTO",C393))+ISNUMBER(SEARCH("Chief Operating",C393))+ISNUMBER(SEARCH("Chief Financial",C393))+ISNUMBER(SEARCH("Gerente General",C393))+ISNUMBER(SEARCH("General Manager",C393))&gt;0,'Configuración'!$B$34,'Configuración'!$B$35)))))</f>
        <v>12</v>
      </c>
      <c r="V393" s="38">
        <f>IF(B393="","",IF(K393="Sí",'Configuración'!$B$5,0)+IF(L393="Semanal",'Configuración'!$B$6,IF(L393="Mensual",'Configuración'!$B$7,0))+IF(M393="Sí",'Configuración'!$B$8,0)+IF(N393="Sí",'Configuración'!$B$9,0)+IF(O393="Sí",'Configuración'!$B$10,0)+IF(P393="Sí",'Configuración'!$B$11,0)+IF(Q393="Sí",'Configuración'!$B$12,0)+S393+T393+U393)</f>
        <v>20</v>
      </c>
      <c r="W393" s="39" t="str">
        <f>IF(B393="","",IF(V393&gt;='Configuración'!$B$19,"A",IF(V393&gt;='Configuración'!$B$20,"B",IF(V393&gt;='Configuración'!$B$21,"C","Descarte"))))</f>
        <v>Descarte</v>
      </c>
    </row>
    <row r="394" ht="15.75" customHeight="1">
      <c r="A394" s="34">
        <f t="shared" si="1"/>
        <v>392</v>
      </c>
      <c r="B394" s="29" t="s">
        <v>174</v>
      </c>
      <c r="C394" s="29" t="s">
        <v>2476</v>
      </c>
      <c r="D394" s="29" t="s">
        <v>2477</v>
      </c>
      <c r="E394" s="29" t="s">
        <v>2478</v>
      </c>
      <c r="F394" s="30" t="s">
        <v>2479</v>
      </c>
      <c r="G394" s="30" t="s">
        <v>2480</v>
      </c>
      <c r="H394" s="30" t="s">
        <v>2481</v>
      </c>
      <c r="I394" s="29" t="s">
        <v>116</v>
      </c>
      <c r="J394" s="31">
        <v>1.0</v>
      </c>
      <c r="K394" s="35"/>
      <c r="L394" s="35"/>
      <c r="M394" s="35"/>
      <c r="N394" s="35"/>
      <c r="O394" s="35"/>
      <c r="P394" s="35"/>
      <c r="Q394" s="35"/>
      <c r="R394" s="35"/>
      <c r="S394" s="37">
        <f>IF(B394="","",IF(ISNUMBER(J394),IF(J394&lt;=10,'Configuración'!$B$23,IF(J394&lt;=50,'Configuración'!$B$24,IF(J394&lt;=200,'Configuración'!$B$25,0))),0))</f>
        <v>12</v>
      </c>
      <c r="T394" s="37">
        <f>IF(B394="","",IF(ISNUMBER(SEARCH("information technology",I394))+ISNUMBER(SEARCH("software",I394))+ISNUMBER(SEARCH("internet",I394))+ISNUMBER(SEARCH("computer",I394))+ISNUMBER(SEARCH("saas",I394))+ISNUMBER(SEARCH("fintech",I394))+ISNUMBER(SEARCH("information services",I394))+ISNUMBER(SEARCH("telecommunications",I394))&gt;0,'Configuración'!$B$27,'Configuración'!$B$28))</f>
        <v>4</v>
      </c>
      <c r="U394" s="25">
        <f>IF(B394="","",IF(ISNUMBER(SEARCH("CEO",C394))+ISNUMBER(SEARCH("Founder",C394))+ISNUMBER(SEARCH("Owner",C394))+ISNUMBER(SEARCH("Dueño",C394))+ISNUMBER(SEARCH("Director General",C394))+ISNUMBER(SEARCH("Presidente",C394))+ISNUMBER(SEARCH("President",C394))&gt;0,'Configuración'!$B$31,IF(ISNUMBER(SEARCH("CMO",C394))+ISNUMBER(SEARCH("Chief Marketing",C394))+ISNUMBER(SEARCH("VP Marketing",C394))+ISNUMBER(SEARCH("Director de Marketing",C394))+ISNUMBER(SEARCH("Director Marketing",C394))+ISNUMBER(SEARCH("Head of Marketing",C394))+ISNUMBER(SEARCH("Head Marketing",C394))&gt;0,'Configuración'!$B$32,IF(ISNUMBER(SEARCH("Marketing Manager",C394))+ISNUMBER(SEARCH("Gerente de Marketing",C394))+ISNUMBER(SEARCH("Growth Manager",C394))+ISNUMBER(SEARCH("Demand Gen",C394))+ISNUMBER(SEARCH("Marketing Lead",C394))&gt;0,'Configuración'!$B$33,IF(ISNUMBER(SEARCH("COO",C394))+ISNUMBER(SEARCH("CFO",C394))+ISNUMBER(SEARCH("CTO",C394))+ISNUMBER(SEARCH("Chief Operating",C394))+ISNUMBER(SEARCH("Chief Financial",C394))+ISNUMBER(SEARCH("Gerente General",C394))+ISNUMBER(SEARCH("General Manager",C394))&gt;0,'Configuración'!$B$34,'Configuración'!$B$35)))))</f>
        <v>12</v>
      </c>
      <c r="V394" s="38">
        <f>IF(B394="","",IF(K394="Sí",'Configuración'!$B$5,0)+IF(L394="Semanal",'Configuración'!$B$6,IF(L394="Mensual",'Configuración'!$B$7,0))+IF(M394="Sí",'Configuración'!$B$8,0)+IF(N394="Sí",'Configuración'!$B$9,0)+IF(O394="Sí",'Configuración'!$B$10,0)+IF(P394="Sí",'Configuración'!$B$11,0)+IF(Q394="Sí",'Configuración'!$B$12,0)+S394+T394+U394)</f>
        <v>28</v>
      </c>
      <c r="W394" s="39" t="str">
        <f>IF(B394="","",IF(V394&gt;='Configuración'!$B$19,"A",IF(V394&gt;='Configuración'!$B$20,"B",IF(V394&gt;='Configuración'!$B$21,"C","Descarte"))))</f>
        <v>C</v>
      </c>
    </row>
    <row r="395" ht="15.75" customHeight="1">
      <c r="A395" s="34">
        <f t="shared" si="1"/>
        <v>393</v>
      </c>
      <c r="B395" s="29" t="s">
        <v>2482</v>
      </c>
      <c r="C395" s="29" t="s">
        <v>2483</v>
      </c>
      <c r="D395" s="29" t="s">
        <v>2484</v>
      </c>
      <c r="E395" s="29" t="s">
        <v>2485</v>
      </c>
      <c r="F395" s="30" t="s">
        <v>2486</v>
      </c>
      <c r="G395" s="30" t="s">
        <v>2487</v>
      </c>
      <c r="H395" s="30" t="s">
        <v>2488</v>
      </c>
      <c r="I395" s="29" t="s">
        <v>508</v>
      </c>
      <c r="J395" s="31">
        <v>2.0</v>
      </c>
      <c r="K395" s="35"/>
      <c r="L395" s="35"/>
      <c r="M395" s="35"/>
      <c r="N395" s="35"/>
      <c r="O395" s="35"/>
      <c r="P395" s="35"/>
      <c r="Q395" s="35"/>
      <c r="R395" s="35"/>
      <c r="S395" s="37">
        <f>IF(B395="","",IF(ISNUMBER(J395),IF(J395&lt;=10,'Configuración'!$B$23,IF(J395&lt;=50,'Configuración'!$B$24,IF(J395&lt;=200,'Configuración'!$B$25,0))),0))</f>
        <v>12</v>
      </c>
      <c r="T395" s="37">
        <f>IF(B395="","",IF(ISNUMBER(SEARCH("information technology",I395))+ISNUMBER(SEARCH("software",I395))+ISNUMBER(SEARCH("internet",I395))+ISNUMBER(SEARCH("computer",I395))+ISNUMBER(SEARCH("saas",I395))+ISNUMBER(SEARCH("fintech",I395))+ISNUMBER(SEARCH("information services",I395))+ISNUMBER(SEARCH("telecommunications",I395))&gt;0,'Configuración'!$B$27,'Configuración'!$B$28))</f>
        <v>4</v>
      </c>
      <c r="U395" s="25">
        <f>IF(B395="","",IF(ISNUMBER(SEARCH("CEO",C395))+ISNUMBER(SEARCH("Founder",C395))+ISNUMBER(SEARCH("Owner",C395))+ISNUMBER(SEARCH("Dueño",C395))+ISNUMBER(SEARCH("Director General",C395))+ISNUMBER(SEARCH("Presidente",C395))+ISNUMBER(SEARCH("President",C395))&gt;0,'Configuración'!$B$31,IF(ISNUMBER(SEARCH("CMO",C395))+ISNUMBER(SEARCH("Chief Marketing",C395))+ISNUMBER(SEARCH("VP Marketing",C395))+ISNUMBER(SEARCH("Director de Marketing",C395))+ISNUMBER(SEARCH("Director Marketing",C395))+ISNUMBER(SEARCH("Head of Marketing",C395))+ISNUMBER(SEARCH("Head Marketing",C395))&gt;0,'Configuración'!$B$32,IF(ISNUMBER(SEARCH("Marketing Manager",C395))+ISNUMBER(SEARCH("Gerente de Marketing",C395))+ISNUMBER(SEARCH("Growth Manager",C395))+ISNUMBER(SEARCH("Demand Gen",C395))+ISNUMBER(SEARCH("Marketing Lead",C395))&gt;0,'Configuración'!$B$33,IF(ISNUMBER(SEARCH("COO",C395))+ISNUMBER(SEARCH("CFO",C395))+ISNUMBER(SEARCH("CTO",C395))+ISNUMBER(SEARCH("Chief Operating",C395))+ISNUMBER(SEARCH("Chief Financial",C395))+ISNUMBER(SEARCH("Gerente General",C395))+ISNUMBER(SEARCH("General Manager",C395))&gt;0,'Configuración'!$B$34,'Configuración'!$B$35)))))</f>
        <v>12</v>
      </c>
      <c r="V395" s="38">
        <f>IF(B395="","",IF(K395="Sí",'Configuración'!$B$5,0)+IF(L395="Semanal",'Configuración'!$B$6,IF(L395="Mensual",'Configuración'!$B$7,0))+IF(M395="Sí",'Configuración'!$B$8,0)+IF(N395="Sí",'Configuración'!$B$9,0)+IF(O395="Sí",'Configuración'!$B$10,0)+IF(P395="Sí",'Configuración'!$B$11,0)+IF(Q395="Sí",'Configuración'!$B$12,0)+S395+T395+U395)</f>
        <v>28</v>
      </c>
      <c r="W395" s="39" t="str">
        <f>IF(B395="","",IF(V395&gt;='Configuración'!$B$19,"A",IF(V395&gt;='Configuración'!$B$20,"B",IF(V395&gt;='Configuración'!$B$21,"C","Descarte"))))</f>
        <v>C</v>
      </c>
    </row>
    <row r="396" ht="15.75" customHeight="1">
      <c r="A396" s="34">
        <f t="shared" si="1"/>
        <v>394</v>
      </c>
      <c r="B396" s="29" t="s">
        <v>1072</v>
      </c>
      <c r="C396" s="29" t="s">
        <v>224</v>
      </c>
      <c r="D396" s="29" t="s">
        <v>2489</v>
      </c>
      <c r="E396" s="29" t="s">
        <v>2490</v>
      </c>
      <c r="F396" s="30" t="s">
        <v>2491</v>
      </c>
      <c r="G396" s="30" t="s">
        <v>2492</v>
      </c>
      <c r="H396" s="30" t="s">
        <v>2493</v>
      </c>
      <c r="I396" s="29" t="s">
        <v>659</v>
      </c>
      <c r="J396" s="31">
        <v>4.0</v>
      </c>
      <c r="K396" s="35"/>
      <c r="L396" s="35"/>
      <c r="M396" s="35"/>
      <c r="N396" s="35"/>
      <c r="O396" s="35"/>
      <c r="P396" s="35"/>
      <c r="Q396" s="35"/>
      <c r="R396" s="35"/>
      <c r="S396" s="37">
        <f>IF(B396="","",IF(ISNUMBER(J396),IF(J396&lt;=10,'Configuración'!$B$23,IF(J396&lt;=50,'Configuración'!$B$24,IF(J396&lt;=200,'Configuración'!$B$25,0))),0))</f>
        <v>12</v>
      </c>
      <c r="T396" s="37">
        <f>IF(B396="","",IF(ISNUMBER(SEARCH("information technology",I396))+ISNUMBER(SEARCH("software",I396))+ISNUMBER(SEARCH("internet",I396))+ISNUMBER(SEARCH("computer",I396))+ISNUMBER(SEARCH("saas",I396))+ISNUMBER(SEARCH("fintech",I396))+ISNUMBER(SEARCH("information services",I396))+ISNUMBER(SEARCH("telecommunications",I396))&gt;0,'Configuración'!$B$27,'Configuración'!$B$28))</f>
        <v>4</v>
      </c>
      <c r="U396" s="25">
        <f>IF(B396="","",IF(ISNUMBER(SEARCH("CEO",C396))+ISNUMBER(SEARCH("Founder",C396))+ISNUMBER(SEARCH("Owner",C396))+ISNUMBER(SEARCH("Dueño",C396))+ISNUMBER(SEARCH("Director General",C396))+ISNUMBER(SEARCH("Presidente",C396))+ISNUMBER(SEARCH("President",C396))&gt;0,'Configuración'!$B$31,IF(ISNUMBER(SEARCH("CMO",C396))+ISNUMBER(SEARCH("Chief Marketing",C396))+ISNUMBER(SEARCH("VP Marketing",C396))+ISNUMBER(SEARCH("Director de Marketing",C396))+ISNUMBER(SEARCH("Director Marketing",C396))+ISNUMBER(SEARCH("Head of Marketing",C396))+ISNUMBER(SEARCH("Head Marketing",C396))&gt;0,'Configuración'!$B$32,IF(ISNUMBER(SEARCH("Marketing Manager",C396))+ISNUMBER(SEARCH("Gerente de Marketing",C396))+ISNUMBER(SEARCH("Growth Manager",C396))+ISNUMBER(SEARCH("Demand Gen",C396))+ISNUMBER(SEARCH("Marketing Lead",C396))&gt;0,'Configuración'!$B$33,IF(ISNUMBER(SEARCH("COO",C396))+ISNUMBER(SEARCH("CFO",C396))+ISNUMBER(SEARCH("CTO",C396))+ISNUMBER(SEARCH("Chief Operating",C396))+ISNUMBER(SEARCH("Chief Financial",C396))+ISNUMBER(SEARCH("Gerente General",C396))+ISNUMBER(SEARCH("General Manager",C396))&gt;0,'Configuración'!$B$34,'Configuración'!$B$35)))))</f>
        <v>12</v>
      </c>
      <c r="V396" s="38">
        <f>IF(B396="","",IF(K396="Sí",'Configuración'!$B$5,0)+IF(L396="Semanal",'Configuración'!$B$6,IF(L396="Mensual",'Configuración'!$B$7,0))+IF(M396="Sí",'Configuración'!$B$8,0)+IF(N396="Sí",'Configuración'!$B$9,0)+IF(O396="Sí",'Configuración'!$B$10,0)+IF(P396="Sí",'Configuración'!$B$11,0)+IF(Q396="Sí",'Configuración'!$B$12,0)+S396+T396+U396)</f>
        <v>28</v>
      </c>
      <c r="W396" s="39" t="str">
        <f>IF(B396="","",IF(V396&gt;='Configuración'!$B$19,"A",IF(V396&gt;='Configuración'!$B$20,"B",IF(V396&gt;='Configuración'!$B$21,"C","Descarte"))))</f>
        <v>C</v>
      </c>
    </row>
    <row r="397" ht="15.75" customHeight="1">
      <c r="A397" s="34">
        <f t="shared" si="1"/>
        <v>395</v>
      </c>
      <c r="B397" s="29" t="s">
        <v>2494</v>
      </c>
      <c r="C397" s="29" t="s">
        <v>2495</v>
      </c>
      <c r="D397" s="29" t="s">
        <v>2496</v>
      </c>
      <c r="E397" s="29" t="s">
        <v>2497</v>
      </c>
      <c r="F397" s="30" t="s">
        <v>2498</v>
      </c>
      <c r="G397" s="30" t="s">
        <v>2499</v>
      </c>
      <c r="H397" s="30" t="s">
        <v>2500</v>
      </c>
      <c r="I397" s="29" t="s">
        <v>659</v>
      </c>
      <c r="J397" s="31">
        <v>2.0</v>
      </c>
      <c r="K397" s="35"/>
      <c r="L397" s="35"/>
      <c r="M397" s="35"/>
      <c r="N397" s="35"/>
      <c r="O397" s="35"/>
      <c r="P397" s="35"/>
      <c r="Q397" s="35"/>
      <c r="R397" s="35"/>
      <c r="S397" s="37">
        <f>IF(B397="","",IF(ISNUMBER(J397),IF(J397&lt;=10,'Configuración'!$B$23,IF(J397&lt;=50,'Configuración'!$B$24,IF(J397&lt;=200,'Configuración'!$B$25,0))),0))</f>
        <v>12</v>
      </c>
      <c r="T397" s="37">
        <f>IF(B397="","",IF(ISNUMBER(SEARCH("information technology",I397))+ISNUMBER(SEARCH("software",I397))+ISNUMBER(SEARCH("internet",I397))+ISNUMBER(SEARCH("computer",I397))+ISNUMBER(SEARCH("saas",I397))+ISNUMBER(SEARCH("fintech",I397))+ISNUMBER(SEARCH("information services",I397))+ISNUMBER(SEARCH("telecommunications",I397))&gt;0,'Configuración'!$B$27,'Configuración'!$B$28))</f>
        <v>4</v>
      </c>
      <c r="U397" s="25">
        <f>IF(B397="","",IF(ISNUMBER(SEARCH("CEO",C397))+ISNUMBER(SEARCH("Founder",C397))+ISNUMBER(SEARCH("Owner",C397))+ISNUMBER(SEARCH("Dueño",C397))+ISNUMBER(SEARCH("Director General",C397))+ISNUMBER(SEARCH("Presidente",C397))+ISNUMBER(SEARCH("President",C397))&gt;0,'Configuración'!$B$31,IF(ISNUMBER(SEARCH("CMO",C397))+ISNUMBER(SEARCH("Chief Marketing",C397))+ISNUMBER(SEARCH("VP Marketing",C397))+ISNUMBER(SEARCH("Director de Marketing",C397))+ISNUMBER(SEARCH("Director Marketing",C397))+ISNUMBER(SEARCH("Head of Marketing",C397))+ISNUMBER(SEARCH("Head Marketing",C397))&gt;0,'Configuración'!$B$32,IF(ISNUMBER(SEARCH("Marketing Manager",C397))+ISNUMBER(SEARCH("Gerente de Marketing",C397))+ISNUMBER(SEARCH("Growth Manager",C397))+ISNUMBER(SEARCH("Demand Gen",C397))+ISNUMBER(SEARCH("Marketing Lead",C397))&gt;0,'Configuración'!$B$33,IF(ISNUMBER(SEARCH("COO",C397))+ISNUMBER(SEARCH("CFO",C397))+ISNUMBER(SEARCH("CTO",C397))+ISNUMBER(SEARCH("Chief Operating",C397))+ISNUMBER(SEARCH("Chief Financial",C397))+ISNUMBER(SEARCH("Gerente General",C397))+ISNUMBER(SEARCH("General Manager",C397))&gt;0,'Configuración'!$B$34,'Configuración'!$B$35)))))</f>
        <v>12</v>
      </c>
      <c r="V397" s="38">
        <f>IF(B397="","",IF(K397="Sí",'Configuración'!$B$5,0)+IF(L397="Semanal",'Configuración'!$B$6,IF(L397="Mensual",'Configuración'!$B$7,0))+IF(M397="Sí",'Configuración'!$B$8,0)+IF(N397="Sí",'Configuración'!$B$9,0)+IF(O397="Sí",'Configuración'!$B$10,0)+IF(P397="Sí",'Configuración'!$B$11,0)+IF(Q397="Sí",'Configuración'!$B$12,0)+S397+T397+U397)</f>
        <v>28</v>
      </c>
      <c r="W397" s="39" t="str">
        <f>IF(B397="","",IF(V397&gt;='Configuración'!$B$19,"A",IF(V397&gt;='Configuración'!$B$20,"B",IF(V397&gt;='Configuración'!$B$21,"C","Descarte"))))</f>
        <v>C</v>
      </c>
    </row>
    <row r="398" ht="15.75" customHeight="1">
      <c r="A398" s="34">
        <f t="shared" si="1"/>
        <v>396</v>
      </c>
      <c r="B398" s="29" t="s">
        <v>1028</v>
      </c>
      <c r="C398" s="29" t="s">
        <v>2501</v>
      </c>
      <c r="D398" s="29" t="s">
        <v>2502</v>
      </c>
      <c r="E398" s="29" t="s">
        <v>2503</v>
      </c>
      <c r="F398" s="30" t="s">
        <v>2504</v>
      </c>
      <c r="G398" s="30" t="s">
        <v>2505</v>
      </c>
      <c r="H398" s="30" t="s">
        <v>2506</v>
      </c>
      <c r="I398" s="29" t="s">
        <v>188</v>
      </c>
      <c r="J398" s="31">
        <v>1.0</v>
      </c>
      <c r="K398" s="35"/>
      <c r="L398" s="35"/>
      <c r="M398" s="35"/>
      <c r="N398" s="35"/>
      <c r="O398" s="35"/>
      <c r="P398" s="35"/>
      <c r="Q398" s="35"/>
      <c r="R398" s="35"/>
      <c r="S398" s="37">
        <f>IF(B398="","",IF(ISNUMBER(J398),IF(J398&lt;=10,'Configuración'!$B$23,IF(J398&lt;=50,'Configuración'!$B$24,IF(J398&lt;=200,'Configuración'!$B$25,0))),0))</f>
        <v>12</v>
      </c>
      <c r="T398" s="37">
        <f>IF(B398="","",IF(ISNUMBER(SEARCH("information technology",I398))+ISNUMBER(SEARCH("software",I398))+ISNUMBER(SEARCH("internet",I398))+ISNUMBER(SEARCH("computer",I398))+ISNUMBER(SEARCH("saas",I398))+ISNUMBER(SEARCH("fintech",I398))+ISNUMBER(SEARCH("information services",I398))+ISNUMBER(SEARCH("telecommunications",I398))&gt;0,'Configuración'!$B$27,'Configuración'!$B$28))</f>
        <v>4</v>
      </c>
      <c r="U398" s="25">
        <f>IF(B398="","",IF(ISNUMBER(SEARCH("CEO",C398))+ISNUMBER(SEARCH("Founder",C398))+ISNUMBER(SEARCH("Owner",C398))+ISNUMBER(SEARCH("Dueño",C398))+ISNUMBER(SEARCH("Director General",C398))+ISNUMBER(SEARCH("Presidente",C398))+ISNUMBER(SEARCH("President",C398))&gt;0,'Configuración'!$B$31,IF(ISNUMBER(SEARCH("CMO",C398))+ISNUMBER(SEARCH("Chief Marketing",C398))+ISNUMBER(SEARCH("VP Marketing",C398))+ISNUMBER(SEARCH("Director de Marketing",C398))+ISNUMBER(SEARCH("Director Marketing",C398))+ISNUMBER(SEARCH("Head of Marketing",C398))+ISNUMBER(SEARCH("Head Marketing",C398))&gt;0,'Configuración'!$B$32,IF(ISNUMBER(SEARCH("Marketing Manager",C398))+ISNUMBER(SEARCH("Gerente de Marketing",C398))+ISNUMBER(SEARCH("Growth Manager",C398))+ISNUMBER(SEARCH("Demand Gen",C398))+ISNUMBER(SEARCH("Marketing Lead",C398))&gt;0,'Configuración'!$B$33,IF(ISNUMBER(SEARCH("COO",C398))+ISNUMBER(SEARCH("CFO",C398))+ISNUMBER(SEARCH("CTO",C398))+ISNUMBER(SEARCH("Chief Operating",C398))+ISNUMBER(SEARCH("Chief Financial",C398))+ISNUMBER(SEARCH("Gerente General",C398))+ISNUMBER(SEARCH("General Manager",C398))&gt;0,'Configuración'!$B$34,'Configuración'!$B$35)))))</f>
        <v>12</v>
      </c>
      <c r="V398" s="38">
        <f>IF(B398="","",IF(K398="Sí",'Configuración'!$B$5,0)+IF(L398="Semanal",'Configuración'!$B$6,IF(L398="Mensual",'Configuración'!$B$7,0))+IF(M398="Sí",'Configuración'!$B$8,0)+IF(N398="Sí",'Configuración'!$B$9,0)+IF(O398="Sí",'Configuración'!$B$10,0)+IF(P398="Sí",'Configuración'!$B$11,0)+IF(Q398="Sí",'Configuración'!$B$12,0)+S398+T398+U398)</f>
        <v>28</v>
      </c>
      <c r="W398" s="39" t="str">
        <f>IF(B398="","",IF(V398&gt;='Configuración'!$B$19,"A",IF(V398&gt;='Configuración'!$B$20,"B",IF(V398&gt;='Configuración'!$B$21,"C","Descarte"))))</f>
        <v>C</v>
      </c>
    </row>
    <row r="399" ht="15.75" customHeight="1">
      <c r="A399" s="34">
        <f t="shared" si="1"/>
        <v>397</v>
      </c>
      <c r="B399" s="29" t="s">
        <v>1674</v>
      </c>
      <c r="C399" s="29" t="s">
        <v>121</v>
      </c>
      <c r="D399" s="29" t="s">
        <v>2507</v>
      </c>
      <c r="E399" s="29" t="s">
        <v>2508</v>
      </c>
      <c r="F399" s="30" t="s">
        <v>2509</v>
      </c>
      <c r="G399" s="30" t="s">
        <v>2510</v>
      </c>
      <c r="H399" s="30" t="s">
        <v>2511</v>
      </c>
      <c r="I399" s="29" t="s">
        <v>310</v>
      </c>
      <c r="J399" s="31">
        <v>9.0</v>
      </c>
      <c r="K399" s="35"/>
      <c r="L399" s="35"/>
      <c r="M399" s="35"/>
      <c r="N399" s="35"/>
      <c r="O399" s="35"/>
      <c r="P399" s="35"/>
      <c r="Q399" s="35"/>
      <c r="R399" s="35"/>
      <c r="S399" s="37">
        <f>IF(B399="","",IF(ISNUMBER(J399),IF(J399&lt;=10,'Configuración'!$B$23,IF(J399&lt;=50,'Configuración'!$B$24,IF(J399&lt;=200,'Configuración'!$B$25,0))),0))</f>
        <v>12</v>
      </c>
      <c r="T399" s="37">
        <f>IF(B399="","",IF(ISNUMBER(SEARCH("information technology",I399))+ISNUMBER(SEARCH("software",I399))+ISNUMBER(SEARCH("internet",I399))+ISNUMBER(SEARCH("computer",I399))+ISNUMBER(SEARCH("saas",I399))+ISNUMBER(SEARCH("fintech",I399))+ISNUMBER(SEARCH("information services",I399))+ISNUMBER(SEARCH("telecommunications",I399))&gt;0,'Configuración'!$B$27,'Configuración'!$B$28))</f>
        <v>4</v>
      </c>
      <c r="U399" s="25">
        <f>IF(B399="","",IF(ISNUMBER(SEARCH("CEO",C399))+ISNUMBER(SEARCH("Founder",C399))+ISNUMBER(SEARCH("Owner",C399))+ISNUMBER(SEARCH("Dueño",C399))+ISNUMBER(SEARCH("Director General",C399))+ISNUMBER(SEARCH("Presidente",C399))+ISNUMBER(SEARCH("President",C399))&gt;0,'Configuración'!$B$31,IF(ISNUMBER(SEARCH("CMO",C399))+ISNUMBER(SEARCH("Chief Marketing",C399))+ISNUMBER(SEARCH("VP Marketing",C399))+ISNUMBER(SEARCH("Director de Marketing",C399))+ISNUMBER(SEARCH("Director Marketing",C399))+ISNUMBER(SEARCH("Head of Marketing",C399))+ISNUMBER(SEARCH("Head Marketing",C399))&gt;0,'Configuración'!$B$32,IF(ISNUMBER(SEARCH("Marketing Manager",C399))+ISNUMBER(SEARCH("Gerente de Marketing",C399))+ISNUMBER(SEARCH("Growth Manager",C399))+ISNUMBER(SEARCH("Demand Gen",C399))+ISNUMBER(SEARCH("Marketing Lead",C399))&gt;0,'Configuración'!$B$33,IF(ISNUMBER(SEARCH("COO",C399))+ISNUMBER(SEARCH("CFO",C399))+ISNUMBER(SEARCH("CTO",C399))+ISNUMBER(SEARCH("Chief Operating",C399))+ISNUMBER(SEARCH("Chief Financial",C399))+ISNUMBER(SEARCH("Gerente General",C399))+ISNUMBER(SEARCH("General Manager",C399))&gt;0,'Configuración'!$B$34,'Configuración'!$B$35)))))</f>
        <v>12</v>
      </c>
      <c r="V399" s="38">
        <f>IF(B399="","",IF(K399="Sí",'Configuración'!$B$5,0)+IF(L399="Semanal",'Configuración'!$B$6,IF(L399="Mensual",'Configuración'!$B$7,0))+IF(M399="Sí",'Configuración'!$B$8,0)+IF(N399="Sí",'Configuración'!$B$9,0)+IF(O399="Sí",'Configuración'!$B$10,0)+IF(P399="Sí",'Configuración'!$B$11,0)+IF(Q399="Sí",'Configuración'!$B$12,0)+S399+T399+U399)</f>
        <v>28</v>
      </c>
      <c r="W399" s="39" t="str">
        <f>IF(B399="","",IF(V399&gt;='Configuración'!$B$19,"A",IF(V399&gt;='Configuración'!$B$20,"B",IF(V399&gt;='Configuración'!$B$21,"C","Descarte"))))</f>
        <v>C</v>
      </c>
    </row>
    <row r="400" ht="15.75" customHeight="1">
      <c r="A400" s="34">
        <f t="shared" si="1"/>
        <v>398</v>
      </c>
      <c r="B400" s="29" t="s">
        <v>2512</v>
      </c>
      <c r="C400" s="29" t="s">
        <v>131</v>
      </c>
      <c r="D400" s="29" t="s">
        <v>2513</v>
      </c>
      <c r="E400" s="29" t="s">
        <v>2514</v>
      </c>
      <c r="F400" s="30" t="s">
        <v>2515</v>
      </c>
      <c r="G400" s="30" t="s">
        <v>2516</v>
      </c>
      <c r="H400" s="30" t="s">
        <v>2517</v>
      </c>
      <c r="I400" s="29" t="s">
        <v>1845</v>
      </c>
      <c r="J400" s="31">
        <v>3.0</v>
      </c>
      <c r="K400" s="35"/>
      <c r="L400" s="35"/>
      <c r="M400" s="35"/>
      <c r="N400" s="35"/>
      <c r="O400" s="35"/>
      <c r="P400" s="35"/>
      <c r="Q400" s="35"/>
      <c r="R400" s="35"/>
      <c r="S400" s="37">
        <f>IF(B400="","",IF(ISNUMBER(J400),IF(J400&lt;=10,'Configuración'!$B$23,IF(J400&lt;=50,'Configuración'!$B$24,IF(J400&lt;=200,'Configuración'!$B$25,0))),0))</f>
        <v>12</v>
      </c>
      <c r="T400" s="37">
        <f>IF(B400="","",IF(ISNUMBER(SEARCH("information technology",I400))+ISNUMBER(SEARCH("software",I400))+ISNUMBER(SEARCH("internet",I400))+ISNUMBER(SEARCH("computer",I400))+ISNUMBER(SEARCH("saas",I400))+ISNUMBER(SEARCH("fintech",I400))+ISNUMBER(SEARCH("information services",I400))+ISNUMBER(SEARCH("telecommunications",I400))&gt;0,'Configuración'!$B$27,'Configuración'!$B$28))</f>
        <v>4</v>
      </c>
      <c r="U400" s="25">
        <f>IF(B400="","",IF(ISNUMBER(SEARCH("CEO",C400))+ISNUMBER(SEARCH("Founder",C400))+ISNUMBER(SEARCH("Owner",C400))+ISNUMBER(SEARCH("Dueño",C400))+ISNUMBER(SEARCH("Director General",C400))+ISNUMBER(SEARCH("Presidente",C400))+ISNUMBER(SEARCH("President",C400))&gt;0,'Configuración'!$B$31,IF(ISNUMBER(SEARCH("CMO",C400))+ISNUMBER(SEARCH("Chief Marketing",C400))+ISNUMBER(SEARCH("VP Marketing",C400))+ISNUMBER(SEARCH("Director de Marketing",C400))+ISNUMBER(SEARCH("Director Marketing",C400))+ISNUMBER(SEARCH("Head of Marketing",C400))+ISNUMBER(SEARCH("Head Marketing",C400))&gt;0,'Configuración'!$B$32,IF(ISNUMBER(SEARCH("Marketing Manager",C400))+ISNUMBER(SEARCH("Gerente de Marketing",C400))+ISNUMBER(SEARCH("Growth Manager",C400))+ISNUMBER(SEARCH("Demand Gen",C400))+ISNUMBER(SEARCH("Marketing Lead",C400))&gt;0,'Configuración'!$B$33,IF(ISNUMBER(SEARCH("COO",C400))+ISNUMBER(SEARCH("CFO",C400))+ISNUMBER(SEARCH("CTO",C400))+ISNUMBER(SEARCH("Chief Operating",C400))+ISNUMBER(SEARCH("Chief Financial",C400))+ISNUMBER(SEARCH("Gerente General",C400))+ISNUMBER(SEARCH("General Manager",C400))&gt;0,'Configuración'!$B$34,'Configuración'!$B$35)))))</f>
        <v>12</v>
      </c>
      <c r="V400" s="38">
        <f>IF(B400="","",IF(K400="Sí",'Configuración'!$B$5,0)+IF(L400="Semanal",'Configuración'!$B$6,IF(L400="Mensual",'Configuración'!$B$7,0))+IF(M400="Sí",'Configuración'!$B$8,0)+IF(N400="Sí",'Configuración'!$B$9,0)+IF(O400="Sí",'Configuración'!$B$10,0)+IF(P400="Sí",'Configuración'!$B$11,0)+IF(Q400="Sí",'Configuración'!$B$12,0)+S400+T400+U400)</f>
        <v>28</v>
      </c>
      <c r="W400" s="39" t="str">
        <f>IF(B400="","",IF(V400&gt;='Configuración'!$B$19,"A",IF(V400&gt;='Configuración'!$B$20,"B",IF(V400&gt;='Configuración'!$B$21,"C","Descarte"))))</f>
        <v>C</v>
      </c>
    </row>
    <row r="401" ht="15.75" customHeight="1">
      <c r="A401" s="34">
        <f t="shared" si="1"/>
        <v>399</v>
      </c>
      <c r="B401" s="29" t="s">
        <v>138</v>
      </c>
      <c r="C401" s="29" t="s">
        <v>131</v>
      </c>
      <c r="D401" s="29" t="s">
        <v>2518</v>
      </c>
      <c r="E401" s="29" t="s">
        <v>2519</v>
      </c>
      <c r="F401" s="30" t="s">
        <v>2520</v>
      </c>
      <c r="G401" s="30" t="s">
        <v>2521</v>
      </c>
      <c r="H401" s="30" t="s">
        <v>2522</v>
      </c>
      <c r="I401" s="29" t="s">
        <v>2170</v>
      </c>
      <c r="J401" s="31">
        <v>5.0</v>
      </c>
      <c r="K401" s="35"/>
      <c r="L401" s="35"/>
      <c r="M401" s="35"/>
      <c r="N401" s="35"/>
      <c r="O401" s="35"/>
      <c r="P401" s="35"/>
      <c r="Q401" s="35"/>
      <c r="R401" s="35"/>
      <c r="S401" s="37">
        <f>IF(B401="","",IF(ISNUMBER(J401),IF(J401&lt;=10,'Configuración'!$B$23,IF(J401&lt;=50,'Configuración'!$B$24,IF(J401&lt;=200,'Configuración'!$B$25,0))),0))</f>
        <v>12</v>
      </c>
      <c r="T401" s="37">
        <f>IF(B401="","",IF(ISNUMBER(SEARCH("information technology",I401))+ISNUMBER(SEARCH("software",I401))+ISNUMBER(SEARCH("internet",I401))+ISNUMBER(SEARCH("computer",I401))+ISNUMBER(SEARCH("saas",I401))+ISNUMBER(SEARCH("fintech",I401))+ISNUMBER(SEARCH("information services",I401))+ISNUMBER(SEARCH("telecommunications",I401))&gt;0,'Configuración'!$B$27,'Configuración'!$B$28))</f>
        <v>12</v>
      </c>
      <c r="U401" s="25">
        <f>IF(B401="","",IF(ISNUMBER(SEARCH("CEO",C401))+ISNUMBER(SEARCH("Founder",C401))+ISNUMBER(SEARCH("Owner",C401))+ISNUMBER(SEARCH("Dueño",C401))+ISNUMBER(SEARCH("Director General",C401))+ISNUMBER(SEARCH("Presidente",C401))+ISNUMBER(SEARCH("President",C401))&gt;0,'Configuración'!$B$31,IF(ISNUMBER(SEARCH("CMO",C401))+ISNUMBER(SEARCH("Chief Marketing",C401))+ISNUMBER(SEARCH("VP Marketing",C401))+ISNUMBER(SEARCH("Director de Marketing",C401))+ISNUMBER(SEARCH("Director Marketing",C401))+ISNUMBER(SEARCH("Head of Marketing",C401))+ISNUMBER(SEARCH("Head Marketing",C401))&gt;0,'Configuración'!$B$32,IF(ISNUMBER(SEARCH("Marketing Manager",C401))+ISNUMBER(SEARCH("Gerente de Marketing",C401))+ISNUMBER(SEARCH("Growth Manager",C401))+ISNUMBER(SEARCH("Demand Gen",C401))+ISNUMBER(SEARCH("Marketing Lead",C401))&gt;0,'Configuración'!$B$33,IF(ISNUMBER(SEARCH("COO",C401))+ISNUMBER(SEARCH("CFO",C401))+ISNUMBER(SEARCH("CTO",C401))+ISNUMBER(SEARCH("Chief Operating",C401))+ISNUMBER(SEARCH("Chief Financial",C401))+ISNUMBER(SEARCH("Gerente General",C401))+ISNUMBER(SEARCH("General Manager",C401))&gt;0,'Configuración'!$B$34,'Configuración'!$B$35)))))</f>
        <v>12</v>
      </c>
      <c r="V401" s="38">
        <f>IF(B401="","",IF(K401="Sí",'Configuración'!$B$5,0)+IF(L401="Semanal",'Configuración'!$B$6,IF(L401="Mensual",'Configuración'!$B$7,0))+IF(M401="Sí",'Configuración'!$B$8,0)+IF(N401="Sí",'Configuración'!$B$9,0)+IF(O401="Sí",'Configuración'!$B$10,0)+IF(P401="Sí",'Configuración'!$B$11,0)+IF(Q401="Sí",'Configuración'!$B$12,0)+S401+T401+U401)</f>
        <v>36</v>
      </c>
      <c r="W401" s="39" t="str">
        <f>IF(B401="","",IF(V401&gt;='Configuración'!$B$19,"A",IF(V401&gt;='Configuración'!$B$20,"B",IF(V401&gt;='Configuración'!$B$21,"C","Descarte"))))</f>
        <v>C</v>
      </c>
    </row>
    <row r="402" ht="15.75" customHeight="1">
      <c r="A402" s="34">
        <f t="shared" si="1"/>
        <v>400</v>
      </c>
      <c r="B402" s="29" t="s">
        <v>174</v>
      </c>
      <c r="C402" s="29" t="s">
        <v>131</v>
      </c>
      <c r="D402" s="29" t="s">
        <v>2523</v>
      </c>
      <c r="E402" s="29" t="s">
        <v>2524</v>
      </c>
      <c r="F402" s="30" t="s">
        <v>2525</v>
      </c>
      <c r="G402" s="30" t="s">
        <v>2526</v>
      </c>
      <c r="H402" s="30" t="s">
        <v>2527</v>
      </c>
      <c r="I402" s="29"/>
      <c r="J402" s="31">
        <v>42.0</v>
      </c>
      <c r="K402" s="35"/>
      <c r="L402" s="35"/>
      <c r="M402" s="35"/>
      <c r="N402" s="35"/>
      <c r="O402" s="35"/>
      <c r="P402" s="35"/>
      <c r="Q402" s="35"/>
      <c r="R402" s="35"/>
      <c r="S402" s="37">
        <f>IF(B402="","",IF(ISNUMBER(J402),IF(J402&lt;=10,'Configuración'!$B$23,IF(J402&lt;=50,'Configuración'!$B$24,IF(J402&lt;=200,'Configuración'!$B$25,0))),0))</f>
        <v>4</v>
      </c>
      <c r="T402" s="37">
        <f>IF(B402="","",IF(ISNUMBER(SEARCH("information technology",I402))+ISNUMBER(SEARCH("software",I402))+ISNUMBER(SEARCH("internet",I402))+ISNUMBER(SEARCH("computer",I402))+ISNUMBER(SEARCH("saas",I402))+ISNUMBER(SEARCH("fintech",I402))+ISNUMBER(SEARCH("information services",I402))+ISNUMBER(SEARCH("telecommunications",I402))&gt;0,'Configuración'!$B$27,'Configuración'!$B$28))</f>
        <v>4</v>
      </c>
      <c r="U402" s="25">
        <f>IF(B402="","",IF(ISNUMBER(SEARCH("CEO",C402))+ISNUMBER(SEARCH("Founder",C402))+ISNUMBER(SEARCH("Owner",C402))+ISNUMBER(SEARCH("Dueño",C402))+ISNUMBER(SEARCH("Director General",C402))+ISNUMBER(SEARCH("Presidente",C402))+ISNUMBER(SEARCH("President",C402))&gt;0,'Configuración'!$B$31,IF(ISNUMBER(SEARCH("CMO",C402))+ISNUMBER(SEARCH("Chief Marketing",C402))+ISNUMBER(SEARCH("VP Marketing",C402))+ISNUMBER(SEARCH("Director de Marketing",C402))+ISNUMBER(SEARCH("Director Marketing",C402))+ISNUMBER(SEARCH("Head of Marketing",C402))+ISNUMBER(SEARCH("Head Marketing",C402))&gt;0,'Configuración'!$B$32,IF(ISNUMBER(SEARCH("Marketing Manager",C402))+ISNUMBER(SEARCH("Gerente de Marketing",C402))+ISNUMBER(SEARCH("Growth Manager",C402))+ISNUMBER(SEARCH("Demand Gen",C402))+ISNUMBER(SEARCH("Marketing Lead",C402))&gt;0,'Configuración'!$B$33,IF(ISNUMBER(SEARCH("COO",C402))+ISNUMBER(SEARCH("CFO",C402))+ISNUMBER(SEARCH("CTO",C402))+ISNUMBER(SEARCH("Chief Operating",C402))+ISNUMBER(SEARCH("Chief Financial",C402))+ISNUMBER(SEARCH("Gerente General",C402))+ISNUMBER(SEARCH("General Manager",C402))&gt;0,'Configuración'!$B$34,'Configuración'!$B$35)))))</f>
        <v>12</v>
      </c>
      <c r="V402" s="38">
        <f>IF(B402="","",IF(K402="Sí",'Configuración'!$B$5,0)+IF(L402="Semanal",'Configuración'!$B$6,IF(L402="Mensual",'Configuración'!$B$7,0))+IF(M402="Sí",'Configuración'!$B$8,0)+IF(N402="Sí",'Configuración'!$B$9,0)+IF(O402="Sí",'Configuración'!$B$10,0)+IF(P402="Sí",'Configuración'!$B$11,0)+IF(Q402="Sí",'Configuración'!$B$12,0)+S402+T402+U402)</f>
        <v>20</v>
      </c>
      <c r="W402" s="39" t="str">
        <f>IF(B402="","",IF(V402&gt;='Configuración'!$B$19,"A",IF(V402&gt;='Configuración'!$B$20,"B",IF(V402&gt;='Configuración'!$B$21,"C","Descarte"))))</f>
        <v>Descarte</v>
      </c>
    </row>
    <row r="403" ht="15.75" customHeight="1">
      <c r="A403" s="34">
        <f t="shared" si="1"/>
        <v>401</v>
      </c>
      <c r="B403" s="29" t="s">
        <v>120</v>
      </c>
      <c r="C403" s="29" t="s">
        <v>2528</v>
      </c>
      <c r="D403" s="29" t="s">
        <v>2529</v>
      </c>
      <c r="E403" s="29" t="s">
        <v>2530</v>
      </c>
      <c r="F403" s="30" t="s">
        <v>2531</v>
      </c>
      <c r="G403" s="30" t="s">
        <v>2532</v>
      </c>
      <c r="H403" s="30" t="s">
        <v>2533</v>
      </c>
      <c r="I403" s="29" t="s">
        <v>127</v>
      </c>
      <c r="J403" s="31">
        <v>3.0</v>
      </c>
      <c r="K403" s="35"/>
      <c r="L403" s="35"/>
      <c r="M403" s="35"/>
      <c r="N403" s="35"/>
      <c r="O403" s="35"/>
      <c r="P403" s="35"/>
      <c r="Q403" s="35"/>
      <c r="R403" s="35"/>
      <c r="S403" s="37">
        <f>IF(B403="","",IF(ISNUMBER(J403),IF(J403&lt;=10,'Configuración'!$B$23,IF(J403&lt;=50,'Configuración'!$B$24,IF(J403&lt;=200,'Configuración'!$B$25,0))),0))</f>
        <v>12</v>
      </c>
      <c r="T403" s="37">
        <f>IF(B403="","",IF(ISNUMBER(SEARCH("information technology",I403))+ISNUMBER(SEARCH("software",I403))+ISNUMBER(SEARCH("internet",I403))+ISNUMBER(SEARCH("computer",I403))+ISNUMBER(SEARCH("saas",I403))+ISNUMBER(SEARCH("fintech",I403))+ISNUMBER(SEARCH("information services",I403))+ISNUMBER(SEARCH("telecommunications",I403))&gt;0,'Configuración'!$B$27,'Configuración'!$B$28))</f>
        <v>12</v>
      </c>
      <c r="U403" s="25">
        <f>IF(B403="","",IF(ISNUMBER(SEARCH("CEO",C403))+ISNUMBER(SEARCH("Founder",C403))+ISNUMBER(SEARCH("Owner",C403))+ISNUMBER(SEARCH("Dueño",C403))+ISNUMBER(SEARCH("Director General",C403))+ISNUMBER(SEARCH("Presidente",C403))+ISNUMBER(SEARCH("President",C403))&gt;0,'Configuración'!$B$31,IF(ISNUMBER(SEARCH("CMO",C403))+ISNUMBER(SEARCH("Chief Marketing",C403))+ISNUMBER(SEARCH("VP Marketing",C403))+ISNUMBER(SEARCH("Director de Marketing",C403))+ISNUMBER(SEARCH("Director Marketing",C403))+ISNUMBER(SEARCH("Head of Marketing",C403))+ISNUMBER(SEARCH("Head Marketing",C403))&gt;0,'Configuración'!$B$32,IF(ISNUMBER(SEARCH("Marketing Manager",C403))+ISNUMBER(SEARCH("Gerente de Marketing",C403))+ISNUMBER(SEARCH("Growth Manager",C403))+ISNUMBER(SEARCH("Demand Gen",C403))+ISNUMBER(SEARCH("Marketing Lead",C403))&gt;0,'Configuración'!$B$33,IF(ISNUMBER(SEARCH("COO",C403))+ISNUMBER(SEARCH("CFO",C403))+ISNUMBER(SEARCH("CTO",C403))+ISNUMBER(SEARCH("Chief Operating",C403))+ISNUMBER(SEARCH("Chief Financial",C403))+ISNUMBER(SEARCH("Gerente General",C403))+ISNUMBER(SEARCH("General Manager",C403))&gt;0,'Configuración'!$B$34,'Configuración'!$B$35)))))</f>
        <v>12</v>
      </c>
      <c r="V403" s="38">
        <f>IF(B403="","",IF(K403="Sí",'Configuración'!$B$5,0)+IF(L403="Semanal",'Configuración'!$B$6,IF(L403="Mensual",'Configuración'!$B$7,0))+IF(M403="Sí",'Configuración'!$B$8,0)+IF(N403="Sí",'Configuración'!$B$9,0)+IF(O403="Sí",'Configuración'!$B$10,0)+IF(P403="Sí",'Configuración'!$B$11,0)+IF(Q403="Sí",'Configuración'!$B$12,0)+S403+T403+U403)</f>
        <v>36</v>
      </c>
      <c r="W403" s="39" t="str">
        <f>IF(B403="","",IF(V403&gt;='Configuración'!$B$19,"A",IF(V403&gt;='Configuración'!$B$20,"B",IF(V403&gt;='Configuración'!$B$21,"C","Descarte"))))</f>
        <v>C</v>
      </c>
    </row>
    <row r="404" ht="15.75" customHeight="1">
      <c r="A404" s="34">
        <f t="shared" si="1"/>
        <v>402</v>
      </c>
      <c r="B404" s="29" t="s">
        <v>1814</v>
      </c>
      <c r="C404" s="29" t="s">
        <v>202</v>
      </c>
      <c r="D404" s="40" t="s">
        <v>2534</v>
      </c>
      <c r="E404" s="29" t="s">
        <v>2535</v>
      </c>
      <c r="F404" s="30" t="s">
        <v>2536</v>
      </c>
      <c r="G404" s="30" t="s">
        <v>2537</v>
      </c>
      <c r="H404" s="30" t="s">
        <v>2538</v>
      </c>
      <c r="I404" s="29" t="s">
        <v>127</v>
      </c>
      <c r="J404" s="31">
        <v>4.0</v>
      </c>
      <c r="K404" s="35"/>
      <c r="L404" s="35"/>
      <c r="M404" s="35"/>
      <c r="N404" s="35"/>
      <c r="O404" s="35"/>
      <c r="P404" s="35"/>
      <c r="Q404" s="35"/>
      <c r="R404" s="35"/>
      <c r="S404" s="37">
        <f>IF(B404="","",IF(ISNUMBER(J404),IF(J404&lt;=10,'Configuración'!$B$23,IF(J404&lt;=50,'Configuración'!$B$24,IF(J404&lt;=200,'Configuración'!$B$25,0))),0))</f>
        <v>12</v>
      </c>
      <c r="T404" s="37">
        <f>IF(B404="","",IF(ISNUMBER(SEARCH("information technology",I404))+ISNUMBER(SEARCH("software",I404))+ISNUMBER(SEARCH("internet",I404))+ISNUMBER(SEARCH("computer",I404))+ISNUMBER(SEARCH("saas",I404))+ISNUMBER(SEARCH("fintech",I404))+ISNUMBER(SEARCH("information services",I404))+ISNUMBER(SEARCH("telecommunications",I404))&gt;0,'Configuración'!$B$27,'Configuración'!$B$28))</f>
        <v>12</v>
      </c>
      <c r="U404" s="25">
        <f>IF(B404="","",IF(ISNUMBER(SEARCH("CEO",C404))+ISNUMBER(SEARCH("Founder",C404))+ISNUMBER(SEARCH("Owner",C404))+ISNUMBER(SEARCH("Dueño",C404))+ISNUMBER(SEARCH("Director General",C404))+ISNUMBER(SEARCH("Presidente",C404))+ISNUMBER(SEARCH("President",C404))&gt;0,'Configuración'!$B$31,IF(ISNUMBER(SEARCH("CMO",C404))+ISNUMBER(SEARCH("Chief Marketing",C404))+ISNUMBER(SEARCH("VP Marketing",C404))+ISNUMBER(SEARCH("Director de Marketing",C404))+ISNUMBER(SEARCH("Director Marketing",C404))+ISNUMBER(SEARCH("Head of Marketing",C404))+ISNUMBER(SEARCH("Head Marketing",C404))&gt;0,'Configuración'!$B$32,IF(ISNUMBER(SEARCH("Marketing Manager",C404))+ISNUMBER(SEARCH("Gerente de Marketing",C404))+ISNUMBER(SEARCH("Growth Manager",C404))+ISNUMBER(SEARCH("Demand Gen",C404))+ISNUMBER(SEARCH("Marketing Lead",C404))&gt;0,'Configuración'!$B$33,IF(ISNUMBER(SEARCH("COO",C404))+ISNUMBER(SEARCH("CFO",C404))+ISNUMBER(SEARCH("CTO",C404))+ISNUMBER(SEARCH("Chief Operating",C404))+ISNUMBER(SEARCH("Chief Financial",C404))+ISNUMBER(SEARCH("Gerente General",C404))+ISNUMBER(SEARCH("General Manager",C404))&gt;0,'Configuración'!$B$34,'Configuración'!$B$35)))))</f>
        <v>12</v>
      </c>
      <c r="V404" s="38">
        <f>IF(B404="","",IF(K404="Sí",'Configuración'!$B$5,0)+IF(L404="Semanal",'Configuración'!$B$6,IF(L404="Mensual",'Configuración'!$B$7,0))+IF(M404="Sí",'Configuración'!$B$8,0)+IF(N404="Sí",'Configuración'!$B$9,0)+IF(O404="Sí",'Configuración'!$B$10,0)+IF(P404="Sí",'Configuración'!$B$11,0)+IF(Q404="Sí",'Configuración'!$B$12,0)+S404+T404+U404)</f>
        <v>36</v>
      </c>
      <c r="W404" s="39" t="str">
        <f>IF(B404="","",IF(V404&gt;='Configuración'!$B$19,"A",IF(V404&gt;='Configuración'!$B$20,"B",IF(V404&gt;='Configuración'!$B$21,"C","Descarte"))))</f>
        <v>C</v>
      </c>
    </row>
    <row r="405" ht="15.75" customHeight="1">
      <c r="A405" s="34">
        <f t="shared" si="1"/>
        <v>403</v>
      </c>
      <c r="B405" s="29" t="s">
        <v>610</v>
      </c>
      <c r="C405" s="29" t="s">
        <v>1656</v>
      </c>
      <c r="D405" s="30" t="s">
        <v>2539</v>
      </c>
      <c r="E405" s="29" t="s">
        <v>2540</v>
      </c>
      <c r="F405" s="30" t="s">
        <v>2541</v>
      </c>
      <c r="G405" s="30" t="s">
        <v>2542</v>
      </c>
      <c r="H405" s="30" t="s">
        <v>2543</v>
      </c>
      <c r="I405" s="29" t="s">
        <v>1393</v>
      </c>
      <c r="J405" s="31">
        <v>40.0</v>
      </c>
      <c r="K405" s="35"/>
      <c r="L405" s="35"/>
      <c r="M405" s="35"/>
      <c r="N405" s="35"/>
      <c r="O405" s="35"/>
      <c r="P405" s="35"/>
      <c r="Q405" s="35"/>
      <c r="R405" s="35"/>
      <c r="S405" s="37">
        <f>IF(B405="","",IF(ISNUMBER(J405),IF(J405&lt;=10,'Configuración'!$B$23,IF(J405&lt;=50,'Configuración'!$B$24,IF(J405&lt;=200,'Configuración'!$B$25,0))),0))</f>
        <v>4</v>
      </c>
      <c r="T405" s="37">
        <f>IF(B405="","",IF(ISNUMBER(SEARCH("information technology",I405))+ISNUMBER(SEARCH("software",I405))+ISNUMBER(SEARCH("internet",I405))+ISNUMBER(SEARCH("computer",I405))+ISNUMBER(SEARCH("saas",I405))+ISNUMBER(SEARCH("fintech",I405))+ISNUMBER(SEARCH("information services",I405))+ISNUMBER(SEARCH("telecommunications",I405))&gt;0,'Configuración'!$B$27,'Configuración'!$B$28))</f>
        <v>4</v>
      </c>
      <c r="U405" s="25">
        <f>IF(B405="","",IF(ISNUMBER(SEARCH("CEO",C405))+ISNUMBER(SEARCH("Founder",C405))+ISNUMBER(SEARCH("Owner",C405))+ISNUMBER(SEARCH("Dueño",C405))+ISNUMBER(SEARCH("Director General",C405))+ISNUMBER(SEARCH("Presidente",C405))+ISNUMBER(SEARCH("President",C405))&gt;0,'Configuración'!$B$31,IF(ISNUMBER(SEARCH("CMO",C405))+ISNUMBER(SEARCH("Chief Marketing",C405))+ISNUMBER(SEARCH("VP Marketing",C405))+ISNUMBER(SEARCH("Director de Marketing",C405))+ISNUMBER(SEARCH("Director Marketing",C405))+ISNUMBER(SEARCH("Head of Marketing",C405))+ISNUMBER(SEARCH("Head Marketing",C405))&gt;0,'Configuración'!$B$32,IF(ISNUMBER(SEARCH("Marketing Manager",C405))+ISNUMBER(SEARCH("Gerente de Marketing",C405))+ISNUMBER(SEARCH("Growth Manager",C405))+ISNUMBER(SEARCH("Demand Gen",C405))+ISNUMBER(SEARCH("Marketing Lead",C405))&gt;0,'Configuración'!$B$33,IF(ISNUMBER(SEARCH("COO",C405))+ISNUMBER(SEARCH("CFO",C405))+ISNUMBER(SEARCH("CTO",C405))+ISNUMBER(SEARCH("Chief Operating",C405))+ISNUMBER(SEARCH("Chief Financial",C405))+ISNUMBER(SEARCH("Gerente General",C405))+ISNUMBER(SEARCH("General Manager",C405))&gt;0,'Configuración'!$B$34,'Configuración'!$B$35)))))</f>
        <v>12</v>
      </c>
      <c r="V405" s="38">
        <f>IF(B405="","",IF(K405="Sí",'Configuración'!$B$5,0)+IF(L405="Semanal",'Configuración'!$B$6,IF(L405="Mensual",'Configuración'!$B$7,0))+IF(M405="Sí",'Configuración'!$B$8,0)+IF(N405="Sí",'Configuración'!$B$9,0)+IF(O405="Sí",'Configuración'!$B$10,0)+IF(P405="Sí",'Configuración'!$B$11,0)+IF(Q405="Sí",'Configuración'!$B$12,0)+S405+T405+U405)</f>
        <v>20</v>
      </c>
      <c r="W405" s="39" t="str">
        <f>IF(B405="","",IF(V405&gt;='Configuración'!$B$19,"A",IF(V405&gt;='Configuración'!$B$20,"B",IF(V405&gt;='Configuración'!$B$21,"C","Descarte"))))</f>
        <v>Descarte</v>
      </c>
    </row>
    <row r="406" ht="15.75" customHeight="1">
      <c r="A406" s="34">
        <f t="shared" si="1"/>
        <v>404</v>
      </c>
      <c r="B406" s="29" t="s">
        <v>2544</v>
      </c>
      <c r="C406" s="29" t="s">
        <v>2545</v>
      </c>
      <c r="D406" s="29" t="s">
        <v>2546</v>
      </c>
      <c r="E406" s="29" t="s">
        <v>2547</v>
      </c>
      <c r="F406" s="30" t="s">
        <v>2548</v>
      </c>
      <c r="G406" s="30" t="s">
        <v>2549</v>
      </c>
      <c r="H406" s="30" t="s">
        <v>2550</v>
      </c>
      <c r="I406" s="29" t="s">
        <v>127</v>
      </c>
      <c r="J406" s="31">
        <v>3.0</v>
      </c>
      <c r="K406" s="35"/>
      <c r="L406" s="35"/>
      <c r="M406" s="35"/>
      <c r="N406" s="35"/>
      <c r="O406" s="35"/>
      <c r="P406" s="35"/>
      <c r="Q406" s="35"/>
      <c r="R406" s="35"/>
      <c r="S406" s="37">
        <f>IF(B406="","",IF(ISNUMBER(J406),IF(J406&lt;=10,'Configuración'!$B$23,IF(J406&lt;=50,'Configuración'!$B$24,IF(J406&lt;=200,'Configuración'!$B$25,0))),0))</f>
        <v>12</v>
      </c>
      <c r="T406" s="37">
        <f>IF(B406="","",IF(ISNUMBER(SEARCH("information technology",I406))+ISNUMBER(SEARCH("software",I406))+ISNUMBER(SEARCH("internet",I406))+ISNUMBER(SEARCH("computer",I406))+ISNUMBER(SEARCH("saas",I406))+ISNUMBER(SEARCH("fintech",I406))+ISNUMBER(SEARCH("information services",I406))+ISNUMBER(SEARCH("telecommunications",I406))&gt;0,'Configuración'!$B$27,'Configuración'!$B$28))</f>
        <v>12</v>
      </c>
      <c r="U406" s="25">
        <f>IF(B406="","",IF(ISNUMBER(SEARCH("CEO",C406))+ISNUMBER(SEARCH("Founder",C406))+ISNUMBER(SEARCH("Owner",C406))+ISNUMBER(SEARCH("Dueño",C406))+ISNUMBER(SEARCH("Director General",C406))+ISNUMBER(SEARCH("Presidente",C406))+ISNUMBER(SEARCH("President",C406))&gt;0,'Configuración'!$B$31,IF(ISNUMBER(SEARCH("CMO",C406))+ISNUMBER(SEARCH("Chief Marketing",C406))+ISNUMBER(SEARCH("VP Marketing",C406))+ISNUMBER(SEARCH("Director de Marketing",C406))+ISNUMBER(SEARCH("Director Marketing",C406))+ISNUMBER(SEARCH("Head of Marketing",C406))+ISNUMBER(SEARCH("Head Marketing",C406))&gt;0,'Configuración'!$B$32,IF(ISNUMBER(SEARCH("Marketing Manager",C406))+ISNUMBER(SEARCH("Gerente de Marketing",C406))+ISNUMBER(SEARCH("Growth Manager",C406))+ISNUMBER(SEARCH("Demand Gen",C406))+ISNUMBER(SEARCH("Marketing Lead",C406))&gt;0,'Configuración'!$B$33,IF(ISNUMBER(SEARCH("COO",C406))+ISNUMBER(SEARCH("CFO",C406))+ISNUMBER(SEARCH("CTO",C406))+ISNUMBER(SEARCH("Chief Operating",C406))+ISNUMBER(SEARCH("Chief Financial",C406))+ISNUMBER(SEARCH("Gerente General",C406))+ISNUMBER(SEARCH("General Manager",C406))&gt;0,'Configuración'!$B$34,'Configuración'!$B$35)))))</f>
        <v>4</v>
      </c>
      <c r="V406" s="38">
        <f>IF(B406="","",IF(K406="Sí",'Configuración'!$B$5,0)+IF(L406="Semanal",'Configuración'!$B$6,IF(L406="Mensual",'Configuración'!$B$7,0))+IF(M406="Sí",'Configuración'!$B$8,0)+IF(N406="Sí",'Configuración'!$B$9,0)+IF(O406="Sí",'Configuración'!$B$10,0)+IF(P406="Sí",'Configuración'!$B$11,0)+IF(Q406="Sí",'Configuración'!$B$12,0)+S406+T406+U406)</f>
        <v>28</v>
      </c>
      <c r="W406" s="39" t="str">
        <f>IF(B406="","",IF(V406&gt;='Configuración'!$B$19,"A",IF(V406&gt;='Configuración'!$B$20,"B",IF(V406&gt;='Configuración'!$B$21,"C","Descarte"))))</f>
        <v>C</v>
      </c>
    </row>
    <row r="407" ht="15.75" customHeight="1">
      <c r="A407" s="34">
        <f t="shared" si="1"/>
        <v>405</v>
      </c>
      <c r="B407" s="29" t="s">
        <v>201</v>
      </c>
      <c r="C407" s="29" t="s">
        <v>2551</v>
      </c>
      <c r="D407" s="29" t="s">
        <v>2552</v>
      </c>
      <c r="E407" s="29" t="s">
        <v>2553</v>
      </c>
      <c r="F407" s="30" t="s">
        <v>2554</v>
      </c>
      <c r="G407" s="30" t="s">
        <v>2555</v>
      </c>
      <c r="H407" s="30" t="s">
        <v>2556</v>
      </c>
      <c r="I407" s="29" t="s">
        <v>188</v>
      </c>
      <c r="J407" s="31">
        <v>3.0</v>
      </c>
      <c r="K407" s="35"/>
      <c r="L407" s="35"/>
      <c r="M407" s="35"/>
      <c r="N407" s="35"/>
      <c r="O407" s="35"/>
      <c r="P407" s="35"/>
      <c r="Q407" s="35"/>
      <c r="R407" s="35"/>
      <c r="S407" s="37">
        <f>IF(B407="","",IF(ISNUMBER(J407),IF(J407&lt;=10,'Configuración'!$B$23,IF(J407&lt;=50,'Configuración'!$B$24,IF(J407&lt;=200,'Configuración'!$B$25,0))),0))</f>
        <v>12</v>
      </c>
      <c r="T407" s="37">
        <f>IF(B407="","",IF(ISNUMBER(SEARCH("information technology",I407))+ISNUMBER(SEARCH("software",I407))+ISNUMBER(SEARCH("internet",I407))+ISNUMBER(SEARCH("computer",I407))+ISNUMBER(SEARCH("saas",I407))+ISNUMBER(SEARCH("fintech",I407))+ISNUMBER(SEARCH("information services",I407))+ISNUMBER(SEARCH("telecommunications",I407))&gt;0,'Configuración'!$B$27,'Configuración'!$B$28))</f>
        <v>4</v>
      </c>
      <c r="U407" s="25">
        <f>IF(B407="","",IF(ISNUMBER(SEARCH("CEO",C407))+ISNUMBER(SEARCH("Founder",C407))+ISNUMBER(SEARCH("Owner",C407))+ISNUMBER(SEARCH("Dueño",C407))+ISNUMBER(SEARCH("Director General",C407))+ISNUMBER(SEARCH("Presidente",C407))+ISNUMBER(SEARCH("President",C407))&gt;0,'Configuración'!$B$31,IF(ISNUMBER(SEARCH("CMO",C407))+ISNUMBER(SEARCH("Chief Marketing",C407))+ISNUMBER(SEARCH("VP Marketing",C407))+ISNUMBER(SEARCH("Director de Marketing",C407))+ISNUMBER(SEARCH("Director Marketing",C407))+ISNUMBER(SEARCH("Head of Marketing",C407))+ISNUMBER(SEARCH("Head Marketing",C407))&gt;0,'Configuración'!$B$32,IF(ISNUMBER(SEARCH("Marketing Manager",C407))+ISNUMBER(SEARCH("Gerente de Marketing",C407))+ISNUMBER(SEARCH("Growth Manager",C407))+ISNUMBER(SEARCH("Demand Gen",C407))+ISNUMBER(SEARCH("Marketing Lead",C407))&gt;0,'Configuración'!$B$33,IF(ISNUMBER(SEARCH("COO",C407))+ISNUMBER(SEARCH("CFO",C407))+ISNUMBER(SEARCH("CTO",C407))+ISNUMBER(SEARCH("Chief Operating",C407))+ISNUMBER(SEARCH("Chief Financial",C407))+ISNUMBER(SEARCH("Gerente General",C407))+ISNUMBER(SEARCH("General Manager",C407))&gt;0,'Configuración'!$B$34,'Configuración'!$B$35)))))</f>
        <v>12</v>
      </c>
      <c r="V407" s="38">
        <f>IF(B407="","",IF(K407="Sí",'Configuración'!$B$5,0)+IF(L407="Semanal",'Configuración'!$B$6,IF(L407="Mensual",'Configuración'!$B$7,0))+IF(M407="Sí",'Configuración'!$B$8,0)+IF(N407="Sí",'Configuración'!$B$9,0)+IF(O407="Sí",'Configuración'!$B$10,0)+IF(P407="Sí",'Configuración'!$B$11,0)+IF(Q407="Sí",'Configuración'!$B$12,0)+S407+T407+U407)</f>
        <v>28</v>
      </c>
      <c r="W407" s="39" t="str">
        <f>IF(B407="","",IF(V407&gt;='Configuración'!$B$19,"A",IF(V407&gt;='Configuración'!$B$20,"B",IF(V407&gt;='Configuración'!$B$21,"C","Descarte"))))</f>
        <v>C</v>
      </c>
    </row>
    <row r="408" ht="15.75" customHeight="1">
      <c r="A408" s="34">
        <f t="shared" si="1"/>
        <v>406</v>
      </c>
      <c r="B408" s="29" t="s">
        <v>897</v>
      </c>
      <c r="C408" s="29" t="s">
        <v>2557</v>
      </c>
      <c r="D408" s="29" t="s">
        <v>2558</v>
      </c>
      <c r="E408" s="29" t="s">
        <v>2559</v>
      </c>
      <c r="F408" s="30" t="s">
        <v>2560</v>
      </c>
      <c r="G408" s="30" t="s">
        <v>2561</v>
      </c>
      <c r="H408" s="30" t="s">
        <v>2562</v>
      </c>
      <c r="I408" s="29" t="s">
        <v>127</v>
      </c>
      <c r="J408" s="31">
        <v>11.0</v>
      </c>
      <c r="K408" s="35"/>
      <c r="L408" s="35"/>
      <c r="M408" s="35"/>
      <c r="N408" s="35"/>
      <c r="O408" s="35"/>
      <c r="P408" s="35"/>
      <c r="Q408" s="35"/>
      <c r="R408" s="35"/>
      <c r="S408" s="37">
        <f>IF(B408="","",IF(ISNUMBER(J408),IF(J408&lt;=10,'Configuración'!$B$23,IF(J408&lt;=50,'Configuración'!$B$24,IF(J408&lt;=200,'Configuración'!$B$25,0))),0))</f>
        <v>4</v>
      </c>
      <c r="T408" s="37">
        <f>IF(B408="","",IF(ISNUMBER(SEARCH("information technology",I408))+ISNUMBER(SEARCH("software",I408))+ISNUMBER(SEARCH("internet",I408))+ISNUMBER(SEARCH("computer",I408))+ISNUMBER(SEARCH("saas",I408))+ISNUMBER(SEARCH("fintech",I408))+ISNUMBER(SEARCH("information services",I408))+ISNUMBER(SEARCH("telecommunications",I408))&gt;0,'Configuración'!$B$27,'Configuración'!$B$28))</f>
        <v>12</v>
      </c>
      <c r="U408" s="25">
        <f>IF(B408="","",IF(ISNUMBER(SEARCH("CEO",C408))+ISNUMBER(SEARCH("Founder",C408))+ISNUMBER(SEARCH("Owner",C408))+ISNUMBER(SEARCH("Dueño",C408))+ISNUMBER(SEARCH("Director General",C408))+ISNUMBER(SEARCH("Presidente",C408))+ISNUMBER(SEARCH("President",C408))&gt;0,'Configuración'!$B$31,IF(ISNUMBER(SEARCH("CMO",C408))+ISNUMBER(SEARCH("Chief Marketing",C408))+ISNUMBER(SEARCH("VP Marketing",C408))+ISNUMBER(SEARCH("Director de Marketing",C408))+ISNUMBER(SEARCH("Director Marketing",C408))+ISNUMBER(SEARCH("Head of Marketing",C408))+ISNUMBER(SEARCH("Head Marketing",C408))&gt;0,'Configuración'!$B$32,IF(ISNUMBER(SEARCH("Marketing Manager",C408))+ISNUMBER(SEARCH("Gerente de Marketing",C408))+ISNUMBER(SEARCH("Growth Manager",C408))+ISNUMBER(SEARCH("Demand Gen",C408))+ISNUMBER(SEARCH("Marketing Lead",C408))&gt;0,'Configuración'!$B$33,IF(ISNUMBER(SEARCH("COO",C408))+ISNUMBER(SEARCH("CFO",C408))+ISNUMBER(SEARCH("CTO",C408))+ISNUMBER(SEARCH("Chief Operating",C408))+ISNUMBER(SEARCH("Chief Financial",C408))+ISNUMBER(SEARCH("Gerente General",C408))+ISNUMBER(SEARCH("General Manager",C408))&gt;0,'Configuración'!$B$34,'Configuración'!$B$35)))))</f>
        <v>12</v>
      </c>
      <c r="V408" s="38">
        <f>IF(B408="","",IF(K408="Sí",'Configuración'!$B$5,0)+IF(L408="Semanal",'Configuración'!$B$6,IF(L408="Mensual",'Configuración'!$B$7,0))+IF(M408="Sí",'Configuración'!$B$8,0)+IF(N408="Sí",'Configuración'!$B$9,0)+IF(O408="Sí",'Configuración'!$B$10,0)+IF(P408="Sí",'Configuración'!$B$11,0)+IF(Q408="Sí",'Configuración'!$B$12,0)+S408+T408+U408)</f>
        <v>28</v>
      </c>
      <c r="W408" s="39" t="str">
        <f>IF(B408="","",IF(V408&gt;='Configuración'!$B$19,"A",IF(V408&gt;='Configuración'!$B$20,"B",IF(V408&gt;='Configuración'!$B$21,"C","Descarte"))))</f>
        <v>C</v>
      </c>
    </row>
    <row r="409" ht="15.75" customHeight="1">
      <c r="A409" s="34">
        <f t="shared" si="1"/>
        <v>407</v>
      </c>
      <c r="B409" s="29" t="s">
        <v>473</v>
      </c>
      <c r="C409" s="29" t="s">
        <v>2563</v>
      </c>
      <c r="D409" s="29" t="s">
        <v>2564</v>
      </c>
      <c r="E409" s="29" t="s">
        <v>2565</v>
      </c>
      <c r="F409" s="30" t="s">
        <v>2566</v>
      </c>
      <c r="G409" s="30" t="s">
        <v>2567</v>
      </c>
      <c r="H409" s="30" t="s">
        <v>2568</v>
      </c>
      <c r="I409" s="29" t="s">
        <v>127</v>
      </c>
      <c r="J409" s="31">
        <v>46.0</v>
      </c>
      <c r="K409" s="35"/>
      <c r="L409" s="35"/>
      <c r="M409" s="35"/>
      <c r="N409" s="35"/>
      <c r="O409" s="35"/>
      <c r="P409" s="35"/>
      <c r="Q409" s="35"/>
      <c r="R409" s="35"/>
      <c r="S409" s="37">
        <f>IF(B409="","",IF(ISNUMBER(J409),IF(J409&lt;=10,'Configuración'!$B$23,IF(J409&lt;=50,'Configuración'!$B$24,IF(J409&lt;=200,'Configuración'!$B$25,0))),0))</f>
        <v>4</v>
      </c>
      <c r="T409" s="37">
        <f>IF(B409="","",IF(ISNUMBER(SEARCH("information technology",I409))+ISNUMBER(SEARCH("software",I409))+ISNUMBER(SEARCH("internet",I409))+ISNUMBER(SEARCH("computer",I409))+ISNUMBER(SEARCH("saas",I409))+ISNUMBER(SEARCH("fintech",I409))+ISNUMBER(SEARCH("information services",I409))+ISNUMBER(SEARCH("telecommunications",I409))&gt;0,'Configuración'!$B$27,'Configuración'!$B$28))</f>
        <v>12</v>
      </c>
      <c r="U409" s="25">
        <f>IF(B409="","",IF(ISNUMBER(SEARCH("CEO",C409))+ISNUMBER(SEARCH("Founder",C409))+ISNUMBER(SEARCH("Owner",C409))+ISNUMBER(SEARCH("Dueño",C409))+ISNUMBER(SEARCH("Director General",C409))+ISNUMBER(SEARCH("Presidente",C409))+ISNUMBER(SEARCH("President",C409))&gt;0,'Configuración'!$B$31,IF(ISNUMBER(SEARCH("CMO",C409))+ISNUMBER(SEARCH("Chief Marketing",C409))+ISNUMBER(SEARCH("VP Marketing",C409))+ISNUMBER(SEARCH("Director de Marketing",C409))+ISNUMBER(SEARCH("Director Marketing",C409))+ISNUMBER(SEARCH("Head of Marketing",C409))+ISNUMBER(SEARCH("Head Marketing",C409))&gt;0,'Configuración'!$B$32,IF(ISNUMBER(SEARCH("Marketing Manager",C409))+ISNUMBER(SEARCH("Gerente de Marketing",C409))+ISNUMBER(SEARCH("Growth Manager",C409))+ISNUMBER(SEARCH("Demand Gen",C409))+ISNUMBER(SEARCH("Marketing Lead",C409))&gt;0,'Configuración'!$B$33,IF(ISNUMBER(SEARCH("COO",C409))+ISNUMBER(SEARCH("CFO",C409))+ISNUMBER(SEARCH("CTO",C409))+ISNUMBER(SEARCH("Chief Operating",C409))+ISNUMBER(SEARCH("Chief Financial",C409))+ISNUMBER(SEARCH("Gerente General",C409))+ISNUMBER(SEARCH("General Manager",C409))&gt;0,'Configuración'!$B$34,'Configuración'!$B$35)))))</f>
        <v>12</v>
      </c>
      <c r="V409" s="38">
        <f>IF(B409="","",IF(K409="Sí",'Configuración'!$B$5,0)+IF(L409="Semanal",'Configuración'!$B$6,IF(L409="Mensual",'Configuración'!$B$7,0))+IF(M409="Sí",'Configuración'!$B$8,0)+IF(N409="Sí",'Configuración'!$B$9,0)+IF(O409="Sí",'Configuración'!$B$10,0)+IF(P409="Sí",'Configuración'!$B$11,0)+IF(Q409="Sí",'Configuración'!$B$12,0)+S409+T409+U409)</f>
        <v>28</v>
      </c>
      <c r="W409" s="39" t="str">
        <f>IF(B409="","",IF(V409&gt;='Configuración'!$B$19,"A",IF(V409&gt;='Configuración'!$B$20,"B",IF(V409&gt;='Configuración'!$B$21,"C","Descarte"))))</f>
        <v>C</v>
      </c>
    </row>
    <row r="410" ht="15.75" customHeight="1">
      <c r="A410" s="34">
        <f t="shared" si="1"/>
        <v>408</v>
      </c>
      <c r="B410" s="29" t="s">
        <v>174</v>
      </c>
      <c r="C410" s="29" t="s">
        <v>796</v>
      </c>
      <c r="D410" s="29" t="s">
        <v>2403</v>
      </c>
      <c r="E410" s="29" t="s">
        <v>2569</v>
      </c>
      <c r="F410" s="30" t="s">
        <v>2570</v>
      </c>
      <c r="G410" s="30" t="s">
        <v>2406</v>
      </c>
      <c r="H410" s="30" t="s">
        <v>2407</v>
      </c>
      <c r="I410" s="29" t="s">
        <v>172</v>
      </c>
      <c r="J410" s="31">
        <v>3.0</v>
      </c>
      <c r="K410" s="35"/>
      <c r="L410" s="35"/>
      <c r="M410" s="35"/>
      <c r="N410" s="35"/>
      <c r="O410" s="35"/>
      <c r="P410" s="35"/>
      <c r="Q410" s="35"/>
      <c r="R410" s="35"/>
      <c r="S410" s="37">
        <f>IF(B410="","",IF(ISNUMBER(J410),IF(J410&lt;=10,'Configuración'!$B$23,IF(J410&lt;=50,'Configuración'!$B$24,IF(J410&lt;=200,'Configuración'!$B$25,0))),0))</f>
        <v>12</v>
      </c>
      <c r="T410" s="37">
        <f>IF(B410="","",IF(ISNUMBER(SEARCH("information technology",I410))+ISNUMBER(SEARCH("software",I410))+ISNUMBER(SEARCH("internet",I410))+ISNUMBER(SEARCH("computer",I410))+ISNUMBER(SEARCH("saas",I410))+ISNUMBER(SEARCH("fintech",I410))+ISNUMBER(SEARCH("information services",I410))+ISNUMBER(SEARCH("telecommunications",I410))&gt;0,'Configuración'!$B$27,'Configuración'!$B$28))</f>
        <v>4</v>
      </c>
      <c r="U410" s="25">
        <f>IF(B410="","",IF(ISNUMBER(SEARCH("CEO",C410))+ISNUMBER(SEARCH("Founder",C410))+ISNUMBER(SEARCH("Owner",C410))+ISNUMBER(SEARCH("Dueño",C410))+ISNUMBER(SEARCH("Director General",C410))+ISNUMBER(SEARCH("Presidente",C410))+ISNUMBER(SEARCH("President",C410))&gt;0,'Configuración'!$B$31,IF(ISNUMBER(SEARCH("CMO",C410))+ISNUMBER(SEARCH("Chief Marketing",C410))+ISNUMBER(SEARCH("VP Marketing",C410))+ISNUMBER(SEARCH("Director de Marketing",C410))+ISNUMBER(SEARCH("Director Marketing",C410))+ISNUMBER(SEARCH("Head of Marketing",C410))+ISNUMBER(SEARCH("Head Marketing",C410))&gt;0,'Configuración'!$B$32,IF(ISNUMBER(SEARCH("Marketing Manager",C410))+ISNUMBER(SEARCH("Gerente de Marketing",C410))+ISNUMBER(SEARCH("Growth Manager",C410))+ISNUMBER(SEARCH("Demand Gen",C410))+ISNUMBER(SEARCH("Marketing Lead",C410))&gt;0,'Configuración'!$B$33,IF(ISNUMBER(SEARCH("COO",C410))+ISNUMBER(SEARCH("CFO",C410))+ISNUMBER(SEARCH("CTO",C410))+ISNUMBER(SEARCH("Chief Operating",C410))+ISNUMBER(SEARCH("Chief Financial",C410))+ISNUMBER(SEARCH("Gerente General",C410))+ISNUMBER(SEARCH("General Manager",C410))&gt;0,'Configuración'!$B$34,'Configuración'!$B$35)))))</f>
        <v>12</v>
      </c>
      <c r="V410" s="38">
        <f>IF(B410="","",IF(K410="Sí",'Configuración'!$B$5,0)+IF(L410="Semanal",'Configuración'!$B$6,IF(L410="Mensual",'Configuración'!$B$7,0))+IF(M410="Sí",'Configuración'!$B$8,0)+IF(N410="Sí",'Configuración'!$B$9,0)+IF(O410="Sí",'Configuración'!$B$10,0)+IF(P410="Sí",'Configuración'!$B$11,0)+IF(Q410="Sí",'Configuración'!$B$12,0)+S410+T410+U410)</f>
        <v>28</v>
      </c>
      <c r="W410" s="39" t="str">
        <f>IF(B410="","",IF(V410&gt;='Configuración'!$B$19,"A",IF(V410&gt;='Configuración'!$B$20,"B",IF(V410&gt;='Configuración'!$B$21,"C","Descarte"))))</f>
        <v>C</v>
      </c>
    </row>
    <row r="411" ht="15.75" customHeight="1">
      <c r="A411" s="34">
        <f t="shared" si="1"/>
        <v>409</v>
      </c>
      <c r="B411" s="29" t="s">
        <v>174</v>
      </c>
      <c r="C411" s="29" t="s">
        <v>131</v>
      </c>
      <c r="D411" s="29" t="s">
        <v>2571</v>
      </c>
      <c r="E411" s="29" t="s">
        <v>2572</v>
      </c>
      <c r="F411" s="30" t="s">
        <v>2573</v>
      </c>
      <c r="G411" s="30" t="s">
        <v>2574</v>
      </c>
      <c r="H411" s="30" t="s">
        <v>2575</v>
      </c>
      <c r="I411" s="29" t="s">
        <v>1922</v>
      </c>
      <c r="J411" s="31">
        <v>44.0</v>
      </c>
      <c r="K411" s="35"/>
      <c r="L411" s="35"/>
      <c r="M411" s="35"/>
      <c r="N411" s="35"/>
      <c r="O411" s="35"/>
      <c r="P411" s="35"/>
      <c r="Q411" s="35"/>
      <c r="R411" s="35"/>
      <c r="S411" s="37">
        <f>IF(B411="","",IF(ISNUMBER(J411),IF(J411&lt;=10,'Configuración'!$B$23,IF(J411&lt;=50,'Configuración'!$B$24,IF(J411&lt;=200,'Configuración'!$B$25,0))),0))</f>
        <v>4</v>
      </c>
      <c r="T411" s="37">
        <f>IF(B411="","",IF(ISNUMBER(SEARCH("information technology",I411))+ISNUMBER(SEARCH("software",I411))+ISNUMBER(SEARCH("internet",I411))+ISNUMBER(SEARCH("computer",I411))+ISNUMBER(SEARCH("saas",I411))+ISNUMBER(SEARCH("fintech",I411))+ISNUMBER(SEARCH("information services",I411))+ISNUMBER(SEARCH("telecommunications",I411))&gt;0,'Configuración'!$B$27,'Configuración'!$B$28))</f>
        <v>4</v>
      </c>
      <c r="U411" s="25">
        <f>IF(B411="","",IF(ISNUMBER(SEARCH("CEO",C411))+ISNUMBER(SEARCH("Founder",C411))+ISNUMBER(SEARCH("Owner",C411))+ISNUMBER(SEARCH("Dueño",C411))+ISNUMBER(SEARCH("Director General",C411))+ISNUMBER(SEARCH("Presidente",C411))+ISNUMBER(SEARCH("President",C411))&gt;0,'Configuración'!$B$31,IF(ISNUMBER(SEARCH("CMO",C411))+ISNUMBER(SEARCH("Chief Marketing",C411))+ISNUMBER(SEARCH("VP Marketing",C411))+ISNUMBER(SEARCH("Director de Marketing",C411))+ISNUMBER(SEARCH("Director Marketing",C411))+ISNUMBER(SEARCH("Head of Marketing",C411))+ISNUMBER(SEARCH("Head Marketing",C411))&gt;0,'Configuración'!$B$32,IF(ISNUMBER(SEARCH("Marketing Manager",C411))+ISNUMBER(SEARCH("Gerente de Marketing",C411))+ISNUMBER(SEARCH("Growth Manager",C411))+ISNUMBER(SEARCH("Demand Gen",C411))+ISNUMBER(SEARCH("Marketing Lead",C411))&gt;0,'Configuración'!$B$33,IF(ISNUMBER(SEARCH("COO",C411))+ISNUMBER(SEARCH("CFO",C411))+ISNUMBER(SEARCH("CTO",C411))+ISNUMBER(SEARCH("Chief Operating",C411))+ISNUMBER(SEARCH("Chief Financial",C411))+ISNUMBER(SEARCH("Gerente General",C411))+ISNUMBER(SEARCH("General Manager",C411))&gt;0,'Configuración'!$B$34,'Configuración'!$B$35)))))</f>
        <v>12</v>
      </c>
      <c r="V411" s="38">
        <f>IF(B411="","",IF(K411="Sí",'Configuración'!$B$5,0)+IF(L411="Semanal",'Configuración'!$B$6,IF(L411="Mensual",'Configuración'!$B$7,0))+IF(M411="Sí",'Configuración'!$B$8,0)+IF(N411="Sí",'Configuración'!$B$9,0)+IF(O411="Sí",'Configuración'!$B$10,0)+IF(P411="Sí",'Configuración'!$B$11,0)+IF(Q411="Sí",'Configuración'!$B$12,0)+S411+T411+U411)</f>
        <v>20</v>
      </c>
      <c r="W411" s="39" t="str">
        <f>IF(B411="","",IF(V411&gt;='Configuración'!$B$19,"A",IF(V411&gt;='Configuración'!$B$20,"B",IF(V411&gt;='Configuración'!$B$21,"C","Descarte"))))</f>
        <v>Descarte</v>
      </c>
    </row>
    <row r="412" ht="15.75" customHeight="1">
      <c r="A412" s="34">
        <f t="shared" si="1"/>
        <v>410</v>
      </c>
      <c r="B412" s="29" t="s">
        <v>1048</v>
      </c>
      <c r="C412" s="29" t="s">
        <v>202</v>
      </c>
      <c r="D412" s="29" t="s">
        <v>2576</v>
      </c>
      <c r="E412" s="29" t="s">
        <v>2577</v>
      </c>
      <c r="F412" s="30" t="s">
        <v>2578</v>
      </c>
      <c r="G412" s="30" t="s">
        <v>2579</v>
      </c>
      <c r="H412" s="30" t="s">
        <v>2580</v>
      </c>
      <c r="I412" s="29" t="s">
        <v>2350</v>
      </c>
      <c r="J412" s="31">
        <v>4.0</v>
      </c>
      <c r="K412" s="35"/>
      <c r="L412" s="35"/>
      <c r="M412" s="35"/>
      <c r="N412" s="35"/>
      <c r="O412" s="35"/>
      <c r="P412" s="35"/>
      <c r="Q412" s="35"/>
      <c r="R412" s="35"/>
      <c r="S412" s="37">
        <f>IF(B412="","",IF(ISNUMBER(J412),IF(J412&lt;=10,'Configuración'!$B$23,IF(J412&lt;=50,'Configuración'!$B$24,IF(J412&lt;=200,'Configuración'!$B$25,0))),0))</f>
        <v>12</v>
      </c>
      <c r="T412" s="37">
        <f>IF(B412="","",IF(ISNUMBER(SEARCH("information technology",I412))+ISNUMBER(SEARCH("software",I412))+ISNUMBER(SEARCH("internet",I412))+ISNUMBER(SEARCH("computer",I412))+ISNUMBER(SEARCH("saas",I412))+ISNUMBER(SEARCH("fintech",I412))+ISNUMBER(SEARCH("information services",I412))+ISNUMBER(SEARCH("telecommunications",I412))&gt;0,'Configuración'!$B$27,'Configuración'!$B$28))</f>
        <v>4</v>
      </c>
      <c r="U412" s="25">
        <f>IF(B412="","",IF(ISNUMBER(SEARCH("CEO",C412))+ISNUMBER(SEARCH("Founder",C412))+ISNUMBER(SEARCH("Owner",C412))+ISNUMBER(SEARCH("Dueño",C412))+ISNUMBER(SEARCH("Director General",C412))+ISNUMBER(SEARCH("Presidente",C412))+ISNUMBER(SEARCH("President",C412))&gt;0,'Configuración'!$B$31,IF(ISNUMBER(SEARCH("CMO",C412))+ISNUMBER(SEARCH("Chief Marketing",C412))+ISNUMBER(SEARCH("VP Marketing",C412))+ISNUMBER(SEARCH("Director de Marketing",C412))+ISNUMBER(SEARCH("Director Marketing",C412))+ISNUMBER(SEARCH("Head of Marketing",C412))+ISNUMBER(SEARCH("Head Marketing",C412))&gt;0,'Configuración'!$B$32,IF(ISNUMBER(SEARCH("Marketing Manager",C412))+ISNUMBER(SEARCH("Gerente de Marketing",C412))+ISNUMBER(SEARCH("Growth Manager",C412))+ISNUMBER(SEARCH("Demand Gen",C412))+ISNUMBER(SEARCH("Marketing Lead",C412))&gt;0,'Configuración'!$B$33,IF(ISNUMBER(SEARCH("COO",C412))+ISNUMBER(SEARCH("CFO",C412))+ISNUMBER(SEARCH("CTO",C412))+ISNUMBER(SEARCH("Chief Operating",C412))+ISNUMBER(SEARCH("Chief Financial",C412))+ISNUMBER(SEARCH("Gerente General",C412))+ISNUMBER(SEARCH("General Manager",C412))&gt;0,'Configuración'!$B$34,'Configuración'!$B$35)))))</f>
        <v>12</v>
      </c>
      <c r="V412" s="38">
        <f>IF(B412="","",IF(K412="Sí",'Configuración'!$B$5,0)+IF(L412="Semanal",'Configuración'!$B$6,IF(L412="Mensual",'Configuración'!$B$7,0))+IF(M412="Sí",'Configuración'!$B$8,0)+IF(N412="Sí",'Configuración'!$B$9,0)+IF(O412="Sí",'Configuración'!$B$10,0)+IF(P412="Sí",'Configuración'!$B$11,0)+IF(Q412="Sí",'Configuración'!$B$12,0)+S412+T412+U412)</f>
        <v>28</v>
      </c>
      <c r="W412" s="39" t="str">
        <f>IF(B412="","",IF(V412&gt;='Configuración'!$B$19,"A",IF(V412&gt;='Configuración'!$B$20,"B",IF(V412&gt;='Configuración'!$B$21,"C","Descarte"))))</f>
        <v>C</v>
      </c>
    </row>
    <row r="413" ht="15.75" customHeight="1">
      <c r="A413" s="34">
        <f t="shared" si="1"/>
        <v>411</v>
      </c>
      <c r="B413" s="29" t="s">
        <v>629</v>
      </c>
      <c r="C413" s="29" t="s">
        <v>487</v>
      </c>
      <c r="D413" s="29" t="s">
        <v>2581</v>
      </c>
      <c r="E413" s="29" t="s">
        <v>2582</v>
      </c>
      <c r="F413" s="30" t="s">
        <v>2583</v>
      </c>
      <c r="G413" s="30" t="s">
        <v>2584</v>
      </c>
      <c r="H413" s="30" t="s">
        <v>2585</v>
      </c>
      <c r="I413" s="29" t="s">
        <v>1027</v>
      </c>
      <c r="J413" s="31">
        <v>31.0</v>
      </c>
      <c r="K413" s="35"/>
      <c r="L413" s="35"/>
      <c r="M413" s="35"/>
      <c r="N413" s="35"/>
      <c r="O413" s="35"/>
      <c r="P413" s="35"/>
      <c r="Q413" s="35"/>
      <c r="R413" s="35"/>
      <c r="S413" s="37">
        <f>IF(B413="","",IF(ISNUMBER(J413),IF(J413&lt;=10,'Configuración'!$B$23,IF(J413&lt;=50,'Configuración'!$B$24,IF(J413&lt;=200,'Configuración'!$B$25,0))),0))</f>
        <v>4</v>
      </c>
      <c r="T413" s="37">
        <f>IF(B413="","",IF(ISNUMBER(SEARCH("information technology",I413))+ISNUMBER(SEARCH("software",I413))+ISNUMBER(SEARCH("internet",I413))+ISNUMBER(SEARCH("computer",I413))+ISNUMBER(SEARCH("saas",I413))+ISNUMBER(SEARCH("fintech",I413))+ISNUMBER(SEARCH("information services",I413))+ISNUMBER(SEARCH("telecommunications",I413))&gt;0,'Configuración'!$B$27,'Configuración'!$B$28))</f>
        <v>4</v>
      </c>
      <c r="U413" s="25">
        <f>IF(B413="","",IF(ISNUMBER(SEARCH("CEO",C413))+ISNUMBER(SEARCH("Founder",C413))+ISNUMBER(SEARCH("Owner",C413))+ISNUMBER(SEARCH("Dueño",C413))+ISNUMBER(SEARCH("Director General",C413))+ISNUMBER(SEARCH("Presidente",C413))+ISNUMBER(SEARCH("President",C413))&gt;0,'Configuración'!$B$31,IF(ISNUMBER(SEARCH("CMO",C413))+ISNUMBER(SEARCH("Chief Marketing",C413))+ISNUMBER(SEARCH("VP Marketing",C413))+ISNUMBER(SEARCH("Director de Marketing",C413))+ISNUMBER(SEARCH("Director Marketing",C413))+ISNUMBER(SEARCH("Head of Marketing",C413))+ISNUMBER(SEARCH("Head Marketing",C413))&gt;0,'Configuración'!$B$32,IF(ISNUMBER(SEARCH("Marketing Manager",C413))+ISNUMBER(SEARCH("Gerente de Marketing",C413))+ISNUMBER(SEARCH("Growth Manager",C413))+ISNUMBER(SEARCH("Demand Gen",C413))+ISNUMBER(SEARCH("Marketing Lead",C413))&gt;0,'Configuración'!$B$33,IF(ISNUMBER(SEARCH("COO",C413))+ISNUMBER(SEARCH("CFO",C413))+ISNUMBER(SEARCH("CTO",C413))+ISNUMBER(SEARCH("Chief Operating",C413))+ISNUMBER(SEARCH("Chief Financial",C413))+ISNUMBER(SEARCH("Gerente General",C413))+ISNUMBER(SEARCH("General Manager",C413))&gt;0,'Configuración'!$B$34,'Configuración'!$B$35)))))</f>
        <v>12</v>
      </c>
      <c r="V413" s="38">
        <f>IF(B413="","",IF(K413="Sí",'Configuración'!$B$5,0)+IF(L413="Semanal",'Configuración'!$B$6,IF(L413="Mensual",'Configuración'!$B$7,0))+IF(M413="Sí",'Configuración'!$B$8,0)+IF(N413="Sí",'Configuración'!$B$9,0)+IF(O413="Sí",'Configuración'!$B$10,0)+IF(P413="Sí",'Configuración'!$B$11,0)+IF(Q413="Sí",'Configuración'!$B$12,0)+S413+T413+U413)</f>
        <v>20</v>
      </c>
      <c r="W413" s="39" t="str">
        <f>IF(B413="","",IF(V413&gt;='Configuración'!$B$19,"A",IF(V413&gt;='Configuración'!$B$20,"B",IF(V413&gt;='Configuración'!$B$21,"C","Descarte"))))</f>
        <v>Descarte</v>
      </c>
    </row>
    <row r="414" ht="15.75" customHeight="1">
      <c r="A414" s="34">
        <f t="shared" si="1"/>
        <v>412</v>
      </c>
      <c r="B414" s="29" t="s">
        <v>174</v>
      </c>
      <c r="C414" s="29" t="s">
        <v>2586</v>
      </c>
      <c r="D414" s="29" t="s">
        <v>2587</v>
      </c>
      <c r="E414" s="29" t="s">
        <v>2588</v>
      </c>
      <c r="F414" s="30" t="s">
        <v>2589</v>
      </c>
      <c r="G414" s="30" t="s">
        <v>2590</v>
      </c>
      <c r="H414" s="30" t="s">
        <v>2591</v>
      </c>
      <c r="I414" s="29" t="s">
        <v>1429</v>
      </c>
      <c r="J414" s="31">
        <v>5.0</v>
      </c>
      <c r="K414" s="35"/>
      <c r="L414" s="35"/>
      <c r="M414" s="35"/>
      <c r="N414" s="35"/>
      <c r="O414" s="35"/>
      <c r="P414" s="35"/>
      <c r="Q414" s="35"/>
      <c r="R414" s="35"/>
      <c r="S414" s="37">
        <f>IF(B414="","",IF(ISNUMBER(J414),IF(J414&lt;=10,'Configuración'!$B$23,IF(J414&lt;=50,'Configuración'!$B$24,IF(J414&lt;=200,'Configuración'!$B$25,0))),0))</f>
        <v>12</v>
      </c>
      <c r="T414" s="37">
        <f>IF(B414="","",IF(ISNUMBER(SEARCH("information technology",I414))+ISNUMBER(SEARCH("software",I414))+ISNUMBER(SEARCH("internet",I414))+ISNUMBER(SEARCH("computer",I414))+ISNUMBER(SEARCH("saas",I414))+ISNUMBER(SEARCH("fintech",I414))+ISNUMBER(SEARCH("information services",I414))+ISNUMBER(SEARCH("telecommunications",I414))&gt;0,'Configuración'!$B$27,'Configuración'!$B$28))</f>
        <v>4</v>
      </c>
      <c r="U414" s="25">
        <f>IF(B414="","",IF(ISNUMBER(SEARCH("CEO",C414))+ISNUMBER(SEARCH("Founder",C414))+ISNUMBER(SEARCH("Owner",C414))+ISNUMBER(SEARCH("Dueño",C414))+ISNUMBER(SEARCH("Director General",C414))+ISNUMBER(SEARCH("Presidente",C414))+ISNUMBER(SEARCH("President",C414))&gt;0,'Configuración'!$B$31,IF(ISNUMBER(SEARCH("CMO",C414))+ISNUMBER(SEARCH("Chief Marketing",C414))+ISNUMBER(SEARCH("VP Marketing",C414))+ISNUMBER(SEARCH("Director de Marketing",C414))+ISNUMBER(SEARCH("Director Marketing",C414))+ISNUMBER(SEARCH("Head of Marketing",C414))+ISNUMBER(SEARCH("Head Marketing",C414))&gt;0,'Configuración'!$B$32,IF(ISNUMBER(SEARCH("Marketing Manager",C414))+ISNUMBER(SEARCH("Gerente de Marketing",C414))+ISNUMBER(SEARCH("Growth Manager",C414))+ISNUMBER(SEARCH("Demand Gen",C414))+ISNUMBER(SEARCH("Marketing Lead",C414))&gt;0,'Configuración'!$B$33,IF(ISNUMBER(SEARCH("COO",C414))+ISNUMBER(SEARCH("CFO",C414))+ISNUMBER(SEARCH("CTO",C414))+ISNUMBER(SEARCH("Chief Operating",C414))+ISNUMBER(SEARCH("Chief Financial",C414))+ISNUMBER(SEARCH("Gerente General",C414))+ISNUMBER(SEARCH("General Manager",C414))&gt;0,'Configuración'!$B$34,'Configuración'!$B$35)))))</f>
        <v>4</v>
      </c>
      <c r="V414" s="38">
        <f>IF(B414="","",IF(K414="Sí",'Configuración'!$B$5,0)+IF(L414="Semanal",'Configuración'!$B$6,IF(L414="Mensual",'Configuración'!$B$7,0))+IF(M414="Sí",'Configuración'!$B$8,0)+IF(N414="Sí",'Configuración'!$B$9,0)+IF(O414="Sí",'Configuración'!$B$10,0)+IF(P414="Sí",'Configuración'!$B$11,0)+IF(Q414="Sí",'Configuración'!$B$12,0)+S414+T414+U414)</f>
        <v>20</v>
      </c>
      <c r="W414" s="39" t="str">
        <f>IF(B414="","",IF(V414&gt;='Configuración'!$B$19,"A",IF(V414&gt;='Configuración'!$B$20,"B",IF(V414&gt;='Configuración'!$B$21,"C","Descarte"))))</f>
        <v>Descarte</v>
      </c>
    </row>
    <row r="415" ht="15.75" customHeight="1">
      <c r="A415" s="34">
        <f t="shared" si="1"/>
        <v>413</v>
      </c>
      <c r="B415" s="29" t="s">
        <v>2592</v>
      </c>
      <c r="C415" s="29" t="s">
        <v>175</v>
      </c>
      <c r="D415" s="29" t="s">
        <v>2593</v>
      </c>
      <c r="E415" s="29" t="s">
        <v>2594</v>
      </c>
      <c r="F415" s="30" t="s">
        <v>2595</v>
      </c>
      <c r="G415" s="30" t="s">
        <v>2596</v>
      </c>
      <c r="H415" s="30" t="s">
        <v>2597</v>
      </c>
      <c r="I415" s="29" t="s">
        <v>873</v>
      </c>
      <c r="J415" s="31">
        <v>7.0</v>
      </c>
      <c r="K415" s="35"/>
      <c r="L415" s="35"/>
      <c r="M415" s="35"/>
      <c r="N415" s="35"/>
      <c r="O415" s="35"/>
      <c r="P415" s="35"/>
      <c r="Q415" s="35"/>
      <c r="R415" s="35"/>
      <c r="S415" s="37">
        <f>IF(B415="","",IF(ISNUMBER(J415),IF(J415&lt;=10,'Configuración'!$B$23,IF(J415&lt;=50,'Configuración'!$B$24,IF(J415&lt;=200,'Configuración'!$B$25,0))),0))</f>
        <v>12</v>
      </c>
      <c r="T415" s="37">
        <f>IF(B415="","",IF(ISNUMBER(SEARCH("information technology",I415))+ISNUMBER(SEARCH("software",I415))+ISNUMBER(SEARCH("internet",I415))+ISNUMBER(SEARCH("computer",I415))+ISNUMBER(SEARCH("saas",I415))+ISNUMBER(SEARCH("fintech",I415))+ISNUMBER(SEARCH("information services",I415))+ISNUMBER(SEARCH("telecommunications",I415))&gt;0,'Configuración'!$B$27,'Configuración'!$B$28))</f>
        <v>4</v>
      </c>
      <c r="U415" s="25">
        <f>IF(B415="","",IF(ISNUMBER(SEARCH("CEO",C415))+ISNUMBER(SEARCH("Founder",C415))+ISNUMBER(SEARCH("Owner",C415))+ISNUMBER(SEARCH("Dueño",C415))+ISNUMBER(SEARCH("Director General",C415))+ISNUMBER(SEARCH("Presidente",C415))+ISNUMBER(SEARCH("President",C415))&gt;0,'Configuración'!$B$31,IF(ISNUMBER(SEARCH("CMO",C415))+ISNUMBER(SEARCH("Chief Marketing",C415))+ISNUMBER(SEARCH("VP Marketing",C415))+ISNUMBER(SEARCH("Director de Marketing",C415))+ISNUMBER(SEARCH("Director Marketing",C415))+ISNUMBER(SEARCH("Head of Marketing",C415))+ISNUMBER(SEARCH("Head Marketing",C415))&gt;0,'Configuración'!$B$32,IF(ISNUMBER(SEARCH("Marketing Manager",C415))+ISNUMBER(SEARCH("Gerente de Marketing",C415))+ISNUMBER(SEARCH("Growth Manager",C415))+ISNUMBER(SEARCH("Demand Gen",C415))+ISNUMBER(SEARCH("Marketing Lead",C415))&gt;0,'Configuración'!$B$33,IF(ISNUMBER(SEARCH("COO",C415))+ISNUMBER(SEARCH("CFO",C415))+ISNUMBER(SEARCH("CTO",C415))+ISNUMBER(SEARCH("Chief Operating",C415))+ISNUMBER(SEARCH("Chief Financial",C415))+ISNUMBER(SEARCH("Gerente General",C415))+ISNUMBER(SEARCH("General Manager",C415))&gt;0,'Configuración'!$B$34,'Configuración'!$B$35)))))</f>
        <v>12</v>
      </c>
      <c r="V415" s="38">
        <f>IF(B415="","",IF(K415="Sí",'Configuración'!$B$5,0)+IF(L415="Semanal",'Configuración'!$B$6,IF(L415="Mensual",'Configuración'!$B$7,0))+IF(M415="Sí",'Configuración'!$B$8,0)+IF(N415="Sí",'Configuración'!$B$9,0)+IF(O415="Sí",'Configuración'!$B$10,0)+IF(P415="Sí",'Configuración'!$B$11,0)+IF(Q415="Sí",'Configuración'!$B$12,0)+S415+T415+U415)</f>
        <v>28</v>
      </c>
      <c r="W415" s="39" t="str">
        <f>IF(B415="","",IF(V415&gt;='Configuración'!$B$19,"A",IF(V415&gt;='Configuración'!$B$20,"B",IF(V415&gt;='Configuración'!$B$21,"C","Descarte"))))</f>
        <v>C</v>
      </c>
    </row>
    <row r="416" ht="15.75" customHeight="1">
      <c r="A416" s="34">
        <f t="shared" si="1"/>
        <v>414</v>
      </c>
      <c r="B416" s="29" t="s">
        <v>324</v>
      </c>
      <c r="C416" s="29" t="s">
        <v>202</v>
      </c>
      <c r="D416" s="29" t="s">
        <v>2598</v>
      </c>
      <c r="E416" s="29" t="s">
        <v>2599</v>
      </c>
      <c r="F416" s="30" t="s">
        <v>2600</v>
      </c>
      <c r="G416" s="30" t="s">
        <v>2601</v>
      </c>
      <c r="H416" s="30" t="s">
        <v>2602</v>
      </c>
      <c r="I416" s="29" t="s">
        <v>127</v>
      </c>
      <c r="J416" s="31">
        <v>18.0</v>
      </c>
      <c r="K416" s="35"/>
      <c r="L416" s="35"/>
      <c r="M416" s="35"/>
      <c r="N416" s="35"/>
      <c r="O416" s="35"/>
      <c r="P416" s="35"/>
      <c r="Q416" s="35"/>
      <c r="R416" s="35"/>
      <c r="S416" s="37">
        <f>IF(B416="","",IF(ISNUMBER(J416),IF(J416&lt;=10,'Configuración'!$B$23,IF(J416&lt;=50,'Configuración'!$B$24,IF(J416&lt;=200,'Configuración'!$B$25,0))),0))</f>
        <v>4</v>
      </c>
      <c r="T416" s="37">
        <f>IF(B416="","",IF(ISNUMBER(SEARCH("information technology",I416))+ISNUMBER(SEARCH("software",I416))+ISNUMBER(SEARCH("internet",I416))+ISNUMBER(SEARCH("computer",I416))+ISNUMBER(SEARCH("saas",I416))+ISNUMBER(SEARCH("fintech",I416))+ISNUMBER(SEARCH("information services",I416))+ISNUMBER(SEARCH("telecommunications",I416))&gt;0,'Configuración'!$B$27,'Configuración'!$B$28))</f>
        <v>12</v>
      </c>
      <c r="U416" s="25">
        <f>IF(B416="","",IF(ISNUMBER(SEARCH("CEO",C416))+ISNUMBER(SEARCH("Founder",C416))+ISNUMBER(SEARCH("Owner",C416))+ISNUMBER(SEARCH("Dueño",C416))+ISNUMBER(SEARCH("Director General",C416))+ISNUMBER(SEARCH("Presidente",C416))+ISNUMBER(SEARCH("President",C416))&gt;0,'Configuración'!$B$31,IF(ISNUMBER(SEARCH("CMO",C416))+ISNUMBER(SEARCH("Chief Marketing",C416))+ISNUMBER(SEARCH("VP Marketing",C416))+ISNUMBER(SEARCH("Director de Marketing",C416))+ISNUMBER(SEARCH("Director Marketing",C416))+ISNUMBER(SEARCH("Head of Marketing",C416))+ISNUMBER(SEARCH("Head Marketing",C416))&gt;0,'Configuración'!$B$32,IF(ISNUMBER(SEARCH("Marketing Manager",C416))+ISNUMBER(SEARCH("Gerente de Marketing",C416))+ISNUMBER(SEARCH("Growth Manager",C416))+ISNUMBER(SEARCH("Demand Gen",C416))+ISNUMBER(SEARCH("Marketing Lead",C416))&gt;0,'Configuración'!$B$33,IF(ISNUMBER(SEARCH("COO",C416))+ISNUMBER(SEARCH("CFO",C416))+ISNUMBER(SEARCH("CTO",C416))+ISNUMBER(SEARCH("Chief Operating",C416))+ISNUMBER(SEARCH("Chief Financial",C416))+ISNUMBER(SEARCH("Gerente General",C416))+ISNUMBER(SEARCH("General Manager",C416))&gt;0,'Configuración'!$B$34,'Configuración'!$B$35)))))</f>
        <v>12</v>
      </c>
      <c r="V416" s="38">
        <f>IF(B416="","",IF(K416="Sí",'Configuración'!$B$5,0)+IF(L416="Semanal",'Configuración'!$B$6,IF(L416="Mensual",'Configuración'!$B$7,0))+IF(M416="Sí",'Configuración'!$B$8,0)+IF(N416="Sí",'Configuración'!$B$9,0)+IF(O416="Sí",'Configuración'!$B$10,0)+IF(P416="Sí",'Configuración'!$B$11,0)+IF(Q416="Sí",'Configuración'!$B$12,0)+S416+T416+U416)</f>
        <v>28</v>
      </c>
      <c r="W416" s="39" t="str">
        <f>IF(B416="","",IF(V416&gt;='Configuración'!$B$19,"A",IF(V416&gt;='Configuración'!$B$20,"B",IF(V416&gt;='Configuración'!$B$21,"C","Descarte"))))</f>
        <v>C</v>
      </c>
    </row>
    <row r="417" ht="15.75" customHeight="1">
      <c r="A417" s="34">
        <f t="shared" si="1"/>
        <v>415</v>
      </c>
      <c r="B417" s="29" t="s">
        <v>2603</v>
      </c>
      <c r="C417" s="29" t="s">
        <v>2604</v>
      </c>
      <c r="D417" s="29" t="s">
        <v>2605</v>
      </c>
      <c r="E417" s="29" t="s">
        <v>2606</v>
      </c>
      <c r="F417" s="30" t="s">
        <v>2607</v>
      </c>
      <c r="G417" s="30" t="s">
        <v>2608</v>
      </c>
      <c r="H417" s="30" t="s">
        <v>2609</v>
      </c>
      <c r="I417" s="29" t="s">
        <v>2610</v>
      </c>
      <c r="J417" s="31">
        <v>33.0</v>
      </c>
      <c r="K417" s="35"/>
      <c r="L417" s="35"/>
      <c r="M417" s="35"/>
      <c r="N417" s="35"/>
      <c r="O417" s="35"/>
      <c r="P417" s="35"/>
      <c r="Q417" s="35"/>
      <c r="R417" s="35"/>
      <c r="S417" s="37">
        <f>IF(B417="","",IF(ISNUMBER(J417),IF(J417&lt;=10,'Configuración'!$B$23,IF(J417&lt;=50,'Configuración'!$B$24,IF(J417&lt;=200,'Configuración'!$B$25,0))),0))</f>
        <v>4</v>
      </c>
      <c r="T417" s="37">
        <f>IF(B417="","",IF(ISNUMBER(SEARCH("information technology",I417))+ISNUMBER(SEARCH("software",I417))+ISNUMBER(SEARCH("internet",I417))+ISNUMBER(SEARCH("computer",I417))+ISNUMBER(SEARCH("saas",I417))+ISNUMBER(SEARCH("fintech",I417))+ISNUMBER(SEARCH("information services",I417))+ISNUMBER(SEARCH("telecommunications",I417))&gt;0,'Configuración'!$B$27,'Configuración'!$B$28))</f>
        <v>4</v>
      </c>
      <c r="U417" s="25">
        <f>IF(B417="","",IF(ISNUMBER(SEARCH("CEO",C417))+ISNUMBER(SEARCH("Founder",C417))+ISNUMBER(SEARCH("Owner",C417))+ISNUMBER(SEARCH("Dueño",C417))+ISNUMBER(SEARCH("Director General",C417))+ISNUMBER(SEARCH("Presidente",C417))+ISNUMBER(SEARCH("President",C417))&gt;0,'Configuración'!$B$31,IF(ISNUMBER(SEARCH("CMO",C417))+ISNUMBER(SEARCH("Chief Marketing",C417))+ISNUMBER(SEARCH("VP Marketing",C417))+ISNUMBER(SEARCH("Director de Marketing",C417))+ISNUMBER(SEARCH("Director Marketing",C417))+ISNUMBER(SEARCH("Head of Marketing",C417))+ISNUMBER(SEARCH("Head Marketing",C417))&gt;0,'Configuración'!$B$32,IF(ISNUMBER(SEARCH("Marketing Manager",C417))+ISNUMBER(SEARCH("Gerente de Marketing",C417))+ISNUMBER(SEARCH("Growth Manager",C417))+ISNUMBER(SEARCH("Demand Gen",C417))+ISNUMBER(SEARCH("Marketing Lead",C417))&gt;0,'Configuración'!$B$33,IF(ISNUMBER(SEARCH("COO",C417))+ISNUMBER(SEARCH("CFO",C417))+ISNUMBER(SEARCH("CTO",C417))+ISNUMBER(SEARCH("Chief Operating",C417))+ISNUMBER(SEARCH("Chief Financial",C417))+ISNUMBER(SEARCH("Gerente General",C417))+ISNUMBER(SEARCH("General Manager",C417))&gt;0,'Configuración'!$B$34,'Configuración'!$B$35)))))</f>
        <v>0</v>
      </c>
      <c r="V417" s="38">
        <f>IF(B417="","",IF(K417="Sí",'Configuración'!$B$5,0)+IF(L417="Semanal",'Configuración'!$B$6,IF(L417="Mensual",'Configuración'!$B$7,0))+IF(M417="Sí",'Configuración'!$B$8,0)+IF(N417="Sí",'Configuración'!$B$9,0)+IF(O417="Sí",'Configuración'!$B$10,0)+IF(P417="Sí",'Configuración'!$B$11,0)+IF(Q417="Sí",'Configuración'!$B$12,0)+S417+T417+U417)</f>
        <v>8</v>
      </c>
      <c r="W417" s="39" t="str">
        <f>IF(B417="","",IF(V417&gt;='Configuración'!$B$19,"A",IF(V417&gt;='Configuración'!$B$20,"B",IF(V417&gt;='Configuración'!$B$21,"C","Descarte"))))</f>
        <v>Descarte</v>
      </c>
    </row>
    <row r="418" ht="15.75" customHeight="1">
      <c r="A418" s="34">
        <f t="shared" si="1"/>
        <v>416</v>
      </c>
      <c r="B418" s="29" t="s">
        <v>201</v>
      </c>
      <c r="C418" s="29" t="s">
        <v>146</v>
      </c>
      <c r="D418" s="29" t="s">
        <v>2611</v>
      </c>
      <c r="E418" s="29" t="s">
        <v>2612</v>
      </c>
      <c r="F418" s="30" t="s">
        <v>2613</v>
      </c>
      <c r="G418" s="30" t="s">
        <v>2614</v>
      </c>
      <c r="H418" s="30" t="s">
        <v>2615</v>
      </c>
      <c r="I418" s="29" t="s">
        <v>280</v>
      </c>
      <c r="J418" s="31">
        <v>23.0</v>
      </c>
      <c r="K418" s="35"/>
      <c r="L418" s="35"/>
      <c r="M418" s="35"/>
      <c r="N418" s="35"/>
      <c r="O418" s="35"/>
      <c r="P418" s="35"/>
      <c r="Q418" s="35"/>
      <c r="R418" s="35"/>
      <c r="S418" s="37">
        <f>IF(B418="","",IF(ISNUMBER(J418),IF(J418&lt;=10,'Configuración'!$B$23,IF(J418&lt;=50,'Configuración'!$B$24,IF(J418&lt;=200,'Configuración'!$B$25,0))),0))</f>
        <v>4</v>
      </c>
      <c r="T418" s="37">
        <f>IF(B418="","",IF(ISNUMBER(SEARCH("information technology",I418))+ISNUMBER(SEARCH("software",I418))+ISNUMBER(SEARCH("internet",I418))+ISNUMBER(SEARCH("computer",I418))+ISNUMBER(SEARCH("saas",I418))+ISNUMBER(SEARCH("fintech",I418))+ISNUMBER(SEARCH("information services",I418))+ISNUMBER(SEARCH("telecommunications",I418))&gt;0,'Configuración'!$B$27,'Configuración'!$B$28))</f>
        <v>12</v>
      </c>
      <c r="U418" s="25">
        <f>IF(B418="","",IF(ISNUMBER(SEARCH("CEO",C418))+ISNUMBER(SEARCH("Founder",C418))+ISNUMBER(SEARCH("Owner",C418))+ISNUMBER(SEARCH("Dueño",C418))+ISNUMBER(SEARCH("Director General",C418))+ISNUMBER(SEARCH("Presidente",C418))+ISNUMBER(SEARCH("President",C418))&gt;0,'Configuración'!$B$31,IF(ISNUMBER(SEARCH("CMO",C418))+ISNUMBER(SEARCH("Chief Marketing",C418))+ISNUMBER(SEARCH("VP Marketing",C418))+ISNUMBER(SEARCH("Director de Marketing",C418))+ISNUMBER(SEARCH("Director Marketing",C418))+ISNUMBER(SEARCH("Head of Marketing",C418))+ISNUMBER(SEARCH("Head Marketing",C418))&gt;0,'Configuración'!$B$32,IF(ISNUMBER(SEARCH("Marketing Manager",C418))+ISNUMBER(SEARCH("Gerente de Marketing",C418))+ISNUMBER(SEARCH("Growth Manager",C418))+ISNUMBER(SEARCH("Demand Gen",C418))+ISNUMBER(SEARCH("Marketing Lead",C418))&gt;0,'Configuración'!$B$33,IF(ISNUMBER(SEARCH("COO",C418))+ISNUMBER(SEARCH("CFO",C418))+ISNUMBER(SEARCH("CTO",C418))+ISNUMBER(SEARCH("Chief Operating",C418))+ISNUMBER(SEARCH("Chief Financial",C418))+ISNUMBER(SEARCH("Gerente General",C418))+ISNUMBER(SEARCH("General Manager",C418))&gt;0,'Configuración'!$B$34,'Configuración'!$B$35)))))</f>
        <v>0</v>
      </c>
      <c r="V418" s="38">
        <f>IF(B418="","",IF(K418="Sí",'Configuración'!$B$5,0)+IF(L418="Semanal",'Configuración'!$B$6,IF(L418="Mensual",'Configuración'!$B$7,0))+IF(M418="Sí",'Configuración'!$B$8,0)+IF(N418="Sí",'Configuración'!$B$9,0)+IF(O418="Sí",'Configuración'!$B$10,0)+IF(P418="Sí",'Configuración'!$B$11,0)+IF(Q418="Sí",'Configuración'!$B$12,0)+S418+T418+U418)</f>
        <v>16</v>
      </c>
      <c r="W418" s="39" t="str">
        <f>IF(B418="","",IF(V418&gt;='Configuración'!$B$19,"A",IF(V418&gt;='Configuración'!$B$20,"B",IF(V418&gt;='Configuración'!$B$21,"C","Descarte"))))</f>
        <v>Descarte</v>
      </c>
    </row>
    <row r="419" ht="15.75" customHeight="1">
      <c r="A419" s="34">
        <f t="shared" si="1"/>
        <v>417</v>
      </c>
      <c r="B419" s="29" t="s">
        <v>2616</v>
      </c>
      <c r="C419" s="29" t="s">
        <v>2617</v>
      </c>
      <c r="D419" s="29" t="s">
        <v>2618</v>
      </c>
      <c r="E419" s="29" t="s">
        <v>2619</v>
      </c>
      <c r="F419" s="30" t="s">
        <v>2620</v>
      </c>
      <c r="G419" s="30" t="s">
        <v>2621</v>
      </c>
      <c r="H419" s="30" t="s">
        <v>2622</v>
      </c>
      <c r="I419" s="29" t="s">
        <v>188</v>
      </c>
      <c r="J419" s="31">
        <v>3.0</v>
      </c>
      <c r="K419" s="35"/>
      <c r="L419" s="35"/>
      <c r="M419" s="35"/>
      <c r="N419" s="35"/>
      <c r="O419" s="35"/>
      <c r="P419" s="35"/>
      <c r="Q419" s="35"/>
      <c r="R419" s="35"/>
      <c r="S419" s="37">
        <f>IF(B419="","",IF(ISNUMBER(J419),IF(J419&lt;=10,'Configuración'!$B$23,IF(J419&lt;=50,'Configuración'!$B$24,IF(J419&lt;=200,'Configuración'!$B$25,0))),0))</f>
        <v>12</v>
      </c>
      <c r="T419" s="37">
        <f>IF(B419="","",IF(ISNUMBER(SEARCH("information technology",I419))+ISNUMBER(SEARCH("software",I419))+ISNUMBER(SEARCH("internet",I419))+ISNUMBER(SEARCH("computer",I419))+ISNUMBER(SEARCH("saas",I419))+ISNUMBER(SEARCH("fintech",I419))+ISNUMBER(SEARCH("information services",I419))+ISNUMBER(SEARCH("telecommunications",I419))&gt;0,'Configuración'!$B$27,'Configuración'!$B$28))</f>
        <v>4</v>
      </c>
      <c r="U419" s="25">
        <f>IF(B419="","",IF(ISNUMBER(SEARCH("CEO",C419))+ISNUMBER(SEARCH("Founder",C419))+ISNUMBER(SEARCH("Owner",C419))+ISNUMBER(SEARCH("Dueño",C419))+ISNUMBER(SEARCH("Director General",C419))+ISNUMBER(SEARCH("Presidente",C419))+ISNUMBER(SEARCH("President",C419))&gt;0,'Configuración'!$B$31,IF(ISNUMBER(SEARCH("CMO",C419))+ISNUMBER(SEARCH("Chief Marketing",C419))+ISNUMBER(SEARCH("VP Marketing",C419))+ISNUMBER(SEARCH("Director de Marketing",C419))+ISNUMBER(SEARCH("Director Marketing",C419))+ISNUMBER(SEARCH("Head of Marketing",C419))+ISNUMBER(SEARCH("Head Marketing",C419))&gt;0,'Configuración'!$B$32,IF(ISNUMBER(SEARCH("Marketing Manager",C419))+ISNUMBER(SEARCH("Gerente de Marketing",C419))+ISNUMBER(SEARCH("Growth Manager",C419))+ISNUMBER(SEARCH("Demand Gen",C419))+ISNUMBER(SEARCH("Marketing Lead",C419))&gt;0,'Configuración'!$B$33,IF(ISNUMBER(SEARCH("COO",C419))+ISNUMBER(SEARCH("CFO",C419))+ISNUMBER(SEARCH("CTO",C419))+ISNUMBER(SEARCH("Chief Operating",C419))+ISNUMBER(SEARCH("Chief Financial",C419))+ISNUMBER(SEARCH("Gerente General",C419))+ISNUMBER(SEARCH("General Manager",C419))&gt;0,'Configuración'!$B$34,'Configuración'!$B$35)))))</f>
        <v>0</v>
      </c>
      <c r="V419" s="38">
        <f>IF(B419="","",IF(K419="Sí",'Configuración'!$B$5,0)+IF(L419="Semanal",'Configuración'!$B$6,IF(L419="Mensual",'Configuración'!$B$7,0))+IF(M419="Sí",'Configuración'!$B$8,0)+IF(N419="Sí",'Configuración'!$B$9,0)+IF(O419="Sí",'Configuración'!$B$10,0)+IF(P419="Sí",'Configuración'!$B$11,0)+IF(Q419="Sí",'Configuración'!$B$12,0)+S419+T419+U419)</f>
        <v>16</v>
      </c>
      <c r="W419" s="39" t="str">
        <f>IF(B419="","",IF(V419&gt;='Configuración'!$B$19,"A",IF(V419&gt;='Configuración'!$B$20,"B",IF(V419&gt;='Configuración'!$B$21,"C","Descarte"))))</f>
        <v>Descarte</v>
      </c>
    </row>
    <row r="420" ht="15.75" customHeight="1">
      <c r="A420" s="34">
        <f t="shared" si="1"/>
        <v>418</v>
      </c>
      <c r="B420" s="29" t="s">
        <v>813</v>
      </c>
      <c r="C420" s="29" t="s">
        <v>2623</v>
      </c>
      <c r="D420" s="29" t="s">
        <v>2624</v>
      </c>
      <c r="E420" s="29" t="s">
        <v>2625</v>
      </c>
      <c r="F420" s="30" t="s">
        <v>2626</v>
      </c>
      <c r="G420" s="30" t="s">
        <v>2627</v>
      </c>
      <c r="H420" s="30" t="s">
        <v>2628</v>
      </c>
      <c r="I420" s="29" t="s">
        <v>188</v>
      </c>
      <c r="J420" s="31">
        <v>3.0</v>
      </c>
      <c r="K420" s="35"/>
      <c r="L420" s="35"/>
      <c r="M420" s="35"/>
      <c r="N420" s="35"/>
      <c r="O420" s="35"/>
      <c r="P420" s="35"/>
      <c r="Q420" s="35"/>
      <c r="R420" s="35"/>
      <c r="S420" s="37">
        <f>IF(B420="","",IF(ISNUMBER(J420),IF(J420&lt;=10,'Configuración'!$B$23,IF(J420&lt;=50,'Configuración'!$B$24,IF(J420&lt;=200,'Configuración'!$B$25,0))),0))</f>
        <v>12</v>
      </c>
      <c r="T420" s="37">
        <f>IF(B420="","",IF(ISNUMBER(SEARCH("information technology",I420))+ISNUMBER(SEARCH("software",I420))+ISNUMBER(SEARCH("internet",I420))+ISNUMBER(SEARCH("computer",I420))+ISNUMBER(SEARCH("saas",I420))+ISNUMBER(SEARCH("fintech",I420))+ISNUMBER(SEARCH("information services",I420))+ISNUMBER(SEARCH("telecommunications",I420))&gt;0,'Configuración'!$B$27,'Configuración'!$B$28))</f>
        <v>4</v>
      </c>
      <c r="U420" s="25">
        <f>IF(B420="","",IF(ISNUMBER(SEARCH("CEO",C420))+ISNUMBER(SEARCH("Founder",C420))+ISNUMBER(SEARCH("Owner",C420))+ISNUMBER(SEARCH("Dueño",C420))+ISNUMBER(SEARCH("Director General",C420))+ISNUMBER(SEARCH("Presidente",C420))+ISNUMBER(SEARCH("President",C420))&gt;0,'Configuración'!$B$31,IF(ISNUMBER(SEARCH("CMO",C420))+ISNUMBER(SEARCH("Chief Marketing",C420))+ISNUMBER(SEARCH("VP Marketing",C420))+ISNUMBER(SEARCH("Director de Marketing",C420))+ISNUMBER(SEARCH("Director Marketing",C420))+ISNUMBER(SEARCH("Head of Marketing",C420))+ISNUMBER(SEARCH("Head Marketing",C420))&gt;0,'Configuración'!$B$32,IF(ISNUMBER(SEARCH("Marketing Manager",C420))+ISNUMBER(SEARCH("Gerente de Marketing",C420))+ISNUMBER(SEARCH("Growth Manager",C420))+ISNUMBER(SEARCH("Demand Gen",C420))+ISNUMBER(SEARCH("Marketing Lead",C420))&gt;0,'Configuración'!$B$33,IF(ISNUMBER(SEARCH("COO",C420))+ISNUMBER(SEARCH("CFO",C420))+ISNUMBER(SEARCH("CTO",C420))+ISNUMBER(SEARCH("Chief Operating",C420))+ISNUMBER(SEARCH("Chief Financial",C420))+ISNUMBER(SEARCH("Gerente General",C420))+ISNUMBER(SEARCH("General Manager",C420))&gt;0,'Configuración'!$B$34,'Configuración'!$B$35)))))</f>
        <v>12</v>
      </c>
      <c r="V420" s="38">
        <f>IF(B420="","",IF(K420="Sí",'Configuración'!$B$5,0)+IF(L420="Semanal",'Configuración'!$B$6,IF(L420="Mensual",'Configuración'!$B$7,0))+IF(M420="Sí",'Configuración'!$B$8,0)+IF(N420="Sí",'Configuración'!$B$9,0)+IF(O420="Sí",'Configuración'!$B$10,0)+IF(P420="Sí",'Configuración'!$B$11,0)+IF(Q420="Sí",'Configuración'!$B$12,0)+S420+T420+U420)</f>
        <v>28</v>
      </c>
      <c r="W420" s="39" t="str">
        <f>IF(B420="","",IF(V420&gt;='Configuración'!$B$19,"A",IF(V420&gt;='Configuración'!$B$20,"B",IF(V420&gt;='Configuración'!$B$21,"C","Descarte"))))</f>
        <v>C</v>
      </c>
    </row>
    <row r="421" ht="15.75" customHeight="1">
      <c r="A421" s="34">
        <f t="shared" si="1"/>
        <v>419</v>
      </c>
      <c r="B421" s="29" t="s">
        <v>2629</v>
      </c>
      <c r="C421" s="29" t="s">
        <v>146</v>
      </c>
      <c r="D421" s="29" t="s">
        <v>2630</v>
      </c>
      <c r="E421" s="29" t="s">
        <v>2631</v>
      </c>
      <c r="F421" s="30" t="s">
        <v>2632</v>
      </c>
      <c r="G421" s="30" t="s">
        <v>2633</v>
      </c>
      <c r="H421" s="30" t="s">
        <v>2634</v>
      </c>
      <c r="I421" s="29" t="s">
        <v>158</v>
      </c>
      <c r="J421" s="31">
        <v>9.0</v>
      </c>
      <c r="K421" s="35"/>
      <c r="L421" s="35"/>
      <c r="M421" s="35"/>
      <c r="N421" s="35"/>
      <c r="O421" s="35"/>
      <c r="P421" s="35"/>
      <c r="Q421" s="35"/>
      <c r="R421" s="35"/>
      <c r="S421" s="37">
        <f>IF(B421="","",IF(ISNUMBER(J421),IF(J421&lt;=10,'Configuración'!$B$23,IF(J421&lt;=50,'Configuración'!$B$24,IF(J421&lt;=200,'Configuración'!$B$25,0))),0))</f>
        <v>12</v>
      </c>
      <c r="T421" s="37">
        <f>IF(B421="","",IF(ISNUMBER(SEARCH("information technology",I421))+ISNUMBER(SEARCH("software",I421))+ISNUMBER(SEARCH("internet",I421))+ISNUMBER(SEARCH("computer",I421))+ISNUMBER(SEARCH("saas",I421))+ISNUMBER(SEARCH("fintech",I421))+ISNUMBER(SEARCH("information services",I421))+ISNUMBER(SEARCH("telecommunications",I421))&gt;0,'Configuración'!$B$27,'Configuración'!$B$28))</f>
        <v>4</v>
      </c>
      <c r="U421" s="25">
        <f>IF(B421="","",IF(ISNUMBER(SEARCH("CEO",C421))+ISNUMBER(SEARCH("Founder",C421))+ISNUMBER(SEARCH("Owner",C421))+ISNUMBER(SEARCH("Dueño",C421))+ISNUMBER(SEARCH("Director General",C421))+ISNUMBER(SEARCH("Presidente",C421))+ISNUMBER(SEARCH("President",C421))&gt;0,'Configuración'!$B$31,IF(ISNUMBER(SEARCH("CMO",C421))+ISNUMBER(SEARCH("Chief Marketing",C421))+ISNUMBER(SEARCH("VP Marketing",C421))+ISNUMBER(SEARCH("Director de Marketing",C421))+ISNUMBER(SEARCH("Director Marketing",C421))+ISNUMBER(SEARCH("Head of Marketing",C421))+ISNUMBER(SEARCH("Head Marketing",C421))&gt;0,'Configuración'!$B$32,IF(ISNUMBER(SEARCH("Marketing Manager",C421))+ISNUMBER(SEARCH("Gerente de Marketing",C421))+ISNUMBER(SEARCH("Growth Manager",C421))+ISNUMBER(SEARCH("Demand Gen",C421))+ISNUMBER(SEARCH("Marketing Lead",C421))&gt;0,'Configuración'!$B$33,IF(ISNUMBER(SEARCH("COO",C421))+ISNUMBER(SEARCH("CFO",C421))+ISNUMBER(SEARCH("CTO",C421))+ISNUMBER(SEARCH("Chief Operating",C421))+ISNUMBER(SEARCH("Chief Financial",C421))+ISNUMBER(SEARCH("Gerente General",C421))+ISNUMBER(SEARCH("General Manager",C421))&gt;0,'Configuración'!$B$34,'Configuración'!$B$35)))))</f>
        <v>0</v>
      </c>
      <c r="V421" s="38">
        <f>IF(B421="","",IF(K421="Sí",'Configuración'!$B$5,0)+IF(L421="Semanal",'Configuración'!$B$6,IF(L421="Mensual",'Configuración'!$B$7,0))+IF(M421="Sí",'Configuración'!$B$8,0)+IF(N421="Sí",'Configuración'!$B$9,0)+IF(O421="Sí",'Configuración'!$B$10,0)+IF(P421="Sí",'Configuración'!$B$11,0)+IF(Q421="Sí",'Configuración'!$B$12,0)+S421+T421+U421)</f>
        <v>16</v>
      </c>
      <c r="W421" s="39" t="str">
        <f>IF(B421="","",IF(V421&gt;='Configuración'!$B$19,"A",IF(V421&gt;='Configuración'!$B$20,"B",IF(V421&gt;='Configuración'!$B$21,"C","Descarte"))))</f>
        <v>Descarte</v>
      </c>
    </row>
    <row r="422" ht="15.75" customHeight="1">
      <c r="A422" s="34">
        <f t="shared" si="1"/>
        <v>420</v>
      </c>
      <c r="B422" s="29" t="s">
        <v>181</v>
      </c>
      <c r="C422" s="29" t="s">
        <v>2635</v>
      </c>
      <c r="D422" s="29" t="s">
        <v>2636</v>
      </c>
      <c r="E422" s="29" t="s">
        <v>2637</v>
      </c>
      <c r="F422" s="30" t="s">
        <v>2638</v>
      </c>
      <c r="G422" s="30" t="s">
        <v>2639</v>
      </c>
      <c r="H422" s="30" t="s">
        <v>2640</v>
      </c>
      <c r="I422" s="29" t="s">
        <v>508</v>
      </c>
      <c r="J422" s="31">
        <v>31.0</v>
      </c>
      <c r="K422" s="35"/>
      <c r="L422" s="35"/>
      <c r="M422" s="35"/>
      <c r="N422" s="35"/>
      <c r="O422" s="35"/>
      <c r="P422" s="35"/>
      <c r="Q422" s="35"/>
      <c r="R422" s="35"/>
      <c r="S422" s="37">
        <f>IF(B422="","",IF(ISNUMBER(J422),IF(J422&lt;=10,'Configuración'!$B$23,IF(J422&lt;=50,'Configuración'!$B$24,IF(J422&lt;=200,'Configuración'!$B$25,0))),0))</f>
        <v>4</v>
      </c>
      <c r="T422" s="37">
        <f>IF(B422="","",IF(ISNUMBER(SEARCH("information technology",I422))+ISNUMBER(SEARCH("software",I422))+ISNUMBER(SEARCH("internet",I422))+ISNUMBER(SEARCH("computer",I422))+ISNUMBER(SEARCH("saas",I422))+ISNUMBER(SEARCH("fintech",I422))+ISNUMBER(SEARCH("information services",I422))+ISNUMBER(SEARCH("telecommunications",I422))&gt;0,'Configuración'!$B$27,'Configuración'!$B$28))</f>
        <v>4</v>
      </c>
      <c r="U422" s="25">
        <f>IF(B422="","",IF(ISNUMBER(SEARCH("CEO",C422))+ISNUMBER(SEARCH("Founder",C422))+ISNUMBER(SEARCH("Owner",C422))+ISNUMBER(SEARCH("Dueño",C422))+ISNUMBER(SEARCH("Director General",C422))+ISNUMBER(SEARCH("Presidente",C422))+ISNUMBER(SEARCH("President",C422))&gt;0,'Configuración'!$B$31,IF(ISNUMBER(SEARCH("CMO",C422))+ISNUMBER(SEARCH("Chief Marketing",C422))+ISNUMBER(SEARCH("VP Marketing",C422))+ISNUMBER(SEARCH("Director de Marketing",C422))+ISNUMBER(SEARCH("Director Marketing",C422))+ISNUMBER(SEARCH("Head of Marketing",C422))+ISNUMBER(SEARCH("Head Marketing",C422))&gt;0,'Configuración'!$B$32,IF(ISNUMBER(SEARCH("Marketing Manager",C422))+ISNUMBER(SEARCH("Gerente de Marketing",C422))+ISNUMBER(SEARCH("Growth Manager",C422))+ISNUMBER(SEARCH("Demand Gen",C422))+ISNUMBER(SEARCH("Marketing Lead",C422))&gt;0,'Configuración'!$B$33,IF(ISNUMBER(SEARCH("COO",C422))+ISNUMBER(SEARCH("CFO",C422))+ISNUMBER(SEARCH("CTO",C422))+ISNUMBER(SEARCH("Chief Operating",C422))+ISNUMBER(SEARCH("Chief Financial",C422))+ISNUMBER(SEARCH("Gerente General",C422))+ISNUMBER(SEARCH("General Manager",C422))&gt;0,'Configuración'!$B$34,'Configuración'!$B$35)))))</f>
        <v>12</v>
      </c>
      <c r="V422" s="38">
        <f>IF(B422="","",IF(K422="Sí",'Configuración'!$B$5,0)+IF(L422="Semanal",'Configuración'!$B$6,IF(L422="Mensual",'Configuración'!$B$7,0))+IF(M422="Sí",'Configuración'!$B$8,0)+IF(N422="Sí",'Configuración'!$B$9,0)+IF(O422="Sí",'Configuración'!$B$10,0)+IF(P422="Sí",'Configuración'!$B$11,0)+IF(Q422="Sí",'Configuración'!$B$12,0)+S422+T422+U422)</f>
        <v>20</v>
      </c>
      <c r="W422" s="39" t="str">
        <f>IF(B422="","",IF(V422&gt;='Configuración'!$B$19,"A",IF(V422&gt;='Configuración'!$B$20,"B",IF(V422&gt;='Configuración'!$B$21,"C","Descarte"))))</f>
        <v>Descarte</v>
      </c>
    </row>
    <row r="423" ht="15.75" customHeight="1">
      <c r="A423" s="34">
        <f t="shared" si="1"/>
        <v>421</v>
      </c>
      <c r="B423" s="29" t="s">
        <v>536</v>
      </c>
      <c r="C423" s="29" t="s">
        <v>121</v>
      </c>
      <c r="D423" s="29" t="s">
        <v>2641</v>
      </c>
      <c r="E423" s="29" t="s">
        <v>2642</v>
      </c>
      <c r="F423" s="30" t="s">
        <v>2643</v>
      </c>
      <c r="G423" s="30" t="s">
        <v>2644</v>
      </c>
      <c r="H423" s="30" t="s">
        <v>2645</v>
      </c>
      <c r="I423" s="29" t="s">
        <v>337</v>
      </c>
      <c r="J423" s="31">
        <v>4.0</v>
      </c>
      <c r="K423" s="35"/>
      <c r="L423" s="35"/>
      <c r="M423" s="35"/>
      <c r="N423" s="35"/>
      <c r="O423" s="35"/>
      <c r="P423" s="35"/>
      <c r="Q423" s="35"/>
      <c r="R423" s="35"/>
      <c r="S423" s="37">
        <f>IF(B423="","",IF(ISNUMBER(J423),IF(J423&lt;=10,'Configuración'!$B$23,IF(J423&lt;=50,'Configuración'!$B$24,IF(J423&lt;=200,'Configuración'!$B$25,0))),0))</f>
        <v>12</v>
      </c>
      <c r="T423" s="37">
        <f>IF(B423="","",IF(ISNUMBER(SEARCH("information technology",I423))+ISNUMBER(SEARCH("software",I423))+ISNUMBER(SEARCH("internet",I423))+ISNUMBER(SEARCH("computer",I423))+ISNUMBER(SEARCH("saas",I423))+ISNUMBER(SEARCH("fintech",I423))+ISNUMBER(SEARCH("information services",I423))+ISNUMBER(SEARCH("telecommunications",I423))&gt;0,'Configuración'!$B$27,'Configuración'!$B$28))</f>
        <v>4</v>
      </c>
      <c r="U423" s="25">
        <f>IF(B423="","",IF(ISNUMBER(SEARCH("CEO",C423))+ISNUMBER(SEARCH("Founder",C423))+ISNUMBER(SEARCH("Owner",C423))+ISNUMBER(SEARCH("Dueño",C423))+ISNUMBER(SEARCH("Director General",C423))+ISNUMBER(SEARCH("Presidente",C423))+ISNUMBER(SEARCH("President",C423))&gt;0,'Configuración'!$B$31,IF(ISNUMBER(SEARCH("CMO",C423))+ISNUMBER(SEARCH("Chief Marketing",C423))+ISNUMBER(SEARCH("VP Marketing",C423))+ISNUMBER(SEARCH("Director de Marketing",C423))+ISNUMBER(SEARCH("Director Marketing",C423))+ISNUMBER(SEARCH("Head of Marketing",C423))+ISNUMBER(SEARCH("Head Marketing",C423))&gt;0,'Configuración'!$B$32,IF(ISNUMBER(SEARCH("Marketing Manager",C423))+ISNUMBER(SEARCH("Gerente de Marketing",C423))+ISNUMBER(SEARCH("Growth Manager",C423))+ISNUMBER(SEARCH("Demand Gen",C423))+ISNUMBER(SEARCH("Marketing Lead",C423))&gt;0,'Configuración'!$B$33,IF(ISNUMBER(SEARCH("COO",C423))+ISNUMBER(SEARCH("CFO",C423))+ISNUMBER(SEARCH("CTO",C423))+ISNUMBER(SEARCH("Chief Operating",C423))+ISNUMBER(SEARCH("Chief Financial",C423))+ISNUMBER(SEARCH("Gerente General",C423))+ISNUMBER(SEARCH("General Manager",C423))&gt;0,'Configuración'!$B$34,'Configuración'!$B$35)))))</f>
        <v>12</v>
      </c>
      <c r="V423" s="38">
        <f>IF(B423="","",IF(K423="Sí",'Configuración'!$B$5,0)+IF(L423="Semanal",'Configuración'!$B$6,IF(L423="Mensual",'Configuración'!$B$7,0))+IF(M423="Sí",'Configuración'!$B$8,0)+IF(N423="Sí",'Configuración'!$B$9,0)+IF(O423="Sí",'Configuración'!$B$10,0)+IF(P423="Sí",'Configuración'!$B$11,0)+IF(Q423="Sí",'Configuración'!$B$12,0)+S423+T423+U423)</f>
        <v>28</v>
      </c>
      <c r="W423" s="39" t="str">
        <f>IF(B423="","",IF(V423&gt;='Configuración'!$B$19,"A",IF(V423&gt;='Configuración'!$B$20,"B",IF(V423&gt;='Configuración'!$B$21,"C","Descarte"))))</f>
        <v>C</v>
      </c>
    </row>
    <row r="424" ht="15.75" customHeight="1">
      <c r="A424" s="34">
        <f t="shared" si="1"/>
        <v>422</v>
      </c>
      <c r="B424" s="29" t="s">
        <v>250</v>
      </c>
      <c r="C424" s="29" t="s">
        <v>1953</v>
      </c>
      <c r="D424" s="29" t="s">
        <v>2646</v>
      </c>
      <c r="E424" s="29" t="s">
        <v>2647</v>
      </c>
      <c r="F424" s="30" t="s">
        <v>2648</v>
      </c>
      <c r="G424" s="30" t="s">
        <v>2649</v>
      </c>
      <c r="H424" s="30" t="s">
        <v>2650</v>
      </c>
      <c r="I424" s="29" t="s">
        <v>2651</v>
      </c>
      <c r="J424" s="31">
        <v>9.0</v>
      </c>
      <c r="K424" s="35"/>
      <c r="L424" s="35"/>
      <c r="M424" s="35"/>
      <c r="N424" s="35"/>
      <c r="O424" s="35"/>
      <c r="P424" s="35"/>
      <c r="Q424" s="35"/>
      <c r="R424" s="35"/>
      <c r="S424" s="37">
        <f>IF(B424="","",IF(ISNUMBER(J424),IF(J424&lt;=10,'Configuración'!$B$23,IF(J424&lt;=50,'Configuración'!$B$24,IF(J424&lt;=200,'Configuración'!$B$25,0))),0))</f>
        <v>12</v>
      </c>
      <c r="T424" s="37">
        <f>IF(B424="","",IF(ISNUMBER(SEARCH("information technology",I424))+ISNUMBER(SEARCH("software",I424))+ISNUMBER(SEARCH("internet",I424))+ISNUMBER(SEARCH("computer",I424))+ISNUMBER(SEARCH("saas",I424))+ISNUMBER(SEARCH("fintech",I424))+ISNUMBER(SEARCH("information services",I424))+ISNUMBER(SEARCH("telecommunications",I424))&gt;0,'Configuración'!$B$27,'Configuración'!$B$28))</f>
        <v>4</v>
      </c>
      <c r="U424" s="25">
        <f>IF(B424="","",IF(ISNUMBER(SEARCH("CEO",C424))+ISNUMBER(SEARCH("Founder",C424))+ISNUMBER(SEARCH("Owner",C424))+ISNUMBER(SEARCH("Dueño",C424))+ISNUMBER(SEARCH("Director General",C424))+ISNUMBER(SEARCH("Presidente",C424))+ISNUMBER(SEARCH("President",C424))&gt;0,'Configuración'!$B$31,IF(ISNUMBER(SEARCH("CMO",C424))+ISNUMBER(SEARCH("Chief Marketing",C424))+ISNUMBER(SEARCH("VP Marketing",C424))+ISNUMBER(SEARCH("Director de Marketing",C424))+ISNUMBER(SEARCH("Director Marketing",C424))+ISNUMBER(SEARCH("Head of Marketing",C424))+ISNUMBER(SEARCH("Head Marketing",C424))&gt;0,'Configuración'!$B$32,IF(ISNUMBER(SEARCH("Marketing Manager",C424))+ISNUMBER(SEARCH("Gerente de Marketing",C424))+ISNUMBER(SEARCH("Growth Manager",C424))+ISNUMBER(SEARCH("Demand Gen",C424))+ISNUMBER(SEARCH("Marketing Lead",C424))&gt;0,'Configuración'!$B$33,IF(ISNUMBER(SEARCH("COO",C424))+ISNUMBER(SEARCH("CFO",C424))+ISNUMBER(SEARCH("CTO",C424))+ISNUMBER(SEARCH("Chief Operating",C424))+ISNUMBER(SEARCH("Chief Financial",C424))+ISNUMBER(SEARCH("Gerente General",C424))+ISNUMBER(SEARCH("General Manager",C424))&gt;0,'Configuración'!$B$34,'Configuración'!$B$35)))))</f>
        <v>12</v>
      </c>
      <c r="V424" s="38">
        <f>IF(B424="","",IF(K424="Sí",'Configuración'!$B$5,0)+IF(L424="Semanal",'Configuración'!$B$6,IF(L424="Mensual",'Configuración'!$B$7,0))+IF(M424="Sí",'Configuración'!$B$8,0)+IF(N424="Sí",'Configuración'!$B$9,0)+IF(O424="Sí",'Configuración'!$B$10,0)+IF(P424="Sí",'Configuración'!$B$11,0)+IF(Q424="Sí",'Configuración'!$B$12,0)+S424+T424+U424)</f>
        <v>28</v>
      </c>
      <c r="W424" s="39" t="str">
        <f>IF(B424="","",IF(V424&gt;='Configuración'!$B$19,"A",IF(V424&gt;='Configuración'!$B$20,"B",IF(V424&gt;='Configuración'!$B$21,"C","Descarte"))))</f>
        <v>C</v>
      </c>
    </row>
    <row r="425" ht="15.75" customHeight="1">
      <c r="A425" s="34">
        <f t="shared" si="1"/>
        <v>423</v>
      </c>
      <c r="B425" s="29" t="s">
        <v>1137</v>
      </c>
      <c r="C425" s="29" t="s">
        <v>2652</v>
      </c>
      <c r="D425" s="29" t="s">
        <v>2653</v>
      </c>
      <c r="E425" s="29" t="s">
        <v>2654</v>
      </c>
      <c r="F425" s="30" t="s">
        <v>2655</v>
      </c>
      <c r="G425" s="30" t="s">
        <v>2656</v>
      </c>
      <c r="H425" s="30" t="s">
        <v>2657</v>
      </c>
      <c r="I425" s="29" t="s">
        <v>188</v>
      </c>
      <c r="J425" s="31">
        <v>3.0</v>
      </c>
      <c r="K425" s="35"/>
      <c r="L425" s="35"/>
      <c r="M425" s="35"/>
      <c r="N425" s="35"/>
      <c r="O425" s="35"/>
      <c r="P425" s="35"/>
      <c r="Q425" s="35"/>
      <c r="R425" s="35"/>
      <c r="S425" s="37">
        <f>IF(B425="","",IF(ISNUMBER(J425),IF(J425&lt;=10,'Configuración'!$B$23,IF(J425&lt;=50,'Configuración'!$B$24,IF(J425&lt;=200,'Configuración'!$B$25,0))),0))</f>
        <v>12</v>
      </c>
      <c r="T425" s="37">
        <f>IF(B425="","",IF(ISNUMBER(SEARCH("information technology",I425))+ISNUMBER(SEARCH("software",I425))+ISNUMBER(SEARCH("internet",I425))+ISNUMBER(SEARCH("computer",I425))+ISNUMBER(SEARCH("saas",I425))+ISNUMBER(SEARCH("fintech",I425))+ISNUMBER(SEARCH("information services",I425))+ISNUMBER(SEARCH("telecommunications",I425))&gt;0,'Configuración'!$B$27,'Configuración'!$B$28))</f>
        <v>4</v>
      </c>
      <c r="U425" s="25">
        <f>IF(B425="","",IF(ISNUMBER(SEARCH("CEO",C425))+ISNUMBER(SEARCH("Founder",C425))+ISNUMBER(SEARCH("Owner",C425))+ISNUMBER(SEARCH("Dueño",C425))+ISNUMBER(SEARCH("Director General",C425))+ISNUMBER(SEARCH("Presidente",C425))+ISNUMBER(SEARCH("President",C425))&gt;0,'Configuración'!$B$31,IF(ISNUMBER(SEARCH("CMO",C425))+ISNUMBER(SEARCH("Chief Marketing",C425))+ISNUMBER(SEARCH("VP Marketing",C425))+ISNUMBER(SEARCH("Director de Marketing",C425))+ISNUMBER(SEARCH("Director Marketing",C425))+ISNUMBER(SEARCH("Head of Marketing",C425))+ISNUMBER(SEARCH("Head Marketing",C425))&gt;0,'Configuración'!$B$32,IF(ISNUMBER(SEARCH("Marketing Manager",C425))+ISNUMBER(SEARCH("Gerente de Marketing",C425))+ISNUMBER(SEARCH("Growth Manager",C425))+ISNUMBER(SEARCH("Demand Gen",C425))+ISNUMBER(SEARCH("Marketing Lead",C425))&gt;0,'Configuración'!$B$33,IF(ISNUMBER(SEARCH("COO",C425))+ISNUMBER(SEARCH("CFO",C425))+ISNUMBER(SEARCH("CTO",C425))+ISNUMBER(SEARCH("Chief Operating",C425))+ISNUMBER(SEARCH("Chief Financial",C425))+ISNUMBER(SEARCH("Gerente General",C425))+ISNUMBER(SEARCH("General Manager",C425))&gt;0,'Configuración'!$B$34,'Configuración'!$B$35)))))</f>
        <v>12</v>
      </c>
      <c r="V425" s="38">
        <f>IF(B425="","",IF(K425="Sí",'Configuración'!$B$5,0)+IF(L425="Semanal",'Configuración'!$B$6,IF(L425="Mensual",'Configuración'!$B$7,0))+IF(M425="Sí",'Configuración'!$B$8,0)+IF(N425="Sí",'Configuración'!$B$9,0)+IF(O425="Sí",'Configuración'!$B$10,0)+IF(P425="Sí",'Configuración'!$B$11,0)+IF(Q425="Sí",'Configuración'!$B$12,0)+S425+T425+U425)</f>
        <v>28</v>
      </c>
      <c r="W425" s="39" t="str">
        <f>IF(B425="","",IF(V425&gt;='Configuración'!$B$19,"A",IF(V425&gt;='Configuración'!$B$20,"B",IF(V425&gt;='Configuración'!$B$21,"C","Descarte"))))</f>
        <v>C</v>
      </c>
    </row>
    <row r="426" ht="15.75" customHeight="1">
      <c r="A426" s="34">
        <f t="shared" si="1"/>
        <v>424</v>
      </c>
      <c r="B426" s="29" t="s">
        <v>1137</v>
      </c>
      <c r="C426" s="29" t="s">
        <v>131</v>
      </c>
      <c r="D426" s="29" t="s">
        <v>2658</v>
      </c>
      <c r="E426" s="29" t="s">
        <v>2659</v>
      </c>
      <c r="F426" s="30" t="s">
        <v>2660</v>
      </c>
      <c r="G426" s="30" t="s">
        <v>2661</v>
      </c>
      <c r="H426" s="30" t="s">
        <v>2662</v>
      </c>
      <c r="I426" s="29" t="s">
        <v>337</v>
      </c>
      <c r="J426" s="31">
        <v>2.0</v>
      </c>
      <c r="K426" s="35"/>
      <c r="L426" s="35"/>
      <c r="M426" s="35"/>
      <c r="N426" s="35"/>
      <c r="O426" s="35"/>
      <c r="P426" s="35"/>
      <c r="Q426" s="35"/>
      <c r="R426" s="35"/>
      <c r="S426" s="37">
        <f>IF(B426="","",IF(ISNUMBER(J426),IF(J426&lt;=10,'Configuración'!$B$23,IF(J426&lt;=50,'Configuración'!$B$24,IF(J426&lt;=200,'Configuración'!$B$25,0))),0))</f>
        <v>12</v>
      </c>
      <c r="T426" s="37">
        <f>IF(B426="","",IF(ISNUMBER(SEARCH("information technology",I426))+ISNUMBER(SEARCH("software",I426))+ISNUMBER(SEARCH("internet",I426))+ISNUMBER(SEARCH("computer",I426))+ISNUMBER(SEARCH("saas",I426))+ISNUMBER(SEARCH("fintech",I426))+ISNUMBER(SEARCH("information services",I426))+ISNUMBER(SEARCH("telecommunications",I426))&gt;0,'Configuración'!$B$27,'Configuración'!$B$28))</f>
        <v>4</v>
      </c>
      <c r="U426" s="25">
        <f>IF(B426="","",IF(ISNUMBER(SEARCH("CEO",C426))+ISNUMBER(SEARCH("Founder",C426))+ISNUMBER(SEARCH("Owner",C426))+ISNUMBER(SEARCH("Dueño",C426))+ISNUMBER(SEARCH("Director General",C426))+ISNUMBER(SEARCH("Presidente",C426))+ISNUMBER(SEARCH("President",C426))&gt;0,'Configuración'!$B$31,IF(ISNUMBER(SEARCH("CMO",C426))+ISNUMBER(SEARCH("Chief Marketing",C426))+ISNUMBER(SEARCH("VP Marketing",C426))+ISNUMBER(SEARCH("Director de Marketing",C426))+ISNUMBER(SEARCH("Director Marketing",C426))+ISNUMBER(SEARCH("Head of Marketing",C426))+ISNUMBER(SEARCH("Head Marketing",C426))&gt;0,'Configuración'!$B$32,IF(ISNUMBER(SEARCH("Marketing Manager",C426))+ISNUMBER(SEARCH("Gerente de Marketing",C426))+ISNUMBER(SEARCH("Growth Manager",C426))+ISNUMBER(SEARCH("Demand Gen",C426))+ISNUMBER(SEARCH("Marketing Lead",C426))&gt;0,'Configuración'!$B$33,IF(ISNUMBER(SEARCH("COO",C426))+ISNUMBER(SEARCH("CFO",C426))+ISNUMBER(SEARCH("CTO",C426))+ISNUMBER(SEARCH("Chief Operating",C426))+ISNUMBER(SEARCH("Chief Financial",C426))+ISNUMBER(SEARCH("Gerente General",C426))+ISNUMBER(SEARCH("General Manager",C426))&gt;0,'Configuración'!$B$34,'Configuración'!$B$35)))))</f>
        <v>12</v>
      </c>
      <c r="V426" s="38">
        <f>IF(B426="","",IF(K426="Sí",'Configuración'!$B$5,0)+IF(L426="Semanal",'Configuración'!$B$6,IF(L426="Mensual",'Configuración'!$B$7,0))+IF(M426="Sí",'Configuración'!$B$8,0)+IF(N426="Sí",'Configuración'!$B$9,0)+IF(O426="Sí",'Configuración'!$B$10,0)+IF(P426="Sí",'Configuración'!$B$11,0)+IF(Q426="Sí",'Configuración'!$B$12,0)+S426+T426+U426)</f>
        <v>28</v>
      </c>
      <c r="W426" s="39" t="str">
        <f>IF(B426="","",IF(V426&gt;='Configuración'!$B$19,"A",IF(V426&gt;='Configuración'!$B$20,"B",IF(V426&gt;='Configuración'!$B$21,"C","Descarte"))))</f>
        <v>C</v>
      </c>
    </row>
    <row r="427" ht="15.75" customHeight="1">
      <c r="A427" s="34">
        <f t="shared" si="1"/>
        <v>425</v>
      </c>
      <c r="B427" s="29" t="s">
        <v>556</v>
      </c>
      <c r="C427" s="29" t="s">
        <v>2663</v>
      </c>
      <c r="D427" s="29" t="s">
        <v>2664</v>
      </c>
      <c r="E427" s="29" t="s">
        <v>2665</v>
      </c>
      <c r="F427" s="30" t="s">
        <v>2666</v>
      </c>
      <c r="G427" s="30" t="s">
        <v>2667</v>
      </c>
      <c r="H427" s="30" t="s">
        <v>2668</v>
      </c>
      <c r="I427" s="29" t="s">
        <v>2669</v>
      </c>
      <c r="J427" s="31">
        <v>45.0</v>
      </c>
      <c r="K427" s="35"/>
      <c r="L427" s="35"/>
      <c r="M427" s="35"/>
      <c r="N427" s="35"/>
      <c r="O427" s="35"/>
      <c r="P427" s="35"/>
      <c r="Q427" s="35"/>
      <c r="R427" s="35"/>
      <c r="S427" s="37">
        <f>IF(B427="","",IF(ISNUMBER(J427),IF(J427&lt;=10,'Configuración'!$B$23,IF(J427&lt;=50,'Configuración'!$B$24,IF(J427&lt;=200,'Configuración'!$B$25,0))),0))</f>
        <v>4</v>
      </c>
      <c r="T427" s="37">
        <f>IF(B427="","",IF(ISNUMBER(SEARCH("information technology",I427))+ISNUMBER(SEARCH("software",I427))+ISNUMBER(SEARCH("internet",I427))+ISNUMBER(SEARCH("computer",I427))+ISNUMBER(SEARCH("saas",I427))+ISNUMBER(SEARCH("fintech",I427))+ISNUMBER(SEARCH("information services",I427))+ISNUMBER(SEARCH("telecommunications",I427))&gt;0,'Configuración'!$B$27,'Configuración'!$B$28))</f>
        <v>4</v>
      </c>
      <c r="U427" s="25">
        <f>IF(B427="","",IF(ISNUMBER(SEARCH("CEO",C427))+ISNUMBER(SEARCH("Founder",C427))+ISNUMBER(SEARCH("Owner",C427))+ISNUMBER(SEARCH("Dueño",C427))+ISNUMBER(SEARCH("Director General",C427))+ISNUMBER(SEARCH("Presidente",C427))+ISNUMBER(SEARCH("President",C427))&gt;0,'Configuración'!$B$31,IF(ISNUMBER(SEARCH("CMO",C427))+ISNUMBER(SEARCH("Chief Marketing",C427))+ISNUMBER(SEARCH("VP Marketing",C427))+ISNUMBER(SEARCH("Director de Marketing",C427))+ISNUMBER(SEARCH("Director Marketing",C427))+ISNUMBER(SEARCH("Head of Marketing",C427))+ISNUMBER(SEARCH("Head Marketing",C427))&gt;0,'Configuración'!$B$32,IF(ISNUMBER(SEARCH("Marketing Manager",C427))+ISNUMBER(SEARCH("Gerente de Marketing",C427))+ISNUMBER(SEARCH("Growth Manager",C427))+ISNUMBER(SEARCH("Demand Gen",C427))+ISNUMBER(SEARCH("Marketing Lead",C427))&gt;0,'Configuración'!$B$33,IF(ISNUMBER(SEARCH("COO",C427))+ISNUMBER(SEARCH("CFO",C427))+ISNUMBER(SEARCH("CTO",C427))+ISNUMBER(SEARCH("Chief Operating",C427))+ISNUMBER(SEARCH("Chief Financial",C427))+ISNUMBER(SEARCH("Gerente General",C427))+ISNUMBER(SEARCH("General Manager",C427))&gt;0,'Configuración'!$B$34,'Configuración'!$B$35)))))</f>
        <v>12</v>
      </c>
      <c r="V427" s="38">
        <f>IF(B427="","",IF(K427="Sí",'Configuración'!$B$5,0)+IF(L427="Semanal",'Configuración'!$B$6,IF(L427="Mensual",'Configuración'!$B$7,0))+IF(M427="Sí",'Configuración'!$B$8,0)+IF(N427="Sí",'Configuración'!$B$9,0)+IF(O427="Sí",'Configuración'!$B$10,0)+IF(P427="Sí",'Configuración'!$B$11,0)+IF(Q427="Sí",'Configuración'!$B$12,0)+S427+T427+U427)</f>
        <v>20</v>
      </c>
      <c r="W427" s="39" t="str">
        <f>IF(B427="","",IF(V427&gt;='Configuración'!$B$19,"A",IF(V427&gt;='Configuración'!$B$20,"B",IF(V427&gt;='Configuración'!$B$21,"C","Descarte"))))</f>
        <v>Descarte</v>
      </c>
    </row>
    <row r="428" ht="15.75" customHeight="1">
      <c r="A428" s="34">
        <f t="shared" si="1"/>
        <v>426</v>
      </c>
      <c r="B428" s="29" t="s">
        <v>2670</v>
      </c>
      <c r="C428" s="29" t="s">
        <v>2671</v>
      </c>
      <c r="D428" s="29" t="s">
        <v>2672</v>
      </c>
      <c r="E428" s="29" t="s">
        <v>2673</v>
      </c>
      <c r="F428" s="30" t="s">
        <v>2674</v>
      </c>
      <c r="G428" s="30" t="s">
        <v>2675</v>
      </c>
      <c r="H428" s="30" t="s">
        <v>2676</v>
      </c>
      <c r="I428" s="29" t="s">
        <v>769</v>
      </c>
      <c r="J428" s="31">
        <v>10.0</v>
      </c>
      <c r="K428" s="35"/>
      <c r="L428" s="35"/>
      <c r="M428" s="35"/>
      <c r="N428" s="35"/>
      <c r="O428" s="35"/>
      <c r="P428" s="35"/>
      <c r="Q428" s="35"/>
      <c r="R428" s="35"/>
      <c r="S428" s="37">
        <f>IF(B428="","",IF(ISNUMBER(J428),IF(J428&lt;=10,'Configuración'!$B$23,IF(J428&lt;=50,'Configuración'!$B$24,IF(J428&lt;=200,'Configuración'!$B$25,0))),0))</f>
        <v>12</v>
      </c>
      <c r="T428" s="37">
        <f>IF(B428="","",IF(ISNUMBER(SEARCH("information technology",I428))+ISNUMBER(SEARCH("software",I428))+ISNUMBER(SEARCH("internet",I428))+ISNUMBER(SEARCH("computer",I428))+ISNUMBER(SEARCH("saas",I428))+ISNUMBER(SEARCH("fintech",I428))+ISNUMBER(SEARCH("information services",I428))+ISNUMBER(SEARCH("telecommunications",I428))&gt;0,'Configuración'!$B$27,'Configuración'!$B$28))</f>
        <v>4</v>
      </c>
      <c r="U428" s="25">
        <f>IF(B428="","",IF(ISNUMBER(SEARCH("CEO",C428))+ISNUMBER(SEARCH("Founder",C428))+ISNUMBER(SEARCH("Owner",C428))+ISNUMBER(SEARCH("Dueño",C428))+ISNUMBER(SEARCH("Director General",C428))+ISNUMBER(SEARCH("Presidente",C428))+ISNUMBER(SEARCH("President",C428))&gt;0,'Configuración'!$B$31,IF(ISNUMBER(SEARCH("CMO",C428))+ISNUMBER(SEARCH("Chief Marketing",C428))+ISNUMBER(SEARCH("VP Marketing",C428))+ISNUMBER(SEARCH("Director de Marketing",C428))+ISNUMBER(SEARCH("Director Marketing",C428))+ISNUMBER(SEARCH("Head of Marketing",C428))+ISNUMBER(SEARCH("Head Marketing",C428))&gt;0,'Configuración'!$B$32,IF(ISNUMBER(SEARCH("Marketing Manager",C428))+ISNUMBER(SEARCH("Gerente de Marketing",C428))+ISNUMBER(SEARCH("Growth Manager",C428))+ISNUMBER(SEARCH("Demand Gen",C428))+ISNUMBER(SEARCH("Marketing Lead",C428))&gt;0,'Configuración'!$B$33,IF(ISNUMBER(SEARCH("COO",C428))+ISNUMBER(SEARCH("CFO",C428))+ISNUMBER(SEARCH("CTO",C428))+ISNUMBER(SEARCH("Chief Operating",C428))+ISNUMBER(SEARCH("Chief Financial",C428))+ISNUMBER(SEARCH("Gerente General",C428))+ISNUMBER(SEARCH("General Manager",C428))&gt;0,'Configuración'!$B$34,'Configuración'!$B$35)))))</f>
        <v>12</v>
      </c>
      <c r="V428" s="38">
        <f>IF(B428="","",IF(K428="Sí",'Configuración'!$B$5,0)+IF(L428="Semanal",'Configuración'!$B$6,IF(L428="Mensual",'Configuración'!$B$7,0))+IF(M428="Sí",'Configuración'!$B$8,0)+IF(N428="Sí",'Configuración'!$B$9,0)+IF(O428="Sí",'Configuración'!$B$10,0)+IF(P428="Sí",'Configuración'!$B$11,0)+IF(Q428="Sí",'Configuración'!$B$12,0)+S428+T428+U428)</f>
        <v>28</v>
      </c>
      <c r="W428" s="39" t="str">
        <f>IF(B428="","",IF(V428&gt;='Configuración'!$B$19,"A",IF(V428&gt;='Configuración'!$B$20,"B",IF(V428&gt;='Configuración'!$B$21,"C","Descarte"))))</f>
        <v>C</v>
      </c>
    </row>
    <row r="429" ht="15.75" customHeight="1">
      <c r="A429" s="34">
        <f t="shared" si="1"/>
        <v>427</v>
      </c>
      <c r="B429" s="29" t="s">
        <v>2677</v>
      </c>
      <c r="C429" s="29" t="s">
        <v>2678</v>
      </c>
      <c r="D429" s="29" t="s">
        <v>2679</v>
      </c>
      <c r="E429" s="29" t="s">
        <v>2680</v>
      </c>
      <c r="F429" s="30" t="s">
        <v>2681</v>
      </c>
      <c r="G429" s="30" t="s">
        <v>2682</v>
      </c>
      <c r="H429" s="30" t="s">
        <v>2683</v>
      </c>
      <c r="I429" s="29" t="s">
        <v>659</v>
      </c>
      <c r="J429" s="31">
        <v>2.0</v>
      </c>
      <c r="K429" s="35"/>
      <c r="L429" s="35"/>
      <c r="M429" s="35"/>
      <c r="N429" s="35"/>
      <c r="O429" s="35"/>
      <c r="P429" s="35"/>
      <c r="Q429" s="35"/>
      <c r="R429" s="35"/>
      <c r="S429" s="37">
        <f>IF(B429="","",IF(ISNUMBER(J429),IF(J429&lt;=10,'Configuración'!$B$23,IF(J429&lt;=50,'Configuración'!$B$24,IF(J429&lt;=200,'Configuración'!$B$25,0))),0))</f>
        <v>12</v>
      </c>
      <c r="T429" s="37">
        <f>IF(B429="","",IF(ISNUMBER(SEARCH("information technology",I429))+ISNUMBER(SEARCH("software",I429))+ISNUMBER(SEARCH("internet",I429))+ISNUMBER(SEARCH("computer",I429))+ISNUMBER(SEARCH("saas",I429))+ISNUMBER(SEARCH("fintech",I429))+ISNUMBER(SEARCH("information services",I429))+ISNUMBER(SEARCH("telecommunications",I429))&gt;0,'Configuración'!$B$27,'Configuración'!$B$28))</f>
        <v>4</v>
      </c>
      <c r="U429" s="25">
        <f>IF(B429="","",IF(ISNUMBER(SEARCH("CEO",C429))+ISNUMBER(SEARCH("Founder",C429))+ISNUMBER(SEARCH("Owner",C429))+ISNUMBER(SEARCH("Dueño",C429))+ISNUMBER(SEARCH("Director General",C429))+ISNUMBER(SEARCH("Presidente",C429))+ISNUMBER(SEARCH("President",C429))&gt;0,'Configuración'!$B$31,IF(ISNUMBER(SEARCH("CMO",C429))+ISNUMBER(SEARCH("Chief Marketing",C429))+ISNUMBER(SEARCH("VP Marketing",C429))+ISNUMBER(SEARCH("Director de Marketing",C429))+ISNUMBER(SEARCH("Director Marketing",C429))+ISNUMBER(SEARCH("Head of Marketing",C429))+ISNUMBER(SEARCH("Head Marketing",C429))&gt;0,'Configuración'!$B$32,IF(ISNUMBER(SEARCH("Marketing Manager",C429))+ISNUMBER(SEARCH("Gerente de Marketing",C429))+ISNUMBER(SEARCH("Growth Manager",C429))+ISNUMBER(SEARCH("Demand Gen",C429))+ISNUMBER(SEARCH("Marketing Lead",C429))&gt;0,'Configuración'!$B$33,IF(ISNUMBER(SEARCH("COO",C429))+ISNUMBER(SEARCH("CFO",C429))+ISNUMBER(SEARCH("CTO",C429))+ISNUMBER(SEARCH("Chief Operating",C429))+ISNUMBER(SEARCH("Chief Financial",C429))+ISNUMBER(SEARCH("Gerente General",C429))+ISNUMBER(SEARCH("General Manager",C429))&gt;0,'Configuración'!$B$34,'Configuración'!$B$35)))))</f>
        <v>12</v>
      </c>
      <c r="V429" s="38">
        <f>IF(B429="","",IF(K429="Sí",'Configuración'!$B$5,0)+IF(L429="Semanal",'Configuración'!$B$6,IF(L429="Mensual",'Configuración'!$B$7,0))+IF(M429="Sí",'Configuración'!$B$8,0)+IF(N429="Sí",'Configuración'!$B$9,0)+IF(O429="Sí",'Configuración'!$B$10,0)+IF(P429="Sí",'Configuración'!$B$11,0)+IF(Q429="Sí",'Configuración'!$B$12,0)+S429+T429+U429)</f>
        <v>28</v>
      </c>
      <c r="W429" s="39" t="str">
        <f>IF(B429="","",IF(V429&gt;='Configuración'!$B$19,"A",IF(V429&gt;='Configuración'!$B$20,"B",IF(V429&gt;='Configuración'!$B$21,"C","Descarte"))))</f>
        <v>C</v>
      </c>
    </row>
    <row r="430" ht="15.75" customHeight="1">
      <c r="A430" s="34">
        <f t="shared" si="1"/>
        <v>428</v>
      </c>
      <c r="B430" s="29" t="s">
        <v>367</v>
      </c>
      <c r="C430" s="29" t="s">
        <v>2362</v>
      </c>
      <c r="D430" s="29" t="s">
        <v>2684</v>
      </c>
      <c r="E430" s="29" t="s">
        <v>2685</v>
      </c>
      <c r="F430" s="30" t="s">
        <v>2686</v>
      </c>
      <c r="G430" s="30" t="s">
        <v>2687</v>
      </c>
      <c r="H430" s="30" t="s">
        <v>2688</v>
      </c>
      <c r="I430" s="29" t="s">
        <v>188</v>
      </c>
      <c r="J430" s="31">
        <v>12.0</v>
      </c>
      <c r="K430" s="35"/>
      <c r="L430" s="35"/>
      <c r="M430" s="35"/>
      <c r="N430" s="35"/>
      <c r="O430" s="35"/>
      <c r="P430" s="35"/>
      <c r="Q430" s="35"/>
      <c r="R430" s="35"/>
      <c r="S430" s="37">
        <f>IF(B430="","",IF(ISNUMBER(J430),IF(J430&lt;=10,'Configuración'!$B$23,IF(J430&lt;=50,'Configuración'!$B$24,IF(J430&lt;=200,'Configuración'!$B$25,0))),0))</f>
        <v>4</v>
      </c>
      <c r="T430" s="37">
        <f>IF(B430="","",IF(ISNUMBER(SEARCH("information technology",I430))+ISNUMBER(SEARCH("software",I430))+ISNUMBER(SEARCH("internet",I430))+ISNUMBER(SEARCH("computer",I430))+ISNUMBER(SEARCH("saas",I430))+ISNUMBER(SEARCH("fintech",I430))+ISNUMBER(SEARCH("information services",I430))+ISNUMBER(SEARCH("telecommunications",I430))&gt;0,'Configuración'!$B$27,'Configuración'!$B$28))</f>
        <v>4</v>
      </c>
      <c r="U430" s="25">
        <f>IF(B430="","",IF(ISNUMBER(SEARCH("CEO",C430))+ISNUMBER(SEARCH("Founder",C430))+ISNUMBER(SEARCH("Owner",C430))+ISNUMBER(SEARCH("Dueño",C430))+ISNUMBER(SEARCH("Director General",C430))+ISNUMBER(SEARCH("Presidente",C430))+ISNUMBER(SEARCH("President",C430))&gt;0,'Configuración'!$B$31,IF(ISNUMBER(SEARCH("CMO",C430))+ISNUMBER(SEARCH("Chief Marketing",C430))+ISNUMBER(SEARCH("VP Marketing",C430))+ISNUMBER(SEARCH("Director de Marketing",C430))+ISNUMBER(SEARCH("Director Marketing",C430))+ISNUMBER(SEARCH("Head of Marketing",C430))+ISNUMBER(SEARCH("Head Marketing",C430))&gt;0,'Configuración'!$B$32,IF(ISNUMBER(SEARCH("Marketing Manager",C430))+ISNUMBER(SEARCH("Gerente de Marketing",C430))+ISNUMBER(SEARCH("Growth Manager",C430))+ISNUMBER(SEARCH("Demand Gen",C430))+ISNUMBER(SEARCH("Marketing Lead",C430))&gt;0,'Configuración'!$B$33,IF(ISNUMBER(SEARCH("COO",C430))+ISNUMBER(SEARCH("CFO",C430))+ISNUMBER(SEARCH("CTO",C430))+ISNUMBER(SEARCH("Chief Operating",C430))+ISNUMBER(SEARCH("Chief Financial",C430))+ISNUMBER(SEARCH("Gerente General",C430))+ISNUMBER(SEARCH("General Manager",C430))&gt;0,'Configuración'!$B$34,'Configuración'!$B$35)))))</f>
        <v>12</v>
      </c>
      <c r="V430" s="38">
        <f>IF(B430="","",IF(K430="Sí",'Configuración'!$B$5,0)+IF(L430="Semanal",'Configuración'!$B$6,IF(L430="Mensual",'Configuración'!$B$7,0))+IF(M430="Sí",'Configuración'!$B$8,0)+IF(N430="Sí",'Configuración'!$B$9,0)+IF(O430="Sí",'Configuración'!$B$10,0)+IF(P430="Sí",'Configuración'!$B$11,0)+IF(Q430="Sí",'Configuración'!$B$12,0)+S430+T430+U430)</f>
        <v>20</v>
      </c>
      <c r="W430" s="39" t="str">
        <f>IF(B430="","",IF(V430&gt;='Configuración'!$B$19,"A",IF(V430&gt;='Configuración'!$B$20,"B",IF(V430&gt;='Configuración'!$B$21,"C","Descarte"))))</f>
        <v>Descarte</v>
      </c>
    </row>
    <row r="431" ht="15.75" customHeight="1">
      <c r="A431" s="34">
        <f t="shared" si="1"/>
        <v>429</v>
      </c>
      <c r="B431" s="29" t="s">
        <v>181</v>
      </c>
      <c r="C431" s="29" t="s">
        <v>1511</v>
      </c>
      <c r="D431" s="29" t="s">
        <v>2689</v>
      </c>
      <c r="E431" s="29" t="s">
        <v>2690</v>
      </c>
      <c r="F431" s="30" t="s">
        <v>2691</v>
      </c>
      <c r="G431" s="30" t="s">
        <v>2692</v>
      </c>
      <c r="H431" s="30" t="s">
        <v>2693</v>
      </c>
      <c r="I431" s="29" t="s">
        <v>2694</v>
      </c>
      <c r="J431" s="31">
        <v>13.0</v>
      </c>
      <c r="K431" s="35"/>
      <c r="L431" s="35"/>
      <c r="M431" s="35"/>
      <c r="N431" s="35"/>
      <c r="O431" s="35"/>
      <c r="P431" s="35"/>
      <c r="Q431" s="35"/>
      <c r="R431" s="35"/>
      <c r="S431" s="37">
        <f>IF(B431="","",IF(ISNUMBER(J431),IF(J431&lt;=10,'Configuración'!$B$23,IF(J431&lt;=50,'Configuración'!$B$24,IF(J431&lt;=200,'Configuración'!$B$25,0))),0))</f>
        <v>4</v>
      </c>
      <c r="T431" s="37">
        <f>IF(B431="","",IF(ISNUMBER(SEARCH("information technology",I431))+ISNUMBER(SEARCH("software",I431))+ISNUMBER(SEARCH("internet",I431))+ISNUMBER(SEARCH("computer",I431))+ISNUMBER(SEARCH("saas",I431))+ISNUMBER(SEARCH("fintech",I431))+ISNUMBER(SEARCH("information services",I431))+ISNUMBER(SEARCH("telecommunications",I431))&gt;0,'Configuración'!$B$27,'Configuración'!$B$28))</f>
        <v>4</v>
      </c>
      <c r="U431" s="25">
        <f>IF(B431="","",IF(ISNUMBER(SEARCH("CEO",C431))+ISNUMBER(SEARCH("Founder",C431))+ISNUMBER(SEARCH("Owner",C431))+ISNUMBER(SEARCH("Dueño",C431))+ISNUMBER(SEARCH("Director General",C431))+ISNUMBER(SEARCH("Presidente",C431))+ISNUMBER(SEARCH("President",C431))&gt;0,'Configuración'!$B$31,IF(ISNUMBER(SEARCH("CMO",C431))+ISNUMBER(SEARCH("Chief Marketing",C431))+ISNUMBER(SEARCH("VP Marketing",C431))+ISNUMBER(SEARCH("Director de Marketing",C431))+ISNUMBER(SEARCH("Director Marketing",C431))+ISNUMBER(SEARCH("Head of Marketing",C431))+ISNUMBER(SEARCH("Head Marketing",C431))&gt;0,'Configuración'!$B$32,IF(ISNUMBER(SEARCH("Marketing Manager",C431))+ISNUMBER(SEARCH("Gerente de Marketing",C431))+ISNUMBER(SEARCH("Growth Manager",C431))+ISNUMBER(SEARCH("Demand Gen",C431))+ISNUMBER(SEARCH("Marketing Lead",C431))&gt;0,'Configuración'!$B$33,IF(ISNUMBER(SEARCH("COO",C431))+ISNUMBER(SEARCH("CFO",C431))+ISNUMBER(SEARCH("CTO",C431))+ISNUMBER(SEARCH("Chief Operating",C431))+ISNUMBER(SEARCH("Chief Financial",C431))+ISNUMBER(SEARCH("Gerente General",C431))+ISNUMBER(SEARCH("General Manager",C431))&gt;0,'Configuración'!$B$34,'Configuración'!$B$35)))))</f>
        <v>12</v>
      </c>
      <c r="V431" s="38">
        <f>IF(B431="","",IF(K431="Sí",'Configuración'!$B$5,0)+IF(L431="Semanal",'Configuración'!$B$6,IF(L431="Mensual",'Configuración'!$B$7,0))+IF(M431="Sí",'Configuración'!$B$8,0)+IF(N431="Sí",'Configuración'!$B$9,0)+IF(O431="Sí",'Configuración'!$B$10,0)+IF(P431="Sí",'Configuración'!$B$11,0)+IF(Q431="Sí",'Configuración'!$B$12,0)+S431+T431+U431)</f>
        <v>20</v>
      </c>
      <c r="W431" s="39" t="str">
        <f>IF(B431="","",IF(V431&gt;='Configuración'!$B$19,"A",IF(V431&gt;='Configuración'!$B$20,"B",IF(V431&gt;='Configuración'!$B$21,"C","Descarte"))))</f>
        <v>Descarte</v>
      </c>
    </row>
    <row r="432" ht="15.75" customHeight="1">
      <c r="A432" s="34">
        <f t="shared" si="1"/>
        <v>430</v>
      </c>
      <c r="B432" s="29" t="s">
        <v>1821</v>
      </c>
      <c r="C432" s="29" t="s">
        <v>2695</v>
      </c>
      <c r="D432" s="29" t="s">
        <v>2696</v>
      </c>
      <c r="E432" s="29" t="s">
        <v>2697</v>
      </c>
      <c r="F432" s="30" t="s">
        <v>2698</v>
      </c>
      <c r="G432" s="30" t="s">
        <v>2699</v>
      </c>
      <c r="H432" s="30" t="s">
        <v>2700</v>
      </c>
      <c r="I432" s="29" t="s">
        <v>116</v>
      </c>
      <c r="J432" s="31">
        <v>16.0</v>
      </c>
      <c r="K432" s="35"/>
      <c r="L432" s="35"/>
      <c r="M432" s="35"/>
      <c r="N432" s="35"/>
      <c r="O432" s="35"/>
      <c r="P432" s="35"/>
      <c r="Q432" s="35"/>
      <c r="R432" s="35"/>
      <c r="S432" s="37">
        <f>IF(B432="","",IF(ISNUMBER(J432),IF(J432&lt;=10,'Configuración'!$B$23,IF(J432&lt;=50,'Configuración'!$B$24,IF(J432&lt;=200,'Configuración'!$B$25,0))),0))</f>
        <v>4</v>
      </c>
      <c r="T432" s="37">
        <f>IF(B432="","",IF(ISNUMBER(SEARCH("information technology",I432))+ISNUMBER(SEARCH("software",I432))+ISNUMBER(SEARCH("internet",I432))+ISNUMBER(SEARCH("computer",I432))+ISNUMBER(SEARCH("saas",I432))+ISNUMBER(SEARCH("fintech",I432))+ISNUMBER(SEARCH("information services",I432))+ISNUMBER(SEARCH("telecommunications",I432))&gt;0,'Configuración'!$B$27,'Configuración'!$B$28))</f>
        <v>4</v>
      </c>
      <c r="U432" s="25">
        <f>IF(B432="","",IF(ISNUMBER(SEARCH("CEO",C432))+ISNUMBER(SEARCH("Founder",C432))+ISNUMBER(SEARCH("Owner",C432))+ISNUMBER(SEARCH("Dueño",C432))+ISNUMBER(SEARCH("Director General",C432))+ISNUMBER(SEARCH("Presidente",C432))+ISNUMBER(SEARCH("President",C432))&gt;0,'Configuración'!$B$31,IF(ISNUMBER(SEARCH("CMO",C432))+ISNUMBER(SEARCH("Chief Marketing",C432))+ISNUMBER(SEARCH("VP Marketing",C432))+ISNUMBER(SEARCH("Director de Marketing",C432))+ISNUMBER(SEARCH("Director Marketing",C432))+ISNUMBER(SEARCH("Head of Marketing",C432))+ISNUMBER(SEARCH("Head Marketing",C432))&gt;0,'Configuración'!$B$32,IF(ISNUMBER(SEARCH("Marketing Manager",C432))+ISNUMBER(SEARCH("Gerente de Marketing",C432))+ISNUMBER(SEARCH("Growth Manager",C432))+ISNUMBER(SEARCH("Demand Gen",C432))+ISNUMBER(SEARCH("Marketing Lead",C432))&gt;0,'Configuración'!$B$33,IF(ISNUMBER(SEARCH("COO",C432))+ISNUMBER(SEARCH("CFO",C432))+ISNUMBER(SEARCH("CTO",C432))+ISNUMBER(SEARCH("Chief Operating",C432))+ISNUMBER(SEARCH("Chief Financial",C432))+ISNUMBER(SEARCH("Gerente General",C432))+ISNUMBER(SEARCH("General Manager",C432))&gt;0,'Configuración'!$B$34,'Configuración'!$B$35)))))</f>
        <v>12</v>
      </c>
      <c r="V432" s="38">
        <f>IF(B432="","",IF(K432="Sí",'Configuración'!$B$5,0)+IF(L432="Semanal",'Configuración'!$B$6,IF(L432="Mensual",'Configuración'!$B$7,0))+IF(M432="Sí",'Configuración'!$B$8,0)+IF(N432="Sí",'Configuración'!$B$9,0)+IF(O432="Sí",'Configuración'!$B$10,0)+IF(P432="Sí",'Configuración'!$B$11,0)+IF(Q432="Sí",'Configuración'!$B$12,0)+S432+T432+U432)</f>
        <v>20</v>
      </c>
      <c r="W432" s="39" t="str">
        <f>IF(B432="","",IF(V432&gt;='Configuración'!$B$19,"A",IF(V432&gt;='Configuración'!$B$20,"B",IF(V432&gt;='Configuración'!$B$21,"C","Descarte"))))</f>
        <v>Descarte</v>
      </c>
    </row>
    <row r="433" ht="15.75" customHeight="1">
      <c r="A433" s="34">
        <f t="shared" si="1"/>
        <v>431</v>
      </c>
      <c r="B433" s="29" t="s">
        <v>138</v>
      </c>
      <c r="C433" s="29" t="s">
        <v>719</v>
      </c>
      <c r="D433" s="40" t="s">
        <v>2701</v>
      </c>
      <c r="E433" s="29" t="s">
        <v>2702</v>
      </c>
      <c r="F433" s="30" t="s">
        <v>2703</v>
      </c>
      <c r="G433" s="30" t="s">
        <v>2704</v>
      </c>
      <c r="H433" s="30" t="s">
        <v>2705</v>
      </c>
      <c r="I433" s="29" t="s">
        <v>127</v>
      </c>
      <c r="J433" s="31">
        <v>12.0</v>
      </c>
      <c r="K433" s="35"/>
      <c r="L433" s="35"/>
      <c r="M433" s="35"/>
      <c r="N433" s="35"/>
      <c r="O433" s="35"/>
      <c r="P433" s="35"/>
      <c r="Q433" s="35"/>
      <c r="R433" s="35"/>
      <c r="S433" s="37">
        <f>IF(B433="","",IF(ISNUMBER(J433),IF(J433&lt;=10,'Configuración'!$B$23,IF(J433&lt;=50,'Configuración'!$B$24,IF(J433&lt;=200,'Configuración'!$B$25,0))),0))</f>
        <v>4</v>
      </c>
      <c r="T433" s="37">
        <f>IF(B433="","",IF(ISNUMBER(SEARCH("information technology",I433))+ISNUMBER(SEARCH("software",I433))+ISNUMBER(SEARCH("internet",I433))+ISNUMBER(SEARCH("computer",I433))+ISNUMBER(SEARCH("saas",I433))+ISNUMBER(SEARCH("fintech",I433))+ISNUMBER(SEARCH("information services",I433))+ISNUMBER(SEARCH("telecommunications",I433))&gt;0,'Configuración'!$B$27,'Configuración'!$B$28))</f>
        <v>12</v>
      </c>
      <c r="U433" s="25">
        <f>IF(B433="","",IF(ISNUMBER(SEARCH("CEO",C433))+ISNUMBER(SEARCH("Founder",C433))+ISNUMBER(SEARCH("Owner",C433))+ISNUMBER(SEARCH("Dueño",C433))+ISNUMBER(SEARCH("Director General",C433))+ISNUMBER(SEARCH("Presidente",C433))+ISNUMBER(SEARCH("President",C433))&gt;0,'Configuración'!$B$31,IF(ISNUMBER(SEARCH("CMO",C433))+ISNUMBER(SEARCH("Chief Marketing",C433))+ISNUMBER(SEARCH("VP Marketing",C433))+ISNUMBER(SEARCH("Director de Marketing",C433))+ISNUMBER(SEARCH("Director Marketing",C433))+ISNUMBER(SEARCH("Head of Marketing",C433))+ISNUMBER(SEARCH("Head Marketing",C433))&gt;0,'Configuración'!$B$32,IF(ISNUMBER(SEARCH("Marketing Manager",C433))+ISNUMBER(SEARCH("Gerente de Marketing",C433))+ISNUMBER(SEARCH("Growth Manager",C433))+ISNUMBER(SEARCH("Demand Gen",C433))+ISNUMBER(SEARCH("Marketing Lead",C433))&gt;0,'Configuración'!$B$33,IF(ISNUMBER(SEARCH("COO",C433))+ISNUMBER(SEARCH("CFO",C433))+ISNUMBER(SEARCH("CTO",C433))+ISNUMBER(SEARCH("Chief Operating",C433))+ISNUMBER(SEARCH("Chief Financial",C433))+ISNUMBER(SEARCH("Gerente General",C433))+ISNUMBER(SEARCH("General Manager",C433))&gt;0,'Configuración'!$B$34,'Configuración'!$B$35)))))</f>
        <v>12</v>
      </c>
      <c r="V433" s="38">
        <f>IF(B433="","",IF(K433="Sí",'Configuración'!$B$5,0)+IF(L433="Semanal",'Configuración'!$B$6,IF(L433="Mensual",'Configuración'!$B$7,0))+IF(M433="Sí",'Configuración'!$B$8,0)+IF(N433="Sí",'Configuración'!$B$9,0)+IF(O433="Sí",'Configuración'!$B$10,0)+IF(P433="Sí",'Configuración'!$B$11,0)+IF(Q433="Sí",'Configuración'!$B$12,0)+S433+T433+U433)</f>
        <v>28</v>
      </c>
      <c r="W433" s="39" t="str">
        <f>IF(B433="","",IF(V433&gt;='Configuración'!$B$19,"A",IF(V433&gt;='Configuración'!$B$20,"B",IF(V433&gt;='Configuración'!$B$21,"C","Descarte"))))</f>
        <v>C</v>
      </c>
    </row>
    <row r="434" ht="15.75" customHeight="1">
      <c r="A434" s="34">
        <f t="shared" si="1"/>
        <v>432</v>
      </c>
      <c r="B434" s="29" t="s">
        <v>209</v>
      </c>
      <c r="C434" s="29" t="s">
        <v>2706</v>
      </c>
      <c r="D434" s="30" t="s">
        <v>2707</v>
      </c>
      <c r="E434" s="29" t="s">
        <v>2708</v>
      </c>
      <c r="F434" s="30" t="s">
        <v>2709</v>
      </c>
      <c r="G434" s="30" t="s">
        <v>2710</v>
      </c>
      <c r="H434" s="30" t="s">
        <v>2711</v>
      </c>
      <c r="I434" s="29" t="s">
        <v>127</v>
      </c>
      <c r="J434" s="31">
        <v>22.0</v>
      </c>
      <c r="K434" s="35"/>
      <c r="L434" s="35"/>
      <c r="M434" s="35"/>
      <c r="N434" s="35"/>
      <c r="O434" s="35"/>
      <c r="P434" s="35"/>
      <c r="Q434" s="35"/>
      <c r="R434" s="35"/>
      <c r="S434" s="37">
        <f>IF(B434="","",IF(ISNUMBER(J434),IF(J434&lt;=10,'Configuración'!$B$23,IF(J434&lt;=50,'Configuración'!$B$24,IF(J434&lt;=200,'Configuración'!$B$25,0))),0))</f>
        <v>4</v>
      </c>
      <c r="T434" s="37">
        <f>IF(B434="","",IF(ISNUMBER(SEARCH("information technology",I434))+ISNUMBER(SEARCH("software",I434))+ISNUMBER(SEARCH("internet",I434))+ISNUMBER(SEARCH("computer",I434))+ISNUMBER(SEARCH("saas",I434))+ISNUMBER(SEARCH("fintech",I434))+ISNUMBER(SEARCH("information services",I434))+ISNUMBER(SEARCH("telecommunications",I434))&gt;0,'Configuración'!$B$27,'Configuración'!$B$28))</f>
        <v>12</v>
      </c>
      <c r="U434" s="25">
        <f>IF(B434="","",IF(ISNUMBER(SEARCH("CEO",C434))+ISNUMBER(SEARCH("Founder",C434))+ISNUMBER(SEARCH("Owner",C434))+ISNUMBER(SEARCH("Dueño",C434))+ISNUMBER(SEARCH("Director General",C434))+ISNUMBER(SEARCH("Presidente",C434))+ISNUMBER(SEARCH("President",C434))&gt;0,'Configuración'!$B$31,IF(ISNUMBER(SEARCH("CMO",C434))+ISNUMBER(SEARCH("Chief Marketing",C434))+ISNUMBER(SEARCH("VP Marketing",C434))+ISNUMBER(SEARCH("Director de Marketing",C434))+ISNUMBER(SEARCH("Director Marketing",C434))+ISNUMBER(SEARCH("Head of Marketing",C434))+ISNUMBER(SEARCH("Head Marketing",C434))&gt;0,'Configuración'!$B$32,IF(ISNUMBER(SEARCH("Marketing Manager",C434))+ISNUMBER(SEARCH("Gerente de Marketing",C434))+ISNUMBER(SEARCH("Growth Manager",C434))+ISNUMBER(SEARCH("Demand Gen",C434))+ISNUMBER(SEARCH("Marketing Lead",C434))&gt;0,'Configuración'!$B$33,IF(ISNUMBER(SEARCH("COO",C434))+ISNUMBER(SEARCH("CFO",C434))+ISNUMBER(SEARCH("CTO",C434))+ISNUMBER(SEARCH("Chief Operating",C434))+ISNUMBER(SEARCH("Chief Financial",C434))+ISNUMBER(SEARCH("Gerente General",C434))+ISNUMBER(SEARCH("General Manager",C434))&gt;0,'Configuración'!$B$34,'Configuración'!$B$35)))))</f>
        <v>0</v>
      </c>
      <c r="V434" s="38">
        <f>IF(B434="","",IF(K434="Sí",'Configuración'!$B$5,0)+IF(L434="Semanal",'Configuración'!$B$6,IF(L434="Mensual",'Configuración'!$B$7,0))+IF(M434="Sí",'Configuración'!$B$8,0)+IF(N434="Sí",'Configuración'!$B$9,0)+IF(O434="Sí",'Configuración'!$B$10,0)+IF(P434="Sí",'Configuración'!$B$11,0)+IF(Q434="Sí",'Configuración'!$B$12,0)+S434+T434+U434)</f>
        <v>16</v>
      </c>
      <c r="W434" s="39" t="str">
        <f>IF(B434="","",IF(V434&gt;='Configuración'!$B$19,"A",IF(V434&gt;='Configuración'!$B$20,"B",IF(V434&gt;='Configuración'!$B$21,"C","Descarte"))))</f>
        <v>Descarte</v>
      </c>
    </row>
    <row r="435" ht="15.75" customHeight="1">
      <c r="A435" s="34">
        <f t="shared" si="1"/>
        <v>433</v>
      </c>
      <c r="B435" s="29" t="s">
        <v>201</v>
      </c>
      <c r="C435" s="29" t="s">
        <v>2712</v>
      </c>
      <c r="D435" s="29" t="s">
        <v>2713</v>
      </c>
      <c r="E435" s="29" t="s">
        <v>2714</v>
      </c>
      <c r="F435" s="30" t="s">
        <v>2715</v>
      </c>
      <c r="G435" s="30" t="s">
        <v>2716</v>
      </c>
      <c r="H435" s="30" t="s">
        <v>2717</v>
      </c>
      <c r="I435" s="29" t="s">
        <v>188</v>
      </c>
      <c r="J435" s="31">
        <v>2.0</v>
      </c>
      <c r="K435" s="35"/>
      <c r="L435" s="35"/>
      <c r="M435" s="35"/>
      <c r="N435" s="35"/>
      <c r="O435" s="35"/>
      <c r="P435" s="35"/>
      <c r="Q435" s="35"/>
      <c r="R435" s="35"/>
      <c r="S435" s="37">
        <f>IF(B435="","",IF(ISNUMBER(J435),IF(J435&lt;=10,'Configuración'!$B$23,IF(J435&lt;=50,'Configuración'!$B$24,IF(J435&lt;=200,'Configuración'!$B$25,0))),0))</f>
        <v>12</v>
      </c>
      <c r="T435" s="37">
        <f>IF(B435="","",IF(ISNUMBER(SEARCH("information technology",I435))+ISNUMBER(SEARCH("software",I435))+ISNUMBER(SEARCH("internet",I435))+ISNUMBER(SEARCH("computer",I435))+ISNUMBER(SEARCH("saas",I435))+ISNUMBER(SEARCH("fintech",I435))+ISNUMBER(SEARCH("information services",I435))+ISNUMBER(SEARCH("telecommunications",I435))&gt;0,'Configuración'!$B$27,'Configuración'!$B$28))</f>
        <v>4</v>
      </c>
      <c r="U435" s="25">
        <f>IF(B435="","",IF(ISNUMBER(SEARCH("CEO",C435))+ISNUMBER(SEARCH("Founder",C435))+ISNUMBER(SEARCH("Owner",C435))+ISNUMBER(SEARCH("Dueño",C435))+ISNUMBER(SEARCH("Director General",C435))+ISNUMBER(SEARCH("Presidente",C435))+ISNUMBER(SEARCH("President",C435))&gt;0,'Configuración'!$B$31,IF(ISNUMBER(SEARCH("CMO",C435))+ISNUMBER(SEARCH("Chief Marketing",C435))+ISNUMBER(SEARCH("VP Marketing",C435))+ISNUMBER(SEARCH("Director de Marketing",C435))+ISNUMBER(SEARCH("Director Marketing",C435))+ISNUMBER(SEARCH("Head of Marketing",C435))+ISNUMBER(SEARCH("Head Marketing",C435))&gt;0,'Configuración'!$B$32,IF(ISNUMBER(SEARCH("Marketing Manager",C435))+ISNUMBER(SEARCH("Gerente de Marketing",C435))+ISNUMBER(SEARCH("Growth Manager",C435))+ISNUMBER(SEARCH("Demand Gen",C435))+ISNUMBER(SEARCH("Marketing Lead",C435))&gt;0,'Configuración'!$B$33,IF(ISNUMBER(SEARCH("COO",C435))+ISNUMBER(SEARCH("CFO",C435))+ISNUMBER(SEARCH("CTO",C435))+ISNUMBER(SEARCH("Chief Operating",C435))+ISNUMBER(SEARCH("Chief Financial",C435))+ISNUMBER(SEARCH("Gerente General",C435))+ISNUMBER(SEARCH("General Manager",C435))&gt;0,'Configuración'!$B$34,'Configuración'!$B$35)))))</f>
        <v>12</v>
      </c>
      <c r="V435" s="38">
        <f>IF(B435="","",IF(K435="Sí",'Configuración'!$B$5,0)+IF(L435="Semanal",'Configuración'!$B$6,IF(L435="Mensual",'Configuración'!$B$7,0))+IF(M435="Sí",'Configuración'!$B$8,0)+IF(N435="Sí",'Configuración'!$B$9,0)+IF(O435="Sí",'Configuración'!$B$10,0)+IF(P435="Sí",'Configuración'!$B$11,0)+IF(Q435="Sí",'Configuración'!$B$12,0)+S435+T435+U435)</f>
        <v>28</v>
      </c>
      <c r="W435" s="39" t="str">
        <f>IF(B435="","",IF(V435&gt;='Configuración'!$B$19,"A",IF(V435&gt;='Configuración'!$B$20,"B",IF(V435&gt;='Configuración'!$B$21,"C","Descarte"))))</f>
        <v>C</v>
      </c>
    </row>
    <row r="436" ht="15.75" customHeight="1">
      <c r="A436" s="34">
        <f t="shared" si="1"/>
        <v>434</v>
      </c>
      <c r="B436" s="29" t="s">
        <v>564</v>
      </c>
      <c r="C436" s="29" t="s">
        <v>146</v>
      </c>
      <c r="D436" s="29" t="s">
        <v>2718</v>
      </c>
      <c r="E436" s="29" t="s">
        <v>2719</v>
      </c>
      <c r="F436" s="30" t="s">
        <v>2720</v>
      </c>
      <c r="G436" s="30" t="s">
        <v>2721</v>
      </c>
      <c r="H436" s="30" t="s">
        <v>2722</v>
      </c>
      <c r="I436" s="29" t="s">
        <v>127</v>
      </c>
      <c r="J436" s="31">
        <v>2.0</v>
      </c>
      <c r="K436" s="35"/>
      <c r="L436" s="35"/>
      <c r="M436" s="35"/>
      <c r="N436" s="35"/>
      <c r="O436" s="35"/>
      <c r="P436" s="35"/>
      <c r="Q436" s="35"/>
      <c r="R436" s="35"/>
      <c r="S436" s="37">
        <f>IF(B436="","",IF(ISNUMBER(J436),IF(J436&lt;=10,'Configuración'!$B$23,IF(J436&lt;=50,'Configuración'!$B$24,IF(J436&lt;=200,'Configuración'!$B$25,0))),0))</f>
        <v>12</v>
      </c>
      <c r="T436" s="37">
        <f>IF(B436="","",IF(ISNUMBER(SEARCH("information technology",I436))+ISNUMBER(SEARCH("software",I436))+ISNUMBER(SEARCH("internet",I436))+ISNUMBER(SEARCH("computer",I436))+ISNUMBER(SEARCH("saas",I436))+ISNUMBER(SEARCH("fintech",I436))+ISNUMBER(SEARCH("information services",I436))+ISNUMBER(SEARCH("telecommunications",I436))&gt;0,'Configuración'!$B$27,'Configuración'!$B$28))</f>
        <v>12</v>
      </c>
      <c r="U436" s="25">
        <f>IF(B436="","",IF(ISNUMBER(SEARCH("CEO",C436))+ISNUMBER(SEARCH("Founder",C436))+ISNUMBER(SEARCH("Owner",C436))+ISNUMBER(SEARCH("Dueño",C436))+ISNUMBER(SEARCH("Director General",C436))+ISNUMBER(SEARCH("Presidente",C436))+ISNUMBER(SEARCH("President",C436))&gt;0,'Configuración'!$B$31,IF(ISNUMBER(SEARCH("CMO",C436))+ISNUMBER(SEARCH("Chief Marketing",C436))+ISNUMBER(SEARCH("VP Marketing",C436))+ISNUMBER(SEARCH("Director de Marketing",C436))+ISNUMBER(SEARCH("Director Marketing",C436))+ISNUMBER(SEARCH("Head of Marketing",C436))+ISNUMBER(SEARCH("Head Marketing",C436))&gt;0,'Configuración'!$B$32,IF(ISNUMBER(SEARCH("Marketing Manager",C436))+ISNUMBER(SEARCH("Gerente de Marketing",C436))+ISNUMBER(SEARCH("Growth Manager",C436))+ISNUMBER(SEARCH("Demand Gen",C436))+ISNUMBER(SEARCH("Marketing Lead",C436))&gt;0,'Configuración'!$B$33,IF(ISNUMBER(SEARCH("COO",C436))+ISNUMBER(SEARCH("CFO",C436))+ISNUMBER(SEARCH("CTO",C436))+ISNUMBER(SEARCH("Chief Operating",C436))+ISNUMBER(SEARCH("Chief Financial",C436))+ISNUMBER(SEARCH("Gerente General",C436))+ISNUMBER(SEARCH("General Manager",C436))&gt;0,'Configuración'!$B$34,'Configuración'!$B$35)))))</f>
        <v>0</v>
      </c>
      <c r="V436" s="38">
        <f>IF(B436="","",IF(K436="Sí",'Configuración'!$B$5,0)+IF(L436="Semanal",'Configuración'!$B$6,IF(L436="Mensual",'Configuración'!$B$7,0))+IF(M436="Sí",'Configuración'!$B$8,0)+IF(N436="Sí",'Configuración'!$B$9,0)+IF(O436="Sí",'Configuración'!$B$10,0)+IF(P436="Sí",'Configuración'!$B$11,0)+IF(Q436="Sí",'Configuración'!$B$12,0)+S436+T436+U436)</f>
        <v>24</v>
      </c>
      <c r="W436" s="39" t="str">
        <f>IF(B436="","",IF(V436&gt;='Configuración'!$B$19,"A",IF(V436&gt;='Configuración'!$B$20,"B",IF(V436&gt;='Configuración'!$B$21,"C","Descarte"))))</f>
        <v>C</v>
      </c>
    </row>
    <row r="437" ht="15.75" customHeight="1">
      <c r="A437" s="34">
        <f t="shared" si="1"/>
        <v>435</v>
      </c>
      <c r="B437" s="29" t="s">
        <v>2723</v>
      </c>
      <c r="C437" s="29" t="s">
        <v>2724</v>
      </c>
      <c r="D437" s="29" t="s">
        <v>2725</v>
      </c>
      <c r="E437" s="29" t="s">
        <v>2726</v>
      </c>
      <c r="F437" s="30" t="s">
        <v>2727</v>
      </c>
      <c r="G437" s="30" t="s">
        <v>2728</v>
      </c>
      <c r="H437" s="30" t="s">
        <v>2729</v>
      </c>
      <c r="I437" s="29" t="s">
        <v>542</v>
      </c>
      <c r="J437" s="31">
        <v>13.0</v>
      </c>
      <c r="K437" s="35"/>
      <c r="L437" s="35"/>
      <c r="M437" s="35"/>
      <c r="N437" s="35"/>
      <c r="O437" s="35"/>
      <c r="P437" s="35"/>
      <c r="Q437" s="35"/>
      <c r="R437" s="35"/>
      <c r="S437" s="37">
        <f>IF(B437="","",IF(ISNUMBER(J437),IF(J437&lt;=10,'Configuración'!$B$23,IF(J437&lt;=50,'Configuración'!$B$24,IF(J437&lt;=200,'Configuración'!$B$25,0))),0))</f>
        <v>4</v>
      </c>
      <c r="T437" s="37">
        <f>IF(B437="","",IF(ISNUMBER(SEARCH("information technology",I437))+ISNUMBER(SEARCH("software",I437))+ISNUMBER(SEARCH("internet",I437))+ISNUMBER(SEARCH("computer",I437))+ISNUMBER(SEARCH("saas",I437))+ISNUMBER(SEARCH("fintech",I437))+ISNUMBER(SEARCH("information services",I437))+ISNUMBER(SEARCH("telecommunications",I437))&gt;0,'Configuración'!$B$27,'Configuración'!$B$28))</f>
        <v>4</v>
      </c>
      <c r="U437" s="25">
        <f>IF(B437="","",IF(ISNUMBER(SEARCH("CEO",C437))+ISNUMBER(SEARCH("Founder",C437))+ISNUMBER(SEARCH("Owner",C437))+ISNUMBER(SEARCH("Dueño",C437))+ISNUMBER(SEARCH("Director General",C437))+ISNUMBER(SEARCH("Presidente",C437))+ISNUMBER(SEARCH("President",C437))&gt;0,'Configuración'!$B$31,IF(ISNUMBER(SEARCH("CMO",C437))+ISNUMBER(SEARCH("Chief Marketing",C437))+ISNUMBER(SEARCH("VP Marketing",C437))+ISNUMBER(SEARCH("Director de Marketing",C437))+ISNUMBER(SEARCH("Director Marketing",C437))+ISNUMBER(SEARCH("Head of Marketing",C437))+ISNUMBER(SEARCH("Head Marketing",C437))&gt;0,'Configuración'!$B$32,IF(ISNUMBER(SEARCH("Marketing Manager",C437))+ISNUMBER(SEARCH("Gerente de Marketing",C437))+ISNUMBER(SEARCH("Growth Manager",C437))+ISNUMBER(SEARCH("Demand Gen",C437))+ISNUMBER(SEARCH("Marketing Lead",C437))&gt;0,'Configuración'!$B$33,IF(ISNUMBER(SEARCH("COO",C437))+ISNUMBER(SEARCH("CFO",C437))+ISNUMBER(SEARCH("CTO",C437))+ISNUMBER(SEARCH("Chief Operating",C437))+ISNUMBER(SEARCH("Chief Financial",C437))+ISNUMBER(SEARCH("Gerente General",C437))+ISNUMBER(SEARCH("General Manager",C437))&gt;0,'Configuración'!$B$34,'Configuración'!$B$35)))))</f>
        <v>12</v>
      </c>
      <c r="V437" s="38">
        <f>IF(B437="","",IF(K437="Sí",'Configuración'!$B$5,0)+IF(L437="Semanal",'Configuración'!$B$6,IF(L437="Mensual",'Configuración'!$B$7,0))+IF(M437="Sí",'Configuración'!$B$8,0)+IF(N437="Sí",'Configuración'!$B$9,0)+IF(O437="Sí",'Configuración'!$B$10,0)+IF(P437="Sí",'Configuración'!$B$11,0)+IF(Q437="Sí",'Configuración'!$B$12,0)+S437+T437+U437)</f>
        <v>20</v>
      </c>
      <c r="W437" s="39" t="str">
        <f>IF(B437="","",IF(V437&gt;='Configuración'!$B$19,"A",IF(V437&gt;='Configuración'!$B$20,"B",IF(V437&gt;='Configuración'!$B$21,"C","Descarte"))))</f>
        <v>Descarte</v>
      </c>
    </row>
    <row r="438" ht="15.75" customHeight="1">
      <c r="A438" s="34">
        <f t="shared" si="1"/>
        <v>436</v>
      </c>
      <c r="B438" s="29" t="s">
        <v>120</v>
      </c>
      <c r="C438" s="29" t="s">
        <v>110</v>
      </c>
      <c r="D438" s="29" t="s">
        <v>2730</v>
      </c>
      <c r="E438" s="29" t="s">
        <v>2731</v>
      </c>
      <c r="F438" s="30" t="s">
        <v>2732</v>
      </c>
      <c r="G438" s="30" t="s">
        <v>2733</v>
      </c>
      <c r="H438" s="30" t="s">
        <v>2734</v>
      </c>
      <c r="I438" s="29" t="s">
        <v>337</v>
      </c>
      <c r="J438" s="31">
        <v>24.0</v>
      </c>
      <c r="K438" s="35"/>
      <c r="L438" s="35"/>
      <c r="M438" s="35"/>
      <c r="N438" s="35"/>
      <c r="O438" s="35"/>
      <c r="P438" s="35"/>
      <c r="Q438" s="35"/>
      <c r="R438" s="35"/>
      <c r="S438" s="37">
        <f>IF(B438="","",IF(ISNUMBER(J438),IF(J438&lt;=10,'Configuración'!$B$23,IF(J438&lt;=50,'Configuración'!$B$24,IF(J438&lt;=200,'Configuración'!$B$25,0))),0))</f>
        <v>4</v>
      </c>
      <c r="T438" s="37">
        <f>IF(B438="","",IF(ISNUMBER(SEARCH("information technology",I438))+ISNUMBER(SEARCH("software",I438))+ISNUMBER(SEARCH("internet",I438))+ISNUMBER(SEARCH("computer",I438))+ISNUMBER(SEARCH("saas",I438))+ISNUMBER(SEARCH("fintech",I438))+ISNUMBER(SEARCH("information services",I438))+ISNUMBER(SEARCH("telecommunications",I438))&gt;0,'Configuración'!$B$27,'Configuración'!$B$28))</f>
        <v>4</v>
      </c>
      <c r="U438" s="25">
        <f>IF(B438="","",IF(ISNUMBER(SEARCH("CEO",C438))+ISNUMBER(SEARCH("Founder",C438))+ISNUMBER(SEARCH("Owner",C438))+ISNUMBER(SEARCH("Dueño",C438))+ISNUMBER(SEARCH("Director General",C438))+ISNUMBER(SEARCH("Presidente",C438))+ISNUMBER(SEARCH("President",C438))&gt;0,'Configuración'!$B$31,IF(ISNUMBER(SEARCH("CMO",C438))+ISNUMBER(SEARCH("Chief Marketing",C438))+ISNUMBER(SEARCH("VP Marketing",C438))+ISNUMBER(SEARCH("Director de Marketing",C438))+ISNUMBER(SEARCH("Director Marketing",C438))+ISNUMBER(SEARCH("Head of Marketing",C438))+ISNUMBER(SEARCH("Head Marketing",C438))&gt;0,'Configuración'!$B$32,IF(ISNUMBER(SEARCH("Marketing Manager",C438))+ISNUMBER(SEARCH("Gerente de Marketing",C438))+ISNUMBER(SEARCH("Growth Manager",C438))+ISNUMBER(SEARCH("Demand Gen",C438))+ISNUMBER(SEARCH("Marketing Lead",C438))&gt;0,'Configuración'!$B$33,IF(ISNUMBER(SEARCH("COO",C438))+ISNUMBER(SEARCH("CFO",C438))+ISNUMBER(SEARCH("CTO",C438))+ISNUMBER(SEARCH("Chief Operating",C438))+ISNUMBER(SEARCH("Chief Financial",C438))+ISNUMBER(SEARCH("Gerente General",C438))+ISNUMBER(SEARCH("General Manager",C438))&gt;0,'Configuración'!$B$34,'Configuración'!$B$35)))))</f>
        <v>12</v>
      </c>
      <c r="V438" s="38">
        <f>IF(B438="","",IF(K438="Sí",'Configuración'!$B$5,0)+IF(L438="Semanal",'Configuración'!$B$6,IF(L438="Mensual",'Configuración'!$B$7,0))+IF(M438="Sí",'Configuración'!$B$8,0)+IF(N438="Sí",'Configuración'!$B$9,0)+IF(O438="Sí",'Configuración'!$B$10,0)+IF(P438="Sí",'Configuración'!$B$11,0)+IF(Q438="Sí",'Configuración'!$B$12,0)+S438+T438+U438)</f>
        <v>20</v>
      </c>
      <c r="W438" s="39" t="str">
        <f>IF(B438="","",IF(V438&gt;='Configuración'!$B$19,"A",IF(V438&gt;='Configuración'!$B$20,"B",IF(V438&gt;='Configuración'!$B$21,"C","Descarte"))))</f>
        <v>Descarte</v>
      </c>
    </row>
    <row r="439" ht="15.75" customHeight="1">
      <c r="A439" s="34">
        <f t="shared" si="1"/>
        <v>437</v>
      </c>
      <c r="B439" s="29" t="s">
        <v>473</v>
      </c>
      <c r="C439" s="29" t="s">
        <v>622</v>
      </c>
      <c r="D439" s="29" t="s">
        <v>2735</v>
      </c>
      <c r="E439" s="29" t="s">
        <v>2736</v>
      </c>
      <c r="F439" s="30" t="s">
        <v>2737</v>
      </c>
      <c r="G439" s="30" t="s">
        <v>2738</v>
      </c>
      <c r="H439" s="30" t="s">
        <v>2739</v>
      </c>
      <c r="I439" s="29" t="s">
        <v>280</v>
      </c>
      <c r="J439" s="31">
        <v>14.0</v>
      </c>
      <c r="K439" s="35"/>
      <c r="L439" s="35"/>
      <c r="M439" s="35"/>
      <c r="N439" s="35"/>
      <c r="O439" s="35"/>
      <c r="P439" s="35"/>
      <c r="Q439" s="35"/>
      <c r="R439" s="35"/>
      <c r="S439" s="37">
        <f>IF(B439="","",IF(ISNUMBER(J439),IF(J439&lt;=10,'Configuración'!$B$23,IF(J439&lt;=50,'Configuración'!$B$24,IF(J439&lt;=200,'Configuración'!$B$25,0))),0))</f>
        <v>4</v>
      </c>
      <c r="T439" s="37">
        <f>IF(B439="","",IF(ISNUMBER(SEARCH("information technology",I439))+ISNUMBER(SEARCH("software",I439))+ISNUMBER(SEARCH("internet",I439))+ISNUMBER(SEARCH("computer",I439))+ISNUMBER(SEARCH("saas",I439))+ISNUMBER(SEARCH("fintech",I439))+ISNUMBER(SEARCH("information services",I439))+ISNUMBER(SEARCH("telecommunications",I439))&gt;0,'Configuración'!$B$27,'Configuración'!$B$28))</f>
        <v>12</v>
      </c>
      <c r="U439" s="25">
        <f>IF(B439="","",IF(ISNUMBER(SEARCH("CEO",C439))+ISNUMBER(SEARCH("Founder",C439))+ISNUMBER(SEARCH("Owner",C439))+ISNUMBER(SEARCH("Dueño",C439))+ISNUMBER(SEARCH("Director General",C439))+ISNUMBER(SEARCH("Presidente",C439))+ISNUMBER(SEARCH("President",C439))&gt;0,'Configuración'!$B$31,IF(ISNUMBER(SEARCH("CMO",C439))+ISNUMBER(SEARCH("Chief Marketing",C439))+ISNUMBER(SEARCH("VP Marketing",C439))+ISNUMBER(SEARCH("Director de Marketing",C439))+ISNUMBER(SEARCH("Director Marketing",C439))+ISNUMBER(SEARCH("Head of Marketing",C439))+ISNUMBER(SEARCH("Head Marketing",C439))&gt;0,'Configuración'!$B$32,IF(ISNUMBER(SEARCH("Marketing Manager",C439))+ISNUMBER(SEARCH("Gerente de Marketing",C439))+ISNUMBER(SEARCH("Growth Manager",C439))+ISNUMBER(SEARCH("Demand Gen",C439))+ISNUMBER(SEARCH("Marketing Lead",C439))&gt;0,'Configuración'!$B$33,IF(ISNUMBER(SEARCH("COO",C439))+ISNUMBER(SEARCH("CFO",C439))+ISNUMBER(SEARCH("CTO",C439))+ISNUMBER(SEARCH("Chief Operating",C439))+ISNUMBER(SEARCH("Chief Financial",C439))+ISNUMBER(SEARCH("Gerente General",C439))+ISNUMBER(SEARCH("General Manager",C439))&gt;0,'Configuración'!$B$34,'Configuración'!$B$35)))))</f>
        <v>12</v>
      </c>
      <c r="V439" s="38">
        <f>IF(B439="","",IF(K439="Sí",'Configuración'!$B$5,0)+IF(L439="Semanal",'Configuración'!$B$6,IF(L439="Mensual",'Configuración'!$B$7,0))+IF(M439="Sí",'Configuración'!$B$8,0)+IF(N439="Sí",'Configuración'!$B$9,0)+IF(O439="Sí",'Configuración'!$B$10,0)+IF(P439="Sí",'Configuración'!$B$11,0)+IF(Q439="Sí",'Configuración'!$B$12,0)+S439+T439+U439)</f>
        <v>28</v>
      </c>
      <c r="W439" s="39" t="str">
        <f>IF(B439="","",IF(V439&gt;='Configuración'!$B$19,"A",IF(V439&gt;='Configuración'!$B$20,"B",IF(V439&gt;='Configuración'!$B$21,"C","Descarte"))))</f>
        <v>C</v>
      </c>
    </row>
    <row r="440" ht="15.75" customHeight="1">
      <c r="A440" s="34">
        <f t="shared" si="1"/>
        <v>438</v>
      </c>
      <c r="B440" s="29" t="s">
        <v>2740</v>
      </c>
      <c r="C440" s="29" t="s">
        <v>2741</v>
      </c>
      <c r="D440" s="29" t="s">
        <v>2742</v>
      </c>
      <c r="E440" s="29" t="s">
        <v>2743</v>
      </c>
      <c r="F440" s="30" t="s">
        <v>2744</v>
      </c>
      <c r="G440" s="30" t="s">
        <v>2745</v>
      </c>
      <c r="H440" s="30" t="s">
        <v>2746</v>
      </c>
      <c r="I440" s="29" t="s">
        <v>188</v>
      </c>
      <c r="J440" s="31">
        <v>38.0</v>
      </c>
      <c r="K440" s="35"/>
      <c r="L440" s="35"/>
      <c r="M440" s="35"/>
      <c r="N440" s="35"/>
      <c r="O440" s="35"/>
      <c r="P440" s="35"/>
      <c r="Q440" s="35"/>
      <c r="R440" s="35"/>
      <c r="S440" s="37">
        <f>IF(B440="","",IF(ISNUMBER(J440),IF(J440&lt;=10,'Configuración'!$B$23,IF(J440&lt;=50,'Configuración'!$B$24,IF(J440&lt;=200,'Configuración'!$B$25,0))),0))</f>
        <v>4</v>
      </c>
      <c r="T440" s="37">
        <f>IF(B440="","",IF(ISNUMBER(SEARCH("information technology",I440))+ISNUMBER(SEARCH("software",I440))+ISNUMBER(SEARCH("internet",I440))+ISNUMBER(SEARCH("computer",I440))+ISNUMBER(SEARCH("saas",I440))+ISNUMBER(SEARCH("fintech",I440))+ISNUMBER(SEARCH("information services",I440))+ISNUMBER(SEARCH("telecommunications",I440))&gt;0,'Configuración'!$B$27,'Configuración'!$B$28))</f>
        <v>4</v>
      </c>
      <c r="U440" s="25">
        <f>IF(B440="","",IF(ISNUMBER(SEARCH("CEO",C440))+ISNUMBER(SEARCH("Founder",C440))+ISNUMBER(SEARCH("Owner",C440))+ISNUMBER(SEARCH("Dueño",C440))+ISNUMBER(SEARCH("Director General",C440))+ISNUMBER(SEARCH("Presidente",C440))+ISNUMBER(SEARCH("President",C440))&gt;0,'Configuración'!$B$31,IF(ISNUMBER(SEARCH("CMO",C440))+ISNUMBER(SEARCH("Chief Marketing",C440))+ISNUMBER(SEARCH("VP Marketing",C440))+ISNUMBER(SEARCH("Director de Marketing",C440))+ISNUMBER(SEARCH("Director Marketing",C440))+ISNUMBER(SEARCH("Head of Marketing",C440))+ISNUMBER(SEARCH("Head Marketing",C440))&gt;0,'Configuración'!$B$32,IF(ISNUMBER(SEARCH("Marketing Manager",C440))+ISNUMBER(SEARCH("Gerente de Marketing",C440))+ISNUMBER(SEARCH("Growth Manager",C440))+ISNUMBER(SEARCH("Demand Gen",C440))+ISNUMBER(SEARCH("Marketing Lead",C440))&gt;0,'Configuración'!$B$33,IF(ISNUMBER(SEARCH("COO",C440))+ISNUMBER(SEARCH("CFO",C440))+ISNUMBER(SEARCH("CTO",C440))+ISNUMBER(SEARCH("Chief Operating",C440))+ISNUMBER(SEARCH("Chief Financial",C440))+ISNUMBER(SEARCH("Gerente General",C440))+ISNUMBER(SEARCH("General Manager",C440))&gt;0,'Configuración'!$B$34,'Configuración'!$B$35)))))</f>
        <v>12</v>
      </c>
      <c r="V440" s="38">
        <f>IF(B440="","",IF(K440="Sí",'Configuración'!$B$5,0)+IF(L440="Semanal",'Configuración'!$B$6,IF(L440="Mensual",'Configuración'!$B$7,0))+IF(M440="Sí",'Configuración'!$B$8,0)+IF(N440="Sí",'Configuración'!$B$9,0)+IF(O440="Sí",'Configuración'!$B$10,0)+IF(P440="Sí",'Configuración'!$B$11,0)+IF(Q440="Sí",'Configuración'!$B$12,0)+S440+T440+U440)</f>
        <v>20</v>
      </c>
      <c r="W440" s="39" t="str">
        <f>IF(B440="","",IF(V440&gt;='Configuración'!$B$19,"A",IF(V440&gt;='Configuración'!$B$20,"B",IF(V440&gt;='Configuración'!$B$21,"C","Descarte"))))</f>
        <v>Descarte</v>
      </c>
    </row>
    <row r="441" ht="15.75" customHeight="1">
      <c r="A441" s="34">
        <f t="shared" si="1"/>
        <v>439</v>
      </c>
      <c r="B441" s="29" t="s">
        <v>250</v>
      </c>
      <c r="C441" s="29" t="s">
        <v>467</v>
      </c>
      <c r="D441" s="29" t="s">
        <v>2747</v>
      </c>
      <c r="E441" s="29" t="s">
        <v>2748</v>
      </c>
      <c r="F441" s="30" t="s">
        <v>2749</v>
      </c>
      <c r="G441" s="30" t="s">
        <v>2750</v>
      </c>
      <c r="H441" s="30" t="s">
        <v>2751</v>
      </c>
      <c r="I441" s="29" t="s">
        <v>127</v>
      </c>
      <c r="J441" s="31">
        <v>42.0</v>
      </c>
      <c r="K441" s="35"/>
      <c r="L441" s="35"/>
      <c r="M441" s="35"/>
      <c r="N441" s="35"/>
      <c r="O441" s="35"/>
      <c r="P441" s="35"/>
      <c r="Q441" s="35"/>
      <c r="R441" s="35"/>
      <c r="S441" s="37">
        <f>IF(B441="","",IF(ISNUMBER(J441),IF(J441&lt;=10,'Configuración'!$B$23,IF(J441&lt;=50,'Configuración'!$B$24,IF(J441&lt;=200,'Configuración'!$B$25,0))),0))</f>
        <v>4</v>
      </c>
      <c r="T441" s="37">
        <f>IF(B441="","",IF(ISNUMBER(SEARCH("information technology",I441))+ISNUMBER(SEARCH("software",I441))+ISNUMBER(SEARCH("internet",I441))+ISNUMBER(SEARCH("computer",I441))+ISNUMBER(SEARCH("saas",I441))+ISNUMBER(SEARCH("fintech",I441))+ISNUMBER(SEARCH("information services",I441))+ISNUMBER(SEARCH("telecommunications",I441))&gt;0,'Configuración'!$B$27,'Configuración'!$B$28))</f>
        <v>12</v>
      </c>
      <c r="U441" s="25">
        <f>IF(B441="","",IF(ISNUMBER(SEARCH("CEO",C441))+ISNUMBER(SEARCH("Founder",C441))+ISNUMBER(SEARCH("Owner",C441))+ISNUMBER(SEARCH("Dueño",C441))+ISNUMBER(SEARCH("Director General",C441))+ISNUMBER(SEARCH("Presidente",C441))+ISNUMBER(SEARCH("President",C441))&gt;0,'Configuración'!$B$31,IF(ISNUMBER(SEARCH("CMO",C441))+ISNUMBER(SEARCH("Chief Marketing",C441))+ISNUMBER(SEARCH("VP Marketing",C441))+ISNUMBER(SEARCH("Director de Marketing",C441))+ISNUMBER(SEARCH("Director Marketing",C441))+ISNUMBER(SEARCH("Head of Marketing",C441))+ISNUMBER(SEARCH("Head Marketing",C441))&gt;0,'Configuración'!$B$32,IF(ISNUMBER(SEARCH("Marketing Manager",C441))+ISNUMBER(SEARCH("Gerente de Marketing",C441))+ISNUMBER(SEARCH("Growth Manager",C441))+ISNUMBER(SEARCH("Demand Gen",C441))+ISNUMBER(SEARCH("Marketing Lead",C441))&gt;0,'Configuración'!$B$33,IF(ISNUMBER(SEARCH("COO",C441))+ISNUMBER(SEARCH("CFO",C441))+ISNUMBER(SEARCH("CTO",C441))+ISNUMBER(SEARCH("Chief Operating",C441))+ISNUMBER(SEARCH("Chief Financial",C441))+ISNUMBER(SEARCH("Gerente General",C441))+ISNUMBER(SEARCH("General Manager",C441))&gt;0,'Configuración'!$B$34,'Configuración'!$B$35)))))</f>
        <v>0</v>
      </c>
      <c r="V441" s="38">
        <f>IF(B441="","",IF(K441="Sí",'Configuración'!$B$5,0)+IF(L441="Semanal",'Configuración'!$B$6,IF(L441="Mensual",'Configuración'!$B$7,0))+IF(M441="Sí",'Configuración'!$B$8,0)+IF(N441="Sí",'Configuración'!$B$9,0)+IF(O441="Sí",'Configuración'!$B$10,0)+IF(P441="Sí",'Configuración'!$B$11,0)+IF(Q441="Sí",'Configuración'!$B$12,0)+S441+T441+U441)</f>
        <v>16</v>
      </c>
      <c r="W441" s="39" t="str">
        <f>IF(B441="","",IF(V441&gt;='Configuración'!$B$19,"A",IF(V441&gt;='Configuración'!$B$20,"B",IF(V441&gt;='Configuración'!$B$21,"C","Descarte"))))</f>
        <v>Descarte</v>
      </c>
    </row>
    <row r="442" ht="15.75" customHeight="1">
      <c r="A442" s="34">
        <f t="shared" si="1"/>
        <v>440</v>
      </c>
      <c r="B442" s="29" t="s">
        <v>174</v>
      </c>
      <c r="C442" s="29" t="s">
        <v>991</v>
      </c>
      <c r="D442" s="29" t="s">
        <v>2752</v>
      </c>
      <c r="E442" s="29" t="s">
        <v>2753</v>
      </c>
      <c r="F442" s="30" t="s">
        <v>2754</v>
      </c>
      <c r="G442" s="30" t="s">
        <v>2755</v>
      </c>
      <c r="H442" s="30" t="s">
        <v>2756</v>
      </c>
      <c r="I442" s="29" t="s">
        <v>310</v>
      </c>
      <c r="J442" s="31">
        <v>33.0</v>
      </c>
      <c r="K442" s="35"/>
      <c r="L442" s="35"/>
      <c r="M442" s="35"/>
      <c r="N442" s="35"/>
      <c r="O442" s="35"/>
      <c r="P442" s="35"/>
      <c r="Q442" s="35"/>
      <c r="R442" s="35"/>
      <c r="S442" s="37">
        <f>IF(B442="","",IF(ISNUMBER(J442),IF(J442&lt;=10,'Configuración'!$B$23,IF(J442&lt;=50,'Configuración'!$B$24,IF(J442&lt;=200,'Configuración'!$B$25,0))),0))</f>
        <v>4</v>
      </c>
      <c r="T442" s="37">
        <f>IF(B442="","",IF(ISNUMBER(SEARCH("information technology",I442))+ISNUMBER(SEARCH("software",I442))+ISNUMBER(SEARCH("internet",I442))+ISNUMBER(SEARCH("computer",I442))+ISNUMBER(SEARCH("saas",I442))+ISNUMBER(SEARCH("fintech",I442))+ISNUMBER(SEARCH("information services",I442))+ISNUMBER(SEARCH("telecommunications",I442))&gt;0,'Configuración'!$B$27,'Configuración'!$B$28))</f>
        <v>4</v>
      </c>
      <c r="U442" s="25">
        <f>IF(B442="","",IF(ISNUMBER(SEARCH("CEO",C442))+ISNUMBER(SEARCH("Founder",C442))+ISNUMBER(SEARCH("Owner",C442))+ISNUMBER(SEARCH("Dueño",C442))+ISNUMBER(SEARCH("Director General",C442))+ISNUMBER(SEARCH("Presidente",C442))+ISNUMBER(SEARCH("President",C442))&gt;0,'Configuración'!$B$31,IF(ISNUMBER(SEARCH("CMO",C442))+ISNUMBER(SEARCH("Chief Marketing",C442))+ISNUMBER(SEARCH("VP Marketing",C442))+ISNUMBER(SEARCH("Director de Marketing",C442))+ISNUMBER(SEARCH("Director Marketing",C442))+ISNUMBER(SEARCH("Head of Marketing",C442))+ISNUMBER(SEARCH("Head Marketing",C442))&gt;0,'Configuración'!$B$32,IF(ISNUMBER(SEARCH("Marketing Manager",C442))+ISNUMBER(SEARCH("Gerente de Marketing",C442))+ISNUMBER(SEARCH("Growth Manager",C442))+ISNUMBER(SEARCH("Demand Gen",C442))+ISNUMBER(SEARCH("Marketing Lead",C442))&gt;0,'Configuración'!$B$33,IF(ISNUMBER(SEARCH("COO",C442))+ISNUMBER(SEARCH("CFO",C442))+ISNUMBER(SEARCH("CTO",C442))+ISNUMBER(SEARCH("Chief Operating",C442))+ISNUMBER(SEARCH("Chief Financial",C442))+ISNUMBER(SEARCH("Gerente General",C442))+ISNUMBER(SEARCH("General Manager",C442))&gt;0,'Configuración'!$B$34,'Configuración'!$B$35)))))</f>
        <v>12</v>
      </c>
      <c r="V442" s="38">
        <f>IF(B442="","",IF(K442="Sí",'Configuración'!$B$5,0)+IF(L442="Semanal",'Configuración'!$B$6,IF(L442="Mensual",'Configuración'!$B$7,0))+IF(M442="Sí",'Configuración'!$B$8,0)+IF(N442="Sí",'Configuración'!$B$9,0)+IF(O442="Sí",'Configuración'!$B$10,0)+IF(P442="Sí",'Configuración'!$B$11,0)+IF(Q442="Sí",'Configuración'!$B$12,0)+S442+T442+U442)</f>
        <v>20</v>
      </c>
      <c r="W442" s="39" t="str">
        <f>IF(B442="","",IF(V442&gt;='Configuración'!$B$19,"A",IF(V442&gt;='Configuración'!$B$20,"B",IF(V442&gt;='Configuración'!$B$21,"C","Descarte"))))</f>
        <v>Descarte</v>
      </c>
    </row>
    <row r="443" ht="15.75" customHeight="1">
      <c r="A443" s="34">
        <f t="shared" si="1"/>
        <v>441</v>
      </c>
      <c r="B443" s="29" t="s">
        <v>2757</v>
      </c>
      <c r="C443" s="29" t="s">
        <v>2758</v>
      </c>
      <c r="D443" s="29" t="s">
        <v>2759</v>
      </c>
      <c r="E443" s="29" t="s">
        <v>2760</v>
      </c>
      <c r="F443" s="30" t="s">
        <v>2761</v>
      </c>
      <c r="G443" s="30" t="s">
        <v>2762</v>
      </c>
      <c r="H443" s="30" t="s">
        <v>2763</v>
      </c>
      <c r="I443" s="29" t="s">
        <v>127</v>
      </c>
      <c r="J443" s="31">
        <v>3.0</v>
      </c>
      <c r="K443" s="35"/>
      <c r="L443" s="35"/>
      <c r="M443" s="35"/>
      <c r="N443" s="35"/>
      <c r="O443" s="35"/>
      <c r="P443" s="35"/>
      <c r="Q443" s="35"/>
      <c r="R443" s="35"/>
      <c r="S443" s="37">
        <f>IF(B443="","",IF(ISNUMBER(J443),IF(J443&lt;=10,'Configuración'!$B$23,IF(J443&lt;=50,'Configuración'!$B$24,IF(J443&lt;=200,'Configuración'!$B$25,0))),0))</f>
        <v>12</v>
      </c>
      <c r="T443" s="37">
        <f>IF(B443="","",IF(ISNUMBER(SEARCH("information technology",I443))+ISNUMBER(SEARCH("software",I443))+ISNUMBER(SEARCH("internet",I443))+ISNUMBER(SEARCH("computer",I443))+ISNUMBER(SEARCH("saas",I443))+ISNUMBER(SEARCH("fintech",I443))+ISNUMBER(SEARCH("information services",I443))+ISNUMBER(SEARCH("telecommunications",I443))&gt;0,'Configuración'!$B$27,'Configuración'!$B$28))</f>
        <v>12</v>
      </c>
      <c r="U443" s="25">
        <f>IF(B443="","",IF(ISNUMBER(SEARCH("CEO",C443))+ISNUMBER(SEARCH("Founder",C443))+ISNUMBER(SEARCH("Owner",C443))+ISNUMBER(SEARCH("Dueño",C443))+ISNUMBER(SEARCH("Director General",C443))+ISNUMBER(SEARCH("Presidente",C443))+ISNUMBER(SEARCH("President",C443))&gt;0,'Configuración'!$B$31,IF(ISNUMBER(SEARCH("CMO",C443))+ISNUMBER(SEARCH("Chief Marketing",C443))+ISNUMBER(SEARCH("VP Marketing",C443))+ISNUMBER(SEARCH("Director de Marketing",C443))+ISNUMBER(SEARCH("Director Marketing",C443))+ISNUMBER(SEARCH("Head of Marketing",C443))+ISNUMBER(SEARCH("Head Marketing",C443))&gt;0,'Configuración'!$B$32,IF(ISNUMBER(SEARCH("Marketing Manager",C443))+ISNUMBER(SEARCH("Gerente de Marketing",C443))+ISNUMBER(SEARCH("Growth Manager",C443))+ISNUMBER(SEARCH("Demand Gen",C443))+ISNUMBER(SEARCH("Marketing Lead",C443))&gt;0,'Configuración'!$B$33,IF(ISNUMBER(SEARCH("COO",C443))+ISNUMBER(SEARCH("CFO",C443))+ISNUMBER(SEARCH("CTO",C443))+ISNUMBER(SEARCH("Chief Operating",C443))+ISNUMBER(SEARCH("Chief Financial",C443))+ISNUMBER(SEARCH("Gerente General",C443))+ISNUMBER(SEARCH("General Manager",C443))&gt;0,'Configuración'!$B$34,'Configuración'!$B$35)))))</f>
        <v>12</v>
      </c>
      <c r="V443" s="38">
        <f>IF(B443="","",IF(K443="Sí",'Configuración'!$B$5,0)+IF(L443="Semanal",'Configuración'!$B$6,IF(L443="Mensual",'Configuración'!$B$7,0))+IF(M443="Sí",'Configuración'!$B$8,0)+IF(N443="Sí",'Configuración'!$B$9,0)+IF(O443="Sí",'Configuración'!$B$10,0)+IF(P443="Sí",'Configuración'!$B$11,0)+IF(Q443="Sí",'Configuración'!$B$12,0)+S443+T443+U443)</f>
        <v>36</v>
      </c>
      <c r="W443" s="39" t="str">
        <f>IF(B443="","",IF(V443&gt;='Configuración'!$B$19,"A",IF(V443&gt;='Configuración'!$B$20,"B",IF(V443&gt;='Configuración'!$B$21,"C","Descarte"))))</f>
        <v>C</v>
      </c>
    </row>
    <row r="444" ht="15.75" customHeight="1">
      <c r="A444" s="34">
        <f t="shared" si="1"/>
        <v>442</v>
      </c>
      <c r="B444" s="29" t="s">
        <v>209</v>
      </c>
      <c r="C444" s="29" t="s">
        <v>2764</v>
      </c>
      <c r="D444" s="29" t="s">
        <v>2765</v>
      </c>
      <c r="E444" s="29" t="s">
        <v>2766</v>
      </c>
      <c r="F444" s="30" t="s">
        <v>2767</v>
      </c>
      <c r="G444" s="30" t="s">
        <v>2768</v>
      </c>
      <c r="H444" s="30" t="s">
        <v>2769</v>
      </c>
      <c r="I444" s="29" t="s">
        <v>2350</v>
      </c>
      <c r="J444" s="31">
        <v>13.0</v>
      </c>
      <c r="K444" s="35"/>
      <c r="L444" s="35"/>
      <c r="M444" s="35"/>
      <c r="N444" s="35"/>
      <c r="O444" s="35"/>
      <c r="P444" s="35"/>
      <c r="Q444" s="35"/>
      <c r="R444" s="35"/>
      <c r="S444" s="37">
        <f>IF(B444="","",IF(ISNUMBER(J444),IF(J444&lt;=10,'Configuración'!$B$23,IF(J444&lt;=50,'Configuración'!$B$24,IF(J444&lt;=200,'Configuración'!$B$25,0))),0))</f>
        <v>4</v>
      </c>
      <c r="T444" s="37">
        <f>IF(B444="","",IF(ISNUMBER(SEARCH("information technology",I444))+ISNUMBER(SEARCH("software",I444))+ISNUMBER(SEARCH("internet",I444))+ISNUMBER(SEARCH("computer",I444))+ISNUMBER(SEARCH("saas",I444))+ISNUMBER(SEARCH("fintech",I444))+ISNUMBER(SEARCH("information services",I444))+ISNUMBER(SEARCH("telecommunications",I444))&gt;0,'Configuración'!$B$27,'Configuración'!$B$28))</f>
        <v>4</v>
      </c>
      <c r="U444" s="25">
        <f>IF(B444="","",IF(ISNUMBER(SEARCH("CEO",C444))+ISNUMBER(SEARCH("Founder",C444))+ISNUMBER(SEARCH("Owner",C444))+ISNUMBER(SEARCH("Dueño",C444))+ISNUMBER(SEARCH("Director General",C444))+ISNUMBER(SEARCH("Presidente",C444))+ISNUMBER(SEARCH("President",C444))&gt;0,'Configuración'!$B$31,IF(ISNUMBER(SEARCH("CMO",C444))+ISNUMBER(SEARCH("Chief Marketing",C444))+ISNUMBER(SEARCH("VP Marketing",C444))+ISNUMBER(SEARCH("Director de Marketing",C444))+ISNUMBER(SEARCH("Director Marketing",C444))+ISNUMBER(SEARCH("Head of Marketing",C444))+ISNUMBER(SEARCH("Head Marketing",C444))&gt;0,'Configuración'!$B$32,IF(ISNUMBER(SEARCH("Marketing Manager",C444))+ISNUMBER(SEARCH("Gerente de Marketing",C444))+ISNUMBER(SEARCH("Growth Manager",C444))+ISNUMBER(SEARCH("Demand Gen",C444))+ISNUMBER(SEARCH("Marketing Lead",C444))&gt;0,'Configuración'!$B$33,IF(ISNUMBER(SEARCH("COO",C444))+ISNUMBER(SEARCH("CFO",C444))+ISNUMBER(SEARCH("CTO",C444))+ISNUMBER(SEARCH("Chief Operating",C444))+ISNUMBER(SEARCH("Chief Financial",C444))+ISNUMBER(SEARCH("Gerente General",C444))+ISNUMBER(SEARCH("General Manager",C444))&gt;0,'Configuración'!$B$34,'Configuración'!$B$35)))))</f>
        <v>12</v>
      </c>
      <c r="V444" s="38">
        <f>IF(B444="","",IF(K444="Sí",'Configuración'!$B$5,0)+IF(L444="Semanal",'Configuración'!$B$6,IF(L444="Mensual",'Configuración'!$B$7,0))+IF(M444="Sí",'Configuración'!$B$8,0)+IF(N444="Sí",'Configuración'!$B$9,0)+IF(O444="Sí",'Configuración'!$B$10,0)+IF(P444="Sí",'Configuración'!$B$11,0)+IF(Q444="Sí",'Configuración'!$B$12,0)+S444+T444+U444)</f>
        <v>20</v>
      </c>
      <c r="W444" s="39" t="str">
        <f>IF(B444="","",IF(V444&gt;='Configuración'!$B$19,"A",IF(V444&gt;='Configuración'!$B$20,"B",IF(V444&gt;='Configuración'!$B$21,"C","Descarte"))))</f>
        <v>Descarte</v>
      </c>
    </row>
    <row r="445" ht="15.75" customHeight="1">
      <c r="A445" s="34">
        <f t="shared" si="1"/>
        <v>443</v>
      </c>
      <c r="B445" s="29" t="s">
        <v>174</v>
      </c>
      <c r="C445" s="29" t="s">
        <v>2770</v>
      </c>
      <c r="D445" s="29" t="s">
        <v>2771</v>
      </c>
      <c r="E445" s="29" t="s">
        <v>2772</v>
      </c>
      <c r="F445" s="30" t="s">
        <v>2773</v>
      </c>
      <c r="G445" s="30" t="s">
        <v>2774</v>
      </c>
      <c r="H445" s="30" t="s">
        <v>2775</v>
      </c>
      <c r="I445" s="29" t="s">
        <v>188</v>
      </c>
      <c r="J445" s="31">
        <v>24.0</v>
      </c>
      <c r="K445" s="35"/>
      <c r="L445" s="35"/>
      <c r="M445" s="35"/>
      <c r="N445" s="35"/>
      <c r="O445" s="35"/>
      <c r="P445" s="35"/>
      <c r="Q445" s="35"/>
      <c r="R445" s="35"/>
      <c r="S445" s="37">
        <f>IF(B445="","",IF(ISNUMBER(J445),IF(J445&lt;=10,'Configuración'!$B$23,IF(J445&lt;=50,'Configuración'!$B$24,IF(J445&lt;=200,'Configuración'!$B$25,0))),0))</f>
        <v>4</v>
      </c>
      <c r="T445" s="37">
        <f>IF(B445="","",IF(ISNUMBER(SEARCH("information technology",I445))+ISNUMBER(SEARCH("software",I445))+ISNUMBER(SEARCH("internet",I445))+ISNUMBER(SEARCH("computer",I445))+ISNUMBER(SEARCH("saas",I445))+ISNUMBER(SEARCH("fintech",I445))+ISNUMBER(SEARCH("information services",I445))+ISNUMBER(SEARCH("telecommunications",I445))&gt;0,'Configuración'!$B$27,'Configuración'!$B$28))</f>
        <v>4</v>
      </c>
      <c r="U445" s="25">
        <f>IF(B445="","",IF(ISNUMBER(SEARCH("CEO",C445))+ISNUMBER(SEARCH("Founder",C445))+ISNUMBER(SEARCH("Owner",C445))+ISNUMBER(SEARCH("Dueño",C445))+ISNUMBER(SEARCH("Director General",C445))+ISNUMBER(SEARCH("Presidente",C445))+ISNUMBER(SEARCH("President",C445))&gt;0,'Configuración'!$B$31,IF(ISNUMBER(SEARCH("CMO",C445))+ISNUMBER(SEARCH("Chief Marketing",C445))+ISNUMBER(SEARCH("VP Marketing",C445))+ISNUMBER(SEARCH("Director de Marketing",C445))+ISNUMBER(SEARCH("Director Marketing",C445))+ISNUMBER(SEARCH("Head of Marketing",C445))+ISNUMBER(SEARCH("Head Marketing",C445))&gt;0,'Configuración'!$B$32,IF(ISNUMBER(SEARCH("Marketing Manager",C445))+ISNUMBER(SEARCH("Gerente de Marketing",C445))+ISNUMBER(SEARCH("Growth Manager",C445))+ISNUMBER(SEARCH("Demand Gen",C445))+ISNUMBER(SEARCH("Marketing Lead",C445))&gt;0,'Configuración'!$B$33,IF(ISNUMBER(SEARCH("COO",C445))+ISNUMBER(SEARCH("CFO",C445))+ISNUMBER(SEARCH("CTO",C445))+ISNUMBER(SEARCH("Chief Operating",C445))+ISNUMBER(SEARCH("Chief Financial",C445))+ISNUMBER(SEARCH("Gerente General",C445))+ISNUMBER(SEARCH("General Manager",C445))&gt;0,'Configuración'!$B$34,'Configuración'!$B$35)))))</f>
        <v>0</v>
      </c>
      <c r="V445" s="38">
        <f>IF(B445="","",IF(K445="Sí",'Configuración'!$B$5,0)+IF(L445="Semanal",'Configuración'!$B$6,IF(L445="Mensual",'Configuración'!$B$7,0))+IF(M445="Sí",'Configuración'!$B$8,0)+IF(N445="Sí",'Configuración'!$B$9,0)+IF(O445="Sí",'Configuración'!$B$10,0)+IF(P445="Sí",'Configuración'!$B$11,0)+IF(Q445="Sí",'Configuración'!$B$12,0)+S445+T445+U445)</f>
        <v>8</v>
      </c>
      <c r="W445" s="39" t="str">
        <f>IF(B445="","",IF(V445&gt;='Configuración'!$B$19,"A",IF(V445&gt;='Configuración'!$B$20,"B",IF(V445&gt;='Configuración'!$B$21,"C","Descarte"))))</f>
        <v>Descarte</v>
      </c>
    </row>
    <row r="446" ht="15.75" customHeight="1">
      <c r="A446" s="34">
        <f t="shared" si="1"/>
        <v>444</v>
      </c>
      <c r="B446" s="29" t="s">
        <v>2776</v>
      </c>
      <c r="C446" s="29" t="s">
        <v>202</v>
      </c>
      <c r="D446" s="29" t="s">
        <v>2777</v>
      </c>
      <c r="E446" s="29" t="s">
        <v>2778</v>
      </c>
      <c r="F446" s="30" t="s">
        <v>2779</v>
      </c>
      <c r="G446" s="30" t="s">
        <v>2780</v>
      </c>
      <c r="H446" s="30" t="s">
        <v>2781</v>
      </c>
      <c r="I446" s="29" t="s">
        <v>127</v>
      </c>
      <c r="J446" s="31">
        <v>21.0</v>
      </c>
      <c r="K446" s="35"/>
      <c r="L446" s="35"/>
      <c r="M446" s="35"/>
      <c r="N446" s="35"/>
      <c r="O446" s="35"/>
      <c r="P446" s="35"/>
      <c r="Q446" s="35"/>
      <c r="R446" s="35"/>
      <c r="S446" s="37">
        <f>IF(B446="","",IF(ISNUMBER(J446),IF(J446&lt;=10,'Configuración'!$B$23,IF(J446&lt;=50,'Configuración'!$B$24,IF(J446&lt;=200,'Configuración'!$B$25,0))),0))</f>
        <v>4</v>
      </c>
      <c r="T446" s="37">
        <f>IF(B446="","",IF(ISNUMBER(SEARCH("information technology",I446))+ISNUMBER(SEARCH("software",I446))+ISNUMBER(SEARCH("internet",I446))+ISNUMBER(SEARCH("computer",I446))+ISNUMBER(SEARCH("saas",I446))+ISNUMBER(SEARCH("fintech",I446))+ISNUMBER(SEARCH("information services",I446))+ISNUMBER(SEARCH("telecommunications",I446))&gt;0,'Configuración'!$B$27,'Configuración'!$B$28))</f>
        <v>12</v>
      </c>
      <c r="U446" s="25">
        <f>IF(B446="","",IF(ISNUMBER(SEARCH("CEO",C446))+ISNUMBER(SEARCH("Founder",C446))+ISNUMBER(SEARCH("Owner",C446))+ISNUMBER(SEARCH("Dueño",C446))+ISNUMBER(SEARCH("Director General",C446))+ISNUMBER(SEARCH("Presidente",C446))+ISNUMBER(SEARCH("President",C446))&gt;0,'Configuración'!$B$31,IF(ISNUMBER(SEARCH("CMO",C446))+ISNUMBER(SEARCH("Chief Marketing",C446))+ISNUMBER(SEARCH("VP Marketing",C446))+ISNUMBER(SEARCH("Director de Marketing",C446))+ISNUMBER(SEARCH("Director Marketing",C446))+ISNUMBER(SEARCH("Head of Marketing",C446))+ISNUMBER(SEARCH("Head Marketing",C446))&gt;0,'Configuración'!$B$32,IF(ISNUMBER(SEARCH("Marketing Manager",C446))+ISNUMBER(SEARCH("Gerente de Marketing",C446))+ISNUMBER(SEARCH("Growth Manager",C446))+ISNUMBER(SEARCH("Demand Gen",C446))+ISNUMBER(SEARCH("Marketing Lead",C446))&gt;0,'Configuración'!$B$33,IF(ISNUMBER(SEARCH("COO",C446))+ISNUMBER(SEARCH("CFO",C446))+ISNUMBER(SEARCH("CTO",C446))+ISNUMBER(SEARCH("Chief Operating",C446))+ISNUMBER(SEARCH("Chief Financial",C446))+ISNUMBER(SEARCH("Gerente General",C446))+ISNUMBER(SEARCH("General Manager",C446))&gt;0,'Configuración'!$B$34,'Configuración'!$B$35)))))</f>
        <v>12</v>
      </c>
      <c r="V446" s="38">
        <f>IF(B446="","",IF(K446="Sí",'Configuración'!$B$5,0)+IF(L446="Semanal",'Configuración'!$B$6,IF(L446="Mensual",'Configuración'!$B$7,0))+IF(M446="Sí",'Configuración'!$B$8,0)+IF(N446="Sí",'Configuración'!$B$9,0)+IF(O446="Sí",'Configuración'!$B$10,0)+IF(P446="Sí",'Configuración'!$B$11,0)+IF(Q446="Sí",'Configuración'!$B$12,0)+S446+T446+U446)</f>
        <v>28</v>
      </c>
      <c r="W446" s="39" t="str">
        <f>IF(B446="","",IF(V446&gt;='Configuración'!$B$19,"A",IF(V446&gt;='Configuración'!$B$20,"B",IF(V446&gt;='Configuración'!$B$21,"C","Descarte"))))</f>
        <v>C</v>
      </c>
    </row>
    <row r="447" ht="15.75" customHeight="1">
      <c r="A447" s="34">
        <f t="shared" si="1"/>
        <v>445</v>
      </c>
      <c r="B447" s="29" t="s">
        <v>1294</v>
      </c>
      <c r="C447" s="29" t="s">
        <v>2782</v>
      </c>
      <c r="D447" s="29" t="s">
        <v>2783</v>
      </c>
      <c r="E447" s="29" t="s">
        <v>2784</v>
      </c>
      <c r="F447" s="30" t="s">
        <v>2785</v>
      </c>
      <c r="G447" s="30" t="s">
        <v>2786</v>
      </c>
      <c r="H447" s="30" t="s">
        <v>2787</v>
      </c>
      <c r="I447" s="29" t="s">
        <v>188</v>
      </c>
      <c r="J447" s="31">
        <v>12.0</v>
      </c>
      <c r="K447" s="35"/>
      <c r="L447" s="35"/>
      <c r="M447" s="35"/>
      <c r="N447" s="35"/>
      <c r="O447" s="35"/>
      <c r="P447" s="35"/>
      <c r="Q447" s="35"/>
      <c r="R447" s="35"/>
      <c r="S447" s="37">
        <f>IF(B447="","",IF(ISNUMBER(J447),IF(J447&lt;=10,'Configuración'!$B$23,IF(J447&lt;=50,'Configuración'!$B$24,IF(J447&lt;=200,'Configuración'!$B$25,0))),0))</f>
        <v>4</v>
      </c>
      <c r="T447" s="37">
        <f>IF(B447="","",IF(ISNUMBER(SEARCH("information technology",I447))+ISNUMBER(SEARCH("software",I447))+ISNUMBER(SEARCH("internet",I447))+ISNUMBER(SEARCH("computer",I447))+ISNUMBER(SEARCH("saas",I447))+ISNUMBER(SEARCH("fintech",I447))+ISNUMBER(SEARCH("information services",I447))+ISNUMBER(SEARCH("telecommunications",I447))&gt;0,'Configuración'!$B$27,'Configuración'!$B$28))</f>
        <v>4</v>
      </c>
      <c r="U447" s="25">
        <f>IF(B447="","",IF(ISNUMBER(SEARCH("CEO",C447))+ISNUMBER(SEARCH("Founder",C447))+ISNUMBER(SEARCH("Owner",C447))+ISNUMBER(SEARCH("Dueño",C447))+ISNUMBER(SEARCH("Director General",C447))+ISNUMBER(SEARCH("Presidente",C447))+ISNUMBER(SEARCH("President",C447))&gt;0,'Configuración'!$B$31,IF(ISNUMBER(SEARCH("CMO",C447))+ISNUMBER(SEARCH("Chief Marketing",C447))+ISNUMBER(SEARCH("VP Marketing",C447))+ISNUMBER(SEARCH("Director de Marketing",C447))+ISNUMBER(SEARCH("Director Marketing",C447))+ISNUMBER(SEARCH("Head of Marketing",C447))+ISNUMBER(SEARCH("Head Marketing",C447))&gt;0,'Configuración'!$B$32,IF(ISNUMBER(SEARCH("Marketing Manager",C447))+ISNUMBER(SEARCH("Gerente de Marketing",C447))+ISNUMBER(SEARCH("Growth Manager",C447))+ISNUMBER(SEARCH("Demand Gen",C447))+ISNUMBER(SEARCH("Marketing Lead",C447))&gt;0,'Configuración'!$B$33,IF(ISNUMBER(SEARCH("COO",C447))+ISNUMBER(SEARCH("CFO",C447))+ISNUMBER(SEARCH("CTO",C447))+ISNUMBER(SEARCH("Chief Operating",C447))+ISNUMBER(SEARCH("Chief Financial",C447))+ISNUMBER(SEARCH("Gerente General",C447))+ISNUMBER(SEARCH("General Manager",C447))&gt;0,'Configuración'!$B$34,'Configuración'!$B$35)))))</f>
        <v>8</v>
      </c>
      <c r="V447" s="38">
        <f>IF(B447="","",IF(K447="Sí",'Configuración'!$B$5,0)+IF(L447="Semanal",'Configuración'!$B$6,IF(L447="Mensual",'Configuración'!$B$7,0))+IF(M447="Sí",'Configuración'!$B$8,0)+IF(N447="Sí",'Configuración'!$B$9,0)+IF(O447="Sí",'Configuración'!$B$10,0)+IF(P447="Sí",'Configuración'!$B$11,0)+IF(Q447="Sí",'Configuración'!$B$12,0)+S447+T447+U447)</f>
        <v>16</v>
      </c>
      <c r="W447" s="39" t="str">
        <f>IF(B447="","",IF(V447&gt;='Configuración'!$B$19,"A",IF(V447&gt;='Configuración'!$B$20,"B",IF(V447&gt;='Configuración'!$B$21,"C","Descarte"))))</f>
        <v>Descarte</v>
      </c>
    </row>
    <row r="448" ht="15.75" customHeight="1">
      <c r="A448" s="34">
        <f t="shared" si="1"/>
        <v>446</v>
      </c>
      <c r="B448" s="29" t="s">
        <v>2788</v>
      </c>
      <c r="C448" s="29" t="s">
        <v>2789</v>
      </c>
      <c r="D448" s="29" t="s">
        <v>2790</v>
      </c>
      <c r="E448" s="29" t="s">
        <v>2791</v>
      </c>
      <c r="F448" s="30" t="s">
        <v>2792</v>
      </c>
      <c r="G448" s="30" t="s">
        <v>2793</v>
      </c>
      <c r="H448" s="30" t="s">
        <v>2794</v>
      </c>
      <c r="I448" s="29" t="s">
        <v>188</v>
      </c>
      <c r="J448" s="31">
        <v>9.0</v>
      </c>
      <c r="K448" s="35"/>
      <c r="L448" s="35"/>
      <c r="M448" s="35"/>
      <c r="N448" s="35"/>
      <c r="O448" s="35"/>
      <c r="P448" s="35"/>
      <c r="Q448" s="35"/>
      <c r="R448" s="35"/>
      <c r="S448" s="37">
        <f>IF(B448="","",IF(ISNUMBER(J448),IF(J448&lt;=10,'Configuración'!$B$23,IF(J448&lt;=50,'Configuración'!$B$24,IF(J448&lt;=200,'Configuración'!$B$25,0))),0))</f>
        <v>12</v>
      </c>
      <c r="T448" s="37">
        <f>IF(B448="","",IF(ISNUMBER(SEARCH("information technology",I448))+ISNUMBER(SEARCH("software",I448))+ISNUMBER(SEARCH("internet",I448))+ISNUMBER(SEARCH("computer",I448))+ISNUMBER(SEARCH("saas",I448))+ISNUMBER(SEARCH("fintech",I448))+ISNUMBER(SEARCH("information services",I448))+ISNUMBER(SEARCH("telecommunications",I448))&gt;0,'Configuración'!$B$27,'Configuración'!$B$28))</f>
        <v>4</v>
      </c>
      <c r="U448" s="25">
        <f>IF(B448="","",IF(ISNUMBER(SEARCH("CEO",C448))+ISNUMBER(SEARCH("Founder",C448))+ISNUMBER(SEARCH("Owner",C448))+ISNUMBER(SEARCH("Dueño",C448))+ISNUMBER(SEARCH("Director General",C448))+ISNUMBER(SEARCH("Presidente",C448))+ISNUMBER(SEARCH("President",C448))&gt;0,'Configuración'!$B$31,IF(ISNUMBER(SEARCH("CMO",C448))+ISNUMBER(SEARCH("Chief Marketing",C448))+ISNUMBER(SEARCH("VP Marketing",C448))+ISNUMBER(SEARCH("Director de Marketing",C448))+ISNUMBER(SEARCH("Director Marketing",C448))+ISNUMBER(SEARCH("Head of Marketing",C448))+ISNUMBER(SEARCH("Head Marketing",C448))&gt;0,'Configuración'!$B$32,IF(ISNUMBER(SEARCH("Marketing Manager",C448))+ISNUMBER(SEARCH("Gerente de Marketing",C448))+ISNUMBER(SEARCH("Growth Manager",C448))+ISNUMBER(SEARCH("Demand Gen",C448))+ISNUMBER(SEARCH("Marketing Lead",C448))&gt;0,'Configuración'!$B$33,IF(ISNUMBER(SEARCH("COO",C448))+ISNUMBER(SEARCH("CFO",C448))+ISNUMBER(SEARCH("CTO",C448))+ISNUMBER(SEARCH("Chief Operating",C448))+ISNUMBER(SEARCH("Chief Financial",C448))+ISNUMBER(SEARCH("Gerente General",C448))+ISNUMBER(SEARCH("General Manager",C448))&gt;0,'Configuración'!$B$34,'Configuración'!$B$35)))))</f>
        <v>12</v>
      </c>
      <c r="V448" s="38">
        <f>IF(B448="","",IF(K448="Sí",'Configuración'!$B$5,0)+IF(L448="Semanal",'Configuración'!$B$6,IF(L448="Mensual",'Configuración'!$B$7,0))+IF(M448="Sí",'Configuración'!$B$8,0)+IF(N448="Sí",'Configuración'!$B$9,0)+IF(O448="Sí",'Configuración'!$B$10,0)+IF(P448="Sí",'Configuración'!$B$11,0)+IF(Q448="Sí",'Configuración'!$B$12,0)+S448+T448+U448)</f>
        <v>28</v>
      </c>
      <c r="W448" s="39" t="str">
        <f>IF(B448="","",IF(V448&gt;='Configuración'!$B$19,"A",IF(V448&gt;='Configuración'!$B$20,"B",IF(V448&gt;='Configuración'!$B$21,"C","Descarte"))))</f>
        <v>C</v>
      </c>
    </row>
    <row r="449" ht="15.75" customHeight="1">
      <c r="A449" s="34">
        <f t="shared" si="1"/>
        <v>447</v>
      </c>
      <c r="B449" s="29" t="s">
        <v>1079</v>
      </c>
      <c r="C449" s="29" t="s">
        <v>2795</v>
      </c>
      <c r="D449" s="29" t="s">
        <v>2796</v>
      </c>
      <c r="E449" s="29" t="s">
        <v>2797</v>
      </c>
      <c r="F449" s="30" t="s">
        <v>2798</v>
      </c>
      <c r="G449" s="30" t="s">
        <v>2799</v>
      </c>
      <c r="H449" s="30" t="s">
        <v>2800</v>
      </c>
      <c r="I449" s="29" t="s">
        <v>172</v>
      </c>
      <c r="J449" s="31">
        <v>1.0</v>
      </c>
      <c r="K449" s="35"/>
      <c r="L449" s="35"/>
      <c r="M449" s="35"/>
      <c r="N449" s="35"/>
      <c r="O449" s="35"/>
      <c r="P449" s="35"/>
      <c r="Q449" s="35"/>
      <c r="R449" s="35"/>
      <c r="S449" s="37">
        <f>IF(B449="","",IF(ISNUMBER(J449),IF(J449&lt;=10,'Configuración'!$B$23,IF(J449&lt;=50,'Configuración'!$B$24,IF(J449&lt;=200,'Configuración'!$B$25,0))),0))</f>
        <v>12</v>
      </c>
      <c r="T449" s="37">
        <f>IF(B449="","",IF(ISNUMBER(SEARCH("information technology",I449))+ISNUMBER(SEARCH("software",I449))+ISNUMBER(SEARCH("internet",I449))+ISNUMBER(SEARCH("computer",I449))+ISNUMBER(SEARCH("saas",I449))+ISNUMBER(SEARCH("fintech",I449))+ISNUMBER(SEARCH("information services",I449))+ISNUMBER(SEARCH("telecommunications",I449))&gt;0,'Configuración'!$B$27,'Configuración'!$B$28))</f>
        <v>4</v>
      </c>
      <c r="U449" s="25">
        <f>IF(B449="","",IF(ISNUMBER(SEARCH("CEO",C449))+ISNUMBER(SEARCH("Founder",C449))+ISNUMBER(SEARCH("Owner",C449))+ISNUMBER(SEARCH("Dueño",C449))+ISNUMBER(SEARCH("Director General",C449))+ISNUMBER(SEARCH("Presidente",C449))+ISNUMBER(SEARCH("President",C449))&gt;0,'Configuración'!$B$31,IF(ISNUMBER(SEARCH("CMO",C449))+ISNUMBER(SEARCH("Chief Marketing",C449))+ISNUMBER(SEARCH("VP Marketing",C449))+ISNUMBER(SEARCH("Director de Marketing",C449))+ISNUMBER(SEARCH("Director Marketing",C449))+ISNUMBER(SEARCH("Head of Marketing",C449))+ISNUMBER(SEARCH("Head Marketing",C449))&gt;0,'Configuración'!$B$32,IF(ISNUMBER(SEARCH("Marketing Manager",C449))+ISNUMBER(SEARCH("Gerente de Marketing",C449))+ISNUMBER(SEARCH("Growth Manager",C449))+ISNUMBER(SEARCH("Demand Gen",C449))+ISNUMBER(SEARCH("Marketing Lead",C449))&gt;0,'Configuración'!$B$33,IF(ISNUMBER(SEARCH("COO",C449))+ISNUMBER(SEARCH("CFO",C449))+ISNUMBER(SEARCH("CTO",C449))+ISNUMBER(SEARCH("Chief Operating",C449))+ISNUMBER(SEARCH("Chief Financial",C449))+ISNUMBER(SEARCH("Gerente General",C449))+ISNUMBER(SEARCH("General Manager",C449))&gt;0,'Configuración'!$B$34,'Configuración'!$B$35)))))</f>
        <v>12</v>
      </c>
      <c r="V449" s="38">
        <f>IF(B449="","",IF(K449="Sí",'Configuración'!$B$5,0)+IF(L449="Semanal",'Configuración'!$B$6,IF(L449="Mensual",'Configuración'!$B$7,0))+IF(M449="Sí",'Configuración'!$B$8,0)+IF(N449="Sí",'Configuración'!$B$9,0)+IF(O449="Sí",'Configuración'!$B$10,0)+IF(P449="Sí",'Configuración'!$B$11,0)+IF(Q449="Sí",'Configuración'!$B$12,0)+S449+T449+U449)</f>
        <v>28</v>
      </c>
      <c r="W449" s="39" t="str">
        <f>IF(B449="","",IF(V449&gt;='Configuración'!$B$19,"A",IF(V449&gt;='Configuración'!$B$20,"B",IF(V449&gt;='Configuración'!$B$21,"C","Descarte"))))</f>
        <v>C</v>
      </c>
    </row>
    <row r="450" ht="15.75" customHeight="1">
      <c r="A450" s="34">
        <f t="shared" si="1"/>
        <v>448</v>
      </c>
      <c r="B450" s="29" t="s">
        <v>1674</v>
      </c>
      <c r="C450" s="29" t="s">
        <v>202</v>
      </c>
      <c r="D450" s="29" t="s">
        <v>2801</v>
      </c>
      <c r="E450" s="29" t="s">
        <v>2802</v>
      </c>
      <c r="F450" s="30" t="s">
        <v>2803</v>
      </c>
      <c r="G450" s="30" t="s">
        <v>2804</v>
      </c>
      <c r="H450" s="30" t="s">
        <v>2805</v>
      </c>
      <c r="I450" s="29" t="s">
        <v>542</v>
      </c>
      <c r="J450" s="31">
        <v>5.0</v>
      </c>
      <c r="K450" s="35"/>
      <c r="L450" s="35"/>
      <c r="M450" s="35"/>
      <c r="N450" s="35"/>
      <c r="O450" s="35"/>
      <c r="P450" s="35"/>
      <c r="Q450" s="35"/>
      <c r="R450" s="35"/>
      <c r="S450" s="37">
        <f>IF(B450="","",IF(ISNUMBER(J450),IF(J450&lt;=10,'Configuración'!$B$23,IF(J450&lt;=50,'Configuración'!$B$24,IF(J450&lt;=200,'Configuración'!$B$25,0))),0))</f>
        <v>12</v>
      </c>
      <c r="T450" s="37">
        <f>IF(B450="","",IF(ISNUMBER(SEARCH("information technology",I450))+ISNUMBER(SEARCH("software",I450))+ISNUMBER(SEARCH("internet",I450))+ISNUMBER(SEARCH("computer",I450))+ISNUMBER(SEARCH("saas",I450))+ISNUMBER(SEARCH("fintech",I450))+ISNUMBER(SEARCH("information services",I450))+ISNUMBER(SEARCH("telecommunications",I450))&gt;0,'Configuración'!$B$27,'Configuración'!$B$28))</f>
        <v>4</v>
      </c>
      <c r="U450" s="25">
        <f>IF(B450="","",IF(ISNUMBER(SEARCH("CEO",C450))+ISNUMBER(SEARCH("Founder",C450))+ISNUMBER(SEARCH("Owner",C450))+ISNUMBER(SEARCH("Dueño",C450))+ISNUMBER(SEARCH("Director General",C450))+ISNUMBER(SEARCH("Presidente",C450))+ISNUMBER(SEARCH("President",C450))&gt;0,'Configuración'!$B$31,IF(ISNUMBER(SEARCH("CMO",C450))+ISNUMBER(SEARCH("Chief Marketing",C450))+ISNUMBER(SEARCH("VP Marketing",C450))+ISNUMBER(SEARCH("Director de Marketing",C450))+ISNUMBER(SEARCH("Director Marketing",C450))+ISNUMBER(SEARCH("Head of Marketing",C450))+ISNUMBER(SEARCH("Head Marketing",C450))&gt;0,'Configuración'!$B$32,IF(ISNUMBER(SEARCH("Marketing Manager",C450))+ISNUMBER(SEARCH("Gerente de Marketing",C450))+ISNUMBER(SEARCH("Growth Manager",C450))+ISNUMBER(SEARCH("Demand Gen",C450))+ISNUMBER(SEARCH("Marketing Lead",C450))&gt;0,'Configuración'!$B$33,IF(ISNUMBER(SEARCH("COO",C450))+ISNUMBER(SEARCH("CFO",C450))+ISNUMBER(SEARCH("CTO",C450))+ISNUMBER(SEARCH("Chief Operating",C450))+ISNUMBER(SEARCH("Chief Financial",C450))+ISNUMBER(SEARCH("Gerente General",C450))+ISNUMBER(SEARCH("General Manager",C450))&gt;0,'Configuración'!$B$34,'Configuración'!$B$35)))))</f>
        <v>12</v>
      </c>
      <c r="V450" s="38">
        <f>IF(B450="","",IF(K450="Sí",'Configuración'!$B$5,0)+IF(L450="Semanal",'Configuración'!$B$6,IF(L450="Mensual",'Configuración'!$B$7,0))+IF(M450="Sí",'Configuración'!$B$8,0)+IF(N450="Sí",'Configuración'!$B$9,0)+IF(O450="Sí",'Configuración'!$B$10,0)+IF(P450="Sí",'Configuración'!$B$11,0)+IF(Q450="Sí",'Configuración'!$B$12,0)+S450+T450+U450)</f>
        <v>28</v>
      </c>
      <c r="W450" s="39" t="str">
        <f>IF(B450="","",IF(V450&gt;='Configuración'!$B$19,"A",IF(V450&gt;='Configuración'!$B$20,"B",IF(V450&gt;='Configuración'!$B$21,"C","Descarte"))))</f>
        <v>C</v>
      </c>
    </row>
    <row r="451" ht="15.75" customHeight="1">
      <c r="A451" s="34">
        <f t="shared" si="1"/>
        <v>449</v>
      </c>
      <c r="B451" s="29" t="s">
        <v>1072</v>
      </c>
      <c r="C451" s="29" t="s">
        <v>2806</v>
      </c>
      <c r="D451" s="29" t="s">
        <v>2807</v>
      </c>
      <c r="E451" s="29" t="s">
        <v>2808</v>
      </c>
      <c r="F451" s="30" t="s">
        <v>2809</v>
      </c>
      <c r="G451" s="30" t="s">
        <v>2810</v>
      </c>
      <c r="H451" s="30" t="s">
        <v>2811</v>
      </c>
      <c r="I451" s="29" t="s">
        <v>188</v>
      </c>
      <c r="J451" s="31">
        <v>3.0</v>
      </c>
      <c r="K451" s="35"/>
      <c r="L451" s="35"/>
      <c r="M451" s="35"/>
      <c r="N451" s="35"/>
      <c r="O451" s="35"/>
      <c r="P451" s="35"/>
      <c r="Q451" s="35"/>
      <c r="R451" s="35"/>
      <c r="S451" s="37">
        <f>IF(B451="","",IF(ISNUMBER(J451),IF(J451&lt;=10,'Configuración'!$B$23,IF(J451&lt;=50,'Configuración'!$B$24,IF(J451&lt;=200,'Configuración'!$B$25,0))),0))</f>
        <v>12</v>
      </c>
      <c r="T451" s="37">
        <f>IF(B451="","",IF(ISNUMBER(SEARCH("information technology",I451))+ISNUMBER(SEARCH("software",I451))+ISNUMBER(SEARCH("internet",I451))+ISNUMBER(SEARCH("computer",I451))+ISNUMBER(SEARCH("saas",I451))+ISNUMBER(SEARCH("fintech",I451))+ISNUMBER(SEARCH("information services",I451))+ISNUMBER(SEARCH("telecommunications",I451))&gt;0,'Configuración'!$B$27,'Configuración'!$B$28))</f>
        <v>4</v>
      </c>
      <c r="U451" s="25">
        <f>IF(B451="","",IF(ISNUMBER(SEARCH("CEO",C451))+ISNUMBER(SEARCH("Founder",C451))+ISNUMBER(SEARCH("Owner",C451))+ISNUMBER(SEARCH("Dueño",C451))+ISNUMBER(SEARCH("Director General",C451))+ISNUMBER(SEARCH("Presidente",C451))+ISNUMBER(SEARCH("President",C451))&gt;0,'Configuración'!$B$31,IF(ISNUMBER(SEARCH("CMO",C451))+ISNUMBER(SEARCH("Chief Marketing",C451))+ISNUMBER(SEARCH("VP Marketing",C451))+ISNUMBER(SEARCH("Director de Marketing",C451))+ISNUMBER(SEARCH("Director Marketing",C451))+ISNUMBER(SEARCH("Head of Marketing",C451))+ISNUMBER(SEARCH("Head Marketing",C451))&gt;0,'Configuración'!$B$32,IF(ISNUMBER(SEARCH("Marketing Manager",C451))+ISNUMBER(SEARCH("Gerente de Marketing",C451))+ISNUMBER(SEARCH("Growth Manager",C451))+ISNUMBER(SEARCH("Demand Gen",C451))+ISNUMBER(SEARCH("Marketing Lead",C451))&gt;0,'Configuración'!$B$33,IF(ISNUMBER(SEARCH("COO",C451))+ISNUMBER(SEARCH("CFO",C451))+ISNUMBER(SEARCH("CTO",C451))+ISNUMBER(SEARCH("Chief Operating",C451))+ISNUMBER(SEARCH("Chief Financial",C451))+ISNUMBER(SEARCH("Gerente General",C451))+ISNUMBER(SEARCH("General Manager",C451))&gt;0,'Configuración'!$B$34,'Configuración'!$B$35)))))</f>
        <v>12</v>
      </c>
      <c r="V451" s="38">
        <f>IF(B451="","",IF(K451="Sí",'Configuración'!$B$5,0)+IF(L451="Semanal",'Configuración'!$B$6,IF(L451="Mensual",'Configuración'!$B$7,0))+IF(M451="Sí",'Configuración'!$B$8,0)+IF(N451="Sí",'Configuración'!$B$9,0)+IF(O451="Sí",'Configuración'!$B$10,0)+IF(P451="Sí",'Configuración'!$B$11,0)+IF(Q451="Sí",'Configuración'!$B$12,0)+S451+T451+U451)</f>
        <v>28</v>
      </c>
      <c r="W451" s="39" t="str">
        <f>IF(B451="","",IF(V451&gt;='Configuración'!$B$19,"A",IF(V451&gt;='Configuración'!$B$20,"B",IF(V451&gt;='Configuración'!$B$21,"C","Descarte"))))</f>
        <v>C</v>
      </c>
    </row>
    <row r="452" ht="15.75" customHeight="1">
      <c r="A452" s="34">
        <f t="shared" si="1"/>
        <v>450</v>
      </c>
      <c r="B452" s="29" t="s">
        <v>262</v>
      </c>
      <c r="C452" s="29" t="s">
        <v>2695</v>
      </c>
      <c r="D452" s="29" t="s">
        <v>2812</v>
      </c>
      <c r="E452" s="29" t="s">
        <v>2813</v>
      </c>
      <c r="F452" s="30" t="s">
        <v>2814</v>
      </c>
      <c r="G452" s="30" t="s">
        <v>2815</v>
      </c>
      <c r="H452" s="30" t="s">
        <v>2816</v>
      </c>
      <c r="I452" s="29" t="s">
        <v>172</v>
      </c>
      <c r="J452" s="31">
        <v>13.0</v>
      </c>
      <c r="K452" s="35"/>
      <c r="L452" s="35"/>
      <c r="M452" s="35"/>
      <c r="N452" s="35"/>
      <c r="O452" s="35"/>
      <c r="P452" s="35"/>
      <c r="Q452" s="35"/>
      <c r="R452" s="35"/>
      <c r="S452" s="37">
        <f>IF(B452="","",IF(ISNUMBER(J452),IF(J452&lt;=10,'Configuración'!$B$23,IF(J452&lt;=50,'Configuración'!$B$24,IF(J452&lt;=200,'Configuración'!$B$25,0))),0))</f>
        <v>4</v>
      </c>
      <c r="T452" s="37">
        <f>IF(B452="","",IF(ISNUMBER(SEARCH("information technology",I452))+ISNUMBER(SEARCH("software",I452))+ISNUMBER(SEARCH("internet",I452))+ISNUMBER(SEARCH("computer",I452))+ISNUMBER(SEARCH("saas",I452))+ISNUMBER(SEARCH("fintech",I452))+ISNUMBER(SEARCH("information services",I452))+ISNUMBER(SEARCH("telecommunications",I452))&gt;0,'Configuración'!$B$27,'Configuración'!$B$28))</f>
        <v>4</v>
      </c>
      <c r="U452" s="25">
        <f>IF(B452="","",IF(ISNUMBER(SEARCH("CEO",C452))+ISNUMBER(SEARCH("Founder",C452))+ISNUMBER(SEARCH("Owner",C452))+ISNUMBER(SEARCH("Dueño",C452))+ISNUMBER(SEARCH("Director General",C452))+ISNUMBER(SEARCH("Presidente",C452))+ISNUMBER(SEARCH("President",C452))&gt;0,'Configuración'!$B$31,IF(ISNUMBER(SEARCH("CMO",C452))+ISNUMBER(SEARCH("Chief Marketing",C452))+ISNUMBER(SEARCH("VP Marketing",C452))+ISNUMBER(SEARCH("Director de Marketing",C452))+ISNUMBER(SEARCH("Director Marketing",C452))+ISNUMBER(SEARCH("Head of Marketing",C452))+ISNUMBER(SEARCH("Head Marketing",C452))&gt;0,'Configuración'!$B$32,IF(ISNUMBER(SEARCH("Marketing Manager",C452))+ISNUMBER(SEARCH("Gerente de Marketing",C452))+ISNUMBER(SEARCH("Growth Manager",C452))+ISNUMBER(SEARCH("Demand Gen",C452))+ISNUMBER(SEARCH("Marketing Lead",C452))&gt;0,'Configuración'!$B$33,IF(ISNUMBER(SEARCH("COO",C452))+ISNUMBER(SEARCH("CFO",C452))+ISNUMBER(SEARCH("CTO",C452))+ISNUMBER(SEARCH("Chief Operating",C452))+ISNUMBER(SEARCH("Chief Financial",C452))+ISNUMBER(SEARCH("Gerente General",C452))+ISNUMBER(SEARCH("General Manager",C452))&gt;0,'Configuración'!$B$34,'Configuración'!$B$35)))))</f>
        <v>12</v>
      </c>
      <c r="V452" s="38">
        <f>IF(B452="","",IF(K452="Sí",'Configuración'!$B$5,0)+IF(L452="Semanal",'Configuración'!$B$6,IF(L452="Mensual",'Configuración'!$B$7,0))+IF(M452="Sí",'Configuración'!$B$8,0)+IF(N452="Sí",'Configuración'!$B$9,0)+IF(O452="Sí",'Configuración'!$B$10,0)+IF(P452="Sí",'Configuración'!$B$11,0)+IF(Q452="Sí",'Configuración'!$B$12,0)+S452+T452+U452)</f>
        <v>20</v>
      </c>
      <c r="W452" s="39" t="str">
        <f>IF(B452="","",IF(V452&gt;='Configuración'!$B$19,"A",IF(V452&gt;='Configuración'!$B$20,"B",IF(V452&gt;='Configuración'!$B$21,"C","Descarte"))))</f>
        <v>Descarte</v>
      </c>
    </row>
    <row r="453" ht="15.75" customHeight="1">
      <c r="A453" s="34">
        <f t="shared" si="1"/>
        <v>451</v>
      </c>
      <c r="B453" s="29" t="s">
        <v>250</v>
      </c>
      <c r="C453" s="29" t="s">
        <v>2817</v>
      </c>
      <c r="D453" s="29" t="s">
        <v>2818</v>
      </c>
      <c r="E453" s="29" t="s">
        <v>2819</v>
      </c>
      <c r="F453" s="30" t="s">
        <v>2820</v>
      </c>
      <c r="G453" s="30" t="s">
        <v>2821</v>
      </c>
      <c r="H453" s="30" t="s">
        <v>2822</v>
      </c>
      <c r="I453" s="29" t="s">
        <v>1393</v>
      </c>
      <c r="J453" s="31">
        <v>14.0</v>
      </c>
      <c r="K453" s="35"/>
      <c r="L453" s="35"/>
      <c r="M453" s="35"/>
      <c r="N453" s="35"/>
      <c r="O453" s="35"/>
      <c r="P453" s="35"/>
      <c r="Q453" s="35"/>
      <c r="R453" s="35"/>
      <c r="S453" s="37">
        <f>IF(B453="","",IF(ISNUMBER(J453),IF(J453&lt;=10,'Configuración'!$B$23,IF(J453&lt;=50,'Configuración'!$B$24,IF(J453&lt;=200,'Configuración'!$B$25,0))),0))</f>
        <v>4</v>
      </c>
      <c r="T453" s="37">
        <f>IF(B453="","",IF(ISNUMBER(SEARCH("information technology",I453))+ISNUMBER(SEARCH("software",I453))+ISNUMBER(SEARCH("internet",I453))+ISNUMBER(SEARCH("computer",I453))+ISNUMBER(SEARCH("saas",I453))+ISNUMBER(SEARCH("fintech",I453))+ISNUMBER(SEARCH("information services",I453))+ISNUMBER(SEARCH("telecommunications",I453))&gt;0,'Configuración'!$B$27,'Configuración'!$B$28))</f>
        <v>4</v>
      </c>
      <c r="U453" s="25">
        <f>IF(B453="","",IF(ISNUMBER(SEARCH("CEO",C453))+ISNUMBER(SEARCH("Founder",C453))+ISNUMBER(SEARCH("Owner",C453))+ISNUMBER(SEARCH("Dueño",C453))+ISNUMBER(SEARCH("Director General",C453))+ISNUMBER(SEARCH("Presidente",C453))+ISNUMBER(SEARCH("President",C453))&gt;0,'Configuración'!$B$31,IF(ISNUMBER(SEARCH("CMO",C453))+ISNUMBER(SEARCH("Chief Marketing",C453))+ISNUMBER(SEARCH("VP Marketing",C453))+ISNUMBER(SEARCH("Director de Marketing",C453))+ISNUMBER(SEARCH("Director Marketing",C453))+ISNUMBER(SEARCH("Head of Marketing",C453))+ISNUMBER(SEARCH("Head Marketing",C453))&gt;0,'Configuración'!$B$32,IF(ISNUMBER(SEARCH("Marketing Manager",C453))+ISNUMBER(SEARCH("Gerente de Marketing",C453))+ISNUMBER(SEARCH("Growth Manager",C453))+ISNUMBER(SEARCH("Demand Gen",C453))+ISNUMBER(SEARCH("Marketing Lead",C453))&gt;0,'Configuración'!$B$33,IF(ISNUMBER(SEARCH("COO",C453))+ISNUMBER(SEARCH("CFO",C453))+ISNUMBER(SEARCH("CTO",C453))+ISNUMBER(SEARCH("Chief Operating",C453))+ISNUMBER(SEARCH("Chief Financial",C453))+ISNUMBER(SEARCH("Gerente General",C453))+ISNUMBER(SEARCH("General Manager",C453))&gt;0,'Configuración'!$B$34,'Configuración'!$B$35)))))</f>
        <v>12</v>
      </c>
      <c r="V453" s="38">
        <f>IF(B453="","",IF(K453="Sí",'Configuración'!$B$5,0)+IF(L453="Semanal",'Configuración'!$B$6,IF(L453="Mensual",'Configuración'!$B$7,0))+IF(M453="Sí",'Configuración'!$B$8,0)+IF(N453="Sí",'Configuración'!$B$9,0)+IF(O453="Sí",'Configuración'!$B$10,0)+IF(P453="Sí",'Configuración'!$B$11,0)+IF(Q453="Sí",'Configuración'!$B$12,0)+S453+T453+U453)</f>
        <v>20</v>
      </c>
      <c r="W453" s="39" t="str">
        <f>IF(B453="","",IF(V453&gt;='Configuración'!$B$19,"A",IF(V453&gt;='Configuración'!$B$20,"B",IF(V453&gt;='Configuración'!$B$21,"C","Descarte"))))</f>
        <v>Descarte</v>
      </c>
    </row>
    <row r="454" ht="15.75" customHeight="1">
      <c r="A454" s="34">
        <f t="shared" si="1"/>
        <v>452</v>
      </c>
      <c r="B454" s="29" t="s">
        <v>501</v>
      </c>
      <c r="C454" s="29" t="s">
        <v>2823</v>
      </c>
      <c r="D454" s="29" t="s">
        <v>2824</v>
      </c>
      <c r="E454" s="29" t="s">
        <v>2825</v>
      </c>
      <c r="F454" s="30" t="s">
        <v>2826</v>
      </c>
      <c r="G454" s="30" t="s">
        <v>2827</v>
      </c>
      <c r="H454" s="30" t="s">
        <v>2828</v>
      </c>
      <c r="I454" s="29" t="s">
        <v>188</v>
      </c>
      <c r="J454" s="31">
        <v>8.0</v>
      </c>
      <c r="K454" s="35"/>
      <c r="L454" s="35"/>
      <c r="M454" s="35"/>
      <c r="N454" s="35"/>
      <c r="O454" s="35"/>
      <c r="P454" s="35"/>
      <c r="Q454" s="35"/>
      <c r="R454" s="35"/>
      <c r="S454" s="37">
        <f>IF(B454="","",IF(ISNUMBER(J454),IF(J454&lt;=10,'Configuración'!$B$23,IF(J454&lt;=50,'Configuración'!$B$24,IF(J454&lt;=200,'Configuración'!$B$25,0))),0))</f>
        <v>12</v>
      </c>
      <c r="T454" s="37">
        <f>IF(B454="","",IF(ISNUMBER(SEARCH("information technology",I454))+ISNUMBER(SEARCH("software",I454))+ISNUMBER(SEARCH("internet",I454))+ISNUMBER(SEARCH("computer",I454))+ISNUMBER(SEARCH("saas",I454))+ISNUMBER(SEARCH("fintech",I454))+ISNUMBER(SEARCH("information services",I454))+ISNUMBER(SEARCH("telecommunications",I454))&gt;0,'Configuración'!$B$27,'Configuración'!$B$28))</f>
        <v>4</v>
      </c>
      <c r="U454" s="25">
        <f>IF(B454="","",IF(ISNUMBER(SEARCH("CEO",C454))+ISNUMBER(SEARCH("Founder",C454))+ISNUMBER(SEARCH("Owner",C454))+ISNUMBER(SEARCH("Dueño",C454))+ISNUMBER(SEARCH("Director General",C454))+ISNUMBER(SEARCH("Presidente",C454))+ISNUMBER(SEARCH("President",C454))&gt;0,'Configuración'!$B$31,IF(ISNUMBER(SEARCH("CMO",C454))+ISNUMBER(SEARCH("Chief Marketing",C454))+ISNUMBER(SEARCH("VP Marketing",C454))+ISNUMBER(SEARCH("Director de Marketing",C454))+ISNUMBER(SEARCH("Director Marketing",C454))+ISNUMBER(SEARCH("Head of Marketing",C454))+ISNUMBER(SEARCH("Head Marketing",C454))&gt;0,'Configuración'!$B$32,IF(ISNUMBER(SEARCH("Marketing Manager",C454))+ISNUMBER(SEARCH("Gerente de Marketing",C454))+ISNUMBER(SEARCH("Growth Manager",C454))+ISNUMBER(SEARCH("Demand Gen",C454))+ISNUMBER(SEARCH("Marketing Lead",C454))&gt;0,'Configuración'!$B$33,IF(ISNUMBER(SEARCH("COO",C454))+ISNUMBER(SEARCH("CFO",C454))+ISNUMBER(SEARCH("CTO",C454))+ISNUMBER(SEARCH("Chief Operating",C454))+ISNUMBER(SEARCH("Chief Financial",C454))+ISNUMBER(SEARCH("Gerente General",C454))+ISNUMBER(SEARCH("General Manager",C454))&gt;0,'Configuración'!$B$34,'Configuración'!$B$35)))))</f>
        <v>12</v>
      </c>
      <c r="V454" s="38">
        <f>IF(B454="","",IF(K454="Sí",'Configuración'!$B$5,0)+IF(L454="Semanal",'Configuración'!$B$6,IF(L454="Mensual",'Configuración'!$B$7,0))+IF(M454="Sí",'Configuración'!$B$8,0)+IF(N454="Sí",'Configuración'!$B$9,0)+IF(O454="Sí",'Configuración'!$B$10,0)+IF(P454="Sí",'Configuración'!$B$11,0)+IF(Q454="Sí",'Configuración'!$B$12,0)+S454+T454+U454)</f>
        <v>28</v>
      </c>
      <c r="W454" s="39" t="str">
        <f>IF(B454="","",IF(V454&gt;='Configuración'!$B$19,"A",IF(V454&gt;='Configuración'!$B$20,"B",IF(V454&gt;='Configuración'!$B$21,"C","Descarte"))))</f>
        <v>C</v>
      </c>
    </row>
    <row r="455" ht="15.75" customHeight="1">
      <c r="A455" s="34">
        <f t="shared" si="1"/>
        <v>453</v>
      </c>
      <c r="B455" s="29" t="s">
        <v>236</v>
      </c>
      <c r="C455" s="29" t="s">
        <v>1535</v>
      </c>
      <c r="D455" s="29" t="s">
        <v>2829</v>
      </c>
      <c r="E455" s="29" t="s">
        <v>2830</v>
      </c>
      <c r="F455" s="30" t="s">
        <v>2831</v>
      </c>
      <c r="G455" s="30" t="s">
        <v>2832</v>
      </c>
      <c r="H455" s="30" t="s">
        <v>2833</v>
      </c>
      <c r="I455" s="29" t="s">
        <v>2834</v>
      </c>
      <c r="J455" s="31">
        <v>14.0</v>
      </c>
      <c r="K455" s="35"/>
      <c r="L455" s="35"/>
      <c r="M455" s="35"/>
      <c r="N455" s="35"/>
      <c r="O455" s="35"/>
      <c r="P455" s="35"/>
      <c r="Q455" s="35"/>
      <c r="R455" s="35"/>
      <c r="S455" s="37">
        <f>IF(B455="","",IF(ISNUMBER(J455),IF(J455&lt;=10,'Configuración'!$B$23,IF(J455&lt;=50,'Configuración'!$B$24,IF(J455&lt;=200,'Configuración'!$B$25,0))),0))</f>
        <v>4</v>
      </c>
      <c r="T455" s="37">
        <f>IF(B455="","",IF(ISNUMBER(SEARCH("information technology",I455))+ISNUMBER(SEARCH("software",I455))+ISNUMBER(SEARCH("internet",I455))+ISNUMBER(SEARCH("computer",I455))+ISNUMBER(SEARCH("saas",I455))+ISNUMBER(SEARCH("fintech",I455))+ISNUMBER(SEARCH("information services",I455))+ISNUMBER(SEARCH("telecommunications",I455))&gt;0,'Configuración'!$B$27,'Configuración'!$B$28))</f>
        <v>4</v>
      </c>
      <c r="U455" s="25">
        <f>IF(B455="","",IF(ISNUMBER(SEARCH("CEO",C455))+ISNUMBER(SEARCH("Founder",C455))+ISNUMBER(SEARCH("Owner",C455))+ISNUMBER(SEARCH("Dueño",C455))+ISNUMBER(SEARCH("Director General",C455))+ISNUMBER(SEARCH("Presidente",C455))+ISNUMBER(SEARCH("President",C455))&gt;0,'Configuración'!$B$31,IF(ISNUMBER(SEARCH("CMO",C455))+ISNUMBER(SEARCH("Chief Marketing",C455))+ISNUMBER(SEARCH("VP Marketing",C455))+ISNUMBER(SEARCH("Director de Marketing",C455))+ISNUMBER(SEARCH("Director Marketing",C455))+ISNUMBER(SEARCH("Head of Marketing",C455))+ISNUMBER(SEARCH("Head Marketing",C455))&gt;0,'Configuración'!$B$32,IF(ISNUMBER(SEARCH("Marketing Manager",C455))+ISNUMBER(SEARCH("Gerente de Marketing",C455))+ISNUMBER(SEARCH("Growth Manager",C455))+ISNUMBER(SEARCH("Demand Gen",C455))+ISNUMBER(SEARCH("Marketing Lead",C455))&gt;0,'Configuración'!$B$33,IF(ISNUMBER(SEARCH("COO",C455))+ISNUMBER(SEARCH("CFO",C455))+ISNUMBER(SEARCH("CTO",C455))+ISNUMBER(SEARCH("Chief Operating",C455))+ISNUMBER(SEARCH("Chief Financial",C455))+ISNUMBER(SEARCH("Gerente General",C455))+ISNUMBER(SEARCH("General Manager",C455))&gt;0,'Configuración'!$B$34,'Configuración'!$B$35)))))</f>
        <v>12</v>
      </c>
      <c r="V455" s="38">
        <f>IF(B455="","",IF(K455="Sí",'Configuración'!$B$5,0)+IF(L455="Semanal",'Configuración'!$B$6,IF(L455="Mensual",'Configuración'!$B$7,0))+IF(M455="Sí",'Configuración'!$B$8,0)+IF(N455="Sí",'Configuración'!$B$9,0)+IF(O455="Sí",'Configuración'!$B$10,0)+IF(P455="Sí",'Configuración'!$B$11,0)+IF(Q455="Sí",'Configuración'!$B$12,0)+S455+T455+U455)</f>
        <v>20</v>
      </c>
      <c r="W455" s="39" t="str">
        <f>IF(B455="","",IF(V455&gt;='Configuración'!$B$19,"A",IF(V455&gt;='Configuración'!$B$20,"B",IF(V455&gt;='Configuración'!$B$21,"C","Descarte"))))</f>
        <v>Descarte</v>
      </c>
    </row>
    <row r="456" ht="15.75" customHeight="1">
      <c r="A456" s="34">
        <f t="shared" si="1"/>
        <v>454</v>
      </c>
      <c r="B456" s="29" t="s">
        <v>1528</v>
      </c>
      <c r="C456" s="29" t="s">
        <v>2551</v>
      </c>
      <c r="D456" s="29" t="s">
        <v>2835</v>
      </c>
      <c r="E456" s="29" t="s">
        <v>2836</v>
      </c>
      <c r="F456" s="30" t="s">
        <v>2837</v>
      </c>
      <c r="G456" s="30" t="s">
        <v>2838</v>
      </c>
      <c r="H456" s="30" t="s">
        <v>2839</v>
      </c>
      <c r="I456" s="29" t="s">
        <v>188</v>
      </c>
      <c r="J456" s="31">
        <v>9.0</v>
      </c>
      <c r="K456" s="35"/>
      <c r="L456" s="35"/>
      <c r="M456" s="35"/>
      <c r="N456" s="35"/>
      <c r="O456" s="35"/>
      <c r="P456" s="35"/>
      <c r="Q456" s="35"/>
      <c r="R456" s="35"/>
      <c r="S456" s="37">
        <f>IF(B456="","",IF(ISNUMBER(J456),IF(J456&lt;=10,'Configuración'!$B$23,IF(J456&lt;=50,'Configuración'!$B$24,IF(J456&lt;=200,'Configuración'!$B$25,0))),0))</f>
        <v>12</v>
      </c>
      <c r="T456" s="37">
        <f>IF(B456="","",IF(ISNUMBER(SEARCH("information technology",I456))+ISNUMBER(SEARCH("software",I456))+ISNUMBER(SEARCH("internet",I456))+ISNUMBER(SEARCH("computer",I456))+ISNUMBER(SEARCH("saas",I456))+ISNUMBER(SEARCH("fintech",I456))+ISNUMBER(SEARCH("information services",I456))+ISNUMBER(SEARCH("telecommunications",I456))&gt;0,'Configuración'!$B$27,'Configuración'!$B$28))</f>
        <v>4</v>
      </c>
      <c r="U456" s="25">
        <f>IF(B456="","",IF(ISNUMBER(SEARCH("CEO",C456))+ISNUMBER(SEARCH("Founder",C456))+ISNUMBER(SEARCH("Owner",C456))+ISNUMBER(SEARCH("Dueño",C456))+ISNUMBER(SEARCH("Director General",C456))+ISNUMBER(SEARCH("Presidente",C456))+ISNUMBER(SEARCH("President",C456))&gt;0,'Configuración'!$B$31,IF(ISNUMBER(SEARCH("CMO",C456))+ISNUMBER(SEARCH("Chief Marketing",C456))+ISNUMBER(SEARCH("VP Marketing",C456))+ISNUMBER(SEARCH("Director de Marketing",C456))+ISNUMBER(SEARCH("Director Marketing",C456))+ISNUMBER(SEARCH("Head of Marketing",C456))+ISNUMBER(SEARCH("Head Marketing",C456))&gt;0,'Configuración'!$B$32,IF(ISNUMBER(SEARCH("Marketing Manager",C456))+ISNUMBER(SEARCH("Gerente de Marketing",C456))+ISNUMBER(SEARCH("Growth Manager",C456))+ISNUMBER(SEARCH("Demand Gen",C456))+ISNUMBER(SEARCH("Marketing Lead",C456))&gt;0,'Configuración'!$B$33,IF(ISNUMBER(SEARCH("COO",C456))+ISNUMBER(SEARCH("CFO",C456))+ISNUMBER(SEARCH("CTO",C456))+ISNUMBER(SEARCH("Chief Operating",C456))+ISNUMBER(SEARCH("Chief Financial",C456))+ISNUMBER(SEARCH("Gerente General",C456))+ISNUMBER(SEARCH("General Manager",C456))&gt;0,'Configuración'!$B$34,'Configuración'!$B$35)))))</f>
        <v>12</v>
      </c>
      <c r="V456" s="38">
        <f>IF(B456="","",IF(K456="Sí",'Configuración'!$B$5,0)+IF(L456="Semanal",'Configuración'!$B$6,IF(L456="Mensual",'Configuración'!$B$7,0))+IF(M456="Sí",'Configuración'!$B$8,0)+IF(N456="Sí",'Configuración'!$B$9,0)+IF(O456="Sí",'Configuración'!$B$10,0)+IF(P456="Sí",'Configuración'!$B$11,0)+IF(Q456="Sí",'Configuración'!$B$12,0)+S456+T456+U456)</f>
        <v>28</v>
      </c>
      <c r="W456" s="39" t="str">
        <f>IF(B456="","",IF(V456&gt;='Configuración'!$B$19,"A",IF(V456&gt;='Configuración'!$B$20,"B",IF(V456&gt;='Configuración'!$B$21,"C","Descarte"))))</f>
        <v>C</v>
      </c>
    </row>
    <row r="457" ht="15.75" customHeight="1">
      <c r="A457" s="34">
        <f t="shared" si="1"/>
        <v>455</v>
      </c>
      <c r="B457" s="29" t="s">
        <v>1601</v>
      </c>
      <c r="C457" s="29" t="s">
        <v>175</v>
      </c>
      <c r="D457" s="29" t="s">
        <v>2840</v>
      </c>
      <c r="E457" s="29" t="s">
        <v>2841</v>
      </c>
      <c r="F457" s="30" t="s">
        <v>2842</v>
      </c>
      <c r="G457" s="30" t="s">
        <v>2843</v>
      </c>
      <c r="H457" s="30" t="s">
        <v>2844</v>
      </c>
      <c r="I457" s="29" t="s">
        <v>137</v>
      </c>
      <c r="J457" s="31">
        <v>8.0</v>
      </c>
      <c r="K457" s="35"/>
      <c r="L457" s="35"/>
      <c r="M457" s="35"/>
      <c r="N457" s="35"/>
      <c r="O457" s="35"/>
      <c r="P457" s="35"/>
      <c r="Q457" s="35"/>
      <c r="R457" s="35"/>
      <c r="S457" s="37">
        <f>IF(B457="","",IF(ISNUMBER(J457),IF(J457&lt;=10,'Configuración'!$B$23,IF(J457&lt;=50,'Configuración'!$B$24,IF(J457&lt;=200,'Configuración'!$B$25,0))),0))</f>
        <v>12</v>
      </c>
      <c r="T457" s="37">
        <f>IF(B457="","",IF(ISNUMBER(SEARCH("information technology",I457))+ISNUMBER(SEARCH("software",I457))+ISNUMBER(SEARCH("internet",I457))+ISNUMBER(SEARCH("computer",I457))+ISNUMBER(SEARCH("saas",I457))+ISNUMBER(SEARCH("fintech",I457))+ISNUMBER(SEARCH("information services",I457))+ISNUMBER(SEARCH("telecommunications",I457))&gt;0,'Configuración'!$B$27,'Configuración'!$B$28))</f>
        <v>4</v>
      </c>
      <c r="U457" s="25">
        <f>IF(B457="","",IF(ISNUMBER(SEARCH("CEO",C457))+ISNUMBER(SEARCH("Founder",C457))+ISNUMBER(SEARCH("Owner",C457))+ISNUMBER(SEARCH("Dueño",C457))+ISNUMBER(SEARCH("Director General",C457))+ISNUMBER(SEARCH("Presidente",C457))+ISNUMBER(SEARCH("President",C457))&gt;0,'Configuración'!$B$31,IF(ISNUMBER(SEARCH("CMO",C457))+ISNUMBER(SEARCH("Chief Marketing",C457))+ISNUMBER(SEARCH("VP Marketing",C457))+ISNUMBER(SEARCH("Director de Marketing",C457))+ISNUMBER(SEARCH("Director Marketing",C457))+ISNUMBER(SEARCH("Head of Marketing",C457))+ISNUMBER(SEARCH("Head Marketing",C457))&gt;0,'Configuración'!$B$32,IF(ISNUMBER(SEARCH("Marketing Manager",C457))+ISNUMBER(SEARCH("Gerente de Marketing",C457))+ISNUMBER(SEARCH("Growth Manager",C457))+ISNUMBER(SEARCH("Demand Gen",C457))+ISNUMBER(SEARCH("Marketing Lead",C457))&gt;0,'Configuración'!$B$33,IF(ISNUMBER(SEARCH("COO",C457))+ISNUMBER(SEARCH("CFO",C457))+ISNUMBER(SEARCH("CTO",C457))+ISNUMBER(SEARCH("Chief Operating",C457))+ISNUMBER(SEARCH("Chief Financial",C457))+ISNUMBER(SEARCH("Gerente General",C457))+ISNUMBER(SEARCH("General Manager",C457))&gt;0,'Configuración'!$B$34,'Configuración'!$B$35)))))</f>
        <v>12</v>
      </c>
      <c r="V457" s="38">
        <f>IF(B457="","",IF(K457="Sí",'Configuración'!$B$5,0)+IF(L457="Semanal",'Configuración'!$B$6,IF(L457="Mensual",'Configuración'!$B$7,0))+IF(M457="Sí",'Configuración'!$B$8,0)+IF(N457="Sí",'Configuración'!$B$9,0)+IF(O457="Sí",'Configuración'!$B$10,0)+IF(P457="Sí",'Configuración'!$B$11,0)+IF(Q457="Sí",'Configuración'!$B$12,0)+S457+T457+U457)</f>
        <v>28</v>
      </c>
      <c r="W457" s="39" t="str">
        <f>IF(B457="","",IF(V457&gt;='Configuración'!$B$19,"A",IF(V457&gt;='Configuración'!$B$20,"B",IF(V457&gt;='Configuración'!$B$21,"C","Descarte"))))</f>
        <v>C</v>
      </c>
    </row>
    <row r="458" ht="15.75" customHeight="1">
      <c r="A458" s="34">
        <f t="shared" si="1"/>
        <v>456</v>
      </c>
      <c r="B458" s="29" t="s">
        <v>1072</v>
      </c>
      <c r="C458" s="29" t="s">
        <v>467</v>
      </c>
      <c r="D458" s="29" t="s">
        <v>2845</v>
      </c>
      <c r="E458" s="29" t="s">
        <v>2846</v>
      </c>
      <c r="F458" s="30" t="s">
        <v>2847</v>
      </c>
      <c r="G458" s="30" t="s">
        <v>2848</v>
      </c>
      <c r="H458" s="30" t="s">
        <v>2849</v>
      </c>
      <c r="I458" s="29" t="s">
        <v>127</v>
      </c>
      <c r="J458" s="31">
        <v>7.0</v>
      </c>
      <c r="K458" s="35"/>
      <c r="L458" s="35"/>
      <c r="M458" s="35"/>
      <c r="N458" s="35"/>
      <c r="O458" s="35"/>
      <c r="P458" s="35"/>
      <c r="Q458" s="35"/>
      <c r="R458" s="35"/>
      <c r="S458" s="37">
        <f>IF(B458="","",IF(ISNUMBER(J458),IF(J458&lt;=10,'Configuración'!$B$23,IF(J458&lt;=50,'Configuración'!$B$24,IF(J458&lt;=200,'Configuración'!$B$25,0))),0))</f>
        <v>12</v>
      </c>
      <c r="T458" s="37">
        <f>IF(B458="","",IF(ISNUMBER(SEARCH("information technology",I458))+ISNUMBER(SEARCH("software",I458))+ISNUMBER(SEARCH("internet",I458))+ISNUMBER(SEARCH("computer",I458))+ISNUMBER(SEARCH("saas",I458))+ISNUMBER(SEARCH("fintech",I458))+ISNUMBER(SEARCH("information services",I458))+ISNUMBER(SEARCH("telecommunications",I458))&gt;0,'Configuración'!$B$27,'Configuración'!$B$28))</f>
        <v>12</v>
      </c>
      <c r="U458" s="25">
        <f>IF(B458="","",IF(ISNUMBER(SEARCH("CEO",C458))+ISNUMBER(SEARCH("Founder",C458))+ISNUMBER(SEARCH("Owner",C458))+ISNUMBER(SEARCH("Dueño",C458))+ISNUMBER(SEARCH("Director General",C458))+ISNUMBER(SEARCH("Presidente",C458))+ISNUMBER(SEARCH("President",C458))&gt;0,'Configuración'!$B$31,IF(ISNUMBER(SEARCH("CMO",C458))+ISNUMBER(SEARCH("Chief Marketing",C458))+ISNUMBER(SEARCH("VP Marketing",C458))+ISNUMBER(SEARCH("Director de Marketing",C458))+ISNUMBER(SEARCH("Director Marketing",C458))+ISNUMBER(SEARCH("Head of Marketing",C458))+ISNUMBER(SEARCH("Head Marketing",C458))&gt;0,'Configuración'!$B$32,IF(ISNUMBER(SEARCH("Marketing Manager",C458))+ISNUMBER(SEARCH("Gerente de Marketing",C458))+ISNUMBER(SEARCH("Growth Manager",C458))+ISNUMBER(SEARCH("Demand Gen",C458))+ISNUMBER(SEARCH("Marketing Lead",C458))&gt;0,'Configuración'!$B$33,IF(ISNUMBER(SEARCH("COO",C458))+ISNUMBER(SEARCH("CFO",C458))+ISNUMBER(SEARCH("CTO",C458))+ISNUMBER(SEARCH("Chief Operating",C458))+ISNUMBER(SEARCH("Chief Financial",C458))+ISNUMBER(SEARCH("Gerente General",C458))+ISNUMBER(SEARCH("General Manager",C458))&gt;0,'Configuración'!$B$34,'Configuración'!$B$35)))))</f>
        <v>0</v>
      </c>
      <c r="V458" s="38">
        <f>IF(B458="","",IF(K458="Sí",'Configuración'!$B$5,0)+IF(L458="Semanal",'Configuración'!$B$6,IF(L458="Mensual",'Configuración'!$B$7,0))+IF(M458="Sí",'Configuración'!$B$8,0)+IF(N458="Sí",'Configuración'!$B$9,0)+IF(O458="Sí",'Configuración'!$B$10,0)+IF(P458="Sí",'Configuración'!$B$11,0)+IF(Q458="Sí",'Configuración'!$B$12,0)+S458+T458+U458)</f>
        <v>24</v>
      </c>
      <c r="W458" s="39" t="str">
        <f>IF(B458="","",IF(V458&gt;='Configuración'!$B$19,"A",IF(V458&gt;='Configuración'!$B$20,"B",IF(V458&gt;='Configuración'!$B$21,"C","Descarte"))))</f>
        <v>C</v>
      </c>
    </row>
    <row r="459" ht="15.75" customHeight="1">
      <c r="A459" s="34">
        <f t="shared" si="1"/>
        <v>457</v>
      </c>
      <c r="B459" s="29" t="s">
        <v>2850</v>
      </c>
      <c r="C459" s="29" t="s">
        <v>2483</v>
      </c>
      <c r="D459" s="29" t="s">
        <v>2851</v>
      </c>
      <c r="E459" s="29" t="s">
        <v>2852</v>
      </c>
      <c r="F459" s="30" t="s">
        <v>2853</v>
      </c>
      <c r="G459" s="30" t="s">
        <v>2854</v>
      </c>
      <c r="H459" s="30" t="s">
        <v>2855</v>
      </c>
      <c r="I459" s="29" t="s">
        <v>2856</v>
      </c>
      <c r="J459" s="31">
        <v>3.0</v>
      </c>
      <c r="K459" s="35"/>
      <c r="L459" s="35"/>
      <c r="M459" s="35"/>
      <c r="N459" s="35"/>
      <c r="O459" s="35"/>
      <c r="P459" s="35"/>
      <c r="Q459" s="35"/>
      <c r="R459" s="35"/>
      <c r="S459" s="37">
        <f>IF(B459="","",IF(ISNUMBER(J459),IF(J459&lt;=10,'Configuración'!$B$23,IF(J459&lt;=50,'Configuración'!$B$24,IF(J459&lt;=200,'Configuración'!$B$25,0))),0))</f>
        <v>12</v>
      </c>
      <c r="T459" s="37">
        <f>IF(B459="","",IF(ISNUMBER(SEARCH("information technology",I459))+ISNUMBER(SEARCH("software",I459))+ISNUMBER(SEARCH("internet",I459))+ISNUMBER(SEARCH("computer",I459))+ISNUMBER(SEARCH("saas",I459))+ISNUMBER(SEARCH("fintech",I459))+ISNUMBER(SEARCH("information services",I459))+ISNUMBER(SEARCH("telecommunications",I459))&gt;0,'Configuración'!$B$27,'Configuración'!$B$28))</f>
        <v>4</v>
      </c>
      <c r="U459" s="25">
        <f>IF(B459="","",IF(ISNUMBER(SEARCH("CEO",C459))+ISNUMBER(SEARCH("Founder",C459))+ISNUMBER(SEARCH("Owner",C459))+ISNUMBER(SEARCH("Dueño",C459))+ISNUMBER(SEARCH("Director General",C459))+ISNUMBER(SEARCH("Presidente",C459))+ISNUMBER(SEARCH("President",C459))&gt;0,'Configuración'!$B$31,IF(ISNUMBER(SEARCH("CMO",C459))+ISNUMBER(SEARCH("Chief Marketing",C459))+ISNUMBER(SEARCH("VP Marketing",C459))+ISNUMBER(SEARCH("Director de Marketing",C459))+ISNUMBER(SEARCH("Director Marketing",C459))+ISNUMBER(SEARCH("Head of Marketing",C459))+ISNUMBER(SEARCH("Head Marketing",C459))&gt;0,'Configuración'!$B$32,IF(ISNUMBER(SEARCH("Marketing Manager",C459))+ISNUMBER(SEARCH("Gerente de Marketing",C459))+ISNUMBER(SEARCH("Growth Manager",C459))+ISNUMBER(SEARCH("Demand Gen",C459))+ISNUMBER(SEARCH("Marketing Lead",C459))&gt;0,'Configuración'!$B$33,IF(ISNUMBER(SEARCH("COO",C459))+ISNUMBER(SEARCH("CFO",C459))+ISNUMBER(SEARCH("CTO",C459))+ISNUMBER(SEARCH("Chief Operating",C459))+ISNUMBER(SEARCH("Chief Financial",C459))+ISNUMBER(SEARCH("Gerente General",C459))+ISNUMBER(SEARCH("General Manager",C459))&gt;0,'Configuración'!$B$34,'Configuración'!$B$35)))))</f>
        <v>12</v>
      </c>
      <c r="V459" s="38">
        <f>IF(B459="","",IF(K459="Sí",'Configuración'!$B$5,0)+IF(L459="Semanal",'Configuración'!$B$6,IF(L459="Mensual",'Configuración'!$B$7,0))+IF(M459="Sí",'Configuración'!$B$8,0)+IF(N459="Sí",'Configuración'!$B$9,0)+IF(O459="Sí",'Configuración'!$B$10,0)+IF(P459="Sí",'Configuración'!$B$11,0)+IF(Q459="Sí",'Configuración'!$B$12,0)+S459+T459+U459)</f>
        <v>28</v>
      </c>
      <c r="W459" s="39" t="str">
        <f>IF(B459="","",IF(V459&gt;='Configuración'!$B$19,"A",IF(V459&gt;='Configuración'!$B$20,"B",IF(V459&gt;='Configuración'!$B$21,"C","Descarte"))))</f>
        <v>C</v>
      </c>
    </row>
    <row r="460" ht="15.75" customHeight="1">
      <c r="A460" s="34">
        <f t="shared" si="1"/>
        <v>458</v>
      </c>
      <c r="B460" s="29" t="s">
        <v>2857</v>
      </c>
      <c r="C460" s="29" t="s">
        <v>175</v>
      </c>
      <c r="D460" s="29" t="s">
        <v>2858</v>
      </c>
      <c r="E460" s="29" t="s">
        <v>2859</v>
      </c>
      <c r="F460" s="30" t="s">
        <v>2860</v>
      </c>
      <c r="G460" s="30" t="s">
        <v>2861</v>
      </c>
      <c r="H460" s="30" t="s">
        <v>2862</v>
      </c>
      <c r="I460" s="29" t="s">
        <v>116</v>
      </c>
      <c r="J460" s="31">
        <v>2.0</v>
      </c>
      <c r="K460" s="35"/>
      <c r="L460" s="35"/>
      <c r="M460" s="35"/>
      <c r="N460" s="35"/>
      <c r="O460" s="35"/>
      <c r="P460" s="35"/>
      <c r="Q460" s="35"/>
      <c r="R460" s="35"/>
      <c r="S460" s="37">
        <f>IF(B460="","",IF(ISNUMBER(J460),IF(J460&lt;=10,'Configuración'!$B$23,IF(J460&lt;=50,'Configuración'!$B$24,IF(J460&lt;=200,'Configuración'!$B$25,0))),0))</f>
        <v>12</v>
      </c>
      <c r="T460" s="37">
        <f>IF(B460="","",IF(ISNUMBER(SEARCH("information technology",I460))+ISNUMBER(SEARCH("software",I460))+ISNUMBER(SEARCH("internet",I460))+ISNUMBER(SEARCH("computer",I460))+ISNUMBER(SEARCH("saas",I460))+ISNUMBER(SEARCH("fintech",I460))+ISNUMBER(SEARCH("information services",I460))+ISNUMBER(SEARCH("telecommunications",I460))&gt;0,'Configuración'!$B$27,'Configuración'!$B$28))</f>
        <v>4</v>
      </c>
      <c r="U460" s="25">
        <f>IF(B460="","",IF(ISNUMBER(SEARCH("CEO",C460))+ISNUMBER(SEARCH("Founder",C460))+ISNUMBER(SEARCH("Owner",C460))+ISNUMBER(SEARCH("Dueño",C460))+ISNUMBER(SEARCH("Director General",C460))+ISNUMBER(SEARCH("Presidente",C460))+ISNUMBER(SEARCH("President",C460))&gt;0,'Configuración'!$B$31,IF(ISNUMBER(SEARCH("CMO",C460))+ISNUMBER(SEARCH("Chief Marketing",C460))+ISNUMBER(SEARCH("VP Marketing",C460))+ISNUMBER(SEARCH("Director de Marketing",C460))+ISNUMBER(SEARCH("Director Marketing",C460))+ISNUMBER(SEARCH("Head of Marketing",C460))+ISNUMBER(SEARCH("Head Marketing",C460))&gt;0,'Configuración'!$B$32,IF(ISNUMBER(SEARCH("Marketing Manager",C460))+ISNUMBER(SEARCH("Gerente de Marketing",C460))+ISNUMBER(SEARCH("Growth Manager",C460))+ISNUMBER(SEARCH("Demand Gen",C460))+ISNUMBER(SEARCH("Marketing Lead",C460))&gt;0,'Configuración'!$B$33,IF(ISNUMBER(SEARCH("COO",C460))+ISNUMBER(SEARCH("CFO",C460))+ISNUMBER(SEARCH("CTO",C460))+ISNUMBER(SEARCH("Chief Operating",C460))+ISNUMBER(SEARCH("Chief Financial",C460))+ISNUMBER(SEARCH("Gerente General",C460))+ISNUMBER(SEARCH("General Manager",C460))&gt;0,'Configuración'!$B$34,'Configuración'!$B$35)))))</f>
        <v>12</v>
      </c>
      <c r="V460" s="38">
        <f>IF(B460="","",IF(K460="Sí",'Configuración'!$B$5,0)+IF(L460="Semanal",'Configuración'!$B$6,IF(L460="Mensual",'Configuración'!$B$7,0))+IF(M460="Sí",'Configuración'!$B$8,0)+IF(N460="Sí",'Configuración'!$B$9,0)+IF(O460="Sí",'Configuración'!$B$10,0)+IF(P460="Sí",'Configuración'!$B$11,0)+IF(Q460="Sí",'Configuración'!$B$12,0)+S460+T460+U460)</f>
        <v>28</v>
      </c>
      <c r="W460" s="39" t="str">
        <f>IF(B460="","",IF(V460&gt;='Configuración'!$B$19,"A",IF(V460&gt;='Configuración'!$B$20,"B",IF(V460&gt;='Configuración'!$B$21,"C","Descarte"))))</f>
        <v>C</v>
      </c>
    </row>
    <row r="461" ht="15.75" customHeight="1">
      <c r="A461" s="34">
        <f t="shared" si="1"/>
        <v>459</v>
      </c>
      <c r="B461" s="29" t="s">
        <v>1171</v>
      </c>
      <c r="C461" s="29" t="s">
        <v>2863</v>
      </c>
      <c r="D461" s="29" t="s">
        <v>2864</v>
      </c>
      <c r="E461" s="29" t="s">
        <v>2865</v>
      </c>
      <c r="F461" s="30" t="s">
        <v>2866</v>
      </c>
      <c r="G461" s="30" t="s">
        <v>2867</v>
      </c>
      <c r="H461" s="30" t="s">
        <v>2868</v>
      </c>
      <c r="I461" s="29" t="s">
        <v>116</v>
      </c>
      <c r="J461" s="31">
        <v>13.0</v>
      </c>
      <c r="K461" s="35"/>
      <c r="L461" s="35"/>
      <c r="M461" s="35"/>
      <c r="N461" s="35"/>
      <c r="O461" s="35"/>
      <c r="P461" s="35"/>
      <c r="Q461" s="35"/>
      <c r="R461" s="35"/>
      <c r="S461" s="37">
        <f>IF(B461="","",IF(ISNUMBER(J461),IF(J461&lt;=10,'Configuración'!$B$23,IF(J461&lt;=50,'Configuración'!$B$24,IF(J461&lt;=200,'Configuración'!$B$25,0))),0))</f>
        <v>4</v>
      </c>
      <c r="T461" s="37">
        <f>IF(B461="","",IF(ISNUMBER(SEARCH("information technology",I461))+ISNUMBER(SEARCH("software",I461))+ISNUMBER(SEARCH("internet",I461))+ISNUMBER(SEARCH("computer",I461))+ISNUMBER(SEARCH("saas",I461))+ISNUMBER(SEARCH("fintech",I461))+ISNUMBER(SEARCH("information services",I461))+ISNUMBER(SEARCH("telecommunications",I461))&gt;0,'Configuración'!$B$27,'Configuración'!$B$28))</f>
        <v>4</v>
      </c>
      <c r="U461" s="25">
        <f>IF(B461="","",IF(ISNUMBER(SEARCH("CEO",C461))+ISNUMBER(SEARCH("Founder",C461))+ISNUMBER(SEARCH("Owner",C461))+ISNUMBER(SEARCH("Dueño",C461))+ISNUMBER(SEARCH("Director General",C461))+ISNUMBER(SEARCH("Presidente",C461))+ISNUMBER(SEARCH("President",C461))&gt;0,'Configuración'!$B$31,IF(ISNUMBER(SEARCH("CMO",C461))+ISNUMBER(SEARCH("Chief Marketing",C461))+ISNUMBER(SEARCH("VP Marketing",C461))+ISNUMBER(SEARCH("Director de Marketing",C461))+ISNUMBER(SEARCH("Director Marketing",C461))+ISNUMBER(SEARCH("Head of Marketing",C461))+ISNUMBER(SEARCH("Head Marketing",C461))&gt;0,'Configuración'!$B$32,IF(ISNUMBER(SEARCH("Marketing Manager",C461))+ISNUMBER(SEARCH("Gerente de Marketing",C461))+ISNUMBER(SEARCH("Growth Manager",C461))+ISNUMBER(SEARCH("Demand Gen",C461))+ISNUMBER(SEARCH("Marketing Lead",C461))&gt;0,'Configuración'!$B$33,IF(ISNUMBER(SEARCH("COO",C461))+ISNUMBER(SEARCH("CFO",C461))+ISNUMBER(SEARCH("CTO",C461))+ISNUMBER(SEARCH("Chief Operating",C461))+ISNUMBER(SEARCH("Chief Financial",C461))+ISNUMBER(SEARCH("Gerente General",C461))+ISNUMBER(SEARCH("General Manager",C461))&gt;0,'Configuración'!$B$34,'Configuración'!$B$35)))))</f>
        <v>12</v>
      </c>
      <c r="V461" s="38">
        <f>IF(B461="","",IF(K461="Sí",'Configuración'!$B$5,0)+IF(L461="Semanal",'Configuración'!$B$6,IF(L461="Mensual",'Configuración'!$B$7,0))+IF(M461="Sí",'Configuración'!$B$8,0)+IF(N461="Sí",'Configuración'!$B$9,0)+IF(O461="Sí",'Configuración'!$B$10,0)+IF(P461="Sí",'Configuración'!$B$11,0)+IF(Q461="Sí",'Configuración'!$B$12,0)+S461+T461+U461)</f>
        <v>20</v>
      </c>
      <c r="W461" s="39" t="str">
        <f>IF(B461="","",IF(V461&gt;='Configuración'!$B$19,"A",IF(V461&gt;='Configuración'!$B$20,"B",IF(V461&gt;='Configuración'!$B$21,"C","Descarte"))))</f>
        <v>Descarte</v>
      </c>
    </row>
    <row r="462" ht="15.75" customHeight="1">
      <c r="A462" s="34">
        <f t="shared" si="1"/>
        <v>460</v>
      </c>
      <c r="B462" s="29" t="s">
        <v>174</v>
      </c>
      <c r="C462" s="29" t="s">
        <v>2869</v>
      </c>
      <c r="D462" s="29" t="s">
        <v>2870</v>
      </c>
      <c r="E462" s="29" t="s">
        <v>2871</v>
      </c>
      <c r="F462" s="30" t="s">
        <v>2872</v>
      </c>
      <c r="G462" s="30" t="s">
        <v>2873</v>
      </c>
      <c r="H462" s="30" t="s">
        <v>2874</v>
      </c>
      <c r="I462" s="29" t="s">
        <v>946</v>
      </c>
      <c r="J462" s="31">
        <v>33.0</v>
      </c>
      <c r="K462" s="35"/>
      <c r="L462" s="35"/>
      <c r="M462" s="35"/>
      <c r="N462" s="35"/>
      <c r="O462" s="35"/>
      <c r="P462" s="35"/>
      <c r="Q462" s="35"/>
      <c r="R462" s="35"/>
      <c r="S462" s="37">
        <f>IF(B462="","",IF(ISNUMBER(J462),IF(J462&lt;=10,'Configuración'!$B$23,IF(J462&lt;=50,'Configuración'!$B$24,IF(J462&lt;=200,'Configuración'!$B$25,0))),0))</f>
        <v>4</v>
      </c>
      <c r="T462" s="37">
        <f>IF(B462="","",IF(ISNUMBER(SEARCH("information technology",I462))+ISNUMBER(SEARCH("software",I462))+ISNUMBER(SEARCH("internet",I462))+ISNUMBER(SEARCH("computer",I462))+ISNUMBER(SEARCH("saas",I462))+ISNUMBER(SEARCH("fintech",I462))+ISNUMBER(SEARCH("information services",I462))+ISNUMBER(SEARCH("telecommunications",I462))&gt;0,'Configuración'!$B$27,'Configuración'!$B$28))</f>
        <v>4</v>
      </c>
      <c r="U462" s="25">
        <f>IF(B462="","",IF(ISNUMBER(SEARCH("CEO",C462))+ISNUMBER(SEARCH("Founder",C462))+ISNUMBER(SEARCH("Owner",C462))+ISNUMBER(SEARCH("Dueño",C462))+ISNUMBER(SEARCH("Director General",C462))+ISNUMBER(SEARCH("Presidente",C462))+ISNUMBER(SEARCH("President",C462))&gt;0,'Configuración'!$B$31,IF(ISNUMBER(SEARCH("CMO",C462))+ISNUMBER(SEARCH("Chief Marketing",C462))+ISNUMBER(SEARCH("VP Marketing",C462))+ISNUMBER(SEARCH("Director de Marketing",C462))+ISNUMBER(SEARCH("Director Marketing",C462))+ISNUMBER(SEARCH("Head of Marketing",C462))+ISNUMBER(SEARCH("Head Marketing",C462))&gt;0,'Configuración'!$B$32,IF(ISNUMBER(SEARCH("Marketing Manager",C462))+ISNUMBER(SEARCH("Gerente de Marketing",C462))+ISNUMBER(SEARCH("Growth Manager",C462))+ISNUMBER(SEARCH("Demand Gen",C462))+ISNUMBER(SEARCH("Marketing Lead",C462))&gt;0,'Configuración'!$B$33,IF(ISNUMBER(SEARCH("COO",C462))+ISNUMBER(SEARCH("CFO",C462))+ISNUMBER(SEARCH("CTO",C462))+ISNUMBER(SEARCH("Chief Operating",C462))+ISNUMBER(SEARCH("Chief Financial",C462))+ISNUMBER(SEARCH("Gerente General",C462))+ISNUMBER(SEARCH("General Manager",C462))&gt;0,'Configuración'!$B$34,'Configuración'!$B$35)))))</f>
        <v>12</v>
      </c>
      <c r="V462" s="38">
        <f>IF(B462="","",IF(K462="Sí",'Configuración'!$B$5,0)+IF(L462="Semanal",'Configuración'!$B$6,IF(L462="Mensual",'Configuración'!$B$7,0))+IF(M462="Sí",'Configuración'!$B$8,0)+IF(N462="Sí",'Configuración'!$B$9,0)+IF(O462="Sí",'Configuración'!$B$10,0)+IF(P462="Sí",'Configuración'!$B$11,0)+IF(Q462="Sí",'Configuración'!$B$12,0)+S462+T462+U462)</f>
        <v>20</v>
      </c>
      <c r="W462" s="39" t="str">
        <f>IF(B462="","",IF(V462&gt;='Configuración'!$B$19,"A",IF(V462&gt;='Configuración'!$B$20,"B",IF(V462&gt;='Configuración'!$B$21,"C","Descarte"))))</f>
        <v>Descarte</v>
      </c>
    </row>
    <row r="463" ht="15.75" customHeight="1">
      <c r="A463" s="34">
        <f t="shared" si="1"/>
        <v>461</v>
      </c>
      <c r="B463" s="29" t="s">
        <v>536</v>
      </c>
      <c r="C463" s="29" t="s">
        <v>2875</v>
      </c>
      <c r="D463" s="29" t="s">
        <v>2876</v>
      </c>
      <c r="E463" s="29" t="s">
        <v>2877</v>
      </c>
      <c r="F463" s="30" t="s">
        <v>2878</v>
      </c>
      <c r="G463" s="30" t="s">
        <v>2879</v>
      </c>
      <c r="H463" s="30" t="s">
        <v>2880</v>
      </c>
      <c r="I463" s="29"/>
      <c r="J463" s="31">
        <v>3.0</v>
      </c>
      <c r="K463" s="35"/>
      <c r="L463" s="35"/>
      <c r="M463" s="35"/>
      <c r="N463" s="35"/>
      <c r="O463" s="35"/>
      <c r="P463" s="35"/>
      <c r="Q463" s="35"/>
      <c r="R463" s="35"/>
      <c r="S463" s="37">
        <f>IF(B463="","",IF(ISNUMBER(J463),IF(J463&lt;=10,'Configuración'!$B$23,IF(J463&lt;=50,'Configuración'!$B$24,IF(J463&lt;=200,'Configuración'!$B$25,0))),0))</f>
        <v>12</v>
      </c>
      <c r="T463" s="37">
        <f>IF(B463="","",IF(ISNUMBER(SEARCH("information technology",I463))+ISNUMBER(SEARCH("software",I463))+ISNUMBER(SEARCH("internet",I463))+ISNUMBER(SEARCH("computer",I463))+ISNUMBER(SEARCH("saas",I463))+ISNUMBER(SEARCH("fintech",I463))+ISNUMBER(SEARCH("information services",I463))+ISNUMBER(SEARCH("telecommunications",I463))&gt;0,'Configuración'!$B$27,'Configuración'!$B$28))</f>
        <v>4</v>
      </c>
      <c r="U463" s="25">
        <f>IF(B463="","",IF(ISNUMBER(SEARCH("CEO",C463))+ISNUMBER(SEARCH("Founder",C463))+ISNUMBER(SEARCH("Owner",C463))+ISNUMBER(SEARCH("Dueño",C463))+ISNUMBER(SEARCH("Director General",C463))+ISNUMBER(SEARCH("Presidente",C463))+ISNUMBER(SEARCH("President",C463))&gt;0,'Configuración'!$B$31,IF(ISNUMBER(SEARCH("CMO",C463))+ISNUMBER(SEARCH("Chief Marketing",C463))+ISNUMBER(SEARCH("VP Marketing",C463))+ISNUMBER(SEARCH("Director de Marketing",C463))+ISNUMBER(SEARCH("Director Marketing",C463))+ISNUMBER(SEARCH("Head of Marketing",C463))+ISNUMBER(SEARCH("Head Marketing",C463))&gt;0,'Configuración'!$B$32,IF(ISNUMBER(SEARCH("Marketing Manager",C463))+ISNUMBER(SEARCH("Gerente de Marketing",C463))+ISNUMBER(SEARCH("Growth Manager",C463))+ISNUMBER(SEARCH("Demand Gen",C463))+ISNUMBER(SEARCH("Marketing Lead",C463))&gt;0,'Configuración'!$B$33,IF(ISNUMBER(SEARCH("COO",C463))+ISNUMBER(SEARCH("CFO",C463))+ISNUMBER(SEARCH("CTO",C463))+ISNUMBER(SEARCH("Chief Operating",C463))+ISNUMBER(SEARCH("Chief Financial",C463))+ISNUMBER(SEARCH("Gerente General",C463))+ISNUMBER(SEARCH("General Manager",C463))&gt;0,'Configuración'!$B$34,'Configuración'!$B$35)))))</f>
        <v>12</v>
      </c>
      <c r="V463" s="38">
        <f>IF(B463="","",IF(K463="Sí",'Configuración'!$B$5,0)+IF(L463="Semanal",'Configuración'!$B$6,IF(L463="Mensual",'Configuración'!$B$7,0))+IF(M463="Sí",'Configuración'!$B$8,0)+IF(N463="Sí",'Configuración'!$B$9,0)+IF(O463="Sí",'Configuración'!$B$10,0)+IF(P463="Sí",'Configuración'!$B$11,0)+IF(Q463="Sí",'Configuración'!$B$12,0)+S463+T463+U463)</f>
        <v>28</v>
      </c>
      <c r="W463" s="39" t="str">
        <f>IF(B463="","",IF(V463&gt;='Configuración'!$B$19,"A",IF(V463&gt;='Configuración'!$B$20,"B",IF(V463&gt;='Configuración'!$B$21,"C","Descarte"))))</f>
        <v>C</v>
      </c>
    </row>
    <row r="464" ht="15.75" customHeight="1">
      <c r="A464" s="34">
        <f t="shared" si="1"/>
        <v>462</v>
      </c>
      <c r="B464" s="29" t="s">
        <v>1821</v>
      </c>
      <c r="C464" s="29" t="s">
        <v>2285</v>
      </c>
      <c r="D464" s="29" t="s">
        <v>2881</v>
      </c>
      <c r="E464" s="29" t="s">
        <v>2882</v>
      </c>
      <c r="F464" s="30" t="s">
        <v>2883</v>
      </c>
      <c r="G464" s="30" t="s">
        <v>2884</v>
      </c>
      <c r="H464" s="30" t="s">
        <v>2885</v>
      </c>
      <c r="I464" s="29" t="s">
        <v>127</v>
      </c>
      <c r="J464" s="31">
        <v>13.0</v>
      </c>
      <c r="K464" s="35"/>
      <c r="L464" s="35"/>
      <c r="M464" s="35"/>
      <c r="N464" s="35"/>
      <c r="O464" s="35"/>
      <c r="P464" s="35"/>
      <c r="Q464" s="35"/>
      <c r="R464" s="35"/>
      <c r="S464" s="37">
        <f>IF(B464="","",IF(ISNUMBER(J464),IF(J464&lt;=10,'Configuración'!$B$23,IF(J464&lt;=50,'Configuración'!$B$24,IF(J464&lt;=200,'Configuración'!$B$25,0))),0))</f>
        <v>4</v>
      </c>
      <c r="T464" s="37">
        <f>IF(B464="","",IF(ISNUMBER(SEARCH("information technology",I464))+ISNUMBER(SEARCH("software",I464))+ISNUMBER(SEARCH("internet",I464))+ISNUMBER(SEARCH("computer",I464))+ISNUMBER(SEARCH("saas",I464))+ISNUMBER(SEARCH("fintech",I464))+ISNUMBER(SEARCH("information services",I464))+ISNUMBER(SEARCH("telecommunications",I464))&gt;0,'Configuración'!$B$27,'Configuración'!$B$28))</f>
        <v>12</v>
      </c>
      <c r="U464" s="25">
        <f>IF(B464="","",IF(ISNUMBER(SEARCH("CEO",C464))+ISNUMBER(SEARCH("Founder",C464))+ISNUMBER(SEARCH("Owner",C464))+ISNUMBER(SEARCH("Dueño",C464))+ISNUMBER(SEARCH("Director General",C464))+ISNUMBER(SEARCH("Presidente",C464))+ISNUMBER(SEARCH("President",C464))&gt;0,'Configuración'!$B$31,IF(ISNUMBER(SEARCH("CMO",C464))+ISNUMBER(SEARCH("Chief Marketing",C464))+ISNUMBER(SEARCH("VP Marketing",C464))+ISNUMBER(SEARCH("Director de Marketing",C464))+ISNUMBER(SEARCH("Director Marketing",C464))+ISNUMBER(SEARCH("Head of Marketing",C464))+ISNUMBER(SEARCH("Head Marketing",C464))&gt;0,'Configuración'!$B$32,IF(ISNUMBER(SEARCH("Marketing Manager",C464))+ISNUMBER(SEARCH("Gerente de Marketing",C464))+ISNUMBER(SEARCH("Growth Manager",C464))+ISNUMBER(SEARCH("Demand Gen",C464))+ISNUMBER(SEARCH("Marketing Lead",C464))&gt;0,'Configuración'!$B$33,IF(ISNUMBER(SEARCH("COO",C464))+ISNUMBER(SEARCH("CFO",C464))+ISNUMBER(SEARCH("CTO",C464))+ISNUMBER(SEARCH("Chief Operating",C464))+ISNUMBER(SEARCH("Chief Financial",C464))+ISNUMBER(SEARCH("Gerente General",C464))+ISNUMBER(SEARCH("General Manager",C464))&gt;0,'Configuración'!$B$34,'Configuración'!$B$35)))))</f>
        <v>12</v>
      </c>
      <c r="V464" s="38">
        <f>IF(B464="","",IF(K464="Sí",'Configuración'!$B$5,0)+IF(L464="Semanal",'Configuración'!$B$6,IF(L464="Mensual",'Configuración'!$B$7,0))+IF(M464="Sí",'Configuración'!$B$8,0)+IF(N464="Sí",'Configuración'!$B$9,0)+IF(O464="Sí",'Configuración'!$B$10,0)+IF(P464="Sí",'Configuración'!$B$11,0)+IF(Q464="Sí",'Configuración'!$B$12,0)+S464+T464+U464)</f>
        <v>28</v>
      </c>
      <c r="W464" s="39" t="str">
        <f>IF(B464="","",IF(V464&gt;='Configuración'!$B$19,"A",IF(V464&gt;='Configuración'!$B$20,"B",IF(V464&gt;='Configuración'!$B$21,"C","Descarte"))))</f>
        <v>C</v>
      </c>
    </row>
    <row r="465" ht="15.75" customHeight="1">
      <c r="A465" s="34">
        <f t="shared" si="1"/>
        <v>463</v>
      </c>
      <c r="B465" s="29" t="s">
        <v>2042</v>
      </c>
      <c r="C465" s="29" t="s">
        <v>175</v>
      </c>
      <c r="D465" s="29" t="s">
        <v>2886</v>
      </c>
      <c r="E465" s="29" t="s">
        <v>2887</v>
      </c>
      <c r="F465" s="30" t="s">
        <v>2888</v>
      </c>
      <c r="G465" s="30" t="s">
        <v>2889</v>
      </c>
      <c r="H465" s="30" t="s">
        <v>2890</v>
      </c>
      <c r="I465" s="29" t="s">
        <v>317</v>
      </c>
      <c r="J465" s="31">
        <v>1.0</v>
      </c>
      <c r="K465" s="35"/>
      <c r="L465" s="35"/>
      <c r="M465" s="35"/>
      <c r="N465" s="35"/>
      <c r="O465" s="35"/>
      <c r="P465" s="35"/>
      <c r="Q465" s="35"/>
      <c r="R465" s="35"/>
      <c r="S465" s="37">
        <f>IF(B465="","",IF(ISNUMBER(J465),IF(J465&lt;=10,'Configuración'!$B$23,IF(J465&lt;=50,'Configuración'!$B$24,IF(J465&lt;=200,'Configuración'!$B$25,0))),0))</f>
        <v>12</v>
      </c>
      <c r="T465" s="37">
        <f>IF(B465="","",IF(ISNUMBER(SEARCH("information technology",I465))+ISNUMBER(SEARCH("software",I465))+ISNUMBER(SEARCH("internet",I465))+ISNUMBER(SEARCH("computer",I465))+ISNUMBER(SEARCH("saas",I465))+ISNUMBER(SEARCH("fintech",I465))+ISNUMBER(SEARCH("information services",I465))+ISNUMBER(SEARCH("telecommunications",I465))&gt;0,'Configuración'!$B$27,'Configuración'!$B$28))</f>
        <v>4</v>
      </c>
      <c r="U465" s="25">
        <f>IF(B465="","",IF(ISNUMBER(SEARCH("CEO",C465))+ISNUMBER(SEARCH("Founder",C465))+ISNUMBER(SEARCH("Owner",C465))+ISNUMBER(SEARCH("Dueño",C465))+ISNUMBER(SEARCH("Director General",C465))+ISNUMBER(SEARCH("Presidente",C465))+ISNUMBER(SEARCH("President",C465))&gt;0,'Configuración'!$B$31,IF(ISNUMBER(SEARCH("CMO",C465))+ISNUMBER(SEARCH("Chief Marketing",C465))+ISNUMBER(SEARCH("VP Marketing",C465))+ISNUMBER(SEARCH("Director de Marketing",C465))+ISNUMBER(SEARCH("Director Marketing",C465))+ISNUMBER(SEARCH("Head of Marketing",C465))+ISNUMBER(SEARCH("Head Marketing",C465))&gt;0,'Configuración'!$B$32,IF(ISNUMBER(SEARCH("Marketing Manager",C465))+ISNUMBER(SEARCH("Gerente de Marketing",C465))+ISNUMBER(SEARCH("Growth Manager",C465))+ISNUMBER(SEARCH("Demand Gen",C465))+ISNUMBER(SEARCH("Marketing Lead",C465))&gt;0,'Configuración'!$B$33,IF(ISNUMBER(SEARCH("COO",C465))+ISNUMBER(SEARCH("CFO",C465))+ISNUMBER(SEARCH("CTO",C465))+ISNUMBER(SEARCH("Chief Operating",C465))+ISNUMBER(SEARCH("Chief Financial",C465))+ISNUMBER(SEARCH("Gerente General",C465))+ISNUMBER(SEARCH("General Manager",C465))&gt;0,'Configuración'!$B$34,'Configuración'!$B$35)))))</f>
        <v>12</v>
      </c>
      <c r="V465" s="38">
        <f>IF(B465="","",IF(K465="Sí",'Configuración'!$B$5,0)+IF(L465="Semanal",'Configuración'!$B$6,IF(L465="Mensual",'Configuración'!$B$7,0))+IF(M465="Sí",'Configuración'!$B$8,0)+IF(N465="Sí",'Configuración'!$B$9,0)+IF(O465="Sí",'Configuración'!$B$10,0)+IF(P465="Sí",'Configuración'!$B$11,0)+IF(Q465="Sí",'Configuración'!$B$12,0)+S465+T465+U465)</f>
        <v>28</v>
      </c>
      <c r="W465" s="39" t="str">
        <f>IF(B465="","",IF(V465&gt;='Configuración'!$B$19,"A",IF(V465&gt;='Configuración'!$B$20,"B",IF(V465&gt;='Configuración'!$B$21,"C","Descarte"))))</f>
        <v>C</v>
      </c>
    </row>
    <row r="466" ht="15.75" customHeight="1">
      <c r="A466" s="34">
        <f t="shared" si="1"/>
        <v>464</v>
      </c>
      <c r="B466" s="29" t="s">
        <v>324</v>
      </c>
      <c r="C466" s="29" t="s">
        <v>121</v>
      </c>
      <c r="D466" s="29" t="s">
        <v>2891</v>
      </c>
      <c r="E466" s="29" t="s">
        <v>2892</v>
      </c>
      <c r="F466" s="30" t="s">
        <v>2893</v>
      </c>
      <c r="G466" s="30" t="s">
        <v>2894</v>
      </c>
      <c r="H466" s="30" t="s">
        <v>2895</v>
      </c>
      <c r="I466" s="29" t="s">
        <v>2896</v>
      </c>
      <c r="J466" s="31">
        <v>1.0</v>
      </c>
      <c r="K466" s="35"/>
      <c r="L466" s="35"/>
      <c r="M466" s="35"/>
      <c r="N466" s="35"/>
      <c r="O466" s="35"/>
      <c r="P466" s="35"/>
      <c r="Q466" s="35"/>
      <c r="R466" s="35"/>
      <c r="S466" s="37">
        <f>IF(B466="","",IF(ISNUMBER(J466),IF(J466&lt;=10,'Configuración'!$B$23,IF(J466&lt;=50,'Configuración'!$B$24,IF(J466&lt;=200,'Configuración'!$B$25,0))),0))</f>
        <v>12</v>
      </c>
      <c r="T466" s="37">
        <f>IF(B466="","",IF(ISNUMBER(SEARCH("information technology",I466))+ISNUMBER(SEARCH("software",I466))+ISNUMBER(SEARCH("internet",I466))+ISNUMBER(SEARCH("computer",I466))+ISNUMBER(SEARCH("saas",I466))+ISNUMBER(SEARCH("fintech",I466))+ISNUMBER(SEARCH("information services",I466))+ISNUMBER(SEARCH("telecommunications",I466))&gt;0,'Configuración'!$B$27,'Configuración'!$B$28))</f>
        <v>12</v>
      </c>
      <c r="U466" s="25">
        <f>IF(B466="","",IF(ISNUMBER(SEARCH("CEO",C466))+ISNUMBER(SEARCH("Founder",C466))+ISNUMBER(SEARCH("Owner",C466))+ISNUMBER(SEARCH("Dueño",C466))+ISNUMBER(SEARCH("Director General",C466))+ISNUMBER(SEARCH("Presidente",C466))+ISNUMBER(SEARCH("President",C466))&gt;0,'Configuración'!$B$31,IF(ISNUMBER(SEARCH("CMO",C466))+ISNUMBER(SEARCH("Chief Marketing",C466))+ISNUMBER(SEARCH("VP Marketing",C466))+ISNUMBER(SEARCH("Director de Marketing",C466))+ISNUMBER(SEARCH("Director Marketing",C466))+ISNUMBER(SEARCH("Head of Marketing",C466))+ISNUMBER(SEARCH("Head Marketing",C466))&gt;0,'Configuración'!$B$32,IF(ISNUMBER(SEARCH("Marketing Manager",C466))+ISNUMBER(SEARCH("Gerente de Marketing",C466))+ISNUMBER(SEARCH("Growth Manager",C466))+ISNUMBER(SEARCH("Demand Gen",C466))+ISNUMBER(SEARCH("Marketing Lead",C466))&gt;0,'Configuración'!$B$33,IF(ISNUMBER(SEARCH("COO",C466))+ISNUMBER(SEARCH("CFO",C466))+ISNUMBER(SEARCH("CTO",C466))+ISNUMBER(SEARCH("Chief Operating",C466))+ISNUMBER(SEARCH("Chief Financial",C466))+ISNUMBER(SEARCH("Gerente General",C466))+ISNUMBER(SEARCH("General Manager",C466))&gt;0,'Configuración'!$B$34,'Configuración'!$B$35)))))</f>
        <v>12</v>
      </c>
      <c r="V466" s="38">
        <f>IF(B466="","",IF(K466="Sí",'Configuración'!$B$5,0)+IF(L466="Semanal",'Configuración'!$B$6,IF(L466="Mensual",'Configuración'!$B$7,0))+IF(M466="Sí",'Configuración'!$B$8,0)+IF(N466="Sí",'Configuración'!$B$9,0)+IF(O466="Sí",'Configuración'!$B$10,0)+IF(P466="Sí",'Configuración'!$B$11,0)+IF(Q466="Sí",'Configuración'!$B$12,0)+S466+T466+U466)</f>
        <v>36</v>
      </c>
      <c r="W466" s="39" t="str">
        <f>IF(B466="","",IF(V466&gt;='Configuración'!$B$19,"A",IF(V466&gt;='Configuración'!$B$20,"B",IF(V466&gt;='Configuración'!$B$21,"C","Descarte"))))</f>
        <v>C</v>
      </c>
    </row>
    <row r="467" ht="15.75" customHeight="1">
      <c r="A467" s="34">
        <f t="shared" si="1"/>
        <v>465</v>
      </c>
      <c r="B467" s="29" t="s">
        <v>2897</v>
      </c>
      <c r="C467" s="29" t="s">
        <v>2898</v>
      </c>
      <c r="D467" s="29" t="s">
        <v>2899</v>
      </c>
      <c r="E467" s="29" t="s">
        <v>2900</v>
      </c>
      <c r="F467" s="30" t="s">
        <v>2901</v>
      </c>
      <c r="G467" s="30" t="s">
        <v>2902</v>
      </c>
      <c r="H467" s="30" t="s">
        <v>2903</v>
      </c>
      <c r="I467" s="29" t="s">
        <v>2904</v>
      </c>
      <c r="J467" s="31">
        <v>8.0</v>
      </c>
      <c r="K467" s="35"/>
      <c r="L467" s="35"/>
      <c r="M467" s="35"/>
      <c r="N467" s="35"/>
      <c r="O467" s="35"/>
      <c r="P467" s="35"/>
      <c r="Q467" s="35"/>
      <c r="R467" s="35"/>
      <c r="S467" s="37">
        <f>IF(B467="","",IF(ISNUMBER(J467),IF(J467&lt;=10,'Configuración'!$B$23,IF(J467&lt;=50,'Configuración'!$B$24,IF(J467&lt;=200,'Configuración'!$B$25,0))),0))</f>
        <v>12</v>
      </c>
      <c r="T467" s="37">
        <f>IF(B467="","",IF(ISNUMBER(SEARCH("information technology",I467))+ISNUMBER(SEARCH("software",I467))+ISNUMBER(SEARCH("internet",I467))+ISNUMBER(SEARCH("computer",I467))+ISNUMBER(SEARCH("saas",I467))+ISNUMBER(SEARCH("fintech",I467))+ISNUMBER(SEARCH("information services",I467))+ISNUMBER(SEARCH("telecommunications",I467))&gt;0,'Configuración'!$B$27,'Configuración'!$B$28))</f>
        <v>4</v>
      </c>
      <c r="U467" s="25">
        <f>IF(B467="","",IF(ISNUMBER(SEARCH("CEO",C467))+ISNUMBER(SEARCH("Founder",C467))+ISNUMBER(SEARCH("Owner",C467))+ISNUMBER(SEARCH("Dueño",C467))+ISNUMBER(SEARCH("Director General",C467))+ISNUMBER(SEARCH("Presidente",C467))+ISNUMBER(SEARCH("President",C467))&gt;0,'Configuración'!$B$31,IF(ISNUMBER(SEARCH("CMO",C467))+ISNUMBER(SEARCH("Chief Marketing",C467))+ISNUMBER(SEARCH("VP Marketing",C467))+ISNUMBER(SEARCH("Director de Marketing",C467))+ISNUMBER(SEARCH("Director Marketing",C467))+ISNUMBER(SEARCH("Head of Marketing",C467))+ISNUMBER(SEARCH("Head Marketing",C467))&gt;0,'Configuración'!$B$32,IF(ISNUMBER(SEARCH("Marketing Manager",C467))+ISNUMBER(SEARCH("Gerente de Marketing",C467))+ISNUMBER(SEARCH("Growth Manager",C467))+ISNUMBER(SEARCH("Demand Gen",C467))+ISNUMBER(SEARCH("Marketing Lead",C467))&gt;0,'Configuración'!$B$33,IF(ISNUMBER(SEARCH("COO",C467))+ISNUMBER(SEARCH("CFO",C467))+ISNUMBER(SEARCH("CTO",C467))+ISNUMBER(SEARCH("Chief Operating",C467))+ISNUMBER(SEARCH("Chief Financial",C467))+ISNUMBER(SEARCH("Gerente General",C467))+ISNUMBER(SEARCH("General Manager",C467))&gt;0,'Configuración'!$B$34,'Configuración'!$B$35)))))</f>
        <v>4</v>
      </c>
      <c r="V467" s="38">
        <f>IF(B467="","",IF(K467="Sí",'Configuración'!$B$5,0)+IF(L467="Semanal",'Configuración'!$B$6,IF(L467="Mensual",'Configuración'!$B$7,0))+IF(M467="Sí",'Configuración'!$B$8,0)+IF(N467="Sí",'Configuración'!$B$9,0)+IF(O467="Sí",'Configuración'!$B$10,0)+IF(P467="Sí",'Configuración'!$B$11,0)+IF(Q467="Sí",'Configuración'!$B$12,0)+S467+T467+U467)</f>
        <v>20</v>
      </c>
      <c r="W467" s="39" t="str">
        <f>IF(B467="","",IF(V467&gt;='Configuración'!$B$19,"A",IF(V467&gt;='Configuración'!$B$20,"B",IF(V467&gt;='Configuración'!$B$21,"C","Descarte"))))</f>
        <v>Descarte</v>
      </c>
    </row>
    <row r="468" ht="15.75" customHeight="1">
      <c r="A468" s="34">
        <f t="shared" si="1"/>
        <v>466</v>
      </c>
      <c r="B468" s="29" t="s">
        <v>529</v>
      </c>
      <c r="C468" s="29" t="s">
        <v>131</v>
      </c>
      <c r="D468" s="29" t="s">
        <v>2905</v>
      </c>
      <c r="E468" s="29" t="s">
        <v>2906</v>
      </c>
      <c r="F468" s="30" t="s">
        <v>2907</v>
      </c>
      <c r="G468" s="30" t="s">
        <v>2908</v>
      </c>
      <c r="H468" s="30" t="s">
        <v>2909</v>
      </c>
      <c r="I468" s="29" t="s">
        <v>508</v>
      </c>
      <c r="J468" s="31">
        <v>1.0</v>
      </c>
      <c r="K468" s="35"/>
      <c r="L468" s="35"/>
      <c r="M468" s="35"/>
      <c r="N468" s="35"/>
      <c r="O468" s="35"/>
      <c r="P468" s="35"/>
      <c r="Q468" s="35"/>
      <c r="R468" s="35"/>
      <c r="S468" s="37">
        <f>IF(B468="","",IF(ISNUMBER(J468),IF(J468&lt;=10,'Configuración'!$B$23,IF(J468&lt;=50,'Configuración'!$B$24,IF(J468&lt;=200,'Configuración'!$B$25,0))),0))</f>
        <v>12</v>
      </c>
      <c r="T468" s="37">
        <f>IF(B468="","",IF(ISNUMBER(SEARCH("information technology",I468))+ISNUMBER(SEARCH("software",I468))+ISNUMBER(SEARCH("internet",I468))+ISNUMBER(SEARCH("computer",I468))+ISNUMBER(SEARCH("saas",I468))+ISNUMBER(SEARCH("fintech",I468))+ISNUMBER(SEARCH("information services",I468))+ISNUMBER(SEARCH("telecommunications",I468))&gt;0,'Configuración'!$B$27,'Configuración'!$B$28))</f>
        <v>4</v>
      </c>
      <c r="U468" s="25">
        <f>IF(B468="","",IF(ISNUMBER(SEARCH("CEO",C468))+ISNUMBER(SEARCH("Founder",C468))+ISNUMBER(SEARCH("Owner",C468))+ISNUMBER(SEARCH("Dueño",C468))+ISNUMBER(SEARCH("Director General",C468))+ISNUMBER(SEARCH("Presidente",C468))+ISNUMBER(SEARCH("President",C468))&gt;0,'Configuración'!$B$31,IF(ISNUMBER(SEARCH("CMO",C468))+ISNUMBER(SEARCH("Chief Marketing",C468))+ISNUMBER(SEARCH("VP Marketing",C468))+ISNUMBER(SEARCH("Director de Marketing",C468))+ISNUMBER(SEARCH("Director Marketing",C468))+ISNUMBER(SEARCH("Head of Marketing",C468))+ISNUMBER(SEARCH("Head Marketing",C468))&gt;0,'Configuración'!$B$32,IF(ISNUMBER(SEARCH("Marketing Manager",C468))+ISNUMBER(SEARCH("Gerente de Marketing",C468))+ISNUMBER(SEARCH("Growth Manager",C468))+ISNUMBER(SEARCH("Demand Gen",C468))+ISNUMBER(SEARCH("Marketing Lead",C468))&gt;0,'Configuración'!$B$33,IF(ISNUMBER(SEARCH("COO",C468))+ISNUMBER(SEARCH("CFO",C468))+ISNUMBER(SEARCH("CTO",C468))+ISNUMBER(SEARCH("Chief Operating",C468))+ISNUMBER(SEARCH("Chief Financial",C468))+ISNUMBER(SEARCH("Gerente General",C468))+ISNUMBER(SEARCH("General Manager",C468))&gt;0,'Configuración'!$B$34,'Configuración'!$B$35)))))</f>
        <v>12</v>
      </c>
      <c r="V468" s="38">
        <f>IF(B468="","",IF(K468="Sí",'Configuración'!$B$5,0)+IF(L468="Semanal",'Configuración'!$B$6,IF(L468="Mensual",'Configuración'!$B$7,0))+IF(M468="Sí",'Configuración'!$B$8,0)+IF(N468="Sí",'Configuración'!$B$9,0)+IF(O468="Sí",'Configuración'!$B$10,0)+IF(P468="Sí",'Configuración'!$B$11,0)+IF(Q468="Sí",'Configuración'!$B$12,0)+S468+T468+U468)</f>
        <v>28</v>
      </c>
      <c r="W468" s="39" t="str">
        <f>IF(B468="","",IF(V468&gt;='Configuración'!$B$19,"A",IF(V468&gt;='Configuración'!$B$20,"B",IF(V468&gt;='Configuración'!$B$21,"C","Descarte"))))</f>
        <v>C</v>
      </c>
    </row>
    <row r="469" ht="15.75" customHeight="1">
      <c r="A469" s="34">
        <f t="shared" si="1"/>
        <v>467</v>
      </c>
      <c r="B469" s="29" t="s">
        <v>1048</v>
      </c>
      <c r="C469" s="29" t="s">
        <v>131</v>
      </c>
      <c r="D469" s="29" t="s">
        <v>2910</v>
      </c>
      <c r="E469" s="29" t="s">
        <v>2911</v>
      </c>
      <c r="F469" s="30" t="s">
        <v>2912</v>
      </c>
      <c r="G469" s="30" t="s">
        <v>2913</v>
      </c>
      <c r="H469" s="30" t="s">
        <v>2914</v>
      </c>
      <c r="I469" s="29" t="s">
        <v>310</v>
      </c>
      <c r="J469" s="31">
        <v>6.0</v>
      </c>
      <c r="K469" s="35"/>
      <c r="L469" s="35"/>
      <c r="M469" s="35"/>
      <c r="N469" s="35"/>
      <c r="O469" s="35"/>
      <c r="P469" s="35"/>
      <c r="Q469" s="35"/>
      <c r="R469" s="35"/>
      <c r="S469" s="37">
        <f>IF(B469="","",IF(ISNUMBER(J469),IF(J469&lt;=10,'Configuración'!$B$23,IF(J469&lt;=50,'Configuración'!$B$24,IF(J469&lt;=200,'Configuración'!$B$25,0))),0))</f>
        <v>12</v>
      </c>
      <c r="T469" s="37">
        <f>IF(B469="","",IF(ISNUMBER(SEARCH("information technology",I469))+ISNUMBER(SEARCH("software",I469))+ISNUMBER(SEARCH("internet",I469))+ISNUMBER(SEARCH("computer",I469))+ISNUMBER(SEARCH("saas",I469))+ISNUMBER(SEARCH("fintech",I469))+ISNUMBER(SEARCH("information services",I469))+ISNUMBER(SEARCH("telecommunications",I469))&gt;0,'Configuración'!$B$27,'Configuración'!$B$28))</f>
        <v>4</v>
      </c>
      <c r="U469" s="25">
        <f>IF(B469="","",IF(ISNUMBER(SEARCH("CEO",C469))+ISNUMBER(SEARCH("Founder",C469))+ISNUMBER(SEARCH("Owner",C469))+ISNUMBER(SEARCH("Dueño",C469))+ISNUMBER(SEARCH("Director General",C469))+ISNUMBER(SEARCH("Presidente",C469))+ISNUMBER(SEARCH("President",C469))&gt;0,'Configuración'!$B$31,IF(ISNUMBER(SEARCH("CMO",C469))+ISNUMBER(SEARCH("Chief Marketing",C469))+ISNUMBER(SEARCH("VP Marketing",C469))+ISNUMBER(SEARCH("Director de Marketing",C469))+ISNUMBER(SEARCH("Director Marketing",C469))+ISNUMBER(SEARCH("Head of Marketing",C469))+ISNUMBER(SEARCH("Head Marketing",C469))&gt;0,'Configuración'!$B$32,IF(ISNUMBER(SEARCH("Marketing Manager",C469))+ISNUMBER(SEARCH("Gerente de Marketing",C469))+ISNUMBER(SEARCH("Growth Manager",C469))+ISNUMBER(SEARCH("Demand Gen",C469))+ISNUMBER(SEARCH("Marketing Lead",C469))&gt;0,'Configuración'!$B$33,IF(ISNUMBER(SEARCH("COO",C469))+ISNUMBER(SEARCH("CFO",C469))+ISNUMBER(SEARCH("CTO",C469))+ISNUMBER(SEARCH("Chief Operating",C469))+ISNUMBER(SEARCH("Chief Financial",C469))+ISNUMBER(SEARCH("Gerente General",C469))+ISNUMBER(SEARCH("General Manager",C469))&gt;0,'Configuración'!$B$34,'Configuración'!$B$35)))))</f>
        <v>12</v>
      </c>
      <c r="V469" s="38">
        <f>IF(B469="","",IF(K469="Sí",'Configuración'!$B$5,0)+IF(L469="Semanal",'Configuración'!$B$6,IF(L469="Mensual",'Configuración'!$B$7,0))+IF(M469="Sí",'Configuración'!$B$8,0)+IF(N469="Sí",'Configuración'!$B$9,0)+IF(O469="Sí",'Configuración'!$B$10,0)+IF(P469="Sí",'Configuración'!$B$11,0)+IF(Q469="Sí",'Configuración'!$B$12,0)+S469+T469+U469)</f>
        <v>28</v>
      </c>
      <c r="W469" s="39" t="str">
        <f>IF(B469="","",IF(V469&gt;='Configuración'!$B$19,"A",IF(V469&gt;='Configuración'!$B$20,"B",IF(V469&gt;='Configuración'!$B$21,"C","Descarte"))))</f>
        <v>C</v>
      </c>
    </row>
    <row r="470" ht="15.75" customHeight="1">
      <c r="A470" s="34">
        <f t="shared" si="1"/>
        <v>468</v>
      </c>
      <c r="B470" s="29" t="s">
        <v>466</v>
      </c>
      <c r="C470" s="29" t="s">
        <v>131</v>
      </c>
      <c r="D470" s="29" t="s">
        <v>2915</v>
      </c>
      <c r="E470" s="29" t="s">
        <v>2916</v>
      </c>
      <c r="F470" s="30" t="s">
        <v>2917</v>
      </c>
      <c r="G470" s="30" t="s">
        <v>2918</v>
      </c>
      <c r="H470" s="30" t="s">
        <v>2919</v>
      </c>
      <c r="I470" s="29" t="s">
        <v>127</v>
      </c>
      <c r="J470" s="31">
        <v>7.0</v>
      </c>
      <c r="K470" s="35"/>
      <c r="L470" s="35"/>
      <c r="M470" s="35"/>
      <c r="N470" s="35"/>
      <c r="O470" s="35"/>
      <c r="P470" s="35"/>
      <c r="Q470" s="35"/>
      <c r="R470" s="35"/>
      <c r="S470" s="37">
        <f>IF(B470="","",IF(ISNUMBER(J470),IF(J470&lt;=10,'Configuración'!$B$23,IF(J470&lt;=50,'Configuración'!$B$24,IF(J470&lt;=200,'Configuración'!$B$25,0))),0))</f>
        <v>12</v>
      </c>
      <c r="T470" s="37">
        <f>IF(B470="","",IF(ISNUMBER(SEARCH("information technology",I470))+ISNUMBER(SEARCH("software",I470))+ISNUMBER(SEARCH("internet",I470))+ISNUMBER(SEARCH("computer",I470))+ISNUMBER(SEARCH("saas",I470))+ISNUMBER(SEARCH("fintech",I470))+ISNUMBER(SEARCH("information services",I470))+ISNUMBER(SEARCH("telecommunications",I470))&gt;0,'Configuración'!$B$27,'Configuración'!$B$28))</f>
        <v>12</v>
      </c>
      <c r="U470" s="25">
        <f>IF(B470="","",IF(ISNUMBER(SEARCH("CEO",C470))+ISNUMBER(SEARCH("Founder",C470))+ISNUMBER(SEARCH("Owner",C470))+ISNUMBER(SEARCH("Dueño",C470))+ISNUMBER(SEARCH("Director General",C470))+ISNUMBER(SEARCH("Presidente",C470))+ISNUMBER(SEARCH("President",C470))&gt;0,'Configuración'!$B$31,IF(ISNUMBER(SEARCH("CMO",C470))+ISNUMBER(SEARCH("Chief Marketing",C470))+ISNUMBER(SEARCH("VP Marketing",C470))+ISNUMBER(SEARCH("Director de Marketing",C470))+ISNUMBER(SEARCH("Director Marketing",C470))+ISNUMBER(SEARCH("Head of Marketing",C470))+ISNUMBER(SEARCH("Head Marketing",C470))&gt;0,'Configuración'!$B$32,IF(ISNUMBER(SEARCH("Marketing Manager",C470))+ISNUMBER(SEARCH("Gerente de Marketing",C470))+ISNUMBER(SEARCH("Growth Manager",C470))+ISNUMBER(SEARCH("Demand Gen",C470))+ISNUMBER(SEARCH("Marketing Lead",C470))&gt;0,'Configuración'!$B$33,IF(ISNUMBER(SEARCH("COO",C470))+ISNUMBER(SEARCH("CFO",C470))+ISNUMBER(SEARCH("CTO",C470))+ISNUMBER(SEARCH("Chief Operating",C470))+ISNUMBER(SEARCH("Chief Financial",C470))+ISNUMBER(SEARCH("Gerente General",C470))+ISNUMBER(SEARCH("General Manager",C470))&gt;0,'Configuración'!$B$34,'Configuración'!$B$35)))))</f>
        <v>12</v>
      </c>
      <c r="V470" s="38">
        <f>IF(B470="","",IF(K470="Sí",'Configuración'!$B$5,0)+IF(L470="Semanal",'Configuración'!$B$6,IF(L470="Mensual",'Configuración'!$B$7,0))+IF(M470="Sí",'Configuración'!$B$8,0)+IF(N470="Sí",'Configuración'!$B$9,0)+IF(O470="Sí",'Configuración'!$B$10,0)+IF(P470="Sí",'Configuración'!$B$11,0)+IF(Q470="Sí",'Configuración'!$B$12,0)+S470+T470+U470)</f>
        <v>36</v>
      </c>
      <c r="W470" s="39" t="str">
        <f>IF(B470="","",IF(V470&gt;='Configuración'!$B$19,"A",IF(V470&gt;='Configuración'!$B$20,"B",IF(V470&gt;='Configuración'!$B$21,"C","Descarte"))))</f>
        <v>C</v>
      </c>
    </row>
    <row r="471" ht="15.75" customHeight="1">
      <c r="A471" s="34">
        <f t="shared" si="1"/>
        <v>469</v>
      </c>
      <c r="B471" s="29" t="s">
        <v>174</v>
      </c>
      <c r="C471" s="29" t="s">
        <v>2920</v>
      </c>
      <c r="D471" s="29" t="s">
        <v>2921</v>
      </c>
      <c r="E471" s="29" t="s">
        <v>2922</v>
      </c>
      <c r="F471" s="30" t="s">
        <v>2923</v>
      </c>
      <c r="G471" s="30" t="s">
        <v>2924</v>
      </c>
      <c r="H471" s="30" t="s">
        <v>2925</v>
      </c>
      <c r="I471" s="29" t="s">
        <v>310</v>
      </c>
      <c r="J471" s="31">
        <v>4.0</v>
      </c>
      <c r="K471" s="35"/>
      <c r="L471" s="35"/>
      <c r="M471" s="35"/>
      <c r="N471" s="35"/>
      <c r="O471" s="35"/>
      <c r="P471" s="35"/>
      <c r="Q471" s="35"/>
      <c r="R471" s="35"/>
      <c r="S471" s="37">
        <f>IF(B471="","",IF(ISNUMBER(J471),IF(J471&lt;=10,'Configuración'!$B$23,IF(J471&lt;=50,'Configuración'!$B$24,IF(J471&lt;=200,'Configuración'!$B$25,0))),0))</f>
        <v>12</v>
      </c>
      <c r="T471" s="37">
        <f>IF(B471="","",IF(ISNUMBER(SEARCH("information technology",I471))+ISNUMBER(SEARCH("software",I471))+ISNUMBER(SEARCH("internet",I471))+ISNUMBER(SEARCH("computer",I471))+ISNUMBER(SEARCH("saas",I471))+ISNUMBER(SEARCH("fintech",I471))+ISNUMBER(SEARCH("information services",I471))+ISNUMBER(SEARCH("telecommunications",I471))&gt;0,'Configuración'!$B$27,'Configuración'!$B$28))</f>
        <v>4</v>
      </c>
      <c r="U471" s="25">
        <f>IF(B471="","",IF(ISNUMBER(SEARCH("CEO",C471))+ISNUMBER(SEARCH("Founder",C471))+ISNUMBER(SEARCH("Owner",C471))+ISNUMBER(SEARCH("Dueño",C471))+ISNUMBER(SEARCH("Director General",C471))+ISNUMBER(SEARCH("Presidente",C471))+ISNUMBER(SEARCH("President",C471))&gt;0,'Configuración'!$B$31,IF(ISNUMBER(SEARCH("CMO",C471))+ISNUMBER(SEARCH("Chief Marketing",C471))+ISNUMBER(SEARCH("VP Marketing",C471))+ISNUMBER(SEARCH("Director de Marketing",C471))+ISNUMBER(SEARCH("Director Marketing",C471))+ISNUMBER(SEARCH("Head of Marketing",C471))+ISNUMBER(SEARCH("Head Marketing",C471))&gt;0,'Configuración'!$B$32,IF(ISNUMBER(SEARCH("Marketing Manager",C471))+ISNUMBER(SEARCH("Gerente de Marketing",C471))+ISNUMBER(SEARCH("Growth Manager",C471))+ISNUMBER(SEARCH("Demand Gen",C471))+ISNUMBER(SEARCH("Marketing Lead",C471))&gt;0,'Configuración'!$B$33,IF(ISNUMBER(SEARCH("COO",C471))+ISNUMBER(SEARCH("CFO",C471))+ISNUMBER(SEARCH("CTO",C471))+ISNUMBER(SEARCH("Chief Operating",C471))+ISNUMBER(SEARCH("Chief Financial",C471))+ISNUMBER(SEARCH("Gerente General",C471))+ISNUMBER(SEARCH("General Manager",C471))&gt;0,'Configuración'!$B$34,'Configuración'!$B$35)))))</f>
        <v>12</v>
      </c>
      <c r="V471" s="38">
        <f>IF(B471="","",IF(K471="Sí",'Configuración'!$B$5,0)+IF(L471="Semanal",'Configuración'!$B$6,IF(L471="Mensual",'Configuración'!$B$7,0))+IF(M471="Sí",'Configuración'!$B$8,0)+IF(N471="Sí",'Configuración'!$B$9,0)+IF(O471="Sí",'Configuración'!$B$10,0)+IF(P471="Sí",'Configuración'!$B$11,0)+IF(Q471="Sí",'Configuración'!$B$12,0)+S471+T471+U471)</f>
        <v>28</v>
      </c>
      <c r="W471" s="39" t="str">
        <f>IF(B471="","",IF(V471&gt;='Configuración'!$B$19,"A",IF(V471&gt;='Configuración'!$B$20,"B",IF(V471&gt;='Configuración'!$B$21,"C","Descarte"))))</f>
        <v>C</v>
      </c>
    </row>
    <row r="472" ht="15.75" customHeight="1">
      <c r="A472" s="34">
        <f t="shared" si="1"/>
        <v>470</v>
      </c>
      <c r="B472" s="29" t="s">
        <v>725</v>
      </c>
      <c r="C472" s="29" t="s">
        <v>121</v>
      </c>
      <c r="D472" s="29" t="s">
        <v>2926</v>
      </c>
      <c r="E472" s="29" t="s">
        <v>2927</v>
      </c>
      <c r="F472" s="30" t="s">
        <v>2928</v>
      </c>
      <c r="G472" s="30" t="s">
        <v>2929</v>
      </c>
      <c r="H472" s="30" t="s">
        <v>2930</v>
      </c>
      <c r="I472" s="29" t="s">
        <v>450</v>
      </c>
      <c r="J472" s="31">
        <v>6.0</v>
      </c>
      <c r="K472" s="35"/>
      <c r="L472" s="35"/>
      <c r="M472" s="35"/>
      <c r="N472" s="35"/>
      <c r="O472" s="35"/>
      <c r="P472" s="35"/>
      <c r="Q472" s="35"/>
      <c r="R472" s="35"/>
      <c r="S472" s="37">
        <f>IF(B472="","",IF(ISNUMBER(J472),IF(J472&lt;=10,'Configuración'!$B$23,IF(J472&lt;=50,'Configuración'!$B$24,IF(J472&lt;=200,'Configuración'!$B$25,0))),0))</f>
        <v>12</v>
      </c>
      <c r="T472" s="37">
        <f>IF(B472="","",IF(ISNUMBER(SEARCH("information technology",I472))+ISNUMBER(SEARCH("software",I472))+ISNUMBER(SEARCH("internet",I472))+ISNUMBER(SEARCH("computer",I472))+ISNUMBER(SEARCH("saas",I472))+ISNUMBER(SEARCH("fintech",I472))+ISNUMBER(SEARCH("information services",I472))+ISNUMBER(SEARCH("telecommunications",I472))&gt;0,'Configuración'!$B$27,'Configuración'!$B$28))</f>
        <v>12</v>
      </c>
      <c r="U472" s="25">
        <f>IF(B472="","",IF(ISNUMBER(SEARCH("CEO",C472))+ISNUMBER(SEARCH("Founder",C472))+ISNUMBER(SEARCH("Owner",C472))+ISNUMBER(SEARCH("Dueño",C472))+ISNUMBER(SEARCH("Director General",C472))+ISNUMBER(SEARCH("Presidente",C472))+ISNUMBER(SEARCH("President",C472))&gt;0,'Configuración'!$B$31,IF(ISNUMBER(SEARCH("CMO",C472))+ISNUMBER(SEARCH("Chief Marketing",C472))+ISNUMBER(SEARCH("VP Marketing",C472))+ISNUMBER(SEARCH("Director de Marketing",C472))+ISNUMBER(SEARCH("Director Marketing",C472))+ISNUMBER(SEARCH("Head of Marketing",C472))+ISNUMBER(SEARCH("Head Marketing",C472))&gt;0,'Configuración'!$B$32,IF(ISNUMBER(SEARCH("Marketing Manager",C472))+ISNUMBER(SEARCH("Gerente de Marketing",C472))+ISNUMBER(SEARCH("Growth Manager",C472))+ISNUMBER(SEARCH("Demand Gen",C472))+ISNUMBER(SEARCH("Marketing Lead",C472))&gt;0,'Configuración'!$B$33,IF(ISNUMBER(SEARCH("COO",C472))+ISNUMBER(SEARCH("CFO",C472))+ISNUMBER(SEARCH("CTO",C472))+ISNUMBER(SEARCH("Chief Operating",C472))+ISNUMBER(SEARCH("Chief Financial",C472))+ISNUMBER(SEARCH("Gerente General",C472))+ISNUMBER(SEARCH("General Manager",C472))&gt;0,'Configuración'!$B$34,'Configuración'!$B$35)))))</f>
        <v>12</v>
      </c>
      <c r="V472" s="38">
        <f>IF(B472="","",IF(K472="Sí",'Configuración'!$B$5,0)+IF(L472="Semanal",'Configuración'!$B$6,IF(L472="Mensual",'Configuración'!$B$7,0))+IF(M472="Sí",'Configuración'!$B$8,0)+IF(N472="Sí",'Configuración'!$B$9,0)+IF(O472="Sí",'Configuración'!$B$10,0)+IF(P472="Sí",'Configuración'!$B$11,0)+IF(Q472="Sí",'Configuración'!$B$12,0)+S472+T472+U472)</f>
        <v>36</v>
      </c>
      <c r="W472" s="39" t="str">
        <f>IF(B472="","",IF(V472&gt;='Configuración'!$B$19,"A",IF(V472&gt;='Configuración'!$B$20,"B",IF(V472&gt;='Configuración'!$B$21,"C","Descarte"))))</f>
        <v>C</v>
      </c>
    </row>
    <row r="473" ht="15.75" customHeight="1">
      <c r="A473" s="34">
        <f t="shared" si="1"/>
        <v>471</v>
      </c>
      <c r="B473" s="29" t="s">
        <v>2931</v>
      </c>
      <c r="C473" s="29" t="s">
        <v>311</v>
      </c>
      <c r="D473" s="29" t="s">
        <v>2932</v>
      </c>
      <c r="E473" s="29" t="s">
        <v>2933</v>
      </c>
      <c r="F473" s="30" t="s">
        <v>2934</v>
      </c>
      <c r="G473" s="30" t="s">
        <v>2935</v>
      </c>
      <c r="H473" s="30" t="s">
        <v>2936</v>
      </c>
      <c r="I473" s="29" t="s">
        <v>1429</v>
      </c>
      <c r="J473" s="31">
        <v>25.0</v>
      </c>
      <c r="K473" s="35"/>
      <c r="L473" s="35"/>
      <c r="M473" s="35"/>
      <c r="N473" s="35"/>
      <c r="O473" s="35"/>
      <c r="P473" s="35"/>
      <c r="Q473" s="35"/>
      <c r="R473" s="35"/>
      <c r="S473" s="37">
        <f>IF(B473="","",IF(ISNUMBER(J473),IF(J473&lt;=10,'Configuración'!$B$23,IF(J473&lt;=50,'Configuración'!$B$24,IF(J473&lt;=200,'Configuración'!$B$25,0))),0))</f>
        <v>4</v>
      </c>
      <c r="T473" s="37">
        <f>IF(B473="","",IF(ISNUMBER(SEARCH("information technology",I473))+ISNUMBER(SEARCH("software",I473))+ISNUMBER(SEARCH("internet",I473))+ISNUMBER(SEARCH("computer",I473))+ISNUMBER(SEARCH("saas",I473))+ISNUMBER(SEARCH("fintech",I473))+ISNUMBER(SEARCH("information services",I473))+ISNUMBER(SEARCH("telecommunications",I473))&gt;0,'Configuración'!$B$27,'Configuración'!$B$28))</f>
        <v>4</v>
      </c>
      <c r="U473" s="25">
        <f>IF(B473="","",IF(ISNUMBER(SEARCH("CEO",C473))+ISNUMBER(SEARCH("Founder",C473))+ISNUMBER(SEARCH("Owner",C473))+ISNUMBER(SEARCH("Dueño",C473))+ISNUMBER(SEARCH("Director General",C473))+ISNUMBER(SEARCH("Presidente",C473))+ISNUMBER(SEARCH("President",C473))&gt;0,'Configuración'!$B$31,IF(ISNUMBER(SEARCH("CMO",C473))+ISNUMBER(SEARCH("Chief Marketing",C473))+ISNUMBER(SEARCH("VP Marketing",C473))+ISNUMBER(SEARCH("Director de Marketing",C473))+ISNUMBER(SEARCH("Director Marketing",C473))+ISNUMBER(SEARCH("Head of Marketing",C473))+ISNUMBER(SEARCH("Head Marketing",C473))&gt;0,'Configuración'!$B$32,IF(ISNUMBER(SEARCH("Marketing Manager",C473))+ISNUMBER(SEARCH("Gerente de Marketing",C473))+ISNUMBER(SEARCH("Growth Manager",C473))+ISNUMBER(SEARCH("Demand Gen",C473))+ISNUMBER(SEARCH("Marketing Lead",C473))&gt;0,'Configuración'!$B$33,IF(ISNUMBER(SEARCH("COO",C473))+ISNUMBER(SEARCH("CFO",C473))+ISNUMBER(SEARCH("CTO",C473))+ISNUMBER(SEARCH("Chief Operating",C473))+ISNUMBER(SEARCH("Chief Financial",C473))+ISNUMBER(SEARCH("Gerente General",C473))+ISNUMBER(SEARCH("General Manager",C473))&gt;0,'Configuración'!$B$34,'Configuración'!$B$35)))))</f>
        <v>12</v>
      </c>
      <c r="V473" s="38">
        <f>IF(B473="","",IF(K473="Sí",'Configuración'!$B$5,0)+IF(L473="Semanal",'Configuración'!$B$6,IF(L473="Mensual",'Configuración'!$B$7,0))+IF(M473="Sí",'Configuración'!$B$8,0)+IF(N473="Sí",'Configuración'!$B$9,0)+IF(O473="Sí",'Configuración'!$B$10,0)+IF(P473="Sí",'Configuración'!$B$11,0)+IF(Q473="Sí",'Configuración'!$B$12,0)+S473+T473+U473)</f>
        <v>20</v>
      </c>
      <c r="W473" s="39" t="str">
        <f>IF(B473="","",IF(V473&gt;='Configuración'!$B$19,"A",IF(V473&gt;='Configuración'!$B$20,"B",IF(V473&gt;='Configuración'!$B$21,"C","Descarte"))))</f>
        <v>Descarte</v>
      </c>
    </row>
    <row r="474" ht="15.75" customHeight="1">
      <c r="A474" s="34">
        <f t="shared" si="1"/>
        <v>472</v>
      </c>
      <c r="B474" s="29" t="s">
        <v>1072</v>
      </c>
      <c r="C474" s="29"/>
      <c r="D474" s="29" t="s">
        <v>2937</v>
      </c>
      <c r="E474" s="29" t="s">
        <v>2938</v>
      </c>
      <c r="F474" s="30" t="s">
        <v>2939</v>
      </c>
      <c r="G474" s="30" t="s">
        <v>2940</v>
      </c>
      <c r="H474" s="30" t="s">
        <v>2941</v>
      </c>
      <c r="I474" s="29" t="s">
        <v>776</v>
      </c>
      <c r="J474" s="31">
        <v>1.0</v>
      </c>
      <c r="K474" s="35"/>
      <c r="L474" s="35"/>
      <c r="M474" s="35"/>
      <c r="N474" s="35"/>
      <c r="O474" s="35"/>
      <c r="P474" s="35"/>
      <c r="Q474" s="35"/>
      <c r="R474" s="35"/>
      <c r="S474" s="37">
        <f>IF(B474="","",IF(ISNUMBER(J474),IF(J474&lt;=10,'Configuración'!$B$23,IF(J474&lt;=50,'Configuración'!$B$24,IF(J474&lt;=200,'Configuración'!$B$25,0))),0))</f>
        <v>12</v>
      </c>
      <c r="T474" s="37">
        <f>IF(B474="","",IF(ISNUMBER(SEARCH("information technology",I474))+ISNUMBER(SEARCH("software",I474))+ISNUMBER(SEARCH("internet",I474))+ISNUMBER(SEARCH("computer",I474))+ISNUMBER(SEARCH("saas",I474))+ISNUMBER(SEARCH("fintech",I474))+ISNUMBER(SEARCH("information services",I474))+ISNUMBER(SEARCH("telecommunications",I474))&gt;0,'Configuración'!$B$27,'Configuración'!$B$28))</f>
        <v>4</v>
      </c>
      <c r="U474" s="25">
        <f>IF(B474="","",IF(ISNUMBER(SEARCH("CEO",C474))+ISNUMBER(SEARCH("Founder",C474))+ISNUMBER(SEARCH("Owner",C474))+ISNUMBER(SEARCH("Dueño",C474))+ISNUMBER(SEARCH("Director General",C474))+ISNUMBER(SEARCH("Presidente",C474))+ISNUMBER(SEARCH("President",C474))&gt;0,'Configuración'!$B$31,IF(ISNUMBER(SEARCH("CMO",C474))+ISNUMBER(SEARCH("Chief Marketing",C474))+ISNUMBER(SEARCH("VP Marketing",C474))+ISNUMBER(SEARCH("Director de Marketing",C474))+ISNUMBER(SEARCH("Director Marketing",C474))+ISNUMBER(SEARCH("Head of Marketing",C474))+ISNUMBER(SEARCH("Head Marketing",C474))&gt;0,'Configuración'!$B$32,IF(ISNUMBER(SEARCH("Marketing Manager",C474))+ISNUMBER(SEARCH("Gerente de Marketing",C474))+ISNUMBER(SEARCH("Growth Manager",C474))+ISNUMBER(SEARCH("Demand Gen",C474))+ISNUMBER(SEARCH("Marketing Lead",C474))&gt;0,'Configuración'!$B$33,IF(ISNUMBER(SEARCH("COO",C474))+ISNUMBER(SEARCH("CFO",C474))+ISNUMBER(SEARCH("CTO",C474))+ISNUMBER(SEARCH("Chief Operating",C474))+ISNUMBER(SEARCH("Chief Financial",C474))+ISNUMBER(SEARCH("Gerente General",C474))+ISNUMBER(SEARCH("General Manager",C474))&gt;0,'Configuración'!$B$34,'Configuración'!$B$35)))))</f>
        <v>0</v>
      </c>
      <c r="V474" s="38">
        <f>IF(B474="","",IF(K474="Sí",'Configuración'!$B$5,0)+IF(L474="Semanal",'Configuración'!$B$6,IF(L474="Mensual",'Configuración'!$B$7,0))+IF(M474="Sí",'Configuración'!$B$8,0)+IF(N474="Sí",'Configuración'!$B$9,0)+IF(O474="Sí",'Configuración'!$B$10,0)+IF(P474="Sí",'Configuración'!$B$11,0)+IF(Q474="Sí",'Configuración'!$B$12,0)+S474+T474+U474)</f>
        <v>16</v>
      </c>
      <c r="W474" s="39" t="str">
        <f>IF(B474="","",IF(V474&gt;='Configuración'!$B$19,"A",IF(V474&gt;='Configuración'!$B$20,"B",IF(V474&gt;='Configuración'!$B$21,"C","Descarte"))))</f>
        <v>Descarte</v>
      </c>
    </row>
    <row r="475" ht="15.75" customHeight="1">
      <c r="A475" s="34">
        <f t="shared" si="1"/>
        <v>473</v>
      </c>
      <c r="B475" s="29" t="s">
        <v>1548</v>
      </c>
      <c r="C475" s="29" t="s">
        <v>2942</v>
      </c>
      <c r="D475" s="29" t="s">
        <v>2943</v>
      </c>
      <c r="E475" s="29" t="s">
        <v>2944</v>
      </c>
      <c r="F475" s="30" t="s">
        <v>2945</v>
      </c>
      <c r="G475" s="30" t="s">
        <v>2946</v>
      </c>
      <c r="H475" s="30" t="s">
        <v>2947</v>
      </c>
      <c r="I475" s="29" t="s">
        <v>127</v>
      </c>
      <c r="J475" s="31">
        <v>10.0</v>
      </c>
      <c r="K475" s="35"/>
      <c r="L475" s="35"/>
      <c r="M475" s="35"/>
      <c r="N475" s="35"/>
      <c r="O475" s="35"/>
      <c r="P475" s="35"/>
      <c r="Q475" s="35"/>
      <c r="R475" s="35"/>
      <c r="S475" s="37">
        <f>IF(B475="","",IF(ISNUMBER(J475),IF(J475&lt;=10,'Configuración'!$B$23,IF(J475&lt;=50,'Configuración'!$B$24,IF(J475&lt;=200,'Configuración'!$B$25,0))),0))</f>
        <v>12</v>
      </c>
      <c r="T475" s="37">
        <f>IF(B475="","",IF(ISNUMBER(SEARCH("information technology",I475))+ISNUMBER(SEARCH("software",I475))+ISNUMBER(SEARCH("internet",I475))+ISNUMBER(SEARCH("computer",I475))+ISNUMBER(SEARCH("saas",I475))+ISNUMBER(SEARCH("fintech",I475))+ISNUMBER(SEARCH("information services",I475))+ISNUMBER(SEARCH("telecommunications",I475))&gt;0,'Configuración'!$B$27,'Configuración'!$B$28))</f>
        <v>12</v>
      </c>
      <c r="U475" s="25">
        <f>IF(B475="","",IF(ISNUMBER(SEARCH("CEO",C475))+ISNUMBER(SEARCH("Founder",C475))+ISNUMBER(SEARCH("Owner",C475))+ISNUMBER(SEARCH("Dueño",C475))+ISNUMBER(SEARCH("Director General",C475))+ISNUMBER(SEARCH("Presidente",C475))+ISNUMBER(SEARCH("President",C475))&gt;0,'Configuración'!$B$31,IF(ISNUMBER(SEARCH("CMO",C475))+ISNUMBER(SEARCH("Chief Marketing",C475))+ISNUMBER(SEARCH("VP Marketing",C475))+ISNUMBER(SEARCH("Director de Marketing",C475))+ISNUMBER(SEARCH("Director Marketing",C475))+ISNUMBER(SEARCH("Head of Marketing",C475))+ISNUMBER(SEARCH("Head Marketing",C475))&gt;0,'Configuración'!$B$32,IF(ISNUMBER(SEARCH("Marketing Manager",C475))+ISNUMBER(SEARCH("Gerente de Marketing",C475))+ISNUMBER(SEARCH("Growth Manager",C475))+ISNUMBER(SEARCH("Demand Gen",C475))+ISNUMBER(SEARCH("Marketing Lead",C475))&gt;0,'Configuración'!$B$33,IF(ISNUMBER(SEARCH("COO",C475))+ISNUMBER(SEARCH("CFO",C475))+ISNUMBER(SEARCH("CTO",C475))+ISNUMBER(SEARCH("Chief Operating",C475))+ISNUMBER(SEARCH("Chief Financial",C475))+ISNUMBER(SEARCH("Gerente General",C475))+ISNUMBER(SEARCH("General Manager",C475))&gt;0,'Configuración'!$B$34,'Configuración'!$B$35)))))</f>
        <v>12</v>
      </c>
      <c r="V475" s="38">
        <f>IF(B475="","",IF(K475="Sí",'Configuración'!$B$5,0)+IF(L475="Semanal",'Configuración'!$B$6,IF(L475="Mensual",'Configuración'!$B$7,0))+IF(M475="Sí",'Configuración'!$B$8,0)+IF(N475="Sí",'Configuración'!$B$9,0)+IF(O475="Sí",'Configuración'!$B$10,0)+IF(P475="Sí",'Configuración'!$B$11,0)+IF(Q475="Sí",'Configuración'!$B$12,0)+S475+T475+U475)</f>
        <v>36</v>
      </c>
      <c r="W475" s="39" t="str">
        <f>IF(B475="","",IF(V475&gt;='Configuración'!$B$19,"A",IF(V475&gt;='Configuración'!$B$20,"B",IF(V475&gt;='Configuración'!$B$21,"C","Descarte"))))</f>
        <v>C</v>
      </c>
    </row>
    <row r="476" ht="15.75" customHeight="1">
      <c r="A476" s="34">
        <f t="shared" si="1"/>
        <v>474</v>
      </c>
      <c r="B476" s="29" t="s">
        <v>2948</v>
      </c>
      <c r="C476" s="29" t="s">
        <v>146</v>
      </c>
      <c r="D476" s="29" t="s">
        <v>2949</v>
      </c>
      <c r="E476" s="29" t="s">
        <v>2950</v>
      </c>
      <c r="F476" s="30" t="s">
        <v>2951</v>
      </c>
      <c r="G476" s="30" t="s">
        <v>2952</v>
      </c>
      <c r="H476" s="30" t="s">
        <v>2953</v>
      </c>
      <c r="I476" s="29" t="s">
        <v>188</v>
      </c>
      <c r="J476" s="31">
        <v>33.0</v>
      </c>
      <c r="K476" s="35"/>
      <c r="L476" s="35"/>
      <c r="M476" s="35"/>
      <c r="N476" s="35"/>
      <c r="O476" s="35"/>
      <c r="P476" s="35"/>
      <c r="Q476" s="35"/>
      <c r="R476" s="35"/>
      <c r="S476" s="37">
        <f>IF(B476="","",IF(ISNUMBER(J476),IF(J476&lt;=10,'Configuración'!$B$23,IF(J476&lt;=50,'Configuración'!$B$24,IF(J476&lt;=200,'Configuración'!$B$25,0))),0))</f>
        <v>4</v>
      </c>
      <c r="T476" s="37">
        <f>IF(B476="","",IF(ISNUMBER(SEARCH("information technology",I476))+ISNUMBER(SEARCH("software",I476))+ISNUMBER(SEARCH("internet",I476))+ISNUMBER(SEARCH("computer",I476))+ISNUMBER(SEARCH("saas",I476))+ISNUMBER(SEARCH("fintech",I476))+ISNUMBER(SEARCH("information services",I476))+ISNUMBER(SEARCH("telecommunications",I476))&gt;0,'Configuración'!$B$27,'Configuración'!$B$28))</f>
        <v>4</v>
      </c>
      <c r="U476" s="25">
        <f>IF(B476="","",IF(ISNUMBER(SEARCH("CEO",C476))+ISNUMBER(SEARCH("Founder",C476))+ISNUMBER(SEARCH("Owner",C476))+ISNUMBER(SEARCH("Dueño",C476))+ISNUMBER(SEARCH("Director General",C476))+ISNUMBER(SEARCH("Presidente",C476))+ISNUMBER(SEARCH("President",C476))&gt;0,'Configuración'!$B$31,IF(ISNUMBER(SEARCH("CMO",C476))+ISNUMBER(SEARCH("Chief Marketing",C476))+ISNUMBER(SEARCH("VP Marketing",C476))+ISNUMBER(SEARCH("Director de Marketing",C476))+ISNUMBER(SEARCH("Director Marketing",C476))+ISNUMBER(SEARCH("Head of Marketing",C476))+ISNUMBER(SEARCH("Head Marketing",C476))&gt;0,'Configuración'!$B$32,IF(ISNUMBER(SEARCH("Marketing Manager",C476))+ISNUMBER(SEARCH("Gerente de Marketing",C476))+ISNUMBER(SEARCH("Growth Manager",C476))+ISNUMBER(SEARCH("Demand Gen",C476))+ISNUMBER(SEARCH("Marketing Lead",C476))&gt;0,'Configuración'!$B$33,IF(ISNUMBER(SEARCH("COO",C476))+ISNUMBER(SEARCH("CFO",C476))+ISNUMBER(SEARCH("CTO",C476))+ISNUMBER(SEARCH("Chief Operating",C476))+ISNUMBER(SEARCH("Chief Financial",C476))+ISNUMBER(SEARCH("Gerente General",C476))+ISNUMBER(SEARCH("General Manager",C476))&gt;0,'Configuración'!$B$34,'Configuración'!$B$35)))))</f>
        <v>0</v>
      </c>
      <c r="V476" s="38">
        <f>IF(B476="","",IF(K476="Sí",'Configuración'!$B$5,0)+IF(L476="Semanal",'Configuración'!$B$6,IF(L476="Mensual",'Configuración'!$B$7,0))+IF(M476="Sí",'Configuración'!$B$8,0)+IF(N476="Sí",'Configuración'!$B$9,0)+IF(O476="Sí",'Configuración'!$B$10,0)+IF(P476="Sí",'Configuración'!$B$11,0)+IF(Q476="Sí",'Configuración'!$B$12,0)+S476+T476+U476)</f>
        <v>8</v>
      </c>
      <c r="W476" s="39" t="str">
        <f>IF(B476="","",IF(V476&gt;='Configuración'!$B$19,"A",IF(V476&gt;='Configuración'!$B$20,"B",IF(V476&gt;='Configuración'!$B$21,"C","Descarte"))))</f>
        <v>Descarte</v>
      </c>
    </row>
    <row r="477" ht="15.75" customHeight="1">
      <c r="A477" s="34">
        <f t="shared" si="1"/>
        <v>475</v>
      </c>
      <c r="B477" s="29" t="s">
        <v>2677</v>
      </c>
      <c r="C477" s="29" t="s">
        <v>318</v>
      </c>
      <c r="D477" s="29" t="s">
        <v>2954</v>
      </c>
      <c r="E477" s="29" t="s">
        <v>2955</v>
      </c>
      <c r="F477" s="30" t="s">
        <v>2956</v>
      </c>
      <c r="G477" s="30" t="s">
        <v>2957</v>
      </c>
      <c r="H477" s="30" t="s">
        <v>2958</v>
      </c>
      <c r="I477" s="29" t="s">
        <v>127</v>
      </c>
      <c r="J477" s="31">
        <v>2.0</v>
      </c>
      <c r="K477" s="35"/>
      <c r="L477" s="35"/>
      <c r="M477" s="35"/>
      <c r="N477" s="35"/>
      <c r="O477" s="35"/>
      <c r="P477" s="35"/>
      <c r="Q477" s="35"/>
      <c r="R477" s="35"/>
      <c r="S477" s="37">
        <f>IF(B477="","",IF(ISNUMBER(J477),IF(J477&lt;=10,'Configuración'!$B$23,IF(J477&lt;=50,'Configuración'!$B$24,IF(J477&lt;=200,'Configuración'!$B$25,0))),0))</f>
        <v>12</v>
      </c>
      <c r="T477" s="37">
        <f>IF(B477="","",IF(ISNUMBER(SEARCH("information technology",I477))+ISNUMBER(SEARCH("software",I477))+ISNUMBER(SEARCH("internet",I477))+ISNUMBER(SEARCH("computer",I477))+ISNUMBER(SEARCH("saas",I477))+ISNUMBER(SEARCH("fintech",I477))+ISNUMBER(SEARCH("information services",I477))+ISNUMBER(SEARCH("telecommunications",I477))&gt;0,'Configuración'!$B$27,'Configuración'!$B$28))</f>
        <v>12</v>
      </c>
      <c r="U477" s="25">
        <f>IF(B477="","",IF(ISNUMBER(SEARCH("CEO",C477))+ISNUMBER(SEARCH("Founder",C477))+ISNUMBER(SEARCH("Owner",C477))+ISNUMBER(SEARCH("Dueño",C477))+ISNUMBER(SEARCH("Director General",C477))+ISNUMBER(SEARCH("Presidente",C477))+ISNUMBER(SEARCH("President",C477))&gt;0,'Configuración'!$B$31,IF(ISNUMBER(SEARCH("CMO",C477))+ISNUMBER(SEARCH("Chief Marketing",C477))+ISNUMBER(SEARCH("VP Marketing",C477))+ISNUMBER(SEARCH("Director de Marketing",C477))+ISNUMBER(SEARCH("Director Marketing",C477))+ISNUMBER(SEARCH("Head of Marketing",C477))+ISNUMBER(SEARCH("Head Marketing",C477))&gt;0,'Configuración'!$B$32,IF(ISNUMBER(SEARCH("Marketing Manager",C477))+ISNUMBER(SEARCH("Gerente de Marketing",C477))+ISNUMBER(SEARCH("Growth Manager",C477))+ISNUMBER(SEARCH("Demand Gen",C477))+ISNUMBER(SEARCH("Marketing Lead",C477))&gt;0,'Configuración'!$B$33,IF(ISNUMBER(SEARCH("COO",C477))+ISNUMBER(SEARCH("CFO",C477))+ISNUMBER(SEARCH("CTO",C477))+ISNUMBER(SEARCH("Chief Operating",C477))+ISNUMBER(SEARCH("Chief Financial",C477))+ISNUMBER(SEARCH("Gerente General",C477))+ISNUMBER(SEARCH("General Manager",C477))&gt;0,'Configuración'!$B$34,'Configuración'!$B$35)))))</f>
        <v>4</v>
      </c>
      <c r="V477" s="38">
        <f>IF(B477="","",IF(K477="Sí",'Configuración'!$B$5,0)+IF(L477="Semanal",'Configuración'!$B$6,IF(L477="Mensual",'Configuración'!$B$7,0))+IF(M477="Sí",'Configuración'!$B$8,0)+IF(N477="Sí",'Configuración'!$B$9,0)+IF(O477="Sí",'Configuración'!$B$10,0)+IF(P477="Sí",'Configuración'!$B$11,0)+IF(Q477="Sí",'Configuración'!$B$12,0)+S477+T477+U477)</f>
        <v>28</v>
      </c>
      <c r="W477" s="39" t="str">
        <f>IF(B477="","",IF(V477&gt;='Configuración'!$B$19,"A",IF(V477&gt;='Configuración'!$B$20,"B",IF(V477&gt;='Configuración'!$B$21,"C","Descarte"))))</f>
        <v>C</v>
      </c>
    </row>
    <row r="478" ht="15.75" customHeight="1">
      <c r="A478" s="34">
        <f t="shared" si="1"/>
        <v>476</v>
      </c>
      <c r="B478" s="29" t="s">
        <v>174</v>
      </c>
      <c r="C478" s="29" t="s">
        <v>2959</v>
      </c>
      <c r="D478" s="29" t="s">
        <v>2960</v>
      </c>
      <c r="E478" s="29" t="s">
        <v>2961</v>
      </c>
      <c r="F478" s="30" t="s">
        <v>2962</v>
      </c>
      <c r="G478" s="30" t="s">
        <v>2963</v>
      </c>
      <c r="H478" s="30" t="s">
        <v>2964</v>
      </c>
      <c r="I478" s="29" t="s">
        <v>769</v>
      </c>
      <c r="J478" s="31">
        <v>6.0</v>
      </c>
      <c r="K478" s="35"/>
      <c r="L478" s="35"/>
      <c r="M478" s="35"/>
      <c r="N478" s="35"/>
      <c r="O478" s="35"/>
      <c r="P478" s="35"/>
      <c r="Q478" s="35"/>
      <c r="R478" s="35"/>
      <c r="S478" s="37">
        <f>IF(B478="","",IF(ISNUMBER(J478),IF(J478&lt;=10,'Configuración'!$B$23,IF(J478&lt;=50,'Configuración'!$B$24,IF(J478&lt;=200,'Configuración'!$B$25,0))),0))</f>
        <v>12</v>
      </c>
      <c r="T478" s="37">
        <f>IF(B478="","",IF(ISNUMBER(SEARCH("information technology",I478))+ISNUMBER(SEARCH("software",I478))+ISNUMBER(SEARCH("internet",I478))+ISNUMBER(SEARCH("computer",I478))+ISNUMBER(SEARCH("saas",I478))+ISNUMBER(SEARCH("fintech",I478))+ISNUMBER(SEARCH("information services",I478))+ISNUMBER(SEARCH("telecommunications",I478))&gt;0,'Configuración'!$B$27,'Configuración'!$B$28))</f>
        <v>4</v>
      </c>
      <c r="U478" s="25">
        <f>IF(B478="","",IF(ISNUMBER(SEARCH("CEO",C478))+ISNUMBER(SEARCH("Founder",C478))+ISNUMBER(SEARCH("Owner",C478))+ISNUMBER(SEARCH("Dueño",C478))+ISNUMBER(SEARCH("Director General",C478))+ISNUMBER(SEARCH("Presidente",C478))+ISNUMBER(SEARCH("President",C478))&gt;0,'Configuración'!$B$31,IF(ISNUMBER(SEARCH("CMO",C478))+ISNUMBER(SEARCH("Chief Marketing",C478))+ISNUMBER(SEARCH("VP Marketing",C478))+ISNUMBER(SEARCH("Director de Marketing",C478))+ISNUMBER(SEARCH("Director Marketing",C478))+ISNUMBER(SEARCH("Head of Marketing",C478))+ISNUMBER(SEARCH("Head Marketing",C478))&gt;0,'Configuración'!$B$32,IF(ISNUMBER(SEARCH("Marketing Manager",C478))+ISNUMBER(SEARCH("Gerente de Marketing",C478))+ISNUMBER(SEARCH("Growth Manager",C478))+ISNUMBER(SEARCH("Demand Gen",C478))+ISNUMBER(SEARCH("Marketing Lead",C478))&gt;0,'Configuración'!$B$33,IF(ISNUMBER(SEARCH("COO",C478))+ISNUMBER(SEARCH("CFO",C478))+ISNUMBER(SEARCH("CTO",C478))+ISNUMBER(SEARCH("Chief Operating",C478))+ISNUMBER(SEARCH("Chief Financial",C478))+ISNUMBER(SEARCH("Gerente General",C478))+ISNUMBER(SEARCH("General Manager",C478))&gt;0,'Configuración'!$B$34,'Configuración'!$B$35)))))</f>
        <v>12</v>
      </c>
      <c r="V478" s="38">
        <f>IF(B478="","",IF(K478="Sí",'Configuración'!$B$5,0)+IF(L478="Semanal",'Configuración'!$B$6,IF(L478="Mensual",'Configuración'!$B$7,0))+IF(M478="Sí",'Configuración'!$B$8,0)+IF(N478="Sí",'Configuración'!$B$9,0)+IF(O478="Sí",'Configuración'!$B$10,0)+IF(P478="Sí",'Configuración'!$B$11,0)+IF(Q478="Sí",'Configuración'!$B$12,0)+S478+T478+U478)</f>
        <v>28</v>
      </c>
      <c r="W478" s="39" t="str">
        <f>IF(B478="","",IF(V478&gt;='Configuración'!$B$19,"A",IF(V478&gt;='Configuración'!$B$20,"B",IF(V478&gt;='Configuración'!$B$21,"C","Descarte"))))</f>
        <v>C</v>
      </c>
    </row>
    <row r="479" ht="15.75" customHeight="1">
      <c r="A479" s="34">
        <f t="shared" si="1"/>
        <v>477</v>
      </c>
      <c r="B479" s="29" t="s">
        <v>1048</v>
      </c>
      <c r="C479" s="29" t="s">
        <v>487</v>
      </c>
      <c r="D479" s="29" t="s">
        <v>2965</v>
      </c>
      <c r="E479" s="29" t="s">
        <v>2966</v>
      </c>
      <c r="F479" s="30" t="s">
        <v>2967</v>
      </c>
      <c r="G479" s="30" t="s">
        <v>2968</v>
      </c>
      <c r="H479" s="30" t="s">
        <v>2969</v>
      </c>
      <c r="I479" s="29" t="s">
        <v>542</v>
      </c>
      <c r="J479" s="31">
        <v>19.0</v>
      </c>
      <c r="K479" s="35"/>
      <c r="L479" s="35"/>
      <c r="M479" s="35"/>
      <c r="N479" s="35"/>
      <c r="O479" s="35"/>
      <c r="P479" s="35"/>
      <c r="Q479" s="35"/>
      <c r="R479" s="35"/>
      <c r="S479" s="37">
        <f>IF(B479="","",IF(ISNUMBER(J479),IF(J479&lt;=10,'Configuración'!$B$23,IF(J479&lt;=50,'Configuración'!$B$24,IF(J479&lt;=200,'Configuración'!$B$25,0))),0))</f>
        <v>4</v>
      </c>
      <c r="T479" s="37">
        <f>IF(B479="","",IF(ISNUMBER(SEARCH("information technology",I479))+ISNUMBER(SEARCH("software",I479))+ISNUMBER(SEARCH("internet",I479))+ISNUMBER(SEARCH("computer",I479))+ISNUMBER(SEARCH("saas",I479))+ISNUMBER(SEARCH("fintech",I479))+ISNUMBER(SEARCH("information services",I479))+ISNUMBER(SEARCH("telecommunications",I479))&gt;0,'Configuración'!$B$27,'Configuración'!$B$28))</f>
        <v>4</v>
      </c>
      <c r="U479" s="25">
        <f>IF(B479="","",IF(ISNUMBER(SEARCH("CEO",C479))+ISNUMBER(SEARCH("Founder",C479))+ISNUMBER(SEARCH("Owner",C479))+ISNUMBER(SEARCH("Dueño",C479))+ISNUMBER(SEARCH("Director General",C479))+ISNUMBER(SEARCH("Presidente",C479))+ISNUMBER(SEARCH("President",C479))&gt;0,'Configuración'!$B$31,IF(ISNUMBER(SEARCH("CMO",C479))+ISNUMBER(SEARCH("Chief Marketing",C479))+ISNUMBER(SEARCH("VP Marketing",C479))+ISNUMBER(SEARCH("Director de Marketing",C479))+ISNUMBER(SEARCH("Director Marketing",C479))+ISNUMBER(SEARCH("Head of Marketing",C479))+ISNUMBER(SEARCH("Head Marketing",C479))&gt;0,'Configuración'!$B$32,IF(ISNUMBER(SEARCH("Marketing Manager",C479))+ISNUMBER(SEARCH("Gerente de Marketing",C479))+ISNUMBER(SEARCH("Growth Manager",C479))+ISNUMBER(SEARCH("Demand Gen",C479))+ISNUMBER(SEARCH("Marketing Lead",C479))&gt;0,'Configuración'!$B$33,IF(ISNUMBER(SEARCH("COO",C479))+ISNUMBER(SEARCH("CFO",C479))+ISNUMBER(SEARCH("CTO",C479))+ISNUMBER(SEARCH("Chief Operating",C479))+ISNUMBER(SEARCH("Chief Financial",C479))+ISNUMBER(SEARCH("Gerente General",C479))+ISNUMBER(SEARCH("General Manager",C479))&gt;0,'Configuración'!$B$34,'Configuración'!$B$35)))))</f>
        <v>12</v>
      </c>
      <c r="V479" s="38">
        <f>IF(B479="","",IF(K479="Sí",'Configuración'!$B$5,0)+IF(L479="Semanal",'Configuración'!$B$6,IF(L479="Mensual",'Configuración'!$B$7,0))+IF(M479="Sí",'Configuración'!$B$8,0)+IF(N479="Sí",'Configuración'!$B$9,0)+IF(O479="Sí",'Configuración'!$B$10,0)+IF(P479="Sí",'Configuración'!$B$11,0)+IF(Q479="Sí",'Configuración'!$B$12,0)+S479+T479+U479)</f>
        <v>20</v>
      </c>
      <c r="W479" s="39" t="str">
        <f>IF(B479="","",IF(V479&gt;='Configuración'!$B$19,"A",IF(V479&gt;='Configuración'!$B$20,"B",IF(V479&gt;='Configuración'!$B$21,"C","Descarte"))))</f>
        <v>Descarte</v>
      </c>
    </row>
    <row r="480" ht="15.75" customHeight="1">
      <c r="A480" s="34">
        <f t="shared" si="1"/>
        <v>478</v>
      </c>
      <c r="B480" s="29" t="s">
        <v>174</v>
      </c>
      <c r="C480" s="29" t="s">
        <v>2266</v>
      </c>
      <c r="D480" s="29" t="s">
        <v>2970</v>
      </c>
      <c r="E480" s="29" t="s">
        <v>2971</v>
      </c>
      <c r="F480" s="30" t="s">
        <v>2972</v>
      </c>
      <c r="G480" s="30" t="s">
        <v>2973</v>
      </c>
      <c r="H480" s="30" t="s">
        <v>2974</v>
      </c>
      <c r="I480" s="29" t="s">
        <v>127</v>
      </c>
      <c r="J480" s="31">
        <v>1.0</v>
      </c>
      <c r="K480" s="35"/>
      <c r="L480" s="35"/>
      <c r="M480" s="35"/>
      <c r="N480" s="35"/>
      <c r="O480" s="35"/>
      <c r="P480" s="35"/>
      <c r="Q480" s="35"/>
      <c r="R480" s="35"/>
      <c r="S480" s="37">
        <f>IF(B480="","",IF(ISNUMBER(J480),IF(J480&lt;=10,'Configuración'!$B$23,IF(J480&lt;=50,'Configuración'!$B$24,IF(J480&lt;=200,'Configuración'!$B$25,0))),0))</f>
        <v>12</v>
      </c>
      <c r="T480" s="37">
        <f>IF(B480="","",IF(ISNUMBER(SEARCH("information technology",I480))+ISNUMBER(SEARCH("software",I480))+ISNUMBER(SEARCH("internet",I480))+ISNUMBER(SEARCH("computer",I480))+ISNUMBER(SEARCH("saas",I480))+ISNUMBER(SEARCH("fintech",I480))+ISNUMBER(SEARCH("information services",I480))+ISNUMBER(SEARCH("telecommunications",I480))&gt;0,'Configuración'!$B$27,'Configuración'!$B$28))</f>
        <v>12</v>
      </c>
      <c r="U480" s="25">
        <f>IF(B480="","",IF(ISNUMBER(SEARCH("CEO",C480))+ISNUMBER(SEARCH("Founder",C480))+ISNUMBER(SEARCH("Owner",C480))+ISNUMBER(SEARCH("Dueño",C480))+ISNUMBER(SEARCH("Director General",C480))+ISNUMBER(SEARCH("Presidente",C480))+ISNUMBER(SEARCH("President",C480))&gt;0,'Configuración'!$B$31,IF(ISNUMBER(SEARCH("CMO",C480))+ISNUMBER(SEARCH("Chief Marketing",C480))+ISNUMBER(SEARCH("VP Marketing",C480))+ISNUMBER(SEARCH("Director de Marketing",C480))+ISNUMBER(SEARCH("Director Marketing",C480))+ISNUMBER(SEARCH("Head of Marketing",C480))+ISNUMBER(SEARCH("Head Marketing",C480))&gt;0,'Configuración'!$B$32,IF(ISNUMBER(SEARCH("Marketing Manager",C480))+ISNUMBER(SEARCH("Gerente de Marketing",C480))+ISNUMBER(SEARCH("Growth Manager",C480))+ISNUMBER(SEARCH("Demand Gen",C480))+ISNUMBER(SEARCH("Marketing Lead",C480))&gt;0,'Configuración'!$B$33,IF(ISNUMBER(SEARCH("COO",C480))+ISNUMBER(SEARCH("CFO",C480))+ISNUMBER(SEARCH("CTO",C480))+ISNUMBER(SEARCH("Chief Operating",C480))+ISNUMBER(SEARCH("Chief Financial",C480))+ISNUMBER(SEARCH("Gerente General",C480))+ISNUMBER(SEARCH("General Manager",C480))&gt;0,'Configuración'!$B$34,'Configuración'!$B$35)))))</f>
        <v>12</v>
      </c>
      <c r="V480" s="38">
        <f>IF(B480="","",IF(K480="Sí",'Configuración'!$B$5,0)+IF(L480="Semanal",'Configuración'!$B$6,IF(L480="Mensual",'Configuración'!$B$7,0))+IF(M480="Sí",'Configuración'!$B$8,0)+IF(N480="Sí",'Configuración'!$B$9,0)+IF(O480="Sí",'Configuración'!$B$10,0)+IF(P480="Sí",'Configuración'!$B$11,0)+IF(Q480="Sí",'Configuración'!$B$12,0)+S480+T480+U480)</f>
        <v>36</v>
      </c>
      <c r="W480" s="39" t="str">
        <f>IF(B480="","",IF(V480&gt;='Configuración'!$B$19,"A",IF(V480&gt;='Configuración'!$B$20,"B",IF(V480&gt;='Configuración'!$B$21,"C","Descarte"))))</f>
        <v>C</v>
      </c>
    </row>
    <row r="481" ht="15.75" customHeight="1">
      <c r="A481" s="34">
        <f t="shared" si="1"/>
        <v>479</v>
      </c>
      <c r="B481" s="29" t="s">
        <v>2206</v>
      </c>
      <c r="C481" s="29" t="s">
        <v>304</v>
      </c>
      <c r="D481" s="29" t="s">
        <v>2975</v>
      </c>
      <c r="E481" s="29" t="s">
        <v>2976</v>
      </c>
      <c r="F481" s="30" t="s">
        <v>2977</v>
      </c>
      <c r="G481" s="30" t="s">
        <v>2978</v>
      </c>
      <c r="H481" s="30" t="s">
        <v>2979</v>
      </c>
      <c r="I481" s="29" t="s">
        <v>2980</v>
      </c>
      <c r="J481" s="31">
        <v>48.0</v>
      </c>
      <c r="K481" s="35"/>
      <c r="L481" s="35"/>
      <c r="M481" s="35"/>
      <c r="N481" s="35"/>
      <c r="O481" s="35"/>
      <c r="P481" s="35"/>
      <c r="Q481" s="35"/>
      <c r="R481" s="35"/>
      <c r="S481" s="37">
        <f>IF(B481="","",IF(ISNUMBER(J481),IF(J481&lt;=10,'Configuración'!$B$23,IF(J481&lt;=50,'Configuración'!$B$24,IF(J481&lt;=200,'Configuración'!$B$25,0))),0))</f>
        <v>4</v>
      </c>
      <c r="T481" s="37">
        <f>IF(B481="","",IF(ISNUMBER(SEARCH("information technology",I481))+ISNUMBER(SEARCH("software",I481))+ISNUMBER(SEARCH("internet",I481))+ISNUMBER(SEARCH("computer",I481))+ISNUMBER(SEARCH("saas",I481))+ISNUMBER(SEARCH("fintech",I481))+ISNUMBER(SEARCH("information services",I481))+ISNUMBER(SEARCH("telecommunications",I481))&gt;0,'Configuración'!$B$27,'Configuración'!$B$28))</f>
        <v>4</v>
      </c>
      <c r="U481" s="25">
        <f>IF(B481="","",IF(ISNUMBER(SEARCH("CEO",C481))+ISNUMBER(SEARCH("Founder",C481))+ISNUMBER(SEARCH("Owner",C481))+ISNUMBER(SEARCH("Dueño",C481))+ISNUMBER(SEARCH("Director General",C481))+ISNUMBER(SEARCH("Presidente",C481))+ISNUMBER(SEARCH("President",C481))&gt;0,'Configuración'!$B$31,IF(ISNUMBER(SEARCH("CMO",C481))+ISNUMBER(SEARCH("Chief Marketing",C481))+ISNUMBER(SEARCH("VP Marketing",C481))+ISNUMBER(SEARCH("Director de Marketing",C481))+ISNUMBER(SEARCH("Director Marketing",C481))+ISNUMBER(SEARCH("Head of Marketing",C481))+ISNUMBER(SEARCH("Head Marketing",C481))&gt;0,'Configuración'!$B$32,IF(ISNUMBER(SEARCH("Marketing Manager",C481))+ISNUMBER(SEARCH("Gerente de Marketing",C481))+ISNUMBER(SEARCH("Growth Manager",C481))+ISNUMBER(SEARCH("Demand Gen",C481))+ISNUMBER(SEARCH("Marketing Lead",C481))&gt;0,'Configuración'!$B$33,IF(ISNUMBER(SEARCH("COO",C481))+ISNUMBER(SEARCH("CFO",C481))+ISNUMBER(SEARCH("CTO",C481))+ISNUMBER(SEARCH("Chief Operating",C481))+ISNUMBER(SEARCH("Chief Financial",C481))+ISNUMBER(SEARCH("Gerente General",C481))+ISNUMBER(SEARCH("General Manager",C481))&gt;0,'Configuración'!$B$34,'Configuración'!$B$35)))))</f>
        <v>4</v>
      </c>
      <c r="V481" s="38">
        <f>IF(B481="","",IF(K481="Sí",'Configuración'!$B$5,0)+IF(L481="Semanal",'Configuración'!$B$6,IF(L481="Mensual",'Configuración'!$B$7,0))+IF(M481="Sí",'Configuración'!$B$8,0)+IF(N481="Sí",'Configuración'!$B$9,0)+IF(O481="Sí",'Configuración'!$B$10,0)+IF(P481="Sí",'Configuración'!$B$11,0)+IF(Q481="Sí",'Configuración'!$B$12,0)+S481+T481+U481)</f>
        <v>12</v>
      </c>
      <c r="W481" s="39" t="str">
        <f>IF(B481="","",IF(V481&gt;='Configuración'!$B$19,"A",IF(V481&gt;='Configuración'!$B$20,"B",IF(V481&gt;='Configuración'!$B$21,"C","Descarte"))))</f>
        <v>Descarte</v>
      </c>
    </row>
    <row r="482" ht="15.75" customHeight="1">
      <c r="A482" s="34">
        <f t="shared" si="1"/>
        <v>480</v>
      </c>
      <c r="B482" s="29" t="s">
        <v>1601</v>
      </c>
      <c r="C482" s="29" t="s">
        <v>2981</v>
      </c>
      <c r="D482" s="29" t="s">
        <v>2982</v>
      </c>
      <c r="E482" s="29" t="s">
        <v>2983</v>
      </c>
      <c r="F482" s="30" t="s">
        <v>2984</v>
      </c>
      <c r="G482" s="30" t="s">
        <v>2985</v>
      </c>
      <c r="H482" s="30" t="s">
        <v>2986</v>
      </c>
      <c r="I482" s="29" t="s">
        <v>127</v>
      </c>
      <c r="J482" s="31">
        <v>2.0</v>
      </c>
      <c r="K482" s="35"/>
      <c r="L482" s="35"/>
      <c r="M482" s="35"/>
      <c r="N482" s="35"/>
      <c r="O482" s="35"/>
      <c r="P482" s="35"/>
      <c r="Q482" s="35"/>
      <c r="R482" s="35"/>
      <c r="S482" s="37">
        <f>IF(B482="","",IF(ISNUMBER(J482),IF(J482&lt;=10,'Configuración'!$B$23,IF(J482&lt;=50,'Configuración'!$B$24,IF(J482&lt;=200,'Configuración'!$B$25,0))),0))</f>
        <v>12</v>
      </c>
      <c r="T482" s="37">
        <f>IF(B482="","",IF(ISNUMBER(SEARCH("information technology",I482))+ISNUMBER(SEARCH("software",I482))+ISNUMBER(SEARCH("internet",I482))+ISNUMBER(SEARCH("computer",I482))+ISNUMBER(SEARCH("saas",I482))+ISNUMBER(SEARCH("fintech",I482))+ISNUMBER(SEARCH("information services",I482))+ISNUMBER(SEARCH("telecommunications",I482))&gt;0,'Configuración'!$B$27,'Configuración'!$B$28))</f>
        <v>12</v>
      </c>
      <c r="U482" s="25">
        <f>IF(B482="","",IF(ISNUMBER(SEARCH("CEO",C482))+ISNUMBER(SEARCH("Founder",C482))+ISNUMBER(SEARCH("Owner",C482))+ISNUMBER(SEARCH("Dueño",C482))+ISNUMBER(SEARCH("Director General",C482))+ISNUMBER(SEARCH("Presidente",C482))+ISNUMBER(SEARCH("President",C482))&gt;0,'Configuración'!$B$31,IF(ISNUMBER(SEARCH("CMO",C482))+ISNUMBER(SEARCH("Chief Marketing",C482))+ISNUMBER(SEARCH("VP Marketing",C482))+ISNUMBER(SEARCH("Director de Marketing",C482))+ISNUMBER(SEARCH("Director Marketing",C482))+ISNUMBER(SEARCH("Head of Marketing",C482))+ISNUMBER(SEARCH("Head Marketing",C482))&gt;0,'Configuración'!$B$32,IF(ISNUMBER(SEARCH("Marketing Manager",C482))+ISNUMBER(SEARCH("Gerente de Marketing",C482))+ISNUMBER(SEARCH("Growth Manager",C482))+ISNUMBER(SEARCH("Demand Gen",C482))+ISNUMBER(SEARCH("Marketing Lead",C482))&gt;0,'Configuración'!$B$33,IF(ISNUMBER(SEARCH("COO",C482))+ISNUMBER(SEARCH("CFO",C482))+ISNUMBER(SEARCH("CTO",C482))+ISNUMBER(SEARCH("Chief Operating",C482))+ISNUMBER(SEARCH("Chief Financial",C482))+ISNUMBER(SEARCH("Gerente General",C482))+ISNUMBER(SEARCH("General Manager",C482))&gt;0,'Configuración'!$B$34,'Configuración'!$B$35)))))</f>
        <v>12</v>
      </c>
      <c r="V482" s="38">
        <f>IF(B482="","",IF(K482="Sí",'Configuración'!$B$5,0)+IF(L482="Semanal",'Configuración'!$B$6,IF(L482="Mensual",'Configuración'!$B$7,0))+IF(M482="Sí",'Configuración'!$B$8,0)+IF(N482="Sí",'Configuración'!$B$9,0)+IF(O482="Sí",'Configuración'!$B$10,0)+IF(P482="Sí",'Configuración'!$B$11,0)+IF(Q482="Sí",'Configuración'!$B$12,0)+S482+T482+U482)</f>
        <v>36</v>
      </c>
      <c r="W482" s="39" t="str">
        <f>IF(B482="","",IF(V482&gt;='Configuración'!$B$19,"A",IF(V482&gt;='Configuración'!$B$20,"B",IF(V482&gt;='Configuración'!$B$21,"C","Descarte"))))</f>
        <v>C</v>
      </c>
    </row>
    <row r="483" ht="15.75" customHeight="1">
      <c r="A483" s="34">
        <f t="shared" si="1"/>
        <v>481</v>
      </c>
      <c r="B483" s="29" t="s">
        <v>1528</v>
      </c>
      <c r="C483" s="29" t="s">
        <v>2987</v>
      </c>
      <c r="D483" s="29" t="s">
        <v>2988</v>
      </c>
      <c r="E483" s="29" t="s">
        <v>2989</v>
      </c>
      <c r="F483" s="30" t="s">
        <v>2990</v>
      </c>
      <c r="G483" s="30" t="s">
        <v>2991</v>
      </c>
      <c r="H483" s="30" t="s">
        <v>2992</v>
      </c>
      <c r="I483" s="29" t="s">
        <v>222</v>
      </c>
      <c r="J483" s="31">
        <v>3.0</v>
      </c>
      <c r="K483" s="35"/>
      <c r="L483" s="35"/>
      <c r="M483" s="35"/>
      <c r="N483" s="35"/>
      <c r="O483" s="35"/>
      <c r="P483" s="35"/>
      <c r="Q483" s="35"/>
      <c r="R483" s="35"/>
      <c r="S483" s="37">
        <f>IF(B483="","",IF(ISNUMBER(J483),IF(J483&lt;=10,'Configuración'!$B$23,IF(J483&lt;=50,'Configuración'!$B$24,IF(J483&lt;=200,'Configuración'!$B$25,0))),0))</f>
        <v>12</v>
      </c>
      <c r="T483" s="37">
        <f>IF(B483="","",IF(ISNUMBER(SEARCH("information technology",I483))+ISNUMBER(SEARCH("software",I483))+ISNUMBER(SEARCH("internet",I483))+ISNUMBER(SEARCH("computer",I483))+ISNUMBER(SEARCH("saas",I483))+ISNUMBER(SEARCH("fintech",I483))+ISNUMBER(SEARCH("information services",I483))+ISNUMBER(SEARCH("telecommunications",I483))&gt;0,'Configuración'!$B$27,'Configuración'!$B$28))</f>
        <v>4</v>
      </c>
      <c r="U483" s="25">
        <f>IF(B483="","",IF(ISNUMBER(SEARCH("CEO",C483))+ISNUMBER(SEARCH("Founder",C483))+ISNUMBER(SEARCH("Owner",C483))+ISNUMBER(SEARCH("Dueño",C483))+ISNUMBER(SEARCH("Director General",C483))+ISNUMBER(SEARCH("Presidente",C483))+ISNUMBER(SEARCH("President",C483))&gt;0,'Configuración'!$B$31,IF(ISNUMBER(SEARCH("CMO",C483))+ISNUMBER(SEARCH("Chief Marketing",C483))+ISNUMBER(SEARCH("VP Marketing",C483))+ISNUMBER(SEARCH("Director de Marketing",C483))+ISNUMBER(SEARCH("Director Marketing",C483))+ISNUMBER(SEARCH("Head of Marketing",C483))+ISNUMBER(SEARCH("Head Marketing",C483))&gt;0,'Configuración'!$B$32,IF(ISNUMBER(SEARCH("Marketing Manager",C483))+ISNUMBER(SEARCH("Gerente de Marketing",C483))+ISNUMBER(SEARCH("Growth Manager",C483))+ISNUMBER(SEARCH("Demand Gen",C483))+ISNUMBER(SEARCH("Marketing Lead",C483))&gt;0,'Configuración'!$B$33,IF(ISNUMBER(SEARCH("COO",C483))+ISNUMBER(SEARCH("CFO",C483))+ISNUMBER(SEARCH("CTO",C483))+ISNUMBER(SEARCH("Chief Operating",C483))+ISNUMBER(SEARCH("Chief Financial",C483))+ISNUMBER(SEARCH("Gerente General",C483))+ISNUMBER(SEARCH("General Manager",C483))&gt;0,'Configuración'!$B$34,'Configuración'!$B$35)))))</f>
        <v>12</v>
      </c>
      <c r="V483" s="38">
        <f>IF(B483="","",IF(K483="Sí",'Configuración'!$B$5,0)+IF(L483="Semanal",'Configuración'!$B$6,IF(L483="Mensual",'Configuración'!$B$7,0))+IF(M483="Sí",'Configuración'!$B$8,0)+IF(N483="Sí",'Configuración'!$B$9,0)+IF(O483="Sí",'Configuración'!$B$10,0)+IF(P483="Sí",'Configuración'!$B$11,0)+IF(Q483="Sí",'Configuración'!$B$12,0)+S483+T483+U483)</f>
        <v>28</v>
      </c>
      <c r="W483" s="39" t="str">
        <f>IF(B483="","",IF(V483&gt;='Configuración'!$B$19,"A",IF(V483&gt;='Configuración'!$B$20,"B",IF(V483&gt;='Configuración'!$B$21,"C","Descarte"))))</f>
        <v>C</v>
      </c>
    </row>
    <row r="484" ht="15.75" customHeight="1">
      <c r="A484" s="34">
        <f t="shared" si="1"/>
        <v>482</v>
      </c>
      <c r="B484" s="29" t="s">
        <v>2993</v>
      </c>
      <c r="C484" s="29" t="s">
        <v>146</v>
      </c>
      <c r="D484" s="29" t="s">
        <v>1923</v>
      </c>
      <c r="E484" s="29" t="s">
        <v>2994</v>
      </c>
      <c r="F484" s="30" t="s">
        <v>2995</v>
      </c>
      <c r="G484" s="30" t="s">
        <v>1925</v>
      </c>
      <c r="H484" s="30" t="s">
        <v>1926</v>
      </c>
      <c r="I484" s="29" t="s">
        <v>616</v>
      </c>
      <c r="J484" s="31">
        <v>5.0</v>
      </c>
      <c r="K484" s="35"/>
      <c r="L484" s="35"/>
      <c r="M484" s="35"/>
      <c r="N484" s="35"/>
      <c r="O484" s="35"/>
      <c r="P484" s="35"/>
      <c r="Q484" s="35"/>
      <c r="R484" s="35"/>
      <c r="S484" s="37">
        <f>IF(B484="","",IF(ISNUMBER(J484),IF(J484&lt;=10,'Configuración'!$B$23,IF(J484&lt;=50,'Configuración'!$B$24,IF(J484&lt;=200,'Configuración'!$B$25,0))),0))</f>
        <v>12</v>
      </c>
      <c r="T484" s="37">
        <f>IF(B484="","",IF(ISNUMBER(SEARCH("information technology",I484))+ISNUMBER(SEARCH("software",I484))+ISNUMBER(SEARCH("internet",I484))+ISNUMBER(SEARCH("computer",I484))+ISNUMBER(SEARCH("saas",I484))+ISNUMBER(SEARCH("fintech",I484))+ISNUMBER(SEARCH("information services",I484))+ISNUMBER(SEARCH("telecommunications",I484))&gt;0,'Configuración'!$B$27,'Configuración'!$B$28))</f>
        <v>4</v>
      </c>
      <c r="U484" s="25">
        <f>IF(B484="","",IF(ISNUMBER(SEARCH("CEO",C484))+ISNUMBER(SEARCH("Founder",C484))+ISNUMBER(SEARCH("Owner",C484))+ISNUMBER(SEARCH("Dueño",C484))+ISNUMBER(SEARCH("Director General",C484))+ISNUMBER(SEARCH("Presidente",C484))+ISNUMBER(SEARCH("President",C484))&gt;0,'Configuración'!$B$31,IF(ISNUMBER(SEARCH("CMO",C484))+ISNUMBER(SEARCH("Chief Marketing",C484))+ISNUMBER(SEARCH("VP Marketing",C484))+ISNUMBER(SEARCH("Director de Marketing",C484))+ISNUMBER(SEARCH("Director Marketing",C484))+ISNUMBER(SEARCH("Head of Marketing",C484))+ISNUMBER(SEARCH("Head Marketing",C484))&gt;0,'Configuración'!$B$32,IF(ISNUMBER(SEARCH("Marketing Manager",C484))+ISNUMBER(SEARCH("Gerente de Marketing",C484))+ISNUMBER(SEARCH("Growth Manager",C484))+ISNUMBER(SEARCH("Demand Gen",C484))+ISNUMBER(SEARCH("Marketing Lead",C484))&gt;0,'Configuración'!$B$33,IF(ISNUMBER(SEARCH("COO",C484))+ISNUMBER(SEARCH("CFO",C484))+ISNUMBER(SEARCH("CTO",C484))+ISNUMBER(SEARCH("Chief Operating",C484))+ISNUMBER(SEARCH("Chief Financial",C484))+ISNUMBER(SEARCH("Gerente General",C484))+ISNUMBER(SEARCH("General Manager",C484))&gt;0,'Configuración'!$B$34,'Configuración'!$B$35)))))</f>
        <v>0</v>
      </c>
      <c r="V484" s="38">
        <f>IF(B484="","",IF(K484="Sí",'Configuración'!$B$5,0)+IF(L484="Semanal",'Configuración'!$B$6,IF(L484="Mensual",'Configuración'!$B$7,0))+IF(M484="Sí",'Configuración'!$B$8,0)+IF(N484="Sí",'Configuración'!$B$9,0)+IF(O484="Sí",'Configuración'!$B$10,0)+IF(P484="Sí",'Configuración'!$B$11,0)+IF(Q484="Sí",'Configuración'!$B$12,0)+S484+T484+U484)</f>
        <v>16</v>
      </c>
      <c r="W484" s="39" t="str">
        <f>IF(B484="","",IF(V484&gt;='Configuración'!$B$19,"A",IF(V484&gt;='Configuración'!$B$20,"B",IF(V484&gt;='Configuración'!$B$21,"C","Descarte"))))</f>
        <v>Descarte</v>
      </c>
    </row>
    <row r="485" ht="15.75" customHeight="1">
      <c r="A485" s="34">
        <f t="shared" si="1"/>
        <v>483</v>
      </c>
      <c r="B485" s="29" t="s">
        <v>201</v>
      </c>
      <c r="C485" s="29" t="s">
        <v>2996</v>
      </c>
      <c r="D485" s="29" t="s">
        <v>2997</v>
      </c>
      <c r="E485" s="29" t="s">
        <v>2998</v>
      </c>
      <c r="F485" s="30" t="s">
        <v>2999</v>
      </c>
      <c r="G485" s="30" t="s">
        <v>3000</v>
      </c>
      <c r="H485" s="30" t="s">
        <v>3001</v>
      </c>
      <c r="I485" s="29" t="s">
        <v>127</v>
      </c>
      <c r="J485" s="31">
        <v>11.0</v>
      </c>
      <c r="K485" s="35"/>
      <c r="L485" s="35"/>
      <c r="M485" s="35"/>
      <c r="N485" s="35"/>
      <c r="O485" s="35"/>
      <c r="P485" s="35"/>
      <c r="Q485" s="35"/>
      <c r="R485" s="35"/>
      <c r="S485" s="37">
        <f>IF(B485="","",IF(ISNUMBER(J485),IF(J485&lt;=10,'Configuración'!$B$23,IF(J485&lt;=50,'Configuración'!$B$24,IF(J485&lt;=200,'Configuración'!$B$25,0))),0))</f>
        <v>4</v>
      </c>
      <c r="T485" s="37">
        <f>IF(B485="","",IF(ISNUMBER(SEARCH("information technology",I485))+ISNUMBER(SEARCH("software",I485))+ISNUMBER(SEARCH("internet",I485))+ISNUMBER(SEARCH("computer",I485))+ISNUMBER(SEARCH("saas",I485))+ISNUMBER(SEARCH("fintech",I485))+ISNUMBER(SEARCH("information services",I485))+ISNUMBER(SEARCH("telecommunications",I485))&gt;0,'Configuración'!$B$27,'Configuración'!$B$28))</f>
        <v>12</v>
      </c>
      <c r="U485" s="25">
        <f>IF(B485="","",IF(ISNUMBER(SEARCH("CEO",C485))+ISNUMBER(SEARCH("Founder",C485))+ISNUMBER(SEARCH("Owner",C485))+ISNUMBER(SEARCH("Dueño",C485))+ISNUMBER(SEARCH("Director General",C485))+ISNUMBER(SEARCH("Presidente",C485))+ISNUMBER(SEARCH("President",C485))&gt;0,'Configuración'!$B$31,IF(ISNUMBER(SEARCH("CMO",C485))+ISNUMBER(SEARCH("Chief Marketing",C485))+ISNUMBER(SEARCH("VP Marketing",C485))+ISNUMBER(SEARCH("Director de Marketing",C485))+ISNUMBER(SEARCH("Director Marketing",C485))+ISNUMBER(SEARCH("Head of Marketing",C485))+ISNUMBER(SEARCH("Head Marketing",C485))&gt;0,'Configuración'!$B$32,IF(ISNUMBER(SEARCH("Marketing Manager",C485))+ISNUMBER(SEARCH("Gerente de Marketing",C485))+ISNUMBER(SEARCH("Growth Manager",C485))+ISNUMBER(SEARCH("Demand Gen",C485))+ISNUMBER(SEARCH("Marketing Lead",C485))&gt;0,'Configuración'!$B$33,IF(ISNUMBER(SEARCH("COO",C485))+ISNUMBER(SEARCH("CFO",C485))+ISNUMBER(SEARCH("CTO",C485))+ISNUMBER(SEARCH("Chief Operating",C485))+ISNUMBER(SEARCH("Chief Financial",C485))+ISNUMBER(SEARCH("Gerente General",C485))+ISNUMBER(SEARCH("General Manager",C485))&gt;0,'Configuración'!$B$34,'Configuración'!$B$35)))))</f>
        <v>12</v>
      </c>
      <c r="V485" s="38">
        <f>IF(B485="","",IF(K485="Sí",'Configuración'!$B$5,0)+IF(L485="Semanal",'Configuración'!$B$6,IF(L485="Mensual",'Configuración'!$B$7,0))+IF(M485="Sí",'Configuración'!$B$8,0)+IF(N485="Sí",'Configuración'!$B$9,0)+IF(O485="Sí",'Configuración'!$B$10,0)+IF(P485="Sí",'Configuración'!$B$11,0)+IF(Q485="Sí",'Configuración'!$B$12,0)+S485+T485+U485)</f>
        <v>28</v>
      </c>
      <c r="W485" s="39" t="str">
        <f>IF(B485="","",IF(V485&gt;='Configuración'!$B$19,"A",IF(V485&gt;='Configuración'!$B$20,"B",IF(V485&gt;='Configuración'!$B$21,"C","Descarte"))))</f>
        <v>C</v>
      </c>
    </row>
    <row r="486" ht="15.75" customHeight="1">
      <c r="A486" s="34">
        <f t="shared" si="1"/>
        <v>484</v>
      </c>
      <c r="B486" s="29" t="s">
        <v>3002</v>
      </c>
      <c r="C486" s="29" t="s">
        <v>3003</v>
      </c>
      <c r="D486" s="29" t="s">
        <v>3004</v>
      </c>
      <c r="E486" s="29" t="s">
        <v>3005</v>
      </c>
      <c r="F486" s="30" t="s">
        <v>3006</v>
      </c>
      <c r="G486" s="30" t="s">
        <v>3007</v>
      </c>
      <c r="H486" s="30" t="s">
        <v>3008</v>
      </c>
      <c r="I486" s="29" t="s">
        <v>127</v>
      </c>
      <c r="J486" s="31">
        <v>9.0</v>
      </c>
      <c r="K486" s="35"/>
      <c r="L486" s="35"/>
      <c r="M486" s="35"/>
      <c r="N486" s="35"/>
      <c r="O486" s="35"/>
      <c r="P486" s="35"/>
      <c r="Q486" s="35"/>
      <c r="R486" s="35"/>
      <c r="S486" s="37">
        <f>IF(B486="","",IF(ISNUMBER(J486),IF(J486&lt;=10,'Configuración'!$B$23,IF(J486&lt;=50,'Configuración'!$B$24,IF(J486&lt;=200,'Configuración'!$B$25,0))),0))</f>
        <v>12</v>
      </c>
      <c r="T486" s="37">
        <f>IF(B486="","",IF(ISNUMBER(SEARCH("information technology",I486))+ISNUMBER(SEARCH("software",I486))+ISNUMBER(SEARCH("internet",I486))+ISNUMBER(SEARCH("computer",I486))+ISNUMBER(SEARCH("saas",I486))+ISNUMBER(SEARCH("fintech",I486))+ISNUMBER(SEARCH("information services",I486))+ISNUMBER(SEARCH("telecommunications",I486))&gt;0,'Configuración'!$B$27,'Configuración'!$B$28))</f>
        <v>12</v>
      </c>
      <c r="U486" s="25">
        <f>IF(B486="","",IF(ISNUMBER(SEARCH("CEO",C486))+ISNUMBER(SEARCH("Founder",C486))+ISNUMBER(SEARCH("Owner",C486))+ISNUMBER(SEARCH("Dueño",C486))+ISNUMBER(SEARCH("Director General",C486))+ISNUMBER(SEARCH("Presidente",C486))+ISNUMBER(SEARCH("President",C486))&gt;0,'Configuración'!$B$31,IF(ISNUMBER(SEARCH("CMO",C486))+ISNUMBER(SEARCH("Chief Marketing",C486))+ISNUMBER(SEARCH("VP Marketing",C486))+ISNUMBER(SEARCH("Director de Marketing",C486))+ISNUMBER(SEARCH("Director Marketing",C486))+ISNUMBER(SEARCH("Head of Marketing",C486))+ISNUMBER(SEARCH("Head Marketing",C486))&gt;0,'Configuración'!$B$32,IF(ISNUMBER(SEARCH("Marketing Manager",C486))+ISNUMBER(SEARCH("Gerente de Marketing",C486))+ISNUMBER(SEARCH("Growth Manager",C486))+ISNUMBER(SEARCH("Demand Gen",C486))+ISNUMBER(SEARCH("Marketing Lead",C486))&gt;0,'Configuración'!$B$33,IF(ISNUMBER(SEARCH("COO",C486))+ISNUMBER(SEARCH("CFO",C486))+ISNUMBER(SEARCH("CTO",C486))+ISNUMBER(SEARCH("Chief Operating",C486))+ISNUMBER(SEARCH("Chief Financial",C486))+ISNUMBER(SEARCH("Gerente General",C486))+ISNUMBER(SEARCH("General Manager",C486))&gt;0,'Configuración'!$B$34,'Configuración'!$B$35)))))</f>
        <v>12</v>
      </c>
      <c r="V486" s="38">
        <f>IF(B486="","",IF(K486="Sí",'Configuración'!$B$5,0)+IF(L486="Semanal",'Configuración'!$B$6,IF(L486="Mensual",'Configuración'!$B$7,0))+IF(M486="Sí",'Configuración'!$B$8,0)+IF(N486="Sí",'Configuración'!$B$9,0)+IF(O486="Sí",'Configuración'!$B$10,0)+IF(P486="Sí",'Configuración'!$B$11,0)+IF(Q486="Sí",'Configuración'!$B$12,0)+S486+T486+U486)</f>
        <v>36</v>
      </c>
      <c r="W486" s="39" t="str">
        <f>IF(B486="","",IF(V486&gt;='Configuración'!$B$19,"A",IF(V486&gt;='Configuración'!$B$20,"B",IF(V486&gt;='Configuración'!$B$21,"C","Descarte"))))</f>
        <v>C</v>
      </c>
    </row>
    <row r="487" ht="15.75" customHeight="1">
      <c r="A487" s="34">
        <f t="shared" si="1"/>
        <v>485</v>
      </c>
      <c r="B487" s="29" t="s">
        <v>3009</v>
      </c>
      <c r="C487" s="29" t="s">
        <v>304</v>
      </c>
      <c r="D487" s="29" t="s">
        <v>2321</v>
      </c>
      <c r="E487" s="29" t="s">
        <v>3010</v>
      </c>
      <c r="F487" s="30" t="s">
        <v>3011</v>
      </c>
      <c r="G487" s="30" t="s">
        <v>2324</v>
      </c>
      <c r="H487" s="30" t="s">
        <v>2325</v>
      </c>
      <c r="I487" s="29" t="s">
        <v>659</v>
      </c>
      <c r="J487" s="31">
        <v>44.0</v>
      </c>
      <c r="K487" s="35"/>
      <c r="L487" s="35"/>
      <c r="M487" s="35"/>
      <c r="N487" s="35"/>
      <c r="O487" s="35"/>
      <c r="P487" s="35"/>
      <c r="Q487" s="35"/>
      <c r="R487" s="35"/>
      <c r="S487" s="37">
        <f>IF(B487="","",IF(ISNUMBER(J487),IF(J487&lt;=10,'Configuración'!$B$23,IF(J487&lt;=50,'Configuración'!$B$24,IF(J487&lt;=200,'Configuración'!$B$25,0))),0))</f>
        <v>4</v>
      </c>
      <c r="T487" s="37">
        <f>IF(B487="","",IF(ISNUMBER(SEARCH("information technology",I487))+ISNUMBER(SEARCH("software",I487))+ISNUMBER(SEARCH("internet",I487))+ISNUMBER(SEARCH("computer",I487))+ISNUMBER(SEARCH("saas",I487))+ISNUMBER(SEARCH("fintech",I487))+ISNUMBER(SEARCH("information services",I487))+ISNUMBER(SEARCH("telecommunications",I487))&gt;0,'Configuración'!$B$27,'Configuración'!$B$28))</f>
        <v>4</v>
      </c>
      <c r="U487" s="25">
        <f>IF(B487="","",IF(ISNUMBER(SEARCH("CEO",C487))+ISNUMBER(SEARCH("Founder",C487))+ISNUMBER(SEARCH("Owner",C487))+ISNUMBER(SEARCH("Dueño",C487))+ISNUMBER(SEARCH("Director General",C487))+ISNUMBER(SEARCH("Presidente",C487))+ISNUMBER(SEARCH("President",C487))&gt;0,'Configuración'!$B$31,IF(ISNUMBER(SEARCH("CMO",C487))+ISNUMBER(SEARCH("Chief Marketing",C487))+ISNUMBER(SEARCH("VP Marketing",C487))+ISNUMBER(SEARCH("Director de Marketing",C487))+ISNUMBER(SEARCH("Director Marketing",C487))+ISNUMBER(SEARCH("Head of Marketing",C487))+ISNUMBER(SEARCH("Head Marketing",C487))&gt;0,'Configuración'!$B$32,IF(ISNUMBER(SEARCH("Marketing Manager",C487))+ISNUMBER(SEARCH("Gerente de Marketing",C487))+ISNUMBER(SEARCH("Growth Manager",C487))+ISNUMBER(SEARCH("Demand Gen",C487))+ISNUMBER(SEARCH("Marketing Lead",C487))&gt;0,'Configuración'!$B$33,IF(ISNUMBER(SEARCH("COO",C487))+ISNUMBER(SEARCH("CFO",C487))+ISNUMBER(SEARCH("CTO",C487))+ISNUMBER(SEARCH("Chief Operating",C487))+ISNUMBER(SEARCH("Chief Financial",C487))+ISNUMBER(SEARCH("Gerente General",C487))+ISNUMBER(SEARCH("General Manager",C487))&gt;0,'Configuración'!$B$34,'Configuración'!$B$35)))))</f>
        <v>4</v>
      </c>
      <c r="V487" s="38">
        <f>IF(B487="","",IF(K487="Sí",'Configuración'!$B$5,0)+IF(L487="Semanal",'Configuración'!$B$6,IF(L487="Mensual",'Configuración'!$B$7,0))+IF(M487="Sí",'Configuración'!$B$8,0)+IF(N487="Sí",'Configuración'!$B$9,0)+IF(O487="Sí",'Configuración'!$B$10,0)+IF(P487="Sí",'Configuración'!$B$11,0)+IF(Q487="Sí",'Configuración'!$B$12,0)+S487+T487+U487)</f>
        <v>12</v>
      </c>
      <c r="W487" s="39" t="str">
        <f>IF(B487="","",IF(V487&gt;='Configuración'!$B$19,"A",IF(V487&gt;='Configuración'!$B$20,"B",IF(V487&gt;='Configuración'!$B$21,"C","Descarte"))))</f>
        <v>Descarte</v>
      </c>
    </row>
    <row r="488" ht="15.75" customHeight="1">
      <c r="A488" s="34">
        <f t="shared" si="1"/>
        <v>486</v>
      </c>
      <c r="B488" s="29" t="s">
        <v>2757</v>
      </c>
      <c r="C488" s="29" t="s">
        <v>622</v>
      </c>
      <c r="D488" s="29" t="s">
        <v>3012</v>
      </c>
      <c r="E488" s="29" t="s">
        <v>3013</v>
      </c>
      <c r="F488" s="30" t="s">
        <v>3014</v>
      </c>
      <c r="G488" s="30" t="s">
        <v>3015</v>
      </c>
      <c r="H488" s="30" t="s">
        <v>3016</v>
      </c>
      <c r="I488" s="29" t="s">
        <v>127</v>
      </c>
      <c r="J488" s="31">
        <v>2.0</v>
      </c>
      <c r="K488" s="35"/>
      <c r="L488" s="35"/>
      <c r="M488" s="35"/>
      <c r="N488" s="35"/>
      <c r="O488" s="35"/>
      <c r="P488" s="35"/>
      <c r="Q488" s="35"/>
      <c r="R488" s="35"/>
      <c r="S488" s="37">
        <f>IF(B488="","",IF(ISNUMBER(J488),IF(J488&lt;=10,'Configuración'!$B$23,IF(J488&lt;=50,'Configuración'!$B$24,IF(J488&lt;=200,'Configuración'!$B$25,0))),0))</f>
        <v>12</v>
      </c>
      <c r="T488" s="37">
        <f>IF(B488="","",IF(ISNUMBER(SEARCH("information technology",I488))+ISNUMBER(SEARCH("software",I488))+ISNUMBER(SEARCH("internet",I488))+ISNUMBER(SEARCH("computer",I488))+ISNUMBER(SEARCH("saas",I488))+ISNUMBER(SEARCH("fintech",I488))+ISNUMBER(SEARCH("information services",I488))+ISNUMBER(SEARCH("telecommunications",I488))&gt;0,'Configuración'!$B$27,'Configuración'!$B$28))</f>
        <v>12</v>
      </c>
      <c r="U488" s="25">
        <f>IF(B488="","",IF(ISNUMBER(SEARCH("CEO",C488))+ISNUMBER(SEARCH("Founder",C488))+ISNUMBER(SEARCH("Owner",C488))+ISNUMBER(SEARCH("Dueño",C488))+ISNUMBER(SEARCH("Director General",C488))+ISNUMBER(SEARCH("Presidente",C488))+ISNUMBER(SEARCH("President",C488))&gt;0,'Configuración'!$B$31,IF(ISNUMBER(SEARCH("CMO",C488))+ISNUMBER(SEARCH("Chief Marketing",C488))+ISNUMBER(SEARCH("VP Marketing",C488))+ISNUMBER(SEARCH("Director de Marketing",C488))+ISNUMBER(SEARCH("Director Marketing",C488))+ISNUMBER(SEARCH("Head of Marketing",C488))+ISNUMBER(SEARCH("Head Marketing",C488))&gt;0,'Configuración'!$B$32,IF(ISNUMBER(SEARCH("Marketing Manager",C488))+ISNUMBER(SEARCH("Gerente de Marketing",C488))+ISNUMBER(SEARCH("Growth Manager",C488))+ISNUMBER(SEARCH("Demand Gen",C488))+ISNUMBER(SEARCH("Marketing Lead",C488))&gt;0,'Configuración'!$B$33,IF(ISNUMBER(SEARCH("COO",C488))+ISNUMBER(SEARCH("CFO",C488))+ISNUMBER(SEARCH("CTO",C488))+ISNUMBER(SEARCH("Chief Operating",C488))+ISNUMBER(SEARCH("Chief Financial",C488))+ISNUMBER(SEARCH("Gerente General",C488))+ISNUMBER(SEARCH("General Manager",C488))&gt;0,'Configuración'!$B$34,'Configuración'!$B$35)))))</f>
        <v>12</v>
      </c>
      <c r="V488" s="38">
        <f>IF(B488="","",IF(K488="Sí",'Configuración'!$B$5,0)+IF(L488="Semanal",'Configuración'!$B$6,IF(L488="Mensual",'Configuración'!$B$7,0))+IF(M488="Sí",'Configuración'!$B$8,0)+IF(N488="Sí",'Configuración'!$B$9,0)+IF(O488="Sí",'Configuración'!$B$10,0)+IF(P488="Sí",'Configuración'!$B$11,0)+IF(Q488="Sí",'Configuración'!$B$12,0)+S488+T488+U488)</f>
        <v>36</v>
      </c>
      <c r="W488" s="39" t="str">
        <f>IF(B488="","",IF(V488&gt;='Configuración'!$B$19,"A",IF(V488&gt;='Configuración'!$B$20,"B",IF(V488&gt;='Configuración'!$B$21,"C","Descarte"))))</f>
        <v>C</v>
      </c>
    </row>
    <row r="489" ht="15.75" customHeight="1">
      <c r="A489" s="34">
        <f t="shared" si="1"/>
        <v>487</v>
      </c>
      <c r="B489" s="29" t="s">
        <v>3017</v>
      </c>
      <c r="C489" s="29" t="s">
        <v>202</v>
      </c>
      <c r="D489" s="29" t="s">
        <v>3018</v>
      </c>
      <c r="E489" s="29" t="s">
        <v>3019</v>
      </c>
      <c r="F489" s="30" t="s">
        <v>3020</v>
      </c>
      <c r="G489" s="30" t="s">
        <v>3021</v>
      </c>
      <c r="H489" s="30" t="s">
        <v>3022</v>
      </c>
      <c r="I489" s="29" t="s">
        <v>127</v>
      </c>
      <c r="J489" s="31">
        <v>11.0</v>
      </c>
      <c r="K489" s="35"/>
      <c r="L489" s="35"/>
      <c r="M489" s="35"/>
      <c r="N489" s="35"/>
      <c r="O489" s="35"/>
      <c r="P489" s="35"/>
      <c r="Q489" s="35"/>
      <c r="R489" s="35"/>
      <c r="S489" s="37">
        <f>IF(B489="","",IF(ISNUMBER(J489),IF(J489&lt;=10,'Configuración'!$B$23,IF(J489&lt;=50,'Configuración'!$B$24,IF(J489&lt;=200,'Configuración'!$B$25,0))),0))</f>
        <v>4</v>
      </c>
      <c r="T489" s="37">
        <f>IF(B489="","",IF(ISNUMBER(SEARCH("information technology",I489))+ISNUMBER(SEARCH("software",I489))+ISNUMBER(SEARCH("internet",I489))+ISNUMBER(SEARCH("computer",I489))+ISNUMBER(SEARCH("saas",I489))+ISNUMBER(SEARCH("fintech",I489))+ISNUMBER(SEARCH("information services",I489))+ISNUMBER(SEARCH("telecommunications",I489))&gt;0,'Configuración'!$B$27,'Configuración'!$B$28))</f>
        <v>12</v>
      </c>
      <c r="U489" s="25">
        <f>IF(B489="","",IF(ISNUMBER(SEARCH("CEO",C489))+ISNUMBER(SEARCH("Founder",C489))+ISNUMBER(SEARCH("Owner",C489))+ISNUMBER(SEARCH("Dueño",C489))+ISNUMBER(SEARCH("Director General",C489))+ISNUMBER(SEARCH("Presidente",C489))+ISNUMBER(SEARCH("President",C489))&gt;0,'Configuración'!$B$31,IF(ISNUMBER(SEARCH("CMO",C489))+ISNUMBER(SEARCH("Chief Marketing",C489))+ISNUMBER(SEARCH("VP Marketing",C489))+ISNUMBER(SEARCH("Director de Marketing",C489))+ISNUMBER(SEARCH("Director Marketing",C489))+ISNUMBER(SEARCH("Head of Marketing",C489))+ISNUMBER(SEARCH("Head Marketing",C489))&gt;0,'Configuración'!$B$32,IF(ISNUMBER(SEARCH("Marketing Manager",C489))+ISNUMBER(SEARCH("Gerente de Marketing",C489))+ISNUMBER(SEARCH("Growth Manager",C489))+ISNUMBER(SEARCH("Demand Gen",C489))+ISNUMBER(SEARCH("Marketing Lead",C489))&gt;0,'Configuración'!$B$33,IF(ISNUMBER(SEARCH("COO",C489))+ISNUMBER(SEARCH("CFO",C489))+ISNUMBER(SEARCH("CTO",C489))+ISNUMBER(SEARCH("Chief Operating",C489))+ISNUMBER(SEARCH("Chief Financial",C489))+ISNUMBER(SEARCH("Gerente General",C489))+ISNUMBER(SEARCH("General Manager",C489))&gt;0,'Configuración'!$B$34,'Configuración'!$B$35)))))</f>
        <v>12</v>
      </c>
      <c r="V489" s="38">
        <f>IF(B489="","",IF(K489="Sí",'Configuración'!$B$5,0)+IF(L489="Semanal",'Configuración'!$B$6,IF(L489="Mensual",'Configuración'!$B$7,0))+IF(M489="Sí",'Configuración'!$B$8,0)+IF(N489="Sí",'Configuración'!$B$9,0)+IF(O489="Sí",'Configuración'!$B$10,0)+IF(P489="Sí",'Configuración'!$B$11,0)+IF(Q489="Sí",'Configuración'!$B$12,0)+S489+T489+U489)</f>
        <v>28</v>
      </c>
      <c r="W489" s="39" t="str">
        <f>IF(B489="","",IF(V489&gt;='Configuración'!$B$19,"A",IF(V489&gt;='Configuración'!$B$20,"B",IF(V489&gt;='Configuración'!$B$21,"C","Descarte"))))</f>
        <v>C</v>
      </c>
    </row>
    <row r="490" ht="15.75" customHeight="1">
      <c r="A490" s="34">
        <f t="shared" si="1"/>
        <v>488</v>
      </c>
      <c r="B490" s="29" t="s">
        <v>3023</v>
      </c>
      <c r="C490" s="29" t="s">
        <v>175</v>
      </c>
      <c r="D490" s="40" t="s">
        <v>3024</v>
      </c>
      <c r="E490" s="29" t="s">
        <v>3025</v>
      </c>
      <c r="F490" s="30" t="s">
        <v>3026</v>
      </c>
      <c r="G490" s="30" t="s">
        <v>3027</v>
      </c>
      <c r="H490" s="30" t="s">
        <v>3028</v>
      </c>
      <c r="I490" s="29" t="s">
        <v>127</v>
      </c>
      <c r="J490" s="31">
        <v>1.0</v>
      </c>
      <c r="K490" s="35"/>
      <c r="L490" s="35"/>
      <c r="M490" s="35"/>
      <c r="N490" s="35"/>
      <c r="O490" s="35"/>
      <c r="P490" s="35"/>
      <c r="Q490" s="35"/>
      <c r="R490" s="35"/>
      <c r="S490" s="37">
        <f>IF(B490="","",IF(ISNUMBER(J490),IF(J490&lt;=10,'Configuración'!$B$23,IF(J490&lt;=50,'Configuración'!$B$24,IF(J490&lt;=200,'Configuración'!$B$25,0))),0))</f>
        <v>12</v>
      </c>
      <c r="T490" s="37">
        <f>IF(B490="","",IF(ISNUMBER(SEARCH("information technology",I490))+ISNUMBER(SEARCH("software",I490))+ISNUMBER(SEARCH("internet",I490))+ISNUMBER(SEARCH("computer",I490))+ISNUMBER(SEARCH("saas",I490))+ISNUMBER(SEARCH("fintech",I490))+ISNUMBER(SEARCH("information services",I490))+ISNUMBER(SEARCH("telecommunications",I490))&gt;0,'Configuración'!$B$27,'Configuración'!$B$28))</f>
        <v>12</v>
      </c>
      <c r="U490" s="25">
        <f>IF(B490="","",IF(ISNUMBER(SEARCH("CEO",C490))+ISNUMBER(SEARCH("Founder",C490))+ISNUMBER(SEARCH("Owner",C490))+ISNUMBER(SEARCH("Dueño",C490))+ISNUMBER(SEARCH("Director General",C490))+ISNUMBER(SEARCH("Presidente",C490))+ISNUMBER(SEARCH("President",C490))&gt;0,'Configuración'!$B$31,IF(ISNUMBER(SEARCH("CMO",C490))+ISNUMBER(SEARCH("Chief Marketing",C490))+ISNUMBER(SEARCH("VP Marketing",C490))+ISNUMBER(SEARCH("Director de Marketing",C490))+ISNUMBER(SEARCH("Director Marketing",C490))+ISNUMBER(SEARCH("Head of Marketing",C490))+ISNUMBER(SEARCH("Head Marketing",C490))&gt;0,'Configuración'!$B$32,IF(ISNUMBER(SEARCH("Marketing Manager",C490))+ISNUMBER(SEARCH("Gerente de Marketing",C490))+ISNUMBER(SEARCH("Growth Manager",C490))+ISNUMBER(SEARCH("Demand Gen",C490))+ISNUMBER(SEARCH("Marketing Lead",C490))&gt;0,'Configuración'!$B$33,IF(ISNUMBER(SEARCH("COO",C490))+ISNUMBER(SEARCH("CFO",C490))+ISNUMBER(SEARCH("CTO",C490))+ISNUMBER(SEARCH("Chief Operating",C490))+ISNUMBER(SEARCH("Chief Financial",C490))+ISNUMBER(SEARCH("Gerente General",C490))+ISNUMBER(SEARCH("General Manager",C490))&gt;0,'Configuración'!$B$34,'Configuración'!$B$35)))))</f>
        <v>12</v>
      </c>
      <c r="V490" s="38">
        <f>IF(B490="","",IF(K490="Sí",'Configuración'!$B$5,0)+IF(L490="Semanal",'Configuración'!$B$6,IF(L490="Mensual",'Configuración'!$B$7,0))+IF(M490="Sí",'Configuración'!$B$8,0)+IF(N490="Sí",'Configuración'!$B$9,0)+IF(O490="Sí",'Configuración'!$B$10,0)+IF(P490="Sí",'Configuración'!$B$11,0)+IF(Q490="Sí",'Configuración'!$B$12,0)+S490+T490+U490)</f>
        <v>36</v>
      </c>
      <c r="W490" s="39" t="str">
        <f>IF(B490="","",IF(V490&gt;='Configuración'!$B$19,"A",IF(V490&gt;='Configuración'!$B$20,"B",IF(V490&gt;='Configuración'!$B$21,"C","Descarte"))))</f>
        <v>C</v>
      </c>
    </row>
    <row r="491" ht="15.75" customHeight="1">
      <c r="A491" s="34">
        <f t="shared" si="1"/>
        <v>489</v>
      </c>
      <c r="B491" s="29" t="s">
        <v>174</v>
      </c>
      <c r="C491" s="29" t="s">
        <v>487</v>
      </c>
      <c r="D491" s="30" t="s">
        <v>3029</v>
      </c>
      <c r="E491" s="29" t="s">
        <v>3030</v>
      </c>
      <c r="F491" s="30" t="s">
        <v>3031</v>
      </c>
      <c r="G491" s="30" t="s">
        <v>3032</v>
      </c>
      <c r="H491" s="30" t="s">
        <v>3033</v>
      </c>
      <c r="I491" s="29" t="s">
        <v>508</v>
      </c>
      <c r="J491" s="31">
        <v>36.0</v>
      </c>
      <c r="K491" s="35"/>
      <c r="L491" s="35"/>
      <c r="M491" s="35"/>
      <c r="N491" s="35"/>
      <c r="O491" s="35"/>
      <c r="P491" s="35"/>
      <c r="Q491" s="35"/>
      <c r="R491" s="35"/>
      <c r="S491" s="37">
        <f>IF(B491="","",IF(ISNUMBER(J491),IF(J491&lt;=10,'Configuración'!$B$23,IF(J491&lt;=50,'Configuración'!$B$24,IF(J491&lt;=200,'Configuración'!$B$25,0))),0))</f>
        <v>4</v>
      </c>
      <c r="T491" s="37">
        <f>IF(B491="","",IF(ISNUMBER(SEARCH("information technology",I491))+ISNUMBER(SEARCH("software",I491))+ISNUMBER(SEARCH("internet",I491))+ISNUMBER(SEARCH("computer",I491))+ISNUMBER(SEARCH("saas",I491))+ISNUMBER(SEARCH("fintech",I491))+ISNUMBER(SEARCH("information services",I491))+ISNUMBER(SEARCH("telecommunications",I491))&gt;0,'Configuración'!$B$27,'Configuración'!$B$28))</f>
        <v>4</v>
      </c>
      <c r="U491" s="25">
        <f>IF(B491="","",IF(ISNUMBER(SEARCH("CEO",C491))+ISNUMBER(SEARCH("Founder",C491))+ISNUMBER(SEARCH("Owner",C491))+ISNUMBER(SEARCH("Dueño",C491))+ISNUMBER(SEARCH("Director General",C491))+ISNUMBER(SEARCH("Presidente",C491))+ISNUMBER(SEARCH("President",C491))&gt;0,'Configuración'!$B$31,IF(ISNUMBER(SEARCH("CMO",C491))+ISNUMBER(SEARCH("Chief Marketing",C491))+ISNUMBER(SEARCH("VP Marketing",C491))+ISNUMBER(SEARCH("Director de Marketing",C491))+ISNUMBER(SEARCH("Director Marketing",C491))+ISNUMBER(SEARCH("Head of Marketing",C491))+ISNUMBER(SEARCH("Head Marketing",C491))&gt;0,'Configuración'!$B$32,IF(ISNUMBER(SEARCH("Marketing Manager",C491))+ISNUMBER(SEARCH("Gerente de Marketing",C491))+ISNUMBER(SEARCH("Growth Manager",C491))+ISNUMBER(SEARCH("Demand Gen",C491))+ISNUMBER(SEARCH("Marketing Lead",C491))&gt;0,'Configuración'!$B$33,IF(ISNUMBER(SEARCH("COO",C491))+ISNUMBER(SEARCH("CFO",C491))+ISNUMBER(SEARCH("CTO",C491))+ISNUMBER(SEARCH("Chief Operating",C491))+ISNUMBER(SEARCH("Chief Financial",C491))+ISNUMBER(SEARCH("Gerente General",C491))+ISNUMBER(SEARCH("General Manager",C491))&gt;0,'Configuración'!$B$34,'Configuración'!$B$35)))))</f>
        <v>12</v>
      </c>
      <c r="V491" s="38">
        <f>IF(B491="","",IF(K491="Sí",'Configuración'!$B$5,0)+IF(L491="Semanal",'Configuración'!$B$6,IF(L491="Mensual",'Configuración'!$B$7,0))+IF(M491="Sí",'Configuración'!$B$8,0)+IF(N491="Sí",'Configuración'!$B$9,0)+IF(O491="Sí",'Configuración'!$B$10,0)+IF(P491="Sí",'Configuración'!$B$11,0)+IF(Q491="Sí",'Configuración'!$B$12,0)+S491+T491+U491)</f>
        <v>20</v>
      </c>
      <c r="W491" s="39" t="str">
        <f>IF(B491="","",IF(V491&gt;='Configuración'!$B$19,"A",IF(V491&gt;='Configuración'!$B$20,"B",IF(V491&gt;='Configuración'!$B$21,"C","Descarte"))))</f>
        <v>Descarte</v>
      </c>
    </row>
    <row r="492" ht="15.75" customHeight="1">
      <c r="A492" s="34">
        <f t="shared" si="1"/>
        <v>490</v>
      </c>
      <c r="B492" s="29" t="s">
        <v>174</v>
      </c>
      <c r="C492" s="29" t="s">
        <v>3034</v>
      </c>
      <c r="D492" s="29" t="s">
        <v>3035</v>
      </c>
      <c r="E492" s="29" t="s">
        <v>3036</v>
      </c>
      <c r="F492" s="30" t="s">
        <v>3037</v>
      </c>
      <c r="G492" s="30" t="s">
        <v>3038</v>
      </c>
      <c r="H492" s="30" t="s">
        <v>3039</v>
      </c>
      <c r="I492" s="29" t="s">
        <v>188</v>
      </c>
      <c r="J492" s="31">
        <v>14.0</v>
      </c>
      <c r="K492" s="35"/>
      <c r="L492" s="35"/>
      <c r="M492" s="35"/>
      <c r="N492" s="35"/>
      <c r="O492" s="35"/>
      <c r="P492" s="35"/>
      <c r="Q492" s="35"/>
      <c r="R492" s="35"/>
      <c r="S492" s="37">
        <f>IF(B492="","",IF(ISNUMBER(J492),IF(J492&lt;=10,'Configuración'!$B$23,IF(J492&lt;=50,'Configuración'!$B$24,IF(J492&lt;=200,'Configuración'!$B$25,0))),0))</f>
        <v>4</v>
      </c>
      <c r="T492" s="37">
        <f>IF(B492="","",IF(ISNUMBER(SEARCH("information technology",I492))+ISNUMBER(SEARCH("software",I492))+ISNUMBER(SEARCH("internet",I492))+ISNUMBER(SEARCH("computer",I492))+ISNUMBER(SEARCH("saas",I492))+ISNUMBER(SEARCH("fintech",I492))+ISNUMBER(SEARCH("information services",I492))+ISNUMBER(SEARCH("telecommunications",I492))&gt;0,'Configuración'!$B$27,'Configuración'!$B$28))</f>
        <v>4</v>
      </c>
      <c r="U492" s="25">
        <f>IF(B492="","",IF(ISNUMBER(SEARCH("CEO",C492))+ISNUMBER(SEARCH("Founder",C492))+ISNUMBER(SEARCH("Owner",C492))+ISNUMBER(SEARCH("Dueño",C492))+ISNUMBER(SEARCH("Director General",C492))+ISNUMBER(SEARCH("Presidente",C492))+ISNUMBER(SEARCH("President",C492))&gt;0,'Configuración'!$B$31,IF(ISNUMBER(SEARCH("CMO",C492))+ISNUMBER(SEARCH("Chief Marketing",C492))+ISNUMBER(SEARCH("VP Marketing",C492))+ISNUMBER(SEARCH("Director de Marketing",C492))+ISNUMBER(SEARCH("Director Marketing",C492))+ISNUMBER(SEARCH("Head of Marketing",C492))+ISNUMBER(SEARCH("Head Marketing",C492))&gt;0,'Configuración'!$B$32,IF(ISNUMBER(SEARCH("Marketing Manager",C492))+ISNUMBER(SEARCH("Gerente de Marketing",C492))+ISNUMBER(SEARCH("Growth Manager",C492))+ISNUMBER(SEARCH("Demand Gen",C492))+ISNUMBER(SEARCH("Marketing Lead",C492))&gt;0,'Configuración'!$B$33,IF(ISNUMBER(SEARCH("COO",C492))+ISNUMBER(SEARCH("CFO",C492))+ISNUMBER(SEARCH("CTO",C492))+ISNUMBER(SEARCH("Chief Operating",C492))+ISNUMBER(SEARCH("Chief Financial",C492))+ISNUMBER(SEARCH("Gerente General",C492))+ISNUMBER(SEARCH("General Manager",C492))&gt;0,'Configuración'!$B$34,'Configuración'!$B$35)))))</f>
        <v>0</v>
      </c>
      <c r="V492" s="38">
        <f>IF(B492="","",IF(K492="Sí",'Configuración'!$B$5,0)+IF(L492="Semanal",'Configuración'!$B$6,IF(L492="Mensual",'Configuración'!$B$7,0))+IF(M492="Sí",'Configuración'!$B$8,0)+IF(N492="Sí",'Configuración'!$B$9,0)+IF(O492="Sí",'Configuración'!$B$10,0)+IF(P492="Sí",'Configuración'!$B$11,0)+IF(Q492="Sí",'Configuración'!$B$12,0)+S492+T492+U492)</f>
        <v>8</v>
      </c>
      <c r="W492" s="39" t="str">
        <f>IF(B492="","",IF(V492&gt;='Configuración'!$B$19,"A",IF(V492&gt;='Configuración'!$B$20,"B",IF(V492&gt;='Configuración'!$B$21,"C","Descarte"))))</f>
        <v>Descarte</v>
      </c>
    </row>
    <row r="493" ht="15.75" customHeight="1">
      <c r="A493" s="34">
        <f t="shared" si="1"/>
        <v>491</v>
      </c>
      <c r="B493" s="29" t="s">
        <v>556</v>
      </c>
      <c r="C493" s="29" t="s">
        <v>131</v>
      </c>
      <c r="D493" s="29" t="s">
        <v>3040</v>
      </c>
      <c r="E493" s="29" t="s">
        <v>3041</v>
      </c>
      <c r="F493" s="30" t="s">
        <v>3042</v>
      </c>
      <c r="G493" s="30" t="s">
        <v>3043</v>
      </c>
      <c r="H493" s="30" t="s">
        <v>3044</v>
      </c>
      <c r="I493" s="29" t="s">
        <v>127</v>
      </c>
      <c r="J493" s="31">
        <v>12.0</v>
      </c>
      <c r="K493" s="35"/>
      <c r="L493" s="35"/>
      <c r="M493" s="35"/>
      <c r="N493" s="35"/>
      <c r="O493" s="35"/>
      <c r="P493" s="35"/>
      <c r="Q493" s="35"/>
      <c r="R493" s="35"/>
      <c r="S493" s="37">
        <f>IF(B493="","",IF(ISNUMBER(J493),IF(J493&lt;=10,'Configuración'!$B$23,IF(J493&lt;=50,'Configuración'!$B$24,IF(J493&lt;=200,'Configuración'!$B$25,0))),0))</f>
        <v>4</v>
      </c>
      <c r="T493" s="37">
        <f>IF(B493="","",IF(ISNUMBER(SEARCH("information technology",I493))+ISNUMBER(SEARCH("software",I493))+ISNUMBER(SEARCH("internet",I493))+ISNUMBER(SEARCH("computer",I493))+ISNUMBER(SEARCH("saas",I493))+ISNUMBER(SEARCH("fintech",I493))+ISNUMBER(SEARCH("information services",I493))+ISNUMBER(SEARCH("telecommunications",I493))&gt;0,'Configuración'!$B$27,'Configuración'!$B$28))</f>
        <v>12</v>
      </c>
      <c r="U493" s="25">
        <f>IF(B493="","",IF(ISNUMBER(SEARCH("CEO",C493))+ISNUMBER(SEARCH("Founder",C493))+ISNUMBER(SEARCH("Owner",C493))+ISNUMBER(SEARCH("Dueño",C493))+ISNUMBER(SEARCH("Director General",C493))+ISNUMBER(SEARCH("Presidente",C493))+ISNUMBER(SEARCH("President",C493))&gt;0,'Configuración'!$B$31,IF(ISNUMBER(SEARCH("CMO",C493))+ISNUMBER(SEARCH("Chief Marketing",C493))+ISNUMBER(SEARCH("VP Marketing",C493))+ISNUMBER(SEARCH("Director de Marketing",C493))+ISNUMBER(SEARCH("Director Marketing",C493))+ISNUMBER(SEARCH("Head of Marketing",C493))+ISNUMBER(SEARCH("Head Marketing",C493))&gt;0,'Configuración'!$B$32,IF(ISNUMBER(SEARCH("Marketing Manager",C493))+ISNUMBER(SEARCH("Gerente de Marketing",C493))+ISNUMBER(SEARCH("Growth Manager",C493))+ISNUMBER(SEARCH("Demand Gen",C493))+ISNUMBER(SEARCH("Marketing Lead",C493))&gt;0,'Configuración'!$B$33,IF(ISNUMBER(SEARCH("COO",C493))+ISNUMBER(SEARCH("CFO",C493))+ISNUMBER(SEARCH("CTO",C493))+ISNUMBER(SEARCH("Chief Operating",C493))+ISNUMBER(SEARCH("Chief Financial",C493))+ISNUMBER(SEARCH("Gerente General",C493))+ISNUMBER(SEARCH("General Manager",C493))&gt;0,'Configuración'!$B$34,'Configuración'!$B$35)))))</f>
        <v>12</v>
      </c>
      <c r="V493" s="38">
        <f>IF(B493="","",IF(K493="Sí",'Configuración'!$B$5,0)+IF(L493="Semanal",'Configuración'!$B$6,IF(L493="Mensual",'Configuración'!$B$7,0))+IF(M493="Sí",'Configuración'!$B$8,0)+IF(N493="Sí",'Configuración'!$B$9,0)+IF(O493="Sí",'Configuración'!$B$10,0)+IF(P493="Sí",'Configuración'!$B$11,0)+IF(Q493="Sí",'Configuración'!$B$12,0)+S493+T493+U493)</f>
        <v>28</v>
      </c>
      <c r="W493" s="39" t="str">
        <f>IF(B493="","",IF(V493&gt;='Configuración'!$B$19,"A",IF(V493&gt;='Configuración'!$B$20,"B",IF(V493&gt;='Configuración'!$B$21,"C","Descarte"))))</f>
        <v>C</v>
      </c>
    </row>
    <row r="494" ht="15.75" customHeight="1">
      <c r="A494" s="34">
        <f t="shared" si="1"/>
        <v>492</v>
      </c>
      <c r="B494" s="29" t="s">
        <v>296</v>
      </c>
      <c r="C494" s="29" t="s">
        <v>3045</v>
      </c>
      <c r="D494" s="29" t="s">
        <v>3046</v>
      </c>
      <c r="E494" s="29" t="s">
        <v>3047</v>
      </c>
      <c r="F494" s="30" t="s">
        <v>3048</v>
      </c>
      <c r="G494" s="30" t="s">
        <v>3049</v>
      </c>
      <c r="H494" s="30" t="s">
        <v>3050</v>
      </c>
      <c r="I494" s="29" t="s">
        <v>127</v>
      </c>
      <c r="J494" s="31">
        <v>12.0</v>
      </c>
      <c r="K494" s="35"/>
      <c r="L494" s="35"/>
      <c r="M494" s="35"/>
      <c r="N494" s="35"/>
      <c r="O494" s="35"/>
      <c r="P494" s="35"/>
      <c r="Q494" s="35"/>
      <c r="R494" s="35"/>
      <c r="S494" s="37">
        <f>IF(B494="","",IF(ISNUMBER(J494),IF(J494&lt;=10,'Configuración'!$B$23,IF(J494&lt;=50,'Configuración'!$B$24,IF(J494&lt;=200,'Configuración'!$B$25,0))),0))</f>
        <v>4</v>
      </c>
      <c r="T494" s="37">
        <f>IF(B494="","",IF(ISNUMBER(SEARCH("information technology",I494))+ISNUMBER(SEARCH("software",I494))+ISNUMBER(SEARCH("internet",I494))+ISNUMBER(SEARCH("computer",I494))+ISNUMBER(SEARCH("saas",I494))+ISNUMBER(SEARCH("fintech",I494))+ISNUMBER(SEARCH("information services",I494))+ISNUMBER(SEARCH("telecommunications",I494))&gt;0,'Configuración'!$B$27,'Configuración'!$B$28))</f>
        <v>12</v>
      </c>
      <c r="U494" s="25">
        <f>IF(B494="","",IF(ISNUMBER(SEARCH("CEO",C494))+ISNUMBER(SEARCH("Founder",C494))+ISNUMBER(SEARCH("Owner",C494))+ISNUMBER(SEARCH("Dueño",C494))+ISNUMBER(SEARCH("Director General",C494))+ISNUMBER(SEARCH("Presidente",C494))+ISNUMBER(SEARCH("President",C494))&gt;0,'Configuración'!$B$31,IF(ISNUMBER(SEARCH("CMO",C494))+ISNUMBER(SEARCH("Chief Marketing",C494))+ISNUMBER(SEARCH("VP Marketing",C494))+ISNUMBER(SEARCH("Director de Marketing",C494))+ISNUMBER(SEARCH("Director Marketing",C494))+ISNUMBER(SEARCH("Head of Marketing",C494))+ISNUMBER(SEARCH("Head Marketing",C494))&gt;0,'Configuración'!$B$32,IF(ISNUMBER(SEARCH("Marketing Manager",C494))+ISNUMBER(SEARCH("Gerente de Marketing",C494))+ISNUMBER(SEARCH("Growth Manager",C494))+ISNUMBER(SEARCH("Demand Gen",C494))+ISNUMBER(SEARCH("Marketing Lead",C494))&gt;0,'Configuración'!$B$33,IF(ISNUMBER(SEARCH("COO",C494))+ISNUMBER(SEARCH("CFO",C494))+ISNUMBER(SEARCH("CTO",C494))+ISNUMBER(SEARCH("Chief Operating",C494))+ISNUMBER(SEARCH("Chief Financial",C494))+ISNUMBER(SEARCH("Gerente General",C494))+ISNUMBER(SEARCH("General Manager",C494))&gt;0,'Configuración'!$B$34,'Configuración'!$B$35)))))</f>
        <v>12</v>
      </c>
      <c r="V494" s="38">
        <f>IF(B494="","",IF(K494="Sí",'Configuración'!$B$5,0)+IF(L494="Semanal",'Configuración'!$B$6,IF(L494="Mensual",'Configuración'!$B$7,0))+IF(M494="Sí",'Configuración'!$B$8,0)+IF(N494="Sí",'Configuración'!$B$9,0)+IF(O494="Sí",'Configuración'!$B$10,0)+IF(P494="Sí",'Configuración'!$B$11,0)+IF(Q494="Sí",'Configuración'!$B$12,0)+S494+T494+U494)</f>
        <v>28</v>
      </c>
      <c r="W494" s="39" t="str">
        <f>IF(B494="","",IF(V494&gt;='Configuración'!$B$19,"A",IF(V494&gt;='Configuración'!$B$20,"B",IF(V494&gt;='Configuración'!$B$21,"C","Descarte"))))</f>
        <v>C</v>
      </c>
    </row>
    <row r="495" ht="15.75" customHeight="1">
      <c r="A495" s="34">
        <f t="shared" si="1"/>
        <v>493</v>
      </c>
      <c r="B495" s="29" t="s">
        <v>3051</v>
      </c>
      <c r="C495" s="29" t="s">
        <v>121</v>
      </c>
      <c r="D495" s="29" t="s">
        <v>3052</v>
      </c>
      <c r="E495" s="29" t="s">
        <v>3053</v>
      </c>
      <c r="F495" s="30" t="s">
        <v>3054</v>
      </c>
      <c r="G495" s="30" t="s">
        <v>3055</v>
      </c>
      <c r="H495" s="30" t="s">
        <v>3056</v>
      </c>
      <c r="I495" s="29" t="s">
        <v>310</v>
      </c>
      <c r="J495" s="31">
        <v>6.0</v>
      </c>
      <c r="K495" s="35"/>
      <c r="L495" s="35"/>
      <c r="M495" s="35"/>
      <c r="N495" s="35"/>
      <c r="O495" s="35"/>
      <c r="P495" s="35"/>
      <c r="Q495" s="35"/>
      <c r="R495" s="35"/>
      <c r="S495" s="37">
        <f>IF(B495="","",IF(ISNUMBER(J495),IF(J495&lt;=10,'Configuración'!$B$23,IF(J495&lt;=50,'Configuración'!$B$24,IF(J495&lt;=200,'Configuración'!$B$25,0))),0))</f>
        <v>12</v>
      </c>
      <c r="T495" s="37">
        <f>IF(B495="","",IF(ISNUMBER(SEARCH("information technology",I495))+ISNUMBER(SEARCH("software",I495))+ISNUMBER(SEARCH("internet",I495))+ISNUMBER(SEARCH("computer",I495))+ISNUMBER(SEARCH("saas",I495))+ISNUMBER(SEARCH("fintech",I495))+ISNUMBER(SEARCH("information services",I495))+ISNUMBER(SEARCH("telecommunications",I495))&gt;0,'Configuración'!$B$27,'Configuración'!$B$28))</f>
        <v>4</v>
      </c>
      <c r="U495" s="25">
        <f>IF(B495="","",IF(ISNUMBER(SEARCH("CEO",C495))+ISNUMBER(SEARCH("Founder",C495))+ISNUMBER(SEARCH("Owner",C495))+ISNUMBER(SEARCH("Dueño",C495))+ISNUMBER(SEARCH("Director General",C495))+ISNUMBER(SEARCH("Presidente",C495))+ISNUMBER(SEARCH("President",C495))&gt;0,'Configuración'!$B$31,IF(ISNUMBER(SEARCH("CMO",C495))+ISNUMBER(SEARCH("Chief Marketing",C495))+ISNUMBER(SEARCH("VP Marketing",C495))+ISNUMBER(SEARCH("Director de Marketing",C495))+ISNUMBER(SEARCH("Director Marketing",C495))+ISNUMBER(SEARCH("Head of Marketing",C495))+ISNUMBER(SEARCH("Head Marketing",C495))&gt;0,'Configuración'!$B$32,IF(ISNUMBER(SEARCH("Marketing Manager",C495))+ISNUMBER(SEARCH("Gerente de Marketing",C495))+ISNUMBER(SEARCH("Growth Manager",C495))+ISNUMBER(SEARCH("Demand Gen",C495))+ISNUMBER(SEARCH("Marketing Lead",C495))&gt;0,'Configuración'!$B$33,IF(ISNUMBER(SEARCH("COO",C495))+ISNUMBER(SEARCH("CFO",C495))+ISNUMBER(SEARCH("CTO",C495))+ISNUMBER(SEARCH("Chief Operating",C495))+ISNUMBER(SEARCH("Chief Financial",C495))+ISNUMBER(SEARCH("Gerente General",C495))+ISNUMBER(SEARCH("General Manager",C495))&gt;0,'Configuración'!$B$34,'Configuración'!$B$35)))))</f>
        <v>12</v>
      </c>
      <c r="V495" s="38">
        <f>IF(B495="","",IF(K495="Sí",'Configuración'!$B$5,0)+IF(L495="Semanal",'Configuración'!$B$6,IF(L495="Mensual",'Configuración'!$B$7,0))+IF(M495="Sí",'Configuración'!$B$8,0)+IF(N495="Sí",'Configuración'!$B$9,0)+IF(O495="Sí",'Configuración'!$B$10,0)+IF(P495="Sí",'Configuración'!$B$11,0)+IF(Q495="Sí",'Configuración'!$B$12,0)+S495+T495+U495)</f>
        <v>28</v>
      </c>
      <c r="W495" s="39" t="str">
        <f>IF(B495="","",IF(V495&gt;='Configuración'!$B$19,"A",IF(V495&gt;='Configuración'!$B$20,"B",IF(V495&gt;='Configuración'!$B$21,"C","Descarte"))))</f>
        <v>C</v>
      </c>
    </row>
    <row r="496" ht="15.75" customHeight="1">
      <c r="A496" s="34">
        <f t="shared" si="1"/>
        <v>494</v>
      </c>
      <c r="B496" s="29" t="s">
        <v>610</v>
      </c>
      <c r="C496" s="29" t="s">
        <v>3057</v>
      </c>
      <c r="D496" s="29" t="s">
        <v>3058</v>
      </c>
      <c r="E496" s="29" t="s">
        <v>3059</v>
      </c>
      <c r="F496" s="30" t="s">
        <v>3060</v>
      </c>
      <c r="G496" s="30" t="s">
        <v>3061</v>
      </c>
      <c r="H496" s="30" t="s">
        <v>3062</v>
      </c>
      <c r="I496" s="29" t="s">
        <v>280</v>
      </c>
      <c r="J496" s="31">
        <v>30.0</v>
      </c>
      <c r="K496" s="35"/>
      <c r="L496" s="35"/>
      <c r="M496" s="35"/>
      <c r="N496" s="35"/>
      <c r="O496" s="35"/>
      <c r="P496" s="35"/>
      <c r="Q496" s="35"/>
      <c r="R496" s="35"/>
      <c r="S496" s="37">
        <f>IF(B496="","",IF(ISNUMBER(J496),IF(J496&lt;=10,'Configuración'!$B$23,IF(J496&lt;=50,'Configuración'!$B$24,IF(J496&lt;=200,'Configuración'!$B$25,0))),0))</f>
        <v>4</v>
      </c>
      <c r="T496" s="37">
        <f>IF(B496="","",IF(ISNUMBER(SEARCH("information technology",I496))+ISNUMBER(SEARCH("software",I496))+ISNUMBER(SEARCH("internet",I496))+ISNUMBER(SEARCH("computer",I496))+ISNUMBER(SEARCH("saas",I496))+ISNUMBER(SEARCH("fintech",I496))+ISNUMBER(SEARCH("information services",I496))+ISNUMBER(SEARCH("telecommunications",I496))&gt;0,'Configuración'!$B$27,'Configuración'!$B$28))</f>
        <v>12</v>
      </c>
      <c r="U496" s="25">
        <f>IF(B496="","",IF(ISNUMBER(SEARCH("CEO",C496))+ISNUMBER(SEARCH("Founder",C496))+ISNUMBER(SEARCH("Owner",C496))+ISNUMBER(SEARCH("Dueño",C496))+ISNUMBER(SEARCH("Director General",C496))+ISNUMBER(SEARCH("Presidente",C496))+ISNUMBER(SEARCH("President",C496))&gt;0,'Configuración'!$B$31,IF(ISNUMBER(SEARCH("CMO",C496))+ISNUMBER(SEARCH("Chief Marketing",C496))+ISNUMBER(SEARCH("VP Marketing",C496))+ISNUMBER(SEARCH("Director de Marketing",C496))+ISNUMBER(SEARCH("Director Marketing",C496))+ISNUMBER(SEARCH("Head of Marketing",C496))+ISNUMBER(SEARCH("Head Marketing",C496))&gt;0,'Configuración'!$B$32,IF(ISNUMBER(SEARCH("Marketing Manager",C496))+ISNUMBER(SEARCH("Gerente de Marketing",C496))+ISNUMBER(SEARCH("Growth Manager",C496))+ISNUMBER(SEARCH("Demand Gen",C496))+ISNUMBER(SEARCH("Marketing Lead",C496))&gt;0,'Configuración'!$B$33,IF(ISNUMBER(SEARCH("COO",C496))+ISNUMBER(SEARCH("CFO",C496))+ISNUMBER(SEARCH("CTO",C496))+ISNUMBER(SEARCH("Chief Operating",C496))+ISNUMBER(SEARCH("Chief Financial",C496))+ISNUMBER(SEARCH("Gerente General",C496))+ISNUMBER(SEARCH("General Manager",C496))&gt;0,'Configuración'!$B$34,'Configuración'!$B$35)))))</f>
        <v>12</v>
      </c>
      <c r="V496" s="38">
        <f>IF(B496="","",IF(K496="Sí",'Configuración'!$B$5,0)+IF(L496="Semanal",'Configuración'!$B$6,IF(L496="Mensual",'Configuración'!$B$7,0))+IF(M496="Sí",'Configuración'!$B$8,0)+IF(N496="Sí",'Configuración'!$B$9,0)+IF(O496="Sí",'Configuración'!$B$10,0)+IF(P496="Sí",'Configuración'!$B$11,0)+IF(Q496="Sí",'Configuración'!$B$12,0)+S496+T496+U496)</f>
        <v>28</v>
      </c>
      <c r="W496" s="39" t="str">
        <f>IF(B496="","",IF(V496&gt;='Configuración'!$B$19,"A",IF(V496&gt;='Configuración'!$B$20,"B",IF(V496&gt;='Configuración'!$B$21,"C","Descarte"))))</f>
        <v>C</v>
      </c>
    </row>
    <row r="497" ht="15.75" customHeight="1">
      <c r="A497" s="34">
        <f t="shared" si="1"/>
        <v>495</v>
      </c>
      <c r="B497" s="29" t="s">
        <v>3063</v>
      </c>
      <c r="C497" s="29" t="s">
        <v>467</v>
      </c>
      <c r="D497" s="29" t="s">
        <v>3064</v>
      </c>
      <c r="E497" s="29" t="s">
        <v>3065</v>
      </c>
      <c r="F497" s="30" t="s">
        <v>3066</v>
      </c>
      <c r="G497" s="30" t="s">
        <v>3067</v>
      </c>
      <c r="H497" s="30" t="s">
        <v>3068</v>
      </c>
      <c r="I497" s="29" t="s">
        <v>127</v>
      </c>
      <c r="J497" s="31">
        <v>22.0</v>
      </c>
      <c r="K497" s="35"/>
      <c r="L497" s="35"/>
      <c r="M497" s="35"/>
      <c r="N497" s="35"/>
      <c r="O497" s="35"/>
      <c r="P497" s="35"/>
      <c r="Q497" s="35"/>
      <c r="R497" s="35"/>
      <c r="S497" s="37">
        <f>IF(B497="","",IF(ISNUMBER(J497),IF(J497&lt;=10,'Configuración'!$B$23,IF(J497&lt;=50,'Configuración'!$B$24,IF(J497&lt;=200,'Configuración'!$B$25,0))),0))</f>
        <v>4</v>
      </c>
      <c r="T497" s="37">
        <f>IF(B497="","",IF(ISNUMBER(SEARCH("information technology",I497))+ISNUMBER(SEARCH("software",I497))+ISNUMBER(SEARCH("internet",I497))+ISNUMBER(SEARCH("computer",I497))+ISNUMBER(SEARCH("saas",I497))+ISNUMBER(SEARCH("fintech",I497))+ISNUMBER(SEARCH("information services",I497))+ISNUMBER(SEARCH("telecommunications",I497))&gt;0,'Configuración'!$B$27,'Configuración'!$B$28))</f>
        <v>12</v>
      </c>
      <c r="U497" s="25">
        <f>IF(B497="","",IF(ISNUMBER(SEARCH("CEO",C497))+ISNUMBER(SEARCH("Founder",C497))+ISNUMBER(SEARCH("Owner",C497))+ISNUMBER(SEARCH("Dueño",C497))+ISNUMBER(SEARCH("Director General",C497))+ISNUMBER(SEARCH("Presidente",C497))+ISNUMBER(SEARCH("President",C497))&gt;0,'Configuración'!$B$31,IF(ISNUMBER(SEARCH("CMO",C497))+ISNUMBER(SEARCH("Chief Marketing",C497))+ISNUMBER(SEARCH("VP Marketing",C497))+ISNUMBER(SEARCH("Director de Marketing",C497))+ISNUMBER(SEARCH("Director Marketing",C497))+ISNUMBER(SEARCH("Head of Marketing",C497))+ISNUMBER(SEARCH("Head Marketing",C497))&gt;0,'Configuración'!$B$32,IF(ISNUMBER(SEARCH("Marketing Manager",C497))+ISNUMBER(SEARCH("Gerente de Marketing",C497))+ISNUMBER(SEARCH("Growth Manager",C497))+ISNUMBER(SEARCH("Demand Gen",C497))+ISNUMBER(SEARCH("Marketing Lead",C497))&gt;0,'Configuración'!$B$33,IF(ISNUMBER(SEARCH("COO",C497))+ISNUMBER(SEARCH("CFO",C497))+ISNUMBER(SEARCH("CTO",C497))+ISNUMBER(SEARCH("Chief Operating",C497))+ISNUMBER(SEARCH("Chief Financial",C497))+ISNUMBER(SEARCH("Gerente General",C497))+ISNUMBER(SEARCH("General Manager",C497))&gt;0,'Configuración'!$B$34,'Configuración'!$B$35)))))</f>
        <v>0</v>
      </c>
      <c r="V497" s="38">
        <f>IF(B497="","",IF(K497="Sí",'Configuración'!$B$5,0)+IF(L497="Semanal",'Configuración'!$B$6,IF(L497="Mensual",'Configuración'!$B$7,0))+IF(M497="Sí",'Configuración'!$B$8,0)+IF(N497="Sí",'Configuración'!$B$9,0)+IF(O497="Sí",'Configuración'!$B$10,0)+IF(P497="Sí",'Configuración'!$B$11,0)+IF(Q497="Sí",'Configuración'!$B$12,0)+S497+T497+U497)</f>
        <v>16</v>
      </c>
      <c r="W497" s="39" t="str">
        <f>IF(B497="","",IF(V497&gt;='Configuración'!$B$19,"A",IF(V497&gt;='Configuración'!$B$20,"B",IF(V497&gt;='Configuración'!$B$21,"C","Descarte"))))</f>
        <v>Descarte</v>
      </c>
    </row>
    <row r="498" ht="15.75" customHeight="1">
      <c r="A498" s="34">
        <f t="shared" si="1"/>
        <v>496</v>
      </c>
      <c r="B498" s="29" t="s">
        <v>159</v>
      </c>
      <c r="C498" s="29" t="s">
        <v>516</v>
      </c>
      <c r="D498" s="29" t="s">
        <v>3069</v>
      </c>
      <c r="E498" s="29" t="s">
        <v>3070</v>
      </c>
      <c r="F498" s="30" t="s">
        <v>3071</v>
      </c>
      <c r="G498" s="30" t="s">
        <v>3072</v>
      </c>
      <c r="H498" s="30" t="s">
        <v>3073</v>
      </c>
      <c r="I498" s="29" t="s">
        <v>116</v>
      </c>
      <c r="J498" s="31">
        <v>47.0</v>
      </c>
      <c r="K498" s="35"/>
      <c r="L498" s="35"/>
      <c r="M498" s="35"/>
      <c r="N498" s="35"/>
      <c r="O498" s="35"/>
      <c r="P498" s="35"/>
      <c r="Q498" s="35"/>
      <c r="R498" s="35"/>
      <c r="S498" s="37">
        <f>IF(B498="","",IF(ISNUMBER(J498),IF(J498&lt;=10,'Configuración'!$B$23,IF(J498&lt;=50,'Configuración'!$B$24,IF(J498&lt;=200,'Configuración'!$B$25,0))),0))</f>
        <v>4</v>
      </c>
      <c r="T498" s="37">
        <f>IF(B498="","",IF(ISNUMBER(SEARCH("information technology",I498))+ISNUMBER(SEARCH("software",I498))+ISNUMBER(SEARCH("internet",I498))+ISNUMBER(SEARCH("computer",I498))+ISNUMBER(SEARCH("saas",I498))+ISNUMBER(SEARCH("fintech",I498))+ISNUMBER(SEARCH("information services",I498))+ISNUMBER(SEARCH("telecommunications",I498))&gt;0,'Configuración'!$B$27,'Configuración'!$B$28))</f>
        <v>4</v>
      </c>
      <c r="U498" s="25">
        <f>IF(B498="","",IF(ISNUMBER(SEARCH("CEO",C498))+ISNUMBER(SEARCH("Founder",C498))+ISNUMBER(SEARCH("Owner",C498))+ISNUMBER(SEARCH("Dueño",C498))+ISNUMBER(SEARCH("Director General",C498))+ISNUMBER(SEARCH("Presidente",C498))+ISNUMBER(SEARCH("President",C498))&gt;0,'Configuración'!$B$31,IF(ISNUMBER(SEARCH("CMO",C498))+ISNUMBER(SEARCH("Chief Marketing",C498))+ISNUMBER(SEARCH("VP Marketing",C498))+ISNUMBER(SEARCH("Director de Marketing",C498))+ISNUMBER(SEARCH("Director Marketing",C498))+ISNUMBER(SEARCH("Head of Marketing",C498))+ISNUMBER(SEARCH("Head Marketing",C498))&gt;0,'Configuración'!$B$32,IF(ISNUMBER(SEARCH("Marketing Manager",C498))+ISNUMBER(SEARCH("Gerente de Marketing",C498))+ISNUMBER(SEARCH("Growth Manager",C498))+ISNUMBER(SEARCH("Demand Gen",C498))+ISNUMBER(SEARCH("Marketing Lead",C498))&gt;0,'Configuración'!$B$33,IF(ISNUMBER(SEARCH("COO",C498))+ISNUMBER(SEARCH("CFO",C498))+ISNUMBER(SEARCH("CTO",C498))+ISNUMBER(SEARCH("Chief Operating",C498))+ISNUMBER(SEARCH("Chief Financial",C498))+ISNUMBER(SEARCH("Gerente General",C498))+ISNUMBER(SEARCH("General Manager",C498))&gt;0,'Configuración'!$B$34,'Configuración'!$B$35)))))</f>
        <v>0</v>
      </c>
      <c r="V498" s="38">
        <f>IF(B498="","",IF(K498="Sí",'Configuración'!$B$5,0)+IF(L498="Semanal",'Configuración'!$B$6,IF(L498="Mensual",'Configuración'!$B$7,0))+IF(M498="Sí",'Configuración'!$B$8,0)+IF(N498="Sí",'Configuración'!$B$9,0)+IF(O498="Sí",'Configuración'!$B$10,0)+IF(P498="Sí",'Configuración'!$B$11,0)+IF(Q498="Sí",'Configuración'!$B$12,0)+S498+T498+U498)</f>
        <v>8</v>
      </c>
      <c r="W498" s="39" t="str">
        <f>IF(B498="","",IF(V498&gt;='Configuración'!$B$19,"A",IF(V498&gt;='Configuración'!$B$20,"B",IF(V498&gt;='Configuración'!$B$21,"C","Descarte"))))</f>
        <v>Descarte</v>
      </c>
    </row>
    <row r="499" ht="15.75" customHeight="1">
      <c r="A499" s="34">
        <f t="shared" si="1"/>
        <v>497</v>
      </c>
      <c r="B499" s="29" t="s">
        <v>138</v>
      </c>
      <c r="C499" s="29" t="s">
        <v>131</v>
      </c>
      <c r="D499" s="29" t="s">
        <v>3074</v>
      </c>
      <c r="E499" s="29" t="s">
        <v>3075</v>
      </c>
      <c r="F499" s="30" t="s">
        <v>3076</v>
      </c>
      <c r="G499" s="30" t="s">
        <v>3077</v>
      </c>
      <c r="H499" s="30" t="s">
        <v>3078</v>
      </c>
      <c r="I499" s="29" t="s">
        <v>127</v>
      </c>
      <c r="J499" s="31">
        <v>5.0</v>
      </c>
      <c r="K499" s="35"/>
      <c r="L499" s="35"/>
      <c r="M499" s="35"/>
      <c r="N499" s="35"/>
      <c r="O499" s="35"/>
      <c r="P499" s="35"/>
      <c r="Q499" s="35"/>
      <c r="R499" s="35"/>
      <c r="S499" s="37">
        <f>IF(B499="","",IF(ISNUMBER(J499),IF(J499&lt;=10,'Configuración'!$B$23,IF(J499&lt;=50,'Configuración'!$B$24,IF(J499&lt;=200,'Configuración'!$B$25,0))),0))</f>
        <v>12</v>
      </c>
      <c r="T499" s="37">
        <f>IF(B499="","",IF(ISNUMBER(SEARCH("information technology",I499))+ISNUMBER(SEARCH("software",I499))+ISNUMBER(SEARCH("internet",I499))+ISNUMBER(SEARCH("computer",I499))+ISNUMBER(SEARCH("saas",I499))+ISNUMBER(SEARCH("fintech",I499))+ISNUMBER(SEARCH("information services",I499))+ISNUMBER(SEARCH("telecommunications",I499))&gt;0,'Configuración'!$B$27,'Configuración'!$B$28))</f>
        <v>12</v>
      </c>
      <c r="U499" s="25">
        <f>IF(B499="","",IF(ISNUMBER(SEARCH("CEO",C499))+ISNUMBER(SEARCH("Founder",C499))+ISNUMBER(SEARCH("Owner",C499))+ISNUMBER(SEARCH("Dueño",C499))+ISNUMBER(SEARCH("Director General",C499))+ISNUMBER(SEARCH("Presidente",C499))+ISNUMBER(SEARCH("President",C499))&gt;0,'Configuración'!$B$31,IF(ISNUMBER(SEARCH("CMO",C499))+ISNUMBER(SEARCH("Chief Marketing",C499))+ISNUMBER(SEARCH("VP Marketing",C499))+ISNUMBER(SEARCH("Director de Marketing",C499))+ISNUMBER(SEARCH("Director Marketing",C499))+ISNUMBER(SEARCH("Head of Marketing",C499))+ISNUMBER(SEARCH("Head Marketing",C499))&gt;0,'Configuración'!$B$32,IF(ISNUMBER(SEARCH("Marketing Manager",C499))+ISNUMBER(SEARCH("Gerente de Marketing",C499))+ISNUMBER(SEARCH("Growth Manager",C499))+ISNUMBER(SEARCH("Demand Gen",C499))+ISNUMBER(SEARCH("Marketing Lead",C499))&gt;0,'Configuración'!$B$33,IF(ISNUMBER(SEARCH("COO",C499))+ISNUMBER(SEARCH("CFO",C499))+ISNUMBER(SEARCH("CTO",C499))+ISNUMBER(SEARCH("Chief Operating",C499))+ISNUMBER(SEARCH("Chief Financial",C499))+ISNUMBER(SEARCH("Gerente General",C499))+ISNUMBER(SEARCH("General Manager",C499))&gt;0,'Configuración'!$B$34,'Configuración'!$B$35)))))</f>
        <v>12</v>
      </c>
      <c r="V499" s="38">
        <f>IF(B499="","",IF(K499="Sí",'Configuración'!$B$5,0)+IF(L499="Semanal",'Configuración'!$B$6,IF(L499="Mensual",'Configuración'!$B$7,0))+IF(M499="Sí",'Configuración'!$B$8,0)+IF(N499="Sí",'Configuración'!$B$9,0)+IF(O499="Sí",'Configuración'!$B$10,0)+IF(P499="Sí",'Configuración'!$B$11,0)+IF(Q499="Sí",'Configuración'!$B$12,0)+S499+T499+U499)</f>
        <v>36</v>
      </c>
      <c r="W499" s="39" t="str">
        <f>IF(B499="","",IF(V499&gt;='Configuración'!$B$19,"A",IF(V499&gt;='Configuración'!$B$20,"B",IF(V499&gt;='Configuración'!$B$21,"C","Descarte"))))</f>
        <v>C</v>
      </c>
    </row>
    <row r="500" ht="15.75" customHeight="1">
      <c r="A500" s="34">
        <f t="shared" si="1"/>
        <v>498</v>
      </c>
      <c r="B500" s="29" t="s">
        <v>466</v>
      </c>
      <c r="C500" s="29" t="s">
        <v>3079</v>
      </c>
      <c r="D500" s="29" t="s">
        <v>3080</v>
      </c>
      <c r="E500" s="29" t="s">
        <v>3081</v>
      </c>
      <c r="F500" s="30" t="s">
        <v>3082</v>
      </c>
      <c r="G500" s="30" t="s">
        <v>3083</v>
      </c>
      <c r="H500" s="30" t="s">
        <v>3084</v>
      </c>
      <c r="I500" s="29" t="s">
        <v>616</v>
      </c>
      <c r="J500" s="31">
        <v>44.0</v>
      </c>
      <c r="K500" s="35"/>
      <c r="L500" s="35"/>
      <c r="M500" s="35"/>
      <c r="N500" s="35"/>
      <c r="O500" s="35"/>
      <c r="P500" s="35"/>
      <c r="Q500" s="35"/>
      <c r="R500" s="35"/>
      <c r="S500" s="37">
        <f>IF(B500="","",IF(ISNUMBER(J500),IF(J500&lt;=10,'Configuración'!$B$23,IF(J500&lt;=50,'Configuración'!$B$24,IF(J500&lt;=200,'Configuración'!$B$25,0))),0))</f>
        <v>4</v>
      </c>
      <c r="T500" s="37">
        <f>IF(B500="","",IF(ISNUMBER(SEARCH("information technology",I500))+ISNUMBER(SEARCH("software",I500))+ISNUMBER(SEARCH("internet",I500))+ISNUMBER(SEARCH("computer",I500))+ISNUMBER(SEARCH("saas",I500))+ISNUMBER(SEARCH("fintech",I500))+ISNUMBER(SEARCH("information services",I500))+ISNUMBER(SEARCH("telecommunications",I500))&gt;0,'Configuración'!$B$27,'Configuración'!$B$28))</f>
        <v>4</v>
      </c>
      <c r="U500" s="25">
        <f>IF(B500="","",IF(ISNUMBER(SEARCH("CEO",C500))+ISNUMBER(SEARCH("Founder",C500))+ISNUMBER(SEARCH("Owner",C500))+ISNUMBER(SEARCH("Dueño",C500))+ISNUMBER(SEARCH("Director General",C500))+ISNUMBER(SEARCH("Presidente",C500))+ISNUMBER(SEARCH("President",C500))&gt;0,'Configuración'!$B$31,IF(ISNUMBER(SEARCH("CMO",C500))+ISNUMBER(SEARCH("Chief Marketing",C500))+ISNUMBER(SEARCH("VP Marketing",C500))+ISNUMBER(SEARCH("Director de Marketing",C500))+ISNUMBER(SEARCH("Director Marketing",C500))+ISNUMBER(SEARCH("Head of Marketing",C500))+ISNUMBER(SEARCH("Head Marketing",C500))&gt;0,'Configuración'!$B$32,IF(ISNUMBER(SEARCH("Marketing Manager",C500))+ISNUMBER(SEARCH("Gerente de Marketing",C500))+ISNUMBER(SEARCH("Growth Manager",C500))+ISNUMBER(SEARCH("Demand Gen",C500))+ISNUMBER(SEARCH("Marketing Lead",C500))&gt;0,'Configuración'!$B$33,IF(ISNUMBER(SEARCH("COO",C500))+ISNUMBER(SEARCH("CFO",C500))+ISNUMBER(SEARCH("CTO",C500))+ISNUMBER(SEARCH("Chief Operating",C500))+ISNUMBER(SEARCH("Chief Financial",C500))+ISNUMBER(SEARCH("Gerente General",C500))+ISNUMBER(SEARCH("General Manager",C500))&gt;0,'Configuración'!$B$34,'Configuración'!$B$35)))))</f>
        <v>12</v>
      </c>
      <c r="V500" s="38">
        <f>IF(B500="","",IF(K500="Sí",'Configuración'!$B$5,0)+IF(L500="Semanal",'Configuración'!$B$6,IF(L500="Mensual",'Configuración'!$B$7,0))+IF(M500="Sí",'Configuración'!$B$8,0)+IF(N500="Sí",'Configuración'!$B$9,0)+IF(O500="Sí",'Configuración'!$B$10,0)+IF(P500="Sí",'Configuración'!$B$11,0)+IF(Q500="Sí",'Configuración'!$B$12,0)+S500+T500+U500)</f>
        <v>20</v>
      </c>
      <c r="W500" s="39" t="str">
        <f>IF(B500="","",IF(V500&gt;='Configuración'!$B$19,"A",IF(V500&gt;='Configuración'!$B$20,"B",IF(V500&gt;='Configuración'!$B$21,"C","Descarte"))))</f>
        <v>Descarte</v>
      </c>
    </row>
    <row r="501" ht="15.75" customHeight="1">
      <c r="A501" s="34">
        <f t="shared" si="1"/>
        <v>499</v>
      </c>
      <c r="B501" s="29" t="s">
        <v>223</v>
      </c>
      <c r="C501" s="29" t="s">
        <v>131</v>
      </c>
      <c r="D501" s="29" t="s">
        <v>3085</v>
      </c>
      <c r="E501" s="29" t="s">
        <v>3086</v>
      </c>
      <c r="F501" s="30" t="s">
        <v>3087</v>
      </c>
      <c r="G501" s="30" t="s">
        <v>3088</v>
      </c>
      <c r="H501" s="30" t="s">
        <v>3089</v>
      </c>
      <c r="I501" s="29" t="s">
        <v>1343</v>
      </c>
      <c r="J501" s="31">
        <v>23.0</v>
      </c>
      <c r="K501" s="35"/>
      <c r="L501" s="35"/>
      <c r="M501" s="35"/>
      <c r="N501" s="35"/>
      <c r="O501" s="35"/>
      <c r="P501" s="35"/>
      <c r="Q501" s="35"/>
      <c r="R501" s="35"/>
      <c r="S501" s="37">
        <f>IF(B501="","",IF(ISNUMBER(J501),IF(J501&lt;=10,'Configuración'!$B$23,IF(J501&lt;=50,'Configuración'!$B$24,IF(J501&lt;=200,'Configuración'!$B$25,0))),0))</f>
        <v>4</v>
      </c>
      <c r="T501" s="37">
        <f>IF(B501="","",IF(ISNUMBER(SEARCH("information technology",I501))+ISNUMBER(SEARCH("software",I501))+ISNUMBER(SEARCH("internet",I501))+ISNUMBER(SEARCH("computer",I501))+ISNUMBER(SEARCH("saas",I501))+ISNUMBER(SEARCH("fintech",I501))+ISNUMBER(SEARCH("information services",I501))+ISNUMBER(SEARCH("telecommunications",I501))&gt;0,'Configuración'!$B$27,'Configuración'!$B$28))</f>
        <v>4</v>
      </c>
      <c r="U501" s="25">
        <f>IF(B501="","",IF(ISNUMBER(SEARCH("CEO",C501))+ISNUMBER(SEARCH("Founder",C501))+ISNUMBER(SEARCH("Owner",C501))+ISNUMBER(SEARCH("Dueño",C501))+ISNUMBER(SEARCH("Director General",C501))+ISNUMBER(SEARCH("Presidente",C501))+ISNUMBER(SEARCH("President",C501))&gt;0,'Configuración'!$B$31,IF(ISNUMBER(SEARCH("CMO",C501))+ISNUMBER(SEARCH("Chief Marketing",C501))+ISNUMBER(SEARCH("VP Marketing",C501))+ISNUMBER(SEARCH("Director de Marketing",C501))+ISNUMBER(SEARCH("Director Marketing",C501))+ISNUMBER(SEARCH("Head of Marketing",C501))+ISNUMBER(SEARCH("Head Marketing",C501))&gt;0,'Configuración'!$B$32,IF(ISNUMBER(SEARCH("Marketing Manager",C501))+ISNUMBER(SEARCH("Gerente de Marketing",C501))+ISNUMBER(SEARCH("Growth Manager",C501))+ISNUMBER(SEARCH("Demand Gen",C501))+ISNUMBER(SEARCH("Marketing Lead",C501))&gt;0,'Configuración'!$B$33,IF(ISNUMBER(SEARCH("COO",C501))+ISNUMBER(SEARCH("CFO",C501))+ISNUMBER(SEARCH("CTO",C501))+ISNUMBER(SEARCH("Chief Operating",C501))+ISNUMBER(SEARCH("Chief Financial",C501))+ISNUMBER(SEARCH("Gerente General",C501))+ISNUMBER(SEARCH("General Manager",C501))&gt;0,'Configuración'!$B$34,'Configuración'!$B$35)))))</f>
        <v>12</v>
      </c>
      <c r="V501" s="38">
        <f>IF(B501="","",IF(K501="Sí",'Configuración'!$B$5,0)+IF(L501="Semanal",'Configuración'!$B$6,IF(L501="Mensual",'Configuración'!$B$7,0))+IF(M501="Sí",'Configuración'!$B$8,0)+IF(N501="Sí",'Configuración'!$B$9,0)+IF(O501="Sí",'Configuración'!$B$10,0)+IF(P501="Sí",'Configuración'!$B$11,0)+IF(Q501="Sí",'Configuración'!$B$12,0)+S501+T501+U501)</f>
        <v>20</v>
      </c>
      <c r="W501" s="39" t="str">
        <f>IF(B501="","",IF(V501&gt;='Configuración'!$B$19,"A",IF(V501&gt;='Configuración'!$B$20,"B",IF(V501&gt;='Configuración'!$B$21,"C","Descarte"))))</f>
        <v>Descarte</v>
      </c>
    </row>
    <row r="502" ht="15.75" customHeight="1">
      <c r="A502" s="34">
        <f t="shared" si="1"/>
        <v>500</v>
      </c>
      <c r="B502" s="29" t="s">
        <v>536</v>
      </c>
      <c r="C502" s="29" t="s">
        <v>3090</v>
      </c>
      <c r="D502" s="29" t="s">
        <v>3091</v>
      </c>
      <c r="E502" s="29" t="s">
        <v>3092</v>
      </c>
      <c r="F502" s="30" t="s">
        <v>3093</v>
      </c>
      <c r="G502" s="30" t="s">
        <v>3094</v>
      </c>
      <c r="H502" s="30" t="s">
        <v>3095</v>
      </c>
      <c r="I502" s="29" t="s">
        <v>1446</v>
      </c>
      <c r="J502" s="31">
        <v>43.0</v>
      </c>
      <c r="K502" s="35"/>
      <c r="L502" s="35"/>
      <c r="M502" s="35"/>
      <c r="N502" s="35"/>
      <c r="O502" s="35"/>
      <c r="P502" s="35"/>
      <c r="Q502" s="35"/>
      <c r="R502" s="35"/>
      <c r="S502" s="37">
        <f>IF(B502="","",IF(ISNUMBER(J502),IF(J502&lt;=10,'Configuración'!$B$23,IF(J502&lt;=50,'Configuración'!$B$24,IF(J502&lt;=200,'Configuración'!$B$25,0))),0))</f>
        <v>4</v>
      </c>
      <c r="T502" s="37">
        <f>IF(B502="","",IF(ISNUMBER(SEARCH("information technology",I502))+ISNUMBER(SEARCH("software",I502))+ISNUMBER(SEARCH("internet",I502))+ISNUMBER(SEARCH("computer",I502))+ISNUMBER(SEARCH("saas",I502))+ISNUMBER(SEARCH("fintech",I502))+ISNUMBER(SEARCH("information services",I502))+ISNUMBER(SEARCH("telecommunications",I502))&gt;0,'Configuración'!$B$27,'Configuración'!$B$28))</f>
        <v>4</v>
      </c>
      <c r="U502" s="25">
        <f>IF(B502="","",IF(ISNUMBER(SEARCH("CEO",C502))+ISNUMBER(SEARCH("Founder",C502))+ISNUMBER(SEARCH("Owner",C502))+ISNUMBER(SEARCH("Dueño",C502))+ISNUMBER(SEARCH("Director General",C502))+ISNUMBER(SEARCH("Presidente",C502))+ISNUMBER(SEARCH("President",C502))&gt;0,'Configuración'!$B$31,IF(ISNUMBER(SEARCH("CMO",C502))+ISNUMBER(SEARCH("Chief Marketing",C502))+ISNUMBER(SEARCH("VP Marketing",C502))+ISNUMBER(SEARCH("Director de Marketing",C502))+ISNUMBER(SEARCH("Director Marketing",C502))+ISNUMBER(SEARCH("Head of Marketing",C502))+ISNUMBER(SEARCH("Head Marketing",C502))&gt;0,'Configuración'!$B$32,IF(ISNUMBER(SEARCH("Marketing Manager",C502))+ISNUMBER(SEARCH("Gerente de Marketing",C502))+ISNUMBER(SEARCH("Growth Manager",C502))+ISNUMBER(SEARCH("Demand Gen",C502))+ISNUMBER(SEARCH("Marketing Lead",C502))&gt;0,'Configuración'!$B$33,IF(ISNUMBER(SEARCH("COO",C502))+ISNUMBER(SEARCH("CFO",C502))+ISNUMBER(SEARCH("CTO",C502))+ISNUMBER(SEARCH("Chief Operating",C502))+ISNUMBER(SEARCH("Chief Financial",C502))+ISNUMBER(SEARCH("Gerente General",C502))+ISNUMBER(SEARCH("General Manager",C502))&gt;0,'Configuración'!$B$34,'Configuración'!$B$35)))))</f>
        <v>12</v>
      </c>
      <c r="V502" s="38">
        <f>IF(B502="","",IF(K502="Sí",'Configuración'!$B$5,0)+IF(L502="Semanal",'Configuración'!$B$6,IF(L502="Mensual",'Configuración'!$B$7,0))+IF(M502="Sí",'Configuración'!$B$8,0)+IF(N502="Sí",'Configuración'!$B$9,0)+IF(O502="Sí",'Configuración'!$B$10,0)+IF(P502="Sí",'Configuración'!$B$11,0)+IF(Q502="Sí",'Configuración'!$B$12,0)+S502+T502+U502)</f>
        <v>20</v>
      </c>
      <c r="W502" s="39" t="str">
        <f>IF(B502="","",IF(V502&gt;='Configuración'!$B$19,"A",IF(V502&gt;='Configuración'!$B$20,"B",IF(V502&gt;='Configuración'!$B$21,"C","Descarte"))))</f>
        <v>Descarte</v>
      </c>
    </row>
    <row r="503" ht="15.75" customHeight="1">
      <c r="A503" s="34">
        <f t="shared" si="1"/>
        <v>501</v>
      </c>
      <c r="B503" s="29" t="s">
        <v>3096</v>
      </c>
      <c r="C503" s="29" t="s">
        <v>597</v>
      </c>
      <c r="D503" s="29" t="s">
        <v>3097</v>
      </c>
      <c r="E503" s="29" t="s">
        <v>3098</v>
      </c>
      <c r="F503" s="30" t="s">
        <v>3099</v>
      </c>
      <c r="G503" s="30" t="s">
        <v>3100</v>
      </c>
      <c r="H503" s="30" t="s">
        <v>3101</v>
      </c>
      <c r="I503" s="29" t="s">
        <v>127</v>
      </c>
      <c r="J503" s="31">
        <v>27.0</v>
      </c>
      <c r="K503" s="35"/>
      <c r="L503" s="35"/>
      <c r="M503" s="35"/>
      <c r="N503" s="35"/>
      <c r="O503" s="35"/>
      <c r="P503" s="35"/>
      <c r="Q503" s="35"/>
      <c r="R503" s="35"/>
      <c r="S503" s="37">
        <f>IF(B503="","",IF(ISNUMBER(J503),IF(J503&lt;=10,'Configuración'!$B$23,IF(J503&lt;=50,'Configuración'!$B$24,IF(J503&lt;=200,'Configuración'!$B$25,0))),0))</f>
        <v>4</v>
      </c>
      <c r="T503" s="37">
        <f>IF(B503="","",IF(ISNUMBER(SEARCH("information technology",I503))+ISNUMBER(SEARCH("software",I503))+ISNUMBER(SEARCH("internet",I503))+ISNUMBER(SEARCH("computer",I503))+ISNUMBER(SEARCH("saas",I503))+ISNUMBER(SEARCH("fintech",I503))+ISNUMBER(SEARCH("information services",I503))+ISNUMBER(SEARCH("telecommunications",I503))&gt;0,'Configuración'!$B$27,'Configuración'!$B$28))</f>
        <v>12</v>
      </c>
      <c r="U503" s="25">
        <f>IF(B503="","",IF(ISNUMBER(SEARCH("CEO",C503))+ISNUMBER(SEARCH("Founder",C503))+ISNUMBER(SEARCH("Owner",C503))+ISNUMBER(SEARCH("Dueño",C503))+ISNUMBER(SEARCH("Director General",C503))+ISNUMBER(SEARCH("Presidente",C503))+ISNUMBER(SEARCH("President",C503))&gt;0,'Configuración'!$B$31,IF(ISNUMBER(SEARCH("CMO",C503))+ISNUMBER(SEARCH("Chief Marketing",C503))+ISNUMBER(SEARCH("VP Marketing",C503))+ISNUMBER(SEARCH("Director de Marketing",C503))+ISNUMBER(SEARCH("Director Marketing",C503))+ISNUMBER(SEARCH("Head of Marketing",C503))+ISNUMBER(SEARCH("Head Marketing",C503))&gt;0,'Configuración'!$B$32,IF(ISNUMBER(SEARCH("Marketing Manager",C503))+ISNUMBER(SEARCH("Gerente de Marketing",C503))+ISNUMBER(SEARCH("Growth Manager",C503))+ISNUMBER(SEARCH("Demand Gen",C503))+ISNUMBER(SEARCH("Marketing Lead",C503))&gt;0,'Configuración'!$B$33,IF(ISNUMBER(SEARCH("COO",C503))+ISNUMBER(SEARCH("CFO",C503))+ISNUMBER(SEARCH("CTO",C503))+ISNUMBER(SEARCH("Chief Operating",C503))+ISNUMBER(SEARCH("Chief Financial",C503))+ISNUMBER(SEARCH("Gerente General",C503))+ISNUMBER(SEARCH("General Manager",C503))&gt;0,'Configuración'!$B$34,'Configuración'!$B$35)))))</f>
        <v>12</v>
      </c>
      <c r="V503" s="38">
        <f>IF(B503="","",IF(K503="Sí",'Configuración'!$B$5,0)+IF(L503="Semanal",'Configuración'!$B$6,IF(L503="Mensual",'Configuración'!$B$7,0))+IF(M503="Sí",'Configuración'!$B$8,0)+IF(N503="Sí",'Configuración'!$B$9,0)+IF(O503="Sí",'Configuración'!$B$10,0)+IF(P503="Sí",'Configuración'!$B$11,0)+IF(Q503="Sí",'Configuración'!$B$12,0)+S503+T503+U503)</f>
        <v>28</v>
      </c>
      <c r="W503" s="39" t="str">
        <f>IF(B503="","",IF(V503&gt;='Configuración'!$B$19,"A",IF(V503&gt;='Configuración'!$B$20,"B",IF(V503&gt;='Configuración'!$B$21,"C","Descarte"))))</f>
        <v>C</v>
      </c>
    </row>
    <row r="504" ht="15.75" customHeight="1">
      <c r="A504" s="34">
        <f t="shared" si="1"/>
        <v>502</v>
      </c>
      <c r="B504" s="29" t="s">
        <v>324</v>
      </c>
      <c r="C504" s="29" t="s">
        <v>3102</v>
      </c>
      <c r="D504" s="29" t="s">
        <v>3103</v>
      </c>
      <c r="E504" s="29" t="s">
        <v>3104</v>
      </c>
      <c r="F504" s="30" t="s">
        <v>3105</v>
      </c>
      <c r="G504" s="30" t="s">
        <v>3106</v>
      </c>
      <c r="H504" s="30" t="s">
        <v>3107</v>
      </c>
      <c r="I504" s="29" t="s">
        <v>127</v>
      </c>
      <c r="J504" s="31">
        <v>7.0</v>
      </c>
      <c r="K504" s="35"/>
      <c r="L504" s="35"/>
      <c r="M504" s="35"/>
      <c r="N504" s="35"/>
      <c r="O504" s="35"/>
      <c r="P504" s="35"/>
      <c r="Q504" s="35"/>
      <c r="R504" s="35"/>
      <c r="S504" s="37">
        <f>IF(B504="","",IF(ISNUMBER(J504),IF(J504&lt;=10,'Configuración'!$B$23,IF(J504&lt;=50,'Configuración'!$B$24,IF(J504&lt;=200,'Configuración'!$B$25,0))),0))</f>
        <v>12</v>
      </c>
      <c r="T504" s="37">
        <f>IF(B504="","",IF(ISNUMBER(SEARCH("information technology",I504))+ISNUMBER(SEARCH("software",I504))+ISNUMBER(SEARCH("internet",I504))+ISNUMBER(SEARCH("computer",I504))+ISNUMBER(SEARCH("saas",I504))+ISNUMBER(SEARCH("fintech",I504))+ISNUMBER(SEARCH("information services",I504))+ISNUMBER(SEARCH("telecommunications",I504))&gt;0,'Configuración'!$B$27,'Configuración'!$B$28))</f>
        <v>12</v>
      </c>
      <c r="U504" s="25">
        <f>IF(B504="","",IF(ISNUMBER(SEARCH("CEO",C504))+ISNUMBER(SEARCH("Founder",C504))+ISNUMBER(SEARCH("Owner",C504))+ISNUMBER(SEARCH("Dueño",C504))+ISNUMBER(SEARCH("Director General",C504))+ISNUMBER(SEARCH("Presidente",C504))+ISNUMBER(SEARCH("President",C504))&gt;0,'Configuración'!$B$31,IF(ISNUMBER(SEARCH("CMO",C504))+ISNUMBER(SEARCH("Chief Marketing",C504))+ISNUMBER(SEARCH("VP Marketing",C504))+ISNUMBER(SEARCH("Director de Marketing",C504))+ISNUMBER(SEARCH("Director Marketing",C504))+ISNUMBER(SEARCH("Head of Marketing",C504))+ISNUMBER(SEARCH("Head Marketing",C504))&gt;0,'Configuración'!$B$32,IF(ISNUMBER(SEARCH("Marketing Manager",C504))+ISNUMBER(SEARCH("Gerente de Marketing",C504))+ISNUMBER(SEARCH("Growth Manager",C504))+ISNUMBER(SEARCH("Demand Gen",C504))+ISNUMBER(SEARCH("Marketing Lead",C504))&gt;0,'Configuración'!$B$33,IF(ISNUMBER(SEARCH("COO",C504))+ISNUMBER(SEARCH("CFO",C504))+ISNUMBER(SEARCH("CTO",C504))+ISNUMBER(SEARCH("Chief Operating",C504))+ISNUMBER(SEARCH("Chief Financial",C504))+ISNUMBER(SEARCH("Gerente General",C504))+ISNUMBER(SEARCH("General Manager",C504))&gt;0,'Configuración'!$B$34,'Configuración'!$B$35)))))</f>
        <v>12</v>
      </c>
      <c r="V504" s="38">
        <f>IF(B504="","",IF(K504="Sí",'Configuración'!$B$5,0)+IF(L504="Semanal",'Configuración'!$B$6,IF(L504="Mensual",'Configuración'!$B$7,0))+IF(M504="Sí",'Configuración'!$B$8,0)+IF(N504="Sí",'Configuración'!$B$9,0)+IF(O504="Sí",'Configuración'!$B$10,0)+IF(P504="Sí",'Configuración'!$B$11,0)+IF(Q504="Sí",'Configuración'!$B$12,0)+S504+T504+U504)</f>
        <v>36</v>
      </c>
      <c r="W504" s="39" t="str">
        <f>IF(B504="","",IF(V504&gt;='Configuración'!$B$19,"A",IF(V504&gt;='Configuración'!$B$20,"B",IF(V504&gt;='Configuración'!$B$21,"C","Descarte"))))</f>
        <v>C</v>
      </c>
    </row>
    <row r="505" ht="15.75" customHeight="1">
      <c r="A505" s="34">
        <f t="shared" si="1"/>
        <v>503</v>
      </c>
      <c r="B505" s="29" t="s">
        <v>3108</v>
      </c>
      <c r="C505" s="29" t="s">
        <v>304</v>
      </c>
      <c r="D505" s="29" t="s">
        <v>3109</v>
      </c>
      <c r="E505" s="29" t="s">
        <v>3110</v>
      </c>
      <c r="F505" s="30" t="s">
        <v>3111</v>
      </c>
      <c r="G505" s="30" t="s">
        <v>3112</v>
      </c>
      <c r="H505" s="30" t="s">
        <v>3113</v>
      </c>
      <c r="I505" s="29" t="s">
        <v>350</v>
      </c>
      <c r="J505" s="31">
        <v>39.0</v>
      </c>
      <c r="K505" s="35"/>
      <c r="L505" s="35"/>
      <c r="M505" s="35"/>
      <c r="N505" s="35"/>
      <c r="O505" s="35"/>
      <c r="P505" s="35"/>
      <c r="Q505" s="35"/>
      <c r="R505" s="35"/>
      <c r="S505" s="37">
        <f>IF(B505="","",IF(ISNUMBER(J505),IF(J505&lt;=10,'Configuración'!$B$23,IF(J505&lt;=50,'Configuración'!$B$24,IF(J505&lt;=200,'Configuración'!$B$25,0))),0))</f>
        <v>4</v>
      </c>
      <c r="T505" s="37">
        <f>IF(B505="","",IF(ISNUMBER(SEARCH("information technology",I505))+ISNUMBER(SEARCH("software",I505))+ISNUMBER(SEARCH("internet",I505))+ISNUMBER(SEARCH("computer",I505))+ISNUMBER(SEARCH("saas",I505))+ISNUMBER(SEARCH("fintech",I505))+ISNUMBER(SEARCH("information services",I505))+ISNUMBER(SEARCH("telecommunications",I505))&gt;0,'Configuración'!$B$27,'Configuración'!$B$28))</f>
        <v>4</v>
      </c>
      <c r="U505" s="25">
        <f>IF(B505="","",IF(ISNUMBER(SEARCH("CEO",C505))+ISNUMBER(SEARCH("Founder",C505))+ISNUMBER(SEARCH("Owner",C505))+ISNUMBER(SEARCH("Dueño",C505))+ISNUMBER(SEARCH("Director General",C505))+ISNUMBER(SEARCH("Presidente",C505))+ISNUMBER(SEARCH("President",C505))&gt;0,'Configuración'!$B$31,IF(ISNUMBER(SEARCH("CMO",C505))+ISNUMBER(SEARCH("Chief Marketing",C505))+ISNUMBER(SEARCH("VP Marketing",C505))+ISNUMBER(SEARCH("Director de Marketing",C505))+ISNUMBER(SEARCH("Director Marketing",C505))+ISNUMBER(SEARCH("Head of Marketing",C505))+ISNUMBER(SEARCH("Head Marketing",C505))&gt;0,'Configuración'!$B$32,IF(ISNUMBER(SEARCH("Marketing Manager",C505))+ISNUMBER(SEARCH("Gerente de Marketing",C505))+ISNUMBER(SEARCH("Growth Manager",C505))+ISNUMBER(SEARCH("Demand Gen",C505))+ISNUMBER(SEARCH("Marketing Lead",C505))&gt;0,'Configuración'!$B$33,IF(ISNUMBER(SEARCH("COO",C505))+ISNUMBER(SEARCH("CFO",C505))+ISNUMBER(SEARCH("CTO",C505))+ISNUMBER(SEARCH("Chief Operating",C505))+ISNUMBER(SEARCH("Chief Financial",C505))+ISNUMBER(SEARCH("Gerente General",C505))+ISNUMBER(SEARCH("General Manager",C505))&gt;0,'Configuración'!$B$34,'Configuración'!$B$35)))))</f>
        <v>4</v>
      </c>
      <c r="V505" s="38">
        <f>IF(B505="","",IF(K505="Sí",'Configuración'!$B$5,0)+IF(L505="Semanal",'Configuración'!$B$6,IF(L505="Mensual",'Configuración'!$B$7,0))+IF(M505="Sí",'Configuración'!$B$8,0)+IF(N505="Sí",'Configuración'!$B$9,0)+IF(O505="Sí",'Configuración'!$B$10,0)+IF(P505="Sí",'Configuración'!$B$11,0)+IF(Q505="Sí",'Configuración'!$B$12,0)+S505+T505+U505)</f>
        <v>12</v>
      </c>
      <c r="W505" s="39" t="str">
        <f>IF(B505="","",IF(V505&gt;='Configuración'!$B$19,"A",IF(V505&gt;='Configuración'!$B$20,"B",IF(V505&gt;='Configuración'!$B$21,"C","Descarte"))))</f>
        <v>Descarte</v>
      </c>
    </row>
    <row r="506" ht="15.75" customHeight="1">
      <c r="A506" s="34">
        <f t="shared" si="1"/>
        <v>504</v>
      </c>
      <c r="B506" s="29" t="s">
        <v>984</v>
      </c>
      <c r="C506" s="29" t="s">
        <v>146</v>
      </c>
      <c r="D506" s="29" t="s">
        <v>3114</v>
      </c>
      <c r="E506" s="29" t="s">
        <v>3115</v>
      </c>
      <c r="F506" s="30" t="s">
        <v>3116</v>
      </c>
      <c r="G506" s="30" t="s">
        <v>3117</v>
      </c>
      <c r="H506" s="30" t="s">
        <v>3118</v>
      </c>
      <c r="I506" s="29" t="s">
        <v>337</v>
      </c>
      <c r="J506" s="31">
        <v>7.0</v>
      </c>
      <c r="K506" s="35"/>
      <c r="L506" s="35"/>
      <c r="M506" s="35"/>
      <c r="N506" s="35"/>
      <c r="O506" s="35"/>
      <c r="P506" s="35"/>
      <c r="Q506" s="35"/>
      <c r="R506" s="35"/>
      <c r="S506" s="37">
        <f>IF(B506="","",IF(ISNUMBER(J506),IF(J506&lt;=10,'Configuración'!$B$23,IF(J506&lt;=50,'Configuración'!$B$24,IF(J506&lt;=200,'Configuración'!$B$25,0))),0))</f>
        <v>12</v>
      </c>
      <c r="T506" s="37">
        <f>IF(B506="","",IF(ISNUMBER(SEARCH("information technology",I506))+ISNUMBER(SEARCH("software",I506))+ISNUMBER(SEARCH("internet",I506))+ISNUMBER(SEARCH("computer",I506))+ISNUMBER(SEARCH("saas",I506))+ISNUMBER(SEARCH("fintech",I506))+ISNUMBER(SEARCH("information services",I506))+ISNUMBER(SEARCH("telecommunications",I506))&gt;0,'Configuración'!$B$27,'Configuración'!$B$28))</f>
        <v>4</v>
      </c>
      <c r="U506" s="25">
        <f>IF(B506="","",IF(ISNUMBER(SEARCH("CEO",C506))+ISNUMBER(SEARCH("Founder",C506))+ISNUMBER(SEARCH("Owner",C506))+ISNUMBER(SEARCH("Dueño",C506))+ISNUMBER(SEARCH("Director General",C506))+ISNUMBER(SEARCH("Presidente",C506))+ISNUMBER(SEARCH("President",C506))&gt;0,'Configuración'!$B$31,IF(ISNUMBER(SEARCH("CMO",C506))+ISNUMBER(SEARCH("Chief Marketing",C506))+ISNUMBER(SEARCH("VP Marketing",C506))+ISNUMBER(SEARCH("Director de Marketing",C506))+ISNUMBER(SEARCH("Director Marketing",C506))+ISNUMBER(SEARCH("Head of Marketing",C506))+ISNUMBER(SEARCH("Head Marketing",C506))&gt;0,'Configuración'!$B$32,IF(ISNUMBER(SEARCH("Marketing Manager",C506))+ISNUMBER(SEARCH("Gerente de Marketing",C506))+ISNUMBER(SEARCH("Growth Manager",C506))+ISNUMBER(SEARCH("Demand Gen",C506))+ISNUMBER(SEARCH("Marketing Lead",C506))&gt;0,'Configuración'!$B$33,IF(ISNUMBER(SEARCH("COO",C506))+ISNUMBER(SEARCH("CFO",C506))+ISNUMBER(SEARCH("CTO",C506))+ISNUMBER(SEARCH("Chief Operating",C506))+ISNUMBER(SEARCH("Chief Financial",C506))+ISNUMBER(SEARCH("Gerente General",C506))+ISNUMBER(SEARCH("General Manager",C506))&gt;0,'Configuración'!$B$34,'Configuración'!$B$35)))))</f>
        <v>0</v>
      </c>
      <c r="V506" s="38">
        <f>IF(B506="","",IF(K506="Sí",'Configuración'!$B$5,0)+IF(L506="Semanal",'Configuración'!$B$6,IF(L506="Mensual",'Configuración'!$B$7,0))+IF(M506="Sí",'Configuración'!$B$8,0)+IF(N506="Sí",'Configuración'!$B$9,0)+IF(O506="Sí",'Configuración'!$B$10,0)+IF(P506="Sí",'Configuración'!$B$11,0)+IF(Q506="Sí",'Configuración'!$B$12,0)+S506+T506+U506)</f>
        <v>16</v>
      </c>
      <c r="W506" s="39" t="str">
        <f>IF(B506="","",IF(V506&gt;='Configuración'!$B$19,"A",IF(V506&gt;='Configuración'!$B$20,"B",IF(V506&gt;='Configuración'!$B$21,"C","Descarte"))))</f>
        <v>Descarte</v>
      </c>
    </row>
    <row r="507" ht="15.75" customHeight="1">
      <c r="A507" s="34">
        <f t="shared" si="1"/>
        <v>505</v>
      </c>
      <c r="B507" s="29" t="s">
        <v>3119</v>
      </c>
      <c r="C507" s="29" t="s">
        <v>3120</v>
      </c>
      <c r="D507" s="29" t="s">
        <v>3121</v>
      </c>
      <c r="E507" s="29" t="s">
        <v>3122</v>
      </c>
      <c r="F507" s="30" t="s">
        <v>3123</v>
      </c>
      <c r="G507" s="30" t="s">
        <v>3124</v>
      </c>
      <c r="H507" s="30" t="s">
        <v>3125</v>
      </c>
      <c r="I507" s="29" t="s">
        <v>127</v>
      </c>
      <c r="J507" s="31">
        <v>1.0</v>
      </c>
      <c r="K507" s="35"/>
      <c r="L507" s="35"/>
      <c r="M507" s="35"/>
      <c r="N507" s="35"/>
      <c r="O507" s="35"/>
      <c r="P507" s="35"/>
      <c r="Q507" s="35"/>
      <c r="R507" s="35"/>
      <c r="S507" s="37">
        <f>IF(B507="","",IF(ISNUMBER(J507),IF(J507&lt;=10,'Configuración'!$B$23,IF(J507&lt;=50,'Configuración'!$B$24,IF(J507&lt;=200,'Configuración'!$B$25,0))),0))</f>
        <v>12</v>
      </c>
      <c r="T507" s="37">
        <f>IF(B507="","",IF(ISNUMBER(SEARCH("information technology",I507))+ISNUMBER(SEARCH("software",I507))+ISNUMBER(SEARCH("internet",I507))+ISNUMBER(SEARCH("computer",I507))+ISNUMBER(SEARCH("saas",I507))+ISNUMBER(SEARCH("fintech",I507))+ISNUMBER(SEARCH("information services",I507))+ISNUMBER(SEARCH("telecommunications",I507))&gt;0,'Configuración'!$B$27,'Configuración'!$B$28))</f>
        <v>12</v>
      </c>
      <c r="U507" s="25">
        <f>IF(B507="","",IF(ISNUMBER(SEARCH("CEO",C507))+ISNUMBER(SEARCH("Founder",C507))+ISNUMBER(SEARCH("Owner",C507))+ISNUMBER(SEARCH("Dueño",C507))+ISNUMBER(SEARCH("Director General",C507))+ISNUMBER(SEARCH("Presidente",C507))+ISNUMBER(SEARCH("President",C507))&gt;0,'Configuración'!$B$31,IF(ISNUMBER(SEARCH("CMO",C507))+ISNUMBER(SEARCH("Chief Marketing",C507))+ISNUMBER(SEARCH("VP Marketing",C507))+ISNUMBER(SEARCH("Director de Marketing",C507))+ISNUMBER(SEARCH("Director Marketing",C507))+ISNUMBER(SEARCH("Head of Marketing",C507))+ISNUMBER(SEARCH("Head Marketing",C507))&gt;0,'Configuración'!$B$32,IF(ISNUMBER(SEARCH("Marketing Manager",C507))+ISNUMBER(SEARCH("Gerente de Marketing",C507))+ISNUMBER(SEARCH("Growth Manager",C507))+ISNUMBER(SEARCH("Demand Gen",C507))+ISNUMBER(SEARCH("Marketing Lead",C507))&gt;0,'Configuración'!$B$33,IF(ISNUMBER(SEARCH("COO",C507))+ISNUMBER(SEARCH("CFO",C507))+ISNUMBER(SEARCH("CTO",C507))+ISNUMBER(SEARCH("Chief Operating",C507))+ISNUMBER(SEARCH("Chief Financial",C507))+ISNUMBER(SEARCH("Gerente General",C507))+ISNUMBER(SEARCH("General Manager",C507))&gt;0,'Configuración'!$B$34,'Configuración'!$B$35)))))</f>
        <v>12</v>
      </c>
      <c r="V507" s="38">
        <f>IF(B507="","",IF(K507="Sí",'Configuración'!$B$5,0)+IF(L507="Semanal",'Configuración'!$B$6,IF(L507="Mensual",'Configuración'!$B$7,0))+IF(M507="Sí",'Configuración'!$B$8,0)+IF(N507="Sí",'Configuración'!$B$9,0)+IF(O507="Sí",'Configuración'!$B$10,0)+IF(P507="Sí",'Configuración'!$B$11,0)+IF(Q507="Sí",'Configuración'!$B$12,0)+S507+T507+U507)</f>
        <v>36</v>
      </c>
      <c r="W507" s="39" t="str">
        <f>IF(B507="","",IF(V507&gt;='Configuración'!$B$19,"A",IF(V507&gt;='Configuración'!$B$20,"B",IF(V507&gt;='Configuración'!$B$21,"C","Descarte"))))</f>
        <v>C</v>
      </c>
    </row>
    <row r="508" ht="15.75" customHeight="1">
      <c r="A508" s="34">
        <f t="shared" si="1"/>
        <v>506</v>
      </c>
      <c r="B508" s="29" t="s">
        <v>629</v>
      </c>
      <c r="C508" s="29" t="s">
        <v>131</v>
      </c>
      <c r="D508" s="29" t="s">
        <v>3126</v>
      </c>
      <c r="E508" s="29" t="s">
        <v>3127</v>
      </c>
      <c r="F508" s="30" t="s">
        <v>3128</v>
      </c>
      <c r="G508" s="30" t="s">
        <v>3129</v>
      </c>
      <c r="H508" s="30" t="s">
        <v>3130</v>
      </c>
      <c r="I508" s="29" t="s">
        <v>188</v>
      </c>
      <c r="J508" s="31">
        <v>18.0</v>
      </c>
      <c r="K508" s="35"/>
      <c r="L508" s="35"/>
      <c r="M508" s="35"/>
      <c r="N508" s="35"/>
      <c r="O508" s="35"/>
      <c r="P508" s="35"/>
      <c r="Q508" s="35"/>
      <c r="R508" s="35"/>
      <c r="S508" s="37">
        <f>IF(B508="","",IF(ISNUMBER(J508),IF(J508&lt;=10,'Configuración'!$B$23,IF(J508&lt;=50,'Configuración'!$B$24,IF(J508&lt;=200,'Configuración'!$B$25,0))),0))</f>
        <v>4</v>
      </c>
      <c r="T508" s="37">
        <f>IF(B508="","",IF(ISNUMBER(SEARCH("information technology",I508))+ISNUMBER(SEARCH("software",I508))+ISNUMBER(SEARCH("internet",I508))+ISNUMBER(SEARCH("computer",I508))+ISNUMBER(SEARCH("saas",I508))+ISNUMBER(SEARCH("fintech",I508))+ISNUMBER(SEARCH("information services",I508))+ISNUMBER(SEARCH("telecommunications",I508))&gt;0,'Configuración'!$B$27,'Configuración'!$B$28))</f>
        <v>4</v>
      </c>
      <c r="U508" s="25">
        <f>IF(B508="","",IF(ISNUMBER(SEARCH("CEO",C508))+ISNUMBER(SEARCH("Founder",C508))+ISNUMBER(SEARCH("Owner",C508))+ISNUMBER(SEARCH("Dueño",C508))+ISNUMBER(SEARCH("Director General",C508))+ISNUMBER(SEARCH("Presidente",C508))+ISNUMBER(SEARCH("President",C508))&gt;0,'Configuración'!$B$31,IF(ISNUMBER(SEARCH("CMO",C508))+ISNUMBER(SEARCH("Chief Marketing",C508))+ISNUMBER(SEARCH("VP Marketing",C508))+ISNUMBER(SEARCH("Director de Marketing",C508))+ISNUMBER(SEARCH("Director Marketing",C508))+ISNUMBER(SEARCH("Head of Marketing",C508))+ISNUMBER(SEARCH("Head Marketing",C508))&gt;0,'Configuración'!$B$32,IF(ISNUMBER(SEARCH("Marketing Manager",C508))+ISNUMBER(SEARCH("Gerente de Marketing",C508))+ISNUMBER(SEARCH("Growth Manager",C508))+ISNUMBER(SEARCH("Demand Gen",C508))+ISNUMBER(SEARCH("Marketing Lead",C508))&gt;0,'Configuración'!$B$33,IF(ISNUMBER(SEARCH("COO",C508))+ISNUMBER(SEARCH("CFO",C508))+ISNUMBER(SEARCH("CTO",C508))+ISNUMBER(SEARCH("Chief Operating",C508))+ISNUMBER(SEARCH("Chief Financial",C508))+ISNUMBER(SEARCH("Gerente General",C508))+ISNUMBER(SEARCH("General Manager",C508))&gt;0,'Configuración'!$B$34,'Configuración'!$B$35)))))</f>
        <v>12</v>
      </c>
      <c r="V508" s="38">
        <f>IF(B508="","",IF(K508="Sí",'Configuración'!$B$5,0)+IF(L508="Semanal",'Configuración'!$B$6,IF(L508="Mensual",'Configuración'!$B$7,0))+IF(M508="Sí",'Configuración'!$B$8,0)+IF(N508="Sí",'Configuración'!$B$9,0)+IF(O508="Sí",'Configuración'!$B$10,0)+IF(P508="Sí",'Configuración'!$B$11,0)+IF(Q508="Sí",'Configuración'!$B$12,0)+S508+T508+U508)</f>
        <v>20</v>
      </c>
      <c r="W508" s="39" t="str">
        <f>IF(B508="","",IF(V508&gt;='Configuración'!$B$19,"A",IF(V508&gt;='Configuración'!$B$20,"B",IF(V508&gt;='Configuración'!$B$21,"C","Descarte"))))</f>
        <v>Descarte</v>
      </c>
    </row>
    <row r="509" ht="15.75" customHeight="1">
      <c r="A509" s="34">
        <f t="shared" si="1"/>
        <v>507</v>
      </c>
      <c r="B509" s="29" t="s">
        <v>223</v>
      </c>
      <c r="C509" s="29" t="s">
        <v>2706</v>
      </c>
      <c r="D509" s="29" t="s">
        <v>3131</v>
      </c>
      <c r="E509" s="29" t="s">
        <v>3132</v>
      </c>
      <c r="F509" s="30" t="s">
        <v>3133</v>
      </c>
      <c r="G509" s="30" t="s">
        <v>3134</v>
      </c>
      <c r="H509" s="30" t="s">
        <v>3135</v>
      </c>
      <c r="I509" s="29" t="s">
        <v>116</v>
      </c>
      <c r="J509" s="31">
        <v>43.0</v>
      </c>
      <c r="K509" s="35"/>
      <c r="L509" s="35"/>
      <c r="M509" s="35"/>
      <c r="N509" s="35"/>
      <c r="O509" s="35"/>
      <c r="P509" s="35"/>
      <c r="Q509" s="35"/>
      <c r="R509" s="35"/>
      <c r="S509" s="37">
        <f>IF(B509="","",IF(ISNUMBER(J509),IF(J509&lt;=10,'Configuración'!$B$23,IF(J509&lt;=50,'Configuración'!$B$24,IF(J509&lt;=200,'Configuración'!$B$25,0))),0))</f>
        <v>4</v>
      </c>
      <c r="T509" s="37">
        <f>IF(B509="","",IF(ISNUMBER(SEARCH("information technology",I509))+ISNUMBER(SEARCH("software",I509))+ISNUMBER(SEARCH("internet",I509))+ISNUMBER(SEARCH("computer",I509))+ISNUMBER(SEARCH("saas",I509))+ISNUMBER(SEARCH("fintech",I509))+ISNUMBER(SEARCH("information services",I509))+ISNUMBER(SEARCH("telecommunications",I509))&gt;0,'Configuración'!$B$27,'Configuración'!$B$28))</f>
        <v>4</v>
      </c>
      <c r="U509" s="25">
        <f>IF(B509="","",IF(ISNUMBER(SEARCH("CEO",C509))+ISNUMBER(SEARCH("Founder",C509))+ISNUMBER(SEARCH("Owner",C509))+ISNUMBER(SEARCH("Dueño",C509))+ISNUMBER(SEARCH("Director General",C509))+ISNUMBER(SEARCH("Presidente",C509))+ISNUMBER(SEARCH("President",C509))&gt;0,'Configuración'!$B$31,IF(ISNUMBER(SEARCH("CMO",C509))+ISNUMBER(SEARCH("Chief Marketing",C509))+ISNUMBER(SEARCH("VP Marketing",C509))+ISNUMBER(SEARCH("Director de Marketing",C509))+ISNUMBER(SEARCH("Director Marketing",C509))+ISNUMBER(SEARCH("Head of Marketing",C509))+ISNUMBER(SEARCH("Head Marketing",C509))&gt;0,'Configuración'!$B$32,IF(ISNUMBER(SEARCH("Marketing Manager",C509))+ISNUMBER(SEARCH("Gerente de Marketing",C509))+ISNUMBER(SEARCH("Growth Manager",C509))+ISNUMBER(SEARCH("Demand Gen",C509))+ISNUMBER(SEARCH("Marketing Lead",C509))&gt;0,'Configuración'!$B$33,IF(ISNUMBER(SEARCH("COO",C509))+ISNUMBER(SEARCH("CFO",C509))+ISNUMBER(SEARCH("CTO",C509))+ISNUMBER(SEARCH("Chief Operating",C509))+ISNUMBER(SEARCH("Chief Financial",C509))+ISNUMBER(SEARCH("Gerente General",C509))+ISNUMBER(SEARCH("General Manager",C509))&gt;0,'Configuración'!$B$34,'Configuración'!$B$35)))))</f>
        <v>0</v>
      </c>
      <c r="V509" s="38">
        <f>IF(B509="","",IF(K509="Sí",'Configuración'!$B$5,0)+IF(L509="Semanal",'Configuración'!$B$6,IF(L509="Mensual",'Configuración'!$B$7,0))+IF(M509="Sí",'Configuración'!$B$8,0)+IF(N509="Sí",'Configuración'!$B$9,0)+IF(O509="Sí",'Configuración'!$B$10,0)+IF(P509="Sí",'Configuración'!$B$11,0)+IF(Q509="Sí",'Configuración'!$B$12,0)+S509+T509+U509)</f>
        <v>8</v>
      </c>
      <c r="W509" s="39" t="str">
        <f>IF(B509="","",IF(V509&gt;='Configuración'!$B$19,"A",IF(V509&gt;='Configuración'!$B$20,"B",IF(V509&gt;='Configuración'!$B$21,"C","Descarte"))))</f>
        <v>Descarte</v>
      </c>
    </row>
    <row r="510" ht="15.75" customHeight="1">
      <c r="A510" s="34">
        <f t="shared" si="1"/>
        <v>508</v>
      </c>
      <c r="B510" s="29" t="s">
        <v>3136</v>
      </c>
      <c r="C510" s="29" t="s">
        <v>3137</v>
      </c>
      <c r="D510" s="29" t="s">
        <v>3138</v>
      </c>
      <c r="E510" s="29" t="s">
        <v>3139</v>
      </c>
      <c r="F510" s="30" t="s">
        <v>3140</v>
      </c>
      <c r="G510" s="30" t="s">
        <v>3141</v>
      </c>
      <c r="H510" s="30" t="s">
        <v>3142</v>
      </c>
      <c r="I510" s="29" t="s">
        <v>188</v>
      </c>
      <c r="J510" s="31">
        <v>2.0</v>
      </c>
      <c r="K510" s="35"/>
      <c r="L510" s="35"/>
      <c r="M510" s="35"/>
      <c r="N510" s="35"/>
      <c r="O510" s="35"/>
      <c r="P510" s="35"/>
      <c r="Q510" s="35"/>
      <c r="R510" s="35"/>
      <c r="S510" s="37">
        <f>IF(B510="","",IF(ISNUMBER(J510),IF(J510&lt;=10,'Configuración'!$B$23,IF(J510&lt;=50,'Configuración'!$B$24,IF(J510&lt;=200,'Configuración'!$B$25,0))),0))</f>
        <v>12</v>
      </c>
      <c r="T510" s="37">
        <f>IF(B510="","",IF(ISNUMBER(SEARCH("information technology",I510))+ISNUMBER(SEARCH("software",I510))+ISNUMBER(SEARCH("internet",I510))+ISNUMBER(SEARCH("computer",I510))+ISNUMBER(SEARCH("saas",I510))+ISNUMBER(SEARCH("fintech",I510))+ISNUMBER(SEARCH("information services",I510))+ISNUMBER(SEARCH("telecommunications",I510))&gt;0,'Configuración'!$B$27,'Configuración'!$B$28))</f>
        <v>4</v>
      </c>
      <c r="U510" s="25">
        <f>IF(B510="","",IF(ISNUMBER(SEARCH("CEO",C510))+ISNUMBER(SEARCH("Founder",C510))+ISNUMBER(SEARCH("Owner",C510))+ISNUMBER(SEARCH("Dueño",C510))+ISNUMBER(SEARCH("Director General",C510))+ISNUMBER(SEARCH("Presidente",C510))+ISNUMBER(SEARCH("President",C510))&gt;0,'Configuración'!$B$31,IF(ISNUMBER(SEARCH("CMO",C510))+ISNUMBER(SEARCH("Chief Marketing",C510))+ISNUMBER(SEARCH("VP Marketing",C510))+ISNUMBER(SEARCH("Director de Marketing",C510))+ISNUMBER(SEARCH("Director Marketing",C510))+ISNUMBER(SEARCH("Head of Marketing",C510))+ISNUMBER(SEARCH("Head Marketing",C510))&gt;0,'Configuración'!$B$32,IF(ISNUMBER(SEARCH("Marketing Manager",C510))+ISNUMBER(SEARCH("Gerente de Marketing",C510))+ISNUMBER(SEARCH("Growth Manager",C510))+ISNUMBER(SEARCH("Demand Gen",C510))+ISNUMBER(SEARCH("Marketing Lead",C510))&gt;0,'Configuración'!$B$33,IF(ISNUMBER(SEARCH("COO",C510))+ISNUMBER(SEARCH("CFO",C510))+ISNUMBER(SEARCH("CTO",C510))+ISNUMBER(SEARCH("Chief Operating",C510))+ISNUMBER(SEARCH("Chief Financial",C510))+ISNUMBER(SEARCH("Gerente General",C510))+ISNUMBER(SEARCH("General Manager",C510))&gt;0,'Configuración'!$B$34,'Configuración'!$B$35)))))</f>
        <v>12</v>
      </c>
      <c r="V510" s="38">
        <f>IF(B510="","",IF(K510="Sí",'Configuración'!$B$5,0)+IF(L510="Semanal",'Configuración'!$B$6,IF(L510="Mensual",'Configuración'!$B$7,0))+IF(M510="Sí",'Configuración'!$B$8,0)+IF(N510="Sí",'Configuración'!$B$9,0)+IF(O510="Sí",'Configuración'!$B$10,0)+IF(P510="Sí",'Configuración'!$B$11,0)+IF(Q510="Sí",'Configuración'!$B$12,0)+S510+T510+U510)</f>
        <v>28</v>
      </c>
      <c r="W510" s="39" t="str">
        <f>IF(B510="","",IF(V510&gt;='Configuración'!$B$19,"A",IF(V510&gt;='Configuración'!$B$20,"B",IF(V510&gt;='Configuración'!$B$21,"C","Descarte"))))</f>
        <v>C</v>
      </c>
    </row>
    <row r="511" ht="15.75" customHeight="1">
      <c r="A511" s="34">
        <f t="shared" si="1"/>
        <v>509</v>
      </c>
      <c r="B511" s="29" t="s">
        <v>3143</v>
      </c>
      <c r="C511" s="29" t="s">
        <v>304</v>
      </c>
      <c r="D511" s="29" t="s">
        <v>3144</v>
      </c>
      <c r="E511" s="29" t="s">
        <v>3145</v>
      </c>
      <c r="F511" s="30" t="s">
        <v>3146</v>
      </c>
      <c r="G511" s="30" t="s">
        <v>3147</v>
      </c>
      <c r="H511" s="30" t="s">
        <v>3148</v>
      </c>
      <c r="I511" s="29" t="s">
        <v>946</v>
      </c>
      <c r="J511" s="31">
        <v>11.0</v>
      </c>
      <c r="K511" s="35"/>
      <c r="L511" s="35"/>
      <c r="M511" s="35"/>
      <c r="N511" s="35"/>
      <c r="O511" s="35"/>
      <c r="P511" s="35"/>
      <c r="Q511" s="35"/>
      <c r="R511" s="35"/>
      <c r="S511" s="37">
        <f>IF(B511="","",IF(ISNUMBER(J511),IF(J511&lt;=10,'Configuración'!$B$23,IF(J511&lt;=50,'Configuración'!$B$24,IF(J511&lt;=200,'Configuración'!$B$25,0))),0))</f>
        <v>4</v>
      </c>
      <c r="T511" s="37">
        <f>IF(B511="","",IF(ISNUMBER(SEARCH("information technology",I511))+ISNUMBER(SEARCH("software",I511))+ISNUMBER(SEARCH("internet",I511))+ISNUMBER(SEARCH("computer",I511))+ISNUMBER(SEARCH("saas",I511))+ISNUMBER(SEARCH("fintech",I511))+ISNUMBER(SEARCH("information services",I511))+ISNUMBER(SEARCH("telecommunications",I511))&gt;0,'Configuración'!$B$27,'Configuración'!$B$28))</f>
        <v>4</v>
      </c>
      <c r="U511" s="25">
        <f>IF(B511="","",IF(ISNUMBER(SEARCH("CEO",C511))+ISNUMBER(SEARCH("Founder",C511))+ISNUMBER(SEARCH("Owner",C511))+ISNUMBER(SEARCH("Dueño",C511))+ISNUMBER(SEARCH("Director General",C511))+ISNUMBER(SEARCH("Presidente",C511))+ISNUMBER(SEARCH("President",C511))&gt;0,'Configuración'!$B$31,IF(ISNUMBER(SEARCH("CMO",C511))+ISNUMBER(SEARCH("Chief Marketing",C511))+ISNUMBER(SEARCH("VP Marketing",C511))+ISNUMBER(SEARCH("Director de Marketing",C511))+ISNUMBER(SEARCH("Director Marketing",C511))+ISNUMBER(SEARCH("Head of Marketing",C511))+ISNUMBER(SEARCH("Head Marketing",C511))&gt;0,'Configuración'!$B$32,IF(ISNUMBER(SEARCH("Marketing Manager",C511))+ISNUMBER(SEARCH("Gerente de Marketing",C511))+ISNUMBER(SEARCH("Growth Manager",C511))+ISNUMBER(SEARCH("Demand Gen",C511))+ISNUMBER(SEARCH("Marketing Lead",C511))&gt;0,'Configuración'!$B$33,IF(ISNUMBER(SEARCH("COO",C511))+ISNUMBER(SEARCH("CFO",C511))+ISNUMBER(SEARCH("CTO",C511))+ISNUMBER(SEARCH("Chief Operating",C511))+ISNUMBER(SEARCH("Chief Financial",C511))+ISNUMBER(SEARCH("Gerente General",C511))+ISNUMBER(SEARCH("General Manager",C511))&gt;0,'Configuración'!$B$34,'Configuración'!$B$35)))))</f>
        <v>4</v>
      </c>
      <c r="V511" s="38">
        <f>IF(B511="","",IF(K511="Sí",'Configuración'!$B$5,0)+IF(L511="Semanal",'Configuración'!$B$6,IF(L511="Mensual",'Configuración'!$B$7,0))+IF(M511="Sí",'Configuración'!$B$8,0)+IF(N511="Sí",'Configuración'!$B$9,0)+IF(O511="Sí",'Configuración'!$B$10,0)+IF(P511="Sí",'Configuración'!$B$11,0)+IF(Q511="Sí",'Configuración'!$B$12,0)+S511+T511+U511)</f>
        <v>12</v>
      </c>
      <c r="W511" s="39" t="str">
        <f>IF(B511="","",IF(V511&gt;='Configuración'!$B$19,"A",IF(V511&gt;='Configuración'!$B$20,"B",IF(V511&gt;='Configuración'!$B$21,"C","Descarte"))))</f>
        <v>Descarte</v>
      </c>
    </row>
    <row r="512" ht="15.75" customHeight="1">
      <c r="A512" s="34">
        <f t="shared" si="1"/>
        <v>510</v>
      </c>
      <c r="B512" s="29" t="s">
        <v>1814</v>
      </c>
      <c r="C512" s="29" t="s">
        <v>202</v>
      </c>
      <c r="D512" s="29" t="s">
        <v>2829</v>
      </c>
      <c r="E512" s="29" t="s">
        <v>3149</v>
      </c>
      <c r="F512" s="30" t="s">
        <v>3150</v>
      </c>
      <c r="G512" s="30" t="s">
        <v>2832</v>
      </c>
      <c r="H512" s="30" t="s">
        <v>2833</v>
      </c>
      <c r="I512" s="29" t="s">
        <v>2834</v>
      </c>
      <c r="J512" s="31">
        <v>14.0</v>
      </c>
      <c r="K512" s="35"/>
      <c r="L512" s="35"/>
      <c r="M512" s="35"/>
      <c r="N512" s="35"/>
      <c r="O512" s="35"/>
      <c r="P512" s="35"/>
      <c r="Q512" s="35"/>
      <c r="R512" s="35"/>
      <c r="S512" s="37">
        <f>IF(B512="","",IF(ISNUMBER(J512),IF(J512&lt;=10,'Configuración'!$B$23,IF(J512&lt;=50,'Configuración'!$B$24,IF(J512&lt;=200,'Configuración'!$B$25,0))),0))</f>
        <v>4</v>
      </c>
      <c r="T512" s="37">
        <f>IF(B512="","",IF(ISNUMBER(SEARCH("information technology",I512))+ISNUMBER(SEARCH("software",I512))+ISNUMBER(SEARCH("internet",I512))+ISNUMBER(SEARCH("computer",I512))+ISNUMBER(SEARCH("saas",I512))+ISNUMBER(SEARCH("fintech",I512))+ISNUMBER(SEARCH("information services",I512))+ISNUMBER(SEARCH("telecommunications",I512))&gt;0,'Configuración'!$B$27,'Configuración'!$B$28))</f>
        <v>4</v>
      </c>
      <c r="U512" s="25">
        <f>IF(B512="","",IF(ISNUMBER(SEARCH("CEO",C512))+ISNUMBER(SEARCH("Founder",C512))+ISNUMBER(SEARCH("Owner",C512))+ISNUMBER(SEARCH("Dueño",C512))+ISNUMBER(SEARCH("Director General",C512))+ISNUMBER(SEARCH("Presidente",C512))+ISNUMBER(SEARCH("President",C512))&gt;0,'Configuración'!$B$31,IF(ISNUMBER(SEARCH("CMO",C512))+ISNUMBER(SEARCH("Chief Marketing",C512))+ISNUMBER(SEARCH("VP Marketing",C512))+ISNUMBER(SEARCH("Director de Marketing",C512))+ISNUMBER(SEARCH("Director Marketing",C512))+ISNUMBER(SEARCH("Head of Marketing",C512))+ISNUMBER(SEARCH("Head Marketing",C512))&gt;0,'Configuración'!$B$32,IF(ISNUMBER(SEARCH("Marketing Manager",C512))+ISNUMBER(SEARCH("Gerente de Marketing",C512))+ISNUMBER(SEARCH("Growth Manager",C512))+ISNUMBER(SEARCH("Demand Gen",C512))+ISNUMBER(SEARCH("Marketing Lead",C512))&gt;0,'Configuración'!$B$33,IF(ISNUMBER(SEARCH("COO",C512))+ISNUMBER(SEARCH("CFO",C512))+ISNUMBER(SEARCH("CTO",C512))+ISNUMBER(SEARCH("Chief Operating",C512))+ISNUMBER(SEARCH("Chief Financial",C512))+ISNUMBER(SEARCH("Gerente General",C512))+ISNUMBER(SEARCH("General Manager",C512))&gt;0,'Configuración'!$B$34,'Configuración'!$B$35)))))</f>
        <v>12</v>
      </c>
      <c r="V512" s="38">
        <f>IF(B512="","",IF(K512="Sí",'Configuración'!$B$5,0)+IF(L512="Semanal",'Configuración'!$B$6,IF(L512="Mensual",'Configuración'!$B$7,0))+IF(M512="Sí",'Configuración'!$B$8,0)+IF(N512="Sí",'Configuración'!$B$9,0)+IF(O512="Sí",'Configuración'!$B$10,0)+IF(P512="Sí",'Configuración'!$B$11,0)+IF(Q512="Sí",'Configuración'!$B$12,0)+S512+T512+U512)</f>
        <v>20</v>
      </c>
      <c r="W512" s="39" t="str">
        <f>IF(B512="","",IF(V512&gt;='Configuración'!$B$19,"A",IF(V512&gt;='Configuración'!$B$20,"B",IF(V512&gt;='Configuración'!$B$21,"C","Descarte"))))</f>
        <v>Descarte</v>
      </c>
    </row>
    <row r="513" ht="15.75" customHeight="1">
      <c r="A513" s="34">
        <f t="shared" si="1"/>
        <v>511</v>
      </c>
      <c r="B513" s="29" t="s">
        <v>3151</v>
      </c>
      <c r="C513" s="29" t="s">
        <v>202</v>
      </c>
      <c r="D513" s="29" t="s">
        <v>3152</v>
      </c>
      <c r="E513" s="29" t="s">
        <v>3153</v>
      </c>
      <c r="F513" s="30" t="s">
        <v>3154</v>
      </c>
      <c r="G513" s="30" t="s">
        <v>3155</v>
      </c>
      <c r="H513" s="30" t="s">
        <v>3156</v>
      </c>
      <c r="I513" s="29" t="s">
        <v>480</v>
      </c>
      <c r="J513" s="31">
        <v>3.0</v>
      </c>
      <c r="K513" s="35"/>
      <c r="L513" s="35"/>
      <c r="M513" s="35"/>
      <c r="N513" s="35"/>
      <c r="O513" s="35"/>
      <c r="P513" s="35"/>
      <c r="Q513" s="35"/>
      <c r="R513" s="35"/>
      <c r="S513" s="37">
        <f>IF(B513="","",IF(ISNUMBER(J513),IF(J513&lt;=10,'Configuración'!$B$23,IF(J513&lt;=50,'Configuración'!$B$24,IF(J513&lt;=200,'Configuración'!$B$25,0))),0))</f>
        <v>12</v>
      </c>
      <c r="T513" s="37">
        <f>IF(B513="","",IF(ISNUMBER(SEARCH("information technology",I513))+ISNUMBER(SEARCH("software",I513))+ISNUMBER(SEARCH("internet",I513))+ISNUMBER(SEARCH("computer",I513))+ISNUMBER(SEARCH("saas",I513))+ISNUMBER(SEARCH("fintech",I513))+ISNUMBER(SEARCH("information services",I513))+ISNUMBER(SEARCH("telecommunications",I513))&gt;0,'Configuración'!$B$27,'Configuración'!$B$28))</f>
        <v>4</v>
      </c>
      <c r="U513" s="25">
        <f>IF(B513="","",IF(ISNUMBER(SEARCH("CEO",C513))+ISNUMBER(SEARCH("Founder",C513))+ISNUMBER(SEARCH("Owner",C513))+ISNUMBER(SEARCH("Dueño",C513))+ISNUMBER(SEARCH("Director General",C513))+ISNUMBER(SEARCH("Presidente",C513))+ISNUMBER(SEARCH("President",C513))&gt;0,'Configuración'!$B$31,IF(ISNUMBER(SEARCH("CMO",C513))+ISNUMBER(SEARCH("Chief Marketing",C513))+ISNUMBER(SEARCH("VP Marketing",C513))+ISNUMBER(SEARCH("Director de Marketing",C513))+ISNUMBER(SEARCH("Director Marketing",C513))+ISNUMBER(SEARCH("Head of Marketing",C513))+ISNUMBER(SEARCH("Head Marketing",C513))&gt;0,'Configuración'!$B$32,IF(ISNUMBER(SEARCH("Marketing Manager",C513))+ISNUMBER(SEARCH("Gerente de Marketing",C513))+ISNUMBER(SEARCH("Growth Manager",C513))+ISNUMBER(SEARCH("Demand Gen",C513))+ISNUMBER(SEARCH("Marketing Lead",C513))&gt;0,'Configuración'!$B$33,IF(ISNUMBER(SEARCH("COO",C513))+ISNUMBER(SEARCH("CFO",C513))+ISNUMBER(SEARCH("CTO",C513))+ISNUMBER(SEARCH("Chief Operating",C513))+ISNUMBER(SEARCH("Chief Financial",C513))+ISNUMBER(SEARCH("Gerente General",C513))+ISNUMBER(SEARCH("General Manager",C513))&gt;0,'Configuración'!$B$34,'Configuración'!$B$35)))))</f>
        <v>12</v>
      </c>
      <c r="V513" s="38">
        <f>IF(B513="","",IF(K513="Sí",'Configuración'!$B$5,0)+IF(L513="Semanal",'Configuración'!$B$6,IF(L513="Mensual",'Configuración'!$B$7,0))+IF(M513="Sí",'Configuración'!$B$8,0)+IF(N513="Sí",'Configuración'!$B$9,0)+IF(O513="Sí",'Configuración'!$B$10,0)+IF(P513="Sí",'Configuración'!$B$11,0)+IF(Q513="Sí",'Configuración'!$B$12,0)+S513+T513+U513)</f>
        <v>28</v>
      </c>
      <c r="W513" s="39" t="str">
        <f>IF(B513="","",IF(V513&gt;='Configuración'!$B$19,"A",IF(V513&gt;='Configuración'!$B$20,"B",IF(V513&gt;='Configuración'!$B$21,"C","Descarte"))))</f>
        <v>C</v>
      </c>
    </row>
    <row r="514" ht="15.75" customHeight="1">
      <c r="A514" s="34">
        <f t="shared" si="1"/>
        <v>512</v>
      </c>
      <c r="B514" s="29" t="s">
        <v>331</v>
      </c>
      <c r="C514" s="29" t="s">
        <v>121</v>
      </c>
      <c r="D514" s="29" t="s">
        <v>3157</v>
      </c>
      <c r="E514" s="29" t="s">
        <v>3158</v>
      </c>
      <c r="F514" s="30" t="s">
        <v>3159</v>
      </c>
      <c r="G514" s="30" t="s">
        <v>3160</v>
      </c>
      <c r="H514" s="30" t="s">
        <v>3161</v>
      </c>
      <c r="I514" s="29" t="s">
        <v>127</v>
      </c>
      <c r="J514" s="31">
        <v>1.0</v>
      </c>
      <c r="K514" s="35"/>
      <c r="L514" s="35"/>
      <c r="M514" s="35"/>
      <c r="N514" s="35"/>
      <c r="O514" s="35"/>
      <c r="P514" s="35"/>
      <c r="Q514" s="35"/>
      <c r="R514" s="35"/>
      <c r="S514" s="37">
        <f>IF(B514="","",IF(ISNUMBER(J514),IF(J514&lt;=10,'Configuración'!$B$23,IF(J514&lt;=50,'Configuración'!$B$24,IF(J514&lt;=200,'Configuración'!$B$25,0))),0))</f>
        <v>12</v>
      </c>
      <c r="T514" s="37">
        <f>IF(B514="","",IF(ISNUMBER(SEARCH("information technology",I514))+ISNUMBER(SEARCH("software",I514))+ISNUMBER(SEARCH("internet",I514))+ISNUMBER(SEARCH("computer",I514))+ISNUMBER(SEARCH("saas",I514))+ISNUMBER(SEARCH("fintech",I514))+ISNUMBER(SEARCH("information services",I514))+ISNUMBER(SEARCH("telecommunications",I514))&gt;0,'Configuración'!$B$27,'Configuración'!$B$28))</f>
        <v>12</v>
      </c>
      <c r="U514" s="25">
        <f>IF(B514="","",IF(ISNUMBER(SEARCH("CEO",C514))+ISNUMBER(SEARCH("Founder",C514))+ISNUMBER(SEARCH("Owner",C514))+ISNUMBER(SEARCH("Dueño",C514))+ISNUMBER(SEARCH("Director General",C514))+ISNUMBER(SEARCH("Presidente",C514))+ISNUMBER(SEARCH("President",C514))&gt;0,'Configuración'!$B$31,IF(ISNUMBER(SEARCH("CMO",C514))+ISNUMBER(SEARCH("Chief Marketing",C514))+ISNUMBER(SEARCH("VP Marketing",C514))+ISNUMBER(SEARCH("Director de Marketing",C514))+ISNUMBER(SEARCH("Director Marketing",C514))+ISNUMBER(SEARCH("Head of Marketing",C514))+ISNUMBER(SEARCH("Head Marketing",C514))&gt;0,'Configuración'!$B$32,IF(ISNUMBER(SEARCH("Marketing Manager",C514))+ISNUMBER(SEARCH("Gerente de Marketing",C514))+ISNUMBER(SEARCH("Growth Manager",C514))+ISNUMBER(SEARCH("Demand Gen",C514))+ISNUMBER(SEARCH("Marketing Lead",C514))&gt;0,'Configuración'!$B$33,IF(ISNUMBER(SEARCH("COO",C514))+ISNUMBER(SEARCH("CFO",C514))+ISNUMBER(SEARCH("CTO",C514))+ISNUMBER(SEARCH("Chief Operating",C514))+ISNUMBER(SEARCH("Chief Financial",C514))+ISNUMBER(SEARCH("Gerente General",C514))+ISNUMBER(SEARCH("General Manager",C514))&gt;0,'Configuración'!$B$34,'Configuración'!$B$35)))))</f>
        <v>12</v>
      </c>
      <c r="V514" s="38">
        <f>IF(B514="","",IF(K514="Sí",'Configuración'!$B$5,0)+IF(L514="Semanal",'Configuración'!$B$6,IF(L514="Mensual",'Configuración'!$B$7,0))+IF(M514="Sí",'Configuración'!$B$8,0)+IF(N514="Sí",'Configuración'!$B$9,0)+IF(O514="Sí",'Configuración'!$B$10,0)+IF(P514="Sí",'Configuración'!$B$11,0)+IF(Q514="Sí",'Configuración'!$B$12,0)+S514+T514+U514)</f>
        <v>36</v>
      </c>
      <c r="W514" s="39" t="str">
        <f>IF(B514="","",IF(V514&gt;='Configuración'!$B$19,"A",IF(V514&gt;='Configuración'!$B$20,"B",IF(V514&gt;='Configuración'!$B$21,"C","Descarte"))))</f>
        <v>C</v>
      </c>
    </row>
    <row r="515" ht="15.75" customHeight="1">
      <c r="A515" s="34">
        <f t="shared" si="1"/>
        <v>513</v>
      </c>
      <c r="B515" s="29" t="s">
        <v>174</v>
      </c>
      <c r="C515" s="29" t="s">
        <v>597</v>
      </c>
      <c r="D515" s="29" t="s">
        <v>3162</v>
      </c>
      <c r="E515" s="29" t="s">
        <v>3163</v>
      </c>
      <c r="F515" s="30" t="s">
        <v>3164</v>
      </c>
      <c r="G515" s="30" t="s">
        <v>3165</v>
      </c>
      <c r="H515" s="30" t="s">
        <v>3166</v>
      </c>
      <c r="I515" s="29" t="s">
        <v>127</v>
      </c>
      <c r="J515" s="31">
        <v>13.0</v>
      </c>
      <c r="K515" s="35"/>
      <c r="L515" s="35"/>
      <c r="M515" s="35"/>
      <c r="N515" s="35"/>
      <c r="O515" s="35"/>
      <c r="P515" s="35"/>
      <c r="Q515" s="35"/>
      <c r="R515" s="35"/>
      <c r="S515" s="37">
        <f>IF(B515="","",IF(ISNUMBER(J515),IF(J515&lt;=10,'Configuración'!$B$23,IF(J515&lt;=50,'Configuración'!$B$24,IF(J515&lt;=200,'Configuración'!$B$25,0))),0))</f>
        <v>4</v>
      </c>
      <c r="T515" s="37">
        <f>IF(B515="","",IF(ISNUMBER(SEARCH("information technology",I515))+ISNUMBER(SEARCH("software",I515))+ISNUMBER(SEARCH("internet",I515))+ISNUMBER(SEARCH("computer",I515))+ISNUMBER(SEARCH("saas",I515))+ISNUMBER(SEARCH("fintech",I515))+ISNUMBER(SEARCH("information services",I515))+ISNUMBER(SEARCH("telecommunications",I515))&gt;0,'Configuración'!$B$27,'Configuración'!$B$28))</f>
        <v>12</v>
      </c>
      <c r="U515" s="25">
        <f>IF(B515="","",IF(ISNUMBER(SEARCH("CEO",C515))+ISNUMBER(SEARCH("Founder",C515))+ISNUMBER(SEARCH("Owner",C515))+ISNUMBER(SEARCH("Dueño",C515))+ISNUMBER(SEARCH("Director General",C515))+ISNUMBER(SEARCH("Presidente",C515))+ISNUMBER(SEARCH("President",C515))&gt;0,'Configuración'!$B$31,IF(ISNUMBER(SEARCH("CMO",C515))+ISNUMBER(SEARCH("Chief Marketing",C515))+ISNUMBER(SEARCH("VP Marketing",C515))+ISNUMBER(SEARCH("Director de Marketing",C515))+ISNUMBER(SEARCH("Director Marketing",C515))+ISNUMBER(SEARCH("Head of Marketing",C515))+ISNUMBER(SEARCH("Head Marketing",C515))&gt;0,'Configuración'!$B$32,IF(ISNUMBER(SEARCH("Marketing Manager",C515))+ISNUMBER(SEARCH("Gerente de Marketing",C515))+ISNUMBER(SEARCH("Growth Manager",C515))+ISNUMBER(SEARCH("Demand Gen",C515))+ISNUMBER(SEARCH("Marketing Lead",C515))&gt;0,'Configuración'!$B$33,IF(ISNUMBER(SEARCH("COO",C515))+ISNUMBER(SEARCH("CFO",C515))+ISNUMBER(SEARCH("CTO",C515))+ISNUMBER(SEARCH("Chief Operating",C515))+ISNUMBER(SEARCH("Chief Financial",C515))+ISNUMBER(SEARCH("Gerente General",C515))+ISNUMBER(SEARCH("General Manager",C515))&gt;0,'Configuración'!$B$34,'Configuración'!$B$35)))))</f>
        <v>12</v>
      </c>
      <c r="V515" s="38">
        <f>IF(B515="","",IF(K515="Sí",'Configuración'!$B$5,0)+IF(L515="Semanal",'Configuración'!$B$6,IF(L515="Mensual",'Configuración'!$B$7,0))+IF(M515="Sí",'Configuración'!$B$8,0)+IF(N515="Sí",'Configuración'!$B$9,0)+IF(O515="Sí",'Configuración'!$B$10,0)+IF(P515="Sí",'Configuración'!$B$11,0)+IF(Q515="Sí",'Configuración'!$B$12,0)+S515+T515+U515)</f>
        <v>28</v>
      </c>
      <c r="W515" s="39" t="str">
        <f>IF(B515="","",IF(V515&gt;='Configuración'!$B$19,"A",IF(V515&gt;='Configuración'!$B$20,"B",IF(V515&gt;='Configuración'!$B$21,"C","Descarte"))))</f>
        <v>C</v>
      </c>
    </row>
    <row r="516" ht="15.75" customHeight="1">
      <c r="A516" s="34">
        <f t="shared" si="1"/>
        <v>514</v>
      </c>
      <c r="B516" s="29" t="s">
        <v>3167</v>
      </c>
      <c r="C516" s="29" t="s">
        <v>3168</v>
      </c>
      <c r="D516" s="29" t="s">
        <v>3169</v>
      </c>
      <c r="E516" s="29" t="s">
        <v>3170</v>
      </c>
      <c r="F516" s="30" t="s">
        <v>3171</v>
      </c>
      <c r="G516" s="30" t="s">
        <v>3172</v>
      </c>
      <c r="H516" s="30" t="s">
        <v>3173</v>
      </c>
      <c r="I516" s="29" t="s">
        <v>3174</v>
      </c>
      <c r="J516" s="31">
        <v>5.0</v>
      </c>
      <c r="K516" s="35"/>
      <c r="L516" s="35"/>
      <c r="M516" s="35"/>
      <c r="N516" s="35"/>
      <c r="O516" s="35"/>
      <c r="P516" s="35"/>
      <c r="Q516" s="35"/>
      <c r="R516" s="35"/>
      <c r="S516" s="37">
        <f>IF(B516="","",IF(ISNUMBER(J516),IF(J516&lt;=10,'Configuración'!$B$23,IF(J516&lt;=50,'Configuración'!$B$24,IF(J516&lt;=200,'Configuración'!$B$25,0))),0))</f>
        <v>12</v>
      </c>
      <c r="T516" s="37">
        <f>IF(B516="","",IF(ISNUMBER(SEARCH("information technology",I516))+ISNUMBER(SEARCH("software",I516))+ISNUMBER(SEARCH("internet",I516))+ISNUMBER(SEARCH("computer",I516))+ISNUMBER(SEARCH("saas",I516))+ISNUMBER(SEARCH("fintech",I516))+ISNUMBER(SEARCH("information services",I516))+ISNUMBER(SEARCH("telecommunications",I516))&gt;0,'Configuración'!$B$27,'Configuración'!$B$28))</f>
        <v>4</v>
      </c>
      <c r="U516" s="25">
        <f>IF(B516="","",IF(ISNUMBER(SEARCH("CEO",C516))+ISNUMBER(SEARCH("Founder",C516))+ISNUMBER(SEARCH("Owner",C516))+ISNUMBER(SEARCH("Dueño",C516))+ISNUMBER(SEARCH("Director General",C516))+ISNUMBER(SEARCH("Presidente",C516))+ISNUMBER(SEARCH("President",C516))&gt;0,'Configuración'!$B$31,IF(ISNUMBER(SEARCH("CMO",C516))+ISNUMBER(SEARCH("Chief Marketing",C516))+ISNUMBER(SEARCH("VP Marketing",C516))+ISNUMBER(SEARCH("Director de Marketing",C516))+ISNUMBER(SEARCH("Director Marketing",C516))+ISNUMBER(SEARCH("Head of Marketing",C516))+ISNUMBER(SEARCH("Head Marketing",C516))&gt;0,'Configuración'!$B$32,IF(ISNUMBER(SEARCH("Marketing Manager",C516))+ISNUMBER(SEARCH("Gerente de Marketing",C516))+ISNUMBER(SEARCH("Growth Manager",C516))+ISNUMBER(SEARCH("Demand Gen",C516))+ISNUMBER(SEARCH("Marketing Lead",C516))&gt;0,'Configuración'!$B$33,IF(ISNUMBER(SEARCH("COO",C516))+ISNUMBER(SEARCH("CFO",C516))+ISNUMBER(SEARCH("CTO",C516))+ISNUMBER(SEARCH("Chief Operating",C516))+ISNUMBER(SEARCH("Chief Financial",C516))+ISNUMBER(SEARCH("Gerente General",C516))+ISNUMBER(SEARCH("General Manager",C516))&gt;0,'Configuración'!$B$34,'Configuración'!$B$35)))))</f>
        <v>12</v>
      </c>
      <c r="V516" s="38">
        <f>IF(B516="","",IF(K516="Sí",'Configuración'!$B$5,0)+IF(L516="Semanal",'Configuración'!$B$6,IF(L516="Mensual",'Configuración'!$B$7,0))+IF(M516="Sí",'Configuración'!$B$8,0)+IF(N516="Sí",'Configuración'!$B$9,0)+IF(O516="Sí",'Configuración'!$B$10,0)+IF(P516="Sí",'Configuración'!$B$11,0)+IF(Q516="Sí",'Configuración'!$B$12,0)+S516+T516+U516)</f>
        <v>28</v>
      </c>
      <c r="W516" s="39" t="str">
        <f>IF(B516="","",IF(V516&gt;='Configuración'!$B$19,"A",IF(V516&gt;='Configuración'!$B$20,"B",IF(V516&gt;='Configuración'!$B$21,"C","Descarte"))))</f>
        <v>C</v>
      </c>
    </row>
    <row r="517" ht="15.75" customHeight="1">
      <c r="A517" s="34">
        <f t="shared" si="1"/>
        <v>515</v>
      </c>
      <c r="B517" s="29" t="s">
        <v>351</v>
      </c>
      <c r="C517" s="29" t="s">
        <v>1190</v>
      </c>
      <c r="D517" s="29" t="s">
        <v>3175</v>
      </c>
      <c r="E517" s="29" t="s">
        <v>3176</v>
      </c>
      <c r="F517" s="30" t="s">
        <v>3177</v>
      </c>
      <c r="G517" s="30" t="s">
        <v>3178</v>
      </c>
      <c r="H517" s="30" t="s">
        <v>3179</v>
      </c>
      <c r="I517" s="29" t="s">
        <v>616</v>
      </c>
      <c r="J517" s="31">
        <v>5.0</v>
      </c>
      <c r="K517" s="35"/>
      <c r="L517" s="35"/>
      <c r="M517" s="35"/>
      <c r="N517" s="35"/>
      <c r="O517" s="35"/>
      <c r="P517" s="35"/>
      <c r="Q517" s="35"/>
      <c r="R517" s="35"/>
      <c r="S517" s="37">
        <f>IF(B517="","",IF(ISNUMBER(J517),IF(J517&lt;=10,'Configuración'!$B$23,IF(J517&lt;=50,'Configuración'!$B$24,IF(J517&lt;=200,'Configuración'!$B$25,0))),0))</f>
        <v>12</v>
      </c>
      <c r="T517" s="37">
        <f>IF(B517="","",IF(ISNUMBER(SEARCH("information technology",I517))+ISNUMBER(SEARCH("software",I517))+ISNUMBER(SEARCH("internet",I517))+ISNUMBER(SEARCH("computer",I517))+ISNUMBER(SEARCH("saas",I517))+ISNUMBER(SEARCH("fintech",I517))+ISNUMBER(SEARCH("information services",I517))+ISNUMBER(SEARCH("telecommunications",I517))&gt;0,'Configuración'!$B$27,'Configuración'!$B$28))</f>
        <v>4</v>
      </c>
      <c r="U517" s="25">
        <f>IF(B517="","",IF(ISNUMBER(SEARCH("CEO",C517))+ISNUMBER(SEARCH("Founder",C517))+ISNUMBER(SEARCH("Owner",C517))+ISNUMBER(SEARCH("Dueño",C517))+ISNUMBER(SEARCH("Director General",C517))+ISNUMBER(SEARCH("Presidente",C517))+ISNUMBER(SEARCH("President",C517))&gt;0,'Configuración'!$B$31,IF(ISNUMBER(SEARCH("CMO",C517))+ISNUMBER(SEARCH("Chief Marketing",C517))+ISNUMBER(SEARCH("VP Marketing",C517))+ISNUMBER(SEARCH("Director de Marketing",C517))+ISNUMBER(SEARCH("Director Marketing",C517))+ISNUMBER(SEARCH("Head of Marketing",C517))+ISNUMBER(SEARCH("Head Marketing",C517))&gt;0,'Configuración'!$B$32,IF(ISNUMBER(SEARCH("Marketing Manager",C517))+ISNUMBER(SEARCH("Gerente de Marketing",C517))+ISNUMBER(SEARCH("Growth Manager",C517))+ISNUMBER(SEARCH("Demand Gen",C517))+ISNUMBER(SEARCH("Marketing Lead",C517))&gt;0,'Configuración'!$B$33,IF(ISNUMBER(SEARCH("COO",C517))+ISNUMBER(SEARCH("CFO",C517))+ISNUMBER(SEARCH("CTO",C517))+ISNUMBER(SEARCH("Chief Operating",C517))+ISNUMBER(SEARCH("Chief Financial",C517))+ISNUMBER(SEARCH("Gerente General",C517))+ISNUMBER(SEARCH("General Manager",C517))&gt;0,'Configuración'!$B$34,'Configuración'!$B$35)))))</f>
        <v>4</v>
      </c>
      <c r="V517" s="38">
        <f>IF(B517="","",IF(K517="Sí",'Configuración'!$B$5,0)+IF(L517="Semanal",'Configuración'!$B$6,IF(L517="Mensual",'Configuración'!$B$7,0))+IF(M517="Sí",'Configuración'!$B$8,0)+IF(N517="Sí",'Configuración'!$B$9,0)+IF(O517="Sí",'Configuración'!$B$10,0)+IF(P517="Sí",'Configuración'!$B$11,0)+IF(Q517="Sí",'Configuración'!$B$12,0)+S517+T517+U517)</f>
        <v>20</v>
      </c>
      <c r="W517" s="39" t="str">
        <f>IF(B517="","",IF(V517&gt;='Configuración'!$B$19,"A",IF(V517&gt;='Configuración'!$B$20,"B",IF(V517&gt;='Configuración'!$B$21,"C","Descarte"))))</f>
        <v>Descarte</v>
      </c>
    </row>
    <row r="518" ht="15.75" customHeight="1">
      <c r="A518" s="34">
        <f t="shared" si="1"/>
        <v>516</v>
      </c>
      <c r="B518" s="29" t="s">
        <v>138</v>
      </c>
      <c r="C518" s="29" t="s">
        <v>121</v>
      </c>
      <c r="D518" s="29" t="s">
        <v>3180</v>
      </c>
      <c r="E518" s="29" t="s">
        <v>3181</v>
      </c>
      <c r="F518" s="30" t="s">
        <v>3182</v>
      </c>
      <c r="G518" s="30" t="s">
        <v>3183</v>
      </c>
      <c r="H518" s="30" t="s">
        <v>3184</v>
      </c>
      <c r="I518" s="29" t="s">
        <v>116</v>
      </c>
      <c r="J518" s="31">
        <v>17.0</v>
      </c>
      <c r="K518" s="35"/>
      <c r="L518" s="35"/>
      <c r="M518" s="35"/>
      <c r="N518" s="35"/>
      <c r="O518" s="35"/>
      <c r="P518" s="35"/>
      <c r="Q518" s="35"/>
      <c r="R518" s="35"/>
      <c r="S518" s="37">
        <f>IF(B518="","",IF(ISNUMBER(J518),IF(J518&lt;=10,'Configuración'!$B$23,IF(J518&lt;=50,'Configuración'!$B$24,IF(J518&lt;=200,'Configuración'!$B$25,0))),0))</f>
        <v>4</v>
      </c>
      <c r="T518" s="37">
        <f>IF(B518="","",IF(ISNUMBER(SEARCH("information technology",I518))+ISNUMBER(SEARCH("software",I518))+ISNUMBER(SEARCH("internet",I518))+ISNUMBER(SEARCH("computer",I518))+ISNUMBER(SEARCH("saas",I518))+ISNUMBER(SEARCH("fintech",I518))+ISNUMBER(SEARCH("information services",I518))+ISNUMBER(SEARCH("telecommunications",I518))&gt;0,'Configuración'!$B$27,'Configuración'!$B$28))</f>
        <v>4</v>
      </c>
      <c r="U518" s="25">
        <f>IF(B518="","",IF(ISNUMBER(SEARCH("CEO",C518))+ISNUMBER(SEARCH("Founder",C518))+ISNUMBER(SEARCH("Owner",C518))+ISNUMBER(SEARCH("Dueño",C518))+ISNUMBER(SEARCH("Director General",C518))+ISNUMBER(SEARCH("Presidente",C518))+ISNUMBER(SEARCH("President",C518))&gt;0,'Configuración'!$B$31,IF(ISNUMBER(SEARCH("CMO",C518))+ISNUMBER(SEARCH("Chief Marketing",C518))+ISNUMBER(SEARCH("VP Marketing",C518))+ISNUMBER(SEARCH("Director de Marketing",C518))+ISNUMBER(SEARCH("Director Marketing",C518))+ISNUMBER(SEARCH("Head of Marketing",C518))+ISNUMBER(SEARCH("Head Marketing",C518))&gt;0,'Configuración'!$B$32,IF(ISNUMBER(SEARCH("Marketing Manager",C518))+ISNUMBER(SEARCH("Gerente de Marketing",C518))+ISNUMBER(SEARCH("Growth Manager",C518))+ISNUMBER(SEARCH("Demand Gen",C518))+ISNUMBER(SEARCH("Marketing Lead",C518))&gt;0,'Configuración'!$B$33,IF(ISNUMBER(SEARCH("COO",C518))+ISNUMBER(SEARCH("CFO",C518))+ISNUMBER(SEARCH("CTO",C518))+ISNUMBER(SEARCH("Chief Operating",C518))+ISNUMBER(SEARCH("Chief Financial",C518))+ISNUMBER(SEARCH("Gerente General",C518))+ISNUMBER(SEARCH("General Manager",C518))&gt;0,'Configuración'!$B$34,'Configuración'!$B$35)))))</f>
        <v>12</v>
      </c>
      <c r="V518" s="38">
        <f>IF(B518="","",IF(K518="Sí",'Configuración'!$B$5,0)+IF(L518="Semanal",'Configuración'!$B$6,IF(L518="Mensual",'Configuración'!$B$7,0))+IF(M518="Sí",'Configuración'!$B$8,0)+IF(N518="Sí",'Configuración'!$B$9,0)+IF(O518="Sí",'Configuración'!$B$10,0)+IF(P518="Sí",'Configuración'!$B$11,0)+IF(Q518="Sí",'Configuración'!$B$12,0)+S518+T518+U518)</f>
        <v>20</v>
      </c>
      <c r="W518" s="39" t="str">
        <f>IF(B518="","",IF(V518&gt;='Configuración'!$B$19,"A",IF(V518&gt;='Configuración'!$B$20,"B",IF(V518&gt;='Configuración'!$B$21,"C","Descarte"))))</f>
        <v>Descarte</v>
      </c>
    </row>
    <row r="519" ht="15.75" customHeight="1">
      <c r="A519" s="34">
        <f t="shared" si="1"/>
        <v>517</v>
      </c>
      <c r="B519" s="29" t="s">
        <v>3167</v>
      </c>
      <c r="C519" s="29" t="s">
        <v>131</v>
      </c>
      <c r="D519" s="29" t="s">
        <v>3185</v>
      </c>
      <c r="E519" s="29" t="s">
        <v>3186</v>
      </c>
      <c r="F519" s="30" t="s">
        <v>3187</v>
      </c>
      <c r="G519" s="30" t="s">
        <v>3188</v>
      </c>
      <c r="H519" s="30" t="s">
        <v>3189</v>
      </c>
      <c r="I519" s="29" t="s">
        <v>116</v>
      </c>
      <c r="J519" s="31">
        <v>8.0</v>
      </c>
      <c r="K519" s="35"/>
      <c r="L519" s="35"/>
      <c r="M519" s="35"/>
      <c r="N519" s="35"/>
      <c r="O519" s="35"/>
      <c r="P519" s="35"/>
      <c r="Q519" s="35"/>
      <c r="R519" s="35"/>
      <c r="S519" s="37">
        <f>IF(B519="","",IF(ISNUMBER(J519),IF(J519&lt;=10,'Configuración'!$B$23,IF(J519&lt;=50,'Configuración'!$B$24,IF(J519&lt;=200,'Configuración'!$B$25,0))),0))</f>
        <v>12</v>
      </c>
      <c r="T519" s="37">
        <f>IF(B519="","",IF(ISNUMBER(SEARCH("information technology",I519))+ISNUMBER(SEARCH("software",I519))+ISNUMBER(SEARCH("internet",I519))+ISNUMBER(SEARCH("computer",I519))+ISNUMBER(SEARCH("saas",I519))+ISNUMBER(SEARCH("fintech",I519))+ISNUMBER(SEARCH("information services",I519))+ISNUMBER(SEARCH("telecommunications",I519))&gt;0,'Configuración'!$B$27,'Configuración'!$B$28))</f>
        <v>4</v>
      </c>
      <c r="U519" s="25">
        <f>IF(B519="","",IF(ISNUMBER(SEARCH("CEO",C519))+ISNUMBER(SEARCH("Founder",C519))+ISNUMBER(SEARCH("Owner",C519))+ISNUMBER(SEARCH("Dueño",C519))+ISNUMBER(SEARCH("Director General",C519))+ISNUMBER(SEARCH("Presidente",C519))+ISNUMBER(SEARCH("President",C519))&gt;0,'Configuración'!$B$31,IF(ISNUMBER(SEARCH("CMO",C519))+ISNUMBER(SEARCH("Chief Marketing",C519))+ISNUMBER(SEARCH("VP Marketing",C519))+ISNUMBER(SEARCH("Director de Marketing",C519))+ISNUMBER(SEARCH("Director Marketing",C519))+ISNUMBER(SEARCH("Head of Marketing",C519))+ISNUMBER(SEARCH("Head Marketing",C519))&gt;0,'Configuración'!$B$32,IF(ISNUMBER(SEARCH("Marketing Manager",C519))+ISNUMBER(SEARCH("Gerente de Marketing",C519))+ISNUMBER(SEARCH("Growth Manager",C519))+ISNUMBER(SEARCH("Demand Gen",C519))+ISNUMBER(SEARCH("Marketing Lead",C519))&gt;0,'Configuración'!$B$33,IF(ISNUMBER(SEARCH("COO",C519))+ISNUMBER(SEARCH("CFO",C519))+ISNUMBER(SEARCH("CTO",C519))+ISNUMBER(SEARCH("Chief Operating",C519))+ISNUMBER(SEARCH("Chief Financial",C519))+ISNUMBER(SEARCH("Gerente General",C519))+ISNUMBER(SEARCH("General Manager",C519))&gt;0,'Configuración'!$B$34,'Configuración'!$B$35)))))</f>
        <v>12</v>
      </c>
      <c r="V519" s="38">
        <f>IF(B519="","",IF(K519="Sí",'Configuración'!$B$5,0)+IF(L519="Semanal",'Configuración'!$B$6,IF(L519="Mensual",'Configuración'!$B$7,0))+IF(M519="Sí",'Configuración'!$B$8,0)+IF(N519="Sí",'Configuración'!$B$9,0)+IF(O519="Sí",'Configuración'!$B$10,0)+IF(P519="Sí",'Configuración'!$B$11,0)+IF(Q519="Sí",'Configuración'!$B$12,0)+S519+T519+U519)</f>
        <v>28</v>
      </c>
      <c r="W519" s="39" t="str">
        <f>IF(B519="","",IF(V519&gt;='Configuración'!$B$19,"A",IF(V519&gt;='Configuración'!$B$20,"B",IF(V519&gt;='Configuración'!$B$21,"C","Descarte"))))</f>
        <v>C</v>
      </c>
    </row>
    <row r="520" ht="15.75" customHeight="1">
      <c r="A520" s="34">
        <f t="shared" si="1"/>
        <v>518</v>
      </c>
      <c r="B520" s="29" t="s">
        <v>1048</v>
      </c>
      <c r="C520" s="29" t="s">
        <v>131</v>
      </c>
      <c r="D520" s="29" t="s">
        <v>3190</v>
      </c>
      <c r="E520" s="29" t="s">
        <v>3191</v>
      </c>
      <c r="F520" s="30" t="s">
        <v>3192</v>
      </c>
      <c r="G520" s="30" t="s">
        <v>3193</v>
      </c>
      <c r="H520" s="30" t="s">
        <v>3194</v>
      </c>
      <c r="I520" s="29" t="s">
        <v>188</v>
      </c>
      <c r="J520" s="31">
        <v>10.0</v>
      </c>
      <c r="K520" s="35"/>
      <c r="L520" s="35"/>
      <c r="M520" s="35"/>
      <c r="N520" s="35"/>
      <c r="O520" s="35"/>
      <c r="P520" s="35"/>
      <c r="Q520" s="35"/>
      <c r="R520" s="35"/>
      <c r="S520" s="37">
        <f>IF(B520="","",IF(ISNUMBER(J520),IF(J520&lt;=10,'Configuración'!$B$23,IF(J520&lt;=50,'Configuración'!$B$24,IF(J520&lt;=200,'Configuración'!$B$25,0))),0))</f>
        <v>12</v>
      </c>
      <c r="T520" s="37">
        <f>IF(B520="","",IF(ISNUMBER(SEARCH("information technology",I520))+ISNUMBER(SEARCH("software",I520))+ISNUMBER(SEARCH("internet",I520))+ISNUMBER(SEARCH("computer",I520))+ISNUMBER(SEARCH("saas",I520))+ISNUMBER(SEARCH("fintech",I520))+ISNUMBER(SEARCH("information services",I520))+ISNUMBER(SEARCH("telecommunications",I520))&gt;0,'Configuración'!$B$27,'Configuración'!$B$28))</f>
        <v>4</v>
      </c>
      <c r="U520" s="25">
        <f>IF(B520="","",IF(ISNUMBER(SEARCH("CEO",C520))+ISNUMBER(SEARCH("Founder",C520))+ISNUMBER(SEARCH("Owner",C520))+ISNUMBER(SEARCH("Dueño",C520))+ISNUMBER(SEARCH("Director General",C520))+ISNUMBER(SEARCH("Presidente",C520))+ISNUMBER(SEARCH("President",C520))&gt;0,'Configuración'!$B$31,IF(ISNUMBER(SEARCH("CMO",C520))+ISNUMBER(SEARCH("Chief Marketing",C520))+ISNUMBER(SEARCH("VP Marketing",C520))+ISNUMBER(SEARCH("Director de Marketing",C520))+ISNUMBER(SEARCH("Director Marketing",C520))+ISNUMBER(SEARCH("Head of Marketing",C520))+ISNUMBER(SEARCH("Head Marketing",C520))&gt;0,'Configuración'!$B$32,IF(ISNUMBER(SEARCH("Marketing Manager",C520))+ISNUMBER(SEARCH("Gerente de Marketing",C520))+ISNUMBER(SEARCH("Growth Manager",C520))+ISNUMBER(SEARCH("Demand Gen",C520))+ISNUMBER(SEARCH("Marketing Lead",C520))&gt;0,'Configuración'!$B$33,IF(ISNUMBER(SEARCH("COO",C520))+ISNUMBER(SEARCH("CFO",C520))+ISNUMBER(SEARCH("CTO",C520))+ISNUMBER(SEARCH("Chief Operating",C520))+ISNUMBER(SEARCH("Chief Financial",C520))+ISNUMBER(SEARCH("Gerente General",C520))+ISNUMBER(SEARCH("General Manager",C520))&gt;0,'Configuración'!$B$34,'Configuración'!$B$35)))))</f>
        <v>12</v>
      </c>
      <c r="V520" s="38">
        <f>IF(B520="","",IF(K520="Sí",'Configuración'!$B$5,0)+IF(L520="Semanal",'Configuración'!$B$6,IF(L520="Mensual",'Configuración'!$B$7,0))+IF(M520="Sí",'Configuración'!$B$8,0)+IF(N520="Sí",'Configuración'!$B$9,0)+IF(O520="Sí",'Configuración'!$B$10,0)+IF(P520="Sí",'Configuración'!$B$11,0)+IF(Q520="Sí",'Configuración'!$B$12,0)+S520+T520+U520)</f>
        <v>28</v>
      </c>
      <c r="W520" s="39" t="str">
        <f>IF(B520="","",IF(V520&gt;='Configuración'!$B$19,"A",IF(V520&gt;='Configuración'!$B$20,"B",IF(V520&gt;='Configuración'!$B$21,"C","Descarte"))))</f>
        <v>C</v>
      </c>
    </row>
    <row r="521" ht="15.75" customHeight="1">
      <c r="A521" s="34">
        <f t="shared" si="1"/>
        <v>519</v>
      </c>
      <c r="B521" s="29" t="s">
        <v>1079</v>
      </c>
      <c r="C521" s="29" t="s">
        <v>3195</v>
      </c>
      <c r="D521" s="29" t="s">
        <v>3196</v>
      </c>
      <c r="E521" s="29" t="s">
        <v>3197</v>
      </c>
      <c r="F521" s="30" t="s">
        <v>3198</v>
      </c>
      <c r="G521" s="30" t="s">
        <v>3199</v>
      </c>
      <c r="H521" s="30" t="s">
        <v>3200</v>
      </c>
      <c r="I521" s="29" t="s">
        <v>508</v>
      </c>
      <c r="J521" s="31">
        <v>28.0</v>
      </c>
      <c r="K521" s="35"/>
      <c r="L521" s="35"/>
      <c r="M521" s="35"/>
      <c r="N521" s="35"/>
      <c r="O521" s="35"/>
      <c r="P521" s="35"/>
      <c r="Q521" s="35"/>
      <c r="R521" s="35"/>
      <c r="S521" s="37">
        <f>IF(B521="","",IF(ISNUMBER(J521),IF(J521&lt;=10,'Configuración'!$B$23,IF(J521&lt;=50,'Configuración'!$B$24,IF(J521&lt;=200,'Configuración'!$B$25,0))),0))</f>
        <v>4</v>
      </c>
      <c r="T521" s="37">
        <f>IF(B521="","",IF(ISNUMBER(SEARCH("information technology",I521))+ISNUMBER(SEARCH("software",I521))+ISNUMBER(SEARCH("internet",I521))+ISNUMBER(SEARCH("computer",I521))+ISNUMBER(SEARCH("saas",I521))+ISNUMBER(SEARCH("fintech",I521))+ISNUMBER(SEARCH("information services",I521))+ISNUMBER(SEARCH("telecommunications",I521))&gt;0,'Configuración'!$B$27,'Configuración'!$B$28))</f>
        <v>4</v>
      </c>
      <c r="U521" s="25">
        <f>IF(B521="","",IF(ISNUMBER(SEARCH("CEO",C521))+ISNUMBER(SEARCH("Founder",C521))+ISNUMBER(SEARCH("Owner",C521))+ISNUMBER(SEARCH("Dueño",C521))+ISNUMBER(SEARCH("Director General",C521))+ISNUMBER(SEARCH("Presidente",C521))+ISNUMBER(SEARCH("President",C521))&gt;0,'Configuración'!$B$31,IF(ISNUMBER(SEARCH("CMO",C521))+ISNUMBER(SEARCH("Chief Marketing",C521))+ISNUMBER(SEARCH("VP Marketing",C521))+ISNUMBER(SEARCH("Director de Marketing",C521))+ISNUMBER(SEARCH("Director Marketing",C521))+ISNUMBER(SEARCH("Head of Marketing",C521))+ISNUMBER(SEARCH("Head Marketing",C521))&gt;0,'Configuración'!$B$32,IF(ISNUMBER(SEARCH("Marketing Manager",C521))+ISNUMBER(SEARCH("Gerente de Marketing",C521))+ISNUMBER(SEARCH("Growth Manager",C521))+ISNUMBER(SEARCH("Demand Gen",C521))+ISNUMBER(SEARCH("Marketing Lead",C521))&gt;0,'Configuración'!$B$33,IF(ISNUMBER(SEARCH("COO",C521))+ISNUMBER(SEARCH("CFO",C521))+ISNUMBER(SEARCH("CTO",C521))+ISNUMBER(SEARCH("Chief Operating",C521))+ISNUMBER(SEARCH("Chief Financial",C521))+ISNUMBER(SEARCH("Gerente General",C521))+ISNUMBER(SEARCH("General Manager",C521))&gt;0,'Configuración'!$B$34,'Configuración'!$B$35)))))</f>
        <v>4</v>
      </c>
      <c r="V521" s="38">
        <f>IF(B521="","",IF(K521="Sí",'Configuración'!$B$5,0)+IF(L521="Semanal",'Configuración'!$B$6,IF(L521="Mensual",'Configuración'!$B$7,0))+IF(M521="Sí",'Configuración'!$B$8,0)+IF(N521="Sí",'Configuración'!$B$9,0)+IF(O521="Sí",'Configuración'!$B$10,0)+IF(P521="Sí",'Configuración'!$B$11,0)+IF(Q521="Sí",'Configuración'!$B$12,0)+S521+T521+U521)</f>
        <v>12</v>
      </c>
      <c r="W521" s="39" t="str">
        <f>IF(B521="","",IF(V521&gt;='Configuración'!$B$19,"A",IF(V521&gt;='Configuración'!$B$20,"B",IF(V521&gt;='Configuración'!$B$21,"C","Descarte"))))</f>
        <v>Descarte</v>
      </c>
    </row>
    <row r="522" ht="15.75" customHeight="1">
      <c r="A522" s="34">
        <f t="shared" si="1"/>
        <v>520</v>
      </c>
      <c r="B522" s="29" t="s">
        <v>201</v>
      </c>
      <c r="C522" s="29" t="s">
        <v>202</v>
      </c>
      <c r="D522" s="29" t="s">
        <v>3201</v>
      </c>
      <c r="E522" s="29" t="s">
        <v>3202</v>
      </c>
      <c r="F522" s="30" t="s">
        <v>3203</v>
      </c>
      <c r="G522" s="30" t="s">
        <v>3204</v>
      </c>
      <c r="H522" s="30" t="s">
        <v>3205</v>
      </c>
      <c r="I522" s="29" t="s">
        <v>127</v>
      </c>
      <c r="J522" s="31">
        <v>7.0</v>
      </c>
      <c r="K522" s="35"/>
      <c r="L522" s="35"/>
      <c r="M522" s="35"/>
      <c r="N522" s="35"/>
      <c r="O522" s="35"/>
      <c r="P522" s="35"/>
      <c r="Q522" s="35"/>
      <c r="R522" s="35"/>
      <c r="S522" s="37">
        <f>IF(B522="","",IF(ISNUMBER(J522),IF(J522&lt;=10,'Configuración'!$B$23,IF(J522&lt;=50,'Configuración'!$B$24,IF(J522&lt;=200,'Configuración'!$B$25,0))),0))</f>
        <v>12</v>
      </c>
      <c r="T522" s="37">
        <f>IF(B522="","",IF(ISNUMBER(SEARCH("information technology",I522))+ISNUMBER(SEARCH("software",I522))+ISNUMBER(SEARCH("internet",I522))+ISNUMBER(SEARCH("computer",I522))+ISNUMBER(SEARCH("saas",I522))+ISNUMBER(SEARCH("fintech",I522))+ISNUMBER(SEARCH("information services",I522))+ISNUMBER(SEARCH("telecommunications",I522))&gt;0,'Configuración'!$B$27,'Configuración'!$B$28))</f>
        <v>12</v>
      </c>
      <c r="U522" s="25">
        <f>IF(B522="","",IF(ISNUMBER(SEARCH("CEO",C522))+ISNUMBER(SEARCH("Founder",C522))+ISNUMBER(SEARCH("Owner",C522))+ISNUMBER(SEARCH("Dueño",C522))+ISNUMBER(SEARCH("Director General",C522))+ISNUMBER(SEARCH("Presidente",C522))+ISNUMBER(SEARCH("President",C522))&gt;0,'Configuración'!$B$31,IF(ISNUMBER(SEARCH("CMO",C522))+ISNUMBER(SEARCH("Chief Marketing",C522))+ISNUMBER(SEARCH("VP Marketing",C522))+ISNUMBER(SEARCH("Director de Marketing",C522))+ISNUMBER(SEARCH("Director Marketing",C522))+ISNUMBER(SEARCH("Head of Marketing",C522))+ISNUMBER(SEARCH("Head Marketing",C522))&gt;0,'Configuración'!$B$32,IF(ISNUMBER(SEARCH("Marketing Manager",C522))+ISNUMBER(SEARCH("Gerente de Marketing",C522))+ISNUMBER(SEARCH("Growth Manager",C522))+ISNUMBER(SEARCH("Demand Gen",C522))+ISNUMBER(SEARCH("Marketing Lead",C522))&gt;0,'Configuración'!$B$33,IF(ISNUMBER(SEARCH("COO",C522))+ISNUMBER(SEARCH("CFO",C522))+ISNUMBER(SEARCH("CTO",C522))+ISNUMBER(SEARCH("Chief Operating",C522))+ISNUMBER(SEARCH("Chief Financial",C522))+ISNUMBER(SEARCH("Gerente General",C522))+ISNUMBER(SEARCH("General Manager",C522))&gt;0,'Configuración'!$B$34,'Configuración'!$B$35)))))</f>
        <v>12</v>
      </c>
      <c r="V522" s="38">
        <f>IF(B522="","",IF(K522="Sí",'Configuración'!$B$5,0)+IF(L522="Semanal",'Configuración'!$B$6,IF(L522="Mensual",'Configuración'!$B$7,0))+IF(M522="Sí",'Configuración'!$B$8,0)+IF(N522="Sí",'Configuración'!$B$9,0)+IF(O522="Sí",'Configuración'!$B$10,0)+IF(P522="Sí",'Configuración'!$B$11,0)+IF(Q522="Sí",'Configuración'!$B$12,0)+S522+T522+U522)</f>
        <v>36</v>
      </c>
      <c r="W522" s="39" t="str">
        <f>IF(B522="","",IF(V522&gt;='Configuración'!$B$19,"A",IF(V522&gt;='Configuración'!$B$20,"B",IF(V522&gt;='Configuración'!$B$21,"C","Descarte"))))</f>
        <v>C</v>
      </c>
    </row>
    <row r="523" ht="15.75" customHeight="1">
      <c r="A523" s="34">
        <f t="shared" si="1"/>
        <v>521</v>
      </c>
      <c r="B523" s="29" t="s">
        <v>1227</v>
      </c>
      <c r="C523" s="29" t="s">
        <v>3206</v>
      </c>
      <c r="D523" s="29" t="s">
        <v>3207</v>
      </c>
      <c r="E523" s="29" t="s">
        <v>3208</v>
      </c>
      <c r="F523" s="30" t="s">
        <v>3209</v>
      </c>
      <c r="G523" s="30" t="s">
        <v>3210</v>
      </c>
      <c r="H523" s="30" t="s">
        <v>3211</v>
      </c>
      <c r="I523" s="29" t="s">
        <v>3212</v>
      </c>
      <c r="J523" s="31">
        <v>1.0</v>
      </c>
      <c r="K523" s="35"/>
      <c r="L523" s="35"/>
      <c r="M523" s="35"/>
      <c r="N523" s="35"/>
      <c r="O523" s="35"/>
      <c r="P523" s="35"/>
      <c r="Q523" s="35"/>
      <c r="R523" s="35"/>
      <c r="S523" s="37">
        <f>IF(B523="","",IF(ISNUMBER(J523),IF(J523&lt;=10,'Configuración'!$B$23,IF(J523&lt;=50,'Configuración'!$B$24,IF(J523&lt;=200,'Configuración'!$B$25,0))),0))</f>
        <v>12</v>
      </c>
      <c r="T523" s="37">
        <f>IF(B523="","",IF(ISNUMBER(SEARCH("information technology",I523))+ISNUMBER(SEARCH("software",I523))+ISNUMBER(SEARCH("internet",I523))+ISNUMBER(SEARCH("computer",I523))+ISNUMBER(SEARCH("saas",I523))+ISNUMBER(SEARCH("fintech",I523))+ISNUMBER(SEARCH("information services",I523))+ISNUMBER(SEARCH("telecommunications",I523))&gt;0,'Configuración'!$B$27,'Configuración'!$B$28))</f>
        <v>4</v>
      </c>
      <c r="U523" s="25">
        <f>IF(B523="","",IF(ISNUMBER(SEARCH("CEO",C523))+ISNUMBER(SEARCH("Founder",C523))+ISNUMBER(SEARCH("Owner",C523))+ISNUMBER(SEARCH("Dueño",C523))+ISNUMBER(SEARCH("Director General",C523))+ISNUMBER(SEARCH("Presidente",C523))+ISNUMBER(SEARCH("President",C523))&gt;0,'Configuración'!$B$31,IF(ISNUMBER(SEARCH("CMO",C523))+ISNUMBER(SEARCH("Chief Marketing",C523))+ISNUMBER(SEARCH("VP Marketing",C523))+ISNUMBER(SEARCH("Director de Marketing",C523))+ISNUMBER(SEARCH("Director Marketing",C523))+ISNUMBER(SEARCH("Head of Marketing",C523))+ISNUMBER(SEARCH("Head Marketing",C523))&gt;0,'Configuración'!$B$32,IF(ISNUMBER(SEARCH("Marketing Manager",C523))+ISNUMBER(SEARCH("Gerente de Marketing",C523))+ISNUMBER(SEARCH("Growth Manager",C523))+ISNUMBER(SEARCH("Demand Gen",C523))+ISNUMBER(SEARCH("Marketing Lead",C523))&gt;0,'Configuración'!$B$33,IF(ISNUMBER(SEARCH("COO",C523))+ISNUMBER(SEARCH("CFO",C523))+ISNUMBER(SEARCH("CTO",C523))+ISNUMBER(SEARCH("Chief Operating",C523))+ISNUMBER(SEARCH("Chief Financial",C523))+ISNUMBER(SEARCH("Gerente General",C523))+ISNUMBER(SEARCH("General Manager",C523))&gt;0,'Configuración'!$B$34,'Configuración'!$B$35)))))</f>
        <v>12</v>
      </c>
      <c r="V523" s="38">
        <f>IF(B523="","",IF(K523="Sí",'Configuración'!$B$5,0)+IF(L523="Semanal",'Configuración'!$B$6,IF(L523="Mensual",'Configuración'!$B$7,0))+IF(M523="Sí",'Configuración'!$B$8,0)+IF(N523="Sí",'Configuración'!$B$9,0)+IF(O523="Sí",'Configuración'!$B$10,0)+IF(P523="Sí",'Configuración'!$B$11,0)+IF(Q523="Sí",'Configuración'!$B$12,0)+S523+T523+U523)</f>
        <v>28</v>
      </c>
      <c r="W523" s="39" t="str">
        <f>IF(B523="","",IF(V523&gt;='Configuración'!$B$19,"A",IF(V523&gt;='Configuración'!$B$20,"B",IF(V523&gt;='Configuración'!$B$21,"C","Descarte"))))</f>
        <v>C</v>
      </c>
    </row>
    <row r="524" ht="15.75" customHeight="1">
      <c r="A524" s="34">
        <f t="shared" si="1"/>
        <v>522</v>
      </c>
      <c r="B524" s="29" t="s">
        <v>3213</v>
      </c>
      <c r="C524" s="29" t="s">
        <v>3214</v>
      </c>
      <c r="D524" s="29" t="s">
        <v>3215</v>
      </c>
      <c r="E524" s="29" t="s">
        <v>3216</v>
      </c>
      <c r="F524" s="30" t="s">
        <v>3217</v>
      </c>
      <c r="G524" s="30" t="s">
        <v>3218</v>
      </c>
      <c r="H524" s="30" t="s">
        <v>3219</v>
      </c>
      <c r="I524" s="29" t="s">
        <v>127</v>
      </c>
      <c r="J524" s="31">
        <v>1.0</v>
      </c>
      <c r="K524" s="35"/>
      <c r="L524" s="35"/>
      <c r="M524" s="35"/>
      <c r="N524" s="35"/>
      <c r="O524" s="35"/>
      <c r="P524" s="35"/>
      <c r="Q524" s="35"/>
      <c r="R524" s="35"/>
      <c r="S524" s="37">
        <f>IF(B524="","",IF(ISNUMBER(J524),IF(J524&lt;=10,'Configuración'!$B$23,IF(J524&lt;=50,'Configuración'!$B$24,IF(J524&lt;=200,'Configuración'!$B$25,0))),0))</f>
        <v>12</v>
      </c>
      <c r="T524" s="37">
        <f>IF(B524="","",IF(ISNUMBER(SEARCH("information technology",I524))+ISNUMBER(SEARCH("software",I524))+ISNUMBER(SEARCH("internet",I524))+ISNUMBER(SEARCH("computer",I524))+ISNUMBER(SEARCH("saas",I524))+ISNUMBER(SEARCH("fintech",I524))+ISNUMBER(SEARCH("information services",I524))+ISNUMBER(SEARCH("telecommunications",I524))&gt;0,'Configuración'!$B$27,'Configuración'!$B$28))</f>
        <v>12</v>
      </c>
      <c r="U524" s="25">
        <f>IF(B524="","",IF(ISNUMBER(SEARCH("CEO",C524))+ISNUMBER(SEARCH("Founder",C524))+ISNUMBER(SEARCH("Owner",C524))+ISNUMBER(SEARCH("Dueño",C524))+ISNUMBER(SEARCH("Director General",C524))+ISNUMBER(SEARCH("Presidente",C524))+ISNUMBER(SEARCH("President",C524))&gt;0,'Configuración'!$B$31,IF(ISNUMBER(SEARCH("CMO",C524))+ISNUMBER(SEARCH("Chief Marketing",C524))+ISNUMBER(SEARCH("VP Marketing",C524))+ISNUMBER(SEARCH("Director de Marketing",C524))+ISNUMBER(SEARCH("Director Marketing",C524))+ISNUMBER(SEARCH("Head of Marketing",C524))+ISNUMBER(SEARCH("Head Marketing",C524))&gt;0,'Configuración'!$B$32,IF(ISNUMBER(SEARCH("Marketing Manager",C524))+ISNUMBER(SEARCH("Gerente de Marketing",C524))+ISNUMBER(SEARCH("Growth Manager",C524))+ISNUMBER(SEARCH("Demand Gen",C524))+ISNUMBER(SEARCH("Marketing Lead",C524))&gt;0,'Configuración'!$B$33,IF(ISNUMBER(SEARCH("COO",C524))+ISNUMBER(SEARCH("CFO",C524))+ISNUMBER(SEARCH("CTO",C524))+ISNUMBER(SEARCH("Chief Operating",C524))+ISNUMBER(SEARCH("Chief Financial",C524))+ISNUMBER(SEARCH("Gerente General",C524))+ISNUMBER(SEARCH("General Manager",C524))&gt;0,'Configuración'!$B$34,'Configuración'!$B$35)))))</f>
        <v>0</v>
      </c>
      <c r="V524" s="38">
        <f>IF(B524="","",IF(K524="Sí",'Configuración'!$B$5,0)+IF(L524="Semanal",'Configuración'!$B$6,IF(L524="Mensual",'Configuración'!$B$7,0))+IF(M524="Sí",'Configuración'!$B$8,0)+IF(N524="Sí",'Configuración'!$B$9,0)+IF(O524="Sí",'Configuración'!$B$10,0)+IF(P524="Sí",'Configuración'!$B$11,0)+IF(Q524="Sí",'Configuración'!$B$12,0)+S524+T524+U524)</f>
        <v>24</v>
      </c>
      <c r="W524" s="39" t="str">
        <f>IF(B524="","",IF(V524&gt;='Configuración'!$B$19,"A",IF(V524&gt;='Configuración'!$B$20,"B",IF(V524&gt;='Configuración'!$B$21,"C","Descarte"))))</f>
        <v>C</v>
      </c>
    </row>
    <row r="525" ht="15.75" customHeight="1">
      <c r="A525" s="34">
        <f t="shared" si="1"/>
        <v>523</v>
      </c>
      <c r="B525" s="29" t="s">
        <v>1137</v>
      </c>
      <c r="C525" s="29" t="s">
        <v>202</v>
      </c>
      <c r="D525" s="29" t="s">
        <v>312</v>
      </c>
      <c r="E525" s="29" t="s">
        <v>3220</v>
      </c>
      <c r="F525" s="30" t="s">
        <v>3221</v>
      </c>
      <c r="G525" s="30" t="s">
        <v>315</v>
      </c>
      <c r="H525" s="30" t="s">
        <v>316</v>
      </c>
      <c r="I525" s="29" t="s">
        <v>317</v>
      </c>
      <c r="J525" s="31">
        <v>9.0</v>
      </c>
      <c r="K525" s="35"/>
      <c r="L525" s="35"/>
      <c r="M525" s="35"/>
      <c r="N525" s="35"/>
      <c r="O525" s="35"/>
      <c r="P525" s="35"/>
      <c r="Q525" s="35"/>
      <c r="R525" s="35"/>
      <c r="S525" s="37">
        <f>IF(B525="","",IF(ISNUMBER(J525),IF(J525&lt;=10,'Configuración'!$B$23,IF(J525&lt;=50,'Configuración'!$B$24,IF(J525&lt;=200,'Configuración'!$B$25,0))),0))</f>
        <v>12</v>
      </c>
      <c r="T525" s="37">
        <f>IF(B525="","",IF(ISNUMBER(SEARCH("information technology",I525))+ISNUMBER(SEARCH("software",I525))+ISNUMBER(SEARCH("internet",I525))+ISNUMBER(SEARCH("computer",I525))+ISNUMBER(SEARCH("saas",I525))+ISNUMBER(SEARCH("fintech",I525))+ISNUMBER(SEARCH("information services",I525))+ISNUMBER(SEARCH("telecommunications",I525))&gt;0,'Configuración'!$B$27,'Configuración'!$B$28))</f>
        <v>4</v>
      </c>
      <c r="U525" s="25">
        <f>IF(B525="","",IF(ISNUMBER(SEARCH("CEO",C525))+ISNUMBER(SEARCH("Founder",C525))+ISNUMBER(SEARCH("Owner",C525))+ISNUMBER(SEARCH("Dueño",C525))+ISNUMBER(SEARCH("Director General",C525))+ISNUMBER(SEARCH("Presidente",C525))+ISNUMBER(SEARCH("President",C525))&gt;0,'Configuración'!$B$31,IF(ISNUMBER(SEARCH("CMO",C525))+ISNUMBER(SEARCH("Chief Marketing",C525))+ISNUMBER(SEARCH("VP Marketing",C525))+ISNUMBER(SEARCH("Director de Marketing",C525))+ISNUMBER(SEARCH("Director Marketing",C525))+ISNUMBER(SEARCH("Head of Marketing",C525))+ISNUMBER(SEARCH("Head Marketing",C525))&gt;0,'Configuración'!$B$32,IF(ISNUMBER(SEARCH("Marketing Manager",C525))+ISNUMBER(SEARCH("Gerente de Marketing",C525))+ISNUMBER(SEARCH("Growth Manager",C525))+ISNUMBER(SEARCH("Demand Gen",C525))+ISNUMBER(SEARCH("Marketing Lead",C525))&gt;0,'Configuración'!$B$33,IF(ISNUMBER(SEARCH("COO",C525))+ISNUMBER(SEARCH("CFO",C525))+ISNUMBER(SEARCH("CTO",C525))+ISNUMBER(SEARCH("Chief Operating",C525))+ISNUMBER(SEARCH("Chief Financial",C525))+ISNUMBER(SEARCH("Gerente General",C525))+ISNUMBER(SEARCH("General Manager",C525))&gt;0,'Configuración'!$B$34,'Configuración'!$B$35)))))</f>
        <v>12</v>
      </c>
      <c r="V525" s="38">
        <f>IF(B525="","",IF(K525="Sí",'Configuración'!$B$5,0)+IF(L525="Semanal",'Configuración'!$B$6,IF(L525="Mensual",'Configuración'!$B$7,0))+IF(M525="Sí",'Configuración'!$B$8,0)+IF(N525="Sí",'Configuración'!$B$9,0)+IF(O525="Sí",'Configuración'!$B$10,0)+IF(P525="Sí",'Configuración'!$B$11,0)+IF(Q525="Sí",'Configuración'!$B$12,0)+S525+T525+U525)</f>
        <v>28</v>
      </c>
      <c r="W525" s="39" t="str">
        <f>IF(B525="","",IF(V525&gt;='Configuración'!$B$19,"A",IF(V525&gt;='Configuración'!$B$20,"B",IF(V525&gt;='Configuración'!$B$21,"C","Descarte"))))</f>
        <v>C</v>
      </c>
    </row>
    <row r="526" ht="15.75" customHeight="1">
      <c r="A526" s="34">
        <f t="shared" si="1"/>
        <v>524</v>
      </c>
      <c r="B526" s="29" t="s">
        <v>3222</v>
      </c>
      <c r="C526" s="29" t="s">
        <v>3223</v>
      </c>
      <c r="D526" s="29" t="s">
        <v>3224</v>
      </c>
      <c r="E526" s="29" t="s">
        <v>3225</v>
      </c>
      <c r="F526" s="30" t="s">
        <v>3226</v>
      </c>
      <c r="G526" s="30" t="s">
        <v>3227</v>
      </c>
      <c r="H526" s="30" t="s">
        <v>3228</v>
      </c>
      <c r="I526" s="29" t="s">
        <v>2651</v>
      </c>
      <c r="J526" s="31">
        <v>8.0</v>
      </c>
      <c r="K526" s="35"/>
      <c r="L526" s="35"/>
      <c r="M526" s="35"/>
      <c r="N526" s="35"/>
      <c r="O526" s="35"/>
      <c r="P526" s="35"/>
      <c r="Q526" s="35"/>
      <c r="R526" s="35"/>
      <c r="S526" s="37">
        <f>IF(B526="","",IF(ISNUMBER(J526),IF(J526&lt;=10,'Configuración'!$B$23,IF(J526&lt;=50,'Configuración'!$B$24,IF(J526&lt;=200,'Configuración'!$B$25,0))),0))</f>
        <v>12</v>
      </c>
      <c r="T526" s="37">
        <f>IF(B526="","",IF(ISNUMBER(SEARCH("information technology",I526))+ISNUMBER(SEARCH("software",I526))+ISNUMBER(SEARCH("internet",I526))+ISNUMBER(SEARCH("computer",I526))+ISNUMBER(SEARCH("saas",I526))+ISNUMBER(SEARCH("fintech",I526))+ISNUMBER(SEARCH("information services",I526))+ISNUMBER(SEARCH("telecommunications",I526))&gt;0,'Configuración'!$B$27,'Configuración'!$B$28))</f>
        <v>4</v>
      </c>
      <c r="U526" s="25">
        <f>IF(B526="","",IF(ISNUMBER(SEARCH("CEO",C526))+ISNUMBER(SEARCH("Founder",C526))+ISNUMBER(SEARCH("Owner",C526))+ISNUMBER(SEARCH("Dueño",C526))+ISNUMBER(SEARCH("Director General",C526))+ISNUMBER(SEARCH("Presidente",C526))+ISNUMBER(SEARCH("President",C526))&gt;0,'Configuración'!$B$31,IF(ISNUMBER(SEARCH("CMO",C526))+ISNUMBER(SEARCH("Chief Marketing",C526))+ISNUMBER(SEARCH("VP Marketing",C526))+ISNUMBER(SEARCH("Director de Marketing",C526))+ISNUMBER(SEARCH("Director Marketing",C526))+ISNUMBER(SEARCH("Head of Marketing",C526))+ISNUMBER(SEARCH("Head Marketing",C526))&gt;0,'Configuración'!$B$32,IF(ISNUMBER(SEARCH("Marketing Manager",C526))+ISNUMBER(SEARCH("Gerente de Marketing",C526))+ISNUMBER(SEARCH("Growth Manager",C526))+ISNUMBER(SEARCH("Demand Gen",C526))+ISNUMBER(SEARCH("Marketing Lead",C526))&gt;0,'Configuración'!$B$33,IF(ISNUMBER(SEARCH("COO",C526))+ISNUMBER(SEARCH("CFO",C526))+ISNUMBER(SEARCH("CTO",C526))+ISNUMBER(SEARCH("Chief Operating",C526))+ISNUMBER(SEARCH("Chief Financial",C526))+ISNUMBER(SEARCH("Gerente General",C526))+ISNUMBER(SEARCH("General Manager",C526))&gt;0,'Configuración'!$B$34,'Configuración'!$B$35)))))</f>
        <v>12</v>
      </c>
      <c r="V526" s="38">
        <f>IF(B526="","",IF(K526="Sí",'Configuración'!$B$5,0)+IF(L526="Semanal",'Configuración'!$B$6,IF(L526="Mensual",'Configuración'!$B$7,0))+IF(M526="Sí",'Configuración'!$B$8,0)+IF(N526="Sí",'Configuración'!$B$9,0)+IF(O526="Sí",'Configuración'!$B$10,0)+IF(P526="Sí",'Configuración'!$B$11,0)+IF(Q526="Sí",'Configuración'!$B$12,0)+S526+T526+U526)</f>
        <v>28</v>
      </c>
      <c r="W526" s="39" t="str">
        <f>IF(B526="","",IF(V526&gt;='Configuración'!$B$19,"A",IF(V526&gt;='Configuración'!$B$20,"B",IF(V526&gt;='Configuración'!$B$21,"C","Descarte"))))</f>
        <v>C</v>
      </c>
    </row>
    <row r="527" ht="15.75" customHeight="1">
      <c r="A527" s="34">
        <f t="shared" si="1"/>
        <v>525</v>
      </c>
      <c r="B527" s="29" t="s">
        <v>3229</v>
      </c>
      <c r="C527" s="29" t="s">
        <v>3230</v>
      </c>
      <c r="D527" s="29" t="s">
        <v>3231</v>
      </c>
      <c r="E527" s="29" t="s">
        <v>3232</v>
      </c>
      <c r="F527" s="30" t="s">
        <v>3233</v>
      </c>
      <c r="G527" s="30" t="s">
        <v>3234</v>
      </c>
      <c r="H527" s="30" t="s">
        <v>3235</v>
      </c>
      <c r="I527" s="29" t="s">
        <v>2904</v>
      </c>
      <c r="J527" s="31">
        <v>33.0</v>
      </c>
      <c r="K527" s="35"/>
      <c r="L527" s="35"/>
      <c r="M527" s="35"/>
      <c r="N527" s="35"/>
      <c r="O527" s="35"/>
      <c r="P527" s="35"/>
      <c r="Q527" s="35"/>
      <c r="R527" s="35"/>
      <c r="S527" s="37">
        <f>IF(B527="","",IF(ISNUMBER(J527),IF(J527&lt;=10,'Configuración'!$B$23,IF(J527&lt;=50,'Configuración'!$B$24,IF(J527&lt;=200,'Configuración'!$B$25,0))),0))</f>
        <v>4</v>
      </c>
      <c r="T527" s="37">
        <f>IF(B527="","",IF(ISNUMBER(SEARCH("information technology",I527))+ISNUMBER(SEARCH("software",I527))+ISNUMBER(SEARCH("internet",I527))+ISNUMBER(SEARCH("computer",I527))+ISNUMBER(SEARCH("saas",I527))+ISNUMBER(SEARCH("fintech",I527))+ISNUMBER(SEARCH("information services",I527))+ISNUMBER(SEARCH("telecommunications",I527))&gt;0,'Configuración'!$B$27,'Configuración'!$B$28))</f>
        <v>4</v>
      </c>
      <c r="U527" s="25">
        <f>IF(B527="","",IF(ISNUMBER(SEARCH("CEO",C527))+ISNUMBER(SEARCH("Founder",C527))+ISNUMBER(SEARCH("Owner",C527))+ISNUMBER(SEARCH("Dueño",C527))+ISNUMBER(SEARCH("Director General",C527))+ISNUMBER(SEARCH("Presidente",C527))+ISNUMBER(SEARCH("President",C527))&gt;0,'Configuración'!$B$31,IF(ISNUMBER(SEARCH("CMO",C527))+ISNUMBER(SEARCH("Chief Marketing",C527))+ISNUMBER(SEARCH("VP Marketing",C527))+ISNUMBER(SEARCH("Director de Marketing",C527))+ISNUMBER(SEARCH("Director Marketing",C527))+ISNUMBER(SEARCH("Head of Marketing",C527))+ISNUMBER(SEARCH("Head Marketing",C527))&gt;0,'Configuración'!$B$32,IF(ISNUMBER(SEARCH("Marketing Manager",C527))+ISNUMBER(SEARCH("Gerente de Marketing",C527))+ISNUMBER(SEARCH("Growth Manager",C527))+ISNUMBER(SEARCH("Demand Gen",C527))+ISNUMBER(SEARCH("Marketing Lead",C527))&gt;0,'Configuración'!$B$33,IF(ISNUMBER(SEARCH("COO",C527))+ISNUMBER(SEARCH("CFO",C527))+ISNUMBER(SEARCH("CTO",C527))+ISNUMBER(SEARCH("Chief Operating",C527))+ISNUMBER(SEARCH("Chief Financial",C527))+ISNUMBER(SEARCH("Gerente General",C527))+ISNUMBER(SEARCH("General Manager",C527))&gt;0,'Configuración'!$B$34,'Configuración'!$B$35)))))</f>
        <v>12</v>
      </c>
      <c r="V527" s="38">
        <f>IF(B527="","",IF(K527="Sí",'Configuración'!$B$5,0)+IF(L527="Semanal",'Configuración'!$B$6,IF(L527="Mensual",'Configuración'!$B$7,0))+IF(M527="Sí",'Configuración'!$B$8,0)+IF(N527="Sí",'Configuración'!$B$9,0)+IF(O527="Sí",'Configuración'!$B$10,0)+IF(P527="Sí",'Configuración'!$B$11,0)+IF(Q527="Sí",'Configuración'!$B$12,0)+S527+T527+U527)</f>
        <v>20</v>
      </c>
      <c r="W527" s="39" t="str">
        <f>IF(B527="","",IF(V527&gt;='Configuración'!$B$19,"A",IF(V527&gt;='Configuración'!$B$20,"B",IF(V527&gt;='Configuración'!$B$21,"C","Descarte"))))</f>
        <v>Descarte</v>
      </c>
    </row>
    <row r="528" ht="15.75" customHeight="1">
      <c r="A528" s="34">
        <f t="shared" si="1"/>
        <v>526</v>
      </c>
      <c r="B528" s="29" t="s">
        <v>1048</v>
      </c>
      <c r="C528" s="29" t="s">
        <v>3236</v>
      </c>
      <c r="D528" s="29" t="s">
        <v>3237</v>
      </c>
      <c r="E528" s="29" t="s">
        <v>3238</v>
      </c>
      <c r="F528" s="30" t="s">
        <v>3239</v>
      </c>
      <c r="G528" s="30" t="s">
        <v>3240</v>
      </c>
      <c r="H528" s="30" t="s">
        <v>3241</v>
      </c>
      <c r="I528" s="29" t="s">
        <v>188</v>
      </c>
      <c r="J528" s="31">
        <v>3.0</v>
      </c>
      <c r="K528" s="35"/>
      <c r="L528" s="35"/>
      <c r="M528" s="35"/>
      <c r="N528" s="35"/>
      <c r="O528" s="35"/>
      <c r="P528" s="35"/>
      <c r="Q528" s="35"/>
      <c r="R528" s="35"/>
      <c r="S528" s="37">
        <f>IF(B528="","",IF(ISNUMBER(J528),IF(J528&lt;=10,'Configuración'!$B$23,IF(J528&lt;=50,'Configuración'!$B$24,IF(J528&lt;=200,'Configuración'!$B$25,0))),0))</f>
        <v>12</v>
      </c>
      <c r="T528" s="37">
        <f>IF(B528="","",IF(ISNUMBER(SEARCH("information technology",I528))+ISNUMBER(SEARCH("software",I528))+ISNUMBER(SEARCH("internet",I528))+ISNUMBER(SEARCH("computer",I528))+ISNUMBER(SEARCH("saas",I528))+ISNUMBER(SEARCH("fintech",I528))+ISNUMBER(SEARCH("information services",I528))+ISNUMBER(SEARCH("telecommunications",I528))&gt;0,'Configuración'!$B$27,'Configuración'!$B$28))</f>
        <v>4</v>
      </c>
      <c r="U528" s="25">
        <f>IF(B528="","",IF(ISNUMBER(SEARCH("CEO",C528))+ISNUMBER(SEARCH("Founder",C528))+ISNUMBER(SEARCH("Owner",C528))+ISNUMBER(SEARCH("Dueño",C528))+ISNUMBER(SEARCH("Director General",C528))+ISNUMBER(SEARCH("Presidente",C528))+ISNUMBER(SEARCH("President",C528))&gt;0,'Configuración'!$B$31,IF(ISNUMBER(SEARCH("CMO",C528))+ISNUMBER(SEARCH("Chief Marketing",C528))+ISNUMBER(SEARCH("VP Marketing",C528))+ISNUMBER(SEARCH("Director de Marketing",C528))+ISNUMBER(SEARCH("Director Marketing",C528))+ISNUMBER(SEARCH("Head of Marketing",C528))+ISNUMBER(SEARCH("Head Marketing",C528))&gt;0,'Configuración'!$B$32,IF(ISNUMBER(SEARCH("Marketing Manager",C528))+ISNUMBER(SEARCH("Gerente de Marketing",C528))+ISNUMBER(SEARCH("Growth Manager",C528))+ISNUMBER(SEARCH("Demand Gen",C528))+ISNUMBER(SEARCH("Marketing Lead",C528))&gt;0,'Configuración'!$B$33,IF(ISNUMBER(SEARCH("COO",C528))+ISNUMBER(SEARCH("CFO",C528))+ISNUMBER(SEARCH("CTO",C528))+ISNUMBER(SEARCH("Chief Operating",C528))+ISNUMBER(SEARCH("Chief Financial",C528))+ISNUMBER(SEARCH("Gerente General",C528))+ISNUMBER(SEARCH("General Manager",C528))&gt;0,'Configuración'!$B$34,'Configuración'!$B$35)))))</f>
        <v>12</v>
      </c>
      <c r="V528" s="38">
        <f>IF(B528="","",IF(K528="Sí",'Configuración'!$B$5,0)+IF(L528="Semanal",'Configuración'!$B$6,IF(L528="Mensual",'Configuración'!$B$7,0))+IF(M528="Sí",'Configuración'!$B$8,0)+IF(N528="Sí",'Configuración'!$B$9,0)+IF(O528="Sí",'Configuración'!$B$10,0)+IF(P528="Sí",'Configuración'!$B$11,0)+IF(Q528="Sí",'Configuración'!$B$12,0)+S528+T528+U528)</f>
        <v>28</v>
      </c>
      <c r="W528" s="39" t="str">
        <f>IF(B528="","",IF(V528&gt;='Configuración'!$B$19,"A",IF(V528&gt;='Configuración'!$B$20,"B",IF(V528&gt;='Configuración'!$B$21,"C","Descarte"))))</f>
        <v>C</v>
      </c>
    </row>
    <row r="529" ht="15.75" customHeight="1">
      <c r="A529" s="34">
        <f t="shared" si="1"/>
        <v>527</v>
      </c>
      <c r="B529" s="29" t="s">
        <v>749</v>
      </c>
      <c r="C529" s="29" t="s">
        <v>131</v>
      </c>
      <c r="D529" s="29" t="s">
        <v>3242</v>
      </c>
      <c r="E529" s="29" t="s">
        <v>3243</v>
      </c>
      <c r="F529" s="30" t="s">
        <v>3244</v>
      </c>
      <c r="G529" s="30" t="s">
        <v>3245</v>
      </c>
      <c r="H529" s="30" t="s">
        <v>3246</v>
      </c>
      <c r="I529" s="29" t="s">
        <v>542</v>
      </c>
      <c r="J529" s="31">
        <v>14.0</v>
      </c>
      <c r="K529" s="35"/>
      <c r="L529" s="35"/>
      <c r="M529" s="35"/>
      <c r="N529" s="35"/>
      <c r="O529" s="35"/>
      <c r="P529" s="35"/>
      <c r="Q529" s="35"/>
      <c r="R529" s="35"/>
      <c r="S529" s="37">
        <f>IF(B529="","",IF(ISNUMBER(J529),IF(J529&lt;=10,'Configuración'!$B$23,IF(J529&lt;=50,'Configuración'!$B$24,IF(J529&lt;=200,'Configuración'!$B$25,0))),0))</f>
        <v>4</v>
      </c>
      <c r="T529" s="37">
        <f>IF(B529="","",IF(ISNUMBER(SEARCH("information technology",I529))+ISNUMBER(SEARCH("software",I529))+ISNUMBER(SEARCH("internet",I529))+ISNUMBER(SEARCH("computer",I529))+ISNUMBER(SEARCH("saas",I529))+ISNUMBER(SEARCH("fintech",I529))+ISNUMBER(SEARCH("information services",I529))+ISNUMBER(SEARCH("telecommunications",I529))&gt;0,'Configuración'!$B$27,'Configuración'!$B$28))</f>
        <v>4</v>
      </c>
      <c r="U529" s="25">
        <f>IF(B529="","",IF(ISNUMBER(SEARCH("CEO",C529))+ISNUMBER(SEARCH("Founder",C529))+ISNUMBER(SEARCH("Owner",C529))+ISNUMBER(SEARCH("Dueño",C529))+ISNUMBER(SEARCH("Director General",C529))+ISNUMBER(SEARCH("Presidente",C529))+ISNUMBER(SEARCH("President",C529))&gt;0,'Configuración'!$B$31,IF(ISNUMBER(SEARCH("CMO",C529))+ISNUMBER(SEARCH("Chief Marketing",C529))+ISNUMBER(SEARCH("VP Marketing",C529))+ISNUMBER(SEARCH("Director de Marketing",C529))+ISNUMBER(SEARCH("Director Marketing",C529))+ISNUMBER(SEARCH("Head of Marketing",C529))+ISNUMBER(SEARCH("Head Marketing",C529))&gt;0,'Configuración'!$B$32,IF(ISNUMBER(SEARCH("Marketing Manager",C529))+ISNUMBER(SEARCH("Gerente de Marketing",C529))+ISNUMBER(SEARCH("Growth Manager",C529))+ISNUMBER(SEARCH("Demand Gen",C529))+ISNUMBER(SEARCH("Marketing Lead",C529))&gt;0,'Configuración'!$B$33,IF(ISNUMBER(SEARCH("COO",C529))+ISNUMBER(SEARCH("CFO",C529))+ISNUMBER(SEARCH("CTO",C529))+ISNUMBER(SEARCH("Chief Operating",C529))+ISNUMBER(SEARCH("Chief Financial",C529))+ISNUMBER(SEARCH("Gerente General",C529))+ISNUMBER(SEARCH("General Manager",C529))&gt;0,'Configuración'!$B$34,'Configuración'!$B$35)))))</f>
        <v>12</v>
      </c>
      <c r="V529" s="38">
        <f>IF(B529="","",IF(K529="Sí",'Configuración'!$B$5,0)+IF(L529="Semanal",'Configuración'!$B$6,IF(L529="Mensual",'Configuración'!$B$7,0))+IF(M529="Sí",'Configuración'!$B$8,0)+IF(N529="Sí",'Configuración'!$B$9,0)+IF(O529="Sí",'Configuración'!$B$10,0)+IF(P529="Sí",'Configuración'!$B$11,0)+IF(Q529="Sí",'Configuración'!$B$12,0)+S529+T529+U529)</f>
        <v>20</v>
      </c>
      <c r="W529" s="39" t="str">
        <f>IF(B529="","",IF(V529&gt;='Configuración'!$B$19,"A",IF(V529&gt;='Configuración'!$B$20,"B",IF(V529&gt;='Configuración'!$B$21,"C","Descarte"))))</f>
        <v>Descarte</v>
      </c>
    </row>
    <row r="530" ht="15.75" customHeight="1">
      <c r="A530" s="34">
        <f t="shared" si="1"/>
        <v>528</v>
      </c>
      <c r="B530" s="29" t="s">
        <v>1072</v>
      </c>
      <c r="C530" s="29" t="s">
        <v>202</v>
      </c>
      <c r="D530" s="29" t="s">
        <v>3247</v>
      </c>
      <c r="E530" s="29" t="s">
        <v>3248</v>
      </c>
      <c r="F530" s="30" t="s">
        <v>3249</v>
      </c>
      <c r="G530" s="30" t="s">
        <v>3250</v>
      </c>
      <c r="H530" s="30" t="s">
        <v>3251</v>
      </c>
      <c r="I530" s="29" t="s">
        <v>127</v>
      </c>
      <c r="J530" s="31">
        <v>5.0</v>
      </c>
      <c r="K530" s="35"/>
      <c r="L530" s="35"/>
      <c r="M530" s="35"/>
      <c r="N530" s="35"/>
      <c r="O530" s="35"/>
      <c r="P530" s="35"/>
      <c r="Q530" s="35"/>
      <c r="R530" s="35"/>
      <c r="S530" s="37">
        <f>IF(B530="","",IF(ISNUMBER(J530),IF(J530&lt;=10,'Configuración'!$B$23,IF(J530&lt;=50,'Configuración'!$B$24,IF(J530&lt;=200,'Configuración'!$B$25,0))),0))</f>
        <v>12</v>
      </c>
      <c r="T530" s="37">
        <f>IF(B530="","",IF(ISNUMBER(SEARCH("information technology",I530))+ISNUMBER(SEARCH("software",I530))+ISNUMBER(SEARCH("internet",I530))+ISNUMBER(SEARCH("computer",I530))+ISNUMBER(SEARCH("saas",I530))+ISNUMBER(SEARCH("fintech",I530))+ISNUMBER(SEARCH("information services",I530))+ISNUMBER(SEARCH("telecommunications",I530))&gt;0,'Configuración'!$B$27,'Configuración'!$B$28))</f>
        <v>12</v>
      </c>
      <c r="U530" s="25">
        <f>IF(B530="","",IF(ISNUMBER(SEARCH("CEO",C530))+ISNUMBER(SEARCH("Founder",C530))+ISNUMBER(SEARCH("Owner",C530))+ISNUMBER(SEARCH("Dueño",C530))+ISNUMBER(SEARCH("Director General",C530))+ISNUMBER(SEARCH("Presidente",C530))+ISNUMBER(SEARCH("President",C530))&gt;0,'Configuración'!$B$31,IF(ISNUMBER(SEARCH("CMO",C530))+ISNUMBER(SEARCH("Chief Marketing",C530))+ISNUMBER(SEARCH("VP Marketing",C530))+ISNUMBER(SEARCH("Director de Marketing",C530))+ISNUMBER(SEARCH("Director Marketing",C530))+ISNUMBER(SEARCH("Head of Marketing",C530))+ISNUMBER(SEARCH("Head Marketing",C530))&gt;0,'Configuración'!$B$32,IF(ISNUMBER(SEARCH("Marketing Manager",C530))+ISNUMBER(SEARCH("Gerente de Marketing",C530))+ISNUMBER(SEARCH("Growth Manager",C530))+ISNUMBER(SEARCH("Demand Gen",C530))+ISNUMBER(SEARCH("Marketing Lead",C530))&gt;0,'Configuración'!$B$33,IF(ISNUMBER(SEARCH("COO",C530))+ISNUMBER(SEARCH("CFO",C530))+ISNUMBER(SEARCH("CTO",C530))+ISNUMBER(SEARCH("Chief Operating",C530))+ISNUMBER(SEARCH("Chief Financial",C530))+ISNUMBER(SEARCH("Gerente General",C530))+ISNUMBER(SEARCH("General Manager",C530))&gt;0,'Configuración'!$B$34,'Configuración'!$B$35)))))</f>
        <v>12</v>
      </c>
      <c r="V530" s="38">
        <f>IF(B530="","",IF(K530="Sí",'Configuración'!$B$5,0)+IF(L530="Semanal",'Configuración'!$B$6,IF(L530="Mensual",'Configuración'!$B$7,0))+IF(M530="Sí",'Configuración'!$B$8,0)+IF(N530="Sí",'Configuración'!$B$9,0)+IF(O530="Sí",'Configuración'!$B$10,0)+IF(P530="Sí",'Configuración'!$B$11,0)+IF(Q530="Sí",'Configuración'!$B$12,0)+S530+T530+U530)</f>
        <v>36</v>
      </c>
      <c r="W530" s="39" t="str">
        <f>IF(B530="","",IF(V530&gt;='Configuración'!$B$19,"A",IF(V530&gt;='Configuración'!$B$20,"B",IF(V530&gt;='Configuración'!$B$21,"C","Descarte"))))</f>
        <v>C</v>
      </c>
    </row>
    <row r="531" ht="15.75" customHeight="1">
      <c r="A531" s="34">
        <f t="shared" si="1"/>
        <v>529</v>
      </c>
      <c r="B531" s="29" t="s">
        <v>1686</v>
      </c>
      <c r="C531" s="29" t="s">
        <v>3252</v>
      </c>
      <c r="D531" s="29" t="s">
        <v>3253</v>
      </c>
      <c r="E531" s="29" t="s">
        <v>3254</v>
      </c>
      <c r="F531" s="30" t="s">
        <v>3255</v>
      </c>
      <c r="G531" s="30" t="s">
        <v>3256</v>
      </c>
      <c r="H531" s="30" t="s">
        <v>3257</v>
      </c>
      <c r="I531" s="29" t="s">
        <v>2694</v>
      </c>
      <c r="J531" s="31">
        <v>11.0</v>
      </c>
      <c r="K531" s="35"/>
      <c r="L531" s="35"/>
      <c r="M531" s="35"/>
      <c r="N531" s="35"/>
      <c r="O531" s="35"/>
      <c r="P531" s="35"/>
      <c r="Q531" s="35"/>
      <c r="R531" s="35"/>
      <c r="S531" s="37">
        <f>IF(B531="","",IF(ISNUMBER(J531),IF(J531&lt;=10,'Configuración'!$B$23,IF(J531&lt;=50,'Configuración'!$B$24,IF(J531&lt;=200,'Configuración'!$B$25,0))),0))</f>
        <v>4</v>
      </c>
      <c r="T531" s="37">
        <f>IF(B531="","",IF(ISNUMBER(SEARCH("information technology",I531))+ISNUMBER(SEARCH("software",I531))+ISNUMBER(SEARCH("internet",I531))+ISNUMBER(SEARCH("computer",I531))+ISNUMBER(SEARCH("saas",I531))+ISNUMBER(SEARCH("fintech",I531))+ISNUMBER(SEARCH("information services",I531))+ISNUMBER(SEARCH("telecommunications",I531))&gt;0,'Configuración'!$B$27,'Configuración'!$B$28))</f>
        <v>4</v>
      </c>
      <c r="U531" s="25">
        <f>IF(B531="","",IF(ISNUMBER(SEARCH("CEO",C531))+ISNUMBER(SEARCH("Founder",C531))+ISNUMBER(SEARCH("Owner",C531))+ISNUMBER(SEARCH("Dueño",C531))+ISNUMBER(SEARCH("Director General",C531))+ISNUMBER(SEARCH("Presidente",C531))+ISNUMBER(SEARCH("President",C531))&gt;0,'Configuración'!$B$31,IF(ISNUMBER(SEARCH("CMO",C531))+ISNUMBER(SEARCH("Chief Marketing",C531))+ISNUMBER(SEARCH("VP Marketing",C531))+ISNUMBER(SEARCH("Director de Marketing",C531))+ISNUMBER(SEARCH("Director Marketing",C531))+ISNUMBER(SEARCH("Head of Marketing",C531))+ISNUMBER(SEARCH("Head Marketing",C531))&gt;0,'Configuración'!$B$32,IF(ISNUMBER(SEARCH("Marketing Manager",C531))+ISNUMBER(SEARCH("Gerente de Marketing",C531))+ISNUMBER(SEARCH("Growth Manager",C531))+ISNUMBER(SEARCH("Demand Gen",C531))+ISNUMBER(SEARCH("Marketing Lead",C531))&gt;0,'Configuración'!$B$33,IF(ISNUMBER(SEARCH("COO",C531))+ISNUMBER(SEARCH("CFO",C531))+ISNUMBER(SEARCH("CTO",C531))+ISNUMBER(SEARCH("Chief Operating",C531))+ISNUMBER(SEARCH("Chief Financial",C531))+ISNUMBER(SEARCH("Gerente General",C531))+ISNUMBER(SEARCH("General Manager",C531))&gt;0,'Configuración'!$B$34,'Configuración'!$B$35)))))</f>
        <v>12</v>
      </c>
      <c r="V531" s="38">
        <f>IF(B531="","",IF(K531="Sí",'Configuración'!$B$5,0)+IF(L531="Semanal",'Configuración'!$B$6,IF(L531="Mensual",'Configuración'!$B$7,0))+IF(M531="Sí",'Configuración'!$B$8,0)+IF(N531="Sí",'Configuración'!$B$9,0)+IF(O531="Sí",'Configuración'!$B$10,0)+IF(P531="Sí",'Configuración'!$B$11,0)+IF(Q531="Sí",'Configuración'!$B$12,0)+S531+T531+U531)</f>
        <v>20</v>
      </c>
      <c r="W531" s="39" t="str">
        <f>IF(B531="","",IF(V531&gt;='Configuración'!$B$19,"A",IF(V531&gt;='Configuración'!$B$20,"B",IF(V531&gt;='Configuración'!$B$21,"C","Descarte"))))</f>
        <v>Descarte</v>
      </c>
    </row>
    <row r="532" ht="15.75" customHeight="1">
      <c r="A532" s="34">
        <f t="shared" si="1"/>
        <v>530</v>
      </c>
      <c r="B532" s="29" t="s">
        <v>3167</v>
      </c>
      <c r="C532" s="29" t="s">
        <v>597</v>
      </c>
      <c r="D532" s="29" t="s">
        <v>3258</v>
      </c>
      <c r="E532" s="29" t="s">
        <v>3259</v>
      </c>
      <c r="F532" s="30" t="s">
        <v>3260</v>
      </c>
      <c r="G532" s="30" t="s">
        <v>3261</v>
      </c>
      <c r="H532" s="30" t="s">
        <v>3262</v>
      </c>
      <c r="I532" s="29" t="s">
        <v>116</v>
      </c>
      <c r="J532" s="31">
        <v>7.0</v>
      </c>
      <c r="K532" s="35"/>
      <c r="L532" s="35"/>
      <c r="M532" s="35"/>
      <c r="N532" s="35"/>
      <c r="O532" s="35"/>
      <c r="P532" s="35"/>
      <c r="Q532" s="35"/>
      <c r="R532" s="35"/>
      <c r="S532" s="37">
        <f>IF(B532="","",IF(ISNUMBER(J532),IF(J532&lt;=10,'Configuración'!$B$23,IF(J532&lt;=50,'Configuración'!$B$24,IF(J532&lt;=200,'Configuración'!$B$25,0))),0))</f>
        <v>12</v>
      </c>
      <c r="T532" s="37">
        <f>IF(B532="","",IF(ISNUMBER(SEARCH("information technology",I532))+ISNUMBER(SEARCH("software",I532))+ISNUMBER(SEARCH("internet",I532))+ISNUMBER(SEARCH("computer",I532))+ISNUMBER(SEARCH("saas",I532))+ISNUMBER(SEARCH("fintech",I532))+ISNUMBER(SEARCH("information services",I532))+ISNUMBER(SEARCH("telecommunications",I532))&gt;0,'Configuración'!$B$27,'Configuración'!$B$28))</f>
        <v>4</v>
      </c>
      <c r="U532" s="25">
        <f>IF(B532="","",IF(ISNUMBER(SEARCH("CEO",C532))+ISNUMBER(SEARCH("Founder",C532))+ISNUMBER(SEARCH("Owner",C532))+ISNUMBER(SEARCH("Dueño",C532))+ISNUMBER(SEARCH("Director General",C532))+ISNUMBER(SEARCH("Presidente",C532))+ISNUMBER(SEARCH("President",C532))&gt;0,'Configuración'!$B$31,IF(ISNUMBER(SEARCH("CMO",C532))+ISNUMBER(SEARCH("Chief Marketing",C532))+ISNUMBER(SEARCH("VP Marketing",C532))+ISNUMBER(SEARCH("Director de Marketing",C532))+ISNUMBER(SEARCH("Director Marketing",C532))+ISNUMBER(SEARCH("Head of Marketing",C532))+ISNUMBER(SEARCH("Head Marketing",C532))&gt;0,'Configuración'!$B$32,IF(ISNUMBER(SEARCH("Marketing Manager",C532))+ISNUMBER(SEARCH("Gerente de Marketing",C532))+ISNUMBER(SEARCH("Growth Manager",C532))+ISNUMBER(SEARCH("Demand Gen",C532))+ISNUMBER(SEARCH("Marketing Lead",C532))&gt;0,'Configuración'!$B$33,IF(ISNUMBER(SEARCH("COO",C532))+ISNUMBER(SEARCH("CFO",C532))+ISNUMBER(SEARCH("CTO",C532))+ISNUMBER(SEARCH("Chief Operating",C532))+ISNUMBER(SEARCH("Chief Financial",C532))+ISNUMBER(SEARCH("Gerente General",C532))+ISNUMBER(SEARCH("General Manager",C532))&gt;0,'Configuración'!$B$34,'Configuración'!$B$35)))))</f>
        <v>12</v>
      </c>
      <c r="V532" s="38">
        <f>IF(B532="","",IF(K532="Sí",'Configuración'!$B$5,0)+IF(L532="Semanal",'Configuración'!$B$6,IF(L532="Mensual",'Configuración'!$B$7,0))+IF(M532="Sí",'Configuración'!$B$8,0)+IF(N532="Sí",'Configuración'!$B$9,0)+IF(O532="Sí",'Configuración'!$B$10,0)+IF(P532="Sí",'Configuración'!$B$11,0)+IF(Q532="Sí",'Configuración'!$B$12,0)+S532+T532+U532)</f>
        <v>28</v>
      </c>
      <c r="W532" s="39" t="str">
        <f>IF(B532="","",IF(V532&gt;='Configuración'!$B$19,"A",IF(V532&gt;='Configuración'!$B$20,"B",IF(V532&gt;='Configuración'!$B$21,"C","Descarte"))))</f>
        <v>C</v>
      </c>
    </row>
    <row r="533" ht="15.75" customHeight="1">
      <c r="A533" s="34">
        <f t="shared" si="1"/>
        <v>531</v>
      </c>
      <c r="B533" s="29" t="s">
        <v>2494</v>
      </c>
      <c r="C533" s="29" t="s">
        <v>131</v>
      </c>
      <c r="D533" s="29" t="s">
        <v>3263</v>
      </c>
      <c r="E533" s="29" t="s">
        <v>3264</v>
      </c>
      <c r="F533" s="30" t="s">
        <v>3265</v>
      </c>
      <c r="G533" s="30" t="s">
        <v>3266</v>
      </c>
      <c r="H533" s="30" t="s">
        <v>3267</v>
      </c>
      <c r="I533" s="29" t="s">
        <v>1245</v>
      </c>
      <c r="J533" s="31">
        <v>14.0</v>
      </c>
      <c r="K533" s="35"/>
      <c r="L533" s="35"/>
      <c r="M533" s="35"/>
      <c r="N533" s="35"/>
      <c r="O533" s="35"/>
      <c r="P533" s="35"/>
      <c r="Q533" s="35"/>
      <c r="R533" s="35"/>
      <c r="S533" s="37">
        <f>IF(B533="","",IF(ISNUMBER(J533),IF(J533&lt;=10,'Configuración'!$B$23,IF(J533&lt;=50,'Configuración'!$B$24,IF(J533&lt;=200,'Configuración'!$B$25,0))),0))</f>
        <v>4</v>
      </c>
      <c r="T533" s="37">
        <f>IF(B533="","",IF(ISNUMBER(SEARCH("information technology",I533))+ISNUMBER(SEARCH("software",I533))+ISNUMBER(SEARCH("internet",I533))+ISNUMBER(SEARCH("computer",I533))+ISNUMBER(SEARCH("saas",I533))+ISNUMBER(SEARCH("fintech",I533))+ISNUMBER(SEARCH("information services",I533))+ISNUMBER(SEARCH("telecommunications",I533))&gt;0,'Configuración'!$B$27,'Configuración'!$B$28))</f>
        <v>4</v>
      </c>
      <c r="U533" s="25">
        <f>IF(B533="","",IF(ISNUMBER(SEARCH("CEO",C533))+ISNUMBER(SEARCH("Founder",C533))+ISNUMBER(SEARCH("Owner",C533))+ISNUMBER(SEARCH("Dueño",C533))+ISNUMBER(SEARCH("Director General",C533))+ISNUMBER(SEARCH("Presidente",C533))+ISNUMBER(SEARCH("President",C533))&gt;0,'Configuración'!$B$31,IF(ISNUMBER(SEARCH("CMO",C533))+ISNUMBER(SEARCH("Chief Marketing",C533))+ISNUMBER(SEARCH("VP Marketing",C533))+ISNUMBER(SEARCH("Director de Marketing",C533))+ISNUMBER(SEARCH("Director Marketing",C533))+ISNUMBER(SEARCH("Head of Marketing",C533))+ISNUMBER(SEARCH("Head Marketing",C533))&gt;0,'Configuración'!$B$32,IF(ISNUMBER(SEARCH("Marketing Manager",C533))+ISNUMBER(SEARCH("Gerente de Marketing",C533))+ISNUMBER(SEARCH("Growth Manager",C533))+ISNUMBER(SEARCH("Demand Gen",C533))+ISNUMBER(SEARCH("Marketing Lead",C533))&gt;0,'Configuración'!$B$33,IF(ISNUMBER(SEARCH("COO",C533))+ISNUMBER(SEARCH("CFO",C533))+ISNUMBER(SEARCH("CTO",C533))+ISNUMBER(SEARCH("Chief Operating",C533))+ISNUMBER(SEARCH("Chief Financial",C533))+ISNUMBER(SEARCH("Gerente General",C533))+ISNUMBER(SEARCH("General Manager",C533))&gt;0,'Configuración'!$B$34,'Configuración'!$B$35)))))</f>
        <v>12</v>
      </c>
      <c r="V533" s="38">
        <f>IF(B533="","",IF(K533="Sí",'Configuración'!$B$5,0)+IF(L533="Semanal",'Configuración'!$B$6,IF(L533="Mensual",'Configuración'!$B$7,0))+IF(M533="Sí",'Configuración'!$B$8,0)+IF(N533="Sí",'Configuración'!$B$9,0)+IF(O533="Sí",'Configuración'!$B$10,0)+IF(P533="Sí",'Configuración'!$B$11,0)+IF(Q533="Sí",'Configuración'!$B$12,0)+S533+T533+U533)</f>
        <v>20</v>
      </c>
      <c r="W533" s="39" t="str">
        <f>IF(B533="","",IF(V533&gt;='Configuración'!$B$19,"A",IF(V533&gt;='Configuración'!$B$20,"B",IF(V533&gt;='Configuración'!$B$21,"C","Descarte"))))</f>
        <v>Descarte</v>
      </c>
    </row>
    <row r="534" ht="15.75" customHeight="1">
      <c r="A534" s="34">
        <f t="shared" si="1"/>
        <v>532</v>
      </c>
      <c r="B534" s="29" t="s">
        <v>529</v>
      </c>
      <c r="C534" s="29" t="s">
        <v>202</v>
      </c>
      <c r="D534" s="29" t="s">
        <v>3268</v>
      </c>
      <c r="E534" s="29" t="s">
        <v>3269</v>
      </c>
      <c r="F534" s="30" t="s">
        <v>3270</v>
      </c>
      <c r="G534" s="30" t="s">
        <v>3271</v>
      </c>
      <c r="H534" s="30" t="s">
        <v>3272</v>
      </c>
      <c r="I534" s="29" t="s">
        <v>137</v>
      </c>
      <c r="J534" s="31">
        <v>4.0</v>
      </c>
      <c r="K534" s="35"/>
      <c r="L534" s="35"/>
      <c r="M534" s="35"/>
      <c r="N534" s="35"/>
      <c r="O534" s="35"/>
      <c r="P534" s="35"/>
      <c r="Q534" s="35"/>
      <c r="R534" s="35"/>
      <c r="S534" s="37">
        <f>IF(B534="","",IF(ISNUMBER(J534),IF(J534&lt;=10,'Configuración'!$B$23,IF(J534&lt;=50,'Configuración'!$B$24,IF(J534&lt;=200,'Configuración'!$B$25,0))),0))</f>
        <v>12</v>
      </c>
      <c r="T534" s="37">
        <f>IF(B534="","",IF(ISNUMBER(SEARCH("information technology",I534))+ISNUMBER(SEARCH("software",I534))+ISNUMBER(SEARCH("internet",I534))+ISNUMBER(SEARCH("computer",I534))+ISNUMBER(SEARCH("saas",I534))+ISNUMBER(SEARCH("fintech",I534))+ISNUMBER(SEARCH("information services",I534))+ISNUMBER(SEARCH("telecommunications",I534))&gt;0,'Configuración'!$B$27,'Configuración'!$B$28))</f>
        <v>4</v>
      </c>
      <c r="U534" s="25">
        <f>IF(B534="","",IF(ISNUMBER(SEARCH("CEO",C534))+ISNUMBER(SEARCH("Founder",C534))+ISNUMBER(SEARCH("Owner",C534))+ISNUMBER(SEARCH("Dueño",C534))+ISNUMBER(SEARCH("Director General",C534))+ISNUMBER(SEARCH("Presidente",C534))+ISNUMBER(SEARCH("President",C534))&gt;0,'Configuración'!$B$31,IF(ISNUMBER(SEARCH("CMO",C534))+ISNUMBER(SEARCH("Chief Marketing",C534))+ISNUMBER(SEARCH("VP Marketing",C534))+ISNUMBER(SEARCH("Director de Marketing",C534))+ISNUMBER(SEARCH("Director Marketing",C534))+ISNUMBER(SEARCH("Head of Marketing",C534))+ISNUMBER(SEARCH("Head Marketing",C534))&gt;0,'Configuración'!$B$32,IF(ISNUMBER(SEARCH("Marketing Manager",C534))+ISNUMBER(SEARCH("Gerente de Marketing",C534))+ISNUMBER(SEARCH("Growth Manager",C534))+ISNUMBER(SEARCH("Demand Gen",C534))+ISNUMBER(SEARCH("Marketing Lead",C534))&gt;0,'Configuración'!$B$33,IF(ISNUMBER(SEARCH("COO",C534))+ISNUMBER(SEARCH("CFO",C534))+ISNUMBER(SEARCH("CTO",C534))+ISNUMBER(SEARCH("Chief Operating",C534))+ISNUMBER(SEARCH("Chief Financial",C534))+ISNUMBER(SEARCH("Gerente General",C534))+ISNUMBER(SEARCH("General Manager",C534))&gt;0,'Configuración'!$B$34,'Configuración'!$B$35)))))</f>
        <v>12</v>
      </c>
      <c r="V534" s="38">
        <f>IF(B534="","",IF(K534="Sí",'Configuración'!$B$5,0)+IF(L534="Semanal",'Configuración'!$B$6,IF(L534="Mensual",'Configuración'!$B$7,0))+IF(M534="Sí",'Configuración'!$B$8,0)+IF(N534="Sí",'Configuración'!$B$9,0)+IF(O534="Sí",'Configuración'!$B$10,0)+IF(P534="Sí",'Configuración'!$B$11,0)+IF(Q534="Sí",'Configuración'!$B$12,0)+S534+T534+U534)</f>
        <v>28</v>
      </c>
      <c r="W534" s="39" t="str">
        <f>IF(B534="","",IF(V534&gt;='Configuración'!$B$19,"A",IF(V534&gt;='Configuración'!$B$20,"B",IF(V534&gt;='Configuración'!$B$21,"C","Descarte"))))</f>
        <v>C</v>
      </c>
    </row>
    <row r="535" ht="15.75" customHeight="1">
      <c r="A535" s="34">
        <f t="shared" si="1"/>
        <v>533</v>
      </c>
      <c r="B535" s="29" t="s">
        <v>2042</v>
      </c>
      <c r="C535" s="29" t="s">
        <v>146</v>
      </c>
      <c r="D535" s="29" t="s">
        <v>3273</v>
      </c>
      <c r="E535" s="29" t="s">
        <v>3274</v>
      </c>
      <c r="F535" s="30" t="s">
        <v>3275</v>
      </c>
      <c r="G535" s="30" t="s">
        <v>3276</v>
      </c>
      <c r="H535" s="30" t="s">
        <v>3277</v>
      </c>
      <c r="I535" s="29" t="s">
        <v>127</v>
      </c>
      <c r="J535" s="31">
        <v>17.0</v>
      </c>
      <c r="K535" s="35"/>
      <c r="L535" s="35"/>
      <c r="M535" s="35"/>
      <c r="N535" s="35"/>
      <c r="O535" s="35"/>
      <c r="P535" s="35"/>
      <c r="Q535" s="35"/>
      <c r="R535" s="35"/>
      <c r="S535" s="37">
        <f>IF(B535="","",IF(ISNUMBER(J535),IF(J535&lt;=10,'Configuración'!$B$23,IF(J535&lt;=50,'Configuración'!$B$24,IF(J535&lt;=200,'Configuración'!$B$25,0))),0))</f>
        <v>4</v>
      </c>
      <c r="T535" s="37">
        <f>IF(B535="","",IF(ISNUMBER(SEARCH("information technology",I535))+ISNUMBER(SEARCH("software",I535))+ISNUMBER(SEARCH("internet",I535))+ISNUMBER(SEARCH("computer",I535))+ISNUMBER(SEARCH("saas",I535))+ISNUMBER(SEARCH("fintech",I535))+ISNUMBER(SEARCH("information services",I535))+ISNUMBER(SEARCH("telecommunications",I535))&gt;0,'Configuración'!$B$27,'Configuración'!$B$28))</f>
        <v>12</v>
      </c>
      <c r="U535" s="25">
        <f>IF(B535="","",IF(ISNUMBER(SEARCH("CEO",C535))+ISNUMBER(SEARCH("Founder",C535))+ISNUMBER(SEARCH("Owner",C535))+ISNUMBER(SEARCH("Dueño",C535))+ISNUMBER(SEARCH("Director General",C535))+ISNUMBER(SEARCH("Presidente",C535))+ISNUMBER(SEARCH("President",C535))&gt;0,'Configuración'!$B$31,IF(ISNUMBER(SEARCH("CMO",C535))+ISNUMBER(SEARCH("Chief Marketing",C535))+ISNUMBER(SEARCH("VP Marketing",C535))+ISNUMBER(SEARCH("Director de Marketing",C535))+ISNUMBER(SEARCH("Director Marketing",C535))+ISNUMBER(SEARCH("Head of Marketing",C535))+ISNUMBER(SEARCH("Head Marketing",C535))&gt;0,'Configuración'!$B$32,IF(ISNUMBER(SEARCH("Marketing Manager",C535))+ISNUMBER(SEARCH("Gerente de Marketing",C535))+ISNUMBER(SEARCH("Growth Manager",C535))+ISNUMBER(SEARCH("Demand Gen",C535))+ISNUMBER(SEARCH("Marketing Lead",C535))&gt;0,'Configuración'!$B$33,IF(ISNUMBER(SEARCH("COO",C535))+ISNUMBER(SEARCH("CFO",C535))+ISNUMBER(SEARCH("CTO",C535))+ISNUMBER(SEARCH("Chief Operating",C535))+ISNUMBER(SEARCH("Chief Financial",C535))+ISNUMBER(SEARCH("Gerente General",C535))+ISNUMBER(SEARCH("General Manager",C535))&gt;0,'Configuración'!$B$34,'Configuración'!$B$35)))))</f>
        <v>0</v>
      </c>
      <c r="V535" s="38">
        <f>IF(B535="","",IF(K535="Sí",'Configuración'!$B$5,0)+IF(L535="Semanal",'Configuración'!$B$6,IF(L535="Mensual",'Configuración'!$B$7,0))+IF(M535="Sí",'Configuración'!$B$8,0)+IF(N535="Sí",'Configuración'!$B$9,0)+IF(O535="Sí",'Configuración'!$B$10,0)+IF(P535="Sí",'Configuración'!$B$11,0)+IF(Q535="Sí",'Configuración'!$B$12,0)+S535+T535+U535)</f>
        <v>16</v>
      </c>
      <c r="W535" s="39" t="str">
        <f>IF(B535="","",IF(V535&gt;='Configuración'!$B$19,"A",IF(V535&gt;='Configuración'!$B$20,"B",IF(V535&gt;='Configuración'!$B$21,"C","Descarte"))))</f>
        <v>Descarte</v>
      </c>
    </row>
    <row r="536" ht="15.75" customHeight="1">
      <c r="A536" s="34">
        <f t="shared" si="1"/>
        <v>534</v>
      </c>
      <c r="B536" s="29" t="s">
        <v>324</v>
      </c>
      <c r="C536" s="29" t="s">
        <v>622</v>
      </c>
      <c r="D536" s="29" t="s">
        <v>3278</v>
      </c>
      <c r="E536" s="29" t="s">
        <v>3279</v>
      </c>
      <c r="F536" s="30" t="s">
        <v>3280</v>
      </c>
      <c r="G536" s="30" t="s">
        <v>3281</v>
      </c>
      <c r="H536" s="30" t="s">
        <v>3282</v>
      </c>
      <c r="I536" s="29" t="s">
        <v>127</v>
      </c>
      <c r="J536" s="31">
        <v>50.0</v>
      </c>
      <c r="K536" s="35"/>
      <c r="L536" s="35"/>
      <c r="M536" s="35"/>
      <c r="N536" s="35"/>
      <c r="O536" s="35"/>
      <c r="P536" s="35"/>
      <c r="Q536" s="35"/>
      <c r="R536" s="35"/>
      <c r="S536" s="37">
        <f>IF(B536="","",IF(ISNUMBER(J536),IF(J536&lt;=10,'Configuración'!$B$23,IF(J536&lt;=50,'Configuración'!$B$24,IF(J536&lt;=200,'Configuración'!$B$25,0))),0))</f>
        <v>4</v>
      </c>
      <c r="T536" s="37">
        <f>IF(B536="","",IF(ISNUMBER(SEARCH("information technology",I536))+ISNUMBER(SEARCH("software",I536))+ISNUMBER(SEARCH("internet",I536))+ISNUMBER(SEARCH("computer",I536))+ISNUMBER(SEARCH("saas",I536))+ISNUMBER(SEARCH("fintech",I536))+ISNUMBER(SEARCH("information services",I536))+ISNUMBER(SEARCH("telecommunications",I536))&gt;0,'Configuración'!$B$27,'Configuración'!$B$28))</f>
        <v>12</v>
      </c>
      <c r="U536" s="25">
        <f>IF(B536="","",IF(ISNUMBER(SEARCH("CEO",C536))+ISNUMBER(SEARCH("Founder",C536))+ISNUMBER(SEARCH("Owner",C536))+ISNUMBER(SEARCH("Dueño",C536))+ISNUMBER(SEARCH("Director General",C536))+ISNUMBER(SEARCH("Presidente",C536))+ISNUMBER(SEARCH("President",C536))&gt;0,'Configuración'!$B$31,IF(ISNUMBER(SEARCH("CMO",C536))+ISNUMBER(SEARCH("Chief Marketing",C536))+ISNUMBER(SEARCH("VP Marketing",C536))+ISNUMBER(SEARCH("Director de Marketing",C536))+ISNUMBER(SEARCH("Director Marketing",C536))+ISNUMBER(SEARCH("Head of Marketing",C536))+ISNUMBER(SEARCH("Head Marketing",C536))&gt;0,'Configuración'!$B$32,IF(ISNUMBER(SEARCH("Marketing Manager",C536))+ISNUMBER(SEARCH("Gerente de Marketing",C536))+ISNUMBER(SEARCH("Growth Manager",C536))+ISNUMBER(SEARCH("Demand Gen",C536))+ISNUMBER(SEARCH("Marketing Lead",C536))&gt;0,'Configuración'!$B$33,IF(ISNUMBER(SEARCH("COO",C536))+ISNUMBER(SEARCH("CFO",C536))+ISNUMBER(SEARCH("CTO",C536))+ISNUMBER(SEARCH("Chief Operating",C536))+ISNUMBER(SEARCH("Chief Financial",C536))+ISNUMBER(SEARCH("Gerente General",C536))+ISNUMBER(SEARCH("General Manager",C536))&gt;0,'Configuración'!$B$34,'Configuración'!$B$35)))))</f>
        <v>12</v>
      </c>
      <c r="V536" s="38">
        <f>IF(B536="","",IF(K536="Sí",'Configuración'!$B$5,0)+IF(L536="Semanal",'Configuración'!$B$6,IF(L536="Mensual",'Configuración'!$B$7,0))+IF(M536="Sí",'Configuración'!$B$8,0)+IF(N536="Sí",'Configuración'!$B$9,0)+IF(O536="Sí",'Configuración'!$B$10,0)+IF(P536="Sí",'Configuración'!$B$11,0)+IF(Q536="Sí",'Configuración'!$B$12,0)+S536+T536+U536)</f>
        <v>28</v>
      </c>
      <c r="W536" s="39" t="str">
        <f>IF(B536="","",IF(V536&gt;='Configuración'!$B$19,"A",IF(V536&gt;='Configuración'!$B$20,"B",IF(V536&gt;='Configuración'!$B$21,"C","Descarte"))))</f>
        <v>C</v>
      </c>
    </row>
    <row r="537" ht="15.75" customHeight="1">
      <c r="A537" s="34">
        <f t="shared" si="1"/>
        <v>535</v>
      </c>
      <c r="B537" s="29" t="s">
        <v>3283</v>
      </c>
      <c r="C537" s="29" t="s">
        <v>146</v>
      </c>
      <c r="D537" s="29" t="s">
        <v>3284</v>
      </c>
      <c r="E537" s="29" t="s">
        <v>3285</v>
      </c>
      <c r="F537" s="30" t="s">
        <v>3286</v>
      </c>
      <c r="G537" s="30" t="s">
        <v>3287</v>
      </c>
      <c r="H537" s="30" t="s">
        <v>3288</v>
      </c>
      <c r="I537" s="29" t="s">
        <v>1393</v>
      </c>
      <c r="J537" s="31">
        <v>6.0</v>
      </c>
      <c r="K537" s="35"/>
      <c r="L537" s="35"/>
      <c r="M537" s="35"/>
      <c r="N537" s="35"/>
      <c r="O537" s="35"/>
      <c r="P537" s="35"/>
      <c r="Q537" s="35"/>
      <c r="R537" s="35"/>
      <c r="S537" s="37">
        <f>IF(B537="","",IF(ISNUMBER(J537),IF(J537&lt;=10,'Configuración'!$B$23,IF(J537&lt;=50,'Configuración'!$B$24,IF(J537&lt;=200,'Configuración'!$B$25,0))),0))</f>
        <v>12</v>
      </c>
      <c r="T537" s="37">
        <f>IF(B537="","",IF(ISNUMBER(SEARCH("information technology",I537))+ISNUMBER(SEARCH("software",I537))+ISNUMBER(SEARCH("internet",I537))+ISNUMBER(SEARCH("computer",I537))+ISNUMBER(SEARCH("saas",I537))+ISNUMBER(SEARCH("fintech",I537))+ISNUMBER(SEARCH("information services",I537))+ISNUMBER(SEARCH("telecommunications",I537))&gt;0,'Configuración'!$B$27,'Configuración'!$B$28))</f>
        <v>4</v>
      </c>
      <c r="U537" s="25">
        <f>IF(B537="","",IF(ISNUMBER(SEARCH("CEO",C537))+ISNUMBER(SEARCH("Founder",C537))+ISNUMBER(SEARCH("Owner",C537))+ISNUMBER(SEARCH("Dueño",C537))+ISNUMBER(SEARCH("Director General",C537))+ISNUMBER(SEARCH("Presidente",C537))+ISNUMBER(SEARCH("President",C537))&gt;0,'Configuración'!$B$31,IF(ISNUMBER(SEARCH("CMO",C537))+ISNUMBER(SEARCH("Chief Marketing",C537))+ISNUMBER(SEARCH("VP Marketing",C537))+ISNUMBER(SEARCH("Director de Marketing",C537))+ISNUMBER(SEARCH("Director Marketing",C537))+ISNUMBER(SEARCH("Head of Marketing",C537))+ISNUMBER(SEARCH("Head Marketing",C537))&gt;0,'Configuración'!$B$32,IF(ISNUMBER(SEARCH("Marketing Manager",C537))+ISNUMBER(SEARCH("Gerente de Marketing",C537))+ISNUMBER(SEARCH("Growth Manager",C537))+ISNUMBER(SEARCH("Demand Gen",C537))+ISNUMBER(SEARCH("Marketing Lead",C537))&gt;0,'Configuración'!$B$33,IF(ISNUMBER(SEARCH("COO",C537))+ISNUMBER(SEARCH("CFO",C537))+ISNUMBER(SEARCH("CTO",C537))+ISNUMBER(SEARCH("Chief Operating",C537))+ISNUMBER(SEARCH("Chief Financial",C537))+ISNUMBER(SEARCH("Gerente General",C537))+ISNUMBER(SEARCH("General Manager",C537))&gt;0,'Configuración'!$B$34,'Configuración'!$B$35)))))</f>
        <v>0</v>
      </c>
      <c r="V537" s="38">
        <f>IF(B537="","",IF(K537="Sí",'Configuración'!$B$5,0)+IF(L537="Semanal",'Configuración'!$B$6,IF(L537="Mensual",'Configuración'!$B$7,0))+IF(M537="Sí",'Configuración'!$B$8,0)+IF(N537="Sí",'Configuración'!$B$9,0)+IF(O537="Sí",'Configuración'!$B$10,0)+IF(P537="Sí",'Configuración'!$B$11,0)+IF(Q537="Sí",'Configuración'!$B$12,0)+S537+T537+U537)</f>
        <v>16</v>
      </c>
      <c r="W537" s="39" t="str">
        <f>IF(B537="","",IF(V537&gt;='Configuración'!$B$19,"A",IF(V537&gt;='Configuración'!$B$20,"B",IF(V537&gt;='Configuración'!$B$21,"C","Descarte"))))</f>
        <v>Descarte</v>
      </c>
    </row>
    <row r="538" ht="15.75" customHeight="1">
      <c r="A538" s="34">
        <f t="shared" si="1"/>
        <v>536</v>
      </c>
      <c r="B538" s="29" t="s">
        <v>201</v>
      </c>
      <c r="C538" s="29" t="s">
        <v>3289</v>
      </c>
      <c r="D538" s="29" t="s">
        <v>3290</v>
      </c>
      <c r="E538" s="29" t="s">
        <v>3291</v>
      </c>
      <c r="F538" s="30" t="s">
        <v>3292</v>
      </c>
      <c r="G538" s="30" t="s">
        <v>3293</v>
      </c>
      <c r="H538" s="30" t="s">
        <v>3294</v>
      </c>
      <c r="I538" s="29" t="s">
        <v>116</v>
      </c>
      <c r="J538" s="31">
        <v>15.0</v>
      </c>
      <c r="K538" s="35"/>
      <c r="L538" s="35"/>
      <c r="M538" s="35"/>
      <c r="N538" s="35"/>
      <c r="O538" s="35"/>
      <c r="P538" s="35"/>
      <c r="Q538" s="35"/>
      <c r="R538" s="35"/>
      <c r="S538" s="37">
        <f>IF(B538="","",IF(ISNUMBER(J538),IF(J538&lt;=10,'Configuración'!$B$23,IF(J538&lt;=50,'Configuración'!$B$24,IF(J538&lt;=200,'Configuración'!$B$25,0))),0))</f>
        <v>4</v>
      </c>
      <c r="T538" s="37">
        <f>IF(B538="","",IF(ISNUMBER(SEARCH("information technology",I538))+ISNUMBER(SEARCH("software",I538))+ISNUMBER(SEARCH("internet",I538))+ISNUMBER(SEARCH("computer",I538))+ISNUMBER(SEARCH("saas",I538))+ISNUMBER(SEARCH("fintech",I538))+ISNUMBER(SEARCH("information services",I538))+ISNUMBER(SEARCH("telecommunications",I538))&gt;0,'Configuración'!$B$27,'Configuración'!$B$28))</f>
        <v>4</v>
      </c>
      <c r="U538" s="25">
        <f>IF(B538="","",IF(ISNUMBER(SEARCH("CEO",C538))+ISNUMBER(SEARCH("Founder",C538))+ISNUMBER(SEARCH("Owner",C538))+ISNUMBER(SEARCH("Dueño",C538))+ISNUMBER(SEARCH("Director General",C538))+ISNUMBER(SEARCH("Presidente",C538))+ISNUMBER(SEARCH("President",C538))&gt;0,'Configuración'!$B$31,IF(ISNUMBER(SEARCH("CMO",C538))+ISNUMBER(SEARCH("Chief Marketing",C538))+ISNUMBER(SEARCH("VP Marketing",C538))+ISNUMBER(SEARCH("Director de Marketing",C538))+ISNUMBER(SEARCH("Director Marketing",C538))+ISNUMBER(SEARCH("Head of Marketing",C538))+ISNUMBER(SEARCH("Head Marketing",C538))&gt;0,'Configuración'!$B$32,IF(ISNUMBER(SEARCH("Marketing Manager",C538))+ISNUMBER(SEARCH("Gerente de Marketing",C538))+ISNUMBER(SEARCH("Growth Manager",C538))+ISNUMBER(SEARCH("Demand Gen",C538))+ISNUMBER(SEARCH("Marketing Lead",C538))&gt;0,'Configuración'!$B$33,IF(ISNUMBER(SEARCH("COO",C538))+ISNUMBER(SEARCH("CFO",C538))+ISNUMBER(SEARCH("CTO",C538))+ISNUMBER(SEARCH("Chief Operating",C538))+ISNUMBER(SEARCH("Chief Financial",C538))+ISNUMBER(SEARCH("Gerente General",C538))+ISNUMBER(SEARCH("General Manager",C538))&gt;0,'Configuración'!$B$34,'Configuración'!$B$35)))))</f>
        <v>4</v>
      </c>
      <c r="V538" s="38">
        <f>IF(B538="","",IF(K538="Sí",'Configuración'!$B$5,0)+IF(L538="Semanal",'Configuración'!$B$6,IF(L538="Mensual",'Configuración'!$B$7,0))+IF(M538="Sí",'Configuración'!$B$8,0)+IF(N538="Sí",'Configuración'!$B$9,0)+IF(O538="Sí",'Configuración'!$B$10,0)+IF(P538="Sí",'Configuración'!$B$11,0)+IF(Q538="Sí",'Configuración'!$B$12,0)+S538+T538+U538)</f>
        <v>12</v>
      </c>
      <c r="W538" s="39" t="str">
        <f>IF(B538="","",IF(V538&gt;='Configuración'!$B$19,"A",IF(V538&gt;='Configuración'!$B$20,"B",IF(V538&gt;='Configuración'!$B$21,"C","Descarte"))))</f>
        <v>Descarte</v>
      </c>
    </row>
    <row r="539" ht="15.75" customHeight="1">
      <c r="A539" s="34">
        <f t="shared" si="1"/>
        <v>537</v>
      </c>
      <c r="B539" s="29" t="s">
        <v>564</v>
      </c>
      <c r="C539" s="29" t="s">
        <v>1177</v>
      </c>
      <c r="D539" s="29" t="s">
        <v>3295</v>
      </c>
      <c r="E539" s="29" t="s">
        <v>3296</v>
      </c>
      <c r="F539" s="30" t="s">
        <v>3297</v>
      </c>
      <c r="G539" s="30" t="s">
        <v>3298</v>
      </c>
      <c r="H539" s="30" t="s">
        <v>3299</v>
      </c>
      <c r="I539" s="29" t="s">
        <v>932</v>
      </c>
      <c r="J539" s="31">
        <v>7.0</v>
      </c>
      <c r="K539" s="35"/>
      <c r="L539" s="35"/>
      <c r="M539" s="35"/>
      <c r="N539" s="35"/>
      <c r="O539" s="35"/>
      <c r="P539" s="35"/>
      <c r="Q539" s="35"/>
      <c r="R539" s="35"/>
      <c r="S539" s="37">
        <f>IF(B539="","",IF(ISNUMBER(J539),IF(J539&lt;=10,'Configuración'!$B$23,IF(J539&lt;=50,'Configuración'!$B$24,IF(J539&lt;=200,'Configuración'!$B$25,0))),0))</f>
        <v>12</v>
      </c>
      <c r="T539" s="37">
        <f>IF(B539="","",IF(ISNUMBER(SEARCH("information technology",I539))+ISNUMBER(SEARCH("software",I539))+ISNUMBER(SEARCH("internet",I539))+ISNUMBER(SEARCH("computer",I539))+ISNUMBER(SEARCH("saas",I539))+ISNUMBER(SEARCH("fintech",I539))+ISNUMBER(SEARCH("information services",I539))+ISNUMBER(SEARCH("telecommunications",I539))&gt;0,'Configuración'!$B$27,'Configuración'!$B$28))</f>
        <v>4</v>
      </c>
      <c r="U539" s="25">
        <f>IF(B539="","",IF(ISNUMBER(SEARCH("CEO",C539))+ISNUMBER(SEARCH("Founder",C539))+ISNUMBER(SEARCH("Owner",C539))+ISNUMBER(SEARCH("Dueño",C539))+ISNUMBER(SEARCH("Director General",C539))+ISNUMBER(SEARCH("Presidente",C539))+ISNUMBER(SEARCH("President",C539))&gt;0,'Configuración'!$B$31,IF(ISNUMBER(SEARCH("CMO",C539))+ISNUMBER(SEARCH("Chief Marketing",C539))+ISNUMBER(SEARCH("VP Marketing",C539))+ISNUMBER(SEARCH("Director de Marketing",C539))+ISNUMBER(SEARCH("Director Marketing",C539))+ISNUMBER(SEARCH("Head of Marketing",C539))+ISNUMBER(SEARCH("Head Marketing",C539))&gt;0,'Configuración'!$B$32,IF(ISNUMBER(SEARCH("Marketing Manager",C539))+ISNUMBER(SEARCH("Gerente de Marketing",C539))+ISNUMBER(SEARCH("Growth Manager",C539))+ISNUMBER(SEARCH("Demand Gen",C539))+ISNUMBER(SEARCH("Marketing Lead",C539))&gt;0,'Configuración'!$B$33,IF(ISNUMBER(SEARCH("COO",C539))+ISNUMBER(SEARCH("CFO",C539))+ISNUMBER(SEARCH("CTO",C539))+ISNUMBER(SEARCH("Chief Operating",C539))+ISNUMBER(SEARCH("Chief Financial",C539))+ISNUMBER(SEARCH("Gerente General",C539))+ISNUMBER(SEARCH("General Manager",C539))&gt;0,'Configuración'!$B$34,'Configuración'!$B$35)))))</f>
        <v>12</v>
      </c>
      <c r="V539" s="38">
        <f>IF(B539="","",IF(K539="Sí",'Configuración'!$B$5,0)+IF(L539="Semanal",'Configuración'!$B$6,IF(L539="Mensual",'Configuración'!$B$7,0))+IF(M539="Sí",'Configuración'!$B$8,0)+IF(N539="Sí",'Configuración'!$B$9,0)+IF(O539="Sí",'Configuración'!$B$10,0)+IF(P539="Sí",'Configuración'!$B$11,0)+IF(Q539="Sí",'Configuración'!$B$12,0)+S539+T539+U539)</f>
        <v>28</v>
      </c>
      <c r="W539" s="39" t="str">
        <f>IF(B539="","",IF(V539&gt;='Configuración'!$B$19,"A",IF(V539&gt;='Configuración'!$B$20,"B",IF(V539&gt;='Configuración'!$B$21,"C","Descarte"))))</f>
        <v>C</v>
      </c>
    </row>
    <row r="540" ht="15.75" customHeight="1">
      <c r="A540" s="34">
        <f t="shared" si="1"/>
        <v>538</v>
      </c>
      <c r="B540" s="29" t="s">
        <v>1686</v>
      </c>
      <c r="C540" s="29" t="s">
        <v>3300</v>
      </c>
      <c r="D540" s="29" t="s">
        <v>3301</v>
      </c>
      <c r="E540" s="29" t="s">
        <v>3302</v>
      </c>
      <c r="F540" s="30" t="s">
        <v>3303</v>
      </c>
      <c r="G540" s="30" t="s">
        <v>3304</v>
      </c>
      <c r="H540" s="30" t="s">
        <v>3305</v>
      </c>
      <c r="I540" s="29" t="s">
        <v>337</v>
      </c>
      <c r="J540" s="31">
        <v>5.0</v>
      </c>
      <c r="K540" s="35"/>
      <c r="L540" s="35"/>
      <c r="M540" s="35"/>
      <c r="N540" s="35"/>
      <c r="O540" s="35"/>
      <c r="P540" s="35"/>
      <c r="Q540" s="35"/>
      <c r="R540" s="35"/>
      <c r="S540" s="37">
        <f>IF(B540="","",IF(ISNUMBER(J540),IF(J540&lt;=10,'Configuración'!$B$23,IF(J540&lt;=50,'Configuración'!$B$24,IF(J540&lt;=200,'Configuración'!$B$25,0))),0))</f>
        <v>12</v>
      </c>
      <c r="T540" s="37">
        <f>IF(B540="","",IF(ISNUMBER(SEARCH("information technology",I540))+ISNUMBER(SEARCH("software",I540))+ISNUMBER(SEARCH("internet",I540))+ISNUMBER(SEARCH("computer",I540))+ISNUMBER(SEARCH("saas",I540))+ISNUMBER(SEARCH("fintech",I540))+ISNUMBER(SEARCH("information services",I540))+ISNUMBER(SEARCH("telecommunications",I540))&gt;0,'Configuración'!$B$27,'Configuración'!$B$28))</f>
        <v>4</v>
      </c>
      <c r="U540" s="25">
        <f>IF(B540="","",IF(ISNUMBER(SEARCH("CEO",C540))+ISNUMBER(SEARCH("Founder",C540))+ISNUMBER(SEARCH("Owner",C540))+ISNUMBER(SEARCH("Dueño",C540))+ISNUMBER(SEARCH("Director General",C540))+ISNUMBER(SEARCH("Presidente",C540))+ISNUMBER(SEARCH("President",C540))&gt;0,'Configuración'!$B$31,IF(ISNUMBER(SEARCH("CMO",C540))+ISNUMBER(SEARCH("Chief Marketing",C540))+ISNUMBER(SEARCH("VP Marketing",C540))+ISNUMBER(SEARCH("Director de Marketing",C540))+ISNUMBER(SEARCH("Director Marketing",C540))+ISNUMBER(SEARCH("Head of Marketing",C540))+ISNUMBER(SEARCH("Head Marketing",C540))&gt;0,'Configuración'!$B$32,IF(ISNUMBER(SEARCH("Marketing Manager",C540))+ISNUMBER(SEARCH("Gerente de Marketing",C540))+ISNUMBER(SEARCH("Growth Manager",C540))+ISNUMBER(SEARCH("Demand Gen",C540))+ISNUMBER(SEARCH("Marketing Lead",C540))&gt;0,'Configuración'!$B$33,IF(ISNUMBER(SEARCH("COO",C540))+ISNUMBER(SEARCH("CFO",C540))+ISNUMBER(SEARCH("CTO",C540))+ISNUMBER(SEARCH("Chief Operating",C540))+ISNUMBER(SEARCH("Chief Financial",C540))+ISNUMBER(SEARCH("Gerente General",C540))+ISNUMBER(SEARCH("General Manager",C540))&gt;0,'Configuración'!$B$34,'Configuración'!$B$35)))))</f>
        <v>12</v>
      </c>
      <c r="V540" s="38">
        <f>IF(B540="","",IF(K540="Sí",'Configuración'!$B$5,0)+IF(L540="Semanal",'Configuración'!$B$6,IF(L540="Mensual",'Configuración'!$B$7,0))+IF(M540="Sí",'Configuración'!$B$8,0)+IF(N540="Sí",'Configuración'!$B$9,0)+IF(O540="Sí",'Configuración'!$B$10,0)+IF(P540="Sí",'Configuración'!$B$11,0)+IF(Q540="Sí",'Configuración'!$B$12,0)+S540+T540+U540)</f>
        <v>28</v>
      </c>
      <c r="W540" s="39" t="str">
        <f>IF(B540="","",IF(V540&gt;='Configuración'!$B$19,"A",IF(V540&gt;='Configuración'!$B$20,"B",IF(V540&gt;='Configuración'!$B$21,"C","Descarte"))))</f>
        <v>C</v>
      </c>
    </row>
    <row r="541" ht="15.75" customHeight="1">
      <c r="A541" s="34">
        <f t="shared" si="1"/>
        <v>539</v>
      </c>
      <c r="B541" s="29" t="s">
        <v>3306</v>
      </c>
      <c r="C541" s="29" t="s">
        <v>3307</v>
      </c>
      <c r="D541" s="29" t="s">
        <v>3308</v>
      </c>
      <c r="E541" s="29" t="s">
        <v>3309</v>
      </c>
      <c r="F541" s="30" t="s">
        <v>3310</v>
      </c>
      <c r="G541" s="30" t="s">
        <v>3311</v>
      </c>
      <c r="H541" s="30" t="s">
        <v>3312</v>
      </c>
      <c r="I541" s="29" t="s">
        <v>127</v>
      </c>
      <c r="J541" s="31">
        <v>11.0</v>
      </c>
      <c r="K541" s="35"/>
      <c r="L541" s="35"/>
      <c r="M541" s="35"/>
      <c r="N541" s="35"/>
      <c r="O541" s="35"/>
      <c r="P541" s="35"/>
      <c r="Q541" s="35"/>
      <c r="R541" s="35"/>
      <c r="S541" s="37">
        <f>IF(B541="","",IF(ISNUMBER(J541),IF(J541&lt;=10,'Configuración'!$B$23,IF(J541&lt;=50,'Configuración'!$B$24,IF(J541&lt;=200,'Configuración'!$B$25,0))),0))</f>
        <v>4</v>
      </c>
      <c r="T541" s="37">
        <f>IF(B541="","",IF(ISNUMBER(SEARCH("information technology",I541))+ISNUMBER(SEARCH("software",I541))+ISNUMBER(SEARCH("internet",I541))+ISNUMBER(SEARCH("computer",I541))+ISNUMBER(SEARCH("saas",I541))+ISNUMBER(SEARCH("fintech",I541))+ISNUMBER(SEARCH("information services",I541))+ISNUMBER(SEARCH("telecommunications",I541))&gt;0,'Configuración'!$B$27,'Configuración'!$B$28))</f>
        <v>12</v>
      </c>
      <c r="U541" s="25">
        <f>IF(B541="","",IF(ISNUMBER(SEARCH("CEO",C541))+ISNUMBER(SEARCH("Founder",C541))+ISNUMBER(SEARCH("Owner",C541))+ISNUMBER(SEARCH("Dueño",C541))+ISNUMBER(SEARCH("Director General",C541))+ISNUMBER(SEARCH("Presidente",C541))+ISNUMBER(SEARCH("President",C541))&gt;0,'Configuración'!$B$31,IF(ISNUMBER(SEARCH("CMO",C541))+ISNUMBER(SEARCH("Chief Marketing",C541))+ISNUMBER(SEARCH("VP Marketing",C541))+ISNUMBER(SEARCH("Director de Marketing",C541))+ISNUMBER(SEARCH("Director Marketing",C541))+ISNUMBER(SEARCH("Head of Marketing",C541))+ISNUMBER(SEARCH("Head Marketing",C541))&gt;0,'Configuración'!$B$32,IF(ISNUMBER(SEARCH("Marketing Manager",C541))+ISNUMBER(SEARCH("Gerente de Marketing",C541))+ISNUMBER(SEARCH("Growth Manager",C541))+ISNUMBER(SEARCH("Demand Gen",C541))+ISNUMBER(SEARCH("Marketing Lead",C541))&gt;0,'Configuración'!$B$33,IF(ISNUMBER(SEARCH("COO",C541))+ISNUMBER(SEARCH("CFO",C541))+ISNUMBER(SEARCH("CTO",C541))+ISNUMBER(SEARCH("Chief Operating",C541))+ISNUMBER(SEARCH("Chief Financial",C541))+ISNUMBER(SEARCH("Gerente General",C541))+ISNUMBER(SEARCH("General Manager",C541))&gt;0,'Configuración'!$B$34,'Configuración'!$B$35)))))</f>
        <v>0</v>
      </c>
      <c r="V541" s="38">
        <f>IF(B541="","",IF(K541="Sí",'Configuración'!$B$5,0)+IF(L541="Semanal",'Configuración'!$B$6,IF(L541="Mensual",'Configuración'!$B$7,0))+IF(M541="Sí",'Configuración'!$B$8,0)+IF(N541="Sí",'Configuración'!$B$9,0)+IF(O541="Sí",'Configuración'!$B$10,0)+IF(P541="Sí",'Configuración'!$B$11,0)+IF(Q541="Sí",'Configuración'!$B$12,0)+S541+T541+U541)</f>
        <v>16</v>
      </c>
      <c r="W541" s="39" t="str">
        <f>IF(B541="","",IF(V541&gt;='Configuración'!$B$19,"A",IF(V541&gt;='Configuración'!$B$20,"B",IF(V541&gt;='Configuración'!$B$21,"C","Descarte"))))</f>
        <v>Descarte</v>
      </c>
    </row>
    <row r="542" ht="15.75" customHeight="1">
      <c r="A542" s="34">
        <f t="shared" si="1"/>
        <v>540</v>
      </c>
      <c r="B542" s="29" t="s">
        <v>223</v>
      </c>
      <c r="C542" s="29" t="s">
        <v>3313</v>
      </c>
      <c r="D542" s="29" t="s">
        <v>3314</v>
      </c>
      <c r="E542" s="29" t="s">
        <v>3315</v>
      </c>
      <c r="F542" s="30" t="s">
        <v>3316</v>
      </c>
      <c r="G542" s="30" t="s">
        <v>3317</v>
      </c>
      <c r="H542" s="30" t="s">
        <v>3318</v>
      </c>
      <c r="I542" s="29" t="s">
        <v>428</v>
      </c>
      <c r="J542" s="31">
        <v>4.0</v>
      </c>
      <c r="K542" s="35"/>
      <c r="L542" s="35"/>
      <c r="M542" s="35"/>
      <c r="N542" s="35"/>
      <c r="O542" s="35"/>
      <c r="P542" s="35"/>
      <c r="Q542" s="35"/>
      <c r="R542" s="35"/>
      <c r="S542" s="37">
        <f>IF(B542="","",IF(ISNUMBER(J542),IF(J542&lt;=10,'Configuración'!$B$23,IF(J542&lt;=50,'Configuración'!$B$24,IF(J542&lt;=200,'Configuración'!$B$25,0))),0))</f>
        <v>12</v>
      </c>
      <c r="T542" s="37">
        <f>IF(B542="","",IF(ISNUMBER(SEARCH("information technology",I542))+ISNUMBER(SEARCH("software",I542))+ISNUMBER(SEARCH("internet",I542))+ISNUMBER(SEARCH("computer",I542))+ISNUMBER(SEARCH("saas",I542))+ISNUMBER(SEARCH("fintech",I542))+ISNUMBER(SEARCH("information services",I542))+ISNUMBER(SEARCH("telecommunications",I542))&gt;0,'Configuración'!$B$27,'Configuración'!$B$28))</f>
        <v>12</v>
      </c>
      <c r="U542" s="25">
        <f>IF(B542="","",IF(ISNUMBER(SEARCH("CEO",C542))+ISNUMBER(SEARCH("Founder",C542))+ISNUMBER(SEARCH("Owner",C542))+ISNUMBER(SEARCH("Dueño",C542))+ISNUMBER(SEARCH("Director General",C542))+ISNUMBER(SEARCH("Presidente",C542))+ISNUMBER(SEARCH("President",C542))&gt;0,'Configuración'!$B$31,IF(ISNUMBER(SEARCH("CMO",C542))+ISNUMBER(SEARCH("Chief Marketing",C542))+ISNUMBER(SEARCH("VP Marketing",C542))+ISNUMBER(SEARCH("Director de Marketing",C542))+ISNUMBER(SEARCH("Director Marketing",C542))+ISNUMBER(SEARCH("Head of Marketing",C542))+ISNUMBER(SEARCH("Head Marketing",C542))&gt;0,'Configuración'!$B$32,IF(ISNUMBER(SEARCH("Marketing Manager",C542))+ISNUMBER(SEARCH("Gerente de Marketing",C542))+ISNUMBER(SEARCH("Growth Manager",C542))+ISNUMBER(SEARCH("Demand Gen",C542))+ISNUMBER(SEARCH("Marketing Lead",C542))&gt;0,'Configuración'!$B$33,IF(ISNUMBER(SEARCH("COO",C542))+ISNUMBER(SEARCH("CFO",C542))+ISNUMBER(SEARCH("CTO",C542))+ISNUMBER(SEARCH("Chief Operating",C542))+ISNUMBER(SEARCH("Chief Financial",C542))+ISNUMBER(SEARCH("Gerente General",C542))+ISNUMBER(SEARCH("General Manager",C542))&gt;0,'Configuración'!$B$34,'Configuración'!$B$35)))))</f>
        <v>12</v>
      </c>
      <c r="V542" s="38">
        <f>IF(B542="","",IF(K542="Sí",'Configuración'!$B$5,0)+IF(L542="Semanal",'Configuración'!$B$6,IF(L542="Mensual",'Configuración'!$B$7,0))+IF(M542="Sí",'Configuración'!$B$8,0)+IF(N542="Sí",'Configuración'!$B$9,0)+IF(O542="Sí",'Configuración'!$B$10,0)+IF(P542="Sí",'Configuración'!$B$11,0)+IF(Q542="Sí",'Configuración'!$B$12,0)+S542+T542+U542)</f>
        <v>36</v>
      </c>
      <c r="W542" s="39" t="str">
        <f>IF(B542="","",IF(V542&gt;='Configuración'!$B$19,"A",IF(V542&gt;='Configuración'!$B$20,"B",IF(V542&gt;='Configuración'!$B$21,"C","Descarte"))))</f>
        <v>C</v>
      </c>
    </row>
    <row r="543" ht="15.75" customHeight="1">
      <c r="A543" s="34">
        <f t="shared" si="1"/>
        <v>541</v>
      </c>
      <c r="B543" s="29" t="s">
        <v>493</v>
      </c>
      <c r="C543" s="29" t="s">
        <v>3319</v>
      </c>
      <c r="D543" s="29" t="s">
        <v>3320</v>
      </c>
      <c r="E543" s="29" t="s">
        <v>3321</v>
      </c>
      <c r="F543" s="30" t="s">
        <v>3322</v>
      </c>
      <c r="G543" s="30" t="s">
        <v>3323</v>
      </c>
      <c r="H543" s="30" t="s">
        <v>3324</v>
      </c>
      <c r="I543" s="29" t="s">
        <v>2694</v>
      </c>
      <c r="J543" s="31">
        <v>22.0</v>
      </c>
      <c r="K543" s="35"/>
      <c r="L543" s="35"/>
      <c r="M543" s="35"/>
      <c r="N543" s="35"/>
      <c r="O543" s="35"/>
      <c r="P543" s="35"/>
      <c r="Q543" s="35"/>
      <c r="R543" s="35"/>
      <c r="S543" s="37">
        <f>IF(B543="","",IF(ISNUMBER(J543),IF(J543&lt;=10,'Configuración'!$B$23,IF(J543&lt;=50,'Configuración'!$B$24,IF(J543&lt;=200,'Configuración'!$B$25,0))),0))</f>
        <v>4</v>
      </c>
      <c r="T543" s="37">
        <f>IF(B543="","",IF(ISNUMBER(SEARCH("information technology",I543))+ISNUMBER(SEARCH("software",I543))+ISNUMBER(SEARCH("internet",I543))+ISNUMBER(SEARCH("computer",I543))+ISNUMBER(SEARCH("saas",I543))+ISNUMBER(SEARCH("fintech",I543))+ISNUMBER(SEARCH("information services",I543))+ISNUMBER(SEARCH("telecommunications",I543))&gt;0,'Configuración'!$B$27,'Configuración'!$B$28))</f>
        <v>4</v>
      </c>
      <c r="U543" s="25">
        <f>IF(B543="","",IF(ISNUMBER(SEARCH("CEO",C543))+ISNUMBER(SEARCH("Founder",C543))+ISNUMBER(SEARCH("Owner",C543))+ISNUMBER(SEARCH("Dueño",C543))+ISNUMBER(SEARCH("Director General",C543))+ISNUMBER(SEARCH("Presidente",C543))+ISNUMBER(SEARCH("President",C543))&gt;0,'Configuración'!$B$31,IF(ISNUMBER(SEARCH("CMO",C543))+ISNUMBER(SEARCH("Chief Marketing",C543))+ISNUMBER(SEARCH("VP Marketing",C543))+ISNUMBER(SEARCH("Director de Marketing",C543))+ISNUMBER(SEARCH("Director Marketing",C543))+ISNUMBER(SEARCH("Head of Marketing",C543))+ISNUMBER(SEARCH("Head Marketing",C543))&gt;0,'Configuración'!$B$32,IF(ISNUMBER(SEARCH("Marketing Manager",C543))+ISNUMBER(SEARCH("Gerente de Marketing",C543))+ISNUMBER(SEARCH("Growth Manager",C543))+ISNUMBER(SEARCH("Demand Gen",C543))+ISNUMBER(SEARCH("Marketing Lead",C543))&gt;0,'Configuración'!$B$33,IF(ISNUMBER(SEARCH("COO",C543))+ISNUMBER(SEARCH("CFO",C543))+ISNUMBER(SEARCH("CTO",C543))+ISNUMBER(SEARCH("Chief Operating",C543))+ISNUMBER(SEARCH("Chief Financial",C543))+ISNUMBER(SEARCH("Gerente General",C543))+ISNUMBER(SEARCH("General Manager",C543))&gt;0,'Configuración'!$B$34,'Configuración'!$B$35)))))</f>
        <v>4</v>
      </c>
      <c r="V543" s="38">
        <f>IF(B543="","",IF(K543="Sí",'Configuración'!$B$5,0)+IF(L543="Semanal",'Configuración'!$B$6,IF(L543="Mensual",'Configuración'!$B$7,0))+IF(M543="Sí",'Configuración'!$B$8,0)+IF(N543="Sí",'Configuración'!$B$9,0)+IF(O543="Sí",'Configuración'!$B$10,0)+IF(P543="Sí",'Configuración'!$B$11,0)+IF(Q543="Sí",'Configuración'!$B$12,0)+S543+T543+U543)</f>
        <v>12</v>
      </c>
      <c r="W543" s="39" t="str">
        <f>IF(B543="","",IF(V543&gt;='Configuración'!$B$19,"A",IF(V543&gt;='Configuración'!$B$20,"B",IF(V543&gt;='Configuración'!$B$21,"C","Descarte"))))</f>
        <v>Descarte</v>
      </c>
    </row>
    <row r="544" ht="15.75" customHeight="1">
      <c r="A544" s="34">
        <f t="shared" si="1"/>
        <v>542</v>
      </c>
      <c r="B544" s="29" t="s">
        <v>2897</v>
      </c>
      <c r="C544" s="29" t="s">
        <v>1978</v>
      </c>
      <c r="D544" s="40" t="s">
        <v>3325</v>
      </c>
      <c r="E544" s="29" t="s">
        <v>3326</v>
      </c>
      <c r="F544" s="30" t="s">
        <v>3327</v>
      </c>
      <c r="G544" s="30" t="s">
        <v>3328</v>
      </c>
      <c r="H544" s="30" t="s">
        <v>3329</v>
      </c>
      <c r="I544" s="29" t="s">
        <v>127</v>
      </c>
      <c r="J544" s="31">
        <v>41.0</v>
      </c>
      <c r="K544" s="35"/>
      <c r="L544" s="35"/>
      <c r="M544" s="35"/>
      <c r="N544" s="35"/>
      <c r="O544" s="35"/>
      <c r="P544" s="35"/>
      <c r="Q544" s="35"/>
      <c r="R544" s="35"/>
      <c r="S544" s="37">
        <f>IF(B544="","",IF(ISNUMBER(J544),IF(J544&lt;=10,'Configuración'!$B$23,IF(J544&lt;=50,'Configuración'!$B$24,IF(J544&lt;=200,'Configuración'!$B$25,0))),0))</f>
        <v>4</v>
      </c>
      <c r="T544" s="37">
        <f>IF(B544="","",IF(ISNUMBER(SEARCH("information technology",I544))+ISNUMBER(SEARCH("software",I544))+ISNUMBER(SEARCH("internet",I544))+ISNUMBER(SEARCH("computer",I544))+ISNUMBER(SEARCH("saas",I544))+ISNUMBER(SEARCH("fintech",I544))+ISNUMBER(SEARCH("information services",I544))+ISNUMBER(SEARCH("telecommunications",I544))&gt;0,'Configuración'!$B$27,'Configuración'!$B$28))</f>
        <v>12</v>
      </c>
      <c r="U544" s="25">
        <f>IF(B544="","",IF(ISNUMBER(SEARCH("CEO",C544))+ISNUMBER(SEARCH("Founder",C544))+ISNUMBER(SEARCH("Owner",C544))+ISNUMBER(SEARCH("Dueño",C544))+ISNUMBER(SEARCH("Director General",C544))+ISNUMBER(SEARCH("Presidente",C544))+ISNUMBER(SEARCH("President",C544))&gt;0,'Configuración'!$B$31,IF(ISNUMBER(SEARCH("CMO",C544))+ISNUMBER(SEARCH("Chief Marketing",C544))+ISNUMBER(SEARCH("VP Marketing",C544))+ISNUMBER(SEARCH("Director de Marketing",C544))+ISNUMBER(SEARCH("Director Marketing",C544))+ISNUMBER(SEARCH("Head of Marketing",C544))+ISNUMBER(SEARCH("Head Marketing",C544))&gt;0,'Configuración'!$B$32,IF(ISNUMBER(SEARCH("Marketing Manager",C544))+ISNUMBER(SEARCH("Gerente de Marketing",C544))+ISNUMBER(SEARCH("Growth Manager",C544))+ISNUMBER(SEARCH("Demand Gen",C544))+ISNUMBER(SEARCH("Marketing Lead",C544))&gt;0,'Configuración'!$B$33,IF(ISNUMBER(SEARCH("COO",C544))+ISNUMBER(SEARCH("CFO",C544))+ISNUMBER(SEARCH("CTO",C544))+ISNUMBER(SEARCH("Chief Operating",C544))+ISNUMBER(SEARCH("Chief Financial",C544))+ISNUMBER(SEARCH("Gerente General",C544))+ISNUMBER(SEARCH("General Manager",C544))&gt;0,'Configuración'!$B$34,'Configuración'!$B$35)))))</f>
        <v>12</v>
      </c>
      <c r="V544" s="38">
        <f>IF(B544="","",IF(K544="Sí",'Configuración'!$B$5,0)+IF(L544="Semanal",'Configuración'!$B$6,IF(L544="Mensual",'Configuración'!$B$7,0))+IF(M544="Sí",'Configuración'!$B$8,0)+IF(N544="Sí",'Configuración'!$B$9,0)+IF(O544="Sí",'Configuración'!$B$10,0)+IF(P544="Sí",'Configuración'!$B$11,0)+IF(Q544="Sí",'Configuración'!$B$12,0)+S544+T544+U544)</f>
        <v>28</v>
      </c>
      <c r="W544" s="39" t="str">
        <f>IF(B544="","",IF(V544&gt;='Configuración'!$B$19,"A",IF(V544&gt;='Configuración'!$B$20,"B",IF(V544&gt;='Configuración'!$B$21,"C","Descarte"))))</f>
        <v>C</v>
      </c>
    </row>
    <row r="545" ht="15.75" customHeight="1">
      <c r="A545" s="34">
        <f t="shared" si="1"/>
        <v>543</v>
      </c>
      <c r="B545" s="29" t="s">
        <v>1159</v>
      </c>
      <c r="C545" s="29" t="s">
        <v>3330</v>
      </c>
      <c r="D545" s="30" t="s">
        <v>3331</v>
      </c>
      <c r="E545" s="29" t="s">
        <v>3332</v>
      </c>
      <c r="F545" s="30" t="s">
        <v>3333</v>
      </c>
      <c r="G545" s="30" t="s">
        <v>3334</v>
      </c>
      <c r="H545" s="30" t="s">
        <v>3335</v>
      </c>
      <c r="I545" s="29" t="s">
        <v>127</v>
      </c>
      <c r="J545" s="31">
        <v>1.0</v>
      </c>
      <c r="K545" s="35"/>
      <c r="L545" s="35"/>
      <c r="M545" s="35"/>
      <c r="N545" s="35"/>
      <c r="O545" s="35"/>
      <c r="P545" s="35"/>
      <c r="Q545" s="35"/>
      <c r="R545" s="35"/>
      <c r="S545" s="37">
        <f>IF(B545="","",IF(ISNUMBER(J545),IF(J545&lt;=10,'Configuración'!$B$23,IF(J545&lt;=50,'Configuración'!$B$24,IF(J545&lt;=200,'Configuración'!$B$25,0))),0))</f>
        <v>12</v>
      </c>
      <c r="T545" s="37">
        <f>IF(B545="","",IF(ISNUMBER(SEARCH("information technology",I545))+ISNUMBER(SEARCH("software",I545))+ISNUMBER(SEARCH("internet",I545))+ISNUMBER(SEARCH("computer",I545))+ISNUMBER(SEARCH("saas",I545))+ISNUMBER(SEARCH("fintech",I545))+ISNUMBER(SEARCH("information services",I545))+ISNUMBER(SEARCH("telecommunications",I545))&gt;0,'Configuración'!$B$27,'Configuración'!$B$28))</f>
        <v>12</v>
      </c>
      <c r="U545" s="25">
        <f>IF(B545="","",IF(ISNUMBER(SEARCH("CEO",C545))+ISNUMBER(SEARCH("Founder",C545))+ISNUMBER(SEARCH("Owner",C545))+ISNUMBER(SEARCH("Dueño",C545))+ISNUMBER(SEARCH("Director General",C545))+ISNUMBER(SEARCH("Presidente",C545))+ISNUMBER(SEARCH("President",C545))&gt;0,'Configuración'!$B$31,IF(ISNUMBER(SEARCH("CMO",C545))+ISNUMBER(SEARCH("Chief Marketing",C545))+ISNUMBER(SEARCH("VP Marketing",C545))+ISNUMBER(SEARCH("Director de Marketing",C545))+ISNUMBER(SEARCH("Director Marketing",C545))+ISNUMBER(SEARCH("Head of Marketing",C545))+ISNUMBER(SEARCH("Head Marketing",C545))&gt;0,'Configuración'!$B$32,IF(ISNUMBER(SEARCH("Marketing Manager",C545))+ISNUMBER(SEARCH("Gerente de Marketing",C545))+ISNUMBER(SEARCH("Growth Manager",C545))+ISNUMBER(SEARCH("Demand Gen",C545))+ISNUMBER(SEARCH("Marketing Lead",C545))&gt;0,'Configuración'!$B$33,IF(ISNUMBER(SEARCH("COO",C545))+ISNUMBER(SEARCH("CFO",C545))+ISNUMBER(SEARCH("CTO",C545))+ISNUMBER(SEARCH("Chief Operating",C545))+ISNUMBER(SEARCH("Chief Financial",C545))+ISNUMBER(SEARCH("Gerente General",C545))+ISNUMBER(SEARCH("General Manager",C545))&gt;0,'Configuración'!$B$34,'Configuración'!$B$35)))))</f>
        <v>12</v>
      </c>
      <c r="V545" s="38">
        <f>IF(B545="","",IF(K545="Sí",'Configuración'!$B$5,0)+IF(L545="Semanal",'Configuración'!$B$6,IF(L545="Mensual",'Configuración'!$B$7,0))+IF(M545="Sí",'Configuración'!$B$8,0)+IF(N545="Sí",'Configuración'!$B$9,0)+IF(O545="Sí",'Configuración'!$B$10,0)+IF(P545="Sí",'Configuración'!$B$11,0)+IF(Q545="Sí",'Configuración'!$B$12,0)+S545+T545+U545)</f>
        <v>36</v>
      </c>
      <c r="W545" s="39" t="str">
        <f>IF(B545="","",IF(V545&gt;='Configuración'!$B$19,"A",IF(V545&gt;='Configuración'!$B$20,"B",IF(V545&gt;='Configuración'!$B$21,"C","Descarte"))))</f>
        <v>C</v>
      </c>
    </row>
    <row r="546" ht="15.75" customHeight="1">
      <c r="A546" s="34">
        <f t="shared" si="1"/>
        <v>544</v>
      </c>
      <c r="B546" s="29" t="s">
        <v>159</v>
      </c>
      <c r="C546" s="29" t="s">
        <v>3336</v>
      </c>
      <c r="D546" s="29" t="s">
        <v>3337</v>
      </c>
      <c r="E546" s="29" t="s">
        <v>3338</v>
      </c>
      <c r="F546" s="30" t="s">
        <v>3339</v>
      </c>
      <c r="G546" s="30" t="s">
        <v>3340</v>
      </c>
      <c r="H546" s="30" t="s">
        <v>3341</v>
      </c>
      <c r="I546" s="29" t="s">
        <v>127</v>
      </c>
      <c r="J546" s="31">
        <v>11.0</v>
      </c>
      <c r="K546" s="35"/>
      <c r="L546" s="35"/>
      <c r="M546" s="35"/>
      <c r="N546" s="35"/>
      <c r="O546" s="35"/>
      <c r="P546" s="35"/>
      <c r="Q546" s="35"/>
      <c r="R546" s="35"/>
      <c r="S546" s="37">
        <f>IF(B546="","",IF(ISNUMBER(J546),IF(J546&lt;=10,'Configuración'!$B$23,IF(J546&lt;=50,'Configuración'!$B$24,IF(J546&lt;=200,'Configuración'!$B$25,0))),0))</f>
        <v>4</v>
      </c>
      <c r="T546" s="37">
        <f>IF(B546="","",IF(ISNUMBER(SEARCH("information technology",I546))+ISNUMBER(SEARCH("software",I546))+ISNUMBER(SEARCH("internet",I546))+ISNUMBER(SEARCH("computer",I546))+ISNUMBER(SEARCH("saas",I546))+ISNUMBER(SEARCH("fintech",I546))+ISNUMBER(SEARCH("information services",I546))+ISNUMBER(SEARCH("telecommunications",I546))&gt;0,'Configuración'!$B$27,'Configuración'!$B$28))</f>
        <v>12</v>
      </c>
      <c r="U546" s="25">
        <f>IF(B546="","",IF(ISNUMBER(SEARCH("CEO",C546))+ISNUMBER(SEARCH("Founder",C546))+ISNUMBER(SEARCH("Owner",C546))+ISNUMBER(SEARCH("Dueño",C546))+ISNUMBER(SEARCH("Director General",C546))+ISNUMBER(SEARCH("Presidente",C546))+ISNUMBER(SEARCH("President",C546))&gt;0,'Configuración'!$B$31,IF(ISNUMBER(SEARCH("CMO",C546))+ISNUMBER(SEARCH("Chief Marketing",C546))+ISNUMBER(SEARCH("VP Marketing",C546))+ISNUMBER(SEARCH("Director de Marketing",C546))+ISNUMBER(SEARCH("Director Marketing",C546))+ISNUMBER(SEARCH("Head of Marketing",C546))+ISNUMBER(SEARCH("Head Marketing",C546))&gt;0,'Configuración'!$B$32,IF(ISNUMBER(SEARCH("Marketing Manager",C546))+ISNUMBER(SEARCH("Gerente de Marketing",C546))+ISNUMBER(SEARCH("Growth Manager",C546))+ISNUMBER(SEARCH("Demand Gen",C546))+ISNUMBER(SEARCH("Marketing Lead",C546))&gt;0,'Configuración'!$B$33,IF(ISNUMBER(SEARCH("COO",C546))+ISNUMBER(SEARCH("CFO",C546))+ISNUMBER(SEARCH("CTO",C546))+ISNUMBER(SEARCH("Chief Operating",C546))+ISNUMBER(SEARCH("Chief Financial",C546))+ISNUMBER(SEARCH("Gerente General",C546))+ISNUMBER(SEARCH("General Manager",C546))&gt;0,'Configuración'!$B$34,'Configuración'!$B$35)))))</f>
        <v>12</v>
      </c>
      <c r="V546" s="38">
        <f>IF(B546="","",IF(K546="Sí",'Configuración'!$B$5,0)+IF(L546="Semanal",'Configuración'!$B$6,IF(L546="Mensual",'Configuración'!$B$7,0))+IF(M546="Sí",'Configuración'!$B$8,0)+IF(N546="Sí",'Configuración'!$B$9,0)+IF(O546="Sí",'Configuración'!$B$10,0)+IF(P546="Sí",'Configuración'!$B$11,0)+IF(Q546="Sí",'Configuración'!$B$12,0)+S546+T546+U546)</f>
        <v>28</v>
      </c>
      <c r="W546" s="39" t="str">
        <f>IF(B546="","",IF(V546&gt;='Configuración'!$B$19,"A",IF(V546&gt;='Configuración'!$B$20,"B",IF(V546&gt;='Configuración'!$B$21,"C","Descarte"))))</f>
        <v>C</v>
      </c>
    </row>
    <row r="547" ht="15.75" customHeight="1">
      <c r="A547" s="34">
        <f t="shared" si="1"/>
        <v>545</v>
      </c>
      <c r="B547" s="29" t="s">
        <v>174</v>
      </c>
      <c r="C547" s="29" t="s">
        <v>487</v>
      </c>
      <c r="D547" s="29" t="s">
        <v>3342</v>
      </c>
      <c r="E547" s="29"/>
      <c r="F547" s="30" t="s">
        <v>3343</v>
      </c>
      <c r="G547" s="30" t="s">
        <v>3344</v>
      </c>
      <c r="H547" s="30" t="s">
        <v>3345</v>
      </c>
      <c r="I547" s="29" t="s">
        <v>847</v>
      </c>
      <c r="J547" s="31">
        <v>11.0</v>
      </c>
      <c r="K547" s="35"/>
      <c r="L547" s="35"/>
      <c r="M547" s="35"/>
      <c r="N547" s="35"/>
      <c r="O547" s="35"/>
      <c r="P547" s="35"/>
      <c r="Q547" s="35"/>
      <c r="R547" s="35"/>
      <c r="S547" s="37">
        <f>IF(B547="","",IF(ISNUMBER(J547),IF(J547&lt;=10,'Configuración'!$B$23,IF(J547&lt;=50,'Configuración'!$B$24,IF(J547&lt;=200,'Configuración'!$B$25,0))),0))</f>
        <v>4</v>
      </c>
      <c r="T547" s="37">
        <f>IF(B547="","",IF(ISNUMBER(SEARCH("information technology",I547))+ISNUMBER(SEARCH("software",I547))+ISNUMBER(SEARCH("internet",I547))+ISNUMBER(SEARCH("computer",I547))+ISNUMBER(SEARCH("saas",I547))+ISNUMBER(SEARCH("fintech",I547))+ISNUMBER(SEARCH("information services",I547))+ISNUMBER(SEARCH("telecommunications",I547))&gt;0,'Configuración'!$B$27,'Configuración'!$B$28))</f>
        <v>4</v>
      </c>
      <c r="U547" s="25">
        <f>IF(B547="","",IF(ISNUMBER(SEARCH("CEO",C547))+ISNUMBER(SEARCH("Founder",C547))+ISNUMBER(SEARCH("Owner",C547))+ISNUMBER(SEARCH("Dueño",C547))+ISNUMBER(SEARCH("Director General",C547))+ISNUMBER(SEARCH("Presidente",C547))+ISNUMBER(SEARCH("President",C547))&gt;0,'Configuración'!$B$31,IF(ISNUMBER(SEARCH("CMO",C547))+ISNUMBER(SEARCH("Chief Marketing",C547))+ISNUMBER(SEARCH("VP Marketing",C547))+ISNUMBER(SEARCH("Director de Marketing",C547))+ISNUMBER(SEARCH("Director Marketing",C547))+ISNUMBER(SEARCH("Head of Marketing",C547))+ISNUMBER(SEARCH("Head Marketing",C547))&gt;0,'Configuración'!$B$32,IF(ISNUMBER(SEARCH("Marketing Manager",C547))+ISNUMBER(SEARCH("Gerente de Marketing",C547))+ISNUMBER(SEARCH("Growth Manager",C547))+ISNUMBER(SEARCH("Demand Gen",C547))+ISNUMBER(SEARCH("Marketing Lead",C547))&gt;0,'Configuración'!$B$33,IF(ISNUMBER(SEARCH("COO",C547))+ISNUMBER(SEARCH("CFO",C547))+ISNUMBER(SEARCH("CTO",C547))+ISNUMBER(SEARCH("Chief Operating",C547))+ISNUMBER(SEARCH("Chief Financial",C547))+ISNUMBER(SEARCH("Gerente General",C547))+ISNUMBER(SEARCH("General Manager",C547))&gt;0,'Configuración'!$B$34,'Configuración'!$B$35)))))</f>
        <v>12</v>
      </c>
      <c r="V547" s="38">
        <f>IF(B547="","",IF(K547="Sí",'Configuración'!$B$5,0)+IF(L547="Semanal",'Configuración'!$B$6,IF(L547="Mensual",'Configuración'!$B$7,0))+IF(M547="Sí",'Configuración'!$B$8,0)+IF(N547="Sí",'Configuración'!$B$9,0)+IF(O547="Sí",'Configuración'!$B$10,0)+IF(P547="Sí",'Configuración'!$B$11,0)+IF(Q547="Sí",'Configuración'!$B$12,0)+S547+T547+U547)</f>
        <v>20</v>
      </c>
      <c r="W547" s="39" t="str">
        <f>IF(B547="","",IF(V547&gt;='Configuración'!$B$19,"A",IF(V547&gt;='Configuración'!$B$20,"B",IF(V547&gt;='Configuración'!$B$21,"C","Descarte"))))</f>
        <v>Descarte</v>
      </c>
    </row>
    <row r="548" ht="15.75" customHeight="1">
      <c r="A548" s="34">
        <f t="shared" si="1"/>
        <v>546</v>
      </c>
      <c r="B548" s="29" t="s">
        <v>2042</v>
      </c>
      <c r="C548" s="29" t="s">
        <v>731</v>
      </c>
      <c r="D548" s="29" t="s">
        <v>3346</v>
      </c>
      <c r="E548" s="29" t="s">
        <v>3347</v>
      </c>
      <c r="F548" s="30" t="s">
        <v>3348</v>
      </c>
      <c r="G548" s="30" t="s">
        <v>3349</v>
      </c>
      <c r="H548" s="30" t="s">
        <v>3350</v>
      </c>
      <c r="I548" s="29" t="s">
        <v>127</v>
      </c>
      <c r="J548" s="31">
        <v>7.0</v>
      </c>
      <c r="K548" s="35"/>
      <c r="L548" s="35"/>
      <c r="M548" s="35"/>
      <c r="N548" s="35"/>
      <c r="O548" s="35"/>
      <c r="P548" s="35"/>
      <c r="Q548" s="35"/>
      <c r="R548" s="35"/>
      <c r="S548" s="37">
        <f>IF(B548="","",IF(ISNUMBER(J548),IF(J548&lt;=10,'Configuración'!$B$23,IF(J548&lt;=50,'Configuración'!$B$24,IF(J548&lt;=200,'Configuración'!$B$25,0))),0))</f>
        <v>12</v>
      </c>
      <c r="T548" s="37">
        <f>IF(B548="","",IF(ISNUMBER(SEARCH("information technology",I548))+ISNUMBER(SEARCH("software",I548))+ISNUMBER(SEARCH("internet",I548))+ISNUMBER(SEARCH("computer",I548))+ISNUMBER(SEARCH("saas",I548))+ISNUMBER(SEARCH("fintech",I548))+ISNUMBER(SEARCH("information services",I548))+ISNUMBER(SEARCH("telecommunications",I548))&gt;0,'Configuración'!$B$27,'Configuración'!$B$28))</f>
        <v>12</v>
      </c>
      <c r="U548" s="25">
        <f>IF(B548="","",IF(ISNUMBER(SEARCH("CEO",C548))+ISNUMBER(SEARCH("Founder",C548))+ISNUMBER(SEARCH("Owner",C548))+ISNUMBER(SEARCH("Dueño",C548))+ISNUMBER(SEARCH("Director General",C548))+ISNUMBER(SEARCH("Presidente",C548))+ISNUMBER(SEARCH("President",C548))&gt;0,'Configuración'!$B$31,IF(ISNUMBER(SEARCH("CMO",C548))+ISNUMBER(SEARCH("Chief Marketing",C548))+ISNUMBER(SEARCH("VP Marketing",C548))+ISNUMBER(SEARCH("Director de Marketing",C548))+ISNUMBER(SEARCH("Director Marketing",C548))+ISNUMBER(SEARCH("Head of Marketing",C548))+ISNUMBER(SEARCH("Head Marketing",C548))&gt;0,'Configuración'!$B$32,IF(ISNUMBER(SEARCH("Marketing Manager",C548))+ISNUMBER(SEARCH("Gerente de Marketing",C548))+ISNUMBER(SEARCH("Growth Manager",C548))+ISNUMBER(SEARCH("Demand Gen",C548))+ISNUMBER(SEARCH("Marketing Lead",C548))&gt;0,'Configuración'!$B$33,IF(ISNUMBER(SEARCH("COO",C548))+ISNUMBER(SEARCH("CFO",C548))+ISNUMBER(SEARCH("CTO",C548))+ISNUMBER(SEARCH("Chief Operating",C548))+ISNUMBER(SEARCH("Chief Financial",C548))+ISNUMBER(SEARCH("Gerente General",C548))+ISNUMBER(SEARCH("General Manager",C548))&gt;0,'Configuración'!$B$34,'Configuración'!$B$35)))))</f>
        <v>12</v>
      </c>
      <c r="V548" s="38">
        <f>IF(B548="","",IF(K548="Sí",'Configuración'!$B$5,0)+IF(L548="Semanal",'Configuración'!$B$6,IF(L548="Mensual",'Configuración'!$B$7,0))+IF(M548="Sí",'Configuración'!$B$8,0)+IF(N548="Sí",'Configuración'!$B$9,0)+IF(O548="Sí",'Configuración'!$B$10,0)+IF(P548="Sí",'Configuración'!$B$11,0)+IF(Q548="Sí",'Configuración'!$B$12,0)+S548+T548+U548)</f>
        <v>36</v>
      </c>
      <c r="W548" s="39" t="str">
        <f>IF(B548="","",IF(V548&gt;='Configuración'!$B$19,"A",IF(V548&gt;='Configuración'!$B$20,"B",IF(V548&gt;='Configuración'!$B$21,"C","Descarte"))))</f>
        <v>C</v>
      </c>
    </row>
    <row r="549" ht="15.75" customHeight="1">
      <c r="A549" s="34">
        <f t="shared" si="1"/>
        <v>547</v>
      </c>
      <c r="B549" s="29" t="s">
        <v>174</v>
      </c>
      <c r="C549" s="29" t="s">
        <v>131</v>
      </c>
      <c r="D549" s="40" t="s">
        <v>3351</v>
      </c>
      <c r="E549" s="29" t="s">
        <v>3352</v>
      </c>
      <c r="F549" s="30" t="s">
        <v>3353</v>
      </c>
      <c r="G549" s="30" t="s">
        <v>3354</v>
      </c>
      <c r="H549" s="30" t="s">
        <v>3355</v>
      </c>
      <c r="I549" s="29" t="s">
        <v>127</v>
      </c>
      <c r="J549" s="31">
        <v>6.0</v>
      </c>
      <c r="K549" s="35"/>
      <c r="L549" s="35"/>
      <c r="M549" s="35"/>
      <c r="N549" s="35"/>
      <c r="O549" s="35"/>
      <c r="P549" s="35"/>
      <c r="Q549" s="35"/>
      <c r="R549" s="35"/>
      <c r="S549" s="37">
        <f>IF(B549="","",IF(ISNUMBER(J549),IF(J549&lt;=10,'Configuración'!$B$23,IF(J549&lt;=50,'Configuración'!$B$24,IF(J549&lt;=200,'Configuración'!$B$25,0))),0))</f>
        <v>12</v>
      </c>
      <c r="T549" s="37">
        <f>IF(B549="","",IF(ISNUMBER(SEARCH("information technology",I549))+ISNUMBER(SEARCH("software",I549))+ISNUMBER(SEARCH("internet",I549))+ISNUMBER(SEARCH("computer",I549))+ISNUMBER(SEARCH("saas",I549))+ISNUMBER(SEARCH("fintech",I549))+ISNUMBER(SEARCH("information services",I549))+ISNUMBER(SEARCH("telecommunications",I549))&gt;0,'Configuración'!$B$27,'Configuración'!$B$28))</f>
        <v>12</v>
      </c>
      <c r="U549" s="25">
        <f>IF(B549="","",IF(ISNUMBER(SEARCH("CEO",C549))+ISNUMBER(SEARCH("Founder",C549))+ISNUMBER(SEARCH("Owner",C549))+ISNUMBER(SEARCH("Dueño",C549))+ISNUMBER(SEARCH("Director General",C549))+ISNUMBER(SEARCH("Presidente",C549))+ISNUMBER(SEARCH("President",C549))&gt;0,'Configuración'!$B$31,IF(ISNUMBER(SEARCH("CMO",C549))+ISNUMBER(SEARCH("Chief Marketing",C549))+ISNUMBER(SEARCH("VP Marketing",C549))+ISNUMBER(SEARCH("Director de Marketing",C549))+ISNUMBER(SEARCH("Director Marketing",C549))+ISNUMBER(SEARCH("Head of Marketing",C549))+ISNUMBER(SEARCH("Head Marketing",C549))&gt;0,'Configuración'!$B$32,IF(ISNUMBER(SEARCH("Marketing Manager",C549))+ISNUMBER(SEARCH("Gerente de Marketing",C549))+ISNUMBER(SEARCH("Growth Manager",C549))+ISNUMBER(SEARCH("Demand Gen",C549))+ISNUMBER(SEARCH("Marketing Lead",C549))&gt;0,'Configuración'!$B$33,IF(ISNUMBER(SEARCH("COO",C549))+ISNUMBER(SEARCH("CFO",C549))+ISNUMBER(SEARCH("CTO",C549))+ISNUMBER(SEARCH("Chief Operating",C549))+ISNUMBER(SEARCH("Chief Financial",C549))+ISNUMBER(SEARCH("Gerente General",C549))+ISNUMBER(SEARCH("General Manager",C549))&gt;0,'Configuración'!$B$34,'Configuración'!$B$35)))))</f>
        <v>12</v>
      </c>
      <c r="V549" s="38">
        <f>IF(B549="","",IF(K549="Sí",'Configuración'!$B$5,0)+IF(L549="Semanal",'Configuración'!$B$6,IF(L549="Mensual",'Configuración'!$B$7,0))+IF(M549="Sí",'Configuración'!$B$8,0)+IF(N549="Sí",'Configuración'!$B$9,0)+IF(O549="Sí",'Configuración'!$B$10,0)+IF(P549="Sí",'Configuración'!$B$11,0)+IF(Q549="Sí",'Configuración'!$B$12,0)+S549+T549+U549)</f>
        <v>36</v>
      </c>
      <c r="W549" s="39" t="str">
        <f>IF(B549="","",IF(V549&gt;='Configuración'!$B$19,"A",IF(V549&gt;='Configuración'!$B$20,"B",IF(V549&gt;='Configuración'!$B$21,"C","Descarte"))))</f>
        <v>C</v>
      </c>
    </row>
    <row r="550" ht="15.75" customHeight="1">
      <c r="A550" s="34">
        <f t="shared" si="1"/>
        <v>548</v>
      </c>
      <c r="B550" s="29" t="s">
        <v>181</v>
      </c>
      <c r="C550" s="29" t="s">
        <v>131</v>
      </c>
      <c r="D550" s="30" t="s">
        <v>3356</v>
      </c>
      <c r="E550" s="29" t="s">
        <v>3357</v>
      </c>
      <c r="F550" s="30" t="s">
        <v>3358</v>
      </c>
      <c r="G550" s="30" t="s">
        <v>3359</v>
      </c>
      <c r="H550" s="30" t="s">
        <v>3360</v>
      </c>
      <c r="I550" s="29" t="s">
        <v>116</v>
      </c>
      <c r="J550" s="31">
        <v>4.0</v>
      </c>
      <c r="K550" s="35"/>
      <c r="L550" s="35"/>
      <c r="M550" s="35"/>
      <c r="N550" s="35"/>
      <c r="O550" s="35"/>
      <c r="P550" s="35"/>
      <c r="Q550" s="35"/>
      <c r="R550" s="35"/>
      <c r="S550" s="37">
        <f>IF(B550="","",IF(ISNUMBER(J550),IF(J550&lt;=10,'Configuración'!$B$23,IF(J550&lt;=50,'Configuración'!$B$24,IF(J550&lt;=200,'Configuración'!$B$25,0))),0))</f>
        <v>12</v>
      </c>
      <c r="T550" s="37">
        <f>IF(B550="","",IF(ISNUMBER(SEARCH("information technology",I550))+ISNUMBER(SEARCH("software",I550))+ISNUMBER(SEARCH("internet",I550))+ISNUMBER(SEARCH("computer",I550))+ISNUMBER(SEARCH("saas",I550))+ISNUMBER(SEARCH("fintech",I550))+ISNUMBER(SEARCH("information services",I550))+ISNUMBER(SEARCH("telecommunications",I550))&gt;0,'Configuración'!$B$27,'Configuración'!$B$28))</f>
        <v>4</v>
      </c>
      <c r="U550" s="25">
        <f>IF(B550="","",IF(ISNUMBER(SEARCH("CEO",C550))+ISNUMBER(SEARCH("Founder",C550))+ISNUMBER(SEARCH("Owner",C550))+ISNUMBER(SEARCH("Dueño",C550))+ISNUMBER(SEARCH("Director General",C550))+ISNUMBER(SEARCH("Presidente",C550))+ISNUMBER(SEARCH("President",C550))&gt;0,'Configuración'!$B$31,IF(ISNUMBER(SEARCH("CMO",C550))+ISNUMBER(SEARCH("Chief Marketing",C550))+ISNUMBER(SEARCH("VP Marketing",C550))+ISNUMBER(SEARCH("Director de Marketing",C550))+ISNUMBER(SEARCH("Director Marketing",C550))+ISNUMBER(SEARCH("Head of Marketing",C550))+ISNUMBER(SEARCH("Head Marketing",C550))&gt;0,'Configuración'!$B$32,IF(ISNUMBER(SEARCH("Marketing Manager",C550))+ISNUMBER(SEARCH("Gerente de Marketing",C550))+ISNUMBER(SEARCH("Growth Manager",C550))+ISNUMBER(SEARCH("Demand Gen",C550))+ISNUMBER(SEARCH("Marketing Lead",C550))&gt;0,'Configuración'!$B$33,IF(ISNUMBER(SEARCH("COO",C550))+ISNUMBER(SEARCH("CFO",C550))+ISNUMBER(SEARCH("CTO",C550))+ISNUMBER(SEARCH("Chief Operating",C550))+ISNUMBER(SEARCH("Chief Financial",C550))+ISNUMBER(SEARCH("Gerente General",C550))+ISNUMBER(SEARCH("General Manager",C550))&gt;0,'Configuración'!$B$34,'Configuración'!$B$35)))))</f>
        <v>12</v>
      </c>
      <c r="V550" s="38">
        <f>IF(B550="","",IF(K550="Sí",'Configuración'!$B$5,0)+IF(L550="Semanal",'Configuración'!$B$6,IF(L550="Mensual",'Configuración'!$B$7,0))+IF(M550="Sí",'Configuración'!$B$8,0)+IF(N550="Sí",'Configuración'!$B$9,0)+IF(O550="Sí",'Configuración'!$B$10,0)+IF(P550="Sí",'Configuración'!$B$11,0)+IF(Q550="Sí",'Configuración'!$B$12,0)+S550+T550+U550)</f>
        <v>28</v>
      </c>
      <c r="W550" s="39" t="str">
        <f>IF(B550="","",IF(V550&gt;='Configuración'!$B$19,"A",IF(V550&gt;='Configuración'!$B$20,"B",IF(V550&gt;='Configuración'!$B$21,"C","Descarte"))))</f>
        <v>C</v>
      </c>
    </row>
    <row r="551" ht="15.75" customHeight="1">
      <c r="A551" s="34">
        <f t="shared" si="1"/>
        <v>549</v>
      </c>
      <c r="B551" s="29" t="s">
        <v>174</v>
      </c>
      <c r="C551" s="29" t="s">
        <v>175</v>
      </c>
      <c r="D551" s="29" t="s">
        <v>3361</v>
      </c>
      <c r="E551" s="29" t="s">
        <v>3362</v>
      </c>
      <c r="F551" s="30" t="s">
        <v>3363</v>
      </c>
      <c r="G551" s="30" t="s">
        <v>3364</v>
      </c>
      <c r="H551" s="30" t="s">
        <v>3365</v>
      </c>
      <c r="I551" s="29" t="s">
        <v>127</v>
      </c>
      <c r="J551" s="31">
        <v>11.0</v>
      </c>
      <c r="K551" s="35"/>
      <c r="L551" s="35"/>
      <c r="M551" s="35"/>
      <c r="N551" s="35"/>
      <c r="O551" s="35"/>
      <c r="P551" s="35"/>
      <c r="Q551" s="35"/>
      <c r="R551" s="35"/>
      <c r="S551" s="37">
        <f>IF(B551="","",IF(ISNUMBER(J551),IF(J551&lt;=10,'Configuración'!$B$23,IF(J551&lt;=50,'Configuración'!$B$24,IF(J551&lt;=200,'Configuración'!$B$25,0))),0))</f>
        <v>4</v>
      </c>
      <c r="T551" s="37">
        <f>IF(B551="","",IF(ISNUMBER(SEARCH("information technology",I551))+ISNUMBER(SEARCH("software",I551))+ISNUMBER(SEARCH("internet",I551))+ISNUMBER(SEARCH("computer",I551))+ISNUMBER(SEARCH("saas",I551))+ISNUMBER(SEARCH("fintech",I551))+ISNUMBER(SEARCH("information services",I551))+ISNUMBER(SEARCH("telecommunications",I551))&gt;0,'Configuración'!$B$27,'Configuración'!$B$28))</f>
        <v>12</v>
      </c>
      <c r="U551" s="25">
        <f>IF(B551="","",IF(ISNUMBER(SEARCH("CEO",C551))+ISNUMBER(SEARCH("Founder",C551))+ISNUMBER(SEARCH("Owner",C551))+ISNUMBER(SEARCH("Dueño",C551))+ISNUMBER(SEARCH("Director General",C551))+ISNUMBER(SEARCH("Presidente",C551))+ISNUMBER(SEARCH("President",C551))&gt;0,'Configuración'!$B$31,IF(ISNUMBER(SEARCH("CMO",C551))+ISNUMBER(SEARCH("Chief Marketing",C551))+ISNUMBER(SEARCH("VP Marketing",C551))+ISNUMBER(SEARCH("Director de Marketing",C551))+ISNUMBER(SEARCH("Director Marketing",C551))+ISNUMBER(SEARCH("Head of Marketing",C551))+ISNUMBER(SEARCH("Head Marketing",C551))&gt;0,'Configuración'!$B$32,IF(ISNUMBER(SEARCH("Marketing Manager",C551))+ISNUMBER(SEARCH("Gerente de Marketing",C551))+ISNUMBER(SEARCH("Growth Manager",C551))+ISNUMBER(SEARCH("Demand Gen",C551))+ISNUMBER(SEARCH("Marketing Lead",C551))&gt;0,'Configuración'!$B$33,IF(ISNUMBER(SEARCH("COO",C551))+ISNUMBER(SEARCH("CFO",C551))+ISNUMBER(SEARCH("CTO",C551))+ISNUMBER(SEARCH("Chief Operating",C551))+ISNUMBER(SEARCH("Chief Financial",C551))+ISNUMBER(SEARCH("Gerente General",C551))+ISNUMBER(SEARCH("General Manager",C551))&gt;0,'Configuración'!$B$34,'Configuración'!$B$35)))))</f>
        <v>12</v>
      </c>
      <c r="V551" s="38">
        <f>IF(B551="","",IF(K551="Sí",'Configuración'!$B$5,0)+IF(L551="Semanal",'Configuración'!$B$6,IF(L551="Mensual",'Configuración'!$B$7,0))+IF(M551="Sí",'Configuración'!$B$8,0)+IF(N551="Sí",'Configuración'!$B$9,0)+IF(O551="Sí",'Configuración'!$B$10,0)+IF(P551="Sí",'Configuración'!$B$11,0)+IF(Q551="Sí",'Configuración'!$B$12,0)+S551+T551+U551)</f>
        <v>28</v>
      </c>
      <c r="W551" s="39" t="str">
        <f>IF(B551="","",IF(V551&gt;='Configuración'!$B$19,"A",IF(V551&gt;='Configuración'!$B$20,"B",IF(V551&gt;='Configuración'!$B$21,"C","Descarte"))))</f>
        <v>C</v>
      </c>
    </row>
    <row r="552" ht="15.75" customHeight="1">
      <c r="A552" s="34">
        <f t="shared" si="1"/>
        <v>550</v>
      </c>
      <c r="B552" s="29" t="s">
        <v>262</v>
      </c>
      <c r="C552" s="29" t="s">
        <v>3366</v>
      </c>
      <c r="D552" s="29" t="s">
        <v>3367</v>
      </c>
      <c r="E552" s="29" t="s">
        <v>3368</v>
      </c>
      <c r="F552" s="30" t="s">
        <v>3369</v>
      </c>
      <c r="G552" s="30" t="s">
        <v>3370</v>
      </c>
      <c r="H552" s="30" t="s">
        <v>3371</v>
      </c>
      <c r="I552" s="29" t="s">
        <v>542</v>
      </c>
      <c r="J552" s="31">
        <v>3.0</v>
      </c>
      <c r="K552" s="35"/>
      <c r="L552" s="35"/>
      <c r="M552" s="35"/>
      <c r="N552" s="35"/>
      <c r="O552" s="35"/>
      <c r="P552" s="35"/>
      <c r="Q552" s="35"/>
      <c r="R552" s="35"/>
      <c r="S552" s="37">
        <f>IF(B552="","",IF(ISNUMBER(J552),IF(J552&lt;=10,'Configuración'!$B$23,IF(J552&lt;=50,'Configuración'!$B$24,IF(J552&lt;=200,'Configuración'!$B$25,0))),0))</f>
        <v>12</v>
      </c>
      <c r="T552" s="37">
        <f>IF(B552="","",IF(ISNUMBER(SEARCH("information technology",I552))+ISNUMBER(SEARCH("software",I552))+ISNUMBER(SEARCH("internet",I552))+ISNUMBER(SEARCH("computer",I552))+ISNUMBER(SEARCH("saas",I552))+ISNUMBER(SEARCH("fintech",I552))+ISNUMBER(SEARCH("information services",I552))+ISNUMBER(SEARCH("telecommunications",I552))&gt;0,'Configuración'!$B$27,'Configuración'!$B$28))</f>
        <v>4</v>
      </c>
      <c r="U552" s="25">
        <f>IF(B552="","",IF(ISNUMBER(SEARCH("CEO",C552))+ISNUMBER(SEARCH("Founder",C552))+ISNUMBER(SEARCH("Owner",C552))+ISNUMBER(SEARCH("Dueño",C552))+ISNUMBER(SEARCH("Director General",C552))+ISNUMBER(SEARCH("Presidente",C552))+ISNUMBER(SEARCH("President",C552))&gt;0,'Configuración'!$B$31,IF(ISNUMBER(SEARCH("CMO",C552))+ISNUMBER(SEARCH("Chief Marketing",C552))+ISNUMBER(SEARCH("VP Marketing",C552))+ISNUMBER(SEARCH("Director de Marketing",C552))+ISNUMBER(SEARCH("Director Marketing",C552))+ISNUMBER(SEARCH("Head of Marketing",C552))+ISNUMBER(SEARCH("Head Marketing",C552))&gt;0,'Configuración'!$B$32,IF(ISNUMBER(SEARCH("Marketing Manager",C552))+ISNUMBER(SEARCH("Gerente de Marketing",C552))+ISNUMBER(SEARCH("Growth Manager",C552))+ISNUMBER(SEARCH("Demand Gen",C552))+ISNUMBER(SEARCH("Marketing Lead",C552))&gt;0,'Configuración'!$B$33,IF(ISNUMBER(SEARCH("COO",C552))+ISNUMBER(SEARCH("CFO",C552))+ISNUMBER(SEARCH("CTO",C552))+ISNUMBER(SEARCH("Chief Operating",C552))+ISNUMBER(SEARCH("Chief Financial",C552))+ISNUMBER(SEARCH("Gerente General",C552))+ISNUMBER(SEARCH("General Manager",C552))&gt;0,'Configuración'!$B$34,'Configuración'!$B$35)))))</f>
        <v>12</v>
      </c>
      <c r="V552" s="38">
        <f>IF(B552="","",IF(K552="Sí",'Configuración'!$B$5,0)+IF(L552="Semanal",'Configuración'!$B$6,IF(L552="Mensual",'Configuración'!$B$7,0))+IF(M552="Sí",'Configuración'!$B$8,0)+IF(N552="Sí",'Configuración'!$B$9,0)+IF(O552="Sí",'Configuración'!$B$10,0)+IF(P552="Sí",'Configuración'!$B$11,0)+IF(Q552="Sí",'Configuración'!$B$12,0)+S552+T552+U552)</f>
        <v>28</v>
      </c>
      <c r="W552" s="39" t="str">
        <f>IF(B552="","",IF(V552&gt;='Configuración'!$B$19,"A",IF(V552&gt;='Configuración'!$B$20,"B",IF(V552&gt;='Configuración'!$B$21,"C","Descarte"))))</f>
        <v>C</v>
      </c>
    </row>
    <row r="553" ht="15.75" customHeight="1">
      <c r="A553" s="34">
        <f t="shared" si="1"/>
        <v>551</v>
      </c>
      <c r="B553" s="29" t="s">
        <v>3167</v>
      </c>
      <c r="C553" s="29" t="s">
        <v>224</v>
      </c>
      <c r="D553" s="29" t="s">
        <v>3372</v>
      </c>
      <c r="E553" s="29"/>
      <c r="F553" s="30" t="s">
        <v>3373</v>
      </c>
      <c r="G553" s="30" t="s">
        <v>3374</v>
      </c>
      <c r="H553" s="30" t="s">
        <v>3375</v>
      </c>
      <c r="I553" s="29" t="s">
        <v>659</v>
      </c>
      <c r="J553" s="31">
        <v>10.0</v>
      </c>
      <c r="K553" s="35"/>
      <c r="L553" s="35"/>
      <c r="M553" s="35"/>
      <c r="N553" s="35"/>
      <c r="O553" s="35"/>
      <c r="P553" s="35"/>
      <c r="Q553" s="35"/>
      <c r="R553" s="35"/>
      <c r="S553" s="37">
        <f>IF(B553="","",IF(ISNUMBER(J553),IF(J553&lt;=10,'Configuración'!$B$23,IF(J553&lt;=50,'Configuración'!$B$24,IF(J553&lt;=200,'Configuración'!$B$25,0))),0))</f>
        <v>12</v>
      </c>
      <c r="T553" s="37">
        <f>IF(B553="","",IF(ISNUMBER(SEARCH("information technology",I553))+ISNUMBER(SEARCH("software",I553))+ISNUMBER(SEARCH("internet",I553))+ISNUMBER(SEARCH("computer",I553))+ISNUMBER(SEARCH("saas",I553))+ISNUMBER(SEARCH("fintech",I553))+ISNUMBER(SEARCH("information services",I553))+ISNUMBER(SEARCH("telecommunications",I553))&gt;0,'Configuración'!$B$27,'Configuración'!$B$28))</f>
        <v>4</v>
      </c>
      <c r="U553" s="25">
        <f>IF(B553="","",IF(ISNUMBER(SEARCH("CEO",C553))+ISNUMBER(SEARCH("Founder",C553))+ISNUMBER(SEARCH("Owner",C553))+ISNUMBER(SEARCH("Dueño",C553))+ISNUMBER(SEARCH("Director General",C553))+ISNUMBER(SEARCH("Presidente",C553))+ISNUMBER(SEARCH("President",C553))&gt;0,'Configuración'!$B$31,IF(ISNUMBER(SEARCH("CMO",C553))+ISNUMBER(SEARCH("Chief Marketing",C553))+ISNUMBER(SEARCH("VP Marketing",C553))+ISNUMBER(SEARCH("Director de Marketing",C553))+ISNUMBER(SEARCH("Director Marketing",C553))+ISNUMBER(SEARCH("Head of Marketing",C553))+ISNUMBER(SEARCH("Head Marketing",C553))&gt;0,'Configuración'!$B$32,IF(ISNUMBER(SEARCH("Marketing Manager",C553))+ISNUMBER(SEARCH("Gerente de Marketing",C553))+ISNUMBER(SEARCH("Growth Manager",C553))+ISNUMBER(SEARCH("Demand Gen",C553))+ISNUMBER(SEARCH("Marketing Lead",C553))&gt;0,'Configuración'!$B$33,IF(ISNUMBER(SEARCH("COO",C553))+ISNUMBER(SEARCH("CFO",C553))+ISNUMBER(SEARCH("CTO",C553))+ISNUMBER(SEARCH("Chief Operating",C553))+ISNUMBER(SEARCH("Chief Financial",C553))+ISNUMBER(SEARCH("Gerente General",C553))+ISNUMBER(SEARCH("General Manager",C553))&gt;0,'Configuración'!$B$34,'Configuración'!$B$35)))))</f>
        <v>12</v>
      </c>
      <c r="V553" s="38">
        <f>IF(B553="","",IF(K553="Sí",'Configuración'!$B$5,0)+IF(L553="Semanal",'Configuración'!$B$6,IF(L553="Mensual",'Configuración'!$B$7,0))+IF(M553="Sí",'Configuración'!$B$8,0)+IF(N553="Sí",'Configuración'!$B$9,0)+IF(O553="Sí",'Configuración'!$B$10,0)+IF(P553="Sí",'Configuración'!$B$11,0)+IF(Q553="Sí",'Configuración'!$B$12,0)+S553+T553+U553)</f>
        <v>28</v>
      </c>
      <c r="W553" s="39" t="str">
        <f>IF(B553="","",IF(V553&gt;='Configuración'!$B$19,"A",IF(V553&gt;='Configuración'!$B$20,"B",IF(V553&gt;='Configuración'!$B$21,"C","Descarte"))))</f>
        <v>C</v>
      </c>
    </row>
    <row r="554" ht="15.75" customHeight="1">
      <c r="A554" s="34">
        <f t="shared" si="1"/>
        <v>552</v>
      </c>
      <c r="B554" s="29" t="s">
        <v>1601</v>
      </c>
      <c r="C554" s="29" t="s">
        <v>131</v>
      </c>
      <c r="D554" s="29" t="s">
        <v>3376</v>
      </c>
      <c r="E554" s="29" t="s">
        <v>3377</v>
      </c>
      <c r="F554" s="30" t="s">
        <v>3378</v>
      </c>
      <c r="G554" s="30" t="s">
        <v>3379</v>
      </c>
      <c r="H554" s="30" t="s">
        <v>3380</v>
      </c>
      <c r="I554" s="29" t="s">
        <v>116</v>
      </c>
      <c r="J554" s="31">
        <v>6.0</v>
      </c>
      <c r="K554" s="35"/>
      <c r="L554" s="35"/>
      <c r="M554" s="35"/>
      <c r="N554" s="35"/>
      <c r="O554" s="35"/>
      <c r="P554" s="35"/>
      <c r="Q554" s="35"/>
      <c r="R554" s="35"/>
      <c r="S554" s="37">
        <f>IF(B554="","",IF(ISNUMBER(J554),IF(J554&lt;=10,'Configuración'!$B$23,IF(J554&lt;=50,'Configuración'!$B$24,IF(J554&lt;=200,'Configuración'!$B$25,0))),0))</f>
        <v>12</v>
      </c>
      <c r="T554" s="37">
        <f>IF(B554="","",IF(ISNUMBER(SEARCH("information technology",I554))+ISNUMBER(SEARCH("software",I554))+ISNUMBER(SEARCH("internet",I554))+ISNUMBER(SEARCH("computer",I554))+ISNUMBER(SEARCH("saas",I554))+ISNUMBER(SEARCH("fintech",I554))+ISNUMBER(SEARCH("information services",I554))+ISNUMBER(SEARCH("telecommunications",I554))&gt;0,'Configuración'!$B$27,'Configuración'!$B$28))</f>
        <v>4</v>
      </c>
      <c r="U554" s="25">
        <f>IF(B554="","",IF(ISNUMBER(SEARCH("CEO",C554))+ISNUMBER(SEARCH("Founder",C554))+ISNUMBER(SEARCH("Owner",C554))+ISNUMBER(SEARCH("Dueño",C554))+ISNUMBER(SEARCH("Director General",C554))+ISNUMBER(SEARCH("Presidente",C554))+ISNUMBER(SEARCH("President",C554))&gt;0,'Configuración'!$B$31,IF(ISNUMBER(SEARCH("CMO",C554))+ISNUMBER(SEARCH("Chief Marketing",C554))+ISNUMBER(SEARCH("VP Marketing",C554))+ISNUMBER(SEARCH("Director de Marketing",C554))+ISNUMBER(SEARCH("Director Marketing",C554))+ISNUMBER(SEARCH("Head of Marketing",C554))+ISNUMBER(SEARCH("Head Marketing",C554))&gt;0,'Configuración'!$B$32,IF(ISNUMBER(SEARCH("Marketing Manager",C554))+ISNUMBER(SEARCH("Gerente de Marketing",C554))+ISNUMBER(SEARCH("Growth Manager",C554))+ISNUMBER(SEARCH("Demand Gen",C554))+ISNUMBER(SEARCH("Marketing Lead",C554))&gt;0,'Configuración'!$B$33,IF(ISNUMBER(SEARCH("COO",C554))+ISNUMBER(SEARCH("CFO",C554))+ISNUMBER(SEARCH("CTO",C554))+ISNUMBER(SEARCH("Chief Operating",C554))+ISNUMBER(SEARCH("Chief Financial",C554))+ISNUMBER(SEARCH("Gerente General",C554))+ISNUMBER(SEARCH("General Manager",C554))&gt;0,'Configuración'!$B$34,'Configuración'!$B$35)))))</f>
        <v>12</v>
      </c>
      <c r="V554" s="38">
        <f>IF(B554="","",IF(K554="Sí",'Configuración'!$B$5,0)+IF(L554="Semanal",'Configuración'!$B$6,IF(L554="Mensual",'Configuración'!$B$7,0))+IF(M554="Sí",'Configuración'!$B$8,0)+IF(N554="Sí",'Configuración'!$B$9,0)+IF(O554="Sí",'Configuración'!$B$10,0)+IF(P554="Sí",'Configuración'!$B$11,0)+IF(Q554="Sí",'Configuración'!$B$12,0)+S554+T554+U554)</f>
        <v>28</v>
      </c>
      <c r="W554" s="39" t="str">
        <f>IF(B554="","",IF(V554&gt;='Configuración'!$B$19,"A",IF(V554&gt;='Configuración'!$B$20,"B",IF(V554&gt;='Configuración'!$B$21,"C","Descarte"))))</f>
        <v>C</v>
      </c>
    </row>
    <row r="555" ht="15.75" customHeight="1">
      <c r="A555" s="34">
        <f t="shared" si="1"/>
        <v>553</v>
      </c>
      <c r="B555" s="29" t="s">
        <v>1331</v>
      </c>
      <c r="C555" s="29" t="s">
        <v>3381</v>
      </c>
      <c r="D555" s="29" t="s">
        <v>3382</v>
      </c>
      <c r="E555" s="29" t="s">
        <v>3383</v>
      </c>
      <c r="F555" s="30" t="s">
        <v>3384</v>
      </c>
      <c r="G555" s="30" t="s">
        <v>3385</v>
      </c>
      <c r="H555" s="30" t="s">
        <v>3386</v>
      </c>
      <c r="I555" s="29" t="s">
        <v>188</v>
      </c>
      <c r="J555" s="31">
        <v>1.0</v>
      </c>
      <c r="K555" s="35"/>
      <c r="L555" s="35"/>
      <c r="M555" s="35"/>
      <c r="N555" s="35"/>
      <c r="O555" s="35"/>
      <c r="P555" s="35"/>
      <c r="Q555" s="35"/>
      <c r="R555" s="35"/>
      <c r="S555" s="37">
        <f>IF(B555="","",IF(ISNUMBER(J555),IF(J555&lt;=10,'Configuración'!$B$23,IF(J555&lt;=50,'Configuración'!$B$24,IF(J555&lt;=200,'Configuración'!$B$25,0))),0))</f>
        <v>12</v>
      </c>
      <c r="T555" s="37">
        <f>IF(B555="","",IF(ISNUMBER(SEARCH("information technology",I555))+ISNUMBER(SEARCH("software",I555))+ISNUMBER(SEARCH("internet",I555))+ISNUMBER(SEARCH("computer",I555))+ISNUMBER(SEARCH("saas",I555))+ISNUMBER(SEARCH("fintech",I555))+ISNUMBER(SEARCH("information services",I555))+ISNUMBER(SEARCH("telecommunications",I555))&gt;0,'Configuración'!$B$27,'Configuración'!$B$28))</f>
        <v>4</v>
      </c>
      <c r="U555" s="25">
        <f>IF(B555="","",IF(ISNUMBER(SEARCH("CEO",C555))+ISNUMBER(SEARCH("Founder",C555))+ISNUMBER(SEARCH("Owner",C555))+ISNUMBER(SEARCH("Dueño",C555))+ISNUMBER(SEARCH("Director General",C555))+ISNUMBER(SEARCH("Presidente",C555))+ISNUMBER(SEARCH("President",C555))&gt;0,'Configuración'!$B$31,IF(ISNUMBER(SEARCH("CMO",C555))+ISNUMBER(SEARCH("Chief Marketing",C555))+ISNUMBER(SEARCH("VP Marketing",C555))+ISNUMBER(SEARCH("Director de Marketing",C555))+ISNUMBER(SEARCH("Director Marketing",C555))+ISNUMBER(SEARCH("Head of Marketing",C555))+ISNUMBER(SEARCH("Head Marketing",C555))&gt;0,'Configuración'!$B$32,IF(ISNUMBER(SEARCH("Marketing Manager",C555))+ISNUMBER(SEARCH("Gerente de Marketing",C555))+ISNUMBER(SEARCH("Growth Manager",C555))+ISNUMBER(SEARCH("Demand Gen",C555))+ISNUMBER(SEARCH("Marketing Lead",C555))&gt;0,'Configuración'!$B$33,IF(ISNUMBER(SEARCH("COO",C555))+ISNUMBER(SEARCH("CFO",C555))+ISNUMBER(SEARCH("CTO",C555))+ISNUMBER(SEARCH("Chief Operating",C555))+ISNUMBER(SEARCH("Chief Financial",C555))+ISNUMBER(SEARCH("Gerente General",C555))+ISNUMBER(SEARCH("General Manager",C555))&gt;0,'Configuración'!$B$34,'Configuración'!$B$35)))))</f>
        <v>12</v>
      </c>
      <c r="V555" s="38">
        <f>IF(B555="","",IF(K555="Sí",'Configuración'!$B$5,0)+IF(L555="Semanal",'Configuración'!$B$6,IF(L555="Mensual",'Configuración'!$B$7,0))+IF(M555="Sí",'Configuración'!$B$8,0)+IF(N555="Sí",'Configuración'!$B$9,0)+IF(O555="Sí",'Configuración'!$B$10,0)+IF(P555="Sí",'Configuración'!$B$11,0)+IF(Q555="Sí",'Configuración'!$B$12,0)+S555+T555+U555)</f>
        <v>28</v>
      </c>
      <c r="W555" s="39" t="str">
        <f>IF(B555="","",IF(V555&gt;='Configuración'!$B$19,"A",IF(V555&gt;='Configuración'!$B$20,"B",IF(V555&gt;='Configuración'!$B$21,"C","Descarte"))))</f>
        <v>C</v>
      </c>
    </row>
    <row r="556" ht="15.75" customHeight="1">
      <c r="A556" s="34">
        <f t="shared" si="1"/>
        <v>554</v>
      </c>
      <c r="B556" s="29" t="s">
        <v>3387</v>
      </c>
      <c r="C556" s="29" t="s">
        <v>131</v>
      </c>
      <c r="D556" s="29" t="s">
        <v>3388</v>
      </c>
      <c r="E556" s="29" t="s">
        <v>3389</v>
      </c>
      <c r="F556" s="30" t="s">
        <v>3390</v>
      </c>
      <c r="G556" s="30" t="s">
        <v>3391</v>
      </c>
      <c r="H556" s="30" t="s">
        <v>3392</v>
      </c>
      <c r="I556" s="29" t="s">
        <v>3393</v>
      </c>
      <c r="J556" s="31">
        <v>2.0</v>
      </c>
      <c r="K556" s="35"/>
      <c r="L556" s="35"/>
      <c r="M556" s="35"/>
      <c r="N556" s="35"/>
      <c r="O556" s="35"/>
      <c r="P556" s="35"/>
      <c r="Q556" s="35"/>
      <c r="R556" s="35"/>
      <c r="S556" s="37">
        <f>IF(B556="","",IF(ISNUMBER(J556),IF(J556&lt;=10,'Configuración'!$B$23,IF(J556&lt;=50,'Configuración'!$B$24,IF(J556&lt;=200,'Configuración'!$B$25,0))),0))</f>
        <v>12</v>
      </c>
      <c r="T556" s="37">
        <f>IF(B556="","",IF(ISNUMBER(SEARCH("information technology",I556))+ISNUMBER(SEARCH("software",I556))+ISNUMBER(SEARCH("internet",I556))+ISNUMBER(SEARCH("computer",I556))+ISNUMBER(SEARCH("saas",I556))+ISNUMBER(SEARCH("fintech",I556))+ISNUMBER(SEARCH("information services",I556))+ISNUMBER(SEARCH("telecommunications",I556))&gt;0,'Configuración'!$B$27,'Configuración'!$B$28))</f>
        <v>4</v>
      </c>
      <c r="U556" s="25">
        <f>IF(B556="","",IF(ISNUMBER(SEARCH("CEO",C556))+ISNUMBER(SEARCH("Founder",C556))+ISNUMBER(SEARCH("Owner",C556))+ISNUMBER(SEARCH("Dueño",C556))+ISNUMBER(SEARCH("Director General",C556))+ISNUMBER(SEARCH("Presidente",C556))+ISNUMBER(SEARCH("President",C556))&gt;0,'Configuración'!$B$31,IF(ISNUMBER(SEARCH("CMO",C556))+ISNUMBER(SEARCH("Chief Marketing",C556))+ISNUMBER(SEARCH("VP Marketing",C556))+ISNUMBER(SEARCH("Director de Marketing",C556))+ISNUMBER(SEARCH("Director Marketing",C556))+ISNUMBER(SEARCH("Head of Marketing",C556))+ISNUMBER(SEARCH("Head Marketing",C556))&gt;0,'Configuración'!$B$32,IF(ISNUMBER(SEARCH("Marketing Manager",C556))+ISNUMBER(SEARCH("Gerente de Marketing",C556))+ISNUMBER(SEARCH("Growth Manager",C556))+ISNUMBER(SEARCH("Demand Gen",C556))+ISNUMBER(SEARCH("Marketing Lead",C556))&gt;0,'Configuración'!$B$33,IF(ISNUMBER(SEARCH("COO",C556))+ISNUMBER(SEARCH("CFO",C556))+ISNUMBER(SEARCH("CTO",C556))+ISNUMBER(SEARCH("Chief Operating",C556))+ISNUMBER(SEARCH("Chief Financial",C556))+ISNUMBER(SEARCH("Gerente General",C556))+ISNUMBER(SEARCH("General Manager",C556))&gt;0,'Configuración'!$B$34,'Configuración'!$B$35)))))</f>
        <v>12</v>
      </c>
      <c r="V556" s="38">
        <f>IF(B556="","",IF(K556="Sí",'Configuración'!$B$5,0)+IF(L556="Semanal",'Configuración'!$B$6,IF(L556="Mensual",'Configuración'!$B$7,0))+IF(M556="Sí",'Configuración'!$B$8,0)+IF(N556="Sí",'Configuración'!$B$9,0)+IF(O556="Sí",'Configuración'!$B$10,0)+IF(P556="Sí",'Configuración'!$B$11,0)+IF(Q556="Sí",'Configuración'!$B$12,0)+S556+T556+U556)</f>
        <v>28</v>
      </c>
      <c r="W556" s="39" t="str">
        <f>IF(B556="","",IF(V556&gt;='Configuración'!$B$19,"A",IF(V556&gt;='Configuración'!$B$20,"B",IF(V556&gt;='Configuración'!$B$21,"C","Descarte"))))</f>
        <v>C</v>
      </c>
    </row>
    <row r="557" ht="15.75" customHeight="1">
      <c r="A557" s="34">
        <f t="shared" si="1"/>
        <v>555</v>
      </c>
      <c r="B557" s="29" t="s">
        <v>1227</v>
      </c>
      <c r="C557" s="29" t="s">
        <v>224</v>
      </c>
      <c r="D557" s="29" t="s">
        <v>3394</v>
      </c>
      <c r="E557" s="29" t="s">
        <v>3395</v>
      </c>
      <c r="F557" s="30" t="s">
        <v>3396</v>
      </c>
      <c r="G557" s="30" t="s">
        <v>3397</v>
      </c>
      <c r="H557" s="30" t="s">
        <v>3398</v>
      </c>
      <c r="I557" s="29" t="s">
        <v>127</v>
      </c>
      <c r="J557" s="31">
        <v>5.0</v>
      </c>
      <c r="K557" s="35"/>
      <c r="L557" s="35"/>
      <c r="M557" s="35"/>
      <c r="N557" s="35"/>
      <c r="O557" s="35"/>
      <c r="P557" s="35"/>
      <c r="Q557" s="35"/>
      <c r="R557" s="35"/>
      <c r="S557" s="37">
        <f>IF(B557="","",IF(ISNUMBER(J557),IF(J557&lt;=10,'Configuración'!$B$23,IF(J557&lt;=50,'Configuración'!$B$24,IF(J557&lt;=200,'Configuración'!$B$25,0))),0))</f>
        <v>12</v>
      </c>
      <c r="T557" s="37">
        <f>IF(B557="","",IF(ISNUMBER(SEARCH("information technology",I557))+ISNUMBER(SEARCH("software",I557))+ISNUMBER(SEARCH("internet",I557))+ISNUMBER(SEARCH("computer",I557))+ISNUMBER(SEARCH("saas",I557))+ISNUMBER(SEARCH("fintech",I557))+ISNUMBER(SEARCH("information services",I557))+ISNUMBER(SEARCH("telecommunications",I557))&gt;0,'Configuración'!$B$27,'Configuración'!$B$28))</f>
        <v>12</v>
      </c>
      <c r="U557" s="25">
        <f>IF(B557="","",IF(ISNUMBER(SEARCH("CEO",C557))+ISNUMBER(SEARCH("Founder",C557))+ISNUMBER(SEARCH("Owner",C557))+ISNUMBER(SEARCH("Dueño",C557))+ISNUMBER(SEARCH("Director General",C557))+ISNUMBER(SEARCH("Presidente",C557))+ISNUMBER(SEARCH("President",C557))&gt;0,'Configuración'!$B$31,IF(ISNUMBER(SEARCH("CMO",C557))+ISNUMBER(SEARCH("Chief Marketing",C557))+ISNUMBER(SEARCH("VP Marketing",C557))+ISNUMBER(SEARCH("Director de Marketing",C557))+ISNUMBER(SEARCH("Director Marketing",C557))+ISNUMBER(SEARCH("Head of Marketing",C557))+ISNUMBER(SEARCH("Head Marketing",C557))&gt;0,'Configuración'!$B$32,IF(ISNUMBER(SEARCH("Marketing Manager",C557))+ISNUMBER(SEARCH("Gerente de Marketing",C557))+ISNUMBER(SEARCH("Growth Manager",C557))+ISNUMBER(SEARCH("Demand Gen",C557))+ISNUMBER(SEARCH("Marketing Lead",C557))&gt;0,'Configuración'!$B$33,IF(ISNUMBER(SEARCH("COO",C557))+ISNUMBER(SEARCH("CFO",C557))+ISNUMBER(SEARCH("CTO",C557))+ISNUMBER(SEARCH("Chief Operating",C557))+ISNUMBER(SEARCH("Chief Financial",C557))+ISNUMBER(SEARCH("Gerente General",C557))+ISNUMBER(SEARCH("General Manager",C557))&gt;0,'Configuración'!$B$34,'Configuración'!$B$35)))))</f>
        <v>12</v>
      </c>
      <c r="V557" s="38">
        <f>IF(B557="","",IF(K557="Sí",'Configuración'!$B$5,0)+IF(L557="Semanal",'Configuración'!$B$6,IF(L557="Mensual",'Configuración'!$B$7,0))+IF(M557="Sí",'Configuración'!$B$8,0)+IF(N557="Sí",'Configuración'!$B$9,0)+IF(O557="Sí",'Configuración'!$B$10,0)+IF(P557="Sí",'Configuración'!$B$11,0)+IF(Q557="Sí",'Configuración'!$B$12,0)+S557+T557+U557)</f>
        <v>36</v>
      </c>
      <c r="W557" s="39" t="str">
        <f>IF(B557="","",IF(V557&gt;='Configuración'!$B$19,"A",IF(V557&gt;='Configuración'!$B$20,"B",IF(V557&gt;='Configuración'!$B$21,"C","Descarte"))))</f>
        <v>C</v>
      </c>
    </row>
    <row r="558" ht="15.75" customHeight="1">
      <c r="A558" s="34">
        <f t="shared" si="1"/>
        <v>556</v>
      </c>
      <c r="B558" s="29" t="s">
        <v>3399</v>
      </c>
      <c r="C558" s="29" t="s">
        <v>304</v>
      </c>
      <c r="D558" s="29" t="s">
        <v>3400</v>
      </c>
      <c r="E558" s="29" t="s">
        <v>3401</v>
      </c>
      <c r="F558" s="30" t="s">
        <v>3402</v>
      </c>
      <c r="G558" s="30" t="s">
        <v>3403</v>
      </c>
      <c r="H558" s="30" t="s">
        <v>3404</v>
      </c>
      <c r="I558" s="29" t="s">
        <v>946</v>
      </c>
      <c r="J558" s="31">
        <v>16.0</v>
      </c>
      <c r="K558" s="35"/>
      <c r="L558" s="35"/>
      <c r="M558" s="35"/>
      <c r="N558" s="35"/>
      <c r="O558" s="35"/>
      <c r="P558" s="35"/>
      <c r="Q558" s="35"/>
      <c r="R558" s="35"/>
      <c r="S558" s="37">
        <f>IF(B558="","",IF(ISNUMBER(J558),IF(J558&lt;=10,'Configuración'!$B$23,IF(J558&lt;=50,'Configuración'!$B$24,IF(J558&lt;=200,'Configuración'!$B$25,0))),0))</f>
        <v>4</v>
      </c>
      <c r="T558" s="37">
        <f>IF(B558="","",IF(ISNUMBER(SEARCH("information technology",I558))+ISNUMBER(SEARCH("software",I558))+ISNUMBER(SEARCH("internet",I558))+ISNUMBER(SEARCH("computer",I558))+ISNUMBER(SEARCH("saas",I558))+ISNUMBER(SEARCH("fintech",I558))+ISNUMBER(SEARCH("information services",I558))+ISNUMBER(SEARCH("telecommunications",I558))&gt;0,'Configuración'!$B$27,'Configuración'!$B$28))</f>
        <v>4</v>
      </c>
      <c r="U558" s="25">
        <f>IF(B558="","",IF(ISNUMBER(SEARCH("CEO",C558))+ISNUMBER(SEARCH("Founder",C558))+ISNUMBER(SEARCH("Owner",C558))+ISNUMBER(SEARCH("Dueño",C558))+ISNUMBER(SEARCH("Director General",C558))+ISNUMBER(SEARCH("Presidente",C558))+ISNUMBER(SEARCH("President",C558))&gt;0,'Configuración'!$B$31,IF(ISNUMBER(SEARCH("CMO",C558))+ISNUMBER(SEARCH("Chief Marketing",C558))+ISNUMBER(SEARCH("VP Marketing",C558))+ISNUMBER(SEARCH("Director de Marketing",C558))+ISNUMBER(SEARCH("Director Marketing",C558))+ISNUMBER(SEARCH("Head of Marketing",C558))+ISNUMBER(SEARCH("Head Marketing",C558))&gt;0,'Configuración'!$B$32,IF(ISNUMBER(SEARCH("Marketing Manager",C558))+ISNUMBER(SEARCH("Gerente de Marketing",C558))+ISNUMBER(SEARCH("Growth Manager",C558))+ISNUMBER(SEARCH("Demand Gen",C558))+ISNUMBER(SEARCH("Marketing Lead",C558))&gt;0,'Configuración'!$B$33,IF(ISNUMBER(SEARCH("COO",C558))+ISNUMBER(SEARCH("CFO",C558))+ISNUMBER(SEARCH("CTO",C558))+ISNUMBER(SEARCH("Chief Operating",C558))+ISNUMBER(SEARCH("Chief Financial",C558))+ISNUMBER(SEARCH("Gerente General",C558))+ISNUMBER(SEARCH("General Manager",C558))&gt;0,'Configuración'!$B$34,'Configuración'!$B$35)))))</f>
        <v>4</v>
      </c>
      <c r="V558" s="38">
        <f>IF(B558="","",IF(K558="Sí",'Configuración'!$B$5,0)+IF(L558="Semanal",'Configuración'!$B$6,IF(L558="Mensual",'Configuración'!$B$7,0))+IF(M558="Sí",'Configuración'!$B$8,0)+IF(N558="Sí",'Configuración'!$B$9,0)+IF(O558="Sí",'Configuración'!$B$10,0)+IF(P558="Sí",'Configuración'!$B$11,0)+IF(Q558="Sí",'Configuración'!$B$12,0)+S558+T558+U558)</f>
        <v>12</v>
      </c>
      <c r="W558" s="39" t="str">
        <f>IF(B558="","",IF(V558&gt;='Configuración'!$B$19,"A",IF(V558&gt;='Configuración'!$B$20,"B",IF(V558&gt;='Configuración'!$B$21,"C","Descarte"))))</f>
        <v>Descarte</v>
      </c>
    </row>
    <row r="559" ht="15.75" customHeight="1">
      <c r="A559" s="34">
        <f t="shared" si="1"/>
        <v>557</v>
      </c>
      <c r="B559" s="29" t="s">
        <v>181</v>
      </c>
      <c r="C559" s="29" t="s">
        <v>3405</v>
      </c>
      <c r="D559" s="29" t="s">
        <v>1911</v>
      </c>
      <c r="E559" s="29" t="s">
        <v>3406</v>
      </c>
      <c r="F559" s="30" t="s">
        <v>3407</v>
      </c>
      <c r="G559" s="30" t="s">
        <v>1914</v>
      </c>
      <c r="H559" s="30" t="s">
        <v>1915</v>
      </c>
      <c r="I559" s="29" t="s">
        <v>116</v>
      </c>
      <c r="J559" s="31">
        <v>13.0</v>
      </c>
      <c r="K559" s="35"/>
      <c r="L559" s="35"/>
      <c r="M559" s="35"/>
      <c r="N559" s="35"/>
      <c r="O559" s="35"/>
      <c r="P559" s="35"/>
      <c r="Q559" s="35"/>
      <c r="R559" s="35"/>
      <c r="S559" s="37">
        <f>IF(B559="","",IF(ISNUMBER(J559),IF(J559&lt;=10,'Configuración'!$B$23,IF(J559&lt;=50,'Configuración'!$B$24,IF(J559&lt;=200,'Configuración'!$B$25,0))),0))</f>
        <v>4</v>
      </c>
      <c r="T559" s="37">
        <f>IF(B559="","",IF(ISNUMBER(SEARCH("information technology",I559))+ISNUMBER(SEARCH("software",I559))+ISNUMBER(SEARCH("internet",I559))+ISNUMBER(SEARCH("computer",I559))+ISNUMBER(SEARCH("saas",I559))+ISNUMBER(SEARCH("fintech",I559))+ISNUMBER(SEARCH("information services",I559))+ISNUMBER(SEARCH("telecommunications",I559))&gt;0,'Configuración'!$B$27,'Configuración'!$B$28))</f>
        <v>4</v>
      </c>
      <c r="U559" s="25">
        <f>IF(B559="","",IF(ISNUMBER(SEARCH("CEO",C559))+ISNUMBER(SEARCH("Founder",C559))+ISNUMBER(SEARCH("Owner",C559))+ISNUMBER(SEARCH("Dueño",C559))+ISNUMBER(SEARCH("Director General",C559))+ISNUMBER(SEARCH("Presidente",C559))+ISNUMBER(SEARCH("President",C559))&gt;0,'Configuración'!$B$31,IF(ISNUMBER(SEARCH("CMO",C559))+ISNUMBER(SEARCH("Chief Marketing",C559))+ISNUMBER(SEARCH("VP Marketing",C559))+ISNUMBER(SEARCH("Director de Marketing",C559))+ISNUMBER(SEARCH("Director Marketing",C559))+ISNUMBER(SEARCH("Head of Marketing",C559))+ISNUMBER(SEARCH("Head Marketing",C559))&gt;0,'Configuración'!$B$32,IF(ISNUMBER(SEARCH("Marketing Manager",C559))+ISNUMBER(SEARCH("Gerente de Marketing",C559))+ISNUMBER(SEARCH("Growth Manager",C559))+ISNUMBER(SEARCH("Demand Gen",C559))+ISNUMBER(SEARCH("Marketing Lead",C559))&gt;0,'Configuración'!$B$33,IF(ISNUMBER(SEARCH("COO",C559))+ISNUMBER(SEARCH("CFO",C559))+ISNUMBER(SEARCH("CTO",C559))+ISNUMBER(SEARCH("Chief Operating",C559))+ISNUMBER(SEARCH("Chief Financial",C559))+ISNUMBER(SEARCH("Gerente General",C559))+ISNUMBER(SEARCH("General Manager",C559))&gt;0,'Configuración'!$B$34,'Configuración'!$B$35)))))</f>
        <v>12</v>
      </c>
      <c r="V559" s="38">
        <f>IF(B559="","",IF(K559="Sí",'Configuración'!$B$5,0)+IF(L559="Semanal",'Configuración'!$B$6,IF(L559="Mensual",'Configuración'!$B$7,0))+IF(M559="Sí",'Configuración'!$B$8,0)+IF(N559="Sí",'Configuración'!$B$9,0)+IF(O559="Sí",'Configuración'!$B$10,0)+IF(P559="Sí",'Configuración'!$B$11,0)+IF(Q559="Sí",'Configuración'!$B$12,0)+S559+T559+U559)</f>
        <v>20</v>
      </c>
      <c r="W559" s="39" t="str">
        <f>IF(B559="","",IF(V559&gt;='Configuración'!$B$19,"A",IF(V559&gt;='Configuración'!$B$20,"B",IF(V559&gt;='Configuración'!$B$21,"C","Descarte"))))</f>
        <v>Descarte</v>
      </c>
    </row>
    <row r="560" ht="15.75" customHeight="1">
      <c r="A560" s="34">
        <f t="shared" si="1"/>
        <v>558</v>
      </c>
      <c r="B560" s="29" t="s">
        <v>3408</v>
      </c>
      <c r="C560" s="29" t="s">
        <v>3409</v>
      </c>
      <c r="D560" s="29" t="s">
        <v>3410</v>
      </c>
      <c r="E560" s="29" t="s">
        <v>3411</v>
      </c>
      <c r="F560" s="30" t="s">
        <v>3412</v>
      </c>
      <c r="G560" s="30" t="s">
        <v>3413</v>
      </c>
      <c r="H560" s="30" t="s">
        <v>3414</v>
      </c>
      <c r="I560" s="29" t="s">
        <v>2904</v>
      </c>
      <c r="J560" s="31">
        <v>13.0</v>
      </c>
      <c r="K560" s="35"/>
      <c r="L560" s="35"/>
      <c r="M560" s="35"/>
      <c r="N560" s="35"/>
      <c r="O560" s="35"/>
      <c r="P560" s="35"/>
      <c r="Q560" s="35"/>
      <c r="R560" s="35"/>
      <c r="S560" s="37">
        <f>IF(B560="","",IF(ISNUMBER(J560),IF(J560&lt;=10,'Configuración'!$B$23,IF(J560&lt;=50,'Configuración'!$B$24,IF(J560&lt;=200,'Configuración'!$B$25,0))),0))</f>
        <v>4</v>
      </c>
      <c r="T560" s="37">
        <f>IF(B560="","",IF(ISNUMBER(SEARCH("information technology",I560))+ISNUMBER(SEARCH("software",I560))+ISNUMBER(SEARCH("internet",I560))+ISNUMBER(SEARCH("computer",I560))+ISNUMBER(SEARCH("saas",I560))+ISNUMBER(SEARCH("fintech",I560))+ISNUMBER(SEARCH("information services",I560))+ISNUMBER(SEARCH("telecommunications",I560))&gt;0,'Configuración'!$B$27,'Configuración'!$B$28))</f>
        <v>4</v>
      </c>
      <c r="U560" s="25">
        <f>IF(B560="","",IF(ISNUMBER(SEARCH("CEO",C560))+ISNUMBER(SEARCH("Founder",C560))+ISNUMBER(SEARCH("Owner",C560))+ISNUMBER(SEARCH("Dueño",C560))+ISNUMBER(SEARCH("Director General",C560))+ISNUMBER(SEARCH("Presidente",C560))+ISNUMBER(SEARCH("President",C560))&gt;0,'Configuración'!$B$31,IF(ISNUMBER(SEARCH("CMO",C560))+ISNUMBER(SEARCH("Chief Marketing",C560))+ISNUMBER(SEARCH("VP Marketing",C560))+ISNUMBER(SEARCH("Director de Marketing",C560))+ISNUMBER(SEARCH("Director Marketing",C560))+ISNUMBER(SEARCH("Head of Marketing",C560))+ISNUMBER(SEARCH("Head Marketing",C560))&gt;0,'Configuración'!$B$32,IF(ISNUMBER(SEARCH("Marketing Manager",C560))+ISNUMBER(SEARCH("Gerente de Marketing",C560))+ISNUMBER(SEARCH("Growth Manager",C560))+ISNUMBER(SEARCH("Demand Gen",C560))+ISNUMBER(SEARCH("Marketing Lead",C560))&gt;0,'Configuración'!$B$33,IF(ISNUMBER(SEARCH("COO",C560))+ISNUMBER(SEARCH("CFO",C560))+ISNUMBER(SEARCH("CTO",C560))+ISNUMBER(SEARCH("Chief Operating",C560))+ISNUMBER(SEARCH("Chief Financial",C560))+ISNUMBER(SEARCH("Gerente General",C560))+ISNUMBER(SEARCH("General Manager",C560))&gt;0,'Configuración'!$B$34,'Configuración'!$B$35)))))</f>
        <v>0</v>
      </c>
      <c r="V560" s="38">
        <f>IF(B560="","",IF(K560="Sí",'Configuración'!$B$5,0)+IF(L560="Semanal",'Configuración'!$B$6,IF(L560="Mensual",'Configuración'!$B$7,0))+IF(M560="Sí",'Configuración'!$B$8,0)+IF(N560="Sí",'Configuración'!$B$9,0)+IF(O560="Sí",'Configuración'!$B$10,0)+IF(P560="Sí",'Configuración'!$B$11,0)+IF(Q560="Sí",'Configuración'!$B$12,0)+S560+T560+U560)</f>
        <v>8</v>
      </c>
      <c r="W560" s="39" t="str">
        <f>IF(B560="","",IF(V560&gt;='Configuración'!$B$19,"A",IF(V560&gt;='Configuración'!$B$20,"B",IF(V560&gt;='Configuración'!$B$21,"C","Descarte"))))</f>
        <v>Descarte</v>
      </c>
    </row>
    <row r="561" ht="15.75" customHeight="1">
      <c r="A561" s="34">
        <f t="shared" si="1"/>
        <v>559</v>
      </c>
      <c r="B561" s="29" t="s">
        <v>813</v>
      </c>
      <c r="C561" s="29" t="s">
        <v>3415</v>
      </c>
      <c r="D561" s="29" t="s">
        <v>3416</v>
      </c>
      <c r="E561" s="29" t="s">
        <v>3417</v>
      </c>
      <c r="F561" s="30" t="s">
        <v>3418</v>
      </c>
      <c r="G561" s="30" t="s">
        <v>3419</v>
      </c>
      <c r="H561" s="30" t="s">
        <v>3420</v>
      </c>
      <c r="I561" s="29" t="s">
        <v>188</v>
      </c>
      <c r="J561" s="31">
        <v>1.0</v>
      </c>
      <c r="K561" s="35"/>
      <c r="L561" s="35"/>
      <c r="M561" s="35"/>
      <c r="N561" s="35"/>
      <c r="O561" s="35"/>
      <c r="P561" s="35"/>
      <c r="Q561" s="35"/>
      <c r="R561" s="35"/>
      <c r="S561" s="37">
        <f>IF(B561="","",IF(ISNUMBER(J561),IF(J561&lt;=10,'Configuración'!$B$23,IF(J561&lt;=50,'Configuración'!$B$24,IF(J561&lt;=200,'Configuración'!$B$25,0))),0))</f>
        <v>12</v>
      </c>
      <c r="T561" s="37">
        <f>IF(B561="","",IF(ISNUMBER(SEARCH("information technology",I561))+ISNUMBER(SEARCH("software",I561))+ISNUMBER(SEARCH("internet",I561))+ISNUMBER(SEARCH("computer",I561))+ISNUMBER(SEARCH("saas",I561))+ISNUMBER(SEARCH("fintech",I561))+ISNUMBER(SEARCH("information services",I561))+ISNUMBER(SEARCH("telecommunications",I561))&gt;0,'Configuración'!$B$27,'Configuración'!$B$28))</f>
        <v>4</v>
      </c>
      <c r="U561" s="25">
        <f>IF(B561="","",IF(ISNUMBER(SEARCH("CEO",C561))+ISNUMBER(SEARCH("Founder",C561))+ISNUMBER(SEARCH("Owner",C561))+ISNUMBER(SEARCH("Dueño",C561))+ISNUMBER(SEARCH("Director General",C561))+ISNUMBER(SEARCH("Presidente",C561))+ISNUMBER(SEARCH("President",C561))&gt;0,'Configuración'!$B$31,IF(ISNUMBER(SEARCH("CMO",C561))+ISNUMBER(SEARCH("Chief Marketing",C561))+ISNUMBER(SEARCH("VP Marketing",C561))+ISNUMBER(SEARCH("Director de Marketing",C561))+ISNUMBER(SEARCH("Director Marketing",C561))+ISNUMBER(SEARCH("Head of Marketing",C561))+ISNUMBER(SEARCH("Head Marketing",C561))&gt;0,'Configuración'!$B$32,IF(ISNUMBER(SEARCH("Marketing Manager",C561))+ISNUMBER(SEARCH("Gerente de Marketing",C561))+ISNUMBER(SEARCH("Growth Manager",C561))+ISNUMBER(SEARCH("Demand Gen",C561))+ISNUMBER(SEARCH("Marketing Lead",C561))&gt;0,'Configuración'!$B$33,IF(ISNUMBER(SEARCH("COO",C561))+ISNUMBER(SEARCH("CFO",C561))+ISNUMBER(SEARCH("CTO",C561))+ISNUMBER(SEARCH("Chief Operating",C561))+ISNUMBER(SEARCH("Chief Financial",C561))+ISNUMBER(SEARCH("Gerente General",C561))+ISNUMBER(SEARCH("General Manager",C561))&gt;0,'Configuración'!$B$34,'Configuración'!$B$35)))))</f>
        <v>12</v>
      </c>
      <c r="V561" s="38">
        <f>IF(B561="","",IF(K561="Sí",'Configuración'!$B$5,0)+IF(L561="Semanal",'Configuración'!$B$6,IF(L561="Mensual",'Configuración'!$B$7,0))+IF(M561="Sí",'Configuración'!$B$8,0)+IF(N561="Sí",'Configuración'!$B$9,0)+IF(O561="Sí",'Configuración'!$B$10,0)+IF(P561="Sí",'Configuración'!$B$11,0)+IF(Q561="Sí",'Configuración'!$B$12,0)+S561+T561+U561)</f>
        <v>28</v>
      </c>
      <c r="W561" s="39" t="str">
        <f>IF(B561="","",IF(V561&gt;='Configuración'!$B$19,"A",IF(V561&gt;='Configuración'!$B$20,"B",IF(V561&gt;='Configuración'!$B$21,"C","Descarte"))))</f>
        <v>C</v>
      </c>
    </row>
    <row r="562" ht="15.75" customHeight="1">
      <c r="A562" s="34">
        <f t="shared" si="1"/>
        <v>560</v>
      </c>
      <c r="B562" s="29" t="s">
        <v>3421</v>
      </c>
      <c r="C562" s="29" t="s">
        <v>3422</v>
      </c>
      <c r="D562" s="29" t="s">
        <v>3423</v>
      </c>
      <c r="E562" s="29" t="s">
        <v>3424</v>
      </c>
      <c r="F562" s="30" t="s">
        <v>3425</v>
      </c>
      <c r="G562" s="30" t="s">
        <v>3426</v>
      </c>
      <c r="H562" s="30" t="s">
        <v>3427</v>
      </c>
      <c r="I562" s="29" t="s">
        <v>428</v>
      </c>
      <c r="J562" s="31">
        <v>29.0</v>
      </c>
      <c r="K562" s="35"/>
      <c r="L562" s="35"/>
      <c r="M562" s="35"/>
      <c r="N562" s="35"/>
      <c r="O562" s="35"/>
      <c r="P562" s="35"/>
      <c r="Q562" s="35"/>
      <c r="R562" s="35"/>
      <c r="S562" s="37">
        <f>IF(B562="","",IF(ISNUMBER(J562),IF(J562&lt;=10,'Configuración'!$B$23,IF(J562&lt;=50,'Configuración'!$B$24,IF(J562&lt;=200,'Configuración'!$B$25,0))),0))</f>
        <v>4</v>
      </c>
      <c r="T562" s="37">
        <f>IF(B562="","",IF(ISNUMBER(SEARCH("information technology",I562))+ISNUMBER(SEARCH("software",I562))+ISNUMBER(SEARCH("internet",I562))+ISNUMBER(SEARCH("computer",I562))+ISNUMBER(SEARCH("saas",I562))+ISNUMBER(SEARCH("fintech",I562))+ISNUMBER(SEARCH("information services",I562))+ISNUMBER(SEARCH("telecommunications",I562))&gt;0,'Configuración'!$B$27,'Configuración'!$B$28))</f>
        <v>12</v>
      </c>
      <c r="U562" s="25">
        <f>IF(B562="","",IF(ISNUMBER(SEARCH("CEO",C562))+ISNUMBER(SEARCH("Founder",C562))+ISNUMBER(SEARCH("Owner",C562))+ISNUMBER(SEARCH("Dueño",C562))+ISNUMBER(SEARCH("Director General",C562))+ISNUMBER(SEARCH("Presidente",C562))+ISNUMBER(SEARCH("President",C562))&gt;0,'Configuración'!$B$31,IF(ISNUMBER(SEARCH("CMO",C562))+ISNUMBER(SEARCH("Chief Marketing",C562))+ISNUMBER(SEARCH("VP Marketing",C562))+ISNUMBER(SEARCH("Director de Marketing",C562))+ISNUMBER(SEARCH("Director Marketing",C562))+ISNUMBER(SEARCH("Head of Marketing",C562))+ISNUMBER(SEARCH("Head Marketing",C562))&gt;0,'Configuración'!$B$32,IF(ISNUMBER(SEARCH("Marketing Manager",C562))+ISNUMBER(SEARCH("Gerente de Marketing",C562))+ISNUMBER(SEARCH("Growth Manager",C562))+ISNUMBER(SEARCH("Demand Gen",C562))+ISNUMBER(SEARCH("Marketing Lead",C562))&gt;0,'Configuración'!$B$33,IF(ISNUMBER(SEARCH("COO",C562))+ISNUMBER(SEARCH("CFO",C562))+ISNUMBER(SEARCH("CTO",C562))+ISNUMBER(SEARCH("Chief Operating",C562))+ISNUMBER(SEARCH("Chief Financial",C562))+ISNUMBER(SEARCH("Gerente General",C562))+ISNUMBER(SEARCH("General Manager",C562))&gt;0,'Configuración'!$B$34,'Configuración'!$B$35)))))</f>
        <v>4</v>
      </c>
      <c r="V562" s="38">
        <f>IF(B562="","",IF(K562="Sí",'Configuración'!$B$5,0)+IF(L562="Semanal",'Configuración'!$B$6,IF(L562="Mensual",'Configuración'!$B$7,0))+IF(M562="Sí",'Configuración'!$B$8,0)+IF(N562="Sí",'Configuración'!$B$9,0)+IF(O562="Sí",'Configuración'!$B$10,0)+IF(P562="Sí",'Configuración'!$B$11,0)+IF(Q562="Sí",'Configuración'!$B$12,0)+S562+T562+U562)</f>
        <v>20</v>
      </c>
      <c r="W562" s="39" t="str">
        <f>IF(B562="","",IF(V562&gt;='Configuración'!$B$19,"A",IF(V562&gt;='Configuración'!$B$20,"B",IF(V562&gt;='Configuración'!$B$21,"C","Descarte"))))</f>
        <v>Descarte</v>
      </c>
    </row>
    <row r="563" ht="15.75" customHeight="1">
      <c r="A563" s="34">
        <f t="shared" si="1"/>
        <v>561</v>
      </c>
      <c r="B563" s="29" t="s">
        <v>174</v>
      </c>
      <c r="C563" s="29" t="s">
        <v>131</v>
      </c>
      <c r="D563" s="29" t="s">
        <v>3428</v>
      </c>
      <c r="E563" s="29" t="s">
        <v>3429</v>
      </c>
      <c r="F563" s="30" t="s">
        <v>3430</v>
      </c>
      <c r="G563" s="30" t="s">
        <v>3431</v>
      </c>
      <c r="H563" s="30" t="s">
        <v>3432</v>
      </c>
      <c r="I563" s="29" t="s">
        <v>428</v>
      </c>
      <c r="J563" s="31">
        <v>20.0</v>
      </c>
      <c r="K563" s="35"/>
      <c r="L563" s="35"/>
      <c r="M563" s="35"/>
      <c r="N563" s="35"/>
      <c r="O563" s="35"/>
      <c r="P563" s="35"/>
      <c r="Q563" s="35"/>
      <c r="R563" s="35"/>
      <c r="S563" s="37">
        <f>IF(B563="","",IF(ISNUMBER(J563),IF(J563&lt;=10,'Configuración'!$B$23,IF(J563&lt;=50,'Configuración'!$B$24,IF(J563&lt;=200,'Configuración'!$B$25,0))),0))</f>
        <v>4</v>
      </c>
      <c r="T563" s="37">
        <f>IF(B563="","",IF(ISNUMBER(SEARCH("information technology",I563))+ISNUMBER(SEARCH("software",I563))+ISNUMBER(SEARCH("internet",I563))+ISNUMBER(SEARCH("computer",I563))+ISNUMBER(SEARCH("saas",I563))+ISNUMBER(SEARCH("fintech",I563))+ISNUMBER(SEARCH("information services",I563))+ISNUMBER(SEARCH("telecommunications",I563))&gt;0,'Configuración'!$B$27,'Configuración'!$B$28))</f>
        <v>12</v>
      </c>
      <c r="U563" s="25">
        <f>IF(B563="","",IF(ISNUMBER(SEARCH("CEO",C563))+ISNUMBER(SEARCH("Founder",C563))+ISNUMBER(SEARCH("Owner",C563))+ISNUMBER(SEARCH("Dueño",C563))+ISNUMBER(SEARCH("Director General",C563))+ISNUMBER(SEARCH("Presidente",C563))+ISNUMBER(SEARCH("President",C563))&gt;0,'Configuración'!$B$31,IF(ISNUMBER(SEARCH("CMO",C563))+ISNUMBER(SEARCH("Chief Marketing",C563))+ISNUMBER(SEARCH("VP Marketing",C563))+ISNUMBER(SEARCH("Director de Marketing",C563))+ISNUMBER(SEARCH("Director Marketing",C563))+ISNUMBER(SEARCH("Head of Marketing",C563))+ISNUMBER(SEARCH("Head Marketing",C563))&gt;0,'Configuración'!$B$32,IF(ISNUMBER(SEARCH("Marketing Manager",C563))+ISNUMBER(SEARCH("Gerente de Marketing",C563))+ISNUMBER(SEARCH("Growth Manager",C563))+ISNUMBER(SEARCH("Demand Gen",C563))+ISNUMBER(SEARCH("Marketing Lead",C563))&gt;0,'Configuración'!$B$33,IF(ISNUMBER(SEARCH("COO",C563))+ISNUMBER(SEARCH("CFO",C563))+ISNUMBER(SEARCH("CTO",C563))+ISNUMBER(SEARCH("Chief Operating",C563))+ISNUMBER(SEARCH("Chief Financial",C563))+ISNUMBER(SEARCH("Gerente General",C563))+ISNUMBER(SEARCH("General Manager",C563))&gt;0,'Configuración'!$B$34,'Configuración'!$B$35)))))</f>
        <v>12</v>
      </c>
      <c r="V563" s="38">
        <f>IF(B563="","",IF(K563="Sí",'Configuración'!$B$5,0)+IF(L563="Semanal",'Configuración'!$B$6,IF(L563="Mensual",'Configuración'!$B$7,0))+IF(M563="Sí",'Configuración'!$B$8,0)+IF(N563="Sí",'Configuración'!$B$9,0)+IF(O563="Sí",'Configuración'!$B$10,0)+IF(P563="Sí",'Configuración'!$B$11,0)+IF(Q563="Sí",'Configuración'!$B$12,0)+S563+T563+U563)</f>
        <v>28</v>
      </c>
      <c r="W563" s="39" t="str">
        <f>IF(B563="","",IF(V563&gt;='Configuración'!$B$19,"A",IF(V563&gt;='Configuración'!$B$20,"B",IF(V563&gt;='Configuración'!$B$21,"C","Descarte"))))</f>
        <v>C</v>
      </c>
    </row>
    <row r="564" ht="15.75" customHeight="1">
      <c r="A564" s="34">
        <f t="shared" si="1"/>
        <v>562</v>
      </c>
      <c r="B564" s="29" t="s">
        <v>174</v>
      </c>
      <c r="C564" s="29" t="s">
        <v>1815</v>
      </c>
      <c r="D564" s="29" t="s">
        <v>3433</v>
      </c>
      <c r="E564" s="29" t="s">
        <v>3434</v>
      </c>
      <c r="F564" s="30" t="s">
        <v>3435</v>
      </c>
      <c r="G564" s="30" t="s">
        <v>3436</v>
      </c>
      <c r="H564" s="30" t="s">
        <v>3437</v>
      </c>
      <c r="I564" s="29" t="s">
        <v>127</v>
      </c>
      <c r="J564" s="31">
        <v>6.0</v>
      </c>
      <c r="K564" s="35"/>
      <c r="L564" s="35"/>
      <c r="M564" s="35"/>
      <c r="N564" s="35"/>
      <c r="O564" s="35"/>
      <c r="P564" s="35"/>
      <c r="Q564" s="35"/>
      <c r="R564" s="35"/>
      <c r="S564" s="37">
        <f>IF(B564="","",IF(ISNUMBER(J564),IF(J564&lt;=10,'Configuración'!$B$23,IF(J564&lt;=50,'Configuración'!$B$24,IF(J564&lt;=200,'Configuración'!$B$25,0))),0))</f>
        <v>12</v>
      </c>
      <c r="T564" s="37">
        <f>IF(B564="","",IF(ISNUMBER(SEARCH("information technology",I564))+ISNUMBER(SEARCH("software",I564))+ISNUMBER(SEARCH("internet",I564))+ISNUMBER(SEARCH("computer",I564))+ISNUMBER(SEARCH("saas",I564))+ISNUMBER(SEARCH("fintech",I564))+ISNUMBER(SEARCH("information services",I564))+ISNUMBER(SEARCH("telecommunications",I564))&gt;0,'Configuración'!$B$27,'Configuración'!$B$28))</f>
        <v>12</v>
      </c>
      <c r="U564" s="25">
        <f>IF(B564="","",IF(ISNUMBER(SEARCH("CEO",C564))+ISNUMBER(SEARCH("Founder",C564))+ISNUMBER(SEARCH("Owner",C564))+ISNUMBER(SEARCH("Dueño",C564))+ISNUMBER(SEARCH("Director General",C564))+ISNUMBER(SEARCH("Presidente",C564))+ISNUMBER(SEARCH("President",C564))&gt;0,'Configuración'!$B$31,IF(ISNUMBER(SEARCH("CMO",C564))+ISNUMBER(SEARCH("Chief Marketing",C564))+ISNUMBER(SEARCH("VP Marketing",C564))+ISNUMBER(SEARCH("Director de Marketing",C564))+ISNUMBER(SEARCH("Director Marketing",C564))+ISNUMBER(SEARCH("Head of Marketing",C564))+ISNUMBER(SEARCH("Head Marketing",C564))&gt;0,'Configuración'!$B$32,IF(ISNUMBER(SEARCH("Marketing Manager",C564))+ISNUMBER(SEARCH("Gerente de Marketing",C564))+ISNUMBER(SEARCH("Growth Manager",C564))+ISNUMBER(SEARCH("Demand Gen",C564))+ISNUMBER(SEARCH("Marketing Lead",C564))&gt;0,'Configuración'!$B$33,IF(ISNUMBER(SEARCH("COO",C564))+ISNUMBER(SEARCH("CFO",C564))+ISNUMBER(SEARCH("CTO",C564))+ISNUMBER(SEARCH("Chief Operating",C564))+ISNUMBER(SEARCH("Chief Financial",C564))+ISNUMBER(SEARCH("Gerente General",C564))+ISNUMBER(SEARCH("General Manager",C564))&gt;0,'Configuración'!$B$34,'Configuración'!$B$35)))))</f>
        <v>12</v>
      </c>
      <c r="V564" s="38">
        <f>IF(B564="","",IF(K564="Sí",'Configuración'!$B$5,0)+IF(L564="Semanal",'Configuración'!$B$6,IF(L564="Mensual",'Configuración'!$B$7,0))+IF(M564="Sí",'Configuración'!$B$8,0)+IF(N564="Sí",'Configuración'!$B$9,0)+IF(O564="Sí",'Configuración'!$B$10,0)+IF(P564="Sí",'Configuración'!$B$11,0)+IF(Q564="Sí",'Configuración'!$B$12,0)+S564+T564+U564)</f>
        <v>36</v>
      </c>
      <c r="W564" s="39" t="str">
        <f>IF(B564="","",IF(V564&gt;='Configuración'!$B$19,"A",IF(V564&gt;='Configuración'!$B$20,"B",IF(V564&gt;='Configuración'!$B$21,"C","Descarte"))))</f>
        <v>C</v>
      </c>
    </row>
    <row r="565" ht="15.75" customHeight="1">
      <c r="A565" s="34">
        <f t="shared" si="1"/>
        <v>563</v>
      </c>
      <c r="B565" s="29" t="s">
        <v>166</v>
      </c>
      <c r="C565" s="29" t="s">
        <v>318</v>
      </c>
      <c r="D565" s="29" t="s">
        <v>3438</v>
      </c>
      <c r="E565" s="29" t="s">
        <v>3439</v>
      </c>
      <c r="F565" s="30" t="s">
        <v>3440</v>
      </c>
      <c r="G565" s="30" t="s">
        <v>3441</v>
      </c>
      <c r="H565" s="30" t="s">
        <v>3442</v>
      </c>
      <c r="I565" s="29" t="s">
        <v>350</v>
      </c>
      <c r="J565" s="31">
        <v>3.0</v>
      </c>
      <c r="K565" s="35"/>
      <c r="L565" s="35"/>
      <c r="M565" s="35"/>
      <c r="N565" s="35"/>
      <c r="O565" s="35"/>
      <c r="P565" s="35"/>
      <c r="Q565" s="35"/>
      <c r="R565" s="35"/>
      <c r="S565" s="37">
        <f>IF(B565="","",IF(ISNUMBER(J565),IF(J565&lt;=10,'Configuración'!$B$23,IF(J565&lt;=50,'Configuración'!$B$24,IF(J565&lt;=200,'Configuración'!$B$25,0))),0))</f>
        <v>12</v>
      </c>
      <c r="T565" s="37">
        <f>IF(B565="","",IF(ISNUMBER(SEARCH("information technology",I565))+ISNUMBER(SEARCH("software",I565))+ISNUMBER(SEARCH("internet",I565))+ISNUMBER(SEARCH("computer",I565))+ISNUMBER(SEARCH("saas",I565))+ISNUMBER(SEARCH("fintech",I565))+ISNUMBER(SEARCH("information services",I565))+ISNUMBER(SEARCH("telecommunications",I565))&gt;0,'Configuración'!$B$27,'Configuración'!$B$28))</f>
        <v>4</v>
      </c>
      <c r="U565" s="25">
        <f>IF(B565="","",IF(ISNUMBER(SEARCH("CEO",C565))+ISNUMBER(SEARCH("Founder",C565))+ISNUMBER(SEARCH("Owner",C565))+ISNUMBER(SEARCH("Dueño",C565))+ISNUMBER(SEARCH("Director General",C565))+ISNUMBER(SEARCH("Presidente",C565))+ISNUMBER(SEARCH("President",C565))&gt;0,'Configuración'!$B$31,IF(ISNUMBER(SEARCH("CMO",C565))+ISNUMBER(SEARCH("Chief Marketing",C565))+ISNUMBER(SEARCH("VP Marketing",C565))+ISNUMBER(SEARCH("Director de Marketing",C565))+ISNUMBER(SEARCH("Director Marketing",C565))+ISNUMBER(SEARCH("Head of Marketing",C565))+ISNUMBER(SEARCH("Head Marketing",C565))&gt;0,'Configuración'!$B$32,IF(ISNUMBER(SEARCH("Marketing Manager",C565))+ISNUMBER(SEARCH("Gerente de Marketing",C565))+ISNUMBER(SEARCH("Growth Manager",C565))+ISNUMBER(SEARCH("Demand Gen",C565))+ISNUMBER(SEARCH("Marketing Lead",C565))&gt;0,'Configuración'!$B$33,IF(ISNUMBER(SEARCH("COO",C565))+ISNUMBER(SEARCH("CFO",C565))+ISNUMBER(SEARCH("CTO",C565))+ISNUMBER(SEARCH("Chief Operating",C565))+ISNUMBER(SEARCH("Chief Financial",C565))+ISNUMBER(SEARCH("Gerente General",C565))+ISNUMBER(SEARCH("General Manager",C565))&gt;0,'Configuración'!$B$34,'Configuración'!$B$35)))))</f>
        <v>4</v>
      </c>
      <c r="V565" s="38">
        <f>IF(B565="","",IF(K565="Sí",'Configuración'!$B$5,0)+IF(L565="Semanal",'Configuración'!$B$6,IF(L565="Mensual",'Configuración'!$B$7,0))+IF(M565="Sí",'Configuración'!$B$8,0)+IF(N565="Sí",'Configuración'!$B$9,0)+IF(O565="Sí",'Configuración'!$B$10,0)+IF(P565="Sí",'Configuración'!$B$11,0)+IF(Q565="Sí",'Configuración'!$B$12,0)+S565+T565+U565)</f>
        <v>20</v>
      </c>
      <c r="W565" s="39" t="str">
        <f>IF(B565="","",IF(V565&gt;='Configuración'!$B$19,"A",IF(V565&gt;='Configuración'!$B$20,"B",IF(V565&gt;='Configuración'!$B$21,"C","Descarte"))))</f>
        <v>Descarte</v>
      </c>
    </row>
    <row r="566" ht="15.75" customHeight="1">
      <c r="A566" s="34">
        <f t="shared" si="1"/>
        <v>564</v>
      </c>
      <c r="B566" s="29" t="s">
        <v>529</v>
      </c>
      <c r="C566" s="29" t="s">
        <v>494</v>
      </c>
      <c r="D566" s="29" t="s">
        <v>3443</v>
      </c>
      <c r="E566" s="29" t="s">
        <v>3444</v>
      </c>
      <c r="F566" s="30" t="s">
        <v>3445</v>
      </c>
      <c r="G566" s="30" t="s">
        <v>3446</v>
      </c>
      <c r="H566" s="30" t="s">
        <v>3447</v>
      </c>
      <c r="I566" s="29" t="s">
        <v>249</v>
      </c>
      <c r="J566" s="31">
        <v>18.0</v>
      </c>
      <c r="K566" s="35"/>
      <c r="L566" s="35"/>
      <c r="M566" s="35"/>
      <c r="N566" s="35"/>
      <c r="O566" s="35"/>
      <c r="P566" s="35"/>
      <c r="Q566" s="35"/>
      <c r="R566" s="35"/>
      <c r="S566" s="37">
        <f>IF(B566="","",IF(ISNUMBER(J566),IF(J566&lt;=10,'Configuración'!$B$23,IF(J566&lt;=50,'Configuración'!$B$24,IF(J566&lt;=200,'Configuración'!$B$25,0))),0))</f>
        <v>4</v>
      </c>
      <c r="T566" s="37">
        <f>IF(B566="","",IF(ISNUMBER(SEARCH("information technology",I566))+ISNUMBER(SEARCH("software",I566))+ISNUMBER(SEARCH("internet",I566))+ISNUMBER(SEARCH("computer",I566))+ISNUMBER(SEARCH("saas",I566))+ISNUMBER(SEARCH("fintech",I566))+ISNUMBER(SEARCH("information services",I566))+ISNUMBER(SEARCH("telecommunications",I566))&gt;0,'Configuración'!$B$27,'Configuración'!$B$28))</f>
        <v>4</v>
      </c>
      <c r="U566" s="25">
        <f>IF(B566="","",IF(ISNUMBER(SEARCH("CEO",C566))+ISNUMBER(SEARCH("Founder",C566))+ISNUMBER(SEARCH("Owner",C566))+ISNUMBER(SEARCH("Dueño",C566))+ISNUMBER(SEARCH("Director General",C566))+ISNUMBER(SEARCH("Presidente",C566))+ISNUMBER(SEARCH("President",C566))&gt;0,'Configuración'!$B$31,IF(ISNUMBER(SEARCH("CMO",C566))+ISNUMBER(SEARCH("Chief Marketing",C566))+ISNUMBER(SEARCH("VP Marketing",C566))+ISNUMBER(SEARCH("Director de Marketing",C566))+ISNUMBER(SEARCH("Director Marketing",C566))+ISNUMBER(SEARCH("Head of Marketing",C566))+ISNUMBER(SEARCH("Head Marketing",C566))&gt;0,'Configuración'!$B$32,IF(ISNUMBER(SEARCH("Marketing Manager",C566))+ISNUMBER(SEARCH("Gerente de Marketing",C566))+ISNUMBER(SEARCH("Growth Manager",C566))+ISNUMBER(SEARCH("Demand Gen",C566))+ISNUMBER(SEARCH("Marketing Lead",C566))&gt;0,'Configuración'!$B$33,IF(ISNUMBER(SEARCH("COO",C566))+ISNUMBER(SEARCH("CFO",C566))+ISNUMBER(SEARCH("CTO",C566))+ISNUMBER(SEARCH("Chief Operating",C566))+ISNUMBER(SEARCH("Chief Financial",C566))+ISNUMBER(SEARCH("Gerente General",C566))+ISNUMBER(SEARCH("General Manager",C566))&gt;0,'Configuración'!$B$34,'Configuración'!$B$35)))))</f>
        <v>4</v>
      </c>
      <c r="V566" s="38">
        <f>IF(B566="","",IF(K566="Sí",'Configuración'!$B$5,0)+IF(L566="Semanal",'Configuración'!$B$6,IF(L566="Mensual",'Configuración'!$B$7,0))+IF(M566="Sí",'Configuración'!$B$8,0)+IF(N566="Sí",'Configuración'!$B$9,0)+IF(O566="Sí",'Configuración'!$B$10,0)+IF(P566="Sí",'Configuración'!$B$11,0)+IF(Q566="Sí",'Configuración'!$B$12,0)+S566+T566+U566)</f>
        <v>12</v>
      </c>
      <c r="W566" s="39" t="str">
        <f>IF(B566="","",IF(V566&gt;='Configuración'!$B$19,"A",IF(V566&gt;='Configuración'!$B$20,"B",IF(V566&gt;='Configuración'!$B$21,"C","Descarte"))))</f>
        <v>Descarte</v>
      </c>
    </row>
    <row r="567" ht="15.75" customHeight="1">
      <c r="A567" s="34">
        <f t="shared" si="1"/>
        <v>565</v>
      </c>
      <c r="B567" s="29" t="s">
        <v>603</v>
      </c>
      <c r="C567" s="29" t="s">
        <v>2297</v>
      </c>
      <c r="D567" s="29" t="s">
        <v>3448</v>
      </c>
      <c r="E567" s="29" t="s">
        <v>3449</v>
      </c>
      <c r="F567" s="30" t="s">
        <v>3450</v>
      </c>
      <c r="G567" s="30" t="s">
        <v>3451</v>
      </c>
      <c r="H567" s="30" t="s">
        <v>3452</v>
      </c>
      <c r="I567" s="29" t="s">
        <v>127</v>
      </c>
      <c r="J567" s="31">
        <v>11.0</v>
      </c>
      <c r="K567" s="35"/>
      <c r="L567" s="35"/>
      <c r="M567" s="35"/>
      <c r="N567" s="35"/>
      <c r="O567" s="35"/>
      <c r="P567" s="35"/>
      <c r="Q567" s="35"/>
      <c r="R567" s="35"/>
      <c r="S567" s="37">
        <f>IF(B567="","",IF(ISNUMBER(J567),IF(J567&lt;=10,'Configuración'!$B$23,IF(J567&lt;=50,'Configuración'!$B$24,IF(J567&lt;=200,'Configuración'!$B$25,0))),0))</f>
        <v>4</v>
      </c>
      <c r="T567" s="37">
        <f>IF(B567="","",IF(ISNUMBER(SEARCH("information technology",I567))+ISNUMBER(SEARCH("software",I567))+ISNUMBER(SEARCH("internet",I567))+ISNUMBER(SEARCH("computer",I567))+ISNUMBER(SEARCH("saas",I567))+ISNUMBER(SEARCH("fintech",I567))+ISNUMBER(SEARCH("information services",I567))+ISNUMBER(SEARCH("telecommunications",I567))&gt;0,'Configuración'!$B$27,'Configuración'!$B$28))</f>
        <v>12</v>
      </c>
      <c r="U567" s="25">
        <f>IF(B567="","",IF(ISNUMBER(SEARCH("CEO",C567))+ISNUMBER(SEARCH("Founder",C567))+ISNUMBER(SEARCH("Owner",C567))+ISNUMBER(SEARCH("Dueño",C567))+ISNUMBER(SEARCH("Director General",C567))+ISNUMBER(SEARCH("Presidente",C567))+ISNUMBER(SEARCH("President",C567))&gt;0,'Configuración'!$B$31,IF(ISNUMBER(SEARCH("CMO",C567))+ISNUMBER(SEARCH("Chief Marketing",C567))+ISNUMBER(SEARCH("VP Marketing",C567))+ISNUMBER(SEARCH("Director de Marketing",C567))+ISNUMBER(SEARCH("Director Marketing",C567))+ISNUMBER(SEARCH("Head of Marketing",C567))+ISNUMBER(SEARCH("Head Marketing",C567))&gt;0,'Configuración'!$B$32,IF(ISNUMBER(SEARCH("Marketing Manager",C567))+ISNUMBER(SEARCH("Gerente de Marketing",C567))+ISNUMBER(SEARCH("Growth Manager",C567))+ISNUMBER(SEARCH("Demand Gen",C567))+ISNUMBER(SEARCH("Marketing Lead",C567))&gt;0,'Configuración'!$B$33,IF(ISNUMBER(SEARCH("COO",C567))+ISNUMBER(SEARCH("CFO",C567))+ISNUMBER(SEARCH("CTO",C567))+ISNUMBER(SEARCH("Chief Operating",C567))+ISNUMBER(SEARCH("Chief Financial",C567))+ISNUMBER(SEARCH("Gerente General",C567))+ISNUMBER(SEARCH("General Manager",C567))&gt;0,'Configuración'!$B$34,'Configuración'!$B$35)))))</f>
        <v>12</v>
      </c>
      <c r="V567" s="38">
        <f>IF(B567="","",IF(K567="Sí",'Configuración'!$B$5,0)+IF(L567="Semanal",'Configuración'!$B$6,IF(L567="Mensual",'Configuración'!$B$7,0))+IF(M567="Sí",'Configuración'!$B$8,0)+IF(N567="Sí",'Configuración'!$B$9,0)+IF(O567="Sí",'Configuración'!$B$10,0)+IF(P567="Sí",'Configuración'!$B$11,0)+IF(Q567="Sí",'Configuración'!$B$12,0)+S567+T567+U567)</f>
        <v>28</v>
      </c>
      <c r="W567" s="39" t="str">
        <f>IF(B567="","",IF(V567&gt;='Configuración'!$B$19,"A",IF(V567&gt;='Configuración'!$B$20,"B",IF(V567&gt;='Configuración'!$B$21,"C","Descarte"))))</f>
        <v>C</v>
      </c>
    </row>
    <row r="568" ht="15.75" customHeight="1">
      <c r="A568" s="34">
        <f t="shared" si="1"/>
        <v>566</v>
      </c>
      <c r="B568" s="29" t="s">
        <v>138</v>
      </c>
      <c r="C568" s="29" t="s">
        <v>121</v>
      </c>
      <c r="D568" s="29" t="s">
        <v>3453</v>
      </c>
      <c r="E568" s="29" t="s">
        <v>3454</v>
      </c>
      <c r="F568" s="30" t="s">
        <v>3455</v>
      </c>
      <c r="G568" s="30" t="s">
        <v>3456</v>
      </c>
      <c r="H568" s="30" t="s">
        <v>3457</v>
      </c>
      <c r="I568" s="29" t="s">
        <v>127</v>
      </c>
      <c r="J568" s="31">
        <v>11.0</v>
      </c>
      <c r="K568" s="35"/>
      <c r="L568" s="35"/>
      <c r="M568" s="35"/>
      <c r="N568" s="35"/>
      <c r="O568" s="35"/>
      <c r="P568" s="35"/>
      <c r="Q568" s="35"/>
      <c r="R568" s="35"/>
      <c r="S568" s="37">
        <f>IF(B568="","",IF(ISNUMBER(J568),IF(J568&lt;=10,'Configuración'!$B$23,IF(J568&lt;=50,'Configuración'!$B$24,IF(J568&lt;=200,'Configuración'!$B$25,0))),0))</f>
        <v>4</v>
      </c>
      <c r="T568" s="37">
        <f>IF(B568="","",IF(ISNUMBER(SEARCH("information technology",I568))+ISNUMBER(SEARCH("software",I568))+ISNUMBER(SEARCH("internet",I568))+ISNUMBER(SEARCH("computer",I568))+ISNUMBER(SEARCH("saas",I568))+ISNUMBER(SEARCH("fintech",I568))+ISNUMBER(SEARCH("information services",I568))+ISNUMBER(SEARCH("telecommunications",I568))&gt;0,'Configuración'!$B$27,'Configuración'!$B$28))</f>
        <v>12</v>
      </c>
      <c r="U568" s="25">
        <f>IF(B568="","",IF(ISNUMBER(SEARCH("CEO",C568))+ISNUMBER(SEARCH("Founder",C568))+ISNUMBER(SEARCH("Owner",C568))+ISNUMBER(SEARCH("Dueño",C568))+ISNUMBER(SEARCH("Director General",C568))+ISNUMBER(SEARCH("Presidente",C568))+ISNUMBER(SEARCH("President",C568))&gt;0,'Configuración'!$B$31,IF(ISNUMBER(SEARCH("CMO",C568))+ISNUMBER(SEARCH("Chief Marketing",C568))+ISNUMBER(SEARCH("VP Marketing",C568))+ISNUMBER(SEARCH("Director de Marketing",C568))+ISNUMBER(SEARCH("Director Marketing",C568))+ISNUMBER(SEARCH("Head of Marketing",C568))+ISNUMBER(SEARCH("Head Marketing",C568))&gt;0,'Configuración'!$B$32,IF(ISNUMBER(SEARCH("Marketing Manager",C568))+ISNUMBER(SEARCH("Gerente de Marketing",C568))+ISNUMBER(SEARCH("Growth Manager",C568))+ISNUMBER(SEARCH("Demand Gen",C568))+ISNUMBER(SEARCH("Marketing Lead",C568))&gt;0,'Configuración'!$B$33,IF(ISNUMBER(SEARCH("COO",C568))+ISNUMBER(SEARCH("CFO",C568))+ISNUMBER(SEARCH("CTO",C568))+ISNUMBER(SEARCH("Chief Operating",C568))+ISNUMBER(SEARCH("Chief Financial",C568))+ISNUMBER(SEARCH("Gerente General",C568))+ISNUMBER(SEARCH("General Manager",C568))&gt;0,'Configuración'!$B$34,'Configuración'!$B$35)))))</f>
        <v>12</v>
      </c>
      <c r="V568" s="38">
        <f>IF(B568="","",IF(K568="Sí",'Configuración'!$B$5,0)+IF(L568="Semanal",'Configuración'!$B$6,IF(L568="Mensual",'Configuración'!$B$7,0))+IF(M568="Sí",'Configuración'!$B$8,0)+IF(N568="Sí",'Configuración'!$B$9,0)+IF(O568="Sí",'Configuración'!$B$10,0)+IF(P568="Sí",'Configuración'!$B$11,0)+IF(Q568="Sí",'Configuración'!$B$12,0)+S568+T568+U568)</f>
        <v>28</v>
      </c>
      <c r="W568" s="39" t="str">
        <f>IF(B568="","",IF(V568&gt;='Configuración'!$B$19,"A",IF(V568&gt;='Configuración'!$B$20,"B",IF(V568&gt;='Configuración'!$B$21,"C","Descarte"))))</f>
        <v>C</v>
      </c>
    </row>
    <row r="569" ht="15.75" customHeight="1">
      <c r="A569" s="34">
        <f t="shared" si="1"/>
        <v>567</v>
      </c>
      <c r="B569" s="29" t="s">
        <v>343</v>
      </c>
      <c r="C569" s="29" t="s">
        <v>175</v>
      </c>
      <c r="D569" s="29" t="s">
        <v>3458</v>
      </c>
      <c r="E569" s="29" t="s">
        <v>3459</v>
      </c>
      <c r="F569" s="30" t="s">
        <v>3460</v>
      </c>
      <c r="G569" s="30" t="s">
        <v>3461</v>
      </c>
      <c r="H569" s="30" t="s">
        <v>3462</v>
      </c>
      <c r="I569" s="29" t="s">
        <v>127</v>
      </c>
      <c r="J569" s="31">
        <v>3.0</v>
      </c>
      <c r="K569" s="35"/>
      <c r="L569" s="35"/>
      <c r="M569" s="35"/>
      <c r="N569" s="35"/>
      <c r="O569" s="35"/>
      <c r="P569" s="35"/>
      <c r="Q569" s="35"/>
      <c r="R569" s="35"/>
      <c r="S569" s="37">
        <f>IF(B569="","",IF(ISNUMBER(J569),IF(J569&lt;=10,'Configuración'!$B$23,IF(J569&lt;=50,'Configuración'!$B$24,IF(J569&lt;=200,'Configuración'!$B$25,0))),0))</f>
        <v>12</v>
      </c>
      <c r="T569" s="37">
        <f>IF(B569="","",IF(ISNUMBER(SEARCH("information technology",I569))+ISNUMBER(SEARCH("software",I569))+ISNUMBER(SEARCH("internet",I569))+ISNUMBER(SEARCH("computer",I569))+ISNUMBER(SEARCH("saas",I569))+ISNUMBER(SEARCH("fintech",I569))+ISNUMBER(SEARCH("information services",I569))+ISNUMBER(SEARCH("telecommunications",I569))&gt;0,'Configuración'!$B$27,'Configuración'!$B$28))</f>
        <v>12</v>
      </c>
      <c r="U569" s="25">
        <f>IF(B569="","",IF(ISNUMBER(SEARCH("CEO",C569))+ISNUMBER(SEARCH("Founder",C569))+ISNUMBER(SEARCH("Owner",C569))+ISNUMBER(SEARCH("Dueño",C569))+ISNUMBER(SEARCH("Director General",C569))+ISNUMBER(SEARCH("Presidente",C569))+ISNUMBER(SEARCH("President",C569))&gt;0,'Configuración'!$B$31,IF(ISNUMBER(SEARCH("CMO",C569))+ISNUMBER(SEARCH("Chief Marketing",C569))+ISNUMBER(SEARCH("VP Marketing",C569))+ISNUMBER(SEARCH("Director de Marketing",C569))+ISNUMBER(SEARCH("Director Marketing",C569))+ISNUMBER(SEARCH("Head of Marketing",C569))+ISNUMBER(SEARCH("Head Marketing",C569))&gt;0,'Configuración'!$B$32,IF(ISNUMBER(SEARCH("Marketing Manager",C569))+ISNUMBER(SEARCH("Gerente de Marketing",C569))+ISNUMBER(SEARCH("Growth Manager",C569))+ISNUMBER(SEARCH("Demand Gen",C569))+ISNUMBER(SEARCH("Marketing Lead",C569))&gt;0,'Configuración'!$B$33,IF(ISNUMBER(SEARCH("COO",C569))+ISNUMBER(SEARCH("CFO",C569))+ISNUMBER(SEARCH("CTO",C569))+ISNUMBER(SEARCH("Chief Operating",C569))+ISNUMBER(SEARCH("Chief Financial",C569))+ISNUMBER(SEARCH("Gerente General",C569))+ISNUMBER(SEARCH("General Manager",C569))&gt;0,'Configuración'!$B$34,'Configuración'!$B$35)))))</f>
        <v>12</v>
      </c>
      <c r="V569" s="38">
        <f>IF(B569="","",IF(K569="Sí",'Configuración'!$B$5,0)+IF(L569="Semanal",'Configuración'!$B$6,IF(L569="Mensual",'Configuración'!$B$7,0))+IF(M569="Sí",'Configuración'!$B$8,0)+IF(N569="Sí",'Configuración'!$B$9,0)+IF(O569="Sí",'Configuración'!$B$10,0)+IF(P569="Sí",'Configuración'!$B$11,0)+IF(Q569="Sí",'Configuración'!$B$12,0)+S569+T569+U569)</f>
        <v>36</v>
      </c>
      <c r="W569" s="39" t="str">
        <f>IF(B569="","",IF(V569&gt;='Configuración'!$B$19,"A",IF(V569&gt;='Configuración'!$B$20,"B",IF(V569&gt;='Configuración'!$B$21,"C","Descarte"))))</f>
        <v>C</v>
      </c>
    </row>
    <row r="570" ht="15.75" customHeight="1">
      <c r="A570" s="34">
        <f t="shared" si="1"/>
        <v>568</v>
      </c>
      <c r="B570" s="29" t="s">
        <v>3463</v>
      </c>
      <c r="C570" s="29" t="s">
        <v>146</v>
      </c>
      <c r="D570" s="29" t="s">
        <v>3464</v>
      </c>
      <c r="E570" s="29" t="s">
        <v>3465</v>
      </c>
      <c r="F570" s="30" t="s">
        <v>3466</v>
      </c>
      <c r="G570" s="30" t="s">
        <v>3467</v>
      </c>
      <c r="H570" s="30" t="s">
        <v>3468</v>
      </c>
      <c r="I570" s="29" t="s">
        <v>443</v>
      </c>
      <c r="J570" s="31">
        <v>18.0</v>
      </c>
      <c r="K570" s="35"/>
      <c r="L570" s="35"/>
      <c r="M570" s="35"/>
      <c r="N570" s="35"/>
      <c r="O570" s="35"/>
      <c r="P570" s="35"/>
      <c r="Q570" s="35"/>
      <c r="R570" s="35"/>
      <c r="S570" s="37">
        <f>IF(B570="","",IF(ISNUMBER(J570),IF(J570&lt;=10,'Configuración'!$B$23,IF(J570&lt;=50,'Configuración'!$B$24,IF(J570&lt;=200,'Configuración'!$B$25,0))),0))</f>
        <v>4</v>
      </c>
      <c r="T570" s="37">
        <f>IF(B570="","",IF(ISNUMBER(SEARCH("information technology",I570))+ISNUMBER(SEARCH("software",I570))+ISNUMBER(SEARCH("internet",I570))+ISNUMBER(SEARCH("computer",I570))+ISNUMBER(SEARCH("saas",I570))+ISNUMBER(SEARCH("fintech",I570))+ISNUMBER(SEARCH("information services",I570))+ISNUMBER(SEARCH("telecommunications",I570))&gt;0,'Configuración'!$B$27,'Configuración'!$B$28))</f>
        <v>4</v>
      </c>
      <c r="U570" s="25">
        <f>IF(B570="","",IF(ISNUMBER(SEARCH("CEO",C570))+ISNUMBER(SEARCH("Founder",C570))+ISNUMBER(SEARCH("Owner",C570))+ISNUMBER(SEARCH("Dueño",C570))+ISNUMBER(SEARCH("Director General",C570))+ISNUMBER(SEARCH("Presidente",C570))+ISNUMBER(SEARCH("President",C570))&gt;0,'Configuración'!$B$31,IF(ISNUMBER(SEARCH("CMO",C570))+ISNUMBER(SEARCH("Chief Marketing",C570))+ISNUMBER(SEARCH("VP Marketing",C570))+ISNUMBER(SEARCH("Director de Marketing",C570))+ISNUMBER(SEARCH("Director Marketing",C570))+ISNUMBER(SEARCH("Head of Marketing",C570))+ISNUMBER(SEARCH("Head Marketing",C570))&gt;0,'Configuración'!$B$32,IF(ISNUMBER(SEARCH("Marketing Manager",C570))+ISNUMBER(SEARCH("Gerente de Marketing",C570))+ISNUMBER(SEARCH("Growth Manager",C570))+ISNUMBER(SEARCH("Demand Gen",C570))+ISNUMBER(SEARCH("Marketing Lead",C570))&gt;0,'Configuración'!$B$33,IF(ISNUMBER(SEARCH("COO",C570))+ISNUMBER(SEARCH("CFO",C570))+ISNUMBER(SEARCH("CTO",C570))+ISNUMBER(SEARCH("Chief Operating",C570))+ISNUMBER(SEARCH("Chief Financial",C570))+ISNUMBER(SEARCH("Gerente General",C570))+ISNUMBER(SEARCH("General Manager",C570))&gt;0,'Configuración'!$B$34,'Configuración'!$B$35)))))</f>
        <v>0</v>
      </c>
      <c r="V570" s="38">
        <f>IF(B570="","",IF(K570="Sí",'Configuración'!$B$5,0)+IF(L570="Semanal",'Configuración'!$B$6,IF(L570="Mensual",'Configuración'!$B$7,0))+IF(M570="Sí",'Configuración'!$B$8,0)+IF(N570="Sí",'Configuración'!$B$9,0)+IF(O570="Sí",'Configuración'!$B$10,0)+IF(P570="Sí",'Configuración'!$B$11,0)+IF(Q570="Sí",'Configuración'!$B$12,0)+S570+T570+U570)</f>
        <v>8</v>
      </c>
      <c r="W570" s="39" t="str">
        <f>IF(B570="","",IF(V570&gt;='Configuración'!$B$19,"A",IF(V570&gt;='Configuración'!$B$20,"B",IF(V570&gt;='Configuración'!$B$21,"C","Descarte"))))</f>
        <v>Descarte</v>
      </c>
    </row>
    <row r="571" ht="15.75" customHeight="1">
      <c r="A571" s="34">
        <f t="shared" si="1"/>
        <v>569</v>
      </c>
      <c r="B571" s="29" t="s">
        <v>3469</v>
      </c>
      <c r="C571" s="29" t="s">
        <v>3470</v>
      </c>
      <c r="D571" s="29" t="s">
        <v>3471</v>
      </c>
      <c r="E571" s="29" t="s">
        <v>3472</v>
      </c>
      <c r="F571" s="30" t="s">
        <v>3473</v>
      </c>
      <c r="G571" s="30" t="s">
        <v>3474</v>
      </c>
      <c r="H571" s="30" t="s">
        <v>3475</v>
      </c>
      <c r="I571" s="29" t="s">
        <v>2651</v>
      </c>
      <c r="J571" s="31">
        <v>5.0</v>
      </c>
      <c r="K571" s="35"/>
      <c r="L571" s="35"/>
      <c r="M571" s="35"/>
      <c r="N571" s="35"/>
      <c r="O571" s="35"/>
      <c r="P571" s="35"/>
      <c r="Q571" s="35"/>
      <c r="R571" s="35"/>
      <c r="S571" s="37">
        <f>IF(B571="","",IF(ISNUMBER(J571),IF(J571&lt;=10,'Configuración'!$B$23,IF(J571&lt;=50,'Configuración'!$B$24,IF(J571&lt;=200,'Configuración'!$B$25,0))),0))</f>
        <v>12</v>
      </c>
      <c r="T571" s="37">
        <f>IF(B571="","",IF(ISNUMBER(SEARCH("information technology",I571))+ISNUMBER(SEARCH("software",I571))+ISNUMBER(SEARCH("internet",I571))+ISNUMBER(SEARCH("computer",I571))+ISNUMBER(SEARCH("saas",I571))+ISNUMBER(SEARCH("fintech",I571))+ISNUMBER(SEARCH("information services",I571))+ISNUMBER(SEARCH("telecommunications",I571))&gt;0,'Configuración'!$B$27,'Configuración'!$B$28))</f>
        <v>4</v>
      </c>
      <c r="U571" s="25">
        <f>IF(B571="","",IF(ISNUMBER(SEARCH("CEO",C571))+ISNUMBER(SEARCH("Founder",C571))+ISNUMBER(SEARCH("Owner",C571))+ISNUMBER(SEARCH("Dueño",C571))+ISNUMBER(SEARCH("Director General",C571))+ISNUMBER(SEARCH("Presidente",C571))+ISNUMBER(SEARCH("President",C571))&gt;0,'Configuración'!$B$31,IF(ISNUMBER(SEARCH("CMO",C571))+ISNUMBER(SEARCH("Chief Marketing",C571))+ISNUMBER(SEARCH("VP Marketing",C571))+ISNUMBER(SEARCH("Director de Marketing",C571))+ISNUMBER(SEARCH("Director Marketing",C571))+ISNUMBER(SEARCH("Head of Marketing",C571))+ISNUMBER(SEARCH("Head Marketing",C571))&gt;0,'Configuración'!$B$32,IF(ISNUMBER(SEARCH("Marketing Manager",C571))+ISNUMBER(SEARCH("Gerente de Marketing",C571))+ISNUMBER(SEARCH("Growth Manager",C571))+ISNUMBER(SEARCH("Demand Gen",C571))+ISNUMBER(SEARCH("Marketing Lead",C571))&gt;0,'Configuración'!$B$33,IF(ISNUMBER(SEARCH("COO",C571))+ISNUMBER(SEARCH("CFO",C571))+ISNUMBER(SEARCH("CTO",C571))+ISNUMBER(SEARCH("Chief Operating",C571))+ISNUMBER(SEARCH("Chief Financial",C571))+ISNUMBER(SEARCH("Gerente General",C571))+ISNUMBER(SEARCH("General Manager",C571))&gt;0,'Configuración'!$B$34,'Configuración'!$B$35)))))</f>
        <v>12</v>
      </c>
      <c r="V571" s="38">
        <f>IF(B571="","",IF(K571="Sí",'Configuración'!$B$5,0)+IF(L571="Semanal",'Configuración'!$B$6,IF(L571="Mensual",'Configuración'!$B$7,0))+IF(M571="Sí",'Configuración'!$B$8,0)+IF(N571="Sí",'Configuración'!$B$9,0)+IF(O571="Sí",'Configuración'!$B$10,0)+IF(P571="Sí",'Configuración'!$B$11,0)+IF(Q571="Sí",'Configuración'!$B$12,0)+S571+T571+U571)</f>
        <v>28</v>
      </c>
      <c r="W571" s="39" t="str">
        <f>IF(B571="","",IF(V571&gt;='Configuración'!$B$19,"A",IF(V571&gt;='Configuración'!$B$20,"B",IF(V571&gt;='Configuración'!$B$21,"C","Descarte"))))</f>
        <v>C</v>
      </c>
    </row>
    <row r="572" ht="15.75" customHeight="1">
      <c r="A572" s="34">
        <f t="shared" si="1"/>
        <v>570</v>
      </c>
      <c r="B572" s="29" t="s">
        <v>1137</v>
      </c>
      <c r="C572" s="29" t="s">
        <v>3476</v>
      </c>
      <c r="D572" s="29" t="s">
        <v>3477</v>
      </c>
      <c r="E572" s="29" t="s">
        <v>3478</v>
      </c>
      <c r="F572" s="30" t="s">
        <v>3479</v>
      </c>
      <c r="G572" s="30" t="s">
        <v>3480</v>
      </c>
      <c r="H572" s="30" t="s">
        <v>3481</v>
      </c>
      <c r="I572" s="29" t="s">
        <v>127</v>
      </c>
      <c r="J572" s="31">
        <v>10.0</v>
      </c>
      <c r="K572" s="35"/>
      <c r="L572" s="35"/>
      <c r="M572" s="35"/>
      <c r="N572" s="35"/>
      <c r="O572" s="35"/>
      <c r="P572" s="35"/>
      <c r="Q572" s="35"/>
      <c r="R572" s="35"/>
      <c r="S572" s="37">
        <f>IF(B572="","",IF(ISNUMBER(J572),IF(J572&lt;=10,'Configuración'!$B$23,IF(J572&lt;=50,'Configuración'!$B$24,IF(J572&lt;=200,'Configuración'!$B$25,0))),0))</f>
        <v>12</v>
      </c>
      <c r="T572" s="37">
        <f>IF(B572="","",IF(ISNUMBER(SEARCH("information technology",I572))+ISNUMBER(SEARCH("software",I572))+ISNUMBER(SEARCH("internet",I572))+ISNUMBER(SEARCH("computer",I572))+ISNUMBER(SEARCH("saas",I572))+ISNUMBER(SEARCH("fintech",I572))+ISNUMBER(SEARCH("information services",I572))+ISNUMBER(SEARCH("telecommunications",I572))&gt;0,'Configuración'!$B$27,'Configuración'!$B$28))</f>
        <v>12</v>
      </c>
      <c r="U572" s="25">
        <f>IF(B572="","",IF(ISNUMBER(SEARCH("CEO",C572))+ISNUMBER(SEARCH("Founder",C572))+ISNUMBER(SEARCH("Owner",C572))+ISNUMBER(SEARCH("Dueño",C572))+ISNUMBER(SEARCH("Director General",C572))+ISNUMBER(SEARCH("Presidente",C572))+ISNUMBER(SEARCH("President",C572))&gt;0,'Configuración'!$B$31,IF(ISNUMBER(SEARCH("CMO",C572))+ISNUMBER(SEARCH("Chief Marketing",C572))+ISNUMBER(SEARCH("VP Marketing",C572))+ISNUMBER(SEARCH("Director de Marketing",C572))+ISNUMBER(SEARCH("Director Marketing",C572))+ISNUMBER(SEARCH("Head of Marketing",C572))+ISNUMBER(SEARCH("Head Marketing",C572))&gt;0,'Configuración'!$B$32,IF(ISNUMBER(SEARCH("Marketing Manager",C572))+ISNUMBER(SEARCH("Gerente de Marketing",C572))+ISNUMBER(SEARCH("Growth Manager",C572))+ISNUMBER(SEARCH("Demand Gen",C572))+ISNUMBER(SEARCH("Marketing Lead",C572))&gt;0,'Configuración'!$B$33,IF(ISNUMBER(SEARCH("COO",C572))+ISNUMBER(SEARCH("CFO",C572))+ISNUMBER(SEARCH("CTO",C572))+ISNUMBER(SEARCH("Chief Operating",C572))+ISNUMBER(SEARCH("Chief Financial",C572))+ISNUMBER(SEARCH("Gerente General",C572))+ISNUMBER(SEARCH("General Manager",C572))&gt;0,'Configuración'!$B$34,'Configuración'!$B$35)))))</f>
        <v>4</v>
      </c>
      <c r="V572" s="38">
        <f>IF(B572="","",IF(K572="Sí",'Configuración'!$B$5,0)+IF(L572="Semanal",'Configuración'!$B$6,IF(L572="Mensual",'Configuración'!$B$7,0))+IF(M572="Sí",'Configuración'!$B$8,0)+IF(N572="Sí",'Configuración'!$B$9,0)+IF(O572="Sí",'Configuración'!$B$10,0)+IF(P572="Sí",'Configuración'!$B$11,0)+IF(Q572="Sí",'Configuración'!$B$12,0)+S572+T572+U572)</f>
        <v>28</v>
      </c>
      <c r="W572" s="39" t="str">
        <f>IF(B572="","",IF(V572&gt;='Configuración'!$B$19,"A",IF(V572&gt;='Configuración'!$B$20,"B",IF(V572&gt;='Configuración'!$B$21,"C","Descarte"))))</f>
        <v>C</v>
      </c>
    </row>
    <row r="573" ht="15.75" customHeight="1">
      <c r="A573" s="34">
        <f t="shared" si="1"/>
        <v>571</v>
      </c>
      <c r="B573" s="29" t="s">
        <v>755</v>
      </c>
      <c r="C573" s="29" t="s">
        <v>1656</v>
      </c>
      <c r="D573" s="29" t="s">
        <v>3482</v>
      </c>
      <c r="E573" s="29" t="s">
        <v>3483</v>
      </c>
      <c r="F573" s="30" t="s">
        <v>3484</v>
      </c>
      <c r="G573" s="30" t="s">
        <v>3485</v>
      </c>
      <c r="H573" s="30" t="s">
        <v>3486</v>
      </c>
      <c r="I573" s="29" t="s">
        <v>769</v>
      </c>
      <c r="J573" s="31">
        <v>6.0</v>
      </c>
      <c r="K573" s="35"/>
      <c r="L573" s="35"/>
      <c r="M573" s="35"/>
      <c r="N573" s="35"/>
      <c r="O573" s="35"/>
      <c r="P573" s="35"/>
      <c r="Q573" s="35"/>
      <c r="R573" s="35"/>
      <c r="S573" s="37">
        <f>IF(B573="","",IF(ISNUMBER(J573),IF(J573&lt;=10,'Configuración'!$B$23,IF(J573&lt;=50,'Configuración'!$B$24,IF(J573&lt;=200,'Configuración'!$B$25,0))),0))</f>
        <v>12</v>
      </c>
      <c r="T573" s="37">
        <f>IF(B573="","",IF(ISNUMBER(SEARCH("information technology",I573))+ISNUMBER(SEARCH("software",I573))+ISNUMBER(SEARCH("internet",I573))+ISNUMBER(SEARCH("computer",I573))+ISNUMBER(SEARCH("saas",I573))+ISNUMBER(SEARCH("fintech",I573))+ISNUMBER(SEARCH("information services",I573))+ISNUMBER(SEARCH("telecommunications",I573))&gt;0,'Configuración'!$B$27,'Configuración'!$B$28))</f>
        <v>4</v>
      </c>
      <c r="U573" s="25">
        <f>IF(B573="","",IF(ISNUMBER(SEARCH("CEO",C573))+ISNUMBER(SEARCH("Founder",C573))+ISNUMBER(SEARCH("Owner",C573))+ISNUMBER(SEARCH("Dueño",C573))+ISNUMBER(SEARCH("Director General",C573))+ISNUMBER(SEARCH("Presidente",C573))+ISNUMBER(SEARCH("President",C573))&gt;0,'Configuración'!$B$31,IF(ISNUMBER(SEARCH("CMO",C573))+ISNUMBER(SEARCH("Chief Marketing",C573))+ISNUMBER(SEARCH("VP Marketing",C573))+ISNUMBER(SEARCH("Director de Marketing",C573))+ISNUMBER(SEARCH("Director Marketing",C573))+ISNUMBER(SEARCH("Head of Marketing",C573))+ISNUMBER(SEARCH("Head Marketing",C573))&gt;0,'Configuración'!$B$32,IF(ISNUMBER(SEARCH("Marketing Manager",C573))+ISNUMBER(SEARCH("Gerente de Marketing",C573))+ISNUMBER(SEARCH("Growth Manager",C573))+ISNUMBER(SEARCH("Demand Gen",C573))+ISNUMBER(SEARCH("Marketing Lead",C573))&gt;0,'Configuración'!$B$33,IF(ISNUMBER(SEARCH("COO",C573))+ISNUMBER(SEARCH("CFO",C573))+ISNUMBER(SEARCH("CTO",C573))+ISNUMBER(SEARCH("Chief Operating",C573))+ISNUMBER(SEARCH("Chief Financial",C573))+ISNUMBER(SEARCH("Gerente General",C573))+ISNUMBER(SEARCH("General Manager",C573))&gt;0,'Configuración'!$B$34,'Configuración'!$B$35)))))</f>
        <v>12</v>
      </c>
      <c r="V573" s="38">
        <f>IF(B573="","",IF(K573="Sí",'Configuración'!$B$5,0)+IF(L573="Semanal",'Configuración'!$B$6,IF(L573="Mensual",'Configuración'!$B$7,0))+IF(M573="Sí",'Configuración'!$B$8,0)+IF(N573="Sí",'Configuración'!$B$9,0)+IF(O573="Sí",'Configuración'!$B$10,0)+IF(P573="Sí",'Configuración'!$B$11,0)+IF(Q573="Sí",'Configuración'!$B$12,0)+S573+T573+U573)</f>
        <v>28</v>
      </c>
      <c r="W573" s="39" t="str">
        <f>IF(B573="","",IF(V573&gt;='Configuración'!$B$19,"A",IF(V573&gt;='Configuración'!$B$20,"B",IF(V573&gt;='Configuración'!$B$21,"C","Descarte"))))</f>
        <v>C</v>
      </c>
    </row>
    <row r="574" ht="15.75" customHeight="1">
      <c r="A574" s="34">
        <f t="shared" si="1"/>
        <v>572</v>
      </c>
      <c r="B574" s="29" t="s">
        <v>2616</v>
      </c>
      <c r="C574" s="29" t="s">
        <v>202</v>
      </c>
      <c r="D574" s="29" t="s">
        <v>3487</v>
      </c>
      <c r="E574" s="29" t="s">
        <v>3488</v>
      </c>
      <c r="F574" s="30" t="s">
        <v>3489</v>
      </c>
      <c r="G574" s="30" t="s">
        <v>3490</v>
      </c>
      <c r="H574" s="30" t="s">
        <v>3491</v>
      </c>
      <c r="I574" s="29" t="s">
        <v>188</v>
      </c>
      <c r="J574" s="31">
        <v>1.0</v>
      </c>
      <c r="K574" s="35"/>
      <c r="L574" s="35"/>
      <c r="M574" s="35"/>
      <c r="N574" s="35"/>
      <c r="O574" s="35"/>
      <c r="P574" s="35"/>
      <c r="Q574" s="35"/>
      <c r="R574" s="35"/>
      <c r="S574" s="37">
        <f>IF(B574="","",IF(ISNUMBER(J574),IF(J574&lt;=10,'Configuración'!$B$23,IF(J574&lt;=50,'Configuración'!$B$24,IF(J574&lt;=200,'Configuración'!$B$25,0))),0))</f>
        <v>12</v>
      </c>
      <c r="T574" s="37">
        <f>IF(B574="","",IF(ISNUMBER(SEARCH("information technology",I574))+ISNUMBER(SEARCH("software",I574))+ISNUMBER(SEARCH("internet",I574))+ISNUMBER(SEARCH("computer",I574))+ISNUMBER(SEARCH("saas",I574))+ISNUMBER(SEARCH("fintech",I574))+ISNUMBER(SEARCH("information services",I574))+ISNUMBER(SEARCH("telecommunications",I574))&gt;0,'Configuración'!$B$27,'Configuración'!$B$28))</f>
        <v>4</v>
      </c>
      <c r="U574" s="25">
        <f>IF(B574="","",IF(ISNUMBER(SEARCH("CEO",C574))+ISNUMBER(SEARCH("Founder",C574))+ISNUMBER(SEARCH("Owner",C574))+ISNUMBER(SEARCH("Dueño",C574))+ISNUMBER(SEARCH("Director General",C574))+ISNUMBER(SEARCH("Presidente",C574))+ISNUMBER(SEARCH("President",C574))&gt;0,'Configuración'!$B$31,IF(ISNUMBER(SEARCH("CMO",C574))+ISNUMBER(SEARCH("Chief Marketing",C574))+ISNUMBER(SEARCH("VP Marketing",C574))+ISNUMBER(SEARCH("Director de Marketing",C574))+ISNUMBER(SEARCH("Director Marketing",C574))+ISNUMBER(SEARCH("Head of Marketing",C574))+ISNUMBER(SEARCH("Head Marketing",C574))&gt;0,'Configuración'!$B$32,IF(ISNUMBER(SEARCH("Marketing Manager",C574))+ISNUMBER(SEARCH("Gerente de Marketing",C574))+ISNUMBER(SEARCH("Growth Manager",C574))+ISNUMBER(SEARCH("Demand Gen",C574))+ISNUMBER(SEARCH("Marketing Lead",C574))&gt;0,'Configuración'!$B$33,IF(ISNUMBER(SEARCH("COO",C574))+ISNUMBER(SEARCH("CFO",C574))+ISNUMBER(SEARCH("CTO",C574))+ISNUMBER(SEARCH("Chief Operating",C574))+ISNUMBER(SEARCH("Chief Financial",C574))+ISNUMBER(SEARCH("Gerente General",C574))+ISNUMBER(SEARCH("General Manager",C574))&gt;0,'Configuración'!$B$34,'Configuración'!$B$35)))))</f>
        <v>12</v>
      </c>
      <c r="V574" s="38">
        <f>IF(B574="","",IF(K574="Sí",'Configuración'!$B$5,0)+IF(L574="Semanal",'Configuración'!$B$6,IF(L574="Mensual",'Configuración'!$B$7,0))+IF(M574="Sí",'Configuración'!$B$8,0)+IF(N574="Sí",'Configuración'!$B$9,0)+IF(O574="Sí",'Configuración'!$B$10,0)+IF(P574="Sí",'Configuración'!$B$11,0)+IF(Q574="Sí",'Configuración'!$B$12,0)+S574+T574+U574)</f>
        <v>28</v>
      </c>
      <c r="W574" s="39" t="str">
        <f>IF(B574="","",IF(V574&gt;='Configuración'!$B$19,"A",IF(V574&gt;='Configuración'!$B$20,"B",IF(V574&gt;='Configuración'!$B$21,"C","Descarte"))))</f>
        <v>C</v>
      </c>
    </row>
    <row r="575" ht="15.75" customHeight="1">
      <c r="A575" s="34">
        <f t="shared" si="1"/>
        <v>573</v>
      </c>
      <c r="B575" s="29" t="s">
        <v>3492</v>
      </c>
      <c r="C575" s="29" t="s">
        <v>146</v>
      </c>
      <c r="D575" s="29" t="s">
        <v>3493</v>
      </c>
      <c r="E575" s="29" t="s">
        <v>3494</v>
      </c>
      <c r="F575" s="30" t="s">
        <v>3495</v>
      </c>
      <c r="G575" s="30" t="s">
        <v>3496</v>
      </c>
      <c r="H575" s="30" t="s">
        <v>3497</v>
      </c>
      <c r="I575" s="29" t="s">
        <v>659</v>
      </c>
      <c r="J575" s="31">
        <v>15.0</v>
      </c>
      <c r="K575" s="35"/>
      <c r="L575" s="35"/>
      <c r="M575" s="35"/>
      <c r="N575" s="35"/>
      <c r="O575" s="35"/>
      <c r="P575" s="35"/>
      <c r="Q575" s="35"/>
      <c r="R575" s="35"/>
      <c r="S575" s="37">
        <f>IF(B575="","",IF(ISNUMBER(J575),IF(J575&lt;=10,'Configuración'!$B$23,IF(J575&lt;=50,'Configuración'!$B$24,IF(J575&lt;=200,'Configuración'!$B$25,0))),0))</f>
        <v>4</v>
      </c>
      <c r="T575" s="37">
        <f>IF(B575="","",IF(ISNUMBER(SEARCH("information technology",I575))+ISNUMBER(SEARCH("software",I575))+ISNUMBER(SEARCH("internet",I575))+ISNUMBER(SEARCH("computer",I575))+ISNUMBER(SEARCH("saas",I575))+ISNUMBER(SEARCH("fintech",I575))+ISNUMBER(SEARCH("information services",I575))+ISNUMBER(SEARCH("telecommunications",I575))&gt;0,'Configuración'!$B$27,'Configuración'!$B$28))</f>
        <v>4</v>
      </c>
      <c r="U575" s="25">
        <f>IF(B575="","",IF(ISNUMBER(SEARCH("CEO",C575))+ISNUMBER(SEARCH("Founder",C575))+ISNUMBER(SEARCH("Owner",C575))+ISNUMBER(SEARCH("Dueño",C575))+ISNUMBER(SEARCH("Director General",C575))+ISNUMBER(SEARCH("Presidente",C575))+ISNUMBER(SEARCH("President",C575))&gt;0,'Configuración'!$B$31,IF(ISNUMBER(SEARCH("CMO",C575))+ISNUMBER(SEARCH("Chief Marketing",C575))+ISNUMBER(SEARCH("VP Marketing",C575))+ISNUMBER(SEARCH("Director de Marketing",C575))+ISNUMBER(SEARCH("Director Marketing",C575))+ISNUMBER(SEARCH("Head of Marketing",C575))+ISNUMBER(SEARCH("Head Marketing",C575))&gt;0,'Configuración'!$B$32,IF(ISNUMBER(SEARCH("Marketing Manager",C575))+ISNUMBER(SEARCH("Gerente de Marketing",C575))+ISNUMBER(SEARCH("Growth Manager",C575))+ISNUMBER(SEARCH("Demand Gen",C575))+ISNUMBER(SEARCH("Marketing Lead",C575))&gt;0,'Configuración'!$B$33,IF(ISNUMBER(SEARCH("COO",C575))+ISNUMBER(SEARCH("CFO",C575))+ISNUMBER(SEARCH("CTO",C575))+ISNUMBER(SEARCH("Chief Operating",C575))+ISNUMBER(SEARCH("Chief Financial",C575))+ISNUMBER(SEARCH("Gerente General",C575))+ISNUMBER(SEARCH("General Manager",C575))&gt;0,'Configuración'!$B$34,'Configuración'!$B$35)))))</f>
        <v>0</v>
      </c>
      <c r="V575" s="38">
        <f>IF(B575="","",IF(K575="Sí",'Configuración'!$B$5,0)+IF(L575="Semanal",'Configuración'!$B$6,IF(L575="Mensual",'Configuración'!$B$7,0))+IF(M575="Sí",'Configuración'!$B$8,0)+IF(N575="Sí",'Configuración'!$B$9,0)+IF(O575="Sí",'Configuración'!$B$10,0)+IF(P575="Sí",'Configuración'!$B$11,0)+IF(Q575="Sí",'Configuración'!$B$12,0)+S575+T575+U575)</f>
        <v>8</v>
      </c>
      <c r="W575" s="39" t="str">
        <f>IF(B575="","",IF(V575&gt;='Configuración'!$B$19,"A",IF(V575&gt;='Configuración'!$B$20,"B",IF(V575&gt;='Configuración'!$B$21,"C","Descarte"))))</f>
        <v>Descarte</v>
      </c>
    </row>
    <row r="576" ht="15.75" customHeight="1">
      <c r="A576" s="34">
        <f t="shared" si="1"/>
        <v>574</v>
      </c>
      <c r="B576" s="29" t="s">
        <v>3498</v>
      </c>
      <c r="C576" s="29" t="s">
        <v>2695</v>
      </c>
      <c r="D576" s="29" t="s">
        <v>3499</v>
      </c>
      <c r="E576" s="29" t="s">
        <v>3500</v>
      </c>
      <c r="F576" s="30" t="s">
        <v>3501</v>
      </c>
      <c r="G576" s="30" t="s">
        <v>3502</v>
      </c>
      <c r="H576" s="30" t="s">
        <v>3503</v>
      </c>
      <c r="I576" s="29" t="s">
        <v>116</v>
      </c>
      <c r="J576" s="31">
        <v>16.0</v>
      </c>
      <c r="K576" s="35"/>
      <c r="L576" s="35"/>
      <c r="M576" s="35"/>
      <c r="N576" s="35"/>
      <c r="O576" s="35"/>
      <c r="P576" s="35"/>
      <c r="Q576" s="35"/>
      <c r="R576" s="35"/>
      <c r="S576" s="37">
        <f>IF(B576="","",IF(ISNUMBER(J576),IF(J576&lt;=10,'Configuración'!$B$23,IF(J576&lt;=50,'Configuración'!$B$24,IF(J576&lt;=200,'Configuración'!$B$25,0))),0))</f>
        <v>4</v>
      </c>
      <c r="T576" s="37">
        <f>IF(B576="","",IF(ISNUMBER(SEARCH("information technology",I576))+ISNUMBER(SEARCH("software",I576))+ISNUMBER(SEARCH("internet",I576))+ISNUMBER(SEARCH("computer",I576))+ISNUMBER(SEARCH("saas",I576))+ISNUMBER(SEARCH("fintech",I576))+ISNUMBER(SEARCH("information services",I576))+ISNUMBER(SEARCH("telecommunications",I576))&gt;0,'Configuración'!$B$27,'Configuración'!$B$28))</f>
        <v>4</v>
      </c>
      <c r="U576" s="25">
        <f>IF(B576="","",IF(ISNUMBER(SEARCH("CEO",C576))+ISNUMBER(SEARCH("Founder",C576))+ISNUMBER(SEARCH("Owner",C576))+ISNUMBER(SEARCH("Dueño",C576))+ISNUMBER(SEARCH("Director General",C576))+ISNUMBER(SEARCH("Presidente",C576))+ISNUMBER(SEARCH("President",C576))&gt;0,'Configuración'!$B$31,IF(ISNUMBER(SEARCH("CMO",C576))+ISNUMBER(SEARCH("Chief Marketing",C576))+ISNUMBER(SEARCH("VP Marketing",C576))+ISNUMBER(SEARCH("Director de Marketing",C576))+ISNUMBER(SEARCH("Director Marketing",C576))+ISNUMBER(SEARCH("Head of Marketing",C576))+ISNUMBER(SEARCH("Head Marketing",C576))&gt;0,'Configuración'!$B$32,IF(ISNUMBER(SEARCH("Marketing Manager",C576))+ISNUMBER(SEARCH("Gerente de Marketing",C576))+ISNUMBER(SEARCH("Growth Manager",C576))+ISNUMBER(SEARCH("Demand Gen",C576))+ISNUMBER(SEARCH("Marketing Lead",C576))&gt;0,'Configuración'!$B$33,IF(ISNUMBER(SEARCH("COO",C576))+ISNUMBER(SEARCH("CFO",C576))+ISNUMBER(SEARCH("CTO",C576))+ISNUMBER(SEARCH("Chief Operating",C576))+ISNUMBER(SEARCH("Chief Financial",C576))+ISNUMBER(SEARCH("Gerente General",C576))+ISNUMBER(SEARCH("General Manager",C576))&gt;0,'Configuración'!$B$34,'Configuración'!$B$35)))))</f>
        <v>12</v>
      </c>
      <c r="V576" s="38">
        <f>IF(B576="","",IF(K576="Sí",'Configuración'!$B$5,0)+IF(L576="Semanal",'Configuración'!$B$6,IF(L576="Mensual",'Configuración'!$B$7,0))+IF(M576="Sí",'Configuración'!$B$8,0)+IF(N576="Sí",'Configuración'!$B$9,0)+IF(O576="Sí",'Configuración'!$B$10,0)+IF(P576="Sí",'Configuración'!$B$11,0)+IF(Q576="Sí",'Configuración'!$B$12,0)+S576+T576+U576)</f>
        <v>20</v>
      </c>
      <c r="W576" s="39" t="str">
        <f>IF(B576="","",IF(V576&gt;='Configuración'!$B$19,"A",IF(V576&gt;='Configuración'!$B$20,"B",IF(V576&gt;='Configuración'!$B$21,"C","Descarte"))))</f>
        <v>Descarte</v>
      </c>
    </row>
    <row r="577" ht="15.75" customHeight="1">
      <c r="A577" s="34">
        <f t="shared" si="1"/>
        <v>575</v>
      </c>
      <c r="B577" s="29" t="s">
        <v>2740</v>
      </c>
      <c r="C577" s="29" t="s">
        <v>3504</v>
      </c>
      <c r="D577" s="29" t="s">
        <v>3505</v>
      </c>
      <c r="E577" s="29" t="s">
        <v>3506</v>
      </c>
      <c r="F577" s="30" t="s">
        <v>3507</v>
      </c>
      <c r="G577" s="30" t="s">
        <v>3508</v>
      </c>
      <c r="H577" s="30" t="s">
        <v>3509</v>
      </c>
      <c r="I577" s="29" t="s">
        <v>188</v>
      </c>
      <c r="J577" s="31">
        <v>15.0</v>
      </c>
      <c r="K577" s="35"/>
      <c r="L577" s="35"/>
      <c r="M577" s="35"/>
      <c r="N577" s="35"/>
      <c r="O577" s="35"/>
      <c r="P577" s="35"/>
      <c r="Q577" s="35"/>
      <c r="R577" s="35"/>
      <c r="S577" s="37">
        <f>IF(B577="","",IF(ISNUMBER(J577),IF(J577&lt;=10,'Configuración'!$B$23,IF(J577&lt;=50,'Configuración'!$B$24,IF(J577&lt;=200,'Configuración'!$B$25,0))),0))</f>
        <v>4</v>
      </c>
      <c r="T577" s="37">
        <f>IF(B577="","",IF(ISNUMBER(SEARCH("information technology",I577))+ISNUMBER(SEARCH("software",I577))+ISNUMBER(SEARCH("internet",I577))+ISNUMBER(SEARCH("computer",I577))+ISNUMBER(SEARCH("saas",I577))+ISNUMBER(SEARCH("fintech",I577))+ISNUMBER(SEARCH("information services",I577))+ISNUMBER(SEARCH("telecommunications",I577))&gt;0,'Configuración'!$B$27,'Configuración'!$B$28))</f>
        <v>4</v>
      </c>
      <c r="U577" s="25">
        <f>IF(B577="","",IF(ISNUMBER(SEARCH("CEO",C577))+ISNUMBER(SEARCH("Founder",C577))+ISNUMBER(SEARCH("Owner",C577))+ISNUMBER(SEARCH("Dueño",C577))+ISNUMBER(SEARCH("Director General",C577))+ISNUMBER(SEARCH("Presidente",C577))+ISNUMBER(SEARCH("President",C577))&gt;0,'Configuración'!$B$31,IF(ISNUMBER(SEARCH("CMO",C577))+ISNUMBER(SEARCH("Chief Marketing",C577))+ISNUMBER(SEARCH("VP Marketing",C577))+ISNUMBER(SEARCH("Director de Marketing",C577))+ISNUMBER(SEARCH("Director Marketing",C577))+ISNUMBER(SEARCH("Head of Marketing",C577))+ISNUMBER(SEARCH("Head Marketing",C577))&gt;0,'Configuración'!$B$32,IF(ISNUMBER(SEARCH("Marketing Manager",C577))+ISNUMBER(SEARCH("Gerente de Marketing",C577))+ISNUMBER(SEARCH("Growth Manager",C577))+ISNUMBER(SEARCH("Demand Gen",C577))+ISNUMBER(SEARCH("Marketing Lead",C577))&gt;0,'Configuración'!$B$33,IF(ISNUMBER(SEARCH("COO",C577))+ISNUMBER(SEARCH("CFO",C577))+ISNUMBER(SEARCH("CTO",C577))+ISNUMBER(SEARCH("Chief Operating",C577))+ISNUMBER(SEARCH("Chief Financial",C577))+ISNUMBER(SEARCH("Gerente General",C577))+ISNUMBER(SEARCH("General Manager",C577))&gt;0,'Configuración'!$B$34,'Configuración'!$B$35)))))</f>
        <v>12</v>
      </c>
      <c r="V577" s="38">
        <f>IF(B577="","",IF(K577="Sí",'Configuración'!$B$5,0)+IF(L577="Semanal",'Configuración'!$B$6,IF(L577="Mensual",'Configuración'!$B$7,0))+IF(M577="Sí",'Configuración'!$B$8,0)+IF(N577="Sí",'Configuración'!$B$9,0)+IF(O577="Sí",'Configuración'!$B$10,0)+IF(P577="Sí",'Configuración'!$B$11,0)+IF(Q577="Sí",'Configuración'!$B$12,0)+S577+T577+U577)</f>
        <v>20</v>
      </c>
      <c r="W577" s="39" t="str">
        <f>IF(B577="","",IF(V577&gt;='Configuración'!$B$19,"A",IF(V577&gt;='Configuración'!$B$20,"B",IF(V577&gt;='Configuración'!$B$21,"C","Descarte"))))</f>
        <v>Descarte</v>
      </c>
    </row>
    <row r="578" ht="15.75" customHeight="1">
      <c r="A578" s="34">
        <f t="shared" si="1"/>
        <v>576</v>
      </c>
      <c r="B578" s="29" t="s">
        <v>3510</v>
      </c>
      <c r="C578" s="29" t="s">
        <v>3511</v>
      </c>
      <c r="D578" s="29" t="s">
        <v>3512</v>
      </c>
      <c r="E578" s="29" t="s">
        <v>3513</v>
      </c>
      <c r="F578" s="30" t="s">
        <v>3514</v>
      </c>
      <c r="G578" s="30" t="s">
        <v>3515</v>
      </c>
      <c r="H578" s="30" t="s">
        <v>3516</v>
      </c>
      <c r="I578" s="29" t="s">
        <v>659</v>
      </c>
      <c r="J578" s="31">
        <v>2.0</v>
      </c>
      <c r="K578" s="35"/>
      <c r="L578" s="35"/>
      <c r="M578" s="35"/>
      <c r="N578" s="35"/>
      <c r="O578" s="35"/>
      <c r="P578" s="35"/>
      <c r="Q578" s="35"/>
      <c r="R578" s="35"/>
      <c r="S578" s="37">
        <f>IF(B578="","",IF(ISNUMBER(J578),IF(J578&lt;=10,'Configuración'!$B$23,IF(J578&lt;=50,'Configuración'!$B$24,IF(J578&lt;=200,'Configuración'!$B$25,0))),0))</f>
        <v>12</v>
      </c>
      <c r="T578" s="37">
        <f>IF(B578="","",IF(ISNUMBER(SEARCH("information technology",I578))+ISNUMBER(SEARCH("software",I578))+ISNUMBER(SEARCH("internet",I578))+ISNUMBER(SEARCH("computer",I578))+ISNUMBER(SEARCH("saas",I578))+ISNUMBER(SEARCH("fintech",I578))+ISNUMBER(SEARCH("information services",I578))+ISNUMBER(SEARCH("telecommunications",I578))&gt;0,'Configuración'!$B$27,'Configuración'!$B$28))</f>
        <v>4</v>
      </c>
      <c r="U578" s="25">
        <f>IF(B578="","",IF(ISNUMBER(SEARCH("CEO",C578))+ISNUMBER(SEARCH("Founder",C578))+ISNUMBER(SEARCH("Owner",C578))+ISNUMBER(SEARCH("Dueño",C578))+ISNUMBER(SEARCH("Director General",C578))+ISNUMBER(SEARCH("Presidente",C578))+ISNUMBER(SEARCH("President",C578))&gt;0,'Configuración'!$B$31,IF(ISNUMBER(SEARCH("CMO",C578))+ISNUMBER(SEARCH("Chief Marketing",C578))+ISNUMBER(SEARCH("VP Marketing",C578))+ISNUMBER(SEARCH("Director de Marketing",C578))+ISNUMBER(SEARCH("Director Marketing",C578))+ISNUMBER(SEARCH("Head of Marketing",C578))+ISNUMBER(SEARCH("Head Marketing",C578))&gt;0,'Configuración'!$B$32,IF(ISNUMBER(SEARCH("Marketing Manager",C578))+ISNUMBER(SEARCH("Gerente de Marketing",C578))+ISNUMBER(SEARCH("Growth Manager",C578))+ISNUMBER(SEARCH("Demand Gen",C578))+ISNUMBER(SEARCH("Marketing Lead",C578))&gt;0,'Configuración'!$B$33,IF(ISNUMBER(SEARCH("COO",C578))+ISNUMBER(SEARCH("CFO",C578))+ISNUMBER(SEARCH("CTO",C578))+ISNUMBER(SEARCH("Chief Operating",C578))+ISNUMBER(SEARCH("Chief Financial",C578))+ISNUMBER(SEARCH("Gerente General",C578))+ISNUMBER(SEARCH("General Manager",C578))&gt;0,'Configuración'!$B$34,'Configuración'!$B$35)))))</f>
        <v>12</v>
      </c>
      <c r="V578" s="38">
        <f>IF(B578="","",IF(K578="Sí",'Configuración'!$B$5,0)+IF(L578="Semanal",'Configuración'!$B$6,IF(L578="Mensual",'Configuración'!$B$7,0))+IF(M578="Sí",'Configuración'!$B$8,0)+IF(N578="Sí",'Configuración'!$B$9,0)+IF(O578="Sí",'Configuración'!$B$10,0)+IF(P578="Sí",'Configuración'!$B$11,0)+IF(Q578="Sí",'Configuración'!$B$12,0)+S578+T578+U578)</f>
        <v>28</v>
      </c>
      <c r="W578" s="39" t="str">
        <f>IF(B578="","",IF(V578&gt;='Configuración'!$B$19,"A",IF(V578&gt;='Configuración'!$B$20,"B",IF(V578&gt;='Configuración'!$B$21,"C","Descarte"))))</f>
        <v>C</v>
      </c>
    </row>
    <row r="579" ht="15.75" customHeight="1">
      <c r="A579" s="34">
        <f t="shared" si="1"/>
        <v>577</v>
      </c>
      <c r="B579" s="29" t="s">
        <v>1137</v>
      </c>
      <c r="C579" s="29" t="s">
        <v>381</v>
      </c>
      <c r="D579" s="29" t="s">
        <v>3517</v>
      </c>
      <c r="E579" s="29" t="s">
        <v>3518</v>
      </c>
      <c r="F579" s="30" t="s">
        <v>3519</v>
      </c>
      <c r="G579" s="30" t="s">
        <v>3520</v>
      </c>
      <c r="H579" s="30" t="s">
        <v>3521</v>
      </c>
      <c r="I579" s="29" t="s">
        <v>337</v>
      </c>
      <c r="J579" s="31">
        <v>7.0</v>
      </c>
      <c r="K579" s="35"/>
      <c r="L579" s="35"/>
      <c r="M579" s="35"/>
      <c r="N579" s="35"/>
      <c r="O579" s="35"/>
      <c r="P579" s="35"/>
      <c r="Q579" s="35"/>
      <c r="R579" s="35"/>
      <c r="S579" s="37">
        <f>IF(B579="","",IF(ISNUMBER(J579),IF(J579&lt;=10,'Configuración'!$B$23,IF(J579&lt;=50,'Configuración'!$B$24,IF(J579&lt;=200,'Configuración'!$B$25,0))),0))</f>
        <v>12</v>
      </c>
      <c r="T579" s="37">
        <f>IF(B579="","",IF(ISNUMBER(SEARCH("information technology",I579))+ISNUMBER(SEARCH("software",I579))+ISNUMBER(SEARCH("internet",I579))+ISNUMBER(SEARCH("computer",I579))+ISNUMBER(SEARCH("saas",I579))+ISNUMBER(SEARCH("fintech",I579))+ISNUMBER(SEARCH("information services",I579))+ISNUMBER(SEARCH("telecommunications",I579))&gt;0,'Configuración'!$B$27,'Configuración'!$B$28))</f>
        <v>4</v>
      </c>
      <c r="U579" s="25">
        <f>IF(B579="","",IF(ISNUMBER(SEARCH("CEO",C579))+ISNUMBER(SEARCH("Founder",C579))+ISNUMBER(SEARCH("Owner",C579))+ISNUMBER(SEARCH("Dueño",C579))+ISNUMBER(SEARCH("Director General",C579))+ISNUMBER(SEARCH("Presidente",C579))+ISNUMBER(SEARCH("President",C579))&gt;0,'Configuración'!$B$31,IF(ISNUMBER(SEARCH("CMO",C579))+ISNUMBER(SEARCH("Chief Marketing",C579))+ISNUMBER(SEARCH("VP Marketing",C579))+ISNUMBER(SEARCH("Director de Marketing",C579))+ISNUMBER(SEARCH("Director Marketing",C579))+ISNUMBER(SEARCH("Head of Marketing",C579))+ISNUMBER(SEARCH("Head Marketing",C579))&gt;0,'Configuración'!$B$32,IF(ISNUMBER(SEARCH("Marketing Manager",C579))+ISNUMBER(SEARCH("Gerente de Marketing",C579))+ISNUMBER(SEARCH("Growth Manager",C579))+ISNUMBER(SEARCH("Demand Gen",C579))+ISNUMBER(SEARCH("Marketing Lead",C579))&gt;0,'Configuración'!$B$33,IF(ISNUMBER(SEARCH("COO",C579))+ISNUMBER(SEARCH("CFO",C579))+ISNUMBER(SEARCH("CTO",C579))+ISNUMBER(SEARCH("Chief Operating",C579))+ISNUMBER(SEARCH("Chief Financial",C579))+ISNUMBER(SEARCH("Gerente General",C579))+ISNUMBER(SEARCH("General Manager",C579))&gt;0,'Configuración'!$B$34,'Configuración'!$B$35)))))</f>
        <v>0</v>
      </c>
      <c r="V579" s="38">
        <f>IF(B579="","",IF(K579="Sí",'Configuración'!$B$5,0)+IF(L579="Semanal",'Configuración'!$B$6,IF(L579="Mensual",'Configuración'!$B$7,0))+IF(M579="Sí",'Configuración'!$B$8,0)+IF(N579="Sí",'Configuración'!$B$9,0)+IF(O579="Sí",'Configuración'!$B$10,0)+IF(P579="Sí",'Configuración'!$B$11,0)+IF(Q579="Sí",'Configuración'!$B$12,0)+S579+T579+U579)</f>
        <v>16</v>
      </c>
      <c r="W579" s="39" t="str">
        <f>IF(B579="","",IF(V579&gt;='Configuración'!$B$19,"A",IF(V579&gt;='Configuración'!$B$20,"B",IF(V579&gt;='Configuración'!$B$21,"C","Descarte"))))</f>
        <v>Descarte</v>
      </c>
    </row>
    <row r="580" ht="15.75" customHeight="1">
      <c r="A580" s="34">
        <f t="shared" si="1"/>
        <v>578</v>
      </c>
      <c r="B580" s="29" t="s">
        <v>236</v>
      </c>
      <c r="C580" s="29" t="s">
        <v>1549</v>
      </c>
      <c r="D580" s="29" t="s">
        <v>3522</v>
      </c>
      <c r="E580" s="29" t="s">
        <v>3523</v>
      </c>
      <c r="F580" s="30" t="s">
        <v>3524</v>
      </c>
      <c r="G580" s="30" t="s">
        <v>3525</v>
      </c>
      <c r="H580" s="30" t="s">
        <v>3526</v>
      </c>
      <c r="I580" s="29" t="s">
        <v>188</v>
      </c>
      <c r="J580" s="31">
        <v>1.0</v>
      </c>
      <c r="K580" s="35"/>
      <c r="L580" s="35"/>
      <c r="M580" s="35"/>
      <c r="N580" s="35"/>
      <c r="O580" s="35"/>
      <c r="P580" s="35"/>
      <c r="Q580" s="35"/>
      <c r="R580" s="35"/>
      <c r="S580" s="37">
        <f>IF(B580="","",IF(ISNUMBER(J580),IF(J580&lt;=10,'Configuración'!$B$23,IF(J580&lt;=50,'Configuración'!$B$24,IF(J580&lt;=200,'Configuración'!$B$25,0))),0))</f>
        <v>12</v>
      </c>
      <c r="T580" s="37">
        <f>IF(B580="","",IF(ISNUMBER(SEARCH("information technology",I580))+ISNUMBER(SEARCH("software",I580))+ISNUMBER(SEARCH("internet",I580))+ISNUMBER(SEARCH("computer",I580))+ISNUMBER(SEARCH("saas",I580))+ISNUMBER(SEARCH("fintech",I580))+ISNUMBER(SEARCH("information services",I580))+ISNUMBER(SEARCH("telecommunications",I580))&gt;0,'Configuración'!$B$27,'Configuración'!$B$28))</f>
        <v>4</v>
      </c>
      <c r="U580" s="25">
        <f>IF(B580="","",IF(ISNUMBER(SEARCH("CEO",C580))+ISNUMBER(SEARCH("Founder",C580))+ISNUMBER(SEARCH("Owner",C580))+ISNUMBER(SEARCH("Dueño",C580))+ISNUMBER(SEARCH("Director General",C580))+ISNUMBER(SEARCH("Presidente",C580))+ISNUMBER(SEARCH("President",C580))&gt;0,'Configuración'!$B$31,IF(ISNUMBER(SEARCH("CMO",C580))+ISNUMBER(SEARCH("Chief Marketing",C580))+ISNUMBER(SEARCH("VP Marketing",C580))+ISNUMBER(SEARCH("Director de Marketing",C580))+ISNUMBER(SEARCH("Director Marketing",C580))+ISNUMBER(SEARCH("Head of Marketing",C580))+ISNUMBER(SEARCH("Head Marketing",C580))&gt;0,'Configuración'!$B$32,IF(ISNUMBER(SEARCH("Marketing Manager",C580))+ISNUMBER(SEARCH("Gerente de Marketing",C580))+ISNUMBER(SEARCH("Growth Manager",C580))+ISNUMBER(SEARCH("Demand Gen",C580))+ISNUMBER(SEARCH("Marketing Lead",C580))&gt;0,'Configuración'!$B$33,IF(ISNUMBER(SEARCH("COO",C580))+ISNUMBER(SEARCH("CFO",C580))+ISNUMBER(SEARCH("CTO",C580))+ISNUMBER(SEARCH("Chief Operating",C580))+ISNUMBER(SEARCH("Chief Financial",C580))+ISNUMBER(SEARCH("Gerente General",C580))+ISNUMBER(SEARCH("General Manager",C580))&gt;0,'Configuración'!$B$34,'Configuración'!$B$35)))))</f>
        <v>0</v>
      </c>
      <c r="V580" s="38">
        <f>IF(B580="","",IF(K580="Sí",'Configuración'!$B$5,0)+IF(L580="Semanal",'Configuración'!$B$6,IF(L580="Mensual",'Configuración'!$B$7,0))+IF(M580="Sí",'Configuración'!$B$8,0)+IF(N580="Sí",'Configuración'!$B$9,0)+IF(O580="Sí",'Configuración'!$B$10,0)+IF(P580="Sí",'Configuración'!$B$11,0)+IF(Q580="Sí",'Configuración'!$B$12,0)+S580+T580+U580)</f>
        <v>16</v>
      </c>
      <c r="W580" s="39" t="str">
        <f>IF(B580="","",IF(V580&gt;='Configuración'!$B$19,"A",IF(V580&gt;='Configuración'!$B$20,"B",IF(V580&gt;='Configuración'!$B$21,"C","Descarte"))))</f>
        <v>Descarte</v>
      </c>
    </row>
    <row r="581" ht="15.75" customHeight="1">
      <c r="A581" s="34">
        <f t="shared" si="1"/>
        <v>579</v>
      </c>
      <c r="B581" s="29" t="s">
        <v>3492</v>
      </c>
      <c r="C581" s="29" t="s">
        <v>224</v>
      </c>
      <c r="D581" s="29" t="s">
        <v>3527</v>
      </c>
      <c r="E581" s="29" t="s">
        <v>3528</v>
      </c>
      <c r="F581" s="30" t="s">
        <v>3529</v>
      </c>
      <c r="G581" s="30" t="s">
        <v>3530</v>
      </c>
      <c r="H581" s="30" t="s">
        <v>3531</v>
      </c>
      <c r="I581" s="29" t="s">
        <v>127</v>
      </c>
      <c r="J581" s="31">
        <v>6.0</v>
      </c>
      <c r="K581" s="35"/>
      <c r="L581" s="35"/>
      <c r="M581" s="35"/>
      <c r="N581" s="35"/>
      <c r="O581" s="35"/>
      <c r="P581" s="35"/>
      <c r="Q581" s="35"/>
      <c r="R581" s="35"/>
      <c r="S581" s="37">
        <f>IF(B581="","",IF(ISNUMBER(J581),IF(J581&lt;=10,'Configuración'!$B$23,IF(J581&lt;=50,'Configuración'!$B$24,IF(J581&lt;=200,'Configuración'!$B$25,0))),0))</f>
        <v>12</v>
      </c>
      <c r="T581" s="37">
        <f>IF(B581="","",IF(ISNUMBER(SEARCH("information technology",I581))+ISNUMBER(SEARCH("software",I581))+ISNUMBER(SEARCH("internet",I581))+ISNUMBER(SEARCH("computer",I581))+ISNUMBER(SEARCH("saas",I581))+ISNUMBER(SEARCH("fintech",I581))+ISNUMBER(SEARCH("information services",I581))+ISNUMBER(SEARCH("telecommunications",I581))&gt;0,'Configuración'!$B$27,'Configuración'!$B$28))</f>
        <v>12</v>
      </c>
      <c r="U581" s="25">
        <f>IF(B581="","",IF(ISNUMBER(SEARCH("CEO",C581))+ISNUMBER(SEARCH("Founder",C581))+ISNUMBER(SEARCH("Owner",C581))+ISNUMBER(SEARCH("Dueño",C581))+ISNUMBER(SEARCH("Director General",C581))+ISNUMBER(SEARCH("Presidente",C581))+ISNUMBER(SEARCH("President",C581))&gt;0,'Configuración'!$B$31,IF(ISNUMBER(SEARCH("CMO",C581))+ISNUMBER(SEARCH("Chief Marketing",C581))+ISNUMBER(SEARCH("VP Marketing",C581))+ISNUMBER(SEARCH("Director de Marketing",C581))+ISNUMBER(SEARCH("Director Marketing",C581))+ISNUMBER(SEARCH("Head of Marketing",C581))+ISNUMBER(SEARCH("Head Marketing",C581))&gt;0,'Configuración'!$B$32,IF(ISNUMBER(SEARCH("Marketing Manager",C581))+ISNUMBER(SEARCH("Gerente de Marketing",C581))+ISNUMBER(SEARCH("Growth Manager",C581))+ISNUMBER(SEARCH("Demand Gen",C581))+ISNUMBER(SEARCH("Marketing Lead",C581))&gt;0,'Configuración'!$B$33,IF(ISNUMBER(SEARCH("COO",C581))+ISNUMBER(SEARCH("CFO",C581))+ISNUMBER(SEARCH("CTO",C581))+ISNUMBER(SEARCH("Chief Operating",C581))+ISNUMBER(SEARCH("Chief Financial",C581))+ISNUMBER(SEARCH("Gerente General",C581))+ISNUMBER(SEARCH("General Manager",C581))&gt;0,'Configuración'!$B$34,'Configuración'!$B$35)))))</f>
        <v>12</v>
      </c>
      <c r="V581" s="38">
        <f>IF(B581="","",IF(K581="Sí",'Configuración'!$B$5,0)+IF(L581="Semanal",'Configuración'!$B$6,IF(L581="Mensual",'Configuración'!$B$7,0))+IF(M581="Sí",'Configuración'!$B$8,0)+IF(N581="Sí",'Configuración'!$B$9,0)+IF(O581="Sí",'Configuración'!$B$10,0)+IF(P581="Sí",'Configuración'!$B$11,0)+IF(Q581="Sí",'Configuración'!$B$12,0)+S581+T581+U581)</f>
        <v>36</v>
      </c>
      <c r="W581" s="39" t="str">
        <f>IF(B581="","",IF(V581&gt;='Configuración'!$B$19,"A",IF(V581&gt;='Configuración'!$B$20,"B",IF(V581&gt;='Configuración'!$B$21,"C","Descarte"))))</f>
        <v>C</v>
      </c>
    </row>
    <row r="582" ht="15.75" customHeight="1">
      <c r="A582" s="34">
        <f t="shared" si="1"/>
        <v>580</v>
      </c>
      <c r="B582" s="29" t="s">
        <v>120</v>
      </c>
      <c r="C582" s="29" t="s">
        <v>1381</v>
      </c>
      <c r="D582" s="29" t="s">
        <v>3532</v>
      </c>
      <c r="E582" s="29" t="s">
        <v>3533</v>
      </c>
      <c r="F582" s="30" t="s">
        <v>3534</v>
      </c>
      <c r="G582" s="30" t="s">
        <v>3535</v>
      </c>
      <c r="H582" s="30" t="s">
        <v>3536</v>
      </c>
      <c r="I582" s="29" t="s">
        <v>127</v>
      </c>
      <c r="J582" s="31">
        <v>19.0</v>
      </c>
      <c r="K582" s="35"/>
      <c r="L582" s="35"/>
      <c r="M582" s="35"/>
      <c r="N582" s="35"/>
      <c r="O582" s="35"/>
      <c r="P582" s="35"/>
      <c r="Q582" s="35"/>
      <c r="R582" s="35"/>
      <c r="S582" s="37">
        <f>IF(B582="","",IF(ISNUMBER(J582),IF(J582&lt;=10,'Configuración'!$B$23,IF(J582&lt;=50,'Configuración'!$B$24,IF(J582&lt;=200,'Configuración'!$B$25,0))),0))</f>
        <v>4</v>
      </c>
      <c r="T582" s="37">
        <f>IF(B582="","",IF(ISNUMBER(SEARCH("information technology",I582))+ISNUMBER(SEARCH("software",I582))+ISNUMBER(SEARCH("internet",I582))+ISNUMBER(SEARCH("computer",I582))+ISNUMBER(SEARCH("saas",I582))+ISNUMBER(SEARCH("fintech",I582))+ISNUMBER(SEARCH("information services",I582))+ISNUMBER(SEARCH("telecommunications",I582))&gt;0,'Configuración'!$B$27,'Configuración'!$B$28))</f>
        <v>12</v>
      </c>
      <c r="U582" s="25">
        <f>IF(B582="","",IF(ISNUMBER(SEARCH("CEO",C582))+ISNUMBER(SEARCH("Founder",C582))+ISNUMBER(SEARCH("Owner",C582))+ISNUMBER(SEARCH("Dueño",C582))+ISNUMBER(SEARCH("Director General",C582))+ISNUMBER(SEARCH("Presidente",C582))+ISNUMBER(SEARCH("President",C582))&gt;0,'Configuración'!$B$31,IF(ISNUMBER(SEARCH("CMO",C582))+ISNUMBER(SEARCH("Chief Marketing",C582))+ISNUMBER(SEARCH("VP Marketing",C582))+ISNUMBER(SEARCH("Director de Marketing",C582))+ISNUMBER(SEARCH("Director Marketing",C582))+ISNUMBER(SEARCH("Head of Marketing",C582))+ISNUMBER(SEARCH("Head Marketing",C582))&gt;0,'Configuración'!$B$32,IF(ISNUMBER(SEARCH("Marketing Manager",C582))+ISNUMBER(SEARCH("Gerente de Marketing",C582))+ISNUMBER(SEARCH("Growth Manager",C582))+ISNUMBER(SEARCH("Demand Gen",C582))+ISNUMBER(SEARCH("Marketing Lead",C582))&gt;0,'Configuración'!$B$33,IF(ISNUMBER(SEARCH("COO",C582))+ISNUMBER(SEARCH("CFO",C582))+ISNUMBER(SEARCH("CTO",C582))+ISNUMBER(SEARCH("Chief Operating",C582))+ISNUMBER(SEARCH("Chief Financial",C582))+ISNUMBER(SEARCH("Gerente General",C582))+ISNUMBER(SEARCH("General Manager",C582))&gt;0,'Configuración'!$B$34,'Configuración'!$B$35)))))</f>
        <v>12</v>
      </c>
      <c r="V582" s="38">
        <f>IF(B582="","",IF(K582="Sí",'Configuración'!$B$5,0)+IF(L582="Semanal",'Configuración'!$B$6,IF(L582="Mensual",'Configuración'!$B$7,0))+IF(M582="Sí",'Configuración'!$B$8,0)+IF(N582="Sí",'Configuración'!$B$9,0)+IF(O582="Sí",'Configuración'!$B$10,0)+IF(P582="Sí",'Configuración'!$B$11,0)+IF(Q582="Sí",'Configuración'!$B$12,0)+S582+T582+U582)</f>
        <v>28</v>
      </c>
      <c r="W582" s="39" t="str">
        <f>IF(B582="","",IF(V582&gt;='Configuración'!$B$19,"A",IF(V582&gt;='Configuración'!$B$20,"B",IF(V582&gt;='Configuración'!$B$21,"C","Descarte"))))</f>
        <v>C</v>
      </c>
    </row>
    <row r="583" ht="15.75" customHeight="1">
      <c r="A583" s="34">
        <f t="shared" si="1"/>
        <v>581</v>
      </c>
      <c r="B583" s="29" t="s">
        <v>201</v>
      </c>
      <c r="C583" s="29" t="s">
        <v>121</v>
      </c>
      <c r="D583" s="29" t="s">
        <v>3537</v>
      </c>
      <c r="E583" s="29" t="s">
        <v>3538</v>
      </c>
      <c r="F583" s="30" t="s">
        <v>3539</v>
      </c>
      <c r="G583" s="30" t="s">
        <v>3540</v>
      </c>
      <c r="H583" s="30" t="s">
        <v>3541</v>
      </c>
      <c r="I583" s="29" t="s">
        <v>990</v>
      </c>
      <c r="J583" s="31">
        <v>4.0</v>
      </c>
      <c r="K583" s="35"/>
      <c r="L583" s="35"/>
      <c r="M583" s="35"/>
      <c r="N583" s="35"/>
      <c r="O583" s="35"/>
      <c r="P583" s="35"/>
      <c r="Q583" s="35"/>
      <c r="R583" s="35"/>
      <c r="S583" s="37">
        <f>IF(B583="","",IF(ISNUMBER(J583),IF(J583&lt;=10,'Configuración'!$B$23,IF(J583&lt;=50,'Configuración'!$B$24,IF(J583&lt;=200,'Configuración'!$B$25,0))),0))</f>
        <v>12</v>
      </c>
      <c r="T583" s="37">
        <f>IF(B583="","",IF(ISNUMBER(SEARCH("information technology",I583))+ISNUMBER(SEARCH("software",I583))+ISNUMBER(SEARCH("internet",I583))+ISNUMBER(SEARCH("computer",I583))+ISNUMBER(SEARCH("saas",I583))+ISNUMBER(SEARCH("fintech",I583))+ISNUMBER(SEARCH("information services",I583))+ISNUMBER(SEARCH("telecommunications",I583))&gt;0,'Configuración'!$B$27,'Configuración'!$B$28))</f>
        <v>4</v>
      </c>
      <c r="U583" s="25">
        <f>IF(B583="","",IF(ISNUMBER(SEARCH("CEO",C583))+ISNUMBER(SEARCH("Founder",C583))+ISNUMBER(SEARCH("Owner",C583))+ISNUMBER(SEARCH("Dueño",C583))+ISNUMBER(SEARCH("Director General",C583))+ISNUMBER(SEARCH("Presidente",C583))+ISNUMBER(SEARCH("President",C583))&gt;0,'Configuración'!$B$31,IF(ISNUMBER(SEARCH("CMO",C583))+ISNUMBER(SEARCH("Chief Marketing",C583))+ISNUMBER(SEARCH("VP Marketing",C583))+ISNUMBER(SEARCH("Director de Marketing",C583))+ISNUMBER(SEARCH("Director Marketing",C583))+ISNUMBER(SEARCH("Head of Marketing",C583))+ISNUMBER(SEARCH("Head Marketing",C583))&gt;0,'Configuración'!$B$32,IF(ISNUMBER(SEARCH("Marketing Manager",C583))+ISNUMBER(SEARCH("Gerente de Marketing",C583))+ISNUMBER(SEARCH("Growth Manager",C583))+ISNUMBER(SEARCH("Demand Gen",C583))+ISNUMBER(SEARCH("Marketing Lead",C583))&gt;0,'Configuración'!$B$33,IF(ISNUMBER(SEARCH("COO",C583))+ISNUMBER(SEARCH("CFO",C583))+ISNUMBER(SEARCH("CTO",C583))+ISNUMBER(SEARCH("Chief Operating",C583))+ISNUMBER(SEARCH("Chief Financial",C583))+ISNUMBER(SEARCH("Gerente General",C583))+ISNUMBER(SEARCH("General Manager",C583))&gt;0,'Configuración'!$B$34,'Configuración'!$B$35)))))</f>
        <v>12</v>
      </c>
      <c r="V583" s="38">
        <f>IF(B583="","",IF(K583="Sí",'Configuración'!$B$5,0)+IF(L583="Semanal",'Configuración'!$B$6,IF(L583="Mensual",'Configuración'!$B$7,0))+IF(M583="Sí",'Configuración'!$B$8,0)+IF(N583="Sí",'Configuración'!$B$9,0)+IF(O583="Sí",'Configuración'!$B$10,0)+IF(P583="Sí",'Configuración'!$B$11,0)+IF(Q583="Sí",'Configuración'!$B$12,0)+S583+T583+U583)</f>
        <v>28</v>
      </c>
      <c r="W583" s="39" t="str">
        <f>IF(B583="","",IF(V583&gt;='Configuración'!$B$19,"A",IF(V583&gt;='Configuración'!$B$20,"B",IF(V583&gt;='Configuración'!$B$21,"C","Descarte"))))</f>
        <v>C</v>
      </c>
    </row>
    <row r="584" ht="15.75" customHeight="1">
      <c r="A584" s="34">
        <f t="shared" si="1"/>
        <v>582</v>
      </c>
      <c r="B584" s="29" t="s">
        <v>3542</v>
      </c>
      <c r="C584" s="29" t="s">
        <v>622</v>
      </c>
      <c r="D584" s="29" t="s">
        <v>3543</v>
      </c>
      <c r="E584" s="29" t="s">
        <v>3544</v>
      </c>
      <c r="F584" s="30" t="s">
        <v>3545</v>
      </c>
      <c r="G584" s="30" t="s">
        <v>3546</v>
      </c>
      <c r="H584" s="30" t="s">
        <v>3547</v>
      </c>
      <c r="I584" s="29" t="s">
        <v>295</v>
      </c>
      <c r="J584" s="31">
        <v>2.0</v>
      </c>
      <c r="K584" s="35"/>
      <c r="L584" s="35"/>
      <c r="M584" s="35"/>
      <c r="N584" s="35"/>
      <c r="O584" s="35"/>
      <c r="P584" s="35"/>
      <c r="Q584" s="35"/>
      <c r="R584" s="35"/>
      <c r="S584" s="37">
        <f>IF(B584="","",IF(ISNUMBER(J584),IF(J584&lt;=10,'Configuración'!$B$23,IF(J584&lt;=50,'Configuración'!$B$24,IF(J584&lt;=200,'Configuración'!$B$25,0))),0))</f>
        <v>12</v>
      </c>
      <c r="T584" s="37">
        <f>IF(B584="","",IF(ISNUMBER(SEARCH("information technology",I584))+ISNUMBER(SEARCH("software",I584))+ISNUMBER(SEARCH("internet",I584))+ISNUMBER(SEARCH("computer",I584))+ISNUMBER(SEARCH("saas",I584))+ISNUMBER(SEARCH("fintech",I584))+ISNUMBER(SEARCH("information services",I584))+ISNUMBER(SEARCH("telecommunications",I584))&gt;0,'Configuración'!$B$27,'Configuración'!$B$28))</f>
        <v>4</v>
      </c>
      <c r="U584" s="25">
        <f>IF(B584="","",IF(ISNUMBER(SEARCH("CEO",C584))+ISNUMBER(SEARCH("Founder",C584))+ISNUMBER(SEARCH("Owner",C584))+ISNUMBER(SEARCH("Dueño",C584))+ISNUMBER(SEARCH("Director General",C584))+ISNUMBER(SEARCH("Presidente",C584))+ISNUMBER(SEARCH("President",C584))&gt;0,'Configuración'!$B$31,IF(ISNUMBER(SEARCH("CMO",C584))+ISNUMBER(SEARCH("Chief Marketing",C584))+ISNUMBER(SEARCH("VP Marketing",C584))+ISNUMBER(SEARCH("Director de Marketing",C584))+ISNUMBER(SEARCH("Director Marketing",C584))+ISNUMBER(SEARCH("Head of Marketing",C584))+ISNUMBER(SEARCH("Head Marketing",C584))&gt;0,'Configuración'!$B$32,IF(ISNUMBER(SEARCH("Marketing Manager",C584))+ISNUMBER(SEARCH("Gerente de Marketing",C584))+ISNUMBER(SEARCH("Growth Manager",C584))+ISNUMBER(SEARCH("Demand Gen",C584))+ISNUMBER(SEARCH("Marketing Lead",C584))&gt;0,'Configuración'!$B$33,IF(ISNUMBER(SEARCH("COO",C584))+ISNUMBER(SEARCH("CFO",C584))+ISNUMBER(SEARCH("CTO",C584))+ISNUMBER(SEARCH("Chief Operating",C584))+ISNUMBER(SEARCH("Chief Financial",C584))+ISNUMBER(SEARCH("Gerente General",C584))+ISNUMBER(SEARCH("General Manager",C584))&gt;0,'Configuración'!$B$34,'Configuración'!$B$35)))))</f>
        <v>12</v>
      </c>
      <c r="V584" s="38">
        <f>IF(B584="","",IF(K584="Sí",'Configuración'!$B$5,0)+IF(L584="Semanal",'Configuración'!$B$6,IF(L584="Mensual",'Configuración'!$B$7,0))+IF(M584="Sí",'Configuración'!$B$8,0)+IF(N584="Sí",'Configuración'!$B$9,0)+IF(O584="Sí",'Configuración'!$B$10,0)+IF(P584="Sí",'Configuración'!$B$11,0)+IF(Q584="Sí",'Configuración'!$B$12,0)+S584+T584+U584)</f>
        <v>28</v>
      </c>
      <c r="W584" s="39" t="str">
        <f>IF(B584="","",IF(V584&gt;='Configuración'!$B$19,"A",IF(V584&gt;='Configuración'!$B$20,"B",IF(V584&gt;='Configuración'!$B$21,"C","Descarte"))))</f>
        <v>C</v>
      </c>
    </row>
    <row r="585" ht="15.75" customHeight="1">
      <c r="A585" s="34">
        <f t="shared" si="1"/>
        <v>583</v>
      </c>
      <c r="B585" s="29" t="s">
        <v>223</v>
      </c>
      <c r="C585" s="29" t="s">
        <v>3548</v>
      </c>
      <c r="D585" s="29" t="s">
        <v>1326</v>
      </c>
      <c r="E585" s="29" t="s">
        <v>3549</v>
      </c>
      <c r="F585" s="30" t="s">
        <v>3550</v>
      </c>
      <c r="G585" s="30" t="s">
        <v>1329</v>
      </c>
      <c r="H585" s="30" t="s">
        <v>1330</v>
      </c>
      <c r="I585" s="29" t="s">
        <v>127</v>
      </c>
      <c r="J585" s="31">
        <v>28.0</v>
      </c>
      <c r="K585" s="35"/>
      <c r="L585" s="35"/>
      <c r="M585" s="35"/>
      <c r="N585" s="35"/>
      <c r="O585" s="35"/>
      <c r="P585" s="35"/>
      <c r="Q585" s="35"/>
      <c r="R585" s="35"/>
      <c r="S585" s="37">
        <f>IF(B585="","",IF(ISNUMBER(J585),IF(J585&lt;=10,'Configuración'!$B$23,IF(J585&lt;=50,'Configuración'!$B$24,IF(J585&lt;=200,'Configuración'!$B$25,0))),0))</f>
        <v>4</v>
      </c>
      <c r="T585" s="37">
        <f>IF(B585="","",IF(ISNUMBER(SEARCH("information technology",I585))+ISNUMBER(SEARCH("software",I585))+ISNUMBER(SEARCH("internet",I585))+ISNUMBER(SEARCH("computer",I585))+ISNUMBER(SEARCH("saas",I585))+ISNUMBER(SEARCH("fintech",I585))+ISNUMBER(SEARCH("information services",I585))+ISNUMBER(SEARCH("telecommunications",I585))&gt;0,'Configuración'!$B$27,'Configuración'!$B$28))</f>
        <v>12</v>
      </c>
      <c r="U585" s="25">
        <f>IF(B585="","",IF(ISNUMBER(SEARCH("CEO",C585))+ISNUMBER(SEARCH("Founder",C585))+ISNUMBER(SEARCH("Owner",C585))+ISNUMBER(SEARCH("Dueño",C585))+ISNUMBER(SEARCH("Director General",C585))+ISNUMBER(SEARCH("Presidente",C585))+ISNUMBER(SEARCH("President",C585))&gt;0,'Configuración'!$B$31,IF(ISNUMBER(SEARCH("CMO",C585))+ISNUMBER(SEARCH("Chief Marketing",C585))+ISNUMBER(SEARCH("VP Marketing",C585))+ISNUMBER(SEARCH("Director de Marketing",C585))+ISNUMBER(SEARCH("Director Marketing",C585))+ISNUMBER(SEARCH("Head of Marketing",C585))+ISNUMBER(SEARCH("Head Marketing",C585))&gt;0,'Configuración'!$B$32,IF(ISNUMBER(SEARCH("Marketing Manager",C585))+ISNUMBER(SEARCH("Gerente de Marketing",C585))+ISNUMBER(SEARCH("Growth Manager",C585))+ISNUMBER(SEARCH("Demand Gen",C585))+ISNUMBER(SEARCH("Marketing Lead",C585))&gt;0,'Configuración'!$B$33,IF(ISNUMBER(SEARCH("COO",C585))+ISNUMBER(SEARCH("CFO",C585))+ISNUMBER(SEARCH("CTO",C585))+ISNUMBER(SEARCH("Chief Operating",C585))+ISNUMBER(SEARCH("Chief Financial",C585))+ISNUMBER(SEARCH("Gerente General",C585))+ISNUMBER(SEARCH("General Manager",C585))&gt;0,'Configuración'!$B$34,'Configuración'!$B$35)))))</f>
        <v>12</v>
      </c>
      <c r="V585" s="38">
        <f>IF(B585="","",IF(K585="Sí",'Configuración'!$B$5,0)+IF(L585="Semanal",'Configuración'!$B$6,IF(L585="Mensual",'Configuración'!$B$7,0))+IF(M585="Sí",'Configuración'!$B$8,0)+IF(N585="Sí",'Configuración'!$B$9,0)+IF(O585="Sí",'Configuración'!$B$10,0)+IF(P585="Sí",'Configuración'!$B$11,0)+IF(Q585="Sí",'Configuración'!$B$12,0)+S585+T585+U585)</f>
        <v>28</v>
      </c>
      <c r="W585" s="39" t="str">
        <f>IF(B585="","",IF(V585&gt;='Configuración'!$B$19,"A",IF(V585&gt;='Configuración'!$B$20,"B",IF(V585&gt;='Configuración'!$B$21,"C","Descarte"))))</f>
        <v>C</v>
      </c>
    </row>
    <row r="586" ht="15.75" customHeight="1">
      <c r="A586" s="34">
        <f t="shared" si="1"/>
        <v>584</v>
      </c>
      <c r="B586" s="29" t="s">
        <v>481</v>
      </c>
      <c r="C586" s="29" t="s">
        <v>3551</v>
      </c>
      <c r="D586" s="29" t="s">
        <v>3097</v>
      </c>
      <c r="E586" s="29" t="s">
        <v>3552</v>
      </c>
      <c r="F586" s="30" t="s">
        <v>3553</v>
      </c>
      <c r="G586" s="30" t="s">
        <v>3100</v>
      </c>
      <c r="H586" s="30" t="s">
        <v>3101</v>
      </c>
      <c r="I586" s="29" t="s">
        <v>127</v>
      </c>
      <c r="J586" s="31">
        <v>27.0</v>
      </c>
      <c r="K586" s="35"/>
      <c r="L586" s="35"/>
      <c r="M586" s="35"/>
      <c r="N586" s="35"/>
      <c r="O586" s="35"/>
      <c r="P586" s="35"/>
      <c r="Q586" s="35"/>
      <c r="R586" s="35"/>
      <c r="S586" s="37">
        <f>IF(B586="","",IF(ISNUMBER(J586),IF(J586&lt;=10,'Configuración'!$B$23,IF(J586&lt;=50,'Configuración'!$B$24,IF(J586&lt;=200,'Configuración'!$B$25,0))),0))</f>
        <v>4</v>
      </c>
      <c r="T586" s="37">
        <f>IF(B586="","",IF(ISNUMBER(SEARCH("information technology",I586))+ISNUMBER(SEARCH("software",I586))+ISNUMBER(SEARCH("internet",I586))+ISNUMBER(SEARCH("computer",I586))+ISNUMBER(SEARCH("saas",I586))+ISNUMBER(SEARCH("fintech",I586))+ISNUMBER(SEARCH("information services",I586))+ISNUMBER(SEARCH("telecommunications",I586))&gt;0,'Configuración'!$B$27,'Configuración'!$B$28))</f>
        <v>12</v>
      </c>
      <c r="U586" s="25">
        <f>IF(B586="","",IF(ISNUMBER(SEARCH("CEO",C586))+ISNUMBER(SEARCH("Founder",C586))+ISNUMBER(SEARCH("Owner",C586))+ISNUMBER(SEARCH("Dueño",C586))+ISNUMBER(SEARCH("Director General",C586))+ISNUMBER(SEARCH("Presidente",C586))+ISNUMBER(SEARCH("President",C586))&gt;0,'Configuración'!$B$31,IF(ISNUMBER(SEARCH("CMO",C586))+ISNUMBER(SEARCH("Chief Marketing",C586))+ISNUMBER(SEARCH("VP Marketing",C586))+ISNUMBER(SEARCH("Director de Marketing",C586))+ISNUMBER(SEARCH("Director Marketing",C586))+ISNUMBER(SEARCH("Head of Marketing",C586))+ISNUMBER(SEARCH("Head Marketing",C586))&gt;0,'Configuración'!$B$32,IF(ISNUMBER(SEARCH("Marketing Manager",C586))+ISNUMBER(SEARCH("Gerente de Marketing",C586))+ISNUMBER(SEARCH("Growth Manager",C586))+ISNUMBER(SEARCH("Demand Gen",C586))+ISNUMBER(SEARCH("Marketing Lead",C586))&gt;0,'Configuración'!$B$33,IF(ISNUMBER(SEARCH("COO",C586))+ISNUMBER(SEARCH("CFO",C586))+ISNUMBER(SEARCH("CTO",C586))+ISNUMBER(SEARCH("Chief Operating",C586))+ISNUMBER(SEARCH("Chief Financial",C586))+ISNUMBER(SEARCH("Gerente General",C586))+ISNUMBER(SEARCH("General Manager",C586))&gt;0,'Configuración'!$B$34,'Configuración'!$B$35)))))</f>
        <v>0</v>
      </c>
      <c r="V586" s="38">
        <f>IF(B586="","",IF(K586="Sí",'Configuración'!$B$5,0)+IF(L586="Semanal",'Configuración'!$B$6,IF(L586="Mensual",'Configuración'!$B$7,0))+IF(M586="Sí",'Configuración'!$B$8,0)+IF(N586="Sí",'Configuración'!$B$9,0)+IF(O586="Sí",'Configuración'!$B$10,0)+IF(P586="Sí",'Configuración'!$B$11,0)+IF(Q586="Sí",'Configuración'!$B$12,0)+S586+T586+U586)</f>
        <v>16</v>
      </c>
      <c r="W586" s="39" t="str">
        <f>IF(B586="","",IF(V586&gt;='Configuración'!$B$19,"A",IF(V586&gt;='Configuración'!$B$20,"B",IF(V586&gt;='Configuración'!$B$21,"C","Descarte"))))</f>
        <v>Descarte</v>
      </c>
    </row>
    <row r="587" ht="15.75" customHeight="1">
      <c r="A587" s="34">
        <f t="shared" si="1"/>
        <v>585</v>
      </c>
      <c r="B587" s="29" t="s">
        <v>3554</v>
      </c>
      <c r="C587" s="29" t="s">
        <v>516</v>
      </c>
      <c r="D587" s="29" t="s">
        <v>3555</v>
      </c>
      <c r="E587" s="29" t="s">
        <v>3556</v>
      </c>
      <c r="F587" s="30" t="s">
        <v>3557</v>
      </c>
      <c r="G587" s="30" t="s">
        <v>3558</v>
      </c>
      <c r="H587" s="30" t="s">
        <v>3559</v>
      </c>
      <c r="I587" s="29" t="s">
        <v>616</v>
      </c>
      <c r="J587" s="31">
        <v>5.0</v>
      </c>
      <c r="K587" s="35"/>
      <c r="L587" s="35"/>
      <c r="M587" s="35"/>
      <c r="N587" s="35"/>
      <c r="O587" s="35"/>
      <c r="P587" s="35"/>
      <c r="Q587" s="35"/>
      <c r="R587" s="35"/>
      <c r="S587" s="37">
        <f>IF(B587="","",IF(ISNUMBER(J587),IF(J587&lt;=10,'Configuración'!$B$23,IF(J587&lt;=50,'Configuración'!$B$24,IF(J587&lt;=200,'Configuración'!$B$25,0))),0))</f>
        <v>12</v>
      </c>
      <c r="T587" s="37">
        <f>IF(B587="","",IF(ISNUMBER(SEARCH("information technology",I587))+ISNUMBER(SEARCH("software",I587))+ISNUMBER(SEARCH("internet",I587))+ISNUMBER(SEARCH("computer",I587))+ISNUMBER(SEARCH("saas",I587))+ISNUMBER(SEARCH("fintech",I587))+ISNUMBER(SEARCH("information services",I587))+ISNUMBER(SEARCH("telecommunications",I587))&gt;0,'Configuración'!$B$27,'Configuración'!$B$28))</f>
        <v>4</v>
      </c>
      <c r="U587" s="25">
        <f>IF(B587="","",IF(ISNUMBER(SEARCH("CEO",C587))+ISNUMBER(SEARCH("Founder",C587))+ISNUMBER(SEARCH("Owner",C587))+ISNUMBER(SEARCH("Dueño",C587))+ISNUMBER(SEARCH("Director General",C587))+ISNUMBER(SEARCH("Presidente",C587))+ISNUMBER(SEARCH("President",C587))&gt;0,'Configuración'!$B$31,IF(ISNUMBER(SEARCH("CMO",C587))+ISNUMBER(SEARCH("Chief Marketing",C587))+ISNUMBER(SEARCH("VP Marketing",C587))+ISNUMBER(SEARCH("Director de Marketing",C587))+ISNUMBER(SEARCH("Director Marketing",C587))+ISNUMBER(SEARCH("Head of Marketing",C587))+ISNUMBER(SEARCH("Head Marketing",C587))&gt;0,'Configuración'!$B$32,IF(ISNUMBER(SEARCH("Marketing Manager",C587))+ISNUMBER(SEARCH("Gerente de Marketing",C587))+ISNUMBER(SEARCH("Growth Manager",C587))+ISNUMBER(SEARCH("Demand Gen",C587))+ISNUMBER(SEARCH("Marketing Lead",C587))&gt;0,'Configuración'!$B$33,IF(ISNUMBER(SEARCH("COO",C587))+ISNUMBER(SEARCH("CFO",C587))+ISNUMBER(SEARCH("CTO",C587))+ISNUMBER(SEARCH("Chief Operating",C587))+ISNUMBER(SEARCH("Chief Financial",C587))+ISNUMBER(SEARCH("Gerente General",C587))+ISNUMBER(SEARCH("General Manager",C587))&gt;0,'Configuración'!$B$34,'Configuración'!$B$35)))))</f>
        <v>0</v>
      </c>
      <c r="V587" s="38">
        <f>IF(B587="","",IF(K587="Sí",'Configuración'!$B$5,0)+IF(L587="Semanal",'Configuración'!$B$6,IF(L587="Mensual",'Configuración'!$B$7,0))+IF(M587="Sí",'Configuración'!$B$8,0)+IF(N587="Sí",'Configuración'!$B$9,0)+IF(O587="Sí",'Configuración'!$B$10,0)+IF(P587="Sí",'Configuración'!$B$11,0)+IF(Q587="Sí",'Configuración'!$B$12,0)+S587+T587+U587)</f>
        <v>16</v>
      </c>
      <c r="W587" s="39" t="str">
        <f>IF(B587="","",IF(V587&gt;='Configuración'!$B$19,"A",IF(V587&gt;='Configuración'!$B$20,"B",IF(V587&gt;='Configuración'!$B$21,"C","Descarte"))))</f>
        <v>Descarte</v>
      </c>
    </row>
    <row r="588" ht="15.75" customHeight="1">
      <c r="A588" s="34">
        <f t="shared" si="1"/>
        <v>586</v>
      </c>
      <c r="B588" s="29" t="s">
        <v>3560</v>
      </c>
      <c r="C588" s="29" t="s">
        <v>202</v>
      </c>
      <c r="D588" s="29" t="s">
        <v>3561</v>
      </c>
      <c r="E588" s="29" t="s">
        <v>3562</v>
      </c>
      <c r="F588" s="30" t="s">
        <v>3563</v>
      </c>
      <c r="G588" s="30" t="s">
        <v>3564</v>
      </c>
      <c r="H588" s="30" t="s">
        <v>3565</v>
      </c>
      <c r="I588" s="29" t="s">
        <v>1785</v>
      </c>
      <c r="J588" s="31">
        <v>10.0</v>
      </c>
      <c r="K588" s="35"/>
      <c r="L588" s="35"/>
      <c r="M588" s="35"/>
      <c r="N588" s="35"/>
      <c r="O588" s="35"/>
      <c r="P588" s="35"/>
      <c r="Q588" s="35"/>
      <c r="R588" s="35"/>
      <c r="S588" s="37">
        <f>IF(B588="","",IF(ISNUMBER(J588),IF(J588&lt;=10,'Configuración'!$B$23,IF(J588&lt;=50,'Configuración'!$B$24,IF(J588&lt;=200,'Configuración'!$B$25,0))),0))</f>
        <v>12</v>
      </c>
      <c r="T588" s="37">
        <f>IF(B588="","",IF(ISNUMBER(SEARCH("information technology",I588))+ISNUMBER(SEARCH("software",I588))+ISNUMBER(SEARCH("internet",I588))+ISNUMBER(SEARCH("computer",I588))+ISNUMBER(SEARCH("saas",I588))+ISNUMBER(SEARCH("fintech",I588))+ISNUMBER(SEARCH("information services",I588))+ISNUMBER(SEARCH("telecommunications",I588))&gt;0,'Configuración'!$B$27,'Configuración'!$B$28))</f>
        <v>4</v>
      </c>
      <c r="U588" s="25">
        <f>IF(B588="","",IF(ISNUMBER(SEARCH("CEO",C588))+ISNUMBER(SEARCH("Founder",C588))+ISNUMBER(SEARCH("Owner",C588))+ISNUMBER(SEARCH("Dueño",C588))+ISNUMBER(SEARCH("Director General",C588))+ISNUMBER(SEARCH("Presidente",C588))+ISNUMBER(SEARCH("President",C588))&gt;0,'Configuración'!$B$31,IF(ISNUMBER(SEARCH("CMO",C588))+ISNUMBER(SEARCH("Chief Marketing",C588))+ISNUMBER(SEARCH("VP Marketing",C588))+ISNUMBER(SEARCH("Director de Marketing",C588))+ISNUMBER(SEARCH("Director Marketing",C588))+ISNUMBER(SEARCH("Head of Marketing",C588))+ISNUMBER(SEARCH("Head Marketing",C588))&gt;0,'Configuración'!$B$32,IF(ISNUMBER(SEARCH("Marketing Manager",C588))+ISNUMBER(SEARCH("Gerente de Marketing",C588))+ISNUMBER(SEARCH("Growth Manager",C588))+ISNUMBER(SEARCH("Demand Gen",C588))+ISNUMBER(SEARCH("Marketing Lead",C588))&gt;0,'Configuración'!$B$33,IF(ISNUMBER(SEARCH("COO",C588))+ISNUMBER(SEARCH("CFO",C588))+ISNUMBER(SEARCH("CTO",C588))+ISNUMBER(SEARCH("Chief Operating",C588))+ISNUMBER(SEARCH("Chief Financial",C588))+ISNUMBER(SEARCH("Gerente General",C588))+ISNUMBER(SEARCH("General Manager",C588))&gt;0,'Configuración'!$B$34,'Configuración'!$B$35)))))</f>
        <v>12</v>
      </c>
      <c r="V588" s="38">
        <f>IF(B588="","",IF(K588="Sí",'Configuración'!$B$5,0)+IF(L588="Semanal",'Configuración'!$B$6,IF(L588="Mensual",'Configuración'!$B$7,0))+IF(M588="Sí",'Configuración'!$B$8,0)+IF(N588="Sí",'Configuración'!$B$9,0)+IF(O588="Sí",'Configuración'!$B$10,0)+IF(P588="Sí",'Configuración'!$B$11,0)+IF(Q588="Sí",'Configuración'!$B$12,0)+S588+T588+U588)</f>
        <v>28</v>
      </c>
      <c r="W588" s="39" t="str">
        <f>IF(B588="","",IF(V588&gt;='Configuración'!$B$19,"A",IF(V588&gt;='Configuración'!$B$20,"B",IF(V588&gt;='Configuración'!$B$21,"C","Descarte"))))</f>
        <v>C</v>
      </c>
    </row>
    <row r="589" ht="15.75" customHeight="1">
      <c r="A589" s="34">
        <f t="shared" si="1"/>
        <v>587</v>
      </c>
      <c r="B589" s="29" t="s">
        <v>3566</v>
      </c>
      <c r="C589" s="29" t="s">
        <v>719</v>
      </c>
      <c r="D589" s="29" t="s">
        <v>3567</v>
      </c>
      <c r="E589" s="29" t="s">
        <v>3568</v>
      </c>
      <c r="F589" s="30" t="s">
        <v>3569</v>
      </c>
      <c r="G589" s="30" t="s">
        <v>3570</v>
      </c>
      <c r="H589" s="30" t="s">
        <v>3571</v>
      </c>
      <c r="I589" s="29" t="s">
        <v>1785</v>
      </c>
      <c r="J589" s="31">
        <v>14.0</v>
      </c>
      <c r="K589" s="35"/>
      <c r="L589" s="35"/>
      <c r="M589" s="35"/>
      <c r="N589" s="35"/>
      <c r="O589" s="35"/>
      <c r="P589" s="35"/>
      <c r="Q589" s="35"/>
      <c r="R589" s="35"/>
      <c r="S589" s="37">
        <f>IF(B589="","",IF(ISNUMBER(J589),IF(J589&lt;=10,'Configuración'!$B$23,IF(J589&lt;=50,'Configuración'!$B$24,IF(J589&lt;=200,'Configuración'!$B$25,0))),0))</f>
        <v>4</v>
      </c>
      <c r="T589" s="37">
        <f>IF(B589="","",IF(ISNUMBER(SEARCH("information technology",I589))+ISNUMBER(SEARCH("software",I589))+ISNUMBER(SEARCH("internet",I589))+ISNUMBER(SEARCH("computer",I589))+ISNUMBER(SEARCH("saas",I589))+ISNUMBER(SEARCH("fintech",I589))+ISNUMBER(SEARCH("information services",I589))+ISNUMBER(SEARCH("telecommunications",I589))&gt;0,'Configuración'!$B$27,'Configuración'!$B$28))</f>
        <v>4</v>
      </c>
      <c r="U589" s="25">
        <f>IF(B589="","",IF(ISNUMBER(SEARCH("CEO",C589))+ISNUMBER(SEARCH("Founder",C589))+ISNUMBER(SEARCH("Owner",C589))+ISNUMBER(SEARCH("Dueño",C589))+ISNUMBER(SEARCH("Director General",C589))+ISNUMBER(SEARCH("Presidente",C589))+ISNUMBER(SEARCH("President",C589))&gt;0,'Configuración'!$B$31,IF(ISNUMBER(SEARCH("CMO",C589))+ISNUMBER(SEARCH("Chief Marketing",C589))+ISNUMBER(SEARCH("VP Marketing",C589))+ISNUMBER(SEARCH("Director de Marketing",C589))+ISNUMBER(SEARCH("Director Marketing",C589))+ISNUMBER(SEARCH("Head of Marketing",C589))+ISNUMBER(SEARCH("Head Marketing",C589))&gt;0,'Configuración'!$B$32,IF(ISNUMBER(SEARCH("Marketing Manager",C589))+ISNUMBER(SEARCH("Gerente de Marketing",C589))+ISNUMBER(SEARCH("Growth Manager",C589))+ISNUMBER(SEARCH("Demand Gen",C589))+ISNUMBER(SEARCH("Marketing Lead",C589))&gt;0,'Configuración'!$B$33,IF(ISNUMBER(SEARCH("COO",C589))+ISNUMBER(SEARCH("CFO",C589))+ISNUMBER(SEARCH("CTO",C589))+ISNUMBER(SEARCH("Chief Operating",C589))+ISNUMBER(SEARCH("Chief Financial",C589))+ISNUMBER(SEARCH("Gerente General",C589))+ISNUMBER(SEARCH("General Manager",C589))&gt;0,'Configuración'!$B$34,'Configuración'!$B$35)))))</f>
        <v>12</v>
      </c>
      <c r="V589" s="38">
        <f>IF(B589="","",IF(K589="Sí",'Configuración'!$B$5,0)+IF(L589="Semanal",'Configuración'!$B$6,IF(L589="Mensual",'Configuración'!$B$7,0))+IF(M589="Sí",'Configuración'!$B$8,0)+IF(N589="Sí",'Configuración'!$B$9,0)+IF(O589="Sí",'Configuración'!$B$10,0)+IF(P589="Sí",'Configuración'!$B$11,0)+IF(Q589="Sí",'Configuración'!$B$12,0)+S589+T589+U589)</f>
        <v>20</v>
      </c>
      <c r="W589" s="39" t="str">
        <f>IF(B589="","",IF(V589&gt;='Configuración'!$B$19,"A",IF(V589&gt;='Configuración'!$B$20,"B",IF(V589&gt;='Configuración'!$B$21,"C","Descarte"))))</f>
        <v>Descarte</v>
      </c>
    </row>
    <row r="590" ht="15.75" customHeight="1">
      <c r="A590" s="34">
        <f t="shared" si="1"/>
        <v>588</v>
      </c>
      <c r="B590" s="29" t="s">
        <v>1927</v>
      </c>
      <c r="C590" s="29" t="s">
        <v>3572</v>
      </c>
      <c r="D590" s="29" t="s">
        <v>3573</v>
      </c>
      <c r="E590" s="29" t="s">
        <v>3574</v>
      </c>
      <c r="F590" s="30" t="s">
        <v>3575</v>
      </c>
      <c r="G590" s="30" t="s">
        <v>3576</v>
      </c>
      <c r="H590" s="30" t="s">
        <v>3577</v>
      </c>
      <c r="I590" s="29"/>
      <c r="J590" s="31">
        <v>2.0</v>
      </c>
      <c r="K590" s="35"/>
      <c r="L590" s="35"/>
      <c r="M590" s="35"/>
      <c r="N590" s="35"/>
      <c r="O590" s="35"/>
      <c r="P590" s="35"/>
      <c r="Q590" s="35"/>
      <c r="R590" s="35"/>
      <c r="S590" s="37">
        <f>IF(B590="","",IF(ISNUMBER(J590),IF(J590&lt;=10,'Configuración'!$B$23,IF(J590&lt;=50,'Configuración'!$B$24,IF(J590&lt;=200,'Configuración'!$B$25,0))),0))</f>
        <v>12</v>
      </c>
      <c r="T590" s="37">
        <f>IF(B590="","",IF(ISNUMBER(SEARCH("information technology",I590))+ISNUMBER(SEARCH("software",I590))+ISNUMBER(SEARCH("internet",I590))+ISNUMBER(SEARCH("computer",I590))+ISNUMBER(SEARCH("saas",I590))+ISNUMBER(SEARCH("fintech",I590))+ISNUMBER(SEARCH("information services",I590))+ISNUMBER(SEARCH("telecommunications",I590))&gt;0,'Configuración'!$B$27,'Configuración'!$B$28))</f>
        <v>4</v>
      </c>
      <c r="U590" s="25">
        <f>IF(B590="","",IF(ISNUMBER(SEARCH("CEO",C590))+ISNUMBER(SEARCH("Founder",C590))+ISNUMBER(SEARCH("Owner",C590))+ISNUMBER(SEARCH("Dueño",C590))+ISNUMBER(SEARCH("Director General",C590))+ISNUMBER(SEARCH("Presidente",C590))+ISNUMBER(SEARCH("President",C590))&gt;0,'Configuración'!$B$31,IF(ISNUMBER(SEARCH("CMO",C590))+ISNUMBER(SEARCH("Chief Marketing",C590))+ISNUMBER(SEARCH("VP Marketing",C590))+ISNUMBER(SEARCH("Director de Marketing",C590))+ISNUMBER(SEARCH("Director Marketing",C590))+ISNUMBER(SEARCH("Head of Marketing",C590))+ISNUMBER(SEARCH("Head Marketing",C590))&gt;0,'Configuración'!$B$32,IF(ISNUMBER(SEARCH("Marketing Manager",C590))+ISNUMBER(SEARCH("Gerente de Marketing",C590))+ISNUMBER(SEARCH("Growth Manager",C590))+ISNUMBER(SEARCH("Demand Gen",C590))+ISNUMBER(SEARCH("Marketing Lead",C590))&gt;0,'Configuración'!$B$33,IF(ISNUMBER(SEARCH("COO",C590))+ISNUMBER(SEARCH("CFO",C590))+ISNUMBER(SEARCH("CTO",C590))+ISNUMBER(SEARCH("Chief Operating",C590))+ISNUMBER(SEARCH("Chief Financial",C590))+ISNUMBER(SEARCH("Gerente General",C590))+ISNUMBER(SEARCH("General Manager",C590))&gt;0,'Configuración'!$B$34,'Configuración'!$B$35)))))</f>
        <v>12</v>
      </c>
      <c r="V590" s="38">
        <f>IF(B590="","",IF(K590="Sí",'Configuración'!$B$5,0)+IF(L590="Semanal",'Configuración'!$B$6,IF(L590="Mensual",'Configuración'!$B$7,0))+IF(M590="Sí",'Configuración'!$B$8,0)+IF(N590="Sí",'Configuración'!$B$9,0)+IF(O590="Sí",'Configuración'!$B$10,0)+IF(P590="Sí",'Configuración'!$B$11,0)+IF(Q590="Sí",'Configuración'!$B$12,0)+S590+T590+U590)</f>
        <v>28</v>
      </c>
      <c r="W590" s="39" t="str">
        <f>IF(B590="","",IF(V590&gt;='Configuración'!$B$19,"A",IF(V590&gt;='Configuración'!$B$20,"B",IF(V590&gt;='Configuración'!$B$21,"C","Descarte"))))</f>
        <v>C</v>
      </c>
    </row>
    <row r="591" ht="15.75" customHeight="1">
      <c r="A591" s="34">
        <f t="shared" si="1"/>
        <v>589</v>
      </c>
      <c r="B591" s="29" t="s">
        <v>174</v>
      </c>
      <c r="C591" s="29" t="s">
        <v>3578</v>
      </c>
      <c r="D591" s="29" t="s">
        <v>3579</v>
      </c>
      <c r="E591" s="29" t="s">
        <v>3580</v>
      </c>
      <c r="F591" s="30" t="s">
        <v>3581</v>
      </c>
      <c r="G591" s="30" t="s">
        <v>3582</v>
      </c>
      <c r="H591" s="30" t="s">
        <v>3583</v>
      </c>
      <c r="I591" s="29" t="s">
        <v>127</v>
      </c>
      <c r="J591" s="31">
        <v>17.0</v>
      </c>
      <c r="K591" s="35"/>
      <c r="L591" s="35"/>
      <c r="M591" s="35"/>
      <c r="N591" s="35"/>
      <c r="O591" s="35"/>
      <c r="P591" s="35"/>
      <c r="Q591" s="35"/>
      <c r="R591" s="35"/>
      <c r="S591" s="37">
        <f>IF(B591="","",IF(ISNUMBER(J591),IF(J591&lt;=10,'Configuración'!$B$23,IF(J591&lt;=50,'Configuración'!$B$24,IF(J591&lt;=200,'Configuración'!$B$25,0))),0))</f>
        <v>4</v>
      </c>
      <c r="T591" s="37">
        <f>IF(B591="","",IF(ISNUMBER(SEARCH("information technology",I591))+ISNUMBER(SEARCH("software",I591))+ISNUMBER(SEARCH("internet",I591))+ISNUMBER(SEARCH("computer",I591))+ISNUMBER(SEARCH("saas",I591))+ISNUMBER(SEARCH("fintech",I591))+ISNUMBER(SEARCH("information services",I591))+ISNUMBER(SEARCH("telecommunications",I591))&gt;0,'Configuración'!$B$27,'Configuración'!$B$28))</f>
        <v>12</v>
      </c>
      <c r="U591" s="25">
        <f>IF(B591="","",IF(ISNUMBER(SEARCH("CEO",C591))+ISNUMBER(SEARCH("Founder",C591))+ISNUMBER(SEARCH("Owner",C591))+ISNUMBER(SEARCH("Dueño",C591))+ISNUMBER(SEARCH("Director General",C591))+ISNUMBER(SEARCH("Presidente",C591))+ISNUMBER(SEARCH("President",C591))&gt;0,'Configuración'!$B$31,IF(ISNUMBER(SEARCH("CMO",C591))+ISNUMBER(SEARCH("Chief Marketing",C591))+ISNUMBER(SEARCH("VP Marketing",C591))+ISNUMBER(SEARCH("Director de Marketing",C591))+ISNUMBER(SEARCH("Director Marketing",C591))+ISNUMBER(SEARCH("Head of Marketing",C591))+ISNUMBER(SEARCH("Head Marketing",C591))&gt;0,'Configuración'!$B$32,IF(ISNUMBER(SEARCH("Marketing Manager",C591))+ISNUMBER(SEARCH("Gerente de Marketing",C591))+ISNUMBER(SEARCH("Growth Manager",C591))+ISNUMBER(SEARCH("Demand Gen",C591))+ISNUMBER(SEARCH("Marketing Lead",C591))&gt;0,'Configuración'!$B$33,IF(ISNUMBER(SEARCH("COO",C591))+ISNUMBER(SEARCH("CFO",C591))+ISNUMBER(SEARCH("CTO",C591))+ISNUMBER(SEARCH("Chief Operating",C591))+ISNUMBER(SEARCH("Chief Financial",C591))+ISNUMBER(SEARCH("Gerente General",C591))+ISNUMBER(SEARCH("General Manager",C591))&gt;0,'Configuración'!$B$34,'Configuración'!$B$35)))))</f>
        <v>12</v>
      </c>
      <c r="V591" s="38">
        <f>IF(B591="","",IF(K591="Sí",'Configuración'!$B$5,0)+IF(L591="Semanal",'Configuración'!$B$6,IF(L591="Mensual",'Configuración'!$B$7,0))+IF(M591="Sí",'Configuración'!$B$8,0)+IF(N591="Sí",'Configuración'!$B$9,0)+IF(O591="Sí",'Configuración'!$B$10,0)+IF(P591="Sí",'Configuración'!$B$11,0)+IF(Q591="Sí",'Configuración'!$B$12,0)+S591+T591+U591)</f>
        <v>28</v>
      </c>
      <c r="W591" s="39" t="str">
        <f>IF(B591="","",IF(V591&gt;='Configuración'!$B$19,"A",IF(V591&gt;='Configuración'!$B$20,"B",IF(V591&gt;='Configuración'!$B$21,"C","Descarte"))))</f>
        <v>C</v>
      </c>
    </row>
    <row r="592" ht="15.75" customHeight="1">
      <c r="A592" s="34">
        <f t="shared" si="1"/>
        <v>590</v>
      </c>
      <c r="B592" s="29" t="s">
        <v>3584</v>
      </c>
      <c r="C592" s="29" t="s">
        <v>1465</v>
      </c>
      <c r="D592" s="29" t="s">
        <v>3585</v>
      </c>
      <c r="E592" s="29" t="s">
        <v>3586</v>
      </c>
      <c r="F592" s="30" t="s">
        <v>3587</v>
      </c>
      <c r="G592" s="30" t="s">
        <v>3588</v>
      </c>
      <c r="H592" s="30" t="s">
        <v>3589</v>
      </c>
      <c r="I592" s="29" t="s">
        <v>1245</v>
      </c>
      <c r="J592" s="31">
        <v>8.0</v>
      </c>
      <c r="K592" s="35"/>
      <c r="L592" s="35"/>
      <c r="M592" s="35"/>
      <c r="N592" s="35"/>
      <c r="O592" s="35"/>
      <c r="P592" s="35"/>
      <c r="Q592" s="35"/>
      <c r="R592" s="35"/>
      <c r="S592" s="37">
        <f>IF(B592="","",IF(ISNUMBER(J592),IF(J592&lt;=10,'Configuración'!$B$23,IF(J592&lt;=50,'Configuración'!$B$24,IF(J592&lt;=200,'Configuración'!$B$25,0))),0))</f>
        <v>12</v>
      </c>
      <c r="T592" s="37">
        <f>IF(B592="","",IF(ISNUMBER(SEARCH("information technology",I592))+ISNUMBER(SEARCH("software",I592))+ISNUMBER(SEARCH("internet",I592))+ISNUMBER(SEARCH("computer",I592))+ISNUMBER(SEARCH("saas",I592))+ISNUMBER(SEARCH("fintech",I592))+ISNUMBER(SEARCH("information services",I592))+ISNUMBER(SEARCH("telecommunications",I592))&gt;0,'Configuración'!$B$27,'Configuración'!$B$28))</f>
        <v>4</v>
      </c>
      <c r="U592" s="25">
        <f>IF(B592="","",IF(ISNUMBER(SEARCH("CEO",C592))+ISNUMBER(SEARCH("Founder",C592))+ISNUMBER(SEARCH("Owner",C592))+ISNUMBER(SEARCH("Dueño",C592))+ISNUMBER(SEARCH("Director General",C592))+ISNUMBER(SEARCH("Presidente",C592))+ISNUMBER(SEARCH("President",C592))&gt;0,'Configuración'!$B$31,IF(ISNUMBER(SEARCH("CMO",C592))+ISNUMBER(SEARCH("Chief Marketing",C592))+ISNUMBER(SEARCH("VP Marketing",C592))+ISNUMBER(SEARCH("Director de Marketing",C592))+ISNUMBER(SEARCH("Director Marketing",C592))+ISNUMBER(SEARCH("Head of Marketing",C592))+ISNUMBER(SEARCH("Head Marketing",C592))&gt;0,'Configuración'!$B$32,IF(ISNUMBER(SEARCH("Marketing Manager",C592))+ISNUMBER(SEARCH("Gerente de Marketing",C592))+ISNUMBER(SEARCH("Growth Manager",C592))+ISNUMBER(SEARCH("Demand Gen",C592))+ISNUMBER(SEARCH("Marketing Lead",C592))&gt;0,'Configuración'!$B$33,IF(ISNUMBER(SEARCH("COO",C592))+ISNUMBER(SEARCH("CFO",C592))+ISNUMBER(SEARCH("CTO",C592))+ISNUMBER(SEARCH("Chief Operating",C592))+ISNUMBER(SEARCH("Chief Financial",C592))+ISNUMBER(SEARCH("Gerente General",C592))+ISNUMBER(SEARCH("General Manager",C592))&gt;0,'Configuración'!$B$34,'Configuración'!$B$35)))))</f>
        <v>4</v>
      </c>
      <c r="V592" s="38">
        <f>IF(B592="","",IF(K592="Sí",'Configuración'!$B$5,0)+IF(L592="Semanal",'Configuración'!$B$6,IF(L592="Mensual",'Configuración'!$B$7,0))+IF(M592="Sí",'Configuración'!$B$8,0)+IF(N592="Sí",'Configuración'!$B$9,0)+IF(O592="Sí",'Configuración'!$B$10,0)+IF(P592="Sí",'Configuración'!$B$11,0)+IF(Q592="Sí",'Configuración'!$B$12,0)+S592+T592+U592)</f>
        <v>20</v>
      </c>
      <c r="W592" s="39" t="str">
        <f>IF(B592="","",IF(V592&gt;='Configuración'!$B$19,"A",IF(V592&gt;='Configuración'!$B$20,"B",IF(V592&gt;='Configuración'!$B$21,"C","Descarte"))))</f>
        <v>Descarte</v>
      </c>
    </row>
    <row r="593" ht="15.75" customHeight="1">
      <c r="A593" s="34">
        <f t="shared" si="1"/>
        <v>591</v>
      </c>
      <c r="B593" s="29" t="s">
        <v>174</v>
      </c>
      <c r="C593" s="29" t="s">
        <v>131</v>
      </c>
      <c r="D593" s="29" t="s">
        <v>3590</v>
      </c>
      <c r="E593" s="29" t="s">
        <v>3591</v>
      </c>
      <c r="F593" s="30" t="s">
        <v>3592</v>
      </c>
      <c r="G593" s="30" t="s">
        <v>3593</v>
      </c>
      <c r="H593" s="30" t="s">
        <v>3594</v>
      </c>
      <c r="I593" s="29" t="s">
        <v>127</v>
      </c>
      <c r="J593" s="31">
        <v>1.0</v>
      </c>
      <c r="K593" s="35"/>
      <c r="L593" s="35"/>
      <c r="M593" s="35"/>
      <c r="N593" s="35"/>
      <c r="O593" s="35"/>
      <c r="P593" s="35"/>
      <c r="Q593" s="35"/>
      <c r="R593" s="35"/>
      <c r="S593" s="37">
        <f>IF(B593="","",IF(ISNUMBER(J593),IF(J593&lt;=10,'Configuración'!$B$23,IF(J593&lt;=50,'Configuración'!$B$24,IF(J593&lt;=200,'Configuración'!$B$25,0))),0))</f>
        <v>12</v>
      </c>
      <c r="T593" s="37">
        <f>IF(B593="","",IF(ISNUMBER(SEARCH("information technology",I593))+ISNUMBER(SEARCH("software",I593))+ISNUMBER(SEARCH("internet",I593))+ISNUMBER(SEARCH("computer",I593))+ISNUMBER(SEARCH("saas",I593))+ISNUMBER(SEARCH("fintech",I593))+ISNUMBER(SEARCH("information services",I593))+ISNUMBER(SEARCH("telecommunications",I593))&gt;0,'Configuración'!$B$27,'Configuración'!$B$28))</f>
        <v>12</v>
      </c>
      <c r="U593" s="25">
        <f>IF(B593="","",IF(ISNUMBER(SEARCH("CEO",C593))+ISNUMBER(SEARCH("Founder",C593))+ISNUMBER(SEARCH("Owner",C593))+ISNUMBER(SEARCH("Dueño",C593))+ISNUMBER(SEARCH("Director General",C593))+ISNUMBER(SEARCH("Presidente",C593))+ISNUMBER(SEARCH("President",C593))&gt;0,'Configuración'!$B$31,IF(ISNUMBER(SEARCH("CMO",C593))+ISNUMBER(SEARCH("Chief Marketing",C593))+ISNUMBER(SEARCH("VP Marketing",C593))+ISNUMBER(SEARCH("Director de Marketing",C593))+ISNUMBER(SEARCH("Director Marketing",C593))+ISNUMBER(SEARCH("Head of Marketing",C593))+ISNUMBER(SEARCH("Head Marketing",C593))&gt;0,'Configuración'!$B$32,IF(ISNUMBER(SEARCH("Marketing Manager",C593))+ISNUMBER(SEARCH("Gerente de Marketing",C593))+ISNUMBER(SEARCH("Growth Manager",C593))+ISNUMBER(SEARCH("Demand Gen",C593))+ISNUMBER(SEARCH("Marketing Lead",C593))&gt;0,'Configuración'!$B$33,IF(ISNUMBER(SEARCH("COO",C593))+ISNUMBER(SEARCH("CFO",C593))+ISNUMBER(SEARCH("CTO",C593))+ISNUMBER(SEARCH("Chief Operating",C593))+ISNUMBER(SEARCH("Chief Financial",C593))+ISNUMBER(SEARCH("Gerente General",C593))+ISNUMBER(SEARCH("General Manager",C593))&gt;0,'Configuración'!$B$34,'Configuración'!$B$35)))))</f>
        <v>12</v>
      </c>
      <c r="V593" s="38">
        <f>IF(B593="","",IF(K593="Sí",'Configuración'!$B$5,0)+IF(L593="Semanal",'Configuración'!$B$6,IF(L593="Mensual",'Configuración'!$B$7,0))+IF(M593="Sí",'Configuración'!$B$8,0)+IF(N593="Sí",'Configuración'!$B$9,0)+IF(O593="Sí",'Configuración'!$B$10,0)+IF(P593="Sí",'Configuración'!$B$11,0)+IF(Q593="Sí",'Configuración'!$B$12,0)+S593+T593+U593)</f>
        <v>36</v>
      </c>
      <c r="W593" s="39" t="str">
        <f>IF(B593="","",IF(V593&gt;='Configuración'!$B$19,"A",IF(V593&gt;='Configuración'!$B$20,"B",IF(V593&gt;='Configuración'!$B$21,"C","Descarte"))))</f>
        <v>C</v>
      </c>
    </row>
    <row r="594" ht="15.75" customHeight="1">
      <c r="A594" s="34">
        <f t="shared" si="1"/>
        <v>592</v>
      </c>
      <c r="B594" s="29" t="s">
        <v>138</v>
      </c>
      <c r="C594" s="29" t="s">
        <v>3595</v>
      </c>
      <c r="D594" s="29" t="s">
        <v>3596</v>
      </c>
      <c r="E594" s="29" t="s">
        <v>3597</v>
      </c>
      <c r="F594" s="30" t="s">
        <v>3598</v>
      </c>
      <c r="G594" s="30" t="s">
        <v>3599</v>
      </c>
      <c r="H594" s="30" t="s">
        <v>3600</v>
      </c>
      <c r="I594" s="29" t="s">
        <v>188</v>
      </c>
      <c r="J594" s="31">
        <v>5.0</v>
      </c>
      <c r="K594" s="35"/>
      <c r="L594" s="35"/>
      <c r="M594" s="35"/>
      <c r="N594" s="35"/>
      <c r="O594" s="35"/>
      <c r="P594" s="35"/>
      <c r="Q594" s="35"/>
      <c r="R594" s="35"/>
      <c r="S594" s="37">
        <f>IF(B594="","",IF(ISNUMBER(J594),IF(J594&lt;=10,'Configuración'!$B$23,IF(J594&lt;=50,'Configuración'!$B$24,IF(J594&lt;=200,'Configuración'!$B$25,0))),0))</f>
        <v>12</v>
      </c>
      <c r="T594" s="37">
        <f>IF(B594="","",IF(ISNUMBER(SEARCH("information technology",I594))+ISNUMBER(SEARCH("software",I594))+ISNUMBER(SEARCH("internet",I594))+ISNUMBER(SEARCH("computer",I594))+ISNUMBER(SEARCH("saas",I594))+ISNUMBER(SEARCH("fintech",I594))+ISNUMBER(SEARCH("information services",I594))+ISNUMBER(SEARCH("telecommunications",I594))&gt;0,'Configuración'!$B$27,'Configuración'!$B$28))</f>
        <v>4</v>
      </c>
      <c r="U594" s="25">
        <f>IF(B594="","",IF(ISNUMBER(SEARCH("CEO",C594))+ISNUMBER(SEARCH("Founder",C594))+ISNUMBER(SEARCH("Owner",C594))+ISNUMBER(SEARCH("Dueño",C594))+ISNUMBER(SEARCH("Director General",C594))+ISNUMBER(SEARCH("Presidente",C594))+ISNUMBER(SEARCH("President",C594))&gt;0,'Configuración'!$B$31,IF(ISNUMBER(SEARCH("CMO",C594))+ISNUMBER(SEARCH("Chief Marketing",C594))+ISNUMBER(SEARCH("VP Marketing",C594))+ISNUMBER(SEARCH("Director de Marketing",C594))+ISNUMBER(SEARCH("Director Marketing",C594))+ISNUMBER(SEARCH("Head of Marketing",C594))+ISNUMBER(SEARCH("Head Marketing",C594))&gt;0,'Configuración'!$B$32,IF(ISNUMBER(SEARCH("Marketing Manager",C594))+ISNUMBER(SEARCH("Gerente de Marketing",C594))+ISNUMBER(SEARCH("Growth Manager",C594))+ISNUMBER(SEARCH("Demand Gen",C594))+ISNUMBER(SEARCH("Marketing Lead",C594))&gt;0,'Configuración'!$B$33,IF(ISNUMBER(SEARCH("COO",C594))+ISNUMBER(SEARCH("CFO",C594))+ISNUMBER(SEARCH("CTO",C594))+ISNUMBER(SEARCH("Chief Operating",C594))+ISNUMBER(SEARCH("Chief Financial",C594))+ISNUMBER(SEARCH("Gerente General",C594))+ISNUMBER(SEARCH("General Manager",C594))&gt;0,'Configuración'!$B$34,'Configuración'!$B$35)))))</f>
        <v>4</v>
      </c>
      <c r="V594" s="38">
        <f>IF(B594="","",IF(K594="Sí",'Configuración'!$B$5,0)+IF(L594="Semanal",'Configuración'!$B$6,IF(L594="Mensual",'Configuración'!$B$7,0))+IF(M594="Sí",'Configuración'!$B$8,0)+IF(N594="Sí",'Configuración'!$B$9,0)+IF(O594="Sí",'Configuración'!$B$10,0)+IF(P594="Sí",'Configuración'!$B$11,0)+IF(Q594="Sí",'Configuración'!$B$12,0)+S594+T594+U594)</f>
        <v>20</v>
      </c>
      <c r="W594" s="39" t="str">
        <f>IF(B594="","",IF(V594&gt;='Configuración'!$B$19,"A",IF(V594&gt;='Configuración'!$B$20,"B",IF(V594&gt;='Configuración'!$B$21,"C","Descarte"))))</f>
        <v>Descarte</v>
      </c>
    </row>
    <row r="595" ht="15.75" customHeight="1">
      <c r="A595" s="34">
        <f t="shared" si="1"/>
        <v>593</v>
      </c>
      <c r="B595" s="29" t="s">
        <v>777</v>
      </c>
      <c r="C595" s="29" t="s">
        <v>622</v>
      </c>
      <c r="D595" s="29" t="s">
        <v>3601</v>
      </c>
      <c r="E595" s="29" t="s">
        <v>3602</v>
      </c>
      <c r="F595" s="30" t="s">
        <v>3603</v>
      </c>
      <c r="G595" s="30" t="s">
        <v>3604</v>
      </c>
      <c r="H595" s="30" t="s">
        <v>3605</v>
      </c>
      <c r="I595" s="29" t="s">
        <v>1785</v>
      </c>
      <c r="J595" s="31">
        <v>9.0</v>
      </c>
      <c r="K595" s="35"/>
      <c r="L595" s="35"/>
      <c r="M595" s="35"/>
      <c r="N595" s="35"/>
      <c r="O595" s="35"/>
      <c r="P595" s="35"/>
      <c r="Q595" s="35"/>
      <c r="R595" s="35"/>
      <c r="S595" s="37">
        <f>IF(B595="","",IF(ISNUMBER(J595),IF(J595&lt;=10,'Configuración'!$B$23,IF(J595&lt;=50,'Configuración'!$B$24,IF(J595&lt;=200,'Configuración'!$B$25,0))),0))</f>
        <v>12</v>
      </c>
      <c r="T595" s="37">
        <f>IF(B595="","",IF(ISNUMBER(SEARCH("information technology",I595))+ISNUMBER(SEARCH("software",I595))+ISNUMBER(SEARCH("internet",I595))+ISNUMBER(SEARCH("computer",I595))+ISNUMBER(SEARCH("saas",I595))+ISNUMBER(SEARCH("fintech",I595))+ISNUMBER(SEARCH("information services",I595))+ISNUMBER(SEARCH("telecommunications",I595))&gt;0,'Configuración'!$B$27,'Configuración'!$B$28))</f>
        <v>4</v>
      </c>
      <c r="U595" s="25">
        <f>IF(B595="","",IF(ISNUMBER(SEARCH("CEO",C595))+ISNUMBER(SEARCH("Founder",C595))+ISNUMBER(SEARCH("Owner",C595))+ISNUMBER(SEARCH("Dueño",C595))+ISNUMBER(SEARCH("Director General",C595))+ISNUMBER(SEARCH("Presidente",C595))+ISNUMBER(SEARCH("President",C595))&gt;0,'Configuración'!$B$31,IF(ISNUMBER(SEARCH("CMO",C595))+ISNUMBER(SEARCH("Chief Marketing",C595))+ISNUMBER(SEARCH("VP Marketing",C595))+ISNUMBER(SEARCH("Director de Marketing",C595))+ISNUMBER(SEARCH("Director Marketing",C595))+ISNUMBER(SEARCH("Head of Marketing",C595))+ISNUMBER(SEARCH("Head Marketing",C595))&gt;0,'Configuración'!$B$32,IF(ISNUMBER(SEARCH("Marketing Manager",C595))+ISNUMBER(SEARCH("Gerente de Marketing",C595))+ISNUMBER(SEARCH("Growth Manager",C595))+ISNUMBER(SEARCH("Demand Gen",C595))+ISNUMBER(SEARCH("Marketing Lead",C595))&gt;0,'Configuración'!$B$33,IF(ISNUMBER(SEARCH("COO",C595))+ISNUMBER(SEARCH("CFO",C595))+ISNUMBER(SEARCH("CTO",C595))+ISNUMBER(SEARCH("Chief Operating",C595))+ISNUMBER(SEARCH("Chief Financial",C595))+ISNUMBER(SEARCH("Gerente General",C595))+ISNUMBER(SEARCH("General Manager",C595))&gt;0,'Configuración'!$B$34,'Configuración'!$B$35)))))</f>
        <v>12</v>
      </c>
      <c r="V595" s="38">
        <f>IF(B595="","",IF(K595="Sí",'Configuración'!$B$5,0)+IF(L595="Semanal",'Configuración'!$B$6,IF(L595="Mensual",'Configuración'!$B$7,0))+IF(M595="Sí",'Configuración'!$B$8,0)+IF(N595="Sí",'Configuración'!$B$9,0)+IF(O595="Sí",'Configuración'!$B$10,0)+IF(P595="Sí",'Configuración'!$B$11,0)+IF(Q595="Sí",'Configuración'!$B$12,0)+S595+T595+U595)</f>
        <v>28</v>
      </c>
      <c r="W595" s="39" t="str">
        <f>IF(B595="","",IF(V595&gt;='Configuración'!$B$19,"A",IF(V595&gt;='Configuración'!$B$20,"B",IF(V595&gt;='Configuración'!$B$21,"C","Descarte"))))</f>
        <v>C</v>
      </c>
    </row>
    <row r="596" ht="15.75" customHeight="1">
      <c r="A596" s="34">
        <f t="shared" si="1"/>
        <v>594</v>
      </c>
      <c r="B596" s="29" t="s">
        <v>536</v>
      </c>
      <c r="C596" s="29" t="s">
        <v>3606</v>
      </c>
      <c r="D596" s="29" t="s">
        <v>3607</v>
      </c>
      <c r="E596" s="29" t="s">
        <v>3608</v>
      </c>
      <c r="F596" s="30" t="s">
        <v>3609</v>
      </c>
      <c r="G596" s="30" t="s">
        <v>3610</v>
      </c>
      <c r="H596" s="30" t="s">
        <v>3611</v>
      </c>
      <c r="I596" s="29" t="s">
        <v>127</v>
      </c>
      <c r="J596" s="31">
        <v>2.0</v>
      </c>
      <c r="K596" s="35"/>
      <c r="L596" s="35"/>
      <c r="M596" s="35"/>
      <c r="N596" s="35"/>
      <c r="O596" s="35"/>
      <c r="P596" s="35"/>
      <c r="Q596" s="35"/>
      <c r="R596" s="35"/>
      <c r="S596" s="37">
        <f>IF(B596="","",IF(ISNUMBER(J596),IF(J596&lt;=10,'Configuración'!$B$23,IF(J596&lt;=50,'Configuración'!$B$24,IF(J596&lt;=200,'Configuración'!$B$25,0))),0))</f>
        <v>12</v>
      </c>
      <c r="T596" s="37">
        <f>IF(B596="","",IF(ISNUMBER(SEARCH("information technology",I596))+ISNUMBER(SEARCH("software",I596))+ISNUMBER(SEARCH("internet",I596))+ISNUMBER(SEARCH("computer",I596))+ISNUMBER(SEARCH("saas",I596))+ISNUMBER(SEARCH("fintech",I596))+ISNUMBER(SEARCH("information services",I596))+ISNUMBER(SEARCH("telecommunications",I596))&gt;0,'Configuración'!$B$27,'Configuración'!$B$28))</f>
        <v>12</v>
      </c>
      <c r="U596" s="25">
        <f>IF(B596="","",IF(ISNUMBER(SEARCH("CEO",C596))+ISNUMBER(SEARCH("Founder",C596))+ISNUMBER(SEARCH("Owner",C596))+ISNUMBER(SEARCH("Dueño",C596))+ISNUMBER(SEARCH("Director General",C596))+ISNUMBER(SEARCH("Presidente",C596))+ISNUMBER(SEARCH("President",C596))&gt;0,'Configuración'!$B$31,IF(ISNUMBER(SEARCH("CMO",C596))+ISNUMBER(SEARCH("Chief Marketing",C596))+ISNUMBER(SEARCH("VP Marketing",C596))+ISNUMBER(SEARCH("Director de Marketing",C596))+ISNUMBER(SEARCH("Director Marketing",C596))+ISNUMBER(SEARCH("Head of Marketing",C596))+ISNUMBER(SEARCH("Head Marketing",C596))&gt;0,'Configuración'!$B$32,IF(ISNUMBER(SEARCH("Marketing Manager",C596))+ISNUMBER(SEARCH("Gerente de Marketing",C596))+ISNUMBER(SEARCH("Growth Manager",C596))+ISNUMBER(SEARCH("Demand Gen",C596))+ISNUMBER(SEARCH("Marketing Lead",C596))&gt;0,'Configuración'!$B$33,IF(ISNUMBER(SEARCH("COO",C596))+ISNUMBER(SEARCH("CFO",C596))+ISNUMBER(SEARCH("CTO",C596))+ISNUMBER(SEARCH("Chief Operating",C596))+ISNUMBER(SEARCH("Chief Financial",C596))+ISNUMBER(SEARCH("Gerente General",C596))+ISNUMBER(SEARCH("General Manager",C596))&gt;0,'Configuración'!$B$34,'Configuración'!$B$35)))))</f>
        <v>0</v>
      </c>
      <c r="V596" s="38">
        <f>IF(B596="","",IF(K596="Sí",'Configuración'!$B$5,0)+IF(L596="Semanal",'Configuración'!$B$6,IF(L596="Mensual",'Configuración'!$B$7,0))+IF(M596="Sí",'Configuración'!$B$8,0)+IF(N596="Sí",'Configuración'!$B$9,0)+IF(O596="Sí",'Configuración'!$B$10,0)+IF(P596="Sí",'Configuración'!$B$11,0)+IF(Q596="Sí",'Configuración'!$B$12,0)+S596+T596+U596)</f>
        <v>24</v>
      </c>
      <c r="W596" s="39" t="str">
        <f>IF(B596="","",IF(V596&gt;='Configuración'!$B$19,"A",IF(V596&gt;='Configuración'!$B$20,"B",IF(V596&gt;='Configuración'!$B$21,"C","Descarte"))))</f>
        <v>C</v>
      </c>
    </row>
    <row r="597" ht="15.75" customHeight="1">
      <c r="A597" s="34">
        <f t="shared" si="1"/>
        <v>595</v>
      </c>
      <c r="B597" s="29" t="s">
        <v>296</v>
      </c>
      <c r="C597" s="29" t="s">
        <v>224</v>
      </c>
      <c r="D597" s="29" t="s">
        <v>3612</v>
      </c>
      <c r="E597" s="29"/>
      <c r="F597" s="30" t="s">
        <v>3613</v>
      </c>
      <c r="G597" s="30" t="s">
        <v>3614</v>
      </c>
      <c r="H597" s="30" t="s">
        <v>3615</v>
      </c>
      <c r="I597" s="29"/>
      <c r="J597" s="31">
        <v>3.0</v>
      </c>
      <c r="K597" s="35"/>
      <c r="L597" s="35"/>
      <c r="M597" s="35"/>
      <c r="N597" s="35"/>
      <c r="O597" s="35"/>
      <c r="P597" s="35"/>
      <c r="Q597" s="35"/>
      <c r="R597" s="35"/>
      <c r="S597" s="37">
        <f>IF(B597="","",IF(ISNUMBER(J597),IF(J597&lt;=10,'Configuración'!$B$23,IF(J597&lt;=50,'Configuración'!$B$24,IF(J597&lt;=200,'Configuración'!$B$25,0))),0))</f>
        <v>12</v>
      </c>
      <c r="T597" s="37">
        <f>IF(B597="","",IF(ISNUMBER(SEARCH("information technology",I597))+ISNUMBER(SEARCH("software",I597))+ISNUMBER(SEARCH("internet",I597))+ISNUMBER(SEARCH("computer",I597))+ISNUMBER(SEARCH("saas",I597))+ISNUMBER(SEARCH("fintech",I597))+ISNUMBER(SEARCH("information services",I597))+ISNUMBER(SEARCH("telecommunications",I597))&gt;0,'Configuración'!$B$27,'Configuración'!$B$28))</f>
        <v>4</v>
      </c>
      <c r="U597" s="25">
        <f>IF(B597="","",IF(ISNUMBER(SEARCH("CEO",C597))+ISNUMBER(SEARCH("Founder",C597))+ISNUMBER(SEARCH("Owner",C597))+ISNUMBER(SEARCH("Dueño",C597))+ISNUMBER(SEARCH("Director General",C597))+ISNUMBER(SEARCH("Presidente",C597))+ISNUMBER(SEARCH("President",C597))&gt;0,'Configuración'!$B$31,IF(ISNUMBER(SEARCH("CMO",C597))+ISNUMBER(SEARCH("Chief Marketing",C597))+ISNUMBER(SEARCH("VP Marketing",C597))+ISNUMBER(SEARCH("Director de Marketing",C597))+ISNUMBER(SEARCH("Director Marketing",C597))+ISNUMBER(SEARCH("Head of Marketing",C597))+ISNUMBER(SEARCH("Head Marketing",C597))&gt;0,'Configuración'!$B$32,IF(ISNUMBER(SEARCH("Marketing Manager",C597))+ISNUMBER(SEARCH("Gerente de Marketing",C597))+ISNUMBER(SEARCH("Growth Manager",C597))+ISNUMBER(SEARCH("Demand Gen",C597))+ISNUMBER(SEARCH("Marketing Lead",C597))&gt;0,'Configuración'!$B$33,IF(ISNUMBER(SEARCH("COO",C597))+ISNUMBER(SEARCH("CFO",C597))+ISNUMBER(SEARCH("CTO",C597))+ISNUMBER(SEARCH("Chief Operating",C597))+ISNUMBER(SEARCH("Chief Financial",C597))+ISNUMBER(SEARCH("Gerente General",C597))+ISNUMBER(SEARCH("General Manager",C597))&gt;0,'Configuración'!$B$34,'Configuración'!$B$35)))))</f>
        <v>12</v>
      </c>
      <c r="V597" s="38">
        <f>IF(B597="","",IF(K597="Sí",'Configuración'!$B$5,0)+IF(L597="Semanal",'Configuración'!$B$6,IF(L597="Mensual",'Configuración'!$B$7,0))+IF(M597="Sí",'Configuración'!$B$8,0)+IF(N597="Sí",'Configuración'!$B$9,0)+IF(O597="Sí",'Configuración'!$B$10,0)+IF(P597="Sí",'Configuración'!$B$11,0)+IF(Q597="Sí",'Configuración'!$B$12,0)+S597+T597+U597)</f>
        <v>28</v>
      </c>
      <c r="W597" s="39" t="str">
        <f>IF(B597="","",IF(V597&gt;='Configuración'!$B$19,"A",IF(V597&gt;='Configuración'!$B$20,"B",IF(V597&gt;='Configuración'!$B$21,"C","Descarte"))))</f>
        <v>C</v>
      </c>
    </row>
    <row r="598" ht="15.75" customHeight="1">
      <c r="A598" s="34">
        <f t="shared" si="1"/>
        <v>596</v>
      </c>
      <c r="B598" s="29" t="s">
        <v>3616</v>
      </c>
      <c r="C598" s="29" t="s">
        <v>3617</v>
      </c>
      <c r="D598" s="29" t="s">
        <v>3618</v>
      </c>
      <c r="E598" s="29" t="s">
        <v>3619</v>
      </c>
      <c r="F598" s="30" t="s">
        <v>3620</v>
      </c>
      <c r="G598" s="30" t="s">
        <v>3621</v>
      </c>
      <c r="H598" s="30" t="s">
        <v>3622</v>
      </c>
      <c r="I598" s="29" t="s">
        <v>350</v>
      </c>
      <c r="J598" s="31">
        <v>47.0</v>
      </c>
      <c r="K598" s="35"/>
      <c r="L598" s="35"/>
      <c r="M598" s="35"/>
      <c r="N598" s="35"/>
      <c r="O598" s="35"/>
      <c r="P598" s="35"/>
      <c r="Q598" s="35"/>
      <c r="R598" s="35"/>
      <c r="S598" s="37">
        <f>IF(B598="","",IF(ISNUMBER(J598),IF(J598&lt;=10,'Configuración'!$B$23,IF(J598&lt;=50,'Configuración'!$B$24,IF(J598&lt;=200,'Configuración'!$B$25,0))),0))</f>
        <v>4</v>
      </c>
      <c r="T598" s="37">
        <f>IF(B598="","",IF(ISNUMBER(SEARCH("information technology",I598))+ISNUMBER(SEARCH("software",I598))+ISNUMBER(SEARCH("internet",I598))+ISNUMBER(SEARCH("computer",I598))+ISNUMBER(SEARCH("saas",I598))+ISNUMBER(SEARCH("fintech",I598))+ISNUMBER(SEARCH("information services",I598))+ISNUMBER(SEARCH("telecommunications",I598))&gt;0,'Configuración'!$B$27,'Configuración'!$B$28))</f>
        <v>4</v>
      </c>
      <c r="U598" s="25">
        <f>IF(B598="","",IF(ISNUMBER(SEARCH("CEO",C598))+ISNUMBER(SEARCH("Founder",C598))+ISNUMBER(SEARCH("Owner",C598))+ISNUMBER(SEARCH("Dueño",C598))+ISNUMBER(SEARCH("Director General",C598))+ISNUMBER(SEARCH("Presidente",C598))+ISNUMBER(SEARCH("President",C598))&gt;0,'Configuración'!$B$31,IF(ISNUMBER(SEARCH("CMO",C598))+ISNUMBER(SEARCH("Chief Marketing",C598))+ISNUMBER(SEARCH("VP Marketing",C598))+ISNUMBER(SEARCH("Director de Marketing",C598))+ISNUMBER(SEARCH("Director Marketing",C598))+ISNUMBER(SEARCH("Head of Marketing",C598))+ISNUMBER(SEARCH("Head Marketing",C598))&gt;0,'Configuración'!$B$32,IF(ISNUMBER(SEARCH("Marketing Manager",C598))+ISNUMBER(SEARCH("Gerente de Marketing",C598))+ISNUMBER(SEARCH("Growth Manager",C598))+ISNUMBER(SEARCH("Demand Gen",C598))+ISNUMBER(SEARCH("Marketing Lead",C598))&gt;0,'Configuración'!$B$33,IF(ISNUMBER(SEARCH("COO",C598))+ISNUMBER(SEARCH("CFO",C598))+ISNUMBER(SEARCH("CTO",C598))+ISNUMBER(SEARCH("Chief Operating",C598))+ISNUMBER(SEARCH("Chief Financial",C598))+ISNUMBER(SEARCH("Gerente General",C598))+ISNUMBER(SEARCH("General Manager",C598))&gt;0,'Configuración'!$B$34,'Configuración'!$B$35)))))</f>
        <v>0</v>
      </c>
      <c r="V598" s="38">
        <f>IF(B598="","",IF(K598="Sí",'Configuración'!$B$5,0)+IF(L598="Semanal",'Configuración'!$B$6,IF(L598="Mensual",'Configuración'!$B$7,0))+IF(M598="Sí",'Configuración'!$B$8,0)+IF(N598="Sí",'Configuración'!$B$9,0)+IF(O598="Sí",'Configuración'!$B$10,0)+IF(P598="Sí",'Configuración'!$B$11,0)+IF(Q598="Sí",'Configuración'!$B$12,0)+S598+T598+U598)</f>
        <v>8</v>
      </c>
      <c r="W598" s="39" t="str">
        <f>IF(B598="","",IF(V598&gt;='Configuración'!$B$19,"A",IF(V598&gt;='Configuración'!$B$20,"B",IF(V598&gt;='Configuración'!$B$21,"C","Descarte"))))</f>
        <v>Descarte</v>
      </c>
    </row>
    <row r="599" ht="15.75" customHeight="1">
      <c r="A599" s="34">
        <f t="shared" si="1"/>
        <v>597</v>
      </c>
      <c r="B599" s="29" t="s">
        <v>3623</v>
      </c>
      <c r="C599" s="29" t="s">
        <v>175</v>
      </c>
      <c r="D599" s="29" t="s">
        <v>3624</v>
      </c>
      <c r="E599" s="29" t="s">
        <v>3625</v>
      </c>
      <c r="F599" s="30" t="s">
        <v>3626</v>
      </c>
      <c r="G599" s="30" t="s">
        <v>3627</v>
      </c>
      <c r="H599" s="30" t="s">
        <v>3628</v>
      </c>
      <c r="I599" s="29" t="s">
        <v>127</v>
      </c>
      <c r="J599" s="31">
        <v>1.0</v>
      </c>
      <c r="K599" s="35"/>
      <c r="L599" s="35"/>
      <c r="M599" s="35"/>
      <c r="N599" s="35"/>
      <c r="O599" s="35"/>
      <c r="P599" s="35"/>
      <c r="Q599" s="35"/>
      <c r="R599" s="35"/>
      <c r="S599" s="37">
        <f>IF(B599="","",IF(ISNUMBER(J599),IF(J599&lt;=10,'Configuración'!$B$23,IF(J599&lt;=50,'Configuración'!$B$24,IF(J599&lt;=200,'Configuración'!$B$25,0))),0))</f>
        <v>12</v>
      </c>
      <c r="T599" s="37">
        <f>IF(B599="","",IF(ISNUMBER(SEARCH("information technology",I599))+ISNUMBER(SEARCH("software",I599))+ISNUMBER(SEARCH("internet",I599))+ISNUMBER(SEARCH("computer",I599))+ISNUMBER(SEARCH("saas",I599))+ISNUMBER(SEARCH("fintech",I599))+ISNUMBER(SEARCH("information services",I599))+ISNUMBER(SEARCH("telecommunications",I599))&gt;0,'Configuración'!$B$27,'Configuración'!$B$28))</f>
        <v>12</v>
      </c>
      <c r="U599" s="25">
        <f>IF(B599="","",IF(ISNUMBER(SEARCH("CEO",C599))+ISNUMBER(SEARCH("Founder",C599))+ISNUMBER(SEARCH("Owner",C599))+ISNUMBER(SEARCH("Dueño",C599))+ISNUMBER(SEARCH("Director General",C599))+ISNUMBER(SEARCH("Presidente",C599))+ISNUMBER(SEARCH("President",C599))&gt;0,'Configuración'!$B$31,IF(ISNUMBER(SEARCH("CMO",C599))+ISNUMBER(SEARCH("Chief Marketing",C599))+ISNUMBER(SEARCH("VP Marketing",C599))+ISNUMBER(SEARCH("Director de Marketing",C599))+ISNUMBER(SEARCH("Director Marketing",C599))+ISNUMBER(SEARCH("Head of Marketing",C599))+ISNUMBER(SEARCH("Head Marketing",C599))&gt;0,'Configuración'!$B$32,IF(ISNUMBER(SEARCH("Marketing Manager",C599))+ISNUMBER(SEARCH("Gerente de Marketing",C599))+ISNUMBER(SEARCH("Growth Manager",C599))+ISNUMBER(SEARCH("Demand Gen",C599))+ISNUMBER(SEARCH("Marketing Lead",C599))&gt;0,'Configuración'!$B$33,IF(ISNUMBER(SEARCH("COO",C599))+ISNUMBER(SEARCH("CFO",C599))+ISNUMBER(SEARCH("CTO",C599))+ISNUMBER(SEARCH("Chief Operating",C599))+ISNUMBER(SEARCH("Chief Financial",C599))+ISNUMBER(SEARCH("Gerente General",C599))+ISNUMBER(SEARCH("General Manager",C599))&gt;0,'Configuración'!$B$34,'Configuración'!$B$35)))))</f>
        <v>12</v>
      </c>
      <c r="V599" s="38">
        <f>IF(B599="","",IF(K599="Sí",'Configuración'!$B$5,0)+IF(L599="Semanal",'Configuración'!$B$6,IF(L599="Mensual",'Configuración'!$B$7,0))+IF(M599="Sí",'Configuración'!$B$8,0)+IF(N599="Sí",'Configuración'!$B$9,0)+IF(O599="Sí",'Configuración'!$B$10,0)+IF(P599="Sí",'Configuración'!$B$11,0)+IF(Q599="Sí",'Configuración'!$B$12,0)+S599+T599+U599)</f>
        <v>36</v>
      </c>
      <c r="W599" s="39" t="str">
        <f>IF(B599="","",IF(V599&gt;='Configuración'!$B$19,"A",IF(V599&gt;='Configuración'!$B$20,"B",IF(V599&gt;='Configuración'!$B$21,"C","Descarte"))))</f>
        <v>C</v>
      </c>
    </row>
    <row r="600" ht="15.75" customHeight="1">
      <c r="A600" s="34">
        <f t="shared" si="1"/>
        <v>598</v>
      </c>
      <c r="B600" s="29" t="s">
        <v>3629</v>
      </c>
      <c r="C600" s="29" t="s">
        <v>131</v>
      </c>
      <c r="D600" s="29" t="s">
        <v>3630</v>
      </c>
      <c r="E600" s="29" t="s">
        <v>3631</v>
      </c>
      <c r="F600" s="30" t="s">
        <v>3632</v>
      </c>
      <c r="G600" s="30" t="s">
        <v>3633</v>
      </c>
      <c r="H600" s="30" t="s">
        <v>3634</v>
      </c>
      <c r="I600" s="29" t="s">
        <v>188</v>
      </c>
      <c r="J600" s="31">
        <v>2.0</v>
      </c>
      <c r="K600" s="35"/>
      <c r="L600" s="35"/>
      <c r="M600" s="35"/>
      <c r="N600" s="35"/>
      <c r="O600" s="35"/>
      <c r="P600" s="35"/>
      <c r="Q600" s="35"/>
      <c r="R600" s="35"/>
      <c r="S600" s="37">
        <f>IF(B600="","",IF(ISNUMBER(J600),IF(J600&lt;=10,'Configuración'!$B$23,IF(J600&lt;=50,'Configuración'!$B$24,IF(J600&lt;=200,'Configuración'!$B$25,0))),0))</f>
        <v>12</v>
      </c>
      <c r="T600" s="37">
        <f>IF(B600="","",IF(ISNUMBER(SEARCH("information technology",I600))+ISNUMBER(SEARCH("software",I600))+ISNUMBER(SEARCH("internet",I600))+ISNUMBER(SEARCH("computer",I600))+ISNUMBER(SEARCH("saas",I600))+ISNUMBER(SEARCH("fintech",I600))+ISNUMBER(SEARCH("information services",I600))+ISNUMBER(SEARCH("telecommunications",I600))&gt;0,'Configuración'!$B$27,'Configuración'!$B$28))</f>
        <v>4</v>
      </c>
      <c r="U600" s="25">
        <f>IF(B600="","",IF(ISNUMBER(SEARCH("CEO",C600))+ISNUMBER(SEARCH("Founder",C600))+ISNUMBER(SEARCH("Owner",C600))+ISNUMBER(SEARCH("Dueño",C600))+ISNUMBER(SEARCH("Director General",C600))+ISNUMBER(SEARCH("Presidente",C600))+ISNUMBER(SEARCH("President",C600))&gt;0,'Configuración'!$B$31,IF(ISNUMBER(SEARCH("CMO",C600))+ISNUMBER(SEARCH("Chief Marketing",C600))+ISNUMBER(SEARCH("VP Marketing",C600))+ISNUMBER(SEARCH("Director de Marketing",C600))+ISNUMBER(SEARCH("Director Marketing",C600))+ISNUMBER(SEARCH("Head of Marketing",C600))+ISNUMBER(SEARCH("Head Marketing",C600))&gt;0,'Configuración'!$B$32,IF(ISNUMBER(SEARCH("Marketing Manager",C600))+ISNUMBER(SEARCH("Gerente de Marketing",C600))+ISNUMBER(SEARCH("Growth Manager",C600))+ISNUMBER(SEARCH("Demand Gen",C600))+ISNUMBER(SEARCH("Marketing Lead",C600))&gt;0,'Configuración'!$B$33,IF(ISNUMBER(SEARCH("COO",C600))+ISNUMBER(SEARCH("CFO",C600))+ISNUMBER(SEARCH("CTO",C600))+ISNUMBER(SEARCH("Chief Operating",C600))+ISNUMBER(SEARCH("Chief Financial",C600))+ISNUMBER(SEARCH("Gerente General",C600))+ISNUMBER(SEARCH("General Manager",C600))&gt;0,'Configuración'!$B$34,'Configuración'!$B$35)))))</f>
        <v>12</v>
      </c>
      <c r="V600" s="38">
        <f>IF(B600="","",IF(K600="Sí",'Configuración'!$B$5,0)+IF(L600="Semanal",'Configuración'!$B$6,IF(L600="Mensual",'Configuración'!$B$7,0))+IF(M600="Sí",'Configuración'!$B$8,0)+IF(N600="Sí",'Configuración'!$B$9,0)+IF(O600="Sí",'Configuración'!$B$10,0)+IF(P600="Sí",'Configuración'!$B$11,0)+IF(Q600="Sí",'Configuración'!$B$12,0)+S600+T600+U600)</f>
        <v>28</v>
      </c>
      <c r="W600" s="39" t="str">
        <f>IF(B600="","",IF(V600&gt;='Configuración'!$B$19,"A",IF(V600&gt;='Configuración'!$B$20,"B",IF(V600&gt;='Configuración'!$B$21,"C","Descarte"))))</f>
        <v>C</v>
      </c>
    </row>
    <row r="601" ht="15.75" customHeight="1">
      <c r="A601" s="34">
        <f t="shared" si="1"/>
        <v>599</v>
      </c>
      <c r="B601" s="29" t="s">
        <v>3229</v>
      </c>
      <c r="C601" s="29" t="s">
        <v>3635</v>
      </c>
      <c r="D601" s="29" t="s">
        <v>3636</v>
      </c>
      <c r="E601" s="29" t="s">
        <v>3637</v>
      </c>
      <c r="F601" s="30" t="s">
        <v>3638</v>
      </c>
      <c r="G601" s="30" t="s">
        <v>3639</v>
      </c>
      <c r="H601" s="30" t="s">
        <v>3640</v>
      </c>
      <c r="I601" s="29" t="s">
        <v>310</v>
      </c>
      <c r="J601" s="31">
        <v>16.0</v>
      </c>
      <c r="K601" s="35"/>
      <c r="L601" s="35"/>
      <c r="M601" s="35"/>
      <c r="N601" s="35"/>
      <c r="O601" s="35"/>
      <c r="P601" s="35"/>
      <c r="Q601" s="35"/>
      <c r="R601" s="35"/>
      <c r="S601" s="37">
        <f>IF(B601="","",IF(ISNUMBER(J601),IF(J601&lt;=10,'Configuración'!$B$23,IF(J601&lt;=50,'Configuración'!$B$24,IF(J601&lt;=200,'Configuración'!$B$25,0))),0))</f>
        <v>4</v>
      </c>
      <c r="T601" s="37">
        <f>IF(B601="","",IF(ISNUMBER(SEARCH("information technology",I601))+ISNUMBER(SEARCH("software",I601))+ISNUMBER(SEARCH("internet",I601))+ISNUMBER(SEARCH("computer",I601))+ISNUMBER(SEARCH("saas",I601))+ISNUMBER(SEARCH("fintech",I601))+ISNUMBER(SEARCH("information services",I601))+ISNUMBER(SEARCH("telecommunications",I601))&gt;0,'Configuración'!$B$27,'Configuración'!$B$28))</f>
        <v>4</v>
      </c>
      <c r="U601" s="25">
        <f>IF(B601="","",IF(ISNUMBER(SEARCH("CEO",C601))+ISNUMBER(SEARCH("Founder",C601))+ISNUMBER(SEARCH("Owner",C601))+ISNUMBER(SEARCH("Dueño",C601))+ISNUMBER(SEARCH("Director General",C601))+ISNUMBER(SEARCH("Presidente",C601))+ISNUMBER(SEARCH("President",C601))&gt;0,'Configuración'!$B$31,IF(ISNUMBER(SEARCH("CMO",C601))+ISNUMBER(SEARCH("Chief Marketing",C601))+ISNUMBER(SEARCH("VP Marketing",C601))+ISNUMBER(SEARCH("Director de Marketing",C601))+ISNUMBER(SEARCH("Director Marketing",C601))+ISNUMBER(SEARCH("Head of Marketing",C601))+ISNUMBER(SEARCH("Head Marketing",C601))&gt;0,'Configuración'!$B$32,IF(ISNUMBER(SEARCH("Marketing Manager",C601))+ISNUMBER(SEARCH("Gerente de Marketing",C601))+ISNUMBER(SEARCH("Growth Manager",C601))+ISNUMBER(SEARCH("Demand Gen",C601))+ISNUMBER(SEARCH("Marketing Lead",C601))&gt;0,'Configuración'!$B$33,IF(ISNUMBER(SEARCH("COO",C601))+ISNUMBER(SEARCH("CFO",C601))+ISNUMBER(SEARCH("CTO",C601))+ISNUMBER(SEARCH("Chief Operating",C601))+ISNUMBER(SEARCH("Chief Financial",C601))+ISNUMBER(SEARCH("Gerente General",C601))+ISNUMBER(SEARCH("General Manager",C601))&gt;0,'Configuración'!$B$34,'Configuración'!$B$35)))))</f>
        <v>4</v>
      </c>
      <c r="V601" s="38">
        <f>IF(B601="","",IF(K601="Sí",'Configuración'!$B$5,0)+IF(L601="Semanal",'Configuración'!$B$6,IF(L601="Mensual",'Configuración'!$B$7,0))+IF(M601="Sí",'Configuración'!$B$8,0)+IF(N601="Sí",'Configuración'!$B$9,0)+IF(O601="Sí",'Configuración'!$B$10,0)+IF(P601="Sí",'Configuración'!$B$11,0)+IF(Q601="Sí",'Configuración'!$B$12,0)+S601+T601+U601)</f>
        <v>12</v>
      </c>
      <c r="W601" s="39" t="str">
        <f>IF(B601="","",IF(V601&gt;='Configuración'!$B$19,"A",IF(V601&gt;='Configuración'!$B$20,"B",IF(V601&gt;='Configuración'!$B$21,"C","Descarte"))))</f>
        <v>Descarte</v>
      </c>
    </row>
    <row r="602" ht="15.75" customHeight="1">
      <c r="A602" s="34">
        <f t="shared" si="1"/>
        <v>600</v>
      </c>
      <c r="B602" s="29" t="s">
        <v>3641</v>
      </c>
      <c r="C602" s="29" t="s">
        <v>146</v>
      </c>
      <c r="D602" s="29" t="s">
        <v>3642</v>
      </c>
      <c r="E602" s="29" t="s">
        <v>3643</v>
      </c>
      <c r="F602" s="30" t="s">
        <v>3644</v>
      </c>
      <c r="G602" s="30" t="s">
        <v>3645</v>
      </c>
      <c r="H602" s="30" t="s">
        <v>3646</v>
      </c>
      <c r="I602" s="29" t="s">
        <v>127</v>
      </c>
      <c r="J602" s="31">
        <v>3.0</v>
      </c>
      <c r="K602" s="35"/>
      <c r="L602" s="35"/>
      <c r="M602" s="35"/>
      <c r="N602" s="35"/>
      <c r="O602" s="35"/>
      <c r="P602" s="35"/>
      <c r="Q602" s="35"/>
      <c r="R602" s="35"/>
      <c r="S602" s="37">
        <f>IF(B602="","",IF(ISNUMBER(J602),IF(J602&lt;=10,'Configuración'!$B$23,IF(J602&lt;=50,'Configuración'!$B$24,IF(J602&lt;=200,'Configuración'!$B$25,0))),0))</f>
        <v>12</v>
      </c>
      <c r="T602" s="37">
        <f>IF(B602="","",IF(ISNUMBER(SEARCH("information technology",I602))+ISNUMBER(SEARCH("software",I602))+ISNUMBER(SEARCH("internet",I602))+ISNUMBER(SEARCH("computer",I602))+ISNUMBER(SEARCH("saas",I602))+ISNUMBER(SEARCH("fintech",I602))+ISNUMBER(SEARCH("information services",I602))+ISNUMBER(SEARCH("telecommunications",I602))&gt;0,'Configuración'!$B$27,'Configuración'!$B$28))</f>
        <v>12</v>
      </c>
      <c r="U602" s="25">
        <f>IF(B602="","",IF(ISNUMBER(SEARCH("CEO",C602))+ISNUMBER(SEARCH("Founder",C602))+ISNUMBER(SEARCH("Owner",C602))+ISNUMBER(SEARCH("Dueño",C602))+ISNUMBER(SEARCH("Director General",C602))+ISNUMBER(SEARCH("Presidente",C602))+ISNUMBER(SEARCH("President",C602))&gt;0,'Configuración'!$B$31,IF(ISNUMBER(SEARCH("CMO",C602))+ISNUMBER(SEARCH("Chief Marketing",C602))+ISNUMBER(SEARCH("VP Marketing",C602))+ISNUMBER(SEARCH("Director de Marketing",C602))+ISNUMBER(SEARCH("Director Marketing",C602))+ISNUMBER(SEARCH("Head of Marketing",C602))+ISNUMBER(SEARCH("Head Marketing",C602))&gt;0,'Configuración'!$B$32,IF(ISNUMBER(SEARCH("Marketing Manager",C602))+ISNUMBER(SEARCH("Gerente de Marketing",C602))+ISNUMBER(SEARCH("Growth Manager",C602))+ISNUMBER(SEARCH("Demand Gen",C602))+ISNUMBER(SEARCH("Marketing Lead",C602))&gt;0,'Configuración'!$B$33,IF(ISNUMBER(SEARCH("COO",C602))+ISNUMBER(SEARCH("CFO",C602))+ISNUMBER(SEARCH("CTO",C602))+ISNUMBER(SEARCH("Chief Operating",C602))+ISNUMBER(SEARCH("Chief Financial",C602))+ISNUMBER(SEARCH("Gerente General",C602))+ISNUMBER(SEARCH("General Manager",C602))&gt;0,'Configuración'!$B$34,'Configuración'!$B$35)))))</f>
        <v>0</v>
      </c>
      <c r="V602" s="38">
        <f>IF(B602="","",IF(K602="Sí",'Configuración'!$B$5,0)+IF(L602="Semanal",'Configuración'!$B$6,IF(L602="Mensual",'Configuración'!$B$7,0))+IF(M602="Sí",'Configuración'!$B$8,0)+IF(N602="Sí",'Configuración'!$B$9,0)+IF(O602="Sí",'Configuración'!$B$10,0)+IF(P602="Sí",'Configuración'!$B$11,0)+IF(Q602="Sí",'Configuración'!$B$12,0)+S602+T602+U602)</f>
        <v>24</v>
      </c>
      <c r="W602" s="39" t="str">
        <f>IF(B602="","",IF(V602&gt;='Configuración'!$B$19,"A",IF(V602&gt;='Configuración'!$B$20,"B",IF(V602&gt;='Configuración'!$B$21,"C","Descarte"))))</f>
        <v>C</v>
      </c>
    </row>
    <row r="603" ht="15.75" customHeight="1">
      <c r="A603" s="34">
        <f t="shared" si="1"/>
        <v>601</v>
      </c>
      <c r="B603" s="29" t="s">
        <v>296</v>
      </c>
      <c r="C603" s="29" t="s">
        <v>3647</v>
      </c>
      <c r="D603" s="29" t="s">
        <v>3648</v>
      </c>
      <c r="E603" s="29" t="s">
        <v>3649</v>
      </c>
      <c r="F603" s="30" t="s">
        <v>3650</v>
      </c>
      <c r="G603" s="30" t="s">
        <v>3651</v>
      </c>
      <c r="H603" s="30" t="s">
        <v>3652</v>
      </c>
      <c r="I603" s="29" t="s">
        <v>659</v>
      </c>
      <c r="J603" s="31">
        <v>10.0</v>
      </c>
      <c r="K603" s="35"/>
      <c r="L603" s="35"/>
      <c r="M603" s="35"/>
      <c r="N603" s="35"/>
      <c r="O603" s="35"/>
      <c r="P603" s="35"/>
      <c r="Q603" s="35"/>
      <c r="R603" s="35"/>
      <c r="S603" s="37">
        <f>IF(B603="","",IF(ISNUMBER(J603),IF(J603&lt;=10,'Configuración'!$B$23,IF(J603&lt;=50,'Configuración'!$B$24,IF(J603&lt;=200,'Configuración'!$B$25,0))),0))</f>
        <v>12</v>
      </c>
      <c r="T603" s="37">
        <f>IF(B603="","",IF(ISNUMBER(SEARCH("information technology",I603))+ISNUMBER(SEARCH("software",I603))+ISNUMBER(SEARCH("internet",I603))+ISNUMBER(SEARCH("computer",I603))+ISNUMBER(SEARCH("saas",I603))+ISNUMBER(SEARCH("fintech",I603))+ISNUMBER(SEARCH("information services",I603))+ISNUMBER(SEARCH("telecommunications",I603))&gt;0,'Configuración'!$B$27,'Configuración'!$B$28))</f>
        <v>4</v>
      </c>
      <c r="U603" s="25">
        <f>IF(B603="","",IF(ISNUMBER(SEARCH("CEO",C603))+ISNUMBER(SEARCH("Founder",C603))+ISNUMBER(SEARCH("Owner",C603))+ISNUMBER(SEARCH("Dueño",C603))+ISNUMBER(SEARCH("Director General",C603))+ISNUMBER(SEARCH("Presidente",C603))+ISNUMBER(SEARCH("President",C603))&gt;0,'Configuración'!$B$31,IF(ISNUMBER(SEARCH("CMO",C603))+ISNUMBER(SEARCH("Chief Marketing",C603))+ISNUMBER(SEARCH("VP Marketing",C603))+ISNUMBER(SEARCH("Director de Marketing",C603))+ISNUMBER(SEARCH("Director Marketing",C603))+ISNUMBER(SEARCH("Head of Marketing",C603))+ISNUMBER(SEARCH("Head Marketing",C603))&gt;0,'Configuración'!$B$32,IF(ISNUMBER(SEARCH("Marketing Manager",C603))+ISNUMBER(SEARCH("Gerente de Marketing",C603))+ISNUMBER(SEARCH("Growth Manager",C603))+ISNUMBER(SEARCH("Demand Gen",C603))+ISNUMBER(SEARCH("Marketing Lead",C603))&gt;0,'Configuración'!$B$33,IF(ISNUMBER(SEARCH("COO",C603))+ISNUMBER(SEARCH("CFO",C603))+ISNUMBER(SEARCH("CTO",C603))+ISNUMBER(SEARCH("Chief Operating",C603))+ISNUMBER(SEARCH("Chief Financial",C603))+ISNUMBER(SEARCH("Gerente General",C603))+ISNUMBER(SEARCH("General Manager",C603))&gt;0,'Configuración'!$B$34,'Configuración'!$B$35)))))</f>
        <v>12</v>
      </c>
      <c r="V603" s="38">
        <f>IF(B603="","",IF(K603="Sí",'Configuración'!$B$5,0)+IF(L603="Semanal",'Configuración'!$B$6,IF(L603="Mensual",'Configuración'!$B$7,0))+IF(M603="Sí",'Configuración'!$B$8,0)+IF(N603="Sí",'Configuración'!$B$9,0)+IF(O603="Sí",'Configuración'!$B$10,0)+IF(P603="Sí",'Configuración'!$B$11,0)+IF(Q603="Sí",'Configuración'!$B$12,0)+S603+T603+U603)</f>
        <v>28</v>
      </c>
      <c r="W603" s="39" t="str">
        <f>IF(B603="","",IF(V603&gt;='Configuración'!$B$19,"A",IF(V603&gt;='Configuración'!$B$20,"B",IF(V603&gt;='Configuración'!$B$21,"C","Descarte"))))</f>
        <v>C</v>
      </c>
    </row>
    <row r="604" ht="15.75" customHeight="1">
      <c r="A604" s="34">
        <f t="shared" si="1"/>
        <v>602</v>
      </c>
      <c r="B604" s="29" t="s">
        <v>109</v>
      </c>
      <c r="C604" s="29" t="s">
        <v>146</v>
      </c>
      <c r="D604" s="29" t="s">
        <v>3653</v>
      </c>
      <c r="E604" s="29" t="s">
        <v>3654</v>
      </c>
      <c r="F604" s="30" t="s">
        <v>3655</v>
      </c>
      <c r="G604" s="30" t="s">
        <v>3656</v>
      </c>
      <c r="H604" s="30" t="s">
        <v>3657</v>
      </c>
      <c r="I604" s="29" t="s">
        <v>127</v>
      </c>
      <c r="J604" s="31">
        <v>5.0</v>
      </c>
      <c r="K604" s="35"/>
      <c r="L604" s="35"/>
      <c r="M604" s="35"/>
      <c r="N604" s="35"/>
      <c r="O604" s="35"/>
      <c r="P604" s="35"/>
      <c r="Q604" s="35"/>
      <c r="R604" s="35"/>
      <c r="S604" s="37">
        <f>IF(B604="","",IF(ISNUMBER(J604),IF(J604&lt;=10,'Configuración'!$B$23,IF(J604&lt;=50,'Configuración'!$B$24,IF(J604&lt;=200,'Configuración'!$B$25,0))),0))</f>
        <v>12</v>
      </c>
      <c r="T604" s="37">
        <f>IF(B604="","",IF(ISNUMBER(SEARCH("information technology",I604))+ISNUMBER(SEARCH("software",I604))+ISNUMBER(SEARCH("internet",I604))+ISNUMBER(SEARCH("computer",I604))+ISNUMBER(SEARCH("saas",I604))+ISNUMBER(SEARCH("fintech",I604))+ISNUMBER(SEARCH("information services",I604))+ISNUMBER(SEARCH("telecommunications",I604))&gt;0,'Configuración'!$B$27,'Configuración'!$B$28))</f>
        <v>12</v>
      </c>
      <c r="U604" s="25">
        <f>IF(B604="","",IF(ISNUMBER(SEARCH("CEO",C604))+ISNUMBER(SEARCH("Founder",C604))+ISNUMBER(SEARCH("Owner",C604))+ISNUMBER(SEARCH("Dueño",C604))+ISNUMBER(SEARCH("Director General",C604))+ISNUMBER(SEARCH("Presidente",C604))+ISNUMBER(SEARCH("President",C604))&gt;0,'Configuración'!$B$31,IF(ISNUMBER(SEARCH("CMO",C604))+ISNUMBER(SEARCH("Chief Marketing",C604))+ISNUMBER(SEARCH("VP Marketing",C604))+ISNUMBER(SEARCH("Director de Marketing",C604))+ISNUMBER(SEARCH("Director Marketing",C604))+ISNUMBER(SEARCH("Head of Marketing",C604))+ISNUMBER(SEARCH("Head Marketing",C604))&gt;0,'Configuración'!$B$32,IF(ISNUMBER(SEARCH("Marketing Manager",C604))+ISNUMBER(SEARCH("Gerente de Marketing",C604))+ISNUMBER(SEARCH("Growth Manager",C604))+ISNUMBER(SEARCH("Demand Gen",C604))+ISNUMBER(SEARCH("Marketing Lead",C604))&gt;0,'Configuración'!$B$33,IF(ISNUMBER(SEARCH("COO",C604))+ISNUMBER(SEARCH("CFO",C604))+ISNUMBER(SEARCH("CTO",C604))+ISNUMBER(SEARCH("Chief Operating",C604))+ISNUMBER(SEARCH("Chief Financial",C604))+ISNUMBER(SEARCH("Gerente General",C604))+ISNUMBER(SEARCH("General Manager",C604))&gt;0,'Configuración'!$B$34,'Configuración'!$B$35)))))</f>
        <v>0</v>
      </c>
      <c r="V604" s="38">
        <f>IF(B604="","",IF(K604="Sí",'Configuración'!$B$5,0)+IF(L604="Semanal",'Configuración'!$B$6,IF(L604="Mensual",'Configuración'!$B$7,0))+IF(M604="Sí",'Configuración'!$B$8,0)+IF(N604="Sí",'Configuración'!$B$9,0)+IF(O604="Sí",'Configuración'!$B$10,0)+IF(P604="Sí",'Configuración'!$B$11,0)+IF(Q604="Sí",'Configuración'!$B$12,0)+S604+T604+U604)</f>
        <v>24</v>
      </c>
      <c r="W604" s="39" t="str">
        <f>IF(B604="","",IF(V604&gt;='Configuración'!$B$19,"A",IF(V604&gt;='Configuración'!$B$20,"B",IF(V604&gt;='Configuración'!$B$21,"C","Descarte"))))</f>
        <v>C</v>
      </c>
    </row>
    <row r="605" ht="15.75" customHeight="1">
      <c r="A605" s="34">
        <f t="shared" si="1"/>
        <v>603</v>
      </c>
      <c r="B605" s="29" t="s">
        <v>3658</v>
      </c>
      <c r="C605" s="29" t="s">
        <v>131</v>
      </c>
      <c r="D605" s="29" t="s">
        <v>3659</v>
      </c>
      <c r="E605" s="29" t="s">
        <v>3660</v>
      </c>
      <c r="F605" s="30" t="s">
        <v>3661</v>
      </c>
      <c r="G605" s="30" t="s">
        <v>3662</v>
      </c>
      <c r="H605" s="30" t="s">
        <v>3663</v>
      </c>
      <c r="I605" s="29" t="s">
        <v>465</v>
      </c>
      <c r="J605" s="31">
        <v>9.0</v>
      </c>
      <c r="K605" s="35"/>
      <c r="L605" s="35"/>
      <c r="M605" s="35"/>
      <c r="N605" s="35"/>
      <c r="O605" s="35"/>
      <c r="P605" s="35"/>
      <c r="Q605" s="35"/>
      <c r="R605" s="35"/>
      <c r="S605" s="37">
        <f>IF(B605="","",IF(ISNUMBER(J605),IF(J605&lt;=10,'Configuración'!$B$23,IF(J605&lt;=50,'Configuración'!$B$24,IF(J605&lt;=200,'Configuración'!$B$25,0))),0))</f>
        <v>12</v>
      </c>
      <c r="T605" s="37">
        <f>IF(B605="","",IF(ISNUMBER(SEARCH("information technology",I605))+ISNUMBER(SEARCH("software",I605))+ISNUMBER(SEARCH("internet",I605))+ISNUMBER(SEARCH("computer",I605))+ISNUMBER(SEARCH("saas",I605))+ISNUMBER(SEARCH("fintech",I605))+ISNUMBER(SEARCH("information services",I605))+ISNUMBER(SEARCH("telecommunications",I605))&gt;0,'Configuración'!$B$27,'Configuración'!$B$28))</f>
        <v>4</v>
      </c>
      <c r="U605" s="25">
        <f>IF(B605="","",IF(ISNUMBER(SEARCH("CEO",C605))+ISNUMBER(SEARCH("Founder",C605))+ISNUMBER(SEARCH("Owner",C605))+ISNUMBER(SEARCH("Dueño",C605))+ISNUMBER(SEARCH("Director General",C605))+ISNUMBER(SEARCH("Presidente",C605))+ISNUMBER(SEARCH("President",C605))&gt;0,'Configuración'!$B$31,IF(ISNUMBER(SEARCH("CMO",C605))+ISNUMBER(SEARCH("Chief Marketing",C605))+ISNUMBER(SEARCH("VP Marketing",C605))+ISNUMBER(SEARCH("Director de Marketing",C605))+ISNUMBER(SEARCH("Director Marketing",C605))+ISNUMBER(SEARCH("Head of Marketing",C605))+ISNUMBER(SEARCH("Head Marketing",C605))&gt;0,'Configuración'!$B$32,IF(ISNUMBER(SEARCH("Marketing Manager",C605))+ISNUMBER(SEARCH("Gerente de Marketing",C605))+ISNUMBER(SEARCH("Growth Manager",C605))+ISNUMBER(SEARCH("Demand Gen",C605))+ISNUMBER(SEARCH("Marketing Lead",C605))&gt;0,'Configuración'!$B$33,IF(ISNUMBER(SEARCH("COO",C605))+ISNUMBER(SEARCH("CFO",C605))+ISNUMBER(SEARCH("CTO",C605))+ISNUMBER(SEARCH("Chief Operating",C605))+ISNUMBER(SEARCH("Chief Financial",C605))+ISNUMBER(SEARCH("Gerente General",C605))+ISNUMBER(SEARCH("General Manager",C605))&gt;0,'Configuración'!$B$34,'Configuración'!$B$35)))))</f>
        <v>12</v>
      </c>
      <c r="V605" s="38">
        <f>IF(B605="","",IF(K605="Sí",'Configuración'!$B$5,0)+IF(L605="Semanal",'Configuración'!$B$6,IF(L605="Mensual",'Configuración'!$B$7,0))+IF(M605="Sí",'Configuración'!$B$8,0)+IF(N605="Sí",'Configuración'!$B$9,0)+IF(O605="Sí",'Configuración'!$B$10,0)+IF(P605="Sí",'Configuración'!$B$11,0)+IF(Q605="Sí",'Configuración'!$B$12,0)+S605+T605+U605)</f>
        <v>28</v>
      </c>
      <c r="W605" s="39" t="str">
        <f>IF(B605="","",IF(V605&gt;='Configuración'!$B$19,"A",IF(V605&gt;='Configuración'!$B$20,"B",IF(V605&gt;='Configuración'!$B$21,"C","Descarte"))))</f>
        <v>C</v>
      </c>
    </row>
    <row r="606" ht="15.75" customHeight="1">
      <c r="A606" s="34">
        <f t="shared" si="1"/>
        <v>604</v>
      </c>
      <c r="B606" s="29" t="s">
        <v>1927</v>
      </c>
      <c r="C606" s="29" t="s">
        <v>131</v>
      </c>
      <c r="D606" s="29" t="s">
        <v>3664</v>
      </c>
      <c r="E606" s="29" t="s">
        <v>3665</v>
      </c>
      <c r="F606" s="30" t="s">
        <v>3666</v>
      </c>
      <c r="G606" s="30" t="s">
        <v>3667</v>
      </c>
      <c r="H606" s="30" t="s">
        <v>3668</v>
      </c>
      <c r="I606" s="29" t="s">
        <v>776</v>
      </c>
      <c r="J606" s="31">
        <v>11.0</v>
      </c>
      <c r="K606" s="35"/>
      <c r="L606" s="35"/>
      <c r="M606" s="35"/>
      <c r="N606" s="35"/>
      <c r="O606" s="35"/>
      <c r="P606" s="35"/>
      <c r="Q606" s="35"/>
      <c r="R606" s="35"/>
      <c r="S606" s="37">
        <f>IF(B606="","",IF(ISNUMBER(J606),IF(J606&lt;=10,'Configuración'!$B$23,IF(J606&lt;=50,'Configuración'!$B$24,IF(J606&lt;=200,'Configuración'!$B$25,0))),0))</f>
        <v>4</v>
      </c>
      <c r="T606" s="37">
        <f>IF(B606="","",IF(ISNUMBER(SEARCH("information technology",I606))+ISNUMBER(SEARCH("software",I606))+ISNUMBER(SEARCH("internet",I606))+ISNUMBER(SEARCH("computer",I606))+ISNUMBER(SEARCH("saas",I606))+ISNUMBER(SEARCH("fintech",I606))+ISNUMBER(SEARCH("information services",I606))+ISNUMBER(SEARCH("telecommunications",I606))&gt;0,'Configuración'!$B$27,'Configuración'!$B$28))</f>
        <v>4</v>
      </c>
      <c r="U606" s="25">
        <f>IF(B606="","",IF(ISNUMBER(SEARCH("CEO",C606))+ISNUMBER(SEARCH("Founder",C606))+ISNUMBER(SEARCH("Owner",C606))+ISNUMBER(SEARCH("Dueño",C606))+ISNUMBER(SEARCH("Director General",C606))+ISNUMBER(SEARCH("Presidente",C606))+ISNUMBER(SEARCH("President",C606))&gt;0,'Configuración'!$B$31,IF(ISNUMBER(SEARCH("CMO",C606))+ISNUMBER(SEARCH("Chief Marketing",C606))+ISNUMBER(SEARCH("VP Marketing",C606))+ISNUMBER(SEARCH("Director de Marketing",C606))+ISNUMBER(SEARCH("Director Marketing",C606))+ISNUMBER(SEARCH("Head of Marketing",C606))+ISNUMBER(SEARCH("Head Marketing",C606))&gt;0,'Configuración'!$B$32,IF(ISNUMBER(SEARCH("Marketing Manager",C606))+ISNUMBER(SEARCH("Gerente de Marketing",C606))+ISNUMBER(SEARCH("Growth Manager",C606))+ISNUMBER(SEARCH("Demand Gen",C606))+ISNUMBER(SEARCH("Marketing Lead",C606))&gt;0,'Configuración'!$B$33,IF(ISNUMBER(SEARCH("COO",C606))+ISNUMBER(SEARCH("CFO",C606))+ISNUMBER(SEARCH("CTO",C606))+ISNUMBER(SEARCH("Chief Operating",C606))+ISNUMBER(SEARCH("Chief Financial",C606))+ISNUMBER(SEARCH("Gerente General",C606))+ISNUMBER(SEARCH("General Manager",C606))&gt;0,'Configuración'!$B$34,'Configuración'!$B$35)))))</f>
        <v>12</v>
      </c>
      <c r="V606" s="38">
        <f>IF(B606="","",IF(K606="Sí",'Configuración'!$B$5,0)+IF(L606="Semanal",'Configuración'!$B$6,IF(L606="Mensual",'Configuración'!$B$7,0))+IF(M606="Sí",'Configuración'!$B$8,0)+IF(N606="Sí",'Configuración'!$B$9,0)+IF(O606="Sí",'Configuración'!$B$10,0)+IF(P606="Sí",'Configuración'!$B$11,0)+IF(Q606="Sí",'Configuración'!$B$12,0)+S606+T606+U606)</f>
        <v>20</v>
      </c>
      <c r="W606" s="39" t="str">
        <f>IF(B606="","",IF(V606&gt;='Configuración'!$B$19,"A",IF(V606&gt;='Configuración'!$B$20,"B",IF(V606&gt;='Configuración'!$B$21,"C","Descarte"))))</f>
        <v>Descarte</v>
      </c>
    </row>
    <row r="607" ht="15.75" customHeight="1">
      <c r="A607" s="34">
        <f t="shared" si="1"/>
        <v>605</v>
      </c>
      <c r="B607" s="29" t="s">
        <v>3669</v>
      </c>
      <c r="C607" s="29" t="s">
        <v>3381</v>
      </c>
      <c r="D607" s="29" t="s">
        <v>3670</v>
      </c>
      <c r="E607" s="29" t="s">
        <v>3671</v>
      </c>
      <c r="F607" s="30" t="s">
        <v>3672</v>
      </c>
      <c r="G607" s="30" t="s">
        <v>3673</v>
      </c>
      <c r="H607" s="30" t="s">
        <v>3674</v>
      </c>
      <c r="I607" s="29" t="s">
        <v>222</v>
      </c>
      <c r="J607" s="31">
        <v>20.0</v>
      </c>
      <c r="K607" s="35"/>
      <c r="L607" s="35"/>
      <c r="M607" s="35"/>
      <c r="N607" s="35"/>
      <c r="O607" s="35"/>
      <c r="P607" s="35"/>
      <c r="Q607" s="35"/>
      <c r="R607" s="35"/>
      <c r="S607" s="37">
        <f>IF(B607="","",IF(ISNUMBER(J607),IF(J607&lt;=10,'Configuración'!$B$23,IF(J607&lt;=50,'Configuración'!$B$24,IF(J607&lt;=200,'Configuración'!$B$25,0))),0))</f>
        <v>4</v>
      </c>
      <c r="T607" s="37">
        <f>IF(B607="","",IF(ISNUMBER(SEARCH("information technology",I607))+ISNUMBER(SEARCH("software",I607))+ISNUMBER(SEARCH("internet",I607))+ISNUMBER(SEARCH("computer",I607))+ISNUMBER(SEARCH("saas",I607))+ISNUMBER(SEARCH("fintech",I607))+ISNUMBER(SEARCH("information services",I607))+ISNUMBER(SEARCH("telecommunications",I607))&gt;0,'Configuración'!$B$27,'Configuración'!$B$28))</f>
        <v>4</v>
      </c>
      <c r="U607" s="25">
        <f>IF(B607="","",IF(ISNUMBER(SEARCH("CEO",C607))+ISNUMBER(SEARCH("Founder",C607))+ISNUMBER(SEARCH("Owner",C607))+ISNUMBER(SEARCH("Dueño",C607))+ISNUMBER(SEARCH("Director General",C607))+ISNUMBER(SEARCH("Presidente",C607))+ISNUMBER(SEARCH("President",C607))&gt;0,'Configuración'!$B$31,IF(ISNUMBER(SEARCH("CMO",C607))+ISNUMBER(SEARCH("Chief Marketing",C607))+ISNUMBER(SEARCH("VP Marketing",C607))+ISNUMBER(SEARCH("Director de Marketing",C607))+ISNUMBER(SEARCH("Director Marketing",C607))+ISNUMBER(SEARCH("Head of Marketing",C607))+ISNUMBER(SEARCH("Head Marketing",C607))&gt;0,'Configuración'!$B$32,IF(ISNUMBER(SEARCH("Marketing Manager",C607))+ISNUMBER(SEARCH("Gerente de Marketing",C607))+ISNUMBER(SEARCH("Growth Manager",C607))+ISNUMBER(SEARCH("Demand Gen",C607))+ISNUMBER(SEARCH("Marketing Lead",C607))&gt;0,'Configuración'!$B$33,IF(ISNUMBER(SEARCH("COO",C607))+ISNUMBER(SEARCH("CFO",C607))+ISNUMBER(SEARCH("CTO",C607))+ISNUMBER(SEARCH("Chief Operating",C607))+ISNUMBER(SEARCH("Chief Financial",C607))+ISNUMBER(SEARCH("Gerente General",C607))+ISNUMBER(SEARCH("General Manager",C607))&gt;0,'Configuración'!$B$34,'Configuración'!$B$35)))))</f>
        <v>12</v>
      </c>
      <c r="V607" s="38">
        <f>IF(B607="","",IF(K607="Sí",'Configuración'!$B$5,0)+IF(L607="Semanal",'Configuración'!$B$6,IF(L607="Mensual",'Configuración'!$B$7,0))+IF(M607="Sí",'Configuración'!$B$8,0)+IF(N607="Sí",'Configuración'!$B$9,0)+IF(O607="Sí",'Configuración'!$B$10,0)+IF(P607="Sí",'Configuración'!$B$11,0)+IF(Q607="Sí",'Configuración'!$B$12,0)+S607+T607+U607)</f>
        <v>20</v>
      </c>
      <c r="W607" s="39" t="str">
        <f>IF(B607="","",IF(V607&gt;='Configuración'!$B$19,"A",IF(V607&gt;='Configuración'!$B$20,"B",IF(V607&gt;='Configuración'!$B$21,"C","Descarte"))))</f>
        <v>Descarte</v>
      </c>
    </row>
    <row r="608" ht="15.75" customHeight="1">
      <c r="A608" s="34">
        <f t="shared" si="1"/>
        <v>606</v>
      </c>
      <c r="B608" s="29" t="s">
        <v>3675</v>
      </c>
      <c r="C608" s="29" t="s">
        <v>1465</v>
      </c>
      <c r="D608" s="29" t="s">
        <v>3676</v>
      </c>
      <c r="E608" s="29"/>
      <c r="F608" s="30" t="s">
        <v>3677</v>
      </c>
      <c r="G608" s="30" t="s">
        <v>3678</v>
      </c>
      <c r="H608" s="30" t="s">
        <v>3679</v>
      </c>
      <c r="I608" s="29" t="s">
        <v>188</v>
      </c>
      <c r="J608" s="31">
        <v>3.0</v>
      </c>
      <c r="K608" s="35"/>
      <c r="L608" s="35"/>
      <c r="M608" s="35"/>
      <c r="N608" s="35"/>
      <c r="O608" s="35"/>
      <c r="P608" s="35"/>
      <c r="Q608" s="35"/>
      <c r="R608" s="35"/>
      <c r="S608" s="37">
        <f>IF(B608="","",IF(ISNUMBER(J608),IF(J608&lt;=10,'Configuración'!$B$23,IF(J608&lt;=50,'Configuración'!$B$24,IF(J608&lt;=200,'Configuración'!$B$25,0))),0))</f>
        <v>12</v>
      </c>
      <c r="T608" s="37">
        <f>IF(B608="","",IF(ISNUMBER(SEARCH("information technology",I608))+ISNUMBER(SEARCH("software",I608))+ISNUMBER(SEARCH("internet",I608))+ISNUMBER(SEARCH("computer",I608))+ISNUMBER(SEARCH("saas",I608))+ISNUMBER(SEARCH("fintech",I608))+ISNUMBER(SEARCH("information services",I608))+ISNUMBER(SEARCH("telecommunications",I608))&gt;0,'Configuración'!$B$27,'Configuración'!$B$28))</f>
        <v>4</v>
      </c>
      <c r="U608" s="25">
        <f>IF(B608="","",IF(ISNUMBER(SEARCH("CEO",C608))+ISNUMBER(SEARCH("Founder",C608))+ISNUMBER(SEARCH("Owner",C608))+ISNUMBER(SEARCH("Dueño",C608))+ISNUMBER(SEARCH("Director General",C608))+ISNUMBER(SEARCH("Presidente",C608))+ISNUMBER(SEARCH("President",C608))&gt;0,'Configuración'!$B$31,IF(ISNUMBER(SEARCH("CMO",C608))+ISNUMBER(SEARCH("Chief Marketing",C608))+ISNUMBER(SEARCH("VP Marketing",C608))+ISNUMBER(SEARCH("Director de Marketing",C608))+ISNUMBER(SEARCH("Director Marketing",C608))+ISNUMBER(SEARCH("Head of Marketing",C608))+ISNUMBER(SEARCH("Head Marketing",C608))&gt;0,'Configuración'!$B$32,IF(ISNUMBER(SEARCH("Marketing Manager",C608))+ISNUMBER(SEARCH("Gerente de Marketing",C608))+ISNUMBER(SEARCH("Growth Manager",C608))+ISNUMBER(SEARCH("Demand Gen",C608))+ISNUMBER(SEARCH("Marketing Lead",C608))&gt;0,'Configuración'!$B$33,IF(ISNUMBER(SEARCH("COO",C608))+ISNUMBER(SEARCH("CFO",C608))+ISNUMBER(SEARCH("CTO",C608))+ISNUMBER(SEARCH("Chief Operating",C608))+ISNUMBER(SEARCH("Chief Financial",C608))+ISNUMBER(SEARCH("Gerente General",C608))+ISNUMBER(SEARCH("General Manager",C608))&gt;0,'Configuración'!$B$34,'Configuración'!$B$35)))))</f>
        <v>4</v>
      </c>
      <c r="V608" s="38">
        <f>IF(B608="","",IF(K608="Sí",'Configuración'!$B$5,0)+IF(L608="Semanal",'Configuración'!$B$6,IF(L608="Mensual",'Configuración'!$B$7,0))+IF(M608="Sí",'Configuración'!$B$8,0)+IF(N608="Sí",'Configuración'!$B$9,0)+IF(O608="Sí",'Configuración'!$B$10,0)+IF(P608="Sí",'Configuración'!$B$11,0)+IF(Q608="Sí",'Configuración'!$B$12,0)+S608+T608+U608)</f>
        <v>20</v>
      </c>
      <c r="W608" s="39" t="str">
        <f>IF(B608="","",IF(V608&gt;='Configuración'!$B$19,"A",IF(V608&gt;='Configuración'!$B$20,"B",IF(V608&gt;='Configuración'!$B$21,"C","Descarte"))))</f>
        <v>Descarte</v>
      </c>
    </row>
    <row r="609" ht="15.75" customHeight="1">
      <c r="A609" s="34">
        <f t="shared" si="1"/>
        <v>607</v>
      </c>
      <c r="B609" s="29" t="s">
        <v>3680</v>
      </c>
      <c r="C609" s="29" t="s">
        <v>175</v>
      </c>
      <c r="D609" s="29" t="s">
        <v>3681</v>
      </c>
      <c r="E609" s="29" t="s">
        <v>3682</v>
      </c>
      <c r="F609" s="30" t="s">
        <v>3683</v>
      </c>
      <c r="G609" s="30" t="s">
        <v>3684</v>
      </c>
      <c r="H609" s="30" t="s">
        <v>3685</v>
      </c>
      <c r="I609" s="29" t="s">
        <v>659</v>
      </c>
      <c r="J609" s="31">
        <v>2.0</v>
      </c>
      <c r="K609" s="35"/>
      <c r="L609" s="35"/>
      <c r="M609" s="35"/>
      <c r="N609" s="35"/>
      <c r="O609" s="35"/>
      <c r="P609" s="35"/>
      <c r="Q609" s="35"/>
      <c r="R609" s="35"/>
      <c r="S609" s="37">
        <f>IF(B609="","",IF(ISNUMBER(J609),IF(J609&lt;=10,'Configuración'!$B$23,IF(J609&lt;=50,'Configuración'!$B$24,IF(J609&lt;=200,'Configuración'!$B$25,0))),0))</f>
        <v>12</v>
      </c>
      <c r="T609" s="37">
        <f>IF(B609="","",IF(ISNUMBER(SEARCH("information technology",I609))+ISNUMBER(SEARCH("software",I609))+ISNUMBER(SEARCH("internet",I609))+ISNUMBER(SEARCH("computer",I609))+ISNUMBER(SEARCH("saas",I609))+ISNUMBER(SEARCH("fintech",I609))+ISNUMBER(SEARCH("information services",I609))+ISNUMBER(SEARCH("telecommunications",I609))&gt;0,'Configuración'!$B$27,'Configuración'!$B$28))</f>
        <v>4</v>
      </c>
      <c r="U609" s="25">
        <f>IF(B609="","",IF(ISNUMBER(SEARCH("CEO",C609))+ISNUMBER(SEARCH("Founder",C609))+ISNUMBER(SEARCH("Owner",C609))+ISNUMBER(SEARCH("Dueño",C609))+ISNUMBER(SEARCH("Director General",C609))+ISNUMBER(SEARCH("Presidente",C609))+ISNUMBER(SEARCH("President",C609))&gt;0,'Configuración'!$B$31,IF(ISNUMBER(SEARCH("CMO",C609))+ISNUMBER(SEARCH("Chief Marketing",C609))+ISNUMBER(SEARCH("VP Marketing",C609))+ISNUMBER(SEARCH("Director de Marketing",C609))+ISNUMBER(SEARCH("Director Marketing",C609))+ISNUMBER(SEARCH("Head of Marketing",C609))+ISNUMBER(SEARCH("Head Marketing",C609))&gt;0,'Configuración'!$B$32,IF(ISNUMBER(SEARCH("Marketing Manager",C609))+ISNUMBER(SEARCH("Gerente de Marketing",C609))+ISNUMBER(SEARCH("Growth Manager",C609))+ISNUMBER(SEARCH("Demand Gen",C609))+ISNUMBER(SEARCH("Marketing Lead",C609))&gt;0,'Configuración'!$B$33,IF(ISNUMBER(SEARCH("COO",C609))+ISNUMBER(SEARCH("CFO",C609))+ISNUMBER(SEARCH("CTO",C609))+ISNUMBER(SEARCH("Chief Operating",C609))+ISNUMBER(SEARCH("Chief Financial",C609))+ISNUMBER(SEARCH("Gerente General",C609))+ISNUMBER(SEARCH("General Manager",C609))&gt;0,'Configuración'!$B$34,'Configuración'!$B$35)))))</f>
        <v>12</v>
      </c>
      <c r="V609" s="38">
        <f>IF(B609="","",IF(K609="Sí",'Configuración'!$B$5,0)+IF(L609="Semanal",'Configuración'!$B$6,IF(L609="Mensual",'Configuración'!$B$7,0))+IF(M609="Sí",'Configuración'!$B$8,0)+IF(N609="Sí",'Configuración'!$B$9,0)+IF(O609="Sí",'Configuración'!$B$10,0)+IF(P609="Sí",'Configuración'!$B$11,0)+IF(Q609="Sí",'Configuración'!$B$12,0)+S609+T609+U609)</f>
        <v>28</v>
      </c>
      <c r="W609" s="39" t="str">
        <f>IF(B609="","",IF(V609&gt;='Configuración'!$B$19,"A",IF(V609&gt;='Configuración'!$B$20,"B",IF(V609&gt;='Configuración'!$B$21,"C","Descarte"))))</f>
        <v>C</v>
      </c>
    </row>
    <row r="610" ht="15.75" customHeight="1">
      <c r="A610" s="34">
        <f t="shared" si="1"/>
        <v>608</v>
      </c>
      <c r="B610" s="29" t="s">
        <v>749</v>
      </c>
      <c r="C610" s="29" t="s">
        <v>121</v>
      </c>
      <c r="D610" s="29" t="s">
        <v>3686</v>
      </c>
      <c r="E610" s="29" t="s">
        <v>3687</v>
      </c>
      <c r="F610" s="30" t="s">
        <v>3688</v>
      </c>
      <c r="G610" s="30" t="s">
        <v>3689</v>
      </c>
      <c r="H610" s="30" t="s">
        <v>3690</v>
      </c>
      <c r="I610" s="29" t="s">
        <v>127</v>
      </c>
      <c r="J610" s="31">
        <v>7.0</v>
      </c>
      <c r="K610" s="35"/>
      <c r="L610" s="35"/>
      <c r="M610" s="35"/>
      <c r="N610" s="35"/>
      <c r="O610" s="35"/>
      <c r="P610" s="35"/>
      <c r="Q610" s="35"/>
      <c r="R610" s="35"/>
      <c r="S610" s="37">
        <f>IF(B610="","",IF(ISNUMBER(J610),IF(J610&lt;=10,'Configuración'!$B$23,IF(J610&lt;=50,'Configuración'!$B$24,IF(J610&lt;=200,'Configuración'!$B$25,0))),0))</f>
        <v>12</v>
      </c>
      <c r="T610" s="37">
        <f>IF(B610="","",IF(ISNUMBER(SEARCH("information technology",I610))+ISNUMBER(SEARCH("software",I610))+ISNUMBER(SEARCH("internet",I610))+ISNUMBER(SEARCH("computer",I610))+ISNUMBER(SEARCH("saas",I610))+ISNUMBER(SEARCH("fintech",I610))+ISNUMBER(SEARCH("information services",I610))+ISNUMBER(SEARCH("telecommunications",I610))&gt;0,'Configuración'!$B$27,'Configuración'!$B$28))</f>
        <v>12</v>
      </c>
      <c r="U610" s="25">
        <f>IF(B610="","",IF(ISNUMBER(SEARCH("CEO",C610))+ISNUMBER(SEARCH("Founder",C610))+ISNUMBER(SEARCH("Owner",C610))+ISNUMBER(SEARCH("Dueño",C610))+ISNUMBER(SEARCH("Director General",C610))+ISNUMBER(SEARCH("Presidente",C610))+ISNUMBER(SEARCH("President",C610))&gt;0,'Configuración'!$B$31,IF(ISNUMBER(SEARCH("CMO",C610))+ISNUMBER(SEARCH("Chief Marketing",C610))+ISNUMBER(SEARCH("VP Marketing",C610))+ISNUMBER(SEARCH("Director de Marketing",C610))+ISNUMBER(SEARCH("Director Marketing",C610))+ISNUMBER(SEARCH("Head of Marketing",C610))+ISNUMBER(SEARCH("Head Marketing",C610))&gt;0,'Configuración'!$B$32,IF(ISNUMBER(SEARCH("Marketing Manager",C610))+ISNUMBER(SEARCH("Gerente de Marketing",C610))+ISNUMBER(SEARCH("Growth Manager",C610))+ISNUMBER(SEARCH("Demand Gen",C610))+ISNUMBER(SEARCH("Marketing Lead",C610))&gt;0,'Configuración'!$B$33,IF(ISNUMBER(SEARCH("COO",C610))+ISNUMBER(SEARCH("CFO",C610))+ISNUMBER(SEARCH("CTO",C610))+ISNUMBER(SEARCH("Chief Operating",C610))+ISNUMBER(SEARCH("Chief Financial",C610))+ISNUMBER(SEARCH("Gerente General",C610))+ISNUMBER(SEARCH("General Manager",C610))&gt;0,'Configuración'!$B$34,'Configuración'!$B$35)))))</f>
        <v>12</v>
      </c>
      <c r="V610" s="38">
        <f>IF(B610="","",IF(K610="Sí",'Configuración'!$B$5,0)+IF(L610="Semanal",'Configuración'!$B$6,IF(L610="Mensual",'Configuración'!$B$7,0))+IF(M610="Sí",'Configuración'!$B$8,0)+IF(N610="Sí",'Configuración'!$B$9,0)+IF(O610="Sí",'Configuración'!$B$10,0)+IF(P610="Sí",'Configuración'!$B$11,0)+IF(Q610="Sí",'Configuración'!$B$12,0)+S610+T610+U610)</f>
        <v>36</v>
      </c>
      <c r="W610" s="39" t="str">
        <f>IF(B610="","",IF(V610&gt;='Configuración'!$B$19,"A",IF(V610&gt;='Configuración'!$B$20,"B",IF(V610&gt;='Configuración'!$B$21,"C","Descarte"))))</f>
        <v>C</v>
      </c>
    </row>
    <row r="611" ht="15.75" customHeight="1">
      <c r="A611" s="34">
        <f t="shared" si="1"/>
        <v>609</v>
      </c>
      <c r="B611" s="29" t="s">
        <v>1294</v>
      </c>
      <c r="C611" s="29" t="s">
        <v>3691</v>
      </c>
      <c r="D611" s="29" t="s">
        <v>3692</v>
      </c>
      <c r="E611" s="29" t="s">
        <v>3693</v>
      </c>
      <c r="F611" s="30" t="s">
        <v>3694</v>
      </c>
      <c r="G611" s="30" t="s">
        <v>3695</v>
      </c>
      <c r="H611" s="30" t="s">
        <v>3696</v>
      </c>
      <c r="I611" s="29" t="s">
        <v>116</v>
      </c>
      <c r="J611" s="31">
        <v>14.0</v>
      </c>
      <c r="K611" s="35"/>
      <c r="L611" s="35"/>
      <c r="M611" s="35"/>
      <c r="N611" s="35"/>
      <c r="O611" s="35"/>
      <c r="P611" s="35"/>
      <c r="Q611" s="35"/>
      <c r="R611" s="35"/>
      <c r="S611" s="37">
        <f>IF(B611="","",IF(ISNUMBER(J611),IF(J611&lt;=10,'Configuración'!$B$23,IF(J611&lt;=50,'Configuración'!$B$24,IF(J611&lt;=200,'Configuración'!$B$25,0))),0))</f>
        <v>4</v>
      </c>
      <c r="T611" s="37">
        <f>IF(B611="","",IF(ISNUMBER(SEARCH("information technology",I611))+ISNUMBER(SEARCH("software",I611))+ISNUMBER(SEARCH("internet",I611))+ISNUMBER(SEARCH("computer",I611))+ISNUMBER(SEARCH("saas",I611))+ISNUMBER(SEARCH("fintech",I611))+ISNUMBER(SEARCH("information services",I611))+ISNUMBER(SEARCH("telecommunications",I611))&gt;0,'Configuración'!$B$27,'Configuración'!$B$28))</f>
        <v>4</v>
      </c>
      <c r="U611" s="25">
        <f>IF(B611="","",IF(ISNUMBER(SEARCH("CEO",C611))+ISNUMBER(SEARCH("Founder",C611))+ISNUMBER(SEARCH("Owner",C611))+ISNUMBER(SEARCH("Dueño",C611))+ISNUMBER(SEARCH("Director General",C611))+ISNUMBER(SEARCH("Presidente",C611))+ISNUMBER(SEARCH("President",C611))&gt;0,'Configuración'!$B$31,IF(ISNUMBER(SEARCH("CMO",C611))+ISNUMBER(SEARCH("Chief Marketing",C611))+ISNUMBER(SEARCH("VP Marketing",C611))+ISNUMBER(SEARCH("Director de Marketing",C611))+ISNUMBER(SEARCH("Director Marketing",C611))+ISNUMBER(SEARCH("Head of Marketing",C611))+ISNUMBER(SEARCH("Head Marketing",C611))&gt;0,'Configuración'!$B$32,IF(ISNUMBER(SEARCH("Marketing Manager",C611))+ISNUMBER(SEARCH("Gerente de Marketing",C611))+ISNUMBER(SEARCH("Growth Manager",C611))+ISNUMBER(SEARCH("Demand Gen",C611))+ISNUMBER(SEARCH("Marketing Lead",C611))&gt;0,'Configuración'!$B$33,IF(ISNUMBER(SEARCH("COO",C611))+ISNUMBER(SEARCH("CFO",C611))+ISNUMBER(SEARCH("CTO",C611))+ISNUMBER(SEARCH("Chief Operating",C611))+ISNUMBER(SEARCH("Chief Financial",C611))+ISNUMBER(SEARCH("Gerente General",C611))+ISNUMBER(SEARCH("General Manager",C611))&gt;0,'Configuración'!$B$34,'Configuración'!$B$35)))))</f>
        <v>12</v>
      </c>
      <c r="V611" s="38">
        <f>IF(B611="","",IF(K611="Sí",'Configuración'!$B$5,0)+IF(L611="Semanal",'Configuración'!$B$6,IF(L611="Mensual",'Configuración'!$B$7,0))+IF(M611="Sí",'Configuración'!$B$8,0)+IF(N611="Sí",'Configuración'!$B$9,0)+IF(O611="Sí",'Configuración'!$B$10,0)+IF(P611="Sí",'Configuración'!$B$11,0)+IF(Q611="Sí",'Configuración'!$B$12,0)+S611+T611+U611)</f>
        <v>20</v>
      </c>
      <c r="W611" s="39" t="str">
        <f>IF(B611="","",IF(V611&gt;='Configuración'!$B$19,"A",IF(V611&gt;='Configuración'!$B$20,"B",IF(V611&gt;='Configuración'!$B$21,"C","Descarte"))))</f>
        <v>Descarte</v>
      </c>
    </row>
    <row r="612" ht="15.75" customHeight="1">
      <c r="A612" s="34">
        <f t="shared" si="1"/>
        <v>610</v>
      </c>
      <c r="B612" s="29" t="s">
        <v>3492</v>
      </c>
      <c r="C612" s="29" t="s">
        <v>622</v>
      </c>
      <c r="D612" s="29" t="s">
        <v>3697</v>
      </c>
      <c r="E612" s="29" t="s">
        <v>3698</v>
      </c>
      <c r="F612" s="30" t="s">
        <v>3699</v>
      </c>
      <c r="G612" s="30" t="s">
        <v>3700</v>
      </c>
      <c r="H612" s="30" t="s">
        <v>3701</v>
      </c>
      <c r="I612" s="29" t="s">
        <v>137</v>
      </c>
      <c r="J612" s="31">
        <v>1.0</v>
      </c>
      <c r="K612" s="35"/>
      <c r="L612" s="35"/>
      <c r="M612" s="35"/>
      <c r="N612" s="35"/>
      <c r="O612" s="35"/>
      <c r="P612" s="35"/>
      <c r="Q612" s="35"/>
      <c r="R612" s="35"/>
      <c r="S612" s="37">
        <f>IF(B612="","",IF(ISNUMBER(J612),IF(J612&lt;=10,'Configuración'!$B$23,IF(J612&lt;=50,'Configuración'!$B$24,IF(J612&lt;=200,'Configuración'!$B$25,0))),0))</f>
        <v>12</v>
      </c>
      <c r="T612" s="37">
        <f>IF(B612="","",IF(ISNUMBER(SEARCH("information technology",I612))+ISNUMBER(SEARCH("software",I612))+ISNUMBER(SEARCH("internet",I612))+ISNUMBER(SEARCH("computer",I612))+ISNUMBER(SEARCH("saas",I612))+ISNUMBER(SEARCH("fintech",I612))+ISNUMBER(SEARCH("information services",I612))+ISNUMBER(SEARCH("telecommunications",I612))&gt;0,'Configuración'!$B$27,'Configuración'!$B$28))</f>
        <v>4</v>
      </c>
      <c r="U612" s="25">
        <f>IF(B612="","",IF(ISNUMBER(SEARCH("CEO",C612))+ISNUMBER(SEARCH("Founder",C612))+ISNUMBER(SEARCH("Owner",C612))+ISNUMBER(SEARCH("Dueño",C612))+ISNUMBER(SEARCH("Director General",C612))+ISNUMBER(SEARCH("Presidente",C612))+ISNUMBER(SEARCH("President",C612))&gt;0,'Configuración'!$B$31,IF(ISNUMBER(SEARCH("CMO",C612))+ISNUMBER(SEARCH("Chief Marketing",C612))+ISNUMBER(SEARCH("VP Marketing",C612))+ISNUMBER(SEARCH("Director de Marketing",C612))+ISNUMBER(SEARCH("Director Marketing",C612))+ISNUMBER(SEARCH("Head of Marketing",C612))+ISNUMBER(SEARCH("Head Marketing",C612))&gt;0,'Configuración'!$B$32,IF(ISNUMBER(SEARCH("Marketing Manager",C612))+ISNUMBER(SEARCH("Gerente de Marketing",C612))+ISNUMBER(SEARCH("Growth Manager",C612))+ISNUMBER(SEARCH("Demand Gen",C612))+ISNUMBER(SEARCH("Marketing Lead",C612))&gt;0,'Configuración'!$B$33,IF(ISNUMBER(SEARCH("COO",C612))+ISNUMBER(SEARCH("CFO",C612))+ISNUMBER(SEARCH("CTO",C612))+ISNUMBER(SEARCH("Chief Operating",C612))+ISNUMBER(SEARCH("Chief Financial",C612))+ISNUMBER(SEARCH("Gerente General",C612))+ISNUMBER(SEARCH("General Manager",C612))&gt;0,'Configuración'!$B$34,'Configuración'!$B$35)))))</f>
        <v>12</v>
      </c>
      <c r="V612" s="38">
        <f>IF(B612="","",IF(K612="Sí",'Configuración'!$B$5,0)+IF(L612="Semanal",'Configuración'!$B$6,IF(L612="Mensual",'Configuración'!$B$7,0))+IF(M612="Sí",'Configuración'!$B$8,0)+IF(N612="Sí",'Configuración'!$B$9,0)+IF(O612="Sí",'Configuración'!$B$10,0)+IF(P612="Sí",'Configuración'!$B$11,0)+IF(Q612="Sí",'Configuración'!$B$12,0)+S612+T612+U612)</f>
        <v>28</v>
      </c>
      <c r="W612" s="39" t="str">
        <f>IF(B612="","",IF(V612&gt;='Configuración'!$B$19,"A",IF(V612&gt;='Configuración'!$B$20,"B",IF(V612&gt;='Configuración'!$B$21,"C","Descarte"))))</f>
        <v>C</v>
      </c>
    </row>
    <row r="613" ht="15.75" customHeight="1">
      <c r="A613" s="34">
        <f t="shared" si="1"/>
        <v>611</v>
      </c>
      <c r="B613" s="29" t="s">
        <v>3702</v>
      </c>
      <c r="C613" s="29" t="s">
        <v>1465</v>
      </c>
      <c r="D613" s="29" t="s">
        <v>3703</v>
      </c>
      <c r="E613" s="29" t="s">
        <v>3704</v>
      </c>
      <c r="F613" s="30" t="s">
        <v>3705</v>
      </c>
      <c r="G613" s="30" t="s">
        <v>3706</v>
      </c>
      <c r="H613" s="30" t="s">
        <v>3707</v>
      </c>
      <c r="I613" s="29" t="s">
        <v>127</v>
      </c>
      <c r="J613" s="31">
        <v>15.0</v>
      </c>
      <c r="K613" s="35"/>
      <c r="L613" s="35"/>
      <c r="M613" s="35"/>
      <c r="N613" s="35"/>
      <c r="O613" s="35"/>
      <c r="P613" s="35"/>
      <c r="Q613" s="35"/>
      <c r="R613" s="35"/>
      <c r="S613" s="37">
        <f>IF(B613="","",IF(ISNUMBER(J613),IF(J613&lt;=10,'Configuración'!$B$23,IF(J613&lt;=50,'Configuración'!$B$24,IF(J613&lt;=200,'Configuración'!$B$25,0))),0))</f>
        <v>4</v>
      </c>
      <c r="T613" s="37">
        <f>IF(B613="","",IF(ISNUMBER(SEARCH("information technology",I613))+ISNUMBER(SEARCH("software",I613))+ISNUMBER(SEARCH("internet",I613))+ISNUMBER(SEARCH("computer",I613))+ISNUMBER(SEARCH("saas",I613))+ISNUMBER(SEARCH("fintech",I613))+ISNUMBER(SEARCH("information services",I613))+ISNUMBER(SEARCH("telecommunications",I613))&gt;0,'Configuración'!$B$27,'Configuración'!$B$28))</f>
        <v>12</v>
      </c>
      <c r="U613" s="25">
        <f>IF(B613="","",IF(ISNUMBER(SEARCH("CEO",C613))+ISNUMBER(SEARCH("Founder",C613))+ISNUMBER(SEARCH("Owner",C613))+ISNUMBER(SEARCH("Dueño",C613))+ISNUMBER(SEARCH("Director General",C613))+ISNUMBER(SEARCH("Presidente",C613))+ISNUMBER(SEARCH("President",C613))&gt;0,'Configuración'!$B$31,IF(ISNUMBER(SEARCH("CMO",C613))+ISNUMBER(SEARCH("Chief Marketing",C613))+ISNUMBER(SEARCH("VP Marketing",C613))+ISNUMBER(SEARCH("Director de Marketing",C613))+ISNUMBER(SEARCH("Director Marketing",C613))+ISNUMBER(SEARCH("Head of Marketing",C613))+ISNUMBER(SEARCH("Head Marketing",C613))&gt;0,'Configuración'!$B$32,IF(ISNUMBER(SEARCH("Marketing Manager",C613))+ISNUMBER(SEARCH("Gerente de Marketing",C613))+ISNUMBER(SEARCH("Growth Manager",C613))+ISNUMBER(SEARCH("Demand Gen",C613))+ISNUMBER(SEARCH("Marketing Lead",C613))&gt;0,'Configuración'!$B$33,IF(ISNUMBER(SEARCH("COO",C613))+ISNUMBER(SEARCH("CFO",C613))+ISNUMBER(SEARCH("CTO",C613))+ISNUMBER(SEARCH("Chief Operating",C613))+ISNUMBER(SEARCH("Chief Financial",C613))+ISNUMBER(SEARCH("Gerente General",C613))+ISNUMBER(SEARCH("General Manager",C613))&gt;0,'Configuración'!$B$34,'Configuración'!$B$35)))))</f>
        <v>4</v>
      </c>
      <c r="V613" s="38">
        <f>IF(B613="","",IF(K613="Sí",'Configuración'!$B$5,0)+IF(L613="Semanal",'Configuración'!$B$6,IF(L613="Mensual",'Configuración'!$B$7,0))+IF(M613="Sí",'Configuración'!$B$8,0)+IF(N613="Sí",'Configuración'!$B$9,0)+IF(O613="Sí",'Configuración'!$B$10,0)+IF(P613="Sí",'Configuración'!$B$11,0)+IF(Q613="Sí",'Configuración'!$B$12,0)+S613+T613+U613)</f>
        <v>20</v>
      </c>
      <c r="W613" s="39" t="str">
        <f>IF(B613="","",IF(V613&gt;='Configuración'!$B$19,"A",IF(V613&gt;='Configuración'!$B$20,"B",IF(V613&gt;='Configuración'!$B$21,"C","Descarte"))))</f>
        <v>Descarte</v>
      </c>
    </row>
    <row r="614" ht="15.75" customHeight="1">
      <c r="A614" s="34">
        <f t="shared" si="1"/>
        <v>612</v>
      </c>
      <c r="B614" s="29" t="s">
        <v>120</v>
      </c>
      <c r="C614" s="29" t="s">
        <v>318</v>
      </c>
      <c r="D614" s="29" t="s">
        <v>3708</v>
      </c>
      <c r="E614" s="29" t="s">
        <v>3709</v>
      </c>
      <c r="F614" s="30" t="s">
        <v>3710</v>
      </c>
      <c r="G614" s="30" t="s">
        <v>3711</v>
      </c>
      <c r="H614" s="30" t="s">
        <v>3712</v>
      </c>
      <c r="I614" s="29" t="s">
        <v>172</v>
      </c>
      <c r="J614" s="31">
        <v>41.0</v>
      </c>
      <c r="K614" s="35"/>
      <c r="L614" s="35"/>
      <c r="M614" s="35"/>
      <c r="N614" s="35"/>
      <c r="O614" s="35"/>
      <c r="P614" s="35"/>
      <c r="Q614" s="35"/>
      <c r="R614" s="35"/>
      <c r="S614" s="37">
        <f>IF(B614="","",IF(ISNUMBER(J614),IF(J614&lt;=10,'Configuración'!$B$23,IF(J614&lt;=50,'Configuración'!$B$24,IF(J614&lt;=200,'Configuración'!$B$25,0))),0))</f>
        <v>4</v>
      </c>
      <c r="T614" s="37">
        <f>IF(B614="","",IF(ISNUMBER(SEARCH("information technology",I614))+ISNUMBER(SEARCH("software",I614))+ISNUMBER(SEARCH("internet",I614))+ISNUMBER(SEARCH("computer",I614))+ISNUMBER(SEARCH("saas",I614))+ISNUMBER(SEARCH("fintech",I614))+ISNUMBER(SEARCH("information services",I614))+ISNUMBER(SEARCH("telecommunications",I614))&gt;0,'Configuración'!$B$27,'Configuración'!$B$28))</f>
        <v>4</v>
      </c>
      <c r="U614" s="25">
        <f>IF(B614="","",IF(ISNUMBER(SEARCH("CEO",C614))+ISNUMBER(SEARCH("Founder",C614))+ISNUMBER(SEARCH("Owner",C614))+ISNUMBER(SEARCH("Dueño",C614))+ISNUMBER(SEARCH("Director General",C614))+ISNUMBER(SEARCH("Presidente",C614))+ISNUMBER(SEARCH("President",C614))&gt;0,'Configuración'!$B$31,IF(ISNUMBER(SEARCH("CMO",C614))+ISNUMBER(SEARCH("Chief Marketing",C614))+ISNUMBER(SEARCH("VP Marketing",C614))+ISNUMBER(SEARCH("Director de Marketing",C614))+ISNUMBER(SEARCH("Director Marketing",C614))+ISNUMBER(SEARCH("Head of Marketing",C614))+ISNUMBER(SEARCH("Head Marketing",C614))&gt;0,'Configuración'!$B$32,IF(ISNUMBER(SEARCH("Marketing Manager",C614))+ISNUMBER(SEARCH("Gerente de Marketing",C614))+ISNUMBER(SEARCH("Growth Manager",C614))+ISNUMBER(SEARCH("Demand Gen",C614))+ISNUMBER(SEARCH("Marketing Lead",C614))&gt;0,'Configuración'!$B$33,IF(ISNUMBER(SEARCH("COO",C614))+ISNUMBER(SEARCH("CFO",C614))+ISNUMBER(SEARCH("CTO",C614))+ISNUMBER(SEARCH("Chief Operating",C614))+ISNUMBER(SEARCH("Chief Financial",C614))+ISNUMBER(SEARCH("Gerente General",C614))+ISNUMBER(SEARCH("General Manager",C614))&gt;0,'Configuración'!$B$34,'Configuración'!$B$35)))))</f>
        <v>4</v>
      </c>
      <c r="V614" s="38">
        <f>IF(B614="","",IF(K614="Sí",'Configuración'!$B$5,0)+IF(L614="Semanal",'Configuración'!$B$6,IF(L614="Mensual",'Configuración'!$B$7,0))+IF(M614="Sí",'Configuración'!$B$8,0)+IF(N614="Sí",'Configuración'!$B$9,0)+IF(O614="Sí",'Configuración'!$B$10,0)+IF(P614="Sí",'Configuración'!$B$11,0)+IF(Q614="Sí",'Configuración'!$B$12,0)+S614+T614+U614)</f>
        <v>12</v>
      </c>
      <c r="W614" s="39" t="str">
        <f>IF(B614="","",IF(V614&gt;='Configuración'!$B$19,"A",IF(V614&gt;='Configuración'!$B$20,"B",IF(V614&gt;='Configuración'!$B$21,"C","Descarte"))))</f>
        <v>Descarte</v>
      </c>
    </row>
    <row r="615" ht="15.75" customHeight="1">
      <c r="A615" s="34">
        <f t="shared" si="1"/>
        <v>613</v>
      </c>
      <c r="B615" s="29" t="s">
        <v>501</v>
      </c>
      <c r="C615" s="29" t="s">
        <v>175</v>
      </c>
      <c r="D615" s="29" t="s">
        <v>3713</v>
      </c>
      <c r="E615" s="29" t="s">
        <v>3714</v>
      </c>
      <c r="F615" s="30" t="s">
        <v>3715</v>
      </c>
      <c r="G615" s="30" t="s">
        <v>3716</v>
      </c>
      <c r="H615" s="30" t="s">
        <v>3717</v>
      </c>
      <c r="I615" s="29" t="s">
        <v>769</v>
      </c>
      <c r="J615" s="31">
        <v>15.0</v>
      </c>
      <c r="K615" s="35"/>
      <c r="L615" s="35"/>
      <c r="M615" s="35"/>
      <c r="N615" s="35"/>
      <c r="O615" s="35"/>
      <c r="P615" s="35"/>
      <c r="Q615" s="35"/>
      <c r="R615" s="35"/>
      <c r="S615" s="37">
        <f>IF(B615="","",IF(ISNUMBER(J615),IF(J615&lt;=10,'Configuración'!$B$23,IF(J615&lt;=50,'Configuración'!$B$24,IF(J615&lt;=200,'Configuración'!$B$25,0))),0))</f>
        <v>4</v>
      </c>
      <c r="T615" s="37">
        <f>IF(B615="","",IF(ISNUMBER(SEARCH("information technology",I615))+ISNUMBER(SEARCH("software",I615))+ISNUMBER(SEARCH("internet",I615))+ISNUMBER(SEARCH("computer",I615))+ISNUMBER(SEARCH("saas",I615))+ISNUMBER(SEARCH("fintech",I615))+ISNUMBER(SEARCH("information services",I615))+ISNUMBER(SEARCH("telecommunications",I615))&gt;0,'Configuración'!$B$27,'Configuración'!$B$28))</f>
        <v>4</v>
      </c>
      <c r="U615" s="25">
        <f>IF(B615="","",IF(ISNUMBER(SEARCH("CEO",C615))+ISNUMBER(SEARCH("Founder",C615))+ISNUMBER(SEARCH("Owner",C615))+ISNUMBER(SEARCH("Dueño",C615))+ISNUMBER(SEARCH("Director General",C615))+ISNUMBER(SEARCH("Presidente",C615))+ISNUMBER(SEARCH("President",C615))&gt;0,'Configuración'!$B$31,IF(ISNUMBER(SEARCH("CMO",C615))+ISNUMBER(SEARCH("Chief Marketing",C615))+ISNUMBER(SEARCH("VP Marketing",C615))+ISNUMBER(SEARCH("Director de Marketing",C615))+ISNUMBER(SEARCH("Director Marketing",C615))+ISNUMBER(SEARCH("Head of Marketing",C615))+ISNUMBER(SEARCH("Head Marketing",C615))&gt;0,'Configuración'!$B$32,IF(ISNUMBER(SEARCH("Marketing Manager",C615))+ISNUMBER(SEARCH("Gerente de Marketing",C615))+ISNUMBER(SEARCH("Growth Manager",C615))+ISNUMBER(SEARCH("Demand Gen",C615))+ISNUMBER(SEARCH("Marketing Lead",C615))&gt;0,'Configuración'!$B$33,IF(ISNUMBER(SEARCH("COO",C615))+ISNUMBER(SEARCH("CFO",C615))+ISNUMBER(SEARCH("CTO",C615))+ISNUMBER(SEARCH("Chief Operating",C615))+ISNUMBER(SEARCH("Chief Financial",C615))+ISNUMBER(SEARCH("Gerente General",C615))+ISNUMBER(SEARCH("General Manager",C615))&gt;0,'Configuración'!$B$34,'Configuración'!$B$35)))))</f>
        <v>12</v>
      </c>
      <c r="V615" s="38">
        <f>IF(B615="","",IF(K615="Sí",'Configuración'!$B$5,0)+IF(L615="Semanal",'Configuración'!$B$6,IF(L615="Mensual",'Configuración'!$B$7,0))+IF(M615="Sí",'Configuración'!$B$8,0)+IF(N615="Sí",'Configuración'!$B$9,0)+IF(O615="Sí",'Configuración'!$B$10,0)+IF(P615="Sí",'Configuración'!$B$11,0)+IF(Q615="Sí",'Configuración'!$B$12,0)+S615+T615+U615)</f>
        <v>20</v>
      </c>
      <c r="W615" s="39" t="str">
        <f>IF(B615="","",IF(V615&gt;='Configuración'!$B$19,"A",IF(V615&gt;='Configuración'!$B$20,"B",IF(V615&gt;='Configuración'!$B$21,"C","Descarte"))))</f>
        <v>Descarte</v>
      </c>
    </row>
    <row r="616" ht="15.75" customHeight="1">
      <c r="A616" s="34">
        <f t="shared" si="1"/>
        <v>614</v>
      </c>
      <c r="B616" s="29" t="s">
        <v>1137</v>
      </c>
      <c r="C616" s="29" t="s">
        <v>622</v>
      </c>
      <c r="D616" s="29" t="s">
        <v>3718</v>
      </c>
      <c r="E616" s="29" t="s">
        <v>3719</v>
      </c>
      <c r="F616" s="30" t="s">
        <v>3720</v>
      </c>
      <c r="G616" s="30" t="s">
        <v>3721</v>
      </c>
      <c r="H616" s="30" t="s">
        <v>3722</v>
      </c>
      <c r="I616" s="29" t="s">
        <v>127</v>
      </c>
      <c r="J616" s="31">
        <v>3.0</v>
      </c>
      <c r="K616" s="35"/>
      <c r="L616" s="35"/>
      <c r="M616" s="35"/>
      <c r="N616" s="35"/>
      <c r="O616" s="35"/>
      <c r="P616" s="35"/>
      <c r="Q616" s="35"/>
      <c r="R616" s="35"/>
      <c r="S616" s="37">
        <f>IF(B616="","",IF(ISNUMBER(J616),IF(J616&lt;=10,'Configuración'!$B$23,IF(J616&lt;=50,'Configuración'!$B$24,IF(J616&lt;=200,'Configuración'!$B$25,0))),0))</f>
        <v>12</v>
      </c>
      <c r="T616" s="37">
        <f>IF(B616="","",IF(ISNUMBER(SEARCH("information technology",I616))+ISNUMBER(SEARCH("software",I616))+ISNUMBER(SEARCH("internet",I616))+ISNUMBER(SEARCH("computer",I616))+ISNUMBER(SEARCH("saas",I616))+ISNUMBER(SEARCH("fintech",I616))+ISNUMBER(SEARCH("information services",I616))+ISNUMBER(SEARCH("telecommunications",I616))&gt;0,'Configuración'!$B$27,'Configuración'!$B$28))</f>
        <v>12</v>
      </c>
      <c r="U616" s="25">
        <f>IF(B616="","",IF(ISNUMBER(SEARCH("CEO",C616))+ISNUMBER(SEARCH("Founder",C616))+ISNUMBER(SEARCH("Owner",C616))+ISNUMBER(SEARCH("Dueño",C616))+ISNUMBER(SEARCH("Director General",C616))+ISNUMBER(SEARCH("Presidente",C616))+ISNUMBER(SEARCH("President",C616))&gt;0,'Configuración'!$B$31,IF(ISNUMBER(SEARCH("CMO",C616))+ISNUMBER(SEARCH("Chief Marketing",C616))+ISNUMBER(SEARCH("VP Marketing",C616))+ISNUMBER(SEARCH("Director de Marketing",C616))+ISNUMBER(SEARCH("Director Marketing",C616))+ISNUMBER(SEARCH("Head of Marketing",C616))+ISNUMBER(SEARCH("Head Marketing",C616))&gt;0,'Configuración'!$B$32,IF(ISNUMBER(SEARCH("Marketing Manager",C616))+ISNUMBER(SEARCH("Gerente de Marketing",C616))+ISNUMBER(SEARCH("Growth Manager",C616))+ISNUMBER(SEARCH("Demand Gen",C616))+ISNUMBER(SEARCH("Marketing Lead",C616))&gt;0,'Configuración'!$B$33,IF(ISNUMBER(SEARCH("COO",C616))+ISNUMBER(SEARCH("CFO",C616))+ISNUMBER(SEARCH("CTO",C616))+ISNUMBER(SEARCH("Chief Operating",C616))+ISNUMBER(SEARCH("Chief Financial",C616))+ISNUMBER(SEARCH("Gerente General",C616))+ISNUMBER(SEARCH("General Manager",C616))&gt;0,'Configuración'!$B$34,'Configuración'!$B$35)))))</f>
        <v>12</v>
      </c>
      <c r="V616" s="38">
        <f>IF(B616="","",IF(K616="Sí",'Configuración'!$B$5,0)+IF(L616="Semanal",'Configuración'!$B$6,IF(L616="Mensual",'Configuración'!$B$7,0))+IF(M616="Sí",'Configuración'!$B$8,0)+IF(N616="Sí",'Configuración'!$B$9,0)+IF(O616="Sí",'Configuración'!$B$10,0)+IF(P616="Sí",'Configuración'!$B$11,0)+IF(Q616="Sí",'Configuración'!$B$12,0)+S616+T616+U616)</f>
        <v>36</v>
      </c>
      <c r="W616" s="39" t="str">
        <f>IF(B616="","",IF(V616&gt;='Configuración'!$B$19,"A",IF(V616&gt;='Configuración'!$B$20,"B",IF(V616&gt;='Configuración'!$B$21,"C","Descarte"))))</f>
        <v>C</v>
      </c>
    </row>
    <row r="617" ht="15.75" customHeight="1">
      <c r="A617" s="34">
        <f t="shared" si="1"/>
        <v>615</v>
      </c>
      <c r="B617" s="29" t="s">
        <v>281</v>
      </c>
      <c r="C617" s="29" t="s">
        <v>131</v>
      </c>
      <c r="D617" s="29" t="s">
        <v>3723</v>
      </c>
      <c r="E617" s="29" t="s">
        <v>3724</v>
      </c>
      <c r="F617" s="30" t="s">
        <v>3725</v>
      </c>
      <c r="G617" s="30" t="s">
        <v>3726</v>
      </c>
      <c r="H617" s="30" t="s">
        <v>3727</v>
      </c>
      <c r="I617" s="29" t="s">
        <v>288</v>
      </c>
      <c r="J617" s="31">
        <v>3.0</v>
      </c>
      <c r="K617" s="35"/>
      <c r="L617" s="35"/>
      <c r="M617" s="35"/>
      <c r="N617" s="35"/>
      <c r="O617" s="35"/>
      <c r="P617" s="35"/>
      <c r="Q617" s="35"/>
      <c r="R617" s="35"/>
      <c r="S617" s="37">
        <f>IF(B617="","",IF(ISNUMBER(J617),IF(J617&lt;=10,'Configuración'!$B$23,IF(J617&lt;=50,'Configuración'!$B$24,IF(J617&lt;=200,'Configuración'!$B$25,0))),0))</f>
        <v>12</v>
      </c>
      <c r="T617" s="37">
        <f>IF(B617="","",IF(ISNUMBER(SEARCH("information technology",I617))+ISNUMBER(SEARCH("software",I617))+ISNUMBER(SEARCH("internet",I617))+ISNUMBER(SEARCH("computer",I617))+ISNUMBER(SEARCH("saas",I617))+ISNUMBER(SEARCH("fintech",I617))+ISNUMBER(SEARCH("information services",I617))+ISNUMBER(SEARCH("telecommunications",I617))&gt;0,'Configuración'!$B$27,'Configuración'!$B$28))</f>
        <v>4</v>
      </c>
      <c r="U617" s="25">
        <f>IF(B617="","",IF(ISNUMBER(SEARCH("CEO",C617))+ISNUMBER(SEARCH("Founder",C617))+ISNUMBER(SEARCH("Owner",C617))+ISNUMBER(SEARCH("Dueño",C617))+ISNUMBER(SEARCH("Director General",C617))+ISNUMBER(SEARCH("Presidente",C617))+ISNUMBER(SEARCH("President",C617))&gt;0,'Configuración'!$B$31,IF(ISNUMBER(SEARCH("CMO",C617))+ISNUMBER(SEARCH("Chief Marketing",C617))+ISNUMBER(SEARCH("VP Marketing",C617))+ISNUMBER(SEARCH("Director de Marketing",C617))+ISNUMBER(SEARCH("Director Marketing",C617))+ISNUMBER(SEARCH("Head of Marketing",C617))+ISNUMBER(SEARCH("Head Marketing",C617))&gt;0,'Configuración'!$B$32,IF(ISNUMBER(SEARCH("Marketing Manager",C617))+ISNUMBER(SEARCH("Gerente de Marketing",C617))+ISNUMBER(SEARCH("Growth Manager",C617))+ISNUMBER(SEARCH("Demand Gen",C617))+ISNUMBER(SEARCH("Marketing Lead",C617))&gt;0,'Configuración'!$B$33,IF(ISNUMBER(SEARCH("COO",C617))+ISNUMBER(SEARCH("CFO",C617))+ISNUMBER(SEARCH("CTO",C617))+ISNUMBER(SEARCH("Chief Operating",C617))+ISNUMBER(SEARCH("Chief Financial",C617))+ISNUMBER(SEARCH("Gerente General",C617))+ISNUMBER(SEARCH("General Manager",C617))&gt;0,'Configuración'!$B$34,'Configuración'!$B$35)))))</f>
        <v>12</v>
      </c>
      <c r="V617" s="38">
        <f>IF(B617="","",IF(K617="Sí",'Configuración'!$B$5,0)+IF(L617="Semanal",'Configuración'!$B$6,IF(L617="Mensual",'Configuración'!$B$7,0))+IF(M617="Sí",'Configuración'!$B$8,0)+IF(N617="Sí",'Configuración'!$B$9,0)+IF(O617="Sí",'Configuración'!$B$10,0)+IF(P617="Sí",'Configuración'!$B$11,0)+IF(Q617="Sí",'Configuración'!$B$12,0)+S617+T617+U617)</f>
        <v>28</v>
      </c>
      <c r="W617" s="39" t="str">
        <f>IF(B617="","",IF(V617&gt;='Configuración'!$B$19,"A",IF(V617&gt;='Configuración'!$B$20,"B",IF(V617&gt;='Configuración'!$B$21,"C","Descarte"))))</f>
        <v>C</v>
      </c>
    </row>
    <row r="618" ht="15.75" customHeight="1">
      <c r="A618" s="34">
        <f t="shared" si="1"/>
        <v>616</v>
      </c>
      <c r="B618" s="29" t="s">
        <v>501</v>
      </c>
      <c r="C618" s="29" t="s">
        <v>311</v>
      </c>
      <c r="D618" s="29" t="s">
        <v>3728</v>
      </c>
      <c r="E618" s="29" t="s">
        <v>3729</v>
      </c>
      <c r="F618" s="30" t="s">
        <v>3730</v>
      </c>
      <c r="G618" s="30" t="s">
        <v>3731</v>
      </c>
      <c r="H618" s="30" t="s">
        <v>3732</v>
      </c>
      <c r="I618" s="29" t="s">
        <v>2904</v>
      </c>
      <c r="J618" s="31">
        <v>5.0</v>
      </c>
      <c r="K618" s="35"/>
      <c r="L618" s="35"/>
      <c r="M618" s="35"/>
      <c r="N618" s="35"/>
      <c r="O618" s="35"/>
      <c r="P618" s="35"/>
      <c r="Q618" s="35"/>
      <c r="R618" s="35"/>
      <c r="S618" s="37">
        <f>IF(B618="","",IF(ISNUMBER(J618),IF(J618&lt;=10,'Configuración'!$B$23,IF(J618&lt;=50,'Configuración'!$B$24,IF(J618&lt;=200,'Configuración'!$B$25,0))),0))</f>
        <v>12</v>
      </c>
      <c r="T618" s="37">
        <f>IF(B618="","",IF(ISNUMBER(SEARCH("information technology",I618))+ISNUMBER(SEARCH("software",I618))+ISNUMBER(SEARCH("internet",I618))+ISNUMBER(SEARCH("computer",I618))+ISNUMBER(SEARCH("saas",I618))+ISNUMBER(SEARCH("fintech",I618))+ISNUMBER(SEARCH("information services",I618))+ISNUMBER(SEARCH("telecommunications",I618))&gt;0,'Configuración'!$B$27,'Configuración'!$B$28))</f>
        <v>4</v>
      </c>
      <c r="U618" s="25">
        <f>IF(B618="","",IF(ISNUMBER(SEARCH("CEO",C618))+ISNUMBER(SEARCH("Founder",C618))+ISNUMBER(SEARCH("Owner",C618))+ISNUMBER(SEARCH("Dueño",C618))+ISNUMBER(SEARCH("Director General",C618))+ISNUMBER(SEARCH("Presidente",C618))+ISNUMBER(SEARCH("President",C618))&gt;0,'Configuración'!$B$31,IF(ISNUMBER(SEARCH("CMO",C618))+ISNUMBER(SEARCH("Chief Marketing",C618))+ISNUMBER(SEARCH("VP Marketing",C618))+ISNUMBER(SEARCH("Director de Marketing",C618))+ISNUMBER(SEARCH("Director Marketing",C618))+ISNUMBER(SEARCH("Head of Marketing",C618))+ISNUMBER(SEARCH("Head Marketing",C618))&gt;0,'Configuración'!$B$32,IF(ISNUMBER(SEARCH("Marketing Manager",C618))+ISNUMBER(SEARCH("Gerente de Marketing",C618))+ISNUMBER(SEARCH("Growth Manager",C618))+ISNUMBER(SEARCH("Demand Gen",C618))+ISNUMBER(SEARCH("Marketing Lead",C618))&gt;0,'Configuración'!$B$33,IF(ISNUMBER(SEARCH("COO",C618))+ISNUMBER(SEARCH("CFO",C618))+ISNUMBER(SEARCH("CTO",C618))+ISNUMBER(SEARCH("Chief Operating",C618))+ISNUMBER(SEARCH("Chief Financial",C618))+ISNUMBER(SEARCH("Gerente General",C618))+ISNUMBER(SEARCH("General Manager",C618))&gt;0,'Configuración'!$B$34,'Configuración'!$B$35)))))</f>
        <v>12</v>
      </c>
      <c r="V618" s="38">
        <f>IF(B618="","",IF(K618="Sí",'Configuración'!$B$5,0)+IF(L618="Semanal",'Configuración'!$B$6,IF(L618="Mensual",'Configuración'!$B$7,0))+IF(M618="Sí",'Configuración'!$B$8,0)+IF(N618="Sí",'Configuración'!$B$9,0)+IF(O618="Sí",'Configuración'!$B$10,0)+IF(P618="Sí",'Configuración'!$B$11,0)+IF(Q618="Sí",'Configuración'!$B$12,0)+S618+T618+U618)</f>
        <v>28</v>
      </c>
      <c r="W618" s="39" t="str">
        <f>IF(B618="","",IF(V618&gt;='Configuración'!$B$19,"A",IF(V618&gt;='Configuración'!$B$20,"B",IF(V618&gt;='Configuración'!$B$21,"C","Descarte"))))</f>
        <v>C</v>
      </c>
    </row>
    <row r="619" ht="15.75" customHeight="1">
      <c r="A619" s="34">
        <f t="shared" si="1"/>
        <v>617</v>
      </c>
      <c r="B619" s="29" t="s">
        <v>556</v>
      </c>
      <c r="C619" s="29" t="s">
        <v>3733</v>
      </c>
      <c r="D619" s="29" t="s">
        <v>3734</v>
      </c>
      <c r="E619" s="29" t="s">
        <v>3735</v>
      </c>
      <c r="F619" s="30" t="s">
        <v>3736</v>
      </c>
      <c r="G619" s="30" t="s">
        <v>3737</v>
      </c>
      <c r="H619" s="30" t="s">
        <v>3738</v>
      </c>
      <c r="I619" s="29" t="s">
        <v>127</v>
      </c>
      <c r="J619" s="31">
        <v>37.0</v>
      </c>
      <c r="K619" s="35"/>
      <c r="L619" s="35"/>
      <c r="M619" s="35"/>
      <c r="N619" s="35"/>
      <c r="O619" s="35"/>
      <c r="P619" s="35"/>
      <c r="Q619" s="35"/>
      <c r="R619" s="35"/>
      <c r="S619" s="37">
        <f>IF(B619="","",IF(ISNUMBER(J619),IF(J619&lt;=10,'Configuración'!$B$23,IF(J619&lt;=50,'Configuración'!$B$24,IF(J619&lt;=200,'Configuración'!$B$25,0))),0))</f>
        <v>4</v>
      </c>
      <c r="T619" s="37">
        <f>IF(B619="","",IF(ISNUMBER(SEARCH("information technology",I619))+ISNUMBER(SEARCH("software",I619))+ISNUMBER(SEARCH("internet",I619))+ISNUMBER(SEARCH("computer",I619))+ISNUMBER(SEARCH("saas",I619))+ISNUMBER(SEARCH("fintech",I619))+ISNUMBER(SEARCH("information services",I619))+ISNUMBER(SEARCH("telecommunications",I619))&gt;0,'Configuración'!$B$27,'Configuración'!$B$28))</f>
        <v>12</v>
      </c>
      <c r="U619" s="25">
        <f>IF(B619="","",IF(ISNUMBER(SEARCH("CEO",C619))+ISNUMBER(SEARCH("Founder",C619))+ISNUMBER(SEARCH("Owner",C619))+ISNUMBER(SEARCH("Dueño",C619))+ISNUMBER(SEARCH("Director General",C619))+ISNUMBER(SEARCH("Presidente",C619))+ISNUMBER(SEARCH("President",C619))&gt;0,'Configuración'!$B$31,IF(ISNUMBER(SEARCH("CMO",C619))+ISNUMBER(SEARCH("Chief Marketing",C619))+ISNUMBER(SEARCH("VP Marketing",C619))+ISNUMBER(SEARCH("Director de Marketing",C619))+ISNUMBER(SEARCH("Director Marketing",C619))+ISNUMBER(SEARCH("Head of Marketing",C619))+ISNUMBER(SEARCH("Head Marketing",C619))&gt;0,'Configuración'!$B$32,IF(ISNUMBER(SEARCH("Marketing Manager",C619))+ISNUMBER(SEARCH("Gerente de Marketing",C619))+ISNUMBER(SEARCH("Growth Manager",C619))+ISNUMBER(SEARCH("Demand Gen",C619))+ISNUMBER(SEARCH("Marketing Lead",C619))&gt;0,'Configuración'!$B$33,IF(ISNUMBER(SEARCH("COO",C619))+ISNUMBER(SEARCH("CFO",C619))+ISNUMBER(SEARCH("CTO",C619))+ISNUMBER(SEARCH("Chief Operating",C619))+ISNUMBER(SEARCH("Chief Financial",C619))+ISNUMBER(SEARCH("Gerente General",C619))+ISNUMBER(SEARCH("General Manager",C619))&gt;0,'Configuración'!$B$34,'Configuración'!$B$35)))))</f>
        <v>4</v>
      </c>
      <c r="V619" s="38">
        <f>IF(B619="","",IF(K619="Sí",'Configuración'!$B$5,0)+IF(L619="Semanal",'Configuración'!$B$6,IF(L619="Mensual",'Configuración'!$B$7,0))+IF(M619="Sí",'Configuración'!$B$8,0)+IF(N619="Sí",'Configuración'!$B$9,0)+IF(O619="Sí",'Configuración'!$B$10,0)+IF(P619="Sí",'Configuración'!$B$11,0)+IF(Q619="Sí",'Configuración'!$B$12,0)+S619+T619+U619)</f>
        <v>20</v>
      </c>
      <c r="W619" s="39" t="str">
        <f>IF(B619="","",IF(V619&gt;='Configuración'!$B$19,"A",IF(V619&gt;='Configuración'!$B$20,"B",IF(V619&gt;='Configuración'!$B$21,"C","Descarte"))))</f>
        <v>Descarte</v>
      </c>
    </row>
    <row r="620" ht="15.75" customHeight="1">
      <c r="A620" s="34">
        <f t="shared" si="1"/>
        <v>618</v>
      </c>
      <c r="B620" s="29" t="s">
        <v>138</v>
      </c>
      <c r="C620" s="29" t="s">
        <v>297</v>
      </c>
      <c r="D620" s="29" t="s">
        <v>3739</v>
      </c>
      <c r="E620" s="29" t="s">
        <v>3740</v>
      </c>
      <c r="F620" s="30" t="s">
        <v>3741</v>
      </c>
      <c r="G620" s="30" t="s">
        <v>3742</v>
      </c>
      <c r="H620" s="30" t="s">
        <v>3743</v>
      </c>
      <c r="I620" s="29" t="s">
        <v>127</v>
      </c>
      <c r="J620" s="31">
        <v>2.0</v>
      </c>
      <c r="K620" s="35"/>
      <c r="L620" s="35"/>
      <c r="M620" s="35"/>
      <c r="N620" s="35"/>
      <c r="O620" s="35"/>
      <c r="P620" s="35"/>
      <c r="Q620" s="35"/>
      <c r="R620" s="35"/>
      <c r="S620" s="37">
        <f>IF(B620="","",IF(ISNUMBER(J620),IF(J620&lt;=10,'Configuración'!$B$23,IF(J620&lt;=50,'Configuración'!$B$24,IF(J620&lt;=200,'Configuración'!$B$25,0))),0))</f>
        <v>12</v>
      </c>
      <c r="T620" s="37">
        <f>IF(B620="","",IF(ISNUMBER(SEARCH("information technology",I620))+ISNUMBER(SEARCH("software",I620))+ISNUMBER(SEARCH("internet",I620))+ISNUMBER(SEARCH("computer",I620))+ISNUMBER(SEARCH("saas",I620))+ISNUMBER(SEARCH("fintech",I620))+ISNUMBER(SEARCH("information services",I620))+ISNUMBER(SEARCH("telecommunications",I620))&gt;0,'Configuración'!$B$27,'Configuración'!$B$28))</f>
        <v>12</v>
      </c>
      <c r="U620" s="25">
        <f>IF(B620="","",IF(ISNUMBER(SEARCH("CEO",C620))+ISNUMBER(SEARCH("Founder",C620))+ISNUMBER(SEARCH("Owner",C620))+ISNUMBER(SEARCH("Dueño",C620))+ISNUMBER(SEARCH("Director General",C620))+ISNUMBER(SEARCH("Presidente",C620))+ISNUMBER(SEARCH("President",C620))&gt;0,'Configuración'!$B$31,IF(ISNUMBER(SEARCH("CMO",C620))+ISNUMBER(SEARCH("Chief Marketing",C620))+ISNUMBER(SEARCH("VP Marketing",C620))+ISNUMBER(SEARCH("Director de Marketing",C620))+ISNUMBER(SEARCH("Director Marketing",C620))+ISNUMBER(SEARCH("Head of Marketing",C620))+ISNUMBER(SEARCH("Head Marketing",C620))&gt;0,'Configuración'!$B$32,IF(ISNUMBER(SEARCH("Marketing Manager",C620))+ISNUMBER(SEARCH("Gerente de Marketing",C620))+ISNUMBER(SEARCH("Growth Manager",C620))+ISNUMBER(SEARCH("Demand Gen",C620))+ISNUMBER(SEARCH("Marketing Lead",C620))&gt;0,'Configuración'!$B$33,IF(ISNUMBER(SEARCH("COO",C620))+ISNUMBER(SEARCH("CFO",C620))+ISNUMBER(SEARCH("CTO",C620))+ISNUMBER(SEARCH("Chief Operating",C620))+ISNUMBER(SEARCH("Chief Financial",C620))+ISNUMBER(SEARCH("Gerente General",C620))+ISNUMBER(SEARCH("General Manager",C620))&gt;0,'Configuración'!$B$34,'Configuración'!$B$35)))))</f>
        <v>0</v>
      </c>
      <c r="V620" s="38">
        <f>IF(B620="","",IF(K620="Sí",'Configuración'!$B$5,0)+IF(L620="Semanal",'Configuración'!$B$6,IF(L620="Mensual",'Configuración'!$B$7,0))+IF(M620="Sí",'Configuración'!$B$8,0)+IF(N620="Sí",'Configuración'!$B$9,0)+IF(O620="Sí",'Configuración'!$B$10,0)+IF(P620="Sí",'Configuración'!$B$11,0)+IF(Q620="Sí",'Configuración'!$B$12,0)+S620+T620+U620)</f>
        <v>24</v>
      </c>
      <c r="W620" s="39" t="str">
        <f>IF(B620="","",IF(V620&gt;='Configuración'!$B$19,"A",IF(V620&gt;='Configuración'!$B$20,"B",IF(V620&gt;='Configuración'!$B$21,"C","Descarte"))))</f>
        <v>C</v>
      </c>
    </row>
    <row r="621" ht="15.75" customHeight="1">
      <c r="A621" s="34">
        <f t="shared" si="1"/>
        <v>619</v>
      </c>
      <c r="B621" s="29" t="s">
        <v>1220</v>
      </c>
      <c r="C621" s="29" t="s">
        <v>494</v>
      </c>
      <c r="D621" s="29" t="s">
        <v>3744</v>
      </c>
      <c r="E621" s="29" t="s">
        <v>3745</v>
      </c>
      <c r="F621" s="30" t="s">
        <v>3746</v>
      </c>
      <c r="G621" s="30" t="s">
        <v>3747</v>
      </c>
      <c r="H621" s="30" t="s">
        <v>3748</v>
      </c>
      <c r="I621" s="29" t="s">
        <v>127</v>
      </c>
      <c r="J621" s="31">
        <v>25.0</v>
      </c>
      <c r="K621" s="35"/>
      <c r="L621" s="35"/>
      <c r="M621" s="35"/>
      <c r="N621" s="35"/>
      <c r="O621" s="35"/>
      <c r="P621" s="35"/>
      <c r="Q621" s="35"/>
      <c r="R621" s="35"/>
      <c r="S621" s="37">
        <f>IF(B621="","",IF(ISNUMBER(J621),IF(J621&lt;=10,'Configuración'!$B$23,IF(J621&lt;=50,'Configuración'!$B$24,IF(J621&lt;=200,'Configuración'!$B$25,0))),0))</f>
        <v>4</v>
      </c>
      <c r="T621" s="37">
        <f>IF(B621="","",IF(ISNUMBER(SEARCH("information technology",I621))+ISNUMBER(SEARCH("software",I621))+ISNUMBER(SEARCH("internet",I621))+ISNUMBER(SEARCH("computer",I621))+ISNUMBER(SEARCH("saas",I621))+ISNUMBER(SEARCH("fintech",I621))+ISNUMBER(SEARCH("information services",I621))+ISNUMBER(SEARCH("telecommunications",I621))&gt;0,'Configuración'!$B$27,'Configuración'!$B$28))</f>
        <v>12</v>
      </c>
      <c r="U621" s="25">
        <f>IF(B621="","",IF(ISNUMBER(SEARCH("CEO",C621))+ISNUMBER(SEARCH("Founder",C621))+ISNUMBER(SEARCH("Owner",C621))+ISNUMBER(SEARCH("Dueño",C621))+ISNUMBER(SEARCH("Director General",C621))+ISNUMBER(SEARCH("Presidente",C621))+ISNUMBER(SEARCH("President",C621))&gt;0,'Configuración'!$B$31,IF(ISNUMBER(SEARCH("CMO",C621))+ISNUMBER(SEARCH("Chief Marketing",C621))+ISNUMBER(SEARCH("VP Marketing",C621))+ISNUMBER(SEARCH("Director de Marketing",C621))+ISNUMBER(SEARCH("Director Marketing",C621))+ISNUMBER(SEARCH("Head of Marketing",C621))+ISNUMBER(SEARCH("Head Marketing",C621))&gt;0,'Configuración'!$B$32,IF(ISNUMBER(SEARCH("Marketing Manager",C621))+ISNUMBER(SEARCH("Gerente de Marketing",C621))+ISNUMBER(SEARCH("Growth Manager",C621))+ISNUMBER(SEARCH("Demand Gen",C621))+ISNUMBER(SEARCH("Marketing Lead",C621))&gt;0,'Configuración'!$B$33,IF(ISNUMBER(SEARCH("COO",C621))+ISNUMBER(SEARCH("CFO",C621))+ISNUMBER(SEARCH("CTO",C621))+ISNUMBER(SEARCH("Chief Operating",C621))+ISNUMBER(SEARCH("Chief Financial",C621))+ISNUMBER(SEARCH("Gerente General",C621))+ISNUMBER(SEARCH("General Manager",C621))&gt;0,'Configuración'!$B$34,'Configuración'!$B$35)))))</f>
        <v>4</v>
      </c>
      <c r="V621" s="38">
        <f>IF(B621="","",IF(K621="Sí",'Configuración'!$B$5,0)+IF(L621="Semanal",'Configuración'!$B$6,IF(L621="Mensual",'Configuración'!$B$7,0))+IF(M621="Sí",'Configuración'!$B$8,0)+IF(N621="Sí",'Configuración'!$B$9,0)+IF(O621="Sí",'Configuración'!$B$10,0)+IF(P621="Sí",'Configuración'!$B$11,0)+IF(Q621="Sí",'Configuración'!$B$12,0)+S621+T621+U621)</f>
        <v>20</v>
      </c>
      <c r="W621" s="39" t="str">
        <f>IF(B621="","",IF(V621&gt;='Configuración'!$B$19,"A",IF(V621&gt;='Configuración'!$B$20,"B",IF(V621&gt;='Configuración'!$B$21,"C","Descarte"))))</f>
        <v>Descarte</v>
      </c>
    </row>
    <row r="622" ht="15.75" customHeight="1">
      <c r="A622" s="34">
        <f t="shared" si="1"/>
        <v>620</v>
      </c>
      <c r="B622" s="29" t="s">
        <v>3749</v>
      </c>
      <c r="C622" s="29" t="s">
        <v>146</v>
      </c>
      <c r="D622" s="29" t="s">
        <v>3750</v>
      </c>
      <c r="E622" s="29" t="s">
        <v>3751</v>
      </c>
      <c r="F622" s="30" t="s">
        <v>3752</v>
      </c>
      <c r="G622" s="30" t="s">
        <v>3753</v>
      </c>
      <c r="H622" s="30" t="s">
        <v>3754</v>
      </c>
      <c r="I622" s="29" t="s">
        <v>659</v>
      </c>
      <c r="J622" s="31">
        <v>1.0</v>
      </c>
      <c r="K622" s="35"/>
      <c r="L622" s="35"/>
      <c r="M622" s="35"/>
      <c r="N622" s="35"/>
      <c r="O622" s="35"/>
      <c r="P622" s="35"/>
      <c r="Q622" s="35"/>
      <c r="R622" s="35"/>
      <c r="S622" s="37">
        <f>IF(B622="","",IF(ISNUMBER(J622),IF(J622&lt;=10,'Configuración'!$B$23,IF(J622&lt;=50,'Configuración'!$B$24,IF(J622&lt;=200,'Configuración'!$B$25,0))),0))</f>
        <v>12</v>
      </c>
      <c r="T622" s="37">
        <f>IF(B622="","",IF(ISNUMBER(SEARCH("information technology",I622))+ISNUMBER(SEARCH("software",I622))+ISNUMBER(SEARCH("internet",I622))+ISNUMBER(SEARCH("computer",I622))+ISNUMBER(SEARCH("saas",I622))+ISNUMBER(SEARCH("fintech",I622))+ISNUMBER(SEARCH("information services",I622))+ISNUMBER(SEARCH("telecommunications",I622))&gt;0,'Configuración'!$B$27,'Configuración'!$B$28))</f>
        <v>4</v>
      </c>
      <c r="U622" s="25">
        <f>IF(B622="","",IF(ISNUMBER(SEARCH("CEO",C622))+ISNUMBER(SEARCH("Founder",C622))+ISNUMBER(SEARCH("Owner",C622))+ISNUMBER(SEARCH("Dueño",C622))+ISNUMBER(SEARCH("Director General",C622))+ISNUMBER(SEARCH("Presidente",C622))+ISNUMBER(SEARCH("President",C622))&gt;0,'Configuración'!$B$31,IF(ISNUMBER(SEARCH("CMO",C622))+ISNUMBER(SEARCH("Chief Marketing",C622))+ISNUMBER(SEARCH("VP Marketing",C622))+ISNUMBER(SEARCH("Director de Marketing",C622))+ISNUMBER(SEARCH("Director Marketing",C622))+ISNUMBER(SEARCH("Head of Marketing",C622))+ISNUMBER(SEARCH("Head Marketing",C622))&gt;0,'Configuración'!$B$32,IF(ISNUMBER(SEARCH("Marketing Manager",C622))+ISNUMBER(SEARCH("Gerente de Marketing",C622))+ISNUMBER(SEARCH("Growth Manager",C622))+ISNUMBER(SEARCH("Demand Gen",C622))+ISNUMBER(SEARCH("Marketing Lead",C622))&gt;0,'Configuración'!$B$33,IF(ISNUMBER(SEARCH("COO",C622))+ISNUMBER(SEARCH("CFO",C622))+ISNUMBER(SEARCH("CTO",C622))+ISNUMBER(SEARCH("Chief Operating",C622))+ISNUMBER(SEARCH("Chief Financial",C622))+ISNUMBER(SEARCH("Gerente General",C622))+ISNUMBER(SEARCH("General Manager",C622))&gt;0,'Configuración'!$B$34,'Configuración'!$B$35)))))</f>
        <v>0</v>
      </c>
      <c r="V622" s="38">
        <f>IF(B622="","",IF(K622="Sí",'Configuración'!$B$5,0)+IF(L622="Semanal",'Configuración'!$B$6,IF(L622="Mensual",'Configuración'!$B$7,0))+IF(M622="Sí",'Configuración'!$B$8,0)+IF(N622="Sí",'Configuración'!$B$9,0)+IF(O622="Sí",'Configuración'!$B$10,0)+IF(P622="Sí",'Configuración'!$B$11,0)+IF(Q622="Sí",'Configuración'!$B$12,0)+S622+T622+U622)</f>
        <v>16</v>
      </c>
      <c r="W622" s="39" t="str">
        <f>IF(B622="","",IF(V622&gt;='Configuración'!$B$19,"A",IF(V622&gt;='Configuración'!$B$20,"B",IF(V622&gt;='Configuración'!$B$21,"C","Descarte"))))</f>
        <v>Descarte</v>
      </c>
    </row>
    <row r="623" ht="15.75" customHeight="1">
      <c r="A623" s="34">
        <f t="shared" si="1"/>
        <v>621</v>
      </c>
      <c r="B623" s="29" t="s">
        <v>209</v>
      </c>
      <c r="C623" s="29" t="s">
        <v>131</v>
      </c>
      <c r="D623" s="29" t="s">
        <v>3755</v>
      </c>
      <c r="E623" s="29" t="s">
        <v>3756</v>
      </c>
      <c r="F623" s="30" t="s">
        <v>3757</v>
      </c>
      <c r="G623" s="30" t="s">
        <v>3758</v>
      </c>
      <c r="H623" s="30" t="s">
        <v>3759</v>
      </c>
      <c r="I623" s="29" t="s">
        <v>1429</v>
      </c>
      <c r="J623" s="31">
        <v>3.0</v>
      </c>
      <c r="K623" s="35"/>
      <c r="L623" s="35"/>
      <c r="M623" s="35"/>
      <c r="N623" s="35"/>
      <c r="O623" s="35"/>
      <c r="P623" s="35"/>
      <c r="Q623" s="35"/>
      <c r="R623" s="35"/>
      <c r="S623" s="37">
        <f>IF(B623="","",IF(ISNUMBER(J623),IF(J623&lt;=10,'Configuración'!$B$23,IF(J623&lt;=50,'Configuración'!$B$24,IF(J623&lt;=200,'Configuración'!$B$25,0))),0))</f>
        <v>12</v>
      </c>
      <c r="T623" s="37">
        <f>IF(B623="","",IF(ISNUMBER(SEARCH("information technology",I623))+ISNUMBER(SEARCH("software",I623))+ISNUMBER(SEARCH("internet",I623))+ISNUMBER(SEARCH("computer",I623))+ISNUMBER(SEARCH("saas",I623))+ISNUMBER(SEARCH("fintech",I623))+ISNUMBER(SEARCH("information services",I623))+ISNUMBER(SEARCH("telecommunications",I623))&gt;0,'Configuración'!$B$27,'Configuración'!$B$28))</f>
        <v>4</v>
      </c>
      <c r="U623" s="25">
        <f>IF(B623="","",IF(ISNUMBER(SEARCH("CEO",C623))+ISNUMBER(SEARCH("Founder",C623))+ISNUMBER(SEARCH("Owner",C623))+ISNUMBER(SEARCH("Dueño",C623))+ISNUMBER(SEARCH("Director General",C623))+ISNUMBER(SEARCH("Presidente",C623))+ISNUMBER(SEARCH("President",C623))&gt;0,'Configuración'!$B$31,IF(ISNUMBER(SEARCH("CMO",C623))+ISNUMBER(SEARCH("Chief Marketing",C623))+ISNUMBER(SEARCH("VP Marketing",C623))+ISNUMBER(SEARCH("Director de Marketing",C623))+ISNUMBER(SEARCH("Director Marketing",C623))+ISNUMBER(SEARCH("Head of Marketing",C623))+ISNUMBER(SEARCH("Head Marketing",C623))&gt;0,'Configuración'!$B$32,IF(ISNUMBER(SEARCH("Marketing Manager",C623))+ISNUMBER(SEARCH("Gerente de Marketing",C623))+ISNUMBER(SEARCH("Growth Manager",C623))+ISNUMBER(SEARCH("Demand Gen",C623))+ISNUMBER(SEARCH("Marketing Lead",C623))&gt;0,'Configuración'!$B$33,IF(ISNUMBER(SEARCH("COO",C623))+ISNUMBER(SEARCH("CFO",C623))+ISNUMBER(SEARCH("CTO",C623))+ISNUMBER(SEARCH("Chief Operating",C623))+ISNUMBER(SEARCH("Chief Financial",C623))+ISNUMBER(SEARCH("Gerente General",C623))+ISNUMBER(SEARCH("General Manager",C623))&gt;0,'Configuración'!$B$34,'Configuración'!$B$35)))))</f>
        <v>12</v>
      </c>
      <c r="V623" s="38">
        <f>IF(B623="","",IF(K623="Sí",'Configuración'!$B$5,0)+IF(L623="Semanal",'Configuración'!$B$6,IF(L623="Mensual",'Configuración'!$B$7,0))+IF(M623="Sí",'Configuración'!$B$8,0)+IF(N623="Sí",'Configuración'!$B$9,0)+IF(O623="Sí",'Configuración'!$B$10,0)+IF(P623="Sí",'Configuración'!$B$11,0)+IF(Q623="Sí",'Configuración'!$B$12,0)+S623+T623+U623)</f>
        <v>28</v>
      </c>
      <c r="W623" s="39" t="str">
        <f>IF(B623="","",IF(V623&gt;='Configuración'!$B$19,"A",IF(V623&gt;='Configuración'!$B$20,"B",IF(V623&gt;='Configuración'!$B$21,"C","Descarte"))))</f>
        <v>C</v>
      </c>
    </row>
    <row r="624" ht="15.75" customHeight="1">
      <c r="A624" s="34">
        <f t="shared" si="1"/>
        <v>622</v>
      </c>
      <c r="B624" s="29" t="s">
        <v>138</v>
      </c>
      <c r="C624" s="29" t="s">
        <v>131</v>
      </c>
      <c r="D624" s="29" t="s">
        <v>3760</v>
      </c>
      <c r="E624" s="29" t="s">
        <v>3761</v>
      </c>
      <c r="F624" s="30" t="s">
        <v>3762</v>
      </c>
      <c r="G624" s="30" t="s">
        <v>3763</v>
      </c>
      <c r="H624" s="30" t="s">
        <v>3764</v>
      </c>
      <c r="I624" s="29" t="s">
        <v>127</v>
      </c>
      <c r="J624" s="31">
        <v>7.0</v>
      </c>
      <c r="K624" s="35"/>
      <c r="L624" s="35"/>
      <c r="M624" s="35"/>
      <c r="N624" s="35"/>
      <c r="O624" s="35"/>
      <c r="P624" s="35"/>
      <c r="Q624" s="35"/>
      <c r="R624" s="35"/>
      <c r="S624" s="37">
        <f>IF(B624="","",IF(ISNUMBER(J624),IF(J624&lt;=10,'Configuración'!$B$23,IF(J624&lt;=50,'Configuración'!$B$24,IF(J624&lt;=200,'Configuración'!$B$25,0))),0))</f>
        <v>12</v>
      </c>
      <c r="T624" s="37">
        <f>IF(B624="","",IF(ISNUMBER(SEARCH("information technology",I624))+ISNUMBER(SEARCH("software",I624))+ISNUMBER(SEARCH("internet",I624))+ISNUMBER(SEARCH("computer",I624))+ISNUMBER(SEARCH("saas",I624))+ISNUMBER(SEARCH("fintech",I624))+ISNUMBER(SEARCH("information services",I624))+ISNUMBER(SEARCH("telecommunications",I624))&gt;0,'Configuración'!$B$27,'Configuración'!$B$28))</f>
        <v>12</v>
      </c>
      <c r="U624" s="25">
        <f>IF(B624="","",IF(ISNUMBER(SEARCH("CEO",C624))+ISNUMBER(SEARCH("Founder",C624))+ISNUMBER(SEARCH("Owner",C624))+ISNUMBER(SEARCH("Dueño",C624))+ISNUMBER(SEARCH("Director General",C624))+ISNUMBER(SEARCH("Presidente",C624))+ISNUMBER(SEARCH("President",C624))&gt;0,'Configuración'!$B$31,IF(ISNUMBER(SEARCH("CMO",C624))+ISNUMBER(SEARCH("Chief Marketing",C624))+ISNUMBER(SEARCH("VP Marketing",C624))+ISNUMBER(SEARCH("Director de Marketing",C624))+ISNUMBER(SEARCH("Director Marketing",C624))+ISNUMBER(SEARCH("Head of Marketing",C624))+ISNUMBER(SEARCH("Head Marketing",C624))&gt;0,'Configuración'!$B$32,IF(ISNUMBER(SEARCH("Marketing Manager",C624))+ISNUMBER(SEARCH("Gerente de Marketing",C624))+ISNUMBER(SEARCH("Growth Manager",C624))+ISNUMBER(SEARCH("Demand Gen",C624))+ISNUMBER(SEARCH("Marketing Lead",C624))&gt;0,'Configuración'!$B$33,IF(ISNUMBER(SEARCH("COO",C624))+ISNUMBER(SEARCH("CFO",C624))+ISNUMBER(SEARCH("CTO",C624))+ISNUMBER(SEARCH("Chief Operating",C624))+ISNUMBER(SEARCH("Chief Financial",C624))+ISNUMBER(SEARCH("Gerente General",C624))+ISNUMBER(SEARCH("General Manager",C624))&gt;0,'Configuración'!$B$34,'Configuración'!$B$35)))))</f>
        <v>12</v>
      </c>
      <c r="V624" s="38">
        <f>IF(B624="","",IF(K624="Sí",'Configuración'!$B$5,0)+IF(L624="Semanal",'Configuración'!$B$6,IF(L624="Mensual",'Configuración'!$B$7,0))+IF(M624="Sí",'Configuración'!$B$8,0)+IF(N624="Sí",'Configuración'!$B$9,0)+IF(O624="Sí",'Configuración'!$B$10,0)+IF(P624="Sí",'Configuración'!$B$11,0)+IF(Q624="Sí",'Configuración'!$B$12,0)+S624+T624+U624)</f>
        <v>36</v>
      </c>
      <c r="W624" s="39" t="str">
        <f>IF(B624="","",IF(V624&gt;='Configuración'!$B$19,"A",IF(V624&gt;='Configuración'!$B$20,"B",IF(V624&gt;='Configuración'!$B$21,"C","Descarte"))))</f>
        <v>C</v>
      </c>
    </row>
    <row r="625" ht="15.75" customHeight="1">
      <c r="A625" s="34">
        <f t="shared" si="1"/>
        <v>623</v>
      </c>
      <c r="B625" s="29" t="s">
        <v>174</v>
      </c>
      <c r="C625" s="29" t="s">
        <v>3765</v>
      </c>
      <c r="D625" s="29" t="s">
        <v>3766</v>
      </c>
      <c r="E625" s="29" t="s">
        <v>3767</v>
      </c>
      <c r="F625" s="30" t="s">
        <v>3768</v>
      </c>
      <c r="G625" s="30" t="s">
        <v>3769</v>
      </c>
      <c r="H625" s="30" t="s">
        <v>3770</v>
      </c>
      <c r="I625" s="29" t="s">
        <v>127</v>
      </c>
      <c r="J625" s="31">
        <v>7.0</v>
      </c>
      <c r="K625" s="35"/>
      <c r="L625" s="35"/>
      <c r="M625" s="35"/>
      <c r="N625" s="35"/>
      <c r="O625" s="35"/>
      <c r="P625" s="35"/>
      <c r="Q625" s="35"/>
      <c r="R625" s="35"/>
      <c r="S625" s="37">
        <f>IF(B625="","",IF(ISNUMBER(J625),IF(J625&lt;=10,'Configuración'!$B$23,IF(J625&lt;=50,'Configuración'!$B$24,IF(J625&lt;=200,'Configuración'!$B$25,0))),0))</f>
        <v>12</v>
      </c>
      <c r="T625" s="37">
        <f>IF(B625="","",IF(ISNUMBER(SEARCH("information technology",I625))+ISNUMBER(SEARCH("software",I625))+ISNUMBER(SEARCH("internet",I625))+ISNUMBER(SEARCH("computer",I625))+ISNUMBER(SEARCH("saas",I625))+ISNUMBER(SEARCH("fintech",I625))+ISNUMBER(SEARCH("information services",I625))+ISNUMBER(SEARCH("telecommunications",I625))&gt;0,'Configuración'!$B$27,'Configuración'!$B$28))</f>
        <v>12</v>
      </c>
      <c r="U625" s="25">
        <f>IF(B625="","",IF(ISNUMBER(SEARCH("CEO",C625))+ISNUMBER(SEARCH("Founder",C625))+ISNUMBER(SEARCH("Owner",C625))+ISNUMBER(SEARCH("Dueño",C625))+ISNUMBER(SEARCH("Director General",C625))+ISNUMBER(SEARCH("Presidente",C625))+ISNUMBER(SEARCH("President",C625))&gt;0,'Configuración'!$B$31,IF(ISNUMBER(SEARCH("CMO",C625))+ISNUMBER(SEARCH("Chief Marketing",C625))+ISNUMBER(SEARCH("VP Marketing",C625))+ISNUMBER(SEARCH("Director de Marketing",C625))+ISNUMBER(SEARCH("Director Marketing",C625))+ISNUMBER(SEARCH("Head of Marketing",C625))+ISNUMBER(SEARCH("Head Marketing",C625))&gt;0,'Configuración'!$B$32,IF(ISNUMBER(SEARCH("Marketing Manager",C625))+ISNUMBER(SEARCH("Gerente de Marketing",C625))+ISNUMBER(SEARCH("Growth Manager",C625))+ISNUMBER(SEARCH("Demand Gen",C625))+ISNUMBER(SEARCH("Marketing Lead",C625))&gt;0,'Configuración'!$B$33,IF(ISNUMBER(SEARCH("COO",C625))+ISNUMBER(SEARCH("CFO",C625))+ISNUMBER(SEARCH("CTO",C625))+ISNUMBER(SEARCH("Chief Operating",C625))+ISNUMBER(SEARCH("Chief Financial",C625))+ISNUMBER(SEARCH("Gerente General",C625))+ISNUMBER(SEARCH("General Manager",C625))&gt;0,'Configuración'!$B$34,'Configuración'!$B$35)))))</f>
        <v>12</v>
      </c>
      <c r="V625" s="38">
        <f>IF(B625="","",IF(K625="Sí",'Configuración'!$B$5,0)+IF(L625="Semanal",'Configuración'!$B$6,IF(L625="Mensual",'Configuración'!$B$7,0))+IF(M625="Sí",'Configuración'!$B$8,0)+IF(N625="Sí",'Configuración'!$B$9,0)+IF(O625="Sí",'Configuración'!$B$10,0)+IF(P625="Sí",'Configuración'!$B$11,0)+IF(Q625="Sí",'Configuración'!$B$12,0)+S625+T625+U625)</f>
        <v>36</v>
      </c>
      <c r="W625" s="39" t="str">
        <f>IF(B625="","",IF(V625&gt;='Configuración'!$B$19,"A",IF(V625&gt;='Configuración'!$B$20,"B",IF(V625&gt;='Configuración'!$B$21,"C","Descarte"))))</f>
        <v>C</v>
      </c>
    </row>
    <row r="626" ht="15.75" customHeight="1">
      <c r="A626" s="34">
        <f t="shared" si="1"/>
        <v>624</v>
      </c>
      <c r="B626" s="29" t="s">
        <v>223</v>
      </c>
      <c r="C626" s="29" t="s">
        <v>3771</v>
      </c>
      <c r="D626" s="29" t="s">
        <v>3772</v>
      </c>
      <c r="E626" s="29" t="s">
        <v>3773</v>
      </c>
      <c r="F626" s="30" t="s">
        <v>3774</v>
      </c>
      <c r="G626" s="30" t="s">
        <v>3775</v>
      </c>
      <c r="H626" s="30" t="s">
        <v>3776</v>
      </c>
      <c r="I626" s="29" t="s">
        <v>616</v>
      </c>
      <c r="J626" s="31">
        <v>36.0</v>
      </c>
      <c r="K626" s="35"/>
      <c r="L626" s="35"/>
      <c r="M626" s="35"/>
      <c r="N626" s="35"/>
      <c r="O626" s="35"/>
      <c r="P626" s="35"/>
      <c r="Q626" s="35"/>
      <c r="R626" s="35"/>
      <c r="S626" s="37">
        <f>IF(B626="","",IF(ISNUMBER(J626),IF(J626&lt;=10,'Configuración'!$B$23,IF(J626&lt;=50,'Configuración'!$B$24,IF(J626&lt;=200,'Configuración'!$B$25,0))),0))</f>
        <v>4</v>
      </c>
      <c r="T626" s="37">
        <f>IF(B626="","",IF(ISNUMBER(SEARCH("information technology",I626))+ISNUMBER(SEARCH("software",I626))+ISNUMBER(SEARCH("internet",I626))+ISNUMBER(SEARCH("computer",I626))+ISNUMBER(SEARCH("saas",I626))+ISNUMBER(SEARCH("fintech",I626))+ISNUMBER(SEARCH("information services",I626))+ISNUMBER(SEARCH("telecommunications",I626))&gt;0,'Configuración'!$B$27,'Configuración'!$B$28))</f>
        <v>4</v>
      </c>
      <c r="U626" s="25">
        <f>IF(B626="","",IF(ISNUMBER(SEARCH("CEO",C626))+ISNUMBER(SEARCH("Founder",C626))+ISNUMBER(SEARCH("Owner",C626))+ISNUMBER(SEARCH("Dueño",C626))+ISNUMBER(SEARCH("Director General",C626))+ISNUMBER(SEARCH("Presidente",C626))+ISNUMBER(SEARCH("President",C626))&gt;0,'Configuración'!$B$31,IF(ISNUMBER(SEARCH("CMO",C626))+ISNUMBER(SEARCH("Chief Marketing",C626))+ISNUMBER(SEARCH("VP Marketing",C626))+ISNUMBER(SEARCH("Director de Marketing",C626))+ISNUMBER(SEARCH("Director Marketing",C626))+ISNUMBER(SEARCH("Head of Marketing",C626))+ISNUMBER(SEARCH("Head Marketing",C626))&gt;0,'Configuración'!$B$32,IF(ISNUMBER(SEARCH("Marketing Manager",C626))+ISNUMBER(SEARCH("Gerente de Marketing",C626))+ISNUMBER(SEARCH("Growth Manager",C626))+ISNUMBER(SEARCH("Demand Gen",C626))+ISNUMBER(SEARCH("Marketing Lead",C626))&gt;0,'Configuración'!$B$33,IF(ISNUMBER(SEARCH("COO",C626))+ISNUMBER(SEARCH("CFO",C626))+ISNUMBER(SEARCH("CTO",C626))+ISNUMBER(SEARCH("Chief Operating",C626))+ISNUMBER(SEARCH("Chief Financial",C626))+ISNUMBER(SEARCH("Gerente General",C626))+ISNUMBER(SEARCH("General Manager",C626))&gt;0,'Configuración'!$B$34,'Configuración'!$B$35)))))</f>
        <v>4</v>
      </c>
      <c r="V626" s="38">
        <f>IF(B626="","",IF(K626="Sí",'Configuración'!$B$5,0)+IF(L626="Semanal",'Configuración'!$B$6,IF(L626="Mensual",'Configuración'!$B$7,0))+IF(M626="Sí",'Configuración'!$B$8,0)+IF(N626="Sí",'Configuración'!$B$9,0)+IF(O626="Sí",'Configuración'!$B$10,0)+IF(P626="Sí",'Configuración'!$B$11,0)+IF(Q626="Sí",'Configuración'!$B$12,0)+S626+T626+U626)</f>
        <v>12</v>
      </c>
      <c r="W626" s="39" t="str">
        <f>IF(B626="","",IF(V626&gt;='Configuración'!$B$19,"A",IF(V626&gt;='Configuración'!$B$20,"B",IF(V626&gt;='Configuración'!$B$21,"C","Descarte"))))</f>
        <v>Descarte</v>
      </c>
    </row>
    <row r="627" ht="15.75" customHeight="1">
      <c r="A627" s="34">
        <f t="shared" si="1"/>
        <v>625</v>
      </c>
      <c r="B627" s="29" t="s">
        <v>897</v>
      </c>
      <c r="C627" s="29" t="s">
        <v>175</v>
      </c>
      <c r="D627" s="29" t="s">
        <v>3777</v>
      </c>
      <c r="E627" s="29" t="s">
        <v>3778</v>
      </c>
      <c r="F627" s="30" t="s">
        <v>3779</v>
      </c>
      <c r="G627" s="30" t="s">
        <v>3780</v>
      </c>
      <c r="H627" s="30" t="s">
        <v>3781</v>
      </c>
      <c r="I627" s="29" t="s">
        <v>188</v>
      </c>
      <c r="J627" s="31">
        <v>5.0</v>
      </c>
      <c r="K627" s="35"/>
      <c r="L627" s="35"/>
      <c r="M627" s="35"/>
      <c r="N627" s="35"/>
      <c r="O627" s="35"/>
      <c r="P627" s="35"/>
      <c r="Q627" s="35"/>
      <c r="R627" s="35"/>
      <c r="S627" s="37">
        <f>IF(B627="","",IF(ISNUMBER(J627),IF(J627&lt;=10,'Configuración'!$B$23,IF(J627&lt;=50,'Configuración'!$B$24,IF(J627&lt;=200,'Configuración'!$B$25,0))),0))</f>
        <v>12</v>
      </c>
      <c r="T627" s="37">
        <f>IF(B627="","",IF(ISNUMBER(SEARCH("information technology",I627))+ISNUMBER(SEARCH("software",I627))+ISNUMBER(SEARCH("internet",I627))+ISNUMBER(SEARCH("computer",I627))+ISNUMBER(SEARCH("saas",I627))+ISNUMBER(SEARCH("fintech",I627))+ISNUMBER(SEARCH("information services",I627))+ISNUMBER(SEARCH("telecommunications",I627))&gt;0,'Configuración'!$B$27,'Configuración'!$B$28))</f>
        <v>4</v>
      </c>
      <c r="U627" s="25">
        <f>IF(B627="","",IF(ISNUMBER(SEARCH("CEO",C627))+ISNUMBER(SEARCH("Founder",C627))+ISNUMBER(SEARCH("Owner",C627))+ISNUMBER(SEARCH("Dueño",C627))+ISNUMBER(SEARCH("Director General",C627))+ISNUMBER(SEARCH("Presidente",C627))+ISNUMBER(SEARCH("President",C627))&gt;0,'Configuración'!$B$31,IF(ISNUMBER(SEARCH("CMO",C627))+ISNUMBER(SEARCH("Chief Marketing",C627))+ISNUMBER(SEARCH("VP Marketing",C627))+ISNUMBER(SEARCH("Director de Marketing",C627))+ISNUMBER(SEARCH("Director Marketing",C627))+ISNUMBER(SEARCH("Head of Marketing",C627))+ISNUMBER(SEARCH("Head Marketing",C627))&gt;0,'Configuración'!$B$32,IF(ISNUMBER(SEARCH("Marketing Manager",C627))+ISNUMBER(SEARCH("Gerente de Marketing",C627))+ISNUMBER(SEARCH("Growth Manager",C627))+ISNUMBER(SEARCH("Demand Gen",C627))+ISNUMBER(SEARCH("Marketing Lead",C627))&gt;0,'Configuración'!$B$33,IF(ISNUMBER(SEARCH("COO",C627))+ISNUMBER(SEARCH("CFO",C627))+ISNUMBER(SEARCH("CTO",C627))+ISNUMBER(SEARCH("Chief Operating",C627))+ISNUMBER(SEARCH("Chief Financial",C627))+ISNUMBER(SEARCH("Gerente General",C627))+ISNUMBER(SEARCH("General Manager",C627))&gt;0,'Configuración'!$B$34,'Configuración'!$B$35)))))</f>
        <v>12</v>
      </c>
      <c r="V627" s="38">
        <f>IF(B627="","",IF(K627="Sí",'Configuración'!$B$5,0)+IF(L627="Semanal",'Configuración'!$B$6,IF(L627="Mensual",'Configuración'!$B$7,0))+IF(M627="Sí",'Configuración'!$B$8,0)+IF(N627="Sí",'Configuración'!$B$9,0)+IF(O627="Sí",'Configuración'!$B$10,0)+IF(P627="Sí",'Configuración'!$B$11,0)+IF(Q627="Sí",'Configuración'!$B$12,0)+S627+T627+U627)</f>
        <v>28</v>
      </c>
      <c r="W627" s="39" t="str">
        <f>IF(B627="","",IF(V627&gt;='Configuración'!$B$19,"A",IF(V627&gt;='Configuración'!$B$20,"B",IF(V627&gt;='Configuración'!$B$21,"C","Descarte"))))</f>
        <v>C</v>
      </c>
    </row>
    <row r="628" ht="15.75" customHeight="1">
      <c r="A628" s="34">
        <f t="shared" si="1"/>
        <v>626</v>
      </c>
      <c r="B628" s="29" t="s">
        <v>1567</v>
      </c>
      <c r="C628" s="29" t="s">
        <v>3782</v>
      </c>
      <c r="D628" s="29" t="s">
        <v>3783</v>
      </c>
      <c r="E628" s="29" t="s">
        <v>3784</v>
      </c>
      <c r="F628" s="30" t="s">
        <v>3785</v>
      </c>
      <c r="G628" s="30" t="s">
        <v>3786</v>
      </c>
      <c r="H628" s="30" t="s">
        <v>3787</v>
      </c>
      <c r="I628" s="29" t="s">
        <v>990</v>
      </c>
      <c r="J628" s="31">
        <v>12.0</v>
      </c>
      <c r="K628" s="35"/>
      <c r="L628" s="35"/>
      <c r="M628" s="35"/>
      <c r="N628" s="35"/>
      <c r="O628" s="35"/>
      <c r="P628" s="35"/>
      <c r="Q628" s="35"/>
      <c r="R628" s="35"/>
      <c r="S628" s="37">
        <f>IF(B628="","",IF(ISNUMBER(J628),IF(J628&lt;=10,'Configuración'!$B$23,IF(J628&lt;=50,'Configuración'!$B$24,IF(J628&lt;=200,'Configuración'!$B$25,0))),0))</f>
        <v>4</v>
      </c>
      <c r="T628" s="37">
        <f>IF(B628="","",IF(ISNUMBER(SEARCH("information technology",I628))+ISNUMBER(SEARCH("software",I628))+ISNUMBER(SEARCH("internet",I628))+ISNUMBER(SEARCH("computer",I628))+ISNUMBER(SEARCH("saas",I628))+ISNUMBER(SEARCH("fintech",I628))+ISNUMBER(SEARCH("information services",I628))+ISNUMBER(SEARCH("telecommunications",I628))&gt;0,'Configuración'!$B$27,'Configuración'!$B$28))</f>
        <v>4</v>
      </c>
      <c r="U628" s="25">
        <f>IF(B628="","",IF(ISNUMBER(SEARCH("CEO",C628))+ISNUMBER(SEARCH("Founder",C628))+ISNUMBER(SEARCH("Owner",C628))+ISNUMBER(SEARCH("Dueño",C628))+ISNUMBER(SEARCH("Director General",C628))+ISNUMBER(SEARCH("Presidente",C628))+ISNUMBER(SEARCH("President",C628))&gt;0,'Configuración'!$B$31,IF(ISNUMBER(SEARCH("CMO",C628))+ISNUMBER(SEARCH("Chief Marketing",C628))+ISNUMBER(SEARCH("VP Marketing",C628))+ISNUMBER(SEARCH("Director de Marketing",C628))+ISNUMBER(SEARCH("Director Marketing",C628))+ISNUMBER(SEARCH("Head of Marketing",C628))+ISNUMBER(SEARCH("Head Marketing",C628))&gt;0,'Configuración'!$B$32,IF(ISNUMBER(SEARCH("Marketing Manager",C628))+ISNUMBER(SEARCH("Gerente de Marketing",C628))+ISNUMBER(SEARCH("Growth Manager",C628))+ISNUMBER(SEARCH("Demand Gen",C628))+ISNUMBER(SEARCH("Marketing Lead",C628))&gt;0,'Configuración'!$B$33,IF(ISNUMBER(SEARCH("COO",C628))+ISNUMBER(SEARCH("CFO",C628))+ISNUMBER(SEARCH("CTO",C628))+ISNUMBER(SEARCH("Chief Operating",C628))+ISNUMBER(SEARCH("Chief Financial",C628))+ISNUMBER(SEARCH("Gerente General",C628))+ISNUMBER(SEARCH("General Manager",C628))&gt;0,'Configuración'!$B$34,'Configuración'!$B$35)))))</f>
        <v>12</v>
      </c>
      <c r="V628" s="38">
        <f>IF(B628="","",IF(K628="Sí",'Configuración'!$B$5,0)+IF(L628="Semanal",'Configuración'!$B$6,IF(L628="Mensual",'Configuración'!$B$7,0))+IF(M628="Sí",'Configuración'!$B$8,0)+IF(N628="Sí",'Configuración'!$B$9,0)+IF(O628="Sí",'Configuración'!$B$10,0)+IF(P628="Sí",'Configuración'!$B$11,0)+IF(Q628="Sí",'Configuración'!$B$12,0)+S628+T628+U628)</f>
        <v>20</v>
      </c>
      <c r="W628" s="39" t="str">
        <f>IF(B628="","",IF(V628&gt;='Configuración'!$B$19,"A",IF(V628&gt;='Configuración'!$B$20,"B",IF(V628&gt;='Configuración'!$B$21,"C","Descarte"))))</f>
        <v>Descarte</v>
      </c>
    </row>
    <row r="629" ht="15.75" customHeight="1">
      <c r="A629" s="34">
        <f t="shared" si="1"/>
        <v>627</v>
      </c>
      <c r="B629" s="29" t="s">
        <v>2603</v>
      </c>
      <c r="C629" s="29" t="s">
        <v>202</v>
      </c>
      <c r="D629" s="29" t="s">
        <v>3788</v>
      </c>
      <c r="E629" s="29" t="s">
        <v>3789</v>
      </c>
      <c r="F629" s="30" t="s">
        <v>3790</v>
      </c>
      <c r="G629" s="30" t="s">
        <v>3791</v>
      </c>
      <c r="H629" s="30" t="s">
        <v>3792</v>
      </c>
      <c r="I629" s="29" t="s">
        <v>222</v>
      </c>
      <c r="J629" s="31">
        <v>5.0</v>
      </c>
      <c r="K629" s="35"/>
      <c r="L629" s="35"/>
      <c r="M629" s="35"/>
      <c r="N629" s="35"/>
      <c r="O629" s="35"/>
      <c r="P629" s="35"/>
      <c r="Q629" s="35"/>
      <c r="R629" s="35"/>
      <c r="S629" s="37">
        <f>IF(B629="","",IF(ISNUMBER(J629),IF(J629&lt;=10,'Configuración'!$B$23,IF(J629&lt;=50,'Configuración'!$B$24,IF(J629&lt;=200,'Configuración'!$B$25,0))),0))</f>
        <v>12</v>
      </c>
      <c r="T629" s="37">
        <f>IF(B629="","",IF(ISNUMBER(SEARCH("information technology",I629))+ISNUMBER(SEARCH("software",I629))+ISNUMBER(SEARCH("internet",I629))+ISNUMBER(SEARCH("computer",I629))+ISNUMBER(SEARCH("saas",I629))+ISNUMBER(SEARCH("fintech",I629))+ISNUMBER(SEARCH("information services",I629))+ISNUMBER(SEARCH("telecommunications",I629))&gt;0,'Configuración'!$B$27,'Configuración'!$B$28))</f>
        <v>4</v>
      </c>
      <c r="U629" s="25">
        <f>IF(B629="","",IF(ISNUMBER(SEARCH("CEO",C629))+ISNUMBER(SEARCH("Founder",C629))+ISNUMBER(SEARCH("Owner",C629))+ISNUMBER(SEARCH("Dueño",C629))+ISNUMBER(SEARCH("Director General",C629))+ISNUMBER(SEARCH("Presidente",C629))+ISNUMBER(SEARCH("President",C629))&gt;0,'Configuración'!$B$31,IF(ISNUMBER(SEARCH("CMO",C629))+ISNUMBER(SEARCH("Chief Marketing",C629))+ISNUMBER(SEARCH("VP Marketing",C629))+ISNUMBER(SEARCH("Director de Marketing",C629))+ISNUMBER(SEARCH("Director Marketing",C629))+ISNUMBER(SEARCH("Head of Marketing",C629))+ISNUMBER(SEARCH("Head Marketing",C629))&gt;0,'Configuración'!$B$32,IF(ISNUMBER(SEARCH("Marketing Manager",C629))+ISNUMBER(SEARCH("Gerente de Marketing",C629))+ISNUMBER(SEARCH("Growth Manager",C629))+ISNUMBER(SEARCH("Demand Gen",C629))+ISNUMBER(SEARCH("Marketing Lead",C629))&gt;0,'Configuración'!$B$33,IF(ISNUMBER(SEARCH("COO",C629))+ISNUMBER(SEARCH("CFO",C629))+ISNUMBER(SEARCH("CTO",C629))+ISNUMBER(SEARCH("Chief Operating",C629))+ISNUMBER(SEARCH("Chief Financial",C629))+ISNUMBER(SEARCH("Gerente General",C629))+ISNUMBER(SEARCH("General Manager",C629))&gt;0,'Configuración'!$B$34,'Configuración'!$B$35)))))</f>
        <v>12</v>
      </c>
      <c r="V629" s="38">
        <f>IF(B629="","",IF(K629="Sí",'Configuración'!$B$5,0)+IF(L629="Semanal",'Configuración'!$B$6,IF(L629="Mensual",'Configuración'!$B$7,0))+IF(M629="Sí",'Configuración'!$B$8,0)+IF(N629="Sí",'Configuración'!$B$9,0)+IF(O629="Sí",'Configuración'!$B$10,0)+IF(P629="Sí",'Configuración'!$B$11,0)+IF(Q629="Sí",'Configuración'!$B$12,0)+S629+T629+U629)</f>
        <v>28</v>
      </c>
      <c r="W629" s="39" t="str">
        <f>IF(B629="","",IF(V629&gt;='Configuración'!$B$19,"A",IF(V629&gt;='Configuración'!$B$20,"B",IF(V629&gt;='Configuración'!$B$21,"C","Descarte"))))</f>
        <v>C</v>
      </c>
    </row>
    <row r="630" ht="15.75" customHeight="1">
      <c r="A630" s="34">
        <f t="shared" si="1"/>
        <v>628</v>
      </c>
      <c r="B630" s="29" t="s">
        <v>296</v>
      </c>
      <c r="C630" s="29" t="s">
        <v>175</v>
      </c>
      <c r="D630" s="29" t="s">
        <v>3793</v>
      </c>
      <c r="E630" s="29" t="s">
        <v>3794</v>
      </c>
      <c r="F630" s="30" t="s">
        <v>3795</v>
      </c>
      <c r="G630" s="30" t="s">
        <v>3796</v>
      </c>
      <c r="H630" s="30" t="s">
        <v>3797</v>
      </c>
      <c r="I630" s="29" t="s">
        <v>542</v>
      </c>
      <c r="J630" s="31">
        <v>3.0</v>
      </c>
      <c r="K630" s="35"/>
      <c r="L630" s="35"/>
      <c r="M630" s="35"/>
      <c r="N630" s="35"/>
      <c r="O630" s="35"/>
      <c r="P630" s="35"/>
      <c r="Q630" s="35"/>
      <c r="R630" s="35"/>
      <c r="S630" s="37">
        <f>IF(B630="","",IF(ISNUMBER(J630),IF(J630&lt;=10,'Configuración'!$B$23,IF(J630&lt;=50,'Configuración'!$B$24,IF(J630&lt;=200,'Configuración'!$B$25,0))),0))</f>
        <v>12</v>
      </c>
      <c r="T630" s="37">
        <f>IF(B630="","",IF(ISNUMBER(SEARCH("information technology",I630))+ISNUMBER(SEARCH("software",I630))+ISNUMBER(SEARCH("internet",I630))+ISNUMBER(SEARCH("computer",I630))+ISNUMBER(SEARCH("saas",I630))+ISNUMBER(SEARCH("fintech",I630))+ISNUMBER(SEARCH("information services",I630))+ISNUMBER(SEARCH("telecommunications",I630))&gt;0,'Configuración'!$B$27,'Configuración'!$B$28))</f>
        <v>4</v>
      </c>
      <c r="U630" s="25">
        <f>IF(B630="","",IF(ISNUMBER(SEARCH("CEO",C630))+ISNUMBER(SEARCH("Founder",C630))+ISNUMBER(SEARCH("Owner",C630))+ISNUMBER(SEARCH("Dueño",C630))+ISNUMBER(SEARCH("Director General",C630))+ISNUMBER(SEARCH("Presidente",C630))+ISNUMBER(SEARCH("President",C630))&gt;0,'Configuración'!$B$31,IF(ISNUMBER(SEARCH("CMO",C630))+ISNUMBER(SEARCH("Chief Marketing",C630))+ISNUMBER(SEARCH("VP Marketing",C630))+ISNUMBER(SEARCH("Director de Marketing",C630))+ISNUMBER(SEARCH("Director Marketing",C630))+ISNUMBER(SEARCH("Head of Marketing",C630))+ISNUMBER(SEARCH("Head Marketing",C630))&gt;0,'Configuración'!$B$32,IF(ISNUMBER(SEARCH("Marketing Manager",C630))+ISNUMBER(SEARCH("Gerente de Marketing",C630))+ISNUMBER(SEARCH("Growth Manager",C630))+ISNUMBER(SEARCH("Demand Gen",C630))+ISNUMBER(SEARCH("Marketing Lead",C630))&gt;0,'Configuración'!$B$33,IF(ISNUMBER(SEARCH("COO",C630))+ISNUMBER(SEARCH("CFO",C630))+ISNUMBER(SEARCH("CTO",C630))+ISNUMBER(SEARCH("Chief Operating",C630))+ISNUMBER(SEARCH("Chief Financial",C630))+ISNUMBER(SEARCH("Gerente General",C630))+ISNUMBER(SEARCH("General Manager",C630))&gt;0,'Configuración'!$B$34,'Configuración'!$B$35)))))</f>
        <v>12</v>
      </c>
      <c r="V630" s="38">
        <f>IF(B630="","",IF(K630="Sí",'Configuración'!$B$5,0)+IF(L630="Semanal",'Configuración'!$B$6,IF(L630="Mensual",'Configuración'!$B$7,0))+IF(M630="Sí",'Configuración'!$B$8,0)+IF(N630="Sí",'Configuración'!$B$9,0)+IF(O630="Sí",'Configuración'!$B$10,0)+IF(P630="Sí",'Configuración'!$B$11,0)+IF(Q630="Sí",'Configuración'!$B$12,0)+S630+T630+U630)</f>
        <v>28</v>
      </c>
      <c r="W630" s="39" t="str">
        <f>IF(B630="","",IF(V630&gt;='Configuración'!$B$19,"A",IF(V630&gt;='Configuración'!$B$20,"B",IF(V630&gt;='Configuración'!$B$21,"C","Descarte"))))</f>
        <v>C</v>
      </c>
    </row>
    <row r="631" ht="15.75" customHeight="1">
      <c r="A631" s="34">
        <f t="shared" si="1"/>
        <v>629</v>
      </c>
      <c r="B631" s="29" t="s">
        <v>138</v>
      </c>
      <c r="C631" s="29" t="s">
        <v>3798</v>
      </c>
      <c r="D631" s="29" t="s">
        <v>3799</v>
      </c>
      <c r="E631" s="29" t="s">
        <v>3800</v>
      </c>
      <c r="F631" s="30" t="s">
        <v>3801</v>
      </c>
      <c r="G631" s="30" t="s">
        <v>3802</v>
      </c>
      <c r="H631" s="30" t="s">
        <v>3803</v>
      </c>
      <c r="I631" s="29" t="s">
        <v>127</v>
      </c>
      <c r="J631" s="31">
        <v>46.0</v>
      </c>
      <c r="K631" s="35"/>
      <c r="L631" s="35"/>
      <c r="M631" s="35"/>
      <c r="N631" s="35"/>
      <c r="O631" s="35"/>
      <c r="P631" s="35"/>
      <c r="Q631" s="35"/>
      <c r="R631" s="35"/>
      <c r="S631" s="37">
        <f>IF(B631="","",IF(ISNUMBER(J631),IF(J631&lt;=10,'Configuración'!$B$23,IF(J631&lt;=50,'Configuración'!$B$24,IF(J631&lt;=200,'Configuración'!$B$25,0))),0))</f>
        <v>4</v>
      </c>
      <c r="T631" s="37">
        <f>IF(B631="","",IF(ISNUMBER(SEARCH("information technology",I631))+ISNUMBER(SEARCH("software",I631))+ISNUMBER(SEARCH("internet",I631))+ISNUMBER(SEARCH("computer",I631))+ISNUMBER(SEARCH("saas",I631))+ISNUMBER(SEARCH("fintech",I631))+ISNUMBER(SEARCH("information services",I631))+ISNUMBER(SEARCH("telecommunications",I631))&gt;0,'Configuración'!$B$27,'Configuración'!$B$28))</f>
        <v>12</v>
      </c>
      <c r="U631" s="25">
        <f>IF(B631="","",IF(ISNUMBER(SEARCH("CEO",C631))+ISNUMBER(SEARCH("Founder",C631))+ISNUMBER(SEARCH("Owner",C631))+ISNUMBER(SEARCH("Dueño",C631))+ISNUMBER(SEARCH("Director General",C631))+ISNUMBER(SEARCH("Presidente",C631))+ISNUMBER(SEARCH("President",C631))&gt;0,'Configuración'!$B$31,IF(ISNUMBER(SEARCH("CMO",C631))+ISNUMBER(SEARCH("Chief Marketing",C631))+ISNUMBER(SEARCH("VP Marketing",C631))+ISNUMBER(SEARCH("Director de Marketing",C631))+ISNUMBER(SEARCH("Director Marketing",C631))+ISNUMBER(SEARCH("Head of Marketing",C631))+ISNUMBER(SEARCH("Head Marketing",C631))&gt;0,'Configuración'!$B$32,IF(ISNUMBER(SEARCH("Marketing Manager",C631))+ISNUMBER(SEARCH("Gerente de Marketing",C631))+ISNUMBER(SEARCH("Growth Manager",C631))+ISNUMBER(SEARCH("Demand Gen",C631))+ISNUMBER(SEARCH("Marketing Lead",C631))&gt;0,'Configuración'!$B$33,IF(ISNUMBER(SEARCH("COO",C631))+ISNUMBER(SEARCH("CFO",C631))+ISNUMBER(SEARCH("CTO",C631))+ISNUMBER(SEARCH("Chief Operating",C631))+ISNUMBER(SEARCH("Chief Financial",C631))+ISNUMBER(SEARCH("Gerente General",C631))+ISNUMBER(SEARCH("General Manager",C631))&gt;0,'Configuración'!$B$34,'Configuración'!$B$35)))))</f>
        <v>4</v>
      </c>
      <c r="V631" s="38">
        <f>IF(B631="","",IF(K631="Sí",'Configuración'!$B$5,0)+IF(L631="Semanal",'Configuración'!$B$6,IF(L631="Mensual",'Configuración'!$B$7,0))+IF(M631="Sí",'Configuración'!$B$8,0)+IF(N631="Sí",'Configuración'!$B$9,0)+IF(O631="Sí",'Configuración'!$B$10,0)+IF(P631="Sí",'Configuración'!$B$11,0)+IF(Q631="Sí",'Configuración'!$B$12,0)+S631+T631+U631)</f>
        <v>20</v>
      </c>
      <c r="W631" s="39" t="str">
        <f>IF(B631="","",IF(V631&gt;='Configuración'!$B$19,"A",IF(V631&gt;='Configuración'!$B$20,"B",IF(V631&gt;='Configuración'!$B$21,"C","Descarte"))))</f>
        <v>Descarte</v>
      </c>
    </row>
    <row r="632" ht="15.75" customHeight="1">
      <c r="A632" s="34">
        <f t="shared" si="1"/>
        <v>630</v>
      </c>
      <c r="B632" s="29" t="s">
        <v>181</v>
      </c>
      <c r="C632" s="29" t="s">
        <v>3804</v>
      </c>
      <c r="D632" s="29" t="s">
        <v>3805</v>
      </c>
      <c r="E632" s="29" t="s">
        <v>3806</v>
      </c>
      <c r="F632" s="30" t="s">
        <v>3807</v>
      </c>
      <c r="G632" s="30" t="s">
        <v>3808</v>
      </c>
      <c r="H632" s="30" t="s">
        <v>3809</v>
      </c>
      <c r="I632" s="29" t="s">
        <v>158</v>
      </c>
      <c r="J632" s="31">
        <v>3.0</v>
      </c>
      <c r="K632" s="35"/>
      <c r="L632" s="35"/>
      <c r="M632" s="35"/>
      <c r="N632" s="35"/>
      <c r="O632" s="35"/>
      <c r="P632" s="35"/>
      <c r="Q632" s="35"/>
      <c r="R632" s="35"/>
      <c r="S632" s="37">
        <f>IF(B632="","",IF(ISNUMBER(J632),IF(J632&lt;=10,'Configuración'!$B$23,IF(J632&lt;=50,'Configuración'!$B$24,IF(J632&lt;=200,'Configuración'!$B$25,0))),0))</f>
        <v>12</v>
      </c>
      <c r="T632" s="37">
        <f>IF(B632="","",IF(ISNUMBER(SEARCH("information technology",I632))+ISNUMBER(SEARCH("software",I632))+ISNUMBER(SEARCH("internet",I632))+ISNUMBER(SEARCH("computer",I632))+ISNUMBER(SEARCH("saas",I632))+ISNUMBER(SEARCH("fintech",I632))+ISNUMBER(SEARCH("information services",I632))+ISNUMBER(SEARCH("telecommunications",I632))&gt;0,'Configuración'!$B$27,'Configuración'!$B$28))</f>
        <v>4</v>
      </c>
      <c r="U632" s="25">
        <f>IF(B632="","",IF(ISNUMBER(SEARCH("CEO",C632))+ISNUMBER(SEARCH("Founder",C632))+ISNUMBER(SEARCH("Owner",C632))+ISNUMBER(SEARCH("Dueño",C632))+ISNUMBER(SEARCH("Director General",C632))+ISNUMBER(SEARCH("Presidente",C632))+ISNUMBER(SEARCH("President",C632))&gt;0,'Configuración'!$B$31,IF(ISNUMBER(SEARCH("CMO",C632))+ISNUMBER(SEARCH("Chief Marketing",C632))+ISNUMBER(SEARCH("VP Marketing",C632))+ISNUMBER(SEARCH("Director de Marketing",C632))+ISNUMBER(SEARCH("Director Marketing",C632))+ISNUMBER(SEARCH("Head of Marketing",C632))+ISNUMBER(SEARCH("Head Marketing",C632))&gt;0,'Configuración'!$B$32,IF(ISNUMBER(SEARCH("Marketing Manager",C632))+ISNUMBER(SEARCH("Gerente de Marketing",C632))+ISNUMBER(SEARCH("Growth Manager",C632))+ISNUMBER(SEARCH("Demand Gen",C632))+ISNUMBER(SEARCH("Marketing Lead",C632))&gt;0,'Configuración'!$B$33,IF(ISNUMBER(SEARCH("COO",C632))+ISNUMBER(SEARCH("CFO",C632))+ISNUMBER(SEARCH("CTO",C632))+ISNUMBER(SEARCH("Chief Operating",C632))+ISNUMBER(SEARCH("Chief Financial",C632))+ISNUMBER(SEARCH("Gerente General",C632))+ISNUMBER(SEARCH("General Manager",C632))&gt;0,'Configuración'!$B$34,'Configuración'!$B$35)))))</f>
        <v>12</v>
      </c>
      <c r="V632" s="38">
        <f>IF(B632="","",IF(K632="Sí",'Configuración'!$B$5,0)+IF(L632="Semanal",'Configuración'!$B$6,IF(L632="Mensual",'Configuración'!$B$7,0))+IF(M632="Sí",'Configuración'!$B$8,0)+IF(N632="Sí",'Configuración'!$B$9,0)+IF(O632="Sí",'Configuración'!$B$10,0)+IF(P632="Sí",'Configuración'!$B$11,0)+IF(Q632="Sí",'Configuración'!$B$12,0)+S632+T632+U632)</f>
        <v>28</v>
      </c>
      <c r="W632" s="39" t="str">
        <f>IF(B632="","",IF(V632&gt;='Configuración'!$B$19,"A",IF(V632&gt;='Configuración'!$B$20,"B",IF(V632&gt;='Configuración'!$B$21,"C","Descarte"))))</f>
        <v>C</v>
      </c>
    </row>
    <row r="633" ht="15.75" customHeight="1">
      <c r="A633" s="34">
        <f t="shared" si="1"/>
        <v>631</v>
      </c>
      <c r="B633" s="29" t="s">
        <v>2740</v>
      </c>
      <c r="C633" s="29" t="s">
        <v>131</v>
      </c>
      <c r="D633" s="29" t="s">
        <v>3810</v>
      </c>
      <c r="E633" s="29" t="s">
        <v>3811</v>
      </c>
      <c r="F633" s="30" t="s">
        <v>3812</v>
      </c>
      <c r="G633" s="30" t="s">
        <v>3813</v>
      </c>
      <c r="H633" s="30" t="s">
        <v>3814</v>
      </c>
      <c r="I633" s="29" t="s">
        <v>659</v>
      </c>
      <c r="J633" s="31">
        <v>15.0</v>
      </c>
      <c r="K633" s="35"/>
      <c r="L633" s="35"/>
      <c r="M633" s="35"/>
      <c r="N633" s="35"/>
      <c r="O633" s="35"/>
      <c r="P633" s="35"/>
      <c r="Q633" s="35"/>
      <c r="R633" s="35"/>
      <c r="S633" s="37">
        <f>IF(B633="","",IF(ISNUMBER(J633),IF(J633&lt;=10,'Configuración'!$B$23,IF(J633&lt;=50,'Configuración'!$B$24,IF(J633&lt;=200,'Configuración'!$B$25,0))),0))</f>
        <v>4</v>
      </c>
      <c r="T633" s="37">
        <f>IF(B633="","",IF(ISNUMBER(SEARCH("information technology",I633))+ISNUMBER(SEARCH("software",I633))+ISNUMBER(SEARCH("internet",I633))+ISNUMBER(SEARCH("computer",I633))+ISNUMBER(SEARCH("saas",I633))+ISNUMBER(SEARCH("fintech",I633))+ISNUMBER(SEARCH("information services",I633))+ISNUMBER(SEARCH("telecommunications",I633))&gt;0,'Configuración'!$B$27,'Configuración'!$B$28))</f>
        <v>4</v>
      </c>
      <c r="U633" s="25">
        <f>IF(B633="","",IF(ISNUMBER(SEARCH("CEO",C633))+ISNUMBER(SEARCH("Founder",C633))+ISNUMBER(SEARCH("Owner",C633))+ISNUMBER(SEARCH("Dueño",C633))+ISNUMBER(SEARCH("Director General",C633))+ISNUMBER(SEARCH("Presidente",C633))+ISNUMBER(SEARCH("President",C633))&gt;0,'Configuración'!$B$31,IF(ISNUMBER(SEARCH("CMO",C633))+ISNUMBER(SEARCH("Chief Marketing",C633))+ISNUMBER(SEARCH("VP Marketing",C633))+ISNUMBER(SEARCH("Director de Marketing",C633))+ISNUMBER(SEARCH("Director Marketing",C633))+ISNUMBER(SEARCH("Head of Marketing",C633))+ISNUMBER(SEARCH("Head Marketing",C633))&gt;0,'Configuración'!$B$32,IF(ISNUMBER(SEARCH("Marketing Manager",C633))+ISNUMBER(SEARCH("Gerente de Marketing",C633))+ISNUMBER(SEARCH("Growth Manager",C633))+ISNUMBER(SEARCH("Demand Gen",C633))+ISNUMBER(SEARCH("Marketing Lead",C633))&gt;0,'Configuración'!$B$33,IF(ISNUMBER(SEARCH("COO",C633))+ISNUMBER(SEARCH("CFO",C633))+ISNUMBER(SEARCH("CTO",C633))+ISNUMBER(SEARCH("Chief Operating",C633))+ISNUMBER(SEARCH("Chief Financial",C633))+ISNUMBER(SEARCH("Gerente General",C633))+ISNUMBER(SEARCH("General Manager",C633))&gt;0,'Configuración'!$B$34,'Configuración'!$B$35)))))</f>
        <v>12</v>
      </c>
      <c r="V633" s="38">
        <f>IF(B633="","",IF(K633="Sí",'Configuración'!$B$5,0)+IF(L633="Semanal",'Configuración'!$B$6,IF(L633="Mensual",'Configuración'!$B$7,0))+IF(M633="Sí",'Configuración'!$B$8,0)+IF(N633="Sí",'Configuración'!$B$9,0)+IF(O633="Sí",'Configuración'!$B$10,0)+IF(P633="Sí",'Configuración'!$B$11,0)+IF(Q633="Sí",'Configuración'!$B$12,0)+S633+T633+U633)</f>
        <v>20</v>
      </c>
      <c r="W633" s="39" t="str">
        <f>IF(B633="","",IF(V633&gt;='Configuración'!$B$19,"A",IF(V633&gt;='Configuración'!$B$20,"B",IF(V633&gt;='Configuración'!$B$21,"C","Descarte"))))</f>
        <v>Descarte</v>
      </c>
    </row>
    <row r="634" ht="15.75" customHeight="1">
      <c r="A634" s="34">
        <f t="shared" si="1"/>
        <v>632</v>
      </c>
      <c r="B634" s="29" t="s">
        <v>749</v>
      </c>
      <c r="C634" s="29" t="s">
        <v>311</v>
      </c>
      <c r="D634" s="29" t="s">
        <v>3815</v>
      </c>
      <c r="E634" s="29" t="s">
        <v>3816</v>
      </c>
      <c r="F634" s="30" t="s">
        <v>3817</v>
      </c>
      <c r="G634" s="30" t="s">
        <v>3818</v>
      </c>
      <c r="H634" s="30" t="s">
        <v>3819</v>
      </c>
      <c r="I634" s="29" t="s">
        <v>3820</v>
      </c>
      <c r="J634" s="31">
        <v>21.0</v>
      </c>
      <c r="K634" s="35"/>
      <c r="L634" s="35"/>
      <c r="M634" s="35"/>
      <c r="N634" s="35"/>
      <c r="O634" s="35"/>
      <c r="P634" s="35"/>
      <c r="Q634" s="35"/>
      <c r="R634" s="35"/>
      <c r="S634" s="37">
        <f>IF(B634="","",IF(ISNUMBER(J634),IF(J634&lt;=10,'Configuración'!$B$23,IF(J634&lt;=50,'Configuración'!$B$24,IF(J634&lt;=200,'Configuración'!$B$25,0))),0))</f>
        <v>4</v>
      </c>
      <c r="T634" s="37">
        <f>IF(B634="","",IF(ISNUMBER(SEARCH("information technology",I634))+ISNUMBER(SEARCH("software",I634))+ISNUMBER(SEARCH("internet",I634))+ISNUMBER(SEARCH("computer",I634))+ISNUMBER(SEARCH("saas",I634))+ISNUMBER(SEARCH("fintech",I634))+ISNUMBER(SEARCH("information services",I634))+ISNUMBER(SEARCH("telecommunications",I634))&gt;0,'Configuración'!$B$27,'Configuración'!$B$28))</f>
        <v>4</v>
      </c>
      <c r="U634" s="25">
        <f>IF(B634="","",IF(ISNUMBER(SEARCH("CEO",C634))+ISNUMBER(SEARCH("Founder",C634))+ISNUMBER(SEARCH("Owner",C634))+ISNUMBER(SEARCH("Dueño",C634))+ISNUMBER(SEARCH("Director General",C634))+ISNUMBER(SEARCH("Presidente",C634))+ISNUMBER(SEARCH("President",C634))&gt;0,'Configuración'!$B$31,IF(ISNUMBER(SEARCH("CMO",C634))+ISNUMBER(SEARCH("Chief Marketing",C634))+ISNUMBER(SEARCH("VP Marketing",C634))+ISNUMBER(SEARCH("Director de Marketing",C634))+ISNUMBER(SEARCH("Director Marketing",C634))+ISNUMBER(SEARCH("Head of Marketing",C634))+ISNUMBER(SEARCH("Head Marketing",C634))&gt;0,'Configuración'!$B$32,IF(ISNUMBER(SEARCH("Marketing Manager",C634))+ISNUMBER(SEARCH("Gerente de Marketing",C634))+ISNUMBER(SEARCH("Growth Manager",C634))+ISNUMBER(SEARCH("Demand Gen",C634))+ISNUMBER(SEARCH("Marketing Lead",C634))&gt;0,'Configuración'!$B$33,IF(ISNUMBER(SEARCH("COO",C634))+ISNUMBER(SEARCH("CFO",C634))+ISNUMBER(SEARCH("CTO",C634))+ISNUMBER(SEARCH("Chief Operating",C634))+ISNUMBER(SEARCH("Chief Financial",C634))+ISNUMBER(SEARCH("Gerente General",C634))+ISNUMBER(SEARCH("General Manager",C634))&gt;0,'Configuración'!$B$34,'Configuración'!$B$35)))))</f>
        <v>12</v>
      </c>
      <c r="V634" s="38">
        <f>IF(B634="","",IF(K634="Sí",'Configuración'!$B$5,0)+IF(L634="Semanal",'Configuración'!$B$6,IF(L634="Mensual",'Configuración'!$B$7,0))+IF(M634="Sí",'Configuración'!$B$8,0)+IF(N634="Sí",'Configuración'!$B$9,0)+IF(O634="Sí",'Configuración'!$B$10,0)+IF(P634="Sí",'Configuración'!$B$11,0)+IF(Q634="Sí",'Configuración'!$B$12,0)+S634+T634+U634)</f>
        <v>20</v>
      </c>
      <c r="W634" s="39" t="str">
        <f>IF(B634="","",IF(V634&gt;='Configuración'!$B$19,"A",IF(V634&gt;='Configuración'!$B$20,"B",IF(V634&gt;='Configuración'!$B$21,"C","Descarte"))))</f>
        <v>Descarte</v>
      </c>
    </row>
    <row r="635" ht="15.75" customHeight="1">
      <c r="A635" s="34">
        <f t="shared" si="1"/>
        <v>633</v>
      </c>
      <c r="B635" s="29" t="s">
        <v>784</v>
      </c>
      <c r="C635" s="29" t="s">
        <v>467</v>
      </c>
      <c r="D635" s="29" t="s">
        <v>3821</v>
      </c>
      <c r="E635" s="29" t="s">
        <v>3822</v>
      </c>
      <c r="F635" s="30" t="s">
        <v>3823</v>
      </c>
      <c r="G635" s="30" t="s">
        <v>3824</v>
      </c>
      <c r="H635" s="30" t="s">
        <v>3825</v>
      </c>
      <c r="I635" s="29" t="s">
        <v>127</v>
      </c>
      <c r="J635" s="31">
        <v>33.0</v>
      </c>
      <c r="K635" s="35"/>
      <c r="L635" s="35"/>
      <c r="M635" s="35"/>
      <c r="N635" s="35"/>
      <c r="O635" s="35"/>
      <c r="P635" s="35"/>
      <c r="Q635" s="35"/>
      <c r="R635" s="35"/>
      <c r="S635" s="37">
        <f>IF(B635="","",IF(ISNUMBER(J635),IF(J635&lt;=10,'Configuración'!$B$23,IF(J635&lt;=50,'Configuración'!$B$24,IF(J635&lt;=200,'Configuración'!$B$25,0))),0))</f>
        <v>4</v>
      </c>
      <c r="T635" s="37">
        <f>IF(B635="","",IF(ISNUMBER(SEARCH("information technology",I635))+ISNUMBER(SEARCH("software",I635))+ISNUMBER(SEARCH("internet",I635))+ISNUMBER(SEARCH("computer",I635))+ISNUMBER(SEARCH("saas",I635))+ISNUMBER(SEARCH("fintech",I635))+ISNUMBER(SEARCH("information services",I635))+ISNUMBER(SEARCH("telecommunications",I635))&gt;0,'Configuración'!$B$27,'Configuración'!$B$28))</f>
        <v>12</v>
      </c>
      <c r="U635" s="25">
        <f>IF(B635="","",IF(ISNUMBER(SEARCH("CEO",C635))+ISNUMBER(SEARCH("Founder",C635))+ISNUMBER(SEARCH("Owner",C635))+ISNUMBER(SEARCH("Dueño",C635))+ISNUMBER(SEARCH("Director General",C635))+ISNUMBER(SEARCH("Presidente",C635))+ISNUMBER(SEARCH("President",C635))&gt;0,'Configuración'!$B$31,IF(ISNUMBER(SEARCH("CMO",C635))+ISNUMBER(SEARCH("Chief Marketing",C635))+ISNUMBER(SEARCH("VP Marketing",C635))+ISNUMBER(SEARCH("Director de Marketing",C635))+ISNUMBER(SEARCH("Director Marketing",C635))+ISNUMBER(SEARCH("Head of Marketing",C635))+ISNUMBER(SEARCH("Head Marketing",C635))&gt;0,'Configuración'!$B$32,IF(ISNUMBER(SEARCH("Marketing Manager",C635))+ISNUMBER(SEARCH("Gerente de Marketing",C635))+ISNUMBER(SEARCH("Growth Manager",C635))+ISNUMBER(SEARCH("Demand Gen",C635))+ISNUMBER(SEARCH("Marketing Lead",C635))&gt;0,'Configuración'!$B$33,IF(ISNUMBER(SEARCH("COO",C635))+ISNUMBER(SEARCH("CFO",C635))+ISNUMBER(SEARCH("CTO",C635))+ISNUMBER(SEARCH("Chief Operating",C635))+ISNUMBER(SEARCH("Chief Financial",C635))+ISNUMBER(SEARCH("Gerente General",C635))+ISNUMBER(SEARCH("General Manager",C635))&gt;0,'Configuración'!$B$34,'Configuración'!$B$35)))))</f>
        <v>0</v>
      </c>
      <c r="V635" s="38">
        <f>IF(B635="","",IF(K635="Sí",'Configuración'!$B$5,0)+IF(L635="Semanal",'Configuración'!$B$6,IF(L635="Mensual",'Configuración'!$B$7,0))+IF(M635="Sí",'Configuración'!$B$8,0)+IF(N635="Sí",'Configuración'!$B$9,0)+IF(O635="Sí",'Configuración'!$B$10,0)+IF(P635="Sí",'Configuración'!$B$11,0)+IF(Q635="Sí",'Configuración'!$B$12,0)+S635+T635+U635)</f>
        <v>16</v>
      </c>
      <c r="W635" s="39" t="str">
        <f>IF(B635="","",IF(V635&gt;='Configuración'!$B$19,"A",IF(V635&gt;='Configuración'!$B$20,"B",IF(V635&gt;='Configuración'!$B$21,"C","Descarte"))))</f>
        <v>Descarte</v>
      </c>
    </row>
    <row r="636" ht="15.75" customHeight="1">
      <c r="A636" s="34">
        <f t="shared" si="1"/>
        <v>634</v>
      </c>
      <c r="B636" s="29" t="s">
        <v>3826</v>
      </c>
      <c r="C636" s="29" t="s">
        <v>3827</v>
      </c>
      <c r="D636" s="29" t="s">
        <v>3828</v>
      </c>
      <c r="E636" s="29" t="s">
        <v>3829</v>
      </c>
      <c r="F636" s="30" t="s">
        <v>3830</v>
      </c>
      <c r="G636" s="30" t="s">
        <v>3831</v>
      </c>
      <c r="H636" s="30" t="s">
        <v>3832</v>
      </c>
      <c r="I636" s="29" t="s">
        <v>428</v>
      </c>
      <c r="J636" s="31">
        <v>23.0</v>
      </c>
      <c r="K636" s="35"/>
      <c r="L636" s="35"/>
      <c r="M636" s="35"/>
      <c r="N636" s="35"/>
      <c r="O636" s="35"/>
      <c r="P636" s="35"/>
      <c r="Q636" s="35"/>
      <c r="R636" s="35"/>
      <c r="S636" s="37">
        <f>IF(B636="","",IF(ISNUMBER(J636),IF(J636&lt;=10,'Configuración'!$B$23,IF(J636&lt;=50,'Configuración'!$B$24,IF(J636&lt;=200,'Configuración'!$B$25,0))),0))</f>
        <v>4</v>
      </c>
      <c r="T636" s="37">
        <f>IF(B636="","",IF(ISNUMBER(SEARCH("information technology",I636))+ISNUMBER(SEARCH("software",I636))+ISNUMBER(SEARCH("internet",I636))+ISNUMBER(SEARCH("computer",I636))+ISNUMBER(SEARCH("saas",I636))+ISNUMBER(SEARCH("fintech",I636))+ISNUMBER(SEARCH("information services",I636))+ISNUMBER(SEARCH("telecommunications",I636))&gt;0,'Configuración'!$B$27,'Configuración'!$B$28))</f>
        <v>12</v>
      </c>
      <c r="U636" s="25">
        <f>IF(B636="","",IF(ISNUMBER(SEARCH("CEO",C636))+ISNUMBER(SEARCH("Founder",C636))+ISNUMBER(SEARCH("Owner",C636))+ISNUMBER(SEARCH("Dueño",C636))+ISNUMBER(SEARCH("Director General",C636))+ISNUMBER(SEARCH("Presidente",C636))+ISNUMBER(SEARCH("President",C636))&gt;0,'Configuración'!$B$31,IF(ISNUMBER(SEARCH("CMO",C636))+ISNUMBER(SEARCH("Chief Marketing",C636))+ISNUMBER(SEARCH("VP Marketing",C636))+ISNUMBER(SEARCH("Director de Marketing",C636))+ISNUMBER(SEARCH("Director Marketing",C636))+ISNUMBER(SEARCH("Head of Marketing",C636))+ISNUMBER(SEARCH("Head Marketing",C636))&gt;0,'Configuración'!$B$32,IF(ISNUMBER(SEARCH("Marketing Manager",C636))+ISNUMBER(SEARCH("Gerente de Marketing",C636))+ISNUMBER(SEARCH("Growth Manager",C636))+ISNUMBER(SEARCH("Demand Gen",C636))+ISNUMBER(SEARCH("Marketing Lead",C636))&gt;0,'Configuración'!$B$33,IF(ISNUMBER(SEARCH("COO",C636))+ISNUMBER(SEARCH("CFO",C636))+ISNUMBER(SEARCH("CTO",C636))+ISNUMBER(SEARCH("Chief Operating",C636))+ISNUMBER(SEARCH("Chief Financial",C636))+ISNUMBER(SEARCH("Gerente General",C636))+ISNUMBER(SEARCH("General Manager",C636))&gt;0,'Configuración'!$B$34,'Configuración'!$B$35)))))</f>
        <v>4</v>
      </c>
      <c r="V636" s="38">
        <f>IF(B636="","",IF(K636="Sí",'Configuración'!$B$5,0)+IF(L636="Semanal",'Configuración'!$B$6,IF(L636="Mensual",'Configuración'!$B$7,0))+IF(M636="Sí",'Configuración'!$B$8,0)+IF(N636="Sí",'Configuración'!$B$9,0)+IF(O636="Sí",'Configuración'!$B$10,0)+IF(P636="Sí",'Configuración'!$B$11,0)+IF(Q636="Sí",'Configuración'!$B$12,0)+S636+T636+U636)</f>
        <v>20</v>
      </c>
      <c r="W636" s="39" t="str">
        <f>IF(B636="","",IF(V636&gt;='Configuración'!$B$19,"A",IF(V636&gt;='Configuración'!$B$20,"B",IF(V636&gt;='Configuración'!$B$21,"C","Descarte"))))</f>
        <v>Descarte</v>
      </c>
    </row>
    <row r="637" ht="15.75" customHeight="1">
      <c r="A637" s="34">
        <f t="shared" si="1"/>
        <v>635</v>
      </c>
      <c r="B637" s="29" t="s">
        <v>629</v>
      </c>
      <c r="C637" s="29" t="s">
        <v>121</v>
      </c>
      <c r="D637" s="29" t="s">
        <v>3833</v>
      </c>
      <c r="E637" s="29" t="s">
        <v>3834</v>
      </c>
      <c r="F637" s="30" t="s">
        <v>3835</v>
      </c>
      <c r="G637" s="30" t="s">
        <v>3836</v>
      </c>
      <c r="H637" s="30" t="s">
        <v>3837</v>
      </c>
      <c r="I637" s="29" t="s">
        <v>946</v>
      </c>
      <c r="J637" s="31">
        <v>16.0</v>
      </c>
      <c r="K637" s="35"/>
      <c r="L637" s="35"/>
      <c r="M637" s="35"/>
      <c r="N637" s="35"/>
      <c r="O637" s="35"/>
      <c r="P637" s="35"/>
      <c r="Q637" s="35"/>
      <c r="R637" s="35"/>
      <c r="S637" s="37">
        <f>IF(B637="","",IF(ISNUMBER(J637),IF(J637&lt;=10,'Configuración'!$B$23,IF(J637&lt;=50,'Configuración'!$B$24,IF(J637&lt;=200,'Configuración'!$B$25,0))),0))</f>
        <v>4</v>
      </c>
      <c r="T637" s="37">
        <f>IF(B637="","",IF(ISNUMBER(SEARCH("information technology",I637))+ISNUMBER(SEARCH("software",I637))+ISNUMBER(SEARCH("internet",I637))+ISNUMBER(SEARCH("computer",I637))+ISNUMBER(SEARCH("saas",I637))+ISNUMBER(SEARCH("fintech",I637))+ISNUMBER(SEARCH("information services",I637))+ISNUMBER(SEARCH("telecommunications",I637))&gt;0,'Configuración'!$B$27,'Configuración'!$B$28))</f>
        <v>4</v>
      </c>
      <c r="U637" s="25">
        <f>IF(B637="","",IF(ISNUMBER(SEARCH("CEO",C637))+ISNUMBER(SEARCH("Founder",C637))+ISNUMBER(SEARCH("Owner",C637))+ISNUMBER(SEARCH("Dueño",C637))+ISNUMBER(SEARCH("Director General",C637))+ISNUMBER(SEARCH("Presidente",C637))+ISNUMBER(SEARCH("President",C637))&gt;0,'Configuración'!$B$31,IF(ISNUMBER(SEARCH("CMO",C637))+ISNUMBER(SEARCH("Chief Marketing",C637))+ISNUMBER(SEARCH("VP Marketing",C637))+ISNUMBER(SEARCH("Director de Marketing",C637))+ISNUMBER(SEARCH("Director Marketing",C637))+ISNUMBER(SEARCH("Head of Marketing",C637))+ISNUMBER(SEARCH("Head Marketing",C637))&gt;0,'Configuración'!$B$32,IF(ISNUMBER(SEARCH("Marketing Manager",C637))+ISNUMBER(SEARCH("Gerente de Marketing",C637))+ISNUMBER(SEARCH("Growth Manager",C637))+ISNUMBER(SEARCH("Demand Gen",C637))+ISNUMBER(SEARCH("Marketing Lead",C637))&gt;0,'Configuración'!$B$33,IF(ISNUMBER(SEARCH("COO",C637))+ISNUMBER(SEARCH("CFO",C637))+ISNUMBER(SEARCH("CTO",C637))+ISNUMBER(SEARCH("Chief Operating",C637))+ISNUMBER(SEARCH("Chief Financial",C637))+ISNUMBER(SEARCH("Gerente General",C637))+ISNUMBER(SEARCH("General Manager",C637))&gt;0,'Configuración'!$B$34,'Configuración'!$B$35)))))</f>
        <v>12</v>
      </c>
      <c r="V637" s="38">
        <f>IF(B637="","",IF(K637="Sí",'Configuración'!$B$5,0)+IF(L637="Semanal",'Configuración'!$B$6,IF(L637="Mensual",'Configuración'!$B$7,0))+IF(M637="Sí",'Configuración'!$B$8,0)+IF(N637="Sí",'Configuración'!$B$9,0)+IF(O637="Sí",'Configuración'!$B$10,0)+IF(P637="Sí",'Configuración'!$B$11,0)+IF(Q637="Sí",'Configuración'!$B$12,0)+S637+T637+U637)</f>
        <v>20</v>
      </c>
      <c r="W637" s="39" t="str">
        <f>IF(B637="","",IF(V637&gt;='Configuración'!$B$19,"A",IF(V637&gt;='Configuración'!$B$20,"B",IF(V637&gt;='Configuración'!$B$21,"C","Descarte"))))</f>
        <v>Descarte</v>
      </c>
    </row>
    <row r="638" ht="15.75" customHeight="1">
      <c r="A638" s="34">
        <f t="shared" si="1"/>
        <v>636</v>
      </c>
      <c r="B638" s="29" t="s">
        <v>236</v>
      </c>
      <c r="C638" s="29" t="s">
        <v>131</v>
      </c>
      <c r="D638" s="29" t="s">
        <v>3838</v>
      </c>
      <c r="E638" s="29" t="s">
        <v>3839</v>
      </c>
      <c r="F638" s="30" t="s">
        <v>3840</v>
      </c>
      <c r="G638" s="30" t="s">
        <v>3841</v>
      </c>
      <c r="H638" s="30" t="s">
        <v>3842</v>
      </c>
      <c r="I638" s="29" t="s">
        <v>3843</v>
      </c>
      <c r="J638" s="31">
        <v>13.0</v>
      </c>
      <c r="K638" s="35"/>
      <c r="L638" s="35"/>
      <c r="M638" s="35"/>
      <c r="N638" s="35"/>
      <c r="O638" s="35"/>
      <c r="P638" s="35"/>
      <c r="Q638" s="35"/>
      <c r="R638" s="35"/>
      <c r="S638" s="37">
        <f>IF(B638="","",IF(ISNUMBER(J638),IF(J638&lt;=10,'Configuración'!$B$23,IF(J638&lt;=50,'Configuración'!$B$24,IF(J638&lt;=200,'Configuración'!$B$25,0))),0))</f>
        <v>4</v>
      </c>
      <c r="T638" s="37">
        <f>IF(B638="","",IF(ISNUMBER(SEARCH("information technology",I638))+ISNUMBER(SEARCH("software",I638))+ISNUMBER(SEARCH("internet",I638))+ISNUMBER(SEARCH("computer",I638))+ISNUMBER(SEARCH("saas",I638))+ISNUMBER(SEARCH("fintech",I638))+ISNUMBER(SEARCH("information services",I638))+ISNUMBER(SEARCH("telecommunications",I638))&gt;0,'Configuración'!$B$27,'Configuración'!$B$28))</f>
        <v>4</v>
      </c>
      <c r="U638" s="25">
        <f>IF(B638="","",IF(ISNUMBER(SEARCH("CEO",C638))+ISNUMBER(SEARCH("Founder",C638))+ISNUMBER(SEARCH("Owner",C638))+ISNUMBER(SEARCH("Dueño",C638))+ISNUMBER(SEARCH("Director General",C638))+ISNUMBER(SEARCH("Presidente",C638))+ISNUMBER(SEARCH("President",C638))&gt;0,'Configuración'!$B$31,IF(ISNUMBER(SEARCH("CMO",C638))+ISNUMBER(SEARCH("Chief Marketing",C638))+ISNUMBER(SEARCH("VP Marketing",C638))+ISNUMBER(SEARCH("Director de Marketing",C638))+ISNUMBER(SEARCH("Director Marketing",C638))+ISNUMBER(SEARCH("Head of Marketing",C638))+ISNUMBER(SEARCH("Head Marketing",C638))&gt;0,'Configuración'!$B$32,IF(ISNUMBER(SEARCH("Marketing Manager",C638))+ISNUMBER(SEARCH("Gerente de Marketing",C638))+ISNUMBER(SEARCH("Growth Manager",C638))+ISNUMBER(SEARCH("Demand Gen",C638))+ISNUMBER(SEARCH("Marketing Lead",C638))&gt;0,'Configuración'!$B$33,IF(ISNUMBER(SEARCH("COO",C638))+ISNUMBER(SEARCH("CFO",C638))+ISNUMBER(SEARCH("CTO",C638))+ISNUMBER(SEARCH("Chief Operating",C638))+ISNUMBER(SEARCH("Chief Financial",C638))+ISNUMBER(SEARCH("Gerente General",C638))+ISNUMBER(SEARCH("General Manager",C638))&gt;0,'Configuración'!$B$34,'Configuración'!$B$35)))))</f>
        <v>12</v>
      </c>
      <c r="V638" s="38">
        <f>IF(B638="","",IF(K638="Sí",'Configuración'!$B$5,0)+IF(L638="Semanal",'Configuración'!$B$6,IF(L638="Mensual",'Configuración'!$B$7,0))+IF(M638="Sí",'Configuración'!$B$8,0)+IF(N638="Sí",'Configuración'!$B$9,0)+IF(O638="Sí",'Configuración'!$B$10,0)+IF(P638="Sí",'Configuración'!$B$11,0)+IF(Q638="Sí",'Configuración'!$B$12,0)+S638+T638+U638)</f>
        <v>20</v>
      </c>
      <c r="W638" s="39" t="str">
        <f>IF(B638="","",IF(V638&gt;='Configuración'!$B$19,"A",IF(V638&gt;='Configuración'!$B$20,"B",IF(V638&gt;='Configuración'!$B$21,"C","Descarte"))))</f>
        <v>Descarte</v>
      </c>
    </row>
    <row r="639" ht="15.75" customHeight="1">
      <c r="A639" s="34">
        <f t="shared" si="1"/>
        <v>637</v>
      </c>
      <c r="B639" s="29" t="s">
        <v>236</v>
      </c>
      <c r="C639" s="29" t="s">
        <v>146</v>
      </c>
      <c r="D639" s="29" t="s">
        <v>3844</v>
      </c>
      <c r="E639" s="29" t="s">
        <v>3845</v>
      </c>
      <c r="F639" s="30" t="s">
        <v>3846</v>
      </c>
      <c r="G639" s="30" t="s">
        <v>3847</v>
      </c>
      <c r="H639" s="30" t="s">
        <v>3848</v>
      </c>
      <c r="I639" s="29" t="s">
        <v>116</v>
      </c>
      <c r="J639" s="31">
        <v>18.0</v>
      </c>
      <c r="K639" s="35"/>
      <c r="L639" s="35"/>
      <c r="M639" s="35"/>
      <c r="N639" s="35"/>
      <c r="O639" s="35"/>
      <c r="P639" s="35"/>
      <c r="Q639" s="35"/>
      <c r="R639" s="35"/>
      <c r="S639" s="37">
        <f>IF(B639="","",IF(ISNUMBER(J639),IF(J639&lt;=10,'Configuración'!$B$23,IF(J639&lt;=50,'Configuración'!$B$24,IF(J639&lt;=200,'Configuración'!$B$25,0))),0))</f>
        <v>4</v>
      </c>
      <c r="T639" s="37">
        <f>IF(B639="","",IF(ISNUMBER(SEARCH("information technology",I639))+ISNUMBER(SEARCH("software",I639))+ISNUMBER(SEARCH("internet",I639))+ISNUMBER(SEARCH("computer",I639))+ISNUMBER(SEARCH("saas",I639))+ISNUMBER(SEARCH("fintech",I639))+ISNUMBER(SEARCH("information services",I639))+ISNUMBER(SEARCH("telecommunications",I639))&gt;0,'Configuración'!$B$27,'Configuración'!$B$28))</f>
        <v>4</v>
      </c>
      <c r="U639" s="25">
        <f>IF(B639="","",IF(ISNUMBER(SEARCH("CEO",C639))+ISNUMBER(SEARCH("Founder",C639))+ISNUMBER(SEARCH("Owner",C639))+ISNUMBER(SEARCH("Dueño",C639))+ISNUMBER(SEARCH("Director General",C639))+ISNUMBER(SEARCH("Presidente",C639))+ISNUMBER(SEARCH("President",C639))&gt;0,'Configuración'!$B$31,IF(ISNUMBER(SEARCH("CMO",C639))+ISNUMBER(SEARCH("Chief Marketing",C639))+ISNUMBER(SEARCH("VP Marketing",C639))+ISNUMBER(SEARCH("Director de Marketing",C639))+ISNUMBER(SEARCH("Director Marketing",C639))+ISNUMBER(SEARCH("Head of Marketing",C639))+ISNUMBER(SEARCH("Head Marketing",C639))&gt;0,'Configuración'!$B$32,IF(ISNUMBER(SEARCH("Marketing Manager",C639))+ISNUMBER(SEARCH("Gerente de Marketing",C639))+ISNUMBER(SEARCH("Growth Manager",C639))+ISNUMBER(SEARCH("Demand Gen",C639))+ISNUMBER(SEARCH("Marketing Lead",C639))&gt;0,'Configuración'!$B$33,IF(ISNUMBER(SEARCH("COO",C639))+ISNUMBER(SEARCH("CFO",C639))+ISNUMBER(SEARCH("CTO",C639))+ISNUMBER(SEARCH("Chief Operating",C639))+ISNUMBER(SEARCH("Chief Financial",C639))+ISNUMBER(SEARCH("Gerente General",C639))+ISNUMBER(SEARCH("General Manager",C639))&gt;0,'Configuración'!$B$34,'Configuración'!$B$35)))))</f>
        <v>0</v>
      </c>
      <c r="V639" s="38">
        <f>IF(B639="","",IF(K639="Sí",'Configuración'!$B$5,0)+IF(L639="Semanal",'Configuración'!$B$6,IF(L639="Mensual",'Configuración'!$B$7,0))+IF(M639="Sí",'Configuración'!$B$8,0)+IF(N639="Sí",'Configuración'!$B$9,0)+IF(O639="Sí",'Configuración'!$B$10,0)+IF(P639="Sí",'Configuración'!$B$11,0)+IF(Q639="Sí",'Configuración'!$B$12,0)+S639+T639+U639)</f>
        <v>8</v>
      </c>
      <c r="W639" s="39" t="str">
        <f>IF(B639="","",IF(V639&gt;='Configuración'!$B$19,"A",IF(V639&gt;='Configuración'!$B$20,"B",IF(V639&gt;='Configuración'!$B$21,"C","Descarte"))))</f>
        <v>Descarte</v>
      </c>
    </row>
    <row r="640" ht="15.75" customHeight="1">
      <c r="A640" s="34">
        <f t="shared" si="1"/>
        <v>638</v>
      </c>
      <c r="B640" s="29" t="s">
        <v>564</v>
      </c>
      <c r="C640" s="29" t="s">
        <v>3849</v>
      </c>
      <c r="D640" s="29" t="s">
        <v>1043</v>
      </c>
      <c r="E640" s="29" t="s">
        <v>3850</v>
      </c>
      <c r="F640" s="30" t="s">
        <v>3851</v>
      </c>
      <c r="G640" s="30" t="s">
        <v>1046</v>
      </c>
      <c r="H640" s="30" t="s">
        <v>1047</v>
      </c>
      <c r="I640" s="29" t="s">
        <v>116</v>
      </c>
      <c r="J640" s="31">
        <v>12.0</v>
      </c>
      <c r="K640" s="35"/>
      <c r="L640" s="35"/>
      <c r="M640" s="35"/>
      <c r="N640" s="35"/>
      <c r="O640" s="35"/>
      <c r="P640" s="35"/>
      <c r="Q640" s="35"/>
      <c r="R640" s="35"/>
      <c r="S640" s="37">
        <f>IF(B640="","",IF(ISNUMBER(J640),IF(J640&lt;=10,'Configuración'!$B$23,IF(J640&lt;=50,'Configuración'!$B$24,IF(J640&lt;=200,'Configuración'!$B$25,0))),0))</f>
        <v>4</v>
      </c>
      <c r="T640" s="37">
        <f>IF(B640="","",IF(ISNUMBER(SEARCH("information technology",I640))+ISNUMBER(SEARCH("software",I640))+ISNUMBER(SEARCH("internet",I640))+ISNUMBER(SEARCH("computer",I640))+ISNUMBER(SEARCH("saas",I640))+ISNUMBER(SEARCH("fintech",I640))+ISNUMBER(SEARCH("information services",I640))+ISNUMBER(SEARCH("telecommunications",I640))&gt;0,'Configuración'!$B$27,'Configuración'!$B$28))</f>
        <v>4</v>
      </c>
      <c r="U640" s="25">
        <f>IF(B640="","",IF(ISNUMBER(SEARCH("CEO",C640))+ISNUMBER(SEARCH("Founder",C640))+ISNUMBER(SEARCH("Owner",C640))+ISNUMBER(SEARCH("Dueño",C640))+ISNUMBER(SEARCH("Director General",C640))+ISNUMBER(SEARCH("Presidente",C640))+ISNUMBER(SEARCH("President",C640))&gt;0,'Configuración'!$B$31,IF(ISNUMBER(SEARCH("CMO",C640))+ISNUMBER(SEARCH("Chief Marketing",C640))+ISNUMBER(SEARCH("VP Marketing",C640))+ISNUMBER(SEARCH("Director de Marketing",C640))+ISNUMBER(SEARCH("Director Marketing",C640))+ISNUMBER(SEARCH("Head of Marketing",C640))+ISNUMBER(SEARCH("Head Marketing",C640))&gt;0,'Configuración'!$B$32,IF(ISNUMBER(SEARCH("Marketing Manager",C640))+ISNUMBER(SEARCH("Gerente de Marketing",C640))+ISNUMBER(SEARCH("Growth Manager",C640))+ISNUMBER(SEARCH("Demand Gen",C640))+ISNUMBER(SEARCH("Marketing Lead",C640))&gt;0,'Configuración'!$B$33,IF(ISNUMBER(SEARCH("COO",C640))+ISNUMBER(SEARCH("CFO",C640))+ISNUMBER(SEARCH("CTO",C640))+ISNUMBER(SEARCH("Chief Operating",C640))+ISNUMBER(SEARCH("Chief Financial",C640))+ISNUMBER(SEARCH("Gerente General",C640))+ISNUMBER(SEARCH("General Manager",C640))&gt;0,'Configuración'!$B$34,'Configuración'!$B$35)))))</f>
        <v>12</v>
      </c>
      <c r="V640" s="38">
        <f>IF(B640="","",IF(K640="Sí",'Configuración'!$B$5,0)+IF(L640="Semanal",'Configuración'!$B$6,IF(L640="Mensual",'Configuración'!$B$7,0))+IF(M640="Sí",'Configuración'!$B$8,0)+IF(N640="Sí",'Configuración'!$B$9,0)+IF(O640="Sí",'Configuración'!$B$10,0)+IF(P640="Sí",'Configuración'!$B$11,0)+IF(Q640="Sí",'Configuración'!$B$12,0)+S640+T640+U640)</f>
        <v>20</v>
      </c>
      <c r="W640" s="39" t="str">
        <f>IF(B640="","",IF(V640&gt;='Configuración'!$B$19,"A",IF(V640&gt;='Configuración'!$B$20,"B",IF(V640&gt;='Configuración'!$B$21,"C","Descarte"))))</f>
        <v>Descarte</v>
      </c>
    </row>
    <row r="641" ht="15.75" customHeight="1">
      <c r="A641" s="34">
        <f t="shared" si="1"/>
        <v>639</v>
      </c>
      <c r="B641" s="29" t="s">
        <v>2897</v>
      </c>
      <c r="C641" s="29" t="s">
        <v>311</v>
      </c>
      <c r="D641" s="29" t="s">
        <v>1968</v>
      </c>
      <c r="E641" s="29" t="s">
        <v>3852</v>
      </c>
      <c r="F641" s="30" t="s">
        <v>3853</v>
      </c>
      <c r="G641" s="30" t="s">
        <v>1971</v>
      </c>
      <c r="H641" s="30" t="s">
        <v>1972</v>
      </c>
      <c r="I641" s="29" t="s">
        <v>127</v>
      </c>
      <c r="J641" s="31">
        <v>3.0</v>
      </c>
      <c r="K641" s="35"/>
      <c r="L641" s="35"/>
      <c r="M641" s="35"/>
      <c r="N641" s="35"/>
      <c r="O641" s="35"/>
      <c r="P641" s="35"/>
      <c r="Q641" s="35"/>
      <c r="R641" s="35"/>
      <c r="S641" s="37">
        <f>IF(B641="","",IF(ISNUMBER(J641),IF(J641&lt;=10,'Configuración'!$B$23,IF(J641&lt;=50,'Configuración'!$B$24,IF(J641&lt;=200,'Configuración'!$B$25,0))),0))</f>
        <v>12</v>
      </c>
      <c r="T641" s="37">
        <f>IF(B641="","",IF(ISNUMBER(SEARCH("information technology",I641))+ISNUMBER(SEARCH("software",I641))+ISNUMBER(SEARCH("internet",I641))+ISNUMBER(SEARCH("computer",I641))+ISNUMBER(SEARCH("saas",I641))+ISNUMBER(SEARCH("fintech",I641))+ISNUMBER(SEARCH("information services",I641))+ISNUMBER(SEARCH("telecommunications",I641))&gt;0,'Configuración'!$B$27,'Configuración'!$B$28))</f>
        <v>12</v>
      </c>
      <c r="U641" s="25">
        <f>IF(B641="","",IF(ISNUMBER(SEARCH("CEO",C641))+ISNUMBER(SEARCH("Founder",C641))+ISNUMBER(SEARCH("Owner",C641))+ISNUMBER(SEARCH("Dueño",C641))+ISNUMBER(SEARCH("Director General",C641))+ISNUMBER(SEARCH("Presidente",C641))+ISNUMBER(SEARCH("President",C641))&gt;0,'Configuración'!$B$31,IF(ISNUMBER(SEARCH("CMO",C641))+ISNUMBER(SEARCH("Chief Marketing",C641))+ISNUMBER(SEARCH("VP Marketing",C641))+ISNUMBER(SEARCH("Director de Marketing",C641))+ISNUMBER(SEARCH("Director Marketing",C641))+ISNUMBER(SEARCH("Head of Marketing",C641))+ISNUMBER(SEARCH("Head Marketing",C641))&gt;0,'Configuración'!$B$32,IF(ISNUMBER(SEARCH("Marketing Manager",C641))+ISNUMBER(SEARCH("Gerente de Marketing",C641))+ISNUMBER(SEARCH("Growth Manager",C641))+ISNUMBER(SEARCH("Demand Gen",C641))+ISNUMBER(SEARCH("Marketing Lead",C641))&gt;0,'Configuración'!$B$33,IF(ISNUMBER(SEARCH("COO",C641))+ISNUMBER(SEARCH("CFO",C641))+ISNUMBER(SEARCH("CTO",C641))+ISNUMBER(SEARCH("Chief Operating",C641))+ISNUMBER(SEARCH("Chief Financial",C641))+ISNUMBER(SEARCH("Gerente General",C641))+ISNUMBER(SEARCH("General Manager",C641))&gt;0,'Configuración'!$B$34,'Configuración'!$B$35)))))</f>
        <v>12</v>
      </c>
      <c r="V641" s="38">
        <f>IF(B641="","",IF(K641="Sí",'Configuración'!$B$5,0)+IF(L641="Semanal",'Configuración'!$B$6,IF(L641="Mensual",'Configuración'!$B$7,0))+IF(M641="Sí",'Configuración'!$B$8,0)+IF(N641="Sí",'Configuración'!$B$9,0)+IF(O641="Sí",'Configuración'!$B$10,0)+IF(P641="Sí",'Configuración'!$B$11,0)+IF(Q641="Sí",'Configuración'!$B$12,0)+S641+T641+U641)</f>
        <v>36</v>
      </c>
      <c r="W641" s="39" t="str">
        <f>IF(B641="","",IF(V641&gt;='Configuración'!$B$19,"A",IF(V641&gt;='Configuración'!$B$20,"B",IF(V641&gt;='Configuración'!$B$21,"C","Descarte"))))</f>
        <v>C</v>
      </c>
    </row>
    <row r="642" ht="15.75" customHeight="1">
      <c r="A642" s="34">
        <f t="shared" si="1"/>
        <v>640</v>
      </c>
      <c r="B642" s="29" t="s">
        <v>3854</v>
      </c>
      <c r="C642" s="29" t="s">
        <v>175</v>
      </c>
      <c r="D642" s="29" t="s">
        <v>3855</v>
      </c>
      <c r="E642" s="29" t="s">
        <v>3856</v>
      </c>
      <c r="F642" s="30" t="s">
        <v>3857</v>
      </c>
      <c r="G642" s="30" t="s">
        <v>3858</v>
      </c>
      <c r="H642" s="30" t="s">
        <v>3859</v>
      </c>
      <c r="I642" s="29" t="s">
        <v>127</v>
      </c>
      <c r="J642" s="31">
        <v>8.0</v>
      </c>
      <c r="K642" s="35"/>
      <c r="L642" s="35"/>
      <c r="M642" s="35"/>
      <c r="N642" s="35"/>
      <c r="O642" s="35"/>
      <c r="P642" s="35"/>
      <c r="Q642" s="35"/>
      <c r="R642" s="35"/>
      <c r="S642" s="37">
        <f>IF(B642="","",IF(ISNUMBER(J642),IF(J642&lt;=10,'Configuración'!$B$23,IF(J642&lt;=50,'Configuración'!$B$24,IF(J642&lt;=200,'Configuración'!$B$25,0))),0))</f>
        <v>12</v>
      </c>
      <c r="T642" s="37">
        <f>IF(B642="","",IF(ISNUMBER(SEARCH("information technology",I642))+ISNUMBER(SEARCH("software",I642))+ISNUMBER(SEARCH("internet",I642))+ISNUMBER(SEARCH("computer",I642))+ISNUMBER(SEARCH("saas",I642))+ISNUMBER(SEARCH("fintech",I642))+ISNUMBER(SEARCH("information services",I642))+ISNUMBER(SEARCH("telecommunications",I642))&gt;0,'Configuración'!$B$27,'Configuración'!$B$28))</f>
        <v>12</v>
      </c>
      <c r="U642" s="25">
        <f>IF(B642="","",IF(ISNUMBER(SEARCH("CEO",C642))+ISNUMBER(SEARCH("Founder",C642))+ISNUMBER(SEARCH("Owner",C642))+ISNUMBER(SEARCH("Dueño",C642))+ISNUMBER(SEARCH("Director General",C642))+ISNUMBER(SEARCH("Presidente",C642))+ISNUMBER(SEARCH("President",C642))&gt;0,'Configuración'!$B$31,IF(ISNUMBER(SEARCH("CMO",C642))+ISNUMBER(SEARCH("Chief Marketing",C642))+ISNUMBER(SEARCH("VP Marketing",C642))+ISNUMBER(SEARCH("Director de Marketing",C642))+ISNUMBER(SEARCH("Director Marketing",C642))+ISNUMBER(SEARCH("Head of Marketing",C642))+ISNUMBER(SEARCH("Head Marketing",C642))&gt;0,'Configuración'!$B$32,IF(ISNUMBER(SEARCH("Marketing Manager",C642))+ISNUMBER(SEARCH("Gerente de Marketing",C642))+ISNUMBER(SEARCH("Growth Manager",C642))+ISNUMBER(SEARCH("Demand Gen",C642))+ISNUMBER(SEARCH("Marketing Lead",C642))&gt;0,'Configuración'!$B$33,IF(ISNUMBER(SEARCH("COO",C642))+ISNUMBER(SEARCH("CFO",C642))+ISNUMBER(SEARCH("CTO",C642))+ISNUMBER(SEARCH("Chief Operating",C642))+ISNUMBER(SEARCH("Chief Financial",C642))+ISNUMBER(SEARCH("Gerente General",C642))+ISNUMBER(SEARCH("General Manager",C642))&gt;0,'Configuración'!$B$34,'Configuración'!$B$35)))))</f>
        <v>12</v>
      </c>
      <c r="V642" s="38">
        <f>IF(B642="","",IF(K642="Sí",'Configuración'!$B$5,0)+IF(L642="Semanal",'Configuración'!$B$6,IF(L642="Mensual",'Configuración'!$B$7,0))+IF(M642="Sí",'Configuración'!$B$8,0)+IF(N642="Sí",'Configuración'!$B$9,0)+IF(O642="Sí",'Configuración'!$B$10,0)+IF(P642="Sí",'Configuración'!$B$11,0)+IF(Q642="Sí",'Configuración'!$B$12,0)+S642+T642+U642)</f>
        <v>36</v>
      </c>
      <c r="W642" s="39" t="str">
        <f>IF(B642="","",IF(V642&gt;='Configuración'!$B$19,"A",IF(V642&gt;='Configuración'!$B$20,"B",IF(V642&gt;='Configuración'!$B$21,"C","Descarte"))))</f>
        <v>C</v>
      </c>
    </row>
    <row r="643" ht="15.75" customHeight="1">
      <c r="A643" s="34">
        <f t="shared" si="1"/>
        <v>641</v>
      </c>
      <c r="B643" s="29" t="s">
        <v>174</v>
      </c>
      <c r="C643" s="29" t="s">
        <v>622</v>
      </c>
      <c r="D643" s="29" t="s">
        <v>3860</v>
      </c>
      <c r="E643" s="29" t="s">
        <v>3861</v>
      </c>
      <c r="F643" s="30" t="s">
        <v>3862</v>
      </c>
      <c r="G643" s="30" t="s">
        <v>3863</v>
      </c>
      <c r="H643" s="30" t="s">
        <v>3864</v>
      </c>
      <c r="I643" s="29" t="s">
        <v>127</v>
      </c>
      <c r="J643" s="31">
        <v>30.0</v>
      </c>
      <c r="K643" s="35"/>
      <c r="L643" s="35"/>
      <c r="M643" s="35"/>
      <c r="N643" s="35"/>
      <c r="O643" s="35"/>
      <c r="P643" s="35"/>
      <c r="Q643" s="35"/>
      <c r="R643" s="35"/>
      <c r="S643" s="37">
        <f>IF(B643="","",IF(ISNUMBER(J643),IF(J643&lt;=10,'Configuración'!$B$23,IF(J643&lt;=50,'Configuración'!$B$24,IF(J643&lt;=200,'Configuración'!$B$25,0))),0))</f>
        <v>4</v>
      </c>
      <c r="T643" s="37">
        <f>IF(B643="","",IF(ISNUMBER(SEARCH("information technology",I643))+ISNUMBER(SEARCH("software",I643))+ISNUMBER(SEARCH("internet",I643))+ISNUMBER(SEARCH("computer",I643))+ISNUMBER(SEARCH("saas",I643))+ISNUMBER(SEARCH("fintech",I643))+ISNUMBER(SEARCH("information services",I643))+ISNUMBER(SEARCH("telecommunications",I643))&gt;0,'Configuración'!$B$27,'Configuración'!$B$28))</f>
        <v>12</v>
      </c>
      <c r="U643" s="25">
        <f>IF(B643="","",IF(ISNUMBER(SEARCH("CEO",C643))+ISNUMBER(SEARCH("Founder",C643))+ISNUMBER(SEARCH("Owner",C643))+ISNUMBER(SEARCH("Dueño",C643))+ISNUMBER(SEARCH("Director General",C643))+ISNUMBER(SEARCH("Presidente",C643))+ISNUMBER(SEARCH("President",C643))&gt;0,'Configuración'!$B$31,IF(ISNUMBER(SEARCH("CMO",C643))+ISNUMBER(SEARCH("Chief Marketing",C643))+ISNUMBER(SEARCH("VP Marketing",C643))+ISNUMBER(SEARCH("Director de Marketing",C643))+ISNUMBER(SEARCH("Director Marketing",C643))+ISNUMBER(SEARCH("Head of Marketing",C643))+ISNUMBER(SEARCH("Head Marketing",C643))&gt;0,'Configuración'!$B$32,IF(ISNUMBER(SEARCH("Marketing Manager",C643))+ISNUMBER(SEARCH("Gerente de Marketing",C643))+ISNUMBER(SEARCH("Growth Manager",C643))+ISNUMBER(SEARCH("Demand Gen",C643))+ISNUMBER(SEARCH("Marketing Lead",C643))&gt;0,'Configuración'!$B$33,IF(ISNUMBER(SEARCH("COO",C643))+ISNUMBER(SEARCH("CFO",C643))+ISNUMBER(SEARCH("CTO",C643))+ISNUMBER(SEARCH("Chief Operating",C643))+ISNUMBER(SEARCH("Chief Financial",C643))+ISNUMBER(SEARCH("Gerente General",C643))+ISNUMBER(SEARCH("General Manager",C643))&gt;0,'Configuración'!$B$34,'Configuración'!$B$35)))))</f>
        <v>12</v>
      </c>
      <c r="V643" s="38">
        <f>IF(B643="","",IF(K643="Sí",'Configuración'!$B$5,0)+IF(L643="Semanal",'Configuración'!$B$6,IF(L643="Mensual",'Configuración'!$B$7,0))+IF(M643="Sí",'Configuración'!$B$8,0)+IF(N643="Sí",'Configuración'!$B$9,0)+IF(O643="Sí",'Configuración'!$B$10,0)+IF(P643="Sí",'Configuración'!$B$11,0)+IF(Q643="Sí",'Configuración'!$B$12,0)+S643+T643+U643)</f>
        <v>28</v>
      </c>
      <c r="W643" s="39" t="str">
        <f>IF(B643="","",IF(V643&gt;='Configuración'!$B$19,"A",IF(V643&gt;='Configuración'!$B$20,"B",IF(V643&gt;='Configuración'!$B$21,"C","Descarte"))))</f>
        <v>C</v>
      </c>
    </row>
    <row r="644" ht="15.75" customHeight="1">
      <c r="A644" s="34">
        <f t="shared" si="1"/>
        <v>642</v>
      </c>
      <c r="B644" s="29" t="s">
        <v>1028</v>
      </c>
      <c r="C644" s="29" t="s">
        <v>3865</v>
      </c>
      <c r="D644" s="29" t="s">
        <v>3866</v>
      </c>
      <c r="E644" s="29" t="s">
        <v>3867</v>
      </c>
      <c r="F644" s="30" t="s">
        <v>3868</v>
      </c>
      <c r="G644" s="30" t="s">
        <v>3869</v>
      </c>
      <c r="H644" s="30" t="s">
        <v>3870</v>
      </c>
      <c r="I644" s="29" t="s">
        <v>127</v>
      </c>
      <c r="J644" s="31">
        <v>3.0</v>
      </c>
      <c r="K644" s="35"/>
      <c r="L644" s="35"/>
      <c r="M644" s="35"/>
      <c r="N644" s="35"/>
      <c r="O644" s="35"/>
      <c r="P644" s="35"/>
      <c r="Q644" s="35"/>
      <c r="R644" s="35"/>
      <c r="S644" s="37">
        <f>IF(B644="","",IF(ISNUMBER(J644),IF(J644&lt;=10,'Configuración'!$B$23,IF(J644&lt;=50,'Configuración'!$B$24,IF(J644&lt;=200,'Configuración'!$B$25,0))),0))</f>
        <v>12</v>
      </c>
      <c r="T644" s="37">
        <f>IF(B644="","",IF(ISNUMBER(SEARCH("information technology",I644))+ISNUMBER(SEARCH("software",I644))+ISNUMBER(SEARCH("internet",I644))+ISNUMBER(SEARCH("computer",I644))+ISNUMBER(SEARCH("saas",I644))+ISNUMBER(SEARCH("fintech",I644))+ISNUMBER(SEARCH("information services",I644))+ISNUMBER(SEARCH("telecommunications",I644))&gt;0,'Configuración'!$B$27,'Configuración'!$B$28))</f>
        <v>12</v>
      </c>
      <c r="U644" s="25">
        <f>IF(B644="","",IF(ISNUMBER(SEARCH("CEO",C644))+ISNUMBER(SEARCH("Founder",C644))+ISNUMBER(SEARCH("Owner",C644))+ISNUMBER(SEARCH("Dueño",C644))+ISNUMBER(SEARCH("Director General",C644))+ISNUMBER(SEARCH("Presidente",C644))+ISNUMBER(SEARCH("President",C644))&gt;0,'Configuración'!$B$31,IF(ISNUMBER(SEARCH("CMO",C644))+ISNUMBER(SEARCH("Chief Marketing",C644))+ISNUMBER(SEARCH("VP Marketing",C644))+ISNUMBER(SEARCH("Director de Marketing",C644))+ISNUMBER(SEARCH("Director Marketing",C644))+ISNUMBER(SEARCH("Head of Marketing",C644))+ISNUMBER(SEARCH("Head Marketing",C644))&gt;0,'Configuración'!$B$32,IF(ISNUMBER(SEARCH("Marketing Manager",C644))+ISNUMBER(SEARCH("Gerente de Marketing",C644))+ISNUMBER(SEARCH("Growth Manager",C644))+ISNUMBER(SEARCH("Demand Gen",C644))+ISNUMBER(SEARCH("Marketing Lead",C644))&gt;0,'Configuración'!$B$33,IF(ISNUMBER(SEARCH("COO",C644))+ISNUMBER(SEARCH("CFO",C644))+ISNUMBER(SEARCH("CTO",C644))+ISNUMBER(SEARCH("Chief Operating",C644))+ISNUMBER(SEARCH("Chief Financial",C644))+ISNUMBER(SEARCH("Gerente General",C644))+ISNUMBER(SEARCH("General Manager",C644))&gt;0,'Configuración'!$B$34,'Configuración'!$B$35)))))</f>
        <v>12</v>
      </c>
      <c r="V644" s="38">
        <f>IF(B644="","",IF(K644="Sí",'Configuración'!$B$5,0)+IF(L644="Semanal",'Configuración'!$B$6,IF(L644="Mensual",'Configuración'!$B$7,0))+IF(M644="Sí",'Configuración'!$B$8,0)+IF(N644="Sí",'Configuración'!$B$9,0)+IF(O644="Sí",'Configuración'!$B$10,0)+IF(P644="Sí",'Configuración'!$B$11,0)+IF(Q644="Sí",'Configuración'!$B$12,0)+S644+T644+U644)</f>
        <v>36</v>
      </c>
      <c r="W644" s="39" t="str">
        <f>IF(B644="","",IF(V644&gt;='Configuración'!$B$19,"A",IF(V644&gt;='Configuración'!$B$20,"B",IF(V644&gt;='Configuración'!$B$21,"C","Descarte"))))</f>
        <v>C</v>
      </c>
    </row>
    <row r="645" ht="15.75" customHeight="1">
      <c r="A645" s="34">
        <f t="shared" si="1"/>
        <v>643</v>
      </c>
      <c r="B645" s="29" t="s">
        <v>501</v>
      </c>
      <c r="C645" s="29" t="s">
        <v>3871</v>
      </c>
      <c r="D645" s="29" t="s">
        <v>3097</v>
      </c>
      <c r="E645" s="29" t="s">
        <v>3872</v>
      </c>
      <c r="F645" s="30" t="s">
        <v>3873</v>
      </c>
      <c r="G645" s="30" t="s">
        <v>3100</v>
      </c>
      <c r="H645" s="30" t="s">
        <v>3101</v>
      </c>
      <c r="I645" s="29" t="s">
        <v>127</v>
      </c>
      <c r="J645" s="31">
        <v>27.0</v>
      </c>
      <c r="K645" s="35"/>
      <c r="L645" s="35"/>
      <c r="M645" s="35"/>
      <c r="N645" s="35"/>
      <c r="O645" s="35"/>
      <c r="P645" s="35"/>
      <c r="Q645" s="35"/>
      <c r="R645" s="35"/>
      <c r="S645" s="37">
        <f>IF(B645="","",IF(ISNUMBER(J645),IF(J645&lt;=10,'Configuración'!$B$23,IF(J645&lt;=50,'Configuración'!$B$24,IF(J645&lt;=200,'Configuración'!$B$25,0))),0))</f>
        <v>4</v>
      </c>
      <c r="T645" s="37">
        <f>IF(B645="","",IF(ISNUMBER(SEARCH("information technology",I645))+ISNUMBER(SEARCH("software",I645))+ISNUMBER(SEARCH("internet",I645))+ISNUMBER(SEARCH("computer",I645))+ISNUMBER(SEARCH("saas",I645))+ISNUMBER(SEARCH("fintech",I645))+ISNUMBER(SEARCH("information services",I645))+ISNUMBER(SEARCH("telecommunications",I645))&gt;0,'Configuración'!$B$27,'Configuración'!$B$28))</f>
        <v>12</v>
      </c>
      <c r="U645" s="25">
        <f>IF(B645="","",IF(ISNUMBER(SEARCH("CEO",C645))+ISNUMBER(SEARCH("Founder",C645))+ISNUMBER(SEARCH("Owner",C645))+ISNUMBER(SEARCH("Dueño",C645))+ISNUMBER(SEARCH("Director General",C645))+ISNUMBER(SEARCH("Presidente",C645))+ISNUMBER(SEARCH("President",C645))&gt;0,'Configuración'!$B$31,IF(ISNUMBER(SEARCH("CMO",C645))+ISNUMBER(SEARCH("Chief Marketing",C645))+ISNUMBER(SEARCH("VP Marketing",C645))+ISNUMBER(SEARCH("Director de Marketing",C645))+ISNUMBER(SEARCH("Director Marketing",C645))+ISNUMBER(SEARCH("Head of Marketing",C645))+ISNUMBER(SEARCH("Head Marketing",C645))&gt;0,'Configuración'!$B$32,IF(ISNUMBER(SEARCH("Marketing Manager",C645))+ISNUMBER(SEARCH("Gerente de Marketing",C645))+ISNUMBER(SEARCH("Growth Manager",C645))+ISNUMBER(SEARCH("Demand Gen",C645))+ISNUMBER(SEARCH("Marketing Lead",C645))&gt;0,'Configuración'!$B$33,IF(ISNUMBER(SEARCH("COO",C645))+ISNUMBER(SEARCH("CFO",C645))+ISNUMBER(SEARCH("CTO",C645))+ISNUMBER(SEARCH("Chief Operating",C645))+ISNUMBER(SEARCH("Chief Financial",C645))+ISNUMBER(SEARCH("Gerente General",C645))+ISNUMBER(SEARCH("General Manager",C645))&gt;0,'Configuración'!$B$34,'Configuración'!$B$35)))))</f>
        <v>12</v>
      </c>
      <c r="V645" s="38">
        <f>IF(B645="","",IF(K645="Sí",'Configuración'!$B$5,0)+IF(L645="Semanal",'Configuración'!$B$6,IF(L645="Mensual",'Configuración'!$B$7,0))+IF(M645="Sí",'Configuración'!$B$8,0)+IF(N645="Sí",'Configuración'!$B$9,0)+IF(O645="Sí",'Configuración'!$B$10,0)+IF(P645="Sí",'Configuración'!$B$11,0)+IF(Q645="Sí",'Configuración'!$B$12,0)+S645+T645+U645)</f>
        <v>28</v>
      </c>
      <c r="W645" s="39" t="str">
        <f>IF(B645="","",IF(V645&gt;='Configuración'!$B$19,"A",IF(V645&gt;='Configuración'!$B$20,"B",IF(V645&gt;='Configuración'!$B$21,"C","Descarte"))))</f>
        <v>C</v>
      </c>
    </row>
    <row r="646" ht="15.75" customHeight="1">
      <c r="A646" s="34">
        <f t="shared" si="1"/>
        <v>644</v>
      </c>
      <c r="B646" s="29" t="s">
        <v>473</v>
      </c>
      <c r="C646" s="29" t="s">
        <v>202</v>
      </c>
      <c r="D646" s="29" t="s">
        <v>3874</v>
      </c>
      <c r="E646" s="29" t="s">
        <v>3875</v>
      </c>
      <c r="F646" s="30" t="s">
        <v>3876</v>
      </c>
      <c r="G646" s="30" t="s">
        <v>3877</v>
      </c>
      <c r="H646" s="30" t="s">
        <v>3878</v>
      </c>
      <c r="I646" s="29" t="s">
        <v>116</v>
      </c>
      <c r="J646" s="31">
        <v>11.0</v>
      </c>
      <c r="K646" s="35"/>
      <c r="L646" s="35"/>
      <c r="M646" s="35"/>
      <c r="N646" s="35"/>
      <c r="O646" s="35"/>
      <c r="P646" s="35"/>
      <c r="Q646" s="35"/>
      <c r="R646" s="35"/>
      <c r="S646" s="37">
        <f>IF(B646="","",IF(ISNUMBER(J646),IF(J646&lt;=10,'Configuración'!$B$23,IF(J646&lt;=50,'Configuración'!$B$24,IF(J646&lt;=200,'Configuración'!$B$25,0))),0))</f>
        <v>4</v>
      </c>
      <c r="T646" s="37">
        <f>IF(B646="","",IF(ISNUMBER(SEARCH("information technology",I646))+ISNUMBER(SEARCH("software",I646))+ISNUMBER(SEARCH("internet",I646))+ISNUMBER(SEARCH("computer",I646))+ISNUMBER(SEARCH("saas",I646))+ISNUMBER(SEARCH("fintech",I646))+ISNUMBER(SEARCH("information services",I646))+ISNUMBER(SEARCH("telecommunications",I646))&gt;0,'Configuración'!$B$27,'Configuración'!$B$28))</f>
        <v>4</v>
      </c>
      <c r="U646" s="25">
        <f>IF(B646="","",IF(ISNUMBER(SEARCH("CEO",C646))+ISNUMBER(SEARCH("Founder",C646))+ISNUMBER(SEARCH("Owner",C646))+ISNUMBER(SEARCH("Dueño",C646))+ISNUMBER(SEARCH("Director General",C646))+ISNUMBER(SEARCH("Presidente",C646))+ISNUMBER(SEARCH("President",C646))&gt;0,'Configuración'!$B$31,IF(ISNUMBER(SEARCH("CMO",C646))+ISNUMBER(SEARCH("Chief Marketing",C646))+ISNUMBER(SEARCH("VP Marketing",C646))+ISNUMBER(SEARCH("Director de Marketing",C646))+ISNUMBER(SEARCH("Director Marketing",C646))+ISNUMBER(SEARCH("Head of Marketing",C646))+ISNUMBER(SEARCH("Head Marketing",C646))&gt;0,'Configuración'!$B$32,IF(ISNUMBER(SEARCH("Marketing Manager",C646))+ISNUMBER(SEARCH("Gerente de Marketing",C646))+ISNUMBER(SEARCH("Growth Manager",C646))+ISNUMBER(SEARCH("Demand Gen",C646))+ISNUMBER(SEARCH("Marketing Lead",C646))&gt;0,'Configuración'!$B$33,IF(ISNUMBER(SEARCH("COO",C646))+ISNUMBER(SEARCH("CFO",C646))+ISNUMBER(SEARCH("CTO",C646))+ISNUMBER(SEARCH("Chief Operating",C646))+ISNUMBER(SEARCH("Chief Financial",C646))+ISNUMBER(SEARCH("Gerente General",C646))+ISNUMBER(SEARCH("General Manager",C646))&gt;0,'Configuración'!$B$34,'Configuración'!$B$35)))))</f>
        <v>12</v>
      </c>
      <c r="V646" s="38">
        <f>IF(B646="","",IF(K646="Sí",'Configuración'!$B$5,0)+IF(L646="Semanal",'Configuración'!$B$6,IF(L646="Mensual",'Configuración'!$B$7,0))+IF(M646="Sí",'Configuración'!$B$8,0)+IF(N646="Sí",'Configuración'!$B$9,0)+IF(O646="Sí",'Configuración'!$B$10,0)+IF(P646="Sí",'Configuración'!$B$11,0)+IF(Q646="Sí",'Configuración'!$B$12,0)+S646+T646+U646)</f>
        <v>20</v>
      </c>
      <c r="W646" s="39" t="str">
        <f>IF(B646="","",IF(V646&gt;='Configuración'!$B$19,"A",IF(V646&gt;='Configuración'!$B$20,"B",IF(V646&gt;='Configuración'!$B$21,"C","Descarte"))))</f>
        <v>Descarte</v>
      </c>
    </row>
    <row r="647" ht="15.75" customHeight="1">
      <c r="A647" s="34">
        <f t="shared" si="1"/>
        <v>645</v>
      </c>
      <c r="B647" s="29" t="s">
        <v>181</v>
      </c>
      <c r="C647" s="29" t="s">
        <v>3879</v>
      </c>
      <c r="D647" s="29" t="s">
        <v>3880</v>
      </c>
      <c r="E647" s="29" t="s">
        <v>3881</v>
      </c>
      <c r="F647" s="30" t="s">
        <v>3882</v>
      </c>
      <c r="G647" s="30" t="s">
        <v>3883</v>
      </c>
      <c r="H647" s="30" t="s">
        <v>3884</v>
      </c>
      <c r="I647" s="29" t="s">
        <v>127</v>
      </c>
      <c r="J647" s="31">
        <v>10.0</v>
      </c>
      <c r="K647" s="35"/>
      <c r="L647" s="35"/>
      <c r="M647" s="35"/>
      <c r="N647" s="35"/>
      <c r="O647" s="35"/>
      <c r="P647" s="35"/>
      <c r="Q647" s="35"/>
      <c r="R647" s="35"/>
      <c r="S647" s="37">
        <f>IF(B647="","",IF(ISNUMBER(J647),IF(J647&lt;=10,'Configuración'!$B$23,IF(J647&lt;=50,'Configuración'!$B$24,IF(J647&lt;=200,'Configuración'!$B$25,0))),0))</f>
        <v>12</v>
      </c>
      <c r="T647" s="37">
        <f>IF(B647="","",IF(ISNUMBER(SEARCH("information technology",I647))+ISNUMBER(SEARCH("software",I647))+ISNUMBER(SEARCH("internet",I647))+ISNUMBER(SEARCH("computer",I647))+ISNUMBER(SEARCH("saas",I647))+ISNUMBER(SEARCH("fintech",I647))+ISNUMBER(SEARCH("information services",I647))+ISNUMBER(SEARCH("telecommunications",I647))&gt;0,'Configuración'!$B$27,'Configuración'!$B$28))</f>
        <v>12</v>
      </c>
      <c r="U647" s="25">
        <f>IF(B647="","",IF(ISNUMBER(SEARCH("CEO",C647))+ISNUMBER(SEARCH("Founder",C647))+ISNUMBER(SEARCH("Owner",C647))+ISNUMBER(SEARCH("Dueño",C647))+ISNUMBER(SEARCH("Director General",C647))+ISNUMBER(SEARCH("Presidente",C647))+ISNUMBER(SEARCH("President",C647))&gt;0,'Configuración'!$B$31,IF(ISNUMBER(SEARCH("CMO",C647))+ISNUMBER(SEARCH("Chief Marketing",C647))+ISNUMBER(SEARCH("VP Marketing",C647))+ISNUMBER(SEARCH("Director de Marketing",C647))+ISNUMBER(SEARCH("Director Marketing",C647))+ISNUMBER(SEARCH("Head of Marketing",C647))+ISNUMBER(SEARCH("Head Marketing",C647))&gt;0,'Configuración'!$B$32,IF(ISNUMBER(SEARCH("Marketing Manager",C647))+ISNUMBER(SEARCH("Gerente de Marketing",C647))+ISNUMBER(SEARCH("Growth Manager",C647))+ISNUMBER(SEARCH("Demand Gen",C647))+ISNUMBER(SEARCH("Marketing Lead",C647))&gt;0,'Configuración'!$B$33,IF(ISNUMBER(SEARCH("COO",C647))+ISNUMBER(SEARCH("CFO",C647))+ISNUMBER(SEARCH("CTO",C647))+ISNUMBER(SEARCH("Chief Operating",C647))+ISNUMBER(SEARCH("Chief Financial",C647))+ISNUMBER(SEARCH("Gerente General",C647))+ISNUMBER(SEARCH("General Manager",C647))&gt;0,'Configuración'!$B$34,'Configuración'!$B$35)))))</f>
        <v>12</v>
      </c>
      <c r="V647" s="38">
        <f>IF(B647="","",IF(K647="Sí",'Configuración'!$B$5,0)+IF(L647="Semanal",'Configuración'!$B$6,IF(L647="Mensual",'Configuración'!$B$7,0))+IF(M647="Sí",'Configuración'!$B$8,0)+IF(N647="Sí",'Configuración'!$B$9,0)+IF(O647="Sí",'Configuración'!$B$10,0)+IF(P647="Sí",'Configuración'!$B$11,0)+IF(Q647="Sí",'Configuración'!$B$12,0)+S647+T647+U647)</f>
        <v>36</v>
      </c>
      <c r="W647" s="39" t="str">
        <f>IF(B647="","",IF(V647&gt;='Configuración'!$B$19,"A",IF(V647&gt;='Configuración'!$B$20,"B",IF(V647&gt;='Configuración'!$B$21,"C","Descarte"))))</f>
        <v>C</v>
      </c>
    </row>
    <row r="648" ht="15.75" customHeight="1">
      <c r="A648" s="34">
        <f t="shared" si="1"/>
        <v>646</v>
      </c>
      <c r="B648" s="29" t="s">
        <v>3885</v>
      </c>
      <c r="C648" s="29" t="s">
        <v>3886</v>
      </c>
      <c r="D648" s="29" t="s">
        <v>3887</v>
      </c>
      <c r="E648" s="29" t="s">
        <v>3888</v>
      </c>
      <c r="F648" s="30" t="s">
        <v>3889</v>
      </c>
      <c r="G648" s="30" t="s">
        <v>3890</v>
      </c>
      <c r="H648" s="30" t="s">
        <v>3891</v>
      </c>
      <c r="I648" s="29" t="s">
        <v>127</v>
      </c>
      <c r="J648" s="31">
        <v>19.0</v>
      </c>
      <c r="K648" s="35"/>
      <c r="L648" s="35"/>
      <c r="M648" s="35"/>
      <c r="N648" s="35"/>
      <c r="O648" s="35"/>
      <c r="P648" s="35"/>
      <c r="Q648" s="35"/>
      <c r="R648" s="35"/>
      <c r="S648" s="37">
        <f>IF(B648="","",IF(ISNUMBER(J648),IF(J648&lt;=10,'Configuración'!$B$23,IF(J648&lt;=50,'Configuración'!$B$24,IF(J648&lt;=200,'Configuración'!$B$25,0))),0))</f>
        <v>4</v>
      </c>
      <c r="T648" s="37">
        <f>IF(B648="","",IF(ISNUMBER(SEARCH("information technology",I648))+ISNUMBER(SEARCH("software",I648))+ISNUMBER(SEARCH("internet",I648))+ISNUMBER(SEARCH("computer",I648))+ISNUMBER(SEARCH("saas",I648))+ISNUMBER(SEARCH("fintech",I648))+ISNUMBER(SEARCH("information services",I648))+ISNUMBER(SEARCH("telecommunications",I648))&gt;0,'Configuración'!$B$27,'Configuración'!$B$28))</f>
        <v>12</v>
      </c>
      <c r="U648" s="25">
        <f>IF(B648="","",IF(ISNUMBER(SEARCH("CEO",C648))+ISNUMBER(SEARCH("Founder",C648))+ISNUMBER(SEARCH("Owner",C648))+ISNUMBER(SEARCH("Dueño",C648))+ISNUMBER(SEARCH("Director General",C648))+ISNUMBER(SEARCH("Presidente",C648))+ISNUMBER(SEARCH("President",C648))&gt;0,'Configuración'!$B$31,IF(ISNUMBER(SEARCH("CMO",C648))+ISNUMBER(SEARCH("Chief Marketing",C648))+ISNUMBER(SEARCH("VP Marketing",C648))+ISNUMBER(SEARCH("Director de Marketing",C648))+ISNUMBER(SEARCH("Director Marketing",C648))+ISNUMBER(SEARCH("Head of Marketing",C648))+ISNUMBER(SEARCH("Head Marketing",C648))&gt;0,'Configuración'!$B$32,IF(ISNUMBER(SEARCH("Marketing Manager",C648))+ISNUMBER(SEARCH("Gerente de Marketing",C648))+ISNUMBER(SEARCH("Growth Manager",C648))+ISNUMBER(SEARCH("Demand Gen",C648))+ISNUMBER(SEARCH("Marketing Lead",C648))&gt;0,'Configuración'!$B$33,IF(ISNUMBER(SEARCH("COO",C648))+ISNUMBER(SEARCH("CFO",C648))+ISNUMBER(SEARCH("CTO",C648))+ISNUMBER(SEARCH("Chief Operating",C648))+ISNUMBER(SEARCH("Chief Financial",C648))+ISNUMBER(SEARCH("Gerente General",C648))+ISNUMBER(SEARCH("General Manager",C648))&gt;0,'Configuración'!$B$34,'Configuración'!$B$35)))))</f>
        <v>4</v>
      </c>
      <c r="V648" s="38">
        <f>IF(B648="","",IF(K648="Sí",'Configuración'!$B$5,0)+IF(L648="Semanal",'Configuración'!$B$6,IF(L648="Mensual",'Configuración'!$B$7,0))+IF(M648="Sí",'Configuración'!$B$8,0)+IF(N648="Sí",'Configuración'!$B$9,0)+IF(O648="Sí",'Configuración'!$B$10,0)+IF(P648="Sí",'Configuración'!$B$11,0)+IF(Q648="Sí",'Configuración'!$B$12,0)+S648+T648+U648)</f>
        <v>20</v>
      </c>
      <c r="W648" s="39" t="str">
        <f>IF(B648="","",IF(V648&gt;='Configuración'!$B$19,"A",IF(V648&gt;='Configuración'!$B$20,"B",IF(V648&gt;='Configuración'!$B$21,"C","Descarte"))))</f>
        <v>Descarte</v>
      </c>
    </row>
    <row r="649" ht="15.75" customHeight="1">
      <c r="A649" s="34">
        <f t="shared" si="1"/>
        <v>647</v>
      </c>
      <c r="B649" s="29" t="s">
        <v>262</v>
      </c>
      <c r="C649" s="29" t="s">
        <v>3892</v>
      </c>
      <c r="D649" s="29" t="s">
        <v>3893</v>
      </c>
      <c r="E649" s="29" t="s">
        <v>3894</v>
      </c>
      <c r="F649" s="30" t="s">
        <v>3895</v>
      </c>
      <c r="G649" s="30" t="s">
        <v>3896</v>
      </c>
      <c r="H649" s="30" t="s">
        <v>3897</v>
      </c>
      <c r="I649" s="29" t="s">
        <v>127</v>
      </c>
      <c r="J649" s="31">
        <v>43.0</v>
      </c>
      <c r="K649" s="35"/>
      <c r="L649" s="35"/>
      <c r="M649" s="35"/>
      <c r="N649" s="35"/>
      <c r="O649" s="35"/>
      <c r="P649" s="35"/>
      <c r="Q649" s="35"/>
      <c r="R649" s="35"/>
      <c r="S649" s="37">
        <f>IF(B649="","",IF(ISNUMBER(J649),IF(J649&lt;=10,'Configuración'!$B$23,IF(J649&lt;=50,'Configuración'!$B$24,IF(J649&lt;=200,'Configuración'!$B$25,0))),0))</f>
        <v>4</v>
      </c>
      <c r="T649" s="37">
        <f>IF(B649="","",IF(ISNUMBER(SEARCH("information technology",I649))+ISNUMBER(SEARCH("software",I649))+ISNUMBER(SEARCH("internet",I649))+ISNUMBER(SEARCH("computer",I649))+ISNUMBER(SEARCH("saas",I649))+ISNUMBER(SEARCH("fintech",I649))+ISNUMBER(SEARCH("information services",I649))+ISNUMBER(SEARCH("telecommunications",I649))&gt;0,'Configuración'!$B$27,'Configuración'!$B$28))</f>
        <v>12</v>
      </c>
      <c r="U649" s="25">
        <f>IF(B649="","",IF(ISNUMBER(SEARCH("CEO",C649))+ISNUMBER(SEARCH("Founder",C649))+ISNUMBER(SEARCH("Owner",C649))+ISNUMBER(SEARCH("Dueño",C649))+ISNUMBER(SEARCH("Director General",C649))+ISNUMBER(SEARCH("Presidente",C649))+ISNUMBER(SEARCH("President",C649))&gt;0,'Configuración'!$B$31,IF(ISNUMBER(SEARCH("CMO",C649))+ISNUMBER(SEARCH("Chief Marketing",C649))+ISNUMBER(SEARCH("VP Marketing",C649))+ISNUMBER(SEARCH("Director de Marketing",C649))+ISNUMBER(SEARCH("Director Marketing",C649))+ISNUMBER(SEARCH("Head of Marketing",C649))+ISNUMBER(SEARCH("Head Marketing",C649))&gt;0,'Configuración'!$B$32,IF(ISNUMBER(SEARCH("Marketing Manager",C649))+ISNUMBER(SEARCH("Gerente de Marketing",C649))+ISNUMBER(SEARCH("Growth Manager",C649))+ISNUMBER(SEARCH("Demand Gen",C649))+ISNUMBER(SEARCH("Marketing Lead",C649))&gt;0,'Configuración'!$B$33,IF(ISNUMBER(SEARCH("COO",C649))+ISNUMBER(SEARCH("CFO",C649))+ISNUMBER(SEARCH("CTO",C649))+ISNUMBER(SEARCH("Chief Operating",C649))+ISNUMBER(SEARCH("Chief Financial",C649))+ISNUMBER(SEARCH("Gerente General",C649))+ISNUMBER(SEARCH("General Manager",C649))&gt;0,'Configuración'!$B$34,'Configuración'!$B$35)))))</f>
        <v>0</v>
      </c>
      <c r="V649" s="38">
        <f>IF(B649="","",IF(K649="Sí",'Configuración'!$B$5,0)+IF(L649="Semanal",'Configuración'!$B$6,IF(L649="Mensual",'Configuración'!$B$7,0))+IF(M649="Sí",'Configuración'!$B$8,0)+IF(N649="Sí",'Configuración'!$B$9,0)+IF(O649="Sí",'Configuración'!$B$10,0)+IF(P649="Sí",'Configuración'!$B$11,0)+IF(Q649="Sí",'Configuración'!$B$12,0)+S649+T649+U649)</f>
        <v>16</v>
      </c>
      <c r="W649" s="39" t="str">
        <f>IF(B649="","",IF(V649&gt;='Configuración'!$B$19,"A",IF(V649&gt;='Configuración'!$B$20,"B",IF(V649&gt;='Configuración'!$B$21,"C","Descarte"))))</f>
        <v>Descarte</v>
      </c>
    </row>
    <row r="650" ht="15.75" customHeight="1">
      <c r="A650" s="34">
        <f t="shared" si="1"/>
        <v>648</v>
      </c>
      <c r="B650" s="29" t="s">
        <v>236</v>
      </c>
      <c r="C650" s="29" t="s">
        <v>131</v>
      </c>
      <c r="D650" s="29" t="s">
        <v>3898</v>
      </c>
      <c r="E650" s="29" t="s">
        <v>3899</v>
      </c>
      <c r="F650" s="30" t="s">
        <v>3900</v>
      </c>
      <c r="G650" s="30" t="s">
        <v>3901</v>
      </c>
      <c r="H650" s="30" t="s">
        <v>3902</v>
      </c>
      <c r="I650" s="29" t="s">
        <v>1429</v>
      </c>
      <c r="J650" s="31">
        <v>46.0</v>
      </c>
      <c r="K650" s="35"/>
      <c r="L650" s="35"/>
      <c r="M650" s="35"/>
      <c r="N650" s="35"/>
      <c r="O650" s="35"/>
      <c r="P650" s="35"/>
      <c r="Q650" s="35"/>
      <c r="R650" s="35"/>
      <c r="S650" s="37">
        <f>IF(B650="","",IF(ISNUMBER(J650),IF(J650&lt;=10,'Configuración'!$B$23,IF(J650&lt;=50,'Configuración'!$B$24,IF(J650&lt;=200,'Configuración'!$B$25,0))),0))</f>
        <v>4</v>
      </c>
      <c r="T650" s="37">
        <f>IF(B650="","",IF(ISNUMBER(SEARCH("information technology",I650))+ISNUMBER(SEARCH("software",I650))+ISNUMBER(SEARCH("internet",I650))+ISNUMBER(SEARCH("computer",I650))+ISNUMBER(SEARCH("saas",I650))+ISNUMBER(SEARCH("fintech",I650))+ISNUMBER(SEARCH("information services",I650))+ISNUMBER(SEARCH("telecommunications",I650))&gt;0,'Configuración'!$B$27,'Configuración'!$B$28))</f>
        <v>4</v>
      </c>
      <c r="U650" s="25">
        <f>IF(B650="","",IF(ISNUMBER(SEARCH("CEO",C650))+ISNUMBER(SEARCH("Founder",C650))+ISNUMBER(SEARCH("Owner",C650))+ISNUMBER(SEARCH("Dueño",C650))+ISNUMBER(SEARCH("Director General",C650))+ISNUMBER(SEARCH("Presidente",C650))+ISNUMBER(SEARCH("President",C650))&gt;0,'Configuración'!$B$31,IF(ISNUMBER(SEARCH("CMO",C650))+ISNUMBER(SEARCH("Chief Marketing",C650))+ISNUMBER(SEARCH("VP Marketing",C650))+ISNUMBER(SEARCH("Director de Marketing",C650))+ISNUMBER(SEARCH("Director Marketing",C650))+ISNUMBER(SEARCH("Head of Marketing",C650))+ISNUMBER(SEARCH("Head Marketing",C650))&gt;0,'Configuración'!$B$32,IF(ISNUMBER(SEARCH("Marketing Manager",C650))+ISNUMBER(SEARCH("Gerente de Marketing",C650))+ISNUMBER(SEARCH("Growth Manager",C650))+ISNUMBER(SEARCH("Demand Gen",C650))+ISNUMBER(SEARCH("Marketing Lead",C650))&gt;0,'Configuración'!$B$33,IF(ISNUMBER(SEARCH("COO",C650))+ISNUMBER(SEARCH("CFO",C650))+ISNUMBER(SEARCH("CTO",C650))+ISNUMBER(SEARCH("Chief Operating",C650))+ISNUMBER(SEARCH("Chief Financial",C650))+ISNUMBER(SEARCH("Gerente General",C650))+ISNUMBER(SEARCH("General Manager",C650))&gt;0,'Configuración'!$B$34,'Configuración'!$B$35)))))</f>
        <v>12</v>
      </c>
      <c r="V650" s="38">
        <f>IF(B650="","",IF(K650="Sí",'Configuración'!$B$5,0)+IF(L650="Semanal",'Configuración'!$B$6,IF(L650="Mensual",'Configuración'!$B$7,0))+IF(M650="Sí",'Configuración'!$B$8,0)+IF(N650="Sí",'Configuración'!$B$9,0)+IF(O650="Sí",'Configuración'!$B$10,0)+IF(P650="Sí",'Configuración'!$B$11,0)+IF(Q650="Sí",'Configuración'!$B$12,0)+S650+T650+U650)</f>
        <v>20</v>
      </c>
      <c r="W650" s="39" t="str">
        <f>IF(B650="","",IF(V650&gt;='Configuración'!$B$19,"A",IF(V650&gt;='Configuración'!$B$20,"B",IF(V650&gt;='Configuración'!$B$21,"C","Descarte"))))</f>
        <v>Descarte</v>
      </c>
    </row>
    <row r="651" ht="15.75" customHeight="1">
      <c r="A651" s="34">
        <f t="shared" si="1"/>
        <v>649</v>
      </c>
      <c r="B651" s="29" t="s">
        <v>536</v>
      </c>
      <c r="C651" s="29" t="s">
        <v>224</v>
      </c>
      <c r="D651" s="29" t="s">
        <v>3903</v>
      </c>
      <c r="E651" s="29" t="s">
        <v>3904</v>
      </c>
      <c r="F651" s="30" t="s">
        <v>3905</v>
      </c>
      <c r="G651" s="30" t="s">
        <v>3906</v>
      </c>
      <c r="H651" s="30" t="s">
        <v>3907</v>
      </c>
      <c r="I651" s="29" t="s">
        <v>337</v>
      </c>
      <c r="J651" s="31">
        <v>1.0</v>
      </c>
      <c r="K651" s="35"/>
      <c r="L651" s="35"/>
      <c r="M651" s="35"/>
      <c r="N651" s="35"/>
      <c r="O651" s="35"/>
      <c r="P651" s="35"/>
      <c r="Q651" s="35"/>
      <c r="R651" s="35"/>
      <c r="S651" s="37">
        <f>IF(B651="","",IF(ISNUMBER(J651),IF(J651&lt;=10,'Configuración'!$B$23,IF(J651&lt;=50,'Configuración'!$B$24,IF(J651&lt;=200,'Configuración'!$B$25,0))),0))</f>
        <v>12</v>
      </c>
      <c r="T651" s="37">
        <f>IF(B651="","",IF(ISNUMBER(SEARCH("information technology",I651))+ISNUMBER(SEARCH("software",I651))+ISNUMBER(SEARCH("internet",I651))+ISNUMBER(SEARCH("computer",I651))+ISNUMBER(SEARCH("saas",I651))+ISNUMBER(SEARCH("fintech",I651))+ISNUMBER(SEARCH("information services",I651))+ISNUMBER(SEARCH("telecommunications",I651))&gt;0,'Configuración'!$B$27,'Configuración'!$B$28))</f>
        <v>4</v>
      </c>
      <c r="U651" s="25">
        <f>IF(B651="","",IF(ISNUMBER(SEARCH("CEO",C651))+ISNUMBER(SEARCH("Founder",C651))+ISNUMBER(SEARCH("Owner",C651))+ISNUMBER(SEARCH("Dueño",C651))+ISNUMBER(SEARCH("Director General",C651))+ISNUMBER(SEARCH("Presidente",C651))+ISNUMBER(SEARCH("President",C651))&gt;0,'Configuración'!$B$31,IF(ISNUMBER(SEARCH("CMO",C651))+ISNUMBER(SEARCH("Chief Marketing",C651))+ISNUMBER(SEARCH("VP Marketing",C651))+ISNUMBER(SEARCH("Director de Marketing",C651))+ISNUMBER(SEARCH("Director Marketing",C651))+ISNUMBER(SEARCH("Head of Marketing",C651))+ISNUMBER(SEARCH("Head Marketing",C651))&gt;0,'Configuración'!$B$32,IF(ISNUMBER(SEARCH("Marketing Manager",C651))+ISNUMBER(SEARCH("Gerente de Marketing",C651))+ISNUMBER(SEARCH("Growth Manager",C651))+ISNUMBER(SEARCH("Demand Gen",C651))+ISNUMBER(SEARCH("Marketing Lead",C651))&gt;0,'Configuración'!$B$33,IF(ISNUMBER(SEARCH("COO",C651))+ISNUMBER(SEARCH("CFO",C651))+ISNUMBER(SEARCH("CTO",C651))+ISNUMBER(SEARCH("Chief Operating",C651))+ISNUMBER(SEARCH("Chief Financial",C651))+ISNUMBER(SEARCH("Gerente General",C651))+ISNUMBER(SEARCH("General Manager",C651))&gt;0,'Configuración'!$B$34,'Configuración'!$B$35)))))</f>
        <v>12</v>
      </c>
      <c r="V651" s="38">
        <f>IF(B651="","",IF(K651="Sí",'Configuración'!$B$5,0)+IF(L651="Semanal",'Configuración'!$B$6,IF(L651="Mensual",'Configuración'!$B$7,0))+IF(M651="Sí",'Configuración'!$B$8,0)+IF(N651="Sí",'Configuración'!$B$9,0)+IF(O651="Sí",'Configuración'!$B$10,0)+IF(P651="Sí",'Configuración'!$B$11,0)+IF(Q651="Sí",'Configuración'!$B$12,0)+S651+T651+U651)</f>
        <v>28</v>
      </c>
      <c r="W651" s="39" t="str">
        <f>IF(B651="","",IF(V651&gt;='Configuración'!$B$19,"A",IF(V651&gt;='Configuración'!$B$20,"B",IF(V651&gt;='Configuración'!$B$21,"C","Descarte"))))</f>
        <v>C</v>
      </c>
    </row>
    <row r="652" ht="15.75" customHeight="1">
      <c r="A652" s="34">
        <f t="shared" si="1"/>
        <v>650</v>
      </c>
      <c r="B652" s="29" t="s">
        <v>174</v>
      </c>
      <c r="C652" s="29" t="s">
        <v>311</v>
      </c>
      <c r="D652" s="29" t="s">
        <v>3908</v>
      </c>
      <c r="E652" s="29" t="s">
        <v>3909</v>
      </c>
      <c r="F652" s="30" t="s">
        <v>3910</v>
      </c>
      <c r="G652" s="30" t="s">
        <v>3911</v>
      </c>
      <c r="H652" s="30" t="s">
        <v>3912</v>
      </c>
      <c r="I652" s="29" t="s">
        <v>127</v>
      </c>
      <c r="J652" s="31">
        <v>4.0</v>
      </c>
      <c r="K652" s="35"/>
      <c r="L652" s="35"/>
      <c r="M652" s="35"/>
      <c r="N652" s="35"/>
      <c r="O652" s="35"/>
      <c r="P652" s="35"/>
      <c r="Q652" s="35"/>
      <c r="R652" s="35"/>
      <c r="S652" s="37">
        <f>IF(B652="","",IF(ISNUMBER(J652),IF(J652&lt;=10,'Configuración'!$B$23,IF(J652&lt;=50,'Configuración'!$B$24,IF(J652&lt;=200,'Configuración'!$B$25,0))),0))</f>
        <v>12</v>
      </c>
      <c r="T652" s="37">
        <f>IF(B652="","",IF(ISNUMBER(SEARCH("information technology",I652))+ISNUMBER(SEARCH("software",I652))+ISNUMBER(SEARCH("internet",I652))+ISNUMBER(SEARCH("computer",I652))+ISNUMBER(SEARCH("saas",I652))+ISNUMBER(SEARCH("fintech",I652))+ISNUMBER(SEARCH("information services",I652))+ISNUMBER(SEARCH("telecommunications",I652))&gt;0,'Configuración'!$B$27,'Configuración'!$B$28))</f>
        <v>12</v>
      </c>
      <c r="U652" s="25">
        <f>IF(B652="","",IF(ISNUMBER(SEARCH("CEO",C652))+ISNUMBER(SEARCH("Founder",C652))+ISNUMBER(SEARCH("Owner",C652))+ISNUMBER(SEARCH("Dueño",C652))+ISNUMBER(SEARCH("Director General",C652))+ISNUMBER(SEARCH("Presidente",C652))+ISNUMBER(SEARCH("President",C652))&gt;0,'Configuración'!$B$31,IF(ISNUMBER(SEARCH("CMO",C652))+ISNUMBER(SEARCH("Chief Marketing",C652))+ISNUMBER(SEARCH("VP Marketing",C652))+ISNUMBER(SEARCH("Director de Marketing",C652))+ISNUMBER(SEARCH("Director Marketing",C652))+ISNUMBER(SEARCH("Head of Marketing",C652))+ISNUMBER(SEARCH("Head Marketing",C652))&gt;0,'Configuración'!$B$32,IF(ISNUMBER(SEARCH("Marketing Manager",C652))+ISNUMBER(SEARCH("Gerente de Marketing",C652))+ISNUMBER(SEARCH("Growth Manager",C652))+ISNUMBER(SEARCH("Demand Gen",C652))+ISNUMBER(SEARCH("Marketing Lead",C652))&gt;0,'Configuración'!$B$33,IF(ISNUMBER(SEARCH("COO",C652))+ISNUMBER(SEARCH("CFO",C652))+ISNUMBER(SEARCH("CTO",C652))+ISNUMBER(SEARCH("Chief Operating",C652))+ISNUMBER(SEARCH("Chief Financial",C652))+ISNUMBER(SEARCH("Gerente General",C652))+ISNUMBER(SEARCH("General Manager",C652))&gt;0,'Configuración'!$B$34,'Configuración'!$B$35)))))</f>
        <v>12</v>
      </c>
      <c r="V652" s="38">
        <f>IF(B652="","",IF(K652="Sí",'Configuración'!$B$5,0)+IF(L652="Semanal",'Configuración'!$B$6,IF(L652="Mensual",'Configuración'!$B$7,0))+IF(M652="Sí",'Configuración'!$B$8,0)+IF(N652="Sí",'Configuración'!$B$9,0)+IF(O652="Sí",'Configuración'!$B$10,0)+IF(P652="Sí",'Configuración'!$B$11,0)+IF(Q652="Sí",'Configuración'!$B$12,0)+S652+T652+U652)</f>
        <v>36</v>
      </c>
      <c r="W652" s="39" t="str">
        <f>IF(B652="","",IF(V652&gt;='Configuración'!$B$19,"A",IF(V652&gt;='Configuración'!$B$20,"B",IF(V652&gt;='Configuración'!$B$21,"C","Descarte"))))</f>
        <v>C</v>
      </c>
    </row>
    <row r="653" ht="15.75" customHeight="1">
      <c r="A653" s="34">
        <f t="shared" si="1"/>
        <v>651</v>
      </c>
      <c r="B653" s="29" t="s">
        <v>3913</v>
      </c>
      <c r="C653" s="29" t="s">
        <v>3914</v>
      </c>
      <c r="D653" s="29" t="s">
        <v>3915</v>
      </c>
      <c r="E653" s="29" t="s">
        <v>3916</v>
      </c>
      <c r="F653" s="30" t="s">
        <v>3917</v>
      </c>
      <c r="G653" s="30" t="s">
        <v>3918</v>
      </c>
      <c r="H653" s="30" t="s">
        <v>3919</v>
      </c>
      <c r="I653" s="29" t="s">
        <v>873</v>
      </c>
      <c r="J653" s="31">
        <v>22.0</v>
      </c>
      <c r="K653" s="35"/>
      <c r="L653" s="35"/>
      <c r="M653" s="35"/>
      <c r="N653" s="35"/>
      <c r="O653" s="35"/>
      <c r="P653" s="35"/>
      <c r="Q653" s="35"/>
      <c r="R653" s="35"/>
      <c r="S653" s="37">
        <f>IF(B653="","",IF(ISNUMBER(J653),IF(J653&lt;=10,'Configuración'!$B$23,IF(J653&lt;=50,'Configuración'!$B$24,IF(J653&lt;=200,'Configuración'!$B$25,0))),0))</f>
        <v>4</v>
      </c>
      <c r="T653" s="37">
        <f>IF(B653="","",IF(ISNUMBER(SEARCH("information technology",I653))+ISNUMBER(SEARCH("software",I653))+ISNUMBER(SEARCH("internet",I653))+ISNUMBER(SEARCH("computer",I653))+ISNUMBER(SEARCH("saas",I653))+ISNUMBER(SEARCH("fintech",I653))+ISNUMBER(SEARCH("information services",I653))+ISNUMBER(SEARCH("telecommunications",I653))&gt;0,'Configuración'!$B$27,'Configuración'!$B$28))</f>
        <v>4</v>
      </c>
      <c r="U653" s="25">
        <f>IF(B653="","",IF(ISNUMBER(SEARCH("CEO",C653))+ISNUMBER(SEARCH("Founder",C653))+ISNUMBER(SEARCH("Owner",C653))+ISNUMBER(SEARCH("Dueño",C653))+ISNUMBER(SEARCH("Director General",C653))+ISNUMBER(SEARCH("Presidente",C653))+ISNUMBER(SEARCH("President",C653))&gt;0,'Configuración'!$B$31,IF(ISNUMBER(SEARCH("CMO",C653))+ISNUMBER(SEARCH("Chief Marketing",C653))+ISNUMBER(SEARCH("VP Marketing",C653))+ISNUMBER(SEARCH("Director de Marketing",C653))+ISNUMBER(SEARCH("Director Marketing",C653))+ISNUMBER(SEARCH("Head of Marketing",C653))+ISNUMBER(SEARCH("Head Marketing",C653))&gt;0,'Configuración'!$B$32,IF(ISNUMBER(SEARCH("Marketing Manager",C653))+ISNUMBER(SEARCH("Gerente de Marketing",C653))+ISNUMBER(SEARCH("Growth Manager",C653))+ISNUMBER(SEARCH("Demand Gen",C653))+ISNUMBER(SEARCH("Marketing Lead",C653))&gt;0,'Configuración'!$B$33,IF(ISNUMBER(SEARCH("COO",C653))+ISNUMBER(SEARCH("CFO",C653))+ISNUMBER(SEARCH("CTO",C653))+ISNUMBER(SEARCH("Chief Operating",C653))+ISNUMBER(SEARCH("Chief Financial",C653))+ISNUMBER(SEARCH("Gerente General",C653))+ISNUMBER(SEARCH("General Manager",C653))&gt;0,'Configuración'!$B$34,'Configuración'!$B$35)))))</f>
        <v>12</v>
      </c>
      <c r="V653" s="38">
        <f>IF(B653="","",IF(K653="Sí",'Configuración'!$B$5,0)+IF(L653="Semanal",'Configuración'!$B$6,IF(L653="Mensual",'Configuración'!$B$7,0))+IF(M653="Sí",'Configuración'!$B$8,0)+IF(N653="Sí",'Configuración'!$B$9,0)+IF(O653="Sí",'Configuración'!$B$10,0)+IF(P653="Sí",'Configuración'!$B$11,0)+IF(Q653="Sí",'Configuración'!$B$12,0)+S653+T653+U653)</f>
        <v>20</v>
      </c>
      <c r="W653" s="39" t="str">
        <f>IF(B653="","",IF(V653&gt;='Configuración'!$B$19,"A",IF(V653&gt;='Configuración'!$B$20,"B",IF(V653&gt;='Configuración'!$B$21,"C","Descarte"))))</f>
        <v>Descarte</v>
      </c>
    </row>
    <row r="654" ht="15.75" customHeight="1">
      <c r="A654" s="34">
        <f t="shared" si="1"/>
        <v>652</v>
      </c>
      <c r="B654" s="29" t="s">
        <v>3920</v>
      </c>
      <c r="C654" s="29" t="s">
        <v>131</v>
      </c>
      <c r="D654" s="29" t="s">
        <v>3921</v>
      </c>
      <c r="E654" s="29" t="s">
        <v>3922</v>
      </c>
      <c r="F654" s="30" t="s">
        <v>3923</v>
      </c>
      <c r="G654" s="30" t="s">
        <v>3924</v>
      </c>
      <c r="H654" s="30" t="s">
        <v>3925</v>
      </c>
      <c r="I654" s="29" t="s">
        <v>127</v>
      </c>
      <c r="J654" s="31">
        <v>13.0</v>
      </c>
      <c r="K654" s="35"/>
      <c r="L654" s="35"/>
      <c r="M654" s="35"/>
      <c r="N654" s="35"/>
      <c r="O654" s="35"/>
      <c r="P654" s="35"/>
      <c r="Q654" s="35"/>
      <c r="R654" s="35"/>
      <c r="S654" s="37">
        <f>IF(B654="","",IF(ISNUMBER(J654),IF(J654&lt;=10,'Configuración'!$B$23,IF(J654&lt;=50,'Configuración'!$B$24,IF(J654&lt;=200,'Configuración'!$B$25,0))),0))</f>
        <v>4</v>
      </c>
      <c r="T654" s="37">
        <f>IF(B654="","",IF(ISNUMBER(SEARCH("information technology",I654))+ISNUMBER(SEARCH("software",I654))+ISNUMBER(SEARCH("internet",I654))+ISNUMBER(SEARCH("computer",I654))+ISNUMBER(SEARCH("saas",I654))+ISNUMBER(SEARCH("fintech",I654))+ISNUMBER(SEARCH("information services",I654))+ISNUMBER(SEARCH("telecommunications",I654))&gt;0,'Configuración'!$B$27,'Configuración'!$B$28))</f>
        <v>12</v>
      </c>
      <c r="U654" s="25">
        <f>IF(B654="","",IF(ISNUMBER(SEARCH("CEO",C654))+ISNUMBER(SEARCH("Founder",C654))+ISNUMBER(SEARCH("Owner",C654))+ISNUMBER(SEARCH("Dueño",C654))+ISNUMBER(SEARCH("Director General",C654))+ISNUMBER(SEARCH("Presidente",C654))+ISNUMBER(SEARCH("President",C654))&gt;0,'Configuración'!$B$31,IF(ISNUMBER(SEARCH("CMO",C654))+ISNUMBER(SEARCH("Chief Marketing",C654))+ISNUMBER(SEARCH("VP Marketing",C654))+ISNUMBER(SEARCH("Director de Marketing",C654))+ISNUMBER(SEARCH("Director Marketing",C654))+ISNUMBER(SEARCH("Head of Marketing",C654))+ISNUMBER(SEARCH("Head Marketing",C654))&gt;0,'Configuración'!$B$32,IF(ISNUMBER(SEARCH("Marketing Manager",C654))+ISNUMBER(SEARCH("Gerente de Marketing",C654))+ISNUMBER(SEARCH("Growth Manager",C654))+ISNUMBER(SEARCH("Demand Gen",C654))+ISNUMBER(SEARCH("Marketing Lead",C654))&gt;0,'Configuración'!$B$33,IF(ISNUMBER(SEARCH("COO",C654))+ISNUMBER(SEARCH("CFO",C654))+ISNUMBER(SEARCH("CTO",C654))+ISNUMBER(SEARCH("Chief Operating",C654))+ISNUMBER(SEARCH("Chief Financial",C654))+ISNUMBER(SEARCH("Gerente General",C654))+ISNUMBER(SEARCH("General Manager",C654))&gt;0,'Configuración'!$B$34,'Configuración'!$B$35)))))</f>
        <v>12</v>
      </c>
      <c r="V654" s="38">
        <f>IF(B654="","",IF(K654="Sí",'Configuración'!$B$5,0)+IF(L654="Semanal",'Configuración'!$B$6,IF(L654="Mensual",'Configuración'!$B$7,0))+IF(M654="Sí",'Configuración'!$B$8,0)+IF(N654="Sí",'Configuración'!$B$9,0)+IF(O654="Sí",'Configuración'!$B$10,0)+IF(P654="Sí",'Configuración'!$B$11,0)+IF(Q654="Sí",'Configuración'!$B$12,0)+S654+T654+U654)</f>
        <v>28</v>
      </c>
      <c r="W654" s="39" t="str">
        <f>IF(B654="","",IF(V654&gt;='Configuración'!$B$19,"A",IF(V654&gt;='Configuración'!$B$20,"B",IF(V654&gt;='Configuración'!$B$21,"C","Descarte"))))</f>
        <v>C</v>
      </c>
    </row>
    <row r="655" ht="15.75" customHeight="1">
      <c r="A655" s="34">
        <f t="shared" si="1"/>
        <v>653</v>
      </c>
      <c r="B655" s="29" t="s">
        <v>1159</v>
      </c>
      <c r="C655" s="29" t="s">
        <v>3926</v>
      </c>
      <c r="D655" s="29" t="s">
        <v>3927</v>
      </c>
      <c r="E655" s="29" t="s">
        <v>3928</v>
      </c>
      <c r="F655" s="30" t="s">
        <v>3929</v>
      </c>
      <c r="G655" s="30" t="s">
        <v>3930</v>
      </c>
      <c r="H655" s="30" t="s">
        <v>3931</v>
      </c>
      <c r="I655" s="29" t="s">
        <v>295</v>
      </c>
      <c r="J655" s="31">
        <v>4.0</v>
      </c>
      <c r="K655" s="35"/>
      <c r="L655" s="35"/>
      <c r="M655" s="35"/>
      <c r="N655" s="35"/>
      <c r="O655" s="35"/>
      <c r="P655" s="35"/>
      <c r="Q655" s="35"/>
      <c r="R655" s="35"/>
      <c r="S655" s="37">
        <f>IF(B655="","",IF(ISNUMBER(J655),IF(J655&lt;=10,'Configuración'!$B$23,IF(J655&lt;=50,'Configuración'!$B$24,IF(J655&lt;=200,'Configuración'!$B$25,0))),0))</f>
        <v>12</v>
      </c>
      <c r="T655" s="37">
        <f>IF(B655="","",IF(ISNUMBER(SEARCH("information technology",I655))+ISNUMBER(SEARCH("software",I655))+ISNUMBER(SEARCH("internet",I655))+ISNUMBER(SEARCH("computer",I655))+ISNUMBER(SEARCH("saas",I655))+ISNUMBER(SEARCH("fintech",I655))+ISNUMBER(SEARCH("information services",I655))+ISNUMBER(SEARCH("telecommunications",I655))&gt;0,'Configuración'!$B$27,'Configuración'!$B$28))</f>
        <v>4</v>
      </c>
      <c r="U655" s="25">
        <f>IF(B655="","",IF(ISNUMBER(SEARCH("CEO",C655))+ISNUMBER(SEARCH("Founder",C655))+ISNUMBER(SEARCH("Owner",C655))+ISNUMBER(SEARCH("Dueño",C655))+ISNUMBER(SEARCH("Director General",C655))+ISNUMBER(SEARCH("Presidente",C655))+ISNUMBER(SEARCH("President",C655))&gt;0,'Configuración'!$B$31,IF(ISNUMBER(SEARCH("CMO",C655))+ISNUMBER(SEARCH("Chief Marketing",C655))+ISNUMBER(SEARCH("VP Marketing",C655))+ISNUMBER(SEARCH("Director de Marketing",C655))+ISNUMBER(SEARCH("Director Marketing",C655))+ISNUMBER(SEARCH("Head of Marketing",C655))+ISNUMBER(SEARCH("Head Marketing",C655))&gt;0,'Configuración'!$B$32,IF(ISNUMBER(SEARCH("Marketing Manager",C655))+ISNUMBER(SEARCH("Gerente de Marketing",C655))+ISNUMBER(SEARCH("Growth Manager",C655))+ISNUMBER(SEARCH("Demand Gen",C655))+ISNUMBER(SEARCH("Marketing Lead",C655))&gt;0,'Configuración'!$B$33,IF(ISNUMBER(SEARCH("COO",C655))+ISNUMBER(SEARCH("CFO",C655))+ISNUMBER(SEARCH("CTO",C655))+ISNUMBER(SEARCH("Chief Operating",C655))+ISNUMBER(SEARCH("Chief Financial",C655))+ISNUMBER(SEARCH("Gerente General",C655))+ISNUMBER(SEARCH("General Manager",C655))&gt;0,'Configuración'!$B$34,'Configuración'!$B$35)))))</f>
        <v>12</v>
      </c>
      <c r="V655" s="38">
        <f>IF(B655="","",IF(K655="Sí",'Configuración'!$B$5,0)+IF(L655="Semanal",'Configuración'!$B$6,IF(L655="Mensual",'Configuración'!$B$7,0))+IF(M655="Sí",'Configuración'!$B$8,0)+IF(N655="Sí",'Configuración'!$B$9,0)+IF(O655="Sí",'Configuración'!$B$10,0)+IF(P655="Sí",'Configuración'!$B$11,0)+IF(Q655="Sí",'Configuración'!$B$12,0)+S655+T655+U655)</f>
        <v>28</v>
      </c>
      <c r="W655" s="39" t="str">
        <f>IF(B655="","",IF(V655&gt;='Configuración'!$B$19,"A",IF(V655&gt;='Configuración'!$B$20,"B",IF(V655&gt;='Configuración'!$B$21,"C","Descarte"))))</f>
        <v>C</v>
      </c>
    </row>
    <row r="656" ht="15.75" customHeight="1">
      <c r="A656" s="34">
        <f t="shared" si="1"/>
        <v>654</v>
      </c>
      <c r="B656" s="29" t="s">
        <v>138</v>
      </c>
      <c r="C656" s="29" t="s">
        <v>487</v>
      </c>
      <c r="D656" s="29" t="s">
        <v>3932</v>
      </c>
      <c r="E656" s="29" t="s">
        <v>3933</v>
      </c>
      <c r="F656" s="30" t="s">
        <v>3934</v>
      </c>
      <c r="G656" s="30" t="s">
        <v>3935</v>
      </c>
      <c r="H656" s="30" t="s">
        <v>3936</v>
      </c>
      <c r="I656" s="29" t="s">
        <v>542</v>
      </c>
      <c r="J656" s="31">
        <v>23.0</v>
      </c>
      <c r="K656" s="35"/>
      <c r="L656" s="35"/>
      <c r="M656" s="35"/>
      <c r="N656" s="35"/>
      <c r="O656" s="35"/>
      <c r="P656" s="35"/>
      <c r="Q656" s="35"/>
      <c r="R656" s="35"/>
      <c r="S656" s="37">
        <f>IF(B656="","",IF(ISNUMBER(J656),IF(J656&lt;=10,'Configuración'!$B$23,IF(J656&lt;=50,'Configuración'!$B$24,IF(J656&lt;=200,'Configuración'!$B$25,0))),0))</f>
        <v>4</v>
      </c>
      <c r="T656" s="37">
        <f>IF(B656="","",IF(ISNUMBER(SEARCH("information technology",I656))+ISNUMBER(SEARCH("software",I656))+ISNUMBER(SEARCH("internet",I656))+ISNUMBER(SEARCH("computer",I656))+ISNUMBER(SEARCH("saas",I656))+ISNUMBER(SEARCH("fintech",I656))+ISNUMBER(SEARCH("information services",I656))+ISNUMBER(SEARCH("telecommunications",I656))&gt;0,'Configuración'!$B$27,'Configuración'!$B$28))</f>
        <v>4</v>
      </c>
      <c r="U656" s="25">
        <f>IF(B656="","",IF(ISNUMBER(SEARCH("CEO",C656))+ISNUMBER(SEARCH("Founder",C656))+ISNUMBER(SEARCH("Owner",C656))+ISNUMBER(SEARCH("Dueño",C656))+ISNUMBER(SEARCH("Director General",C656))+ISNUMBER(SEARCH("Presidente",C656))+ISNUMBER(SEARCH("President",C656))&gt;0,'Configuración'!$B$31,IF(ISNUMBER(SEARCH("CMO",C656))+ISNUMBER(SEARCH("Chief Marketing",C656))+ISNUMBER(SEARCH("VP Marketing",C656))+ISNUMBER(SEARCH("Director de Marketing",C656))+ISNUMBER(SEARCH("Director Marketing",C656))+ISNUMBER(SEARCH("Head of Marketing",C656))+ISNUMBER(SEARCH("Head Marketing",C656))&gt;0,'Configuración'!$B$32,IF(ISNUMBER(SEARCH("Marketing Manager",C656))+ISNUMBER(SEARCH("Gerente de Marketing",C656))+ISNUMBER(SEARCH("Growth Manager",C656))+ISNUMBER(SEARCH("Demand Gen",C656))+ISNUMBER(SEARCH("Marketing Lead",C656))&gt;0,'Configuración'!$B$33,IF(ISNUMBER(SEARCH("COO",C656))+ISNUMBER(SEARCH("CFO",C656))+ISNUMBER(SEARCH("CTO",C656))+ISNUMBER(SEARCH("Chief Operating",C656))+ISNUMBER(SEARCH("Chief Financial",C656))+ISNUMBER(SEARCH("Gerente General",C656))+ISNUMBER(SEARCH("General Manager",C656))&gt;0,'Configuración'!$B$34,'Configuración'!$B$35)))))</f>
        <v>12</v>
      </c>
      <c r="V656" s="38">
        <f>IF(B656="","",IF(K656="Sí",'Configuración'!$B$5,0)+IF(L656="Semanal",'Configuración'!$B$6,IF(L656="Mensual",'Configuración'!$B$7,0))+IF(M656="Sí",'Configuración'!$B$8,0)+IF(N656="Sí",'Configuración'!$B$9,0)+IF(O656="Sí",'Configuración'!$B$10,0)+IF(P656="Sí",'Configuración'!$B$11,0)+IF(Q656="Sí",'Configuración'!$B$12,0)+S656+T656+U656)</f>
        <v>20</v>
      </c>
      <c r="W656" s="39" t="str">
        <f>IF(B656="","",IF(V656&gt;='Configuración'!$B$19,"A",IF(V656&gt;='Configuración'!$B$20,"B",IF(V656&gt;='Configuración'!$B$21,"C","Descarte"))))</f>
        <v>Descarte</v>
      </c>
    </row>
    <row r="657" ht="15.75" customHeight="1">
      <c r="A657" s="34">
        <f t="shared" si="1"/>
        <v>655</v>
      </c>
      <c r="B657" s="29" t="s">
        <v>181</v>
      </c>
      <c r="C657" s="29" t="s">
        <v>1221</v>
      </c>
      <c r="D657" s="29" t="s">
        <v>3937</v>
      </c>
      <c r="E657" s="29" t="s">
        <v>3938</v>
      </c>
      <c r="F657" s="30" t="s">
        <v>3939</v>
      </c>
      <c r="G657" s="30" t="s">
        <v>3940</v>
      </c>
      <c r="H657" s="30" t="s">
        <v>3941</v>
      </c>
      <c r="I657" s="29" t="s">
        <v>563</v>
      </c>
      <c r="J657" s="31">
        <v>34.0</v>
      </c>
      <c r="K657" s="35"/>
      <c r="L657" s="35"/>
      <c r="M657" s="35"/>
      <c r="N657" s="35"/>
      <c r="O657" s="35"/>
      <c r="P657" s="35"/>
      <c r="Q657" s="35"/>
      <c r="R657" s="35"/>
      <c r="S657" s="37">
        <f>IF(B657="","",IF(ISNUMBER(J657),IF(J657&lt;=10,'Configuración'!$B$23,IF(J657&lt;=50,'Configuración'!$B$24,IF(J657&lt;=200,'Configuración'!$B$25,0))),0))</f>
        <v>4</v>
      </c>
      <c r="T657" s="37">
        <f>IF(B657="","",IF(ISNUMBER(SEARCH("information technology",I657))+ISNUMBER(SEARCH("software",I657))+ISNUMBER(SEARCH("internet",I657))+ISNUMBER(SEARCH("computer",I657))+ISNUMBER(SEARCH("saas",I657))+ISNUMBER(SEARCH("fintech",I657))+ISNUMBER(SEARCH("information services",I657))+ISNUMBER(SEARCH("telecommunications",I657))&gt;0,'Configuración'!$B$27,'Configuración'!$B$28))</f>
        <v>4</v>
      </c>
      <c r="U657" s="25">
        <f>IF(B657="","",IF(ISNUMBER(SEARCH("CEO",C657))+ISNUMBER(SEARCH("Founder",C657))+ISNUMBER(SEARCH("Owner",C657))+ISNUMBER(SEARCH("Dueño",C657))+ISNUMBER(SEARCH("Director General",C657))+ISNUMBER(SEARCH("Presidente",C657))+ISNUMBER(SEARCH("President",C657))&gt;0,'Configuración'!$B$31,IF(ISNUMBER(SEARCH("CMO",C657))+ISNUMBER(SEARCH("Chief Marketing",C657))+ISNUMBER(SEARCH("VP Marketing",C657))+ISNUMBER(SEARCH("Director de Marketing",C657))+ISNUMBER(SEARCH("Director Marketing",C657))+ISNUMBER(SEARCH("Head of Marketing",C657))+ISNUMBER(SEARCH("Head Marketing",C657))&gt;0,'Configuración'!$B$32,IF(ISNUMBER(SEARCH("Marketing Manager",C657))+ISNUMBER(SEARCH("Gerente de Marketing",C657))+ISNUMBER(SEARCH("Growth Manager",C657))+ISNUMBER(SEARCH("Demand Gen",C657))+ISNUMBER(SEARCH("Marketing Lead",C657))&gt;0,'Configuración'!$B$33,IF(ISNUMBER(SEARCH("COO",C657))+ISNUMBER(SEARCH("CFO",C657))+ISNUMBER(SEARCH("CTO",C657))+ISNUMBER(SEARCH("Chief Operating",C657))+ISNUMBER(SEARCH("Chief Financial",C657))+ISNUMBER(SEARCH("Gerente General",C657))+ISNUMBER(SEARCH("General Manager",C657))&gt;0,'Configuración'!$B$34,'Configuración'!$B$35)))))</f>
        <v>0</v>
      </c>
      <c r="V657" s="38">
        <f>IF(B657="","",IF(K657="Sí",'Configuración'!$B$5,0)+IF(L657="Semanal",'Configuración'!$B$6,IF(L657="Mensual",'Configuración'!$B$7,0))+IF(M657="Sí",'Configuración'!$B$8,0)+IF(N657="Sí",'Configuración'!$B$9,0)+IF(O657="Sí",'Configuración'!$B$10,0)+IF(P657="Sí",'Configuración'!$B$11,0)+IF(Q657="Sí",'Configuración'!$B$12,0)+S657+T657+U657)</f>
        <v>8</v>
      </c>
      <c r="W657" s="39" t="str">
        <f>IF(B657="","",IF(V657&gt;='Configuración'!$B$19,"A",IF(V657&gt;='Configuración'!$B$20,"B",IF(V657&gt;='Configuración'!$B$21,"C","Descarte"))))</f>
        <v>Descarte</v>
      </c>
    </row>
    <row r="658" ht="15.75" customHeight="1">
      <c r="A658" s="34">
        <f t="shared" si="1"/>
        <v>656</v>
      </c>
      <c r="B658" s="29" t="s">
        <v>3942</v>
      </c>
      <c r="C658" s="29" t="s">
        <v>3943</v>
      </c>
      <c r="D658" s="29" t="s">
        <v>3944</v>
      </c>
      <c r="E658" s="29" t="s">
        <v>3945</v>
      </c>
      <c r="F658" s="30" t="s">
        <v>3946</v>
      </c>
      <c r="G658" s="30" t="s">
        <v>3947</v>
      </c>
      <c r="H658" s="30" t="s">
        <v>3948</v>
      </c>
      <c r="I658" s="29" t="s">
        <v>310</v>
      </c>
      <c r="J658" s="31">
        <v>5.0</v>
      </c>
      <c r="K658" s="35"/>
      <c r="L658" s="35"/>
      <c r="M658" s="35"/>
      <c r="N658" s="35"/>
      <c r="O658" s="35"/>
      <c r="P658" s="35"/>
      <c r="Q658" s="35"/>
      <c r="R658" s="35"/>
      <c r="S658" s="37">
        <f>IF(B658="","",IF(ISNUMBER(J658),IF(J658&lt;=10,'Configuración'!$B$23,IF(J658&lt;=50,'Configuración'!$B$24,IF(J658&lt;=200,'Configuración'!$B$25,0))),0))</f>
        <v>12</v>
      </c>
      <c r="T658" s="37">
        <f>IF(B658="","",IF(ISNUMBER(SEARCH("information technology",I658))+ISNUMBER(SEARCH("software",I658))+ISNUMBER(SEARCH("internet",I658))+ISNUMBER(SEARCH("computer",I658))+ISNUMBER(SEARCH("saas",I658))+ISNUMBER(SEARCH("fintech",I658))+ISNUMBER(SEARCH("information services",I658))+ISNUMBER(SEARCH("telecommunications",I658))&gt;0,'Configuración'!$B$27,'Configuración'!$B$28))</f>
        <v>4</v>
      </c>
      <c r="U658" s="25">
        <f>IF(B658="","",IF(ISNUMBER(SEARCH("CEO",C658))+ISNUMBER(SEARCH("Founder",C658))+ISNUMBER(SEARCH("Owner",C658))+ISNUMBER(SEARCH("Dueño",C658))+ISNUMBER(SEARCH("Director General",C658))+ISNUMBER(SEARCH("Presidente",C658))+ISNUMBER(SEARCH("President",C658))&gt;0,'Configuración'!$B$31,IF(ISNUMBER(SEARCH("CMO",C658))+ISNUMBER(SEARCH("Chief Marketing",C658))+ISNUMBER(SEARCH("VP Marketing",C658))+ISNUMBER(SEARCH("Director de Marketing",C658))+ISNUMBER(SEARCH("Director Marketing",C658))+ISNUMBER(SEARCH("Head of Marketing",C658))+ISNUMBER(SEARCH("Head Marketing",C658))&gt;0,'Configuración'!$B$32,IF(ISNUMBER(SEARCH("Marketing Manager",C658))+ISNUMBER(SEARCH("Gerente de Marketing",C658))+ISNUMBER(SEARCH("Growth Manager",C658))+ISNUMBER(SEARCH("Demand Gen",C658))+ISNUMBER(SEARCH("Marketing Lead",C658))&gt;0,'Configuración'!$B$33,IF(ISNUMBER(SEARCH("COO",C658))+ISNUMBER(SEARCH("CFO",C658))+ISNUMBER(SEARCH("CTO",C658))+ISNUMBER(SEARCH("Chief Operating",C658))+ISNUMBER(SEARCH("Chief Financial",C658))+ISNUMBER(SEARCH("Gerente General",C658))+ISNUMBER(SEARCH("General Manager",C658))&gt;0,'Configuración'!$B$34,'Configuración'!$B$35)))))</f>
        <v>12</v>
      </c>
      <c r="V658" s="38">
        <f>IF(B658="","",IF(K658="Sí",'Configuración'!$B$5,0)+IF(L658="Semanal",'Configuración'!$B$6,IF(L658="Mensual",'Configuración'!$B$7,0))+IF(M658="Sí",'Configuración'!$B$8,0)+IF(N658="Sí",'Configuración'!$B$9,0)+IF(O658="Sí",'Configuración'!$B$10,0)+IF(P658="Sí",'Configuración'!$B$11,0)+IF(Q658="Sí",'Configuración'!$B$12,0)+S658+T658+U658)</f>
        <v>28</v>
      </c>
      <c r="W658" s="39" t="str">
        <f>IF(B658="","",IF(V658&gt;='Configuración'!$B$19,"A",IF(V658&gt;='Configuración'!$B$20,"B",IF(V658&gt;='Configuración'!$B$21,"C","Descarte"))))</f>
        <v>C</v>
      </c>
    </row>
    <row r="659" ht="15.75" customHeight="1">
      <c r="A659" s="34">
        <f t="shared" si="1"/>
        <v>657</v>
      </c>
      <c r="B659" s="29" t="s">
        <v>250</v>
      </c>
      <c r="C659" s="29" t="s">
        <v>3949</v>
      </c>
      <c r="D659" s="29" t="s">
        <v>3950</v>
      </c>
      <c r="E659" s="29"/>
      <c r="F659" s="30" t="s">
        <v>3951</v>
      </c>
      <c r="G659" s="30" t="s">
        <v>3952</v>
      </c>
      <c r="H659" s="30" t="s">
        <v>3953</v>
      </c>
      <c r="I659" s="29" t="s">
        <v>659</v>
      </c>
      <c r="J659" s="31">
        <v>3.0</v>
      </c>
      <c r="K659" s="35"/>
      <c r="L659" s="35"/>
      <c r="M659" s="35"/>
      <c r="N659" s="35"/>
      <c r="O659" s="35"/>
      <c r="P659" s="35"/>
      <c r="Q659" s="35"/>
      <c r="R659" s="35"/>
      <c r="S659" s="37">
        <f>IF(B659="","",IF(ISNUMBER(J659),IF(J659&lt;=10,'Configuración'!$B$23,IF(J659&lt;=50,'Configuración'!$B$24,IF(J659&lt;=200,'Configuración'!$B$25,0))),0))</f>
        <v>12</v>
      </c>
      <c r="T659" s="37">
        <f>IF(B659="","",IF(ISNUMBER(SEARCH("information technology",I659))+ISNUMBER(SEARCH("software",I659))+ISNUMBER(SEARCH("internet",I659))+ISNUMBER(SEARCH("computer",I659))+ISNUMBER(SEARCH("saas",I659))+ISNUMBER(SEARCH("fintech",I659))+ISNUMBER(SEARCH("information services",I659))+ISNUMBER(SEARCH("telecommunications",I659))&gt;0,'Configuración'!$B$27,'Configuración'!$B$28))</f>
        <v>4</v>
      </c>
      <c r="U659" s="25">
        <f>IF(B659="","",IF(ISNUMBER(SEARCH("CEO",C659))+ISNUMBER(SEARCH("Founder",C659))+ISNUMBER(SEARCH("Owner",C659))+ISNUMBER(SEARCH("Dueño",C659))+ISNUMBER(SEARCH("Director General",C659))+ISNUMBER(SEARCH("Presidente",C659))+ISNUMBER(SEARCH("President",C659))&gt;0,'Configuración'!$B$31,IF(ISNUMBER(SEARCH("CMO",C659))+ISNUMBER(SEARCH("Chief Marketing",C659))+ISNUMBER(SEARCH("VP Marketing",C659))+ISNUMBER(SEARCH("Director de Marketing",C659))+ISNUMBER(SEARCH("Director Marketing",C659))+ISNUMBER(SEARCH("Head of Marketing",C659))+ISNUMBER(SEARCH("Head Marketing",C659))&gt;0,'Configuración'!$B$32,IF(ISNUMBER(SEARCH("Marketing Manager",C659))+ISNUMBER(SEARCH("Gerente de Marketing",C659))+ISNUMBER(SEARCH("Growth Manager",C659))+ISNUMBER(SEARCH("Demand Gen",C659))+ISNUMBER(SEARCH("Marketing Lead",C659))&gt;0,'Configuración'!$B$33,IF(ISNUMBER(SEARCH("COO",C659))+ISNUMBER(SEARCH("CFO",C659))+ISNUMBER(SEARCH("CTO",C659))+ISNUMBER(SEARCH("Chief Operating",C659))+ISNUMBER(SEARCH("Chief Financial",C659))+ISNUMBER(SEARCH("Gerente General",C659))+ISNUMBER(SEARCH("General Manager",C659))&gt;0,'Configuración'!$B$34,'Configuración'!$B$35)))))</f>
        <v>12</v>
      </c>
      <c r="V659" s="38">
        <f>IF(B659="","",IF(K659="Sí",'Configuración'!$B$5,0)+IF(L659="Semanal",'Configuración'!$B$6,IF(L659="Mensual",'Configuración'!$B$7,0))+IF(M659="Sí",'Configuración'!$B$8,0)+IF(N659="Sí",'Configuración'!$B$9,0)+IF(O659="Sí",'Configuración'!$B$10,0)+IF(P659="Sí",'Configuración'!$B$11,0)+IF(Q659="Sí",'Configuración'!$B$12,0)+S659+T659+U659)</f>
        <v>28</v>
      </c>
      <c r="W659" s="39" t="str">
        <f>IF(B659="","",IF(V659&gt;='Configuración'!$B$19,"A",IF(V659&gt;='Configuración'!$B$20,"B",IF(V659&gt;='Configuración'!$B$21,"C","Descarte"))))</f>
        <v>C</v>
      </c>
    </row>
    <row r="660" ht="15.75" customHeight="1">
      <c r="A660" s="34">
        <f t="shared" si="1"/>
        <v>658</v>
      </c>
      <c r="B660" s="29" t="s">
        <v>556</v>
      </c>
      <c r="C660" s="29" t="s">
        <v>3954</v>
      </c>
      <c r="D660" s="29" t="s">
        <v>3955</v>
      </c>
      <c r="E660" s="29" t="s">
        <v>3956</v>
      </c>
      <c r="F660" s="30" t="s">
        <v>3957</v>
      </c>
      <c r="G660" s="30" t="s">
        <v>3958</v>
      </c>
      <c r="H660" s="30" t="s">
        <v>3959</v>
      </c>
      <c r="I660" s="29" t="s">
        <v>127</v>
      </c>
      <c r="J660" s="31">
        <v>30.0</v>
      </c>
      <c r="K660" s="35"/>
      <c r="L660" s="35"/>
      <c r="M660" s="35"/>
      <c r="N660" s="35"/>
      <c r="O660" s="35"/>
      <c r="P660" s="35"/>
      <c r="Q660" s="35"/>
      <c r="R660" s="35"/>
      <c r="S660" s="37">
        <f>IF(B660="","",IF(ISNUMBER(J660),IF(J660&lt;=10,'Configuración'!$B$23,IF(J660&lt;=50,'Configuración'!$B$24,IF(J660&lt;=200,'Configuración'!$B$25,0))),0))</f>
        <v>4</v>
      </c>
      <c r="T660" s="37">
        <f>IF(B660="","",IF(ISNUMBER(SEARCH("information technology",I660))+ISNUMBER(SEARCH("software",I660))+ISNUMBER(SEARCH("internet",I660))+ISNUMBER(SEARCH("computer",I660))+ISNUMBER(SEARCH("saas",I660))+ISNUMBER(SEARCH("fintech",I660))+ISNUMBER(SEARCH("information services",I660))+ISNUMBER(SEARCH("telecommunications",I660))&gt;0,'Configuración'!$B$27,'Configuración'!$B$28))</f>
        <v>12</v>
      </c>
      <c r="U660" s="25">
        <f>IF(B660="","",IF(ISNUMBER(SEARCH("CEO",C660))+ISNUMBER(SEARCH("Founder",C660))+ISNUMBER(SEARCH("Owner",C660))+ISNUMBER(SEARCH("Dueño",C660))+ISNUMBER(SEARCH("Director General",C660))+ISNUMBER(SEARCH("Presidente",C660))+ISNUMBER(SEARCH("President",C660))&gt;0,'Configuración'!$B$31,IF(ISNUMBER(SEARCH("CMO",C660))+ISNUMBER(SEARCH("Chief Marketing",C660))+ISNUMBER(SEARCH("VP Marketing",C660))+ISNUMBER(SEARCH("Director de Marketing",C660))+ISNUMBER(SEARCH("Director Marketing",C660))+ISNUMBER(SEARCH("Head of Marketing",C660))+ISNUMBER(SEARCH("Head Marketing",C660))&gt;0,'Configuración'!$B$32,IF(ISNUMBER(SEARCH("Marketing Manager",C660))+ISNUMBER(SEARCH("Gerente de Marketing",C660))+ISNUMBER(SEARCH("Growth Manager",C660))+ISNUMBER(SEARCH("Demand Gen",C660))+ISNUMBER(SEARCH("Marketing Lead",C660))&gt;0,'Configuración'!$B$33,IF(ISNUMBER(SEARCH("COO",C660))+ISNUMBER(SEARCH("CFO",C660))+ISNUMBER(SEARCH("CTO",C660))+ISNUMBER(SEARCH("Chief Operating",C660))+ISNUMBER(SEARCH("Chief Financial",C660))+ISNUMBER(SEARCH("Gerente General",C660))+ISNUMBER(SEARCH("General Manager",C660))&gt;0,'Configuración'!$B$34,'Configuración'!$B$35)))))</f>
        <v>4</v>
      </c>
      <c r="V660" s="38">
        <f>IF(B660="","",IF(K660="Sí",'Configuración'!$B$5,0)+IF(L660="Semanal",'Configuración'!$B$6,IF(L660="Mensual",'Configuración'!$B$7,0))+IF(M660="Sí",'Configuración'!$B$8,0)+IF(N660="Sí",'Configuración'!$B$9,0)+IF(O660="Sí",'Configuración'!$B$10,0)+IF(P660="Sí",'Configuración'!$B$11,0)+IF(Q660="Sí",'Configuración'!$B$12,0)+S660+T660+U660)</f>
        <v>20</v>
      </c>
      <c r="W660" s="39" t="str">
        <f>IF(B660="","",IF(V660&gt;='Configuración'!$B$19,"A",IF(V660&gt;='Configuración'!$B$20,"B",IF(V660&gt;='Configuración'!$B$21,"C","Descarte"))))</f>
        <v>Descarte</v>
      </c>
    </row>
    <row r="661" ht="15.75" customHeight="1">
      <c r="A661" s="34">
        <f t="shared" si="1"/>
        <v>659</v>
      </c>
      <c r="B661" s="29" t="s">
        <v>262</v>
      </c>
      <c r="C661" s="29" t="s">
        <v>622</v>
      </c>
      <c r="D661" s="29" t="s">
        <v>3960</v>
      </c>
      <c r="E661" s="29" t="s">
        <v>3961</v>
      </c>
      <c r="F661" s="30" t="s">
        <v>3962</v>
      </c>
      <c r="G661" s="30" t="s">
        <v>3963</v>
      </c>
      <c r="H661" s="30" t="s">
        <v>3964</v>
      </c>
      <c r="I661" s="29" t="s">
        <v>127</v>
      </c>
      <c r="J661" s="31">
        <v>43.0</v>
      </c>
      <c r="K661" s="35"/>
      <c r="L661" s="35"/>
      <c r="M661" s="35"/>
      <c r="N661" s="35"/>
      <c r="O661" s="35"/>
      <c r="P661" s="35"/>
      <c r="Q661" s="35"/>
      <c r="R661" s="35"/>
      <c r="S661" s="37">
        <f>IF(B661="","",IF(ISNUMBER(J661),IF(J661&lt;=10,'Configuración'!$B$23,IF(J661&lt;=50,'Configuración'!$B$24,IF(J661&lt;=200,'Configuración'!$B$25,0))),0))</f>
        <v>4</v>
      </c>
      <c r="T661" s="37">
        <f>IF(B661="","",IF(ISNUMBER(SEARCH("information technology",I661))+ISNUMBER(SEARCH("software",I661))+ISNUMBER(SEARCH("internet",I661))+ISNUMBER(SEARCH("computer",I661))+ISNUMBER(SEARCH("saas",I661))+ISNUMBER(SEARCH("fintech",I661))+ISNUMBER(SEARCH("information services",I661))+ISNUMBER(SEARCH("telecommunications",I661))&gt;0,'Configuración'!$B$27,'Configuración'!$B$28))</f>
        <v>12</v>
      </c>
      <c r="U661" s="25">
        <f>IF(B661="","",IF(ISNUMBER(SEARCH("CEO",C661))+ISNUMBER(SEARCH("Founder",C661))+ISNUMBER(SEARCH("Owner",C661))+ISNUMBER(SEARCH("Dueño",C661))+ISNUMBER(SEARCH("Director General",C661))+ISNUMBER(SEARCH("Presidente",C661))+ISNUMBER(SEARCH("President",C661))&gt;0,'Configuración'!$B$31,IF(ISNUMBER(SEARCH("CMO",C661))+ISNUMBER(SEARCH("Chief Marketing",C661))+ISNUMBER(SEARCH("VP Marketing",C661))+ISNUMBER(SEARCH("Director de Marketing",C661))+ISNUMBER(SEARCH("Director Marketing",C661))+ISNUMBER(SEARCH("Head of Marketing",C661))+ISNUMBER(SEARCH("Head Marketing",C661))&gt;0,'Configuración'!$B$32,IF(ISNUMBER(SEARCH("Marketing Manager",C661))+ISNUMBER(SEARCH("Gerente de Marketing",C661))+ISNUMBER(SEARCH("Growth Manager",C661))+ISNUMBER(SEARCH("Demand Gen",C661))+ISNUMBER(SEARCH("Marketing Lead",C661))&gt;0,'Configuración'!$B$33,IF(ISNUMBER(SEARCH("COO",C661))+ISNUMBER(SEARCH("CFO",C661))+ISNUMBER(SEARCH("CTO",C661))+ISNUMBER(SEARCH("Chief Operating",C661))+ISNUMBER(SEARCH("Chief Financial",C661))+ISNUMBER(SEARCH("Gerente General",C661))+ISNUMBER(SEARCH("General Manager",C661))&gt;0,'Configuración'!$B$34,'Configuración'!$B$35)))))</f>
        <v>12</v>
      </c>
      <c r="V661" s="38">
        <f>IF(B661="","",IF(K661="Sí",'Configuración'!$B$5,0)+IF(L661="Semanal",'Configuración'!$B$6,IF(L661="Mensual",'Configuración'!$B$7,0))+IF(M661="Sí",'Configuración'!$B$8,0)+IF(N661="Sí",'Configuración'!$B$9,0)+IF(O661="Sí",'Configuración'!$B$10,0)+IF(P661="Sí",'Configuración'!$B$11,0)+IF(Q661="Sí",'Configuración'!$B$12,0)+S661+T661+U661)</f>
        <v>28</v>
      </c>
      <c r="W661" s="39" t="str">
        <f>IF(B661="","",IF(V661&gt;='Configuración'!$B$19,"A",IF(V661&gt;='Configuración'!$B$20,"B",IF(V661&gt;='Configuración'!$B$21,"C","Descarte"))))</f>
        <v>C</v>
      </c>
    </row>
    <row r="662" ht="15.75" customHeight="1">
      <c r="A662" s="34">
        <f t="shared" si="1"/>
        <v>660</v>
      </c>
      <c r="B662" s="29" t="s">
        <v>1778</v>
      </c>
      <c r="C662" s="29" t="s">
        <v>2266</v>
      </c>
      <c r="D662" s="29" t="s">
        <v>3965</v>
      </c>
      <c r="E662" s="29" t="s">
        <v>3966</v>
      </c>
      <c r="F662" s="30" t="s">
        <v>3967</v>
      </c>
      <c r="G662" s="30" t="s">
        <v>3968</v>
      </c>
      <c r="H662" s="30" t="s">
        <v>3969</v>
      </c>
      <c r="I662" s="29" t="s">
        <v>127</v>
      </c>
      <c r="J662" s="31">
        <v>1.0</v>
      </c>
      <c r="K662" s="35"/>
      <c r="L662" s="35"/>
      <c r="M662" s="35"/>
      <c r="N662" s="35"/>
      <c r="O662" s="35"/>
      <c r="P662" s="35"/>
      <c r="Q662" s="35"/>
      <c r="R662" s="35"/>
      <c r="S662" s="37">
        <f>IF(B662="","",IF(ISNUMBER(J662),IF(J662&lt;=10,'Configuración'!$B$23,IF(J662&lt;=50,'Configuración'!$B$24,IF(J662&lt;=200,'Configuración'!$B$25,0))),0))</f>
        <v>12</v>
      </c>
      <c r="T662" s="37">
        <f>IF(B662="","",IF(ISNUMBER(SEARCH("information technology",I662))+ISNUMBER(SEARCH("software",I662))+ISNUMBER(SEARCH("internet",I662))+ISNUMBER(SEARCH("computer",I662))+ISNUMBER(SEARCH("saas",I662))+ISNUMBER(SEARCH("fintech",I662))+ISNUMBER(SEARCH("information services",I662))+ISNUMBER(SEARCH("telecommunications",I662))&gt;0,'Configuración'!$B$27,'Configuración'!$B$28))</f>
        <v>12</v>
      </c>
      <c r="U662" s="25">
        <f>IF(B662="","",IF(ISNUMBER(SEARCH("CEO",C662))+ISNUMBER(SEARCH("Founder",C662))+ISNUMBER(SEARCH("Owner",C662))+ISNUMBER(SEARCH("Dueño",C662))+ISNUMBER(SEARCH("Director General",C662))+ISNUMBER(SEARCH("Presidente",C662))+ISNUMBER(SEARCH("President",C662))&gt;0,'Configuración'!$B$31,IF(ISNUMBER(SEARCH("CMO",C662))+ISNUMBER(SEARCH("Chief Marketing",C662))+ISNUMBER(SEARCH("VP Marketing",C662))+ISNUMBER(SEARCH("Director de Marketing",C662))+ISNUMBER(SEARCH("Director Marketing",C662))+ISNUMBER(SEARCH("Head of Marketing",C662))+ISNUMBER(SEARCH("Head Marketing",C662))&gt;0,'Configuración'!$B$32,IF(ISNUMBER(SEARCH("Marketing Manager",C662))+ISNUMBER(SEARCH("Gerente de Marketing",C662))+ISNUMBER(SEARCH("Growth Manager",C662))+ISNUMBER(SEARCH("Demand Gen",C662))+ISNUMBER(SEARCH("Marketing Lead",C662))&gt;0,'Configuración'!$B$33,IF(ISNUMBER(SEARCH("COO",C662))+ISNUMBER(SEARCH("CFO",C662))+ISNUMBER(SEARCH("CTO",C662))+ISNUMBER(SEARCH("Chief Operating",C662))+ISNUMBER(SEARCH("Chief Financial",C662))+ISNUMBER(SEARCH("Gerente General",C662))+ISNUMBER(SEARCH("General Manager",C662))&gt;0,'Configuración'!$B$34,'Configuración'!$B$35)))))</f>
        <v>12</v>
      </c>
      <c r="V662" s="38">
        <f>IF(B662="","",IF(K662="Sí",'Configuración'!$B$5,0)+IF(L662="Semanal",'Configuración'!$B$6,IF(L662="Mensual",'Configuración'!$B$7,0))+IF(M662="Sí",'Configuración'!$B$8,0)+IF(N662="Sí",'Configuración'!$B$9,0)+IF(O662="Sí",'Configuración'!$B$10,0)+IF(P662="Sí",'Configuración'!$B$11,0)+IF(Q662="Sí",'Configuración'!$B$12,0)+S662+T662+U662)</f>
        <v>36</v>
      </c>
      <c r="W662" s="39" t="str">
        <f>IF(B662="","",IF(V662&gt;='Configuración'!$B$19,"A",IF(V662&gt;='Configuración'!$B$20,"B",IF(V662&gt;='Configuración'!$B$21,"C","Descarte"))))</f>
        <v>C</v>
      </c>
    </row>
    <row r="663" ht="15.75" customHeight="1">
      <c r="A663" s="34">
        <f t="shared" si="1"/>
        <v>661</v>
      </c>
      <c r="B663" s="29" t="s">
        <v>120</v>
      </c>
      <c r="C663" s="29" t="s">
        <v>622</v>
      </c>
      <c r="D663" s="29" t="s">
        <v>3970</v>
      </c>
      <c r="E663" s="29" t="s">
        <v>3971</v>
      </c>
      <c r="F663" s="30" t="s">
        <v>3972</v>
      </c>
      <c r="G663" s="30" t="s">
        <v>3973</v>
      </c>
      <c r="H663" s="30" t="s">
        <v>3974</v>
      </c>
      <c r="I663" s="29" t="s">
        <v>873</v>
      </c>
      <c r="J663" s="31">
        <v>8.0</v>
      </c>
      <c r="K663" s="35"/>
      <c r="L663" s="35"/>
      <c r="M663" s="35"/>
      <c r="N663" s="35"/>
      <c r="O663" s="35"/>
      <c r="P663" s="35"/>
      <c r="Q663" s="35"/>
      <c r="R663" s="35"/>
      <c r="S663" s="37">
        <f>IF(B663="","",IF(ISNUMBER(J663),IF(J663&lt;=10,'Configuración'!$B$23,IF(J663&lt;=50,'Configuración'!$B$24,IF(J663&lt;=200,'Configuración'!$B$25,0))),0))</f>
        <v>12</v>
      </c>
      <c r="T663" s="37">
        <f>IF(B663="","",IF(ISNUMBER(SEARCH("information technology",I663))+ISNUMBER(SEARCH("software",I663))+ISNUMBER(SEARCH("internet",I663))+ISNUMBER(SEARCH("computer",I663))+ISNUMBER(SEARCH("saas",I663))+ISNUMBER(SEARCH("fintech",I663))+ISNUMBER(SEARCH("information services",I663))+ISNUMBER(SEARCH("telecommunications",I663))&gt;0,'Configuración'!$B$27,'Configuración'!$B$28))</f>
        <v>4</v>
      </c>
      <c r="U663" s="25">
        <f>IF(B663="","",IF(ISNUMBER(SEARCH("CEO",C663))+ISNUMBER(SEARCH("Founder",C663))+ISNUMBER(SEARCH("Owner",C663))+ISNUMBER(SEARCH("Dueño",C663))+ISNUMBER(SEARCH("Director General",C663))+ISNUMBER(SEARCH("Presidente",C663))+ISNUMBER(SEARCH("President",C663))&gt;0,'Configuración'!$B$31,IF(ISNUMBER(SEARCH("CMO",C663))+ISNUMBER(SEARCH("Chief Marketing",C663))+ISNUMBER(SEARCH("VP Marketing",C663))+ISNUMBER(SEARCH("Director de Marketing",C663))+ISNUMBER(SEARCH("Director Marketing",C663))+ISNUMBER(SEARCH("Head of Marketing",C663))+ISNUMBER(SEARCH("Head Marketing",C663))&gt;0,'Configuración'!$B$32,IF(ISNUMBER(SEARCH("Marketing Manager",C663))+ISNUMBER(SEARCH("Gerente de Marketing",C663))+ISNUMBER(SEARCH("Growth Manager",C663))+ISNUMBER(SEARCH("Demand Gen",C663))+ISNUMBER(SEARCH("Marketing Lead",C663))&gt;0,'Configuración'!$B$33,IF(ISNUMBER(SEARCH("COO",C663))+ISNUMBER(SEARCH("CFO",C663))+ISNUMBER(SEARCH("CTO",C663))+ISNUMBER(SEARCH("Chief Operating",C663))+ISNUMBER(SEARCH("Chief Financial",C663))+ISNUMBER(SEARCH("Gerente General",C663))+ISNUMBER(SEARCH("General Manager",C663))&gt;0,'Configuración'!$B$34,'Configuración'!$B$35)))))</f>
        <v>12</v>
      </c>
      <c r="V663" s="38">
        <f>IF(B663="","",IF(K663="Sí",'Configuración'!$B$5,0)+IF(L663="Semanal",'Configuración'!$B$6,IF(L663="Mensual",'Configuración'!$B$7,0))+IF(M663="Sí",'Configuración'!$B$8,0)+IF(N663="Sí",'Configuración'!$B$9,0)+IF(O663="Sí",'Configuración'!$B$10,0)+IF(P663="Sí",'Configuración'!$B$11,0)+IF(Q663="Sí",'Configuración'!$B$12,0)+S663+T663+U663)</f>
        <v>28</v>
      </c>
      <c r="W663" s="39" t="str">
        <f>IF(B663="","",IF(V663&gt;='Configuración'!$B$19,"A",IF(V663&gt;='Configuración'!$B$20,"B",IF(V663&gt;='Configuración'!$B$21,"C","Descarte"))))</f>
        <v>C</v>
      </c>
    </row>
    <row r="664" ht="15.75" customHeight="1">
      <c r="A664" s="34">
        <f t="shared" si="1"/>
        <v>662</v>
      </c>
      <c r="B664" s="29" t="s">
        <v>1601</v>
      </c>
      <c r="C664" s="29" t="s">
        <v>146</v>
      </c>
      <c r="D664" s="40" t="s">
        <v>3975</v>
      </c>
      <c r="E664" s="29" t="s">
        <v>3976</v>
      </c>
      <c r="F664" s="30" t="s">
        <v>3977</v>
      </c>
      <c r="G664" s="30" t="s">
        <v>3978</v>
      </c>
      <c r="H664" s="30" t="s">
        <v>3979</v>
      </c>
      <c r="I664" s="29" t="s">
        <v>127</v>
      </c>
      <c r="J664" s="31">
        <v>38.0</v>
      </c>
      <c r="K664" s="35"/>
      <c r="L664" s="35"/>
      <c r="M664" s="35"/>
      <c r="N664" s="35"/>
      <c r="O664" s="35"/>
      <c r="P664" s="35"/>
      <c r="Q664" s="35"/>
      <c r="R664" s="35"/>
      <c r="S664" s="37">
        <f>IF(B664="","",IF(ISNUMBER(J664),IF(J664&lt;=10,'Configuración'!$B$23,IF(J664&lt;=50,'Configuración'!$B$24,IF(J664&lt;=200,'Configuración'!$B$25,0))),0))</f>
        <v>4</v>
      </c>
      <c r="T664" s="37">
        <f>IF(B664="","",IF(ISNUMBER(SEARCH("information technology",I664))+ISNUMBER(SEARCH("software",I664))+ISNUMBER(SEARCH("internet",I664))+ISNUMBER(SEARCH("computer",I664))+ISNUMBER(SEARCH("saas",I664))+ISNUMBER(SEARCH("fintech",I664))+ISNUMBER(SEARCH("information services",I664))+ISNUMBER(SEARCH("telecommunications",I664))&gt;0,'Configuración'!$B$27,'Configuración'!$B$28))</f>
        <v>12</v>
      </c>
      <c r="U664" s="25">
        <f>IF(B664="","",IF(ISNUMBER(SEARCH("CEO",C664))+ISNUMBER(SEARCH("Founder",C664))+ISNUMBER(SEARCH("Owner",C664))+ISNUMBER(SEARCH("Dueño",C664))+ISNUMBER(SEARCH("Director General",C664))+ISNUMBER(SEARCH("Presidente",C664))+ISNUMBER(SEARCH("President",C664))&gt;0,'Configuración'!$B$31,IF(ISNUMBER(SEARCH("CMO",C664))+ISNUMBER(SEARCH("Chief Marketing",C664))+ISNUMBER(SEARCH("VP Marketing",C664))+ISNUMBER(SEARCH("Director de Marketing",C664))+ISNUMBER(SEARCH("Director Marketing",C664))+ISNUMBER(SEARCH("Head of Marketing",C664))+ISNUMBER(SEARCH("Head Marketing",C664))&gt;0,'Configuración'!$B$32,IF(ISNUMBER(SEARCH("Marketing Manager",C664))+ISNUMBER(SEARCH("Gerente de Marketing",C664))+ISNUMBER(SEARCH("Growth Manager",C664))+ISNUMBER(SEARCH("Demand Gen",C664))+ISNUMBER(SEARCH("Marketing Lead",C664))&gt;0,'Configuración'!$B$33,IF(ISNUMBER(SEARCH("COO",C664))+ISNUMBER(SEARCH("CFO",C664))+ISNUMBER(SEARCH("CTO",C664))+ISNUMBER(SEARCH("Chief Operating",C664))+ISNUMBER(SEARCH("Chief Financial",C664))+ISNUMBER(SEARCH("Gerente General",C664))+ISNUMBER(SEARCH("General Manager",C664))&gt;0,'Configuración'!$B$34,'Configuración'!$B$35)))))</f>
        <v>0</v>
      </c>
      <c r="V664" s="38">
        <f>IF(B664="","",IF(K664="Sí",'Configuración'!$B$5,0)+IF(L664="Semanal",'Configuración'!$B$6,IF(L664="Mensual",'Configuración'!$B$7,0))+IF(M664="Sí",'Configuración'!$B$8,0)+IF(N664="Sí",'Configuración'!$B$9,0)+IF(O664="Sí",'Configuración'!$B$10,0)+IF(P664="Sí",'Configuración'!$B$11,0)+IF(Q664="Sí",'Configuración'!$B$12,0)+S664+T664+U664)</f>
        <v>16</v>
      </c>
      <c r="W664" s="39" t="str">
        <f>IF(B664="","",IF(V664&gt;='Configuración'!$B$19,"A",IF(V664&gt;='Configuración'!$B$20,"B",IF(V664&gt;='Configuración'!$B$21,"C","Descarte"))))</f>
        <v>Descarte</v>
      </c>
    </row>
    <row r="665" ht="15.75" customHeight="1">
      <c r="A665" s="34">
        <f t="shared" si="1"/>
        <v>663</v>
      </c>
      <c r="B665" s="29" t="s">
        <v>174</v>
      </c>
      <c r="C665" s="29" t="s">
        <v>131</v>
      </c>
      <c r="D665" s="30" t="s">
        <v>3980</v>
      </c>
      <c r="E665" s="29" t="s">
        <v>3981</v>
      </c>
      <c r="F665" s="30" t="s">
        <v>3982</v>
      </c>
      <c r="G665" s="30" t="s">
        <v>3983</v>
      </c>
      <c r="H665" s="30" t="s">
        <v>3984</v>
      </c>
      <c r="I665" s="29" t="s">
        <v>116</v>
      </c>
      <c r="J665" s="31">
        <v>1.0</v>
      </c>
      <c r="K665" s="35"/>
      <c r="L665" s="35"/>
      <c r="M665" s="35"/>
      <c r="N665" s="35"/>
      <c r="O665" s="35"/>
      <c r="P665" s="35"/>
      <c r="Q665" s="35"/>
      <c r="R665" s="35"/>
      <c r="S665" s="37">
        <f>IF(B665="","",IF(ISNUMBER(J665),IF(J665&lt;=10,'Configuración'!$B$23,IF(J665&lt;=50,'Configuración'!$B$24,IF(J665&lt;=200,'Configuración'!$B$25,0))),0))</f>
        <v>12</v>
      </c>
      <c r="T665" s="37">
        <f>IF(B665="","",IF(ISNUMBER(SEARCH("information technology",I665))+ISNUMBER(SEARCH("software",I665))+ISNUMBER(SEARCH("internet",I665))+ISNUMBER(SEARCH("computer",I665))+ISNUMBER(SEARCH("saas",I665))+ISNUMBER(SEARCH("fintech",I665))+ISNUMBER(SEARCH("information services",I665))+ISNUMBER(SEARCH("telecommunications",I665))&gt;0,'Configuración'!$B$27,'Configuración'!$B$28))</f>
        <v>4</v>
      </c>
      <c r="U665" s="25">
        <f>IF(B665="","",IF(ISNUMBER(SEARCH("CEO",C665))+ISNUMBER(SEARCH("Founder",C665))+ISNUMBER(SEARCH("Owner",C665))+ISNUMBER(SEARCH("Dueño",C665))+ISNUMBER(SEARCH("Director General",C665))+ISNUMBER(SEARCH("Presidente",C665))+ISNUMBER(SEARCH("President",C665))&gt;0,'Configuración'!$B$31,IF(ISNUMBER(SEARCH("CMO",C665))+ISNUMBER(SEARCH("Chief Marketing",C665))+ISNUMBER(SEARCH("VP Marketing",C665))+ISNUMBER(SEARCH("Director de Marketing",C665))+ISNUMBER(SEARCH("Director Marketing",C665))+ISNUMBER(SEARCH("Head of Marketing",C665))+ISNUMBER(SEARCH("Head Marketing",C665))&gt;0,'Configuración'!$B$32,IF(ISNUMBER(SEARCH("Marketing Manager",C665))+ISNUMBER(SEARCH("Gerente de Marketing",C665))+ISNUMBER(SEARCH("Growth Manager",C665))+ISNUMBER(SEARCH("Demand Gen",C665))+ISNUMBER(SEARCH("Marketing Lead",C665))&gt;0,'Configuración'!$B$33,IF(ISNUMBER(SEARCH("COO",C665))+ISNUMBER(SEARCH("CFO",C665))+ISNUMBER(SEARCH("CTO",C665))+ISNUMBER(SEARCH("Chief Operating",C665))+ISNUMBER(SEARCH("Chief Financial",C665))+ISNUMBER(SEARCH("Gerente General",C665))+ISNUMBER(SEARCH("General Manager",C665))&gt;0,'Configuración'!$B$34,'Configuración'!$B$35)))))</f>
        <v>12</v>
      </c>
      <c r="V665" s="38">
        <f>IF(B665="","",IF(K665="Sí",'Configuración'!$B$5,0)+IF(L665="Semanal",'Configuración'!$B$6,IF(L665="Mensual",'Configuración'!$B$7,0))+IF(M665="Sí",'Configuración'!$B$8,0)+IF(N665="Sí",'Configuración'!$B$9,0)+IF(O665="Sí",'Configuración'!$B$10,0)+IF(P665="Sí",'Configuración'!$B$11,0)+IF(Q665="Sí",'Configuración'!$B$12,0)+S665+T665+U665)</f>
        <v>28</v>
      </c>
      <c r="W665" s="39" t="str">
        <f>IF(B665="","",IF(V665&gt;='Configuración'!$B$19,"A",IF(V665&gt;='Configuración'!$B$20,"B",IF(V665&gt;='Configuración'!$B$21,"C","Descarte"))))</f>
        <v>C</v>
      </c>
    </row>
    <row r="666" ht="15.75" customHeight="1">
      <c r="A666" s="34">
        <f t="shared" si="1"/>
        <v>664</v>
      </c>
      <c r="B666" s="29" t="s">
        <v>3985</v>
      </c>
      <c r="C666" s="29" t="s">
        <v>175</v>
      </c>
      <c r="D666" s="29" t="s">
        <v>3986</v>
      </c>
      <c r="E666" s="29" t="s">
        <v>3987</v>
      </c>
      <c r="F666" s="30" t="s">
        <v>3988</v>
      </c>
      <c r="G666" s="30" t="s">
        <v>3989</v>
      </c>
      <c r="H666" s="30" t="s">
        <v>3990</v>
      </c>
      <c r="I666" s="29" t="s">
        <v>137</v>
      </c>
      <c r="J666" s="31">
        <v>5.0</v>
      </c>
      <c r="K666" s="35"/>
      <c r="L666" s="35"/>
      <c r="M666" s="35"/>
      <c r="N666" s="35"/>
      <c r="O666" s="35"/>
      <c r="P666" s="35"/>
      <c r="Q666" s="35"/>
      <c r="R666" s="35"/>
      <c r="S666" s="37">
        <f>IF(B666="","",IF(ISNUMBER(J666),IF(J666&lt;=10,'Configuración'!$B$23,IF(J666&lt;=50,'Configuración'!$B$24,IF(J666&lt;=200,'Configuración'!$B$25,0))),0))</f>
        <v>12</v>
      </c>
      <c r="T666" s="37">
        <f>IF(B666="","",IF(ISNUMBER(SEARCH("information technology",I666))+ISNUMBER(SEARCH("software",I666))+ISNUMBER(SEARCH("internet",I666))+ISNUMBER(SEARCH("computer",I666))+ISNUMBER(SEARCH("saas",I666))+ISNUMBER(SEARCH("fintech",I666))+ISNUMBER(SEARCH("information services",I666))+ISNUMBER(SEARCH("telecommunications",I666))&gt;0,'Configuración'!$B$27,'Configuración'!$B$28))</f>
        <v>4</v>
      </c>
      <c r="U666" s="25">
        <f>IF(B666="","",IF(ISNUMBER(SEARCH("CEO",C666))+ISNUMBER(SEARCH("Founder",C666))+ISNUMBER(SEARCH("Owner",C666))+ISNUMBER(SEARCH("Dueño",C666))+ISNUMBER(SEARCH("Director General",C666))+ISNUMBER(SEARCH("Presidente",C666))+ISNUMBER(SEARCH("President",C666))&gt;0,'Configuración'!$B$31,IF(ISNUMBER(SEARCH("CMO",C666))+ISNUMBER(SEARCH("Chief Marketing",C666))+ISNUMBER(SEARCH("VP Marketing",C666))+ISNUMBER(SEARCH("Director de Marketing",C666))+ISNUMBER(SEARCH("Director Marketing",C666))+ISNUMBER(SEARCH("Head of Marketing",C666))+ISNUMBER(SEARCH("Head Marketing",C666))&gt;0,'Configuración'!$B$32,IF(ISNUMBER(SEARCH("Marketing Manager",C666))+ISNUMBER(SEARCH("Gerente de Marketing",C666))+ISNUMBER(SEARCH("Growth Manager",C666))+ISNUMBER(SEARCH("Demand Gen",C666))+ISNUMBER(SEARCH("Marketing Lead",C666))&gt;0,'Configuración'!$B$33,IF(ISNUMBER(SEARCH("COO",C666))+ISNUMBER(SEARCH("CFO",C666))+ISNUMBER(SEARCH("CTO",C666))+ISNUMBER(SEARCH("Chief Operating",C666))+ISNUMBER(SEARCH("Chief Financial",C666))+ISNUMBER(SEARCH("Gerente General",C666))+ISNUMBER(SEARCH("General Manager",C666))&gt;0,'Configuración'!$B$34,'Configuración'!$B$35)))))</f>
        <v>12</v>
      </c>
      <c r="V666" s="38">
        <f>IF(B666="","",IF(K666="Sí",'Configuración'!$B$5,0)+IF(L666="Semanal",'Configuración'!$B$6,IF(L666="Mensual",'Configuración'!$B$7,0))+IF(M666="Sí",'Configuración'!$B$8,0)+IF(N666="Sí",'Configuración'!$B$9,0)+IF(O666="Sí",'Configuración'!$B$10,0)+IF(P666="Sí",'Configuración'!$B$11,0)+IF(Q666="Sí",'Configuración'!$B$12,0)+S666+T666+U666)</f>
        <v>28</v>
      </c>
      <c r="W666" s="39" t="str">
        <f>IF(B666="","",IF(V666&gt;='Configuración'!$B$19,"A",IF(V666&gt;='Configuración'!$B$20,"B",IF(V666&gt;='Configuración'!$B$21,"C","Descarte"))))</f>
        <v>C</v>
      </c>
    </row>
    <row r="667" ht="15.75" customHeight="1">
      <c r="A667" s="34">
        <f t="shared" si="1"/>
        <v>665</v>
      </c>
      <c r="B667" s="29" t="s">
        <v>3991</v>
      </c>
      <c r="C667" s="29" t="s">
        <v>3992</v>
      </c>
      <c r="D667" s="29" t="s">
        <v>3993</v>
      </c>
      <c r="E667" s="29" t="s">
        <v>3994</v>
      </c>
      <c r="F667" s="30" t="s">
        <v>3995</v>
      </c>
      <c r="G667" s="30" t="s">
        <v>3996</v>
      </c>
      <c r="H667" s="30" t="s">
        <v>3997</v>
      </c>
      <c r="I667" s="29" t="s">
        <v>990</v>
      </c>
      <c r="J667" s="31">
        <v>36.0</v>
      </c>
      <c r="K667" s="35"/>
      <c r="L667" s="35"/>
      <c r="M667" s="35"/>
      <c r="N667" s="35"/>
      <c r="O667" s="35"/>
      <c r="P667" s="35"/>
      <c r="Q667" s="35"/>
      <c r="R667" s="35"/>
      <c r="S667" s="37">
        <f>IF(B667="","",IF(ISNUMBER(J667),IF(J667&lt;=10,'Configuración'!$B$23,IF(J667&lt;=50,'Configuración'!$B$24,IF(J667&lt;=200,'Configuración'!$B$25,0))),0))</f>
        <v>4</v>
      </c>
      <c r="T667" s="37">
        <f>IF(B667="","",IF(ISNUMBER(SEARCH("information technology",I667))+ISNUMBER(SEARCH("software",I667))+ISNUMBER(SEARCH("internet",I667))+ISNUMBER(SEARCH("computer",I667))+ISNUMBER(SEARCH("saas",I667))+ISNUMBER(SEARCH("fintech",I667))+ISNUMBER(SEARCH("information services",I667))+ISNUMBER(SEARCH("telecommunications",I667))&gt;0,'Configuración'!$B$27,'Configuración'!$B$28))</f>
        <v>4</v>
      </c>
      <c r="U667" s="25">
        <f>IF(B667="","",IF(ISNUMBER(SEARCH("CEO",C667))+ISNUMBER(SEARCH("Founder",C667))+ISNUMBER(SEARCH("Owner",C667))+ISNUMBER(SEARCH("Dueño",C667))+ISNUMBER(SEARCH("Director General",C667))+ISNUMBER(SEARCH("Presidente",C667))+ISNUMBER(SEARCH("President",C667))&gt;0,'Configuración'!$B$31,IF(ISNUMBER(SEARCH("CMO",C667))+ISNUMBER(SEARCH("Chief Marketing",C667))+ISNUMBER(SEARCH("VP Marketing",C667))+ISNUMBER(SEARCH("Director de Marketing",C667))+ISNUMBER(SEARCH("Director Marketing",C667))+ISNUMBER(SEARCH("Head of Marketing",C667))+ISNUMBER(SEARCH("Head Marketing",C667))&gt;0,'Configuración'!$B$32,IF(ISNUMBER(SEARCH("Marketing Manager",C667))+ISNUMBER(SEARCH("Gerente de Marketing",C667))+ISNUMBER(SEARCH("Growth Manager",C667))+ISNUMBER(SEARCH("Demand Gen",C667))+ISNUMBER(SEARCH("Marketing Lead",C667))&gt;0,'Configuración'!$B$33,IF(ISNUMBER(SEARCH("COO",C667))+ISNUMBER(SEARCH("CFO",C667))+ISNUMBER(SEARCH("CTO",C667))+ISNUMBER(SEARCH("Chief Operating",C667))+ISNUMBER(SEARCH("Chief Financial",C667))+ISNUMBER(SEARCH("Gerente General",C667))+ISNUMBER(SEARCH("General Manager",C667))&gt;0,'Configuración'!$B$34,'Configuración'!$B$35)))))</f>
        <v>12</v>
      </c>
      <c r="V667" s="38">
        <f>IF(B667="","",IF(K667="Sí",'Configuración'!$B$5,0)+IF(L667="Semanal",'Configuración'!$B$6,IF(L667="Mensual",'Configuración'!$B$7,0))+IF(M667="Sí",'Configuración'!$B$8,0)+IF(N667="Sí",'Configuración'!$B$9,0)+IF(O667="Sí",'Configuración'!$B$10,0)+IF(P667="Sí",'Configuración'!$B$11,0)+IF(Q667="Sí",'Configuración'!$B$12,0)+S667+T667+U667)</f>
        <v>20</v>
      </c>
      <c r="W667" s="39" t="str">
        <f>IF(B667="","",IF(V667&gt;='Configuración'!$B$19,"A",IF(V667&gt;='Configuración'!$B$20,"B",IF(V667&gt;='Configuración'!$B$21,"C","Descarte"))))</f>
        <v>Descarte</v>
      </c>
    </row>
    <row r="668" ht="15.75" customHeight="1">
      <c r="A668" s="34">
        <f t="shared" si="1"/>
        <v>666</v>
      </c>
      <c r="B668" s="29" t="s">
        <v>1103</v>
      </c>
      <c r="C668" s="29" t="s">
        <v>202</v>
      </c>
      <c r="D668" s="29" t="s">
        <v>3998</v>
      </c>
      <c r="E668" s="29" t="s">
        <v>3999</v>
      </c>
      <c r="F668" s="30" t="s">
        <v>4000</v>
      </c>
      <c r="G668" s="30" t="s">
        <v>4001</v>
      </c>
      <c r="H668" s="30" t="s">
        <v>4002</v>
      </c>
      <c r="I668" s="29" t="s">
        <v>188</v>
      </c>
      <c r="J668" s="31">
        <v>6.0</v>
      </c>
      <c r="K668" s="35"/>
      <c r="L668" s="35"/>
      <c r="M668" s="35"/>
      <c r="N668" s="35"/>
      <c r="O668" s="35"/>
      <c r="P668" s="35"/>
      <c r="Q668" s="35"/>
      <c r="R668" s="35"/>
      <c r="S668" s="37">
        <f>IF(B668="","",IF(ISNUMBER(J668),IF(J668&lt;=10,'Configuración'!$B$23,IF(J668&lt;=50,'Configuración'!$B$24,IF(J668&lt;=200,'Configuración'!$B$25,0))),0))</f>
        <v>12</v>
      </c>
      <c r="T668" s="37">
        <f>IF(B668="","",IF(ISNUMBER(SEARCH("information technology",I668))+ISNUMBER(SEARCH("software",I668))+ISNUMBER(SEARCH("internet",I668))+ISNUMBER(SEARCH("computer",I668))+ISNUMBER(SEARCH("saas",I668))+ISNUMBER(SEARCH("fintech",I668))+ISNUMBER(SEARCH("information services",I668))+ISNUMBER(SEARCH("telecommunications",I668))&gt;0,'Configuración'!$B$27,'Configuración'!$B$28))</f>
        <v>4</v>
      </c>
      <c r="U668" s="25">
        <f>IF(B668="","",IF(ISNUMBER(SEARCH("CEO",C668))+ISNUMBER(SEARCH("Founder",C668))+ISNUMBER(SEARCH("Owner",C668))+ISNUMBER(SEARCH("Dueño",C668))+ISNUMBER(SEARCH("Director General",C668))+ISNUMBER(SEARCH("Presidente",C668))+ISNUMBER(SEARCH("President",C668))&gt;0,'Configuración'!$B$31,IF(ISNUMBER(SEARCH("CMO",C668))+ISNUMBER(SEARCH("Chief Marketing",C668))+ISNUMBER(SEARCH("VP Marketing",C668))+ISNUMBER(SEARCH("Director de Marketing",C668))+ISNUMBER(SEARCH("Director Marketing",C668))+ISNUMBER(SEARCH("Head of Marketing",C668))+ISNUMBER(SEARCH("Head Marketing",C668))&gt;0,'Configuración'!$B$32,IF(ISNUMBER(SEARCH("Marketing Manager",C668))+ISNUMBER(SEARCH("Gerente de Marketing",C668))+ISNUMBER(SEARCH("Growth Manager",C668))+ISNUMBER(SEARCH("Demand Gen",C668))+ISNUMBER(SEARCH("Marketing Lead",C668))&gt;0,'Configuración'!$B$33,IF(ISNUMBER(SEARCH("COO",C668))+ISNUMBER(SEARCH("CFO",C668))+ISNUMBER(SEARCH("CTO",C668))+ISNUMBER(SEARCH("Chief Operating",C668))+ISNUMBER(SEARCH("Chief Financial",C668))+ISNUMBER(SEARCH("Gerente General",C668))+ISNUMBER(SEARCH("General Manager",C668))&gt;0,'Configuración'!$B$34,'Configuración'!$B$35)))))</f>
        <v>12</v>
      </c>
      <c r="V668" s="38">
        <f>IF(B668="","",IF(K668="Sí",'Configuración'!$B$5,0)+IF(L668="Semanal",'Configuración'!$B$6,IF(L668="Mensual",'Configuración'!$B$7,0))+IF(M668="Sí",'Configuración'!$B$8,0)+IF(N668="Sí",'Configuración'!$B$9,0)+IF(O668="Sí",'Configuración'!$B$10,0)+IF(P668="Sí",'Configuración'!$B$11,0)+IF(Q668="Sí",'Configuración'!$B$12,0)+S668+T668+U668)</f>
        <v>28</v>
      </c>
      <c r="W668" s="39" t="str">
        <f>IF(B668="","",IF(V668&gt;='Configuración'!$B$19,"A",IF(V668&gt;='Configuración'!$B$20,"B",IF(V668&gt;='Configuración'!$B$21,"C","Descarte"))))</f>
        <v>C</v>
      </c>
    </row>
    <row r="669" ht="15.75" customHeight="1">
      <c r="A669" s="34">
        <f t="shared" si="1"/>
        <v>667</v>
      </c>
      <c r="B669" s="29" t="s">
        <v>466</v>
      </c>
      <c r="C669" s="29" t="s">
        <v>4003</v>
      </c>
      <c r="D669" s="29" t="s">
        <v>4004</v>
      </c>
      <c r="E669" s="29" t="s">
        <v>4005</v>
      </c>
      <c r="F669" s="30" t="s">
        <v>4006</v>
      </c>
      <c r="G669" s="30" t="s">
        <v>4007</v>
      </c>
      <c r="H669" s="30" t="s">
        <v>4008</v>
      </c>
      <c r="I669" s="29" t="s">
        <v>188</v>
      </c>
      <c r="J669" s="31">
        <v>3.0</v>
      </c>
      <c r="K669" s="35"/>
      <c r="L669" s="35"/>
      <c r="M669" s="35"/>
      <c r="N669" s="35"/>
      <c r="O669" s="35"/>
      <c r="P669" s="35"/>
      <c r="Q669" s="35"/>
      <c r="R669" s="35"/>
      <c r="S669" s="37">
        <f>IF(B669="","",IF(ISNUMBER(J669),IF(J669&lt;=10,'Configuración'!$B$23,IF(J669&lt;=50,'Configuración'!$B$24,IF(J669&lt;=200,'Configuración'!$B$25,0))),0))</f>
        <v>12</v>
      </c>
      <c r="T669" s="37">
        <f>IF(B669="","",IF(ISNUMBER(SEARCH("information technology",I669))+ISNUMBER(SEARCH("software",I669))+ISNUMBER(SEARCH("internet",I669))+ISNUMBER(SEARCH("computer",I669))+ISNUMBER(SEARCH("saas",I669))+ISNUMBER(SEARCH("fintech",I669))+ISNUMBER(SEARCH("information services",I669))+ISNUMBER(SEARCH("telecommunications",I669))&gt;0,'Configuración'!$B$27,'Configuración'!$B$28))</f>
        <v>4</v>
      </c>
      <c r="U669" s="25">
        <f>IF(B669="","",IF(ISNUMBER(SEARCH("CEO",C669))+ISNUMBER(SEARCH("Founder",C669))+ISNUMBER(SEARCH("Owner",C669))+ISNUMBER(SEARCH("Dueño",C669))+ISNUMBER(SEARCH("Director General",C669))+ISNUMBER(SEARCH("Presidente",C669))+ISNUMBER(SEARCH("President",C669))&gt;0,'Configuración'!$B$31,IF(ISNUMBER(SEARCH("CMO",C669))+ISNUMBER(SEARCH("Chief Marketing",C669))+ISNUMBER(SEARCH("VP Marketing",C669))+ISNUMBER(SEARCH("Director de Marketing",C669))+ISNUMBER(SEARCH("Director Marketing",C669))+ISNUMBER(SEARCH("Head of Marketing",C669))+ISNUMBER(SEARCH("Head Marketing",C669))&gt;0,'Configuración'!$B$32,IF(ISNUMBER(SEARCH("Marketing Manager",C669))+ISNUMBER(SEARCH("Gerente de Marketing",C669))+ISNUMBER(SEARCH("Growth Manager",C669))+ISNUMBER(SEARCH("Demand Gen",C669))+ISNUMBER(SEARCH("Marketing Lead",C669))&gt;0,'Configuración'!$B$33,IF(ISNUMBER(SEARCH("COO",C669))+ISNUMBER(SEARCH("CFO",C669))+ISNUMBER(SEARCH("CTO",C669))+ISNUMBER(SEARCH("Chief Operating",C669))+ISNUMBER(SEARCH("Chief Financial",C669))+ISNUMBER(SEARCH("Gerente General",C669))+ISNUMBER(SEARCH("General Manager",C669))&gt;0,'Configuración'!$B$34,'Configuración'!$B$35)))))</f>
        <v>4</v>
      </c>
      <c r="V669" s="38">
        <f>IF(B669="","",IF(K669="Sí",'Configuración'!$B$5,0)+IF(L669="Semanal",'Configuración'!$B$6,IF(L669="Mensual",'Configuración'!$B$7,0))+IF(M669="Sí",'Configuración'!$B$8,0)+IF(N669="Sí",'Configuración'!$B$9,0)+IF(O669="Sí",'Configuración'!$B$10,0)+IF(P669="Sí",'Configuración'!$B$11,0)+IF(Q669="Sí",'Configuración'!$B$12,0)+S669+T669+U669)</f>
        <v>20</v>
      </c>
      <c r="W669" s="39" t="str">
        <f>IF(B669="","",IF(V669&gt;='Configuración'!$B$19,"A",IF(V669&gt;='Configuración'!$B$20,"B",IF(V669&gt;='Configuración'!$B$21,"C","Descarte"))))</f>
        <v>Descarte</v>
      </c>
    </row>
    <row r="670" ht="15.75" customHeight="1">
      <c r="A670" s="34">
        <f t="shared" si="1"/>
        <v>668</v>
      </c>
      <c r="B670" s="29" t="s">
        <v>4009</v>
      </c>
      <c r="C670" s="29" t="s">
        <v>387</v>
      </c>
      <c r="D670" s="29" t="s">
        <v>4010</v>
      </c>
      <c r="E670" s="29" t="s">
        <v>4011</v>
      </c>
      <c r="F670" s="30" t="s">
        <v>4012</v>
      </c>
      <c r="G670" s="30" t="s">
        <v>4013</v>
      </c>
      <c r="H670" s="30" t="s">
        <v>4014</v>
      </c>
      <c r="I670" s="29" t="s">
        <v>127</v>
      </c>
      <c r="J670" s="31">
        <v>4.0</v>
      </c>
      <c r="K670" s="35"/>
      <c r="L670" s="35"/>
      <c r="M670" s="35"/>
      <c r="N670" s="35"/>
      <c r="O670" s="35"/>
      <c r="P670" s="35"/>
      <c r="Q670" s="35"/>
      <c r="R670" s="35"/>
      <c r="S670" s="37">
        <f>IF(B670="","",IF(ISNUMBER(J670),IF(J670&lt;=10,'Configuración'!$B$23,IF(J670&lt;=50,'Configuración'!$B$24,IF(J670&lt;=200,'Configuración'!$B$25,0))),0))</f>
        <v>12</v>
      </c>
      <c r="T670" s="37">
        <f>IF(B670="","",IF(ISNUMBER(SEARCH("information technology",I670))+ISNUMBER(SEARCH("software",I670))+ISNUMBER(SEARCH("internet",I670))+ISNUMBER(SEARCH("computer",I670))+ISNUMBER(SEARCH("saas",I670))+ISNUMBER(SEARCH("fintech",I670))+ISNUMBER(SEARCH("information services",I670))+ISNUMBER(SEARCH("telecommunications",I670))&gt;0,'Configuración'!$B$27,'Configuración'!$B$28))</f>
        <v>12</v>
      </c>
      <c r="U670" s="25">
        <f>IF(B670="","",IF(ISNUMBER(SEARCH("CEO",C670))+ISNUMBER(SEARCH("Founder",C670))+ISNUMBER(SEARCH("Owner",C670))+ISNUMBER(SEARCH("Dueño",C670))+ISNUMBER(SEARCH("Director General",C670))+ISNUMBER(SEARCH("Presidente",C670))+ISNUMBER(SEARCH("President",C670))&gt;0,'Configuración'!$B$31,IF(ISNUMBER(SEARCH("CMO",C670))+ISNUMBER(SEARCH("Chief Marketing",C670))+ISNUMBER(SEARCH("VP Marketing",C670))+ISNUMBER(SEARCH("Director de Marketing",C670))+ISNUMBER(SEARCH("Director Marketing",C670))+ISNUMBER(SEARCH("Head of Marketing",C670))+ISNUMBER(SEARCH("Head Marketing",C670))&gt;0,'Configuración'!$B$32,IF(ISNUMBER(SEARCH("Marketing Manager",C670))+ISNUMBER(SEARCH("Gerente de Marketing",C670))+ISNUMBER(SEARCH("Growth Manager",C670))+ISNUMBER(SEARCH("Demand Gen",C670))+ISNUMBER(SEARCH("Marketing Lead",C670))&gt;0,'Configuración'!$B$33,IF(ISNUMBER(SEARCH("COO",C670))+ISNUMBER(SEARCH("CFO",C670))+ISNUMBER(SEARCH("CTO",C670))+ISNUMBER(SEARCH("Chief Operating",C670))+ISNUMBER(SEARCH("Chief Financial",C670))+ISNUMBER(SEARCH("Gerente General",C670))+ISNUMBER(SEARCH("General Manager",C670))&gt;0,'Configuración'!$B$34,'Configuración'!$B$35)))))</f>
        <v>12</v>
      </c>
      <c r="V670" s="38">
        <f>IF(B670="","",IF(K670="Sí",'Configuración'!$B$5,0)+IF(L670="Semanal",'Configuración'!$B$6,IF(L670="Mensual",'Configuración'!$B$7,0))+IF(M670="Sí",'Configuración'!$B$8,0)+IF(N670="Sí",'Configuración'!$B$9,0)+IF(O670="Sí",'Configuración'!$B$10,0)+IF(P670="Sí",'Configuración'!$B$11,0)+IF(Q670="Sí",'Configuración'!$B$12,0)+S670+T670+U670)</f>
        <v>36</v>
      </c>
      <c r="W670" s="39" t="str">
        <f>IF(B670="","",IF(V670&gt;='Configuración'!$B$19,"A",IF(V670&gt;='Configuración'!$B$20,"B",IF(V670&gt;='Configuración'!$B$21,"C","Descarte"))))</f>
        <v>C</v>
      </c>
    </row>
    <row r="671" ht="15.75" customHeight="1">
      <c r="A671" s="34">
        <f t="shared" si="1"/>
        <v>669</v>
      </c>
      <c r="B671" s="29" t="s">
        <v>501</v>
      </c>
      <c r="C671" s="29" t="s">
        <v>175</v>
      </c>
      <c r="D671" s="29" t="s">
        <v>4015</v>
      </c>
      <c r="E671" s="29" t="s">
        <v>4016</v>
      </c>
      <c r="F671" s="30" t="s">
        <v>4017</v>
      </c>
      <c r="G671" s="30" t="s">
        <v>4018</v>
      </c>
      <c r="H671" s="30" t="s">
        <v>4019</v>
      </c>
      <c r="I671" s="29" t="s">
        <v>145</v>
      </c>
      <c r="J671" s="31">
        <v>1.0</v>
      </c>
      <c r="K671" s="35"/>
      <c r="L671" s="35"/>
      <c r="M671" s="35"/>
      <c r="N671" s="35"/>
      <c r="O671" s="35"/>
      <c r="P671" s="35"/>
      <c r="Q671" s="35"/>
      <c r="R671" s="35"/>
      <c r="S671" s="37">
        <f>IF(B671="","",IF(ISNUMBER(J671),IF(J671&lt;=10,'Configuración'!$B$23,IF(J671&lt;=50,'Configuración'!$B$24,IF(J671&lt;=200,'Configuración'!$B$25,0))),0))</f>
        <v>12</v>
      </c>
      <c r="T671" s="37">
        <f>IF(B671="","",IF(ISNUMBER(SEARCH("information technology",I671))+ISNUMBER(SEARCH("software",I671))+ISNUMBER(SEARCH("internet",I671))+ISNUMBER(SEARCH("computer",I671))+ISNUMBER(SEARCH("saas",I671))+ISNUMBER(SEARCH("fintech",I671))+ISNUMBER(SEARCH("information services",I671))+ISNUMBER(SEARCH("telecommunications",I671))&gt;0,'Configuración'!$B$27,'Configuración'!$B$28))</f>
        <v>4</v>
      </c>
      <c r="U671" s="25">
        <f>IF(B671="","",IF(ISNUMBER(SEARCH("CEO",C671))+ISNUMBER(SEARCH("Founder",C671))+ISNUMBER(SEARCH("Owner",C671))+ISNUMBER(SEARCH("Dueño",C671))+ISNUMBER(SEARCH("Director General",C671))+ISNUMBER(SEARCH("Presidente",C671))+ISNUMBER(SEARCH("President",C671))&gt;0,'Configuración'!$B$31,IF(ISNUMBER(SEARCH("CMO",C671))+ISNUMBER(SEARCH("Chief Marketing",C671))+ISNUMBER(SEARCH("VP Marketing",C671))+ISNUMBER(SEARCH("Director de Marketing",C671))+ISNUMBER(SEARCH("Director Marketing",C671))+ISNUMBER(SEARCH("Head of Marketing",C671))+ISNUMBER(SEARCH("Head Marketing",C671))&gt;0,'Configuración'!$B$32,IF(ISNUMBER(SEARCH("Marketing Manager",C671))+ISNUMBER(SEARCH("Gerente de Marketing",C671))+ISNUMBER(SEARCH("Growth Manager",C671))+ISNUMBER(SEARCH("Demand Gen",C671))+ISNUMBER(SEARCH("Marketing Lead",C671))&gt;0,'Configuración'!$B$33,IF(ISNUMBER(SEARCH("COO",C671))+ISNUMBER(SEARCH("CFO",C671))+ISNUMBER(SEARCH("CTO",C671))+ISNUMBER(SEARCH("Chief Operating",C671))+ISNUMBER(SEARCH("Chief Financial",C671))+ISNUMBER(SEARCH("Gerente General",C671))+ISNUMBER(SEARCH("General Manager",C671))&gt;0,'Configuración'!$B$34,'Configuración'!$B$35)))))</f>
        <v>12</v>
      </c>
      <c r="V671" s="38">
        <f>IF(B671="","",IF(K671="Sí",'Configuración'!$B$5,0)+IF(L671="Semanal",'Configuración'!$B$6,IF(L671="Mensual",'Configuración'!$B$7,0))+IF(M671="Sí",'Configuración'!$B$8,0)+IF(N671="Sí",'Configuración'!$B$9,0)+IF(O671="Sí",'Configuración'!$B$10,0)+IF(P671="Sí",'Configuración'!$B$11,0)+IF(Q671="Sí",'Configuración'!$B$12,0)+S671+T671+U671)</f>
        <v>28</v>
      </c>
      <c r="W671" s="39" t="str">
        <f>IF(B671="","",IF(V671&gt;='Configuración'!$B$19,"A",IF(V671&gt;='Configuración'!$B$20,"B",IF(V671&gt;='Configuración'!$B$21,"C","Descarte"))))</f>
        <v>C</v>
      </c>
    </row>
    <row r="672" ht="15.75" customHeight="1">
      <c r="A672" s="34">
        <f t="shared" si="1"/>
        <v>670</v>
      </c>
      <c r="B672" s="29" t="s">
        <v>324</v>
      </c>
      <c r="C672" s="29" t="s">
        <v>4020</v>
      </c>
      <c r="D672" s="40" t="s">
        <v>4021</v>
      </c>
      <c r="E672" s="29" t="s">
        <v>4022</v>
      </c>
      <c r="F672" s="30" t="s">
        <v>4023</v>
      </c>
      <c r="G672" s="30" t="s">
        <v>4024</v>
      </c>
      <c r="H672" s="30" t="s">
        <v>4025</v>
      </c>
      <c r="I672" s="29" t="s">
        <v>659</v>
      </c>
      <c r="J672" s="31">
        <v>8.0</v>
      </c>
      <c r="K672" s="35"/>
      <c r="L672" s="35"/>
      <c r="M672" s="35"/>
      <c r="N672" s="35"/>
      <c r="O672" s="35"/>
      <c r="P672" s="35"/>
      <c r="Q672" s="35"/>
      <c r="R672" s="35"/>
      <c r="S672" s="37">
        <f>IF(B672="","",IF(ISNUMBER(J672),IF(J672&lt;=10,'Configuración'!$B$23,IF(J672&lt;=50,'Configuración'!$B$24,IF(J672&lt;=200,'Configuración'!$B$25,0))),0))</f>
        <v>12</v>
      </c>
      <c r="T672" s="37">
        <f>IF(B672="","",IF(ISNUMBER(SEARCH("information technology",I672))+ISNUMBER(SEARCH("software",I672))+ISNUMBER(SEARCH("internet",I672))+ISNUMBER(SEARCH("computer",I672))+ISNUMBER(SEARCH("saas",I672))+ISNUMBER(SEARCH("fintech",I672))+ISNUMBER(SEARCH("information services",I672))+ISNUMBER(SEARCH("telecommunications",I672))&gt;0,'Configuración'!$B$27,'Configuración'!$B$28))</f>
        <v>4</v>
      </c>
      <c r="U672" s="25">
        <f>IF(B672="","",IF(ISNUMBER(SEARCH("CEO",C672))+ISNUMBER(SEARCH("Founder",C672))+ISNUMBER(SEARCH("Owner",C672))+ISNUMBER(SEARCH("Dueño",C672))+ISNUMBER(SEARCH("Director General",C672))+ISNUMBER(SEARCH("Presidente",C672))+ISNUMBER(SEARCH("President",C672))&gt;0,'Configuración'!$B$31,IF(ISNUMBER(SEARCH("CMO",C672))+ISNUMBER(SEARCH("Chief Marketing",C672))+ISNUMBER(SEARCH("VP Marketing",C672))+ISNUMBER(SEARCH("Director de Marketing",C672))+ISNUMBER(SEARCH("Director Marketing",C672))+ISNUMBER(SEARCH("Head of Marketing",C672))+ISNUMBER(SEARCH("Head Marketing",C672))&gt;0,'Configuración'!$B$32,IF(ISNUMBER(SEARCH("Marketing Manager",C672))+ISNUMBER(SEARCH("Gerente de Marketing",C672))+ISNUMBER(SEARCH("Growth Manager",C672))+ISNUMBER(SEARCH("Demand Gen",C672))+ISNUMBER(SEARCH("Marketing Lead",C672))&gt;0,'Configuración'!$B$33,IF(ISNUMBER(SEARCH("COO",C672))+ISNUMBER(SEARCH("CFO",C672))+ISNUMBER(SEARCH("CTO",C672))+ISNUMBER(SEARCH("Chief Operating",C672))+ISNUMBER(SEARCH("Chief Financial",C672))+ISNUMBER(SEARCH("Gerente General",C672))+ISNUMBER(SEARCH("General Manager",C672))&gt;0,'Configuración'!$B$34,'Configuración'!$B$35)))))</f>
        <v>4</v>
      </c>
      <c r="V672" s="38">
        <f>IF(B672="","",IF(K672="Sí",'Configuración'!$B$5,0)+IF(L672="Semanal",'Configuración'!$B$6,IF(L672="Mensual",'Configuración'!$B$7,0))+IF(M672="Sí",'Configuración'!$B$8,0)+IF(N672="Sí",'Configuración'!$B$9,0)+IF(O672="Sí",'Configuración'!$B$10,0)+IF(P672="Sí",'Configuración'!$B$11,0)+IF(Q672="Sí",'Configuración'!$B$12,0)+S672+T672+U672)</f>
        <v>20</v>
      </c>
      <c r="W672" s="39" t="str">
        <f>IF(B672="","",IF(V672&gt;='Configuración'!$B$19,"A",IF(V672&gt;='Configuración'!$B$20,"B",IF(V672&gt;='Configuración'!$B$21,"C","Descarte"))))</f>
        <v>Descarte</v>
      </c>
    </row>
    <row r="673" ht="15.75" customHeight="1">
      <c r="A673" s="34">
        <f t="shared" si="1"/>
        <v>671</v>
      </c>
      <c r="B673" s="29" t="s">
        <v>1814</v>
      </c>
      <c r="C673" s="29" t="s">
        <v>202</v>
      </c>
      <c r="D673" s="30" t="s">
        <v>4026</v>
      </c>
      <c r="E673" s="29" t="s">
        <v>4027</v>
      </c>
      <c r="F673" s="30" t="s">
        <v>4028</v>
      </c>
      <c r="G673" s="30" t="s">
        <v>4029</v>
      </c>
      <c r="H673" s="30" t="s">
        <v>4030</v>
      </c>
      <c r="I673" s="29" t="s">
        <v>127</v>
      </c>
      <c r="J673" s="31">
        <v>5.0</v>
      </c>
      <c r="K673" s="35"/>
      <c r="L673" s="35"/>
      <c r="M673" s="35"/>
      <c r="N673" s="35"/>
      <c r="O673" s="35"/>
      <c r="P673" s="35"/>
      <c r="Q673" s="35"/>
      <c r="R673" s="35"/>
      <c r="S673" s="37">
        <f>IF(B673="","",IF(ISNUMBER(J673),IF(J673&lt;=10,'Configuración'!$B$23,IF(J673&lt;=50,'Configuración'!$B$24,IF(J673&lt;=200,'Configuración'!$B$25,0))),0))</f>
        <v>12</v>
      </c>
      <c r="T673" s="37">
        <f>IF(B673="","",IF(ISNUMBER(SEARCH("information technology",I673))+ISNUMBER(SEARCH("software",I673))+ISNUMBER(SEARCH("internet",I673))+ISNUMBER(SEARCH("computer",I673))+ISNUMBER(SEARCH("saas",I673))+ISNUMBER(SEARCH("fintech",I673))+ISNUMBER(SEARCH("information services",I673))+ISNUMBER(SEARCH("telecommunications",I673))&gt;0,'Configuración'!$B$27,'Configuración'!$B$28))</f>
        <v>12</v>
      </c>
      <c r="U673" s="25">
        <f>IF(B673="","",IF(ISNUMBER(SEARCH("CEO",C673))+ISNUMBER(SEARCH("Founder",C673))+ISNUMBER(SEARCH("Owner",C673))+ISNUMBER(SEARCH("Dueño",C673))+ISNUMBER(SEARCH("Director General",C673))+ISNUMBER(SEARCH("Presidente",C673))+ISNUMBER(SEARCH("President",C673))&gt;0,'Configuración'!$B$31,IF(ISNUMBER(SEARCH("CMO",C673))+ISNUMBER(SEARCH("Chief Marketing",C673))+ISNUMBER(SEARCH("VP Marketing",C673))+ISNUMBER(SEARCH("Director de Marketing",C673))+ISNUMBER(SEARCH("Director Marketing",C673))+ISNUMBER(SEARCH("Head of Marketing",C673))+ISNUMBER(SEARCH("Head Marketing",C673))&gt;0,'Configuración'!$B$32,IF(ISNUMBER(SEARCH("Marketing Manager",C673))+ISNUMBER(SEARCH("Gerente de Marketing",C673))+ISNUMBER(SEARCH("Growth Manager",C673))+ISNUMBER(SEARCH("Demand Gen",C673))+ISNUMBER(SEARCH("Marketing Lead",C673))&gt;0,'Configuración'!$B$33,IF(ISNUMBER(SEARCH("COO",C673))+ISNUMBER(SEARCH("CFO",C673))+ISNUMBER(SEARCH("CTO",C673))+ISNUMBER(SEARCH("Chief Operating",C673))+ISNUMBER(SEARCH("Chief Financial",C673))+ISNUMBER(SEARCH("Gerente General",C673))+ISNUMBER(SEARCH("General Manager",C673))&gt;0,'Configuración'!$B$34,'Configuración'!$B$35)))))</f>
        <v>12</v>
      </c>
      <c r="V673" s="38">
        <f>IF(B673="","",IF(K673="Sí",'Configuración'!$B$5,0)+IF(L673="Semanal",'Configuración'!$B$6,IF(L673="Mensual",'Configuración'!$B$7,0))+IF(M673="Sí",'Configuración'!$B$8,0)+IF(N673="Sí",'Configuración'!$B$9,0)+IF(O673="Sí",'Configuración'!$B$10,0)+IF(P673="Sí",'Configuración'!$B$11,0)+IF(Q673="Sí",'Configuración'!$B$12,0)+S673+T673+U673)</f>
        <v>36</v>
      </c>
      <c r="W673" s="39" t="str">
        <f>IF(B673="","",IF(V673&gt;='Configuración'!$B$19,"A",IF(V673&gt;='Configuración'!$B$20,"B",IF(V673&gt;='Configuración'!$B$21,"C","Descarte"))))</f>
        <v>C</v>
      </c>
    </row>
    <row r="674" ht="15.75" customHeight="1">
      <c r="A674" s="34">
        <f t="shared" si="1"/>
        <v>672</v>
      </c>
      <c r="B674" s="29" t="s">
        <v>473</v>
      </c>
      <c r="C674" s="29" t="s">
        <v>297</v>
      </c>
      <c r="D674" s="29" t="s">
        <v>4031</v>
      </c>
      <c r="E674" s="29" t="s">
        <v>4032</v>
      </c>
      <c r="F674" s="30" t="s">
        <v>4033</v>
      </c>
      <c r="G674" s="30" t="s">
        <v>4034</v>
      </c>
      <c r="H674" s="30" t="s">
        <v>4035</v>
      </c>
      <c r="I674" s="29" t="s">
        <v>127</v>
      </c>
      <c r="J674" s="31">
        <v>7.0</v>
      </c>
      <c r="K674" s="35"/>
      <c r="L674" s="35"/>
      <c r="M674" s="35"/>
      <c r="N674" s="35"/>
      <c r="O674" s="35"/>
      <c r="P674" s="35"/>
      <c r="Q674" s="35"/>
      <c r="R674" s="35"/>
      <c r="S674" s="37">
        <f>IF(B674="","",IF(ISNUMBER(J674),IF(J674&lt;=10,'Configuración'!$B$23,IF(J674&lt;=50,'Configuración'!$B$24,IF(J674&lt;=200,'Configuración'!$B$25,0))),0))</f>
        <v>12</v>
      </c>
      <c r="T674" s="37">
        <f>IF(B674="","",IF(ISNUMBER(SEARCH("information technology",I674))+ISNUMBER(SEARCH("software",I674))+ISNUMBER(SEARCH("internet",I674))+ISNUMBER(SEARCH("computer",I674))+ISNUMBER(SEARCH("saas",I674))+ISNUMBER(SEARCH("fintech",I674))+ISNUMBER(SEARCH("information services",I674))+ISNUMBER(SEARCH("telecommunications",I674))&gt;0,'Configuración'!$B$27,'Configuración'!$B$28))</f>
        <v>12</v>
      </c>
      <c r="U674" s="25">
        <f>IF(B674="","",IF(ISNUMBER(SEARCH("CEO",C674))+ISNUMBER(SEARCH("Founder",C674))+ISNUMBER(SEARCH("Owner",C674))+ISNUMBER(SEARCH("Dueño",C674))+ISNUMBER(SEARCH("Director General",C674))+ISNUMBER(SEARCH("Presidente",C674))+ISNUMBER(SEARCH("President",C674))&gt;0,'Configuración'!$B$31,IF(ISNUMBER(SEARCH("CMO",C674))+ISNUMBER(SEARCH("Chief Marketing",C674))+ISNUMBER(SEARCH("VP Marketing",C674))+ISNUMBER(SEARCH("Director de Marketing",C674))+ISNUMBER(SEARCH("Director Marketing",C674))+ISNUMBER(SEARCH("Head of Marketing",C674))+ISNUMBER(SEARCH("Head Marketing",C674))&gt;0,'Configuración'!$B$32,IF(ISNUMBER(SEARCH("Marketing Manager",C674))+ISNUMBER(SEARCH("Gerente de Marketing",C674))+ISNUMBER(SEARCH("Growth Manager",C674))+ISNUMBER(SEARCH("Demand Gen",C674))+ISNUMBER(SEARCH("Marketing Lead",C674))&gt;0,'Configuración'!$B$33,IF(ISNUMBER(SEARCH("COO",C674))+ISNUMBER(SEARCH("CFO",C674))+ISNUMBER(SEARCH("CTO",C674))+ISNUMBER(SEARCH("Chief Operating",C674))+ISNUMBER(SEARCH("Chief Financial",C674))+ISNUMBER(SEARCH("Gerente General",C674))+ISNUMBER(SEARCH("General Manager",C674))&gt;0,'Configuración'!$B$34,'Configuración'!$B$35)))))</f>
        <v>0</v>
      </c>
      <c r="V674" s="38">
        <f>IF(B674="","",IF(K674="Sí",'Configuración'!$B$5,0)+IF(L674="Semanal",'Configuración'!$B$6,IF(L674="Mensual",'Configuración'!$B$7,0))+IF(M674="Sí",'Configuración'!$B$8,0)+IF(N674="Sí",'Configuración'!$B$9,0)+IF(O674="Sí",'Configuración'!$B$10,0)+IF(P674="Sí",'Configuración'!$B$11,0)+IF(Q674="Sí",'Configuración'!$B$12,0)+S674+T674+U674)</f>
        <v>24</v>
      </c>
      <c r="W674" s="39" t="str">
        <f>IF(B674="","",IF(V674&gt;='Configuración'!$B$19,"A",IF(V674&gt;='Configuración'!$B$20,"B",IF(V674&gt;='Configuración'!$B$21,"C","Descarte"))))</f>
        <v>C</v>
      </c>
    </row>
    <row r="675" ht="15.75" customHeight="1">
      <c r="A675" s="34">
        <f t="shared" si="1"/>
        <v>673</v>
      </c>
      <c r="B675" s="29" t="s">
        <v>4036</v>
      </c>
      <c r="C675" s="29" t="s">
        <v>4037</v>
      </c>
      <c r="D675" s="29" t="s">
        <v>4038</v>
      </c>
      <c r="E675" s="29" t="s">
        <v>4039</v>
      </c>
      <c r="F675" s="30" t="s">
        <v>4040</v>
      </c>
      <c r="G675" s="30" t="s">
        <v>4041</v>
      </c>
      <c r="H675" s="30" t="s">
        <v>4042</v>
      </c>
      <c r="I675" s="29" t="s">
        <v>1393</v>
      </c>
      <c r="J675" s="31">
        <v>2.0</v>
      </c>
      <c r="K675" s="35"/>
      <c r="L675" s="35"/>
      <c r="M675" s="35"/>
      <c r="N675" s="35"/>
      <c r="O675" s="35"/>
      <c r="P675" s="35"/>
      <c r="Q675" s="35"/>
      <c r="R675" s="35"/>
      <c r="S675" s="37">
        <f>IF(B675="","",IF(ISNUMBER(J675),IF(J675&lt;=10,'Configuración'!$B$23,IF(J675&lt;=50,'Configuración'!$B$24,IF(J675&lt;=200,'Configuración'!$B$25,0))),0))</f>
        <v>12</v>
      </c>
      <c r="T675" s="37">
        <f>IF(B675="","",IF(ISNUMBER(SEARCH("information technology",I675))+ISNUMBER(SEARCH("software",I675))+ISNUMBER(SEARCH("internet",I675))+ISNUMBER(SEARCH("computer",I675))+ISNUMBER(SEARCH("saas",I675))+ISNUMBER(SEARCH("fintech",I675))+ISNUMBER(SEARCH("information services",I675))+ISNUMBER(SEARCH("telecommunications",I675))&gt;0,'Configuración'!$B$27,'Configuración'!$B$28))</f>
        <v>4</v>
      </c>
      <c r="U675" s="25">
        <f>IF(B675="","",IF(ISNUMBER(SEARCH("CEO",C675))+ISNUMBER(SEARCH("Founder",C675))+ISNUMBER(SEARCH("Owner",C675))+ISNUMBER(SEARCH("Dueño",C675))+ISNUMBER(SEARCH("Director General",C675))+ISNUMBER(SEARCH("Presidente",C675))+ISNUMBER(SEARCH("President",C675))&gt;0,'Configuración'!$B$31,IF(ISNUMBER(SEARCH("CMO",C675))+ISNUMBER(SEARCH("Chief Marketing",C675))+ISNUMBER(SEARCH("VP Marketing",C675))+ISNUMBER(SEARCH("Director de Marketing",C675))+ISNUMBER(SEARCH("Director Marketing",C675))+ISNUMBER(SEARCH("Head of Marketing",C675))+ISNUMBER(SEARCH("Head Marketing",C675))&gt;0,'Configuración'!$B$32,IF(ISNUMBER(SEARCH("Marketing Manager",C675))+ISNUMBER(SEARCH("Gerente de Marketing",C675))+ISNUMBER(SEARCH("Growth Manager",C675))+ISNUMBER(SEARCH("Demand Gen",C675))+ISNUMBER(SEARCH("Marketing Lead",C675))&gt;0,'Configuración'!$B$33,IF(ISNUMBER(SEARCH("COO",C675))+ISNUMBER(SEARCH("CFO",C675))+ISNUMBER(SEARCH("CTO",C675))+ISNUMBER(SEARCH("Chief Operating",C675))+ISNUMBER(SEARCH("Chief Financial",C675))+ISNUMBER(SEARCH("Gerente General",C675))+ISNUMBER(SEARCH("General Manager",C675))&gt;0,'Configuración'!$B$34,'Configuración'!$B$35)))))</f>
        <v>4</v>
      </c>
      <c r="V675" s="38">
        <f>IF(B675="","",IF(K675="Sí",'Configuración'!$B$5,0)+IF(L675="Semanal",'Configuración'!$B$6,IF(L675="Mensual",'Configuración'!$B$7,0))+IF(M675="Sí",'Configuración'!$B$8,0)+IF(N675="Sí",'Configuración'!$B$9,0)+IF(O675="Sí",'Configuración'!$B$10,0)+IF(P675="Sí",'Configuración'!$B$11,0)+IF(Q675="Sí",'Configuración'!$B$12,0)+S675+T675+U675)</f>
        <v>20</v>
      </c>
      <c r="W675" s="39" t="str">
        <f>IF(B675="","",IF(V675&gt;='Configuración'!$B$19,"A",IF(V675&gt;='Configuración'!$B$20,"B",IF(V675&gt;='Configuración'!$B$21,"C","Descarte"))))</f>
        <v>Descarte</v>
      </c>
    </row>
    <row r="676" ht="15.75" customHeight="1">
      <c r="A676" s="34">
        <f t="shared" si="1"/>
        <v>674</v>
      </c>
      <c r="B676" s="29" t="s">
        <v>351</v>
      </c>
      <c r="C676" s="29" t="s">
        <v>4043</v>
      </c>
      <c r="D676" s="29" t="s">
        <v>4044</v>
      </c>
      <c r="E676" s="29" t="s">
        <v>4045</v>
      </c>
      <c r="F676" s="30" t="s">
        <v>4046</v>
      </c>
      <c r="G676" s="30" t="s">
        <v>4047</v>
      </c>
      <c r="H676" s="30" t="s">
        <v>4048</v>
      </c>
      <c r="I676" s="29" t="s">
        <v>380</v>
      </c>
      <c r="J676" s="31">
        <v>27.0</v>
      </c>
      <c r="K676" s="35"/>
      <c r="L676" s="35"/>
      <c r="M676" s="35"/>
      <c r="N676" s="35"/>
      <c r="O676" s="35"/>
      <c r="P676" s="35"/>
      <c r="Q676" s="35"/>
      <c r="R676" s="35"/>
      <c r="S676" s="37">
        <f>IF(B676="","",IF(ISNUMBER(J676),IF(J676&lt;=10,'Configuración'!$B$23,IF(J676&lt;=50,'Configuración'!$B$24,IF(J676&lt;=200,'Configuración'!$B$25,0))),0))</f>
        <v>4</v>
      </c>
      <c r="T676" s="37">
        <f>IF(B676="","",IF(ISNUMBER(SEARCH("information technology",I676))+ISNUMBER(SEARCH("software",I676))+ISNUMBER(SEARCH("internet",I676))+ISNUMBER(SEARCH("computer",I676))+ISNUMBER(SEARCH("saas",I676))+ISNUMBER(SEARCH("fintech",I676))+ISNUMBER(SEARCH("information services",I676))+ISNUMBER(SEARCH("telecommunications",I676))&gt;0,'Configuración'!$B$27,'Configuración'!$B$28))</f>
        <v>4</v>
      </c>
      <c r="U676" s="25">
        <f>IF(B676="","",IF(ISNUMBER(SEARCH("CEO",C676))+ISNUMBER(SEARCH("Founder",C676))+ISNUMBER(SEARCH("Owner",C676))+ISNUMBER(SEARCH("Dueño",C676))+ISNUMBER(SEARCH("Director General",C676))+ISNUMBER(SEARCH("Presidente",C676))+ISNUMBER(SEARCH("President",C676))&gt;0,'Configuración'!$B$31,IF(ISNUMBER(SEARCH("CMO",C676))+ISNUMBER(SEARCH("Chief Marketing",C676))+ISNUMBER(SEARCH("VP Marketing",C676))+ISNUMBER(SEARCH("Director de Marketing",C676))+ISNUMBER(SEARCH("Director Marketing",C676))+ISNUMBER(SEARCH("Head of Marketing",C676))+ISNUMBER(SEARCH("Head Marketing",C676))&gt;0,'Configuración'!$B$32,IF(ISNUMBER(SEARCH("Marketing Manager",C676))+ISNUMBER(SEARCH("Gerente de Marketing",C676))+ISNUMBER(SEARCH("Growth Manager",C676))+ISNUMBER(SEARCH("Demand Gen",C676))+ISNUMBER(SEARCH("Marketing Lead",C676))&gt;0,'Configuración'!$B$33,IF(ISNUMBER(SEARCH("COO",C676))+ISNUMBER(SEARCH("CFO",C676))+ISNUMBER(SEARCH("CTO",C676))+ISNUMBER(SEARCH("Chief Operating",C676))+ISNUMBER(SEARCH("Chief Financial",C676))+ISNUMBER(SEARCH("Gerente General",C676))+ISNUMBER(SEARCH("General Manager",C676))&gt;0,'Configuración'!$B$34,'Configuración'!$B$35)))))</f>
        <v>12</v>
      </c>
      <c r="V676" s="38">
        <f>IF(B676="","",IF(K676="Sí",'Configuración'!$B$5,0)+IF(L676="Semanal",'Configuración'!$B$6,IF(L676="Mensual",'Configuración'!$B$7,0))+IF(M676="Sí",'Configuración'!$B$8,0)+IF(N676="Sí",'Configuración'!$B$9,0)+IF(O676="Sí",'Configuración'!$B$10,0)+IF(P676="Sí",'Configuración'!$B$11,0)+IF(Q676="Sí",'Configuración'!$B$12,0)+S676+T676+U676)</f>
        <v>20</v>
      </c>
      <c r="W676" s="39" t="str">
        <f>IF(B676="","",IF(V676&gt;='Configuración'!$B$19,"A",IF(V676&gt;='Configuración'!$B$20,"B",IF(V676&gt;='Configuración'!$B$21,"C","Descarte"))))</f>
        <v>Descarte</v>
      </c>
    </row>
    <row r="677" ht="15.75" customHeight="1">
      <c r="A677" s="34">
        <f t="shared" si="1"/>
        <v>675</v>
      </c>
      <c r="B677" s="29" t="s">
        <v>1674</v>
      </c>
      <c r="C677" s="29" t="s">
        <v>4049</v>
      </c>
      <c r="D677" s="29" t="s">
        <v>4050</v>
      </c>
      <c r="E677" s="29" t="s">
        <v>4051</v>
      </c>
      <c r="F677" s="30" t="s">
        <v>4052</v>
      </c>
      <c r="G677" s="30" t="s">
        <v>4053</v>
      </c>
      <c r="H677" s="30" t="s">
        <v>4054</v>
      </c>
      <c r="I677" s="29" t="s">
        <v>188</v>
      </c>
      <c r="J677" s="31">
        <v>9.0</v>
      </c>
      <c r="K677" s="35"/>
      <c r="L677" s="35"/>
      <c r="M677" s="35"/>
      <c r="N677" s="35"/>
      <c r="O677" s="35"/>
      <c r="P677" s="35"/>
      <c r="Q677" s="35"/>
      <c r="R677" s="35"/>
      <c r="S677" s="37">
        <f>IF(B677="","",IF(ISNUMBER(J677),IF(J677&lt;=10,'Configuración'!$B$23,IF(J677&lt;=50,'Configuración'!$B$24,IF(J677&lt;=200,'Configuración'!$B$25,0))),0))</f>
        <v>12</v>
      </c>
      <c r="T677" s="37">
        <f>IF(B677="","",IF(ISNUMBER(SEARCH("information technology",I677))+ISNUMBER(SEARCH("software",I677))+ISNUMBER(SEARCH("internet",I677))+ISNUMBER(SEARCH("computer",I677))+ISNUMBER(SEARCH("saas",I677))+ISNUMBER(SEARCH("fintech",I677))+ISNUMBER(SEARCH("information services",I677))+ISNUMBER(SEARCH("telecommunications",I677))&gt;0,'Configuración'!$B$27,'Configuración'!$B$28))</f>
        <v>4</v>
      </c>
      <c r="U677" s="25">
        <f>IF(B677="","",IF(ISNUMBER(SEARCH("CEO",C677))+ISNUMBER(SEARCH("Founder",C677))+ISNUMBER(SEARCH("Owner",C677))+ISNUMBER(SEARCH("Dueño",C677))+ISNUMBER(SEARCH("Director General",C677))+ISNUMBER(SEARCH("Presidente",C677))+ISNUMBER(SEARCH("President",C677))&gt;0,'Configuración'!$B$31,IF(ISNUMBER(SEARCH("CMO",C677))+ISNUMBER(SEARCH("Chief Marketing",C677))+ISNUMBER(SEARCH("VP Marketing",C677))+ISNUMBER(SEARCH("Director de Marketing",C677))+ISNUMBER(SEARCH("Director Marketing",C677))+ISNUMBER(SEARCH("Head of Marketing",C677))+ISNUMBER(SEARCH("Head Marketing",C677))&gt;0,'Configuración'!$B$32,IF(ISNUMBER(SEARCH("Marketing Manager",C677))+ISNUMBER(SEARCH("Gerente de Marketing",C677))+ISNUMBER(SEARCH("Growth Manager",C677))+ISNUMBER(SEARCH("Demand Gen",C677))+ISNUMBER(SEARCH("Marketing Lead",C677))&gt;0,'Configuración'!$B$33,IF(ISNUMBER(SEARCH("COO",C677))+ISNUMBER(SEARCH("CFO",C677))+ISNUMBER(SEARCH("CTO",C677))+ISNUMBER(SEARCH("Chief Operating",C677))+ISNUMBER(SEARCH("Chief Financial",C677))+ISNUMBER(SEARCH("Gerente General",C677))+ISNUMBER(SEARCH("General Manager",C677))&gt;0,'Configuración'!$B$34,'Configuración'!$B$35)))))</f>
        <v>4</v>
      </c>
      <c r="V677" s="38">
        <f>IF(B677="","",IF(K677="Sí",'Configuración'!$B$5,0)+IF(L677="Semanal",'Configuración'!$B$6,IF(L677="Mensual",'Configuración'!$B$7,0))+IF(M677="Sí",'Configuración'!$B$8,0)+IF(N677="Sí",'Configuración'!$B$9,0)+IF(O677="Sí",'Configuración'!$B$10,0)+IF(P677="Sí",'Configuración'!$B$11,0)+IF(Q677="Sí",'Configuración'!$B$12,0)+S677+T677+U677)</f>
        <v>20</v>
      </c>
      <c r="W677" s="39" t="str">
        <f>IF(B677="","",IF(V677&gt;='Configuración'!$B$19,"A",IF(V677&gt;='Configuración'!$B$20,"B",IF(V677&gt;='Configuración'!$B$21,"C","Descarte"))))</f>
        <v>Descarte</v>
      </c>
    </row>
    <row r="678" ht="15.75" customHeight="1">
      <c r="A678" s="34">
        <f t="shared" si="1"/>
        <v>676</v>
      </c>
      <c r="B678" s="29" t="s">
        <v>473</v>
      </c>
      <c r="C678" s="29" t="s">
        <v>131</v>
      </c>
      <c r="D678" s="29" t="s">
        <v>4055</v>
      </c>
      <c r="E678" s="29" t="s">
        <v>4056</v>
      </c>
      <c r="F678" s="30" t="s">
        <v>4057</v>
      </c>
      <c r="G678" s="30" t="s">
        <v>4058</v>
      </c>
      <c r="H678" s="30" t="s">
        <v>4059</v>
      </c>
      <c r="I678" s="29" t="s">
        <v>188</v>
      </c>
      <c r="J678" s="31">
        <v>5.0</v>
      </c>
      <c r="K678" s="35"/>
      <c r="L678" s="35"/>
      <c r="M678" s="35"/>
      <c r="N678" s="35"/>
      <c r="O678" s="35"/>
      <c r="P678" s="35"/>
      <c r="Q678" s="35"/>
      <c r="R678" s="35"/>
      <c r="S678" s="37">
        <f>IF(B678="","",IF(ISNUMBER(J678),IF(J678&lt;=10,'Configuración'!$B$23,IF(J678&lt;=50,'Configuración'!$B$24,IF(J678&lt;=200,'Configuración'!$B$25,0))),0))</f>
        <v>12</v>
      </c>
      <c r="T678" s="37">
        <f>IF(B678="","",IF(ISNUMBER(SEARCH("information technology",I678))+ISNUMBER(SEARCH("software",I678))+ISNUMBER(SEARCH("internet",I678))+ISNUMBER(SEARCH("computer",I678))+ISNUMBER(SEARCH("saas",I678))+ISNUMBER(SEARCH("fintech",I678))+ISNUMBER(SEARCH("information services",I678))+ISNUMBER(SEARCH("telecommunications",I678))&gt;0,'Configuración'!$B$27,'Configuración'!$B$28))</f>
        <v>4</v>
      </c>
      <c r="U678" s="25">
        <f>IF(B678="","",IF(ISNUMBER(SEARCH("CEO",C678))+ISNUMBER(SEARCH("Founder",C678))+ISNUMBER(SEARCH("Owner",C678))+ISNUMBER(SEARCH("Dueño",C678))+ISNUMBER(SEARCH("Director General",C678))+ISNUMBER(SEARCH("Presidente",C678))+ISNUMBER(SEARCH("President",C678))&gt;0,'Configuración'!$B$31,IF(ISNUMBER(SEARCH("CMO",C678))+ISNUMBER(SEARCH("Chief Marketing",C678))+ISNUMBER(SEARCH("VP Marketing",C678))+ISNUMBER(SEARCH("Director de Marketing",C678))+ISNUMBER(SEARCH("Director Marketing",C678))+ISNUMBER(SEARCH("Head of Marketing",C678))+ISNUMBER(SEARCH("Head Marketing",C678))&gt;0,'Configuración'!$B$32,IF(ISNUMBER(SEARCH("Marketing Manager",C678))+ISNUMBER(SEARCH("Gerente de Marketing",C678))+ISNUMBER(SEARCH("Growth Manager",C678))+ISNUMBER(SEARCH("Demand Gen",C678))+ISNUMBER(SEARCH("Marketing Lead",C678))&gt;0,'Configuración'!$B$33,IF(ISNUMBER(SEARCH("COO",C678))+ISNUMBER(SEARCH("CFO",C678))+ISNUMBER(SEARCH("CTO",C678))+ISNUMBER(SEARCH("Chief Operating",C678))+ISNUMBER(SEARCH("Chief Financial",C678))+ISNUMBER(SEARCH("Gerente General",C678))+ISNUMBER(SEARCH("General Manager",C678))&gt;0,'Configuración'!$B$34,'Configuración'!$B$35)))))</f>
        <v>12</v>
      </c>
      <c r="V678" s="38">
        <f>IF(B678="","",IF(K678="Sí",'Configuración'!$B$5,0)+IF(L678="Semanal",'Configuración'!$B$6,IF(L678="Mensual",'Configuración'!$B$7,0))+IF(M678="Sí",'Configuración'!$B$8,0)+IF(N678="Sí",'Configuración'!$B$9,0)+IF(O678="Sí",'Configuración'!$B$10,0)+IF(P678="Sí",'Configuración'!$B$11,0)+IF(Q678="Sí",'Configuración'!$B$12,0)+S678+T678+U678)</f>
        <v>28</v>
      </c>
      <c r="W678" s="39" t="str">
        <f>IF(B678="","",IF(V678&gt;='Configuración'!$B$19,"A",IF(V678&gt;='Configuración'!$B$20,"B",IF(V678&gt;='Configuración'!$B$21,"C","Descarte"))))</f>
        <v>C</v>
      </c>
    </row>
    <row r="679" ht="15.75" customHeight="1">
      <c r="A679" s="34">
        <f t="shared" si="1"/>
        <v>677</v>
      </c>
      <c r="B679" s="29" t="s">
        <v>755</v>
      </c>
      <c r="C679" s="29" t="s">
        <v>311</v>
      </c>
      <c r="D679" s="29" t="s">
        <v>4060</v>
      </c>
      <c r="E679" s="29" t="s">
        <v>4061</v>
      </c>
      <c r="F679" s="30" t="s">
        <v>4062</v>
      </c>
      <c r="G679" s="30" t="s">
        <v>4063</v>
      </c>
      <c r="H679" s="30" t="s">
        <v>4064</v>
      </c>
      <c r="I679" s="29" t="s">
        <v>1034</v>
      </c>
      <c r="J679" s="31">
        <v>5.0</v>
      </c>
      <c r="K679" s="35"/>
      <c r="L679" s="35"/>
      <c r="M679" s="35"/>
      <c r="N679" s="35"/>
      <c r="O679" s="35"/>
      <c r="P679" s="35"/>
      <c r="Q679" s="35"/>
      <c r="R679" s="35"/>
      <c r="S679" s="37">
        <f>IF(B679="","",IF(ISNUMBER(J679),IF(J679&lt;=10,'Configuración'!$B$23,IF(J679&lt;=50,'Configuración'!$B$24,IF(J679&lt;=200,'Configuración'!$B$25,0))),0))</f>
        <v>12</v>
      </c>
      <c r="T679" s="37">
        <f>IF(B679="","",IF(ISNUMBER(SEARCH("information technology",I679))+ISNUMBER(SEARCH("software",I679))+ISNUMBER(SEARCH("internet",I679))+ISNUMBER(SEARCH("computer",I679))+ISNUMBER(SEARCH("saas",I679))+ISNUMBER(SEARCH("fintech",I679))+ISNUMBER(SEARCH("information services",I679))+ISNUMBER(SEARCH("telecommunications",I679))&gt;0,'Configuración'!$B$27,'Configuración'!$B$28))</f>
        <v>4</v>
      </c>
      <c r="U679" s="25">
        <f>IF(B679="","",IF(ISNUMBER(SEARCH("CEO",C679))+ISNUMBER(SEARCH("Founder",C679))+ISNUMBER(SEARCH("Owner",C679))+ISNUMBER(SEARCH("Dueño",C679))+ISNUMBER(SEARCH("Director General",C679))+ISNUMBER(SEARCH("Presidente",C679))+ISNUMBER(SEARCH("President",C679))&gt;0,'Configuración'!$B$31,IF(ISNUMBER(SEARCH("CMO",C679))+ISNUMBER(SEARCH("Chief Marketing",C679))+ISNUMBER(SEARCH("VP Marketing",C679))+ISNUMBER(SEARCH("Director de Marketing",C679))+ISNUMBER(SEARCH("Director Marketing",C679))+ISNUMBER(SEARCH("Head of Marketing",C679))+ISNUMBER(SEARCH("Head Marketing",C679))&gt;0,'Configuración'!$B$32,IF(ISNUMBER(SEARCH("Marketing Manager",C679))+ISNUMBER(SEARCH("Gerente de Marketing",C679))+ISNUMBER(SEARCH("Growth Manager",C679))+ISNUMBER(SEARCH("Demand Gen",C679))+ISNUMBER(SEARCH("Marketing Lead",C679))&gt;0,'Configuración'!$B$33,IF(ISNUMBER(SEARCH("COO",C679))+ISNUMBER(SEARCH("CFO",C679))+ISNUMBER(SEARCH("CTO",C679))+ISNUMBER(SEARCH("Chief Operating",C679))+ISNUMBER(SEARCH("Chief Financial",C679))+ISNUMBER(SEARCH("Gerente General",C679))+ISNUMBER(SEARCH("General Manager",C679))&gt;0,'Configuración'!$B$34,'Configuración'!$B$35)))))</f>
        <v>12</v>
      </c>
      <c r="V679" s="38">
        <f>IF(B679="","",IF(K679="Sí",'Configuración'!$B$5,0)+IF(L679="Semanal",'Configuración'!$B$6,IF(L679="Mensual",'Configuración'!$B$7,0))+IF(M679="Sí",'Configuración'!$B$8,0)+IF(N679="Sí",'Configuración'!$B$9,0)+IF(O679="Sí",'Configuración'!$B$10,0)+IF(P679="Sí",'Configuración'!$B$11,0)+IF(Q679="Sí",'Configuración'!$B$12,0)+S679+T679+U679)</f>
        <v>28</v>
      </c>
      <c r="W679" s="39" t="str">
        <f>IF(B679="","",IF(V679&gt;='Configuración'!$B$19,"A",IF(V679&gt;='Configuración'!$B$20,"B",IF(V679&gt;='Configuración'!$B$21,"C","Descarte"))))</f>
        <v>C</v>
      </c>
    </row>
    <row r="680" ht="15.75" customHeight="1">
      <c r="A680" s="34">
        <f t="shared" si="1"/>
        <v>678</v>
      </c>
      <c r="B680" s="29" t="s">
        <v>296</v>
      </c>
      <c r="C680" s="29" t="s">
        <v>4065</v>
      </c>
      <c r="D680" s="29" t="s">
        <v>4066</v>
      </c>
      <c r="E680" s="29" t="s">
        <v>4067</v>
      </c>
      <c r="F680" s="30" t="s">
        <v>4068</v>
      </c>
      <c r="G680" s="30" t="s">
        <v>4069</v>
      </c>
      <c r="H680" s="30" t="s">
        <v>4070</v>
      </c>
      <c r="I680" s="29" t="s">
        <v>127</v>
      </c>
      <c r="J680" s="31">
        <v>24.0</v>
      </c>
      <c r="K680" s="35"/>
      <c r="L680" s="35"/>
      <c r="M680" s="35"/>
      <c r="N680" s="35"/>
      <c r="O680" s="35"/>
      <c r="P680" s="35"/>
      <c r="Q680" s="35"/>
      <c r="R680" s="35"/>
      <c r="S680" s="37">
        <f>IF(B680="","",IF(ISNUMBER(J680),IF(J680&lt;=10,'Configuración'!$B$23,IF(J680&lt;=50,'Configuración'!$B$24,IF(J680&lt;=200,'Configuración'!$B$25,0))),0))</f>
        <v>4</v>
      </c>
      <c r="T680" s="37">
        <f>IF(B680="","",IF(ISNUMBER(SEARCH("information technology",I680))+ISNUMBER(SEARCH("software",I680))+ISNUMBER(SEARCH("internet",I680))+ISNUMBER(SEARCH("computer",I680))+ISNUMBER(SEARCH("saas",I680))+ISNUMBER(SEARCH("fintech",I680))+ISNUMBER(SEARCH("information services",I680))+ISNUMBER(SEARCH("telecommunications",I680))&gt;0,'Configuración'!$B$27,'Configuración'!$B$28))</f>
        <v>12</v>
      </c>
      <c r="U680" s="25">
        <f>IF(B680="","",IF(ISNUMBER(SEARCH("CEO",C680))+ISNUMBER(SEARCH("Founder",C680))+ISNUMBER(SEARCH("Owner",C680))+ISNUMBER(SEARCH("Dueño",C680))+ISNUMBER(SEARCH("Director General",C680))+ISNUMBER(SEARCH("Presidente",C680))+ISNUMBER(SEARCH("President",C680))&gt;0,'Configuración'!$B$31,IF(ISNUMBER(SEARCH("CMO",C680))+ISNUMBER(SEARCH("Chief Marketing",C680))+ISNUMBER(SEARCH("VP Marketing",C680))+ISNUMBER(SEARCH("Director de Marketing",C680))+ISNUMBER(SEARCH("Director Marketing",C680))+ISNUMBER(SEARCH("Head of Marketing",C680))+ISNUMBER(SEARCH("Head Marketing",C680))&gt;0,'Configuración'!$B$32,IF(ISNUMBER(SEARCH("Marketing Manager",C680))+ISNUMBER(SEARCH("Gerente de Marketing",C680))+ISNUMBER(SEARCH("Growth Manager",C680))+ISNUMBER(SEARCH("Demand Gen",C680))+ISNUMBER(SEARCH("Marketing Lead",C680))&gt;0,'Configuración'!$B$33,IF(ISNUMBER(SEARCH("COO",C680))+ISNUMBER(SEARCH("CFO",C680))+ISNUMBER(SEARCH("CTO",C680))+ISNUMBER(SEARCH("Chief Operating",C680))+ISNUMBER(SEARCH("Chief Financial",C680))+ISNUMBER(SEARCH("Gerente General",C680))+ISNUMBER(SEARCH("General Manager",C680))&gt;0,'Configuración'!$B$34,'Configuración'!$B$35)))))</f>
        <v>12</v>
      </c>
      <c r="V680" s="38">
        <f>IF(B680="","",IF(K680="Sí",'Configuración'!$B$5,0)+IF(L680="Semanal",'Configuración'!$B$6,IF(L680="Mensual",'Configuración'!$B$7,0))+IF(M680="Sí",'Configuración'!$B$8,0)+IF(N680="Sí",'Configuración'!$B$9,0)+IF(O680="Sí",'Configuración'!$B$10,0)+IF(P680="Sí",'Configuración'!$B$11,0)+IF(Q680="Sí",'Configuración'!$B$12,0)+S680+T680+U680)</f>
        <v>28</v>
      </c>
      <c r="W680" s="39" t="str">
        <f>IF(B680="","",IF(V680&gt;='Configuración'!$B$19,"A",IF(V680&gt;='Configuración'!$B$20,"B",IF(V680&gt;='Configuración'!$B$21,"C","Descarte"))))</f>
        <v>C</v>
      </c>
    </row>
    <row r="681" ht="15.75" customHeight="1">
      <c r="A681" s="34">
        <f t="shared" si="1"/>
        <v>679</v>
      </c>
      <c r="B681" s="29" t="s">
        <v>181</v>
      </c>
      <c r="C681" s="29" t="s">
        <v>175</v>
      </c>
      <c r="D681" s="29" t="s">
        <v>4071</v>
      </c>
      <c r="E681" s="29" t="s">
        <v>4072</v>
      </c>
      <c r="F681" s="30" t="s">
        <v>4073</v>
      </c>
      <c r="G681" s="30" t="s">
        <v>4074</v>
      </c>
      <c r="H681" s="30" t="s">
        <v>4075</v>
      </c>
      <c r="I681" s="29" t="s">
        <v>1950</v>
      </c>
      <c r="J681" s="31">
        <v>1.0</v>
      </c>
      <c r="K681" s="35"/>
      <c r="L681" s="35"/>
      <c r="M681" s="35"/>
      <c r="N681" s="35"/>
      <c r="O681" s="35"/>
      <c r="P681" s="35"/>
      <c r="Q681" s="35"/>
      <c r="R681" s="35"/>
      <c r="S681" s="37">
        <f>IF(B681="","",IF(ISNUMBER(J681),IF(J681&lt;=10,'Configuración'!$B$23,IF(J681&lt;=50,'Configuración'!$B$24,IF(J681&lt;=200,'Configuración'!$B$25,0))),0))</f>
        <v>12</v>
      </c>
      <c r="T681" s="37">
        <f>IF(B681="","",IF(ISNUMBER(SEARCH("information technology",I681))+ISNUMBER(SEARCH("software",I681))+ISNUMBER(SEARCH("internet",I681))+ISNUMBER(SEARCH("computer",I681))+ISNUMBER(SEARCH("saas",I681))+ISNUMBER(SEARCH("fintech",I681))+ISNUMBER(SEARCH("information services",I681))+ISNUMBER(SEARCH("telecommunications",I681))&gt;0,'Configuración'!$B$27,'Configuración'!$B$28))</f>
        <v>4</v>
      </c>
      <c r="U681" s="25">
        <f>IF(B681="","",IF(ISNUMBER(SEARCH("CEO",C681))+ISNUMBER(SEARCH("Founder",C681))+ISNUMBER(SEARCH("Owner",C681))+ISNUMBER(SEARCH("Dueño",C681))+ISNUMBER(SEARCH("Director General",C681))+ISNUMBER(SEARCH("Presidente",C681))+ISNUMBER(SEARCH("President",C681))&gt;0,'Configuración'!$B$31,IF(ISNUMBER(SEARCH("CMO",C681))+ISNUMBER(SEARCH("Chief Marketing",C681))+ISNUMBER(SEARCH("VP Marketing",C681))+ISNUMBER(SEARCH("Director de Marketing",C681))+ISNUMBER(SEARCH("Director Marketing",C681))+ISNUMBER(SEARCH("Head of Marketing",C681))+ISNUMBER(SEARCH("Head Marketing",C681))&gt;0,'Configuración'!$B$32,IF(ISNUMBER(SEARCH("Marketing Manager",C681))+ISNUMBER(SEARCH("Gerente de Marketing",C681))+ISNUMBER(SEARCH("Growth Manager",C681))+ISNUMBER(SEARCH("Demand Gen",C681))+ISNUMBER(SEARCH("Marketing Lead",C681))&gt;0,'Configuración'!$B$33,IF(ISNUMBER(SEARCH("COO",C681))+ISNUMBER(SEARCH("CFO",C681))+ISNUMBER(SEARCH("CTO",C681))+ISNUMBER(SEARCH("Chief Operating",C681))+ISNUMBER(SEARCH("Chief Financial",C681))+ISNUMBER(SEARCH("Gerente General",C681))+ISNUMBER(SEARCH("General Manager",C681))&gt;0,'Configuración'!$B$34,'Configuración'!$B$35)))))</f>
        <v>12</v>
      </c>
      <c r="V681" s="38">
        <f>IF(B681="","",IF(K681="Sí",'Configuración'!$B$5,0)+IF(L681="Semanal",'Configuración'!$B$6,IF(L681="Mensual",'Configuración'!$B$7,0))+IF(M681="Sí",'Configuración'!$B$8,0)+IF(N681="Sí",'Configuración'!$B$9,0)+IF(O681="Sí",'Configuración'!$B$10,0)+IF(P681="Sí",'Configuración'!$B$11,0)+IF(Q681="Sí",'Configuración'!$B$12,0)+S681+T681+U681)</f>
        <v>28</v>
      </c>
      <c r="W681" s="39" t="str">
        <f>IF(B681="","",IF(V681&gt;='Configuración'!$B$19,"A",IF(V681&gt;='Configuración'!$B$20,"B",IF(V681&gt;='Configuración'!$B$21,"C","Descarte"))))</f>
        <v>C</v>
      </c>
    </row>
    <row r="682" ht="15.75" customHeight="1">
      <c r="A682" s="34">
        <f t="shared" si="1"/>
        <v>680</v>
      </c>
      <c r="B682" s="29" t="s">
        <v>236</v>
      </c>
      <c r="C682" s="29" t="s">
        <v>131</v>
      </c>
      <c r="D682" s="29" t="s">
        <v>4076</v>
      </c>
      <c r="E682" s="29" t="s">
        <v>4077</v>
      </c>
      <c r="F682" s="30" t="s">
        <v>4078</v>
      </c>
      <c r="G682" s="30" t="s">
        <v>4079</v>
      </c>
      <c r="H682" s="30" t="s">
        <v>4080</v>
      </c>
      <c r="I682" s="29" t="s">
        <v>127</v>
      </c>
      <c r="J682" s="31">
        <v>42.0</v>
      </c>
      <c r="K682" s="35"/>
      <c r="L682" s="35"/>
      <c r="M682" s="35"/>
      <c r="N682" s="35"/>
      <c r="O682" s="35"/>
      <c r="P682" s="35"/>
      <c r="Q682" s="35"/>
      <c r="R682" s="35"/>
      <c r="S682" s="37">
        <f>IF(B682="","",IF(ISNUMBER(J682),IF(J682&lt;=10,'Configuración'!$B$23,IF(J682&lt;=50,'Configuración'!$B$24,IF(J682&lt;=200,'Configuración'!$B$25,0))),0))</f>
        <v>4</v>
      </c>
      <c r="T682" s="37">
        <f>IF(B682="","",IF(ISNUMBER(SEARCH("information technology",I682))+ISNUMBER(SEARCH("software",I682))+ISNUMBER(SEARCH("internet",I682))+ISNUMBER(SEARCH("computer",I682))+ISNUMBER(SEARCH("saas",I682))+ISNUMBER(SEARCH("fintech",I682))+ISNUMBER(SEARCH("information services",I682))+ISNUMBER(SEARCH("telecommunications",I682))&gt;0,'Configuración'!$B$27,'Configuración'!$B$28))</f>
        <v>12</v>
      </c>
      <c r="U682" s="25">
        <f>IF(B682="","",IF(ISNUMBER(SEARCH("CEO",C682))+ISNUMBER(SEARCH("Founder",C682))+ISNUMBER(SEARCH("Owner",C682))+ISNUMBER(SEARCH("Dueño",C682))+ISNUMBER(SEARCH("Director General",C682))+ISNUMBER(SEARCH("Presidente",C682))+ISNUMBER(SEARCH("President",C682))&gt;0,'Configuración'!$B$31,IF(ISNUMBER(SEARCH("CMO",C682))+ISNUMBER(SEARCH("Chief Marketing",C682))+ISNUMBER(SEARCH("VP Marketing",C682))+ISNUMBER(SEARCH("Director de Marketing",C682))+ISNUMBER(SEARCH("Director Marketing",C682))+ISNUMBER(SEARCH("Head of Marketing",C682))+ISNUMBER(SEARCH("Head Marketing",C682))&gt;0,'Configuración'!$B$32,IF(ISNUMBER(SEARCH("Marketing Manager",C682))+ISNUMBER(SEARCH("Gerente de Marketing",C682))+ISNUMBER(SEARCH("Growth Manager",C682))+ISNUMBER(SEARCH("Demand Gen",C682))+ISNUMBER(SEARCH("Marketing Lead",C682))&gt;0,'Configuración'!$B$33,IF(ISNUMBER(SEARCH("COO",C682))+ISNUMBER(SEARCH("CFO",C682))+ISNUMBER(SEARCH("CTO",C682))+ISNUMBER(SEARCH("Chief Operating",C682))+ISNUMBER(SEARCH("Chief Financial",C682))+ISNUMBER(SEARCH("Gerente General",C682))+ISNUMBER(SEARCH("General Manager",C682))&gt;0,'Configuración'!$B$34,'Configuración'!$B$35)))))</f>
        <v>12</v>
      </c>
      <c r="V682" s="38">
        <f>IF(B682="","",IF(K682="Sí",'Configuración'!$B$5,0)+IF(L682="Semanal",'Configuración'!$B$6,IF(L682="Mensual",'Configuración'!$B$7,0))+IF(M682="Sí",'Configuración'!$B$8,0)+IF(N682="Sí",'Configuración'!$B$9,0)+IF(O682="Sí",'Configuración'!$B$10,0)+IF(P682="Sí",'Configuración'!$B$11,0)+IF(Q682="Sí",'Configuración'!$B$12,0)+S682+T682+U682)</f>
        <v>28</v>
      </c>
      <c r="W682" s="39" t="str">
        <f>IF(B682="","",IF(V682&gt;='Configuración'!$B$19,"A",IF(V682&gt;='Configuración'!$B$20,"B",IF(V682&gt;='Configuración'!$B$21,"C","Descarte"))))</f>
        <v>C</v>
      </c>
    </row>
    <row r="683" ht="15.75" customHeight="1">
      <c r="A683" s="34">
        <f t="shared" si="1"/>
        <v>681</v>
      </c>
      <c r="B683" s="29" t="s">
        <v>331</v>
      </c>
      <c r="C683" s="29" t="s">
        <v>4081</v>
      </c>
      <c r="D683" s="29" t="s">
        <v>4082</v>
      </c>
      <c r="E683" s="29" t="s">
        <v>4083</v>
      </c>
      <c r="F683" s="30" t="s">
        <v>4084</v>
      </c>
      <c r="G683" s="30" t="s">
        <v>4085</v>
      </c>
      <c r="H683" s="30" t="s">
        <v>4086</v>
      </c>
      <c r="I683" s="29" t="s">
        <v>127</v>
      </c>
      <c r="J683" s="31">
        <v>16.0</v>
      </c>
      <c r="K683" s="35"/>
      <c r="L683" s="35"/>
      <c r="M683" s="35"/>
      <c r="N683" s="35"/>
      <c r="O683" s="35"/>
      <c r="P683" s="35"/>
      <c r="Q683" s="35"/>
      <c r="R683" s="35"/>
      <c r="S683" s="37">
        <f>IF(B683="","",IF(ISNUMBER(J683),IF(J683&lt;=10,'Configuración'!$B$23,IF(J683&lt;=50,'Configuración'!$B$24,IF(J683&lt;=200,'Configuración'!$B$25,0))),0))</f>
        <v>4</v>
      </c>
      <c r="T683" s="37">
        <f>IF(B683="","",IF(ISNUMBER(SEARCH("information technology",I683))+ISNUMBER(SEARCH("software",I683))+ISNUMBER(SEARCH("internet",I683))+ISNUMBER(SEARCH("computer",I683))+ISNUMBER(SEARCH("saas",I683))+ISNUMBER(SEARCH("fintech",I683))+ISNUMBER(SEARCH("information services",I683))+ISNUMBER(SEARCH("telecommunications",I683))&gt;0,'Configuración'!$B$27,'Configuración'!$B$28))</f>
        <v>12</v>
      </c>
      <c r="U683" s="25">
        <f>IF(B683="","",IF(ISNUMBER(SEARCH("CEO",C683))+ISNUMBER(SEARCH("Founder",C683))+ISNUMBER(SEARCH("Owner",C683))+ISNUMBER(SEARCH("Dueño",C683))+ISNUMBER(SEARCH("Director General",C683))+ISNUMBER(SEARCH("Presidente",C683))+ISNUMBER(SEARCH("President",C683))&gt;0,'Configuración'!$B$31,IF(ISNUMBER(SEARCH("CMO",C683))+ISNUMBER(SEARCH("Chief Marketing",C683))+ISNUMBER(SEARCH("VP Marketing",C683))+ISNUMBER(SEARCH("Director de Marketing",C683))+ISNUMBER(SEARCH("Director Marketing",C683))+ISNUMBER(SEARCH("Head of Marketing",C683))+ISNUMBER(SEARCH("Head Marketing",C683))&gt;0,'Configuración'!$B$32,IF(ISNUMBER(SEARCH("Marketing Manager",C683))+ISNUMBER(SEARCH("Gerente de Marketing",C683))+ISNUMBER(SEARCH("Growth Manager",C683))+ISNUMBER(SEARCH("Demand Gen",C683))+ISNUMBER(SEARCH("Marketing Lead",C683))&gt;0,'Configuración'!$B$33,IF(ISNUMBER(SEARCH("COO",C683))+ISNUMBER(SEARCH("CFO",C683))+ISNUMBER(SEARCH("CTO",C683))+ISNUMBER(SEARCH("Chief Operating",C683))+ISNUMBER(SEARCH("Chief Financial",C683))+ISNUMBER(SEARCH("Gerente General",C683))+ISNUMBER(SEARCH("General Manager",C683))&gt;0,'Configuración'!$B$34,'Configuración'!$B$35)))))</f>
        <v>12</v>
      </c>
      <c r="V683" s="38">
        <f>IF(B683="","",IF(K683="Sí",'Configuración'!$B$5,0)+IF(L683="Semanal",'Configuración'!$B$6,IF(L683="Mensual",'Configuración'!$B$7,0))+IF(M683="Sí",'Configuración'!$B$8,0)+IF(N683="Sí",'Configuración'!$B$9,0)+IF(O683="Sí",'Configuración'!$B$10,0)+IF(P683="Sí",'Configuración'!$B$11,0)+IF(Q683="Sí",'Configuración'!$B$12,0)+S683+T683+U683)</f>
        <v>28</v>
      </c>
      <c r="W683" s="39" t="str">
        <f>IF(B683="","",IF(V683&gt;='Configuración'!$B$19,"A",IF(V683&gt;='Configuración'!$B$20,"B",IF(V683&gt;='Configuración'!$B$21,"C","Descarte"))))</f>
        <v>C</v>
      </c>
    </row>
    <row r="684" ht="15.75" customHeight="1">
      <c r="A684" s="34">
        <f t="shared" si="1"/>
        <v>682</v>
      </c>
      <c r="B684" s="29" t="s">
        <v>174</v>
      </c>
      <c r="C684" s="29" t="s">
        <v>146</v>
      </c>
      <c r="D684" s="29" t="s">
        <v>4087</v>
      </c>
      <c r="E684" s="29" t="s">
        <v>4088</v>
      </c>
      <c r="F684" s="30" t="s">
        <v>4089</v>
      </c>
      <c r="G684" s="30" t="s">
        <v>4090</v>
      </c>
      <c r="H684" s="30" t="s">
        <v>4091</v>
      </c>
      <c r="I684" s="29" t="s">
        <v>127</v>
      </c>
      <c r="J684" s="31">
        <v>7.0</v>
      </c>
      <c r="K684" s="35"/>
      <c r="L684" s="35"/>
      <c r="M684" s="35"/>
      <c r="N684" s="35"/>
      <c r="O684" s="35"/>
      <c r="P684" s="35"/>
      <c r="Q684" s="35"/>
      <c r="R684" s="35"/>
      <c r="S684" s="37">
        <f>IF(B684="","",IF(ISNUMBER(J684),IF(J684&lt;=10,'Configuración'!$B$23,IF(J684&lt;=50,'Configuración'!$B$24,IF(J684&lt;=200,'Configuración'!$B$25,0))),0))</f>
        <v>12</v>
      </c>
      <c r="T684" s="37">
        <f>IF(B684="","",IF(ISNUMBER(SEARCH("information technology",I684))+ISNUMBER(SEARCH("software",I684))+ISNUMBER(SEARCH("internet",I684))+ISNUMBER(SEARCH("computer",I684))+ISNUMBER(SEARCH("saas",I684))+ISNUMBER(SEARCH("fintech",I684))+ISNUMBER(SEARCH("information services",I684))+ISNUMBER(SEARCH("telecommunications",I684))&gt;0,'Configuración'!$B$27,'Configuración'!$B$28))</f>
        <v>12</v>
      </c>
      <c r="U684" s="25">
        <f>IF(B684="","",IF(ISNUMBER(SEARCH("CEO",C684))+ISNUMBER(SEARCH("Founder",C684))+ISNUMBER(SEARCH("Owner",C684))+ISNUMBER(SEARCH("Dueño",C684))+ISNUMBER(SEARCH("Director General",C684))+ISNUMBER(SEARCH("Presidente",C684))+ISNUMBER(SEARCH("President",C684))&gt;0,'Configuración'!$B$31,IF(ISNUMBER(SEARCH("CMO",C684))+ISNUMBER(SEARCH("Chief Marketing",C684))+ISNUMBER(SEARCH("VP Marketing",C684))+ISNUMBER(SEARCH("Director de Marketing",C684))+ISNUMBER(SEARCH("Director Marketing",C684))+ISNUMBER(SEARCH("Head of Marketing",C684))+ISNUMBER(SEARCH("Head Marketing",C684))&gt;0,'Configuración'!$B$32,IF(ISNUMBER(SEARCH("Marketing Manager",C684))+ISNUMBER(SEARCH("Gerente de Marketing",C684))+ISNUMBER(SEARCH("Growth Manager",C684))+ISNUMBER(SEARCH("Demand Gen",C684))+ISNUMBER(SEARCH("Marketing Lead",C684))&gt;0,'Configuración'!$B$33,IF(ISNUMBER(SEARCH("COO",C684))+ISNUMBER(SEARCH("CFO",C684))+ISNUMBER(SEARCH("CTO",C684))+ISNUMBER(SEARCH("Chief Operating",C684))+ISNUMBER(SEARCH("Chief Financial",C684))+ISNUMBER(SEARCH("Gerente General",C684))+ISNUMBER(SEARCH("General Manager",C684))&gt;0,'Configuración'!$B$34,'Configuración'!$B$35)))))</f>
        <v>0</v>
      </c>
      <c r="V684" s="38">
        <f>IF(B684="","",IF(K684="Sí",'Configuración'!$B$5,0)+IF(L684="Semanal",'Configuración'!$B$6,IF(L684="Mensual",'Configuración'!$B$7,0))+IF(M684="Sí",'Configuración'!$B$8,0)+IF(N684="Sí",'Configuración'!$B$9,0)+IF(O684="Sí",'Configuración'!$B$10,0)+IF(P684="Sí",'Configuración'!$B$11,0)+IF(Q684="Sí",'Configuración'!$B$12,0)+S684+T684+U684)</f>
        <v>24</v>
      </c>
      <c r="W684" s="39" t="str">
        <f>IF(B684="","",IF(V684&gt;='Configuración'!$B$19,"A",IF(V684&gt;='Configuración'!$B$20,"B",IF(V684&gt;='Configuración'!$B$21,"C","Descarte"))))</f>
        <v>C</v>
      </c>
    </row>
    <row r="685" ht="15.75" customHeight="1">
      <c r="A685" s="34">
        <f t="shared" si="1"/>
        <v>683</v>
      </c>
      <c r="B685" s="29" t="s">
        <v>1331</v>
      </c>
      <c r="C685" s="29" t="s">
        <v>297</v>
      </c>
      <c r="D685" s="29" t="s">
        <v>4092</v>
      </c>
      <c r="E685" s="29" t="s">
        <v>4093</v>
      </c>
      <c r="F685" s="30" t="s">
        <v>4094</v>
      </c>
      <c r="G685" s="30" t="s">
        <v>4095</v>
      </c>
      <c r="H685" s="30" t="s">
        <v>4096</v>
      </c>
      <c r="I685" s="29" t="s">
        <v>127</v>
      </c>
      <c r="J685" s="31">
        <v>3.0</v>
      </c>
      <c r="K685" s="35"/>
      <c r="L685" s="35"/>
      <c r="M685" s="35"/>
      <c r="N685" s="35"/>
      <c r="O685" s="35"/>
      <c r="P685" s="35"/>
      <c r="Q685" s="35"/>
      <c r="R685" s="35"/>
      <c r="S685" s="37">
        <f>IF(B685="","",IF(ISNUMBER(J685),IF(J685&lt;=10,'Configuración'!$B$23,IF(J685&lt;=50,'Configuración'!$B$24,IF(J685&lt;=200,'Configuración'!$B$25,0))),0))</f>
        <v>12</v>
      </c>
      <c r="T685" s="37">
        <f>IF(B685="","",IF(ISNUMBER(SEARCH("information technology",I685))+ISNUMBER(SEARCH("software",I685))+ISNUMBER(SEARCH("internet",I685))+ISNUMBER(SEARCH("computer",I685))+ISNUMBER(SEARCH("saas",I685))+ISNUMBER(SEARCH("fintech",I685))+ISNUMBER(SEARCH("information services",I685))+ISNUMBER(SEARCH("telecommunications",I685))&gt;0,'Configuración'!$B$27,'Configuración'!$B$28))</f>
        <v>12</v>
      </c>
      <c r="U685" s="25">
        <f>IF(B685="","",IF(ISNUMBER(SEARCH("CEO",C685))+ISNUMBER(SEARCH("Founder",C685))+ISNUMBER(SEARCH("Owner",C685))+ISNUMBER(SEARCH("Dueño",C685))+ISNUMBER(SEARCH("Director General",C685))+ISNUMBER(SEARCH("Presidente",C685))+ISNUMBER(SEARCH("President",C685))&gt;0,'Configuración'!$B$31,IF(ISNUMBER(SEARCH("CMO",C685))+ISNUMBER(SEARCH("Chief Marketing",C685))+ISNUMBER(SEARCH("VP Marketing",C685))+ISNUMBER(SEARCH("Director de Marketing",C685))+ISNUMBER(SEARCH("Director Marketing",C685))+ISNUMBER(SEARCH("Head of Marketing",C685))+ISNUMBER(SEARCH("Head Marketing",C685))&gt;0,'Configuración'!$B$32,IF(ISNUMBER(SEARCH("Marketing Manager",C685))+ISNUMBER(SEARCH("Gerente de Marketing",C685))+ISNUMBER(SEARCH("Growth Manager",C685))+ISNUMBER(SEARCH("Demand Gen",C685))+ISNUMBER(SEARCH("Marketing Lead",C685))&gt;0,'Configuración'!$B$33,IF(ISNUMBER(SEARCH("COO",C685))+ISNUMBER(SEARCH("CFO",C685))+ISNUMBER(SEARCH("CTO",C685))+ISNUMBER(SEARCH("Chief Operating",C685))+ISNUMBER(SEARCH("Chief Financial",C685))+ISNUMBER(SEARCH("Gerente General",C685))+ISNUMBER(SEARCH("General Manager",C685))&gt;0,'Configuración'!$B$34,'Configuración'!$B$35)))))</f>
        <v>0</v>
      </c>
      <c r="V685" s="38">
        <f>IF(B685="","",IF(K685="Sí",'Configuración'!$B$5,0)+IF(L685="Semanal",'Configuración'!$B$6,IF(L685="Mensual",'Configuración'!$B$7,0))+IF(M685="Sí",'Configuración'!$B$8,0)+IF(N685="Sí",'Configuración'!$B$9,0)+IF(O685="Sí",'Configuración'!$B$10,0)+IF(P685="Sí",'Configuración'!$B$11,0)+IF(Q685="Sí",'Configuración'!$B$12,0)+S685+T685+U685)</f>
        <v>24</v>
      </c>
      <c r="W685" s="39" t="str">
        <f>IF(B685="","",IF(V685&gt;='Configuración'!$B$19,"A",IF(V685&gt;='Configuración'!$B$20,"B",IF(V685&gt;='Configuración'!$B$21,"C","Descarte"))))</f>
        <v>C</v>
      </c>
    </row>
    <row r="686" ht="15.75" customHeight="1">
      <c r="A686" s="34">
        <f t="shared" si="1"/>
        <v>684</v>
      </c>
      <c r="B686" s="29" t="s">
        <v>755</v>
      </c>
      <c r="C686" s="29" t="s">
        <v>3892</v>
      </c>
      <c r="D686" s="29" t="s">
        <v>4097</v>
      </c>
      <c r="E686" s="29" t="s">
        <v>4098</v>
      </c>
      <c r="F686" s="30" t="s">
        <v>4099</v>
      </c>
      <c r="G686" s="30" t="s">
        <v>4100</v>
      </c>
      <c r="H686" s="30" t="s">
        <v>4101</v>
      </c>
      <c r="I686" s="29" t="s">
        <v>127</v>
      </c>
      <c r="J686" s="31">
        <v>26.0</v>
      </c>
      <c r="K686" s="35"/>
      <c r="L686" s="35"/>
      <c r="M686" s="35"/>
      <c r="N686" s="35"/>
      <c r="O686" s="35"/>
      <c r="P686" s="35"/>
      <c r="Q686" s="35"/>
      <c r="R686" s="35"/>
      <c r="S686" s="37">
        <f>IF(B686="","",IF(ISNUMBER(J686),IF(J686&lt;=10,'Configuración'!$B$23,IF(J686&lt;=50,'Configuración'!$B$24,IF(J686&lt;=200,'Configuración'!$B$25,0))),0))</f>
        <v>4</v>
      </c>
      <c r="T686" s="37">
        <f>IF(B686="","",IF(ISNUMBER(SEARCH("information technology",I686))+ISNUMBER(SEARCH("software",I686))+ISNUMBER(SEARCH("internet",I686))+ISNUMBER(SEARCH("computer",I686))+ISNUMBER(SEARCH("saas",I686))+ISNUMBER(SEARCH("fintech",I686))+ISNUMBER(SEARCH("information services",I686))+ISNUMBER(SEARCH("telecommunications",I686))&gt;0,'Configuración'!$B$27,'Configuración'!$B$28))</f>
        <v>12</v>
      </c>
      <c r="U686" s="25">
        <f>IF(B686="","",IF(ISNUMBER(SEARCH("CEO",C686))+ISNUMBER(SEARCH("Founder",C686))+ISNUMBER(SEARCH("Owner",C686))+ISNUMBER(SEARCH("Dueño",C686))+ISNUMBER(SEARCH("Director General",C686))+ISNUMBER(SEARCH("Presidente",C686))+ISNUMBER(SEARCH("President",C686))&gt;0,'Configuración'!$B$31,IF(ISNUMBER(SEARCH("CMO",C686))+ISNUMBER(SEARCH("Chief Marketing",C686))+ISNUMBER(SEARCH("VP Marketing",C686))+ISNUMBER(SEARCH("Director de Marketing",C686))+ISNUMBER(SEARCH("Director Marketing",C686))+ISNUMBER(SEARCH("Head of Marketing",C686))+ISNUMBER(SEARCH("Head Marketing",C686))&gt;0,'Configuración'!$B$32,IF(ISNUMBER(SEARCH("Marketing Manager",C686))+ISNUMBER(SEARCH("Gerente de Marketing",C686))+ISNUMBER(SEARCH("Growth Manager",C686))+ISNUMBER(SEARCH("Demand Gen",C686))+ISNUMBER(SEARCH("Marketing Lead",C686))&gt;0,'Configuración'!$B$33,IF(ISNUMBER(SEARCH("COO",C686))+ISNUMBER(SEARCH("CFO",C686))+ISNUMBER(SEARCH("CTO",C686))+ISNUMBER(SEARCH("Chief Operating",C686))+ISNUMBER(SEARCH("Chief Financial",C686))+ISNUMBER(SEARCH("Gerente General",C686))+ISNUMBER(SEARCH("General Manager",C686))&gt;0,'Configuración'!$B$34,'Configuración'!$B$35)))))</f>
        <v>0</v>
      </c>
      <c r="V686" s="38">
        <f>IF(B686="","",IF(K686="Sí",'Configuración'!$B$5,0)+IF(L686="Semanal",'Configuración'!$B$6,IF(L686="Mensual",'Configuración'!$B$7,0))+IF(M686="Sí",'Configuración'!$B$8,0)+IF(N686="Sí",'Configuración'!$B$9,0)+IF(O686="Sí",'Configuración'!$B$10,0)+IF(P686="Sí",'Configuración'!$B$11,0)+IF(Q686="Sí",'Configuración'!$B$12,0)+S686+T686+U686)</f>
        <v>16</v>
      </c>
      <c r="W686" s="39" t="str">
        <f>IF(B686="","",IF(V686&gt;='Configuración'!$B$19,"A",IF(V686&gt;='Configuración'!$B$20,"B",IF(V686&gt;='Configuración'!$B$21,"C","Descarte"))))</f>
        <v>Descarte</v>
      </c>
    </row>
    <row r="687" ht="15.75" customHeight="1">
      <c r="A687" s="34">
        <f t="shared" si="1"/>
        <v>685</v>
      </c>
      <c r="B687" s="29" t="s">
        <v>223</v>
      </c>
      <c r="C687" s="29" t="s">
        <v>1535</v>
      </c>
      <c r="D687" s="29" t="s">
        <v>4102</v>
      </c>
      <c r="E687" s="29" t="s">
        <v>4103</v>
      </c>
      <c r="F687" s="30" t="s">
        <v>4104</v>
      </c>
      <c r="G687" s="30" t="s">
        <v>4105</v>
      </c>
      <c r="H687" s="30" t="s">
        <v>4106</v>
      </c>
      <c r="I687" s="29" t="s">
        <v>127</v>
      </c>
      <c r="J687" s="31">
        <v>9.0</v>
      </c>
      <c r="K687" s="35"/>
      <c r="L687" s="35"/>
      <c r="M687" s="35"/>
      <c r="N687" s="35"/>
      <c r="O687" s="35"/>
      <c r="P687" s="35"/>
      <c r="Q687" s="35"/>
      <c r="R687" s="35"/>
      <c r="S687" s="37">
        <f>IF(B687="","",IF(ISNUMBER(J687),IF(J687&lt;=10,'Configuración'!$B$23,IF(J687&lt;=50,'Configuración'!$B$24,IF(J687&lt;=200,'Configuración'!$B$25,0))),0))</f>
        <v>12</v>
      </c>
      <c r="T687" s="37">
        <f>IF(B687="","",IF(ISNUMBER(SEARCH("information technology",I687))+ISNUMBER(SEARCH("software",I687))+ISNUMBER(SEARCH("internet",I687))+ISNUMBER(SEARCH("computer",I687))+ISNUMBER(SEARCH("saas",I687))+ISNUMBER(SEARCH("fintech",I687))+ISNUMBER(SEARCH("information services",I687))+ISNUMBER(SEARCH("telecommunications",I687))&gt;0,'Configuración'!$B$27,'Configuración'!$B$28))</f>
        <v>12</v>
      </c>
      <c r="U687" s="25">
        <f>IF(B687="","",IF(ISNUMBER(SEARCH("CEO",C687))+ISNUMBER(SEARCH("Founder",C687))+ISNUMBER(SEARCH("Owner",C687))+ISNUMBER(SEARCH("Dueño",C687))+ISNUMBER(SEARCH("Director General",C687))+ISNUMBER(SEARCH("Presidente",C687))+ISNUMBER(SEARCH("President",C687))&gt;0,'Configuración'!$B$31,IF(ISNUMBER(SEARCH("CMO",C687))+ISNUMBER(SEARCH("Chief Marketing",C687))+ISNUMBER(SEARCH("VP Marketing",C687))+ISNUMBER(SEARCH("Director de Marketing",C687))+ISNUMBER(SEARCH("Director Marketing",C687))+ISNUMBER(SEARCH("Head of Marketing",C687))+ISNUMBER(SEARCH("Head Marketing",C687))&gt;0,'Configuración'!$B$32,IF(ISNUMBER(SEARCH("Marketing Manager",C687))+ISNUMBER(SEARCH("Gerente de Marketing",C687))+ISNUMBER(SEARCH("Growth Manager",C687))+ISNUMBER(SEARCH("Demand Gen",C687))+ISNUMBER(SEARCH("Marketing Lead",C687))&gt;0,'Configuración'!$B$33,IF(ISNUMBER(SEARCH("COO",C687))+ISNUMBER(SEARCH("CFO",C687))+ISNUMBER(SEARCH("CTO",C687))+ISNUMBER(SEARCH("Chief Operating",C687))+ISNUMBER(SEARCH("Chief Financial",C687))+ISNUMBER(SEARCH("Gerente General",C687))+ISNUMBER(SEARCH("General Manager",C687))&gt;0,'Configuración'!$B$34,'Configuración'!$B$35)))))</f>
        <v>12</v>
      </c>
      <c r="V687" s="38">
        <f>IF(B687="","",IF(K687="Sí",'Configuración'!$B$5,0)+IF(L687="Semanal",'Configuración'!$B$6,IF(L687="Mensual",'Configuración'!$B$7,0))+IF(M687="Sí",'Configuración'!$B$8,0)+IF(N687="Sí",'Configuración'!$B$9,0)+IF(O687="Sí",'Configuración'!$B$10,0)+IF(P687="Sí",'Configuración'!$B$11,0)+IF(Q687="Sí",'Configuración'!$B$12,0)+S687+T687+U687)</f>
        <v>36</v>
      </c>
      <c r="W687" s="39" t="str">
        <f>IF(B687="","",IF(V687&gt;='Configuración'!$B$19,"A",IF(V687&gt;='Configuración'!$B$20,"B",IF(V687&gt;='Configuración'!$B$21,"C","Descarte"))))</f>
        <v>C</v>
      </c>
    </row>
    <row r="688" ht="15.75" customHeight="1">
      <c r="A688" s="34">
        <f t="shared" si="1"/>
        <v>686</v>
      </c>
      <c r="B688" s="29" t="s">
        <v>166</v>
      </c>
      <c r="C688" s="29" t="s">
        <v>4107</v>
      </c>
      <c r="D688" s="29" t="s">
        <v>4108</v>
      </c>
      <c r="E688" s="29" t="s">
        <v>4109</v>
      </c>
      <c r="F688" s="30" t="s">
        <v>4110</v>
      </c>
      <c r="G688" s="30" t="s">
        <v>4111</v>
      </c>
      <c r="H688" s="30" t="s">
        <v>4112</v>
      </c>
      <c r="I688" s="29" t="s">
        <v>542</v>
      </c>
      <c r="J688" s="31">
        <v>3.0</v>
      </c>
      <c r="K688" s="35"/>
      <c r="L688" s="35"/>
      <c r="M688" s="35"/>
      <c r="N688" s="35"/>
      <c r="O688" s="35"/>
      <c r="P688" s="35"/>
      <c r="Q688" s="35"/>
      <c r="R688" s="35"/>
      <c r="S688" s="37">
        <f>IF(B688="","",IF(ISNUMBER(J688),IF(J688&lt;=10,'Configuración'!$B$23,IF(J688&lt;=50,'Configuración'!$B$24,IF(J688&lt;=200,'Configuración'!$B$25,0))),0))</f>
        <v>12</v>
      </c>
      <c r="T688" s="37">
        <f>IF(B688="","",IF(ISNUMBER(SEARCH("information technology",I688))+ISNUMBER(SEARCH("software",I688))+ISNUMBER(SEARCH("internet",I688))+ISNUMBER(SEARCH("computer",I688))+ISNUMBER(SEARCH("saas",I688))+ISNUMBER(SEARCH("fintech",I688))+ISNUMBER(SEARCH("information services",I688))+ISNUMBER(SEARCH("telecommunications",I688))&gt;0,'Configuración'!$B$27,'Configuración'!$B$28))</f>
        <v>4</v>
      </c>
      <c r="U688" s="25">
        <f>IF(B688="","",IF(ISNUMBER(SEARCH("CEO",C688))+ISNUMBER(SEARCH("Founder",C688))+ISNUMBER(SEARCH("Owner",C688))+ISNUMBER(SEARCH("Dueño",C688))+ISNUMBER(SEARCH("Director General",C688))+ISNUMBER(SEARCH("Presidente",C688))+ISNUMBER(SEARCH("President",C688))&gt;0,'Configuración'!$B$31,IF(ISNUMBER(SEARCH("CMO",C688))+ISNUMBER(SEARCH("Chief Marketing",C688))+ISNUMBER(SEARCH("VP Marketing",C688))+ISNUMBER(SEARCH("Director de Marketing",C688))+ISNUMBER(SEARCH("Director Marketing",C688))+ISNUMBER(SEARCH("Head of Marketing",C688))+ISNUMBER(SEARCH("Head Marketing",C688))&gt;0,'Configuración'!$B$32,IF(ISNUMBER(SEARCH("Marketing Manager",C688))+ISNUMBER(SEARCH("Gerente de Marketing",C688))+ISNUMBER(SEARCH("Growth Manager",C688))+ISNUMBER(SEARCH("Demand Gen",C688))+ISNUMBER(SEARCH("Marketing Lead",C688))&gt;0,'Configuración'!$B$33,IF(ISNUMBER(SEARCH("COO",C688))+ISNUMBER(SEARCH("CFO",C688))+ISNUMBER(SEARCH("CTO",C688))+ISNUMBER(SEARCH("Chief Operating",C688))+ISNUMBER(SEARCH("Chief Financial",C688))+ISNUMBER(SEARCH("Gerente General",C688))+ISNUMBER(SEARCH("General Manager",C688))&gt;0,'Configuración'!$B$34,'Configuración'!$B$35)))))</f>
        <v>0</v>
      </c>
      <c r="V688" s="38">
        <f>IF(B688="","",IF(K688="Sí",'Configuración'!$B$5,0)+IF(L688="Semanal",'Configuración'!$B$6,IF(L688="Mensual",'Configuración'!$B$7,0))+IF(M688="Sí",'Configuración'!$B$8,0)+IF(N688="Sí",'Configuración'!$B$9,0)+IF(O688="Sí",'Configuración'!$B$10,0)+IF(P688="Sí",'Configuración'!$B$11,0)+IF(Q688="Sí",'Configuración'!$B$12,0)+S688+T688+U688)</f>
        <v>16</v>
      </c>
      <c r="W688" s="39" t="str">
        <f>IF(B688="","",IF(V688&gt;='Configuración'!$B$19,"A",IF(V688&gt;='Configuración'!$B$20,"B",IF(V688&gt;='Configuración'!$B$21,"C","Descarte"))))</f>
        <v>Descarte</v>
      </c>
    </row>
    <row r="689" ht="15.75" customHeight="1">
      <c r="A689" s="34">
        <f t="shared" si="1"/>
        <v>687</v>
      </c>
      <c r="B689" s="29" t="s">
        <v>493</v>
      </c>
      <c r="C689" s="29" t="s">
        <v>121</v>
      </c>
      <c r="D689" s="29" t="s">
        <v>4113</v>
      </c>
      <c r="E689" s="29"/>
      <c r="F689" s="30" t="s">
        <v>4114</v>
      </c>
      <c r="G689" s="30" t="s">
        <v>4115</v>
      </c>
      <c r="H689" s="30" t="s">
        <v>4116</v>
      </c>
      <c r="I689" s="29" t="s">
        <v>116</v>
      </c>
      <c r="J689" s="31">
        <v>42.0</v>
      </c>
      <c r="K689" s="35"/>
      <c r="L689" s="35"/>
      <c r="M689" s="35"/>
      <c r="N689" s="35"/>
      <c r="O689" s="35"/>
      <c r="P689" s="35"/>
      <c r="Q689" s="35"/>
      <c r="R689" s="35"/>
      <c r="S689" s="37">
        <f>IF(B689="","",IF(ISNUMBER(J689),IF(J689&lt;=10,'Configuración'!$B$23,IF(J689&lt;=50,'Configuración'!$B$24,IF(J689&lt;=200,'Configuración'!$B$25,0))),0))</f>
        <v>4</v>
      </c>
      <c r="T689" s="37">
        <f>IF(B689="","",IF(ISNUMBER(SEARCH("information technology",I689))+ISNUMBER(SEARCH("software",I689))+ISNUMBER(SEARCH("internet",I689))+ISNUMBER(SEARCH("computer",I689))+ISNUMBER(SEARCH("saas",I689))+ISNUMBER(SEARCH("fintech",I689))+ISNUMBER(SEARCH("information services",I689))+ISNUMBER(SEARCH("telecommunications",I689))&gt;0,'Configuración'!$B$27,'Configuración'!$B$28))</f>
        <v>4</v>
      </c>
      <c r="U689" s="25">
        <f>IF(B689="","",IF(ISNUMBER(SEARCH("CEO",C689))+ISNUMBER(SEARCH("Founder",C689))+ISNUMBER(SEARCH("Owner",C689))+ISNUMBER(SEARCH("Dueño",C689))+ISNUMBER(SEARCH("Director General",C689))+ISNUMBER(SEARCH("Presidente",C689))+ISNUMBER(SEARCH("President",C689))&gt;0,'Configuración'!$B$31,IF(ISNUMBER(SEARCH("CMO",C689))+ISNUMBER(SEARCH("Chief Marketing",C689))+ISNUMBER(SEARCH("VP Marketing",C689))+ISNUMBER(SEARCH("Director de Marketing",C689))+ISNUMBER(SEARCH("Director Marketing",C689))+ISNUMBER(SEARCH("Head of Marketing",C689))+ISNUMBER(SEARCH("Head Marketing",C689))&gt;0,'Configuración'!$B$32,IF(ISNUMBER(SEARCH("Marketing Manager",C689))+ISNUMBER(SEARCH("Gerente de Marketing",C689))+ISNUMBER(SEARCH("Growth Manager",C689))+ISNUMBER(SEARCH("Demand Gen",C689))+ISNUMBER(SEARCH("Marketing Lead",C689))&gt;0,'Configuración'!$B$33,IF(ISNUMBER(SEARCH("COO",C689))+ISNUMBER(SEARCH("CFO",C689))+ISNUMBER(SEARCH("CTO",C689))+ISNUMBER(SEARCH("Chief Operating",C689))+ISNUMBER(SEARCH("Chief Financial",C689))+ISNUMBER(SEARCH("Gerente General",C689))+ISNUMBER(SEARCH("General Manager",C689))&gt;0,'Configuración'!$B$34,'Configuración'!$B$35)))))</f>
        <v>12</v>
      </c>
      <c r="V689" s="38">
        <f>IF(B689="","",IF(K689="Sí",'Configuración'!$B$5,0)+IF(L689="Semanal",'Configuración'!$B$6,IF(L689="Mensual",'Configuración'!$B$7,0))+IF(M689="Sí",'Configuración'!$B$8,0)+IF(N689="Sí",'Configuración'!$B$9,0)+IF(O689="Sí",'Configuración'!$B$10,0)+IF(P689="Sí",'Configuración'!$B$11,0)+IF(Q689="Sí",'Configuración'!$B$12,0)+S689+T689+U689)</f>
        <v>20</v>
      </c>
      <c r="W689" s="39" t="str">
        <f>IF(B689="","",IF(V689&gt;='Configuración'!$B$19,"A",IF(V689&gt;='Configuración'!$B$20,"B",IF(V689&gt;='Configuración'!$B$21,"C","Descarte"))))</f>
        <v>Descarte</v>
      </c>
    </row>
    <row r="690" ht="15.75" customHeight="1">
      <c r="A690" s="34">
        <f t="shared" si="1"/>
        <v>688</v>
      </c>
      <c r="B690" s="29" t="s">
        <v>324</v>
      </c>
      <c r="C690" s="29" t="s">
        <v>131</v>
      </c>
      <c r="D690" s="29" t="s">
        <v>4117</v>
      </c>
      <c r="E690" s="29" t="s">
        <v>4118</v>
      </c>
      <c r="F690" s="30" t="s">
        <v>4119</v>
      </c>
      <c r="G690" s="30" t="s">
        <v>4120</v>
      </c>
      <c r="H690" s="30" t="s">
        <v>4121</v>
      </c>
      <c r="I690" s="29" t="s">
        <v>127</v>
      </c>
      <c r="J690" s="31">
        <v>16.0</v>
      </c>
      <c r="K690" s="35"/>
      <c r="L690" s="35"/>
      <c r="M690" s="35"/>
      <c r="N690" s="35"/>
      <c r="O690" s="35"/>
      <c r="P690" s="35"/>
      <c r="Q690" s="35"/>
      <c r="R690" s="35"/>
      <c r="S690" s="37">
        <f>IF(B690="","",IF(ISNUMBER(J690),IF(J690&lt;=10,'Configuración'!$B$23,IF(J690&lt;=50,'Configuración'!$B$24,IF(J690&lt;=200,'Configuración'!$B$25,0))),0))</f>
        <v>4</v>
      </c>
      <c r="T690" s="37">
        <f>IF(B690="","",IF(ISNUMBER(SEARCH("information technology",I690))+ISNUMBER(SEARCH("software",I690))+ISNUMBER(SEARCH("internet",I690))+ISNUMBER(SEARCH("computer",I690))+ISNUMBER(SEARCH("saas",I690))+ISNUMBER(SEARCH("fintech",I690))+ISNUMBER(SEARCH("information services",I690))+ISNUMBER(SEARCH("telecommunications",I690))&gt;0,'Configuración'!$B$27,'Configuración'!$B$28))</f>
        <v>12</v>
      </c>
      <c r="U690" s="25">
        <f>IF(B690="","",IF(ISNUMBER(SEARCH("CEO",C690))+ISNUMBER(SEARCH("Founder",C690))+ISNUMBER(SEARCH("Owner",C690))+ISNUMBER(SEARCH("Dueño",C690))+ISNUMBER(SEARCH("Director General",C690))+ISNUMBER(SEARCH("Presidente",C690))+ISNUMBER(SEARCH("President",C690))&gt;0,'Configuración'!$B$31,IF(ISNUMBER(SEARCH("CMO",C690))+ISNUMBER(SEARCH("Chief Marketing",C690))+ISNUMBER(SEARCH("VP Marketing",C690))+ISNUMBER(SEARCH("Director de Marketing",C690))+ISNUMBER(SEARCH("Director Marketing",C690))+ISNUMBER(SEARCH("Head of Marketing",C690))+ISNUMBER(SEARCH("Head Marketing",C690))&gt;0,'Configuración'!$B$32,IF(ISNUMBER(SEARCH("Marketing Manager",C690))+ISNUMBER(SEARCH("Gerente de Marketing",C690))+ISNUMBER(SEARCH("Growth Manager",C690))+ISNUMBER(SEARCH("Demand Gen",C690))+ISNUMBER(SEARCH("Marketing Lead",C690))&gt;0,'Configuración'!$B$33,IF(ISNUMBER(SEARCH("COO",C690))+ISNUMBER(SEARCH("CFO",C690))+ISNUMBER(SEARCH("CTO",C690))+ISNUMBER(SEARCH("Chief Operating",C690))+ISNUMBER(SEARCH("Chief Financial",C690))+ISNUMBER(SEARCH("Gerente General",C690))+ISNUMBER(SEARCH("General Manager",C690))&gt;0,'Configuración'!$B$34,'Configuración'!$B$35)))))</f>
        <v>12</v>
      </c>
      <c r="V690" s="38">
        <f>IF(B690="","",IF(K690="Sí",'Configuración'!$B$5,0)+IF(L690="Semanal",'Configuración'!$B$6,IF(L690="Mensual",'Configuración'!$B$7,0))+IF(M690="Sí",'Configuración'!$B$8,0)+IF(N690="Sí",'Configuración'!$B$9,0)+IF(O690="Sí",'Configuración'!$B$10,0)+IF(P690="Sí",'Configuración'!$B$11,0)+IF(Q690="Sí",'Configuración'!$B$12,0)+S690+T690+U690)</f>
        <v>28</v>
      </c>
      <c r="W690" s="39" t="str">
        <f>IF(B690="","",IF(V690&gt;='Configuración'!$B$19,"A",IF(V690&gt;='Configuración'!$B$20,"B",IF(V690&gt;='Configuración'!$B$21,"C","Descarte"))))</f>
        <v>C</v>
      </c>
    </row>
    <row r="691" ht="15.75" customHeight="1">
      <c r="A691" s="34">
        <f t="shared" si="1"/>
        <v>689</v>
      </c>
      <c r="B691" s="29" t="s">
        <v>4122</v>
      </c>
      <c r="C691" s="29" t="s">
        <v>175</v>
      </c>
      <c r="D691" s="29" t="s">
        <v>4123</v>
      </c>
      <c r="E691" s="29" t="s">
        <v>4124</v>
      </c>
      <c r="F691" s="30" t="s">
        <v>4125</v>
      </c>
      <c r="G691" s="30" t="s">
        <v>4126</v>
      </c>
      <c r="H691" s="30" t="s">
        <v>4127</v>
      </c>
      <c r="I691" s="29" t="s">
        <v>450</v>
      </c>
      <c r="J691" s="31">
        <v>1.0</v>
      </c>
      <c r="K691" s="35"/>
      <c r="L691" s="35"/>
      <c r="M691" s="35"/>
      <c r="N691" s="35"/>
      <c r="O691" s="35"/>
      <c r="P691" s="35"/>
      <c r="Q691" s="35"/>
      <c r="R691" s="35"/>
      <c r="S691" s="37">
        <f>IF(B691="","",IF(ISNUMBER(J691),IF(J691&lt;=10,'Configuración'!$B$23,IF(J691&lt;=50,'Configuración'!$B$24,IF(J691&lt;=200,'Configuración'!$B$25,0))),0))</f>
        <v>12</v>
      </c>
      <c r="T691" s="37">
        <f>IF(B691="","",IF(ISNUMBER(SEARCH("information technology",I691))+ISNUMBER(SEARCH("software",I691))+ISNUMBER(SEARCH("internet",I691))+ISNUMBER(SEARCH("computer",I691))+ISNUMBER(SEARCH("saas",I691))+ISNUMBER(SEARCH("fintech",I691))+ISNUMBER(SEARCH("information services",I691))+ISNUMBER(SEARCH("telecommunications",I691))&gt;0,'Configuración'!$B$27,'Configuración'!$B$28))</f>
        <v>12</v>
      </c>
      <c r="U691" s="25">
        <f>IF(B691="","",IF(ISNUMBER(SEARCH("CEO",C691))+ISNUMBER(SEARCH("Founder",C691))+ISNUMBER(SEARCH("Owner",C691))+ISNUMBER(SEARCH("Dueño",C691))+ISNUMBER(SEARCH("Director General",C691))+ISNUMBER(SEARCH("Presidente",C691))+ISNUMBER(SEARCH("President",C691))&gt;0,'Configuración'!$B$31,IF(ISNUMBER(SEARCH("CMO",C691))+ISNUMBER(SEARCH("Chief Marketing",C691))+ISNUMBER(SEARCH("VP Marketing",C691))+ISNUMBER(SEARCH("Director de Marketing",C691))+ISNUMBER(SEARCH("Director Marketing",C691))+ISNUMBER(SEARCH("Head of Marketing",C691))+ISNUMBER(SEARCH("Head Marketing",C691))&gt;0,'Configuración'!$B$32,IF(ISNUMBER(SEARCH("Marketing Manager",C691))+ISNUMBER(SEARCH("Gerente de Marketing",C691))+ISNUMBER(SEARCH("Growth Manager",C691))+ISNUMBER(SEARCH("Demand Gen",C691))+ISNUMBER(SEARCH("Marketing Lead",C691))&gt;0,'Configuración'!$B$33,IF(ISNUMBER(SEARCH("COO",C691))+ISNUMBER(SEARCH("CFO",C691))+ISNUMBER(SEARCH("CTO",C691))+ISNUMBER(SEARCH("Chief Operating",C691))+ISNUMBER(SEARCH("Chief Financial",C691))+ISNUMBER(SEARCH("Gerente General",C691))+ISNUMBER(SEARCH("General Manager",C691))&gt;0,'Configuración'!$B$34,'Configuración'!$B$35)))))</f>
        <v>12</v>
      </c>
      <c r="V691" s="38">
        <f>IF(B691="","",IF(K691="Sí",'Configuración'!$B$5,0)+IF(L691="Semanal",'Configuración'!$B$6,IF(L691="Mensual",'Configuración'!$B$7,0))+IF(M691="Sí",'Configuración'!$B$8,0)+IF(N691="Sí",'Configuración'!$B$9,0)+IF(O691="Sí",'Configuración'!$B$10,0)+IF(P691="Sí",'Configuración'!$B$11,0)+IF(Q691="Sí",'Configuración'!$B$12,0)+S691+T691+U691)</f>
        <v>36</v>
      </c>
      <c r="W691" s="39" t="str">
        <f>IF(B691="","",IF(V691&gt;='Configuración'!$B$19,"A",IF(V691&gt;='Configuración'!$B$20,"B",IF(V691&gt;='Configuración'!$B$21,"C","Descarte"))))</f>
        <v>C</v>
      </c>
    </row>
    <row r="692" ht="15.75" customHeight="1">
      <c r="A692" s="34">
        <f t="shared" si="1"/>
        <v>690</v>
      </c>
      <c r="B692" s="29" t="s">
        <v>1159</v>
      </c>
      <c r="C692" s="29" t="s">
        <v>131</v>
      </c>
      <c r="D692" s="29" t="s">
        <v>4128</v>
      </c>
      <c r="E692" s="29" t="s">
        <v>4129</v>
      </c>
      <c r="F692" s="30" t="s">
        <v>4130</v>
      </c>
      <c r="G692" s="30" t="s">
        <v>4131</v>
      </c>
      <c r="H692" s="30" t="s">
        <v>4132</v>
      </c>
      <c r="I692" s="29" t="s">
        <v>2170</v>
      </c>
      <c r="J692" s="31">
        <v>17.0</v>
      </c>
      <c r="K692" s="35"/>
      <c r="L692" s="35"/>
      <c r="M692" s="35"/>
      <c r="N692" s="35"/>
      <c r="O692" s="35"/>
      <c r="P692" s="35"/>
      <c r="Q692" s="35"/>
      <c r="R692" s="35"/>
      <c r="S692" s="37">
        <f>IF(B692="","",IF(ISNUMBER(J692),IF(J692&lt;=10,'Configuración'!$B$23,IF(J692&lt;=50,'Configuración'!$B$24,IF(J692&lt;=200,'Configuración'!$B$25,0))),0))</f>
        <v>4</v>
      </c>
      <c r="T692" s="37">
        <f>IF(B692="","",IF(ISNUMBER(SEARCH("information technology",I692))+ISNUMBER(SEARCH("software",I692))+ISNUMBER(SEARCH("internet",I692))+ISNUMBER(SEARCH("computer",I692))+ISNUMBER(SEARCH("saas",I692))+ISNUMBER(SEARCH("fintech",I692))+ISNUMBER(SEARCH("information services",I692))+ISNUMBER(SEARCH("telecommunications",I692))&gt;0,'Configuración'!$B$27,'Configuración'!$B$28))</f>
        <v>12</v>
      </c>
      <c r="U692" s="25">
        <f>IF(B692="","",IF(ISNUMBER(SEARCH("CEO",C692))+ISNUMBER(SEARCH("Founder",C692))+ISNUMBER(SEARCH("Owner",C692))+ISNUMBER(SEARCH("Dueño",C692))+ISNUMBER(SEARCH("Director General",C692))+ISNUMBER(SEARCH("Presidente",C692))+ISNUMBER(SEARCH("President",C692))&gt;0,'Configuración'!$B$31,IF(ISNUMBER(SEARCH("CMO",C692))+ISNUMBER(SEARCH("Chief Marketing",C692))+ISNUMBER(SEARCH("VP Marketing",C692))+ISNUMBER(SEARCH("Director de Marketing",C692))+ISNUMBER(SEARCH("Director Marketing",C692))+ISNUMBER(SEARCH("Head of Marketing",C692))+ISNUMBER(SEARCH("Head Marketing",C692))&gt;0,'Configuración'!$B$32,IF(ISNUMBER(SEARCH("Marketing Manager",C692))+ISNUMBER(SEARCH("Gerente de Marketing",C692))+ISNUMBER(SEARCH("Growth Manager",C692))+ISNUMBER(SEARCH("Demand Gen",C692))+ISNUMBER(SEARCH("Marketing Lead",C692))&gt;0,'Configuración'!$B$33,IF(ISNUMBER(SEARCH("COO",C692))+ISNUMBER(SEARCH("CFO",C692))+ISNUMBER(SEARCH("CTO",C692))+ISNUMBER(SEARCH("Chief Operating",C692))+ISNUMBER(SEARCH("Chief Financial",C692))+ISNUMBER(SEARCH("Gerente General",C692))+ISNUMBER(SEARCH("General Manager",C692))&gt;0,'Configuración'!$B$34,'Configuración'!$B$35)))))</f>
        <v>12</v>
      </c>
      <c r="V692" s="38">
        <f>IF(B692="","",IF(K692="Sí",'Configuración'!$B$5,0)+IF(L692="Semanal",'Configuración'!$B$6,IF(L692="Mensual",'Configuración'!$B$7,0))+IF(M692="Sí",'Configuración'!$B$8,0)+IF(N692="Sí",'Configuración'!$B$9,0)+IF(O692="Sí",'Configuración'!$B$10,0)+IF(P692="Sí",'Configuración'!$B$11,0)+IF(Q692="Sí",'Configuración'!$B$12,0)+S692+T692+U692)</f>
        <v>28</v>
      </c>
      <c r="W692" s="39" t="str">
        <f>IF(B692="","",IF(V692&gt;='Configuración'!$B$19,"A",IF(V692&gt;='Configuración'!$B$20,"B",IF(V692&gt;='Configuración'!$B$21,"C","Descarte"))))</f>
        <v>C</v>
      </c>
    </row>
    <row r="693" ht="15.75" customHeight="1">
      <c r="A693" s="34">
        <f t="shared" si="1"/>
        <v>691</v>
      </c>
      <c r="B693" s="29" t="s">
        <v>242</v>
      </c>
      <c r="C693" s="29" t="s">
        <v>4133</v>
      </c>
      <c r="D693" s="29" t="s">
        <v>4134</v>
      </c>
      <c r="E693" s="29" t="s">
        <v>4135</v>
      </c>
      <c r="F693" s="30" t="s">
        <v>4136</v>
      </c>
      <c r="G693" s="30" t="s">
        <v>4137</v>
      </c>
      <c r="H693" s="30" t="s">
        <v>4138</v>
      </c>
      <c r="I693" s="29" t="s">
        <v>1404</v>
      </c>
      <c r="J693" s="31">
        <v>38.0</v>
      </c>
      <c r="K693" s="35"/>
      <c r="L693" s="35"/>
      <c r="M693" s="35"/>
      <c r="N693" s="35"/>
      <c r="O693" s="35"/>
      <c r="P693" s="35"/>
      <c r="Q693" s="35"/>
      <c r="R693" s="35"/>
      <c r="S693" s="37">
        <f>IF(B693="","",IF(ISNUMBER(J693),IF(J693&lt;=10,'Configuración'!$B$23,IF(J693&lt;=50,'Configuración'!$B$24,IF(J693&lt;=200,'Configuración'!$B$25,0))),0))</f>
        <v>4</v>
      </c>
      <c r="T693" s="37">
        <f>IF(B693="","",IF(ISNUMBER(SEARCH("information technology",I693))+ISNUMBER(SEARCH("software",I693))+ISNUMBER(SEARCH("internet",I693))+ISNUMBER(SEARCH("computer",I693))+ISNUMBER(SEARCH("saas",I693))+ISNUMBER(SEARCH("fintech",I693))+ISNUMBER(SEARCH("information services",I693))+ISNUMBER(SEARCH("telecommunications",I693))&gt;0,'Configuración'!$B$27,'Configuración'!$B$28))</f>
        <v>4</v>
      </c>
      <c r="U693" s="25">
        <f>IF(B693="","",IF(ISNUMBER(SEARCH("CEO",C693))+ISNUMBER(SEARCH("Founder",C693))+ISNUMBER(SEARCH("Owner",C693))+ISNUMBER(SEARCH("Dueño",C693))+ISNUMBER(SEARCH("Director General",C693))+ISNUMBER(SEARCH("Presidente",C693))+ISNUMBER(SEARCH("President",C693))&gt;0,'Configuración'!$B$31,IF(ISNUMBER(SEARCH("CMO",C693))+ISNUMBER(SEARCH("Chief Marketing",C693))+ISNUMBER(SEARCH("VP Marketing",C693))+ISNUMBER(SEARCH("Director de Marketing",C693))+ISNUMBER(SEARCH("Director Marketing",C693))+ISNUMBER(SEARCH("Head of Marketing",C693))+ISNUMBER(SEARCH("Head Marketing",C693))&gt;0,'Configuración'!$B$32,IF(ISNUMBER(SEARCH("Marketing Manager",C693))+ISNUMBER(SEARCH("Gerente de Marketing",C693))+ISNUMBER(SEARCH("Growth Manager",C693))+ISNUMBER(SEARCH("Demand Gen",C693))+ISNUMBER(SEARCH("Marketing Lead",C693))&gt;0,'Configuración'!$B$33,IF(ISNUMBER(SEARCH("COO",C693))+ISNUMBER(SEARCH("CFO",C693))+ISNUMBER(SEARCH("CTO",C693))+ISNUMBER(SEARCH("Chief Operating",C693))+ISNUMBER(SEARCH("Chief Financial",C693))+ISNUMBER(SEARCH("Gerente General",C693))+ISNUMBER(SEARCH("General Manager",C693))&gt;0,'Configuración'!$B$34,'Configuración'!$B$35)))))</f>
        <v>12</v>
      </c>
      <c r="V693" s="38">
        <f>IF(B693="","",IF(K693="Sí",'Configuración'!$B$5,0)+IF(L693="Semanal",'Configuración'!$B$6,IF(L693="Mensual",'Configuración'!$B$7,0))+IF(M693="Sí",'Configuración'!$B$8,0)+IF(N693="Sí",'Configuración'!$B$9,0)+IF(O693="Sí",'Configuración'!$B$10,0)+IF(P693="Sí",'Configuración'!$B$11,0)+IF(Q693="Sí",'Configuración'!$B$12,0)+S693+T693+U693)</f>
        <v>20</v>
      </c>
      <c r="W693" s="39" t="str">
        <f>IF(B693="","",IF(V693&gt;='Configuración'!$B$19,"A",IF(V693&gt;='Configuración'!$B$20,"B",IF(V693&gt;='Configuración'!$B$21,"C","Descarte"))))</f>
        <v>Descarte</v>
      </c>
    </row>
    <row r="694" ht="15.75" customHeight="1">
      <c r="A694" s="34">
        <f t="shared" si="1"/>
        <v>692</v>
      </c>
      <c r="B694" s="29" t="s">
        <v>984</v>
      </c>
      <c r="C694" s="29" t="s">
        <v>202</v>
      </c>
      <c r="D694" s="29" t="s">
        <v>4139</v>
      </c>
      <c r="E694" s="29" t="s">
        <v>4140</v>
      </c>
      <c r="F694" s="30" t="s">
        <v>4141</v>
      </c>
      <c r="G694" s="30" t="s">
        <v>4142</v>
      </c>
      <c r="H694" s="30" t="s">
        <v>4143</v>
      </c>
      <c r="I694" s="29" t="s">
        <v>188</v>
      </c>
      <c r="J694" s="31">
        <v>6.0</v>
      </c>
      <c r="K694" s="35"/>
      <c r="L694" s="35"/>
      <c r="M694" s="35"/>
      <c r="N694" s="35"/>
      <c r="O694" s="35"/>
      <c r="P694" s="35"/>
      <c r="Q694" s="35"/>
      <c r="R694" s="35"/>
      <c r="S694" s="37">
        <f>IF(B694="","",IF(ISNUMBER(J694),IF(J694&lt;=10,'Configuración'!$B$23,IF(J694&lt;=50,'Configuración'!$B$24,IF(J694&lt;=200,'Configuración'!$B$25,0))),0))</f>
        <v>12</v>
      </c>
      <c r="T694" s="37">
        <f>IF(B694="","",IF(ISNUMBER(SEARCH("information technology",I694))+ISNUMBER(SEARCH("software",I694))+ISNUMBER(SEARCH("internet",I694))+ISNUMBER(SEARCH("computer",I694))+ISNUMBER(SEARCH("saas",I694))+ISNUMBER(SEARCH("fintech",I694))+ISNUMBER(SEARCH("information services",I694))+ISNUMBER(SEARCH("telecommunications",I694))&gt;0,'Configuración'!$B$27,'Configuración'!$B$28))</f>
        <v>4</v>
      </c>
      <c r="U694" s="25">
        <f>IF(B694="","",IF(ISNUMBER(SEARCH("CEO",C694))+ISNUMBER(SEARCH("Founder",C694))+ISNUMBER(SEARCH("Owner",C694))+ISNUMBER(SEARCH("Dueño",C694))+ISNUMBER(SEARCH("Director General",C694))+ISNUMBER(SEARCH("Presidente",C694))+ISNUMBER(SEARCH("President",C694))&gt;0,'Configuración'!$B$31,IF(ISNUMBER(SEARCH("CMO",C694))+ISNUMBER(SEARCH("Chief Marketing",C694))+ISNUMBER(SEARCH("VP Marketing",C694))+ISNUMBER(SEARCH("Director de Marketing",C694))+ISNUMBER(SEARCH("Director Marketing",C694))+ISNUMBER(SEARCH("Head of Marketing",C694))+ISNUMBER(SEARCH("Head Marketing",C694))&gt;0,'Configuración'!$B$32,IF(ISNUMBER(SEARCH("Marketing Manager",C694))+ISNUMBER(SEARCH("Gerente de Marketing",C694))+ISNUMBER(SEARCH("Growth Manager",C694))+ISNUMBER(SEARCH("Demand Gen",C694))+ISNUMBER(SEARCH("Marketing Lead",C694))&gt;0,'Configuración'!$B$33,IF(ISNUMBER(SEARCH("COO",C694))+ISNUMBER(SEARCH("CFO",C694))+ISNUMBER(SEARCH("CTO",C694))+ISNUMBER(SEARCH("Chief Operating",C694))+ISNUMBER(SEARCH("Chief Financial",C694))+ISNUMBER(SEARCH("Gerente General",C694))+ISNUMBER(SEARCH("General Manager",C694))&gt;0,'Configuración'!$B$34,'Configuración'!$B$35)))))</f>
        <v>12</v>
      </c>
      <c r="V694" s="38">
        <f>IF(B694="","",IF(K694="Sí",'Configuración'!$B$5,0)+IF(L694="Semanal",'Configuración'!$B$6,IF(L694="Mensual",'Configuración'!$B$7,0))+IF(M694="Sí",'Configuración'!$B$8,0)+IF(N694="Sí",'Configuración'!$B$9,0)+IF(O694="Sí",'Configuración'!$B$10,0)+IF(P694="Sí",'Configuración'!$B$11,0)+IF(Q694="Sí",'Configuración'!$B$12,0)+S694+T694+U694)</f>
        <v>28</v>
      </c>
      <c r="W694" s="39" t="str">
        <f>IF(B694="","",IF(V694&gt;='Configuración'!$B$19,"A",IF(V694&gt;='Configuración'!$B$20,"B",IF(V694&gt;='Configuración'!$B$21,"C","Descarte"))))</f>
        <v>C</v>
      </c>
    </row>
    <row r="695" ht="15.75" customHeight="1">
      <c r="A695" s="34">
        <f t="shared" si="1"/>
        <v>693</v>
      </c>
      <c r="B695" s="29" t="s">
        <v>4144</v>
      </c>
      <c r="C695" s="29" t="s">
        <v>4145</v>
      </c>
      <c r="D695" s="29" t="s">
        <v>4146</v>
      </c>
      <c r="E695" s="29" t="s">
        <v>4147</v>
      </c>
      <c r="F695" s="30" t="s">
        <v>4148</v>
      </c>
      <c r="G695" s="30" t="s">
        <v>4149</v>
      </c>
      <c r="H695" s="30" t="s">
        <v>4150</v>
      </c>
      <c r="I695" s="29" t="s">
        <v>188</v>
      </c>
      <c r="J695" s="31">
        <v>16.0</v>
      </c>
      <c r="K695" s="35"/>
      <c r="L695" s="35"/>
      <c r="M695" s="35"/>
      <c r="N695" s="35"/>
      <c r="O695" s="35"/>
      <c r="P695" s="35"/>
      <c r="Q695" s="35"/>
      <c r="R695" s="35"/>
      <c r="S695" s="37">
        <f>IF(B695="","",IF(ISNUMBER(J695),IF(J695&lt;=10,'Configuración'!$B$23,IF(J695&lt;=50,'Configuración'!$B$24,IF(J695&lt;=200,'Configuración'!$B$25,0))),0))</f>
        <v>4</v>
      </c>
      <c r="T695" s="37">
        <f>IF(B695="","",IF(ISNUMBER(SEARCH("information technology",I695))+ISNUMBER(SEARCH("software",I695))+ISNUMBER(SEARCH("internet",I695))+ISNUMBER(SEARCH("computer",I695))+ISNUMBER(SEARCH("saas",I695))+ISNUMBER(SEARCH("fintech",I695))+ISNUMBER(SEARCH("information services",I695))+ISNUMBER(SEARCH("telecommunications",I695))&gt;0,'Configuración'!$B$27,'Configuración'!$B$28))</f>
        <v>4</v>
      </c>
      <c r="U695" s="25">
        <f>IF(B695="","",IF(ISNUMBER(SEARCH("CEO",C695))+ISNUMBER(SEARCH("Founder",C695))+ISNUMBER(SEARCH("Owner",C695))+ISNUMBER(SEARCH("Dueño",C695))+ISNUMBER(SEARCH("Director General",C695))+ISNUMBER(SEARCH("Presidente",C695))+ISNUMBER(SEARCH("President",C695))&gt;0,'Configuración'!$B$31,IF(ISNUMBER(SEARCH("CMO",C695))+ISNUMBER(SEARCH("Chief Marketing",C695))+ISNUMBER(SEARCH("VP Marketing",C695))+ISNUMBER(SEARCH("Director de Marketing",C695))+ISNUMBER(SEARCH("Director Marketing",C695))+ISNUMBER(SEARCH("Head of Marketing",C695))+ISNUMBER(SEARCH("Head Marketing",C695))&gt;0,'Configuración'!$B$32,IF(ISNUMBER(SEARCH("Marketing Manager",C695))+ISNUMBER(SEARCH("Gerente de Marketing",C695))+ISNUMBER(SEARCH("Growth Manager",C695))+ISNUMBER(SEARCH("Demand Gen",C695))+ISNUMBER(SEARCH("Marketing Lead",C695))&gt;0,'Configuración'!$B$33,IF(ISNUMBER(SEARCH("COO",C695))+ISNUMBER(SEARCH("CFO",C695))+ISNUMBER(SEARCH("CTO",C695))+ISNUMBER(SEARCH("Chief Operating",C695))+ISNUMBER(SEARCH("Chief Financial",C695))+ISNUMBER(SEARCH("Gerente General",C695))+ISNUMBER(SEARCH("General Manager",C695))&gt;0,'Configuración'!$B$34,'Configuración'!$B$35)))))</f>
        <v>4</v>
      </c>
      <c r="V695" s="38">
        <f>IF(B695="","",IF(K695="Sí",'Configuración'!$B$5,0)+IF(L695="Semanal",'Configuración'!$B$6,IF(L695="Mensual",'Configuración'!$B$7,0))+IF(M695="Sí",'Configuración'!$B$8,0)+IF(N695="Sí",'Configuración'!$B$9,0)+IF(O695="Sí",'Configuración'!$B$10,0)+IF(P695="Sí",'Configuración'!$B$11,0)+IF(Q695="Sí",'Configuración'!$B$12,0)+S695+T695+U695)</f>
        <v>12</v>
      </c>
      <c r="W695" s="39" t="str">
        <f>IF(B695="","",IF(V695&gt;='Configuración'!$B$19,"A",IF(V695&gt;='Configuración'!$B$20,"B",IF(V695&gt;='Configuración'!$B$21,"C","Descarte"))))</f>
        <v>Descarte</v>
      </c>
    </row>
    <row r="696" ht="15.75" customHeight="1">
      <c r="A696" s="34">
        <f t="shared" si="1"/>
        <v>694</v>
      </c>
      <c r="B696" s="29" t="s">
        <v>4151</v>
      </c>
      <c r="C696" s="29" t="s">
        <v>4152</v>
      </c>
      <c r="D696" s="29" t="s">
        <v>4153</v>
      </c>
      <c r="E696" s="29" t="s">
        <v>4154</v>
      </c>
      <c r="F696" s="30" t="s">
        <v>4155</v>
      </c>
      <c r="G696" s="30" t="s">
        <v>4156</v>
      </c>
      <c r="H696" s="30" t="s">
        <v>4157</v>
      </c>
      <c r="I696" s="29" t="s">
        <v>188</v>
      </c>
      <c r="J696" s="31">
        <v>7.0</v>
      </c>
      <c r="K696" s="35"/>
      <c r="L696" s="35"/>
      <c r="M696" s="35"/>
      <c r="N696" s="35"/>
      <c r="O696" s="35"/>
      <c r="P696" s="35"/>
      <c r="Q696" s="35"/>
      <c r="R696" s="35"/>
      <c r="S696" s="37">
        <f>IF(B696="","",IF(ISNUMBER(J696),IF(J696&lt;=10,'Configuración'!$B$23,IF(J696&lt;=50,'Configuración'!$B$24,IF(J696&lt;=200,'Configuración'!$B$25,0))),0))</f>
        <v>12</v>
      </c>
      <c r="T696" s="37">
        <f>IF(B696="","",IF(ISNUMBER(SEARCH("information technology",I696))+ISNUMBER(SEARCH("software",I696))+ISNUMBER(SEARCH("internet",I696))+ISNUMBER(SEARCH("computer",I696))+ISNUMBER(SEARCH("saas",I696))+ISNUMBER(SEARCH("fintech",I696))+ISNUMBER(SEARCH("information services",I696))+ISNUMBER(SEARCH("telecommunications",I696))&gt;0,'Configuración'!$B$27,'Configuración'!$B$28))</f>
        <v>4</v>
      </c>
      <c r="U696" s="25">
        <f>IF(B696="","",IF(ISNUMBER(SEARCH("CEO",C696))+ISNUMBER(SEARCH("Founder",C696))+ISNUMBER(SEARCH("Owner",C696))+ISNUMBER(SEARCH("Dueño",C696))+ISNUMBER(SEARCH("Director General",C696))+ISNUMBER(SEARCH("Presidente",C696))+ISNUMBER(SEARCH("President",C696))&gt;0,'Configuración'!$B$31,IF(ISNUMBER(SEARCH("CMO",C696))+ISNUMBER(SEARCH("Chief Marketing",C696))+ISNUMBER(SEARCH("VP Marketing",C696))+ISNUMBER(SEARCH("Director de Marketing",C696))+ISNUMBER(SEARCH("Director Marketing",C696))+ISNUMBER(SEARCH("Head of Marketing",C696))+ISNUMBER(SEARCH("Head Marketing",C696))&gt;0,'Configuración'!$B$32,IF(ISNUMBER(SEARCH("Marketing Manager",C696))+ISNUMBER(SEARCH("Gerente de Marketing",C696))+ISNUMBER(SEARCH("Growth Manager",C696))+ISNUMBER(SEARCH("Demand Gen",C696))+ISNUMBER(SEARCH("Marketing Lead",C696))&gt;0,'Configuración'!$B$33,IF(ISNUMBER(SEARCH("COO",C696))+ISNUMBER(SEARCH("CFO",C696))+ISNUMBER(SEARCH("CTO",C696))+ISNUMBER(SEARCH("Chief Operating",C696))+ISNUMBER(SEARCH("Chief Financial",C696))+ISNUMBER(SEARCH("Gerente General",C696))+ISNUMBER(SEARCH("General Manager",C696))&gt;0,'Configuración'!$B$34,'Configuración'!$B$35)))))</f>
        <v>12</v>
      </c>
      <c r="V696" s="38">
        <f>IF(B696="","",IF(K696="Sí",'Configuración'!$B$5,0)+IF(L696="Semanal",'Configuración'!$B$6,IF(L696="Mensual",'Configuración'!$B$7,0))+IF(M696="Sí",'Configuración'!$B$8,0)+IF(N696="Sí",'Configuración'!$B$9,0)+IF(O696="Sí",'Configuración'!$B$10,0)+IF(P696="Sí",'Configuración'!$B$11,0)+IF(Q696="Sí",'Configuración'!$B$12,0)+S696+T696+U696)</f>
        <v>28</v>
      </c>
      <c r="W696" s="39" t="str">
        <f>IF(B696="","",IF(V696&gt;='Configuración'!$B$19,"A",IF(V696&gt;='Configuración'!$B$20,"B",IF(V696&gt;='Configuración'!$B$21,"C","Descarte"))))</f>
        <v>C</v>
      </c>
    </row>
    <row r="697" ht="15.75" customHeight="1">
      <c r="A697" s="34">
        <f t="shared" si="1"/>
        <v>695</v>
      </c>
      <c r="B697" s="29" t="s">
        <v>762</v>
      </c>
      <c r="C697" s="29" t="s">
        <v>4158</v>
      </c>
      <c r="D697" s="29" t="s">
        <v>2177</v>
      </c>
      <c r="E697" s="29" t="s">
        <v>4159</v>
      </c>
      <c r="F697" s="30" t="s">
        <v>4160</v>
      </c>
      <c r="G697" s="30" t="s">
        <v>2180</v>
      </c>
      <c r="H697" s="30" t="s">
        <v>2181</v>
      </c>
      <c r="I697" s="29" t="s">
        <v>188</v>
      </c>
      <c r="J697" s="31">
        <v>2.0</v>
      </c>
      <c r="K697" s="35"/>
      <c r="L697" s="35"/>
      <c r="M697" s="35"/>
      <c r="N697" s="35"/>
      <c r="O697" s="35"/>
      <c r="P697" s="35"/>
      <c r="Q697" s="35"/>
      <c r="R697" s="35"/>
      <c r="S697" s="37">
        <f>IF(B697="","",IF(ISNUMBER(J697),IF(J697&lt;=10,'Configuración'!$B$23,IF(J697&lt;=50,'Configuración'!$B$24,IF(J697&lt;=200,'Configuración'!$B$25,0))),0))</f>
        <v>12</v>
      </c>
      <c r="T697" s="37">
        <f>IF(B697="","",IF(ISNUMBER(SEARCH("information technology",I697))+ISNUMBER(SEARCH("software",I697))+ISNUMBER(SEARCH("internet",I697))+ISNUMBER(SEARCH("computer",I697))+ISNUMBER(SEARCH("saas",I697))+ISNUMBER(SEARCH("fintech",I697))+ISNUMBER(SEARCH("information services",I697))+ISNUMBER(SEARCH("telecommunications",I697))&gt;0,'Configuración'!$B$27,'Configuración'!$B$28))</f>
        <v>4</v>
      </c>
      <c r="U697" s="25">
        <f>IF(B697="","",IF(ISNUMBER(SEARCH("CEO",C697))+ISNUMBER(SEARCH("Founder",C697))+ISNUMBER(SEARCH("Owner",C697))+ISNUMBER(SEARCH("Dueño",C697))+ISNUMBER(SEARCH("Director General",C697))+ISNUMBER(SEARCH("Presidente",C697))+ISNUMBER(SEARCH("President",C697))&gt;0,'Configuración'!$B$31,IF(ISNUMBER(SEARCH("CMO",C697))+ISNUMBER(SEARCH("Chief Marketing",C697))+ISNUMBER(SEARCH("VP Marketing",C697))+ISNUMBER(SEARCH("Director de Marketing",C697))+ISNUMBER(SEARCH("Director Marketing",C697))+ISNUMBER(SEARCH("Head of Marketing",C697))+ISNUMBER(SEARCH("Head Marketing",C697))&gt;0,'Configuración'!$B$32,IF(ISNUMBER(SEARCH("Marketing Manager",C697))+ISNUMBER(SEARCH("Gerente de Marketing",C697))+ISNUMBER(SEARCH("Growth Manager",C697))+ISNUMBER(SEARCH("Demand Gen",C697))+ISNUMBER(SEARCH("Marketing Lead",C697))&gt;0,'Configuración'!$B$33,IF(ISNUMBER(SEARCH("COO",C697))+ISNUMBER(SEARCH("CFO",C697))+ISNUMBER(SEARCH("CTO",C697))+ISNUMBER(SEARCH("Chief Operating",C697))+ISNUMBER(SEARCH("Chief Financial",C697))+ISNUMBER(SEARCH("Gerente General",C697))+ISNUMBER(SEARCH("General Manager",C697))&gt;0,'Configuración'!$B$34,'Configuración'!$B$35)))))</f>
        <v>12</v>
      </c>
      <c r="V697" s="38">
        <f>IF(B697="","",IF(K697="Sí",'Configuración'!$B$5,0)+IF(L697="Semanal",'Configuración'!$B$6,IF(L697="Mensual",'Configuración'!$B$7,0))+IF(M697="Sí",'Configuración'!$B$8,0)+IF(N697="Sí",'Configuración'!$B$9,0)+IF(O697="Sí",'Configuración'!$B$10,0)+IF(P697="Sí",'Configuración'!$B$11,0)+IF(Q697="Sí",'Configuración'!$B$12,0)+S697+T697+U697)</f>
        <v>28</v>
      </c>
      <c r="W697" s="39" t="str">
        <f>IF(B697="","",IF(V697&gt;='Configuración'!$B$19,"A",IF(V697&gt;='Configuración'!$B$20,"B",IF(V697&gt;='Configuración'!$B$21,"C","Descarte"))))</f>
        <v>C</v>
      </c>
    </row>
    <row r="698" ht="15.75" customHeight="1">
      <c r="A698" s="34">
        <f t="shared" si="1"/>
        <v>696</v>
      </c>
      <c r="B698" s="29" t="s">
        <v>223</v>
      </c>
      <c r="C698" s="29" t="s">
        <v>121</v>
      </c>
      <c r="D698" s="29" t="s">
        <v>4161</v>
      </c>
      <c r="E698" s="29" t="s">
        <v>4162</v>
      </c>
      <c r="F698" s="30" t="s">
        <v>4163</v>
      </c>
      <c r="G698" s="30" t="s">
        <v>4164</v>
      </c>
      <c r="H698" s="30" t="s">
        <v>4165</v>
      </c>
      <c r="I698" s="29" t="s">
        <v>127</v>
      </c>
      <c r="J698" s="31">
        <v>15.0</v>
      </c>
      <c r="K698" s="35"/>
      <c r="L698" s="35"/>
      <c r="M698" s="35"/>
      <c r="N698" s="35"/>
      <c r="O698" s="35"/>
      <c r="P698" s="35"/>
      <c r="Q698" s="35"/>
      <c r="R698" s="35"/>
      <c r="S698" s="37">
        <f>IF(B698="","",IF(ISNUMBER(J698),IF(J698&lt;=10,'Configuración'!$B$23,IF(J698&lt;=50,'Configuración'!$B$24,IF(J698&lt;=200,'Configuración'!$B$25,0))),0))</f>
        <v>4</v>
      </c>
      <c r="T698" s="37">
        <f>IF(B698="","",IF(ISNUMBER(SEARCH("information technology",I698))+ISNUMBER(SEARCH("software",I698))+ISNUMBER(SEARCH("internet",I698))+ISNUMBER(SEARCH("computer",I698))+ISNUMBER(SEARCH("saas",I698))+ISNUMBER(SEARCH("fintech",I698))+ISNUMBER(SEARCH("information services",I698))+ISNUMBER(SEARCH("telecommunications",I698))&gt;0,'Configuración'!$B$27,'Configuración'!$B$28))</f>
        <v>12</v>
      </c>
      <c r="U698" s="25">
        <f>IF(B698="","",IF(ISNUMBER(SEARCH("CEO",C698))+ISNUMBER(SEARCH("Founder",C698))+ISNUMBER(SEARCH("Owner",C698))+ISNUMBER(SEARCH("Dueño",C698))+ISNUMBER(SEARCH("Director General",C698))+ISNUMBER(SEARCH("Presidente",C698))+ISNUMBER(SEARCH("President",C698))&gt;0,'Configuración'!$B$31,IF(ISNUMBER(SEARCH("CMO",C698))+ISNUMBER(SEARCH("Chief Marketing",C698))+ISNUMBER(SEARCH("VP Marketing",C698))+ISNUMBER(SEARCH("Director de Marketing",C698))+ISNUMBER(SEARCH("Director Marketing",C698))+ISNUMBER(SEARCH("Head of Marketing",C698))+ISNUMBER(SEARCH("Head Marketing",C698))&gt;0,'Configuración'!$B$32,IF(ISNUMBER(SEARCH("Marketing Manager",C698))+ISNUMBER(SEARCH("Gerente de Marketing",C698))+ISNUMBER(SEARCH("Growth Manager",C698))+ISNUMBER(SEARCH("Demand Gen",C698))+ISNUMBER(SEARCH("Marketing Lead",C698))&gt;0,'Configuración'!$B$33,IF(ISNUMBER(SEARCH("COO",C698))+ISNUMBER(SEARCH("CFO",C698))+ISNUMBER(SEARCH("CTO",C698))+ISNUMBER(SEARCH("Chief Operating",C698))+ISNUMBER(SEARCH("Chief Financial",C698))+ISNUMBER(SEARCH("Gerente General",C698))+ISNUMBER(SEARCH("General Manager",C698))&gt;0,'Configuración'!$B$34,'Configuración'!$B$35)))))</f>
        <v>12</v>
      </c>
      <c r="V698" s="38">
        <f>IF(B698="","",IF(K698="Sí",'Configuración'!$B$5,0)+IF(L698="Semanal",'Configuración'!$B$6,IF(L698="Mensual",'Configuración'!$B$7,0))+IF(M698="Sí",'Configuración'!$B$8,0)+IF(N698="Sí",'Configuración'!$B$9,0)+IF(O698="Sí",'Configuración'!$B$10,0)+IF(P698="Sí",'Configuración'!$B$11,0)+IF(Q698="Sí",'Configuración'!$B$12,0)+S698+T698+U698)</f>
        <v>28</v>
      </c>
      <c r="W698" s="39" t="str">
        <f>IF(B698="","",IF(V698&gt;='Configuración'!$B$19,"A",IF(V698&gt;='Configuración'!$B$20,"B",IF(V698&gt;='Configuración'!$B$21,"C","Descarte"))))</f>
        <v>C</v>
      </c>
    </row>
    <row r="699" ht="15.75" customHeight="1">
      <c r="A699" s="34">
        <f t="shared" si="1"/>
        <v>697</v>
      </c>
      <c r="B699" s="29" t="s">
        <v>1072</v>
      </c>
      <c r="C699" s="29" t="s">
        <v>487</v>
      </c>
      <c r="D699" s="29" t="s">
        <v>4166</v>
      </c>
      <c r="E699" s="29" t="s">
        <v>4167</v>
      </c>
      <c r="F699" s="30" t="s">
        <v>4168</v>
      </c>
      <c r="G699" s="30" t="s">
        <v>4169</v>
      </c>
      <c r="H699" s="30" t="s">
        <v>4170</v>
      </c>
      <c r="I699" s="29" t="s">
        <v>137</v>
      </c>
      <c r="J699" s="31">
        <v>19.0</v>
      </c>
      <c r="K699" s="35"/>
      <c r="L699" s="35"/>
      <c r="M699" s="35"/>
      <c r="N699" s="35"/>
      <c r="O699" s="35"/>
      <c r="P699" s="35"/>
      <c r="Q699" s="35"/>
      <c r="R699" s="35"/>
      <c r="S699" s="37">
        <f>IF(B699="","",IF(ISNUMBER(J699),IF(J699&lt;=10,'Configuración'!$B$23,IF(J699&lt;=50,'Configuración'!$B$24,IF(J699&lt;=200,'Configuración'!$B$25,0))),0))</f>
        <v>4</v>
      </c>
      <c r="T699" s="37">
        <f>IF(B699="","",IF(ISNUMBER(SEARCH("information technology",I699))+ISNUMBER(SEARCH("software",I699))+ISNUMBER(SEARCH("internet",I699))+ISNUMBER(SEARCH("computer",I699))+ISNUMBER(SEARCH("saas",I699))+ISNUMBER(SEARCH("fintech",I699))+ISNUMBER(SEARCH("information services",I699))+ISNUMBER(SEARCH("telecommunications",I699))&gt;0,'Configuración'!$B$27,'Configuración'!$B$28))</f>
        <v>4</v>
      </c>
      <c r="U699" s="25">
        <f>IF(B699="","",IF(ISNUMBER(SEARCH("CEO",C699))+ISNUMBER(SEARCH("Founder",C699))+ISNUMBER(SEARCH("Owner",C699))+ISNUMBER(SEARCH("Dueño",C699))+ISNUMBER(SEARCH("Director General",C699))+ISNUMBER(SEARCH("Presidente",C699))+ISNUMBER(SEARCH("President",C699))&gt;0,'Configuración'!$B$31,IF(ISNUMBER(SEARCH("CMO",C699))+ISNUMBER(SEARCH("Chief Marketing",C699))+ISNUMBER(SEARCH("VP Marketing",C699))+ISNUMBER(SEARCH("Director de Marketing",C699))+ISNUMBER(SEARCH("Director Marketing",C699))+ISNUMBER(SEARCH("Head of Marketing",C699))+ISNUMBER(SEARCH("Head Marketing",C699))&gt;0,'Configuración'!$B$32,IF(ISNUMBER(SEARCH("Marketing Manager",C699))+ISNUMBER(SEARCH("Gerente de Marketing",C699))+ISNUMBER(SEARCH("Growth Manager",C699))+ISNUMBER(SEARCH("Demand Gen",C699))+ISNUMBER(SEARCH("Marketing Lead",C699))&gt;0,'Configuración'!$B$33,IF(ISNUMBER(SEARCH("COO",C699))+ISNUMBER(SEARCH("CFO",C699))+ISNUMBER(SEARCH("CTO",C699))+ISNUMBER(SEARCH("Chief Operating",C699))+ISNUMBER(SEARCH("Chief Financial",C699))+ISNUMBER(SEARCH("Gerente General",C699))+ISNUMBER(SEARCH("General Manager",C699))&gt;0,'Configuración'!$B$34,'Configuración'!$B$35)))))</f>
        <v>12</v>
      </c>
      <c r="V699" s="38">
        <f>IF(B699="","",IF(K699="Sí",'Configuración'!$B$5,0)+IF(L699="Semanal",'Configuración'!$B$6,IF(L699="Mensual",'Configuración'!$B$7,0))+IF(M699="Sí",'Configuración'!$B$8,0)+IF(N699="Sí",'Configuración'!$B$9,0)+IF(O699="Sí",'Configuración'!$B$10,0)+IF(P699="Sí",'Configuración'!$B$11,0)+IF(Q699="Sí",'Configuración'!$B$12,0)+S699+T699+U699)</f>
        <v>20</v>
      </c>
      <c r="W699" s="39" t="str">
        <f>IF(B699="","",IF(V699&gt;='Configuración'!$B$19,"A",IF(V699&gt;='Configuración'!$B$20,"B",IF(V699&gt;='Configuración'!$B$21,"C","Descarte"))))</f>
        <v>Descarte</v>
      </c>
    </row>
    <row r="700" ht="15.75" customHeight="1">
      <c r="A700" s="34">
        <f t="shared" si="1"/>
        <v>698</v>
      </c>
      <c r="B700" s="29" t="s">
        <v>120</v>
      </c>
      <c r="C700" s="29" t="s">
        <v>175</v>
      </c>
      <c r="D700" s="29" t="s">
        <v>4171</v>
      </c>
      <c r="E700" s="29" t="s">
        <v>4172</v>
      </c>
      <c r="F700" s="30" t="s">
        <v>4173</v>
      </c>
      <c r="G700" s="30" t="s">
        <v>4174</v>
      </c>
      <c r="H700" s="30" t="s">
        <v>4175</v>
      </c>
      <c r="I700" s="29" t="s">
        <v>3174</v>
      </c>
      <c r="J700" s="31">
        <v>12.0</v>
      </c>
      <c r="K700" s="35"/>
      <c r="L700" s="35"/>
      <c r="M700" s="35"/>
      <c r="N700" s="35"/>
      <c r="O700" s="35"/>
      <c r="P700" s="35"/>
      <c r="Q700" s="35"/>
      <c r="R700" s="35"/>
      <c r="S700" s="37">
        <f>IF(B700="","",IF(ISNUMBER(J700),IF(J700&lt;=10,'Configuración'!$B$23,IF(J700&lt;=50,'Configuración'!$B$24,IF(J700&lt;=200,'Configuración'!$B$25,0))),0))</f>
        <v>4</v>
      </c>
      <c r="T700" s="37">
        <f>IF(B700="","",IF(ISNUMBER(SEARCH("information technology",I700))+ISNUMBER(SEARCH("software",I700))+ISNUMBER(SEARCH("internet",I700))+ISNUMBER(SEARCH("computer",I700))+ISNUMBER(SEARCH("saas",I700))+ISNUMBER(SEARCH("fintech",I700))+ISNUMBER(SEARCH("information services",I700))+ISNUMBER(SEARCH("telecommunications",I700))&gt;0,'Configuración'!$B$27,'Configuración'!$B$28))</f>
        <v>4</v>
      </c>
      <c r="U700" s="25">
        <f>IF(B700="","",IF(ISNUMBER(SEARCH("CEO",C700))+ISNUMBER(SEARCH("Founder",C700))+ISNUMBER(SEARCH("Owner",C700))+ISNUMBER(SEARCH("Dueño",C700))+ISNUMBER(SEARCH("Director General",C700))+ISNUMBER(SEARCH("Presidente",C700))+ISNUMBER(SEARCH("President",C700))&gt;0,'Configuración'!$B$31,IF(ISNUMBER(SEARCH("CMO",C700))+ISNUMBER(SEARCH("Chief Marketing",C700))+ISNUMBER(SEARCH("VP Marketing",C700))+ISNUMBER(SEARCH("Director de Marketing",C700))+ISNUMBER(SEARCH("Director Marketing",C700))+ISNUMBER(SEARCH("Head of Marketing",C700))+ISNUMBER(SEARCH("Head Marketing",C700))&gt;0,'Configuración'!$B$32,IF(ISNUMBER(SEARCH("Marketing Manager",C700))+ISNUMBER(SEARCH("Gerente de Marketing",C700))+ISNUMBER(SEARCH("Growth Manager",C700))+ISNUMBER(SEARCH("Demand Gen",C700))+ISNUMBER(SEARCH("Marketing Lead",C700))&gt;0,'Configuración'!$B$33,IF(ISNUMBER(SEARCH("COO",C700))+ISNUMBER(SEARCH("CFO",C700))+ISNUMBER(SEARCH("CTO",C700))+ISNUMBER(SEARCH("Chief Operating",C700))+ISNUMBER(SEARCH("Chief Financial",C700))+ISNUMBER(SEARCH("Gerente General",C700))+ISNUMBER(SEARCH("General Manager",C700))&gt;0,'Configuración'!$B$34,'Configuración'!$B$35)))))</f>
        <v>12</v>
      </c>
      <c r="V700" s="38">
        <f>IF(B700="","",IF(K700="Sí",'Configuración'!$B$5,0)+IF(L700="Semanal",'Configuración'!$B$6,IF(L700="Mensual",'Configuración'!$B$7,0))+IF(M700="Sí",'Configuración'!$B$8,0)+IF(N700="Sí",'Configuración'!$B$9,0)+IF(O700="Sí",'Configuración'!$B$10,0)+IF(P700="Sí",'Configuración'!$B$11,0)+IF(Q700="Sí",'Configuración'!$B$12,0)+S700+T700+U700)</f>
        <v>20</v>
      </c>
      <c r="W700" s="39" t="str">
        <f>IF(B700="","",IF(V700&gt;='Configuración'!$B$19,"A",IF(V700&gt;='Configuración'!$B$20,"B",IF(V700&gt;='Configuración'!$B$21,"C","Descarte"))))</f>
        <v>Descarte</v>
      </c>
    </row>
    <row r="701" ht="15.75" customHeight="1">
      <c r="A701" s="34">
        <f t="shared" si="1"/>
        <v>699</v>
      </c>
      <c r="B701" s="29" t="s">
        <v>262</v>
      </c>
      <c r="C701" s="29" t="s">
        <v>110</v>
      </c>
      <c r="D701" s="29" t="s">
        <v>4176</v>
      </c>
      <c r="E701" s="29" t="s">
        <v>4177</v>
      </c>
      <c r="F701" s="30" t="s">
        <v>4178</v>
      </c>
      <c r="G701" s="30" t="s">
        <v>4179</v>
      </c>
      <c r="H701" s="30" t="s">
        <v>4180</v>
      </c>
      <c r="I701" s="29" t="s">
        <v>116</v>
      </c>
      <c r="J701" s="31">
        <v>44.0</v>
      </c>
      <c r="K701" s="35"/>
      <c r="L701" s="35"/>
      <c r="M701" s="35"/>
      <c r="N701" s="35"/>
      <c r="O701" s="35"/>
      <c r="P701" s="35"/>
      <c r="Q701" s="35"/>
      <c r="R701" s="35"/>
      <c r="S701" s="37">
        <f>IF(B701="","",IF(ISNUMBER(J701),IF(J701&lt;=10,'Configuración'!$B$23,IF(J701&lt;=50,'Configuración'!$B$24,IF(J701&lt;=200,'Configuración'!$B$25,0))),0))</f>
        <v>4</v>
      </c>
      <c r="T701" s="37">
        <f>IF(B701="","",IF(ISNUMBER(SEARCH("information technology",I701))+ISNUMBER(SEARCH("software",I701))+ISNUMBER(SEARCH("internet",I701))+ISNUMBER(SEARCH("computer",I701))+ISNUMBER(SEARCH("saas",I701))+ISNUMBER(SEARCH("fintech",I701))+ISNUMBER(SEARCH("information services",I701))+ISNUMBER(SEARCH("telecommunications",I701))&gt;0,'Configuración'!$B$27,'Configuración'!$B$28))</f>
        <v>4</v>
      </c>
      <c r="U701" s="25">
        <f>IF(B701="","",IF(ISNUMBER(SEARCH("CEO",C701))+ISNUMBER(SEARCH("Founder",C701))+ISNUMBER(SEARCH("Owner",C701))+ISNUMBER(SEARCH("Dueño",C701))+ISNUMBER(SEARCH("Director General",C701))+ISNUMBER(SEARCH("Presidente",C701))+ISNUMBER(SEARCH("President",C701))&gt;0,'Configuración'!$B$31,IF(ISNUMBER(SEARCH("CMO",C701))+ISNUMBER(SEARCH("Chief Marketing",C701))+ISNUMBER(SEARCH("VP Marketing",C701))+ISNUMBER(SEARCH("Director de Marketing",C701))+ISNUMBER(SEARCH("Director Marketing",C701))+ISNUMBER(SEARCH("Head of Marketing",C701))+ISNUMBER(SEARCH("Head Marketing",C701))&gt;0,'Configuración'!$B$32,IF(ISNUMBER(SEARCH("Marketing Manager",C701))+ISNUMBER(SEARCH("Gerente de Marketing",C701))+ISNUMBER(SEARCH("Growth Manager",C701))+ISNUMBER(SEARCH("Demand Gen",C701))+ISNUMBER(SEARCH("Marketing Lead",C701))&gt;0,'Configuración'!$B$33,IF(ISNUMBER(SEARCH("COO",C701))+ISNUMBER(SEARCH("CFO",C701))+ISNUMBER(SEARCH("CTO",C701))+ISNUMBER(SEARCH("Chief Operating",C701))+ISNUMBER(SEARCH("Chief Financial",C701))+ISNUMBER(SEARCH("Gerente General",C701))+ISNUMBER(SEARCH("General Manager",C701))&gt;0,'Configuración'!$B$34,'Configuración'!$B$35)))))</f>
        <v>12</v>
      </c>
      <c r="V701" s="38">
        <f>IF(B701="","",IF(K701="Sí",'Configuración'!$B$5,0)+IF(L701="Semanal",'Configuración'!$B$6,IF(L701="Mensual",'Configuración'!$B$7,0))+IF(M701="Sí",'Configuración'!$B$8,0)+IF(N701="Sí",'Configuración'!$B$9,0)+IF(O701="Sí",'Configuración'!$B$10,0)+IF(P701="Sí",'Configuración'!$B$11,0)+IF(Q701="Sí",'Configuración'!$B$12,0)+S701+T701+U701)</f>
        <v>20</v>
      </c>
      <c r="W701" s="39" t="str">
        <f>IF(B701="","",IF(V701&gt;='Configuración'!$B$19,"A",IF(V701&gt;='Configuración'!$B$20,"B",IF(V701&gt;='Configuración'!$B$21,"C","Descarte"))))</f>
        <v>Descarte</v>
      </c>
    </row>
    <row r="702" ht="15.75" customHeight="1">
      <c r="A702" s="34">
        <f t="shared" si="1"/>
        <v>700</v>
      </c>
      <c r="B702" s="29" t="s">
        <v>166</v>
      </c>
      <c r="C702" s="29" t="s">
        <v>1357</v>
      </c>
      <c r="D702" s="29" t="s">
        <v>4181</v>
      </c>
      <c r="E702" s="29" t="s">
        <v>4182</v>
      </c>
      <c r="F702" s="30" t="s">
        <v>4183</v>
      </c>
      <c r="G702" s="30" t="s">
        <v>4184</v>
      </c>
      <c r="H702" s="30" t="s">
        <v>4185</v>
      </c>
      <c r="I702" s="29" t="s">
        <v>4186</v>
      </c>
      <c r="J702" s="31">
        <v>24.0</v>
      </c>
      <c r="K702" s="35"/>
      <c r="L702" s="35"/>
      <c r="M702" s="35"/>
      <c r="N702" s="35"/>
      <c r="O702" s="35"/>
      <c r="P702" s="35"/>
      <c r="Q702" s="35"/>
      <c r="R702" s="35"/>
      <c r="S702" s="37">
        <f>IF(B702="","",IF(ISNUMBER(J702),IF(J702&lt;=10,'Configuración'!$B$23,IF(J702&lt;=50,'Configuración'!$B$24,IF(J702&lt;=200,'Configuración'!$B$25,0))),0))</f>
        <v>4</v>
      </c>
      <c r="T702" s="37">
        <f>IF(B702="","",IF(ISNUMBER(SEARCH("information technology",I702))+ISNUMBER(SEARCH("software",I702))+ISNUMBER(SEARCH("internet",I702))+ISNUMBER(SEARCH("computer",I702))+ISNUMBER(SEARCH("saas",I702))+ISNUMBER(SEARCH("fintech",I702))+ISNUMBER(SEARCH("information services",I702))+ISNUMBER(SEARCH("telecommunications",I702))&gt;0,'Configuración'!$B$27,'Configuración'!$B$28))</f>
        <v>12</v>
      </c>
      <c r="U702" s="25">
        <f>IF(B702="","",IF(ISNUMBER(SEARCH("CEO",C702))+ISNUMBER(SEARCH("Founder",C702))+ISNUMBER(SEARCH("Owner",C702))+ISNUMBER(SEARCH("Dueño",C702))+ISNUMBER(SEARCH("Director General",C702))+ISNUMBER(SEARCH("Presidente",C702))+ISNUMBER(SEARCH("President",C702))&gt;0,'Configuración'!$B$31,IF(ISNUMBER(SEARCH("CMO",C702))+ISNUMBER(SEARCH("Chief Marketing",C702))+ISNUMBER(SEARCH("VP Marketing",C702))+ISNUMBER(SEARCH("Director de Marketing",C702))+ISNUMBER(SEARCH("Director Marketing",C702))+ISNUMBER(SEARCH("Head of Marketing",C702))+ISNUMBER(SEARCH("Head Marketing",C702))&gt;0,'Configuración'!$B$32,IF(ISNUMBER(SEARCH("Marketing Manager",C702))+ISNUMBER(SEARCH("Gerente de Marketing",C702))+ISNUMBER(SEARCH("Growth Manager",C702))+ISNUMBER(SEARCH("Demand Gen",C702))+ISNUMBER(SEARCH("Marketing Lead",C702))&gt;0,'Configuración'!$B$33,IF(ISNUMBER(SEARCH("COO",C702))+ISNUMBER(SEARCH("CFO",C702))+ISNUMBER(SEARCH("CTO",C702))+ISNUMBER(SEARCH("Chief Operating",C702))+ISNUMBER(SEARCH("Chief Financial",C702))+ISNUMBER(SEARCH("Gerente General",C702))+ISNUMBER(SEARCH("General Manager",C702))&gt;0,'Configuración'!$B$34,'Configuración'!$B$35)))))</f>
        <v>12</v>
      </c>
      <c r="V702" s="38">
        <f>IF(B702="","",IF(K702="Sí",'Configuración'!$B$5,0)+IF(L702="Semanal",'Configuración'!$B$6,IF(L702="Mensual",'Configuración'!$B$7,0))+IF(M702="Sí",'Configuración'!$B$8,0)+IF(N702="Sí",'Configuración'!$B$9,0)+IF(O702="Sí",'Configuración'!$B$10,0)+IF(P702="Sí",'Configuración'!$B$11,0)+IF(Q702="Sí",'Configuración'!$B$12,0)+S702+T702+U702)</f>
        <v>28</v>
      </c>
      <c r="W702" s="39" t="str">
        <f>IF(B702="","",IF(V702&gt;='Configuración'!$B$19,"A",IF(V702&gt;='Configuración'!$B$20,"B",IF(V702&gt;='Configuración'!$B$21,"C","Descarte"))))</f>
        <v>C</v>
      </c>
    </row>
    <row r="703" ht="15.75" customHeight="1">
      <c r="A703" s="34">
        <f t="shared" si="1"/>
        <v>701</v>
      </c>
      <c r="B703" s="29" t="s">
        <v>223</v>
      </c>
      <c r="C703" s="29" t="s">
        <v>934</v>
      </c>
      <c r="D703" s="29" t="s">
        <v>4187</v>
      </c>
      <c r="E703" s="29" t="s">
        <v>4188</v>
      </c>
      <c r="F703" s="30" t="s">
        <v>4189</v>
      </c>
      <c r="G703" s="30" t="s">
        <v>4190</v>
      </c>
      <c r="H703" s="30" t="s">
        <v>4191</v>
      </c>
      <c r="I703" s="29" t="s">
        <v>127</v>
      </c>
      <c r="J703" s="31">
        <v>21.0</v>
      </c>
      <c r="K703" s="35"/>
      <c r="L703" s="35"/>
      <c r="M703" s="35"/>
      <c r="N703" s="35"/>
      <c r="O703" s="35"/>
      <c r="P703" s="35"/>
      <c r="Q703" s="35"/>
      <c r="R703" s="35"/>
      <c r="S703" s="37">
        <f>IF(B703="","",IF(ISNUMBER(J703),IF(J703&lt;=10,'Configuración'!$B$23,IF(J703&lt;=50,'Configuración'!$B$24,IF(J703&lt;=200,'Configuración'!$B$25,0))),0))</f>
        <v>4</v>
      </c>
      <c r="T703" s="37">
        <f>IF(B703="","",IF(ISNUMBER(SEARCH("information technology",I703))+ISNUMBER(SEARCH("software",I703))+ISNUMBER(SEARCH("internet",I703))+ISNUMBER(SEARCH("computer",I703))+ISNUMBER(SEARCH("saas",I703))+ISNUMBER(SEARCH("fintech",I703))+ISNUMBER(SEARCH("information services",I703))+ISNUMBER(SEARCH("telecommunications",I703))&gt;0,'Configuración'!$B$27,'Configuración'!$B$28))</f>
        <v>12</v>
      </c>
      <c r="U703" s="25">
        <f>IF(B703="","",IF(ISNUMBER(SEARCH("CEO",C703))+ISNUMBER(SEARCH("Founder",C703))+ISNUMBER(SEARCH("Owner",C703))+ISNUMBER(SEARCH("Dueño",C703))+ISNUMBER(SEARCH("Director General",C703))+ISNUMBER(SEARCH("Presidente",C703))+ISNUMBER(SEARCH("President",C703))&gt;0,'Configuración'!$B$31,IF(ISNUMBER(SEARCH("CMO",C703))+ISNUMBER(SEARCH("Chief Marketing",C703))+ISNUMBER(SEARCH("VP Marketing",C703))+ISNUMBER(SEARCH("Director de Marketing",C703))+ISNUMBER(SEARCH("Director Marketing",C703))+ISNUMBER(SEARCH("Head of Marketing",C703))+ISNUMBER(SEARCH("Head Marketing",C703))&gt;0,'Configuración'!$B$32,IF(ISNUMBER(SEARCH("Marketing Manager",C703))+ISNUMBER(SEARCH("Gerente de Marketing",C703))+ISNUMBER(SEARCH("Growth Manager",C703))+ISNUMBER(SEARCH("Demand Gen",C703))+ISNUMBER(SEARCH("Marketing Lead",C703))&gt;0,'Configuración'!$B$33,IF(ISNUMBER(SEARCH("COO",C703))+ISNUMBER(SEARCH("CFO",C703))+ISNUMBER(SEARCH("CTO",C703))+ISNUMBER(SEARCH("Chief Operating",C703))+ISNUMBER(SEARCH("Chief Financial",C703))+ISNUMBER(SEARCH("Gerente General",C703))+ISNUMBER(SEARCH("General Manager",C703))&gt;0,'Configuración'!$B$34,'Configuración'!$B$35)))))</f>
        <v>12</v>
      </c>
      <c r="V703" s="38">
        <f>IF(B703="","",IF(K703="Sí",'Configuración'!$B$5,0)+IF(L703="Semanal",'Configuración'!$B$6,IF(L703="Mensual",'Configuración'!$B$7,0))+IF(M703="Sí",'Configuración'!$B$8,0)+IF(N703="Sí",'Configuración'!$B$9,0)+IF(O703="Sí",'Configuración'!$B$10,0)+IF(P703="Sí",'Configuración'!$B$11,0)+IF(Q703="Sí",'Configuración'!$B$12,0)+S703+T703+U703)</f>
        <v>28</v>
      </c>
      <c r="W703" s="39" t="str">
        <f>IF(B703="","",IF(V703&gt;='Configuración'!$B$19,"A",IF(V703&gt;='Configuración'!$B$20,"B",IF(V703&gt;='Configuración'!$B$21,"C","Descarte"))))</f>
        <v>C</v>
      </c>
    </row>
    <row r="704" ht="15.75" customHeight="1">
      <c r="A704" s="34">
        <f t="shared" si="1"/>
        <v>702</v>
      </c>
      <c r="B704" s="29" t="s">
        <v>4192</v>
      </c>
      <c r="C704" s="29" t="s">
        <v>4193</v>
      </c>
      <c r="D704" s="40" t="s">
        <v>4194</v>
      </c>
      <c r="E704" s="29" t="s">
        <v>4195</v>
      </c>
      <c r="F704" s="30" t="s">
        <v>4196</v>
      </c>
      <c r="G704" s="30" t="s">
        <v>4197</v>
      </c>
      <c r="H704" s="30" t="s">
        <v>4198</v>
      </c>
      <c r="I704" s="29" t="s">
        <v>127</v>
      </c>
      <c r="J704" s="31">
        <v>1.0</v>
      </c>
      <c r="K704" s="35"/>
      <c r="L704" s="35"/>
      <c r="M704" s="35"/>
      <c r="N704" s="35"/>
      <c r="O704" s="35"/>
      <c r="P704" s="35"/>
      <c r="Q704" s="35"/>
      <c r="R704" s="35"/>
      <c r="S704" s="37">
        <f>IF(B704="","",IF(ISNUMBER(J704),IF(J704&lt;=10,'Configuración'!$B$23,IF(J704&lt;=50,'Configuración'!$B$24,IF(J704&lt;=200,'Configuración'!$B$25,0))),0))</f>
        <v>12</v>
      </c>
      <c r="T704" s="37">
        <f>IF(B704="","",IF(ISNUMBER(SEARCH("information technology",I704))+ISNUMBER(SEARCH("software",I704))+ISNUMBER(SEARCH("internet",I704))+ISNUMBER(SEARCH("computer",I704))+ISNUMBER(SEARCH("saas",I704))+ISNUMBER(SEARCH("fintech",I704))+ISNUMBER(SEARCH("information services",I704))+ISNUMBER(SEARCH("telecommunications",I704))&gt;0,'Configuración'!$B$27,'Configuración'!$B$28))</f>
        <v>12</v>
      </c>
      <c r="U704" s="25">
        <f>IF(B704="","",IF(ISNUMBER(SEARCH("CEO",C704))+ISNUMBER(SEARCH("Founder",C704))+ISNUMBER(SEARCH("Owner",C704))+ISNUMBER(SEARCH("Dueño",C704))+ISNUMBER(SEARCH("Director General",C704))+ISNUMBER(SEARCH("Presidente",C704))+ISNUMBER(SEARCH("President",C704))&gt;0,'Configuración'!$B$31,IF(ISNUMBER(SEARCH("CMO",C704))+ISNUMBER(SEARCH("Chief Marketing",C704))+ISNUMBER(SEARCH("VP Marketing",C704))+ISNUMBER(SEARCH("Director de Marketing",C704))+ISNUMBER(SEARCH("Director Marketing",C704))+ISNUMBER(SEARCH("Head of Marketing",C704))+ISNUMBER(SEARCH("Head Marketing",C704))&gt;0,'Configuración'!$B$32,IF(ISNUMBER(SEARCH("Marketing Manager",C704))+ISNUMBER(SEARCH("Gerente de Marketing",C704))+ISNUMBER(SEARCH("Growth Manager",C704))+ISNUMBER(SEARCH("Demand Gen",C704))+ISNUMBER(SEARCH("Marketing Lead",C704))&gt;0,'Configuración'!$B$33,IF(ISNUMBER(SEARCH("COO",C704))+ISNUMBER(SEARCH("CFO",C704))+ISNUMBER(SEARCH("CTO",C704))+ISNUMBER(SEARCH("Chief Operating",C704))+ISNUMBER(SEARCH("Chief Financial",C704))+ISNUMBER(SEARCH("Gerente General",C704))+ISNUMBER(SEARCH("General Manager",C704))&gt;0,'Configuración'!$B$34,'Configuración'!$B$35)))))</f>
        <v>4</v>
      </c>
      <c r="V704" s="38">
        <f>IF(B704="","",IF(K704="Sí",'Configuración'!$B$5,0)+IF(L704="Semanal",'Configuración'!$B$6,IF(L704="Mensual",'Configuración'!$B$7,0))+IF(M704="Sí",'Configuración'!$B$8,0)+IF(N704="Sí",'Configuración'!$B$9,0)+IF(O704="Sí",'Configuración'!$B$10,0)+IF(P704="Sí",'Configuración'!$B$11,0)+IF(Q704="Sí",'Configuración'!$B$12,0)+S704+T704+U704)</f>
        <v>28</v>
      </c>
      <c r="W704" s="39" t="str">
        <f>IF(B704="","",IF(V704&gt;='Configuración'!$B$19,"A",IF(V704&gt;='Configuración'!$B$20,"B",IF(V704&gt;='Configuración'!$B$21,"C","Descarte"))))</f>
        <v>C</v>
      </c>
    </row>
    <row r="705" ht="15.75" customHeight="1">
      <c r="A705" s="34">
        <f t="shared" si="1"/>
        <v>703</v>
      </c>
      <c r="B705" s="29" t="s">
        <v>4199</v>
      </c>
      <c r="C705" s="29" t="s">
        <v>1953</v>
      </c>
      <c r="D705" s="30" t="s">
        <v>4200</v>
      </c>
      <c r="E705" s="29" t="s">
        <v>4201</v>
      </c>
      <c r="F705" s="30" t="s">
        <v>4202</v>
      </c>
      <c r="G705" s="30" t="s">
        <v>4203</v>
      </c>
      <c r="H705" s="30" t="s">
        <v>4204</v>
      </c>
      <c r="I705" s="29" t="s">
        <v>127</v>
      </c>
      <c r="J705" s="31">
        <v>5.0</v>
      </c>
      <c r="K705" s="35"/>
      <c r="L705" s="35"/>
      <c r="M705" s="35"/>
      <c r="N705" s="35"/>
      <c r="O705" s="35"/>
      <c r="P705" s="35"/>
      <c r="Q705" s="35"/>
      <c r="R705" s="35"/>
      <c r="S705" s="37">
        <f>IF(B705="","",IF(ISNUMBER(J705),IF(J705&lt;=10,'Configuración'!$B$23,IF(J705&lt;=50,'Configuración'!$B$24,IF(J705&lt;=200,'Configuración'!$B$25,0))),0))</f>
        <v>12</v>
      </c>
      <c r="T705" s="37">
        <f>IF(B705="","",IF(ISNUMBER(SEARCH("information technology",I705))+ISNUMBER(SEARCH("software",I705))+ISNUMBER(SEARCH("internet",I705))+ISNUMBER(SEARCH("computer",I705))+ISNUMBER(SEARCH("saas",I705))+ISNUMBER(SEARCH("fintech",I705))+ISNUMBER(SEARCH("information services",I705))+ISNUMBER(SEARCH("telecommunications",I705))&gt;0,'Configuración'!$B$27,'Configuración'!$B$28))</f>
        <v>12</v>
      </c>
      <c r="U705" s="25">
        <f>IF(B705="","",IF(ISNUMBER(SEARCH("CEO",C705))+ISNUMBER(SEARCH("Founder",C705))+ISNUMBER(SEARCH("Owner",C705))+ISNUMBER(SEARCH("Dueño",C705))+ISNUMBER(SEARCH("Director General",C705))+ISNUMBER(SEARCH("Presidente",C705))+ISNUMBER(SEARCH("President",C705))&gt;0,'Configuración'!$B$31,IF(ISNUMBER(SEARCH("CMO",C705))+ISNUMBER(SEARCH("Chief Marketing",C705))+ISNUMBER(SEARCH("VP Marketing",C705))+ISNUMBER(SEARCH("Director de Marketing",C705))+ISNUMBER(SEARCH("Director Marketing",C705))+ISNUMBER(SEARCH("Head of Marketing",C705))+ISNUMBER(SEARCH("Head Marketing",C705))&gt;0,'Configuración'!$B$32,IF(ISNUMBER(SEARCH("Marketing Manager",C705))+ISNUMBER(SEARCH("Gerente de Marketing",C705))+ISNUMBER(SEARCH("Growth Manager",C705))+ISNUMBER(SEARCH("Demand Gen",C705))+ISNUMBER(SEARCH("Marketing Lead",C705))&gt;0,'Configuración'!$B$33,IF(ISNUMBER(SEARCH("COO",C705))+ISNUMBER(SEARCH("CFO",C705))+ISNUMBER(SEARCH("CTO",C705))+ISNUMBER(SEARCH("Chief Operating",C705))+ISNUMBER(SEARCH("Chief Financial",C705))+ISNUMBER(SEARCH("Gerente General",C705))+ISNUMBER(SEARCH("General Manager",C705))&gt;0,'Configuración'!$B$34,'Configuración'!$B$35)))))</f>
        <v>12</v>
      </c>
      <c r="V705" s="38">
        <f>IF(B705="","",IF(K705="Sí",'Configuración'!$B$5,0)+IF(L705="Semanal",'Configuración'!$B$6,IF(L705="Mensual",'Configuración'!$B$7,0))+IF(M705="Sí",'Configuración'!$B$8,0)+IF(N705="Sí",'Configuración'!$B$9,0)+IF(O705="Sí",'Configuración'!$B$10,0)+IF(P705="Sí",'Configuración'!$B$11,0)+IF(Q705="Sí",'Configuración'!$B$12,0)+S705+T705+U705)</f>
        <v>36</v>
      </c>
      <c r="W705" s="39" t="str">
        <f>IF(B705="","",IF(V705&gt;='Configuración'!$B$19,"A",IF(V705&gt;='Configuración'!$B$20,"B",IF(V705&gt;='Configuración'!$B$21,"C","Descarte"))))</f>
        <v>C</v>
      </c>
    </row>
    <row r="706" ht="15.75" customHeight="1">
      <c r="A706" s="34">
        <f t="shared" si="1"/>
        <v>704</v>
      </c>
      <c r="B706" s="29" t="s">
        <v>1814</v>
      </c>
      <c r="C706" s="29" t="s">
        <v>131</v>
      </c>
      <c r="D706" s="29" t="s">
        <v>4205</v>
      </c>
      <c r="E706" s="29" t="s">
        <v>4206</v>
      </c>
      <c r="F706" s="30" t="s">
        <v>4207</v>
      </c>
      <c r="G706" s="30" t="s">
        <v>4208</v>
      </c>
      <c r="H706" s="30" t="s">
        <v>4209</v>
      </c>
      <c r="I706" s="29" t="s">
        <v>1245</v>
      </c>
      <c r="J706" s="31">
        <v>15.0</v>
      </c>
      <c r="K706" s="35"/>
      <c r="L706" s="35"/>
      <c r="M706" s="35"/>
      <c r="N706" s="35"/>
      <c r="O706" s="35"/>
      <c r="P706" s="35"/>
      <c r="Q706" s="35"/>
      <c r="R706" s="35"/>
      <c r="S706" s="37">
        <f>IF(B706="","",IF(ISNUMBER(J706),IF(J706&lt;=10,'Configuración'!$B$23,IF(J706&lt;=50,'Configuración'!$B$24,IF(J706&lt;=200,'Configuración'!$B$25,0))),0))</f>
        <v>4</v>
      </c>
      <c r="T706" s="37">
        <f>IF(B706="","",IF(ISNUMBER(SEARCH("information technology",I706))+ISNUMBER(SEARCH("software",I706))+ISNUMBER(SEARCH("internet",I706))+ISNUMBER(SEARCH("computer",I706))+ISNUMBER(SEARCH("saas",I706))+ISNUMBER(SEARCH("fintech",I706))+ISNUMBER(SEARCH("information services",I706))+ISNUMBER(SEARCH("telecommunications",I706))&gt;0,'Configuración'!$B$27,'Configuración'!$B$28))</f>
        <v>4</v>
      </c>
      <c r="U706" s="25">
        <f>IF(B706="","",IF(ISNUMBER(SEARCH("CEO",C706))+ISNUMBER(SEARCH("Founder",C706))+ISNUMBER(SEARCH("Owner",C706))+ISNUMBER(SEARCH("Dueño",C706))+ISNUMBER(SEARCH("Director General",C706))+ISNUMBER(SEARCH("Presidente",C706))+ISNUMBER(SEARCH("President",C706))&gt;0,'Configuración'!$B$31,IF(ISNUMBER(SEARCH("CMO",C706))+ISNUMBER(SEARCH("Chief Marketing",C706))+ISNUMBER(SEARCH("VP Marketing",C706))+ISNUMBER(SEARCH("Director de Marketing",C706))+ISNUMBER(SEARCH("Director Marketing",C706))+ISNUMBER(SEARCH("Head of Marketing",C706))+ISNUMBER(SEARCH("Head Marketing",C706))&gt;0,'Configuración'!$B$32,IF(ISNUMBER(SEARCH("Marketing Manager",C706))+ISNUMBER(SEARCH("Gerente de Marketing",C706))+ISNUMBER(SEARCH("Growth Manager",C706))+ISNUMBER(SEARCH("Demand Gen",C706))+ISNUMBER(SEARCH("Marketing Lead",C706))&gt;0,'Configuración'!$B$33,IF(ISNUMBER(SEARCH("COO",C706))+ISNUMBER(SEARCH("CFO",C706))+ISNUMBER(SEARCH("CTO",C706))+ISNUMBER(SEARCH("Chief Operating",C706))+ISNUMBER(SEARCH("Chief Financial",C706))+ISNUMBER(SEARCH("Gerente General",C706))+ISNUMBER(SEARCH("General Manager",C706))&gt;0,'Configuración'!$B$34,'Configuración'!$B$35)))))</f>
        <v>12</v>
      </c>
      <c r="V706" s="38">
        <f>IF(B706="","",IF(K706="Sí",'Configuración'!$B$5,0)+IF(L706="Semanal",'Configuración'!$B$6,IF(L706="Mensual",'Configuración'!$B$7,0))+IF(M706="Sí",'Configuración'!$B$8,0)+IF(N706="Sí",'Configuración'!$B$9,0)+IF(O706="Sí",'Configuración'!$B$10,0)+IF(P706="Sí",'Configuración'!$B$11,0)+IF(Q706="Sí",'Configuración'!$B$12,0)+S706+T706+U706)</f>
        <v>20</v>
      </c>
      <c r="W706" s="39" t="str">
        <f>IF(B706="","",IF(V706&gt;='Configuración'!$B$19,"A",IF(V706&gt;='Configuración'!$B$20,"B",IF(V706&gt;='Configuración'!$B$21,"C","Descarte"))))</f>
        <v>Descarte</v>
      </c>
    </row>
    <row r="707" ht="15.75" customHeight="1">
      <c r="A707" s="34">
        <f t="shared" si="1"/>
        <v>705</v>
      </c>
      <c r="B707" s="29" t="s">
        <v>223</v>
      </c>
      <c r="C707" s="29" t="s">
        <v>622</v>
      </c>
      <c r="D707" s="29" t="s">
        <v>4210</v>
      </c>
      <c r="E707" s="29" t="s">
        <v>4211</v>
      </c>
      <c r="F707" s="30" t="s">
        <v>4212</v>
      </c>
      <c r="G707" s="30" t="s">
        <v>4213</v>
      </c>
      <c r="H707" s="30" t="s">
        <v>4214</v>
      </c>
      <c r="I707" s="29" t="s">
        <v>127</v>
      </c>
      <c r="J707" s="31">
        <v>49.0</v>
      </c>
      <c r="K707" s="35"/>
      <c r="L707" s="35"/>
      <c r="M707" s="35"/>
      <c r="N707" s="35"/>
      <c r="O707" s="35"/>
      <c r="P707" s="35"/>
      <c r="Q707" s="35"/>
      <c r="R707" s="35"/>
      <c r="S707" s="37">
        <f>IF(B707="","",IF(ISNUMBER(J707),IF(J707&lt;=10,'Configuración'!$B$23,IF(J707&lt;=50,'Configuración'!$B$24,IF(J707&lt;=200,'Configuración'!$B$25,0))),0))</f>
        <v>4</v>
      </c>
      <c r="T707" s="37">
        <f>IF(B707="","",IF(ISNUMBER(SEARCH("information technology",I707))+ISNUMBER(SEARCH("software",I707))+ISNUMBER(SEARCH("internet",I707))+ISNUMBER(SEARCH("computer",I707))+ISNUMBER(SEARCH("saas",I707))+ISNUMBER(SEARCH("fintech",I707))+ISNUMBER(SEARCH("information services",I707))+ISNUMBER(SEARCH("telecommunications",I707))&gt;0,'Configuración'!$B$27,'Configuración'!$B$28))</f>
        <v>12</v>
      </c>
      <c r="U707" s="25">
        <f>IF(B707="","",IF(ISNUMBER(SEARCH("CEO",C707))+ISNUMBER(SEARCH("Founder",C707))+ISNUMBER(SEARCH("Owner",C707))+ISNUMBER(SEARCH("Dueño",C707))+ISNUMBER(SEARCH("Director General",C707))+ISNUMBER(SEARCH("Presidente",C707))+ISNUMBER(SEARCH("President",C707))&gt;0,'Configuración'!$B$31,IF(ISNUMBER(SEARCH("CMO",C707))+ISNUMBER(SEARCH("Chief Marketing",C707))+ISNUMBER(SEARCH("VP Marketing",C707))+ISNUMBER(SEARCH("Director de Marketing",C707))+ISNUMBER(SEARCH("Director Marketing",C707))+ISNUMBER(SEARCH("Head of Marketing",C707))+ISNUMBER(SEARCH("Head Marketing",C707))&gt;0,'Configuración'!$B$32,IF(ISNUMBER(SEARCH("Marketing Manager",C707))+ISNUMBER(SEARCH("Gerente de Marketing",C707))+ISNUMBER(SEARCH("Growth Manager",C707))+ISNUMBER(SEARCH("Demand Gen",C707))+ISNUMBER(SEARCH("Marketing Lead",C707))&gt;0,'Configuración'!$B$33,IF(ISNUMBER(SEARCH("COO",C707))+ISNUMBER(SEARCH("CFO",C707))+ISNUMBER(SEARCH("CTO",C707))+ISNUMBER(SEARCH("Chief Operating",C707))+ISNUMBER(SEARCH("Chief Financial",C707))+ISNUMBER(SEARCH("Gerente General",C707))+ISNUMBER(SEARCH("General Manager",C707))&gt;0,'Configuración'!$B$34,'Configuración'!$B$35)))))</f>
        <v>12</v>
      </c>
      <c r="V707" s="38">
        <f>IF(B707="","",IF(K707="Sí",'Configuración'!$B$5,0)+IF(L707="Semanal",'Configuración'!$B$6,IF(L707="Mensual",'Configuración'!$B$7,0))+IF(M707="Sí",'Configuración'!$B$8,0)+IF(N707="Sí",'Configuración'!$B$9,0)+IF(O707="Sí",'Configuración'!$B$10,0)+IF(P707="Sí",'Configuración'!$B$11,0)+IF(Q707="Sí",'Configuración'!$B$12,0)+S707+T707+U707)</f>
        <v>28</v>
      </c>
      <c r="W707" s="39" t="str">
        <f>IF(B707="","",IF(V707&gt;='Configuración'!$B$19,"A",IF(V707&gt;='Configuración'!$B$20,"B",IF(V707&gt;='Configuración'!$B$21,"C","Descarte"))))</f>
        <v>C</v>
      </c>
    </row>
    <row r="708" ht="15.75" customHeight="1">
      <c r="A708" s="34">
        <f t="shared" si="1"/>
        <v>706</v>
      </c>
      <c r="B708" s="29" t="s">
        <v>536</v>
      </c>
      <c r="C708" s="29" t="s">
        <v>131</v>
      </c>
      <c r="D708" s="29" t="s">
        <v>4215</v>
      </c>
      <c r="E708" s="29" t="s">
        <v>4216</v>
      </c>
      <c r="F708" s="30" t="s">
        <v>4217</v>
      </c>
      <c r="G708" s="30" t="s">
        <v>4218</v>
      </c>
      <c r="H708" s="30" t="s">
        <v>4219</v>
      </c>
      <c r="I708" s="29" t="s">
        <v>127</v>
      </c>
      <c r="J708" s="31">
        <v>4.0</v>
      </c>
      <c r="K708" s="35"/>
      <c r="L708" s="35"/>
      <c r="M708" s="35"/>
      <c r="N708" s="35"/>
      <c r="O708" s="35"/>
      <c r="P708" s="35"/>
      <c r="Q708" s="35"/>
      <c r="R708" s="35"/>
      <c r="S708" s="37">
        <f>IF(B708="","",IF(ISNUMBER(J708),IF(J708&lt;=10,'Configuración'!$B$23,IF(J708&lt;=50,'Configuración'!$B$24,IF(J708&lt;=200,'Configuración'!$B$25,0))),0))</f>
        <v>12</v>
      </c>
      <c r="T708" s="37">
        <f>IF(B708="","",IF(ISNUMBER(SEARCH("information technology",I708))+ISNUMBER(SEARCH("software",I708))+ISNUMBER(SEARCH("internet",I708))+ISNUMBER(SEARCH("computer",I708))+ISNUMBER(SEARCH("saas",I708))+ISNUMBER(SEARCH("fintech",I708))+ISNUMBER(SEARCH("information services",I708))+ISNUMBER(SEARCH("telecommunications",I708))&gt;0,'Configuración'!$B$27,'Configuración'!$B$28))</f>
        <v>12</v>
      </c>
      <c r="U708" s="25">
        <f>IF(B708="","",IF(ISNUMBER(SEARCH("CEO",C708))+ISNUMBER(SEARCH("Founder",C708))+ISNUMBER(SEARCH("Owner",C708))+ISNUMBER(SEARCH("Dueño",C708))+ISNUMBER(SEARCH("Director General",C708))+ISNUMBER(SEARCH("Presidente",C708))+ISNUMBER(SEARCH("President",C708))&gt;0,'Configuración'!$B$31,IF(ISNUMBER(SEARCH("CMO",C708))+ISNUMBER(SEARCH("Chief Marketing",C708))+ISNUMBER(SEARCH("VP Marketing",C708))+ISNUMBER(SEARCH("Director de Marketing",C708))+ISNUMBER(SEARCH("Director Marketing",C708))+ISNUMBER(SEARCH("Head of Marketing",C708))+ISNUMBER(SEARCH("Head Marketing",C708))&gt;0,'Configuración'!$B$32,IF(ISNUMBER(SEARCH("Marketing Manager",C708))+ISNUMBER(SEARCH("Gerente de Marketing",C708))+ISNUMBER(SEARCH("Growth Manager",C708))+ISNUMBER(SEARCH("Demand Gen",C708))+ISNUMBER(SEARCH("Marketing Lead",C708))&gt;0,'Configuración'!$B$33,IF(ISNUMBER(SEARCH("COO",C708))+ISNUMBER(SEARCH("CFO",C708))+ISNUMBER(SEARCH("CTO",C708))+ISNUMBER(SEARCH("Chief Operating",C708))+ISNUMBER(SEARCH("Chief Financial",C708))+ISNUMBER(SEARCH("Gerente General",C708))+ISNUMBER(SEARCH("General Manager",C708))&gt;0,'Configuración'!$B$34,'Configuración'!$B$35)))))</f>
        <v>12</v>
      </c>
      <c r="V708" s="38">
        <f>IF(B708="","",IF(K708="Sí",'Configuración'!$B$5,0)+IF(L708="Semanal",'Configuración'!$B$6,IF(L708="Mensual",'Configuración'!$B$7,0))+IF(M708="Sí",'Configuración'!$B$8,0)+IF(N708="Sí",'Configuración'!$B$9,0)+IF(O708="Sí",'Configuración'!$B$10,0)+IF(P708="Sí",'Configuración'!$B$11,0)+IF(Q708="Sí",'Configuración'!$B$12,0)+S708+T708+U708)</f>
        <v>36</v>
      </c>
      <c r="W708" s="39" t="str">
        <f>IF(B708="","",IF(V708&gt;='Configuración'!$B$19,"A",IF(V708&gt;='Configuración'!$B$20,"B",IF(V708&gt;='Configuración'!$B$21,"C","Descarte"))))</f>
        <v>C</v>
      </c>
    </row>
    <row r="709" ht="15.75" customHeight="1">
      <c r="A709" s="34">
        <f t="shared" si="1"/>
        <v>707</v>
      </c>
      <c r="B709" s="29" t="s">
        <v>138</v>
      </c>
      <c r="C709" s="29" t="s">
        <v>1656</v>
      </c>
      <c r="D709" s="29" t="s">
        <v>4220</v>
      </c>
      <c r="E709" s="29" t="s">
        <v>4221</v>
      </c>
      <c r="F709" s="30" t="s">
        <v>4222</v>
      </c>
      <c r="G709" s="30" t="s">
        <v>4223</v>
      </c>
      <c r="H709" s="30" t="s">
        <v>4224</v>
      </c>
      <c r="I709" s="29" t="s">
        <v>127</v>
      </c>
      <c r="J709" s="31">
        <v>8.0</v>
      </c>
      <c r="K709" s="35"/>
      <c r="L709" s="35"/>
      <c r="M709" s="35"/>
      <c r="N709" s="35"/>
      <c r="O709" s="35"/>
      <c r="P709" s="35"/>
      <c r="Q709" s="35"/>
      <c r="R709" s="35"/>
      <c r="S709" s="37">
        <f>IF(B709="","",IF(ISNUMBER(J709),IF(J709&lt;=10,'Configuración'!$B$23,IF(J709&lt;=50,'Configuración'!$B$24,IF(J709&lt;=200,'Configuración'!$B$25,0))),0))</f>
        <v>12</v>
      </c>
      <c r="T709" s="37">
        <f>IF(B709="","",IF(ISNUMBER(SEARCH("information technology",I709))+ISNUMBER(SEARCH("software",I709))+ISNUMBER(SEARCH("internet",I709))+ISNUMBER(SEARCH("computer",I709))+ISNUMBER(SEARCH("saas",I709))+ISNUMBER(SEARCH("fintech",I709))+ISNUMBER(SEARCH("information services",I709))+ISNUMBER(SEARCH("telecommunications",I709))&gt;0,'Configuración'!$B$27,'Configuración'!$B$28))</f>
        <v>12</v>
      </c>
      <c r="U709" s="25">
        <f>IF(B709="","",IF(ISNUMBER(SEARCH("CEO",C709))+ISNUMBER(SEARCH("Founder",C709))+ISNUMBER(SEARCH("Owner",C709))+ISNUMBER(SEARCH("Dueño",C709))+ISNUMBER(SEARCH("Director General",C709))+ISNUMBER(SEARCH("Presidente",C709))+ISNUMBER(SEARCH("President",C709))&gt;0,'Configuración'!$B$31,IF(ISNUMBER(SEARCH("CMO",C709))+ISNUMBER(SEARCH("Chief Marketing",C709))+ISNUMBER(SEARCH("VP Marketing",C709))+ISNUMBER(SEARCH("Director de Marketing",C709))+ISNUMBER(SEARCH("Director Marketing",C709))+ISNUMBER(SEARCH("Head of Marketing",C709))+ISNUMBER(SEARCH("Head Marketing",C709))&gt;0,'Configuración'!$B$32,IF(ISNUMBER(SEARCH("Marketing Manager",C709))+ISNUMBER(SEARCH("Gerente de Marketing",C709))+ISNUMBER(SEARCH("Growth Manager",C709))+ISNUMBER(SEARCH("Demand Gen",C709))+ISNUMBER(SEARCH("Marketing Lead",C709))&gt;0,'Configuración'!$B$33,IF(ISNUMBER(SEARCH("COO",C709))+ISNUMBER(SEARCH("CFO",C709))+ISNUMBER(SEARCH("CTO",C709))+ISNUMBER(SEARCH("Chief Operating",C709))+ISNUMBER(SEARCH("Chief Financial",C709))+ISNUMBER(SEARCH("Gerente General",C709))+ISNUMBER(SEARCH("General Manager",C709))&gt;0,'Configuración'!$B$34,'Configuración'!$B$35)))))</f>
        <v>12</v>
      </c>
      <c r="V709" s="38">
        <f>IF(B709="","",IF(K709="Sí",'Configuración'!$B$5,0)+IF(L709="Semanal",'Configuración'!$B$6,IF(L709="Mensual",'Configuración'!$B$7,0))+IF(M709="Sí",'Configuración'!$B$8,0)+IF(N709="Sí",'Configuración'!$B$9,0)+IF(O709="Sí",'Configuración'!$B$10,0)+IF(P709="Sí",'Configuración'!$B$11,0)+IF(Q709="Sí",'Configuración'!$B$12,0)+S709+T709+U709)</f>
        <v>36</v>
      </c>
      <c r="W709" s="39" t="str">
        <f>IF(B709="","",IF(V709&gt;='Configuración'!$B$19,"A",IF(V709&gt;='Configuración'!$B$20,"B",IF(V709&gt;='Configuración'!$B$21,"C","Descarte"))))</f>
        <v>C</v>
      </c>
    </row>
    <row r="710" ht="15.75" customHeight="1">
      <c r="A710" s="34">
        <f t="shared" si="1"/>
        <v>708</v>
      </c>
      <c r="B710" s="29" t="s">
        <v>1048</v>
      </c>
      <c r="C710" s="29" t="s">
        <v>4225</v>
      </c>
      <c r="D710" s="29" t="s">
        <v>4226</v>
      </c>
      <c r="E710" s="29" t="s">
        <v>4227</v>
      </c>
      <c r="F710" s="30" t="s">
        <v>4228</v>
      </c>
      <c r="G710" s="30" t="s">
        <v>4229</v>
      </c>
      <c r="H710" s="30" t="s">
        <v>4230</v>
      </c>
      <c r="I710" s="29" t="s">
        <v>116</v>
      </c>
      <c r="J710" s="31">
        <v>2.0</v>
      </c>
      <c r="K710" s="35"/>
      <c r="L710" s="35"/>
      <c r="M710" s="35"/>
      <c r="N710" s="35"/>
      <c r="O710" s="35"/>
      <c r="P710" s="35"/>
      <c r="Q710" s="35"/>
      <c r="R710" s="35"/>
      <c r="S710" s="37">
        <f>IF(B710="","",IF(ISNUMBER(J710),IF(J710&lt;=10,'Configuración'!$B$23,IF(J710&lt;=50,'Configuración'!$B$24,IF(J710&lt;=200,'Configuración'!$B$25,0))),0))</f>
        <v>12</v>
      </c>
      <c r="T710" s="37">
        <f>IF(B710="","",IF(ISNUMBER(SEARCH("information technology",I710))+ISNUMBER(SEARCH("software",I710))+ISNUMBER(SEARCH("internet",I710))+ISNUMBER(SEARCH("computer",I710))+ISNUMBER(SEARCH("saas",I710))+ISNUMBER(SEARCH("fintech",I710))+ISNUMBER(SEARCH("information services",I710))+ISNUMBER(SEARCH("telecommunications",I710))&gt;0,'Configuración'!$B$27,'Configuración'!$B$28))</f>
        <v>4</v>
      </c>
      <c r="U710" s="25">
        <f>IF(B710="","",IF(ISNUMBER(SEARCH("CEO",C710))+ISNUMBER(SEARCH("Founder",C710))+ISNUMBER(SEARCH("Owner",C710))+ISNUMBER(SEARCH("Dueño",C710))+ISNUMBER(SEARCH("Director General",C710))+ISNUMBER(SEARCH("Presidente",C710))+ISNUMBER(SEARCH("President",C710))&gt;0,'Configuración'!$B$31,IF(ISNUMBER(SEARCH("CMO",C710))+ISNUMBER(SEARCH("Chief Marketing",C710))+ISNUMBER(SEARCH("VP Marketing",C710))+ISNUMBER(SEARCH("Director de Marketing",C710))+ISNUMBER(SEARCH("Director Marketing",C710))+ISNUMBER(SEARCH("Head of Marketing",C710))+ISNUMBER(SEARCH("Head Marketing",C710))&gt;0,'Configuración'!$B$32,IF(ISNUMBER(SEARCH("Marketing Manager",C710))+ISNUMBER(SEARCH("Gerente de Marketing",C710))+ISNUMBER(SEARCH("Growth Manager",C710))+ISNUMBER(SEARCH("Demand Gen",C710))+ISNUMBER(SEARCH("Marketing Lead",C710))&gt;0,'Configuración'!$B$33,IF(ISNUMBER(SEARCH("COO",C710))+ISNUMBER(SEARCH("CFO",C710))+ISNUMBER(SEARCH("CTO",C710))+ISNUMBER(SEARCH("Chief Operating",C710))+ISNUMBER(SEARCH("Chief Financial",C710))+ISNUMBER(SEARCH("Gerente General",C710))+ISNUMBER(SEARCH("General Manager",C710))&gt;0,'Configuración'!$B$34,'Configuración'!$B$35)))))</f>
        <v>12</v>
      </c>
      <c r="V710" s="38">
        <f>IF(B710="","",IF(K710="Sí",'Configuración'!$B$5,0)+IF(L710="Semanal",'Configuración'!$B$6,IF(L710="Mensual",'Configuración'!$B$7,0))+IF(M710="Sí",'Configuración'!$B$8,0)+IF(N710="Sí",'Configuración'!$B$9,0)+IF(O710="Sí",'Configuración'!$B$10,0)+IF(P710="Sí",'Configuración'!$B$11,0)+IF(Q710="Sí",'Configuración'!$B$12,0)+S710+T710+U710)</f>
        <v>28</v>
      </c>
      <c r="W710" s="39" t="str">
        <f>IF(B710="","",IF(V710&gt;='Configuración'!$B$19,"A",IF(V710&gt;='Configuración'!$B$20,"B",IF(V710&gt;='Configuración'!$B$21,"C","Descarte"))))</f>
        <v>C</v>
      </c>
    </row>
    <row r="711" ht="15.75" customHeight="1">
      <c r="A711" s="34">
        <f t="shared" si="1"/>
        <v>709</v>
      </c>
      <c r="B711" s="29" t="s">
        <v>1028</v>
      </c>
      <c r="C711" s="29" t="s">
        <v>4231</v>
      </c>
      <c r="D711" s="29" t="s">
        <v>4232</v>
      </c>
      <c r="E711" s="29" t="s">
        <v>4233</v>
      </c>
      <c r="F711" s="30" t="s">
        <v>4234</v>
      </c>
      <c r="G711" s="30" t="s">
        <v>4235</v>
      </c>
      <c r="H711" s="30" t="s">
        <v>4236</v>
      </c>
      <c r="I711" s="29" t="s">
        <v>528</v>
      </c>
      <c r="J711" s="31">
        <v>5.0</v>
      </c>
      <c r="K711" s="35"/>
      <c r="L711" s="35"/>
      <c r="M711" s="35"/>
      <c r="N711" s="35"/>
      <c r="O711" s="35"/>
      <c r="P711" s="35"/>
      <c r="Q711" s="35"/>
      <c r="R711" s="35"/>
      <c r="S711" s="37">
        <f>IF(B711="","",IF(ISNUMBER(J711),IF(J711&lt;=10,'Configuración'!$B$23,IF(J711&lt;=50,'Configuración'!$B$24,IF(J711&lt;=200,'Configuración'!$B$25,0))),0))</f>
        <v>12</v>
      </c>
      <c r="T711" s="37">
        <f>IF(B711="","",IF(ISNUMBER(SEARCH("information technology",I711))+ISNUMBER(SEARCH("software",I711))+ISNUMBER(SEARCH("internet",I711))+ISNUMBER(SEARCH("computer",I711))+ISNUMBER(SEARCH("saas",I711))+ISNUMBER(SEARCH("fintech",I711))+ISNUMBER(SEARCH("information services",I711))+ISNUMBER(SEARCH("telecommunications",I711))&gt;0,'Configuración'!$B$27,'Configuración'!$B$28))</f>
        <v>4</v>
      </c>
      <c r="U711" s="25">
        <f>IF(B711="","",IF(ISNUMBER(SEARCH("CEO",C711))+ISNUMBER(SEARCH("Founder",C711))+ISNUMBER(SEARCH("Owner",C711))+ISNUMBER(SEARCH("Dueño",C711))+ISNUMBER(SEARCH("Director General",C711))+ISNUMBER(SEARCH("Presidente",C711))+ISNUMBER(SEARCH("President",C711))&gt;0,'Configuración'!$B$31,IF(ISNUMBER(SEARCH("CMO",C711))+ISNUMBER(SEARCH("Chief Marketing",C711))+ISNUMBER(SEARCH("VP Marketing",C711))+ISNUMBER(SEARCH("Director de Marketing",C711))+ISNUMBER(SEARCH("Director Marketing",C711))+ISNUMBER(SEARCH("Head of Marketing",C711))+ISNUMBER(SEARCH("Head Marketing",C711))&gt;0,'Configuración'!$B$32,IF(ISNUMBER(SEARCH("Marketing Manager",C711))+ISNUMBER(SEARCH("Gerente de Marketing",C711))+ISNUMBER(SEARCH("Growth Manager",C711))+ISNUMBER(SEARCH("Demand Gen",C711))+ISNUMBER(SEARCH("Marketing Lead",C711))&gt;0,'Configuración'!$B$33,IF(ISNUMBER(SEARCH("COO",C711))+ISNUMBER(SEARCH("CFO",C711))+ISNUMBER(SEARCH("CTO",C711))+ISNUMBER(SEARCH("Chief Operating",C711))+ISNUMBER(SEARCH("Chief Financial",C711))+ISNUMBER(SEARCH("Gerente General",C711))+ISNUMBER(SEARCH("General Manager",C711))&gt;0,'Configuración'!$B$34,'Configuración'!$B$35)))))</f>
        <v>12</v>
      </c>
      <c r="V711" s="38">
        <f>IF(B711="","",IF(K711="Sí",'Configuración'!$B$5,0)+IF(L711="Semanal",'Configuración'!$B$6,IF(L711="Mensual",'Configuración'!$B$7,0))+IF(M711="Sí",'Configuración'!$B$8,0)+IF(N711="Sí",'Configuración'!$B$9,0)+IF(O711="Sí",'Configuración'!$B$10,0)+IF(P711="Sí",'Configuración'!$B$11,0)+IF(Q711="Sí",'Configuración'!$B$12,0)+S711+T711+U711)</f>
        <v>28</v>
      </c>
      <c r="W711" s="39" t="str">
        <f>IF(B711="","",IF(V711&gt;='Configuración'!$B$19,"A",IF(V711&gt;='Configuración'!$B$20,"B",IF(V711&gt;='Configuración'!$B$21,"C","Descarte"))))</f>
        <v>C</v>
      </c>
    </row>
    <row r="712" ht="15.75" customHeight="1">
      <c r="A712" s="34">
        <f t="shared" si="1"/>
        <v>710</v>
      </c>
      <c r="B712" s="29" t="s">
        <v>4237</v>
      </c>
      <c r="C712" s="29" t="s">
        <v>991</v>
      </c>
      <c r="D712" s="29" t="s">
        <v>4238</v>
      </c>
      <c r="E712" s="29" t="s">
        <v>4239</v>
      </c>
      <c r="F712" s="30" t="s">
        <v>4240</v>
      </c>
      <c r="G712" s="30" t="s">
        <v>4241</v>
      </c>
      <c r="H712" s="30" t="s">
        <v>4242</v>
      </c>
      <c r="I712" s="29" t="s">
        <v>1343</v>
      </c>
      <c r="J712" s="31">
        <v>16.0</v>
      </c>
      <c r="K712" s="35"/>
      <c r="L712" s="35"/>
      <c r="M712" s="35"/>
      <c r="N712" s="35"/>
      <c r="O712" s="35"/>
      <c r="P712" s="35"/>
      <c r="Q712" s="35"/>
      <c r="R712" s="35"/>
      <c r="S712" s="37">
        <f>IF(B712="","",IF(ISNUMBER(J712),IF(J712&lt;=10,'Configuración'!$B$23,IF(J712&lt;=50,'Configuración'!$B$24,IF(J712&lt;=200,'Configuración'!$B$25,0))),0))</f>
        <v>4</v>
      </c>
      <c r="T712" s="37">
        <f>IF(B712="","",IF(ISNUMBER(SEARCH("information technology",I712))+ISNUMBER(SEARCH("software",I712))+ISNUMBER(SEARCH("internet",I712))+ISNUMBER(SEARCH("computer",I712))+ISNUMBER(SEARCH("saas",I712))+ISNUMBER(SEARCH("fintech",I712))+ISNUMBER(SEARCH("information services",I712))+ISNUMBER(SEARCH("telecommunications",I712))&gt;0,'Configuración'!$B$27,'Configuración'!$B$28))</f>
        <v>4</v>
      </c>
      <c r="U712" s="25">
        <f>IF(B712="","",IF(ISNUMBER(SEARCH("CEO",C712))+ISNUMBER(SEARCH("Founder",C712))+ISNUMBER(SEARCH("Owner",C712))+ISNUMBER(SEARCH("Dueño",C712))+ISNUMBER(SEARCH("Director General",C712))+ISNUMBER(SEARCH("Presidente",C712))+ISNUMBER(SEARCH("President",C712))&gt;0,'Configuración'!$B$31,IF(ISNUMBER(SEARCH("CMO",C712))+ISNUMBER(SEARCH("Chief Marketing",C712))+ISNUMBER(SEARCH("VP Marketing",C712))+ISNUMBER(SEARCH("Director de Marketing",C712))+ISNUMBER(SEARCH("Director Marketing",C712))+ISNUMBER(SEARCH("Head of Marketing",C712))+ISNUMBER(SEARCH("Head Marketing",C712))&gt;0,'Configuración'!$B$32,IF(ISNUMBER(SEARCH("Marketing Manager",C712))+ISNUMBER(SEARCH("Gerente de Marketing",C712))+ISNUMBER(SEARCH("Growth Manager",C712))+ISNUMBER(SEARCH("Demand Gen",C712))+ISNUMBER(SEARCH("Marketing Lead",C712))&gt;0,'Configuración'!$B$33,IF(ISNUMBER(SEARCH("COO",C712))+ISNUMBER(SEARCH("CFO",C712))+ISNUMBER(SEARCH("CTO",C712))+ISNUMBER(SEARCH("Chief Operating",C712))+ISNUMBER(SEARCH("Chief Financial",C712))+ISNUMBER(SEARCH("Gerente General",C712))+ISNUMBER(SEARCH("General Manager",C712))&gt;0,'Configuración'!$B$34,'Configuración'!$B$35)))))</f>
        <v>12</v>
      </c>
      <c r="V712" s="38">
        <f>IF(B712="","",IF(K712="Sí",'Configuración'!$B$5,0)+IF(L712="Semanal",'Configuración'!$B$6,IF(L712="Mensual",'Configuración'!$B$7,0))+IF(M712="Sí",'Configuración'!$B$8,0)+IF(N712="Sí",'Configuración'!$B$9,0)+IF(O712="Sí",'Configuración'!$B$10,0)+IF(P712="Sí",'Configuración'!$B$11,0)+IF(Q712="Sí",'Configuración'!$B$12,0)+S712+T712+U712)</f>
        <v>20</v>
      </c>
      <c r="W712" s="39" t="str">
        <f>IF(B712="","",IF(V712&gt;='Configuración'!$B$19,"A",IF(V712&gt;='Configuración'!$B$20,"B",IF(V712&gt;='Configuración'!$B$21,"C","Descarte"))))</f>
        <v>Descarte</v>
      </c>
    </row>
    <row r="713" ht="15.75" customHeight="1">
      <c r="A713" s="34">
        <f t="shared" si="1"/>
        <v>711</v>
      </c>
      <c r="B713" s="29" t="s">
        <v>223</v>
      </c>
      <c r="C713" s="29" t="s">
        <v>3892</v>
      </c>
      <c r="D713" s="29" t="s">
        <v>4243</v>
      </c>
      <c r="E713" s="29" t="s">
        <v>4244</v>
      </c>
      <c r="F713" s="30" t="s">
        <v>4245</v>
      </c>
      <c r="G713" s="30" t="s">
        <v>4246</v>
      </c>
      <c r="H713" s="30" t="s">
        <v>4247</v>
      </c>
      <c r="I713" s="29" t="s">
        <v>127</v>
      </c>
      <c r="J713" s="31">
        <v>5.0</v>
      </c>
      <c r="K713" s="35"/>
      <c r="L713" s="35"/>
      <c r="M713" s="35"/>
      <c r="N713" s="35"/>
      <c r="O713" s="35"/>
      <c r="P713" s="35"/>
      <c r="Q713" s="35"/>
      <c r="R713" s="35"/>
      <c r="S713" s="37">
        <f>IF(B713="","",IF(ISNUMBER(J713),IF(J713&lt;=10,'Configuración'!$B$23,IF(J713&lt;=50,'Configuración'!$B$24,IF(J713&lt;=200,'Configuración'!$B$25,0))),0))</f>
        <v>12</v>
      </c>
      <c r="T713" s="37">
        <f>IF(B713="","",IF(ISNUMBER(SEARCH("information technology",I713))+ISNUMBER(SEARCH("software",I713))+ISNUMBER(SEARCH("internet",I713))+ISNUMBER(SEARCH("computer",I713))+ISNUMBER(SEARCH("saas",I713))+ISNUMBER(SEARCH("fintech",I713))+ISNUMBER(SEARCH("information services",I713))+ISNUMBER(SEARCH("telecommunications",I713))&gt;0,'Configuración'!$B$27,'Configuración'!$B$28))</f>
        <v>12</v>
      </c>
      <c r="U713" s="25">
        <f>IF(B713="","",IF(ISNUMBER(SEARCH("CEO",C713))+ISNUMBER(SEARCH("Founder",C713))+ISNUMBER(SEARCH("Owner",C713))+ISNUMBER(SEARCH("Dueño",C713))+ISNUMBER(SEARCH("Director General",C713))+ISNUMBER(SEARCH("Presidente",C713))+ISNUMBER(SEARCH("President",C713))&gt;0,'Configuración'!$B$31,IF(ISNUMBER(SEARCH("CMO",C713))+ISNUMBER(SEARCH("Chief Marketing",C713))+ISNUMBER(SEARCH("VP Marketing",C713))+ISNUMBER(SEARCH("Director de Marketing",C713))+ISNUMBER(SEARCH("Director Marketing",C713))+ISNUMBER(SEARCH("Head of Marketing",C713))+ISNUMBER(SEARCH("Head Marketing",C713))&gt;0,'Configuración'!$B$32,IF(ISNUMBER(SEARCH("Marketing Manager",C713))+ISNUMBER(SEARCH("Gerente de Marketing",C713))+ISNUMBER(SEARCH("Growth Manager",C713))+ISNUMBER(SEARCH("Demand Gen",C713))+ISNUMBER(SEARCH("Marketing Lead",C713))&gt;0,'Configuración'!$B$33,IF(ISNUMBER(SEARCH("COO",C713))+ISNUMBER(SEARCH("CFO",C713))+ISNUMBER(SEARCH("CTO",C713))+ISNUMBER(SEARCH("Chief Operating",C713))+ISNUMBER(SEARCH("Chief Financial",C713))+ISNUMBER(SEARCH("Gerente General",C713))+ISNUMBER(SEARCH("General Manager",C713))&gt;0,'Configuración'!$B$34,'Configuración'!$B$35)))))</f>
        <v>0</v>
      </c>
      <c r="V713" s="38">
        <f>IF(B713="","",IF(K713="Sí",'Configuración'!$B$5,0)+IF(L713="Semanal",'Configuración'!$B$6,IF(L713="Mensual",'Configuración'!$B$7,0))+IF(M713="Sí",'Configuración'!$B$8,0)+IF(N713="Sí",'Configuración'!$B$9,0)+IF(O713="Sí",'Configuración'!$B$10,0)+IF(P713="Sí",'Configuración'!$B$11,0)+IF(Q713="Sí",'Configuración'!$B$12,0)+S713+T713+U713)</f>
        <v>24</v>
      </c>
      <c r="W713" s="39" t="str">
        <f>IF(B713="","",IF(V713&gt;='Configuración'!$B$19,"A",IF(V713&gt;='Configuración'!$B$20,"B",IF(V713&gt;='Configuración'!$B$21,"C","Descarte"))))</f>
        <v>C</v>
      </c>
    </row>
    <row r="714" ht="15.75" customHeight="1">
      <c r="A714" s="34">
        <f t="shared" si="1"/>
        <v>712</v>
      </c>
      <c r="B714" s="29" t="s">
        <v>4248</v>
      </c>
      <c r="C714" s="29" t="s">
        <v>4249</v>
      </c>
      <c r="D714" s="29" t="s">
        <v>4250</v>
      </c>
      <c r="E714" s="29" t="s">
        <v>4251</v>
      </c>
      <c r="F714" s="30" t="s">
        <v>4252</v>
      </c>
      <c r="G714" s="30" t="s">
        <v>4253</v>
      </c>
      <c r="H714" s="30" t="s">
        <v>4254</v>
      </c>
      <c r="I714" s="29" t="s">
        <v>465</v>
      </c>
      <c r="J714" s="31">
        <v>15.0</v>
      </c>
      <c r="K714" s="35"/>
      <c r="L714" s="35"/>
      <c r="M714" s="35"/>
      <c r="N714" s="35"/>
      <c r="O714" s="35"/>
      <c r="P714" s="35"/>
      <c r="Q714" s="35"/>
      <c r="R714" s="35"/>
      <c r="S714" s="37">
        <f>IF(B714="","",IF(ISNUMBER(J714),IF(J714&lt;=10,'Configuración'!$B$23,IF(J714&lt;=50,'Configuración'!$B$24,IF(J714&lt;=200,'Configuración'!$B$25,0))),0))</f>
        <v>4</v>
      </c>
      <c r="T714" s="37">
        <f>IF(B714="","",IF(ISNUMBER(SEARCH("information technology",I714))+ISNUMBER(SEARCH("software",I714))+ISNUMBER(SEARCH("internet",I714))+ISNUMBER(SEARCH("computer",I714))+ISNUMBER(SEARCH("saas",I714))+ISNUMBER(SEARCH("fintech",I714))+ISNUMBER(SEARCH("information services",I714))+ISNUMBER(SEARCH("telecommunications",I714))&gt;0,'Configuración'!$B$27,'Configuración'!$B$28))</f>
        <v>4</v>
      </c>
      <c r="U714" s="25">
        <f>IF(B714="","",IF(ISNUMBER(SEARCH("CEO",C714))+ISNUMBER(SEARCH("Founder",C714))+ISNUMBER(SEARCH("Owner",C714))+ISNUMBER(SEARCH("Dueño",C714))+ISNUMBER(SEARCH("Director General",C714))+ISNUMBER(SEARCH("Presidente",C714))+ISNUMBER(SEARCH("President",C714))&gt;0,'Configuración'!$B$31,IF(ISNUMBER(SEARCH("CMO",C714))+ISNUMBER(SEARCH("Chief Marketing",C714))+ISNUMBER(SEARCH("VP Marketing",C714))+ISNUMBER(SEARCH("Director de Marketing",C714))+ISNUMBER(SEARCH("Director Marketing",C714))+ISNUMBER(SEARCH("Head of Marketing",C714))+ISNUMBER(SEARCH("Head Marketing",C714))&gt;0,'Configuración'!$B$32,IF(ISNUMBER(SEARCH("Marketing Manager",C714))+ISNUMBER(SEARCH("Gerente de Marketing",C714))+ISNUMBER(SEARCH("Growth Manager",C714))+ISNUMBER(SEARCH("Demand Gen",C714))+ISNUMBER(SEARCH("Marketing Lead",C714))&gt;0,'Configuración'!$B$33,IF(ISNUMBER(SEARCH("COO",C714))+ISNUMBER(SEARCH("CFO",C714))+ISNUMBER(SEARCH("CTO",C714))+ISNUMBER(SEARCH("Chief Operating",C714))+ISNUMBER(SEARCH("Chief Financial",C714))+ISNUMBER(SEARCH("Gerente General",C714))+ISNUMBER(SEARCH("General Manager",C714))&gt;0,'Configuración'!$B$34,'Configuración'!$B$35)))))</f>
        <v>12</v>
      </c>
      <c r="V714" s="38">
        <f>IF(B714="","",IF(K714="Sí",'Configuración'!$B$5,0)+IF(L714="Semanal",'Configuración'!$B$6,IF(L714="Mensual",'Configuración'!$B$7,0))+IF(M714="Sí",'Configuración'!$B$8,0)+IF(N714="Sí",'Configuración'!$B$9,0)+IF(O714="Sí",'Configuración'!$B$10,0)+IF(P714="Sí",'Configuración'!$B$11,0)+IF(Q714="Sí",'Configuración'!$B$12,0)+S714+T714+U714)</f>
        <v>20</v>
      </c>
      <c r="W714" s="39" t="str">
        <f>IF(B714="","",IF(V714&gt;='Configuración'!$B$19,"A",IF(V714&gt;='Configuración'!$B$20,"B",IF(V714&gt;='Configuración'!$B$21,"C","Descarte"))))</f>
        <v>Descarte</v>
      </c>
    </row>
    <row r="715" ht="15.75" customHeight="1">
      <c r="A715" s="34">
        <f t="shared" si="1"/>
        <v>713</v>
      </c>
      <c r="B715" s="29" t="s">
        <v>529</v>
      </c>
      <c r="C715" s="29" t="s">
        <v>224</v>
      </c>
      <c r="D715" s="29" t="s">
        <v>4255</v>
      </c>
      <c r="E715" s="29"/>
      <c r="F715" s="30" t="s">
        <v>4256</v>
      </c>
      <c r="G715" s="30" t="s">
        <v>4257</v>
      </c>
      <c r="H715" s="30" t="s">
        <v>4258</v>
      </c>
      <c r="I715" s="29" t="s">
        <v>249</v>
      </c>
      <c r="J715" s="31">
        <v>3.0</v>
      </c>
      <c r="K715" s="35"/>
      <c r="L715" s="35"/>
      <c r="M715" s="35"/>
      <c r="N715" s="35"/>
      <c r="O715" s="35"/>
      <c r="P715" s="35"/>
      <c r="Q715" s="35"/>
      <c r="R715" s="35"/>
      <c r="S715" s="37">
        <f>IF(B715="","",IF(ISNUMBER(J715),IF(J715&lt;=10,'Configuración'!$B$23,IF(J715&lt;=50,'Configuración'!$B$24,IF(J715&lt;=200,'Configuración'!$B$25,0))),0))</f>
        <v>12</v>
      </c>
      <c r="T715" s="37">
        <f>IF(B715="","",IF(ISNUMBER(SEARCH("information technology",I715))+ISNUMBER(SEARCH("software",I715))+ISNUMBER(SEARCH("internet",I715))+ISNUMBER(SEARCH("computer",I715))+ISNUMBER(SEARCH("saas",I715))+ISNUMBER(SEARCH("fintech",I715))+ISNUMBER(SEARCH("information services",I715))+ISNUMBER(SEARCH("telecommunications",I715))&gt;0,'Configuración'!$B$27,'Configuración'!$B$28))</f>
        <v>4</v>
      </c>
      <c r="U715" s="25">
        <f>IF(B715="","",IF(ISNUMBER(SEARCH("CEO",C715))+ISNUMBER(SEARCH("Founder",C715))+ISNUMBER(SEARCH("Owner",C715))+ISNUMBER(SEARCH("Dueño",C715))+ISNUMBER(SEARCH("Director General",C715))+ISNUMBER(SEARCH("Presidente",C715))+ISNUMBER(SEARCH("President",C715))&gt;0,'Configuración'!$B$31,IF(ISNUMBER(SEARCH("CMO",C715))+ISNUMBER(SEARCH("Chief Marketing",C715))+ISNUMBER(SEARCH("VP Marketing",C715))+ISNUMBER(SEARCH("Director de Marketing",C715))+ISNUMBER(SEARCH("Director Marketing",C715))+ISNUMBER(SEARCH("Head of Marketing",C715))+ISNUMBER(SEARCH("Head Marketing",C715))&gt;0,'Configuración'!$B$32,IF(ISNUMBER(SEARCH("Marketing Manager",C715))+ISNUMBER(SEARCH("Gerente de Marketing",C715))+ISNUMBER(SEARCH("Growth Manager",C715))+ISNUMBER(SEARCH("Demand Gen",C715))+ISNUMBER(SEARCH("Marketing Lead",C715))&gt;0,'Configuración'!$B$33,IF(ISNUMBER(SEARCH("COO",C715))+ISNUMBER(SEARCH("CFO",C715))+ISNUMBER(SEARCH("CTO",C715))+ISNUMBER(SEARCH("Chief Operating",C715))+ISNUMBER(SEARCH("Chief Financial",C715))+ISNUMBER(SEARCH("Gerente General",C715))+ISNUMBER(SEARCH("General Manager",C715))&gt;0,'Configuración'!$B$34,'Configuración'!$B$35)))))</f>
        <v>12</v>
      </c>
      <c r="V715" s="38">
        <f>IF(B715="","",IF(K715="Sí",'Configuración'!$B$5,0)+IF(L715="Semanal",'Configuración'!$B$6,IF(L715="Mensual",'Configuración'!$B$7,0))+IF(M715="Sí",'Configuración'!$B$8,0)+IF(N715="Sí",'Configuración'!$B$9,0)+IF(O715="Sí",'Configuración'!$B$10,0)+IF(P715="Sí",'Configuración'!$B$11,0)+IF(Q715="Sí",'Configuración'!$B$12,0)+S715+T715+U715)</f>
        <v>28</v>
      </c>
      <c r="W715" s="39" t="str">
        <f>IF(B715="","",IF(V715&gt;='Configuración'!$B$19,"A",IF(V715&gt;='Configuración'!$B$20,"B",IF(V715&gt;='Configuración'!$B$21,"C","Descarte"))))</f>
        <v>C</v>
      </c>
    </row>
    <row r="716" ht="15.75" customHeight="1">
      <c r="A716" s="34">
        <f t="shared" si="1"/>
        <v>714</v>
      </c>
      <c r="B716" s="29" t="s">
        <v>564</v>
      </c>
      <c r="C716" s="29" t="s">
        <v>4259</v>
      </c>
      <c r="D716" s="29" t="s">
        <v>4260</v>
      </c>
      <c r="E716" s="29" t="s">
        <v>4261</v>
      </c>
      <c r="F716" s="30" t="s">
        <v>4262</v>
      </c>
      <c r="G716" s="30" t="s">
        <v>4263</v>
      </c>
      <c r="H716" s="30" t="s">
        <v>4264</v>
      </c>
      <c r="I716" s="29" t="s">
        <v>508</v>
      </c>
      <c r="J716" s="31">
        <v>19.0</v>
      </c>
      <c r="K716" s="35"/>
      <c r="L716" s="35"/>
      <c r="M716" s="35"/>
      <c r="N716" s="35"/>
      <c r="O716" s="35"/>
      <c r="P716" s="35"/>
      <c r="Q716" s="35"/>
      <c r="R716" s="35"/>
      <c r="S716" s="37">
        <f>IF(B716="","",IF(ISNUMBER(J716),IF(J716&lt;=10,'Configuración'!$B$23,IF(J716&lt;=50,'Configuración'!$B$24,IF(J716&lt;=200,'Configuración'!$B$25,0))),0))</f>
        <v>4</v>
      </c>
      <c r="T716" s="37">
        <f>IF(B716="","",IF(ISNUMBER(SEARCH("information technology",I716))+ISNUMBER(SEARCH("software",I716))+ISNUMBER(SEARCH("internet",I716))+ISNUMBER(SEARCH("computer",I716))+ISNUMBER(SEARCH("saas",I716))+ISNUMBER(SEARCH("fintech",I716))+ISNUMBER(SEARCH("information services",I716))+ISNUMBER(SEARCH("telecommunications",I716))&gt;0,'Configuración'!$B$27,'Configuración'!$B$28))</f>
        <v>4</v>
      </c>
      <c r="U716" s="25">
        <f>IF(B716="","",IF(ISNUMBER(SEARCH("CEO",C716))+ISNUMBER(SEARCH("Founder",C716))+ISNUMBER(SEARCH("Owner",C716))+ISNUMBER(SEARCH("Dueño",C716))+ISNUMBER(SEARCH("Director General",C716))+ISNUMBER(SEARCH("Presidente",C716))+ISNUMBER(SEARCH("President",C716))&gt;0,'Configuración'!$B$31,IF(ISNUMBER(SEARCH("CMO",C716))+ISNUMBER(SEARCH("Chief Marketing",C716))+ISNUMBER(SEARCH("VP Marketing",C716))+ISNUMBER(SEARCH("Director de Marketing",C716))+ISNUMBER(SEARCH("Director Marketing",C716))+ISNUMBER(SEARCH("Head of Marketing",C716))+ISNUMBER(SEARCH("Head Marketing",C716))&gt;0,'Configuración'!$B$32,IF(ISNUMBER(SEARCH("Marketing Manager",C716))+ISNUMBER(SEARCH("Gerente de Marketing",C716))+ISNUMBER(SEARCH("Growth Manager",C716))+ISNUMBER(SEARCH("Demand Gen",C716))+ISNUMBER(SEARCH("Marketing Lead",C716))&gt;0,'Configuración'!$B$33,IF(ISNUMBER(SEARCH("COO",C716))+ISNUMBER(SEARCH("CFO",C716))+ISNUMBER(SEARCH("CTO",C716))+ISNUMBER(SEARCH("Chief Operating",C716))+ISNUMBER(SEARCH("Chief Financial",C716))+ISNUMBER(SEARCH("Gerente General",C716))+ISNUMBER(SEARCH("General Manager",C716))&gt;0,'Configuración'!$B$34,'Configuración'!$B$35)))))</f>
        <v>4</v>
      </c>
      <c r="V716" s="38">
        <f>IF(B716="","",IF(K716="Sí",'Configuración'!$B$5,0)+IF(L716="Semanal",'Configuración'!$B$6,IF(L716="Mensual",'Configuración'!$B$7,0))+IF(M716="Sí",'Configuración'!$B$8,0)+IF(N716="Sí",'Configuración'!$B$9,0)+IF(O716="Sí",'Configuración'!$B$10,0)+IF(P716="Sí",'Configuración'!$B$11,0)+IF(Q716="Sí",'Configuración'!$B$12,0)+S716+T716+U716)</f>
        <v>12</v>
      </c>
      <c r="W716" s="39" t="str">
        <f>IF(B716="","",IF(V716&gt;='Configuración'!$B$19,"A",IF(V716&gt;='Configuración'!$B$20,"B",IF(V716&gt;='Configuración'!$B$21,"C","Descarte"))))</f>
        <v>Descarte</v>
      </c>
    </row>
    <row r="717" ht="15.75" customHeight="1">
      <c r="A717" s="34">
        <f t="shared" si="1"/>
        <v>715</v>
      </c>
      <c r="B717" s="29" t="s">
        <v>138</v>
      </c>
      <c r="C717" s="29" t="s">
        <v>1511</v>
      </c>
      <c r="D717" s="29" t="s">
        <v>4265</v>
      </c>
      <c r="E717" s="29" t="s">
        <v>4266</v>
      </c>
      <c r="F717" s="30" t="s">
        <v>4267</v>
      </c>
      <c r="G717" s="30" t="s">
        <v>4268</v>
      </c>
      <c r="H717" s="30" t="s">
        <v>4269</v>
      </c>
      <c r="I717" s="29" t="s">
        <v>280</v>
      </c>
      <c r="J717" s="31">
        <v>24.0</v>
      </c>
      <c r="K717" s="35"/>
      <c r="L717" s="35"/>
      <c r="M717" s="35"/>
      <c r="N717" s="35"/>
      <c r="O717" s="35"/>
      <c r="P717" s="35"/>
      <c r="Q717" s="35"/>
      <c r="R717" s="35"/>
      <c r="S717" s="37">
        <f>IF(B717="","",IF(ISNUMBER(J717),IF(J717&lt;=10,'Configuración'!$B$23,IF(J717&lt;=50,'Configuración'!$B$24,IF(J717&lt;=200,'Configuración'!$B$25,0))),0))</f>
        <v>4</v>
      </c>
      <c r="T717" s="37">
        <f>IF(B717="","",IF(ISNUMBER(SEARCH("information technology",I717))+ISNUMBER(SEARCH("software",I717))+ISNUMBER(SEARCH("internet",I717))+ISNUMBER(SEARCH("computer",I717))+ISNUMBER(SEARCH("saas",I717))+ISNUMBER(SEARCH("fintech",I717))+ISNUMBER(SEARCH("information services",I717))+ISNUMBER(SEARCH("telecommunications",I717))&gt;0,'Configuración'!$B$27,'Configuración'!$B$28))</f>
        <v>12</v>
      </c>
      <c r="U717" s="25">
        <f>IF(B717="","",IF(ISNUMBER(SEARCH("CEO",C717))+ISNUMBER(SEARCH("Founder",C717))+ISNUMBER(SEARCH("Owner",C717))+ISNUMBER(SEARCH("Dueño",C717))+ISNUMBER(SEARCH("Director General",C717))+ISNUMBER(SEARCH("Presidente",C717))+ISNUMBER(SEARCH("President",C717))&gt;0,'Configuración'!$B$31,IF(ISNUMBER(SEARCH("CMO",C717))+ISNUMBER(SEARCH("Chief Marketing",C717))+ISNUMBER(SEARCH("VP Marketing",C717))+ISNUMBER(SEARCH("Director de Marketing",C717))+ISNUMBER(SEARCH("Director Marketing",C717))+ISNUMBER(SEARCH("Head of Marketing",C717))+ISNUMBER(SEARCH("Head Marketing",C717))&gt;0,'Configuración'!$B$32,IF(ISNUMBER(SEARCH("Marketing Manager",C717))+ISNUMBER(SEARCH("Gerente de Marketing",C717))+ISNUMBER(SEARCH("Growth Manager",C717))+ISNUMBER(SEARCH("Demand Gen",C717))+ISNUMBER(SEARCH("Marketing Lead",C717))&gt;0,'Configuración'!$B$33,IF(ISNUMBER(SEARCH("COO",C717))+ISNUMBER(SEARCH("CFO",C717))+ISNUMBER(SEARCH("CTO",C717))+ISNUMBER(SEARCH("Chief Operating",C717))+ISNUMBER(SEARCH("Chief Financial",C717))+ISNUMBER(SEARCH("Gerente General",C717))+ISNUMBER(SEARCH("General Manager",C717))&gt;0,'Configuración'!$B$34,'Configuración'!$B$35)))))</f>
        <v>12</v>
      </c>
      <c r="V717" s="38">
        <f>IF(B717="","",IF(K717="Sí",'Configuración'!$B$5,0)+IF(L717="Semanal",'Configuración'!$B$6,IF(L717="Mensual",'Configuración'!$B$7,0))+IF(M717="Sí",'Configuración'!$B$8,0)+IF(N717="Sí",'Configuración'!$B$9,0)+IF(O717="Sí",'Configuración'!$B$10,0)+IF(P717="Sí",'Configuración'!$B$11,0)+IF(Q717="Sí",'Configuración'!$B$12,0)+S717+T717+U717)</f>
        <v>28</v>
      </c>
      <c r="W717" s="39" t="str">
        <f>IF(B717="","",IF(V717&gt;='Configuración'!$B$19,"A",IF(V717&gt;='Configuración'!$B$20,"B",IF(V717&gt;='Configuración'!$B$21,"C","Descarte"))))</f>
        <v>C</v>
      </c>
    </row>
    <row r="718" ht="15.75" customHeight="1">
      <c r="A718" s="34">
        <f t="shared" si="1"/>
        <v>716</v>
      </c>
      <c r="B718" s="29" t="s">
        <v>584</v>
      </c>
      <c r="C718" s="29" t="s">
        <v>4270</v>
      </c>
      <c r="D718" s="29" t="s">
        <v>4271</v>
      </c>
      <c r="E718" s="29" t="s">
        <v>4272</v>
      </c>
      <c r="F718" s="30" t="s">
        <v>4273</v>
      </c>
      <c r="G718" s="30" t="s">
        <v>4274</v>
      </c>
      <c r="H718" s="30" t="s">
        <v>4275</v>
      </c>
      <c r="I718" s="29" t="s">
        <v>542</v>
      </c>
      <c r="J718" s="31">
        <v>35.0</v>
      </c>
      <c r="K718" s="35"/>
      <c r="L718" s="35"/>
      <c r="M718" s="35"/>
      <c r="N718" s="35"/>
      <c r="O718" s="35"/>
      <c r="P718" s="35"/>
      <c r="Q718" s="35"/>
      <c r="R718" s="35"/>
      <c r="S718" s="37">
        <f>IF(B718="","",IF(ISNUMBER(J718),IF(J718&lt;=10,'Configuración'!$B$23,IF(J718&lt;=50,'Configuración'!$B$24,IF(J718&lt;=200,'Configuración'!$B$25,0))),0))</f>
        <v>4</v>
      </c>
      <c r="T718" s="37">
        <f>IF(B718="","",IF(ISNUMBER(SEARCH("information technology",I718))+ISNUMBER(SEARCH("software",I718))+ISNUMBER(SEARCH("internet",I718))+ISNUMBER(SEARCH("computer",I718))+ISNUMBER(SEARCH("saas",I718))+ISNUMBER(SEARCH("fintech",I718))+ISNUMBER(SEARCH("information services",I718))+ISNUMBER(SEARCH("telecommunications",I718))&gt;0,'Configuración'!$B$27,'Configuración'!$B$28))</f>
        <v>4</v>
      </c>
      <c r="U718" s="25">
        <f>IF(B718="","",IF(ISNUMBER(SEARCH("CEO",C718))+ISNUMBER(SEARCH("Founder",C718))+ISNUMBER(SEARCH("Owner",C718))+ISNUMBER(SEARCH("Dueño",C718))+ISNUMBER(SEARCH("Director General",C718))+ISNUMBER(SEARCH("Presidente",C718))+ISNUMBER(SEARCH("President",C718))&gt;0,'Configuración'!$B$31,IF(ISNUMBER(SEARCH("CMO",C718))+ISNUMBER(SEARCH("Chief Marketing",C718))+ISNUMBER(SEARCH("VP Marketing",C718))+ISNUMBER(SEARCH("Director de Marketing",C718))+ISNUMBER(SEARCH("Director Marketing",C718))+ISNUMBER(SEARCH("Head of Marketing",C718))+ISNUMBER(SEARCH("Head Marketing",C718))&gt;0,'Configuración'!$B$32,IF(ISNUMBER(SEARCH("Marketing Manager",C718))+ISNUMBER(SEARCH("Gerente de Marketing",C718))+ISNUMBER(SEARCH("Growth Manager",C718))+ISNUMBER(SEARCH("Demand Gen",C718))+ISNUMBER(SEARCH("Marketing Lead",C718))&gt;0,'Configuración'!$B$33,IF(ISNUMBER(SEARCH("COO",C718))+ISNUMBER(SEARCH("CFO",C718))+ISNUMBER(SEARCH("CTO",C718))+ISNUMBER(SEARCH("Chief Operating",C718))+ISNUMBER(SEARCH("Chief Financial",C718))+ISNUMBER(SEARCH("Gerente General",C718))+ISNUMBER(SEARCH("General Manager",C718))&gt;0,'Configuración'!$B$34,'Configuración'!$B$35)))))</f>
        <v>12</v>
      </c>
      <c r="V718" s="38">
        <f>IF(B718="","",IF(K718="Sí",'Configuración'!$B$5,0)+IF(L718="Semanal",'Configuración'!$B$6,IF(L718="Mensual",'Configuración'!$B$7,0))+IF(M718="Sí",'Configuración'!$B$8,0)+IF(N718="Sí",'Configuración'!$B$9,0)+IF(O718="Sí",'Configuración'!$B$10,0)+IF(P718="Sí",'Configuración'!$B$11,0)+IF(Q718="Sí",'Configuración'!$B$12,0)+S718+T718+U718)</f>
        <v>20</v>
      </c>
      <c r="W718" s="39" t="str">
        <f>IF(B718="","",IF(V718&gt;='Configuración'!$B$19,"A",IF(V718&gt;='Configuración'!$B$20,"B",IF(V718&gt;='Configuración'!$B$21,"C","Descarte"))))</f>
        <v>Descarte</v>
      </c>
    </row>
    <row r="719" ht="15.75" customHeight="1">
      <c r="A719" s="34">
        <f t="shared" si="1"/>
        <v>717</v>
      </c>
      <c r="B719" s="29" t="s">
        <v>166</v>
      </c>
      <c r="C719" s="29" t="s">
        <v>224</v>
      </c>
      <c r="D719" s="29" t="s">
        <v>4276</v>
      </c>
      <c r="E719" s="29" t="s">
        <v>4277</v>
      </c>
      <c r="F719" s="30" t="s">
        <v>4278</v>
      </c>
      <c r="G719" s="30" t="s">
        <v>4279</v>
      </c>
      <c r="H719" s="30" t="s">
        <v>4280</v>
      </c>
      <c r="I719" s="29" t="s">
        <v>310</v>
      </c>
      <c r="J719" s="31">
        <v>4.0</v>
      </c>
      <c r="K719" s="35"/>
      <c r="L719" s="35"/>
      <c r="M719" s="35"/>
      <c r="N719" s="35"/>
      <c r="O719" s="35"/>
      <c r="P719" s="35"/>
      <c r="Q719" s="35"/>
      <c r="R719" s="35"/>
      <c r="S719" s="37">
        <f>IF(B719="","",IF(ISNUMBER(J719),IF(J719&lt;=10,'Configuración'!$B$23,IF(J719&lt;=50,'Configuración'!$B$24,IF(J719&lt;=200,'Configuración'!$B$25,0))),0))</f>
        <v>12</v>
      </c>
      <c r="T719" s="37">
        <f>IF(B719="","",IF(ISNUMBER(SEARCH("information technology",I719))+ISNUMBER(SEARCH("software",I719))+ISNUMBER(SEARCH("internet",I719))+ISNUMBER(SEARCH("computer",I719))+ISNUMBER(SEARCH("saas",I719))+ISNUMBER(SEARCH("fintech",I719))+ISNUMBER(SEARCH("information services",I719))+ISNUMBER(SEARCH("telecommunications",I719))&gt;0,'Configuración'!$B$27,'Configuración'!$B$28))</f>
        <v>4</v>
      </c>
      <c r="U719" s="25">
        <f>IF(B719="","",IF(ISNUMBER(SEARCH("CEO",C719))+ISNUMBER(SEARCH("Founder",C719))+ISNUMBER(SEARCH("Owner",C719))+ISNUMBER(SEARCH("Dueño",C719))+ISNUMBER(SEARCH("Director General",C719))+ISNUMBER(SEARCH("Presidente",C719))+ISNUMBER(SEARCH("President",C719))&gt;0,'Configuración'!$B$31,IF(ISNUMBER(SEARCH("CMO",C719))+ISNUMBER(SEARCH("Chief Marketing",C719))+ISNUMBER(SEARCH("VP Marketing",C719))+ISNUMBER(SEARCH("Director de Marketing",C719))+ISNUMBER(SEARCH("Director Marketing",C719))+ISNUMBER(SEARCH("Head of Marketing",C719))+ISNUMBER(SEARCH("Head Marketing",C719))&gt;0,'Configuración'!$B$32,IF(ISNUMBER(SEARCH("Marketing Manager",C719))+ISNUMBER(SEARCH("Gerente de Marketing",C719))+ISNUMBER(SEARCH("Growth Manager",C719))+ISNUMBER(SEARCH("Demand Gen",C719))+ISNUMBER(SEARCH("Marketing Lead",C719))&gt;0,'Configuración'!$B$33,IF(ISNUMBER(SEARCH("COO",C719))+ISNUMBER(SEARCH("CFO",C719))+ISNUMBER(SEARCH("CTO",C719))+ISNUMBER(SEARCH("Chief Operating",C719))+ISNUMBER(SEARCH("Chief Financial",C719))+ISNUMBER(SEARCH("Gerente General",C719))+ISNUMBER(SEARCH("General Manager",C719))&gt;0,'Configuración'!$B$34,'Configuración'!$B$35)))))</f>
        <v>12</v>
      </c>
      <c r="V719" s="38">
        <f>IF(B719="","",IF(K719="Sí",'Configuración'!$B$5,0)+IF(L719="Semanal",'Configuración'!$B$6,IF(L719="Mensual",'Configuración'!$B$7,0))+IF(M719="Sí",'Configuración'!$B$8,0)+IF(N719="Sí",'Configuración'!$B$9,0)+IF(O719="Sí",'Configuración'!$B$10,0)+IF(P719="Sí",'Configuración'!$B$11,0)+IF(Q719="Sí",'Configuración'!$B$12,0)+S719+T719+U719)</f>
        <v>28</v>
      </c>
      <c r="W719" s="39" t="str">
        <f>IF(B719="","",IF(V719&gt;='Configuración'!$B$19,"A",IF(V719&gt;='Configuración'!$B$20,"B",IF(V719&gt;='Configuración'!$B$21,"C","Descarte"))))</f>
        <v>C</v>
      </c>
    </row>
    <row r="720" ht="15.75" customHeight="1">
      <c r="A720" s="34">
        <f t="shared" si="1"/>
        <v>718</v>
      </c>
      <c r="B720" s="29" t="s">
        <v>777</v>
      </c>
      <c r="C720" s="29" t="s">
        <v>4281</v>
      </c>
      <c r="D720" s="29" t="s">
        <v>4161</v>
      </c>
      <c r="E720" s="29" t="s">
        <v>4282</v>
      </c>
      <c r="F720" s="30" t="s">
        <v>4283</v>
      </c>
      <c r="G720" s="30" t="s">
        <v>4164</v>
      </c>
      <c r="H720" s="30" t="s">
        <v>4165</v>
      </c>
      <c r="I720" s="29" t="s">
        <v>127</v>
      </c>
      <c r="J720" s="31">
        <v>15.0</v>
      </c>
      <c r="K720" s="35"/>
      <c r="L720" s="35"/>
      <c r="M720" s="35"/>
      <c r="N720" s="35"/>
      <c r="O720" s="35"/>
      <c r="P720" s="35"/>
      <c r="Q720" s="35"/>
      <c r="R720" s="35"/>
      <c r="S720" s="37">
        <f>IF(B720="","",IF(ISNUMBER(J720),IF(J720&lt;=10,'Configuración'!$B$23,IF(J720&lt;=50,'Configuración'!$B$24,IF(J720&lt;=200,'Configuración'!$B$25,0))),0))</f>
        <v>4</v>
      </c>
      <c r="T720" s="37">
        <f>IF(B720="","",IF(ISNUMBER(SEARCH("information technology",I720))+ISNUMBER(SEARCH("software",I720))+ISNUMBER(SEARCH("internet",I720))+ISNUMBER(SEARCH("computer",I720))+ISNUMBER(SEARCH("saas",I720))+ISNUMBER(SEARCH("fintech",I720))+ISNUMBER(SEARCH("information services",I720))+ISNUMBER(SEARCH("telecommunications",I720))&gt;0,'Configuración'!$B$27,'Configuración'!$B$28))</f>
        <v>12</v>
      </c>
      <c r="U720" s="25">
        <f>IF(B720="","",IF(ISNUMBER(SEARCH("CEO",C720))+ISNUMBER(SEARCH("Founder",C720))+ISNUMBER(SEARCH("Owner",C720))+ISNUMBER(SEARCH("Dueño",C720))+ISNUMBER(SEARCH("Director General",C720))+ISNUMBER(SEARCH("Presidente",C720))+ISNUMBER(SEARCH("President",C720))&gt;0,'Configuración'!$B$31,IF(ISNUMBER(SEARCH("CMO",C720))+ISNUMBER(SEARCH("Chief Marketing",C720))+ISNUMBER(SEARCH("VP Marketing",C720))+ISNUMBER(SEARCH("Director de Marketing",C720))+ISNUMBER(SEARCH("Director Marketing",C720))+ISNUMBER(SEARCH("Head of Marketing",C720))+ISNUMBER(SEARCH("Head Marketing",C720))&gt;0,'Configuración'!$B$32,IF(ISNUMBER(SEARCH("Marketing Manager",C720))+ISNUMBER(SEARCH("Gerente de Marketing",C720))+ISNUMBER(SEARCH("Growth Manager",C720))+ISNUMBER(SEARCH("Demand Gen",C720))+ISNUMBER(SEARCH("Marketing Lead",C720))&gt;0,'Configuración'!$B$33,IF(ISNUMBER(SEARCH("COO",C720))+ISNUMBER(SEARCH("CFO",C720))+ISNUMBER(SEARCH("CTO",C720))+ISNUMBER(SEARCH("Chief Operating",C720))+ISNUMBER(SEARCH("Chief Financial",C720))+ISNUMBER(SEARCH("Gerente General",C720))+ISNUMBER(SEARCH("General Manager",C720))&gt;0,'Configuración'!$B$34,'Configuración'!$B$35)))))</f>
        <v>12</v>
      </c>
      <c r="V720" s="38">
        <f>IF(B720="","",IF(K720="Sí",'Configuración'!$B$5,0)+IF(L720="Semanal",'Configuración'!$B$6,IF(L720="Mensual",'Configuración'!$B$7,0))+IF(M720="Sí",'Configuración'!$B$8,0)+IF(N720="Sí",'Configuración'!$B$9,0)+IF(O720="Sí",'Configuración'!$B$10,0)+IF(P720="Sí",'Configuración'!$B$11,0)+IF(Q720="Sí",'Configuración'!$B$12,0)+S720+T720+U720)</f>
        <v>28</v>
      </c>
      <c r="W720" s="39" t="str">
        <f>IF(B720="","",IF(V720&gt;='Configuración'!$B$19,"A",IF(V720&gt;='Configuración'!$B$20,"B",IF(V720&gt;='Configuración'!$B$21,"C","Descarte"))))</f>
        <v>C</v>
      </c>
    </row>
    <row r="721" ht="15.75" customHeight="1">
      <c r="A721" s="34">
        <f t="shared" si="1"/>
        <v>719</v>
      </c>
      <c r="B721" s="29" t="s">
        <v>296</v>
      </c>
      <c r="C721" s="29" t="s">
        <v>131</v>
      </c>
      <c r="D721" s="29" t="s">
        <v>4284</v>
      </c>
      <c r="E721" s="29" t="s">
        <v>4285</v>
      </c>
      <c r="F721" s="30" t="s">
        <v>4286</v>
      </c>
      <c r="G721" s="30" t="s">
        <v>4287</v>
      </c>
      <c r="H721" s="30" t="s">
        <v>4288</v>
      </c>
      <c r="I721" s="29" t="s">
        <v>127</v>
      </c>
      <c r="J721" s="31">
        <v>10.0</v>
      </c>
      <c r="K721" s="35"/>
      <c r="L721" s="35"/>
      <c r="M721" s="35"/>
      <c r="N721" s="35"/>
      <c r="O721" s="35"/>
      <c r="P721" s="35"/>
      <c r="Q721" s="35"/>
      <c r="R721" s="35"/>
      <c r="S721" s="37">
        <f>IF(B721="","",IF(ISNUMBER(J721),IF(J721&lt;=10,'Configuración'!$B$23,IF(J721&lt;=50,'Configuración'!$B$24,IF(J721&lt;=200,'Configuración'!$B$25,0))),0))</f>
        <v>12</v>
      </c>
      <c r="T721" s="37">
        <f>IF(B721="","",IF(ISNUMBER(SEARCH("information technology",I721))+ISNUMBER(SEARCH("software",I721))+ISNUMBER(SEARCH("internet",I721))+ISNUMBER(SEARCH("computer",I721))+ISNUMBER(SEARCH("saas",I721))+ISNUMBER(SEARCH("fintech",I721))+ISNUMBER(SEARCH("information services",I721))+ISNUMBER(SEARCH("telecommunications",I721))&gt;0,'Configuración'!$B$27,'Configuración'!$B$28))</f>
        <v>12</v>
      </c>
      <c r="U721" s="25">
        <f>IF(B721="","",IF(ISNUMBER(SEARCH("CEO",C721))+ISNUMBER(SEARCH("Founder",C721))+ISNUMBER(SEARCH("Owner",C721))+ISNUMBER(SEARCH("Dueño",C721))+ISNUMBER(SEARCH("Director General",C721))+ISNUMBER(SEARCH("Presidente",C721))+ISNUMBER(SEARCH("President",C721))&gt;0,'Configuración'!$B$31,IF(ISNUMBER(SEARCH("CMO",C721))+ISNUMBER(SEARCH("Chief Marketing",C721))+ISNUMBER(SEARCH("VP Marketing",C721))+ISNUMBER(SEARCH("Director de Marketing",C721))+ISNUMBER(SEARCH("Director Marketing",C721))+ISNUMBER(SEARCH("Head of Marketing",C721))+ISNUMBER(SEARCH("Head Marketing",C721))&gt;0,'Configuración'!$B$32,IF(ISNUMBER(SEARCH("Marketing Manager",C721))+ISNUMBER(SEARCH("Gerente de Marketing",C721))+ISNUMBER(SEARCH("Growth Manager",C721))+ISNUMBER(SEARCH("Demand Gen",C721))+ISNUMBER(SEARCH("Marketing Lead",C721))&gt;0,'Configuración'!$B$33,IF(ISNUMBER(SEARCH("COO",C721))+ISNUMBER(SEARCH("CFO",C721))+ISNUMBER(SEARCH("CTO",C721))+ISNUMBER(SEARCH("Chief Operating",C721))+ISNUMBER(SEARCH("Chief Financial",C721))+ISNUMBER(SEARCH("Gerente General",C721))+ISNUMBER(SEARCH("General Manager",C721))&gt;0,'Configuración'!$B$34,'Configuración'!$B$35)))))</f>
        <v>12</v>
      </c>
      <c r="V721" s="38">
        <f>IF(B721="","",IF(K721="Sí",'Configuración'!$B$5,0)+IF(L721="Semanal",'Configuración'!$B$6,IF(L721="Mensual",'Configuración'!$B$7,0))+IF(M721="Sí",'Configuración'!$B$8,0)+IF(N721="Sí",'Configuración'!$B$9,0)+IF(O721="Sí",'Configuración'!$B$10,0)+IF(P721="Sí",'Configuración'!$B$11,0)+IF(Q721="Sí",'Configuración'!$B$12,0)+S721+T721+U721)</f>
        <v>36</v>
      </c>
      <c r="W721" s="39" t="str">
        <f>IF(B721="","",IF(V721&gt;='Configuración'!$B$19,"A",IF(V721&gt;='Configuración'!$B$20,"B",IF(V721&gt;='Configuración'!$B$21,"C","Descarte"))))</f>
        <v>C</v>
      </c>
    </row>
    <row r="722" ht="15.75" customHeight="1">
      <c r="A722" s="34">
        <f t="shared" si="1"/>
        <v>720</v>
      </c>
      <c r="B722" s="29" t="s">
        <v>529</v>
      </c>
      <c r="C722" s="29" t="s">
        <v>4289</v>
      </c>
      <c r="D722" s="29" t="s">
        <v>4290</v>
      </c>
      <c r="E722" s="29" t="s">
        <v>4291</v>
      </c>
      <c r="F722" s="30" t="s">
        <v>4292</v>
      </c>
      <c r="G722" s="30" t="s">
        <v>4293</v>
      </c>
      <c r="H722" s="30" t="s">
        <v>4294</v>
      </c>
      <c r="I722" s="29" t="s">
        <v>127</v>
      </c>
      <c r="J722" s="31">
        <v>15.0</v>
      </c>
      <c r="K722" s="35"/>
      <c r="L722" s="35"/>
      <c r="M722" s="35"/>
      <c r="N722" s="35"/>
      <c r="O722" s="35"/>
      <c r="P722" s="35"/>
      <c r="Q722" s="35"/>
      <c r="R722" s="35"/>
      <c r="S722" s="37">
        <f>IF(B722="","",IF(ISNUMBER(J722),IF(J722&lt;=10,'Configuración'!$B$23,IF(J722&lt;=50,'Configuración'!$B$24,IF(J722&lt;=200,'Configuración'!$B$25,0))),0))</f>
        <v>4</v>
      </c>
      <c r="T722" s="37">
        <f>IF(B722="","",IF(ISNUMBER(SEARCH("information technology",I722))+ISNUMBER(SEARCH("software",I722))+ISNUMBER(SEARCH("internet",I722))+ISNUMBER(SEARCH("computer",I722))+ISNUMBER(SEARCH("saas",I722))+ISNUMBER(SEARCH("fintech",I722))+ISNUMBER(SEARCH("information services",I722))+ISNUMBER(SEARCH("telecommunications",I722))&gt;0,'Configuración'!$B$27,'Configuración'!$B$28))</f>
        <v>12</v>
      </c>
      <c r="U722" s="25">
        <f>IF(B722="","",IF(ISNUMBER(SEARCH("CEO",C722))+ISNUMBER(SEARCH("Founder",C722))+ISNUMBER(SEARCH("Owner",C722))+ISNUMBER(SEARCH("Dueño",C722))+ISNUMBER(SEARCH("Director General",C722))+ISNUMBER(SEARCH("Presidente",C722))+ISNUMBER(SEARCH("President",C722))&gt;0,'Configuración'!$B$31,IF(ISNUMBER(SEARCH("CMO",C722))+ISNUMBER(SEARCH("Chief Marketing",C722))+ISNUMBER(SEARCH("VP Marketing",C722))+ISNUMBER(SEARCH("Director de Marketing",C722))+ISNUMBER(SEARCH("Director Marketing",C722))+ISNUMBER(SEARCH("Head of Marketing",C722))+ISNUMBER(SEARCH("Head Marketing",C722))&gt;0,'Configuración'!$B$32,IF(ISNUMBER(SEARCH("Marketing Manager",C722))+ISNUMBER(SEARCH("Gerente de Marketing",C722))+ISNUMBER(SEARCH("Growth Manager",C722))+ISNUMBER(SEARCH("Demand Gen",C722))+ISNUMBER(SEARCH("Marketing Lead",C722))&gt;0,'Configuración'!$B$33,IF(ISNUMBER(SEARCH("COO",C722))+ISNUMBER(SEARCH("CFO",C722))+ISNUMBER(SEARCH("CTO",C722))+ISNUMBER(SEARCH("Chief Operating",C722))+ISNUMBER(SEARCH("Chief Financial",C722))+ISNUMBER(SEARCH("Gerente General",C722))+ISNUMBER(SEARCH("General Manager",C722))&gt;0,'Configuración'!$B$34,'Configuración'!$B$35)))))</f>
        <v>12</v>
      </c>
      <c r="V722" s="38">
        <f>IF(B722="","",IF(K722="Sí",'Configuración'!$B$5,0)+IF(L722="Semanal",'Configuración'!$B$6,IF(L722="Mensual",'Configuración'!$B$7,0))+IF(M722="Sí",'Configuración'!$B$8,0)+IF(N722="Sí",'Configuración'!$B$9,0)+IF(O722="Sí",'Configuración'!$B$10,0)+IF(P722="Sí",'Configuración'!$B$11,0)+IF(Q722="Sí",'Configuración'!$B$12,0)+S722+T722+U722)</f>
        <v>28</v>
      </c>
      <c r="W722" s="39" t="str">
        <f>IF(B722="","",IF(V722&gt;='Configuración'!$B$19,"A",IF(V722&gt;='Configuración'!$B$20,"B",IF(V722&gt;='Configuración'!$B$21,"C","Descarte"))))</f>
        <v>C</v>
      </c>
    </row>
    <row r="723" ht="15.75" customHeight="1">
      <c r="A723" s="34">
        <f t="shared" si="1"/>
        <v>721</v>
      </c>
      <c r="B723" s="29" t="s">
        <v>2429</v>
      </c>
      <c r="C723" s="29" t="s">
        <v>4295</v>
      </c>
      <c r="D723" s="29" t="s">
        <v>4296</v>
      </c>
      <c r="E723" s="29" t="s">
        <v>4297</v>
      </c>
      <c r="F723" s="30" t="s">
        <v>4298</v>
      </c>
      <c r="G723" s="30" t="s">
        <v>4299</v>
      </c>
      <c r="H723" s="30" t="s">
        <v>4300</v>
      </c>
      <c r="I723" s="29" t="s">
        <v>222</v>
      </c>
      <c r="J723" s="31">
        <v>16.0</v>
      </c>
      <c r="K723" s="35"/>
      <c r="L723" s="35"/>
      <c r="M723" s="35"/>
      <c r="N723" s="35"/>
      <c r="O723" s="35"/>
      <c r="P723" s="35"/>
      <c r="Q723" s="35"/>
      <c r="R723" s="35"/>
      <c r="S723" s="37">
        <f>IF(B723="","",IF(ISNUMBER(J723),IF(J723&lt;=10,'Configuración'!$B$23,IF(J723&lt;=50,'Configuración'!$B$24,IF(J723&lt;=200,'Configuración'!$B$25,0))),0))</f>
        <v>4</v>
      </c>
      <c r="T723" s="37">
        <f>IF(B723="","",IF(ISNUMBER(SEARCH("information technology",I723))+ISNUMBER(SEARCH("software",I723))+ISNUMBER(SEARCH("internet",I723))+ISNUMBER(SEARCH("computer",I723))+ISNUMBER(SEARCH("saas",I723))+ISNUMBER(SEARCH("fintech",I723))+ISNUMBER(SEARCH("information services",I723))+ISNUMBER(SEARCH("telecommunications",I723))&gt;0,'Configuración'!$B$27,'Configuración'!$B$28))</f>
        <v>4</v>
      </c>
      <c r="U723" s="25">
        <f>IF(B723="","",IF(ISNUMBER(SEARCH("CEO",C723))+ISNUMBER(SEARCH("Founder",C723))+ISNUMBER(SEARCH("Owner",C723))+ISNUMBER(SEARCH("Dueño",C723))+ISNUMBER(SEARCH("Director General",C723))+ISNUMBER(SEARCH("Presidente",C723))+ISNUMBER(SEARCH("President",C723))&gt;0,'Configuración'!$B$31,IF(ISNUMBER(SEARCH("CMO",C723))+ISNUMBER(SEARCH("Chief Marketing",C723))+ISNUMBER(SEARCH("VP Marketing",C723))+ISNUMBER(SEARCH("Director de Marketing",C723))+ISNUMBER(SEARCH("Director Marketing",C723))+ISNUMBER(SEARCH("Head of Marketing",C723))+ISNUMBER(SEARCH("Head Marketing",C723))&gt;0,'Configuración'!$B$32,IF(ISNUMBER(SEARCH("Marketing Manager",C723))+ISNUMBER(SEARCH("Gerente de Marketing",C723))+ISNUMBER(SEARCH("Growth Manager",C723))+ISNUMBER(SEARCH("Demand Gen",C723))+ISNUMBER(SEARCH("Marketing Lead",C723))&gt;0,'Configuración'!$B$33,IF(ISNUMBER(SEARCH("COO",C723))+ISNUMBER(SEARCH("CFO",C723))+ISNUMBER(SEARCH("CTO",C723))+ISNUMBER(SEARCH("Chief Operating",C723))+ISNUMBER(SEARCH("Chief Financial",C723))+ISNUMBER(SEARCH("Gerente General",C723))+ISNUMBER(SEARCH("General Manager",C723))&gt;0,'Configuración'!$B$34,'Configuración'!$B$35)))))</f>
        <v>12</v>
      </c>
      <c r="V723" s="38">
        <f>IF(B723="","",IF(K723="Sí",'Configuración'!$B$5,0)+IF(L723="Semanal",'Configuración'!$B$6,IF(L723="Mensual",'Configuración'!$B$7,0))+IF(M723="Sí",'Configuración'!$B$8,0)+IF(N723="Sí",'Configuración'!$B$9,0)+IF(O723="Sí",'Configuración'!$B$10,0)+IF(P723="Sí",'Configuración'!$B$11,0)+IF(Q723="Sí",'Configuración'!$B$12,0)+S723+T723+U723)</f>
        <v>20</v>
      </c>
      <c r="W723" s="39" t="str">
        <f>IF(B723="","",IF(V723&gt;='Configuración'!$B$19,"A",IF(V723&gt;='Configuración'!$B$20,"B",IF(V723&gt;='Configuración'!$B$21,"C","Descarte"))))</f>
        <v>Descarte</v>
      </c>
    </row>
    <row r="724" ht="15.75" customHeight="1">
      <c r="A724" s="34">
        <f t="shared" si="1"/>
        <v>722</v>
      </c>
      <c r="B724" s="29" t="s">
        <v>2042</v>
      </c>
      <c r="C724" s="29" t="s">
        <v>4301</v>
      </c>
      <c r="D724" s="29" t="s">
        <v>4302</v>
      </c>
      <c r="E724" s="29" t="s">
        <v>4303</v>
      </c>
      <c r="F724" s="30" t="s">
        <v>4304</v>
      </c>
      <c r="G724" s="30" t="s">
        <v>4305</v>
      </c>
      <c r="H724" s="30" t="s">
        <v>4306</v>
      </c>
      <c r="I724" s="29" t="s">
        <v>337</v>
      </c>
      <c r="J724" s="31">
        <v>12.0</v>
      </c>
      <c r="K724" s="35"/>
      <c r="L724" s="35"/>
      <c r="M724" s="35"/>
      <c r="N724" s="35"/>
      <c r="O724" s="35"/>
      <c r="P724" s="35"/>
      <c r="Q724" s="35"/>
      <c r="R724" s="35"/>
      <c r="S724" s="37">
        <f>IF(B724="","",IF(ISNUMBER(J724),IF(J724&lt;=10,'Configuración'!$B$23,IF(J724&lt;=50,'Configuración'!$B$24,IF(J724&lt;=200,'Configuración'!$B$25,0))),0))</f>
        <v>4</v>
      </c>
      <c r="T724" s="37">
        <f>IF(B724="","",IF(ISNUMBER(SEARCH("information technology",I724))+ISNUMBER(SEARCH("software",I724))+ISNUMBER(SEARCH("internet",I724))+ISNUMBER(SEARCH("computer",I724))+ISNUMBER(SEARCH("saas",I724))+ISNUMBER(SEARCH("fintech",I724))+ISNUMBER(SEARCH("information services",I724))+ISNUMBER(SEARCH("telecommunications",I724))&gt;0,'Configuración'!$B$27,'Configuración'!$B$28))</f>
        <v>4</v>
      </c>
      <c r="U724" s="25">
        <f>IF(B724="","",IF(ISNUMBER(SEARCH("CEO",C724))+ISNUMBER(SEARCH("Founder",C724))+ISNUMBER(SEARCH("Owner",C724))+ISNUMBER(SEARCH("Dueño",C724))+ISNUMBER(SEARCH("Director General",C724))+ISNUMBER(SEARCH("Presidente",C724))+ISNUMBER(SEARCH("President",C724))&gt;0,'Configuración'!$B$31,IF(ISNUMBER(SEARCH("CMO",C724))+ISNUMBER(SEARCH("Chief Marketing",C724))+ISNUMBER(SEARCH("VP Marketing",C724))+ISNUMBER(SEARCH("Director de Marketing",C724))+ISNUMBER(SEARCH("Director Marketing",C724))+ISNUMBER(SEARCH("Head of Marketing",C724))+ISNUMBER(SEARCH("Head Marketing",C724))&gt;0,'Configuración'!$B$32,IF(ISNUMBER(SEARCH("Marketing Manager",C724))+ISNUMBER(SEARCH("Gerente de Marketing",C724))+ISNUMBER(SEARCH("Growth Manager",C724))+ISNUMBER(SEARCH("Demand Gen",C724))+ISNUMBER(SEARCH("Marketing Lead",C724))&gt;0,'Configuración'!$B$33,IF(ISNUMBER(SEARCH("COO",C724))+ISNUMBER(SEARCH("CFO",C724))+ISNUMBER(SEARCH("CTO",C724))+ISNUMBER(SEARCH("Chief Operating",C724))+ISNUMBER(SEARCH("Chief Financial",C724))+ISNUMBER(SEARCH("Gerente General",C724))+ISNUMBER(SEARCH("General Manager",C724))&gt;0,'Configuración'!$B$34,'Configuración'!$B$35)))))</f>
        <v>4</v>
      </c>
      <c r="V724" s="38">
        <f>IF(B724="","",IF(K724="Sí",'Configuración'!$B$5,0)+IF(L724="Semanal",'Configuración'!$B$6,IF(L724="Mensual",'Configuración'!$B$7,0))+IF(M724="Sí",'Configuración'!$B$8,0)+IF(N724="Sí",'Configuración'!$B$9,0)+IF(O724="Sí",'Configuración'!$B$10,0)+IF(P724="Sí",'Configuración'!$B$11,0)+IF(Q724="Sí",'Configuración'!$B$12,0)+S724+T724+U724)</f>
        <v>12</v>
      </c>
      <c r="W724" s="39" t="str">
        <f>IF(B724="","",IF(V724&gt;='Configuración'!$B$19,"A",IF(V724&gt;='Configuración'!$B$20,"B",IF(V724&gt;='Configuración'!$B$21,"C","Descarte"))))</f>
        <v>Descarte</v>
      </c>
    </row>
    <row r="725" ht="15.75" customHeight="1">
      <c r="A725" s="34">
        <f t="shared" si="1"/>
        <v>723</v>
      </c>
      <c r="B725" s="29" t="s">
        <v>4307</v>
      </c>
      <c r="C725" s="29" t="s">
        <v>175</v>
      </c>
      <c r="D725" s="29" t="s">
        <v>4308</v>
      </c>
      <c r="E725" s="29" t="s">
        <v>4309</v>
      </c>
      <c r="F725" s="30" t="s">
        <v>4310</v>
      </c>
      <c r="G725" s="30" t="s">
        <v>4311</v>
      </c>
      <c r="H725" s="30" t="s">
        <v>4312</v>
      </c>
      <c r="I725" s="29" t="s">
        <v>616</v>
      </c>
      <c r="J725" s="31">
        <v>2.0</v>
      </c>
      <c r="K725" s="35"/>
      <c r="L725" s="35"/>
      <c r="M725" s="35"/>
      <c r="N725" s="35"/>
      <c r="O725" s="35"/>
      <c r="P725" s="35"/>
      <c r="Q725" s="35"/>
      <c r="R725" s="35"/>
      <c r="S725" s="37">
        <f>IF(B725="","",IF(ISNUMBER(J725),IF(J725&lt;=10,'Configuración'!$B$23,IF(J725&lt;=50,'Configuración'!$B$24,IF(J725&lt;=200,'Configuración'!$B$25,0))),0))</f>
        <v>12</v>
      </c>
      <c r="T725" s="37">
        <f>IF(B725="","",IF(ISNUMBER(SEARCH("information technology",I725))+ISNUMBER(SEARCH("software",I725))+ISNUMBER(SEARCH("internet",I725))+ISNUMBER(SEARCH("computer",I725))+ISNUMBER(SEARCH("saas",I725))+ISNUMBER(SEARCH("fintech",I725))+ISNUMBER(SEARCH("information services",I725))+ISNUMBER(SEARCH("telecommunications",I725))&gt;0,'Configuración'!$B$27,'Configuración'!$B$28))</f>
        <v>4</v>
      </c>
      <c r="U725" s="25">
        <f>IF(B725="","",IF(ISNUMBER(SEARCH("CEO",C725))+ISNUMBER(SEARCH("Founder",C725))+ISNUMBER(SEARCH("Owner",C725))+ISNUMBER(SEARCH("Dueño",C725))+ISNUMBER(SEARCH("Director General",C725))+ISNUMBER(SEARCH("Presidente",C725))+ISNUMBER(SEARCH("President",C725))&gt;0,'Configuración'!$B$31,IF(ISNUMBER(SEARCH("CMO",C725))+ISNUMBER(SEARCH("Chief Marketing",C725))+ISNUMBER(SEARCH("VP Marketing",C725))+ISNUMBER(SEARCH("Director de Marketing",C725))+ISNUMBER(SEARCH("Director Marketing",C725))+ISNUMBER(SEARCH("Head of Marketing",C725))+ISNUMBER(SEARCH("Head Marketing",C725))&gt;0,'Configuración'!$B$32,IF(ISNUMBER(SEARCH("Marketing Manager",C725))+ISNUMBER(SEARCH("Gerente de Marketing",C725))+ISNUMBER(SEARCH("Growth Manager",C725))+ISNUMBER(SEARCH("Demand Gen",C725))+ISNUMBER(SEARCH("Marketing Lead",C725))&gt;0,'Configuración'!$B$33,IF(ISNUMBER(SEARCH("COO",C725))+ISNUMBER(SEARCH("CFO",C725))+ISNUMBER(SEARCH("CTO",C725))+ISNUMBER(SEARCH("Chief Operating",C725))+ISNUMBER(SEARCH("Chief Financial",C725))+ISNUMBER(SEARCH("Gerente General",C725))+ISNUMBER(SEARCH("General Manager",C725))&gt;0,'Configuración'!$B$34,'Configuración'!$B$35)))))</f>
        <v>12</v>
      </c>
      <c r="V725" s="38">
        <f>IF(B725="","",IF(K725="Sí",'Configuración'!$B$5,0)+IF(L725="Semanal",'Configuración'!$B$6,IF(L725="Mensual",'Configuración'!$B$7,0))+IF(M725="Sí",'Configuración'!$B$8,0)+IF(N725="Sí",'Configuración'!$B$9,0)+IF(O725="Sí",'Configuración'!$B$10,0)+IF(P725="Sí",'Configuración'!$B$11,0)+IF(Q725="Sí",'Configuración'!$B$12,0)+S725+T725+U725)</f>
        <v>28</v>
      </c>
      <c r="W725" s="39" t="str">
        <f>IF(B725="","",IF(V725&gt;='Configuración'!$B$19,"A",IF(V725&gt;='Configuración'!$B$20,"B",IF(V725&gt;='Configuración'!$B$21,"C","Descarte"))))</f>
        <v>C</v>
      </c>
    </row>
    <row r="726" ht="15.75" customHeight="1">
      <c r="A726" s="34">
        <f t="shared" si="1"/>
        <v>724</v>
      </c>
      <c r="B726" s="29" t="s">
        <v>2603</v>
      </c>
      <c r="C726" s="29" t="s">
        <v>4313</v>
      </c>
      <c r="D726" s="29" t="s">
        <v>4314</v>
      </c>
      <c r="E726" s="29" t="s">
        <v>4315</v>
      </c>
      <c r="F726" s="30" t="s">
        <v>4316</v>
      </c>
      <c r="G726" s="30" t="s">
        <v>4317</v>
      </c>
      <c r="H726" s="30" t="s">
        <v>4318</v>
      </c>
      <c r="I726" s="29" t="s">
        <v>508</v>
      </c>
      <c r="J726" s="31">
        <v>27.0</v>
      </c>
      <c r="K726" s="35"/>
      <c r="L726" s="35"/>
      <c r="M726" s="35"/>
      <c r="N726" s="35"/>
      <c r="O726" s="35"/>
      <c r="P726" s="35"/>
      <c r="Q726" s="35"/>
      <c r="R726" s="35"/>
      <c r="S726" s="37">
        <f>IF(B726="","",IF(ISNUMBER(J726),IF(J726&lt;=10,'Configuración'!$B$23,IF(J726&lt;=50,'Configuración'!$B$24,IF(J726&lt;=200,'Configuración'!$B$25,0))),0))</f>
        <v>4</v>
      </c>
      <c r="T726" s="37">
        <f>IF(B726="","",IF(ISNUMBER(SEARCH("information technology",I726))+ISNUMBER(SEARCH("software",I726))+ISNUMBER(SEARCH("internet",I726))+ISNUMBER(SEARCH("computer",I726))+ISNUMBER(SEARCH("saas",I726))+ISNUMBER(SEARCH("fintech",I726))+ISNUMBER(SEARCH("information services",I726))+ISNUMBER(SEARCH("telecommunications",I726))&gt;0,'Configuración'!$B$27,'Configuración'!$B$28))</f>
        <v>4</v>
      </c>
      <c r="U726" s="25">
        <f>IF(B726="","",IF(ISNUMBER(SEARCH("CEO",C726))+ISNUMBER(SEARCH("Founder",C726))+ISNUMBER(SEARCH("Owner",C726))+ISNUMBER(SEARCH("Dueño",C726))+ISNUMBER(SEARCH("Director General",C726))+ISNUMBER(SEARCH("Presidente",C726))+ISNUMBER(SEARCH("President",C726))&gt;0,'Configuración'!$B$31,IF(ISNUMBER(SEARCH("CMO",C726))+ISNUMBER(SEARCH("Chief Marketing",C726))+ISNUMBER(SEARCH("VP Marketing",C726))+ISNUMBER(SEARCH("Director de Marketing",C726))+ISNUMBER(SEARCH("Director Marketing",C726))+ISNUMBER(SEARCH("Head of Marketing",C726))+ISNUMBER(SEARCH("Head Marketing",C726))&gt;0,'Configuración'!$B$32,IF(ISNUMBER(SEARCH("Marketing Manager",C726))+ISNUMBER(SEARCH("Gerente de Marketing",C726))+ISNUMBER(SEARCH("Growth Manager",C726))+ISNUMBER(SEARCH("Demand Gen",C726))+ISNUMBER(SEARCH("Marketing Lead",C726))&gt;0,'Configuración'!$B$33,IF(ISNUMBER(SEARCH("COO",C726))+ISNUMBER(SEARCH("CFO",C726))+ISNUMBER(SEARCH("CTO",C726))+ISNUMBER(SEARCH("Chief Operating",C726))+ISNUMBER(SEARCH("Chief Financial",C726))+ISNUMBER(SEARCH("Gerente General",C726))+ISNUMBER(SEARCH("General Manager",C726))&gt;0,'Configuración'!$B$34,'Configuración'!$B$35)))))</f>
        <v>0</v>
      </c>
      <c r="V726" s="38">
        <f>IF(B726="","",IF(K726="Sí",'Configuración'!$B$5,0)+IF(L726="Semanal",'Configuración'!$B$6,IF(L726="Mensual",'Configuración'!$B$7,0))+IF(M726="Sí",'Configuración'!$B$8,0)+IF(N726="Sí",'Configuración'!$B$9,0)+IF(O726="Sí",'Configuración'!$B$10,0)+IF(P726="Sí",'Configuración'!$B$11,0)+IF(Q726="Sí",'Configuración'!$B$12,0)+S726+T726+U726)</f>
        <v>8</v>
      </c>
      <c r="W726" s="39" t="str">
        <f>IF(B726="","",IF(V726&gt;='Configuración'!$B$19,"A",IF(V726&gt;='Configuración'!$B$20,"B",IF(V726&gt;='Configuración'!$B$21,"C","Descarte"))))</f>
        <v>Descarte</v>
      </c>
    </row>
    <row r="727" ht="15.75" customHeight="1">
      <c r="A727" s="34">
        <f t="shared" si="1"/>
        <v>725</v>
      </c>
      <c r="B727" s="29" t="s">
        <v>1028</v>
      </c>
      <c r="C727" s="29" t="s">
        <v>591</v>
      </c>
      <c r="D727" s="29" t="s">
        <v>4319</v>
      </c>
      <c r="E727" s="29" t="s">
        <v>4320</v>
      </c>
      <c r="F727" s="30" t="s">
        <v>4321</v>
      </c>
      <c r="G727" s="30" t="s">
        <v>4322</v>
      </c>
      <c r="H727" s="30" t="s">
        <v>4323</v>
      </c>
      <c r="I727" s="29" t="s">
        <v>127</v>
      </c>
      <c r="J727" s="31">
        <v>5.0</v>
      </c>
      <c r="K727" s="35"/>
      <c r="L727" s="35"/>
      <c r="M727" s="35"/>
      <c r="N727" s="35"/>
      <c r="O727" s="35"/>
      <c r="P727" s="35"/>
      <c r="Q727" s="35"/>
      <c r="R727" s="35"/>
      <c r="S727" s="37">
        <f>IF(B727="","",IF(ISNUMBER(J727),IF(J727&lt;=10,'Configuración'!$B$23,IF(J727&lt;=50,'Configuración'!$B$24,IF(J727&lt;=200,'Configuración'!$B$25,0))),0))</f>
        <v>12</v>
      </c>
      <c r="T727" s="37">
        <f>IF(B727="","",IF(ISNUMBER(SEARCH("information technology",I727))+ISNUMBER(SEARCH("software",I727))+ISNUMBER(SEARCH("internet",I727))+ISNUMBER(SEARCH("computer",I727))+ISNUMBER(SEARCH("saas",I727))+ISNUMBER(SEARCH("fintech",I727))+ISNUMBER(SEARCH("information services",I727))+ISNUMBER(SEARCH("telecommunications",I727))&gt;0,'Configuración'!$B$27,'Configuración'!$B$28))</f>
        <v>12</v>
      </c>
      <c r="U727" s="25">
        <f>IF(B727="","",IF(ISNUMBER(SEARCH("CEO",C727))+ISNUMBER(SEARCH("Founder",C727))+ISNUMBER(SEARCH("Owner",C727))+ISNUMBER(SEARCH("Dueño",C727))+ISNUMBER(SEARCH("Director General",C727))+ISNUMBER(SEARCH("Presidente",C727))+ISNUMBER(SEARCH("President",C727))&gt;0,'Configuración'!$B$31,IF(ISNUMBER(SEARCH("CMO",C727))+ISNUMBER(SEARCH("Chief Marketing",C727))+ISNUMBER(SEARCH("VP Marketing",C727))+ISNUMBER(SEARCH("Director de Marketing",C727))+ISNUMBER(SEARCH("Director Marketing",C727))+ISNUMBER(SEARCH("Head of Marketing",C727))+ISNUMBER(SEARCH("Head Marketing",C727))&gt;0,'Configuración'!$B$32,IF(ISNUMBER(SEARCH("Marketing Manager",C727))+ISNUMBER(SEARCH("Gerente de Marketing",C727))+ISNUMBER(SEARCH("Growth Manager",C727))+ISNUMBER(SEARCH("Demand Gen",C727))+ISNUMBER(SEARCH("Marketing Lead",C727))&gt;0,'Configuración'!$B$33,IF(ISNUMBER(SEARCH("COO",C727))+ISNUMBER(SEARCH("CFO",C727))+ISNUMBER(SEARCH("CTO",C727))+ISNUMBER(SEARCH("Chief Operating",C727))+ISNUMBER(SEARCH("Chief Financial",C727))+ISNUMBER(SEARCH("Gerente General",C727))+ISNUMBER(SEARCH("General Manager",C727))&gt;0,'Configuración'!$B$34,'Configuración'!$B$35)))))</f>
        <v>12</v>
      </c>
      <c r="V727" s="38">
        <f>IF(B727="","",IF(K727="Sí",'Configuración'!$B$5,0)+IF(L727="Semanal",'Configuración'!$B$6,IF(L727="Mensual",'Configuración'!$B$7,0))+IF(M727="Sí",'Configuración'!$B$8,0)+IF(N727="Sí",'Configuración'!$B$9,0)+IF(O727="Sí",'Configuración'!$B$10,0)+IF(P727="Sí",'Configuración'!$B$11,0)+IF(Q727="Sí",'Configuración'!$B$12,0)+S727+T727+U727)</f>
        <v>36</v>
      </c>
      <c r="W727" s="39" t="str">
        <f>IF(B727="","",IF(V727&gt;='Configuración'!$B$19,"A",IF(V727&gt;='Configuración'!$B$20,"B",IF(V727&gt;='Configuración'!$B$21,"C","Descarte"))))</f>
        <v>C</v>
      </c>
    </row>
    <row r="728" ht="15.75" customHeight="1">
      <c r="A728" s="34">
        <f t="shared" si="1"/>
        <v>726</v>
      </c>
      <c r="B728" s="29" t="s">
        <v>138</v>
      </c>
      <c r="C728" s="29" t="s">
        <v>224</v>
      </c>
      <c r="D728" s="29" t="s">
        <v>4324</v>
      </c>
      <c r="E728" s="29" t="s">
        <v>4325</v>
      </c>
      <c r="F728" s="30" t="s">
        <v>4326</v>
      </c>
      <c r="G728" s="30" t="s">
        <v>4327</v>
      </c>
      <c r="H728" s="30" t="s">
        <v>4328</v>
      </c>
      <c r="I728" s="29" t="s">
        <v>3393</v>
      </c>
      <c r="J728" s="31">
        <v>21.0</v>
      </c>
      <c r="K728" s="35"/>
      <c r="L728" s="35"/>
      <c r="M728" s="35"/>
      <c r="N728" s="35"/>
      <c r="O728" s="35"/>
      <c r="P728" s="35"/>
      <c r="Q728" s="35"/>
      <c r="R728" s="35"/>
      <c r="S728" s="37">
        <f>IF(B728="","",IF(ISNUMBER(J728),IF(J728&lt;=10,'Configuración'!$B$23,IF(J728&lt;=50,'Configuración'!$B$24,IF(J728&lt;=200,'Configuración'!$B$25,0))),0))</f>
        <v>4</v>
      </c>
      <c r="T728" s="37">
        <f>IF(B728="","",IF(ISNUMBER(SEARCH("information technology",I728))+ISNUMBER(SEARCH("software",I728))+ISNUMBER(SEARCH("internet",I728))+ISNUMBER(SEARCH("computer",I728))+ISNUMBER(SEARCH("saas",I728))+ISNUMBER(SEARCH("fintech",I728))+ISNUMBER(SEARCH("information services",I728))+ISNUMBER(SEARCH("telecommunications",I728))&gt;0,'Configuración'!$B$27,'Configuración'!$B$28))</f>
        <v>4</v>
      </c>
      <c r="U728" s="25">
        <f>IF(B728="","",IF(ISNUMBER(SEARCH("CEO",C728))+ISNUMBER(SEARCH("Founder",C728))+ISNUMBER(SEARCH("Owner",C728))+ISNUMBER(SEARCH("Dueño",C728))+ISNUMBER(SEARCH("Director General",C728))+ISNUMBER(SEARCH("Presidente",C728))+ISNUMBER(SEARCH("President",C728))&gt;0,'Configuración'!$B$31,IF(ISNUMBER(SEARCH("CMO",C728))+ISNUMBER(SEARCH("Chief Marketing",C728))+ISNUMBER(SEARCH("VP Marketing",C728))+ISNUMBER(SEARCH("Director de Marketing",C728))+ISNUMBER(SEARCH("Director Marketing",C728))+ISNUMBER(SEARCH("Head of Marketing",C728))+ISNUMBER(SEARCH("Head Marketing",C728))&gt;0,'Configuración'!$B$32,IF(ISNUMBER(SEARCH("Marketing Manager",C728))+ISNUMBER(SEARCH("Gerente de Marketing",C728))+ISNUMBER(SEARCH("Growth Manager",C728))+ISNUMBER(SEARCH("Demand Gen",C728))+ISNUMBER(SEARCH("Marketing Lead",C728))&gt;0,'Configuración'!$B$33,IF(ISNUMBER(SEARCH("COO",C728))+ISNUMBER(SEARCH("CFO",C728))+ISNUMBER(SEARCH("CTO",C728))+ISNUMBER(SEARCH("Chief Operating",C728))+ISNUMBER(SEARCH("Chief Financial",C728))+ISNUMBER(SEARCH("Gerente General",C728))+ISNUMBER(SEARCH("General Manager",C728))&gt;0,'Configuración'!$B$34,'Configuración'!$B$35)))))</f>
        <v>12</v>
      </c>
      <c r="V728" s="38">
        <f>IF(B728="","",IF(K728="Sí",'Configuración'!$B$5,0)+IF(L728="Semanal",'Configuración'!$B$6,IF(L728="Mensual",'Configuración'!$B$7,0))+IF(M728="Sí",'Configuración'!$B$8,0)+IF(N728="Sí",'Configuración'!$B$9,0)+IF(O728="Sí",'Configuración'!$B$10,0)+IF(P728="Sí",'Configuración'!$B$11,0)+IF(Q728="Sí",'Configuración'!$B$12,0)+S728+T728+U728)</f>
        <v>20</v>
      </c>
      <c r="W728" s="39" t="str">
        <f>IF(B728="","",IF(V728&gt;='Configuración'!$B$19,"A",IF(V728&gt;='Configuración'!$B$20,"B",IF(V728&gt;='Configuración'!$B$21,"C","Descarte"))))</f>
        <v>Descarte</v>
      </c>
    </row>
    <row r="729" ht="15.75" customHeight="1">
      <c r="A729" s="34">
        <f t="shared" si="1"/>
        <v>727</v>
      </c>
      <c r="B729" s="29" t="s">
        <v>181</v>
      </c>
      <c r="C729" s="29" t="s">
        <v>4329</v>
      </c>
      <c r="D729" s="29" t="s">
        <v>4330</v>
      </c>
      <c r="E729" s="29" t="s">
        <v>4331</v>
      </c>
      <c r="F729" s="30" t="s">
        <v>4332</v>
      </c>
      <c r="G729" s="30" t="s">
        <v>4333</v>
      </c>
      <c r="H729" s="30" t="s">
        <v>4334</v>
      </c>
      <c r="I729" s="29" t="s">
        <v>127</v>
      </c>
      <c r="J729" s="31">
        <v>1.0</v>
      </c>
      <c r="K729" s="35"/>
      <c r="L729" s="35"/>
      <c r="M729" s="35"/>
      <c r="N729" s="35"/>
      <c r="O729" s="35"/>
      <c r="P729" s="35"/>
      <c r="Q729" s="35"/>
      <c r="R729" s="35"/>
      <c r="S729" s="37">
        <f>IF(B729="","",IF(ISNUMBER(J729),IF(J729&lt;=10,'Configuración'!$B$23,IF(J729&lt;=50,'Configuración'!$B$24,IF(J729&lt;=200,'Configuración'!$B$25,0))),0))</f>
        <v>12</v>
      </c>
      <c r="T729" s="37">
        <f>IF(B729="","",IF(ISNUMBER(SEARCH("information technology",I729))+ISNUMBER(SEARCH("software",I729))+ISNUMBER(SEARCH("internet",I729))+ISNUMBER(SEARCH("computer",I729))+ISNUMBER(SEARCH("saas",I729))+ISNUMBER(SEARCH("fintech",I729))+ISNUMBER(SEARCH("information services",I729))+ISNUMBER(SEARCH("telecommunications",I729))&gt;0,'Configuración'!$B$27,'Configuración'!$B$28))</f>
        <v>12</v>
      </c>
      <c r="U729" s="25">
        <f>IF(B729="","",IF(ISNUMBER(SEARCH("CEO",C729))+ISNUMBER(SEARCH("Founder",C729))+ISNUMBER(SEARCH("Owner",C729))+ISNUMBER(SEARCH("Dueño",C729))+ISNUMBER(SEARCH("Director General",C729))+ISNUMBER(SEARCH("Presidente",C729))+ISNUMBER(SEARCH("President",C729))&gt;0,'Configuración'!$B$31,IF(ISNUMBER(SEARCH("CMO",C729))+ISNUMBER(SEARCH("Chief Marketing",C729))+ISNUMBER(SEARCH("VP Marketing",C729))+ISNUMBER(SEARCH("Director de Marketing",C729))+ISNUMBER(SEARCH("Director Marketing",C729))+ISNUMBER(SEARCH("Head of Marketing",C729))+ISNUMBER(SEARCH("Head Marketing",C729))&gt;0,'Configuración'!$B$32,IF(ISNUMBER(SEARCH("Marketing Manager",C729))+ISNUMBER(SEARCH("Gerente de Marketing",C729))+ISNUMBER(SEARCH("Growth Manager",C729))+ISNUMBER(SEARCH("Demand Gen",C729))+ISNUMBER(SEARCH("Marketing Lead",C729))&gt;0,'Configuración'!$B$33,IF(ISNUMBER(SEARCH("COO",C729))+ISNUMBER(SEARCH("CFO",C729))+ISNUMBER(SEARCH("CTO",C729))+ISNUMBER(SEARCH("Chief Operating",C729))+ISNUMBER(SEARCH("Chief Financial",C729))+ISNUMBER(SEARCH("Gerente General",C729))+ISNUMBER(SEARCH("General Manager",C729))&gt;0,'Configuración'!$B$34,'Configuración'!$B$35)))))</f>
        <v>12</v>
      </c>
      <c r="V729" s="38">
        <f>IF(B729="","",IF(K729="Sí",'Configuración'!$B$5,0)+IF(L729="Semanal",'Configuración'!$B$6,IF(L729="Mensual",'Configuración'!$B$7,0))+IF(M729="Sí",'Configuración'!$B$8,0)+IF(N729="Sí",'Configuración'!$B$9,0)+IF(O729="Sí",'Configuración'!$B$10,0)+IF(P729="Sí",'Configuración'!$B$11,0)+IF(Q729="Sí",'Configuración'!$B$12,0)+S729+T729+U729)</f>
        <v>36</v>
      </c>
      <c r="W729" s="39" t="str">
        <f>IF(B729="","",IF(V729&gt;='Configuración'!$B$19,"A",IF(V729&gt;='Configuración'!$B$20,"B",IF(V729&gt;='Configuración'!$B$21,"C","Descarte"))))</f>
        <v>C</v>
      </c>
    </row>
    <row r="730" ht="15.75" customHeight="1">
      <c r="A730" s="34">
        <f t="shared" si="1"/>
        <v>728</v>
      </c>
      <c r="B730" s="29" t="s">
        <v>343</v>
      </c>
      <c r="C730" s="29" t="s">
        <v>467</v>
      </c>
      <c r="D730" s="29" t="s">
        <v>4335</v>
      </c>
      <c r="E730" s="29" t="s">
        <v>4336</v>
      </c>
      <c r="F730" s="30" t="s">
        <v>4337</v>
      </c>
      <c r="G730" s="30" t="s">
        <v>4338</v>
      </c>
      <c r="H730" s="30" t="s">
        <v>4339</v>
      </c>
      <c r="I730" s="29" t="s">
        <v>127</v>
      </c>
      <c r="J730" s="31">
        <v>7.0</v>
      </c>
      <c r="K730" s="35"/>
      <c r="L730" s="35"/>
      <c r="M730" s="35"/>
      <c r="N730" s="35"/>
      <c r="O730" s="35"/>
      <c r="P730" s="35"/>
      <c r="Q730" s="35"/>
      <c r="R730" s="35"/>
      <c r="S730" s="37">
        <f>IF(B730="","",IF(ISNUMBER(J730),IF(J730&lt;=10,'Configuración'!$B$23,IF(J730&lt;=50,'Configuración'!$B$24,IF(J730&lt;=200,'Configuración'!$B$25,0))),0))</f>
        <v>12</v>
      </c>
      <c r="T730" s="37">
        <f>IF(B730="","",IF(ISNUMBER(SEARCH("information technology",I730))+ISNUMBER(SEARCH("software",I730))+ISNUMBER(SEARCH("internet",I730))+ISNUMBER(SEARCH("computer",I730))+ISNUMBER(SEARCH("saas",I730))+ISNUMBER(SEARCH("fintech",I730))+ISNUMBER(SEARCH("information services",I730))+ISNUMBER(SEARCH("telecommunications",I730))&gt;0,'Configuración'!$B$27,'Configuración'!$B$28))</f>
        <v>12</v>
      </c>
      <c r="U730" s="25">
        <f>IF(B730="","",IF(ISNUMBER(SEARCH("CEO",C730))+ISNUMBER(SEARCH("Founder",C730))+ISNUMBER(SEARCH("Owner",C730))+ISNUMBER(SEARCH("Dueño",C730))+ISNUMBER(SEARCH("Director General",C730))+ISNUMBER(SEARCH("Presidente",C730))+ISNUMBER(SEARCH("President",C730))&gt;0,'Configuración'!$B$31,IF(ISNUMBER(SEARCH("CMO",C730))+ISNUMBER(SEARCH("Chief Marketing",C730))+ISNUMBER(SEARCH("VP Marketing",C730))+ISNUMBER(SEARCH("Director de Marketing",C730))+ISNUMBER(SEARCH("Director Marketing",C730))+ISNUMBER(SEARCH("Head of Marketing",C730))+ISNUMBER(SEARCH("Head Marketing",C730))&gt;0,'Configuración'!$B$32,IF(ISNUMBER(SEARCH("Marketing Manager",C730))+ISNUMBER(SEARCH("Gerente de Marketing",C730))+ISNUMBER(SEARCH("Growth Manager",C730))+ISNUMBER(SEARCH("Demand Gen",C730))+ISNUMBER(SEARCH("Marketing Lead",C730))&gt;0,'Configuración'!$B$33,IF(ISNUMBER(SEARCH("COO",C730))+ISNUMBER(SEARCH("CFO",C730))+ISNUMBER(SEARCH("CTO",C730))+ISNUMBER(SEARCH("Chief Operating",C730))+ISNUMBER(SEARCH("Chief Financial",C730))+ISNUMBER(SEARCH("Gerente General",C730))+ISNUMBER(SEARCH("General Manager",C730))&gt;0,'Configuración'!$B$34,'Configuración'!$B$35)))))</f>
        <v>0</v>
      </c>
      <c r="V730" s="38">
        <f>IF(B730="","",IF(K730="Sí",'Configuración'!$B$5,0)+IF(L730="Semanal",'Configuración'!$B$6,IF(L730="Mensual",'Configuración'!$B$7,0))+IF(M730="Sí",'Configuración'!$B$8,0)+IF(N730="Sí",'Configuración'!$B$9,0)+IF(O730="Sí",'Configuración'!$B$10,0)+IF(P730="Sí",'Configuración'!$B$11,0)+IF(Q730="Sí",'Configuración'!$B$12,0)+S730+T730+U730)</f>
        <v>24</v>
      </c>
      <c r="W730" s="39" t="str">
        <f>IF(B730="","",IF(V730&gt;='Configuración'!$B$19,"A",IF(V730&gt;='Configuración'!$B$20,"B",IF(V730&gt;='Configuración'!$B$21,"C","Descarte"))))</f>
        <v>C</v>
      </c>
    </row>
    <row r="731" ht="15.75" customHeight="1">
      <c r="A731" s="34">
        <f t="shared" si="1"/>
        <v>729</v>
      </c>
      <c r="B731" s="29" t="s">
        <v>2740</v>
      </c>
      <c r="C731" s="29" t="s">
        <v>4340</v>
      </c>
      <c r="D731" s="29" t="s">
        <v>4341</v>
      </c>
      <c r="E731" s="29" t="s">
        <v>4342</v>
      </c>
      <c r="F731" s="30" t="s">
        <v>4343</v>
      </c>
      <c r="G731" s="30" t="s">
        <v>4344</v>
      </c>
      <c r="H731" s="30" t="s">
        <v>4345</v>
      </c>
      <c r="I731" s="29" t="s">
        <v>317</v>
      </c>
      <c r="J731" s="31">
        <v>11.0</v>
      </c>
      <c r="K731" s="35"/>
      <c r="L731" s="35"/>
      <c r="M731" s="35"/>
      <c r="N731" s="35"/>
      <c r="O731" s="35"/>
      <c r="P731" s="35"/>
      <c r="Q731" s="35"/>
      <c r="R731" s="35"/>
      <c r="S731" s="37">
        <f>IF(B731="","",IF(ISNUMBER(J731),IF(J731&lt;=10,'Configuración'!$B$23,IF(J731&lt;=50,'Configuración'!$B$24,IF(J731&lt;=200,'Configuración'!$B$25,0))),0))</f>
        <v>4</v>
      </c>
      <c r="T731" s="37">
        <f>IF(B731="","",IF(ISNUMBER(SEARCH("information technology",I731))+ISNUMBER(SEARCH("software",I731))+ISNUMBER(SEARCH("internet",I731))+ISNUMBER(SEARCH("computer",I731))+ISNUMBER(SEARCH("saas",I731))+ISNUMBER(SEARCH("fintech",I731))+ISNUMBER(SEARCH("information services",I731))+ISNUMBER(SEARCH("telecommunications",I731))&gt;0,'Configuración'!$B$27,'Configuración'!$B$28))</f>
        <v>4</v>
      </c>
      <c r="U731" s="25">
        <f>IF(B731="","",IF(ISNUMBER(SEARCH("CEO",C731))+ISNUMBER(SEARCH("Founder",C731))+ISNUMBER(SEARCH("Owner",C731))+ISNUMBER(SEARCH("Dueño",C731))+ISNUMBER(SEARCH("Director General",C731))+ISNUMBER(SEARCH("Presidente",C731))+ISNUMBER(SEARCH("President",C731))&gt;0,'Configuración'!$B$31,IF(ISNUMBER(SEARCH("CMO",C731))+ISNUMBER(SEARCH("Chief Marketing",C731))+ISNUMBER(SEARCH("VP Marketing",C731))+ISNUMBER(SEARCH("Director de Marketing",C731))+ISNUMBER(SEARCH("Director Marketing",C731))+ISNUMBER(SEARCH("Head of Marketing",C731))+ISNUMBER(SEARCH("Head Marketing",C731))&gt;0,'Configuración'!$B$32,IF(ISNUMBER(SEARCH("Marketing Manager",C731))+ISNUMBER(SEARCH("Gerente de Marketing",C731))+ISNUMBER(SEARCH("Growth Manager",C731))+ISNUMBER(SEARCH("Demand Gen",C731))+ISNUMBER(SEARCH("Marketing Lead",C731))&gt;0,'Configuración'!$B$33,IF(ISNUMBER(SEARCH("COO",C731))+ISNUMBER(SEARCH("CFO",C731))+ISNUMBER(SEARCH("CTO",C731))+ISNUMBER(SEARCH("Chief Operating",C731))+ISNUMBER(SEARCH("Chief Financial",C731))+ISNUMBER(SEARCH("Gerente General",C731))+ISNUMBER(SEARCH("General Manager",C731))&gt;0,'Configuración'!$B$34,'Configuración'!$B$35)))))</f>
        <v>0</v>
      </c>
      <c r="V731" s="38">
        <f>IF(B731="","",IF(K731="Sí",'Configuración'!$B$5,0)+IF(L731="Semanal",'Configuración'!$B$6,IF(L731="Mensual",'Configuración'!$B$7,0))+IF(M731="Sí",'Configuración'!$B$8,0)+IF(N731="Sí",'Configuración'!$B$9,0)+IF(O731="Sí",'Configuración'!$B$10,0)+IF(P731="Sí",'Configuración'!$B$11,0)+IF(Q731="Sí",'Configuración'!$B$12,0)+S731+T731+U731)</f>
        <v>8</v>
      </c>
      <c r="W731" s="39" t="str">
        <f>IF(B731="","",IF(V731&gt;='Configuración'!$B$19,"A",IF(V731&gt;='Configuración'!$B$20,"B",IF(V731&gt;='Configuración'!$B$21,"C","Descarte"))))</f>
        <v>Descarte</v>
      </c>
    </row>
    <row r="732" ht="15.75" customHeight="1">
      <c r="A732" s="34">
        <f t="shared" si="1"/>
        <v>730</v>
      </c>
      <c r="B732" s="29" t="s">
        <v>174</v>
      </c>
      <c r="C732" s="29" t="s">
        <v>4346</v>
      </c>
      <c r="D732" s="29" t="s">
        <v>4347</v>
      </c>
      <c r="E732" s="29" t="s">
        <v>4348</v>
      </c>
      <c r="F732" s="30" t="s">
        <v>4349</v>
      </c>
      <c r="G732" s="30" t="s">
        <v>4350</v>
      </c>
      <c r="H732" s="30" t="s">
        <v>4351</v>
      </c>
      <c r="I732" s="29" t="s">
        <v>116</v>
      </c>
      <c r="J732" s="31">
        <v>4.0</v>
      </c>
      <c r="K732" s="35"/>
      <c r="L732" s="35"/>
      <c r="M732" s="35"/>
      <c r="N732" s="35"/>
      <c r="O732" s="35"/>
      <c r="P732" s="35"/>
      <c r="Q732" s="35"/>
      <c r="R732" s="35"/>
      <c r="S732" s="37">
        <f>IF(B732="","",IF(ISNUMBER(J732),IF(J732&lt;=10,'Configuración'!$B$23,IF(J732&lt;=50,'Configuración'!$B$24,IF(J732&lt;=200,'Configuración'!$B$25,0))),0))</f>
        <v>12</v>
      </c>
      <c r="T732" s="37">
        <f>IF(B732="","",IF(ISNUMBER(SEARCH("information technology",I732))+ISNUMBER(SEARCH("software",I732))+ISNUMBER(SEARCH("internet",I732))+ISNUMBER(SEARCH("computer",I732))+ISNUMBER(SEARCH("saas",I732))+ISNUMBER(SEARCH("fintech",I732))+ISNUMBER(SEARCH("information services",I732))+ISNUMBER(SEARCH("telecommunications",I732))&gt;0,'Configuración'!$B$27,'Configuración'!$B$28))</f>
        <v>4</v>
      </c>
      <c r="U732" s="25">
        <f>IF(B732="","",IF(ISNUMBER(SEARCH("CEO",C732))+ISNUMBER(SEARCH("Founder",C732))+ISNUMBER(SEARCH("Owner",C732))+ISNUMBER(SEARCH("Dueño",C732))+ISNUMBER(SEARCH("Director General",C732))+ISNUMBER(SEARCH("Presidente",C732))+ISNUMBER(SEARCH("President",C732))&gt;0,'Configuración'!$B$31,IF(ISNUMBER(SEARCH("CMO",C732))+ISNUMBER(SEARCH("Chief Marketing",C732))+ISNUMBER(SEARCH("VP Marketing",C732))+ISNUMBER(SEARCH("Director de Marketing",C732))+ISNUMBER(SEARCH("Director Marketing",C732))+ISNUMBER(SEARCH("Head of Marketing",C732))+ISNUMBER(SEARCH("Head Marketing",C732))&gt;0,'Configuración'!$B$32,IF(ISNUMBER(SEARCH("Marketing Manager",C732))+ISNUMBER(SEARCH("Gerente de Marketing",C732))+ISNUMBER(SEARCH("Growth Manager",C732))+ISNUMBER(SEARCH("Demand Gen",C732))+ISNUMBER(SEARCH("Marketing Lead",C732))&gt;0,'Configuración'!$B$33,IF(ISNUMBER(SEARCH("COO",C732))+ISNUMBER(SEARCH("CFO",C732))+ISNUMBER(SEARCH("CTO",C732))+ISNUMBER(SEARCH("Chief Operating",C732))+ISNUMBER(SEARCH("Chief Financial",C732))+ISNUMBER(SEARCH("Gerente General",C732))+ISNUMBER(SEARCH("General Manager",C732))&gt;0,'Configuración'!$B$34,'Configuración'!$B$35)))))</f>
        <v>12</v>
      </c>
      <c r="V732" s="38">
        <f>IF(B732="","",IF(K732="Sí",'Configuración'!$B$5,0)+IF(L732="Semanal",'Configuración'!$B$6,IF(L732="Mensual",'Configuración'!$B$7,0))+IF(M732="Sí",'Configuración'!$B$8,0)+IF(N732="Sí",'Configuración'!$B$9,0)+IF(O732="Sí",'Configuración'!$B$10,0)+IF(P732="Sí",'Configuración'!$B$11,0)+IF(Q732="Sí",'Configuración'!$B$12,0)+S732+T732+U732)</f>
        <v>28</v>
      </c>
      <c r="W732" s="39" t="str">
        <f>IF(B732="","",IF(V732&gt;='Configuración'!$B$19,"A",IF(V732&gt;='Configuración'!$B$20,"B",IF(V732&gt;='Configuración'!$B$21,"C","Descarte"))))</f>
        <v>C</v>
      </c>
    </row>
    <row r="733" ht="15.75" customHeight="1">
      <c r="A733" s="34">
        <f t="shared" si="1"/>
        <v>731</v>
      </c>
      <c r="B733" s="29" t="s">
        <v>130</v>
      </c>
      <c r="C733" s="29" t="s">
        <v>131</v>
      </c>
      <c r="D733" s="29" t="s">
        <v>4352</v>
      </c>
      <c r="E733" s="29" t="s">
        <v>4353</v>
      </c>
      <c r="F733" s="30" t="s">
        <v>4354</v>
      </c>
      <c r="G733" s="30" t="s">
        <v>4355</v>
      </c>
      <c r="H733" s="30" t="s">
        <v>4356</v>
      </c>
      <c r="I733" s="29" t="s">
        <v>310</v>
      </c>
      <c r="J733" s="31">
        <v>3.0</v>
      </c>
      <c r="K733" s="35"/>
      <c r="L733" s="35"/>
      <c r="M733" s="35"/>
      <c r="N733" s="35"/>
      <c r="O733" s="35"/>
      <c r="P733" s="35"/>
      <c r="Q733" s="35"/>
      <c r="R733" s="35"/>
      <c r="S733" s="37">
        <f>IF(B733="","",IF(ISNUMBER(J733),IF(J733&lt;=10,'Configuración'!$B$23,IF(J733&lt;=50,'Configuración'!$B$24,IF(J733&lt;=200,'Configuración'!$B$25,0))),0))</f>
        <v>12</v>
      </c>
      <c r="T733" s="37">
        <f>IF(B733="","",IF(ISNUMBER(SEARCH("information technology",I733))+ISNUMBER(SEARCH("software",I733))+ISNUMBER(SEARCH("internet",I733))+ISNUMBER(SEARCH("computer",I733))+ISNUMBER(SEARCH("saas",I733))+ISNUMBER(SEARCH("fintech",I733))+ISNUMBER(SEARCH("information services",I733))+ISNUMBER(SEARCH("telecommunications",I733))&gt;0,'Configuración'!$B$27,'Configuración'!$B$28))</f>
        <v>4</v>
      </c>
      <c r="U733" s="25">
        <f>IF(B733="","",IF(ISNUMBER(SEARCH("CEO",C733))+ISNUMBER(SEARCH("Founder",C733))+ISNUMBER(SEARCH("Owner",C733))+ISNUMBER(SEARCH("Dueño",C733))+ISNUMBER(SEARCH("Director General",C733))+ISNUMBER(SEARCH("Presidente",C733))+ISNUMBER(SEARCH("President",C733))&gt;0,'Configuración'!$B$31,IF(ISNUMBER(SEARCH("CMO",C733))+ISNUMBER(SEARCH("Chief Marketing",C733))+ISNUMBER(SEARCH("VP Marketing",C733))+ISNUMBER(SEARCH("Director de Marketing",C733))+ISNUMBER(SEARCH("Director Marketing",C733))+ISNUMBER(SEARCH("Head of Marketing",C733))+ISNUMBER(SEARCH("Head Marketing",C733))&gt;0,'Configuración'!$B$32,IF(ISNUMBER(SEARCH("Marketing Manager",C733))+ISNUMBER(SEARCH("Gerente de Marketing",C733))+ISNUMBER(SEARCH("Growth Manager",C733))+ISNUMBER(SEARCH("Demand Gen",C733))+ISNUMBER(SEARCH("Marketing Lead",C733))&gt;0,'Configuración'!$B$33,IF(ISNUMBER(SEARCH("COO",C733))+ISNUMBER(SEARCH("CFO",C733))+ISNUMBER(SEARCH("CTO",C733))+ISNUMBER(SEARCH("Chief Operating",C733))+ISNUMBER(SEARCH("Chief Financial",C733))+ISNUMBER(SEARCH("Gerente General",C733))+ISNUMBER(SEARCH("General Manager",C733))&gt;0,'Configuración'!$B$34,'Configuración'!$B$35)))))</f>
        <v>12</v>
      </c>
      <c r="V733" s="38">
        <f>IF(B733="","",IF(K733="Sí",'Configuración'!$B$5,0)+IF(L733="Semanal",'Configuración'!$B$6,IF(L733="Mensual",'Configuración'!$B$7,0))+IF(M733="Sí",'Configuración'!$B$8,0)+IF(N733="Sí",'Configuración'!$B$9,0)+IF(O733="Sí",'Configuración'!$B$10,0)+IF(P733="Sí",'Configuración'!$B$11,0)+IF(Q733="Sí",'Configuración'!$B$12,0)+S733+T733+U733)</f>
        <v>28</v>
      </c>
      <c r="W733" s="39" t="str">
        <f>IF(B733="","",IF(V733&gt;='Configuración'!$B$19,"A",IF(V733&gt;='Configuración'!$B$20,"B",IF(V733&gt;='Configuración'!$B$21,"C","Descarte"))))</f>
        <v>C</v>
      </c>
    </row>
    <row r="734" ht="15.75" customHeight="1">
      <c r="A734" s="34">
        <f t="shared" si="1"/>
        <v>732</v>
      </c>
      <c r="B734" s="29" t="s">
        <v>174</v>
      </c>
      <c r="C734" s="29" t="s">
        <v>2129</v>
      </c>
      <c r="D734" s="29" t="s">
        <v>4357</v>
      </c>
      <c r="E734" s="29" t="s">
        <v>4358</v>
      </c>
      <c r="F734" s="30" t="s">
        <v>4359</v>
      </c>
      <c r="G734" s="30" t="s">
        <v>4360</v>
      </c>
      <c r="H734" s="30" t="s">
        <v>4361</v>
      </c>
      <c r="I734" s="29" t="s">
        <v>350</v>
      </c>
      <c r="J734" s="31">
        <v>4.0</v>
      </c>
      <c r="K734" s="35"/>
      <c r="L734" s="35"/>
      <c r="M734" s="35"/>
      <c r="N734" s="35"/>
      <c r="O734" s="35"/>
      <c r="P734" s="35"/>
      <c r="Q734" s="35"/>
      <c r="R734" s="35"/>
      <c r="S734" s="37">
        <f>IF(B734="","",IF(ISNUMBER(J734),IF(J734&lt;=10,'Configuración'!$B$23,IF(J734&lt;=50,'Configuración'!$B$24,IF(J734&lt;=200,'Configuración'!$B$25,0))),0))</f>
        <v>12</v>
      </c>
      <c r="T734" s="37">
        <f>IF(B734="","",IF(ISNUMBER(SEARCH("information technology",I734))+ISNUMBER(SEARCH("software",I734))+ISNUMBER(SEARCH("internet",I734))+ISNUMBER(SEARCH("computer",I734))+ISNUMBER(SEARCH("saas",I734))+ISNUMBER(SEARCH("fintech",I734))+ISNUMBER(SEARCH("information services",I734))+ISNUMBER(SEARCH("telecommunications",I734))&gt;0,'Configuración'!$B$27,'Configuración'!$B$28))</f>
        <v>4</v>
      </c>
      <c r="U734" s="25">
        <f>IF(B734="","",IF(ISNUMBER(SEARCH("CEO",C734))+ISNUMBER(SEARCH("Founder",C734))+ISNUMBER(SEARCH("Owner",C734))+ISNUMBER(SEARCH("Dueño",C734))+ISNUMBER(SEARCH("Director General",C734))+ISNUMBER(SEARCH("Presidente",C734))+ISNUMBER(SEARCH("President",C734))&gt;0,'Configuración'!$B$31,IF(ISNUMBER(SEARCH("CMO",C734))+ISNUMBER(SEARCH("Chief Marketing",C734))+ISNUMBER(SEARCH("VP Marketing",C734))+ISNUMBER(SEARCH("Director de Marketing",C734))+ISNUMBER(SEARCH("Director Marketing",C734))+ISNUMBER(SEARCH("Head of Marketing",C734))+ISNUMBER(SEARCH("Head Marketing",C734))&gt;0,'Configuración'!$B$32,IF(ISNUMBER(SEARCH("Marketing Manager",C734))+ISNUMBER(SEARCH("Gerente de Marketing",C734))+ISNUMBER(SEARCH("Growth Manager",C734))+ISNUMBER(SEARCH("Demand Gen",C734))+ISNUMBER(SEARCH("Marketing Lead",C734))&gt;0,'Configuración'!$B$33,IF(ISNUMBER(SEARCH("COO",C734))+ISNUMBER(SEARCH("CFO",C734))+ISNUMBER(SEARCH("CTO",C734))+ISNUMBER(SEARCH("Chief Operating",C734))+ISNUMBER(SEARCH("Chief Financial",C734))+ISNUMBER(SEARCH("Gerente General",C734))+ISNUMBER(SEARCH("General Manager",C734))&gt;0,'Configuración'!$B$34,'Configuración'!$B$35)))))</f>
        <v>12</v>
      </c>
      <c r="V734" s="38">
        <f>IF(B734="","",IF(K734="Sí",'Configuración'!$B$5,0)+IF(L734="Semanal",'Configuración'!$B$6,IF(L734="Mensual",'Configuración'!$B$7,0))+IF(M734="Sí",'Configuración'!$B$8,0)+IF(N734="Sí",'Configuración'!$B$9,0)+IF(O734="Sí",'Configuración'!$B$10,0)+IF(P734="Sí",'Configuración'!$B$11,0)+IF(Q734="Sí",'Configuración'!$B$12,0)+S734+T734+U734)</f>
        <v>28</v>
      </c>
      <c r="W734" s="39" t="str">
        <f>IF(B734="","",IF(V734&gt;='Configuración'!$B$19,"A",IF(V734&gt;='Configuración'!$B$20,"B",IF(V734&gt;='Configuración'!$B$21,"C","Descarte"))))</f>
        <v>C</v>
      </c>
    </row>
    <row r="735" ht="15.75" customHeight="1">
      <c r="A735" s="34">
        <f t="shared" si="1"/>
        <v>733</v>
      </c>
      <c r="B735" s="29" t="s">
        <v>236</v>
      </c>
      <c r="C735" s="29" t="s">
        <v>311</v>
      </c>
      <c r="D735" s="29" t="s">
        <v>4362</v>
      </c>
      <c r="E735" s="29" t="s">
        <v>4363</v>
      </c>
      <c r="F735" s="30" t="s">
        <v>4364</v>
      </c>
      <c r="G735" s="30" t="s">
        <v>4365</v>
      </c>
      <c r="H735" s="30" t="s">
        <v>4366</v>
      </c>
      <c r="I735" s="29" t="s">
        <v>847</v>
      </c>
      <c r="J735" s="31">
        <v>1.0</v>
      </c>
      <c r="K735" s="35"/>
      <c r="L735" s="35"/>
      <c r="M735" s="35"/>
      <c r="N735" s="35"/>
      <c r="O735" s="35"/>
      <c r="P735" s="35"/>
      <c r="Q735" s="35"/>
      <c r="R735" s="35"/>
      <c r="S735" s="37">
        <f>IF(B735="","",IF(ISNUMBER(J735),IF(J735&lt;=10,'Configuración'!$B$23,IF(J735&lt;=50,'Configuración'!$B$24,IF(J735&lt;=200,'Configuración'!$B$25,0))),0))</f>
        <v>12</v>
      </c>
      <c r="T735" s="37">
        <f>IF(B735="","",IF(ISNUMBER(SEARCH("information technology",I735))+ISNUMBER(SEARCH("software",I735))+ISNUMBER(SEARCH("internet",I735))+ISNUMBER(SEARCH("computer",I735))+ISNUMBER(SEARCH("saas",I735))+ISNUMBER(SEARCH("fintech",I735))+ISNUMBER(SEARCH("information services",I735))+ISNUMBER(SEARCH("telecommunications",I735))&gt;0,'Configuración'!$B$27,'Configuración'!$B$28))</f>
        <v>4</v>
      </c>
      <c r="U735" s="25">
        <f>IF(B735="","",IF(ISNUMBER(SEARCH("CEO",C735))+ISNUMBER(SEARCH("Founder",C735))+ISNUMBER(SEARCH("Owner",C735))+ISNUMBER(SEARCH("Dueño",C735))+ISNUMBER(SEARCH("Director General",C735))+ISNUMBER(SEARCH("Presidente",C735))+ISNUMBER(SEARCH("President",C735))&gt;0,'Configuración'!$B$31,IF(ISNUMBER(SEARCH("CMO",C735))+ISNUMBER(SEARCH("Chief Marketing",C735))+ISNUMBER(SEARCH("VP Marketing",C735))+ISNUMBER(SEARCH("Director de Marketing",C735))+ISNUMBER(SEARCH("Director Marketing",C735))+ISNUMBER(SEARCH("Head of Marketing",C735))+ISNUMBER(SEARCH("Head Marketing",C735))&gt;0,'Configuración'!$B$32,IF(ISNUMBER(SEARCH("Marketing Manager",C735))+ISNUMBER(SEARCH("Gerente de Marketing",C735))+ISNUMBER(SEARCH("Growth Manager",C735))+ISNUMBER(SEARCH("Demand Gen",C735))+ISNUMBER(SEARCH("Marketing Lead",C735))&gt;0,'Configuración'!$B$33,IF(ISNUMBER(SEARCH("COO",C735))+ISNUMBER(SEARCH("CFO",C735))+ISNUMBER(SEARCH("CTO",C735))+ISNUMBER(SEARCH("Chief Operating",C735))+ISNUMBER(SEARCH("Chief Financial",C735))+ISNUMBER(SEARCH("Gerente General",C735))+ISNUMBER(SEARCH("General Manager",C735))&gt;0,'Configuración'!$B$34,'Configuración'!$B$35)))))</f>
        <v>12</v>
      </c>
      <c r="V735" s="38">
        <f>IF(B735="","",IF(K735="Sí",'Configuración'!$B$5,0)+IF(L735="Semanal",'Configuración'!$B$6,IF(L735="Mensual",'Configuración'!$B$7,0))+IF(M735="Sí",'Configuración'!$B$8,0)+IF(N735="Sí",'Configuración'!$B$9,0)+IF(O735="Sí",'Configuración'!$B$10,0)+IF(P735="Sí",'Configuración'!$B$11,0)+IF(Q735="Sí",'Configuración'!$B$12,0)+S735+T735+U735)</f>
        <v>28</v>
      </c>
      <c r="W735" s="39" t="str">
        <f>IF(B735="","",IF(V735&gt;='Configuración'!$B$19,"A",IF(V735&gt;='Configuración'!$B$20,"B",IF(V735&gt;='Configuración'!$B$21,"C","Descarte"))))</f>
        <v>C</v>
      </c>
    </row>
    <row r="736" ht="15.75" customHeight="1">
      <c r="A736" s="34">
        <f t="shared" si="1"/>
        <v>734</v>
      </c>
      <c r="B736" s="29" t="s">
        <v>501</v>
      </c>
      <c r="C736" s="29" t="s">
        <v>4367</v>
      </c>
      <c r="D736" s="29" t="s">
        <v>4368</v>
      </c>
      <c r="E736" s="29" t="s">
        <v>4369</v>
      </c>
      <c r="F736" s="30" t="s">
        <v>4370</v>
      </c>
      <c r="G736" s="30" t="s">
        <v>4371</v>
      </c>
      <c r="H736" s="30" t="s">
        <v>4372</v>
      </c>
      <c r="I736" s="29" t="s">
        <v>1245</v>
      </c>
      <c r="J736" s="31">
        <v>8.0</v>
      </c>
      <c r="K736" s="35"/>
      <c r="L736" s="35"/>
      <c r="M736" s="35"/>
      <c r="N736" s="35"/>
      <c r="O736" s="35"/>
      <c r="P736" s="35"/>
      <c r="Q736" s="35"/>
      <c r="R736" s="35"/>
      <c r="S736" s="37">
        <f>IF(B736="","",IF(ISNUMBER(J736),IF(J736&lt;=10,'Configuración'!$B$23,IF(J736&lt;=50,'Configuración'!$B$24,IF(J736&lt;=200,'Configuración'!$B$25,0))),0))</f>
        <v>12</v>
      </c>
      <c r="T736" s="37">
        <f>IF(B736="","",IF(ISNUMBER(SEARCH("information technology",I736))+ISNUMBER(SEARCH("software",I736))+ISNUMBER(SEARCH("internet",I736))+ISNUMBER(SEARCH("computer",I736))+ISNUMBER(SEARCH("saas",I736))+ISNUMBER(SEARCH("fintech",I736))+ISNUMBER(SEARCH("information services",I736))+ISNUMBER(SEARCH("telecommunications",I736))&gt;0,'Configuración'!$B$27,'Configuración'!$B$28))</f>
        <v>4</v>
      </c>
      <c r="U736" s="25">
        <f>IF(B736="","",IF(ISNUMBER(SEARCH("CEO",C736))+ISNUMBER(SEARCH("Founder",C736))+ISNUMBER(SEARCH("Owner",C736))+ISNUMBER(SEARCH("Dueño",C736))+ISNUMBER(SEARCH("Director General",C736))+ISNUMBER(SEARCH("Presidente",C736))+ISNUMBER(SEARCH("President",C736))&gt;0,'Configuración'!$B$31,IF(ISNUMBER(SEARCH("CMO",C736))+ISNUMBER(SEARCH("Chief Marketing",C736))+ISNUMBER(SEARCH("VP Marketing",C736))+ISNUMBER(SEARCH("Director de Marketing",C736))+ISNUMBER(SEARCH("Director Marketing",C736))+ISNUMBER(SEARCH("Head of Marketing",C736))+ISNUMBER(SEARCH("Head Marketing",C736))&gt;0,'Configuración'!$B$32,IF(ISNUMBER(SEARCH("Marketing Manager",C736))+ISNUMBER(SEARCH("Gerente de Marketing",C736))+ISNUMBER(SEARCH("Growth Manager",C736))+ISNUMBER(SEARCH("Demand Gen",C736))+ISNUMBER(SEARCH("Marketing Lead",C736))&gt;0,'Configuración'!$B$33,IF(ISNUMBER(SEARCH("COO",C736))+ISNUMBER(SEARCH("CFO",C736))+ISNUMBER(SEARCH("CTO",C736))+ISNUMBER(SEARCH("Chief Operating",C736))+ISNUMBER(SEARCH("Chief Financial",C736))+ISNUMBER(SEARCH("Gerente General",C736))+ISNUMBER(SEARCH("General Manager",C736))&gt;0,'Configuración'!$B$34,'Configuración'!$B$35)))))</f>
        <v>4</v>
      </c>
      <c r="V736" s="38">
        <f>IF(B736="","",IF(K736="Sí",'Configuración'!$B$5,0)+IF(L736="Semanal",'Configuración'!$B$6,IF(L736="Mensual",'Configuración'!$B$7,0))+IF(M736="Sí",'Configuración'!$B$8,0)+IF(N736="Sí",'Configuración'!$B$9,0)+IF(O736="Sí",'Configuración'!$B$10,0)+IF(P736="Sí",'Configuración'!$B$11,0)+IF(Q736="Sí",'Configuración'!$B$12,0)+S736+T736+U736)</f>
        <v>20</v>
      </c>
      <c r="W736" s="39" t="str">
        <f>IF(B736="","",IF(V736&gt;='Configuración'!$B$19,"A",IF(V736&gt;='Configuración'!$B$20,"B",IF(V736&gt;='Configuración'!$B$21,"C","Descarte"))))</f>
        <v>Descarte</v>
      </c>
    </row>
    <row r="737" ht="15.75" customHeight="1">
      <c r="A737" s="34">
        <f t="shared" si="1"/>
        <v>735</v>
      </c>
      <c r="B737" s="29" t="s">
        <v>1159</v>
      </c>
      <c r="C737" s="29" t="s">
        <v>131</v>
      </c>
      <c r="D737" s="29" t="s">
        <v>4373</v>
      </c>
      <c r="E737" s="29" t="s">
        <v>4374</v>
      </c>
      <c r="F737" s="30" t="s">
        <v>4375</v>
      </c>
      <c r="G737" s="30" t="s">
        <v>4376</v>
      </c>
      <c r="H737" s="30" t="s">
        <v>4377</v>
      </c>
      <c r="I737" s="29" t="s">
        <v>127</v>
      </c>
      <c r="J737" s="31">
        <v>2.0</v>
      </c>
      <c r="K737" s="35"/>
      <c r="L737" s="35"/>
      <c r="M737" s="35"/>
      <c r="N737" s="35"/>
      <c r="O737" s="35"/>
      <c r="P737" s="35"/>
      <c r="Q737" s="35"/>
      <c r="R737" s="35"/>
      <c r="S737" s="37">
        <f>IF(B737="","",IF(ISNUMBER(J737),IF(J737&lt;=10,'Configuración'!$B$23,IF(J737&lt;=50,'Configuración'!$B$24,IF(J737&lt;=200,'Configuración'!$B$25,0))),0))</f>
        <v>12</v>
      </c>
      <c r="T737" s="37">
        <f>IF(B737="","",IF(ISNUMBER(SEARCH("information technology",I737))+ISNUMBER(SEARCH("software",I737))+ISNUMBER(SEARCH("internet",I737))+ISNUMBER(SEARCH("computer",I737))+ISNUMBER(SEARCH("saas",I737))+ISNUMBER(SEARCH("fintech",I737))+ISNUMBER(SEARCH("information services",I737))+ISNUMBER(SEARCH("telecommunications",I737))&gt;0,'Configuración'!$B$27,'Configuración'!$B$28))</f>
        <v>12</v>
      </c>
      <c r="U737" s="25">
        <f>IF(B737="","",IF(ISNUMBER(SEARCH("CEO",C737))+ISNUMBER(SEARCH("Founder",C737))+ISNUMBER(SEARCH("Owner",C737))+ISNUMBER(SEARCH("Dueño",C737))+ISNUMBER(SEARCH("Director General",C737))+ISNUMBER(SEARCH("Presidente",C737))+ISNUMBER(SEARCH("President",C737))&gt;0,'Configuración'!$B$31,IF(ISNUMBER(SEARCH("CMO",C737))+ISNUMBER(SEARCH("Chief Marketing",C737))+ISNUMBER(SEARCH("VP Marketing",C737))+ISNUMBER(SEARCH("Director de Marketing",C737))+ISNUMBER(SEARCH("Director Marketing",C737))+ISNUMBER(SEARCH("Head of Marketing",C737))+ISNUMBER(SEARCH("Head Marketing",C737))&gt;0,'Configuración'!$B$32,IF(ISNUMBER(SEARCH("Marketing Manager",C737))+ISNUMBER(SEARCH("Gerente de Marketing",C737))+ISNUMBER(SEARCH("Growth Manager",C737))+ISNUMBER(SEARCH("Demand Gen",C737))+ISNUMBER(SEARCH("Marketing Lead",C737))&gt;0,'Configuración'!$B$33,IF(ISNUMBER(SEARCH("COO",C737))+ISNUMBER(SEARCH("CFO",C737))+ISNUMBER(SEARCH("CTO",C737))+ISNUMBER(SEARCH("Chief Operating",C737))+ISNUMBER(SEARCH("Chief Financial",C737))+ISNUMBER(SEARCH("Gerente General",C737))+ISNUMBER(SEARCH("General Manager",C737))&gt;0,'Configuración'!$B$34,'Configuración'!$B$35)))))</f>
        <v>12</v>
      </c>
      <c r="V737" s="38">
        <f>IF(B737="","",IF(K737="Sí",'Configuración'!$B$5,0)+IF(L737="Semanal",'Configuración'!$B$6,IF(L737="Mensual",'Configuración'!$B$7,0))+IF(M737="Sí",'Configuración'!$B$8,0)+IF(N737="Sí",'Configuración'!$B$9,0)+IF(O737="Sí",'Configuración'!$B$10,0)+IF(P737="Sí",'Configuración'!$B$11,0)+IF(Q737="Sí",'Configuración'!$B$12,0)+S737+T737+U737)</f>
        <v>36</v>
      </c>
      <c r="W737" s="39" t="str">
        <f>IF(B737="","",IF(V737&gt;='Configuración'!$B$19,"A",IF(V737&gt;='Configuración'!$B$20,"B",IF(V737&gt;='Configuración'!$B$21,"C","Descarte"))))</f>
        <v>C</v>
      </c>
    </row>
    <row r="738" ht="15.75" customHeight="1">
      <c r="A738" s="34">
        <f t="shared" si="1"/>
        <v>736</v>
      </c>
      <c r="B738" s="29" t="s">
        <v>174</v>
      </c>
      <c r="C738" s="29" t="s">
        <v>202</v>
      </c>
      <c r="D738" s="29" t="s">
        <v>2529</v>
      </c>
      <c r="E738" s="29" t="s">
        <v>4378</v>
      </c>
      <c r="F738" s="30" t="s">
        <v>4379</v>
      </c>
      <c r="G738" s="30" t="s">
        <v>2532</v>
      </c>
      <c r="H738" s="30" t="s">
        <v>2533</v>
      </c>
      <c r="I738" s="29" t="s">
        <v>127</v>
      </c>
      <c r="J738" s="31">
        <v>3.0</v>
      </c>
      <c r="K738" s="35"/>
      <c r="L738" s="35"/>
      <c r="M738" s="35"/>
      <c r="N738" s="35"/>
      <c r="O738" s="35"/>
      <c r="P738" s="35"/>
      <c r="Q738" s="35"/>
      <c r="R738" s="35"/>
      <c r="S738" s="37">
        <f>IF(B738="","",IF(ISNUMBER(J738),IF(J738&lt;=10,'Configuración'!$B$23,IF(J738&lt;=50,'Configuración'!$B$24,IF(J738&lt;=200,'Configuración'!$B$25,0))),0))</f>
        <v>12</v>
      </c>
      <c r="T738" s="37">
        <f>IF(B738="","",IF(ISNUMBER(SEARCH("information technology",I738))+ISNUMBER(SEARCH("software",I738))+ISNUMBER(SEARCH("internet",I738))+ISNUMBER(SEARCH("computer",I738))+ISNUMBER(SEARCH("saas",I738))+ISNUMBER(SEARCH("fintech",I738))+ISNUMBER(SEARCH("information services",I738))+ISNUMBER(SEARCH("telecommunications",I738))&gt;0,'Configuración'!$B$27,'Configuración'!$B$28))</f>
        <v>12</v>
      </c>
      <c r="U738" s="25">
        <f>IF(B738="","",IF(ISNUMBER(SEARCH("CEO",C738))+ISNUMBER(SEARCH("Founder",C738))+ISNUMBER(SEARCH("Owner",C738))+ISNUMBER(SEARCH("Dueño",C738))+ISNUMBER(SEARCH("Director General",C738))+ISNUMBER(SEARCH("Presidente",C738))+ISNUMBER(SEARCH("President",C738))&gt;0,'Configuración'!$B$31,IF(ISNUMBER(SEARCH("CMO",C738))+ISNUMBER(SEARCH("Chief Marketing",C738))+ISNUMBER(SEARCH("VP Marketing",C738))+ISNUMBER(SEARCH("Director de Marketing",C738))+ISNUMBER(SEARCH("Director Marketing",C738))+ISNUMBER(SEARCH("Head of Marketing",C738))+ISNUMBER(SEARCH("Head Marketing",C738))&gt;0,'Configuración'!$B$32,IF(ISNUMBER(SEARCH("Marketing Manager",C738))+ISNUMBER(SEARCH("Gerente de Marketing",C738))+ISNUMBER(SEARCH("Growth Manager",C738))+ISNUMBER(SEARCH("Demand Gen",C738))+ISNUMBER(SEARCH("Marketing Lead",C738))&gt;0,'Configuración'!$B$33,IF(ISNUMBER(SEARCH("COO",C738))+ISNUMBER(SEARCH("CFO",C738))+ISNUMBER(SEARCH("CTO",C738))+ISNUMBER(SEARCH("Chief Operating",C738))+ISNUMBER(SEARCH("Chief Financial",C738))+ISNUMBER(SEARCH("Gerente General",C738))+ISNUMBER(SEARCH("General Manager",C738))&gt;0,'Configuración'!$B$34,'Configuración'!$B$35)))))</f>
        <v>12</v>
      </c>
      <c r="V738" s="38">
        <f>IF(B738="","",IF(K738="Sí",'Configuración'!$B$5,0)+IF(L738="Semanal",'Configuración'!$B$6,IF(L738="Mensual",'Configuración'!$B$7,0))+IF(M738="Sí",'Configuración'!$B$8,0)+IF(N738="Sí",'Configuración'!$B$9,0)+IF(O738="Sí",'Configuración'!$B$10,0)+IF(P738="Sí",'Configuración'!$B$11,0)+IF(Q738="Sí",'Configuración'!$B$12,0)+S738+T738+U738)</f>
        <v>36</v>
      </c>
      <c r="W738" s="39" t="str">
        <f>IF(B738="","",IF(V738&gt;='Configuración'!$B$19,"A",IF(V738&gt;='Configuración'!$B$20,"B",IF(V738&gt;='Configuración'!$B$21,"C","Descarte"))))</f>
        <v>C</v>
      </c>
    </row>
    <row r="739" ht="15.75" customHeight="1">
      <c r="A739" s="34">
        <f t="shared" si="1"/>
        <v>737</v>
      </c>
      <c r="B739" s="29" t="s">
        <v>2384</v>
      </c>
      <c r="C739" s="29" t="s">
        <v>243</v>
      </c>
      <c r="D739" s="29" t="s">
        <v>4380</v>
      </c>
      <c r="E739" s="29" t="s">
        <v>4381</v>
      </c>
      <c r="F739" s="30" t="s">
        <v>4382</v>
      </c>
      <c r="G739" s="30" t="s">
        <v>4383</v>
      </c>
      <c r="H739" s="30" t="s">
        <v>4384</v>
      </c>
      <c r="I739" s="29" t="s">
        <v>1196</v>
      </c>
      <c r="J739" s="31">
        <v>6.0</v>
      </c>
      <c r="K739" s="35"/>
      <c r="L739" s="35"/>
      <c r="M739" s="35"/>
      <c r="N739" s="35"/>
      <c r="O739" s="35"/>
      <c r="P739" s="35"/>
      <c r="Q739" s="35"/>
      <c r="R739" s="35"/>
      <c r="S739" s="37">
        <f>IF(B739="","",IF(ISNUMBER(J739),IF(J739&lt;=10,'Configuración'!$B$23,IF(J739&lt;=50,'Configuración'!$B$24,IF(J739&lt;=200,'Configuración'!$B$25,0))),0))</f>
        <v>12</v>
      </c>
      <c r="T739" s="37">
        <f>IF(B739="","",IF(ISNUMBER(SEARCH("information technology",I739))+ISNUMBER(SEARCH("software",I739))+ISNUMBER(SEARCH("internet",I739))+ISNUMBER(SEARCH("computer",I739))+ISNUMBER(SEARCH("saas",I739))+ISNUMBER(SEARCH("fintech",I739))+ISNUMBER(SEARCH("information services",I739))+ISNUMBER(SEARCH("telecommunications",I739))&gt;0,'Configuración'!$B$27,'Configuración'!$B$28))</f>
        <v>4</v>
      </c>
      <c r="U739" s="25">
        <f>IF(B739="","",IF(ISNUMBER(SEARCH("CEO",C739))+ISNUMBER(SEARCH("Founder",C739))+ISNUMBER(SEARCH("Owner",C739))+ISNUMBER(SEARCH("Dueño",C739))+ISNUMBER(SEARCH("Director General",C739))+ISNUMBER(SEARCH("Presidente",C739))+ISNUMBER(SEARCH("President",C739))&gt;0,'Configuración'!$B$31,IF(ISNUMBER(SEARCH("CMO",C739))+ISNUMBER(SEARCH("Chief Marketing",C739))+ISNUMBER(SEARCH("VP Marketing",C739))+ISNUMBER(SEARCH("Director de Marketing",C739))+ISNUMBER(SEARCH("Director Marketing",C739))+ISNUMBER(SEARCH("Head of Marketing",C739))+ISNUMBER(SEARCH("Head Marketing",C739))&gt;0,'Configuración'!$B$32,IF(ISNUMBER(SEARCH("Marketing Manager",C739))+ISNUMBER(SEARCH("Gerente de Marketing",C739))+ISNUMBER(SEARCH("Growth Manager",C739))+ISNUMBER(SEARCH("Demand Gen",C739))+ISNUMBER(SEARCH("Marketing Lead",C739))&gt;0,'Configuración'!$B$33,IF(ISNUMBER(SEARCH("COO",C739))+ISNUMBER(SEARCH("CFO",C739))+ISNUMBER(SEARCH("CTO",C739))+ISNUMBER(SEARCH("Chief Operating",C739))+ISNUMBER(SEARCH("Chief Financial",C739))+ISNUMBER(SEARCH("Gerente General",C739))+ISNUMBER(SEARCH("General Manager",C739))&gt;0,'Configuración'!$B$34,'Configuración'!$B$35)))))</f>
        <v>12</v>
      </c>
      <c r="V739" s="38">
        <f>IF(B739="","",IF(K739="Sí",'Configuración'!$B$5,0)+IF(L739="Semanal",'Configuración'!$B$6,IF(L739="Mensual",'Configuración'!$B$7,0))+IF(M739="Sí",'Configuración'!$B$8,0)+IF(N739="Sí",'Configuración'!$B$9,0)+IF(O739="Sí",'Configuración'!$B$10,0)+IF(P739="Sí",'Configuración'!$B$11,0)+IF(Q739="Sí",'Configuración'!$B$12,0)+S739+T739+U739)</f>
        <v>28</v>
      </c>
      <c r="W739" s="39" t="str">
        <f>IF(B739="","",IF(V739&gt;='Configuración'!$B$19,"A",IF(V739&gt;='Configuración'!$B$20,"B",IF(V739&gt;='Configuración'!$B$21,"C","Descarte"))))</f>
        <v>C</v>
      </c>
    </row>
    <row r="740" ht="15.75" customHeight="1">
      <c r="A740" s="34">
        <f t="shared" si="1"/>
        <v>738</v>
      </c>
      <c r="B740" s="29" t="s">
        <v>1331</v>
      </c>
      <c r="C740" s="29" t="s">
        <v>4385</v>
      </c>
      <c r="D740" s="29" t="s">
        <v>4386</v>
      </c>
      <c r="E740" s="29" t="s">
        <v>4387</v>
      </c>
      <c r="F740" s="30" t="s">
        <v>4388</v>
      </c>
      <c r="G740" s="30" t="s">
        <v>4389</v>
      </c>
      <c r="H740" s="30" t="s">
        <v>4390</v>
      </c>
      <c r="I740" s="29" t="s">
        <v>2170</v>
      </c>
      <c r="J740" s="31">
        <v>18.0</v>
      </c>
      <c r="K740" s="35"/>
      <c r="L740" s="35"/>
      <c r="M740" s="35"/>
      <c r="N740" s="35"/>
      <c r="O740" s="35"/>
      <c r="P740" s="35"/>
      <c r="Q740" s="35"/>
      <c r="R740" s="35"/>
      <c r="S740" s="37">
        <f>IF(B740="","",IF(ISNUMBER(J740),IF(J740&lt;=10,'Configuración'!$B$23,IF(J740&lt;=50,'Configuración'!$B$24,IF(J740&lt;=200,'Configuración'!$B$25,0))),0))</f>
        <v>4</v>
      </c>
      <c r="T740" s="37">
        <f>IF(B740="","",IF(ISNUMBER(SEARCH("information technology",I740))+ISNUMBER(SEARCH("software",I740))+ISNUMBER(SEARCH("internet",I740))+ISNUMBER(SEARCH("computer",I740))+ISNUMBER(SEARCH("saas",I740))+ISNUMBER(SEARCH("fintech",I740))+ISNUMBER(SEARCH("information services",I740))+ISNUMBER(SEARCH("telecommunications",I740))&gt;0,'Configuración'!$B$27,'Configuración'!$B$28))</f>
        <v>12</v>
      </c>
      <c r="U740" s="25">
        <f>IF(B740="","",IF(ISNUMBER(SEARCH("CEO",C740))+ISNUMBER(SEARCH("Founder",C740))+ISNUMBER(SEARCH("Owner",C740))+ISNUMBER(SEARCH("Dueño",C740))+ISNUMBER(SEARCH("Director General",C740))+ISNUMBER(SEARCH("Presidente",C740))+ISNUMBER(SEARCH("President",C740))&gt;0,'Configuración'!$B$31,IF(ISNUMBER(SEARCH("CMO",C740))+ISNUMBER(SEARCH("Chief Marketing",C740))+ISNUMBER(SEARCH("VP Marketing",C740))+ISNUMBER(SEARCH("Director de Marketing",C740))+ISNUMBER(SEARCH("Director Marketing",C740))+ISNUMBER(SEARCH("Head of Marketing",C740))+ISNUMBER(SEARCH("Head Marketing",C740))&gt;0,'Configuración'!$B$32,IF(ISNUMBER(SEARCH("Marketing Manager",C740))+ISNUMBER(SEARCH("Gerente de Marketing",C740))+ISNUMBER(SEARCH("Growth Manager",C740))+ISNUMBER(SEARCH("Demand Gen",C740))+ISNUMBER(SEARCH("Marketing Lead",C740))&gt;0,'Configuración'!$B$33,IF(ISNUMBER(SEARCH("COO",C740))+ISNUMBER(SEARCH("CFO",C740))+ISNUMBER(SEARCH("CTO",C740))+ISNUMBER(SEARCH("Chief Operating",C740))+ISNUMBER(SEARCH("Chief Financial",C740))+ISNUMBER(SEARCH("Gerente General",C740))+ISNUMBER(SEARCH("General Manager",C740))&gt;0,'Configuración'!$B$34,'Configuración'!$B$35)))))</f>
        <v>0</v>
      </c>
      <c r="V740" s="38">
        <f>IF(B740="","",IF(K740="Sí",'Configuración'!$B$5,0)+IF(L740="Semanal",'Configuración'!$B$6,IF(L740="Mensual",'Configuración'!$B$7,0))+IF(M740="Sí",'Configuración'!$B$8,0)+IF(N740="Sí",'Configuración'!$B$9,0)+IF(O740="Sí",'Configuración'!$B$10,0)+IF(P740="Sí",'Configuración'!$B$11,0)+IF(Q740="Sí",'Configuración'!$B$12,0)+S740+T740+U740)</f>
        <v>16</v>
      </c>
      <c r="W740" s="39" t="str">
        <f>IF(B740="","",IF(V740&gt;='Configuración'!$B$19,"A",IF(V740&gt;='Configuración'!$B$20,"B",IF(V740&gt;='Configuración'!$B$21,"C","Descarte"))))</f>
        <v>Descarte</v>
      </c>
    </row>
    <row r="741" ht="15.75" customHeight="1">
      <c r="A741" s="34">
        <f t="shared" si="1"/>
        <v>739</v>
      </c>
      <c r="B741" s="29" t="s">
        <v>4391</v>
      </c>
      <c r="C741" s="29" t="s">
        <v>4392</v>
      </c>
      <c r="D741" s="29" t="s">
        <v>4393</v>
      </c>
      <c r="E741" s="29" t="s">
        <v>4394</v>
      </c>
      <c r="F741" s="30" t="s">
        <v>4395</v>
      </c>
      <c r="G741" s="30" t="s">
        <v>4396</v>
      </c>
      <c r="H741" s="30" t="s">
        <v>4397</v>
      </c>
      <c r="I741" s="29" t="s">
        <v>350</v>
      </c>
      <c r="J741" s="31">
        <v>3.0</v>
      </c>
      <c r="K741" s="35"/>
      <c r="L741" s="35"/>
      <c r="M741" s="35"/>
      <c r="N741" s="35"/>
      <c r="O741" s="35"/>
      <c r="P741" s="35"/>
      <c r="Q741" s="35"/>
      <c r="R741" s="35"/>
      <c r="S741" s="37">
        <f>IF(B741="","",IF(ISNUMBER(J741),IF(J741&lt;=10,'Configuración'!$B$23,IF(J741&lt;=50,'Configuración'!$B$24,IF(J741&lt;=200,'Configuración'!$B$25,0))),0))</f>
        <v>12</v>
      </c>
      <c r="T741" s="37">
        <f>IF(B741="","",IF(ISNUMBER(SEARCH("information technology",I741))+ISNUMBER(SEARCH("software",I741))+ISNUMBER(SEARCH("internet",I741))+ISNUMBER(SEARCH("computer",I741))+ISNUMBER(SEARCH("saas",I741))+ISNUMBER(SEARCH("fintech",I741))+ISNUMBER(SEARCH("information services",I741))+ISNUMBER(SEARCH("telecommunications",I741))&gt;0,'Configuración'!$B$27,'Configuración'!$B$28))</f>
        <v>4</v>
      </c>
      <c r="U741" s="25">
        <f>IF(B741="","",IF(ISNUMBER(SEARCH("CEO",C741))+ISNUMBER(SEARCH("Founder",C741))+ISNUMBER(SEARCH("Owner",C741))+ISNUMBER(SEARCH("Dueño",C741))+ISNUMBER(SEARCH("Director General",C741))+ISNUMBER(SEARCH("Presidente",C741))+ISNUMBER(SEARCH("President",C741))&gt;0,'Configuración'!$B$31,IF(ISNUMBER(SEARCH("CMO",C741))+ISNUMBER(SEARCH("Chief Marketing",C741))+ISNUMBER(SEARCH("VP Marketing",C741))+ISNUMBER(SEARCH("Director de Marketing",C741))+ISNUMBER(SEARCH("Director Marketing",C741))+ISNUMBER(SEARCH("Head of Marketing",C741))+ISNUMBER(SEARCH("Head Marketing",C741))&gt;0,'Configuración'!$B$32,IF(ISNUMBER(SEARCH("Marketing Manager",C741))+ISNUMBER(SEARCH("Gerente de Marketing",C741))+ISNUMBER(SEARCH("Growth Manager",C741))+ISNUMBER(SEARCH("Demand Gen",C741))+ISNUMBER(SEARCH("Marketing Lead",C741))&gt;0,'Configuración'!$B$33,IF(ISNUMBER(SEARCH("COO",C741))+ISNUMBER(SEARCH("CFO",C741))+ISNUMBER(SEARCH("CTO",C741))+ISNUMBER(SEARCH("Chief Operating",C741))+ISNUMBER(SEARCH("Chief Financial",C741))+ISNUMBER(SEARCH("Gerente General",C741))+ISNUMBER(SEARCH("General Manager",C741))&gt;0,'Configuración'!$B$34,'Configuración'!$B$35)))))</f>
        <v>12</v>
      </c>
      <c r="V741" s="38">
        <f>IF(B741="","",IF(K741="Sí",'Configuración'!$B$5,0)+IF(L741="Semanal",'Configuración'!$B$6,IF(L741="Mensual",'Configuración'!$B$7,0))+IF(M741="Sí",'Configuración'!$B$8,0)+IF(N741="Sí",'Configuración'!$B$9,0)+IF(O741="Sí",'Configuración'!$B$10,0)+IF(P741="Sí",'Configuración'!$B$11,0)+IF(Q741="Sí",'Configuración'!$B$12,0)+S741+T741+U741)</f>
        <v>28</v>
      </c>
      <c r="W741" s="39" t="str">
        <f>IF(B741="","",IF(V741&gt;='Configuración'!$B$19,"A",IF(V741&gt;='Configuración'!$B$20,"B",IF(V741&gt;='Configuración'!$B$21,"C","Descarte"))))</f>
        <v>C</v>
      </c>
    </row>
    <row r="742" ht="15.75" customHeight="1">
      <c r="A742" s="34">
        <f t="shared" si="1"/>
        <v>740</v>
      </c>
      <c r="B742" s="29" t="s">
        <v>4398</v>
      </c>
      <c r="C742" s="29" t="s">
        <v>4399</v>
      </c>
      <c r="D742" s="29" t="s">
        <v>4400</v>
      </c>
      <c r="E742" s="29" t="s">
        <v>4401</v>
      </c>
      <c r="F742" s="30" t="s">
        <v>4402</v>
      </c>
      <c r="G742" s="30" t="s">
        <v>4403</v>
      </c>
      <c r="H742" s="30" t="s">
        <v>4404</v>
      </c>
      <c r="I742" s="29" t="s">
        <v>116</v>
      </c>
      <c r="J742" s="31">
        <v>7.0</v>
      </c>
      <c r="K742" s="35"/>
      <c r="L742" s="35"/>
      <c r="M742" s="35"/>
      <c r="N742" s="35"/>
      <c r="O742" s="35"/>
      <c r="P742" s="35"/>
      <c r="Q742" s="35"/>
      <c r="R742" s="35"/>
      <c r="S742" s="37">
        <f>IF(B742="","",IF(ISNUMBER(J742),IF(J742&lt;=10,'Configuración'!$B$23,IF(J742&lt;=50,'Configuración'!$B$24,IF(J742&lt;=200,'Configuración'!$B$25,0))),0))</f>
        <v>12</v>
      </c>
      <c r="T742" s="37">
        <f>IF(B742="","",IF(ISNUMBER(SEARCH("information technology",I742))+ISNUMBER(SEARCH("software",I742))+ISNUMBER(SEARCH("internet",I742))+ISNUMBER(SEARCH("computer",I742))+ISNUMBER(SEARCH("saas",I742))+ISNUMBER(SEARCH("fintech",I742))+ISNUMBER(SEARCH("information services",I742))+ISNUMBER(SEARCH("telecommunications",I742))&gt;0,'Configuración'!$B$27,'Configuración'!$B$28))</f>
        <v>4</v>
      </c>
      <c r="U742" s="25">
        <f>IF(B742="","",IF(ISNUMBER(SEARCH("CEO",C742))+ISNUMBER(SEARCH("Founder",C742))+ISNUMBER(SEARCH("Owner",C742))+ISNUMBER(SEARCH("Dueño",C742))+ISNUMBER(SEARCH("Director General",C742))+ISNUMBER(SEARCH("Presidente",C742))+ISNUMBER(SEARCH("President",C742))&gt;0,'Configuración'!$B$31,IF(ISNUMBER(SEARCH("CMO",C742))+ISNUMBER(SEARCH("Chief Marketing",C742))+ISNUMBER(SEARCH("VP Marketing",C742))+ISNUMBER(SEARCH("Director de Marketing",C742))+ISNUMBER(SEARCH("Director Marketing",C742))+ISNUMBER(SEARCH("Head of Marketing",C742))+ISNUMBER(SEARCH("Head Marketing",C742))&gt;0,'Configuración'!$B$32,IF(ISNUMBER(SEARCH("Marketing Manager",C742))+ISNUMBER(SEARCH("Gerente de Marketing",C742))+ISNUMBER(SEARCH("Growth Manager",C742))+ISNUMBER(SEARCH("Demand Gen",C742))+ISNUMBER(SEARCH("Marketing Lead",C742))&gt;0,'Configuración'!$B$33,IF(ISNUMBER(SEARCH("COO",C742))+ISNUMBER(SEARCH("CFO",C742))+ISNUMBER(SEARCH("CTO",C742))+ISNUMBER(SEARCH("Chief Operating",C742))+ISNUMBER(SEARCH("Chief Financial",C742))+ISNUMBER(SEARCH("Gerente General",C742))+ISNUMBER(SEARCH("General Manager",C742))&gt;0,'Configuración'!$B$34,'Configuración'!$B$35)))))</f>
        <v>12</v>
      </c>
      <c r="V742" s="38">
        <f>IF(B742="","",IF(K742="Sí",'Configuración'!$B$5,0)+IF(L742="Semanal",'Configuración'!$B$6,IF(L742="Mensual",'Configuración'!$B$7,0))+IF(M742="Sí",'Configuración'!$B$8,0)+IF(N742="Sí",'Configuración'!$B$9,0)+IF(O742="Sí",'Configuración'!$B$10,0)+IF(P742="Sí",'Configuración'!$B$11,0)+IF(Q742="Sí",'Configuración'!$B$12,0)+S742+T742+U742)</f>
        <v>28</v>
      </c>
      <c r="W742" s="39" t="str">
        <f>IF(B742="","",IF(V742&gt;='Configuración'!$B$19,"A",IF(V742&gt;='Configuración'!$B$20,"B",IF(V742&gt;='Configuración'!$B$21,"C","Descarte"))))</f>
        <v>C</v>
      </c>
    </row>
    <row r="743" ht="15.75" customHeight="1">
      <c r="A743" s="34">
        <f t="shared" si="1"/>
        <v>741</v>
      </c>
      <c r="B743" s="29" t="s">
        <v>813</v>
      </c>
      <c r="C743" s="29" t="s">
        <v>146</v>
      </c>
      <c r="D743" s="29" t="s">
        <v>4405</v>
      </c>
      <c r="E743" s="29" t="s">
        <v>4406</v>
      </c>
      <c r="F743" s="30" t="s">
        <v>4407</v>
      </c>
      <c r="G743" s="30" t="s">
        <v>4408</v>
      </c>
      <c r="H743" s="30" t="s">
        <v>4409</v>
      </c>
      <c r="I743" s="29" t="s">
        <v>873</v>
      </c>
      <c r="J743" s="31">
        <v>3.0</v>
      </c>
      <c r="K743" s="35"/>
      <c r="L743" s="35"/>
      <c r="M743" s="35"/>
      <c r="N743" s="35"/>
      <c r="O743" s="35"/>
      <c r="P743" s="35"/>
      <c r="Q743" s="35"/>
      <c r="R743" s="35"/>
      <c r="S743" s="37">
        <f>IF(B743="","",IF(ISNUMBER(J743),IF(J743&lt;=10,'Configuración'!$B$23,IF(J743&lt;=50,'Configuración'!$B$24,IF(J743&lt;=200,'Configuración'!$B$25,0))),0))</f>
        <v>12</v>
      </c>
      <c r="T743" s="37">
        <f>IF(B743="","",IF(ISNUMBER(SEARCH("information technology",I743))+ISNUMBER(SEARCH("software",I743))+ISNUMBER(SEARCH("internet",I743))+ISNUMBER(SEARCH("computer",I743))+ISNUMBER(SEARCH("saas",I743))+ISNUMBER(SEARCH("fintech",I743))+ISNUMBER(SEARCH("information services",I743))+ISNUMBER(SEARCH("telecommunications",I743))&gt;0,'Configuración'!$B$27,'Configuración'!$B$28))</f>
        <v>4</v>
      </c>
      <c r="U743" s="25">
        <f>IF(B743="","",IF(ISNUMBER(SEARCH("CEO",C743))+ISNUMBER(SEARCH("Founder",C743))+ISNUMBER(SEARCH("Owner",C743))+ISNUMBER(SEARCH("Dueño",C743))+ISNUMBER(SEARCH("Director General",C743))+ISNUMBER(SEARCH("Presidente",C743))+ISNUMBER(SEARCH("President",C743))&gt;0,'Configuración'!$B$31,IF(ISNUMBER(SEARCH("CMO",C743))+ISNUMBER(SEARCH("Chief Marketing",C743))+ISNUMBER(SEARCH("VP Marketing",C743))+ISNUMBER(SEARCH("Director de Marketing",C743))+ISNUMBER(SEARCH("Director Marketing",C743))+ISNUMBER(SEARCH("Head of Marketing",C743))+ISNUMBER(SEARCH("Head Marketing",C743))&gt;0,'Configuración'!$B$32,IF(ISNUMBER(SEARCH("Marketing Manager",C743))+ISNUMBER(SEARCH("Gerente de Marketing",C743))+ISNUMBER(SEARCH("Growth Manager",C743))+ISNUMBER(SEARCH("Demand Gen",C743))+ISNUMBER(SEARCH("Marketing Lead",C743))&gt;0,'Configuración'!$B$33,IF(ISNUMBER(SEARCH("COO",C743))+ISNUMBER(SEARCH("CFO",C743))+ISNUMBER(SEARCH("CTO",C743))+ISNUMBER(SEARCH("Chief Operating",C743))+ISNUMBER(SEARCH("Chief Financial",C743))+ISNUMBER(SEARCH("Gerente General",C743))+ISNUMBER(SEARCH("General Manager",C743))&gt;0,'Configuración'!$B$34,'Configuración'!$B$35)))))</f>
        <v>0</v>
      </c>
      <c r="V743" s="38">
        <f>IF(B743="","",IF(K743="Sí",'Configuración'!$B$5,0)+IF(L743="Semanal",'Configuración'!$B$6,IF(L743="Mensual",'Configuración'!$B$7,0))+IF(M743="Sí",'Configuración'!$B$8,0)+IF(N743="Sí",'Configuración'!$B$9,0)+IF(O743="Sí",'Configuración'!$B$10,0)+IF(P743="Sí",'Configuración'!$B$11,0)+IF(Q743="Sí",'Configuración'!$B$12,0)+S743+T743+U743)</f>
        <v>16</v>
      </c>
      <c r="W743" s="39" t="str">
        <f>IF(B743="","",IF(V743&gt;='Configuración'!$B$19,"A",IF(V743&gt;='Configuración'!$B$20,"B",IF(V743&gt;='Configuración'!$B$21,"C","Descarte"))))</f>
        <v>Descarte</v>
      </c>
    </row>
    <row r="744" ht="15.75" customHeight="1">
      <c r="A744" s="34">
        <f t="shared" si="1"/>
        <v>742</v>
      </c>
      <c r="B744" s="29" t="s">
        <v>3051</v>
      </c>
      <c r="C744" s="29" t="s">
        <v>4410</v>
      </c>
      <c r="D744" s="29" t="s">
        <v>4411</v>
      </c>
      <c r="E744" s="29" t="s">
        <v>4412</v>
      </c>
      <c r="F744" s="30" t="s">
        <v>4413</v>
      </c>
      <c r="G744" s="30" t="s">
        <v>4414</v>
      </c>
      <c r="H744" s="30" t="s">
        <v>4415</v>
      </c>
      <c r="I744" s="29" t="s">
        <v>127</v>
      </c>
      <c r="J744" s="31">
        <v>5.0</v>
      </c>
      <c r="K744" s="35"/>
      <c r="L744" s="35"/>
      <c r="M744" s="35"/>
      <c r="N744" s="35"/>
      <c r="O744" s="35"/>
      <c r="P744" s="35"/>
      <c r="Q744" s="35"/>
      <c r="R744" s="35"/>
      <c r="S744" s="37">
        <f>IF(B744="","",IF(ISNUMBER(J744),IF(J744&lt;=10,'Configuración'!$B$23,IF(J744&lt;=50,'Configuración'!$B$24,IF(J744&lt;=200,'Configuración'!$B$25,0))),0))</f>
        <v>12</v>
      </c>
      <c r="T744" s="37">
        <f>IF(B744="","",IF(ISNUMBER(SEARCH("information technology",I744))+ISNUMBER(SEARCH("software",I744))+ISNUMBER(SEARCH("internet",I744))+ISNUMBER(SEARCH("computer",I744))+ISNUMBER(SEARCH("saas",I744))+ISNUMBER(SEARCH("fintech",I744))+ISNUMBER(SEARCH("information services",I744))+ISNUMBER(SEARCH("telecommunications",I744))&gt;0,'Configuración'!$B$27,'Configuración'!$B$28))</f>
        <v>12</v>
      </c>
      <c r="U744" s="25">
        <f>IF(B744="","",IF(ISNUMBER(SEARCH("CEO",C744))+ISNUMBER(SEARCH("Founder",C744))+ISNUMBER(SEARCH("Owner",C744))+ISNUMBER(SEARCH("Dueño",C744))+ISNUMBER(SEARCH("Director General",C744))+ISNUMBER(SEARCH("Presidente",C744))+ISNUMBER(SEARCH("President",C744))&gt;0,'Configuración'!$B$31,IF(ISNUMBER(SEARCH("CMO",C744))+ISNUMBER(SEARCH("Chief Marketing",C744))+ISNUMBER(SEARCH("VP Marketing",C744))+ISNUMBER(SEARCH("Director de Marketing",C744))+ISNUMBER(SEARCH("Director Marketing",C744))+ISNUMBER(SEARCH("Head of Marketing",C744))+ISNUMBER(SEARCH("Head Marketing",C744))&gt;0,'Configuración'!$B$32,IF(ISNUMBER(SEARCH("Marketing Manager",C744))+ISNUMBER(SEARCH("Gerente de Marketing",C744))+ISNUMBER(SEARCH("Growth Manager",C744))+ISNUMBER(SEARCH("Demand Gen",C744))+ISNUMBER(SEARCH("Marketing Lead",C744))&gt;0,'Configuración'!$B$33,IF(ISNUMBER(SEARCH("COO",C744))+ISNUMBER(SEARCH("CFO",C744))+ISNUMBER(SEARCH("CTO",C744))+ISNUMBER(SEARCH("Chief Operating",C744))+ISNUMBER(SEARCH("Chief Financial",C744))+ISNUMBER(SEARCH("Gerente General",C744))+ISNUMBER(SEARCH("General Manager",C744))&gt;0,'Configuración'!$B$34,'Configuración'!$B$35)))))</f>
        <v>12</v>
      </c>
      <c r="V744" s="38">
        <f>IF(B744="","",IF(K744="Sí",'Configuración'!$B$5,0)+IF(L744="Semanal",'Configuración'!$B$6,IF(L744="Mensual",'Configuración'!$B$7,0))+IF(M744="Sí",'Configuración'!$B$8,0)+IF(N744="Sí",'Configuración'!$B$9,0)+IF(O744="Sí",'Configuración'!$B$10,0)+IF(P744="Sí",'Configuración'!$B$11,0)+IF(Q744="Sí",'Configuración'!$B$12,0)+S744+T744+U744)</f>
        <v>36</v>
      </c>
      <c r="W744" s="39" t="str">
        <f>IF(B744="","",IF(V744&gt;='Configuración'!$B$19,"A",IF(V744&gt;='Configuración'!$B$20,"B",IF(V744&gt;='Configuración'!$B$21,"C","Descarte"))))</f>
        <v>C</v>
      </c>
    </row>
    <row r="745" ht="15.75" customHeight="1">
      <c r="A745" s="34">
        <f t="shared" si="1"/>
        <v>743</v>
      </c>
      <c r="B745" s="29" t="s">
        <v>4416</v>
      </c>
      <c r="C745" s="29" t="s">
        <v>4417</v>
      </c>
      <c r="D745" s="29" t="s">
        <v>4418</v>
      </c>
      <c r="E745" s="29" t="s">
        <v>4419</v>
      </c>
      <c r="F745" s="30" t="s">
        <v>4420</v>
      </c>
      <c r="G745" s="30" t="s">
        <v>4421</v>
      </c>
      <c r="H745" s="30" t="s">
        <v>4422</v>
      </c>
      <c r="I745" s="29" t="s">
        <v>873</v>
      </c>
      <c r="J745" s="31">
        <v>3.0</v>
      </c>
      <c r="K745" s="35"/>
      <c r="L745" s="35"/>
      <c r="M745" s="35"/>
      <c r="N745" s="35"/>
      <c r="O745" s="35"/>
      <c r="P745" s="35"/>
      <c r="Q745" s="35"/>
      <c r="R745" s="35"/>
      <c r="S745" s="37">
        <f>IF(B745="","",IF(ISNUMBER(J745),IF(J745&lt;=10,'Configuración'!$B$23,IF(J745&lt;=50,'Configuración'!$B$24,IF(J745&lt;=200,'Configuración'!$B$25,0))),0))</f>
        <v>12</v>
      </c>
      <c r="T745" s="37">
        <f>IF(B745="","",IF(ISNUMBER(SEARCH("information technology",I745))+ISNUMBER(SEARCH("software",I745))+ISNUMBER(SEARCH("internet",I745))+ISNUMBER(SEARCH("computer",I745))+ISNUMBER(SEARCH("saas",I745))+ISNUMBER(SEARCH("fintech",I745))+ISNUMBER(SEARCH("information services",I745))+ISNUMBER(SEARCH("telecommunications",I745))&gt;0,'Configuración'!$B$27,'Configuración'!$B$28))</f>
        <v>4</v>
      </c>
      <c r="U745" s="25">
        <f>IF(B745="","",IF(ISNUMBER(SEARCH("CEO",C745))+ISNUMBER(SEARCH("Founder",C745))+ISNUMBER(SEARCH("Owner",C745))+ISNUMBER(SEARCH("Dueño",C745))+ISNUMBER(SEARCH("Director General",C745))+ISNUMBER(SEARCH("Presidente",C745))+ISNUMBER(SEARCH("President",C745))&gt;0,'Configuración'!$B$31,IF(ISNUMBER(SEARCH("CMO",C745))+ISNUMBER(SEARCH("Chief Marketing",C745))+ISNUMBER(SEARCH("VP Marketing",C745))+ISNUMBER(SEARCH("Director de Marketing",C745))+ISNUMBER(SEARCH("Director Marketing",C745))+ISNUMBER(SEARCH("Head of Marketing",C745))+ISNUMBER(SEARCH("Head Marketing",C745))&gt;0,'Configuración'!$B$32,IF(ISNUMBER(SEARCH("Marketing Manager",C745))+ISNUMBER(SEARCH("Gerente de Marketing",C745))+ISNUMBER(SEARCH("Growth Manager",C745))+ISNUMBER(SEARCH("Demand Gen",C745))+ISNUMBER(SEARCH("Marketing Lead",C745))&gt;0,'Configuración'!$B$33,IF(ISNUMBER(SEARCH("COO",C745))+ISNUMBER(SEARCH("CFO",C745))+ISNUMBER(SEARCH("CTO",C745))+ISNUMBER(SEARCH("Chief Operating",C745))+ISNUMBER(SEARCH("Chief Financial",C745))+ISNUMBER(SEARCH("Gerente General",C745))+ISNUMBER(SEARCH("General Manager",C745))&gt;0,'Configuración'!$B$34,'Configuración'!$B$35)))))</f>
        <v>12</v>
      </c>
      <c r="V745" s="38">
        <f>IF(B745="","",IF(K745="Sí",'Configuración'!$B$5,0)+IF(L745="Semanal",'Configuración'!$B$6,IF(L745="Mensual",'Configuración'!$B$7,0))+IF(M745="Sí",'Configuración'!$B$8,0)+IF(N745="Sí",'Configuración'!$B$9,0)+IF(O745="Sí",'Configuración'!$B$10,0)+IF(P745="Sí",'Configuración'!$B$11,0)+IF(Q745="Sí",'Configuración'!$B$12,0)+S745+T745+U745)</f>
        <v>28</v>
      </c>
      <c r="W745" s="39" t="str">
        <f>IF(B745="","",IF(V745&gt;='Configuración'!$B$19,"A",IF(V745&gt;='Configuración'!$B$20,"B",IF(V745&gt;='Configuración'!$B$21,"C","Descarte"))))</f>
        <v>C</v>
      </c>
    </row>
    <row r="746" ht="15.75" customHeight="1">
      <c r="A746" s="34">
        <f t="shared" si="1"/>
        <v>744</v>
      </c>
      <c r="B746" s="29" t="s">
        <v>725</v>
      </c>
      <c r="C746" s="29" t="s">
        <v>146</v>
      </c>
      <c r="D746" s="29" t="s">
        <v>4423</v>
      </c>
      <c r="E746" s="29" t="s">
        <v>4424</v>
      </c>
      <c r="F746" s="30" t="s">
        <v>4425</v>
      </c>
      <c r="G746" s="30" t="s">
        <v>4426</v>
      </c>
      <c r="H746" s="30" t="s">
        <v>4427</v>
      </c>
      <c r="I746" s="29" t="s">
        <v>116</v>
      </c>
      <c r="J746" s="31">
        <v>2.0</v>
      </c>
      <c r="K746" s="35"/>
      <c r="L746" s="35"/>
      <c r="M746" s="35"/>
      <c r="N746" s="35"/>
      <c r="O746" s="35"/>
      <c r="P746" s="35"/>
      <c r="Q746" s="35"/>
      <c r="R746" s="35"/>
      <c r="S746" s="37">
        <f>IF(B746="","",IF(ISNUMBER(J746),IF(J746&lt;=10,'Configuración'!$B$23,IF(J746&lt;=50,'Configuración'!$B$24,IF(J746&lt;=200,'Configuración'!$B$25,0))),0))</f>
        <v>12</v>
      </c>
      <c r="T746" s="37">
        <f>IF(B746="","",IF(ISNUMBER(SEARCH("information technology",I746))+ISNUMBER(SEARCH("software",I746))+ISNUMBER(SEARCH("internet",I746))+ISNUMBER(SEARCH("computer",I746))+ISNUMBER(SEARCH("saas",I746))+ISNUMBER(SEARCH("fintech",I746))+ISNUMBER(SEARCH("information services",I746))+ISNUMBER(SEARCH("telecommunications",I746))&gt;0,'Configuración'!$B$27,'Configuración'!$B$28))</f>
        <v>4</v>
      </c>
      <c r="U746" s="25">
        <f>IF(B746="","",IF(ISNUMBER(SEARCH("CEO",C746))+ISNUMBER(SEARCH("Founder",C746))+ISNUMBER(SEARCH("Owner",C746))+ISNUMBER(SEARCH("Dueño",C746))+ISNUMBER(SEARCH("Director General",C746))+ISNUMBER(SEARCH("Presidente",C746))+ISNUMBER(SEARCH("President",C746))&gt;0,'Configuración'!$B$31,IF(ISNUMBER(SEARCH("CMO",C746))+ISNUMBER(SEARCH("Chief Marketing",C746))+ISNUMBER(SEARCH("VP Marketing",C746))+ISNUMBER(SEARCH("Director de Marketing",C746))+ISNUMBER(SEARCH("Director Marketing",C746))+ISNUMBER(SEARCH("Head of Marketing",C746))+ISNUMBER(SEARCH("Head Marketing",C746))&gt;0,'Configuración'!$B$32,IF(ISNUMBER(SEARCH("Marketing Manager",C746))+ISNUMBER(SEARCH("Gerente de Marketing",C746))+ISNUMBER(SEARCH("Growth Manager",C746))+ISNUMBER(SEARCH("Demand Gen",C746))+ISNUMBER(SEARCH("Marketing Lead",C746))&gt;0,'Configuración'!$B$33,IF(ISNUMBER(SEARCH("COO",C746))+ISNUMBER(SEARCH("CFO",C746))+ISNUMBER(SEARCH("CTO",C746))+ISNUMBER(SEARCH("Chief Operating",C746))+ISNUMBER(SEARCH("Chief Financial",C746))+ISNUMBER(SEARCH("Gerente General",C746))+ISNUMBER(SEARCH("General Manager",C746))&gt;0,'Configuración'!$B$34,'Configuración'!$B$35)))))</f>
        <v>0</v>
      </c>
      <c r="V746" s="38">
        <f>IF(B746="","",IF(K746="Sí",'Configuración'!$B$5,0)+IF(L746="Semanal",'Configuración'!$B$6,IF(L746="Mensual",'Configuración'!$B$7,0))+IF(M746="Sí",'Configuración'!$B$8,0)+IF(N746="Sí",'Configuración'!$B$9,0)+IF(O746="Sí",'Configuración'!$B$10,0)+IF(P746="Sí",'Configuración'!$B$11,0)+IF(Q746="Sí",'Configuración'!$B$12,0)+S746+T746+U746)</f>
        <v>16</v>
      </c>
      <c r="W746" s="39" t="str">
        <f>IF(B746="","",IF(V746&gt;='Configuración'!$B$19,"A",IF(V746&gt;='Configuración'!$B$20,"B",IF(V746&gt;='Configuración'!$B$21,"C","Descarte"))))</f>
        <v>Descarte</v>
      </c>
    </row>
    <row r="747" ht="15.75" customHeight="1">
      <c r="A747" s="34">
        <f t="shared" si="1"/>
        <v>745</v>
      </c>
      <c r="B747" s="29" t="s">
        <v>481</v>
      </c>
      <c r="C747" s="29" t="s">
        <v>2129</v>
      </c>
      <c r="D747" s="29" t="s">
        <v>4428</v>
      </c>
      <c r="E747" s="29" t="s">
        <v>4429</v>
      </c>
      <c r="F747" s="30" t="s">
        <v>4430</v>
      </c>
      <c r="G747" s="30" t="s">
        <v>4431</v>
      </c>
      <c r="H747" s="30" t="s">
        <v>4432</v>
      </c>
      <c r="I747" s="29" t="s">
        <v>127</v>
      </c>
      <c r="J747" s="31">
        <v>2.0</v>
      </c>
      <c r="K747" s="35"/>
      <c r="L747" s="35"/>
      <c r="M747" s="35"/>
      <c r="N747" s="35"/>
      <c r="O747" s="35"/>
      <c r="P747" s="35"/>
      <c r="Q747" s="35"/>
      <c r="R747" s="35"/>
      <c r="S747" s="37">
        <f>IF(B747="","",IF(ISNUMBER(J747),IF(J747&lt;=10,'Configuración'!$B$23,IF(J747&lt;=50,'Configuración'!$B$24,IF(J747&lt;=200,'Configuración'!$B$25,0))),0))</f>
        <v>12</v>
      </c>
      <c r="T747" s="37">
        <f>IF(B747="","",IF(ISNUMBER(SEARCH("information technology",I747))+ISNUMBER(SEARCH("software",I747))+ISNUMBER(SEARCH("internet",I747))+ISNUMBER(SEARCH("computer",I747))+ISNUMBER(SEARCH("saas",I747))+ISNUMBER(SEARCH("fintech",I747))+ISNUMBER(SEARCH("information services",I747))+ISNUMBER(SEARCH("telecommunications",I747))&gt;0,'Configuración'!$B$27,'Configuración'!$B$28))</f>
        <v>12</v>
      </c>
      <c r="U747" s="25">
        <f>IF(B747="","",IF(ISNUMBER(SEARCH("CEO",C747))+ISNUMBER(SEARCH("Founder",C747))+ISNUMBER(SEARCH("Owner",C747))+ISNUMBER(SEARCH("Dueño",C747))+ISNUMBER(SEARCH("Director General",C747))+ISNUMBER(SEARCH("Presidente",C747))+ISNUMBER(SEARCH("President",C747))&gt;0,'Configuración'!$B$31,IF(ISNUMBER(SEARCH("CMO",C747))+ISNUMBER(SEARCH("Chief Marketing",C747))+ISNUMBER(SEARCH("VP Marketing",C747))+ISNUMBER(SEARCH("Director de Marketing",C747))+ISNUMBER(SEARCH("Director Marketing",C747))+ISNUMBER(SEARCH("Head of Marketing",C747))+ISNUMBER(SEARCH("Head Marketing",C747))&gt;0,'Configuración'!$B$32,IF(ISNUMBER(SEARCH("Marketing Manager",C747))+ISNUMBER(SEARCH("Gerente de Marketing",C747))+ISNUMBER(SEARCH("Growth Manager",C747))+ISNUMBER(SEARCH("Demand Gen",C747))+ISNUMBER(SEARCH("Marketing Lead",C747))&gt;0,'Configuración'!$B$33,IF(ISNUMBER(SEARCH("COO",C747))+ISNUMBER(SEARCH("CFO",C747))+ISNUMBER(SEARCH("CTO",C747))+ISNUMBER(SEARCH("Chief Operating",C747))+ISNUMBER(SEARCH("Chief Financial",C747))+ISNUMBER(SEARCH("Gerente General",C747))+ISNUMBER(SEARCH("General Manager",C747))&gt;0,'Configuración'!$B$34,'Configuración'!$B$35)))))</f>
        <v>12</v>
      </c>
      <c r="V747" s="38">
        <f>IF(B747="","",IF(K747="Sí",'Configuración'!$B$5,0)+IF(L747="Semanal",'Configuración'!$B$6,IF(L747="Mensual",'Configuración'!$B$7,0))+IF(M747="Sí",'Configuración'!$B$8,0)+IF(N747="Sí",'Configuración'!$B$9,0)+IF(O747="Sí",'Configuración'!$B$10,0)+IF(P747="Sí",'Configuración'!$B$11,0)+IF(Q747="Sí",'Configuración'!$B$12,0)+S747+T747+U747)</f>
        <v>36</v>
      </c>
      <c r="W747" s="39" t="str">
        <f>IF(B747="","",IF(V747&gt;='Configuración'!$B$19,"A",IF(V747&gt;='Configuración'!$B$20,"B",IF(V747&gt;='Configuración'!$B$21,"C","Descarte"))))</f>
        <v>C</v>
      </c>
    </row>
    <row r="748" ht="15.75" customHeight="1">
      <c r="A748" s="34">
        <f t="shared" si="1"/>
        <v>746</v>
      </c>
      <c r="B748" s="29" t="s">
        <v>4433</v>
      </c>
      <c r="C748" s="29" t="s">
        <v>4434</v>
      </c>
      <c r="D748" s="29" t="s">
        <v>4435</v>
      </c>
      <c r="E748" s="29" t="s">
        <v>4436</v>
      </c>
      <c r="F748" s="30" t="s">
        <v>4437</v>
      </c>
      <c r="G748" s="30" t="s">
        <v>4438</v>
      </c>
      <c r="H748" s="30" t="s">
        <v>4439</v>
      </c>
      <c r="I748" s="29" t="s">
        <v>380</v>
      </c>
      <c r="J748" s="31">
        <v>10.0</v>
      </c>
      <c r="K748" s="35"/>
      <c r="L748" s="35"/>
      <c r="M748" s="35"/>
      <c r="N748" s="35"/>
      <c r="O748" s="35"/>
      <c r="P748" s="35"/>
      <c r="Q748" s="35"/>
      <c r="R748" s="35"/>
      <c r="S748" s="37">
        <f>IF(B748="","",IF(ISNUMBER(J748),IF(J748&lt;=10,'Configuración'!$B$23,IF(J748&lt;=50,'Configuración'!$B$24,IF(J748&lt;=200,'Configuración'!$B$25,0))),0))</f>
        <v>12</v>
      </c>
      <c r="T748" s="37">
        <f>IF(B748="","",IF(ISNUMBER(SEARCH("information technology",I748))+ISNUMBER(SEARCH("software",I748))+ISNUMBER(SEARCH("internet",I748))+ISNUMBER(SEARCH("computer",I748))+ISNUMBER(SEARCH("saas",I748))+ISNUMBER(SEARCH("fintech",I748))+ISNUMBER(SEARCH("information services",I748))+ISNUMBER(SEARCH("telecommunications",I748))&gt;0,'Configuración'!$B$27,'Configuración'!$B$28))</f>
        <v>4</v>
      </c>
      <c r="U748" s="25">
        <f>IF(B748="","",IF(ISNUMBER(SEARCH("CEO",C748))+ISNUMBER(SEARCH("Founder",C748))+ISNUMBER(SEARCH("Owner",C748))+ISNUMBER(SEARCH("Dueño",C748))+ISNUMBER(SEARCH("Director General",C748))+ISNUMBER(SEARCH("Presidente",C748))+ISNUMBER(SEARCH("President",C748))&gt;0,'Configuración'!$B$31,IF(ISNUMBER(SEARCH("CMO",C748))+ISNUMBER(SEARCH("Chief Marketing",C748))+ISNUMBER(SEARCH("VP Marketing",C748))+ISNUMBER(SEARCH("Director de Marketing",C748))+ISNUMBER(SEARCH("Director Marketing",C748))+ISNUMBER(SEARCH("Head of Marketing",C748))+ISNUMBER(SEARCH("Head Marketing",C748))&gt;0,'Configuración'!$B$32,IF(ISNUMBER(SEARCH("Marketing Manager",C748))+ISNUMBER(SEARCH("Gerente de Marketing",C748))+ISNUMBER(SEARCH("Growth Manager",C748))+ISNUMBER(SEARCH("Demand Gen",C748))+ISNUMBER(SEARCH("Marketing Lead",C748))&gt;0,'Configuración'!$B$33,IF(ISNUMBER(SEARCH("COO",C748))+ISNUMBER(SEARCH("CFO",C748))+ISNUMBER(SEARCH("CTO",C748))+ISNUMBER(SEARCH("Chief Operating",C748))+ISNUMBER(SEARCH("Chief Financial",C748))+ISNUMBER(SEARCH("Gerente General",C748))+ISNUMBER(SEARCH("General Manager",C748))&gt;0,'Configuración'!$B$34,'Configuración'!$B$35)))))</f>
        <v>12</v>
      </c>
      <c r="V748" s="38">
        <f>IF(B748="","",IF(K748="Sí",'Configuración'!$B$5,0)+IF(L748="Semanal",'Configuración'!$B$6,IF(L748="Mensual",'Configuración'!$B$7,0))+IF(M748="Sí",'Configuración'!$B$8,0)+IF(N748="Sí",'Configuración'!$B$9,0)+IF(O748="Sí",'Configuración'!$B$10,0)+IF(P748="Sí",'Configuración'!$B$11,0)+IF(Q748="Sí",'Configuración'!$B$12,0)+S748+T748+U748)</f>
        <v>28</v>
      </c>
      <c r="W748" s="39" t="str">
        <f>IF(B748="","",IF(V748&gt;='Configuración'!$B$19,"A",IF(V748&gt;='Configuración'!$B$20,"B",IF(V748&gt;='Configuración'!$B$21,"C","Descarte"))))</f>
        <v>C</v>
      </c>
    </row>
    <row r="749" ht="15.75" customHeight="1">
      <c r="A749" s="34">
        <f t="shared" si="1"/>
        <v>747</v>
      </c>
      <c r="B749" s="29" t="s">
        <v>181</v>
      </c>
      <c r="C749" s="29" t="s">
        <v>146</v>
      </c>
      <c r="D749" s="29" t="s">
        <v>4440</v>
      </c>
      <c r="E749" s="29" t="s">
        <v>4441</v>
      </c>
      <c r="F749" s="30" t="s">
        <v>4442</v>
      </c>
      <c r="G749" s="30" t="s">
        <v>4443</v>
      </c>
      <c r="H749" s="30" t="s">
        <v>4444</v>
      </c>
      <c r="I749" s="29" t="s">
        <v>1922</v>
      </c>
      <c r="J749" s="31">
        <v>7.0</v>
      </c>
      <c r="K749" s="35"/>
      <c r="L749" s="35"/>
      <c r="M749" s="35"/>
      <c r="N749" s="35"/>
      <c r="O749" s="35"/>
      <c r="P749" s="35"/>
      <c r="Q749" s="35"/>
      <c r="R749" s="35"/>
      <c r="S749" s="37">
        <f>IF(B749="","",IF(ISNUMBER(J749),IF(J749&lt;=10,'Configuración'!$B$23,IF(J749&lt;=50,'Configuración'!$B$24,IF(J749&lt;=200,'Configuración'!$B$25,0))),0))</f>
        <v>12</v>
      </c>
      <c r="T749" s="37">
        <f>IF(B749="","",IF(ISNUMBER(SEARCH("information technology",I749))+ISNUMBER(SEARCH("software",I749))+ISNUMBER(SEARCH("internet",I749))+ISNUMBER(SEARCH("computer",I749))+ISNUMBER(SEARCH("saas",I749))+ISNUMBER(SEARCH("fintech",I749))+ISNUMBER(SEARCH("information services",I749))+ISNUMBER(SEARCH("telecommunications",I749))&gt;0,'Configuración'!$B$27,'Configuración'!$B$28))</f>
        <v>4</v>
      </c>
      <c r="U749" s="25">
        <f>IF(B749="","",IF(ISNUMBER(SEARCH("CEO",C749))+ISNUMBER(SEARCH("Founder",C749))+ISNUMBER(SEARCH("Owner",C749))+ISNUMBER(SEARCH("Dueño",C749))+ISNUMBER(SEARCH("Director General",C749))+ISNUMBER(SEARCH("Presidente",C749))+ISNUMBER(SEARCH("President",C749))&gt;0,'Configuración'!$B$31,IF(ISNUMBER(SEARCH("CMO",C749))+ISNUMBER(SEARCH("Chief Marketing",C749))+ISNUMBER(SEARCH("VP Marketing",C749))+ISNUMBER(SEARCH("Director de Marketing",C749))+ISNUMBER(SEARCH("Director Marketing",C749))+ISNUMBER(SEARCH("Head of Marketing",C749))+ISNUMBER(SEARCH("Head Marketing",C749))&gt;0,'Configuración'!$B$32,IF(ISNUMBER(SEARCH("Marketing Manager",C749))+ISNUMBER(SEARCH("Gerente de Marketing",C749))+ISNUMBER(SEARCH("Growth Manager",C749))+ISNUMBER(SEARCH("Demand Gen",C749))+ISNUMBER(SEARCH("Marketing Lead",C749))&gt;0,'Configuración'!$B$33,IF(ISNUMBER(SEARCH("COO",C749))+ISNUMBER(SEARCH("CFO",C749))+ISNUMBER(SEARCH("CTO",C749))+ISNUMBER(SEARCH("Chief Operating",C749))+ISNUMBER(SEARCH("Chief Financial",C749))+ISNUMBER(SEARCH("Gerente General",C749))+ISNUMBER(SEARCH("General Manager",C749))&gt;0,'Configuración'!$B$34,'Configuración'!$B$35)))))</f>
        <v>0</v>
      </c>
      <c r="V749" s="38">
        <f>IF(B749="","",IF(K749="Sí",'Configuración'!$B$5,0)+IF(L749="Semanal",'Configuración'!$B$6,IF(L749="Mensual",'Configuración'!$B$7,0))+IF(M749="Sí",'Configuración'!$B$8,0)+IF(N749="Sí",'Configuración'!$B$9,0)+IF(O749="Sí",'Configuración'!$B$10,0)+IF(P749="Sí",'Configuración'!$B$11,0)+IF(Q749="Sí",'Configuración'!$B$12,0)+S749+T749+U749)</f>
        <v>16</v>
      </c>
      <c r="W749" s="39" t="str">
        <f>IF(B749="","",IF(V749&gt;='Configuración'!$B$19,"A",IF(V749&gt;='Configuración'!$B$20,"B",IF(V749&gt;='Configuración'!$B$21,"C","Descarte"))))</f>
        <v>Descarte</v>
      </c>
    </row>
    <row r="750" ht="15.75" customHeight="1">
      <c r="A750" s="34">
        <f t="shared" si="1"/>
        <v>748</v>
      </c>
      <c r="B750" s="29" t="s">
        <v>4445</v>
      </c>
      <c r="C750" s="29" t="s">
        <v>4446</v>
      </c>
      <c r="D750" s="29" t="s">
        <v>4447</v>
      </c>
      <c r="E750" s="29"/>
      <c r="F750" s="30" t="s">
        <v>4448</v>
      </c>
      <c r="G750" s="30" t="s">
        <v>4449</v>
      </c>
      <c r="H750" s="30" t="s">
        <v>4450</v>
      </c>
      <c r="I750" s="29" t="s">
        <v>2669</v>
      </c>
      <c r="J750" s="31">
        <v>18.0</v>
      </c>
      <c r="K750" s="35"/>
      <c r="L750" s="35"/>
      <c r="M750" s="35"/>
      <c r="N750" s="35"/>
      <c r="O750" s="35"/>
      <c r="P750" s="35"/>
      <c r="Q750" s="35"/>
      <c r="R750" s="35"/>
      <c r="S750" s="37">
        <f>IF(B750="","",IF(ISNUMBER(J750),IF(J750&lt;=10,'Configuración'!$B$23,IF(J750&lt;=50,'Configuración'!$B$24,IF(J750&lt;=200,'Configuración'!$B$25,0))),0))</f>
        <v>4</v>
      </c>
      <c r="T750" s="37">
        <f>IF(B750="","",IF(ISNUMBER(SEARCH("information technology",I750))+ISNUMBER(SEARCH("software",I750))+ISNUMBER(SEARCH("internet",I750))+ISNUMBER(SEARCH("computer",I750))+ISNUMBER(SEARCH("saas",I750))+ISNUMBER(SEARCH("fintech",I750))+ISNUMBER(SEARCH("information services",I750))+ISNUMBER(SEARCH("telecommunications",I750))&gt;0,'Configuración'!$B$27,'Configuración'!$B$28))</f>
        <v>4</v>
      </c>
      <c r="U750" s="25">
        <f>IF(B750="","",IF(ISNUMBER(SEARCH("CEO",C750))+ISNUMBER(SEARCH("Founder",C750))+ISNUMBER(SEARCH("Owner",C750))+ISNUMBER(SEARCH("Dueño",C750))+ISNUMBER(SEARCH("Director General",C750))+ISNUMBER(SEARCH("Presidente",C750))+ISNUMBER(SEARCH("President",C750))&gt;0,'Configuración'!$B$31,IF(ISNUMBER(SEARCH("CMO",C750))+ISNUMBER(SEARCH("Chief Marketing",C750))+ISNUMBER(SEARCH("VP Marketing",C750))+ISNUMBER(SEARCH("Director de Marketing",C750))+ISNUMBER(SEARCH("Director Marketing",C750))+ISNUMBER(SEARCH("Head of Marketing",C750))+ISNUMBER(SEARCH("Head Marketing",C750))&gt;0,'Configuración'!$B$32,IF(ISNUMBER(SEARCH("Marketing Manager",C750))+ISNUMBER(SEARCH("Gerente de Marketing",C750))+ISNUMBER(SEARCH("Growth Manager",C750))+ISNUMBER(SEARCH("Demand Gen",C750))+ISNUMBER(SEARCH("Marketing Lead",C750))&gt;0,'Configuración'!$B$33,IF(ISNUMBER(SEARCH("COO",C750))+ISNUMBER(SEARCH("CFO",C750))+ISNUMBER(SEARCH("CTO",C750))+ISNUMBER(SEARCH("Chief Operating",C750))+ISNUMBER(SEARCH("Chief Financial",C750))+ISNUMBER(SEARCH("Gerente General",C750))+ISNUMBER(SEARCH("General Manager",C750))&gt;0,'Configuración'!$B$34,'Configuración'!$B$35)))))</f>
        <v>4</v>
      </c>
      <c r="V750" s="38">
        <f>IF(B750="","",IF(K750="Sí",'Configuración'!$B$5,0)+IF(L750="Semanal",'Configuración'!$B$6,IF(L750="Mensual",'Configuración'!$B$7,0))+IF(M750="Sí",'Configuración'!$B$8,0)+IF(N750="Sí",'Configuración'!$B$9,0)+IF(O750="Sí",'Configuración'!$B$10,0)+IF(P750="Sí",'Configuración'!$B$11,0)+IF(Q750="Sí",'Configuración'!$B$12,0)+S750+T750+U750)</f>
        <v>12</v>
      </c>
      <c r="W750" s="39" t="str">
        <f>IF(B750="","",IF(V750&gt;='Configuración'!$B$19,"A",IF(V750&gt;='Configuración'!$B$20,"B",IF(V750&gt;='Configuración'!$B$21,"C","Descarte"))))</f>
        <v>Descarte</v>
      </c>
    </row>
    <row r="751" ht="15.75" customHeight="1">
      <c r="A751" s="34">
        <f t="shared" si="1"/>
        <v>749</v>
      </c>
      <c r="B751" s="29" t="s">
        <v>466</v>
      </c>
      <c r="C751" s="29" t="s">
        <v>4451</v>
      </c>
      <c r="D751" s="29" t="s">
        <v>4452</v>
      </c>
      <c r="E751" s="29" t="s">
        <v>4453</v>
      </c>
      <c r="F751" s="30" t="s">
        <v>4454</v>
      </c>
      <c r="G751" s="30" t="s">
        <v>4455</v>
      </c>
      <c r="H751" s="30" t="s">
        <v>4456</v>
      </c>
      <c r="I751" s="29" t="s">
        <v>1950</v>
      </c>
      <c r="J751" s="31">
        <v>76.0</v>
      </c>
      <c r="K751" s="35"/>
      <c r="L751" s="35"/>
      <c r="M751" s="35"/>
      <c r="N751" s="35"/>
      <c r="O751" s="35"/>
      <c r="P751" s="35"/>
      <c r="Q751" s="35"/>
      <c r="R751" s="35"/>
      <c r="S751" s="37">
        <f>IF(B751="","",IF(ISNUMBER(J751),IF(J751&lt;=10,'Configuración'!$B$23,IF(J751&lt;=50,'Configuración'!$B$24,IF(J751&lt;=200,'Configuración'!$B$25,0))),0))</f>
        <v>0</v>
      </c>
      <c r="T751" s="37">
        <f>IF(B751="","",IF(ISNUMBER(SEARCH("information technology",I751))+ISNUMBER(SEARCH("software",I751))+ISNUMBER(SEARCH("internet",I751))+ISNUMBER(SEARCH("computer",I751))+ISNUMBER(SEARCH("saas",I751))+ISNUMBER(SEARCH("fintech",I751))+ISNUMBER(SEARCH("information services",I751))+ISNUMBER(SEARCH("telecommunications",I751))&gt;0,'Configuración'!$B$27,'Configuración'!$B$28))</f>
        <v>4</v>
      </c>
      <c r="U751" s="25">
        <f>IF(B751="","",IF(ISNUMBER(SEARCH("CEO",C751))+ISNUMBER(SEARCH("Founder",C751))+ISNUMBER(SEARCH("Owner",C751))+ISNUMBER(SEARCH("Dueño",C751))+ISNUMBER(SEARCH("Director General",C751))+ISNUMBER(SEARCH("Presidente",C751))+ISNUMBER(SEARCH("President",C751))&gt;0,'Configuración'!$B$31,IF(ISNUMBER(SEARCH("CMO",C751))+ISNUMBER(SEARCH("Chief Marketing",C751))+ISNUMBER(SEARCH("VP Marketing",C751))+ISNUMBER(SEARCH("Director de Marketing",C751))+ISNUMBER(SEARCH("Director Marketing",C751))+ISNUMBER(SEARCH("Head of Marketing",C751))+ISNUMBER(SEARCH("Head Marketing",C751))&gt;0,'Configuración'!$B$32,IF(ISNUMBER(SEARCH("Marketing Manager",C751))+ISNUMBER(SEARCH("Gerente de Marketing",C751))+ISNUMBER(SEARCH("Growth Manager",C751))+ISNUMBER(SEARCH("Demand Gen",C751))+ISNUMBER(SEARCH("Marketing Lead",C751))&gt;0,'Configuración'!$B$33,IF(ISNUMBER(SEARCH("COO",C751))+ISNUMBER(SEARCH("CFO",C751))+ISNUMBER(SEARCH("CTO",C751))+ISNUMBER(SEARCH("Chief Operating",C751))+ISNUMBER(SEARCH("Chief Financial",C751))+ISNUMBER(SEARCH("Gerente General",C751))+ISNUMBER(SEARCH("General Manager",C751))&gt;0,'Configuración'!$B$34,'Configuración'!$B$35)))))</f>
        <v>12</v>
      </c>
      <c r="V751" s="38">
        <f>IF(B751="","",IF(K751="Sí",'Configuración'!$B$5,0)+IF(L751="Semanal",'Configuración'!$B$6,IF(L751="Mensual",'Configuración'!$B$7,0))+IF(M751="Sí",'Configuración'!$B$8,0)+IF(N751="Sí",'Configuración'!$B$9,0)+IF(O751="Sí",'Configuración'!$B$10,0)+IF(P751="Sí",'Configuración'!$B$11,0)+IF(Q751="Sí",'Configuración'!$B$12,0)+S751+T751+U751)</f>
        <v>16</v>
      </c>
      <c r="W751" s="39" t="str">
        <f>IF(B751="","",IF(V751&gt;='Configuración'!$B$19,"A",IF(V751&gt;='Configuración'!$B$20,"B",IF(V751&gt;='Configuración'!$B$21,"C","Descarte"))))</f>
        <v>Descarte</v>
      </c>
    </row>
    <row r="752" ht="15.75" customHeight="1">
      <c r="A752" s="34">
        <f t="shared" si="1"/>
        <v>750</v>
      </c>
      <c r="B752" s="29" t="s">
        <v>2182</v>
      </c>
      <c r="C752" s="29" t="s">
        <v>202</v>
      </c>
      <c r="D752" s="29" t="s">
        <v>4457</v>
      </c>
      <c r="E752" s="29" t="s">
        <v>4458</v>
      </c>
      <c r="F752" s="30" t="s">
        <v>4459</v>
      </c>
      <c r="G752" s="30" t="s">
        <v>4460</v>
      </c>
      <c r="H752" s="30" t="s">
        <v>4461</v>
      </c>
      <c r="I752" s="29" t="s">
        <v>127</v>
      </c>
      <c r="J752" s="31">
        <v>5.0</v>
      </c>
      <c r="K752" s="35"/>
      <c r="L752" s="35"/>
      <c r="M752" s="35"/>
      <c r="N752" s="35"/>
      <c r="O752" s="35"/>
      <c r="P752" s="35"/>
      <c r="Q752" s="35"/>
      <c r="R752" s="35"/>
      <c r="S752" s="37">
        <f>IF(B752="","",IF(ISNUMBER(J752),IF(J752&lt;=10,'Configuración'!$B$23,IF(J752&lt;=50,'Configuración'!$B$24,IF(J752&lt;=200,'Configuración'!$B$25,0))),0))</f>
        <v>12</v>
      </c>
      <c r="T752" s="37">
        <f>IF(B752="","",IF(ISNUMBER(SEARCH("information technology",I752))+ISNUMBER(SEARCH("software",I752))+ISNUMBER(SEARCH("internet",I752))+ISNUMBER(SEARCH("computer",I752))+ISNUMBER(SEARCH("saas",I752))+ISNUMBER(SEARCH("fintech",I752))+ISNUMBER(SEARCH("information services",I752))+ISNUMBER(SEARCH("telecommunications",I752))&gt;0,'Configuración'!$B$27,'Configuración'!$B$28))</f>
        <v>12</v>
      </c>
      <c r="U752" s="25">
        <f>IF(B752="","",IF(ISNUMBER(SEARCH("CEO",C752))+ISNUMBER(SEARCH("Founder",C752))+ISNUMBER(SEARCH("Owner",C752))+ISNUMBER(SEARCH("Dueño",C752))+ISNUMBER(SEARCH("Director General",C752))+ISNUMBER(SEARCH("Presidente",C752))+ISNUMBER(SEARCH("President",C752))&gt;0,'Configuración'!$B$31,IF(ISNUMBER(SEARCH("CMO",C752))+ISNUMBER(SEARCH("Chief Marketing",C752))+ISNUMBER(SEARCH("VP Marketing",C752))+ISNUMBER(SEARCH("Director de Marketing",C752))+ISNUMBER(SEARCH("Director Marketing",C752))+ISNUMBER(SEARCH("Head of Marketing",C752))+ISNUMBER(SEARCH("Head Marketing",C752))&gt;0,'Configuración'!$B$32,IF(ISNUMBER(SEARCH("Marketing Manager",C752))+ISNUMBER(SEARCH("Gerente de Marketing",C752))+ISNUMBER(SEARCH("Growth Manager",C752))+ISNUMBER(SEARCH("Demand Gen",C752))+ISNUMBER(SEARCH("Marketing Lead",C752))&gt;0,'Configuración'!$B$33,IF(ISNUMBER(SEARCH("COO",C752))+ISNUMBER(SEARCH("CFO",C752))+ISNUMBER(SEARCH("CTO",C752))+ISNUMBER(SEARCH("Chief Operating",C752))+ISNUMBER(SEARCH("Chief Financial",C752))+ISNUMBER(SEARCH("Gerente General",C752))+ISNUMBER(SEARCH("General Manager",C752))&gt;0,'Configuración'!$B$34,'Configuración'!$B$35)))))</f>
        <v>12</v>
      </c>
      <c r="V752" s="38">
        <f>IF(B752="","",IF(K752="Sí",'Configuración'!$B$5,0)+IF(L752="Semanal",'Configuración'!$B$6,IF(L752="Mensual",'Configuración'!$B$7,0))+IF(M752="Sí",'Configuración'!$B$8,0)+IF(N752="Sí",'Configuración'!$B$9,0)+IF(O752="Sí",'Configuración'!$B$10,0)+IF(P752="Sí",'Configuración'!$B$11,0)+IF(Q752="Sí",'Configuración'!$B$12,0)+S752+T752+U752)</f>
        <v>36</v>
      </c>
      <c r="W752" s="39" t="str">
        <f>IF(B752="","",IF(V752&gt;='Configuración'!$B$19,"A",IF(V752&gt;='Configuración'!$B$20,"B",IF(V752&gt;='Configuración'!$B$21,"C","Descarte"))))</f>
        <v>C</v>
      </c>
    </row>
    <row r="753" ht="15.75" customHeight="1">
      <c r="A753" s="34">
        <f t="shared" si="1"/>
        <v>751</v>
      </c>
      <c r="B753" s="29" t="s">
        <v>4462</v>
      </c>
      <c r="C753" s="29" t="s">
        <v>516</v>
      </c>
      <c r="D753" s="29" t="s">
        <v>4463</v>
      </c>
      <c r="E753" s="29" t="s">
        <v>4464</v>
      </c>
      <c r="F753" s="30" t="s">
        <v>4465</v>
      </c>
      <c r="G753" s="30" t="s">
        <v>4466</v>
      </c>
      <c r="H753" s="30" t="s">
        <v>4467</v>
      </c>
      <c r="I753" s="29" t="s">
        <v>659</v>
      </c>
      <c r="J753" s="31">
        <v>6.0</v>
      </c>
      <c r="K753" s="35"/>
      <c r="L753" s="35"/>
      <c r="M753" s="35"/>
      <c r="N753" s="35"/>
      <c r="O753" s="35"/>
      <c r="P753" s="35"/>
      <c r="Q753" s="35"/>
      <c r="R753" s="35"/>
      <c r="S753" s="37">
        <f>IF(B753="","",IF(ISNUMBER(J753),IF(J753&lt;=10,'Configuración'!$B$23,IF(J753&lt;=50,'Configuración'!$B$24,IF(J753&lt;=200,'Configuración'!$B$25,0))),0))</f>
        <v>12</v>
      </c>
      <c r="T753" s="37">
        <f>IF(B753="","",IF(ISNUMBER(SEARCH("information technology",I753))+ISNUMBER(SEARCH("software",I753))+ISNUMBER(SEARCH("internet",I753))+ISNUMBER(SEARCH("computer",I753))+ISNUMBER(SEARCH("saas",I753))+ISNUMBER(SEARCH("fintech",I753))+ISNUMBER(SEARCH("information services",I753))+ISNUMBER(SEARCH("telecommunications",I753))&gt;0,'Configuración'!$B$27,'Configuración'!$B$28))</f>
        <v>4</v>
      </c>
      <c r="U753" s="25">
        <f>IF(B753="","",IF(ISNUMBER(SEARCH("CEO",C753))+ISNUMBER(SEARCH("Founder",C753))+ISNUMBER(SEARCH("Owner",C753))+ISNUMBER(SEARCH("Dueño",C753))+ISNUMBER(SEARCH("Director General",C753))+ISNUMBER(SEARCH("Presidente",C753))+ISNUMBER(SEARCH("President",C753))&gt;0,'Configuración'!$B$31,IF(ISNUMBER(SEARCH("CMO",C753))+ISNUMBER(SEARCH("Chief Marketing",C753))+ISNUMBER(SEARCH("VP Marketing",C753))+ISNUMBER(SEARCH("Director de Marketing",C753))+ISNUMBER(SEARCH("Director Marketing",C753))+ISNUMBER(SEARCH("Head of Marketing",C753))+ISNUMBER(SEARCH("Head Marketing",C753))&gt;0,'Configuración'!$B$32,IF(ISNUMBER(SEARCH("Marketing Manager",C753))+ISNUMBER(SEARCH("Gerente de Marketing",C753))+ISNUMBER(SEARCH("Growth Manager",C753))+ISNUMBER(SEARCH("Demand Gen",C753))+ISNUMBER(SEARCH("Marketing Lead",C753))&gt;0,'Configuración'!$B$33,IF(ISNUMBER(SEARCH("COO",C753))+ISNUMBER(SEARCH("CFO",C753))+ISNUMBER(SEARCH("CTO",C753))+ISNUMBER(SEARCH("Chief Operating",C753))+ISNUMBER(SEARCH("Chief Financial",C753))+ISNUMBER(SEARCH("Gerente General",C753))+ISNUMBER(SEARCH("General Manager",C753))&gt;0,'Configuración'!$B$34,'Configuración'!$B$35)))))</f>
        <v>0</v>
      </c>
      <c r="V753" s="38">
        <f>IF(B753="","",IF(K753="Sí",'Configuración'!$B$5,0)+IF(L753="Semanal",'Configuración'!$B$6,IF(L753="Mensual",'Configuración'!$B$7,0))+IF(M753="Sí",'Configuración'!$B$8,0)+IF(N753="Sí",'Configuración'!$B$9,0)+IF(O753="Sí",'Configuración'!$B$10,0)+IF(P753="Sí",'Configuración'!$B$11,0)+IF(Q753="Sí",'Configuración'!$B$12,0)+S753+T753+U753)</f>
        <v>16</v>
      </c>
      <c r="W753" s="39" t="str">
        <f>IF(B753="","",IF(V753&gt;='Configuración'!$B$19,"A",IF(V753&gt;='Configuración'!$B$20,"B",IF(V753&gt;='Configuración'!$B$21,"C","Descarte"))))</f>
        <v>Descarte</v>
      </c>
    </row>
    <row r="754" ht="15.75" customHeight="1">
      <c r="A754" s="34">
        <f t="shared" si="1"/>
        <v>752</v>
      </c>
      <c r="B754" s="29" t="s">
        <v>1159</v>
      </c>
      <c r="C754" s="29" t="s">
        <v>131</v>
      </c>
      <c r="D754" s="29" t="s">
        <v>4468</v>
      </c>
      <c r="E754" s="29" t="s">
        <v>4469</v>
      </c>
      <c r="F754" s="30" t="s">
        <v>4470</v>
      </c>
      <c r="G754" s="30" t="s">
        <v>4471</v>
      </c>
      <c r="H754" s="30" t="s">
        <v>4472</v>
      </c>
      <c r="I754" s="29" t="s">
        <v>188</v>
      </c>
      <c r="J754" s="31">
        <v>7.0</v>
      </c>
      <c r="K754" s="35"/>
      <c r="L754" s="35"/>
      <c r="M754" s="35"/>
      <c r="N754" s="35"/>
      <c r="O754" s="35"/>
      <c r="P754" s="35"/>
      <c r="Q754" s="35"/>
      <c r="R754" s="35"/>
      <c r="S754" s="37">
        <f>IF(B754="","",IF(ISNUMBER(J754),IF(J754&lt;=10,'Configuración'!$B$23,IF(J754&lt;=50,'Configuración'!$B$24,IF(J754&lt;=200,'Configuración'!$B$25,0))),0))</f>
        <v>12</v>
      </c>
      <c r="T754" s="37">
        <f>IF(B754="","",IF(ISNUMBER(SEARCH("information technology",I754))+ISNUMBER(SEARCH("software",I754))+ISNUMBER(SEARCH("internet",I754))+ISNUMBER(SEARCH("computer",I754))+ISNUMBER(SEARCH("saas",I754))+ISNUMBER(SEARCH("fintech",I754))+ISNUMBER(SEARCH("information services",I754))+ISNUMBER(SEARCH("telecommunications",I754))&gt;0,'Configuración'!$B$27,'Configuración'!$B$28))</f>
        <v>4</v>
      </c>
      <c r="U754" s="25">
        <f>IF(B754="","",IF(ISNUMBER(SEARCH("CEO",C754))+ISNUMBER(SEARCH("Founder",C754))+ISNUMBER(SEARCH("Owner",C754))+ISNUMBER(SEARCH("Dueño",C754))+ISNUMBER(SEARCH("Director General",C754))+ISNUMBER(SEARCH("Presidente",C754))+ISNUMBER(SEARCH("President",C754))&gt;0,'Configuración'!$B$31,IF(ISNUMBER(SEARCH("CMO",C754))+ISNUMBER(SEARCH("Chief Marketing",C754))+ISNUMBER(SEARCH("VP Marketing",C754))+ISNUMBER(SEARCH("Director de Marketing",C754))+ISNUMBER(SEARCH("Director Marketing",C754))+ISNUMBER(SEARCH("Head of Marketing",C754))+ISNUMBER(SEARCH("Head Marketing",C754))&gt;0,'Configuración'!$B$32,IF(ISNUMBER(SEARCH("Marketing Manager",C754))+ISNUMBER(SEARCH("Gerente de Marketing",C754))+ISNUMBER(SEARCH("Growth Manager",C754))+ISNUMBER(SEARCH("Demand Gen",C754))+ISNUMBER(SEARCH("Marketing Lead",C754))&gt;0,'Configuración'!$B$33,IF(ISNUMBER(SEARCH("COO",C754))+ISNUMBER(SEARCH("CFO",C754))+ISNUMBER(SEARCH("CTO",C754))+ISNUMBER(SEARCH("Chief Operating",C754))+ISNUMBER(SEARCH("Chief Financial",C754))+ISNUMBER(SEARCH("Gerente General",C754))+ISNUMBER(SEARCH("General Manager",C754))&gt;0,'Configuración'!$B$34,'Configuración'!$B$35)))))</f>
        <v>12</v>
      </c>
      <c r="V754" s="38">
        <f>IF(B754="","",IF(K754="Sí",'Configuración'!$B$5,0)+IF(L754="Semanal",'Configuración'!$B$6,IF(L754="Mensual",'Configuración'!$B$7,0))+IF(M754="Sí",'Configuración'!$B$8,0)+IF(N754="Sí",'Configuración'!$B$9,0)+IF(O754="Sí",'Configuración'!$B$10,0)+IF(P754="Sí",'Configuración'!$B$11,0)+IF(Q754="Sí",'Configuración'!$B$12,0)+S754+T754+U754)</f>
        <v>28</v>
      </c>
      <c r="W754" s="39" t="str">
        <f>IF(B754="","",IF(V754&gt;='Configuración'!$B$19,"A",IF(V754&gt;='Configuración'!$B$20,"B",IF(V754&gt;='Configuración'!$B$21,"C","Descarte"))))</f>
        <v>C</v>
      </c>
    </row>
    <row r="755" ht="15.75" customHeight="1">
      <c r="A755" s="34">
        <f t="shared" si="1"/>
        <v>753</v>
      </c>
      <c r="B755" s="29" t="s">
        <v>3119</v>
      </c>
      <c r="C755" s="29" t="s">
        <v>4473</v>
      </c>
      <c r="D755" s="29" t="s">
        <v>4474</v>
      </c>
      <c r="E755" s="29" t="s">
        <v>4475</v>
      </c>
      <c r="F755" s="30" t="s">
        <v>4476</v>
      </c>
      <c r="G755" s="30" t="s">
        <v>4477</v>
      </c>
      <c r="H755" s="30" t="s">
        <v>4478</v>
      </c>
      <c r="I755" s="29" t="s">
        <v>137</v>
      </c>
      <c r="J755" s="31">
        <v>29.0</v>
      </c>
      <c r="K755" s="35"/>
      <c r="L755" s="35"/>
      <c r="M755" s="35"/>
      <c r="N755" s="35"/>
      <c r="O755" s="35"/>
      <c r="P755" s="35"/>
      <c r="Q755" s="35"/>
      <c r="R755" s="35"/>
      <c r="S755" s="37">
        <f>IF(B755="","",IF(ISNUMBER(J755),IF(J755&lt;=10,'Configuración'!$B$23,IF(J755&lt;=50,'Configuración'!$B$24,IF(J755&lt;=200,'Configuración'!$B$25,0))),0))</f>
        <v>4</v>
      </c>
      <c r="T755" s="37">
        <f>IF(B755="","",IF(ISNUMBER(SEARCH("information technology",I755))+ISNUMBER(SEARCH("software",I755))+ISNUMBER(SEARCH("internet",I755))+ISNUMBER(SEARCH("computer",I755))+ISNUMBER(SEARCH("saas",I755))+ISNUMBER(SEARCH("fintech",I755))+ISNUMBER(SEARCH("information services",I755))+ISNUMBER(SEARCH("telecommunications",I755))&gt;0,'Configuración'!$B$27,'Configuración'!$B$28))</f>
        <v>4</v>
      </c>
      <c r="U755" s="25">
        <f>IF(B755="","",IF(ISNUMBER(SEARCH("CEO",C755))+ISNUMBER(SEARCH("Founder",C755))+ISNUMBER(SEARCH("Owner",C755))+ISNUMBER(SEARCH("Dueño",C755))+ISNUMBER(SEARCH("Director General",C755))+ISNUMBER(SEARCH("Presidente",C755))+ISNUMBER(SEARCH("President",C755))&gt;0,'Configuración'!$B$31,IF(ISNUMBER(SEARCH("CMO",C755))+ISNUMBER(SEARCH("Chief Marketing",C755))+ISNUMBER(SEARCH("VP Marketing",C755))+ISNUMBER(SEARCH("Director de Marketing",C755))+ISNUMBER(SEARCH("Director Marketing",C755))+ISNUMBER(SEARCH("Head of Marketing",C755))+ISNUMBER(SEARCH("Head Marketing",C755))&gt;0,'Configuración'!$B$32,IF(ISNUMBER(SEARCH("Marketing Manager",C755))+ISNUMBER(SEARCH("Gerente de Marketing",C755))+ISNUMBER(SEARCH("Growth Manager",C755))+ISNUMBER(SEARCH("Demand Gen",C755))+ISNUMBER(SEARCH("Marketing Lead",C755))&gt;0,'Configuración'!$B$33,IF(ISNUMBER(SEARCH("COO",C755))+ISNUMBER(SEARCH("CFO",C755))+ISNUMBER(SEARCH("CTO",C755))+ISNUMBER(SEARCH("Chief Operating",C755))+ISNUMBER(SEARCH("Chief Financial",C755))+ISNUMBER(SEARCH("Gerente General",C755))+ISNUMBER(SEARCH("General Manager",C755))&gt;0,'Configuración'!$B$34,'Configuración'!$B$35)))))</f>
        <v>0</v>
      </c>
      <c r="V755" s="38">
        <f>IF(B755="","",IF(K755="Sí",'Configuración'!$B$5,0)+IF(L755="Semanal",'Configuración'!$B$6,IF(L755="Mensual",'Configuración'!$B$7,0))+IF(M755="Sí",'Configuración'!$B$8,0)+IF(N755="Sí",'Configuración'!$B$9,0)+IF(O755="Sí",'Configuración'!$B$10,0)+IF(P755="Sí",'Configuración'!$B$11,0)+IF(Q755="Sí",'Configuración'!$B$12,0)+S755+T755+U755)</f>
        <v>8</v>
      </c>
      <c r="W755" s="39" t="str">
        <f>IF(B755="","",IF(V755&gt;='Configuración'!$B$19,"A",IF(V755&gt;='Configuración'!$B$20,"B",IF(V755&gt;='Configuración'!$B$21,"C","Descarte"))))</f>
        <v>Descarte</v>
      </c>
    </row>
    <row r="756" ht="15.75" customHeight="1">
      <c r="A756" s="34">
        <f t="shared" si="1"/>
        <v>754</v>
      </c>
      <c r="B756" s="29" t="s">
        <v>236</v>
      </c>
      <c r="C756" s="29" t="s">
        <v>597</v>
      </c>
      <c r="D756" s="29" t="s">
        <v>1043</v>
      </c>
      <c r="E756" s="29" t="s">
        <v>4479</v>
      </c>
      <c r="F756" s="30" t="s">
        <v>4480</v>
      </c>
      <c r="G756" s="30" t="s">
        <v>1046</v>
      </c>
      <c r="H756" s="30" t="s">
        <v>1047</v>
      </c>
      <c r="I756" s="29" t="s">
        <v>116</v>
      </c>
      <c r="J756" s="31">
        <v>12.0</v>
      </c>
      <c r="K756" s="35"/>
      <c r="L756" s="35"/>
      <c r="M756" s="35"/>
      <c r="N756" s="35"/>
      <c r="O756" s="35"/>
      <c r="P756" s="35"/>
      <c r="Q756" s="35"/>
      <c r="R756" s="35"/>
      <c r="S756" s="37">
        <f>IF(B756="","",IF(ISNUMBER(J756),IF(J756&lt;=10,'Configuración'!$B$23,IF(J756&lt;=50,'Configuración'!$B$24,IF(J756&lt;=200,'Configuración'!$B$25,0))),0))</f>
        <v>4</v>
      </c>
      <c r="T756" s="37">
        <f>IF(B756="","",IF(ISNUMBER(SEARCH("information technology",I756))+ISNUMBER(SEARCH("software",I756))+ISNUMBER(SEARCH("internet",I756))+ISNUMBER(SEARCH("computer",I756))+ISNUMBER(SEARCH("saas",I756))+ISNUMBER(SEARCH("fintech",I756))+ISNUMBER(SEARCH("information services",I756))+ISNUMBER(SEARCH("telecommunications",I756))&gt;0,'Configuración'!$B$27,'Configuración'!$B$28))</f>
        <v>4</v>
      </c>
      <c r="U756" s="25">
        <f>IF(B756="","",IF(ISNUMBER(SEARCH("CEO",C756))+ISNUMBER(SEARCH("Founder",C756))+ISNUMBER(SEARCH("Owner",C756))+ISNUMBER(SEARCH("Dueño",C756))+ISNUMBER(SEARCH("Director General",C756))+ISNUMBER(SEARCH("Presidente",C756))+ISNUMBER(SEARCH("President",C756))&gt;0,'Configuración'!$B$31,IF(ISNUMBER(SEARCH("CMO",C756))+ISNUMBER(SEARCH("Chief Marketing",C756))+ISNUMBER(SEARCH("VP Marketing",C756))+ISNUMBER(SEARCH("Director de Marketing",C756))+ISNUMBER(SEARCH("Director Marketing",C756))+ISNUMBER(SEARCH("Head of Marketing",C756))+ISNUMBER(SEARCH("Head Marketing",C756))&gt;0,'Configuración'!$B$32,IF(ISNUMBER(SEARCH("Marketing Manager",C756))+ISNUMBER(SEARCH("Gerente de Marketing",C756))+ISNUMBER(SEARCH("Growth Manager",C756))+ISNUMBER(SEARCH("Demand Gen",C756))+ISNUMBER(SEARCH("Marketing Lead",C756))&gt;0,'Configuración'!$B$33,IF(ISNUMBER(SEARCH("COO",C756))+ISNUMBER(SEARCH("CFO",C756))+ISNUMBER(SEARCH("CTO",C756))+ISNUMBER(SEARCH("Chief Operating",C756))+ISNUMBER(SEARCH("Chief Financial",C756))+ISNUMBER(SEARCH("Gerente General",C756))+ISNUMBER(SEARCH("General Manager",C756))&gt;0,'Configuración'!$B$34,'Configuración'!$B$35)))))</f>
        <v>12</v>
      </c>
      <c r="V756" s="38">
        <f>IF(B756="","",IF(K756="Sí",'Configuración'!$B$5,0)+IF(L756="Semanal",'Configuración'!$B$6,IF(L756="Mensual",'Configuración'!$B$7,0))+IF(M756="Sí",'Configuración'!$B$8,0)+IF(N756="Sí",'Configuración'!$B$9,0)+IF(O756="Sí",'Configuración'!$B$10,0)+IF(P756="Sí",'Configuración'!$B$11,0)+IF(Q756="Sí",'Configuración'!$B$12,0)+S756+T756+U756)</f>
        <v>20</v>
      </c>
      <c r="W756" s="39" t="str">
        <f>IF(B756="","",IF(V756&gt;='Configuración'!$B$19,"A",IF(V756&gt;='Configuración'!$B$20,"B",IF(V756&gt;='Configuración'!$B$21,"C","Descarte"))))</f>
        <v>Descarte</v>
      </c>
    </row>
    <row r="757" ht="15.75" customHeight="1">
      <c r="A757" s="34">
        <f t="shared" si="1"/>
        <v>755</v>
      </c>
      <c r="B757" s="29" t="s">
        <v>4481</v>
      </c>
      <c r="C757" s="29" t="s">
        <v>121</v>
      </c>
      <c r="D757" s="29" t="s">
        <v>4482</v>
      </c>
      <c r="E757" s="29" t="s">
        <v>4483</v>
      </c>
      <c r="F757" s="30" t="s">
        <v>4484</v>
      </c>
      <c r="G757" s="30" t="s">
        <v>4485</v>
      </c>
      <c r="H757" s="30" t="s">
        <v>4486</v>
      </c>
      <c r="I757" s="29" t="s">
        <v>188</v>
      </c>
      <c r="J757" s="31">
        <v>11.0</v>
      </c>
      <c r="K757" s="35"/>
      <c r="L757" s="35"/>
      <c r="M757" s="35"/>
      <c r="N757" s="35"/>
      <c r="O757" s="35"/>
      <c r="P757" s="35"/>
      <c r="Q757" s="35"/>
      <c r="R757" s="35"/>
      <c r="S757" s="37">
        <f>IF(B757="","",IF(ISNUMBER(J757),IF(J757&lt;=10,'Configuración'!$B$23,IF(J757&lt;=50,'Configuración'!$B$24,IF(J757&lt;=200,'Configuración'!$B$25,0))),0))</f>
        <v>4</v>
      </c>
      <c r="T757" s="37">
        <f>IF(B757="","",IF(ISNUMBER(SEARCH("information technology",I757))+ISNUMBER(SEARCH("software",I757))+ISNUMBER(SEARCH("internet",I757))+ISNUMBER(SEARCH("computer",I757))+ISNUMBER(SEARCH("saas",I757))+ISNUMBER(SEARCH("fintech",I757))+ISNUMBER(SEARCH("information services",I757))+ISNUMBER(SEARCH("telecommunications",I757))&gt;0,'Configuración'!$B$27,'Configuración'!$B$28))</f>
        <v>4</v>
      </c>
      <c r="U757" s="25">
        <f>IF(B757="","",IF(ISNUMBER(SEARCH("CEO",C757))+ISNUMBER(SEARCH("Founder",C757))+ISNUMBER(SEARCH("Owner",C757))+ISNUMBER(SEARCH("Dueño",C757))+ISNUMBER(SEARCH("Director General",C757))+ISNUMBER(SEARCH("Presidente",C757))+ISNUMBER(SEARCH("President",C757))&gt;0,'Configuración'!$B$31,IF(ISNUMBER(SEARCH("CMO",C757))+ISNUMBER(SEARCH("Chief Marketing",C757))+ISNUMBER(SEARCH("VP Marketing",C757))+ISNUMBER(SEARCH("Director de Marketing",C757))+ISNUMBER(SEARCH("Director Marketing",C757))+ISNUMBER(SEARCH("Head of Marketing",C757))+ISNUMBER(SEARCH("Head Marketing",C757))&gt;0,'Configuración'!$B$32,IF(ISNUMBER(SEARCH("Marketing Manager",C757))+ISNUMBER(SEARCH("Gerente de Marketing",C757))+ISNUMBER(SEARCH("Growth Manager",C757))+ISNUMBER(SEARCH("Demand Gen",C757))+ISNUMBER(SEARCH("Marketing Lead",C757))&gt;0,'Configuración'!$B$33,IF(ISNUMBER(SEARCH("COO",C757))+ISNUMBER(SEARCH("CFO",C757))+ISNUMBER(SEARCH("CTO",C757))+ISNUMBER(SEARCH("Chief Operating",C757))+ISNUMBER(SEARCH("Chief Financial",C757))+ISNUMBER(SEARCH("Gerente General",C757))+ISNUMBER(SEARCH("General Manager",C757))&gt;0,'Configuración'!$B$34,'Configuración'!$B$35)))))</f>
        <v>12</v>
      </c>
      <c r="V757" s="38">
        <f>IF(B757="","",IF(K757="Sí",'Configuración'!$B$5,0)+IF(L757="Semanal",'Configuración'!$B$6,IF(L757="Mensual",'Configuración'!$B$7,0))+IF(M757="Sí",'Configuración'!$B$8,0)+IF(N757="Sí",'Configuración'!$B$9,0)+IF(O757="Sí",'Configuración'!$B$10,0)+IF(P757="Sí",'Configuración'!$B$11,0)+IF(Q757="Sí",'Configuración'!$B$12,0)+S757+T757+U757)</f>
        <v>20</v>
      </c>
      <c r="W757" s="39" t="str">
        <f>IF(B757="","",IF(V757&gt;='Configuración'!$B$19,"A",IF(V757&gt;='Configuración'!$B$20,"B",IF(V757&gt;='Configuración'!$B$21,"C","Descarte"))))</f>
        <v>Descarte</v>
      </c>
    </row>
    <row r="758" ht="15.75" customHeight="1">
      <c r="A758" s="34">
        <f t="shared" si="1"/>
        <v>756</v>
      </c>
      <c r="B758" s="29" t="s">
        <v>262</v>
      </c>
      <c r="C758" s="29" t="s">
        <v>4487</v>
      </c>
      <c r="D758" s="29" t="s">
        <v>4488</v>
      </c>
      <c r="E758" s="29" t="s">
        <v>4489</v>
      </c>
      <c r="F758" s="30" t="s">
        <v>4490</v>
      </c>
      <c r="G758" s="30" t="s">
        <v>4491</v>
      </c>
      <c r="H758" s="30" t="s">
        <v>4492</v>
      </c>
      <c r="I758" s="29" t="s">
        <v>2031</v>
      </c>
      <c r="J758" s="31">
        <v>42.0</v>
      </c>
      <c r="K758" s="35"/>
      <c r="L758" s="35"/>
      <c r="M758" s="35"/>
      <c r="N758" s="35"/>
      <c r="O758" s="35"/>
      <c r="P758" s="35"/>
      <c r="Q758" s="35"/>
      <c r="R758" s="35"/>
      <c r="S758" s="37">
        <f>IF(B758="","",IF(ISNUMBER(J758),IF(J758&lt;=10,'Configuración'!$B$23,IF(J758&lt;=50,'Configuración'!$B$24,IF(J758&lt;=200,'Configuración'!$B$25,0))),0))</f>
        <v>4</v>
      </c>
      <c r="T758" s="37">
        <f>IF(B758="","",IF(ISNUMBER(SEARCH("information technology",I758))+ISNUMBER(SEARCH("software",I758))+ISNUMBER(SEARCH("internet",I758))+ISNUMBER(SEARCH("computer",I758))+ISNUMBER(SEARCH("saas",I758))+ISNUMBER(SEARCH("fintech",I758))+ISNUMBER(SEARCH("information services",I758))+ISNUMBER(SEARCH("telecommunications",I758))&gt;0,'Configuración'!$B$27,'Configuración'!$B$28))</f>
        <v>4</v>
      </c>
      <c r="U758" s="25">
        <f>IF(B758="","",IF(ISNUMBER(SEARCH("CEO",C758))+ISNUMBER(SEARCH("Founder",C758))+ISNUMBER(SEARCH("Owner",C758))+ISNUMBER(SEARCH("Dueño",C758))+ISNUMBER(SEARCH("Director General",C758))+ISNUMBER(SEARCH("Presidente",C758))+ISNUMBER(SEARCH("President",C758))&gt;0,'Configuración'!$B$31,IF(ISNUMBER(SEARCH("CMO",C758))+ISNUMBER(SEARCH("Chief Marketing",C758))+ISNUMBER(SEARCH("VP Marketing",C758))+ISNUMBER(SEARCH("Director de Marketing",C758))+ISNUMBER(SEARCH("Director Marketing",C758))+ISNUMBER(SEARCH("Head of Marketing",C758))+ISNUMBER(SEARCH("Head Marketing",C758))&gt;0,'Configuración'!$B$32,IF(ISNUMBER(SEARCH("Marketing Manager",C758))+ISNUMBER(SEARCH("Gerente de Marketing",C758))+ISNUMBER(SEARCH("Growth Manager",C758))+ISNUMBER(SEARCH("Demand Gen",C758))+ISNUMBER(SEARCH("Marketing Lead",C758))&gt;0,'Configuración'!$B$33,IF(ISNUMBER(SEARCH("COO",C758))+ISNUMBER(SEARCH("CFO",C758))+ISNUMBER(SEARCH("CTO",C758))+ISNUMBER(SEARCH("Chief Operating",C758))+ISNUMBER(SEARCH("Chief Financial",C758))+ISNUMBER(SEARCH("Gerente General",C758))+ISNUMBER(SEARCH("General Manager",C758))&gt;0,'Configuración'!$B$34,'Configuración'!$B$35)))))</f>
        <v>4</v>
      </c>
      <c r="V758" s="38">
        <f>IF(B758="","",IF(K758="Sí",'Configuración'!$B$5,0)+IF(L758="Semanal",'Configuración'!$B$6,IF(L758="Mensual",'Configuración'!$B$7,0))+IF(M758="Sí",'Configuración'!$B$8,0)+IF(N758="Sí",'Configuración'!$B$9,0)+IF(O758="Sí",'Configuración'!$B$10,0)+IF(P758="Sí",'Configuración'!$B$11,0)+IF(Q758="Sí",'Configuración'!$B$12,0)+S758+T758+U758)</f>
        <v>12</v>
      </c>
      <c r="W758" s="39" t="str">
        <f>IF(B758="","",IF(V758&gt;='Configuración'!$B$19,"A",IF(V758&gt;='Configuración'!$B$20,"B",IF(V758&gt;='Configuración'!$B$21,"C","Descarte"))))</f>
        <v>Descarte</v>
      </c>
    </row>
    <row r="759" ht="15.75" customHeight="1">
      <c r="A759" s="34">
        <f t="shared" si="1"/>
        <v>757</v>
      </c>
      <c r="B759" s="29" t="s">
        <v>296</v>
      </c>
      <c r="C759" s="29" t="s">
        <v>318</v>
      </c>
      <c r="D759" s="29" t="s">
        <v>4493</v>
      </c>
      <c r="E759" s="29" t="s">
        <v>4494</v>
      </c>
      <c r="F759" s="30" t="s">
        <v>4495</v>
      </c>
      <c r="G759" s="30" t="s">
        <v>4496</v>
      </c>
      <c r="H759" s="30" t="s">
        <v>4497</v>
      </c>
      <c r="I759" s="29" t="s">
        <v>116</v>
      </c>
      <c r="J759" s="31">
        <v>9.0</v>
      </c>
      <c r="K759" s="35"/>
      <c r="L759" s="35"/>
      <c r="M759" s="35"/>
      <c r="N759" s="35"/>
      <c r="O759" s="35"/>
      <c r="P759" s="35"/>
      <c r="Q759" s="35"/>
      <c r="R759" s="35"/>
      <c r="S759" s="37">
        <f>IF(B759="","",IF(ISNUMBER(J759),IF(J759&lt;=10,'Configuración'!$B$23,IF(J759&lt;=50,'Configuración'!$B$24,IF(J759&lt;=200,'Configuración'!$B$25,0))),0))</f>
        <v>12</v>
      </c>
      <c r="T759" s="37">
        <f>IF(B759="","",IF(ISNUMBER(SEARCH("information technology",I759))+ISNUMBER(SEARCH("software",I759))+ISNUMBER(SEARCH("internet",I759))+ISNUMBER(SEARCH("computer",I759))+ISNUMBER(SEARCH("saas",I759))+ISNUMBER(SEARCH("fintech",I759))+ISNUMBER(SEARCH("information services",I759))+ISNUMBER(SEARCH("telecommunications",I759))&gt;0,'Configuración'!$B$27,'Configuración'!$B$28))</f>
        <v>4</v>
      </c>
      <c r="U759" s="25">
        <f>IF(B759="","",IF(ISNUMBER(SEARCH("CEO",C759))+ISNUMBER(SEARCH("Founder",C759))+ISNUMBER(SEARCH("Owner",C759))+ISNUMBER(SEARCH("Dueño",C759))+ISNUMBER(SEARCH("Director General",C759))+ISNUMBER(SEARCH("Presidente",C759))+ISNUMBER(SEARCH("President",C759))&gt;0,'Configuración'!$B$31,IF(ISNUMBER(SEARCH("CMO",C759))+ISNUMBER(SEARCH("Chief Marketing",C759))+ISNUMBER(SEARCH("VP Marketing",C759))+ISNUMBER(SEARCH("Director de Marketing",C759))+ISNUMBER(SEARCH("Director Marketing",C759))+ISNUMBER(SEARCH("Head of Marketing",C759))+ISNUMBER(SEARCH("Head Marketing",C759))&gt;0,'Configuración'!$B$32,IF(ISNUMBER(SEARCH("Marketing Manager",C759))+ISNUMBER(SEARCH("Gerente de Marketing",C759))+ISNUMBER(SEARCH("Growth Manager",C759))+ISNUMBER(SEARCH("Demand Gen",C759))+ISNUMBER(SEARCH("Marketing Lead",C759))&gt;0,'Configuración'!$B$33,IF(ISNUMBER(SEARCH("COO",C759))+ISNUMBER(SEARCH("CFO",C759))+ISNUMBER(SEARCH("CTO",C759))+ISNUMBER(SEARCH("Chief Operating",C759))+ISNUMBER(SEARCH("Chief Financial",C759))+ISNUMBER(SEARCH("Gerente General",C759))+ISNUMBER(SEARCH("General Manager",C759))&gt;0,'Configuración'!$B$34,'Configuración'!$B$35)))))</f>
        <v>4</v>
      </c>
      <c r="V759" s="38">
        <f>IF(B759="","",IF(K759="Sí",'Configuración'!$B$5,0)+IF(L759="Semanal",'Configuración'!$B$6,IF(L759="Mensual",'Configuración'!$B$7,0))+IF(M759="Sí",'Configuración'!$B$8,0)+IF(N759="Sí",'Configuración'!$B$9,0)+IF(O759="Sí",'Configuración'!$B$10,0)+IF(P759="Sí",'Configuración'!$B$11,0)+IF(Q759="Sí",'Configuración'!$B$12,0)+S759+T759+U759)</f>
        <v>20</v>
      </c>
      <c r="W759" s="39" t="str">
        <f>IF(B759="","",IF(V759&gt;='Configuración'!$B$19,"A",IF(V759&gt;='Configuración'!$B$20,"B",IF(V759&gt;='Configuración'!$B$21,"C","Descarte"))))</f>
        <v>Descarte</v>
      </c>
    </row>
    <row r="760" ht="15.75" customHeight="1">
      <c r="A760" s="34">
        <f t="shared" si="1"/>
        <v>758</v>
      </c>
      <c r="B760" s="29" t="s">
        <v>174</v>
      </c>
      <c r="C760" s="29" t="s">
        <v>991</v>
      </c>
      <c r="D760" s="29" t="s">
        <v>4498</v>
      </c>
      <c r="E760" s="29" t="s">
        <v>4499</v>
      </c>
      <c r="F760" s="30" t="s">
        <v>4500</v>
      </c>
      <c r="G760" s="30" t="s">
        <v>4501</v>
      </c>
      <c r="H760" s="30" t="s">
        <v>4502</v>
      </c>
      <c r="I760" s="29" t="s">
        <v>127</v>
      </c>
      <c r="J760" s="31">
        <v>35.0</v>
      </c>
      <c r="K760" s="35"/>
      <c r="L760" s="35"/>
      <c r="M760" s="35"/>
      <c r="N760" s="35"/>
      <c r="O760" s="35"/>
      <c r="P760" s="35"/>
      <c r="Q760" s="35"/>
      <c r="R760" s="35"/>
      <c r="S760" s="37">
        <f>IF(B760="","",IF(ISNUMBER(J760),IF(J760&lt;=10,'Configuración'!$B$23,IF(J760&lt;=50,'Configuración'!$B$24,IF(J760&lt;=200,'Configuración'!$B$25,0))),0))</f>
        <v>4</v>
      </c>
      <c r="T760" s="37">
        <f>IF(B760="","",IF(ISNUMBER(SEARCH("information technology",I760))+ISNUMBER(SEARCH("software",I760))+ISNUMBER(SEARCH("internet",I760))+ISNUMBER(SEARCH("computer",I760))+ISNUMBER(SEARCH("saas",I760))+ISNUMBER(SEARCH("fintech",I760))+ISNUMBER(SEARCH("information services",I760))+ISNUMBER(SEARCH("telecommunications",I760))&gt;0,'Configuración'!$B$27,'Configuración'!$B$28))</f>
        <v>12</v>
      </c>
      <c r="U760" s="25">
        <f>IF(B760="","",IF(ISNUMBER(SEARCH("CEO",C760))+ISNUMBER(SEARCH("Founder",C760))+ISNUMBER(SEARCH("Owner",C760))+ISNUMBER(SEARCH("Dueño",C760))+ISNUMBER(SEARCH("Director General",C760))+ISNUMBER(SEARCH("Presidente",C760))+ISNUMBER(SEARCH("President",C760))&gt;0,'Configuración'!$B$31,IF(ISNUMBER(SEARCH("CMO",C760))+ISNUMBER(SEARCH("Chief Marketing",C760))+ISNUMBER(SEARCH("VP Marketing",C760))+ISNUMBER(SEARCH("Director de Marketing",C760))+ISNUMBER(SEARCH("Director Marketing",C760))+ISNUMBER(SEARCH("Head of Marketing",C760))+ISNUMBER(SEARCH("Head Marketing",C760))&gt;0,'Configuración'!$B$32,IF(ISNUMBER(SEARCH("Marketing Manager",C760))+ISNUMBER(SEARCH("Gerente de Marketing",C760))+ISNUMBER(SEARCH("Growth Manager",C760))+ISNUMBER(SEARCH("Demand Gen",C760))+ISNUMBER(SEARCH("Marketing Lead",C760))&gt;0,'Configuración'!$B$33,IF(ISNUMBER(SEARCH("COO",C760))+ISNUMBER(SEARCH("CFO",C760))+ISNUMBER(SEARCH("CTO",C760))+ISNUMBER(SEARCH("Chief Operating",C760))+ISNUMBER(SEARCH("Chief Financial",C760))+ISNUMBER(SEARCH("Gerente General",C760))+ISNUMBER(SEARCH("General Manager",C760))&gt;0,'Configuración'!$B$34,'Configuración'!$B$35)))))</f>
        <v>12</v>
      </c>
      <c r="V760" s="38">
        <f>IF(B760="","",IF(K760="Sí",'Configuración'!$B$5,0)+IF(L760="Semanal",'Configuración'!$B$6,IF(L760="Mensual",'Configuración'!$B$7,0))+IF(M760="Sí",'Configuración'!$B$8,0)+IF(N760="Sí",'Configuración'!$B$9,0)+IF(O760="Sí",'Configuración'!$B$10,0)+IF(P760="Sí",'Configuración'!$B$11,0)+IF(Q760="Sí",'Configuración'!$B$12,0)+S760+T760+U760)</f>
        <v>28</v>
      </c>
      <c r="W760" s="39" t="str">
        <f>IF(B760="","",IF(V760&gt;='Configuración'!$B$19,"A",IF(V760&gt;='Configuración'!$B$20,"B",IF(V760&gt;='Configuración'!$B$21,"C","Descarte"))))</f>
        <v>C</v>
      </c>
    </row>
    <row r="761" ht="15.75" customHeight="1">
      <c r="A761" s="34">
        <f t="shared" si="1"/>
        <v>759</v>
      </c>
      <c r="B761" s="29" t="s">
        <v>236</v>
      </c>
      <c r="C761" s="29" t="s">
        <v>4503</v>
      </c>
      <c r="D761" s="29" t="s">
        <v>4504</v>
      </c>
      <c r="E761" s="29" t="s">
        <v>4505</v>
      </c>
      <c r="F761" s="30" t="s">
        <v>4506</v>
      </c>
      <c r="G761" s="30" t="s">
        <v>4507</v>
      </c>
      <c r="H761" s="30" t="s">
        <v>4508</v>
      </c>
      <c r="I761" s="29" t="s">
        <v>847</v>
      </c>
      <c r="J761" s="31">
        <v>29.0</v>
      </c>
      <c r="K761" s="35"/>
      <c r="L761" s="35"/>
      <c r="M761" s="35"/>
      <c r="N761" s="35"/>
      <c r="O761" s="35"/>
      <c r="P761" s="35"/>
      <c r="Q761" s="35"/>
      <c r="R761" s="35"/>
      <c r="S761" s="37">
        <f>IF(B761="","",IF(ISNUMBER(J761),IF(J761&lt;=10,'Configuración'!$B$23,IF(J761&lt;=50,'Configuración'!$B$24,IF(J761&lt;=200,'Configuración'!$B$25,0))),0))</f>
        <v>4</v>
      </c>
      <c r="T761" s="37">
        <f>IF(B761="","",IF(ISNUMBER(SEARCH("information technology",I761))+ISNUMBER(SEARCH("software",I761))+ISNUMBER(SEARCH("internet",I761))+ISNUMBER(SEARCH("computer",I761))+ISNUMBER(SEARCH("saas",I761))+ISNUMBER(SEARCH("fintech",I761))+ISNUMBER(SEARCH("information services",I761))+ISNUMBER(SEARCH("telecommunications",I761))&gt;0,'Configuración'!$B$27,'Configuración'!$B$28))</f>
        <v>4</v>
      </c>
      <c r="U761" s="25">
        <f>IF(B761="","",IF(ISNUMBER(SEARCH("CEO",C761))+ISNUMBER(SEARCH("Founder",C761))+ISNUMBER(SEARCH("Owner",C761))+ISNUMBER(SEARCH("Dueño",C761))+ISNUMBER(SEARCH("Director General",C761))+ISNUMBER(SEARCH("Presidente",C761))+ISNUMBER(SEARCH("President",C761))&gt;0,'Configuración'!$B$31,IF(ISNUMBER(SEARCH("CMO",C761))+ISNUMBER(SEARCH("Chief Marketing",C761))+ISNUMBER(SEARCH("VP Marketing",C761))+ISNUMBER(SEARCH("Director de Marketing",C761))+ISNUMBER(SEARCH("Director Marketing",C761))+ISNUMBER(SEARCH("Head of Marketing",C761))+ISNUMBER(SEARCH("Head Marketing",C761))&gt;0,'Configuración'!$B$32,IF(ISNUMBER(SEARCH("Marketing Manager",C761))+ISNUMBER(SEARCH("Gerente de Marketing",C761))+ISNUMBER(SEARCH("Growth Manager",C761))+ISNUMBER(SEARCH("Demand Gen",C761))+ISNUMBER(SEARCH("Marketing Lead",C761))&gt;0,'Configuración'!$B$33,IF(ISNUMBER(SEARCH("COO",C761))+ISNUMBER(SEARCH("CFO",C761))+ISNUMBER(SEARCH("CTO",C761))+ISNUMBER(SEARCH("Chief Operating",C761))+ISNUMBER(SEARCH("Chief Financial",C761))+ISNUMBER(SEARCH("Gerente General",C761))+ISNUMBER(SEARCH("General Manager",C761))&gt;0,'Configuración'!$B$34,'Configuración'!$B$35)))))</f>
        <v>12</v>
      </c>
      <c r="V761" s="38">
        <f>IF(B761="","",IF(K761="Sí",'Configuración'!$B$5,0)+IF(L761="Semanal",'Configuración'!$B$6,IF(L761="Mensual",'Configuración'!$B$7,0))+IF(M761="Sí",'Configuración'!$B$8,0)+IF(N761="Sí",'Configuración'!$B$9,0)+IF(O761="Sí",'Configuración'!$B$10,0)+IF(P761="Sí",'Configuración'!$B$11,0)+IF(Q761="Sí",'Configuración'!$B$12,0)+S761+T761+U761)</f>
        <v>20</v>
      </c>
      <c r="W761" s="39" t="str">
        <f>IF(B761="","",IF(V761&gt;='Configuración'!$B$19,"A",IF(V761&gt;='Configuración'!$B$20,"B",IF(V761&gt;='Configuración'!$B$21,"C","Descarte"))))</f>
        <v>Descarte</v>
      </c>
    </row>
    <row r="762" ht="15.75" customHeight="1">
      <c r="A762" s="34">
        <f t="shared" si="1"/>
        <v>760</v>
      </c>
      <c r="B762" s="29" t="s">
        <v>174</v>
      </c>
      <c r="C762" s="29" t="s">
        <v>131</v>
      </c>
      <c r="D762" s="29" t="s">
        <v>4509</v>
      </c>
      <c r="E762" s="29" t="s">
        <v>4510</v>
      </c>
      <c r="F762" s="30" t="s">
        <v>4511</v>
      </c>
      <c r="G762" s="30" t="s">
        <v>4512</v>
      </c>
      <c r="H762" s="30" t="s">
        <v>4513</v>
      </c>
      <c r="I762" s="29" t="s">
        <v>480</v>
      </c>
      <c r="J762" s="31">
        <v>32.0</v>
      </c>
      <c r="K762" s="35"/>
      <c r="L762" s="35"/>
      <c r="M762" s="35"/>
      <c r="N762" s="35"/>
      <c r="O762" s="35"/>
      <c r="P762" s="35"/>
      <c r="Q762" s="35"/>
      <c r="R762" s="35"/>
      <c r="S762" s="37">
        <f>IF(B762="","",IF(ISNUMBER(J762),IF(J762&lt;=10,'Configuración'!$B$23,IF(J762&lt;=50,'Configuración'!$B$24,IF(J762&lt;=200,'Configuración'!$B$25,0))),0))</f>
        <v>4</v>
      </c>
      <c r="T762" s="37">
        <f>IF(B762="","",IF(ISNUMBER(SEARCH("information technology",I762))+ISNUMBER(SEARCH("software",I762))+ISNUMBER(SEARCH("internet",I762))+ISNUMBER(SEARCH("computer",I762))+ISNUMBER(SEARCH("saas",I762))+ISNUMBER(SEARCH("fintech",I762))+ISNUMBER(SEARCH("information services",I762))+ISNUMBER(SEARCH("telecommunications",I762))&gt;0,'Configuración'!$B$27,'Configuración'!$B$28))</f>
        <v>4</v>
      </c>
      <c r="U762" s="25">
        <f>IF(B762="","",IF(ISNUMBER(SEARCH("CEO",C762))+ISNUMBER(SEARCH("Founder",C762))+ISNUMBER(SEARCH("Owner",C762))+ISNUMBER(SEARCH("Dueño",C762))+ISNUMBER(SEARCH("Director General",C762))+ISNUMBER(SEARCH("Presidente",C762))+ISNUMBER(SEARCH("President",C762))&gt;0,'Configuración'!$B$31,IF(ISNUMBER(SEARCH("CMO",C762))+ISNUMBER(SEARCH("Chief Marketing",C762))+ISNUMBER(SEARCH("VP Marketing",C762))+ISNUMBER(SEARCH("Director de Marketing",C762))+ISNUMBER(SEARCH("Director Marketing",C762))+ISNUMBER(SEARCH("Head of Marketing",C762))+ISNUMBER(SEARCH("Head Marketing",C762))&gt;0,'Configuración'!$B$32,IF(ISNUMBER(SEARCH("Marketing Manager",C762))+ISNUMBER(SEARCH("Gerente de Marketing",C762))+ISNUMBER(SEARCH("Growth Manager",C762))+ISNUMBER(SEARCH("Demand Gen",C762))+ISNUMBER(SEARCH("Marketing Lead",C762))&gt;0,'Configuración'!$B$33,IF(ISNUMBER(SEARCH("COO",C762))+ISNUMBER(SEARCH("CFO",C762))+ISNUMBER(SEARCH("CTO",C762))+ISNUMBER(SEARCH("Chief Operating",C762))+ISNUMBER(SEARCH("Chief Financial",C762))+ISNUMBER(SEARCH("Gerente General",C762))+ISNUMBER(SEARCH("General Manager",C762))&gt;0,'Configuración'!$B$34,'Configuración'!$B$35)))))</f>
        <v>12</v>
      </c>
      <c r="V762" s="38">
        <f>IF(B762="","",IF(K762="Sí",'Configuración'!$B$5,0)+IF(L762="Semanal",'Configuración'!$B$6,IF(L762="Mensual",'Configuración'!$B$7,0))+IF(M762="Sí",'Configuración'!$B$8,0)+IF(N762="Sí",'Configuración'!$B$9,0)+IF(O762="Sí",'Configuración'!$B$10,0)+IF(P762="Sí",'Configuración'!$B$11,0)+IF(Q762="Sí",'Configuración'!$B$12,0)+S762+T762+U762)</f>
        <v>20</v>
      </c>
      <c r="W762" s="39" t="str">
        <f>IF(B762="","",IF(V762&gt;='Configuración'!$B$19,"A",IF(V762&gt;='Configuración'!$B$20,"B",IF(V762&gt;='Configuración'!$B$21,"C","Descarte"))))</f>
        <v>Descarte</v>
      </c>
    </row>
    <row r="763" ht="15.75" customHeight="1">
      <c r="A763" s="34">
        <f t="shared" si="1"/>
        <v>761</v>
      </c>
      <c r="B763" s="29" t="s">
        <v>4514</v>
      </c>
      <c r="C763" s="29" t="s">
        <v>202</v>
      </c>
      <c r="D763" s="29" t="s">
        <v>4515</v>
      </c>
      <c r="E763" s="29" t="s">
        <v>4516</v>
      </c>
      <c r="F763" s="30" t="s">
        <v>4517</v>
      </c>
      <c r="G763" s="30" t="s">
        <v>4518</v>
      </c>
      <c r="H763" s="30" t="s">
        <v>4519</v>
      </c>
      <c r="I763" s="29" t="s">
        <v>380</v>
      </c>
      <c r="J763" s="31">
        <v>5.0</v>
      </c>
      <c r="K763" s="35"/>
      <c r="L763" s="35"/>
      <c r="M763" s="35"/>
      <c r="N763" s="35"/>
      <c r="O763" s="35"/>
      <c r="P763" s="35"/>
      <c r="Q763" s="35"/>
      <c r="R763" s="35"/>
      <c r="S763" s="37">
        <f>IF(B763="","",IF(ISNUMBER(J763),IF(J763&lt;=10,'Configuración'!$B$23,IF(J763&lt;=50,'Configuración'!$B$24,IF(J763&lt;=200,'Configuración'!$B$25,0))),0))</f>
        <v>12</v>
      </c>
      <c r="T763" s="37">
        <f>IF(B763="","",IF(ISNUMBER(SEARCH("information technology",I763))+ISNUMBER(SEARCH("software",I763))+ISNUMBER(SEARCH("internet",I763))+ISNUMBER(SEARCH("computer",I763))+ISNUMBER(SEARCH("saas",I763))+ISNUMBER(SEARCH("fintech",I763))+ISNUMBER(SEARCH("information services",I763))+ISNUMBER(SEARCH("telecommunications",I763))&gt;0,'Configuración'!$B$27,'Configuración'!$B$28))</f>
        <v>4</v>
      </c>
      <c r="U763" s="25">
        <f>IF(B763="","",IF(ISNUMBER(SEARCH("CEO",C763))+ISNUMBER(SEARCH("Founder",C763))+ISNUMBER(SEARCH("Owner",C763))+ISNUMBER(SEARCH("Dueño",C763))+ISNUMBER(SEARCH("Director General",C763))+ISNUMBER(SEARCH("Presidente",C763))+ISNUMBER(SEARCH("President",C763))&gt;0,'Configuración'!$B$31,IF(ISNUMBER(SEARCH("CMO",C763))+ISNUMBER(SEARCH("Chief Marketing",C763))+ISNUMBER(SEARCH("VP Marketing",C763))+ISNUMBER(SEARCH("Director de Marketing",C763))+ISNUMBER(SEARCH("Director Marketing",C763))+ISNUMBER(SEARCH("Head of Marketing",C763))+ISNUMBER(SEARCH("Head Marketing",C763))&gt;0,'Configuración'!$B$32,IF(ISNUMBER(SEARCH("Marketing Manager",C763))+ISNUMBER(SEARCH("Gerente de Marketing",C763))+ISNUMBER(SEARCH("Growth Manager",C763))+ISNUMBER(SEARCH("Demand Gen",C763))+ISNUMBER(SEARCH("Marketing Lead",C763))&gt;0,'Configuración'!$B$33,IF(ISNUMBER(SEARCH("COO",C763))+ISNUMBER(SEARCH("CFO",C763))+ISNUMBER(SEARCH("CTO",C763))+ISNUMBER(SEARCH("Chief Operating",C763))+ISNUMBER(SEARCH("Chief Financial",C763))+ISNUMBER(SEARCH("Gerente General",C763))+ISNUMBER(SEARCH("General Manager",C763))&gt;0,'Configuración'!$B$34,'Configuración'!$B$35)))))</f>
        <v>12</v>
      </c>
      <c r="V763" s="38">
        <f>IF(B763="","",IF(K763="Sí",'Configuración'!$B$5,0)+IF(L763="Semanal",'Configuración'!$B$6,IF(L763="Mensual",'Configuración'!$B$7,0))+IF(M763="Sí",'Configuración'!$B$8,0)+IF(N763="Sí",'Configuración'!$B$9,0)+IF(O763="Sí",'Configuración'!$B$10,0)+IF(P763="Sí",'Configuración'!$B$11,0)+IF(Q763="Sí",'Configuración'!$B$12,0)+S763+T763+U763)</f>
        <v>28</v>
      </c>
      <c r="W763" s="39" t="str">
        <f>IF(B763="","",IF(V763&gt;='Configuración'!$B$19,"A",IF(V763&gt;='Configuración'!$B$20,"B",IF(V763&gt;='Configuración'!$B$21,"C","Descarte"))))</f>
        <v>C</v>
      </c>
    </row>
    <row r="764" ht="15.75" customHeight="1">
      <c r="A764" s="34">
        <f t="shared" si="1"/>
        <v>762</v>
      </c>
      <c r="B764" s="29" t="s">
        <v>236</v>
      </c>
      <c r="C764" s="29" t="s">
        <v>202</v>
      </c>
      <c r="D764" s="29" t="s">
        <v>4520</v>
      </c>
      <c r="E764" s="29" t="s">
        <v>4521</v>
      </c>
      <c r="F764" s="30" t="s">
        <v>4522</v>
      </c>
      <c r="G764" s="30" t="s">
        <v>4523</v>
      </c>
      <c r="H764" s="30" t="s">
        <v>4524</v>
      </c>
      <c r="I764" s="29" t="s">
        <v>847</v>
      </c>
      <c r="J764" s="31">
        <v>3.0</v>
      </c>
      <c r="K764" s="35"/>
      <c r="L764" s="35"/>
      <c r="M764" s="35"/>
      <c r="N764" s="35"/>
      <c r="O764" s="35"/>
      <c r="P764" s="35"/>
      <c r="Q764" s="35"/>
      <c r="R764" s="35"/>
      <c r="S764" s="37">
        <f>IF(B764="","",IF(ISNUMBER(J764),IF(J764&lt;=10,'Configuración'!$B$23,IF(J764&lt;=50,'Configuración'!$B$24,IF(J764&lt;=200,'Configuración'!$B$25,0))),0))</f>
        <v>12</v>
      </c>
      <c r="T764" s="37">
        <f>IF(B764="","",IF(ISNUMBER(SEARCH("information technology",I764))+ISNUMBER(SEARCH("software",I764))+ISNUMBER(SEARCH("internet",I764))+ISNUMBER(SEARCH("computer",I764))+ISNUMBER(SEARCH("saas",I764))+ISNUMBER(SEARCH("fintech",I764))+ISNUMBER(SEARCH("information services",I764))+ISNUMBER(SEARCH("telecommunications",I764))&gt;0,'Configuración'!$B$27,'Configuración'!$B$28))</f>
        <v>4</v>
      </c>
      <c r="U764" s="25">
        <f>IF(B764="","",IF(ISNUMBER(SEARCH("CEO",C764))+ISNUMBER(SEARCH("Founder",C764))+ISNUMBER(SEARCH("Owner",C764))+ISNUMBER(SEARCH("Dueño",C764))+ISNUMBER(SEARCH("Director General",C764))+ISNUMBER(SEARCH("Presidente",C764))+ISNUMBER(SEARCH("President",C764))&gt;0,'Configuración'!$B$31,IF(ISNUMBER(SEARCH("CMO",C764))+ISNUMBER(SEARCH("Chief Marketing",C764))+ISNUMBER(SEARCH("VP Marketing",C764))+ISNUMBER(SEARCH("Director de Marketing",C764))+ISNUMBER(SEARCH("Director Marketing",C764))+ISNUMBER(SEARCH("Head of Marketing",C764))+ISNUMBER(SEARCH("Head Marketing",C764))&gt;0,'Configuración'!$B$32,IF(ISNUMBER(SEARCH("Marketing Manager",C764))+ISNUMBER(SEARCH("Gerente de Marketing",C764))+ISNUMBER(SEARCH("Growth Manager",C764))+ISNUMBER(SEARCH("Demand Gen",C764))+ISNUMBER(SEARCH("Marketing Lead",C764))&gt;0,'Configuración'!$B$33,IF(ISNUMBER(SEARCH("COO",C764))+ISNUMBER(SEARCH("CFO",C764))+ISNUMBER(SEARCH("CTO",C764))+ISNUMBER(SEARCH("Chief Operating",C764))+ISNUMBER(SEARCH("Chief Financial",C764))+ISNUMBER(SEARCH("Gerente General",C764))+ISNUMBER(SEARCH("General Manager",C764))&gt;0,'Configuración'!$B$34,'Configuración'!$B$35)))))</f>
        <v>12</v>
      </c>
      <c r="V764" s="38">
        <f>IF(B764="","",IF(K764="Sí",'Configuración'!$B$5,0)+IF(L764="Semanal",'Configuración'!$B$6,IF(L764="Mensual",'Configuración'!$B$7,0))+IF(M764="Sí",'Configuración'!$B$8,0)+IF(N764="Sí",'Configuración'!$B$9,0)+IF(O764="Sí",'Configuración'!$B$10,0)+IF(P764="Sí",'Configuración'!$B$11,0)+IF(Q764="Sí",'Configuración'!$B$12,0)+S764+T764+U764)</f>
        <v>28</v>
      </c>
      <c r="W764" s="39" t="str">
        <f>IF(B764="","",IF(V764&gt;='Configuración'!$B$19,"A",IF(V764&gt;='Configuración'!$B$20,"B",IF(V764&gt;='Configuración'!$B$21,"C","Descarte"))))</f>
        <v>C</v>
      </c>
    </row>
    <row r="765" ht="15.75" customHeight="1">
      <c r="A765" s="34">
        <f t="shared" si="1"/>
        <v>763</v>
      </c>
      <c r="B765" s="29" t="s">
        <v>4525</v>
      </c>
      <c r="C765" s="29" t="s">
        <v>131</v>
      </c>
      <c r="D765" s="29" t="s">
        <v>4526</v>
      </c>
      <c r="E765" s="29" t="s">
        <v>4527</v>
      </c>
      <c r="F765" s="30" t="s">
        <v>4528</v>
      </c>
      <c r="G765" s="30" t="s">
        <v>4529</v>
      </c>
      <c r="H765" s="30" t="s">
        <v>4530</v>
      </c>
      <c r="I765" s="29" t="s">
        <v>1429</v>
      </c>
      <c r="J765" s="31">
        <v>6.0</v>
      </c>
      <c r="K765" s="35"/>
      <c r="L765" s="35"/>
      <c r="M765" s="35"/>
      <c r="N765" s="35"/>
      <c r="O765" s="35"/>
      <c r="P765" s="35"/>
      <c r="Q765" s="35"/>
      <c r="R765" s="35"/>
      <c r="S765" s="37">
        <f>IF(B765="","",IF(ISNUMBER(J765),IF(J765&lt;=10,'Configuración'!$B$23,IF(J765&lt;=50,'Configuración'!$B$24,IF(J765&lt;=200,'Configuración'!$B$25,0))),0))</f>
        <v>12</v>
      </c>
      <c r="T765" s="37">
        <f>IF(B765="","",IF(ISNUMBER(SEARCH("information technology",I765))+ISNUMBER(SEARCH("software",I765))+ISNUMBER(SEARCH("internet",I765))+ISNUMBER(SEARCH("computer",I765))+ISNUMBER(SEARCH("saas",I765))+ISNUMBER(SEARCH("fintech",I765))+ISNUMBER(SEARCH("information services",I765))+ISNUMBER(SEARCH("telecommunications",I765))&gt;0,'Configuración'!$B$27,'Configuración'!$B$28))</f>
        <v>4</v>
      </c>
      <c r="U765" s="25">
        <f>IF(B765="","",IF(ISNUMBER(SEARCH("CEO",C765))+ISNUMBER(SEARCH("Founder",C765))+ISNUMBER(SEARCH("Owner",C765))+ISNUMBER(SEARCH("Dueño",C765))+ISNUMBER(SEARCH("Director General",C765))+ISNUMBER(SEARCH("Presidente",C765))+ISNUMBER(SEARCH("President",C765))&gt;0,'Configuración'!$B$31,IF(ISNUMBER(SEARCH("CMO",C765))+ISNUMBER(SEARCH("Chief Marketing",C765))+ISNUMBER(SEARCH("VP Marketing",C765))+ISNUMBER(SEARCH("Director de Marketing",C765))+ISNUMBER(SEARCH("Director Marketing",C765))+ISNUMBER(SEARCH("Head of Marketing",C765))+ISNUMBER(SEARCH("Head Marketing",C765))&gt;0,'Configuración'!$B$32,IF(ISNUMBER(SEARCH("Marketing Manager",C765))+ISNUMBER(SEARCH("Gerente de Marketing",C765))+ISNUMBER(SEARCH("Growth Manager",C765))+ISNUMBER(SEARCH("Demand Gen",C765))+ISNUMBER(SEARCH("Marketing Lead",C765))&gt;0,'Configuración'!$B$33,IF(ISNUMBER(SEARCH("COO",C765))+ISNUMBER(SEARCH("CFO",C765))+ISNUMBER(SEARCH("CTO",C765))+ISNUMBER(SEARCH("Chief Operating",C765))+ISNUMBER(SEARCH("Chief Financial",C765))+ISNUMBER(SEARCH("Gerente General",C765))+ISNUMBER(SEARCH("General Manager",C765))&gt;0,'Configuración'!$B$34,'Configuración'!$B$35)))))</f>
        <v>12</v>
      </c>
      <c r="V765" s="38">
        <f>IF(B765="","",IF(K765="Sí",'Configuración'!$B$5,0)+IF(L765="Semanal",'Configuración'!$B$6,IF(L765="Mensual",'Configuración'!$B$7,0))+IF(M765="Sí",'Configuración'!$B$8,0)+IF(N765="Sí",'Configuración'!$B$9,0)+IF(O765="Sí",'Configuración'!$B$10,0)+IF(P765="Sí",'Configuración'!$B$11,0)+IF(Q765="Sí",'Configuración'!$B$12,0)+S765+T765+U765)</f>
        <v>28</v>
      </c>
      <c r="W765" s="39" t="str">
        <f>IF(B765="","",IF(V765&gt;='Configuración'!$B$19,"A",IF(V765&gt;='Configuración'!$B$20,"B",IF(V765&gt;='Configuración'!$B$21,"C","Descarte"))))</f>
        <v>C</v>
      </c>
    </row>
    <row r="766" ht="15.75" customHeight="1">
      <c r="A766" s="34">
        <f t="shared" si="1"/>
        <v>764</v>
      </c>
      <c r="B766" s="29" t="s">
        <v>174</v>
      </c>
      <c r="C766" s="29" t="s">
        <v>131</v>
      </c>
      <c r="D766" s="29" t="s">
        <v>4531</v>
      </c>
      <c r="E766" s="29" t="s">
        <v>4532</v>
      </c>
      <c r="F766" s="30" t="s">
        <v>4533</v>
      </c>
      <c r="G766" s="30" t="s">
        <v>4534</v>
      </c>
      <c r="H766" s="30" t="s">
        <v>4535</v>
      </c>
      <c r="I766" s="29" t="s">
        <v>1950</v>
      </c>
      <c r="J766" s="31">
        <v>17.0</v>
      </c>
      <c r="K766" s="35"/>
      <c r="L766" s="35"/>
      <c r="M766" s="35"/>
      <c r="N766" s="35"/>
      <c r="O766" s="35"/>
      <c r="P766" s="35"/>
      <c r="Q766" s="35"/>
      <c r="R766" s="35"/>
      <c r="S766" s="37">
        <f>IF(B766="","",IF(ISNUMBER(J766),IF(J766&lt;=10,'Configuración'!$B$23,IF(J766&lt;=50,'Configuración'!$B$24,IF(J766&lt;=200,'Configuración'!$B$25,0))),0))</f>
        <v>4</v>
      </c>
      <c r="T766" s="37">
        <f>IF(B766="","",IF(ISNUMBER(SEARCH("information technology",I766))+ISNUMBER(SEARCH("software",I766))+ISNUMBER(SEARCH("internet",I766))+ISNUMBER(SEARCH("computer",I766))+ISNUMBER(SEARCH("saas",I766))+ISNUMBER(SEARCH("fintech",I766))+ISNUMBER(SEARCH("information services",I766))+ISNUMBER(SEARCH("telecommunications",I766))&gt;0,'Configuración'!$B$27,'Configuración'!$B$28))</f>
        <v>4</v>
      </c>
      <c r="U766" s="25">
        <f>IF(B766="","",IF(ISNUMBER(SEARCH("CEO",C766))+ISNUMBER(SEARCH("Founder",C766))+ISNUMBER(SEARCH("Owner",C766))+ISNUMBER(SEARCH("Dueño",C766))+ISNUMBER(SEARCH("Director General",C766))+ISNUMBER(SEARCH("Presidente",C766))+ISNUMBER(SEARCH("President",C766))&gt;0,'Configuración'!$B$31,IF(ISNUMBER(SEARCH("CMO",C766))+ISNUMBER(SEARCH("Chief Marketing",C766))+ISNUMBER(SEARCH("VP Marketing",C766))+ISNUMBER(SEARCH("Director de Marketing",C766))+ISNUMBER(SEARCH("Director Marketing",C766))+ISNUMBER(SEARCH("Head of Marketing",C766))+ISNUMBER(SEARCH("Head Marketing",C766))&gt;0,'Configuración'!$B$32,IF(ISNUMBER(SEARCH("Marketing Manager",C766))+ISNUMBER(SEARCH("Gerente de Marketing",C766))+ISNUMBER(SEARCH("Growth Manager",C766))+ISNUMBER(SEARCH("Demand Gen",C766))+ISNUMBER(SEARCH("Marketing Lead",C766))&gt;0,'Configuración'!$B$33,IF(ISNUMBER(SEARCH("COO",C766))+ISNUMBER(SEARCH("CFO",C766))+ISNUMBER(SEARCH("CTO",C766))+ISNUMBER(SEARCH("Chief Operating",C766))+ISNUMBER(SEARCH("Chief Financial",C766))+ISNUMBER(SEARCH("Gerente General",C766))+ISNUMBER(SEARCH("General Manager",C766))&gt;0,'Configuración'!$B$34,'Configuración'!$B$35)))))</f>
        <v>12</v>
      </c>
      <c r="V766" s="38">
        <f>IF(B766="","",IF(K766="Sí",'Configuración'!$B$5,0)+IF(L766="Semanal",'Configuración'!$B$6,IF(L766="Mensual",'Configuración'!$B$7,0))+IF(M766="Sí",'Configuración'!$B$8,0)+IF(N766="Sí",'Configuración'!$B$9,0)+IF(O766="Sí",'Configuración'!$B$10,0)+IF(P766="Sí",'Configuración'!$B$11,0)+IF(Q766="Sí",'Configuración'!$B$12,0)+S766+T766+U766)</f>
        <v>20</v>
      </c>
      <c r="W766" s="39" t="str">
        <f>IF(B766="","",IF(V766&gt;='Configuración'!$B$19,"A",IF(V766&gt;='Configuración'!$B$20,"B",IF(V766&gt;='Configuración'!$B$21,"C","Descarte"))))</f>
        <v>Descarte</v>
      </c>
    </row>
    <row r="767" ht="15.75" customHeight="1">
      <c r="A767" s="34">
        <f t="shared" si="1"/>
        <v>765</v>
      </c>
      <c r="B767" s="29" t="s">
        <v>324</v>
      </c>
      <c r="C767" s="29" t="s">
        <v>304</v>
      </c>
      <c r="D767" s="29" t="s">
        <v>4536</v>
      </c>
      <c r="E767" s="29" t="s">
        <v>4537</v>
      </c>
      <c r="F767" s="30" t="s">
        <v>4538</v>
      </c>
      <c r="G767" s="30" t="s">
        <v>4539</v>
      </c>
      <c r="H767" s="30" t="s">
        <v>4540</v>
      </c>
      <c r="I767" s="29" t="s">
        <v>127</v>
      </c>
      <c r="J767" s="31">
        <v>26.0</v>
      </c>
      <c r="K767" s="35"/>
      <c r="L767" s="35"/>
      <c r="M767" s="35"/>
      <c r="N767" s="35"/>
      <c r="O767" s="35"/>
      <c r="P767" s="35"/>
      <c r="Q767" s="35"/>
      <c r="R767" s="35"/>
      <c r="S767" s="37">
        <f>IF(B767="","",IF(ISNUMBER(J767),IF(J767&lt;=10,'Configuración'!$B$23,IF(J767&lt;=50,'Configuración'!$B$24,IF(J767&lt;=200,'Configuración'!$B$25,0))),0))</f>
        <v>4</v>
      </c>
      <c r="T767" s="37">
        <f>IF(B767="","",IF(ISNUMBER(SEARCH("information technology",I767))+ISNUMBER(SEARCH("software",I767))+ISNUMBER(SEARCH("internet",I767))+ISNUMBER(SEARCH("computer",I767))+ISNUMBER(SEARCH("saas",I767))+ISNUMBER(SEARCH("fintech",I767))+ISNUMBER(SEARCH("information services",I767))+ISNUMBER(SEARCH("telecommunications",I767))&gt;0,'Configuración'!$B$27,'Configuración'!$B$28))</f>
        <v>12</v>
      </c>
      <c r="U767" s="25">
        <f>IF(B767="","",IF(ISNUMBER(SEARCH("CEO",C767))+ISNUMBER(SEARCH("Founder",C767))+ISNUMBER(SEARCH("Owner",C767))+ISNUMBER(SEARCH("Dueño",C767))+ISNUMBER(SEARCH("Director General",C767))+ISNUMBER(SEARCH("Presidente",C767))+ISNUMBER(SEARCH("President",C767))&gt;0,'Configuración'!$B$31,IF(ISNUMBER(SEARCH("CMO",C767))+ISNUMBER(SEARCH("Chief Marketing",C767))+ISNUMBER(SEARCH("VP Marketing",C767))+ISNUMBER(SEARCH("Director de Marketing",C767))+ISNUMBER(SEARCH("Director Marketing",C767))+ISNUMBER(SEARCH("Head of Marketing",C767))+ISNUMBER(SEARCH("Head Marketing",C767))&gt;0,'Configuración'!$B$32,IF(ISNUMBER(SEARCH("Marketing Manager",C767))+ISNUMBER(SEARCH("Gerente de Marketing",C767))+ISNUMBER(SEARCH("Growth Manager",C767))+ISNUMBER(SEARCH("Demand Gen",C767))+ISNUMBER(SEARCH("Marketing Lead",C767))&gt;0,'Configuración'!$B$33,IF(ISNUMBER(SEARCH("COO",C767))+ISNUMBER(SEARCH("CFO",C767))+ISNUMBER(SEARCH("CTO",C767))+ISNUMBER(SEARCH("Chief Operating",C767))+ISNUMBER(SEARCH("Chief Financial",C767))+ISNUMBER(SEARCH("Gerente General",C767))+ISNUMBER(SEARCH("General Manager",C767))&gt;0,'Configuración'!$B$34,'Configuración'!$B$35)))))</f>
        <v>4</v>
      </c>
      <c r="V767" s="38">
        <f>IF(B767="","",IF(K767="Sí",'Configuración'!$B$5,0)+IF(L767="Semanal",'Configuración'!$B$6,IF(L767="Mensual",'Configuración'!$B$7,0))+IF(M767="Sí",'Configuración'!$B$8,0)+IF(N767="Sí",'Configuración'!$B$9,0)+IF(O767="Sí",'Configuración'!$B$10,0)+IF(P767="Sí",'Configuración'!$B$11,0)+IF(Q767="Sí",'Configuración'!$B$12,0)+S767+T767+U767)</f>
        <v>20</v>
      </c>
      <c r="W767" s="39" t="str">
        <f>IF(B767="","",IF(V767&gt;='Configuración'!$B$19,"A",IF(V767&gt;='Configuración'!$B$20,"B",IF(V767&gt;='Configuración'!$B$21,"C","Descarte"))))</f>
        <v>Descarte</v>
      </c>
    </row>
    <row r="768" ht="15.75" customHeight="1">
      <c r="A768" s="34">
        <f t="shared" si="1"/>
        <v>766</v>
      </c>
      <c r="B768" s="29" t="s">
        <v>4541</v>
      </c>
      <c r="C768" s="29" t="s">
        <v>175</v>
      </c>
      <c r="D768" s="29" t="s">
        <v>4542</v>
      </c>
      <c r="E768" s="29" t="s">
        <v>4543</v>
      </c>
      <c r="F768" s="30" t="s">
        <v>4544</v>
      </c>
      <c r="G768" s="30" t="s">
        <v>4545</v>
      </c>
      <c r="H768" s="30" t="s">
        <v>4546</v>
      </c>
      <c r="I768" s="29" t="s">
        <v>769</v>
      </c>
      <c r="J768" s="31">
        <v>1.0</v>
      </c>
      <c r="K768" s="35"/>
      <c r="L768" s="35"/>
      <c r="M768" s="35"/>
      <c r="N768" s="35"/>
      <c r="O768" s="35"/>
      <c r="P768" s="35"/>
      <c r="Q768" s="35"/>
      <c r="R768" s="35"/>
      <c r="S768" s="37">
        <f>IF(B768="","",IF(ISNUMBER(J768),IF(J768&lt;=10,'Configuración'!$B$23,IF(J768&lt;=50,'Configuración'!$B$24,IF(J768&lt;=200,'Configuración'!$B$25,0))),0))</f>
        <v>12</v>
      </c>
      <c r="T768" s="37">
        <f>IF(B768="","",IF(ISNUMBER(SEARCH("information technology",I768))+ISNUMBER(SEARCH("software",I768))+ISNUMBER(SEARCH("internet",I768))+ISNUMBER(SEARCH("computer",I768))+ISNUMBER(SEARCH("saas",I768))+ISNUMBER(SEARCH("fintech",I768))+ISNUMBER(SEARCH("information services",I768))+ISNUMBER(SEARCH("telecommunications",I768))&gt;0,'Configuración'!$B$27,'Configuración'!$B$28))</f>
        <v>4</v>
      </c>
      <c r="U768" s="25">
        <f>IF(B768="","",IF(ISNUMBER(SEARCH("CEO",C768))+ISNUMBER(SEARCH("Founder",C768))+ISNUMBER(SEARCH("Owner",C768))+ISNUMBER(SEARCH("Dueño",C768))+ISNUMBER(SEARCH("Director General",C768))+ISNUMBER(SEARCH("Presidente",C768))+ISNUMBER(SEARCH("President",C768))&gt;0,'Configuración'!$B$31,IF(ISNUMBER(SEARCH("CMO",C768))+ISNUMBER(SEARCH("Chief Marketing",C768))+ISNUMBER(SEARCH("VP Marketing",C768))+ISNUMBER(SEARCH("Director de Marketing",C768))+ISNUMBER(SEARCH("Director Marketing",C768))+ISNUMBER(SEARCH("Head of Marketing",C768))+ISNUMBER(SEARCH("Head Marketing",C768))&gt;0,'Configuración'!$B$32,IF(ISNUMBER(SEARCH("Marketing Manager",C768))+ISNUMBER(SEARCH("Gerente de Marketing",C768))+ISNUMBER(SEARCH("Growth Manager",C768))+ISNUMBER(SEARCH("Demand Gen",C768))+ISNUMBER(SEARCH("Marketing Lead",C768))&gt;0,'Configuración'!$B$33,IF(ISNUMBER(SEARCH("COO",C768))+ISNUMBER(SEARCH("CFO",C768))+ISNUMBER(SEARCH("CTO",C768))+ISNUMBER(SEARCH("Chief Operating",C768))+ISNUMBER(SEARCH("Chief Financial",C768))+ISNUMBER(SEARCH("Gerente General",C768))+ISNUMBER(SEARCH("General Manager",C768))&gt;0,'Configuración'!$B$34,'Configuración'!$B$35)))))</f>
        <v>12</v>
      </c>
      <c r="V768" s="38">
        <f>IF(B768="","",IF(K768="Sí",'Configuración'!$B$5,0)+IF(L768="Semanal",'Configuración'!$B$6,IF(L768="Mensual",'Configuración'!$B$7,0))+IF(M768="Sí",'Configuración'!$B$8,0)+IF(N768="Sí",'Configuración'!$B$9,0)+IF(O768="Sí",'Configuración'!$B$10,0)+IF(P768="Sí",'Configuración'!$B$11,0)+IF(Q768="Sí",'Configuración'!$B$12,0)+S768+T768+U768)</f>
        <v>28</v>
      </c>
      <c r="W768" s="39" t="str">
        <f>IF(B768="","",IF(V768&gt;='Configuración'!$B$19,"A",IF(V768&gt;='Configuración'!$B$20,"B",IF(V768&gt;='Configuración'!$B$21,"C","Descarte"))))</f>
        <v>C</v>
      </c>
    </row>
    <row r="769" ht="15.75" customHeight="1">
      <c r="A769" s="34">
        <f t="shared" si="1"/>
        <v>767</v>
      </c>
      <c r="B769" s="29" t="s">
        <v>4547</v>
      </c>
      <c r="C769" s="29" t="s">
        <v>4548</v>
      </c>
      <c r="D769" s="29" t="s">
        <v>4549</v>
      </c>
      <c r="E769" s="29" t="s">
        <v>4550</v>
      </c>
      <c r="F769" s="30" t="s">
        <v>4551</v>
      </c>
      <c r="G769" s="30" t="s">
        <v>4552</v>
      </c>
      <c r="H769" s="30" t="s">
        <v>4553</v>
      </c>
      <c r="I769" s="29" t="s">
        <v>380</v>
      </c>
      <c r="J769" s="31">
        <v>40.0</v>
      </c>
      <c r="K769" s="35"/>
      <c r="L769" s="35"/>
      <c r="M769" s="35"/>
      <c r="N769" s="35"/>
      <c r="O769" s="35"/>
      <c r="P769" s="35"/>
      <c r="Q769" s="35"/>
      <c r="R769" s="35"/>
      <c r="S769" s="37">
        <f>IF(B769="","",IF(ISNUMBER(J769),IF(J769&lt;=10,'Configuración'!$B$23,IF(J769&lt;=50,'Configuración'!$B$24,IF(J769&lt;=200,'Configuración'!$B$25,0))),0))</f>
        <v>4</v>
      </c>
      <c r="T769" s="37">
        <f>IF(B769="","",IF(ISNUMBER(SEARCH("information technology",I769))+ISNUMBER(SEARCH("software",I769))+ISNUMBER(SEARCH("internet",I769))+ISNUMBER(SEARCH("computer",I769))+ISNUMBER(SEARCH("saas",I769))+ISNUMBER(SEARCH("fintech",I769))+ISNUMBER(SEARCH("information services",I769))+ISNUMBER(SEARCH("telecommunications",I769))&gt;0,'Configuración'!$B$27,'Configuración'!$B$28))</f>
        <v>4</v>
      </c>
      <c r="U769" s="25">
        <f>IF(B769="","",IF(ISNUMBER(SEARCH("CEO",C769))+ISNUMBER(SEARCH("Founder",C769))+ISNUMBER(SEARCH("Owner",C769))+ISNUMBER(SEARCH("Dueño",C769))+ISNUMBER(SEARCH("Director General",C769))+ISNUMBER(SEARCH("Presidente",C769))+ISNUMBER(SEARCH("President",C769))&gt;0,'Configuración'!$B$31,IF(ISNUMBER(SEARCH("CMO",C769))+ISNUMBER(SEARCH("Chief Marketing",C769))+ISNUMBER(SEARCH("VP Marketing",C769))+ISNUMBER(SEARCH("Director de Marketing",C769))+ISNUMBER(SEARCH("Director Marketing",C769))+ISNUMBER(SEARCH("Head of Marketing",C769))+ISNUMBER(SEARCH("Head Marketing",C769))&gt;0,'Configuración'!$B$32,IF(ISNUMBER(SEARCH("Marketing Manager",C769))+ISNUMBER(SEARCH("Gerente de Marketing",C769))+ISNUMBER(SEARCH("Growth Manager",C769))+ISNUMBER(SEARCH("Demand Gen",C769))+ISNUMBER(SEARCH("Marketing Lead",C769))&gt;0,'Configuración'!$B$33,IF(ISNUMBER(SEARCH("COO",C769))+ISNUMBER(SEARCH("CFO",C769))+ISNUMBER(SEARCH("CTO",C769))+ISNUMBER(SEARCH("Chief Operating",C769))+ISNUMBER(SEARCH("Chief Financial",C769))+ISNUMBER(SEARCH("Gerente General",C769))+ISNUMBER(SEARCH("General Manager",C769))&gt;0,'Configuración'!$B$34,'Configuración'!$B$35)))))</f>
        <v>0</v>
      </c>
      <c r="V769" s="38">
        <f>IF(B769="","",IF(K769="Sí",'Configuración'!$B$5,0)+IF(L769="Semanal",'Configuración'!$B$6,IF(L769="Mensual",'Configuración'!$B$7,0))+IF(M769="Sí",'Configuración'!$B$8,0)+IF(N769="Sí",'Configuración'!$B$9,0)+IF(O769="Sí",'Configuración'!$B$10,0)+IF(P769="Sí",'Configuración'!$B$11,0)+IF(Q769="Sí",'Configuración'!$B$12,0)+S769+T769+U769)</f>
        <v>8</v>
      </c>
      <c r="W769" s="39" t="str">
        <f>IF(B769="","",IF(V769&gt;='Configuración'!$B$19,"A",IF(V769&gt;='Configuración'!$B$20,"B",IF(V769&gt;='Configuración'!$B$21,"C","Descarte"))))</f>
        <v>Descarte</v>
      </c>
    </row>
    <row r="770" ht="15.75" customHeight="1">
      <c r="A770" s="34">
        <f t="shared" si="1"/>
        <v>768</v>
      </c>
      <c r="B770" s="29" t="s">
        <v>1814</v>
      </c>
      <c r="C770" s="29" t="s">
        <v>4554</v>
      </c>
      <c r="D770" s="29" t="s">
        <v>4555</v>
      </c>
      <c r="E770" s="29" t="s">
        <v>4556</v>
      </c>
      <c r="F770" s="30" t="s">
        <v>4557</v>
      </c>
      <c r="G770" s="30" t="s">
        <v>4558</v>
      </c>
      <c r="H770" s="30" t="s">
        <v>4559</v>
      </c>
      <c r="I770" s="29" t="s">
        <v>127</v>
      </c>
      <c r="J770" s="31">
        <v>18.0</v>
      </c>
      <c r="K770" s="35"/>
      <c r="L770" s="35"/>
      <c r="M770" s="35"/>
      <c r="N770" s="35"/>
      <c r="O770" s="35"/>
      <c r="P770" s="35"/>
      <c r="Q770" s="35"/>
      <c r="R770" s="35"/>
      <c r="S770" s="37">
        <f>IF(B770="","",IF(ISNUMBER(J770),IF(J770&lt;=10,'Configuración'!$B$23,IF(J770&lt;=50,'Configuración'!$B$24,IF(J770&lt;=200,'Configuración'!$B$25,0))),0))</f>
        <v>4</v>
      </c>
      <c r="T770" s="37">
        <f>IF(B770="","",IF(ISNUMBER(SEARCH("information technology",I770))+ISNUMBER(SEARCH("software",I770))+ISNUMBER(SEARCH("internet",I770))+ISNUMBER(SEARCH("computer",I770))+ISNUMBER(SEARCH("saas",I770))+ISNUMBER(SEARCH("fintech",I770))+ISNUMBER(SEARCH("information services",I770))+ISNUMBER(SEARCH("telecommunications",I770))&gt;0,'Configuración'!$B$27,'Configuración'!$B$28))</f>
        <v>12</v>
      </c>
      <c r="U770" s="25">
        <f>IF(B770="","",IF(ISNUMBER(SEARCH("CEO",C770))+ISNUMBER(SEARCH("Founder",C770))+ISNUMBER(SEARCH("Owner",C770))+ISNUMBER(SEARCH("Dueño",C770))+ISNUMBER(SEARCH("Director General",C770))+ISNUMBER(SEARCH("Presidente",C770))+ISNUMBER(SEARCH("President",C770))&gt;0,'Configuración'!$B$31,IF(ISNUMBER(SEARCH("CMO",C770))+ISNUMBER(SEARCH("Chief Marketing",C770))+ISNUMBER(SEARCH("VP Marketing",C770))+ISNUMBER(SEARCH("Director de Marketing",C770))+ISNUMBER(SEARCH("Director Marketing",C770))+ISNUMBER(SEARCH("Head of Marketing",C770))+ISNUMBER(SEARCH("Head Marketing",C770))&gt;0,'Configuración'!$B$32,IF(ISNUMBER(SEARCH("Marketing Manager",C770))+ISNUMBER(SEARCH("Gerente de Marketing",C770))+ISNUMBER(SEARCH("Growth Manager",C770))+ISNUMBER(SEARCH("Demand Gen",C770))+ISNUMBER(SEARCH("Marketing Lead",C770))&gt;0,'Configuración'!$B$33,IF(ISNUMBER(SEARCH("COO",C770))+ISNUMBER(SEARCH("CFO",C770))+ISNUMBER(SEARCH("CTO",C770))+ISNUMBER(SEARCH("Chief Operating",C770))+ISNUMBER(SEARCH("Chief Financial",C770))+ISNUMBER(SEARCH("Gerente General",C770))+ISNUMBER(SEARCH("General Manager",C770))&gt;0,'Configuración'!$B$34,'Configuración'!$B$35)))))</f>
        <v>12</v>
      </c>
      <c r="V770" s="38">
        <f>IF(B770="","",IF(K770="Sí",'Configuración'!$B$5,0)+IF(L770="Semanal",'Configuración'!$B$6,IF(L770="Mensual",'Configuración'!$B$7,0))+IF(M770="Sí",'Configuración'!$B$8,0)+IF(N770="Sí",'Configuración'!$B$9,0)+IF(O770="Sí",'Configuración'!$B$10,0)+IF(P770="Sí",'Configuración'!$B$11,0)+IF(Q770="Sí",'Configuración'!$B$12,0)+S770+T770+U770)</f>
        <v>28</v>
      </c>
      <c r="W770" s="39" t="str">
        <f>IF(B770="","",IF(V770&gt;='Configuración'!$B$19,"A",IF(V770&gt;='Configuración'!$B$20,"B",IF(V770&gt;='Configuración'!$B$21,"C","Descarte"))))</f>
        <v>C</v>
      </c>
    </row>
    <row r="771" ht="15.75" customHeight="1">
      <c r="A771" s="34">
        <f t="shared" si="1"/>
        <v>769</v>
      </c>
      <c r="B771" s="29" t="s">
        <v>209</v>
      </c>
      <c r="C771" s="29" t="s">
        <v>4560</v>
      </c>
      <c r="D771" s="29" t="s">
        <v>4561</v>
      </c>
      <c r="E771" s="29" t="s">
        <v>4562</v>
      </c>
      <c r="F771" s="30" t="s">
        <v>4563</v>
      </c>
      <c r="G771" s="30" t="s">
        <v>4564</v>
      </c>
      <c r="H771" s="30" t="s">
        <v>4565</v>
      </c>
      <c r="I771" s="29" t="s">
        <v>659</v>
      </c>
      <c r="J771" s="31">
        <v>5.0</v>
      </c>
      <c r="K771" s="35"/>
      <c r="L771" s="35"/>
      <c r="M771" s="35"/>
      <c r="N771" s="35"/>
      <c r="O771" s="35"/>
      <c r="P771" s="35"/>
      <c r="Q771" s="35"/>
      <c r="R771" s="35"/>
      <c r="S771" s="37">
        <f>IF(B771="","",IF(ISNUMBER(J771),IF(J771&lt;=10,'Configuración'!$B$23,IF(J771&lt;=50,'Configuración'!$B$24,IF(J771&lt;=200,'Configuración'!$B$25,0))),0))</f>
        <v>12</v>
      </c>
      <c r="T771" s="37">
        <f>IF(B771="","",IF(ISNUMBER(SEARCH("information technology",I771))+ISNUMBER(SEARCH("software",I771))+ISNUMBER(SEARCH("internet",I771))+ISNUMBER(SEARCH("computer",I771))+ISNUMBER(SEARCH("saas",I771))+ISNUMBER(SEARCH("fintech",I771))+ISNUMBER(SEARCH("information services",I771))+ISNUMBER(SEARCH("telecommunications",I771))&gt;0,'Configuración'!$B$27,'Configuración'!$B$28))</f>
        <v>4</v>
      </c>
      <c r="U771" s="25">
        <f>IF(B771="","",IF(ISNUMBER(SEARCH("CEO",C771))+ISNUMBER(SEARCH("Founder",C771))+ISNUMBER(SEARCH("Owner",C771))+ISNUMBER(SEARCH("Dueño",C771))+ISNUMBER(SEARCH("Director General",C771))+ISNUMBER(SEARCH("Presidente",C771))+ISNUMBER(SEARCH("President",C771))&gt;0,'Configuración'!$B$31,IF(ISNUMBER(SEARCH("CMO",C771))+ISNUMBER(SEARCH("Chief Marketing",C771))+ISNUMBER(SEARCH("VP Marketing",C771))+ISNUMBER(SEARCH("Director de Marketing",C771))+ISNUMBER(SEARCH("Director Marketing",C771))+ISNUMBER(SEARCH("Head of Marketing",C771))+ISNUMBER(SEARCH("Head Marketing",C771))&gt;0,'Configuración'!$B$32,IF(ISNUMBER(SEARCH("Marketing Manager",C771))+ISNUMBER(SEARCH("Gerente de Marketing",C771))+ISNUMBER(SEARCH("Growth Manager",C771))+ISNUMBER(SEARCH("Demand Gen",C771))+ISNUMBER(SEARCH("Marketing Lead",C771))&gt;0,'Configuración'!$B$33,IF(ISNUMBER(SEARCH("COO",C771))+ISNUMBER(SEARCH("CFO",C771))+ISNUMBER(SEARCH("CTO",C771))+ISNUMBER(SEARCH("Chief Operating",C771))+ISNUMBER(SEARCH("Chief Financial",C771))+ISNUMBER(SEARCH("Gerente General",C771))+ISNUMBER(SEARCH("General Manager",C771))&gt;0,'Configuración'!$B$34,'Configuración'!$B$35)))))</f>
        <v>12</v>
      </c>
      <c r="V771" s="38">
        <f>IF(B771="","",IF(K771="Sí",'Configuración'!$B$5,0)+IF(L771="Semanal",'Configuración'!$B$6,IF(L771="Mensual",'Configuración'!$B$7,0))+IF(M771="Sí",'Configuración'!$B$8,0)+IF(N771="Sí",'Configuración'!$B$9,0)+IF(O771="Sí",'Configuración'!$B$10,0)+IF(P771="Sí",'Configuración'!$B$11,0)+IF(Q771="Sí",'Configuración'!$B$12,0)+S771+T771+U771)</f>
        <v>28</v>
      </c>
      <c r="W771" s="39" t="str">
        <f>IF(B771="","",IF(V771&gt;='Configuración'!$B$19,"A",IF(V771&gt;='Configuración'!$B$20,"B",IF(V771&gt;='Configuración'!$B$21,"C","Descarte"))))</f>
        <v>C</v>
      </c>
    </row>
    <row r="772" ht="15.75" customHeight="1">
      <c r="A772" s="34">
        <f t="shared" si="1"/>
        <v>770</v>
      </c>
      <c r="B772" s="29" t="s">
        <v>1814</v>
      </c>
      <c r="C772" s="29" t="s">
        <v>4566</v>
      </c>
      <c r="D772" s="29" t="s">
        <v>4567</v>
      </c>
      <c r="E772" s="29" t="s">
        <v>4568</v>
      </c>
      <c r="F772" s="30" t="s">
        <v>4569</v>
      </c>
      <c r="G772" s="30" t="s">
        <v>4570</v>
      </c>
      <c r="H772" s="30" t="s">
        <v>4571</v>
      </c>
      <c r="I772" s="29" t="s">
        <v>380</v>
      </c>
      <c r="J772" s="31">
        <v>4.0</v>
      </c>
      <c r="K772" s="35"/>
      <c r="L772" s="35"/>
      <c r="M772" s="35"/>
      <c r="N772" s="35"/>
      <c r="O772" s="35"/>
      <c r="P772" s="35"/>
      <c r="Q772" s="35"/>
      <c r="R772" s="35"/>
      <c r="S772" s="37">
        <f>IF(B772="","",IF(ISNUMBER(J772),IF(J772&lt;=10,'Configuración'!$B$23,IF(J772&lt;=50,'Configuración'!$B$24,IF(J772&lt;=200,'Configuración'!$B$25,0))),0))</f>
        <v>12</v>
      </c>
      <c r="T772" s="37">
        <f>IF(B772="","",IF(ISNUMBER(SEARCH("information technology",I772))+ISNUMBER(SEARCH("software",I772))+ISNUMBER(SEARCH("internet",I772))+ISNUMBER(SEARCH("computer",I772))+ISNUMBER(SEARCH("saas",I772))+ISNUMBER(SEARCH("fintech",I772))+ISNUMBER(SEARCH("information services",I772))+ISNUMBER(SEARCH("telecommunications",I772))&gt;0,'Configuración'!$B$27,'Configuración'!$B$28))</f>
        <v>4</v>
      </c>
      <c r="U772" s="25">
        <f>IF(B772="","",IF(ISNUMBER(SEARCH("CEO",C772))+ISNUMBER(SEARCH("Founder",C772))+ISNUMBER(SEARCH("Owner",C772))+ISNUMBER(SEARCH("Dueño",C772))+ISNUMBER(SEARCH("Director General",C772))+ISNUMBER(SEARCH("Presidente",C772))+ISNUMBER(SEARCH("President",C772))&gt;0,'Configuración'!$B$31,IF(ISNUMBER(SEARCH("CMO",C772))+ISNUMBER(SEARCH("Chief Marketing",C772))+ISNUMBER(SEARCH("VP Marketing",C772))+ISNUMBER(SEARCH("Director de Marketing",C772))+ISNUMBER(SEARCH("Director Marketing",C772))+ISNUMBER(SEARCH("Head of Marketing",C772))+ISNUMBER(SEARCH("Head Marketing",C772))&gt;0,'Configuración'!$B$32,IF(ISNUMBER(SEARCH("Marketing Manager",C772))+ISNUMBER(SEARCH("Gerente de Marketing",C772))+ISNUMBER(SEARCH("Growth Manager",C772))+ISNUMBER(SEARCH("Demand Gen",C772))+ISNUMBER(SEARCH("Marketing Lead",C772))&gt;0,'Configuración'!$B$33,IF(ISNUMBER(SEARCH("COO",C772))+ISNUMBER(SEARCH("CFO",C772))+ISNUMBER(SEARCH("CTO",C772))+ISNUMBER(SEARCH("Chief Operating",C772))+ISNUMBER(SEARCH("Chief Financial",C772))+ISNUMBER(SEARCH("Gerente General",C772))+ISNUMBER(SEARCH("General Manager",C772))&gt;0,'Configuración'!$B$34,'Configuración'!$B$35)))))</f>
        <v>12</v>
      </c>
      <c r="V772" s="38">
        <f>IF(B772="","",IF(K772="Sí",'Configuración'!$B$5,0)+IF(L772="Semanal",'Configuración'!$B$6,IF(L772="Mensual",'Configuración'!$B$7,0))+IF(M772="Sí",'Configuración'!$B$8,0)+IF(N772="Sí",'Configuración'!$B$9,0)+IF(O772="Sí",'Configuración'!$B$10,0)+IF(P772="Sí",'Configuración'!$B$11,0)+IF(Q772="Sí",'Configuración'!$B$12,0)+S772+T772+U772)</f>
        <v>28</v>
      </c>
      <c r="W772" s="39" t="str">
        <f>IF(B772="","",IF(V772&gt;='Configuración'!$B$19,"A",IF(V772&gt;='Configuración'!$B$20,"B",IF(V772&gt;='Configuración'!$B$21,"C","Descarte"))))</f>
        <v>C</v>
      </c>
    </row>
    <row r="773" ht="15.75" customHeight="1">
      <c r="A773" s="34">
        <f t="shared" si="1"/>
        <v>771</v>
      </c>
      <c r="B773" s="29" t="s">
        <v>296</v>
      </c>
      <c r="C773" s="29" t="s">
        <v>297</v>
      </c>
      <c r="D773" s="29" t="s">
        <v>4572</v>
      </c>
      <c r="E773" s="29" t="s">
        <v>4573</v>
      </c>
      <c r="F773" s="30" t="s">
        <v>4574</v>
      </c>
      <c r="G773" s="30" t="s">
        <v>4575</v>
      </c>
      <c r="H773" s="30" t="s">
        <v>4576</v>
      </c>
      <c r="I773" s="29" t="s">
        <v>127</v>
      </c>
      <c r="J773" s="31">
        <v>8.0</v>
      </c>
      <c r="K773" s="35"/>
      <c r="L773" s="35"/>
      <c r="M773" s="35"/>
      <c r="N773" s="35"/>
      <c r="O773" s="35"/>
      <c r="P773" s="35"/>
      <c r="Q773" s="35"/>
      <c r="R773" s="35"/>
      <c r="S773" s="37">
        <f>IF(B773="","",IF(ISNUMBER(J773),IF(J773&lt;=10,'Configuración'!$B$23,IF(J773&lt;=50,'Configuración'!$B$24,IF(J773&lt;=200,'Configuración'!$B$25,0))),0))</f>
        <v>12</v>
      </c>
      <c r="T773" s="37">
        <f>IF(B773="","",IF(ISNUMBER(SEARCH("information technology",I773))+ISNUMBER(SEARCH("software",I773))+ISNUMBER(SEARCH("internet",I773))+ISNUMBER(SEARCH("computer",I773))+ISNUMBER(SEARCH("saas",I773))+ISNUMBER(SEARCH("fintech",I773))+ISNUMBER(SEARCH("information services",I773))+ISNUMBER(SEARCH("telecommunications",I773))&gt;0,'Configuración'!$B$27,'Configuración'!$B$28))</f>
        <v>12</v>
      </c>
      <c r="U773" s="25">
        <f>IF(B773="","",IF(ISNUMBER(SEARCH("CEO",C773))+ISNUMBER(SEARCH("Founder",C773))+ISNUMBER(SEARCH("Owner",C773))+ISNUMBER(SEARCH("Dueño",C773))+ISNUMBER(SEARCH("Director General",C773))+ISNUMBER(SEARCH("Presidente",C773))+ISNUMBER(SEARCH("President",C773))&gt;0,'Configuración'!$B$31,IF(ISNUMBER(SEARCH("CMO",C773))+ISNUMBER(SEARCH("Chief Marketing",C773))+ISNUMBER(SEARCH("VP Marketing",C773))+ISNUMBER(SEARCH("Director de Marketing",C773))+ISNUMBER(SEARCH("Director Marketing",C773))+ISNUMBER(SEARCH("Head of Marketing",C773))+ISNUMBER(SEARCH("Head Marketing",C773))&gt;0,'Configuración'!$B$32,IF(ISNUMBER(SEARCH("Marketing Manager",C773))+ISNUMBER(SEARCH("Gerente de Marketing",C773))+ISNUMBER(SEARCH("Growth Manager",C773))+ISNUMBER(SEARCH("Demand Gen",C773))+ISNUMBER(SEARCH("Marketing Lead",C773))&gt;0,'Configuración'!$B$33,IF(ISNUMBER(SEARCH("COO",C773))+ISNUMBER(SEARCH("CFO",C773))+ISNUMBER(SEARCH("CTO",C773))+ISNUMBER(SEARCH("Chief Operating",C773))+ISNUMBER(SEARCH("Chief Financial",C773))+ISNUMBER(SEARCH("Gerente General",C773))+ISNUMBER(SEARCH("General Manager",C773))&gt;0,'Configuración'!$B$34,'Configuración'!$B$35)))))</f>
        <v>0</v>
      </c>
      <c r="V773" s="38">
        <f>IF(B773="","",IF(K773="Sí",'Configuración'!$B$5,0)+IF(L773="Semanal",'Configuración'!$B$6,IF(L773="Mensual",'Configuración'!$B$7,0))+IF(M773="Sí",'Configuración'!$B$8,0)+IF(N773="Sí",'Configuración'!$B$9,0)+IF(O773="Sí",'Configuración'!$B$10,0)+IF(P773="Sí",'Configuración'!$B$11,0)+IF(Q773="Sí",'Configuración'!$B$12,0)+S773+T773+U773)</f>
        <v>24</v>
      </c>
      <c r="W773" s="39" t="str">
        <f>IF(B773="","",IF(V773&gt;='Configuración'!$B$19,"A",IF(V773&gt;='Configuración'!$B$20,"B",IF(V773&gt;='Configuración'!$B$21,"C","Descarte"))))</f>
        <v>C</v>
      </c>
    </row>
    <row r="774" ht="15.75" customHeight="1">
      <c r="A774" s="34">
        <f t="shared" si="1"/>
        <v>772</v>
      </c>
      <c r="B774" s="29" t="s">
        <v>4577</v>
      </c>
      <c r="C774" s="29" t="s">
        <v>1668</v>
      </c>
      <c r="D774" s="29" t="s">
        <v>4578</v>
      </c>
      <c r="E774" s="29" t="s">
        <v>4579</v>
      </c>
      <c r="F774" s="30" t="s">
        <v>4580</v>
      </c>
      <c r="G774" s="30" t="s">
        <v>4581</v>
      </c>
      <c r="H774" s="30" t="s">
        <v>4582</v>
      </c>
      <c r="I774" s="29" t="s">
        <v>4583</v>
      </c>
      <c r="J774" s="31">
        <v>30.0</v>
      </c>
      <c r="K774" s="35"/>
      <c r="L774" s="35"/>
      <c r="M774" s="35"/>
      <c r="N774" s="35"/>
      <c r="O774" s="35"/>
      <c r="P774" s="35"/>
      <c r="Q774" s="35"/>
      <c r="R774" s="35"/>
      <c r="S774" s="37">
        <f>IF(B774="","",IF(ISNUMBER(J774),IF(J774&lt;=10,'Configuración'!$B$23,IF(J774&lt;=50,'Configuración'!$B$24,IF(J774&lt;=200,'Configuración'!$B$25,0))),0))</f>
        <v>4</v>
      </c>
      <c r="T774" s="37">
        <f>IF(B774="","",IF(ISNUMBER(SEARCH("information technology",I774))+ISNUMBER(SEARCH("software",I774))+ISNUMBER(SEARCH("internet",I774))+ISNUMBER(SEARCH("computer",I774))+ISNUMBER(SEARCH("saas",I774))+ISNUMBER(SEARCH("fintech",I774))+ISNUMBER(SEARCH("information services",I774))+ISNUMBER(SEARCH("telecommunications",I774))&gt;0,'Configuración'!$B$27,'Configuración'!$B$28))</f>
        <v>4</v>
      </c>
      <c r="U774" s="25">
        <f>IF(B774="","",IF(ISNUMBER(SEARCH("CEO",C774))+ISNUMBER(SEARCH("Founder",C774))+ISNUMBER(SEARCH("Owner",C774))+ISNUMBER(SEARCH("Dueño",C774))+ISNUMBER(SEARCH("Director General",C774))+ISNUMBER(SEARCH("Presidente",C774))+ISNUMBER(SEARCH("President",C774))&gt;0,'Configuración'!$B$31,IF(ISNUMBER(SEARCH("CMO",C774))+ISNUMBER(SEARCH("Chief Marketing",C774))+ISNUMBER(SEARCH("VP Marketing",C774))+ISNUMBER(SEARCH("Director de Marketing",C774))+ISNUMBER(SEARCH("Director Marketing",C774))+ISNUMBER(SEARCH("Head of Marketing",C774))+ISNUMBER(SEARCH("Head Marketing",C774))&gt;0,'Configuración'!$B$32,IF(ISNUMBER(SEARCH("Marketing Manager",C774))+ISNUMBER(SEARCH("Gerente de Marketing",C774))+ISNUMBER(SEARCH("Growth Manager",C774))+ISNUMBER(SEARCH("Demand Gen",C774))+ISNUMBER(SEARCH("Marketing Lead",C774))&gt;0,'Configuración'!$B$33,IF(ISNUMBER(SEARCH("COO",C774))+ISNUMBER(SEARCH("CFO",C774))+ISNUMBER(SEARCH("CTO",C774))+ISNUMBER(SEARCH("Chief Operating",C774))+ISNUMBER(SEARCH("Chief Financial",C774))+ISNUMBER(SEARCH("Gerente General",C774))+ISNUMBER(SEARCH("General Manager",C774))&gt;0,'Configuración'!$B$34,'Configuración'!$B$35)))))</f>
        <v>12</v>
      </c>
      <c r="V774" s="38">
        <f>IF(B774="","",IF(K774="Sí",'Configuración'!$B$5,0)+IF(L774="Semanal",'Configuración'!$B$6,IF(L774="Mensual",'Configuración'!$B$7,0))+IF(M774="Sí",'Configuración'!$B$8,0)+IF(N774="Sí",'Configuración'!$B$9,0)+IF(O774="Sí",'Configuración'!$B$10,0)+IF(P774="Sí",'Configuración'!$B$11,0)+IF(Q774="Sí",'Configuración'!$B$12,0)+S774+T774+U774)</f>
        <v>20</v>
      </c>
      <c r="W774" s="39" t="str">
        <f>IF(B774="","",IF(V774&gt;='Configuración'!$B$19,"A",IF(V774&gt;='Configuración'!$B$20,"B",IF(V774&gt;='Configuración'!$B$21,"C","Descarte"))))</f>
        <v>Descarte</v>
      </c>
    </row>
    <row r="775" ht="15.75" customHeight="1">
      <c r="A775" s="34">
        <f t="shared" si="1"/>
        <v>773</v>
      </c>
      <c r="B775" s="29" t="s">
        <v>4584</v>
      </c>
      <c r="C775" s="29" t="s">
        <v>121</v>
      </c>
      <c r="D775" s="29" t="s">
        <v>4585</v>
      </c>
      <c r="E775" s="29" t="s">
        <v>4586</v>
      </c>
      <c r="F775" s="30" t="s">
        <v>4587</v>
      </c>
      <c r="G775" s="30" t="s">
        <v>4588</v>
      </c>
      <c r="H775" s="30" t="s">
        <v>4589</v>
      </c>
      <c r="I775" s="29" t="s">
        <v>137</v>
      </c>
      <c r="J775" s="31">
        <v>1.0</v>
      </c>
      <c r="K775" s="35"/>
      <c r="L775" s="35"/>
      <c r="M775" s="35"/>
      <c r="N775" s="35"/>
      <c r="O775" s="35"/>
      <c r="P775" s="35"/>
      <c r="Q775" s="35"/>
      <c r="R775" s="35"/>
      <c r="S775" s="37">
        <f>IF(B775="","",IF(ISNUMBER(J775),IF(J775&lt;=10,'Configuración'!$B$23,IF(J775&lt;=50,'Configuración'!$B$24,IF(J775&lt;=200,'Configuración'!$B$25,0))),0))</f>
        <v>12</v>
      </c>
      <c r="T775" s="37">
        <f>IF(B775="","",IF(ISNUMBER(SEARCH("information technology",I775))+ISNUMBER(SEARCH("software",I775))+ISNUMBER(SEARCH("internet",I775))+ISNUMBER(SEARCH("computer",I775))+ISNUMBER(SEARCH("saas",I775))+ISNUMBER(SEARCH("fintech",I775))+ISNUMBER(SEARCH("information services",I775))+ISNUMBER(SEARCH("telecommunications",I775))&gt;0,'Configuración'!$B$27,'Configuración'!$B$28))</f>
        <v>4</v>
      </c>
      <c r="U775" s="25">
        <f>IF(B775="","",IF(ISNUMBER(SEARCH("CEO",C775))+ISNUMBER(SEARCH("Founder",C775))+ISNUMBER(SEARCH("Owner",C775))+ISNUMBER(SEARCH("Dueño",C775))+ISNUMBER(SEARCH("Director General",C775))+ISNUMBER(SEARCH("Presidente",C775))+ISNUMBER(SEARCH("President",C775))&gt;0,'Configuración'!$B$31,IF(ISNUMBER(SEARCH("CMO",C775))+ISNUMBER(SEARCH("Chief Marketing",C775))+ISNUMBER(SEARCH("VP Marketing",C775))+ISNUMBER(SEARCH("Director de Marketing",C775))+ISNUMBER(SEARCH("Director Marketing",C775))+ISNUMBER(SEARCH("Head of Marketing",C775))+ISNUMBER(SEARCH("Head Marketing",C775))&gt;0,'Configuración'!$B$32,IF(ISNUMBER(SEARCH("Marketing Manager",C775))+ISNUMBER(SEARCH("Gerente de Marketing",C775))+ISNUMBER(SEARCH("Growth Manager",C775))+ISNUMBER(SEARCH("Demand Gen",C775))+ISNUMBER(SEARCH("Marketing Lead",C775))&gt;0,'Configuración'!$B$33,IF(ISNUMBER(SEARCH("COO",C775))+ISNUMBER(SEARCH("CFO",C775))+ISNUMBER(SEARCH("CTO",C775))+ISNUMBER(SEARCH("Chief Operating",C775))+ISNUMBER(SEARCH("Chief Financial",C775))+ISNUMBER(SEARCH("Gerente General",C775))+ISNUMBER(SEARCH("General Manager",C775))&gt;0,'Configuración'!$B$34,'Configuración'!$B$35)))))</f>
        <v>12</v>
      </c>
      <c r="V775" s="38">
        <f>IF(B775="","",IF(K775="Sí",'Configuración'!$B$5,0)+IF(L775="Semanal",'Configuración'!$B$6,IF(L775="Mensual",'Configuración'!$B$7,0))+IF(M775="Sí",'Configuración'!$B$8,0)+IF(N775="Sí",'Configuración'!$B$9,0)+IF(O775="Sí",'Configuración'!$B$10,0)+IF(P775="Sí",'Configuración'!$B$11,0)+IF(Q775="Sí",'Configuración'!$B$12,0)+S775+T775+U775)</f>
        <v>28</v>
      </c>
      <c r="W775" s="39" t="str">
        <f>IF(B775="","",IF(V775&gt;='Configuración'!$B$19,"A",IF(V775&gt;='Configuración'!$B$20,"B",IF(V775&gt;='Configuración'!$B$21,"C","Descarte"))))</f>
        <v>C</v>
      </c>
    </row>
    <row r="776" ht="15.75" customHeight="1">
      <c r="A776" s="34">
        <f t="shared" si="1"/>
        <v>774</v>
      </c>
      <c r="B776" s="29" t="s">
        <v>159</v>
      </c>
      <c r="C776" s="29" t="s">
        <v>131</v>
      </c>
      <c r="D776" s="29" t="s">
        <v>4590</v>
      </c>
      <c r="E776" s="29" t="s">
        <v>4591</v>
      </c>
      <c r="F776" s="30" t="s">
        <v>4592</v>
      </c>
      <c r="G776" s="30" t="s">
        <v>4593</v>
      </c>
      <c r="H776" s="30" t="s">
        <v>4594</v>
      </c>
      <c r="I776" s="29" t="s">
        <v>288</v>
      </c>
      <c r="J776" s="31">
        <v>11.0</v>
      </c>
      <c r="K776" s="35"/>
      <c r="L776" s="35"/>
      <c r="M776" s="35"/>
      <c r="N776" s="35"/>
      <c r="O776" s="35"/>
      <c r="P776" s="35"/>
      <c r="Q776" s="35"/>
      <c r="R776" s="35"/>
      <c r="S776" s="37">
        <f>IF(B776="","",IF(ISNUMBER(J776),IF(J776&lt;=10,'Configuración'!$B$23,IF(J776&lt;=50,'Configuración'!$B$24,IF(J776&lt;=200,'Configuración'!$B$25,0))),0))</f>
        <v>4</v>
      </c>
      <c r="T776" s="37">
        <f>IF(B776="","",IF(ISNUMBER(SEARCH("information technology",I776))+ISNUMBER(SEARCH("software",I776))+ISNUMBER(SEARCH("internet",I776))+ISNUMBER(SEARCH("computer",I776))+ISNUMBER(SEARCH("saas",I776))+ISNUMBER(SEARCH("fintech",I776))+ISNUMBER(SEARCH("information services",I776))+ISNUMBER(SEARCH("telecommunications",I776))&gt;0,'Configuración'!$B$27,'Configuración'!$B$28))</f>
        <v>4</v>
      </c>
      <c r="U776" s="25">
        <f>IF(B776="","",IF(ISNUMBER(SEARCH("CEO",C776))+ISNUMBER(SEARCH("Founder",C776))+ISNUMBER(SEARCH("Owner",C776))+ISNUMBER(SEARCH("Dueño",C776))+ISNUMBER(SEARCH("Director General",C776))+ISNUMBER(SEARCH("Presidente",C776))+ISNUMBER(SEARCH("President",C776))&gt;0,'Configuración'!$B$31,IF(ISNUMBER(SEARCH("CMO",C776))+ISNUMBER(SEARCH("Chief Marketing",C776))+ISNUMBER(SEARCH("VP Marketing",C776))+ISNUMBER(SEARCH("Director de Marketing",C776))+ISNUMBER(SEARCH("Director Marketing",C776))+ISNUMBER(SEARCH("Head of Marketing",C776))+ISNUMBER(SEARCH("Head Marketing",C776))&gt;0,'Configuración'!$B$32,IF(ISNUMBER(SEARCH("Marketing Manager",C776))+ISNUMBER(SEARCH("Gerente de Marketing",C776))+ISNUMBER(SEARCH("Growth Manager",C776))+ISNUMBER(SEARCH("Demand Gen",C776))+ISNUMBER(SEARCH("Marketing Lead",C776))&gt;0,'Configuración'!$B$33,IF(ISNUMBER(SEARCH("COO",C776))+ISNUMBER(SEARCH("CFO",C776))+ISNUMBER(SEARCH("CTO",C776))+ISNUMBER(SEARCH("Chief Operating",C776))+ISNUMBER(SEARCH("Chief Financial",C776))+ISNUMBER(SEARCH("Gerente General",C776))+ISNUMBER(SEARCH("General Manager",C776))&gt;0,'Configuración'!$B$34,'Configuración'!$B$35)))))</f>
        <v>12</v>
      </c>
      <c r="V776" s="38">
        <f>IF(B776="","",IF(K776="Sí",'Configuración'!$B$5,0)+IF(L776="Semanal",'Configuración'!$B$6,IF(L776="Mensual",'Configuración'!$B$7,0))+IF(M776="Sí",'Configuración'!$B$8,0)+IF(N776="Sí",'Configuración'!$B$9,0)+IF(O776="Sí",'Configuración'!$B$10,0)+IF(P776="Sí",'Configuración'!$B$11,0)+IF(Q776="Sí",'Configuración'!$B$12,0)+S776+T776+U776)</f>
        <v>20</v>
      </c>
      <c r="W776" s="39" t="str">
        <f>IF(B776="","",IF(V776&gt;='Configuración'!$B$19,"A",IF(V776&gt;='Configuración'!$B$20,"B",IF(V776&gt;='Configuración'!$B$21,"C","Descarte"))))</f>
        <v>Descarte</v>
      </c>
    </row>
    <row r="777" ht="15.75" customHeight="1">
      <c r="A777" s="34">
        <f t="shared" si="1"/>
        <v>775</v>
      </c>
      <c r="B777" s="29" t="s">
        <v>296</v>
      </c>
      <c r="C777" s="29" t="s">
        <v>1898</v>
      </c>
      <c r="D777" s="29" t="s">
        <v>4595</v>
      </c>
      <c r="E777" s="29" t="s">
        <v>4596</v>
      </c>
      <c r="F777" s="30" t="s">
        <v>4597</v>
      </c>
      <c r="G777" s="30" t="s">
        <v>4598</v>
      </c>
      <c r="H777" s="30" t="s">
        <v>4599</v>
      </c>
      <c r="I777" s="29" t="s">
        <v>188</v>
      </c>
      <c r="J777" s="31">
        <v>2.0</v>
      </c>
      <c r="K777" s="35"/>
      <c r="L777" s="35"/>
      <c r="M777" s="35"/>
      <c r="N777" s="35"/>
      <c r="O777" s="35"/>
      <c r="P777" s="35"/>
      <c r="Q777" s="35"/>
      <c r="R777" s="35"/>
      <c r="S777" s="37">
        <f>IF(B777="","",IF(ISNUMBER(J777),IF(J777&lt;=10,'Configuración'!$B$23,IF(J777&lt;=50,'Configuración'!$B$24,IF(J777&lt;=200,'Configuración'!$B$25,0))),0))</f>
        <v>12</v>
      </c>
      <c r="T777" s="37">
        <f>IF(B777="","",IF(ISNUMBER(SEARCH("information technology",I777))+ISNUMBER(SEARCH("software",I777))+ISNUMBER(SEARCH("internet",I777))+ISNUMBER(SEARCH("computer",I777))+ISNUMBER(SEARCH("saas",I777))+ISNUMBER(SEARCH("fintech",I777))+ISNUMBER(SEARCH("information services",I777))+ISNUMBER(SEARCH("telecommunications",I777))&gt;0,'Configuración'!$B$27,'Configuración'!$B$28))</f>
        <v>4</v>
      </c>
      <c r="U777" s="25">
        <f>IF(B777="","",IF(ISNUMBER(SEARCH("CEO",C777))+ISNUMBER(SEARCH("Founder",C777))+ISNUMBER(SEARCH("Owner",C777))+ISNUMBER(SEARCH("Dueño",C777))+ISNUMBER(SEARCH("Director General",C777))+ISNUMBER(SEARCH("Presidente",C777))+ISNUMBER(SEARCH("President",C777))&gt;0,'Configuración'!$B$31,IF(ISNUMBER(SEARCH("CMO",C777))+ISNUMBER(SEARCH("Chief Marketing",C777))+ISNUMBER(SEARCH("VP Marketing",C777))+ISNUMBER(SEARCH("Director de Marketing",C777))+ISNUMBER(SEARCH("Director Marketing",C777))+ISNUMBER(SEARCH("Head of Marketing",C777))+ISNUMBER(SEARCH("Head Marketing",C777))&gt;0,'Configuración'!$B$32,IF(ISNUMBER(SEARCH("Marketing Manager",C777))+ISNUMBER(SEARCH("Gerente de Marketing",C777))+ISNUMBER(SEARCH("Growth Manager",C777))+ISNUMBER(SEARCH("Demand Gen",C777))+ISNUMBER(SEARCH("Marketing Lead",C777))&gt;0,'Configuración'!$B$33,IF(ISNUMBER(SEARCH("COO",C777))+ISNUMBER(SEARCH("CFO",C777))+ISNUMBER(SEARCH("CTO",C777))+ISNUMBER(SEARCH("Chief Operating",C777))+ISNUMBER(SEARCH("Chief Financial",C777))+ISNUMBER(SEARCH("Gerente General",C777))+ISNUMBER(SEARCH("General Manager",C777))&gt;0,'Configuración'!$B$34,'Configuración'!$B$35)))))</f>
        <v>12</v>
      </c>
      <c r="V777" s="38">
        <f>IF(B777="","",IF(K777="Sí",'Configuración'!$B$5,0)+IF(L777="Semanal",'Configuración'!$B$6,IF(L777="Mensual",'Configuración'!$B$7,0))+IF(M777="Sí",'Configuración'!$B$8,0)+IF(N777="Sí",'Configuración'!$B$9,0)+IF(O777="Sí",'Configuración'!$B$10,0)+IF(P777="Sí",'Configuración'!$B$11,0)+IF(Q777="Sí",'Configuración'!$B$12,0)+S777+T777+U777)</f>
        <v>28</v>
      </c>
      <c r="W777" s="39" t="str">
        <f>IF(B777="","",IF(V777&gt;='Configuración'!$B$19,"A",IF(V777&gt;='Configuración'!$B$20,"B",IF(V777&gt;='Configuración'!$B$21,"C","Descarte"))))</f>
        <v>C</v>
      </c>
    </row>
    <row r="778" ht="15.75" customHeight="1">
      <c r="A778" s="34">
        <f t="shared" si="1"/>
        <v>776</v>
      </c>
      <c r="B778" s="29" t="s">
        <v>1048</v>
      </c>
      <c r="C778" s="29" t="s">
        <v>4600</v>
      </c>
      <c r="D778" s="29" t="s">
        <v>4601</v>
      </c>
      <c r="E778" s="29" t="s">
        <v>4602</v>
      </c>
      <c r="F778" s="30" t="s">
        <v>4603</v>
      </c>
      <c r="G778" s="30" t="s">
        <v>4604</v>
      </c>
      <c r="H778" s="30" t="s">
        <v>4605</v>
      </c>
      <c r="I778" s="29" t="s">
        <v>116</v>
      </c>
      <c r="J778" s="31">
        <v>9.0</v>
      </c>
      <c r="K778" s="35"/>
      <c r="L778" s="35"/>
      <c r="M778" s="35"/>
      <c r="N778" s="35"/>
      <c r="O778" s="35"/>
      <c r="P778" s="35"/>
      <c r="Q778" s="35"/>
      <c r="R778" s="35"/>
      <c r="S778" s="37">
        <f>IF(B778="","",IF(ISNUMBER(J778),IF(J778&lt;=10,'Configuración'!$B$23,IF(J778&lt;=50,'Configuración'!$B$24,IF(J778&lt;=200,'Configuración'!$B$25,0))),0))</f>
        <v>12</v>
      </c>
      <c r="T778" s="37">
        <f>IF(B778="","",IF(ISNUMBER(SEARCH("information technology",I778))+ISNUMBER(SEARCH("software",I778))+ISNUMBER(SEARCH("internet",I778))+ISNUMBER(SEARCH("computer",I778))+ISNUMBER(SEARCH("saas",I778))+ISNUMBER(SEARCH("fintech",I778))+ISNUMBER(SEARCH("information services",I778))+ISNUMBER(SEARCH("telecommunications",I778))&gt;0,'Configuración'!$B$27,'Configuración'!$B$28))</f>
        <v>4</v>
      </c>
      <c r="U778" s="25">
        <f>IF(B778="","",IF(ISNUMBER(SEARCH("CEO",C778))+ISNUMBER(SEARCH("Founder",C778))+ISNUMBER(SEARCH("Owner",C778))+ISNUMBER(SEARCH("Dueño",C778))+ISNUMBER(SEARCH("Director General",C778))+ISNUMBER(SEARCH("Presidente",C778))+ISNUMBER(SEARCH("President",C778))&gt;0,'Configuración'!$B$31,IF(ISNUMBER(SEARCH("CMO",C778))+ISNUMBER(SEARCH("Chief Marketing",C778))+ISNUMBER(SEARCH("VP Marketing",C778))+ISNUMBER(SEARCH("Director de Marketing",C778))+ISNUMBER(SEARCH("Director Marketing",C778))+ISNUMBER(SEARCH("Head of Marketing",C778))+ISNUMBER(SEARCH("Head Marketing",C778))&gt;0,'Configuración'!$B$32,IF(ISNUMBER(SEARCH("Marketing Manager",C778))+ISNUMBER(SEARCH("Gerente de Marketing",C778))+ISNUMBER(SEARCH("Growth Manager",C778))+ISNUMBER(SEARCH("Demand Gen",C778))+ISNUMBER(SEARCH("Marketing Lead",C778))&gt;0,'Configuración'!$B$33,IF(ISNUMBER(SEARCH("COO",C778))+ISNUMBER(SEARCH("CFO",C778))+ISNUMBER(SEARCH("CTO",C778))+ISNUMBER(SEARCH("Chief Operating",C778))+ISNUMBER(SEARCH("Chief Financial",C778))+ISNUMBER(SEARCH("Gerente General",C778))+ISNUMBER(SEARCH("General Manager",C778))&gt;0,'Configuración'!$B$34,'Configuración'!$B$35)))))</f>
        <v>12</v>
      </c>
      <c r="V778" s="38">
        <f>IF(B778="","",IF(K778="Sí",'Configuración'!$B$5,0)+IF(L778="Semanal",'Configuración'!$B$6,IF(L778="Mensual",'Configuración'!$B$7,0))+IF(M778="Sí",'Configuración'!$B$8,0)+IF(N778="Sí",'Configuración'!$B$9,0)+IF(O778="Sí",'Configuración'!$B$10,0)+IF(P778="Sí",'Configuración'!$B$11,0)+IF(Q778="Sí",'Configuración'!$B$12,0)+S778+T778+U778)</f>
        <v>28</v>
      </c>
      <c r="W778" s="39" t="str">
        <f>IF(B778="","",IF(V778&gt;='Configuración'!$B$19,"A",IF(V778&gt;='Configuración'!$B$20,"B",IF(V778&gt;='Configuración'!$B$21,"C","Descarte"))))</f>
        <v>C</v>
      </c>
    </row>
    <row r="779" ht="15.75" customHeight="1">
      <c r="A779" s="34">
        <f t="shared" si="1"/>
        <v>777</v>
      </c>
      <c r="B779" s="29" t="s">
        <v>610</v>
      </c>
      <c r="C779" s="29" t="s">
        <v>622</v>
      </c>
      <c r="D779" s="40" t="s">
        <v>4606</v>
      </c>
      <c r="E779" s="29" t="s">
        <v>4607</v>
      </c>
      <c r="F779" s="30" t="s">
        <v>4608</v>
      </c>
      <c r="G779" s="30" t="s">
        <v>4609</v>
      </c>
      <c r="H779" s="30" t="s">
        <v>4610</v>
      </c>
      <c r="I779" s="29" t="s">
        <v>508</v>
      </c>
      <c r="J779" s="31">
        <v>8.0</v>
      </c>
      <c r="K779" s="35"/>
      <c r="L779" s="35"/>
      <c r="M779" s="35"/>
      <c r="N779" s="35"/>
      <c r="O779" s="35"/>
      <c r="P779" s="35"/>
      <c r="Q779" s="35"/>
      <c r="R779" s="35"/>
      <c r="S779" s="37">
        <f>IF(B779="","",IF(ISNUMBER(J779),IF(J779&lt;=10,'Configuración'!$B$23,IF(J779&lt;=50,'Configuración'!$B$24,IF(J779&lt;=200,'Configuración'!$B$25,0))),0))</f>
        <v>12</v>
      </c>
      <c r="T779" s="37">
        <f>IF(B779="","",IF(ISNUMBER(SEARCH("information technology",I779))+ISNUMBER(SEARCH("software",I779))+ISNUMBER(SEARCH("internet",I779))+ISNUMBER(SEARCH("computer",I779))+ISNUMBER(SEARCH("saas",I779))+ISNUMBER(SEARCH("fintech",I779))+ISNUMBER(SEARCH("information services",I779))+ISNUMBER(SEARCH("telecommunications",I779))&gt;0,'Configuración'!$B$27,'Configuración'!$B$28))</f>
        <v>4</v>
      </c>
      <c r="U779" s="25">
        <f>IF(B779="","",IF(ISNUMBER(SEARCH("CEO",C779))+ISNUMBER(SEARCH("Founder",C779))+ISNUMBER(SEARCH("Owner",C779))+ISNUMBER(SEARCH("Dueño",C779))+ISNUMBER(SEARCH("Director General",C779))+ISNUMBER(SEARCH("Presidente",C779))+ISNUMBER(SEARCH("President",C779))&gt;0,'Configuración'!$B$31,IF(ISNUMBER(SEARCH("CMO",C779))+ISNUMBER(SEARCH("Chief Marketing",C779))+ISNUMBER(SEARCH("VP Marketing",C779))+ISNUMBER(SEARCH("Director de Marketing",C779))+ISNUMBER(SEARCH("Director Marketing",C779))+ISNUMBER(SEARCH("Head of Marketing",C779))+ISNUMBER(SEARCH("Head Marketing",C779))&gt;0,'Configuración'!$B$32,IF(ISNUMBER(SEARCH("Marketing Manager",C779))+ISNUMBER(SEARCH("Gerente de Marketing",C779))+ISNUMBER(SEARCH("Growth Manager",C779))+ISNUMBER(SEARCH("Demand Gen",C779))+ISNUMBER(SEARCH("Marketing Lead",C779))&gt;0,'Configuración'!$B$33,IF(ISNUMBER(SEARCH("COO",C779))+ISNUMBER(SEARCH("CFO",C779))+ISNUMBER(SEARCH("CTO",C779))+ISNUMBER(SEARCH("Chief Operating",C779))+ISNUMBER(SEARCH("Chief Financial",C779))+ISNUMBER(SEARCH("Gerente General",C779))+ISNUMBER(SEARCH("General Manager",C779))&gt;0,'Configuración'!$B$34,'Configuración'!$B$35)))))</f>
        <v>12</v>
      </c>
      <c r="V779" s="38">
        <f>IF(B779="","",IF(K779="Sí",'Configuración'!$B$5,0)+IF(L779="Semanal",'Configuración'!$B$6,IF(L779="Mensual",'Configuración'!$B$7,0))+IF(M779="Sí",'Configuración'!$B$8,0)+IF(N779="Sí",'Configuración'!$B$9,0)+IF(O779="Sí",'Configuración'!$B$10,0)+IF(P779="Sí",'Configuración'!$B$11,0)+IF(Q779="Sí",'Configuración'!$B$12,0)+S779+T779+U779)</f>
        <v>28</v>
      </c>
      <c r="W779" s="39" t="str">
        <f>IF(B779="","",IF(V779&gt;='Configuración'!$B$19,"A",IF(V779&gt;='Configuración'!$B$20,"B",IF(V779&gt;='Configuración'!$B$21,"C","Descarte"))))</f>
        <v>C</v>
      </c>
    </row>
    <row r="780" ht="15.75" customHeight="1">
      <c r="A780" s="34">
        <f t="shared" si="1"/>
        <v>778</v>
      </c>
      <c r="B780" s="29" t="s">
        <v>1821</v>
      </c>
      <c r="C780" s="29" t="s">
        <v>731</v>
      </c>
      <c r="D780" s="30" t="s">
        <v>4611</v>
      </c>
      <c r="E780" s="29" t="s">
        <v>4612</v>
      </c>
      <c r="F780" s="30" t="s">
        <v>4613</v>
      </c>
      <c r="G780" s="30" t="s">
        <v>4614</v>
      </c>
      <c r="H780" s="30" t="s">
        <v>4615</v>
      </c>
      <c r="I780" s="29" t="s">
        <v>127</v>
      </c>
      <c r="J780" s="31">
        <v>8.0</v>
      </c>
      <c r="K780" s="35"/>
      <c r="L780" s="35"/>
      <c r="M780" s="35"/>
      <c r="N780" s="35"/>
      <c r="O780" s="35"/>
      <c r="P780" s="35"/>
      <c r="Q780" s="35"/>
      <c r="R780" s="35"/>
      <c r="S780" s="37">
        <f>IF(B780="","",IF(ISNUMBER(J780),IF(J780&lt;=10,'Configuración'!$B$23,IF(J780&lt;=50,'Configuración'!$B$24,IF(J780&lt;=200,'Configuración'!$B$25,0))),0))</f>
        <v>12</v>
      </c>
      <c r="T780" s="37">
        <f>IF(B780="","",IF(ISNUMBER(SEARCH("information technology",I780))+ISNUMBER(SEARCH("software",I780))+ISNUMBER(SEARCH("internet",I780))+ISNUMBER(SEARCH("computer",I780))+ISNUMBER(SEARCH("saas",I780))+ISNUMBER(SEARCH("fintech",I780))+ISNUMBER(SEARCH("information services",I780))+ISNUMBER(SEARCH("telecommunications",I780))&gt;0,'Configuración'!$B$27,'Configuración'!$B$28))</f>
        <v>12</v>
      </c>
      <c r="U780" s="25">
        <f>IF(B780="","",IF(ISNUMBER(SEARCH("CEO",C780))+ISNUMBER(SEARCH("Founder",C780))+ISNUMBER(SEARCH("Owner",C780))+ISNUMBER(SEARCH("Dueño",C780))+ISNUMBER(SEARCH("Director General",C780))+ISNUMBER(SEARCH("Presidente",C780))+ISNUMBER(SEARCH("President",C780))&gt;0,'Configuración'!$B$31,IF(ISNUMBER(SEARCH("CMO",C780))+ISNUMBER(SEARCH("Chief Marketing",C780))+ISNUMBER(SEARCH("VP Marketing",C780))+ISNUMBER(SEARCH("Director de Marketing",C780))+ISNUMBER(SEARCH("Director Marketing",C780))+ISNUMBER(SEARCH("Head of Marketing",C780))+ISNUMBER(SEARCH("Head Marketing",C780))&gt;0,'Configuración'!$B$32,IF(ISNUMBER(SEARCH("Marketing Manager",C780))+ISNUMBER(SEARCH("Gerente de Marketing",C780))+ISNUMBER(SEARCH("Growth Manager",C780))+ISNUMBER(SEARCH("Demand Gen",C780))+ISNUMBER(SEARCH("Marketing Lead",C780))&gt;0,'Configuración'!$B$33,IF(ISNUMBER(SEARCH("COO",C780))+ISNUMBER(SEARCH("CFO",C780))+ISNUMBER(SEARCH("CTO",C780))+ISNUMBER(SEARCH("Chief Operating",C780))+ISNUMBER(SEARCH("Chief Financial",C780))+ISNUMBER(SEARCH("Gerente General",C780))+ISNUMBER(SEARCH("General Manager",C780))&gt;0,'Configuración'!$B$34,'Configuración'!$B$35)))))</f>
        <v>12</v>
      </c>
      <c r="V780" s="38">
        <f>IF(B780="","",IF(K780="Sí",'Configuración'!$B$5,0)+IF(L780="Semanal",'Configuración'!$B$6,IF(L780="Mensual",'Configuración'!$B$7,0))+IF(M780="Sí",'Configuración'!$B$8,0)+IF(N780="Sí",'Configuración'!$B$9,0)+IF(O780="Sí",'Configuración'!$B$10,0)+IF(P780="Sí",'Configuración'!$B$11,0)+IF(Q780="Sí",'Configuración'!$B$12,0)+S780+T780+U780)</f>
        <v>36</v>
      </c>
      <c r="W780" s="39" t="str">
        <f>IF(B780="","",IF(V780&gt;='Configuración'!$B$19,"A",IF(V780&gt;='Configuración'!$B$20,"B",IF(V780&gt;='Configuración'!$B$21,"C","Descarte"))))</f>
        <v>C</v>
      </c>
    </row>
    <row r="781" ht="15.75" customHeight="1">
      <c r="A781" s="34">
        <f t="shared" si="1"/>
        <v>779</v>
      </c>
      <c r="B781" s="29" t="s">
        <v>501</v>
      </c>
      <c r="C781" s="29" t="s">
        <v>224</v>
      </c>
      <c r="D781" s="29" t="s">
        <v>4616</v>
      </c>
      <c r="E781" s="29" t="s">
        <v>4617</v>
      </c>
      <c r="F781" s="30" t="s">
        <v>4618</v>
      </c>
      <c r="G781" s="30" t="s">
        <v>4619</v>
      </c>
      <c r="H781" s="30" t="s">
        <v>4620</v>
      </c>
      <c r="I781" s="29" t="s">
        <v>4621</v>
      </c>
      <c r="J781" s="31">
        <v>1.0</v>
      </c>
      <c r="K781" s="35"/>
      <c r="L781" s="35"/>
      <c r="M781" s="35"/>
      <c r="N781" s="35"/>
      <c r="O781" s="35"/>
      <c r="P781" s="35"/>
      <c r="Q781" s="35"/>
      <c r="R781" s="35"/>
      <c r="S781" s="37">
        <f>IF(B781="","",IF(ISNUMBER(J781),IF(J781&lt;=10,'Configuración'!$B$23,IF(J781&lt;=50,'Configuración'!$B$24,IF(J781&lt;=200,'Configuración'!$B$25,0))),0))</f>
        <v>12</v>
      </c>
      <c r="T781" s="37">
        <f>IF(B781="","",IF(ISNUMBER(SEARCH("information technology",I781))+ISNUMBER(SEARCH("software",I781))+ISNUMBER(SEARCH("internet",I781))+ISNUMBER(SEARCH("computer",I781))+ISNUMBER(SEARCH("saas",I781))+ISNUMBER(SEARCH("fintech",I781))+ISNUMBER(SEARCH("information services",I781))+ISNUMBER(SEARCH("telecommunications",I781))&gt;0,'Configuración'!$B$27,'Configuración'!$B$28))</f>
        <v>4</v>
      </c>
      <c r="U781" s="25">
        <f>IF(B781="","",IF(ISNUMBER(SEARCH("CEO",C781))+ISNUMBER(SEARCH("Founder",C781))+ISNUMBER(SEARCH("Owner",C781))+ISNUMBER(SEARCH("Dueño",C781))+ISNUMBER(SEARCH("Director General",C781))+ISNUMBER(SEARCH("Presidente",C781))+ISNUMBER(SEARCH("President",C781))&gt;0,'Configuración'!$B$31,IF(ISNUMBER(SEARCH("CMO",C781))+ISNUMBER(SEARCH("Chief Marketing",C781))+ISNUMBER(SEARCH("VP Marketing",C781))+ISNUMBER(SEARCH("Director de Marketing",C781))+ISNUMBER(SEARCH("Director Marketing",C781))+ISNUMBER(SEARCH("Head of Marketing",C781))+ISNUMBER(SEARCH("Head Marketing",C781))&gt;0,'Configuración'!$B$32,IF(ISNUMBER(SEARCH("Marketing Manager",C781))+ISNUMBER(SEARCH("Gerente de Marketing",C781))+ISNUMBER(SEARCH("Growth Manager",C781))+ISNUMBER(SEARCH("Demand Gen",C781))+ISNUMBER(SEARCH("Marketing Lead",C781))&gt;0,'Configuración'!$B$33,IF(ISNUMBER(SEARCH("COO",C781))+ISNUMBER(SEARCH("CFO",C781))+ISNUMBER(SEARCH("CTO",C781))+ISNUMBER(SEARCH("Chief Operating",C781))+ISNUMBER(SEARCH("Chief Financial",C781))+ISNUMBER(SEARCH("Gerente General",C781))+ISNUMBER(SEARCH("General Manager",C781))&gt;0,'Configuración'!$B$34,'Configuración'!$B$35)))))</f>
        <v>12</v>
      </c>
      <c r="V781" s="38">
        <f>IF(B781="","",IF(K781="Sí",'Configuración'!$B$5,0)+IF(L781="Semanal",'Configuración'!$B$6,IF(L781="Mensual",'Configuración'!$B$7,0))+IF(M781="Sí",'Configuración'!$B$8,0)+IF(N781="Sí",'Configuración'!$B$9,0)+IF(O781="Sí",'Configuración'!$B$10,0)+IF(P781="Sí",'Configuración'!$B$11,0)+IF(Q781="Sí",'Configuración'!$B$12,0)+S781+T781+U781)</f>
        <v>28</v>
      </c>
      <c r="W781" s="39" t="str">
        <f>IF(B781="","",IF(V781&gt;='Configuración'!$B$19,"A",IF(V781&gt;='Configuración'!$B$20,"B",IF(V781&gt;='Configuración'!$B$21,"C","Descarte"))))</f>
        <v>C</v>
      </c>
    </row>
    <row r="782" ht="15.75" customHeight="1">
      <c r="A782" s="34">
        <f t="shared" si="1"/>
        <v>780</v>
      </c>
      <c r="B782" s="29" t="s">
        <v>4622</v>
      </c>
      <c r="C782" s="29" t="s">
        <v>131</v>
      </c>
      <c r="D782" s="29" t="s">
        <v>4623</v>
      </c>
      <c r="E782" s="29" t="s">
        <v>4624</v>
      </c>
      <c r="F782" s="30" t="s">
        <v>4625</v>
      </c>
      <c r="G782" s="30" t="s">
        <v>4626</v>
      </c>
      <c r="H782" s="30" t="s">
        <v>4627</v>
      </c>
      <c r="I782" s="29" t="s">
        <v>127</v>
      </c>
      <c r="J782" s="31">
        <v>5.0</v>
      </c>
      <c r="K782" s="35"/>
      <c r="L782" s="35"/>
      <c r="M782" s="35"/>
      <c r="N782" s="35"/>
      <c r="O782" s="35"/>
      <c r="P782" s="35"/>
      <c r="Q782" s="35"/>
      <c r="R782" s="35"/>
      <c r="S782" s="37">
        <f>IF(B782="","",IF(ISNUMBER(J782),IF(J782&lt;=10,'Configuración'!$B$23,IF(J782&lt;=50,'Configuración'!$B$24,IF(J782&lt;=200,'Configuración'!$B$25,0))),0))</f>
        <v>12</v>
      </c>
      <c r="T782" s="37">
        <f>IF(B782="","",IF(ISNUMBER(SEARCH("information technology",I782))+ISNUMBER(SEARCH("software",I782))+ISNUMBER(SEARCH("internet",I782))+ISNUMBER(SEARCH("computer",I782))+ISNUMBER(SEARCH("saas",I782))+ISNUMBER(SEARCH("fintech",I782))+ISNUMBER(SEARCH("information services",I782))+ISNUMBER(SEARCH("telecommunications",I782))&gt;0,'Configuración'!$B$27,'Configuración'!$B$28))</f>
        <v>12</v>
      </c>
      <c r="U782" s="25">
        <f>IF(B782="","",IF(ISNUMBER(SEARCH("CEO",C782))+ISNUMBER(SEARCH("Founder",C782))+ISNUMBER(SEARCH("Owner",C782))+ISNUMBER(SEARCH("Dueño",C782))+ISNUMBER(SEARCH("Director General",C782))+ISNUMBER(SEARCH("Presidente",C782))+ISNUMBER(SEARCH("President",C782))&gt;0,'Configuración'!$B$31,IF(ISNUMBER(SEARCH("CMO",C782))+ISNUMBER(SEARCH("Chief Marketing",C782))+ISNUMBER(SEARCH("VP Marketing",C782))+ISNUMBER(SEARCH("Director de Marketing",C782))+ISNUMBER(SEARCH("Director Marketing",C782))+ISNUMBER(SEARCH("Head of Marketing",C782))+ISNUMBER(SEARCH("Head Marketing",C782))&gt;0,'Configuración'!$B$32,IF(ISNUMBER(SEARCH("Marketing Manager",C782))+ISNUMBER(SEARCH("Gerente de Marketing",C782))+ISNUMBER(SEARCH("Growth Manager",C782))+ISNUMBER(SEARCH("Demand Gen",C782))+ISNUMBER(SEARCH("Marketing Lead",C782))&gt;0,'Configuración'!$B$33,IF(ISNUMBER(SEARCH("COO",C782))+ISNUMBER(SEARCH("CFO",C782))+ISNUMBER(SEARCH("CTO",C782))+ISNUMBER(SEARCH("Chief Operating",C782))+ISNUMBER(SEARCH("Chief Financial",C782))+ISNUMBER(SEARCH("Gerente General",C782))+ISNUMBER(SEARCH("General Manager",C782))&gt;0,'Configuración'!$B$34,'Configuración'!$B$35)))))</f>
        <v>12</v>
      </c>
      <c r="V782" s="38">
        <f>IF(B782="","",IF(K782="Sí",'Configuración'!$B$5,0)+IF(L782="Semanal",'Configuración'!$B$6,IF(L782="Mensual",'Configuración'!$B$7,0))+IF(M782="Sí",'Configuración'!$B$8,0)+IF(N782="Sí",'Configuración'!$B$9,0)+IF(O782="Sí",'Configuración'!$B$10,0)+IF(P782="Sí",'Configuración'!$B$11,0)+IF(Q782="Sí",'Configuración'!$B$12,0)+S782+T782+U782)</f>
        <v>36</v>
      </c>
      <c r="W782" s="39" t="str">
        <f>IF(B782="","",IF(V782&gt;='Configuración'!$B$19,"A",IF(V782&gt;='Configuración'!$B$20,"B",IF(V782&gt;='Configuración'!$B$21,"C","Descarte"))))</f>
        <v>C</v>
      </c>
    </row>
    <row r="783" ht="15.75" customHeight="1">
      <c r="A783" s="34">
        <f t="shared" si="1"/>
        <v>781</v>
      </c>
      <c r="B783" s="29" t="s">
        <v>4628</v>
      </c>
      <c r="C783" s="29" t="s">
        <v>934</v>
      </c>
      <c r="D783" s="29" t="s">
        <v>4629</v>
      </c>
      <c r="E783" s="29" t="s">
        <v>4630</v>
      </c>
      <c r="F783" s="30" t="s">
        <v>4631</v>
      </c>
      <c r="G783" s="30" t="s">
        <v>4632</v>
      </c>
      <c r="H783" s="30" t="s">
        <v>4633</v>
      </c>
      <c r="I783" s="29" t="s">
        <v>127</v>
      </c>
      <c r="J783" s="31">
        <v>2.0</v>
      </c>
      <c r="K783" s="35"/>
      <c r="L783" s="35"/>
      <c r="M783" s="35"/>
      <c r="N783" s="35"/>
      <c r="O783" s="35"/>
      <c r="P783" s="35"/>
      <c r="Q783" s="35"/>
      <c r="R783" s="35"/>
      <c r="S783" s="37">
        <f>IF(B783="","",IF(ISNUMBER(J783),IF(J783&lt;=10,'Configuración'!$B$23,IF(J783&lt;=50,'Configuración'!$B$24,IF(J783&lt;=200,'Configuración'!$B$25,0))),0))</f>
        <v>12</v>
      </c>
      <c r="T783" s="37">
        <f>IF(B783="","",IF(ISNUMBER(SEARCH("information technology",I783))+ISNUMBER(SEARCH("software",I783))+ISNUMBER(SEARCH("internet",I783))+ISNUMBER(SEARCH("computer",I783))+ISNUMBER(SEARCH("saas",I783))+ISNUMBER(SEARCH("fintech",I783))+ISNUMBER(SEARCH("information services",I783))+ISNUMBER(SEARCH("telecommunications",I783))&gt;0,'Configuración'!$B$27,'Configuración'!$B$28))</f>
        <v>12</v>
      </c>
      <c r="U783" s="25">
        <f>IF(B783="","",IF(ISNUMBER(SEARCH("CEO",C783))+ISNUMBER(SEARCH("Founder",C783))+ISNUMBER(SEARCH("Owner",C783))+ISNUMBER(SEARCH("Dueño",C783))+ISNUMBER(SEARCH("Director General",C783))+ISNUMBER(SEARCH("Presidente",C783))+ISNUMBER(SEARCH("President",C783))&gt;0,'Configuración'!$B$31,IF(ISNUMBER(SEARCH("CMO",C783))+ISNUMBER(SEARCH("Chief Marketing",C783))+ISNUMBER(SEARCH("VP Marketing",C783))+ISNUMBER(SEARCH("Director de Marketing",C783))+ISNUMBER(SEARCH("Director Marketing",C783))+ISNUMBER(SEARCH("Head of Marketing",C783))+ISNUMBER(SEARCH("Head Marketing",C783))&gt;0,'Configuración'!$B$32,IF(ISNUMBER(SEARCH("Marketing Manager",C783))+ISNUMBER(SEARCH("Gerente de Marketing",C783))+ISNUMBER(SEARCH("Growth Manager",C783))+ISNUMBER(SEARCH("Demand Gen",C783))+ISNUMBER(SEARCH("Marketing Lead",C783))&gt;0,'Configuración'!$B$33,IF(ISNUMBER(SEARCH("COO",C783))+ISNUMBER(SEARCH("CFO",C783))+ISNUMBER(SEARCH("CTO",C783))+ISNUMBER(SEARCH("Chief Operating",C783))+ISNUMBER(SEARCH("Chief Financial",C783))+ISNUMBER(SEARCH("Gerente General",C783))+ISNUMBER(SEARCH("General Manager",C783))&gt;0,'Configuración'!$B$34,'Configuración'!$B$35)))))</f>
        <v>12</v>
      </c>
      <c r="V783" s="38">
        <f>IF(B783="","",IF(K783="Sí",'Configuración'!$B$5,0)+IF(L783="Semanal",'Configuración'!$B$6,IF(L783="Mensual",'Configuración'!$B$7,0))+IF(M783="Sí",'Configuración'!$B$8,0)+IF(N783="Sí",'Configuración'!$B$9,0)+IF(O783="Sí",'Configuración'!$B$10,0)+IF(P783="Sí",'Configuración'!$B$11,0)+IF(Q783="Sí",'Configuración'!$B$12,0)+S783+T783+U783)</f>
        <v>36</v>
      </c>
      <c r="W783" s="39" t="str">
        <f>IF(B783="","",IF(V783&gt;='Configuración'!$B$19,"A",IF(V783&gt;='Configuración'!$B$20,"B",IF(V783&gt;='Configuración'!$B$21,"C","Descarte"))))</f>
        <v>C</v>
      </c>
    </row>
    <row r="784" ht="15.75" customHeight="1">
      <c r="A784" s="34">
        <f t="shared" si="1"/>
        <v>782</v>
      </c>
      <c r="B784" s="29" t="s">
        <v>166</v>
      </c>
      <c r="C784" s="29" t="s">
        <v>146</v>
      </c>
      <c r="D784" s="29" t="s">
        <v>4634</v>
      </c>
      <c r="E784" s="29" t="s">
        <v>4635</v>
      </c>
      <c r="F784" s="30" t="s">
        <v>4636</v>
      </c>
      <c r="G784" s="30" t="s">
        <v>4637</v>
      </c>
      <c r="H784" s="30" t="s">
        <v>4638</v>
      </c>
      <c r="I784" s="29" t="s">
        <v>4186</v>
      </c>
      <c r="J784" s="31">
        <v>2.0</v>
      </c>
      <c r="K784" s="35"/>
      <c r="L784" s="35"/>
      <c r="M784" s="35"/>
      <c r="N784" s="35"/>
      <c r="O784" s="35"/>
      <c r="P784" s="35"/>
      <c r="Q784" s="35"/>
      <c r="R784" s="35"/>
      <c r="S784" s="37">
        <f>IF(B784="","",IF(ISNUMBER(J784),IF(J784&lt;=10,'Configuración'!$B$23,IF(J784&lt;=50,'Configuración'!$B$24,IF(J784&lt;=200,'Configuración'!$B$25,0))),0))</f>
        <v>12</v>
      </c>
      <c r="T784" s="37">
        <f>IF(B784="","",IF(ISNUMBER(SEARCH("information technology",I784))+ISNUMBER(SEARCH("software",I784))+ISNUMBER(SEARCH("internet",I784))+ISNUMBER(SEARCH("computer",I784))+ISNUMBER(SEARCH("saas",I784))+ISNUMBER(SEARCH("fintech",I784))+ISNUMBER(SEARCH("information services",I784))+ISNUMBER(SEARCH("telecommunications",I784))&gt;0,'Configuración'!$B$27,'Configuración'!$B$28))</f>
        <v>12</v>
      </c>
      <c r="U784" s="25">
        <f>IF(B784="","",IF(ISNUMBER(SEARCH("CEO",C784))+ISNUMBER(SEARCH("Founder",C784))+ISNUMBER(SEARCH("Owner",C784))+ISNUMBER(SEARCH("Dueño",C784))+ISNUMBER(SEARCH("Director General",C784))+ISNUMBER(SEARCH("Presidente",C784))+ISNUMBER(SEARCH("President",C784))&gt;0,'Configuración'!$B$31,IF(ISNUMBER(SEARCH("CMO",C784))+ISNUMBER(SEARCH("Chief Marketing",C784))+ISNUMBER(SEARCH("VP Marketing",C784))+ISNUMBER(SEARCH("Director de Marketing",C784))+ISNUMBER(SEARCH("Director Marketing",C784))+ISNUMBER(SEARCH("Head of Marketing",C784))+ISNUMBER(SEARCH("Head Marketing",C784))&gt;0,'Configuración'!$B$32,IF(ISNUMBER(SEARCH("Marketing Manager",C784))+ISNUMBER(SEARCH("Gerente de Marketing",C784))+ISNUMBER(SEARCH("Growth Manager",C784))+ISNUMBER(SEARCH("Demand Gen",C784))+ISNUMBER(SEARCH("Marketing Lead",C784))&gt;0,'Configuración'!$B$33,IF(ISNUMBER(SEARCH("COO",C784))+ISNUMBER(SEARCH("CFO",C784))+ISNUMBER(SEARCH("CTO",C784))+ISNUMBER(SEARCH("Chief Operating",C784))+ISNUMBER(SEARCH("Chief Financial",C784))+ISNUMBER(SEARCH("Gerente General",C784))+ISNUMBER(SEARCH("General Manager",C784))&gt;0,'Configuración'!$B$34,'Configuración'!$B$35)))))</f>
        <v>0</v>
      </c>
      <c r="V784" s="38">
        <f>IF(B784="","",IF(K784="Sí",'Configuración'!$B$5,0)+IF(L784="Semanal",'Configuración'!$B$6,IF(L784="Mensual",'Configuración'!$B$7,0))+IF(M784="Sí",'Configuración'!$B$8,0)+IF(N784="Sí",'Configuración'!$B$9,0)+IF(O784="Sí",'Configuración'!$B$10,0)+IF(P784="Sí",'Configuración'!$B$11,0)+IF(Q784="Sí",'Configuración'!$B$12,0)+S784+T784+U784)</f>
        <v>24</v>
      </c>
      <c r="W784" s="39" t="str">
        <f>IF(B784="","",IF(V784&gt;='Configuración'!$B$19,"A",IF(V784&gt;='Configuración'!$B$20,"B",IF(V784&gt;='Configuración'!$B$21,"C","Descarte"))))</f>
        <v>C</v>
      </c>
    </row>
    <row r="785" ht="15.75" customHeight="1">
      <c r="A785" s="34">
        <f t="shared" si="1"/>
        <v>783</v>
      </c>
      <c r="B785" s="29" t="s">
        <v>223</v>
      </c>
      <c r="C785" s="29" t="s">
        <v>4639</v>
      </c>
      <c r="D785" s="40" t="s">
        <v>4640</v>
      </c>
      <c r="E785" s="29" t="s">
        <v>4641</v>
      </c>
      <c r="F785" s="30" t="s">
        <v>4642</v>
      </c>
      <c r="G785" s="30" t="s">
        <v>4643</v>
      </c>
      <c r="H785" s="30" t="s">
        <v>4644</v>
      </c>
      <c r="I785" s="29" t="s">
        <v>127</v>
      </c>
      <c r="J785" s="31">
        <v>10.0</v>
      </c>
      <c r="K785" s="35"/>
      <c r="L785" s="35"/>
      <c r="M785" s="35"/>
      <c r="N785" s="35"/>
      <c r="O785" s="35"/>
      <c r="P785" s="35"/>
      <c r="Q785" s="35"/>
      <c r="R785" s="35"/>
      <c r="S785" s="37">
        <f>IF(B785="","",IF(ISNUMBER(J785),IF(J785&lt;=10,'Configuración'!$B$23,IF(J785&lt;=50,'Configuración'!$B$24,IF(J785&lt;=200,'Configuración'!$B$25,0))),0))</f>
        <v>12</v>
      </c>
      <c r="T785" s="37">
        <f>IF(B785="","",IF(ISNUMBER(SEARCH("information technology",I785))+ISNUMBER(SEARCH("software",I785))+ISNUMBER(SEARCH("internet",I785))+ISNUMBER(SEARCH("computer",I785))+ISNUMBER(SEARCH("saas",I785))+ISNUMBER(SEARCH("fintech",I785))+ISNUMBER(SEARCH("information services",I785))+ISNUMBER(SEARCH("telecommunications",I785))&gt;0,'Configuración'!$B$27,'Configuración'!$B$28))</f>
        <v>12</v>
      </c>
      <c r="U785" s="25">
        <f>IF(B785="","",IF(ISNUMBER(SEARCH("CEO",C785))+ISNUMBER(SEARCH("Founder",C785))+ISNUMBER(SEARCH("Owner",C785))+ISNUMBER(SEARCH("Dueño",C785))+ISNUMBER(SEARCH("Director General",C785))+ISNUMBER(SEARCH("Presidente",C785))+ISNUMBER(SEARCH("President",C785))&gt;0,'Configuración'!$B$31,IF(ISNUMBER(SEARCH("CMO",C785))+ISNUMBER(SEARCH("Chief Marketing",C785))+ISNUMBER(SEARCH("VP Marketing",C785))+ISNUMBER(SEARCH("Director de Marketing",C785))+ISNUMBER(SEARCH("Director Marketing",C785))+ISNUMBER(SEARCH("Head of Marketing",C785))+ISNUMBER(SEARCH("Head Marketing",C785))&gt;0,'Configuración'!$B$32,IF(ISNUMBER(SEARCH("Marketing Manager",C785))+ISNUMBER(SEARCH("Gerente de Marketing",C785))+ISNUMBER(SEARCH("Growth Manager",C785))+ISNUMBER(SEARCH("Demand Gen",C785))+ISNUMBER(SEARCH("Marketing Lead",C785))&gt;0,'Configuración'!$B$33,IF(ISNUMBER(SEARCH("COO",C785))+ISNUMBER(SEARCH("CFO",C785))+ISNUMBER(SEARCH("CTO",C785))+ISNUMBER(SEARCH("Chief Operating",C785))+ISNUMBER(SEARCH("Chief Financial",C785))+ISNUMBER(SEARCH("Gerente General",C785))+ISNUMBER(SEARCH("General Manager",C785))&gt;0,'Configuración'!$B$34,'Configuración'!$B$35)))))</f>
        <v>12</v>
      </c>
      <c r="V785" s="38">
        <f>IF(B785="","",IF(K785="Sí",'Configuración'!$B$5,0)+IF(L785="Semanal",'Configuración'!$B$6,IF(L785="Mensual",'Configuración'!$B$7,0))+IF(M785="Sí",'Configuración'!$B$8,0)+IF(N785="Sí",'Configuración'!$B$9,0)+IF(O785="Sí",'Configuración'!$B$10,0)+IF(P785="Sí",'Configuración'!$B$11,0)+IF(Q785="Sí",'Configuración'!$B$12,0)+S785+T785+U785)</f>
        <v>36</v>
      </c>
      <c r="W785" s="39" t="str">
        <f>IF(B785="","",IF(V785&gt;='Configuración'!$B$19,"A",IF(V785&gt;='Configuración'!$B$20,"B",IF(V785&gt;='Configuración'!$B$21,"C","Descarte"))))</f>
        <v>C</v>
      </c>
    </row>
    <row r="786" ht="15.75" customHeight="1">
      <c r="A786" s="34">
        <f t="shared" si="1"/>
        <v>784</v>
      </c>
      <c r="B786" s="29" t="s">
        <v>1008</v>
      </c>
      <c r="C786" s="29" t="s">
        <v>202</v>
      </c>
      <c r="D786" s="30" t="s">
        <v>4645</v>
      </c>
      <c r="E786" s="29" t="s">
        <v>4646</v>
      </c>
      <c r="F786" s="30" t="s">
        <v>4647</v>
      </c>
      <c r="G786" s="30" t="s">
        <v>4648</v>
      </c>
      <c r="H786" s="30" t="s">
        <v>4649</v>
      </c>
      <c r="I786" s="29" t="s">
        <v>127</v>
      </c>
      <c r="J786" s="31">
        <v>3.0</v>
      </c>
      <c r="K786" s="35"/>
      <c r="L786" s="35"/>
      <c r="M786" s="35"/>
      <c r="N786" s="35"/>
      <c r="O786" s="35"/>
      <c r="P786" s="35"/>
      <c r="Q786" s="35"/>
      <c r="R786" s="35"/>
      <c r="S786" s="37">
        <f>IF(B786="","",IF(ISNUMBER(J786),IF(J786&lt;=10,'Configuración'!$B$23,IF(J786&lt;=50,'Configuración'!$B$24,IF(J786&lt;=200,'Configuración'!$B$25,0))),0))</f>
        <v>12</v>
      </c>
      <c r="T786" s="37">
        <f>IF(B786="","",IF(ISNUMBER(SEARCH("information technology",I786))+ISNUMBER(SEARCH("software",I786))+ISNUMBER(SEARCH("internet",I786))+ISNUMBER(SEARCH("computer",I786))+ISNUMBER(SEARCH("saas",I786))+ISNUMBER(SEARCH("fintech",I786))+ISNUMBER(SEARCH("information services",I786))+ISNUMBER(SEARCH("telecommunications",I786))&gt;0,'Configuración'!$B$27,'Configuración'!$B$28))</f>
        <v>12</v>
      </c>
      <c r="U786" s="25">
        <f>IF(B786="","",IF(ISNUMBER(SEARCH("CEO",C786))+ISNUMBER(SEARCH("Founder",C786))+ISNUMBER(SEARCH("Owner",C786))+ISNUMBER(SEARCH("Dueño",C786))+ISNUMBER(SEARCH("Director General",C786))+ISNUMBER(SEARCH("Presidente",C786))+ISNUMBER(SEARCH("President",C786))&gt;0,'Configuración'!$B$31,IF(ISNUMBER(SEARCH("CMO",C786))+ISNUMBER(SEARCH("Chief Marketing",C786))+ISNUMBER(SEARCH("VP Marketing",C786))+ISNUMBER(SEARCH("Director de Marketing",C786))+ISNUMBER(SEARCH("Director Marketing",C786))+ISNUMBER(SEARCH("Head of Marketing",C786))+ISNUMBER(SEARCH("Head Marketing",C786))&gt;0,'Configuración'!$B$32,IF(ISNUMBER(SEARCH("Marketing Manager",C786))+ISNUMBER(SEARCH("Gerente de Marketing",C786))+ISNUMBER(SEARCH("Growth Manager",C786))+ISNUMBER(SEARCH("Demand Gen",C786))+ISNUMBER(SEARCH("Marketing Lead",C786))&gt;0,'Configuración'!$B$33,IF(ISNUMBER(SEARCH("COO",C786))+ISNUMBER(SEARCH("CFO",C786))+ISNUMBER(SEARCH("CTO",C786))+ISNUMBER(SEARCH("Chief Operating",C786))+ISNUMBER(SEARCH("Chief Financial",C786))+ISNUMBER(SEARCH("Gerente General",C786))+ISNUMBER(SEARCH("General Manager",C786))&gt;0,'Configuración'!$B$34,'Configuración'!$B$35)))))</f>
        <v>12</v>
      </c>
      <c r="V786" s="38">
        <f>IF(B786="","",IF(K786="Sí",'Configuración'!$B$5,0)+IF(L786="Semanal",'Configuración'!$B$6,IF(L786="Mensual",'Configuración'!$B$7,0))+IF(M786="Sí",'Configuración'!$B$8,0)+IF(N786="Sí",'Configuración'!$B$9,0)+IF(O786="Sí",'Configuración'!$B$10,0)+IF(P786="Sí",'Configuración'!$B$11,0)+IF(Q786="Sí",'Configuración'!$B$12,0)+S786+T786+U786)</f>
        <v>36</v>
      </c>
      <c r="W786" s="39" t="str">
        <f>IF(B786="","",IF(V786&gt;='Configuración'!$B$19,"A",IF(V786&gt;='Configuración'!$B$20,"B",IF(V786&gt;='Configuración'!$B$21,"C","Descarte"))))</f>
        <v>C</v>
      </c>
    </row>
    <row r="787" ht="15.75" customHeight="1">
      <c r="A787" s="34">
        <f t="shared" si="1"/>
        <v>785</v>
      </c>
      <c r="B787" s="29" t="s">
        <v>4650</v>
      </c>
      <c r="C787" s="29" t="s">
        <v>4651</v>
      </c>
      <c r="D787" s="29" t="s">
        <v>4652</v>
      </c>
      <c r="E787" s="29" t="s">
        <v>4653</v>
      </c>
      <c r="F787" s="30" t="s">
        <v>4654</v>
      </c>
      <c r="G787" s="30" t="s">
        <v>4655</v>
      </c>
      <c r="H787" s="30" t="s">
        <v>4656</v>
      </c>
      <c r="I787" s="29" t="s">
        <v>450</v>
      </c>
      <c r="J787" s="31">
        <v>9.0</v>
      </c>
      <c r="K787" s="35"/>
      <c r="L787" s="35"/>
      <c r="M787" s="35"/>
      <c r="N787" s="35"/>
      <c r="O787" s="35"/>
      <c r="P787" s="35"/>
      <c r="Q787" s="35"/>
      <c r="R787" s="35"/>
      <c r="S787" s="37">
        <f>IF(B787="","",IF(ISNUMBER(J787),IF(J787&lt;=10,'Configuración'!$B$23,IF(J787&lt;=50,'Configuración'!$B$24,IF(J787&lt;=200,'Configuración'!$B$25,0))),0))</f>
        <v>12</v>
      </c>
      <c r="T787" s="37">
        <f>IF(B787="","",IF(ISNUMBER(SEARCH("information technology",I787))+ISNUMBER(SEARCH("software",I787))+ISNUMBER(SEARCH("internet",I787))+ISNUMBER(SEARCH("computer",I787))+ISNUMBER(SEARCH("saas",I787))+ISNUMBER(SEARCH("fintech",I787))+ISNUMBER(SEARCH("information services",I787))+ISNUMBER(SEARCH("telecommunications",I787))&gt;0,'Configuración'!$B$27,'Configuración'!$B$28))</f>
        <v>12</v>
      </c>
      <c r="U787" s="25">
        <f>IF(B787="","",IF(ISNUMBER(SEARCH("CEO",C787))+ISNUMBER(SEARCH("Founder",C787))+ISNUMBER(SEARCH("Owner",C787))+ISNUMBER(SEARCH("Dueño",C787))+ISNUMBER(SEARCH("Director General",C787))+ISNUMBER(SEARCH("Presidente",C787))+ISNUMBER(SEARCH("President",C787))&gt;0,'Configuración'!$B$31,IF(ISNUMBER(SEARCH("CMO",C787))+ISNUMBER(SEARCH("Chief Marketing",C787))+ISNUMBER(SEARCH("VP Marketing",C787))+ISNUMBER(SEARCH("Director de Marketing",C787))+ISNUMBER(SEARCH("Director Marketing",C787))+ISNUMBER(SEARCH("Head of Marketing",C787))+ISNUMBER(SEARCH("Head Marketing",C787))&gt;0,'Configuración'!$B$32,IF(ISNUMBER(SEARCH("Marketing Manager",C787))+ISNUMBER(SEARCH("Gerente de Marketing",C787))+ISNUMBER(SEARCH("Growth Manager",C787))+ISNUMBER(SEARCH("Demand Gen",C787))+ISNUMBER(SEARCH("Marketing Lead",C787))&gt;0,'Configuración'!$B$33,IF(ISNUMBER(SEARCH("COO",C787))+ISNUMBER(SEARCH("CFO",C787))+ISNUMBER(SEARCH("CTO",C787))+ISNUMBER(SEARCH("Chief Operating",C787))+ISNUMBER(SEARCH("Chief Financial",C787))+ISNUMBER(SEARCH("Gerente General",C787))+ISNUMBER(SEARCH("General Manager",C787))&gt;0,'Configuración'!$B$34,'Configuración'!$B$35)))))</f>
        <v>12</v>
      </c>
      <c r="V787" s="38">
        <f>IF(B787="","",IF(K787="Sí",'Configuración'!$B$5,0)+IF(L787="Semanal",'Configuración'!$B$6,IF(L787="Mensual",'Configuración'!$B$7,0))+IF(M787="Sí",'Configuración'!$B$8,0)+IF(N787="Sí",'Configuración'!$B$9,0)+IF(O787="Sí",'Configuración'!$B$10,0)+IF(P787="Sí",'Configuración'!$B$11,0)+IF(Q787="Sí",'Configuración'!$B$12,0)+S787+T787+U787)</f>
        <v>36</v>
      </c>
      <c r="W787" s="39" t="str">
        <f>IF(B787="","",IF(V787&gt;='Configuración'!$B$19,"A",IF(V787&gt;='Configuración'!$B$20,"B",IF(V787&gt;='Configuración'!$B$21,"C","Descarte"))))</f>
        <v>C</v>
      </c>
    </row>
    <row r="788" ht="15.75" customHeight="1">
      <c r="A788" s="34">
        <f t="shared" si="1"/>
        <v>786</v>
      </c>
      <c r="B788" s="29" t="s">
        <v>1171</v>
      </c>
      <c r="C788" s="29" t="s">
        <v>4657</v>
      </c>
      <c r="D788" s="29" t="s">
        <v>4658</v>
      </c>
      <c r="E788" s="29" t="s">
        <v>4659</v>
      </c>
      <c r="F788" s="30" t="s">
        <v>4660</v>
      </c>
      <c r="G788" s="30" t="s">
        <v>4661</v>
      </c>
      <c r="H788" s="30" t="s">
        <v>4662</v>
      </c>
      <c r="I788" s="29" t="s">
        <v>127</v>
      </c>
      <c r="J788" s="31">
        <v>19.0</v>
      </c>
      <c r="K788" s="35"/>
      <c r="L788" s="35"/>
      <c r="M788" s="35"/>
      <c r="N788" s="35"/>
      <c r="O788" s="35"/>
      <c r="P788" s="35"/>
      <c r="Q788" s="35"/>
      <c r="R788" s="35"/>
      <c r="S788" s="37">
        <f>IF(B788="","",IF(ISNUMBER(J788),IF(J788&lt;=10,'Configuración'!$B$23,IF(J788&lt;=50,'Configuración'!$B$24,IF(J788&lt;=200,'Configuración'!$B$25,0))),0))</f>
        <v>4</v>
      </c>
      <c r="T788" s="37">
        <f>IF(B788="","",IF(ISNUMBER(SEARCH("information technology",I788))+ISNUMBER(SEARCH("software",I788))+ISNUMBER(SEARCH("internet",I788))+ISNUMBER(SEARCH("computer",I788))+ISNUMBER(SEARCH("saas",I788))+ISNUMBER(SEARCH("fintech",I788))+ISNUMBER(SEARCH("information services",I788))+ISNUMBER(SEARCH("telecommunications",I788))&gt;0,'Configuración'!$B$27,'Configuración'!$B$28))</f>
        <v>12</v>
      </c>
      <c r="U788" s="25">
        <f>IF(B788="","",IF(ISNUMBER(SEARCH("CEO",C788))+ISNUMBER(SEARCH("Founder",C788))+ISNUMBER(SEARCH("Owner",C788))+ISNUMBER(SEARCH("Dueño",C788))+ISNUMBER(SEARCH("Director General",C788))+ISNUMBER(SEARCH("Presidente",C788))+ISNUMBER(SEARCH("President",C788))&gt;0,'Configuración'!$B$31,IF(ISNUMBER(SEARCH("CMO",C788))+ISNUMBER(SEARCH("Chief Marketing",C788))+ISNUMBER(SEARCH("VP Marketing",C788))+ISNUMBER(SEARCH("Director de Marketing",C788))+ISNUMBER(SEARCH("Director Marketing",C788))+ISNUMBER(SEARCH("Head of Marketing",C788))+ISNUMBER(SEARCH("Head Marketing",C788))&gt;0,'Configuración'!$B$32,IF(ISNUMBER(SEARCH("Marketing Manager",C788))+ISNUMBER(SEARCH("Gerente de Marketing",C788))+ISNUMBER(SEARCH("Growth Manager",C788))+ISNUMBER(SEARCH("Demand Gen",C788))+ISNUMBER(SEARCH("Marketing Lead",C788))&gt;0,'Configuración'!$B$33,IF(ISNUMBER(SEARCH("COO",C788))+ISNUMBER(SEARCH("CFO",C788))+ISNUMBER(SEARCH("CTO",C788))+ISNUMBER(SEARCH("Chief Operating",C788))+ISNUMBER(SEARCH("Chief Financial",C788))+ISNUMBER(SEARCH("Gerente General",C788))+ISNUMBER(SEARCH("General Manager",C788))&gt;0,'Configuración'!$B$34,'Configuración'!$B$35)))))</f>
        <v>12</v>
      </c>
      <c r="V788" s="38">
        <f>IF(B788="","",IF(K788="Sí",'Configuración'!$B$5,0)+IF(L788="Semanal",'Configuración'!$B$6,IF(L788="Mensual",'Configuración'!$B$7,0))+IF(M788="Sí",'Configuración'!$B$8,0)+IF(N788="Sí",'Configuración'!$B$9,0)+IF(O788="Sí",'Configuración'!$B$10,0)+IF(P788="Sí",'Configuración'!$B$11,0)+IF(Q788="Sí",'Configuración'!$B$12,0)+S788+T788+U788)</f>
        <v>28</v>
      </c>
      <c r="W788" s="39" t="str">
        <f>IF(B788="","",IF(V788&gt;='Configuración'!$B$19,"A",IF(V788&gt;='Configuración'!$B$20,"B",IF(V788&gt;='Configuración'!$B$21,"C","Descarte"))))</f>
        <v>C</v>
      </c>
    </row>
    <row r="789" ht="15.75" customHeight="1">
      <c r="A789" s="34">
        <f t="shared" si="1"/>
        <v>787</v>
      </c>
      <c r="B789" s="29" t="s">
        <v>181</v>
      </c>
      <c r="C789" s="29" t="s">
        <v>4663</v>
      </c>
      <c r="D789" s="29" t="s">
        <v>4664</v>
      </c>
      <c r="E789" s="29" t="s">
        <v>4665</v>
      </c>
      <c r="F789" s="30" t="s">
        <v>4666</v>
      </c>
      <c r="G789" s="30" t="s">
        <v>4667</v>
      </c>
      <c r="H789" s="30" t="s">
        <v>4668</v>
      </c>
      <c r="I789" s="29" t="s">
        <v>847</v>
      </c>
      <c r="J789" s="31">
        <v>1.0</v>
      </c>
      <c r="K789" s="35"/>
      <c r="L789" s="35"/>
      <c r="M789" s="35"/>
      <c r="N789" s="35"/>
      <c r="O789" s="35"/>
      <c r="P789" s="35"/>
      <c r="Q789" s="35"/>
      <c r="R789" s="35"/>
      <c r="S789" s="37">
        <f>IF(B789="","",IF(ISNUMBER(J789),IF(J789&lt;=10,'Configuración'!$B$23,IF(J789&lt;=50,'Configuración'!$B$24,IF(J789&lt;=200,'Configuración'!$B$25,0))),0))</f>
        <v>12</v>
      </c>
      <c r="T789" s="37">
        <f>IF(B789="","",IF(ISNUMBER(SEARCH("information technology",I789))+ISNUMBER(SEARCH("software",I789))+ISNUMBER(SEARCH("internet",I789))+ISNUMBER(SEARCH("computer",I789))+ISNUMBER(SEARCH("saas",I789))+ISNUMBER(SEARCH("fintech",I789))+ISNUMBER(SEARCH("information services",I789))+ISNUMBER(SEARCH("telecommunications",I789))&gt;0,'Configuración'!$B$27,'Configuración'!$B$28))</f>
        <v>4</v>
      </c>
      <c r="U789" s="25">
        <f>IF(B789="","",IF(ISNUMBER(SEARCH("CEO",C789))+ISNUMBER(SEARCH("Founder",C789))+ISNUMBER(SEARCH("Owner",C789))+ISNUMBER(SEARCH("Dueño",C789))+ISNUMBER(SEARCH("Director General",C789))+ISNUMBER(SEARCH("Presidente",C789))+ISNUMBER(SEARCH("President",C789))&gt;0,'Configuración'!$B$31,IF(ISNUMBER(SEARCH("CMO",C789))+ISNUMBER(SEARCH("Chief Marketing",C789))+ISNUMBER(SEARCH("VP Marketing",C789))+ISNUMBER(SEARCH("Director de Marketing",C789))+ISNUMBER(SEARCH("Director Marketing",C789))+ISNUMBER(SEARCH("Head of Marketing",C789))+ISNUMBER(SEARCH("Head Marketing",C789))&gt;0,'Configuración'!$B$32,IF(ISNUMBER(SEARCH("Marketing Manager",C789))+ISNUMBER(SEARCH("Gerente de Marketing",C789))+ISNUMBER(SEARCH("Growth Manager",C789))+ISNUMBER(SEARCH("Demand Gen",C789))+ISNUMBER(SEARCH("Marketing Lead",C789))&gt;0,'Configuración'!$B$33,IF(ISNUMBER(SEARCH("COO",C789))+ISNUMBER(SEARCH("CFO",C789))+ISNUMBER(SEARCH("CTO",C789))+ISNUMBER(SEARCH("Chief Operating",C789))+ISNUMBER(SEARCH("Chief Financial",C789))+ISNUMBER(SEARCH("Gerente General",C789))+ISNUMBER(SEARCH("General Manager",C789))&gt;0,'Configuración'!$B$34,'Configuración'!$B$35)))))</f>
        <v>12</v>
      </c>
      <c r="V789" s="38">
        <f>IF(B789="","",IF(K789="Sí",'Configuración'!$B$5,0)+IF(L789="Semanal",'Configuración'!$B$6,IF(L789="Mensual",'Configuración'!$B$7,0))+IF(M789="Sí",'Configuración'!$B$8,0)+IF(N789="Sí",'Configuración'!$B$9,0)+IF(O789="Sí",'Configuración'!$B$10,0)+IF(P789="Sí",'Configuración'!$B$11,0)+IF(Q789="Sí",'Configuración'!$B$12,0)+S789+T789+U789)</f>
        <v>28</v>
      </c>
      <c r="W789" s="39" t="str">
        <f>IF(B789="","",IF(V789&gt;='Configuración'!$B$19,"A",IF(V789&gt;='Configuración'!$B$20,"B",IF(V789&gt;='Configuración'!$B$21,"C","Descarte"))))</f>
        <v>C</v>
      </c>
    </row>
    <row r="790" ht="15.75" customHeight="1">
      <c r="A790" s="34">
        <f t="shared" si="1"/>
        <v>788</v>
      </c>
      <c r="B790" s="29" t="s">
        <v>138</v>
      </c>
      <c r="C790" s="29" t="s">
        <v>4669</v>
      </c>
      <c r="D790" s="29" t="s">
        <v>4670</v>
      </c>
      <c r="E790" s="29" t="s">
        <v>4671</v>
      </c>
      <c r="F790" s="30" t="s">
        <v>4672</v>
      </c>
      <c r="G790" s="30" t="s">
        <v>4673</v>
      </c>
      <c r="H790" s="30" t="s">
        <v>4674</v>
      </c>
      <c r="I790" s="29" t="s">
        <v>127</v>
      </c>
      <c r="J790" s="31">
        <v>12.0</v>
      </c>
      <c r="K790" s="35"/>
      <c r="L790" s="35"/>
      <c r="M790" s="35"/>
      <c r="N790" s="35"/>
      <c r="O790" s="35"/>
      <c r="P790" s="35"/>
      <c r="Q790" s="35"/>
      <c r="R790" s="35"/>
      <c r="S790" s="37">
        <f>IF(B790="","",IF(ISNUMBER(J790),IF(J790&lt;=10,'Configuración'!$B$23,IF(J790&lt;=50,'Configuración'!$B$24,IF(J790&lt;=200,'Configuración'!$B$25,0))),0))</f>
        <v>4</v>
      </c>
      <c r="T790" s="37">
        <f>IF(B790="","",IF(ISNUMBER(SEARCH("information technology",I790))+ISNUMBER(SEARCH("software",I790))+ISNUMBER(SEARCH("internet",I790))+ISNUMBER(SEARCH("computer",I790))+ISNUMBER(SEARCH("saas",I790))+ISNUMBER(SEARCH("fintech",I790))+ISNUMBER(SEARCH("information services",I790))+ISNUMBER(SEARCH("telecommunications",I790))&gt;0,'Configuración'!$B$27,'Configuración'!$B$28))</f>
        <v>12</v>
      </c>
      <c r="U790" s="25">
        <f>IF(B790="","",IF(ISNUMBER(SEARCH("CEO",C790))+ISNUMBER(SEARCH("Founder",C790))+ISNUMBER(SEARCH("Owner",C790))+ISNUMBER(SEARCH("Dueño",C790))+ISNUMBER(SEARCH("Director General",C790))+ISNUMBER(SEARCH("Presidente",C790))+ISNUMBER(SEARCH("President",C790))&gt;0,'Configuración'!$B$31,IF(ISNUMBER(SEARCH("CMO",C790))+ISNUMBER(SEARCH("Chief Marketing",C790))+ISNUMBER(SEARCH("VP Marketing",C790))+ISNUMBER(SEARCH("Director de Marketing",C790))+ISNUMBER(SEARCH("Director Marketing",C790))+ISNUMBER(SEARCH("Head of Marketing",C790))+ISNUMBER(SEARCH("Head Marketing",C790))&gt;0,'Configuración'!$B$32,IF(ISNUMBER(SEARCH("Marketing Manager",C790))+ISNUMBER(SEARCH("Gerente de Marketing",C790))+ISNUMBER(SEARCH("Growth Manager",C790))+ISNUMBER(SEARCH("Demand Gen",C790))+ISNUMBER(SEARCH("Marketing Lead",C790))&gt;0,'Configuración'!$B$33,IF(ISNUMBER(SEARCH("COO",C790))+ISNUMBER(SEARCH("CFO",C790))+ISNUMBER(SEARCH("CTO",C790))+ISNUMBER(SEARCH("Chief Operating",C790))+ISNUMBER(SEARCH("Chief Financial",C790))+ISNUMBER(SEARCH("Gerente General",C790))+ISNUMBER(SEARCH("General Manager",C790))&gt;0,'Configuración'!$B$34,'Configuración'!$B$35)))))</f>
        <v>12</v>
      </c>
      <c r="V790" s="38">
        <f>IF(B790="","",IF(K790="Sí",'Configuración'!$B$5,0)+IF(L790="Semanal",'Configuración'!$B$6,IF(L790="Mensual",'Configuración'!$B$7,0))+IF(M790="Sí",'Configuración'!$B$8,0)+IF(N790="Sí",'Configuración'!$B$9,0)+IF(O790="Sí",'Configuración'!$B$10,0)+IF(P790="Sí",'Configuración'!$B$11,0)+IF(Q790="Sí",'Configuración'!$B$12,0)+S790+T790+U790)</f>
        <v>28</v>
      </c>
      <c r="W790" s="39" t="str">
        <f>IF(B790="","",IF(V790&gt;='Configuración'!$B$19,"A",IF(V790&gt;='Configuración'!$B$20,"B",IF(V790&gt;='Configuración'!$B$21,"C","Descarte"))))</f>
        <v>C</v>
      </c>
    </row>
    <row r="791" ht="15.75" customHeight="1">
      <c r="A791" s="34">
        <f t="shared" si="1"/>
        <v>789</v>
      </c>
      <c r="B791" s="29" t="s">
        <v>529</v>
      </c>
      <c r="C791" s="29" t="s">
        <v>202</v>
      </c>
      <c r="D791" s="29" t="s">
        <v>4675</v>
      </c>
      <c r="E791" s="29" t="s">
        <v>4676</v>
      </c>
      <c r="F791" s="30" t="s">
        <v>4677</v>
      </c>
      <c r="G791" s="30" t="s">
        <v>4678</v>
      </c>
      <c r="H791" s="30" t="s">
        <v>4679</v>
      </c>
      <c r="I791" s="29" t="s">
        <v>145</v>
      </c>
      <c r="J791" s="31">
        <v>3.0</v>
      </c>
      <c r="K791" s="35"/>
      <c r="L791" s="35"/>
      <c r="M791" s="35"/>
      <c r="N791" s="35"/>
      <c r="O791" s="35"/>
      <c r="P791" s="35"/>
      <c r="Q791" s="35"/>
      <c r="R791" s="35"/>
      <c r="S791" s="37">
        <f>IF(B791="","",IF(ISNUMBER(J791),IF(J791&lt;=10,'Configuración'!$B$23,IF(J791&lt;=50,'Configuración'!$B$24,IF(J791&lt;=200,'Configuración'!$B$25,0))),0))</f>
        <v>12</v>
      </c>
      <c r="T791" s="37">
        <f>IF(B791="","",IF(ISNUMBER(SEARCH("information technology",I791))+ISNUMBER(SEARCH("software",I791))+ISNUMBER(SEARCH("internet",I791))+ISNUMBER(SEARCH("computer",I791))+ISNUMBER(SEARCH("saas",I791))+ISNUMBER(SEARCH("fintech",I791))+ISNUMBER(SEARCH("information services",I791))+ISNUMBER(SEARCH("telecommunications",I791))&gt;0,'Configuración'!$B$27,'Configuración'!$B$28))</f>
        <v>4</v>
      </c>
      <c r="U791" s="25">
        <f>IF(B791="","",IF(ISNUMBER(SEARCH("CEO",C791))+ISNUMBER(SEARCH("Founder",C791))+ISNUMBER(SEARCH("Owner",C791))+ISNUMBER(SEARCH("Dueño",C791))+ISNUMBER(SEARCH("Director General",C791))+ISNUMBER(SEARCH("Presidente",C791))+ISNUMBER(SEARCH("President",C791))&gt;0,'Configuración'!$B$31,IF(ISNUMBER(SEARCH("CMO",C791))+ISNUMBER(SEARCH("Chief Marketing",C791))+ISNUMBER(SEARCH("VP Marketing",C791))+ISNUMBER(SEARCH("Director de Marketing",C791))+ISNUMBER(SEARCH("Director Marketing",C791))+ISNUMBER(SEARCH("Head of Marketing",C791))+ISNUMBER(SEARCH("Head Marketing",C791))&gt;0,'Configuración'!$B$32,IF(ISNUMBER(SEARCH("Marketing Manager",C791))+ISNUMBER(SEARCH("Gerente de Marketing",C791))+ISNUMBER(SEARCH("Growth Manager",C791))+ISNUMBER(SEARCH("Demand Gen",C791))+ISNUMBER(SEARCH("Marketing Lead",C791))&gt;0,'Configuración'!$B$33,IF(ISNUMBER(SEARCH("COO",C791))+ISNUMBER(SEARCH("CFO",C791))+ISNUMBER(SEARCH("CTO",C791))+ISNUMBER(SEARCH("Chief Operating",C791))+ISNUMBER(SEARCH("Chief Financial",C791))+ISNUMBER(SEARCH("Gerente General",C791))+ISNUMBER(SEARCH("General Manager",C791))&gt;0,'Configuración'!$B$34,'Configuración'!$B$35)))))</f>
        <v>12</v>
      </c>
      <c r="V791" s="38">
        <f>IF(B791="","",IF(K791="Sí",'Configuración'!$B$5,0)+IF(L791="Semanal",'Configuración'!$B$6,IF(L791="Mensual",'Configuración'!$B$7,0))+IF(M791="Sí",'Configuración'!$B$8,0)+IF(N791="Sí",'Configuración'!$B$9,0)+IF(O791="Sí",'Configuración'!$B$10,0)+IF(P791="Sí",'Configuración'!$B$11,0)+IF(Q791="Sí",'Configuración'!$B$12,0)+S791+T791+U791)</f>
        <v>28</v>
      </c>
      <c r="W791" s="39" t="str">
        <f>IF(B791="","",IF(V791&gt;='Configuración'!$B$19,"A",IF(V791&gt;='Configuración'!$B$20,"B",IF(V791&gt;='Configuración'!$B$21,"C","Descarte"))))</f>
        <v>C</v>
      </c>
    </row>
    <row r="792" ht="15.75" customHeight="1">
      <c r="A792" s="34">
        <f t="shared" si="1"/>
        <v>790</v>
      </c>
      <c r="B792" s="29" t="s">
        <v>159</v>
      </c>
      <c r="C792" s="29" t="s">
        <v>4680</v>
      </c>
      <c r="D792" s="29" t="s">
        <v>4681</v>
      </c>
      <c r="E792" s="29" t="s">
        <v>4682</v>
      </c>
      <c r="F792" s="30" t="s">
        <v>4683</v>
      </c>
      <c r="G792" s="30" t="s">
        <v>4684</v>
      </c>
      <c r="H792" s="30" t="s">
        <v>4685</v>
      </c>
      <c r="I792" s="29" t="s">
        <v>480</v>
      </c>
      <c r="J792" s="31">
        <v>7.0</v>
      </c>
      <c r="K792" s="35"/>
      <c r="L792" s="35"/>
      <c r="M792" s="35"/>
      <c r="N792" s="35"/>
      <c r="O792" s="35"/>
      <c r="P792" s="35"/>
      <c r="Q792" s="35"/>
      <c r="R792" s="35"/>
      <c r="S792" s="37">
        <f>IF(B792="","",IF(ISNUMBER(J792),IF(J792&lt;=10,'Configuración'!$B$23,IF(J792&lt;=50,'Configuración'!$B$24,IF(J792&lt;=200,'Configuración'!$B$25,0))),0))</f>
        <v>12</v>
      </c>
      <c r="T792" s="37">
        <f>IF(B792="","",IF(ISNUMBER(SEARCH("information technology",I792))+ISNUMBER(SEARCH("software",I792))+ISNUMBER(SEARCH("internet",I792))+ISNUMBER(SEARCH("computer",I792))+ISNUMBER(SEARCH("saas",I792))+ISNUMBER(SEARCH("fintech",I792))+ISNUMBER(SEARCH("information services",I792))+ISNUMBER(SEARCH("telecommunications",I792))&gt;0,'Configuración'!$B$27,'Configuración'!$B$28))</f>
        <v>4</v>
      </c>
      <c r="U792" s="25">
        <f>IF(B792="","",IF(ISNUMBER(SEARCH("CEO",C792))+ISNUMBER(SEARCH("Founder",C792))+ISNUMBER(SEARCH("Owner",C792))+ISNUMBER(SEARCH("Dueño",C792))+ISNUMBER(SEARCH("Director General",C792))+ISNUMBER(SEARCH("Presidente",C792))+ISNUMBER(SEARCH("President",C792))&gt;0,'Configuración'!$B$31,IF(ISNUMBER(SEARCH("CMO",C792))+ISNUMBER(SEARCH("Chief Marketing",C792))+ISNUMBER(SEARCH("VP Marketing",C792))+ISNUMBER(SEARCH("Director de Marketing",C792))+ISNUMBER(SEARCH("Director Marketing",C792))+ISNUMBER(SEARCH("Head of Marketing",C792))+ISNUMBER(SEARCH("Head Marketing",C792))&gt;0,'Configuración'!$B$32,IF(ISNUMBER(SEARCH("Marketing Manager",C792))+ISNUMBER(SEARCH("Gerente de Marketing",C792))+ISNUMBER(SEARCH("Growth Manager",C792))+ISNUMBER(SEARCH("Demand Gen",C792))+ISNUMBER(SEARCH("Marketing Lead",C792))&gt;0,'Configuración'!$B$33,IF(ISNUMBER(SEARCH("COO",C792))+ISNUMBER(SEARCH("CFO",C792))+ISNUMBER(SEARCH("CTO",C792))+ISNUMBER(SEARCH("Chief Operating",C792))+ISNUMBER(SEARCH("Chief Financial",C792))+ISNUMBER(SEARCH("Gerente General",C792))+ISNUMBER(SEARCH("General Manager",C792))&gt;0,'Configuración'!$B$34,'Configuración'!$B$35)))))</f>
        <v>12</v>
      </c>
      <c r="V792" s="38">
        <f>IF(B792="","",IF(K792="Sí",'Configuración'!$B$5,0)+IF(L792="Semanal",'Configuración'!$B$6,IF(L792="Mensual",'Configuración'!$B$7,0))+IF(M792="Sí",'Configuración'!$B$8,0)+IF(N792="Sí",'Configuración'!$B$9,0)+IF(O792="Sí",'Configuración'!$B$10,0)+IF(P792="Sí",'Configuración'!$B$11,0)+IF(Q792="Sí",'Configuración'!$B$12,0)+S792+T792+U792)</f>
        <v>28</v>
      </c>
      <c r="W792" s="39" t="str">
        <f>IF(B792="","",IF(V792&gt;='Configuración'!$B$19,"A",IF(V792&gt;='Configuración'!$B$20,"B",IF(V792&gt;='Configuración'!$B$21,"C","Descarte"))))</f>
        <v>C</v>
      </c>
    </row>
    <row r="793" ht="15.75" customHeight="1">
      <c r="A793" s="34">
        <f t="shared" si="1"/>
        <v>791</v>
      </c>
      <c r="B793" s="29" t="s">
        <v>536</v>
      </c>
      <c r="C793" s="29" t="s">
        <v>4686</v>
      </c>
      <c r="D793" s="29" t="s">
        <v>4687</v>
      </c>
      <c r="E793" s="29" t="s">
        <v>4688</v>
      </c>
      <c r="F793" s="30" t="s">
        <v>4689</v>
      </c>
      <c r="G793" s="30" t="s">
        <v>4690</v>
      </c>
      <c r="H793" s="30" t="s">
        <v>4691</v>
      </c>
      <c r="I793" s="29" t="s">
        <v>2904</v>
      </c>
      <c r="J793" s="31">
        <v>44.0</v>
      </c>
      <c r="K793" s="35"/>
      <c r="L793" s="35"/>
      <c r="M793" s="35"/>
      <c r="N793" s="35"/>
      <c r="O793" s="35"/>
      <c r="P793" s="35"/>
      <c r="Q793" s="35"/>
      <c r="R793" s="35"/>
      <c r="S793" s="37">
        <f>IF(B793="","",IF(ISNUMBER(J793),IF(J793&lt;=10,'Configuración'!$B$23,IF(J793&lt;=50,'Configuración'!$B$24,IF(J793&lt;=200,'Configuración'!$B$25,0))),0))</f>
        <v>4</v>
      </c>
      <c r="T793" s="37">
        <f>IF(B793="","",IF(ISNUMBER(SEARCH("information technology",I793))+ISNUMBER(SEARCH("software",I793))+ISNUMBER(SEARCH("internet",I793))+ISNUMBER(SEARCH("computer",I793))+ISNUMBER(SEARCH("saas",I793))+ISNUMBER(SEARCH("fintech",I793))+ISNUMBER(SEARCH("information services",I793))+ISNUMBER(SEARCH("telecommunications",I793))&gt;0,'Configuración'!$B$27,'Configuración'!$B$28))</f>
        <v>4</v>
      </c>
      <c r="U793" s="25">
        <f>IF(B793="","",IF(ISNUMBER(SEARCH("CEO",C793))+ISNUMBER(SEARCH("Founder",C793))+ISNUMBER(SEARCH("Owner",C793))+ISNUMBER(SEARCH("Dueño",C793))+ISNUMBER(SEARCH("Director General",C793))+ISNUMBER(SEARCH("Presidente",C793))+ISNUMBER(SEARCH("President",C793))&gt;0,'Configuración'!$B$31,IF(ISNUMBER(SEARCH("CMO",C793))+ISNUMBER(SEARCH("Chief Marketing",C793))+ISNUMBER(SEARCH("VP Marketing",C793))+ISNUMBER(SEARCH("Director de Marketing",C793))+ISNUMBER(SEARCH("Director Marketing",C793))+ISNUMBER(SEARCH("Head of Marketing",C793))+ISNUMBER(SEARCH("Head Marketing",C793))&gt;0,'Configuración'!$B$32,IF(ISNUMBER(SEARCH("Marketing Manager",C793))+ISNUMBER(SEARCH("Gerente de Marketing",C793))+ISNUMBER(SEARCH("Growth Manager",C793))+ISNUMBER(SEARCH("Demand Gen",C793))+ISNUMBER(SEARCH("Marketing Lead",C793))&gt;0,'Configuración'!$B$33,IF(ISNUMBER(SEARCH("COO",C793))+ISNUMBER(SEARCH("CFO",C793))+ISNUMBER(SEARCH("CTO",C793))+ISNUMBER(SEARCH("Chief Operating",C793))+ISNUMBER(SEARCH("Chief Financial",C793))+ISNUMBER(SEARCH("Gerente General",C793))+ISNUMBER(SEARCH("General Manager",C793))&gt;0,'Configuración'!$B$34,'Configuración'!$B$35)))))</f>
        <v>0</v>
      </c>
      <c r="V793" s="38">
        <f>IF(B793="","",IF(K793="Sí",'Configuración'!$B$5,0)+IF(L793="Semanal",'Configuración'!$B$6,IF(L793="Mensual",'Configuración'!$B$7,0))+IF(M793="Sí",'Configuración'!$B$8,0)+IF(N793="Sí",'Configuración'!$B$9,0)+IF(O793="Sí",'Configuración'!$B$10,0)+IF(P793="Sí",'Configuración'!$B$11,0)+IF(Q793="Sí",'Configuración'!$B$12,0)+S793+T793+U793)</f>
        <v>8</v>
      </c>
      <c r="W793" s="39" t="str">
        <f>IF(B793="","",IF(V793&gt;='Configuración'!$B$19,"A",IF(V793&gt;='Configuración'!$B$20,"B",IF(V793&gt;='Configuración'!$B$21,"C","Descarte"))))</f>
        <v>Descarte</v>
      </c>
    </row>
    <row r="794" ht="15.75" customHeight="1">
      <c r="A794" s="34">
        <f t="shared" si="1"/>
        <v>792</v>
      </c>
      <c r="B794" s="29" t="s">
        <v>174</v>
      </c>
      <c r="C794" s="29" t="s">
        <v>622</v>
      </c>
      <c r="D794" s="29" t="s">
        <v>4692</v>
      </c>
      <c r="E794" s="29" t="s">
        <v>4693</v>
      </c>
      <c r="F794" s="30" t="s">
        <v>4694</v>
      </c>
      <c r="G794" s="30" t="s">
        <v>4695</v>
      </c>
      <c r="H794" s="30" t="s">
        <v>4696</v>
      </c>
      <c r="I794" s="29" t="s">
        <v>4697</v>
      </c>
      <c r="J794" s="31">
        <v>2.0</v>
      </c>
      <c r="K794" s="35"/>
      <c r="L794" s="35"/>
      <c r="M794" s="35"/>
      <c r="N794" s="35"/>
      <c r="O794" s="35"/>
      <c r="P794" s="35"/>
      <c r="Q794" s="35"/>
      <c r="R794" s="35"/>
      <c r="S794" s="37">
        <f>IF(B794="","",IF(ISNUMBER(J794),IF(J794&lt;=10,'Configuración'!$B$23,IF(J794&lt;=50,'Configuración'!$B$24,IF(J794&lt;=200,'Configuración'!$B$25,0))),0))</f>
        <v>12</v>
      </c>
      <c r="T794" s="37">
        <f>IF(B794="","",IF(ISNUMBER(SEARCH("information technology",I794))+ISNUMBER(SEARCH("software",I794))+ISNUMBER(SEARCH("internet",I794))+ISNUMBER(SEARCH("computer",I794))+ISNUMBER(SEARCH("saas",I794))+ISNUMBER(SEARCH("fintech",I794))+ISNUMBER(SEARCH("information services",I794))+ISNUMBER(SEARCH("telecommunications",I794))&gt;0,'Configuración'!$B$27,'Configuración'!$B$28))</f>
        <v>4</v>
      </c>
      <c r="U794" s="25">
        <f>IF(B794="","",IF(ISNUMBER(SEARCH("CEO",C794))+ISNUMBER(SEARCH("Founder",C794))+ISNUMBER(SEARCH("Owner",C794))+ISNUMBER(SEARCH("Dueño",C794))+ISNUMBER(SEARCH("Director General",C794))+ISNUMBER(SEARCH("Presidente",C794))+ISNUMBER(SEARCH("President",C794))&gt;0,'Configuración'!$B$31,IF(ISNUMBER(SEARCH("CMO",C794))+ISNUMBER(SEARCH("Chief Marketing",C794))+ISNUMBER(SEARCH("VP Marketing",C794))+ISNUMBER(SEARCH("Director de Marketing",C794))+ISNUMBER(SEARCH("Director Marketing",C794))+ISNUMBER(SEARCH("Head of Marketing",C794))+ISNUMBER(SEARCH("Head Marketing",C794))&gt;0,'Configuración'!$B$32,IF(ISNUMBER(SEARCH("Marketing Manager",C794))+ISNUMBER(SEARCH("Gerente de Marketing",C794))+ISNUMBER(SEARCH("Growth Manager",C794))+ISNUMBER(SEARCH("Demand Gen",C794))+ISNUMBER(SEARCH("Marketing Lead",C794))&gt;0,'Configuración'!$B$33,IF(ISNUMBER(SEARCH("COO",C794))+ISNUMBER(SEARCH("CFO",C794))+ISNUMBER(SEARCH("CTO",C794))+ISNUMBER(SEARCH("Chief Operating",C794))+ISNUMBER(SEARCH("Chief Financial",C794))+ISNUMBER(SEARCH("Gerente General",C794))+ISNUMBER(SEARCH("General Manager",C794))&gt;0,'Configuración'!$B$34,'Configuración'!$B$35)))))</f>
        <v>12</v>
      </c>
      <c r="V794" s="38">
        <f>IF(B794="","",IF(K794="Sí",'Configuración'!$B$5,0)+IF(L794="Semanal",'Configuración'!$B$6,IF(L794="Mensual",'Configuración'!$B$7,0))+IF(M794="Sí",'Configuración'!$B$8,0)+IF(N794="Sí",'Configuración'!$B$9,0)+IF(O794="Sí",'Configuración'!$B$10,0)+IF(P794="Sí",'Configuración'!$B$11,0)+IF(Q794="Sí",'Configuración'!$B$12,0)+S794+T794+U794)</f>
        <v>28</v>
      </c>
      <c r="W794" s="39" t="str">
        <f>IF(B794="","",IF(V794&gt;='Configuración'!$B$19,"A",IF(V794&gt;='Configuración'!$B$20,"B",IF(V794&gt;='Configuración'!$B$21,"C","Descarte"))))</f>
        <v>C</v>
      </c>
    </row>
    <row r="795" ht="15.75" customHeight="1">
      <c r="A795" s="34">
        <f t="shared" si="1"/>
        <v>793</v>
      </c>
      <c r="B795" s="29" t="s">
        <v>120</v>
      </c>
      <c r="C795" s="29" t="s">
        <v>4698</v>
      </c>
      <c r="D795" s="29" t="s">
        <v>1945</v>
      </c>
      <c r="E795" s="29" t="s">
        <v>4699</v>
      </c>
      <c r="F795" s="30" t="s">
        <v>4700</v>
      </c>
      <c r="G795" s="30" t="s">
        <v>1948</v>
      </c>
      <c r="H795" s="30" t="s">
        <v>1949</v>
      </c>
      <c r="I795" s="29" t="s">
        <v>1950</v>
      </c>
      <c r="J795" s="31">
        <v>35.0</v>
      </c>
      <c r="K795" s="35"/>
      <c r="L795" s="35"/>
      <c r="M795" s="35"/>
      <c r="N795" s="35"/>
      <c r="O795" s="35"/>
      <c r="P795" s="35"/>
      <c r="Q795" s="35"/>
      <c r="R795" s="35"/>
      <c r="S795" s="37">
        <f>IF(B795="","",IF(ISNUMBER(J795),IF(J795&lt;=10,'Configuración'!$B$23,IF(J795&lt;=50,'Configuración'!$B$24,IF(J795&lt;=200,'Configuración'!$B$25,0))),0))</f>
        <v>4</v>
      </c>
      <c r="T795" s="37">
        <f>IF(B795="","",IF(ISNUMBER(SEARCH("information technology",I795))+ISNUMBER(SEARCH("software",I795))+ISNUMBER(SEARCH("internet",I795))+ISNUMBER(SEARCH("computer",I795))+ISNUMBER(SEARCH("saas",I795))+ISNUMBER(SEARCH("fintech",I795))+ISNUMBER(SEARCH("information services",I795))+ISNUMBER(SEARCH("telecommunications",I795))&gt;0,'Configuración'!$B$27,'Configuración'!$B$28))</f>
        <v>4</v>
      </c>
      <c r="U795" s="25">
        <f>IF(B795="","",IF(ISNUMBER(SEARCH("CEO",C795))+ISNUMBER(SEARCH("Founder",C795))+ISNUMBER(SEARCH("Owner",C795))+ISNUMBER(SEARCH("Dueño",C795))+ISNUMBER(SEARCH("Director General",C795))+ISNUMBER(SEARCH("Presidente",C795))+ISNUMBER(SEARCH("President",C795))&gt;0,'Configuración'!$B$31,IF(ISNUMBER(SEARCH("CMO",C795))+ISNUMBER(SEARCH("Chief Marketing",C795))+ISNUMBER(SEARCH("VP Marketing",C795))+ISNUMBER(SEARCH("Director de Marketing",C795))+ISNUMBER(SEARCH("Director Marketing",C795))+ISNUMBER(SEARCH("Head of Marketing",C795))+ISNUMBER(SEARCH("Head Marketing",C795))&gt;0,'Configuración'!$B$32,IF(ISNUMBER(SEARCH("Marketing Manager",C795))+ISNUMBER(SEARCH("Gerente de Marketing",C795))+ISNUMBER(SEARCH("Growth Manager",C795))+ISNUMBER(SEARCH("Demand Gen",C795))+ISNUMBER(SEARCH("Marketing Lead",C795))&gt;0,'Configuración'!$B$33,IF(ISNUMBER(SEARCH("COO",C795))+ISNUMBER(SEARCH("CFO",C795))+ISNUMBER(SEARCH("CTO",C795))+ISNUMBER(SEARCH("Chief Operating",C795))+ISNUMBER(SEARCH("Chief Financial",C795))+ISNUMBER(SEARCH("Gerente General",C795))+ISNUMBER(SEARCH("General Manager",C795))&gt;0,'Configuración'!$B$34,'Configuración'!$B$35)))))</f>
        <v>0</v>
      </c>
      <c r="V795" s="38">
        <f>IF(B795="","",IF(K795="Sí",'Configuración'!$B$5,0)+IF(L795="Semanal",'Configuración'!$B$6,IF(L795="Mensual",'Configuración'!$B$7,0))+IF(M795="Sí",'Configuración'!$B$8,0)+IF(N795="Sí",'Configuración'!$B$9,0)+IF(O795="Sí",'Configuración'!$B$10,0)+IF(P795="Sí",'Configuración'!$B$11,0)+IF(Q795="Sí",'Configuración'!$B$12,0)+S795+T795+U795)</f>
        <v>8</v>
      </c>
      <c r="W795" s="39" t="str">
        <f>IF(B795="","",IF(V795&gt;='Configuración'!$B$19,"A",IF(V795&gt;='Configuración'!$B$20,"B",IF(V795&gt;='Configuración'!$B$21,"C","Descarte"))))</f>
        <v>Descarte</v>
      </c>
    </row>
    <row r="796" ht="15.75" customHeight="1">
      <c r="A796" s="34">
        <f t="shared" si="1"/>
        <v>794</v>
      </c>
      <c r="B796" s="29" t="s">
        <v>1528</v>
      </c>
      <c r="C796" s="29" t="s">
        <v>487</v>
      </c>
      <c r="D796" s="29" t="s">
        <v>4701</v>
      </c>
      <c r="E796" s="29" t="s">
        <v>4702</v>
      </c>
      <c r="F796" s="30" t="s">
        <v>4703</v>
      </c>
      <c r="G796" s="30" t="s">
        <v>4704</v>
      </c>
      <c r="H796" s="30" t="s">
        <v>4705</v>
      </c>
      <c r="I796" s="29" t="s">
        <v>1785</v>
      </c>
      <c r="J796" s="31">
        <v>47.0</v>
      </c>
      <c r="K796" s="35"/>
      <c r="L796" s="35"/>
      <c r="M796" s="35"/>
      <c r="N796" s="35"/>
      <c r="O796" s="35"/>
      <c r="P796" s="35"/>
      <c r="Q796" s="35"/>
      <c r="R796" s="35"/>
      <c r="S796" s="37">
        <f>IF(B796="","",IF(ISNUMBER(J796),IF(J796&lt;=10,'Configuración'!$B$23,IF(J796&lt;=50,'Configuración'!$B$24,IF(J796&lt;=200,'Configuración'!$B$25,0))),0))</f>
        <v>4</v>
      </c>
      <c r="T796" s="37">
        <f>IF(B796="","",IF(ISNUMBER(SEARCH("information technology",I796))+ISNUMBER(SEARCH("software",I796))+ISNUMBER(SEARCH("internet",I796))+ISNUMBER(SEARCH("computer",I796))+ISNUMBER(SEARCH("saas",I796))+ISNUMBER(SEARCH("fintech",I796))+ISNUMBER(SEARCH("information services",I796))+ISNUMBER(SEARCH("telecommunications",I796))&gt;0,'Configuración'!$B$27,'Configuración'!$B$28))</f>
        <v>4</v>
      </c>
      <c r="U796" s="25">
        <f>IF(B796="","",IF(ISNUMBER(SEARCH("CEO",C796))+ISNUMBER(SEARCH("Founder",C796))+ISNUMBER(SEARCH("Owner",C796))+ISNUMBER(SEARCH("Dueño",C796))+ISNUMBER(SEARCH("Director General",C796))+ISNUMBER(SEARCH("Presidente",C796))+ISNUMBER(SEARCH("President",C796))&gt;0,'Configuración'!$B$31,IF(ISNUMBER(SEARCH("CMO",C796))+ISNUMBER(SEARCH("Chief Marketing",C796))+ISNUMBER(SEARCH("VP Marketing",C796))+ISNUMBER(SEARCH("Director de Marketing",C796))+ISNUMBER(SEARCH("Director Marketing",C796))+ISNUMBER(SEARCH("Head of Marketing",C796))+ISNUMBER(SEARCH("Head Marketing",C796))&gt;0,'Configuración'!$B$32,IF(ISNUMBER(SEARCH("Marketing Manager",C796))+ISNUMBER(SEARCH("Gerente de Marketing",C796))+ISNUMBER(SEARCH("Growth Manager",C796))+ISNUMBER(SEARCH("Demand Gen",C796))+ISNUMBER(SEARCH("Marketing Lead",C796))&gt;0,'Configuración'!$B$33,IF(ISNUMBER(SEARCH("COO",C796))+ISNUMBER(SEARCH("CFO",C796))+ISNUMBER(SEARCH("CTO",C796))+ISNUMBER(SEARCH("Chief Operating",C796))+ISNUMBER(SEARCH("Chief Financial",C796))+ISNUMBER(SEARCH("Gerente General",C796))+ISNUMBER(SEARCH("General Manager",C796))&gt;0,'Configuración'!$B$34,'Configuración'!$B$35)))))</f>
        <v>12</v>
      </c>
      <c r="V796" s="38">
        <f>IF(B796="","",IF(K796="Sí",'Configuración'!$B$5,0)+IF(L796="Semanal",'Configuración'!$B$6,IF(L796="Mensual",'Configuración'!$B$7,0))+IF(M796="Sí",'Configuración'!$B$8,0)+IF(N796="Sí",'Configuración'!$B$9,0)+IF(O796="Sí",'Configuración'!$B$10,0)+IF(P796="Sí",'Configuración'!$B$11,0)+IF(Q796="Sí",'Configuración'!$B$12,0)+S796+T796+U796)</f>
        <v>20</v>
      </c>
      <c r="W796" s="39" t="str">
        <f>IF(B796="","",IF(V796&gt;='Configuración'!$B$19,"A",IF(V796&gt;='Configuración'!$B$20,"B",IF(V796&gt;='Configuración'!$B$21,"C","Descarte"))))</f>
        <v>Descarte</v>
      </c>
    </row>
    <row r="797" ht="15.75" customHeight="1">
      <c r="A797" s="34">
        <f t="shared" si="1"/>
        <v>795</v>
      </c>
      <c r="B797" s="29" t="s">
        <v>610</v>
      </c>
      <c r="C797" s="29" t="s">
        <v>4706</v>
      </c>
      <c r="D797" s="29" t="s">
        <v>4707</v>
      </c>
      <c r="E797" s="29" t="s">
        <v>4708</v>
      </c>
      <c r="F797" s="30" t="s">
        <v>4709</v>
      </c>
      <c r="G797" s="30" t="s">
        <v>4710</v>
      </c>
      <c r="H797" s="30" t="s">
        <v>4711</v>
      </c>
      <c r="I797" s="29" t="s">
        <v>127</v>
      </c>
      <c r="J797" s="31">
        <v>2.0</v>
      </c>
      <c r="K797" s="35"/>
      <c r="L797" s="35"/>
      <c r="M797" s="35"/>
      <c r="N797" s="35"/>
      <c r="O797" s="35"/>
      <c r="P797" s="35"/>
      <c r="Q797" s="35"/>
      <c r="R797" s="35"/>
      <c r="S797" s="37">
        <f>IF(B797="","",IF(ISNUMBER(J797),IF(J797&lt;=10,'Configuración'!$B$23,IF(J797&lt;=50,'Configuración'!$B$24,IF(J797&lt;=200,'Configuración'!$B$25,0))),0))</f>
        <v>12</v>
      </c>
      <c r="T797" s="37">
        <f>IF(B797="","",IF(ISNUMBER(SEARCH("information technology",I797))+ISNUMBER(SEARCH("software",I797))+ISNUMBER(SEARCH("internet",I797))+ISNUMBER(SEARCH("computer",I797))+ISNUMBER(SEARCH("saas",I797))+ISNUMBER(SEARCH("fintech",I797))+ISNUMBER(SEARCH("information services",I797))+ISNUMBER(SEARCH("telecommunications",I797))&gt;0,'Configuración'!$B$27,'Configuración'!$B$28))</f>
        <v>12</v>
      </c>
      <c r="U797" s="25">
        <f>IF(B797="","",IF(ISNUMBER(SEARCH("CEO",C797))+ISNUMBER(SEARCH("Founder",C797))+ISNUMBER(SEARCH("Owner",C797))+ISNUMBER(SEARCH("Dueño",C797))+ISNUMBER(SEARCH("Director General",C797))+ISNUMBER(SEARCH("Presidente",C797))+ISNUMBER(SEARCH("President",C797))&gt;0,'Configuración'!$B$31,IF(ISNUMBER(SEARCH("CMO",C797))+ISNUMBER(SEARCH("Chief Marketing",C797))+ISNUMBER(SEARCH("VP Marketing",C797))+ISNUMBER(SEARCH("Director de Marketing",C797))+ISNUMBER(SEARCH("Director Marketing",C797))+ISNUMBER(SEARCH("Head of Marketing",C797))+ISNUMBER(SEARCH("Head Marketing",C797))&gt;0,'Configuración'!$B$32,IF(ISNUMBER(SEARCH("Marketing Manager",C797))+ISNUMBER(SEARCH("Gerente de Marketing",C797))+ISNUMBER(SEARCH("Growth Manager",C797))+ISNUMBER(SEARCH("Demand Gen",C797))+ISNUMBER(SEARCH("Marketing Lead",C797))&gt;0,'Configuración'!$B$33,IF(ISNUMBER(SEARCH("COO",C797))+ISNUMBER(SEARCH("CFO",C797))+ISNUMBER(SEARCH("CTO",C797))+ISNUMBER(SEARCH("Chief Operating",C797))+ISNUMBER(SEARCH("Chief Financial",C797))+ISNUMBER(SEARCH("Gerente General",C797))+ISNUMBER(SEARCH("General Manager",C797))&gt;0,'Configuración'!$B$34,'Configuración'!$B$35)))))</f>
        <v>12</v>
      </c>
      <c r="V797" s="38">
        <f>IF(B797="","",IF(K797="Sí",'Configuración'!$B$5,0)+IF(L797="Semanal",'Configuración'!$B$6,IF(L797="Mensual",'Configuración'!$B$7,0))+IF(M797="Sí",'Configuración'!$B$8,0)+IF(N797="Sí",'Configuración'!$B$9,0)+IF(O797="Sí",'Configuración'!$B$10,0)+IF(P797="Sí",'Configuración'!$B$11,0)+IF(Q797="Sí",'Configuración'!$B$12,0)+S797+T797+U797)</f>
        <v>36</v>
      </c>
      <c r="W797" s="39" t="str">
        <f>IF(B797="","",IF(V797&gt;='Configuración'!$B$19,"A",IF(V797&gt;='Configuración'!$B$20,"B",IF(V797&gt;='Configuración'!$B$21,"C","Descarte"))))</f>
        <v>C</v>
      </c>
    </row>
    <row r="798" ht="15.75" customHeight="1">
      <c r="A798" s="34">
        <f t="shared" si="1"/>
        <v>796</v>
      </c>
      <c r="B798" s="29" t="s">
        <v>610</v>
      </c>
      <c r="C798" s="29" t="s">
        <v>622</v>
      </c>
      <c r="D798" s="29" t="s">
        <v>4712</v>
      </c>
      <c r="E798" s="29" t="s">
        <v>4713</v>
      </c>
      <c r="F798" s="30" t="s">
        <v>4714</v>
      </c>
      <c r="G798" s="30" t="s">
        <v>4715</v>
      </c>
      <c r="H798" s="30" t="s">
        <v>4716</v>
      </c>
      <c r="I798" s="29" t="s">
        <v>188</v>
      </c>
      <c r="J798" s="31">
        <v>12.0</v>
      </c>
      <c r="K798" s="35"/>
      <c r="L798" s="35"/>
      <c r="M798" s="35"/>
      <c r="N798" s="35"/>
      <c r="O798" s="35"/>
      <c r="P798" s="35"/>
      <c r="Q798" s="35"/>
      <c r="R798" s="35"/>
      <c r="S798" s="37">
        <f>IF(B798="","",IF(ISNUMBER(J798),IF(J798&lt;=10,'Configuración'!$B$23,IF(J798&lt;=50,'Configuración'!$B$24,IF(J798&lt;=200,'Configuración'!$B$25,0))),0))</f>
        <v>4</v>
      </c>
      <c r="T798" s="37">
        <f>IF(B798="","",IF(ISNUMBER(SEARCH("information technology",I798))+ISNUMBER(SEARCH("software",I798))+ISNUMBER(SEARCH("internet",I798))+ISNUMBER(SEARCH("computer",I798))+ISNUMBER(SEARCH("saas",I798))+ISNUMBER(SEARCH("fintech",I798))+ISNUMBER(SEARCH("information services",I798))+ISNUMBER(SEARCH("telecommunications",I798))&gt;0,'Configuración'!$B$27,'Configuración'!$B$28))</f>
        <v>4</v>
      </c>
      <c r="U798" s="25">
        <f>IF(B798="","",IF(ISNUMBER(SEARCH("CEO",C798))+ISNUMBER(SEARCH("Founder",C798))+ISNUMBER(SEARCH("Owner",C798))+ISNUMBER(SEARCH("Dueño",C798))+ISNUMBER(SEARCH("Director General",C798))+ISNUMBER(SEARCH("Presidente",C798))+ISNUMBER(SEARCH("President",C798))&gt;0,'Configuración'!$B$31,IF(ISNUMBER(SEARCH("CMO",C798))+ISNUMBER(SEARCH("Chief Marketing",C798))+ISNUMBER(SEARCH("VP Marketing",C798))+ISNUMBER(SEARCH("Director de Marketing",C798))+ISNUMBER(SEARCH("Director Marketing",C798))+ISNUMBER(SEARCH("Head of Marketing",C798))+ISNUMBER(SEARCH("Head Marketing",C798))&gt;0,'Configuración'!$B$32,IF(ISNUMBER(SEARCH("Marketing Manager",C798))+ISNUMBER(SEARCH("Gerente de Marketing",C798))+ISNUMBER(SEARCH("Growth Manager",C798))+ISNUMBER(SEARCH("Demand Gen",C798))+ISNUMBER(SEARCH("Marketing Lead",C798))&gt;0,'Configuración'!$B$33,IF(ISNUMBER(SEARCH("COO",C798))+ISNUMBER(SEARCH("CFO",C798))+ISNUMBER(SEARCH("CTO",C798))+ISNUMBER(SEARCH("Chief Operating",C798))+ISNUMBER(SEARCH("Chief Financial",C798))+ISNUMBER(SEARCH("Gerente General",C798))+ISNUMBER(SEARCH("General Manager",C798))&gt;0,'Configuración'!$B$34,'Configuración'!$B$35)))))</f>
        <v>12</v>
      </c>
      <c r="V798" s="38">
        <f>IF(B798="","",IF(K798="Sí",'Configuración'!$B$5,0)+IF(L798="Semanal",'Configuración'!$B$6,IF(L798="Mensual",'Configuración'!$B$7,0))+IF(M798="Sí",'Configuración'!$B$8,0)+IF(N798="Sí",'Configuración'!$B$9,0)+IF(O798="Sí",'Configuración'!$B$10,0)+IF(P798="Sí",'Configuración'!$B$11,0)+IF(Q798="Sí",'Configuración'!$B$12,0)+S798+T798+U798)</f>
        <v>20</v>
      </c>
      <c r="W798" s="39" t="str">
        <f>IF(B798="","",IF(V798&gt;='Configuración'!$B$19,"A",IF(V798&gt;='Configuración'!$B$20,"B",IF(V798&gt;='Configuración'!$B$21,"C","Descarte"))))</f>
        <v>Descarte</v>
      </c>
    </row>
    <row r="799" ht="15.75" customHeight="1">
      <c r="A799" s="34">
        <f t="shared" si="1"/>
        <v>797</v>
      </c>
      <c r="B799" s="29" t="s">
        <v>4717</v>
      </c>
      <c r="C799" s="29" t="s">
        <v>175</v>
      </c>
      <c r="D799" s="29" t="s">
        <v>4718</v>
      </c>
      <c r="E799" s="29" t="s">
        <v>4719</v>
      </c>
      <c r="F799" s="30" t="s">
        <v>4720</v>
      </c>
      <c r="G799" s="30" t="s">
        <v>4721</v>
      </c>
      <c r="H799" s="30" t="s">
        <v>4722</v>
      </c>
      <c r="I799" s="29" t="s">
        <v>4186</v>
      </c>
      <c r="J799" s="31">
        <v>2.0</v>
      </c>
      <c r="K799" s="35"/>
      <c r="L799" s="35"/>
      <c r="M799" s="35"/>
      <c r="N799" s="35"/>
      <c r="O799" s="35"/>
      <c r="P799" s="35"/>
      <c r="Q799" s="35"/>
      <c r="R799" s="35"/>
      <c r="S799" s="37">
        <f>IF(B799="","",IF(ISNUMBER(J799),IF(J799&lt;=10,'Configuración'!$B$23,IF(J799&lt;=50,'Configuración'!$B$24,IF(J799&lt;=200,'Configuración'!$B$25,0))),0))</f>
        <v>12</v>
      </c>
      <c r="T799" s="37">
        <f>IF(B799="","",IF(ISNUMBER(SEARCH("information technology",I799))+ISNUMBER(SEARCH("software",I799))+ISNUMBER(SEARCH("internet",I799))+ISNUMBER(SEARCH("computer",I799))+ISNUMBER(SEARCH("saas",I799))+ISNUMBER(SEARCH("fintech",I799))+ISNUMBER(SEARCH("information services",I799))+ISNUMBER(SEARCH("telecommunications",I799))&gt;0,'Configuración'!$B$27,'Configuración'!$B$28))</f>
        <v>12</v>
      </c>
      <c r="U799" s="25">
        <f>IF(B799="","",IF(ISNUMBER(SEARCH("CEO",C799))+ISNUMBER(SEARCH("Founder",C799))+ISNUMBER(SEARCH("Owner",C799))+ISNUMBER(SEARCH("Dueño",C799))+ISNUMBER(SEARCH("Director General",C799))+ISNUMBER(SEARCH("Presidente",C799))+ISNUMBER(SEARCH("President",C799))&gt;0,'Configuración'!$B$31,IF(ISNUMBER(SEARCH("CMO",C799))+ISNUMBER(SEARCH("Chief Marketing",C799))+ISNUMBER(SEARCH("VP Marketing",C799))+ISNUMBER(SEARCH("Director de Marketing",C799))+ISNUMBER(SEARCH("Director Marketing",C799))+ISNUMBER(SEARCH("Head of Marketing",C799))+ISNUMBER(SEARCH("Head Marketing",C799))&gt;0,'Configuración'!$B$32,IF(ISNUMBER(SEARCH("Marketing Manager",C799))+ISNUMBER(SEARCH("Gerente de Marketing",C799))+ISNUMBER(SEARCH("Growth Manager",C799))+ISNUMBER(SEARCH("Demand Gen",C799))+ISNUMBER(SEARCH("Marketing Lead",C799))&gt;0,'Configuración'!$B$33,IF(ISNUMBER(SEARCH("COO",C799))+ISNUMBER(SEARCH("CFO",C799))+ISNUMBER(SEARCH("CTO",C799))+ISNUMBER(SEARCH("Chief Operating",C799))+ISNUMBER(SEARCH("Chief Financial",C799))+ISNUMBER(SEARCH("Gerente General",C799))+ISNUMBER(SEARCH("General Manager",C799))&gt;0,'Configuración'!$B$34,'Configuración'!$B$35)))))</f>
        <v>12</v>
      </c>
      <c r="V799" s="38">
        <f>IF(B799="","",IF(K799="Sí",'Configuración'!$B$5,0)+IF(L799="Semanal",'Configuración'!$B$6,IF(L799="Mensual",'Configuración'!$B$7,0))+IF(M799="Sí",'Configuración'!$B$8,0)+IF(N799="Sí",'Configuración'!$B$9,0)+IF(O799="Sí",'Configuración'!$B$10,0)+IF(P799="Sí",'Configuración'!$B$11,0)+IF(Q799="Sí",'Configuración'!$B$12,0)+S799+T799+U799)</f>
        <v>36</v>
      </c>
      <c r="W799" s="39" t="str">
        <f>IF(B799="","",IF(V799&gt;='Configuración'!$B$19,"A",IF(V799&gt;='Configuración'!$B$20,"B",IF(V799&gt;='Configuración'!$B$21,"C","Descarte"))))</f>
        <v>C</v>
      </c>
    </row>
    <row r="800" ht="15.75" customHeight="1">
      <c r="A800" s="34">
        <f t="shared" si="1"/>
        <v>798</v>
      </c>
      <c r="B800" s="29" t="s">
        <v>4723</v>
      </c>
      <c r="C800" s="29" t="s">
        <v>131</v>
      </c>
      <c r="D800" s="29" t="s">
        <v>4724</v>
      </c>
      <c r="E800" s="29" t="s">
        <v>4725</v>
      </c>
      <c r="F800" s="30" t="s">
        <v>4726</v>
      </c>
      <c r="G800" s="30" t="s">
        <v>4727</v>
      </c>
      <c r="H800" s="30" t="s">
        <v>4728</v>
      </c>
      <c r="I800" s="29" t="s">
        <v>127</v>
      </c>
      <c r="J800" s="31">
        <v>9.0</v>
      </c>
      <c r="K800" s="35"/>
      <c r="L800" s="35"/>
      <c r="M800" s="35"/>
      <c r="N800" s="35"/>
      <c r="O800" s="35"/>
      <c r="P800" s="35"/>
      <c r="Q800" s="35"/>
      <c r="R800" s="35"/>
      <c r="S800" s="37">
        <f>IF(B800="","",IF(ISNUMBER(J800),IF(J800&lt;=10,'Configuración'!$B$23,IF(J800&lt;=50,'Configuración'!$B$24,IF(J800&lt;=200,'Configuración'!$B$25,0))),0))</f>
        <v>12</v>
      </c>
      <c r="T800" s="37">
        <f>IF(B800="","",IF(ISNUMBER(SEARCH("information technology",I800))+ISNUMBER(SEARCH("software",I800))+ISNUMBER(SEARCH("internet",I800))+ISNUMBER(SEARCH("computer",I800))+ISNUMBER(SEARCH("saas",I800))+ISNUMBER(SEARCH("fintech",I800))+ISNUMBER(SEARCH("information services",I800))+ISNUMBER(SEARCH("telecommunications",I800))&gt;0,'Configuración'!$B$27,'Configuración'!$B$28))</f>
        <v>12</v>
      </c>
      <c r="U800" s="25">
        <f>IF(B800="","",IF(ISNUMBER(SEARCH("CEO",C800))+ISNUMBER(SEARCH("Founder",C800))+ISNUMBER(SEARCH("Owner",C800))+ISNUMBER(SEARCH("Dueño",C800))+ISNUMBER(SEARCH("Director General",C800))+ISNUMBER(SEARCH("Presidente",C800))+ISNUMBER(SEARCH("President",C800))&gt;0,'Configuración'!$B$31,IF(ISNUMBER(SEARCH("CMO",C800))+ISNUMBER(SEARCH("Chief Marketing",C800))+ISNUMBER(SEARCH("VP Marketing",C800))+ISNUMBER(SEARCH("Director de Marketing",C800))+ISNUMBER(SEARCH("Director Marketing",C800))+ISNUMBER(SEARCH("Head of Marketing",C800))+ISNUMBER(SEARCH("Head Marketing",C800))&gt;0,'Configuración'!$B$32,IF(ISNUMBER(SEARCH("Marketing Manager",C800))+ISNUMBER(SEARCH("Gerente de Marketing",C800))+ISNUMBER(SEARCH("Growth Manager",C800))+ISNUMBER(SEARCH("Demand Gen",C800))+ISNUMBER(SEARCH("Marketing Lead",C800))&gt;0,'Configuración'!$B$33,IF(ISNUMBER(SEARCH("COO",C800))+ISNUMBER(SEARCH("CFO",C800))+ISNUMBER(SEARCH("CTO",C800))+ISNUMBER(SEARCH("Chief Operating",C800))+ISNUMBER(SEARCH("Chief Financial",C800))+ISNUMBER(SEARCH("Gerente General",C800))+ISNUMBER(SEARCH("General Manager",C800))&gt;0,'Configuración'!$B$34,'Configuración'!$B$35)))))</f>
        <v>12</v>
      </c>
      <c r="V800" s="38">
        <f>IF(B800="","",IF(K800="Sí",'Configuración'!$B$5,0)+IF(L800="Semanal",'Configuración'!$B$6,IF(L800="Mensual",'Configuración'!$B$7,0))+IF(M800="Sí",'Configuración'!$B$8,0)+IF(N800="Sí",'Configuración'!$B$9,0)+IF(O800="Sí",'Configuración'!$B$10,0)+IF(P800="Sí",'Configuración'!$B$11,0)+IF(Q800="Sí",'Configuración'!$B$12,0)+S800+T800+U800)</f>
        <v>36</v>
      </c>
      <c r="W800" s="39" t="str">
        <f>IF(B800="","",IF(V800&gt;='Configuración'!$B$19,"A",IF(V800&gt;='Configuración'!$B$20,"B",IF(V800&gt;='Configuración'!$B$21,"C","Descarte"))))</f>
        <v>C</v>
      </c>
    </row>
    <row r="801" ht="15.75" customHeight="1">
      <c r="A801" s="34">
        <f t="shared" si="1"/>
        <v>799</v>
      </c>
      <c r="B801" s="29" t="s">
        <v>1028</v>
      </c>
      <c r="C801" s="29" t="s">
        <v>4729</v>
      </c>
      <c r="D801" s="29" t="s">
        <v>4730</v>
      </c>
      <c r="E801" s="29" t="s">
        <v>4731</v>
      </c>
      <c r="F801" s="30" t="s">
        <v>4732</v>
      </c>
      <c r="G801" s="30" t="s">
        <v>4733</v>
      </c>
      <c r="H801" s="30" t="s">
        <v>4734</v>
      </c>
      <c r="I801" s="29" t="s">
        <v>127</v>
      </c>
      <c r="J801" s="31">
        <v>5.0</v>
      </c>
      <c r="K801" s="35"/>
      <c r="L801" s="35"/>
      <c r="M801" s="35"/>
      <c r="N801" s="35"/>
      <c r="O801" s="35"/>
      <c r="P801" s="35"/>
      <c r="Q801" s="35"/>
      <c r="R801" s="35"/>
      <c r="S801" s="37">
        <f>IF(B801="","",IF(ISNUMBER(J801),IF(J801&lt;=10,'Configuración'!$B$23,IF(J801&lt;=50,'Configuración'!$B$24,IF(J801&lt;=200,'Configuración'!$B$25,0))),0))</f>
        <v>12</v>
      </c>
      <c r="T801" s="37">
        <f>IF(B801="","",IF(ISNUMBER(SEARCH("information technology",I801))+ISNUMBER(SEARCH("software",I801))+ISNUMBER(SEARCH("internet",I801))+ISNUMBER(SEARCH("computer",I801))+ISNUMBER(SEARCH("saas",I801))+ISNUMBER(SEARCH("fintech",I801))+ISNUMBER(SEARCH("information services",I801))+ISNUMBER(SEARCH("telecommunications",I801))&gt;0,'Configuración'!$B$27,'Configuración'!$B$28))</f>
        <v>12</v>
      </c>
      <c r="U801" s="25">
        <f>IF(B801="","",IF(ISNUMBER(SEARCH("CEO",C801))+ISNUMBER(SEARCH("Founder",C801))+ISNUMBER(SEARCH("Owner",C801))+ISNUMBER(SEARCH("Dueño",C801))+ISNUMBER(SEARCH("Director General",C801))+ISNUMBER(SEARCH("Presidente",C801))+ISNUMBER(SEARCH("President",C801))&gt;0,'Configuración'!$B$31,IF(ISNUMBER(SEARCH("CMO",C801))+ISNUMBER(SEARCH("Chief Marketing",C801))+ISNUMBER(SEARCH("VP Marketing",C801))+ISNUMBER(SEARCH("Director de Marketing",C801))+ISNUMBER(SEARCH("Director Marketing",C801))+ISNUMBER(SEARCH("Head of Marketing",C801))+ISNUMBER(SEARCH("Head Marketing",C801))&gt;0,'Configuración'!$B$32,IF(ISNUMBER(SEARCH("Marketing Manager",C801))+ISNUMBER(SEARCH("Gerente de Marketing",C801))+ISNUMBER(SEARCH("Growth Manager",C801))+ISNUMBER(SEARCH("Demand Gen",C801))+ISNUMBER(SEARCH("Marketing Lead",C801))&gt;0,'Configuración'!$B$33,IF(ISNUMBER(SEARCH("COO",C801))+ISNUMBER(SEARCH("CFO",C801))+ISNUMBER(SEARCH("CTO",C801))+ISNUMBER(SEARCH("Chief Operating",C801))+ISNUMBER(SEARCH("Chief Financial",C801))+ISNUMBER(SEARCH("Gerente General",C801))+ISNUMBER(SEARCH("General Manager",C801))&gt;0,'Configuración'!$B$34,'Configuración'!$B$35)))))</f>
        <v>12</v>
      </c>
      <c r="V801" s="38">
        <f>IF(B801="","",IF(K801="Sí",'Configuración'!$B$5,0)+IF(L801="Semanal",'Configuración'!$B$6,IF(L801="Mensual",'Configuración'!$B$7,0))+IF(M801="Sí",'Configuración'!$B$8,0)+IF(N801="Sí",'Configuración'!$B$9,0)+IF(O801="Sí",'Configuración'!$B$10,0)+IF(P801="Sí",'Configuración'!$B$11,0)+IF(Q801="Sí",'Configuración'!$B$12,0)+S801+T801+U801)</f>
        <v>36</v>
      </c>
      <c r="W801" s="39" t="str">
        <f>IF(B801="","",IF(V801&gt;='Configuración'!$B$19,"A",IF(V801&gt;='Configuración'!$B$20,"B",IF(V801&gt;='Configuración'!$B$21,"C","Descarte"))))</f>
        <v>C</v>
      </c>
    </row>
    <row r="802" ht="15.75" customHeight="1">
      <c r="A802" s="34">
        <f t="shared" si="1"/>
        <v>800</v>
      </c>
      <c r="B802" s="29" t="s">
        <v>4735</v>
      </c>
      <c r="C802" s="29" t="s">
        <v>131</v>
      </c>
      <c r="D802" s="29" t="s">
        <v>4736</v>
      </c>
      <c r="E802" s="29" t="s">
        <v>4737</v>
      </c>
      <c r="F802" s="30" t="s">
        <v>4738</v>
      </c>
      <c r="G802" s="30" t="s">
        <v>4739</v>
      </c>
      <c r="H802" s="30" t="s">
        <v>4740</v>
      </c>
      <c r="I802" s="29" t="s">
        <v>127</v>
      </c>
      <c r="J802" s="31">
        <v>28.0</v>
      </c>
      <c r="K802" s="35"/>
      <c r="L802" s="35"/>
      <c r="M802" s="35"/>
      <c r="N802" s="35"/>
      <c r="O802" s="35"/>
      <c r="P802" s="35"/>
      <c r="Q802" s="35"/>
      <c r="R802" s="35"/>
      <c r="S802" s="37">
        <f>IF(B802="","",IF(ISNUMBER(J802),IF(J802&lt;=10,'Configuración'!$B$23,IF(J802&lt;=50,'Configuración'!$B$24,IF(J802&lt;=200,'Configuración'!$B$25,0))),0))</f>
        <v>4</v>
      </c>
      <c r="T802" s="37">
        <f>IF(B802="","",IF(ISNUMBER(SEARCH("information technology",I802))+ISNUMBER(SEARCH("software",I802))+ISNUMBER(SEARCH("internet",I802))+ISNUMBER(SEARCH("computer",I802))+ISNUMBER(SEARCH("saas",I802))+ISNUMBER(SEARCH("fintech",I802))+ISNUMBER(SEARCH("information services",I802))+ISNUMBER(SEARCH("telecommunications",I802))&gt;0,'Configuración'!$B$27,'Configuración'!$B$28))</f>
        <v>12</v>
      </c>
      <c r="U802" s="25">
        <f>IF(B802="","",IF(ISNUMBER(SEARCH("CEO",C802))+ISNUMBER(SEARCH("Founder",C802))+ISNUMBER(SEARCH("Owner",C802))+ISNUMBER(SEARCH("Dueño",C802))+ISNUMBER(SEARCH("Director General",C802))+ISNUMBER(SEARCH("Presidente",C802))+ISNUMBER(SEARCH("President",C802))&gt;0,'Configuración'!$B$31,IF(ISNUMBER(SEARCH("CMO",C802))+ISNUMBER(SEARCH("Chief Marketing",C802))+ISNUMBER(SEARCH("VP Marketing",C802))+ISNUMBER(SEARCH("Director de Marketing",C802))+ISNUMBER(SEARCH("Director Marketing",C802))+ISNUMBER(SEARCH("Head of Marketing",C802))+ISNUMBER(SEARCH("Head Marketing",C802))&gt;0,'Configuración'!$B$32,IF(ISNUMBER(SEARCH("Marketing Manager",C802))+ISNUMBER(SEARCH("Gerente de Marketing",C802))+ISNUMBER(SEARCH("Growth Manager",C802))+ISNUMBER(SEARCH("Demand Gen",C802))+ISNUMBER(SEARCH("Marketing Lead",C802))&gt;0,'Configuración'!$B$33,IF(ISNUMBER(SEARCH("COO",C802))+ISNUMBER(SEARCH("CFO",C802))+ISNUMBER(SEARCH("CTO",C802))+ISNUMBER(SEARCH("Chief Operating",C802))+ISNUMBER(SEARCH("Chief Financial",C802))+ISNUMBER(SEARCH("Gerente General",C802))+ISNUMBER(SEARCH("General Manager",C802))&gt;0,'Configuración'!$B$34,'Configuración'!$B$35)))))</f>
        <v>12</v>
      </c>
      <c r="V802" s="38">
        <f>IF(B802="","",IF(K802="Sí",'Configuración'!$B$5,0)+IF(L802="Semanal",'Configuración'!$B$6,IF(L802="Mensual",'Configuración'!$B$7,0))+IF(M802="Sí",'Configuración'!$B$8,0)+IF(N802="Sí",'Configuración'!$B$9,0)+IF(O802="Sí",'Configuración'!$B$10,0)+IF(P802="Sí",'Configuración'!$B$11,0)+IF(Q802="Sí",'Configuración'!$B$12,0)+S802+T802+U802)</f>
        <v>28</v>
      </c>
      <c r="W802" s="39" t="str">
        <f>IF(B802="","",IF(V802&gt;='Configuración'!$B$19,"A",IF(V802&gt;='Configuración'!$B$20,"B",IF(V802&gt;='Configuración'!$B$21,"C","Descarte"))))</f>
        <v>C</v>
      </c>
    </row>
    <row r="803" ht="15.75" customHeight="1">
      <c r="A803" s="34">
        <f t="shared" si="1"/>
        <v>801</v>
      </c>
      <c r="B803" s="29" t="s">
        <v>897</v>
      </c>
      <c r="C803" s="29" t="s">
        <v>1325</v>
      </c>
      <c r="D803" s="29" t="s">
        <v>319</v>
      </c>
      <c r="E803" s="29" t="s">
        <v>4741</v>
      </c>
      <c r="F803" s="30" t="s">
        <v>4742</v>
      </c>
      <c r="G803" s="30" t="s">
        <v>322</v>
      </c>
      <c r="H803" s="30" t="s">
        <v>323</v>
      </c>
      <c r="I803" s="29" t="s">
        <v>222</v>
      </c>
      <c r="J803" s="31">
        <v>23.0</v>
      </c>
      <c r="K803" s="35"/>
      <c r="L803" s="35"/>
      <c r="M803" s="35"/>
      <c r="N803" s="35"/>
      <c r="O803" s="35"/>
      <c r="P803" s="35"/>
      <c r="Q803" s="35"/>
      <c r="R803" s="35"/>
      <c r="S803" s="37">
        <f>IF(B803="","",IF(ISNUMBER(J803),IF(J803&lt;=10,'Configuración'!$B$23,IF(J803&lt;=50,'Configuración'!$B$24,IF(J803&lt;=200,'Configuración'!$B$25,0))),0))</f>
        <v>4</v>
      </c>
      <c r="T803" s="37">
        <f>IF(B803="","",IF(ISNUMBER(SEARCH("information technology",I803))+ISNUMBER(SEARCH("software",I803))+ISNUMBER(SEARCH("internet",I803))+ISNUMBER(SEARCH("computer",I803))+ISNUMBER(SEARCH("saas",I803))+ISNUMBER(SEARCH("fintech",I803))+ISNUMBER(SEARCH("information services",I803))+ISNUMBER(SEARCH("telecommunications",I803))&gt;0,'Configuración'!$B$27,'Configuración'!$B$28))</f>
        <v>4</v>
      </c>
      <c r="U803" s="25">
        <f>IF(B803="","",IF(ISNUMBER(SEARCH("CEO",C803))+ISNUMBER(SEARCH("Founder",C803))+ISNUMBER(SEARCH("Owner",C803))+ISNUMBER(SEARCH("Dueño",C803))+ISNUMBER(SEARCH("Director General",C803))+ISNUMBER(SEARCH("Presidente",C803))+ISNUMBER(SEARCH("President",C803))&gt;0,'Configuración'!$B$31,IF(ISNUMBER(SEARCH("CMO",C803))+ISNUMBER(SEARCH("Chief Marketing",C803))+ISNUMBER(SEARCH("VP Marketing",C803))+ISNUMBER(SEARCH("Director de Marketing",C803))+ISNUMBER(SEARCH("Director Marketing",C803))+ISNUMBER(SEARCH("Head of Marketing",C803))+ISNUMBER(SEARCH("Head Marketing",C803))&gt;0,'Configuración'!$B$32,IF(ISNUMBER(SEARCH("Marketing Manager",C803))+ISNUMBER(SEARCH("Gerente de Marketing",C803))+ISNUMBER(SEARCH("Growth Manager",C803))+ISNUMBER(SEARCH("Demand Gen",C803))+ISNUMBER(SEARCH("Marketing Lead",C803))&gt;0,'Configuración'!$B$33,IF(ISNUMBER(SEARCH("COO",C803))+ISNUMBER(SEARCH("CFO",C803))+ISNUMBER(SEARCH("CTO",C803))+ISNUMBER(SEARCH("Chief Operating",C803))+ISNUMBER(SEARCH("Chief Financial",C803))+ISNUMBER(SEARCH("Gerente General",C803))+ISNUMBER(SEARCH("General Manager",C803))&gt;0,'Configuración'!$B$34,'Configuración'!$B$35)))))</f>
        <v>12</v>
      </c>
      <c r="V803" s="38">
        <f>IF(B803="","",IF(K803="Sí",'Configuración'!$B$5,0)+IF(L803="Semanal",'Configuración'!$B$6,IF(L803="Mensual",'Configuración'!$B$7,0))+IF(M803="Sí",'Configuración'!$B$8,0)+IF(N803="Sí",'Configuración'!$B$9,0)+IF(O803="Sí",'Configuración'!$B$10,0)+IF(P803="Sí",'Configuración'!$B$11,0)+IF(Q803="Sí",'Configuración'!$B$12,0)+S803+T803+U803)</f>
        <v>20</v>
      </c>
      <c r="W803" s="39" t="str">
        <f>IF(B803="","",IF(V803&gt;='Configuración'!$B$19,"A",IF(V803&gt;='Configuración'!$B$20,"B",IF(V803&gt;='Configuración'!$B$21,"C","Descarte"))))</f>
        <v>Descarte</v>
      </c>
    </row>
    <row r="804" ht="15.75" customHeight="1">
      <c r="A804" s="34">
        <f t="shared" si="1"/>
        <v>802</v>
      </c>
      <c r="B804" s="29" t="s">
        <v>4743</v>
      </c>
      <c r="C804" s="29" t="s">
        <v>1465</v>
      </c>
      <c r="D804" s="29" t="s">
        <v>4744</v>
      </c>
      <c r="E804" s="29" t="s">
        <v>4745</v>
      </c>
      <c r="F804" s="30" t="s">
        <v>4746</v>
      </c>
      <c r="G804" s="30" t="s">
        <v>4747</v>
      </c>
      <c r="H804" s="30" t="s">
        <v>4748</v>
      </c>
      <c r="I804" s="29" t="s">
        <v>4186</v>
      </c>
      <c r="J804" s="31">
        <v>22.0</v>
      </c>
      <c r="K804" s="35"/>
      <c r="L804" s="35"/>
      <c r="M804" s="35"/>
      <c r="N804" s="35"/>
      <c r="O804" s="35"/>
      <c r="P804" s="35"/>
      <c r="Q804" s="35"/>
      <c r="R804" s="35"/>
      <c r="S804" s="37">
        <f>IF(B804="","",IF(ISNUMBER(J804),IF(J804&lt;=10,'Configuración'!$B$23,IF(J804&lt;=50,'Configuración'!$B$24,IF(J804&lt;=200,'Configuración'!$B$25,0))),0))</f>
        <v>4</v>
      </c>
      <c r="T804" s="37">
        <f>IF(B804="","",IF(ISNUMBER(SEARCH("information technology",I804))+ISNUMBER(SEARCH("software",I804))+ISNUMBER(SEARCH("internet",I804))+ISNUMBER(SEARCH("computer",I804))+ISNUMBER(SEARCH("saas",I804))+ISNUMBER(SEARCH("fintech",I804))+ISNUMBER(SEARCH("information services",I804))+ISNUMBER(SEARCH("telecommunications",I804))&gt;0,'Configuración'!$B$27,'Configuración'!$B$28))</f>
        <v>12</v>
      </c>
      <c r="U804" s="25">
        <f>IF(B804="","",IF(ISNUMBER(SEARCH("CEO",C804))+ISNUMBER(SEARCH("Founder",C804))+ISNUMBER(SEARCH("Owner",C804))+ISNUMBER(SEARCH("Dueño",C804))+ISNUMBER(SEARCH("Director General",C804))+ISNUMBER(SEARCH("Presidente",C804))+ISNUMBER(SEARCH("President",C804))&gt;0,'Configuración'!$B$31,IF(ISNUMBER(SEARCH("CMO",C804))+ISNUMBER(SEARCH("Chief Marketing",C804))+ISNUMBER(SEARCH("VP Marketing",C804))+ISNUMBER(SEARCH("Director de Marketing",C804))+ISNUMBER(SEARCH("Director Marketing",C804))+ISNUMBER(SEARCH("Head of Marketing",C804))+ISNUMBER(SEARCH("Head Marketing",C804))&gt;0,'Configuración'!$B$32,IF(ISNUMBER(SEARCH("Marketing Manager",C804))+ISNUMBER(SEARCH("Gerente de Marketing",C804))+ISNUMBER(SEARCH("Growth Manager",C804))+ISNUMBER(SEARCH("Demand Gen",C804))+ISNUMBER(SEARCH("Marketing Lead",C804))&gt;0,'Configuración'!$B$33,IF(ISNUMBER(SEARCH("COO",C804))+ISNUMBER(SEARCH("CFO",C804))+ISNUMBER(SEARCH("CTO",C804))+ISNUMBER(SEARCH("Chief Operating",C804))+ISNUMBER(SEARCH("Chief Financial",C804))+ISNUMBER(SEARCH("Gerente General",C804))+ISNUMBER(SEARCH("General Manager",C804))&gt;0,'Configuración'!$B$34,'Configuración'!$B$35)))))</f>
        <v>4</v>
      </c>
      <c r="V804" s="38">
        <f>IF(B804="","",IF(K804="Sí",'Configuración'!$B$5,0)+IF(L804="Semanal",'Configuración'!$B$6,IF(L804="Mensual",'Configuración'!$B$7,0))+IF(M804="Sí",'Configuración'!$B$8,0)+IF(N804="Sí",'Configuración'!$B$9,0)+IF(O804="Sí",'Configuración'!$B$10,0)+IF(P804="Sí",'Configuración'!$B$11,0)+IF(Q804="Sí",'Configuración'!$B$12,0)+S804+T804+U804)</f>
        <v>20</v>
      </c>
      <c r="W804" s="39" t="str">
        <f>IF(B804="","",IF(V804&gt;='Configuración'!$B$19,"A",IF(V804&gt;='Configuración'!$B$20,"B",IF(V804&gt;='Configuración'!$B$21,"C","Descarte"))))</f>
        <v>Descarte</v>
      </c>
    </row>
    <row r="805" ht="15.75" customHeight="1">
      <c r="A805" s="34">
        <f t="shared" si="1"/>
        <v>803</v>
      </c>
      <c r="B805" s="29" t="s">
        <v>201</v>
      </c>
      <c r="C805" s="29" t="s">
        <v>4749</v>
      </c>
      <c r="D805" s="29" t="s">
        <v>4750</v>
      </c>
      <c r="E805" s="29" t="s">
        <v>4751</v>
      </c>
      <c r="F805" s="30" t="s">
        <v>4752</v>
      </c>
      <c r="G805" s="30" t="s">
        <v>4753</v>
      </c>
      <c r="H805" s="30" t="s">
        <v>4754</v>
      </c>
      <c r="I805" s="29" t="s">
        <v>1446</v>
      </c>
      <c r="J805" s="31">
        <v>25.0</v>
      </c>
      <c r="K805" s="35"/>
      <c r="L805" s="35"/>
      <c r="M805" s="35"/>
      <c r="N805" s="35"/>
      <c r="O805" s="35"/>
      <c r="P805" s="35"/>
      <c r="Q805" s="35"/>
      <c r="R805" s="35"/>
      <c r="S805" s="37">
        <f>IF(B805="","",IF(ISNUMBER(J805),IF(J805&lt;=10,'Configuración'!$B$23,IF(J805&lt;=50,'Configuración'!$B$24,IF(J805&lt;=200,'Configuración'!$B$25,0))),0))</f>
        <v>4</v>
      </c>
      <c r="T805" s="37">
        <f>IF(B805="","",IF(ISNUMBER(SEARCH("information technology",I805))+ISNUMBER(SEARCH("software",I805))+ISNUMBER(SEARCH("internet",I805))+ISNUMBER(SEARCH("computer",I805))+ISNUMBER(SEARCH("saas",I805))+ISNUMBER(SEARCH("fintech",I805))+ISNUMBER(SEARCH("information services",I805))+ISNUMBER(SEARCH("telecommunications",I805))&gt;0,'Configuración'!$B$27,'Configuración'!$B$28))</f>
        <v>4</v>
      </c>
      <c r="U805" s="25">
        <f>IF(B805="","",IF(ISNUMBER(SEARCH("CEO",C805))+ISNUMBER(SEARCH("Founder",C805))+ISNUMBER(SEARCH("Owner",C805))+ISNUMBER(SEARCH("Dueño",C805))+ISNUMBER(SEARCH("Director General",C805))+ISNUMBER(SEARCH("Presidente",C805))+ISNUMBER(SEARCH("President",C805))&gt;0,'Configuración'!$B$31,IF(ISNUMBER(SEARCH("CMO",C805))+ISNUMBER(SEARCH("Chief Marketing",C805))+ISNUMBER(SEARCH("VP Marketing",C805))+ISNUMBER(SEARCH("Director de Marketing",C805))+ISNUMBER(SEARCH("Director Marketing",C805))+ISNUMBER(SEARCH("Head of Marketing",C805))+ISNUMBER(SEARCH("Head Marketing",C805))&gt;0,'Configuración'!$B$32,IF(ISNUMBER(SEARCH("Marketing Manager",C805))+ISNUMBER(SEARCH("Gerente de Marketing",C805))+ISNUMBER(SEARCH("Growth Manager",C805))+ISNUMBER(SEARCH("Demand Gen",C805))+ISNUMBER(SEARCH("Marketing Lead",C805))&gt;0,'Configuración'!$B$33,IF(ISNUMBER(SEARCH("COO",C805))+ISNUMBER(SEARCH("CFO",C805))+ISNUMBER(SEARCH("CTO",C805))+ISNUMBER(SEARCH("Chief Operating",C805))+ISNUMBER(SEARCH("Chief Financial",C805))+ISNUMBER(SEARCH("Gerente General",C805))+ISNUMBER(SEARCH("General Manager",C805))&gt;0,'Configuración'!$B$34,'Configuración'!$B$35)))))</f>
        <v>4</v>
      </c>
      <c r="V805" s="38">
        <f>IF(B805="","",IF(K805="Sí",'Configuración'!$B$5,0)+IF(L805="Semanal",'Configuración'!$B$6,IF(L805="Mensual",'Configuración'!$B$7,0))+IF(M805="Sí",'Configuración'!$B$8,0)+IF(N805="Sí",'Configuración'!$B$9,0)+IF(O805="Sí",'Configuración'!$B$10,0)+IF(P805="Sí",'Configuración'!$B$11,0)+IF(Q805="Sí",'Configuración'!$B$12,0)+S805+T805+U805)</f>
        <v>12</v>
      </c>
      <c r="W805" s="39" t="str">
        <f>IF(B805="","",IF(V805&gt;='Configuración'!$B$19,"A",IF(V805&gt;='Configuración'!$B$20,"B",IF(V805&gt;='Configuración'!$B$21,"C","Descarte"))))</f>
        <v>Descarte</v>
      </c>
    </row>
    <row r="806" ht="15.75" customHeight="1">
      <c r="A806" s="34">
        <f t="shared" si="1"/>
        <v>804</v>
      </c>
      <c r="B806" s="29" t="s">
        <v>4755</v>
      </c>
      <c r="C806" s="29" t="s">
        <v>487</v>
      </c>
      <c r="D806" s="29" t="s">
        <v>4756</v>
      </c>
      <c r="E806" s="29" t="s">
        <v>4757</v>
      </c>
      <c r="F806" s="30" t="s">
        <v>4758</v>
      </c>
      <c r="G806" s="30" t="s">
        <v>4759</v>
      </c>
      <c r="H806" s="30" t="s">
        <v>4760</v>
      </c>
      <c r="I806" s="29" t="s">
        <v>1922</v>
      </c>
      <c r="J806" s="31">
        <v>15.0</v>
      </c>
      <c r="K806" s="35"/>
      <c r="L806" s="35"/>
      <c r="M806" s="35"/>
      <c r="N806" s="35"/>
      <c r="O806" s="35"/>
      <c r="P806" s="35"/>
      <c r="Q806" s="35"/>
      <c r="R806" s="35"/>
      <c r="S806" s="37">
        <f>IF(B806="","",IF(ISNUMBER(J806),IF(J806&lt;=10,'Configuración'!$B$23,IF(J806&lt;=50,'Configuración'!$B$24,IF(J806&lt;=200,'Configuración'!$B$25,0))),0))</f>
        <v>4</v>
      </c>
      <c r="T806" s="37">
        <f>IF(B806="","",IF(ISNUMBER(SEARCH("information technology",I806))+ISNUMBER(SEARCH("software",I806))+ISNUMBER(SEARCH("internet",I806))+ISNUMBER(SEARCH("computer",I806))+ISNUMBER(SEARCH("saas",I806))+ISNUMBER(SEARCH("fintech",I806))+ISNUMBER(SEARCH("information services",I806))+ISNUMBER(SEARCH("telecommunications",I806))&gt;0,'Configuración'!$B$27,'Configuración'!$B$28))</f>
        <v>4</v>
      </c>
      <c r="U806" s="25">
        <f>IF(B806="","",IF(ISNUMBER(SEARCH("CEO",C806))+ISNUMBER(SEARCH("Founder",C806))+ISNUMBER(SEARCH("Owner",C806))+ISNUMBER(SEARCH("Dueño",C806))+ISNUMBER(SEARCH("Director General",C806))+ISNUMBER(SEARCH("Presidente",C806))+ISNUMBER(SEARCH("President",C806))&gt;0,'Configuración'!$B$31,IF(ISNUMBER(SEARCH("CMO",C806))+ISNUMBER(SEARCH("Chief Marketing",C806))+ISNUMBER(SEARCH("VP Marketing",C806))+ISNUMBER(SEARCH("Director de Marketing",C806))+ISNUMBER(SEARCH("Director Marketing",C806))+ISNUMBER(SEARCH("Head of Marketing",C806))+ISNUMBER(SEARCH("Head Marketing",C806))&gt;0,'Configuración'!$B$32,IF(ISNUMBER(SEARCH("Marketing Manager",C806))+ISNUMBER(SEARCH("Gerente de Marketing",C806))+ISNUMBER(SEARCH("Growth Manager",C806))+ISNUMBER(SEARCH("Demand Gen",C806))+ISNUMBER(SEARCH("Marketing Lead",C806))&gt;0,'Configuración'!$B$33,IF(ISNUMBER(SEARCH("COO",C806))+ISNUMBER(SEARCH("CFO",C806))+ISNUMBER(SEARCH("CTO",C806))+ISNUMBER(SEARCH("Chief Operating",C806))+ISNUMBER(SEARCH("Chief Financial",C806))+ISNUMBER(SEARCH("Gerente General",C806))+ISNUMBER(SEARCH("General Manager",C806))&gt;0,'Configuración'!$B$34,'Configuración'!$B$35)))))</f>
        <v>12</v>
      </c>
      <c r="V806" s="38">
        <f>IF(B806="","",IF(K806="Sí",'Configuración'!$B$5,0)+IF(L806="Semanal",'Configuración'!$B$6,IF(L806="Mensual",'Configuración'!$B$7,0))+IF(M806="Sí",'Configuración'!$B$8,0)+IF(N806="Sí",'Configuración'!$B$9,0)+IF(O806="Sí",'Configuración'!$B$10,0)+IF(P806="Sí",'Configuración'!$B$11,0)+IF(Q806="Sí",'Configuración'!$B$12,0)+S806+T806+U806)</f>
        <v>20</v>
      </c>
      <c r="W806" s="39" t="str">
        <f>IF(B806="","",IF(V806&gt;='Configuración'!$B$19,"A",IF(V806&gt;='Configuración'!$B$20,"B",IF(V806&gt;='Configuración'!$B$21,"C","Descarte"))))</f>
        <v>Descarte</v>
      </c>
    </row>
    <row r="807" ht="15.75" customHeight="1">
      <c r="A807" s="34">
        <f t="shared" si="1"/>
        <v>805</v>
      </c>
      <c r="B807" s="29" t="s">
        <v>4761</v>
      </c>
      <c r="C807" s="29" t="s">
        <v>4762</v>
      </c>
      <c r="D807" s="29" t="s">
        <v>4763</v>
      </c>
      <c r="E807" s="29" t="s">
        <v>4764</v>
      </c>
      <c r="F807" s="30" t="s">
        <v>4765</v>
      </c>
      <c r="G807" s="30" t="s">
        <v>4766</v>
      </c>
      <c r="H807" s="30" t="s">
        <v>4767</v>
      </c>
      <c r="I807" s="29" t="s">
        <v>2904</v>
      </c>
      <c r="J807" s="31">
        <v>26.0</v>
      </c>
      <c r="K807" s="35"/>
      <c r="L807" s="35"/>
      <c r="M807" s="35"/>
      <c r="N807" s="35"/>
      <c r="O807" s="35"/>
      <c r="P807" s="35"/>
      <c r="Q807" s="35"/>
      <c r="R807" s="35"/>
      <c r="S807" s="37">
        <f>IF(B807="","",IF(ISNUMBER(J807),IF(J807&lt;=10,'Configuración'!$B$23,IF(J807&lt;=50,'Configuración'!$B$24,IF(J807&lt;=200,'Configuración'!$B$25,0))),0))</f>
        <v>4</v>
      </c>
      <c r="T807" s="37">
        <f>IF(B807="","",IF(ISNUMBER(SEARCH("information technology",I807))+ISNUMBER(SEARCH("software",I807))+ISNUMBER(SEARCH("internet",I807))+ISNUMBER(SEARCH("computer",I807))+ISNUMBER(SEARCH("saas",I807))+ISNUMBER(SEARCH("fintech",I807))+ISNUMBER(SEARCH("information services",I807))+ISNUMBER(SEARCH("telecommunications",I807))&gt;0,'Configuración'!$B$27,'Configuración'!$B$28))</f>
        <v>4</v>
      </c>
      <c r="U807" s="25">
        <f>IF(B807="","",IF(ISNUMBER(SEARCH("CEO",C807))+ISNUMBER(SEARCH("Founder",C807))+ISNUMBER(SEARCH("Owner",C807))+ISNUMBER(SEARCH("Dueño",C807))+ISNUMBER(SEARCH("Director General",C807))+ISNUMBER(SEARCH("Presidente",C807))+ISNUMBER(SEARCH("President",C807))&gt;0,'Configuración'!$B$31,IF(ISNUMBER(SEARCH("CMO",C807))+ISNUMBER(SEARCH("Chief Marketing",C807))+ISNUMBER(SEARCH("VP Marketing",C807))+ISNUMBER(SEARCH("Director de Marketing",C807))+ISNUMBER(SEARCH("Director Marketing",C807))+ISNUMBER(SEARCH("Head of Marketing",C807))+ISNUMBER(SEARCH("Head Marketing",C807))&gt;0,'Configuración'!$B$32,IF(ISNUMBER(SEARCH("Marketing Manager",C807))+ISNUMBER(SEARCH("Gerente de Marketing",C807))+ISNUMBER(SEARCH("Growth Manager",C807))+ISNUMBER(SEARCH("Demand Gen",C807))+ISNUMBER(SEARCH("Marketing Lead",C807))&gt;0,'Configuración'!$B$33,IF(ISNUMBER(SEARCH("COO",C807))+ISNUMBER(SEARCH("CFO",C807))+ISNUMBER(SEARCH("CTO",C807))+ISNUMBER(SEARCH("Chief Operating",C807))+ISNUMBER(SEARCH("Chief Financial",C807))+ISNUMBER(SEARCH("Gerente General",C807))+ISNUMBER(SEARCH("General Manager",C807))&gt;0,'Configuración'!$B$34,'Configuración'!$B$35)))))</f>
        <v>4</v>
      </c>
      <c r="V807" s="38">
        <f>IF(B807="","",IF(K807="Sí",'Configuración'!$B$5,0)+IF(L807="Semanal",'Configuración'!$B$6,IF(L807="Mensual",'Configuración'!$B$7,0))+IF(M807="Sí",'Configuración'!$B$8,0)+IF(N807="Sí",'Configuración'!$B$9,0)+IF(O807="Sí",'Configuración'!$B$10,0)+IF(P807="Sí",'Configuración'!$B$11,0)+IF(Q807="Sí",'Configuración'!$B$12,0)+S807+T807+U807)</f>
        <v>12</v>
      </c>
      <c r="W807" s="39" t="str">
        <f>IF(B807="","",IF(V807&gt;='Configuración'!$B$19,"A",IF(V807&gt;='Configuración'!$B$20,"B",IF(V807&gt;='Configuración'!$B$21,"C","Descarte"))))</f>
        <v>Descarte</v>
      </c>
    </row>
    <row r="808" ht="15.75" customHeight="1">
      <c r="A808" s="34">
        <f t="shared" si="1"/>
        <v>806</v>
      </c>
      <c r="B808" s="29" t="s">
        <v>4768</v>
      </c>
      <c r="C808" s="29" t="s">
        <v>4769</v>
      </c>
      <c r="D808" s="29" t="s">
        <v>4770</v>
      </c>
      <c r="E808" s="29" t="s">
        <v>4771</v>
      </c>
      <c r="F808" s="30" t="s">
        <v>4772</v>
      </c>
      <c r="G808" s="30" t="s">
        <v>4773</v>
      </c>
      <c r="H808" s="30" t="s">
        <v>4774</v>
      </c>
      <c r="I808" s="29" t="s">
        <v>480</v>
      </c>
      <c r="J808" s="31">
        <v>2.0</v>
      </c>
      <c r="K808" s="35"/>
      <c r="L808" s="35"/>
      <c r="M808" s="35"/>
      <c r="N808" s="35"/>
      <c r="O808" s="35"/>
      <c r="P808" s="35"/>
      <c r="Q808" s="35"/>
      <c r="R808" s="35"/>
      <c r="S808" s="37">
        <f>IF(B808="","",IF(ISNUMBER(J808),IF(J808&lt;=10,'Configuración'!$B$23,IF(J808&lt;=50,'Configuración'!$B$24,IF(J808&lt;=200,'Configuración'!$B$25,0))),0))</f>
        <v>12</v>
      </c>
      <c r="T808" s="37">
        <f>IF(B808="","",IF(ISNUMBER(SEARCH("information technology",I808))+ISNUMBER(SEARCH("software",I808))+ISNUMBER(SEARCH("internet",I808))+ISNUMBER(SEARCH("computer",I808))+ISNUMBER(SEARCH("saas",I808))+ISNUMBER(SEARCH("fintech",I808))+ISNUMBER(SEARCH("information services",I808))+ISNUMBER(SEARCH("telecommunications",I808))&gt;0,'Configuración'!$B$27,'Configuración'!$B$28))</f>
        <v>4</v>
      </c>
      <c r="U808" s="25">
        <f>IF(B808="","",IF(ISNUMBER(SEARCH("CEO",C808))+ISNUMBER(SEARCH("Founder",C808))+ISNUMBER(SEARCH("Owner",C808))+ISNUMBER(SEARCH("Dueño",C808))+ISNUMBER(SEARCH("Director General",C808))+ISNUMBER(SEARCH("Presidente",C808))+ISNUMBER(SEARCH("President",C808))&gt;0,'Configuración'!$B$31,IF(ISNUMBER(SEARCH("CMO",C808))+ISNUMBER(SEARCH("Chief Marketing",C808))+ISNUMBER(SEARCH("VP Marketing",C808))+ISNUMBER(SEARCH("Director de Marketing",C808))+ISNUMBER(SEARCH("Director Marketing",C808))+ISNUMBER(SEARCH("Head of Marketing",C808))+ISNUMBER(SEARCH("Head Marketing",C808))&gt;0,'Configuración'!$B$32,IF(ISNUMBER(SEARCH("Marketing Manager",C808))+ISNUMBER(SEARCH("Gerente de Marketing",C808))+ISNUMBER(SEARCH("Growth Manager",C808))+ISNUMBER(SEARCH("Demand Gen",C808))+ISNUMBER(SEARCH("Marketing Lead",C808))&gt;0,'Configuración'!$B$33,IF(ISNUMBER(SEARCH("COO",C808))+ISNUMBER(SEARCH("CFO",C808))+ISNUMBER(SEARCH("CTO",C808))+ISNUMBER(SEARCH("Chief Operating",C808))+ISNUMBER(SEARCH("Chief Financial",C808))+ISNUMBER(SEARCH("Gerente General",C808))+ISNUMBER(SEARCH("General Manager",C808))&gt;0,'Configuración'!$B$34,'Configuración'!$B$35)))))</f>
        <v>12</v>
      </c>
      <c r="V808" s="38">
        <f>IF(B808="","",IF(K808="Sí",'Configuración'!$B$5,0)+IF(L808="Semanal",'Configuración'!$B$6,IF(L808="Mensual",'Configuración'!$B$7,0))+IF(M808="Sí",'Configuración'!$B$8,0)+IF(N808="Sí",'Configuración'!$B$9,0)+IF(O808="Sí",'Configuración'!$B$10,0)+IF(P808="Sí",'Configuración'!$B$11,0)+IF(Q808="Sí",'Configuración'!$B$12,0)+S808+T808+U808)</f>
        <v>28</v>
      </c>
      <c r="W808" s="39" t="str">
        <f>IF(B808="","",IF(V808&gt;='Configuración'!$B$19,"A",IF(V808&gt;='Configuración'!$B$20,"B",IF(V808&gt;='Configuración'!$B$21,"C","Descarte"))))</f>
        <v>C</v>
      </c>
    </row>
    <row r="809" ht="15.75" customHeight="1">
      <c r="A809" s="34">
        <f t="shared" si="1"/>
        <v>807</v>
      </c>
      <c r="B809" s="29" t="s">
        <v>4775</v>
      </c>
      <c r="C809" s="29" t="s">
        <v>4776</v>
      </c>
      <c r="D809" s="29" t="s">
        <v>4777</v>
      </c>
      <c r="E809" s="29" t="s">
        <v>4778</v>
      </c>
      <c r="F809" s="30" t="s">
        <v>4779</v>
      </c>
      <c r="G809" s="30" t="s">
        <v>4780</v>
      </c>
      <c r="H809" s="30" t="s">
        <v>4781</v>
      </c>
      <c r="I809" s="29" t="s">
        <v>310</v>
      </c>
      <c r="J809" s="31">
        <v>34.0</v>
      </c>
      <c r="K809" s="35"/>
      <c r="L809" s="35"/>
      <c r="M809" s="35"/>
      <c r="N809" s="35"/>
      <c r="O809" s="35"/>
      <c r="P809" s="35"/>
      <c r="Q809" s="35"/>
      <c r="R809" s="35"/>
      <c r="S809" s="37">
        <f>IF(B809="","",IF(ISNUMBER(J809),IF(J809&lt;=10,'Configuración'!$B$23,IF(J809&lt;=50,'Configuración'!$B$24,IF(J809&lt;=200,'Configuración'!$B$25,0))),0))</f>
        <v>4</v>
      </c>
      <c r="T809" s="37">
        <f>IF(B809="","",IF(ISNUMBER(SEARCH("information technology",I809))+ISNUMBER(SEARCH("software",I809))+ISNUMBER(SEARCH("internet",I809))+ISNUMBER(SEARCH("computer",I809))+ISNUMBER(SEARCH("saas",I809))+ISNUMBER(SEARCH("fintech",I809))+ISNUMBER(SEARCH("information services",I809))+ISNUMBER(SEARCH("telecommunications",I809))&gt;0,'Configuración'!$B$27,'Configuración'!$B$28))</f>
        <v>4</v>
      </c>
      <c r="U809" s="25">
        <f>IF(B809="","",IF(ISNUMBER(SEARCH("CEO",C809))+ISNUMBER(SEARCH("Founder",C809))+ISNUMBER(SEARCH("Owner",C809))+ISNUMBER(SEARCH("Dueño",C809))+ISNUMBER(SEARCH("Director General",C809))+ISNUMBER(SEARCH("Presidente",C809))+ISNUMBER(SEARCH("President",C809))&gt;0,'Configuración'!$B$31,IF(ISNUMBER(SEARCH("CMO",C809))+ISNUMBER(SEARCH("Chief Marketing",C809))+ISNUMBER(SEARCH("VP Marketing",C809))+ISNUMBER(SEARCH("Director de Marketing",C809))+ISNUMBER(SEARCH("Director Marketing",C809))+ISNUMBER(SEARCH("Head of Marketing",C809))+ISNUMBER(SEARCH("Head Marketing",C809))&gt;0,'Configuración'!$B$32,IF(ISNUMBER(SEARCH("Marketing Manager",C809))+ISNUMBER(SEARCH("Gerente de Marketing",C809))+ISNUMBER(SEARCH("Growth Manager",C809))+ISNUMBER(SEARCH("Demand Gen",C809))+ISNUMBER(SEARCH("Marketing Lead",C809))&gt;0,'Configuración'!$B$33,IF(ISNUMBER(SEARCH("COO",C809))+ISNUMBER(SEARCH("CFO",C809))+ISNUMBER(SEARCH("CTO",C809))+ISNUMBER(SEARCH("Chief Operating",C809))+ISNUMBER(SEARCH("Chief Financial",C809))+ISNUMBER(SEARCH("Gerente General",C809))+ISNUMBER(SEARCH("General Manager",C809))&gt;0,'Configuración'!$B$34,'Configuración'!$B$35)))))</f>
        <v>12</v>
      </c>
      <c r="V809" s="38">
        <f>IF(B809="","",IF(K809="Sí",'Configuración'!$B$5,0)+IF(L809="Semanal",'Configuración'!$B$6,IF(L809="Mensual",'Configuración'!$B$7,0))+IF(M809="Sí",'Configuración'!$B$8,0)+IF(N809="Sí",'Configuración'!$B$9,0)+IF(O809="Sí",'Configuración'!$B$10,0)+IF(P809="Sí",'Configuración'!$B$11,0)+IF(Q809="Sí",'Configuración'!$B$12,0)+S809+T809+U809)</f>
        <v>20</v>
      </c>
      <c r="W809" s="39" t="str">
        <f>IF(B809="","",IF(V809&gt;='Configuración'!$B$19,"A",IF(V809&gt;='Configuración'!$B$20,"B",IF(V809&gt;='Configuración'!$B$21,"C","Descarte"))))</f>
        <v>Descarte</v>
      </c>
    </row>
    <row r="810" ht="15.75" customHeight="1">
      <c r="A810" s="34">
        <f t="shared" si="1"/>
        <v>808</v>
      </c>
      <c r="B810" s="29" t="s">
        <v>529</v>
      </c>
      <c r="C810" s="29" t="s">
        <v>487</v>
      </c>
      <c r="D810" s="29" t="s">
        <v>4782</v>
      </c>
      <c r="E810" s="29" t="s">
        <v>4783</v>
      </c>
      <c r="F810" s="30" t="s">
        <v>4784</v>
      </c>
      <c r="G810" s="30" t="s">
        <v>4785</v>
      </c>
      <c r="H810" s="30" t="s">
        <v>4786</v>
      </c>
      <c r="I810" s="29" t="s">
        <v>188</v>
      </c>
      <c r="J810" s="31">
        <v>5.0</v>
      </c>
      <c r="K810" s="35"/>
      <c r="L810" s="35"/>
      <c r="M810" s="35"/>
      <c r="N810" s="35"/>
      <c r="O810" s="35"/>
      <c r="P810" s="35"/>
      <c r="Q810" s="35"/>
      <c r="R810" s="35"/>
      <c r="S810" s="37">
        <f>IF(B810="","",IF(ISNUMBER(J810),IF(J810&lt;=10,'Configuración'!$B$23,IF(J810&lt;=50,'Configuración'!$B$24,IF(J810&lt;=200,'Configuración'!$B$25,0))),0))</f>
        <v>12</v>
      </c>
      <c r="T810" s="37">
        <f>IF(B810="","",IF(ISNUMBER(SEARCH("information technology",I810))+ISNUMBER(SEARCH("software",I810))+ISNUMBER(SEARCH("internet",I810))+ISNUMBER(SEARCH("computer",I810))+ISNUMBER(SEARCH("saas",I810))+ISNUMBER(SEARCH("fintech",I810))+ISNUMBER(SEARCH("information services",I810))+ISNUMBER(SEARCH("telecommunications",I810))&gt;0,'Configuración'!$B$27,'Configuración'!$B$28))</f>
        <v>4</v>
      </c>
      <c r="U810" s="25">
        <f>IF(B810="","",IF(ISNUMBER(SEARCH("CEO",C810))+ISNUMBER(SEARCH("Founder",C810))+ISNUMBER(SEARCH("Owner",C810))+ISNUMBER(SEARCH("Dueño",C810))+ISNUMBER(SEARCH("Director General",C810))+ISNUMBER(SEARCH("Presidente",C810))+ISNUMBER(SEARCH("President",C810))&gt;0,'Configuración'!$B$31,IF(ISNUMBER(SEARCH("CMO",C810))+ISNUMBER(SEARCH("Chief Marketing",C810))+ISNUMBER(SEARCH("VP Marketing",C810))+ISNUMBER(SEARCH("Director de Marketing",C810))+ISNUMBER(SEARCH("Director Marketing",C810))+ISNUMBER(SEARCH("Head of Marketing",C810))+ISNUMBER(SEARCH("Head Marketing",C810))&gt;0,'Configuración'!$B$32,IF(ISNUMBER(SEARCH("Marketing Manager",C810))+ISNUMBER(SEARCH("Gerente de Marketing",C810))+ISNUMBER(SEARCH("Growth Manager",C810))+ISNUMBER(SEARCH("Demand Gen",C810))+ISNUMBER(SEARCH("Marketing Lead",C810))&gt;0,'Configuración'!$B$33,IF(ISNUMBER(SEARCH("COO",C810))+ISNUMBER(SEARCH("CFO",C810))+ISNUMBER(SEARCH("CTO",C810))+ISNUMBER(SEARCH("Chief Operating",C810))+ISNUMBER(SEARCH("Chief Financial",C810))+ISNUMBER(SEARCH("Gerente General",C810))+ISNUMBER(SEARCH("General Manager",C810))&gt;0,'Configuración'!$B$34,'Configuración'!$B$35)))))</f>
        <v>12</v>
      </c>
      <c r="V810" s="38">
        <f>IF(B810="","",IF(K810="Sí",'Configuración'!$B$5,0)+IF(L810="Semanal",'Configuración'!$B$6,IF(L810="Mensual",'Configuración'!$B$7,0))+IF(M810="Sí",'Configuración'!$B$8,0)+IF(N810="Sí",'Configuración'!$B$9,0)+IF(O810="Sí",'Configuración'!$B$10,0)+IF(P810="Sí",'Configuración'!$B$11,0)+IF(Q810="Sí",'Configuración'!$B$12,0)+S810+T810+U810)</f>
        <v>28</v>
      </c>
      <c r="W810" s="39" t="str">
        <f>IF(B810="","",IF(V810&gt;='Configuración'!$B$19,"A",IF(V810&gt;='Configuración'!$B$20,"B",IF(V810&gt;='Configuración'!$B$21,"C","Descarte"))))</f>
        <v>C</v>
      </c>
    </row>
    <row r="811" ht="15.75" customHeight="1">
      <c r="A811" s="34">
        <f t="shared" si="1"/>
        <v>809</v>
      </c>
      <c r="B811" s="29" t="s">
        <v>159</v>
      </c>
      <c r="C811" s="29" t="s">
        <v>121</v>
      </c>
      <c r="D811" s="29" t="s">
        <v>4787</v>
      </c>
      <c r="E811" s="29" t="s">
        <v>4788</v>
      </c>
      <c r="F811" s="30" t="s">
        <v>4789</v>
      </c>
      <c r="G811" s="30" t="s">
        <v>4790</v>
      </c>
      <c r="H811" s="30" t="s">
        <v>4791</v>
      </c>
      <c r="I811" s="29" t="s">
        <v>873</v>
      </c>
      <c r="J811" s="31">
        <v>5.0</v>
      </c>
      <c r="K811" s="35"/>
      <c r="L811" s="35"/>
      <c r="M811" s="35"/>
      <c r="N811" s="35"/>
      <c r="O811" s="35"/>
      <c r="P811" s="35"/>
      <c r="Q811" s="35"/>
      <c r="R811" s="35"/>
      <c r="S811" s="37">
        <f>IF(B811="","",IF(ISNUMBER(J811),IF(J811&lt;=10,'Configuración'!$B$23,IF(J811&lt;=50,'Configuración'!$B$24,IF(J811&lt;=200,'Configuración'!$B$25,0))),0))</f>
        <v>12</v>
      </c>
      <c r="T811" s="37">
        <f>IF(B811="","",IF(ISNUMBER(SEARCH("information technology",I811))+ISNUMBER(SEARCH("software",I811))+ISNUMBER(SEARCH("internet",I811))+ISNUMBER(SEARCH("computer",I811))+ISNUMBER(SEARCH("saas",I811))+ISNUMBER(SEARCH("fintech",I811))+ISNUMBER(SEARCH("information services",I811))+ISNUMBER(SEARCH("telecommunications",I811))&gt;0,'Configuración'!$B$27,'Configuración'!$B$28))</f>
        <v>4</v>
      </c>
      <c r="U811" s="25">
        <f>IF(B811="","",IF(ISNUMBER(SEARCH("CEO",C811))+ISNUMBER(SEARCH("Founder",C811))+ISNUMBER(SEARCH("Owner",C811))+ISNUMBER(SEARCH("Dueño",C811))+ISNUMBER(SEARCH("Director General",C811))+ISNUMBER(SEARCH("Presidente",C811))+ISNUMBER(SEARCH("President",C811))&gt;0,'Configuración'!$B$31,IF(ISNUMBER(SEARCH("CMO",C811))+ISNUMBER(SEARCH("Chief Marketing",C811))+ISNUMBER(SEARCH("VP Marketing",C811))+ISNUMBER(SEARCH("Director de Marketing",C811))+ISNUMBER(SEARCH("Director Marketing",C811))+ISNUMBER(SEARCH("Head of Marketing",C811))+ISNUMBER(SEARCH("Head Marketing",C811))&gt;0,'Configuración'!$B$32,IF(ISNUMBER(SEARCH("Marketing Manager",C811))+ISNUMBER(SEARCH("Gerente de Marketing",C811))+ISNUMBER(SEARCH("Growth Manager",C811))+ISNUMBER(SEARCH("Demand Gen",C811))+ISNUMBER(SEARCH("Marketing Lead",C811))&gt;0,'Configuración'!$B$33,IF(ISNUMBER(SEARCH("COO",C811))+ISNUMBER(SEARCH("CFO",C811))+ISNUMBER(SEARCH("CTO",C811))+ISNUMBER(SEARCH("Chief Operating",C811))+ISNUMBER(SEARCH("Chief Financial",C811))+ISNUMBER(SEARCH("Gerente General",C811))+ISNUMBER(SEARCH("General Manager",C811))&gt;0,'Configuración'!$B$34,'Configuración'!$B$35)))))</f>
        <v>12</v>
      </c>
      <c r="V811" s="38">
        <f>IF(B811="","",IF(K811="Sí",'Configuración'!$B$5,0)+IF(L811="Semanal",'Configuración'!$B$6,IF(L811="Mensual",'Configuración'!$B$7,0))+IF(M811="Sí",'Configuración'!$B$8,0)+IF(N811="Sí",'Configuración'!$B$9,0)+IF(O811="Sí",'Configuración'!$B$10,0)+IF(P811="Sí",'Configuración'!$B$11,0)+IF(Q811="Sí",'Configuración'!$B$12,0)+S811+T811+U811)</f>
        <v>28</v>
      </c>
      <c r="W811" s="39" t="str">
        <f>IF(B811="","",IF(V811&gt;='Configuración'!$B$19,"A",IF(V811&gt;='Configuración'!$B$20,"B",IF(V811&gt;='Configuración'!$B$21,"C","Descarte"))))</f>
        <v>C</v>
      </c>
    </row>
    <row r="812" ht="15.75" customHeight="1">
      <c r="A812" s="34">
        <f t="shared" si="1"/>
        <v>810</v>
      </c>
      <c r="B812" s="29" t="s">
        <v>343</v>
      </c>
      <c r="C812" s="29" t="s">
        <v>4792</v>
      </c>
      <c r="D812" s="29" t="s">
        <v>4793</v>
      </c>
      <c r="E812" s="29" t="s">
        <v>4794</v>
      </c>
      <c r="F812" s="30" t="s">
        <v>4795</v>
      </c>
      <c r="G812" s="30" t="s">
        <v>4796</v>
      </c>
      <c r="H812" s="30" t="s">
        <v>4797</v>
      </c>
      <c r="I812" s="29" t="s">
        <v>127</v>
      </c>
      <c r="J812" s="31">
        <v>9.0</v>
      </c>
      <c r="K812" s="35"/>
      <c r="L812" s="35"/>
      <c r="M812" s="35"/>
      <c r="N812" s="35"/>
      <c r="O812" s="35"/>
      <c r="P812" s="35"/>
      <c r="Q812" s="35"/>
      <c r="R812" s="35"/>
      <c r="S812" s="37">
        <f>IF(B812="","",IF(ISNUMBER(J812),IF(J812&lt;=10,'Configuración'!$B$23,IF(J812&lt;=50,'Configuración'!$B$24,IF(J812&lt;=200,'Configuración'!$B$25,0))),0))</f>
        <v>12</v>
      </c>
      <c r="T812" s="37">
        <f>IF(B812="","",IF(ISNUMBER(SEARCH("information technology",I812))+ISNUMBER(SEARCH("software",I812))+ISNUMBER(SEARCH("internet",I812))+ISNUMBER(SEARCH("computer",I812))+ISNUMBER(SEARCH("saas",I812))+ISNUMBER(SEARCH("fintech",I812))+ISNUMBER(SEARCH("information services",I812))+ISNUMBER(SEARCH("telecommunications",I812))&gt;0,'Configuración'!$B$27,'Configuración'!$B$28))</f>
        <v>12</v>
      </c>
      <c r="U812" s="25">
        <f>IF(B812="","",IF(ISNUMBER(SEARCH("CEO",C812))+ISNUMBER(SEARCH("Founder",C812))+ISNUMBER(SEARCH("Owner",C812))+ISNUMBER(SEARCH("Dueño",C812))+ISNUMBER(SEARCH("Director General",C812))+ISNUMBER(SEARCH("Presidente",C812))+ISNUMBER(SEARCH("President",C812))&gt;0,'Configuración'!$B$31,IF(ISNUMBER(SEARCH("CMO",C812))+ISNUMBER(SEARCH("Chief Marketing",C812))+ISNUMBER(SEARCH("VP Marketing",C812))+ISNUMBER(SEARCH("Director de Marketing",C812))+ISNUMBER(SEARCH("Director Marketing",C812))+ISNUMBER(SEARCH("Head of Marketing",C812))+ISNUMBER(SEARCH("Head Marketing",C812))&gt;0,'Configuración'!$B$32,IF(ISNUMBER(SEARCH("Marketing Manager",C812))+ISNUMBER(SEARCH("Gerente de Marketing",C812))+ISNUMBER(SEARCH("Growth Manager",C812))+ISNUMBER(SEARCH("Demand Gen",C812))+ISNUMBER(SEARCH("Marketing Lead",C812))&gt;0,'Configuración'!$B$33,IF(ISNUMBER(SEARCH("COO",C812))+ISNUMBER(SEARCH("CFO",C812))+ISNUMBER(SEARCH("CTO",C812))+ISNUMBER(SEARCH("Chief Operating",C812))+ISNUMBER(SEARCH("Chief Financial",C812))+ISNUMBER(SEARCH("Gerente General",C812))+ISNUMBER(SEARCH("General Manager",C812))&gt;0,'Configuración'!$B$34,'Configuración'!$B$35)))))</f>
        <v>12</v>
      </c>
      <c r="V812" s="38">
        <f>IF(B812="","",IF(K812="Sí",'Configuración'!$B$5,0)+IF(L812="Semanal",'Configuración'!$B$6,IF(L812="Mensual",'Configuración'!$B$7,0))+IF(M812="Sí",'Configuración'!$B$8,0)+IF(N812="Sí",'Configuración'!$B$9,0)+IF(O812="Sí",'Configuración'!$B$10,0)+IF(P812="Sí",'Configuración'!$B$11,0)+IF(Q812="Sí",'Configuración'!$B$12,0)+S812+T812+U812)</f>
        <v>36</v>
      </c>
      <c r="W812" s="39" t="str">
        <f>IF(B812="","",IF(V812&gt;='Configuración'!$B$19,"A",IF(V812&gt;='Configuración'!$B$20,"B",IF(V812&gt;='Configuración'!$B$21,"C","Descarte"))))</f>
        <v>C</v>
      </c>
    </row>
    <row r="813" ht="15.75" customHeight="1">
      <c r="A813" s="34">
        <f t="shared" si="1"/>
        <v>811</v>
      </c>
      <c r="B813" s="29" t="s">
        <v>4798</v>
      </c>
      <c r="C813" s="29" t="s">
        <v>494</v>
      </c>
      <c r="D813" s="29" t="s">
        <v>4799</v>
      </c>
      <c r="E813" s="29" t="s">
        <v>4800</v>
      </c>
      <c r="F813" s="30" t="s">
        <v>4801</v>
      </c>
      <c r="G813" s="30" t="s">
        <v>4802</v>
      </c>
      <c r="H813" s="30" t="s">
        <v>4803</v>
      </c>
      <c r="I813" s="29" t="s">
        <v>990</v>
      </c>
      <c r="J813" s="31">
        <v>10.0</v>
      </c>
      <c r="K813" s="35"/>
      <c r="L813" s="35"/>
      <c r="M813" s="35"/>
      <c r="N813" s="35"/>
      <c r="O813" s="35"/>
      <c r="P813" s="35"/>
      <c r="Q813" s="35"/>
      <c r="R813" s="35"/>
      <c r="S813" s="37">
        <f>IF(B813="","",IF(ISNUMBER(J813),IF(J813&lt;=10,'Configuración'!$B$23,IF(J813&lt;=50,'Configuración'!$B$24,IF(J813&lt;=200,'Configuración'!$B$25,0))),0))</f>
        <v>12</v>
      </c>
      <c r="T813" s="37">
        <f>IF(B813="","",IF(ISNUMBER(SEARCH("information technology",I813))+ISNUMBER(SEARCH("software",I813))+ISNUMBER(SEARCH("internet",I813))+ISNUMBER(SEARCH("computer",I813))+ISNUMBER(SEARCH("saas",I813))+ISNUMBER(SEARCH("fintech",I813))+ISNUMBER(SEARCH("information services",I813))+ISNUMBER(SEARCH("telecommunications",I813))&gt;0,'Configuración'!$B$27,'Configuración'!$B$28))</f>
        <v>4</v>
      </c>
      <c r="U813" s="25">
        <f>IF(B813="","",IF(ISNUMBER(SEARCH("CEO",C813))+ISNUMBER(SEARCH("Founder",C813))+ISNUMBER(SEARCH("Owner",C813))+ISNUMBER(SEARCH("Dueño",C813))+ISNUMBER(SEARCH("Director General",C813))+ISNUMBER(SEARCH("Presidente",C813))+ISNUMBER(SEARCH("President",C813))&gt;0,'Configuración'!$B$31,IF(ISNUMBER(SEARCH("CMO",C813))+ISNUMBER(SEARCH("Chief Marketing",C813))+ISNUMBER(SEARCH("VP Marketing",C813))+ISNUMBER(SEARCH("Director de Marketing",C813))+ISNUMBER(SEARCH("Director Marketing",C813))+ISNUMBER(SEARCH("Head of Marketing",C813))+ISNUMBER(SEARCH("Head Marketing",C813))&gt;0,'Configuración'!$B$32,IF(ISNUMBER(SEARCH("Marketing Manager",C813))+ISNUMBER(SEARCH("Gerente de Marketing",C813))+ISNUMBER(SEARCH("Growth Manager",C813))+ISNUMBER(SEARCH("Demand Gen",C813))+ISNUMBER(SEARCH("Marketing Lead",C813))&gt;0,'Configuración'!$B$33,IF(ISNUMBER(SEARCH("COO",C813))+ISNUMBER(SEARCH("CFO",C813))+ISNUMBER(SEARCH("CTO",C813))+ISNUMBER(SEARCH("Chief Operating",C813))+ISNUMBER(SEARCH("Chief Financial",C813))+ISNUMBER(SEARCH("Gerente General",C813))+ISNUMBER(SEARCH("General Manager",C813))&gt;0,'Configuración'!$B$34,'Configuración'!$B$35)))))</f>
        <v>4</v>
      </c>
      <c r="V813" s="38">
        <f>IF(B813="","",IF(K813="Sí",'Configuración'!$B$5,0)+IF(L813="Semanal",'Configuración'!$B$6,IF(L813="Mensual",'Configuración'!$B$7,0))+IF(M813="Sí",'Configuración'!$B$8,0)+IF(N813="Sí",'Configuración'!$B$9,0)+IF(O813="Sí",'Configuración'!$B$10,0)+IF(P813="Sí",'Configuración'!$B$11,0)+IF(Q813="Sí",'Configuración'!$B$12,0)+S813+T813+U813)</f>
        <v>20</v>
      </c>
      <c r="W813" s="39" t="str">
        <f>IF(B813="","",IF(V813&gt;='Configuración'!$B$19,"A",IF(V813&gt;='Configuración'!$B$20,"B",IF(V813&gt;='Configuración'!$B$21,"C","Descarte"))))</f>
        <v>Descarte</v>
      </c>
    </row>
    <row r="814" ht="15.75" customHeight="1">
      <c r="A814" s="34">
        <f t="shared" si="1"/>
        <v>812</v>
      </c>
      <c r="B814" s="29" t="s">
        <v>501</v>
      </c>
      <c r="C814" s="29" t="s">
        <v>304</v>
      </c>
      <c r="D814" s="29" t="s">
        <v>4804</v>
      </c>
      <c r="E814" s="29" t="s">
        <v>4805</v>
      </c>
      <c r="F814" s="30" t="s">
        <v>4806</v>
      </c>
      <c r="G814" s="30" t="s">
        <v>4807</v>
      </c>
      <c r="H814" s="30" t="s">
        <v>4808</v>
      </c>
      <c r="I814" s="29" t="s">
        <v>127</v>
      </c>
      <c r="J814" s="31">
        <v>25.0</v>
      </c>
      <c r="K814" s="35"/>
      <c r="L814" s="35"/>
      <c r="M814" s="35"/>
      <c r="N814" s="35"/>
      <c r="O814" s="35"/>
      <c r="P814" s="35"/>
      <c r="Q814" s="35"/>
      <c r="R814" s="35"/>
      <c r="S814" s="37">
        <f>IF(B814="","",IF(ISNUMBER(J814),IF(J814&lt;=10,'Configuración'!$B$23,IF(J814&lt;=50,'Configuración'!$B$24,IF(J814&lt;=200,'Configuración'!$B$25,0))),0))</f>
        <v>4</v>
      </c>
      <c r="T814" s="37">
        <f>IF(B814="","",IF(ISNUMBER(SEARCH("information technology",I814))+ISNUMBER(SEARCH("software",I814))+ISNUMBER(SEARCH("internet",I814))+ISNUMBER(SEARCH("computer",I814))+ISNUMBER(SEARCH("saas",I814))+ISNUMBER(SEARCH("fintech",I814))+ISNUMBER(SEARCH("information services",I814))+ISNUMBER(SEARCH("telecommunications",I814))&gt;0,'Configuración'!$B$27,'Configuración'!$B$28))</f>
        <v>12</v>
      </c>
      <c r="U814" s="25">
        <f>IF(B814="","",IF(ISNUMBER(SEARCH("CEO",C814))+ISNUMBER(SEARCH("Founder",C814))+ISNUMBER(SEARCH("Owner",C814))+ISNUMBER(SEARCH("Dueño",C814))+ISNUMBER(SEARCH("Director General",C814))+ISNUMBER(SEARCH("Presidente",C814))+ISNUMBER(SEARCH("President",C814))&gt;0,'Configuración'!$B$31,IF(ISNUMBER(SEARCH("CMO",C814))+ISNUMBER(SEARCH("Chief Marketing",C814))+ISNUMBER(SEARCH("VP Marketing",C814))+ISNUMBER(SEARCH("Director de Marketing",C814))+ISNUMBER(SEARCH("Director Marketing",C814))+ISNUMBER(SEARCH("Head of Marketing",C814))+ISNUMBER(SEARCH("Head Marketing",C814))&gt;0,'Configuración'!$B$32,IF(ISNUMBER(SEARCH("Marketing Manager",C814))+ISNUMBER(SEARCH("Gerente de Marketing",C814))+ISNUMBER(SEARCH("Growth Manager",C814))+ISNUMBER(SEARCH("Demand Gen",C814))+ISNUMBER(SEARCH("Marketing Lead",C814))&gt;0,'Configuración'!$B$33,IF(ISNUMBER(SEARCH("COO",C814))+ISNUMBER(SEARCH("CFO",C814))+ISNUMBER(SEARCH("CTO",C814))+ISNUMBER(SEARCH("Chief Operating",C814))+ISNUMBER(SEARCH("Chief Financial",C814))+ISNUMBER(SEARCH("Gerente General",C814))+ISNUMBER(SEARCH("General Manager",C814))&gt;0,'Configuración'!$B$34,'Configuración'!$B$35)))))</f>
        <v>4</v>
      </c>
      <c r="V814" s="38">
        <f>IF(B814="","",IF(K814="Sí",'Configuración'!$B$5,0)+IF(L814="Semanal",'Configuración'!$B$6,IF(L814="Mensual",'Configuración'!$B$7,0))+IF(M814="Sí",'Configuración'!$B$8,0)+IF(N814="Sí",'Configuración'!$B$9,0)+IF(O814="Sí",'Configuración'!$B$10,0)+IF(P814="Sí",'Configuración'!$B$11,0)+IF(Q814="Sí",'Configuración'!$B$12,0)+S814+T814+U814)</f>
        <v>20</v>
      </c>
      <c r="W814" s="39" t="str">
        <f>IF(B814="","",IF(V814&gt;='Configuración'!$B$19,"A",IF(V814&gt;='Configuración'!$B$20,"B",IF(V814&gt;='Configuración'!$B$21,"C","Descarte"))))</f>
        <v>Descarte</v>
      </c>
    </row>
    <row r="815" ht="15.75" customHeight="1">
      <c r="A815" s="34">
        <f t="shared" si="1"/>
        <v>813</v>
      </c>
      <c r="B815" s="29" t="s">
        <v>2396</v>
      </c>
      <c r="C815" s="29" t="s">
        <v>4809</v>
      </c>
      <c r="D815" s="29" t="s">
        <v>4810</v>
      </c>
      <c r="E815" s="29" t="s">
        <v>4811</v>
      </c>
      <c r="F815" s="30" t="s">
        <v>4812</v>
      </c>
      <c r="G815" s="30" t="s">
        <v>4813</v>
      </c>
      <c r="H815" s="30" t="s">
        <v>4814</v>
      </c>
      <c r="I815" s="29" t="s">
        <v>188</v>
      </c>
      <c r="J815" s="31">
        <v>44.0</v>
      </c>
      <c r="K815" s="35"/>
      <c r="L815" s="35"/>
      <c r="M815" s="35"/>
      <c r="N815" s="35"/>
      <c r="O815" s="35"/>
      <c r="P815" s="35"/>
      <c r="Q815" s="35"/>
      <c r="R815" s="35"/>
      <c r="S815" s="37">
        <f>IF(B815="","",IF(ISNUMBER(J815),IF(J815&lt;=10,'Configuración'!$B$23,IF(J815&lt;=50,'Configuración'!$B$24,IF(J815&lt;=200,'Configuración'!$B$25,0))),0))</f>
        <v>4</v>
      </c>
      <c r="T815" s="37">
        <f>IF(B815="","",IF(ISNUMBER(SEARCH("information technology",I815))+ISNUMBER(SEARCH("software",I815))+ISNUMBER(SEARCH("internet",I815))+ISNUMBER(SEARCH("computer",I815))+ISNUMBER(SEARCH("saas",I815))+ISNUMBER(SEARCH("fintech",I815))+ISNUMBER(SEARCH("information services",I815))+ISNUMBER(SEARCH("telecommunications",I815))&gt;0,'Configuración'!$B$27,'Configuración'!$B$28))</f>
        <v>4</v>
      </c>
      <c r="U815" s="25">
        <f>IF(B815="","",IF(ISNUMBER(SEARCH("CEO",C815))+ISNUMBER(SEARCH("Founder",C815))+ISNUMBER(SEARCH("Owner",C815))+ISNUMBER(SEARCH("Dueño",C815))+ISNUMBER(SEARCH("Director General",C815))+ISNUMBER(SEARCH("Presidente",C815))+ISNUMBER(SEARCH("President",C815))&gt;0,'Configuración'!$B$31,IF(ISNUMBER(SEARCH("CMO",C815))+ISNUMBER(SEARCH("Chief Marketing",C815))+ISNUMBER(SEARCH("VP Marketing",C815))+ISNUMBER(SEARCH("Director de Marketing",C815))+ISNUMBER(SEARCH("Director Marketing",C815))+ISNUMBER(SEARCH("Head of Marketing",C815))+ISNUMBER(SEARCH("Head Marketing",C815))&gt;0,'Configuración'!$B$32,IF(ISNUMBER(SEARCH("Marketing Manager",C815))+ISNUMBER(SEARCH("Gerente de Marketing",C815))+ISNUMBER(SEARCH("Growth Manager",C815))+ISNUMBER(SEARCH("Demand Gen",C815))+ISNUMBER(SEARCH("Marketing Lead",C815))&gt;0,'Configuración'!$B$33,IF(ISNUMBER(SEARCH("COO",C815))+ISNUMBER(SEARCH("CFO",C815))+ISNUMBER(SEARCH("CTO",C815))+ISNUMBER(SEARCH("Chief Operating",C815))+ISNUMBER(SEARCH("Chief Financial",C815))+ISNUMBER(SEARCH("Gerente General",C815))+ISNUMBER(SEARCH("General Manager",C815))&gt;0,'Configuración'!$B$34,'Configuración'!$B$35)))))</f>
        <v>12</v>
      </c>
      <c r="V815" s="38">
        <f>IF(B815="","",IF(K815="Sí",'Configuración'!$B$5,0)+IF(L815="Semanal",'Configuración'!$B$6,IF(L815="Mensual",'Configuración'!$B$7,0))+IF(M815="Sí",'Configuración'!$B$8,0)+IF(N815="Sí",'Configuración'!$B$9,0)+IF(O815="Sí",'Configuración'!$B$10,0)+IF(P815="Sí",'Configuración'!$B$11,0)+IF(Q815="Sí",'Configuración'!$B$12,0)+S815+T815+U815)</f>
        <v>20</v>
      </c>
      <c r="W815" s="39" t="str">
        <f>IF(B815="","",IF(V815&gt;='Configuración'!$B$19,"A",IF(V815&gt;='Configuración'!$B$20,"B",IF(V815&gt;='Configuración'!$B$21,"C","Descarte"))))</f>
        <v>Descarte</v>
      </c>
    </row>
    <row r="816" ht="15.75" customHeight="1">
      <c r="A816" s="34">
        <f t="shared" si="1"/>
        <v>814</v>
      </c>
      <c r="B816" s="29" t="s">
        <v>4815</v>
      </c>
      <c r="C816" s="29" t="s">
        <v>146</v>
      </c>
      <c r="D816" s="29" t="s">
        <v>4816</v>
      </c>
      <c r="E816" s="29" t="s">
        <v>4817</v>
      </c>
      <c r="F816" s="30" t="s">
        <v>4818</v>
      </c>
      <c r="G816" s="30" t="s">
        <v>4819</v>
      </c>
      <c r="H816" s="30" t="s">
        <v>4820</v>
      </c>
      <c r="I816" s="29" t="s">
        <v>127</v>
      </c>
      <c r="J816" s="31">
        <v>3.0</v>
      </c>
      <c r="K816" s="35"/>
      <c r="L816" s="35"/>
      <c r="M816" s="35"/>
      <c r="N816" s="35"/>
      <c r="O816" s="35"/>
      <c r="P816" s="35"/>
      <c r="Q816" s="35"/>
      <c r="R816" s="35"/>
      <c r="S816" s="37">
        <f>IF(B816="","",IF(ISNUMBER(J816),IF(J816&lt;=10,'Configuración'!$B$23,IF(J816&lt;=50,'Configuración'!$B$24,IF(J816&lt;=200,'Configuración'!$B$25,0))),0))</f>
        <v>12</v>
      </c>
      <c r="T816" s="37">
        <f>IF(B816="","",IF(ISNUMBER(SEARCH("information technology",I816))+ISNUMBER(SEARCH("software",I816))+ISNUMBER(SEARCH("internet",I816))+ISNUMBER(SEARCH("computer",I816))+ISNUMBER(SEARCH("saas",I816))+ISNUMBER(SEARCH("fintech",I816))+ISNUMBER(SEARCH("information services",I816))+ISNUMBER(SEARCH("telecommunications",I816))&gt;0,'Configuración'!$B$27,'Configuración'!$B$28))</f>
        <v>12</v>
      </c>
      <c r="U816" s="25">
        <f>IF(B816="","",IF(ISNUMBER(SEARCH("CEO",C816))+ISNUMBER(SEARCH("Founder",C816))+ISNUMBER(SEARCH("Owner",C816))+ISNUMBER(SEARCH("Dueño",C816))+ISNUMBER(SEARCH("Director General",C816))+ISNUMBER(SEARCH("Presidente",C816))+ISNUMBER(SEARCH("President",C816))&gt;0,'Configuración'!$B$31,IF(ISNUMBER(SEARCH("CMO",C816))+ISNUMBER(SEARCH("Chief Marketing",C816))+ISNUMBER(SEARCH("VP Marketing",C816))+ISNUMBER(SEARCH("Director de Marketing",C816))+ISNUMBER(SEARCH("Director Marketing",C816))+ISNUMBER(SEARCH("Head of Marketing",C816))+ISNUMBER(SEARCH("Head Marketing",C816))&gt;0,'Configuración'!$B$32,IF(ISNUMBER(SEARCH("Marketing Manager",C816))+ISNUMBER(SEARCH("Gerente de Marketing",C816))+ISNUMBER(SEARCH("Growth Manager",C816))+ISNUMBER(SEARCH("Demand Gen",C816))+ISNUMBER(SEARCH("Marketing Lead",C816))&gt;0,'Configuración'!$B$33,IF(ISNUMBER(SEARCH("COO",C816))+ISNUMBER(SEARCH("CFO",C816))+ISNUMBER(SEARCH("CTO",C816))+ISNUMBER(SEARCH("Chief Operating",C816))+ISNUMBER(SEARCH("Chief Financial",C816))+ISNUMBER(SEARCH("Gerente General",C816))+ISNUMBER(SEARCH("General Manager",C816))&gt;0,'Configuración'!$B$34,'Configuración'!$B$35)))))</f>
        <v>0</v>
      </c>
      <c r="V816" s="38">
        <f>IF(B816="","",IF(K816="Sí",'Configuración'!$B$5,0)+IF(L816="Semanal",'Configuración'!$B$6,IF(L816="Mensual",'Configuración'!$B$7,0))+IF(M816="Sí",'Configuración'!$B$8,0)+IF(N816="Sí",'Configuración'!$B$9,0)+IF(O816="Sí",'Configuración'!$B$10,0)+IF(P816="Sí",'Configuración'!$B$11,0)+IF(Q816="Sí",'Configuración'!$B$12,0)+S816+T816+U816)</f>
        <v>24</v>
      </c>
      <c r="W816" s="39" t="str">
        <f>IF(B816="","",IF(V816&gt;='Configuración'!$B$19,"A",IF(V816&gt;='Configuración'!$B$20,"B",IF(V816&gt;='Configuración'!$B$21,"C","Descarte"))))</f>
        <v>C</v>
      </c>
    </row>
    <row r="817" ht="15.75" customHeight="1">
      <c r="A817" s="34">
        <f t="shared" si="1"/>
        <v>815</v>
      </c>
      <c r="B817" s="29" t="s">
        <v>1137</v>
      </c>
      <c r="C817" s="29" t="s">
        <v>4821</v>
      </c>
      <c r="D817" s="29" t="s">
        <v>4822</v>
      </c>
      <c r="E817" s="29" t="s">
        <v>4823</v>
      </c>
      <c r="F817" s="30" t="s">
        <v>4824</v>
      </c>
      <c r="G817" s="30" t="s">
        <v>4825</v>
      </c>
      <c r="H817" s="30" t="s">
        <v>4826</v>
      </c>
      <c r="I817" s="29" t="s">
        <v>1126</v>
      </c>
      <c r="J817" s="31">
        <v>4.0</v>
      </c>
      <c r="K817" s="35"/>
      <c r="L817" s="35"/>
      <c r="M817" s="35"/>
      <c r="N817" s="35"/>
      <c r="O817" s="35"/>
      <c r="P817" s="35"/>
      <c r="Q817" s="35"/>
      <c r="R817" s="35"/>
      <c r="S817" s="37">
        <f>IF(B817="","",IF(ISNUMBER(J817),IF(J817&lt;=10,'Configuración'!$B$23,IF(J817&lt;=50,'Configuración'!$B$24,IF(J817&lt;=200,'Configuración'!$B$25,0))),0))</f>
        <v>12</v>
      </c>
      <c r="T817" s="37">
        <f>IF(B817="","",IF(ISNUMBER(SEARCH("information technology",I817))+ISNUMBER(SEARCH("software",I817))+ISNUMBER(SEARCH("internet",I817))+ISNUMBER(SEARCH("computer",I817))+ISNUMBER(SEARCH("saas",I817))+ISNUMBER(SEARCH("fintech",I817))+ISNUMBER(SEARCH("information services",I817))+ISNUMBER(SEARCH("telecommunications",I817))&gt;0,'Configuración'!$B$27,'Configuración'!$B$28))</f>
        <v>4</v>
      </c>
      <c r="U817" s="25">
        <f>IF(B817="","",IF(ISNUMBER(SEARCH("CEO",C817))+ISNUMBER(SEARCH("Founder",C817))+ISNUMBER(SEARCH("Owner",C817))+ISNUMBER(SEARCH("Dueño",C817))+ISNUMBER(SEARCH("Director General",C817))+ISNUMBER(SEARCH("Presidente",C817))+ISNUMBER(SEARCH("President",C817))&gt;0,'Configuración'!$B$31,IF(ISNUMBER(SEARCH("CMO",C817))+ISNUMBER(SEARCH("Chief Marketing",C817))+ISNUMBER(SEARCH("VP Marketing",C817))+ISNUMBER(SEARCH("Director de Marketing",C817))+ISNUMBER(SEARCH("Director Marketing",C817))+ISNUMBER(SEARCH("Head of Marketing",C817))+ISNUMBER(SEARCH("Head Marketing",C817))&gt;0,'Configuración'!$B$32,IF(ISNUMBER(SEARCH("Marketing Manager",C817))+ISNUMBER(SEARCH("Gerente de Marketing",C817))+ISNUMBER(SEARCH("Growth Manager",C817))+ISNUMBER(SEARCH("Demand Gen",C817))+ISNUMBER(SEARCH("Marketing Lead",C817))&gt;0,'Configuración'!$B$33,IF(ISNUMBER(SEARCH("COO",C817))+ISNUMBER(SEARCH("CFO",C817))+ISNUMBER(SEARCH("CTO",C817))+ISNUMBER(SEARCH("Chief Operating",C817))+ISNUMBER(SEARCH("Chief Financial",C817))+ISNUMBER(SEARCH("Gerente General",C817))+ISNUMBER(SEARCH("General Manager",C817))&gt;0,'Configuración'!$B$34,'Configuración'!$B$35)))))</f>
        <v>4</v>
      </c>
      <c r="V817" s="38">
        <f>IF(B817="","",IF(K817="Sí",'Configuración'!$B$5,0)+IF(L817="Semanal",'Configuración'!$B$6,IF(L817="Mensual",'Configuración'!$B$7,0))+IF(M817="Sí",'Configuración'!$B$8,0)+IF(N817="Sí",'Configuración'!$B$9,0)+IF(O817="Sí",'Configuración'!$B$10,0)+IF(P817="Sí",'Configuración'!$B$11,0)+IF(Q817="Sí",'Configuración'!$B$12,0)+S817+T817+U817)</f>
        <v>20</v>
      </c>
      <c r="W817" s="39" t="str">
        <f>IF(B817="","",IF(V817&gt;='Configuración'!$B$19,"A",IF(V817&gt;='Configuración'!$B$20,"B",IF(V817&gt;='Configuración'!$B$21,"C","Descarte"))))</f>
        <v>Descarte</v>
      </c>
    </row>
    <row r="818" ht="15.75" customHeight="1">
      <c r="A818" s="34">
        <f t="shared" si="1"/>
        <v>816</v>
      </c>
      <c r="B818" s="29" t="s">
        <v>4827</v>
      </c>
      <c r="C818" s="29" t="s">
        <v>318</v>
      </c>
      <c r="D818" s="29" t="s">
        <v>4828</v>
      </c>
      <c r="E818" s="29" t="s">
        <v>4829</v>
      </c>
      <c r="F818" s="30" t="s">
        <v>4830</v>
      </c>
      <c r="G818" s="30" t="s">
        <v>4831</v>
      </c>
      <c r="H818" s="30" t="s">
        <v>4832</v>
      </c>
      <c r="I818" s="29" t="s">
        <v>1356</v>
      </c>
      <c r="J818" s="31">
        <v>47.0</v>
      </c>
      <c r="K818" s="35"/>
      <c r="L818" s="35"/>
      <c r="M818" s="35"/>
      <c r="N818" s="35"/>
      <c r="O818" s="35"/>
      <c r="P818" s="35"/>
      <c r="Q818" s="35"/>
      <c r="R818" s="35"/>
      <c r="S818" s="37">
        <f>IF(B818="","",IF(ISNUMBER(J818),IF(J818&lt;=10,'Configuración'!$B$23,IF(J818&lt;=50,'Configuración'!$B$24,IF(J818&lt;=200,'Configuración'!$B$25,0))),0))</f>
        <v>4</v>
      </c>
      <c r="T818" s="37">
        <f>IF(B818="","",IF(ISNUMBER(SEARCH("information technology",I818))+ISNUMBER(SEARCH("software",I818))+ISNUMBER(SEARCH("internet",I818))+ISNUMBER(SEARCH("computer",I818))+ISNUMBER(SEARCH("saas",I818))+ISNUMBER(SEARCH("fintech",I818))+ISNUMBER(SEARCH("information services",I818))+ISNUMBER(SEARCH("telecommunications",I818))&gt;0,'Configuración'!$B$27,'Configuración'!$B$28))</f>
        <v>4</v>
      </c>
      <c r="U818" s="25">
        <f>IF(B818="","",IF(ISNUMBER(SEARCH("CEO",C818))+ISNUMBER(SEARCH("Founder",C818))+ISNUMBER(SEARCH("Owner",C818))+ISNUMBER(SEARCH("Dueño",C818))+ISNUMBER(SEARCH("Director General",C818))+ISNUMBER(SEARCH("Presidente",C818))+ISNUMBER(SEARCH("President",C818))&gt;0,'Configuración'!$B$31,IF(ISNUMBER(SEARCH("CMO",C818))+ISNUMBER(SEARCH("Chief Marketing",C818))+ISNUMBER(SEARCH("VP Marketing",C818))+ISNUMBER(SEARCH("Director de Marketing",C818))+ISNUMBER(SEARCH("Director Marketing",C818))+ISNUMBER(SEARCH("Head of Marketing",C818))+ISNUMBER(SEARCH("Head Marketing",C818))&gt;0,'Configuración'!$B$32,IF(ISNUMBER(SEARCH("Marketing Manager",C818))+ISNUMBER(SEARCH("Gerente de Marketing",C818))+ISNUMBER(SEARCH("Growth Manager",C818))+ISNUMBER(SEARCH("Demand Gen",C818))+ISNUMBER(SEARCH("Marketing Lead",C818))&gt;0,'Configuración'!$B$33,IF(ISNUMBER(SEARCH("COO",C818))+ISNUMBER(SEARCH("CFO",C818))+ISNUMBER(SEARCH("CTO",C818))+ISNUMBER(SEARCH("Chief Operating",C818))+ISNUMBER(SEARCH("Chief Financial",C818))+ISNUMBER(SEARCH("Gerente General",C818))+ISNUMBER(SEARCH("General Manager",C818))&gt;0,'Configuración'!$B$34,'Configuración'!$B$35)))))</f>
        <v>4</v>
      </c>
      <c r="V818" s="38">
        <f>IF(B818="","",IF(K818="Sí",'Configuración'!$B$5,0)+IF(L818="Semanal",'Configuración'!$B$6,IF(L818="Mensual",'Configuración'!$B$7,0))+IF(M818="Sí",'Configuración'!$B$8,0)+IF(N818="Sí",'Configuración'!$B$9,0)+IF(O818="Sí",'Configuración'!$B$10,0)+IF(P818="Sí",'Configuración'!$B$11,0)+IF(Q818="Sí",'Configuración'!$B$12,0)+S818+T818+U818)</f>
        <v>12</v>
      </c>
      <c r="W818" s="39" t="str">
        <f>IF(B818="","",IF(V818&gt;='Configuración'!$B$19,"A",IF(V818&gt;='Configuración'!$B$20,"B",IF(V818&gt;='Configuración'!$B$21,"C","Descarte"))))</f>
        <v>Descarte</v>
      </c>
    </row>
    <row r="819" ht="15.75" customHeight="1">
      <c r="A819" s="34">
        <f t="shared" si="1"/>
        <v>817</v>
      </c>
      <c r="B819" s="29" t="s">
        <v>610</v>
      </c>
      <c r="C819" s="29" t="s">
        <v>175</v>
      </c>
      <c r="D819" s="29" t="s">
        <v>4833</v>
      </c>
      <c r="E819" s="29" t="s">
        <v>4834</v>
      </c>
      <c r="F819" s="30" t="s">
        <v>4835</v>
      </c>
      <c r="G819" s="30" t="s">
        <v>4836</v>
      </c>
      <c r="H819" s="30" t="s">
        <v>4837</v>
      </c>
      <c r="I819" s="29" t="s">
        <v>1446</v>
      </c>
      <c r="J819" s="31">
        <v>1.0</v>
      </c>
      <c r="K819" s="35"/>
      <c r="L819" s="35"/>
      <c r="M819" s="35"/>
      <c r="N819" s="35"/>
      <c r="O819" s="35"/>
      <c r="P819" s="35"/>
      <c r="Q819" s="35"/>
      <c r="R819" s="35"/>
      <c r="S819" s="37">
        <f>IF(B819="","",IF(ISNUMBER(J819),IF(J819&lt;=10,'Configuración'!$B$23,IF(J819&lt;=50,'Configuración'!$B$24,IF(J819&lt;=200,'Configuración'!$B$25,0))),0))</f>
        <v>12</v>
      </c>
      <c r="T819" s="37">
        <f>IF(B819="","",IF(ISNUMBER(SEARCH("information technology",I819))+ISNUMBER(SEARCH("software",I819))+ISNUMBER(SEARCH("internet",I819))+ISNUMBER(SEARCH("computer",I819))+ISNUMBER(SEARCH("saas",I819))+ISNUMBER(SEARCH("fintech",I819))+ISNUMBER(SEARCH("information services",I819))+ISNUMBER(SEARCH("telecommunications",I819))&gt;0,'Configuración'!$B$27,'Configuración'!$B$28))</f>
        <v>4</v>
      </c>
      <c r="U819" s="25">
        <f>IF(B819="","",IF(ISNUMBER(SEARCH("CEO",C819))+ISNUMBER(SEARCH("Founder",C819))+ISNUMBER(SEARCH("Owner",C819))+ISNUMBER(SEARCH("Dueño",C819))+ISNUMBER(SEARCH("Director General",C819))+ISNUMBER(SEARCH("Presidente",C819))+ISNUMBER(SEARCH("President",C819))&gt;0,'Configuración'!$B$31,IF(ISNUMBER(SEARCH("CMO",C819))+ISNUMBER(SEARCH("Chief Marketing",C819))+ISNUMBER(SEARCH("VP Marketing",C819))+ISNUMBER(SEARCH("Director de Marketing",C819))+ISNUMBER(SEARCH("Director Marketing",C819))+ISNUMBER(SEARCH("Head of Marketing",C819))+ISNUMBER(SEARCH("Head Marketing",C819))&gt;0,'Configuración'!$B$32,IF(ISNUMBER(SEARCH("Marketing Manager",C819))+ISNUMBER(SEARCH("Gerente de Marketing",C819))+ISNUMBER(SEARCH("Growth Manager",C819))+ISNUMBER(SEARCH("Demand Gen",C819))+ISNUMBER(SEARCH("Marketing Lead",C819))&gt;0,'Configuración'!$B$33,IF(ISNUMBER(SEARCH("COO",C819))+ISNUMBER(SEARCH("CFO",C819))+ISNUMBER(SEARCH("CTO",C819))+ISNUMBER(SEARCH("Chief Operating",C819))+ISNUMBER(SEARCH("Chief Financial",C819))+ISNUMBER(SEARCH("Gerente General",C819))+ISNUMBER(SEARCH("General Manager",C819))&gt;0,'Configuración'!$B$34,'Configuración'!$B$35)))))</f>
        <v>12</v>
      </c>
      <c r="V819" s="38">
        <f>IF(B819="","",IF(K819="Sí",'Configuración'!$B$5,0)+IF(L819="Semanal",'Configuración'!$B$6,IF(L819="Mensual",'Configuración'!$B$7,0))+IF(M819="Sí",'Configuración'!$B$8,0)+IF(N819="Sí",'Configuración'!$B$9,0)+IF(O819="Sí",'Configuración'!$B$10,0)+IF(P819="Sí",'Configuración'!$B$11,0)+IF(Q819="Sí",'Configuración'!$B$12,0)+S819+T819+U819)</f>
        <v>28</v>
      </c>
      <c r="W819" s="39" t="str">
        <f>IF(B819="","",IF(V819&gt;='Configuración'!$B$19,"A",IF(V819&gt;='Configuración'!$B$20,"B",IF(V819&gt;='Configuración'!$B$21,"C","Descarte"))))</f>
        <v>C</v>
      </c>
    </row>
    <row r="820" ht="15.75" customHeight="1">
      <c r="A820" s="34">
        <f t="shared" si="1"/>
        <v>818</v>
      </c>
      <c r="B820" s="29" t="s">
        <v>3885</v>
      </c>
      <c r="C820" s="29" t="s">
        <v>4838</v>
      </c>
      <c r="D820" s="29" t="s">
        <v>3058</v>
      </c>
      <c r="E820" s="29" t="s">
        <v>4839</v>
      </c>
      <c r="F820" s="30" t="s">
        <v>4840</v>
      </c>
      <c r="G820" s="30" t="s">
        <v>3061</v>
      </c>
      <c r="H820" s="30" t="s">
        <v>3062</v>
      </c>
      <c r="I820" s="29" t="s">
        <v>280</v>
      </c>
      <c r="J820" s="31">
        <v>30.0</v>
      </c>
      <c r="K820" s="35"/>
      <c r="L820" s="35"/>
      <c r="M820" s="35"/>
      <c r="N820" s="35"/>
      <c r="O820" s="35"/>
      <c r="P820" s="35"/>
      <c r="Q820" s="35"/>
      <c r="R820" s="35"/>
      <c r="S820" s="37">
        <f>IF(B820="","",IF(ISNUMBER(J820),IF(J820&lt;=10,'Configuración'!$B$23,IF(J820&lt;=50,'Configuración'!$B$24,IF(J820&lt;=200,'Configuración'!$B$25,0))),0))</f>
        <v>4</v>
      </c>
      <c r="T820" s="37">
        <f>IF(B820="","",IF(ISNUMBER(SEARCH("information technology",I820))+ISNUMBER(SEARCH("software",I820))+ISNUMBER(SEARCH("internet",I820))+ISNUMBER(SEARCH("computer",I820))+ISNUMBER(SEARCH("saas",I820))+ISNUMBER(SEARCH("fintech",I820))+ISNUMBER(SEARCH("information services",I820))+ISNUMBER(SEARCH("telecommunications",I820))&gt;0,'Configuración'!$B$27,'Configuración'!$B$28))</f>
        <v>12</v>
      </c>
      <c r="U820" s="25">
        <f>IF(B820="","",IF(ISNUMBER(SEARCH("CEO",C820))+ISNUMBER(SEARCH("Founder",C820))+ISNUMBER(SEARCH("Owner",C820))+ISNUMBER(SEARCH("Dueño",C820))+ISNUMBER(SEARCH("Director General",C820))+ISNUMBER(SEARCH("Presidente",C820))+ISNUMBER(SEARCH("President",C820))&gt;0,'Configuración'!$B$31,IF(ISNUMBER(SEARCH("CMO",C820))+ISNUMBER(SEARCH("Chief Marketing",C820))+ISNUMBER(SEARCH("VP Marketing",C820))+ISNUMBER(SEARCH("Director de Marketing",C820))+ISNUMBER(SEARCH("Director Marketing",C820))+ISNUMBER(SEARCH("Head of Marketing",C820))+ISNUMBER(SEARCH("Head Marketing",C820))&gt;0,'Configuración'!$B$32,IF(ISNUMBER(SEARCH("Marketing Manager",C820))+ISNUMBER(SEARCH("Gerente de Marketing",C820))+ISNUMBER(SEARCH("Growth Manager",C820))+ISNUMBER(SEARCH("Demand Gen",C820))+ISNUMBER(SEARCH("Marketing Lead",C820))&gt;0,'Configuración'!$B$33,IF(ISNUMBER(SEARCH("COO",C820))+ISNUMBER(SEARCH("CFO",C820))+ISNUMBER(SEARCH("CTO",C820))+ISNUMBER(SEARCH("Chief Operating",C820))+ISNUMBER(SEARCH("Chief Financial",C820))+ISNUMBER(SEARCH("Gerente General",C820))+ISNUMBER(SEARCH("General Manager",C820))&gt;0,'Configuración'!$B$34,'Configuración'!$B$35)))))</f>
        <v>12</v>
      </c>
      <c r="V820" s="38">
        <f>IF(B820="","",IF(K820="Sí",'Configuración'!$B$5,0)+IF(L820="Semanal",'Configuración'!$B$6,IF(L820="Mensual",'Configuración'!$B$7,0))+IF(M820="Sí",'Configuración'!$B$8,0)+IF(N820="Sí",'Configuración'!$B$9,0)+IF(O820="Sí",'Configuración'!$B$10,0)+IF(P820="Sí",'Configuración'!$B$11,0)+IF(Q820="Sí",'Configuración'!$B$12,0)+S820+T820+U820)</f>
        <v>28</v>
      </c>
      <c r="W820" s="39" t="str">
        <f>IF(B820="","",IF(V820&gt;='Configuración'!$B$19,"A",IF(V820&gt;='Configuración'!$B$20,"B",IF(V820&gt;='Configuración'!$B$21,"C","Descarte"))))</f>
        <v>C</v>
      </c>
    </row>
    <row r="821" ht="15.75" customHeight="1">
      <c r="A821" s="34">
        <f t="shared" si="1"/>
        <v>819</v>
      </c>
      <c r="B821" s="29" t="s">
        <v>120</v>
      </c>
      <c r="C821" s="29" t="s">
        <v>4841</v>
      </c>
      <c r="D821" s="29" t="s">
        <v>4842</v>
      </c>
      <c r="E821" s="29" t="s">
        <v>4843</v>
      </c>
      <c r="F821" s="30" t="s">
        <v>4844</v>
      </c>
      <c r="G821" s="30" t="s">
        <v>4845</v>
      </c>
      <c r="H821" s="30" t="s">
        <v>4846</v>
      </c>
      <c r="I821" s="29" t="s">
        <v>127</v>
      </c>
      <c r="J821" s="31">
        <v>10.0</v>
      </c>
      <c r="K821" s="35"/>
      <c r="L821" s="35"/>
      <c r="M821" s="35"/>
      <c r="N821" s="35"/>
      <c r="O821" s="35"/>
      <c r="P821" s="35"/>
      <c r="Q821" s="35"/>
      <c r="R821" s="35"/>
      <c r="S821" s="37">
        <f>IF(B821="","",IF(ISNUMBER(J821),IF(J821&lt;=10,'Configuración'!$B$23,IF(J821&lt;=50,'Configuración'!$B$24,IF(J821&lt;=200,'Configuración'!$B$25,0))),0))</f>
        <v>12</v>
      </c>
      <c r="T821" s="37">
        <f>IF(B821="","",IF(ISNUMBER(SEARCH("information technology",I821))+ISNUMBER(SEARCH("software",I821))+ISNUMBER(SEARCH("internet",I821))+ISNUMBER(SEARCH("computer",I821))+ISNUMBER(SEARCH("saas",I821))+ISNUMBER(SEARCH("fintech",I821))+ISNUMBER(SEARCH("information services",I821))+ISNUMBER(SEARCH("telecommunications",I821))&gt;0,'Configuración'!$B$27,'Configuración'!$B$28))</f>
        <v>12</v>
      </c>
      <c r="U821" s="25">
        <f>IF(B821="","",IF(ISNUMBER(SEARCH("CEO",C821))+ISNUMBER(SEARCH("Founder",C821))+ISNUMBER(SEARCH("Owner",C821))+ISNUMBER(SEARCH("Dueño",C821))+ISNUMBER(SEARCH("Director General",C821))+ISNUMBER(SEARCH("Presidente",C821))+ISNUMBER(SEARCH("President",C821))&gt;0,'Configuración'!$B$31,IF(ISNUMBER(SEARCH("CMO",C821))+ISNUMBER(SEARCH("Chief Marketing",C821))+ISNUMBER(SEARCH("VP Marketing",C821))+ISNUMBER(SEARCH("Director de Marketing",C821))+ISNUMBER(SEARCH("Director Marketing",C821))+ISNUMBER(SEARCH("Head of Marketing",C821))+ISNUMBER(SEARCH("Head Marketing",C821))&gt;0,'Configuración'!$B$32,IF(ISNUMBER(SEARCH("Marketing Manager",C821))+ISNUMBER(SEARCH("Gerente de Marketing",C821))+ISNUMBER(SEARCH("Growth Manager",C821))+ISNUMBER(SEARCH("Demand Gen",C821))+ISNUMBER(SEARCH("Marketing Lead",C821))&gt;0,'Configuración'!$B$33,IF(ISNUMBER(SEARCH("COO",C821))+ISNUMBER(SEARCH("CFO",C821))+ISNUMBER(SEARCH("CTO",C821))+ISNUMBER(SEARCH("Chief Operating",C821))+ISNUMBER(SEARCH("Chief Financial",C821))+ISNUMBER(SEARCH("Gerente General",C821))+ISNUMBER(SEARCH("General Manager",C821))&gt;0,'Configuración'!$B$34,'Configuración'!$B$35)))))</f>
        <v>12</v>
      </c>
      <c r="V821" s="38">
        <f>IF(B821="","",IF(K821="Sí",'Configuración'!$B$5,0)+IF(L821="Semanal",'Configuración'!$B$6,IF(L821="Mensual",'Configuración'!$B$7,0))+IF(M821="Sí",'Configuración'!$B$8,0)+IF(N821="Sí",'Configuración'!$B$9,0)+IF(O821="Sí",'Configuración'!$B$10,0)+IF(P821="Sí",'Configuración'!$B$11,0)+IF(Q821="Sí",'Configuración'!$B$12,0)+S821+T821+U821)</f>
        <v>36</v>
      </c>
      <c r="W821" s="39" t="str">
        <f>IF(B821="","",IF(V821&gt;='Configuración'!$B$19,"A",IF(V821&gt;='Configuración'!$B$20,"B",IF(V821&gt;='Configuración'!$B$21,"C","Descarte"))))</f>
        <v>C</v>
      </c>
    </row>
    <row r="822" ht="15.75" customHeight="1">
      <c r="A822" s="34">
        <f t="shared" si="1"/>
        <v>820</v>
      </c>
      <c r="B822" s="29" t="s">
        <v>4525</v>
      </c>
      <c r="C822" s="29" t="s">
        <v>1265</v>
      </c>
      <c r="D822" s="29" t="s">
        <v>4847</v>
      </c>
      <c r="E822" s="29" t="s">
        <v>4848</v>
      </c>
      <c r="F822" s="30" t="s">
        <v>4849</v>
      </c>
      <c r="G822" s="30" t="s">
        <v>4850</v>
      </c>
      <c r="H822" s="30" t="s">
        <v>4851</v>
      </c>
      <c r="I822" s="29" t="s">
        <v>932</v>
      </c>
      <c r="J822" s="31">
        <v>3.0</v>
      </c>
      <c r="K822" s="35"/>
      <c r="L822" s="35"/>
      <c r="M822" s="35"/>
      <c r="N822" s="35"/>
      <c r="O822" s="35"/>
      <c r="P822" s="35"/>
      <c r="Q822" s="35"/>
      <c r="R822" s="35"/>
      <c r="S822" s="37">
        <f>IF(B822="","",IF(ISNUMBER(J822),IF(J822&lt;=10,'Configuración'!$B$23,IF(J822&lt;=50,'Configuración'!$B$24,IF(J822&lt;=200,'Configuración'!$B$25,0))),0))</f>
        <v>12</v>
      </c>
      <c r="T822" s="37">
        <f>IF(B822="","",IF(ISNUMBER(SEARCH("information technology",I822))+ISNUMBER(SEARCH("software",I822))+ISNUMBER(SEARCH("internet",I822))+ISNUMBER(SEARCH("computer",I822))+ISNUMBER(SEARCH("saas",I822))+ISNUMBER(SEARCH("fintech",I822))+ISNUMBER(SEARCH("information services",I822))+ISNUMBER(SEARCH("telecommunications",I822))&gt;0,'Configuración'!$B$27,'Configuración'!$B$28))</f>
        <v>4</v>
      </c>
      <c r="U822" s="25">
        <f>IF(B822="","",IF(ISNUMBER(SEARCH("CEO",C822))+ISNUMBER(SEARCH("Founder",C822))+ISNUMBER(SEARCH("Owner",C822))+ISNUMBER(SEARCH("Dueño",C822))+ISNUMBER(SEARCH("Director General",C822))+ISNUMBER(SEARCH("Presidente",C822))+ISNUMBER(SEARCH("President",C822))&gt;0,'Configuración'!$B$31,IF(ISNUMBER(SEARCH("CMO",C822))+ISNUMBER(SEARCH("Chief Marketing",C822))+ISNUMBER(SEARCH("VP Marketing",C822))+ISNUMBER(SEARCH("Director de Marketing",C822))+ISNUMBER(SEARCH("Director Marketing",C822))+ISNUMBER(SEARCH("Head of Marketing",C822))+ISNUMBER(SEARCH("Head Marketing",C822))&gt;0,'Configuración'!$B$32,IF(ISNUMBER(SEARCH("Marketing Manager",C822))+ISNUMBER(SEARCH("Gerente de Marketing",C822))+ISNUMBER(SEARCH("Growth Manager",C822))+ISNUMBER(SEARCH("Demand Gen",C822))+ISNUMBER(SEARCH("Marketing Lead",C822))&gt;0,'Configuración'!$B$33,IF(ISNUMBER(SEARCH("COO",C822))+ISNUMBER(SEARCH("CFO",C822))+ISNUMBER(SEARCH("CTO",C822))+ISNUMBER(SEARCH("Chief Operating",C822))+ISNUMBER(SEARCH("Chief Financial",C822))+ISNUMBER(SEARCH("Gerente General",C822))+ISNUMBER(SEARCH("General Manager",C822))&gt;0,'Configuración'!$B$34,'Configuración'!$B$35)))))</f>
        <v>4</v>
      </c>
      <c r="V822" s="38">
        <f>IF(B822="","",IF(K822="Sí",'Configuración'!$B$5,0)+IF(L822="Semanal",'Configuración'!$B$6,IF(L822="Mensual",'Configuración'!$B$7,0))+IF(M822="Sí",'Configuración'!$B$8,0)+IF(N822="Sí",'Configuración'!$B$9,0)+IF(O822="Sí",'Configuración'!$B$10,0)+IF(P822="Sí",'Configuración'!$B$11,0)+IF(Q822="Sí",'Configuración'!$B$12,0)+S822+T822+U822)</f>
        <v>20</v>
      </c>
      <c r="W822" s="39" t="str">
        <f>IF(B822="","",IF(V822&gt;='Configuración'!$B$19,"A",IF(V822&gt;='Configuración'!$B$20,"B",IF(V822&gt;='Configuración'!$B$21,"C","Descarte"))))</f>
        <v>Descarte</v>
      </c>
    </row>
    <row r="823" ht="15.75" customHeight="1">
      <c r="A823" s="34">
        <f t="shared" si="1"/>
        <v>821</v>
      </c>
      <c r="B823" s="29" t="s">
        <v>1528</v>
      </c>
      <c r="C823" s="29" t="s">
        <v>224</v>
      </c>
      <c r="D823" s="29" t="s">
        <v>4852</v>
      </c>
      <c r="E823" s="29" t="s">
        <v>4853</v>
      </c>
      <c r="F823" s="30" t="s">
        <v>4854</v>
      </c>
      <c r="G823" s="30" t="s">
        <v>4855</v>
      </c>
      <c r="H823" s="30" t="s">
        <v>4856</v>
      </c>
      <c r="I823" s="29" t="s">
        <v>127</v>
      </c>
      <c r="J823" s="31">
        <v>8.0</v>
      </c>
      <c r="K823" s="35"/>
      <c r="L823" s="35"/>
      <c r="M823" s="35"/>
      <c r="N823" s="35"/>
      <c r="O823" s="35"/>
      <c r="P823" s="35"/>
      <c r="Q823" s="35"/>
      <c r="R823" s="35"/>
      <c r="S823" s="37">
        <f>IF(B823="","",IF(ISNUMBER(J823),IF(J823&lt;=10,'Configuración'!$B$23,IF(J823&lt;=50,'Configuración'!$B$24,IF(J823&lt;=200,'Configuración'!$B$25,0))),0))</f>
        <v>12</v>
      </c>
      <c r="T823" s="37">
        <f>IF(B823="","",IF(ISNUMBER(SEARCH("information technology",I823))+ISNUMBER(SEARCH("software",I823))+ISNUMBER(SEARCH("internet",I823))+ISNUMBER(SEARCH("computer",I823))+ISNUMBER(SEARCH("saas",I823))+ISNUMBER(SEARCH("fintech",I823))+ISNUMBER(SEARCH("information services",I823))+ISNUMBER(SEARCH("telecommunications",I823))&gt;0,'Configuración'!$B$27,'Configuración'!$B$28))</f>
        <v>12</v>
      </c>
      <c r="U823" s="25">
        <f>IF(B823="","",IF(ISNUMBER(SEARCH("CEO",C823))+ISNUMBER(SEARCH("Founder",C823))+ISNUMBER(SEARCH("Owner",C823))+ISNUMBER(SEARCH("Dueño",C823))+ISNUMBER(SEARCH("Director General",C823))+ISNUMBER(SEARCH("Presidente",C823))+ISNUMBER(SEARCH("President",C823))&gt;0,'Configuración'!$B$31,IF(ISNUMBER(SEARCH("CMO",C823))+ISNUMBER(SEARCH("Chief Marketing",C823))+ISNUMBER(SEARCH("VP Marketing",C823))+ISNUMBER(SEARCH("Director de Marketing",C823))+ISNUMBER(SEARCH("Director Marketing",C823))+ISNUMBER(SEARCH("Head of Marketing",C823))+ISNUMBER(SEARCH("Head Marketing",C823))&gt;0,'Configuración'!$B$32,IF(ISNUMBER(SEARCH("Marketing Manager",C823))+ISNUMBER(SEARCH("Gerente de Marketing",C823))+ISNUMBER(SEARCH("Growth Manager",C823))+ISNUMBER(SEARCH("Demand Gen",C823))+ISNUMBER(SEARCH("Marketing Lead",C823))&gt;0,'Configuración'!$B$33,IF(ISNUMBER(SEARCH("COO",C823))+ISNUMBER(SEARCH("CFO",C823))+ISNUMBER(SEARCH("CTO",C823))+ISNUMBER(SEARCH("Chief Operating",C823))+ISNUMBER(SEARCH("Chief Financial",C823))+ISNUMBER(SEARCH("Gerente General",C823))+ISNUMBER(SEARCH("General Manager",C823))&gt;0,'Configuración'!$B$34,'Configuración'!$B$35)))))</f>
        <v>12</v>
      </c>
      <c r="V823" s="38">
        <f>IF(B823="","",IF(K823="Sí",'Configuración'!$B$5,0)+IF(L823="Semanal",'Configuración'!$B$6,IF(L823="Mensual",'Configuración'!$B$7,0))+IF(M823="Sí",'Configuración'!$B$8,0)+IF(N823="Sí",'Configuración'!$B$9,0)+IF(O823="Sí",'Configuración'!$B$10,0)+IF(P823="Sí",'Configuración'!$B$11,0)+IF(Q823="Sí",'Configuración'!$B$12,0)+S823+T823+U823)</f>
        <v>36</v>
      </c>
      <c r="W823" s="39" t="str">
        <f>IF(B823="","",IF(V823&gt;='Configuración'!$B$19,"A",IF(V823&gt;='Configuración'!$B$20,"B",IF(V823&gt;='Configuración'!$B$21,"C","Descarte"))))</f>
        <v>C</v>
      </c>
    </row>
    <row r="824" ht="15.75" customHeight="1">
      <c r="A824" s="34">
        <f t="shared" si="1"/>
        <v>822</v>
      </c>
      <c r="B824" s="29" t="s">
        <v>610</v>
      </c>
      <c r="C824" s="29" t="s">
        <v>121</v>
      </c>
      <c r="D824" s="29" t="s">
        <v>4857</v>
      </c>
      <c r="E824" s="29" t="s">
        <v>4858</v>
      </c>
      <c r="F824" s="30" t="s">
        <v>4859</v>
      </c>
      <c r="G824" s="30" t="s">
        <v>4860</v>
      </c>
      <c r="H824" s="30" t="s">
        <v>4861</v>
      </c>
      <c r="I824" s="29" t="s">
        <v>127</v>
      </c>
      <c r="J824" s="31">
        <v>18.0</v>
      </c>
      <c r="K824" s="35"/>
      <c r="L824" s="35"/>
      <c r="M824" s="35"/>
      <c r="N824" s="35"/>
      <c r="O824" s="35"/>
      <c r="P824" s="35"/>
      <c r="Q824" s="35"/>
      <c r="R824" s="35"/>
      <c r="S824" s="37">
        <f>IF(B824="","",IF(ISNUMBER(J824),IF(J824&lt;=10,'Configuración'!$B$23,IF(J824&lt;=50,'Configuración'!$B$24,IF(J824&lt;=200,'Configuración'!$B$25,0))),0))</f>
        <v>4</v>
      </c>
      <c r="T824" s="37">
        <f>IF(B824="","",IF(ISNUMBER(SEARCH("information technology",I824))+ISNUMBER(SEARCH("software",I824))+ISNUMBER(SEARCH("internet",I824))+ISNUMBER(SEARCH("computer",I824))+ISNUMBER(SEARCH("saas",I824))+ISNUMBER(SEARCH("fintech",I824))+ISNUMBER(SEARCH("information services",I824))+ISNUMBER(SEARCH("telecommunications",I824))&gt;0,'Configuración'!$B$27,'Configuración'!$B$28))</f>
        <v>12</v>
      </c>
      <c r="U824" s="25">
        <f>IF(B824="","",IF(ISNUMBER(SEARCH("CEO",C824))+ISNUMBER(SEARCH("Founder",C824))+ISNUMBER(SEARCH("Owner",C824))+ISNUMBER(SEARCH("Dueño",C824))+ISNUMBER(SEARCH("Director General",C824))+ISNUMBER(SEARCH("Presidente",C824))+ISNUMBER(SEARCH("President",C824))&gt;0,'Configuración'!$B$31,IF(ISNUMBER(SEARCH("CMO",C824))+ISNUMBER(SEARCH("Chief Marketing",C824))+ISNUMBER(SEARCH("VP Marketing",C824))+ISNUMBER(SEARCH("Director de Marketing",C824))+ISNUMBER(SEARCH("Director Marketing",C824))+ISNUMBER(SEARCH("Head of Marketing",C824))+ISNUMBER(SEARCH("Head Marketing",C824))&gt;0,'Configuración'!$B$32,IF(ISNUMBER(SEARCH("Marketing Manager",C824))+ISNUMBER(SEARCH("Gerente de Marketing",C824))+ISNUMBER(SEARCH("Growth Manager",C824))+ISNUMBER(SEARCH("Demand Gen",C824))+ISNUMBER(SEARCH("Marketing Lead",C824))&gt;0,'Configuración'!$B$33,IF(ISNUMBER(SEARCH("COO",C824))+ISNUMBER(SEARCH("CFO",C824))+ISNUMBER(SEARCH("CTO",C824))+ISNUMBER(SEARCH("Chief Operating",C824))+ISNUMBER(SEARCH("Chief Financial",C824))+ISNUMBER(SEARCH("Gerente General",C824))+ISNUMBER(SEARCH("General Manager",C824))&gt;0,'Configuración'!$B$34,'Configuración'!$B$35)))))</f>
        <v>12</v>
      </c>
      <c r="V824" s="38">
        <f>IF(B824="","",IF(K824="Sí",'Configuración'!$B$5,0)+IF(L824="Semanal",'Configuración'!$B$6,IF(L824="Mensual",'Configuración'!$B$7,0))+IF(M824="Sí",'Configuración'!$B$8,0)+IF(N824="Sí",'Configuración'!$B$9,0)+IF(O824="Sí",'Configuración'!$B$10,0)+IF(P824="Sí",'Configuración'!$B$11,0)+IF(Q824="Sí",'Configuración'!$B$12,0)+S824+T824+U824)</f>
        <v>28</v>
      </c>
      <c r="W824" s="39" t="str">
        <f>IF(B824="","",IF(V824&gt;='Configuración'!$B$19,"A",IF(V824&gt;='Configuración'!$B$20,"B",IF(V824&gt;='Configuración'!$B$21,"C","Descarte"))))</f>
        <v>C</v>
      </c>
    </row>
    <row r="825" ht="15.75" customHeight="1">
      <c r="A825" s="34">
        <f t="shared" si="1"/>
        <v>823</v>
      </c>
      <c r="B825" s="29" t="s">
        <v>109</v>
      </c>
      <c r="C825" s="29" t="s">
        <v>4862</v>
      </c>
      <c r="D825" s="29" t="s">
        <v>4863</v>
      </c>
      <c r="E825" s="29" t="s">
        <v>4864</v>
      </c>
      <c r="F825" s="30" t="s">
        <v>4865</v>
      </c>
      <c r="G825" s="30" t="s">
        <v>4866</v>
      </c>
      <c r="H825" s="30" t="s">
        <v>4867</v>
      </c>
      <c r="I825" s="29" t="s">
        <v>172</v>
      </c>
      <c r="J825" s="31">
        <v>7.0</v>
      </c>
      <c r="K825" s="35"/>
      <c r="L825" s="35"/>
      <c r="M825" s="35"/>
      <c r="N825" s="35"/>
      <c r="O825" s="35"/>
      <c r="P825" s="35"/>
      <c r="Q825" s="35"/>
      <c r="R825" s="35"/>
      <c r="S825" s="37">
        <f>IF(B825="","",IF(ISNUMBER(J825),IF(J825&lt;=10,'Configuración'!$B$23,IF(J825&lt;=50,'Configuración'!$B$24,IF(J825&lt;=200,'Configuración'!$B$25,0))),0))</f>
        <v>12</v>
      </c>
      <c r="T825" s="37">
        <f>IF(B825="","",IF(ISNUMBER(SEARCH("information technology",I825))+ISNUMBER(SEARCH("software",I825))+ISNUMBER(SEARCH("internet",I825))+ISNUMBER(SEARCH("computer",I825))+ISNUMBER(SEARCH("saas",I825))+ISNUMBER(SEARCH("fintech",I825))+ISNUMBER(SEARCH("information services",I825))+ISNUMBER(SEARCH("telecommunications",I825))&gt;0,'Configuración'!$B$27,'Configuración'!$B$28))</f>
        <v>4</v>
      </c>
      <c r="U825" s="25">
        <f>IF(B825="","",IF(ISNUMBER(SEARCH("CEO",C825))+ISNUMBER(SEARCH("Founder",C825))+ISNUMBER(SEARCH("Owner",C825))+ISNUMBER(SEARCH("Dueño",C825))+ISNUMBER(SEARCH("Director General",C825))+ISNUMBER(SEARCH("Presidente",C825))+ISNUMBER(SEARCH("President",C825))&gt;0,'Configuración'!$B$31,IF(ISNUMBER(SEARCH("CMO",C825))+ISNUMBER(SEARCH("Chief Marketing",C825))+ISNUMBER(SEARCH("VP Marketing",C825))+ISNUMBER(SEARCH("Director de Marketing",C825))+ISNUMBER(SEARCH("Director Marketing",C825))+ISNUMBER(SEARCH("Head of Marketing",C825))+ISNUMBER(SEARCH("Head Marketing",C825))&gt;0,'Configuración'!$B$32,IF(ISNUMBER(SEARCH("Marketing Manager",C825))+ISNUMBER(SEARCH("Gerente de Marketing",C825))+ISNUMBER(SEARCH("Growth Manager",C825))+ISNUMBER(SEARCH("Demand Gen",C825))+ISNUMBER(SEARCH("Marketing Lead",C825))&gt;0,'Configuración'!$B$33,IF(ISNUMBER(SEARCH("COO",C825))+ISNUMBER(SEARCH("CFO",C825))+ISNUMBER(SEARCH("CTO",C825))+ISNUMBER(SEARCH("Chief Operating",C825))+ISNUMBER(SEARCH("Chief Financial",C825))+ISNUMBER(SEARCH("Gerente General",C825))+ISNUMBER(SEARCH("General Manager",C825))&gt;0,'Configuración'!$B$34,'Configuración'!$B$35)))))</f>
        <v>12</v>
      </c>
      <c r="V825" s="38">
        <f>IF(B825="","",IF(K825="Sí",'Configuración'!$B$5,0)+IF(L825="Semanal",'Configuración'!$B$6,IF(L825="Mensual",'Configuración'!$B$7,0))+IF(M825="Sí",'Configuración'!$B$8,0)+IF(N825="Sí",'Configuración'!$B$9,0)+IF(O825="Sí",'Configuración'!$B$10,0)+IF(P825="Sí",'Configuración'!$B$11,0)+IF(Q825="Sí",'Configuración'!$B$12,0)+S825+T825+U825)</f>
        <v>28</v>
      </c>
      <c r="W825" s="39" t="str">
        <f>IF(B825="","",IF(V825&gt;='Configuración'!$B$19,"A",IF(V825&gt;='Configuración'!$B$20,"B",IF(V825&gt;='Configuración'!$B$21,"C","Descarte"))))</f>
        <v>C</v>
      </c>
    </row>
    <row r="826" ht="15.75" customHeight="1">
      <c r="A826" s="34">
        <f t="shared" si="1"/>
        <v>824</v>
      </c>
      <c r="B826" s="29" t="s">
        <v>473</v>
      </c>
      <c r="C826" s="29" t="s">
        <v>175</v>
      </c>
      <c r="D826" s="29" t="s">
        <v>4868</v>
      </c>
      <c r="E826" s="29"/>
      <c r="F826" s="30" t="s">
        <v>4869</v>
      </c>
      <c r="G826" s="30" t="s">
        <v>4870</v>
      </c>
      <c r="H826" s="30" t="s">
        <v>4871</v>
      </c>
      <c r="I826" s="29" t="s">
        <v>659</v>
      </c>
      <c r="J826" s="31">
        <v>1.0</v>
      </c>
      <c r="K826" s="35"/>
      <c r="L826" s="35"/>
      <c r="M826" s="35"/>
      <c r="N826" s="35"/>
      <c r="O826" s="35"/>
      <c r="P826" s="35"/>
      <c r="Q826" s="35"/>
      <c r="R826" s="35"/>
      <c r="S826" s="37">
        <f>IF(B826="","",IF(ISNUMBER(J826),IF(J826&lt;=10,'Configuración'!$B$23,IF(J826&lt;=50,'Configuración'!$B$24,IF(J826&lt;=200,'Configuración'!$B$25,0))),0))</f>
        <v>12</v>
      </c>
      <c r="T826" s="37">
        <f>IF(B826="","",IF(ISNUMBER(SEARCH("information technology",I826))+ISNUMBER(SEARCH("software",I826))+ISNUMBER(SEARCH("internet",I826))+ISNUMBER(SEARCH("computer",I826))+ISNUMBER(SEARCH("saas",I826))+ISNUMBER(SEARCH("fintech",I826))+ISNUMBER(SEARCH("information services",I826))+ISNUMBER(SEARCH("telecommunications",I826))&gt;0,'Configuración'!$B$27,'Configuración'!$B$28))</f>
        <v>4</v>
      </c>
      <c r="U826" s="25">
        <f>IF(B826="","",IF(ISNUMBER(SEARCH("CEO",C826))+ISNUMBER(SEARCH("Founder",C826))+ISNUMBER(SEARCH("Owner",C826))+ISNUMBER(SEARCH("Dueño",C826))+ISNUMBER(SEARCH("Director General",C826))+ISNUMBER(SEARCH("Presidente",C826))+ISNUMBER(SEARCH("President",C826))&gt;0,'Configuración'!$B$31,IF(ISNUMBER(SEARCH("CMO",C826))+ISNUMBER(SEARCH("Chief Marketing",C826))+ISNUMBER(SEARCH("VP Marketing",C826))+ISNUMBER(SEARCH("Director de Marketing",C826))+ISNUMBER(SEARCH("Director Marketing",C826))+ISNUMBER(SEARCH("Head of Marketing",C826))+ISNUMBER(SEARCH("Head Marketing",C826))&gt;0,'Configuración'!$B$32,IF(ISNUMBER(SEARCH("Marketing Manager",C826))+ISNUMBER(SEARCH("Gerente de Marketing",C826))+ISNUMBER(SEARCH("Growth Manager",C826))+ISNUMBER(SEARCH("Demand Gen",C826))+ISNUMBER(SEARCH("Marketing Lead",C826))&gt;0,'Configuración'!$B$33,IF(ISNUMBER(SEARCH("COO",C826))+ISNUMBER(SEARCH("CFO",C826))+ISNUMBER(SEARCH("CTO",C826))+ISNUMBER(SEARCH("Chief Operating",C826))+ISNUMBER(SEARCH("Chief Financial",C826))+ISNUMBER(SEARCH("Gerente General",C826))+ISNUMBER(SEARCH("General Manager",C826))&gt;0,'Configuración'!$B$34,'Configuración'!$B$35)))))</f>
        <v>12</v>
      </c>
      <c r="V826" s="38">
        <f>IF(B826="","",IF(K826="Sí",'Configuración'!$B$5,0)+IF(L826="Semanal",'Configuración'!$B$6,IF(L826="Mensual",'Configuración'!$B$7,0))+IF(M826="Sí",'Configuración'!$B$8,0)+IF(N826="Sí",'Configuración'!$B$9,0)+IF(O826="Sí",'Configuración'!$B$10,0)+IF(P826="Sí",'Configuración'!$B$11,0)+IF(Q826="Sí",'Configuración'!$B$12,0)+S826+T826+U826)</f>
        <v>28</v>
      </c>
      <c r="W826" s="39" t="str">
        <f>IF(B826="","",IF(V826&gt;='Configuración'!$B$19,"A",IF(V826&gt;='Configuración'!$B$20,"B",IF(V826&gt;='Configuración'!$B$21,"C","Descarte"))))</f>
        <v>C</v>
      </c>
    </row>
    <row r="827" ht="15.75" customHeight="1">
      <c r="A827" s="34">
        <f t="shared" si="1"/>
        <v>825</v>
      </c>
      <c r="B827" s="29" t="s">
        <v>4872</v>
      </c>
      <c r="C827" s="29" t="s">
        <v>121</v>
      </c>
      <c r="D827" s="29" t="s">
        <v>4873</v>
      </c>
      <c r="E827" s="29" t="s">
        <v>4874</v>
      </c>
      <c r="F827" s="30" t="s">
        <v>4875</v>
      </c>
      <c r="G827" s="30" t="s">
        <v>4876</v>
      </c>
      <c r="H827" s="30" t="s">
        <v>4877</v>
      </c>
      <c r="I827" s="29" t="s">
        <v>127</v>
      </c>
      <c r="J827" s="31">
        <v>1.0</v>
      </c>
      <c r="K827" s="35"/>
      <c r="L827" s="35"/>
      <c r="M827" s="35"/>
      <c r="N827" s="35"/>
      <c r="O827" s="35"/>
      <c r="P827" s="35"/>
      <c r="Q827" s="35"/>
      <c r="R827" s="35"/>
      <c r="S827" s="37">
        <f>IF(B827="","",IF(ISNUMBER(J827),IF(J827&lt;=10,'Configuración'!$B$23,IF(J827&lt;=50,'Configuración'!$B$24,IF(J827&lt;=200,'Configuración'!$B$25,0))),0))</f>
        <v>12</v>
      </c>
      <c r="T827" s="37">
        <f>IF(B827="","",IF(ISNUMBER(SEARCH("information technology",I827))+ISNUMBER(SEARCH("software",I827))+ISNUMBER(SEARCH("internet",I827))+ISNUMBER(SEARCH("computer",I827))+ISNUMBER(SEARCH("saas",I827))+ISNUMBER(SEARCH("fintech",I827))+ISNUMBER(SEARCH("information services",I827))+ISNUMBER(SEARCH("telecommunications",I827))&gt;0,'Configuración'!$B$27,'Configuración'!$B$28))</f>
        <v>12</v>
      </c>
      <c r="U827" s="25">
        <f>IF(B827="","",IF(ISNUMBER(SEARCH("CEO",C827))+ISNUMBER(SEARCH("Founder",C827))+ISNUMBER(SEARCH("Owner",C827))+ISNUMBER(SEARCH("Dueño",C827))+ISNUMBER(SEARCH("Director General",C827))+ISNUMBER(SEARCH("Presidente",C827))+ISNUMBER(SEARCH("President",C827))&gt;0,'Configuración'!$B$31,IF(ISNUMBER(SEARCH("CMO",C827))+ISNUMBER(SEARCH("Chief Marketing",C827))+ISNUMBER(SEARCH("VP Marketing",C827))+ISNUMBER(SEARCH("Director de Marketing",C827))+ISNUMBER(SEARCH("Director Marketing",C827))+ISNUMBER(SEARCH("Head of Marketing",C827))+ISNUMBER(SEARCH("Head Marketing",C827))&gt;0,'Configuración'!$B$32,IF(ISNUMBER(SEARCH("Marketing Manager",C827))+ISNUMBER(SEARCH("Gerente de Marketing",C827))+ISNUMBER(SEARCH("Growth Manager",C827))+ISNUMBER(SEARCH("Demand Gen",C827))+ISNUMBER(SEARCH("Marketing Lead",C827))&gt;0,'Configuración'!$B$33,IF(ISNUMBER(SEARCH("COO",C827))+ISNUMBER(SEARCH("CFO",C827))+ISNUMBER(SEARCH("CTO",C827))+ISNUMBER(SEARCH("Chief Operating",C827))+ISNUMBER(SEARCH("Chief Financial",C827))+ISNUMBER(SEARCH("Gerente General",C827))+ISNUMBER(SEARCH("General Manager",C827))&gt;0,'Configuración'!$B$34,'Configuración'!$B$35)))))</f>
        <v>12</v>
      </c>
      <c r="V827" s="38">
        <f>IF(B827="","",IF(K827="Sí",'Configuración'!$B$5,0)+IF(L827="Semanal",'Configuración'!$B$6,IF(L827="Mensual",'Configuración'!$B$7,0))+IF(M827="Sí",'Configuración'!$B$8,0)+IF(N827="Sí",'Configuración'!$B$9,0)+IF(O827="Sí",'Configuración'!$B$10,0)+IF(P827="Sí",'Configuración'!$B$11,0)+IF(Q827="Sí",'Configuración'!$B$12,0)+S827+T827+U827)</f>
        <v>36</v>
      </c>
      <c r="W827" s="39" t="str">
        <f>IF(B827="","",IF(V827&gt;='Configuración'!$B$19,"A",IF(V827&gt;='Configuración'!$B$20,"B",IF(V827&gt;='Configuración'!$B$21,"C","Descarte"))))</f>
        <v>C</v>
      </c>
    </row>
    <row r="828" ht="15.75" customHeight="1">
      <c r="A828" s="34">
        <f t="shared" si="1"/>
        <v>826</v>
      </c>
      <c r="B828" s="29" t="s">
        <v>1072</v>
      </c>
      <c r="C828" s="29" t="s">
        <v>4878</v>
      </c>
      <c r="D828" s="29" t="s">
        <v>4879</v>
      </c>
      <c r="E828" s="29" t="s">
        <v>4880</v>
      </c>
      <c r="F828" s="30" t="s">
        <v>4881</v>
      </c>
      <c r="G828" s="30" t="s">
        <v>4882</v>
      </c>
      <c r="H828" s="30" t="s">
        <v>4883</v>
      </c>
      <c r="I828" s="29" t="s">
        <v>127</v>
      </c>
      <c r="J828" s="31">
        <v>25.0</v>
      </c>
      <c r="K828" s="35"/>
      <c r="L828" s="35"/>
      <c r="M828" s="35"/>
      <c r="N828" s="35"/>
      <c r="O828" s="35"/>
      <c r="P828" s="35"/>
      <c r="Q828" s="35"/>
      <c r="R828" s="35"/>
      <c r="S828" s="37">
        <f>IF(B828="","",IF(ISNUMBER(J828),IF(J828&lt;=10,'Configuración'!$B$23,IF(J828&lt;=50,'Configuración'!$B$24,IF(J828&lt;=200,'Configuración'!$B$25,0))),0))</f>
        <v>4</v>
      </c>
      <c r="T828" s="37">
        <f>IF(B828="","",IF(ISNUMBER(SEARCH("information technology",I828))+ISNUMBER(SEARCH("software",I828))+ISNUMBER(SEARCH("internet",I828))+ISNUMBER(SEARCH("computer",I828))+ISNUMBER(SEARCH("saas",I828))+ISNUMBER(SEARCH("fintech",I828))+ISNUMBER(SEARCH("information services",I828))+ISNUMBER(SEARCH("telecommunications",I828))&gt;0,'Configuración'!$B$27,'Configuración'!$B$28))</f>
        <v>12</v>
      </c>
      <c r="U828" s="25">
        <f>IF(B828="","",IF(ISNUMBER(SEARCH("CEO",C828))+ISNUMBER(SEARCH("Founder",C828))+ISNUMBER(SEARCH("Owner",C828))+ISNUMBER(SEARCH("Dueño",C828))+ISNUMBER(SEARCH("Director General",C828))+ISNUMBER(SEARCH("Presidente",C828))+ISNUMBER(SEARCH("President",C828))&gt;0,'Configuración'!$B$31,IF(ISNUMBER(SEARCH("CMO",C828))+ISNUMBER(SEARCH("Chief Marketing",C828))+ISNUMBER(SEARCH("VP Marketing",C828))+ISNUMBER(SEARCH("Director de Marketing",C828))+ISNUMBER(SEARCH("Director Marketing",C828))+ISNUMBER(SEARCH("Head of Marketing",C828))+ISNUMBER(SEARCH("Head Marketing",C828))&gt;0,'Configuración'!$B$32,IF(ISNUMBER(SEARCH("Marketing Manager",C828))+ISNUMBER(SEARCH("Gerente de Marketing",C828))+ISNUMBER(SEARCH("Growth Manager",C828))+ISNUMBER(SEARCH("Demand Gen",C828))+ISNUMBER(SEARCH("Marketing Lead",C828))&gt;0,'Configuración'!$B$33,IF(ISNUMBER(SEARCH("COO",C828))+ISNUMBER(SEARCH("CFO",C828))+ISNUMBER(SEARCH("CTO",C828))+ISNUMBER(SEARCH("Chief Operating",C828))+ISNUMBER(SEARCH("Chief Financial",C828))+ISNUMBER(SEARCH("Gerente General",C828))+ISNUMBER(SEARCH("General Manager",C828))&gt;0,'Configuración'!$B$34,'Configuración'!$B$35)))))</f>
        <v>12</v>
      </c>
      <c r="V828" s="38">
        <f>IF(B828="","",IF(K828="Sí",'Configuración'!$B$5,0)+IF(L828="Semanal",'Configuración'!$B$6,IF(L828="Mensual",'Configuración'!$B$7,0))+IF(M828="Sí",'Configuración'!$B$8,0)+IF(N828="Sí",'Configuración'!$B$9,0)+IF(O828="Sí",'Configuración'!$B$10,0)+IF(P828="Sí",'Configuración'!$B$11,0)+IF(Q828="Sí",'Configuración'!$B$12,0)+S828+T828+U828)</f>
        <v>28</v>
      </c>
      <c r="W828" s="39" t="str">
        <f>IF(B828="","",IF(V828&gt;='Configuración'!$B$19,"A",IF(V828&gt;='Configuración'!$B$20,"B",IF(V828&gt;='Configuración'!$B$21,"C","Descarte"))))</f>
        <v>C</v>
      </c>
    </row>
    <row r="829" ht="15.75" customHeight="1">
      <c r="A829" s="34">
        <f t="shared" si="1"/>
        <v>827</v>
      </c>
      <c r="B829" s="29" t="s">
        <v>4884</v>
      </c>
      <c r="C829" s="29" t="s">
        <v>131</v>
      </c>
      <c r="D829" s="29" t="s">
        <v>4885</v>
      </c>
      <c r="E829" s="29" t="s">
        <v>4886</v>
      </c>
      <c r="F829" s="30" t="s">
        <v>4887</v>
      </c>
      <c r="G829" s="30" t="s">
        <v>4888</v>
      </c>
      <c r="H829" s="30" t="s">
        <v>4889</v>
      </c>
      <c r="I829" s="29" t="s">
        <v>127</v>
      </c>
      <c r="J829" s="31">
        <v>20.0</v>
      </c>
      <c r="K829" s="35"/>
      <c r="L829" s="35"/>
      <c r="M829" s="35"/>
      <c r="N829" s="35"/>
      <c r="O829" s="35"/>
      <c r="P829" s="35"/>
      <c r="Q829" s="35"/>
      <c r="R829" s="35"/>
      <c r="S829" s="37">
        <f>IF(B829="","",IF(ISNUMBER(J829),IF(J829&lt;=10,'Configuración'!$B$23,IF(J829&lt;=50,'Configuración'!$B$24,IF(J829&lt;=200,'Configuración'!$B$25,0))),0))</f>
        <v>4</v>
      </c>
      <c r="T829" s="37">
        <f>IF(B829="","",IF(ISNUMBER(SEARCH("information technology",I829))+ISNUMBER(SEARCH("software",I829))+ISNUMBER(SEARCH("internet",I829))+ISNUMBER(SEARCH("computer",I829))+ISNUMBER(SEARCH("saas",I829))+ISNUMBER(SEARCH("fintech",I829))+ISNUMBER(SEARCH("information services",I829))+ISNUMBER(SEARCH("telecommunications",I829))&gt;0,'Configuración'!$B$27,'Configuración'!$B$28))</f>
        <v>12</v>
      </c>
      <c r="U829" s="25">
        <f>IF(B829="","",IF(ISNUMBER(SEARCH("CEO",C829))+ISNUMBER(SEARCH("Founder",C829))+ISNUMBER(SEARCH("Owner",C829))+ISNUMBER(SEARCH("Dueño",C829))+ISNUMBER(SEARCH("Director General",C829))+ISNUMBER(SEARCH("Presidente",C829))+ISNUMBER(SEARCH("President",C829))&gt;0,'Configuración'!$B$31,IF(ISNUMBER(SEARCH("CMO",C829))+ISNUMBER(SEARCH("Chief Marketing",C829))+ISNUMBER(SEARCH("VP Marketing",C829))+ISNUMBER(SEARCH("Director de Marketing",C829))+ISNUMBER(SEARCH("Director Marketing",C829))+ISNUMBER(SEARCH("Head of Marketing",C829))+ISNUMBER(SEARCH("Head Marketing",C829))&gt;0,'Configuración'!$B$32,IF(ISNUMBER(SEARCH("Marketing Manager",C829))+ISNUMBER(SEARCH("Gerente de Marketing",C829))+ISNUMBER(SEARCH("Growth Manager",C829))+ISNUMBER(SEARCH("Demand Gen",C829))+ISNUMBER(SEARCH("Marketing Lead",C829))&gt;0,'Configuración'!$B$33,IF(ISNUMBER(SEARCH("COO",C829))+ISNUMBER(SEARCH("CFO",C829))+ISNUMBER(SEARCH("CTO",C829))+ISNUMBER(SEARCH("Chief Operating",C829))+ISNUMBER(SEARCH("Chief Financial",C829))+ISNUMBER(SEARCH("Gerente General",C829))+ISNUMBER(SEARCH("General Manager",C829))&gt;0,'Configuración'!$B$34,'Configuración'!$B$35)))))</f>
        <v>12</v>
      </c>
      <c r="V829" s="38">
        <f>IF(B829="","",IF(K829="Sí",'Configuración'!$B$5,0)+IF(L829="Semanal",'Configuración'!$B$6,IF(L829="Mensual",'Configuración'!$B$7,0))+IF(M829="Sí",'Configuración'!$B$8,0)+IF(N829="Sí",'Configuración'!$B$9,0)+IF(O829="Sí",'Configuración'!$B$10,0)+IF(P829="Sí",'Configuración'!$B$11,0)+IF(Q829="Sí",'Configuración'!$B$12,0)+S829+T829+U829)</f>
        <v>28</v>
      </c>
      <c r="W829" s="39" t="str">
        <f>IF(B829="","",IF(V829&gt;='Configuración'!$B$19,"A",IF(V829&gt;='Configuración'!$B$20,"B",IF(V829&gt;='Configuración'!$B$21,"C","Descarte"))))</f>
        <v>C</v>
      </c>
    </row>
    <row r="830" ht="15.75" customHeight="1">
      <c r="A830" s="34">
        <f t="shared" si="1"/>
        <v>828</v>
      </c>
      <c r="B830" s="29" t="s">
        <v>138</v>
      </c>
      <c r="C830" s="29" t="s">
        <v>4890</v>
      </c>
      <c r="D830" s="29" t="s">
        <v>4891</v>
      </c>
      <c r="E830" s="29" t="s">
        <v>4892</v>
      </c>
      <c r="F830" s="30" t="s">
        <v>4893</v>
      </c>
      <c r="G830" s="30" t="s">
        <v>4894</v>
      </c>
      <c r="H830" s="30" t="s">
        <v>4895</v>
      </c>
      <c r="I830" s="29" t="s">
        <v>450</v>
      </c>
      <c r="J830" s="31">
        <v>22.0</v>
      </c>
      <c r="K830" s="35"/>
      <c r="L830" s="35"/>
      <c r="M830" s="35"/>
      <c r="N830" s="35"/>
      <c r="O830" s="35"/>
      <c r="P830" s="35"/>
      <c r="Q830" s="35"/>
      <c r="R830" s="35"/>
      <c r="S830" s="37">
        <f>IF(B830="","",IF(ISNUMBER(J830),IF(J830&lt;=10,'Configuración'!$B$23,IF(J830&lt;=50,'Configuración'!$B$24,IF(J830&lt;=200,'Configuración'!$B$25,0))),0))</f>
        <v>4</v>
      </c>
      <c r="T830" s="37">
        <f>IF(B830="","",IF(ISNUMBER(SEARCH("information technology",I830))+ISNUMBER(SEARCH("software",I830))+ISNUMBER(SEARCH("internet",I830))+ISNUMBER(SEARCH("computer",I830))+ISNUMBER(SEARCH("saas",I830))+ISNUMBER(SEARCH("fintech",I830))+ISNUMBER(SEARCH("information services",I830))+ISNUMBER(SEARCH("telecommunications",I830))&gt;0,'Configuración'!$B$27,'Configuración'!$B$28))</f>
        <v>12</v>
      </c>
      <c r="U830" s="25">
        <f>IF(B830="","",IF(ISNUMBER(SEARCH("CEO",C830))+ISNUMBER(SEARCH("Founder",C830))+ISNUMBER(SEARCH("Owner",C830))+ISNUMBER(SEARCH("Dueño",C830))+ISNUMBER(SEARCH("Director General",C830))+ISNUMBER(SEARCH("Presidente",C830))+ISNUMBER(SEARCH("President",C830))&gt;0,'Configuración'!$B$31,IF(ISNUMBER(SEARCH("CMO",C830))+ISNUMBER(SEARCH("Chief Marketing",C830))+ISNUMBER(SEARCH("VP Marketing",C830))+ISNUMBER(SEARCH("Director de Marketing",C830))+ISNUMBER(SEARCH("Director Marketing",C830))+ISNUMBER(SEARCH("Head of Marketing",C830))+ISNUMBER(SEARCH("Head Marketing",C830))&gt;0,'Configuración'!$B$32,IF(ISNUMBER(SEARCH("Marketing Manager",C830))+ISNUMBER(SEARCH("Gerente de Marketing",C830))+ISNUMBER(SEARCH("Growth Manager",C830))+ISNUMBER(SEARCH("Demand Gen",C830))+ISNUMBER(SEARCH("Marketing Lead",C830))&gt;0,'Configuración'!$B$33,IF(ISNUMBER(SEARCH("COO",C830))+ISNUMBER(SEARCH("CFO",C830))+ISNUMBER(SEARCH("CTO",C830))+ISNUMBER(SEARCH("Chief Operating",C830))+ISNUMBER(SEARCH("Chief Financial",C830))+ISNUMBER(SEARCH("Gerente General",C830))+ISNUMBER(SEARCH("General Manager",C830))&gt;0,'Configuración'!$B$34,'Configuración'!$B$35)))))</f>
        <v>12</v>
      </c>
      <c r="V830" s="38">
        <f>IF(B830="","",IF(K830="Sí",'Configuración'!$B$5,0)+IF(L830="Semanal",'Configuración'!$B$6,IF(L830="Mensual",'Configuración'!$B$7,0))+IF(M830="Sí",'Configuración'!$B$8,0)+IF(N830="Sí",'Configuración'!$B$9,0)+IF(O830="Sí",'Configuración'!$B$10,0)+IF(P830="Sí",'Configuración'!$B$11,0)+IF(Q830="Sí",'Configuración'!$B$12,0)+S830+T830+U830)</f>
        <v>28</v>
      </c>
      <c r="W830" s="39" t="str">
        <f>IF(B830="","",IF(V830&gt;='Configuración'!$B$19,"A",IF(V830&gt;='Configuración'!$B$20,"B",IF(V830&gt;='Configuración'!$B$21,"C","Descarte"))))</f>
        <v>C</v>
      </c>
    </row>
    <row r="831" ht="15.75" customHeight="1">
      <c r="A831" s="34">
        <f t="shared" si="1"/>
        <v>829</v>
      </c>
      <c r="B831" s="29" t="s">
        <v>556</v>
      </c>
      <c r="C831" s="29" t="s">
        <v>4896</v>
      </c>
      <c r="D831" s="29" t="s">
        <v>4897</v>
      </c>
      <c r="E831" s="29"/>
      <c r="F831" s="30" t="s">
        <v>4898</v>
      </c>
      <c r="G831" s="30" t="s">
        <v>4899</v>
      </c>
      <c r="H831" s="30" t="s">
        <v>4900</v>
      </c>
      <c r="I831" s="29" t="s">
        <v>145</v>
      </c>
      <c r="J831" s="31">
        <v>23.0</v>
      </c>
      <c r="K831" s="35"/>
      <c r="L831" s="35"/>
      <c r="M831" s="35"/>
      <c r="N831" s="35"/>
      <c r="O831" s="35"/>
      <c r="P831" s="35"/>
      <c r="Q831" s="35"/>
      <c r="R831" s="35"/>
      <c r="S831" s="37">
        <f>IF(B831="","",IF(ISNUMBER(J831),IF(J831&lt;=10,'Configuración'!$B$23,IF(J831&lt;=50,'Configuración'!$B$24,IF(J831&lt;=200,'Configuración'!$B$25,0))),0))</f>
        <v>4</v>
      </c>
      <c r="T831" s="37">
        <f>IF(B831="","",IF(ISNUMBER(SEARCH("information technology",I831))+ISNUMBER(SEARCH("software",I831))+ISNUMBER(SEARCH("internet",I831))+ISNUMBER(SEARCH("computer",I831))+ISNUMBER(SEARCH("saas",I831))+ISNUMBER(SEARCH("fintech",I831))+ISNUMBER(SEARCH("information services",I831))+ISNUMBER(SEARCH("telecommunications",I831))&gt;0,'Configuración'!$B$27,'Configuración'!$B$28))</f>
        <v>4</v>
      </c>
      <c r="U831" s="25">
        <f>IF(B831="","",IF(ISNUMBER(SEARCH("CEO",C831))+ISNUMBER(SEARCH("Founder",C831))+ISNUMBER(SEARCH("Owner",C831))+ISNUMBER(SEARCH("Dueño",C831))+ISNUMBER(SEARCH("Director General",C831))+ISNUMBER(SEARCH("Presidente",C831))+ISNUMBER(SEARCH("President",C831))&gt;0,'Configuración'!$B$31,IF(ISNUMBER(SEARCH("CMO",C831))+ISNUMBER(SEARCH("Chief Marketing",C831))+ISNUMBER(SEARCH("VP Marketing",C831))+ISNUMBER(SEARCH("Director de Marketing",C831))+ISNUMBER(SEARCH("Director Marketing",C831))+ISNUMBER(SEARCH("Head of Marketing",C831))+ISNUMBER(SEARCH("Head Marketing",C831))&gt;0,'Configuración'!$B$32,IF(ISNUMBER(SEARCH("Marketing Manager",C831))+ISNUMBER(SEARCH("Gerente de Marketing",C831))+ISNUMBER(SEARCH("Growth Manager",C831))+ISNUMBER(SEARCH("Demand Gen",C831))+ISNUMBER(SEARCH("Marketing Lead",C831))&gt;0,'Configuración'!$B$33,IF(ISNUMBER(SEARCH("COO",C831))+ISNUMBER(SEARCH("CFO",C831))+ISNUMBER(SEARCH("CTO",C831))+ISNUMBER(SEARCH("Chief Operating",C831))+ISNUMBER(SEARCH("Chief Financial",C831))+ISNUMBER(SEARCH("Gerente General",C831))+ISNUMBER(SEARCH("General Manager",C831))&gt;0,'Configuración'!$B$34,'Configuración'!$B$35)))))</f>
        <v>0</v>
      </c>
      <c r="V831" s="38">
        <f>IF(B831="","",IF(K831="Sí",'Configuración'!$B$5,0)+IF(L831="Semanal",'Configuración'!$B$6,IF(L831="Mensual",'Configuración'!$B$7,0))+IF(M831="Sí",'Configuración'!$B$8,0)+IF(N831="Sí",'Configuración'!$B$9,0)+IF(O831="Sí",'Configuración'!$B$10,0)+IF(P831="Sí",'Configuración'!$B$11,0)+IF(Q831="Sí",'Configuración'!$B$12,0)+S831+T831+U831)</f>
        <v>8</v>
      </c>
      <c r="W831" s="39" t="str">
        <f>IF(B831="","",IF(V831&gt;='Configuración'!$B$19,"A",IF(V831&gt;='Configuración'!$B$20,"B",IF(V831&gt;='Configuración'!$B$21,"C","Descarte"))))</f>
        <v>Descarte</v>
      </c>
    </row>
    <row r="832" ht="15.75" customHeight="1">
      <c r="A832" s="34">
        <f t="shared" si="1"/>
        <v>830</v>
      </c>
      <c r="B832" s="29" t="s">
        <v>4901</v>
      </c>
      <c r="C832" s="29" t="s">
        <v>304</v>
      </c>
      <c r="D832" s="40" t="s">
        <v>4902</v>
      </c>
      <c r="E832" s="29" t="s">
        <v>4903</v>
      </c>
      <c r="F832" s="30" t="s">
        <v>4904</v>
      </c>
      <c r="G832" s="30" t="s">
        <v>4905</v>
      </c>
      <c r="H832" s="30" t="s">
        <v>4906</v>
      </c>
      <c r="I832" s="29" t="s">
        <v>4907</v>
      </c>
      <c r="J832" s="31">
        <v>17.0</v>
      </c>
      <c r="K832" s="35"/>
      <c r="L832" s="35"/>
      <c r="M832" s="35"/>
      <c r="N832" s="35"/>
      <c r="O832" s="35"/>
      <c r="P832" s="35"/>
      <c r="Q832" s="35"/>
      <c r="R832" s="35"/>
      <c r="S832" s="37">
        <f>IF(B832="","",IF(ISNUMBER(J832),IF(J832&lt;=10,'Configuración'!$B$23,IF(J832&lt;=50,'Configuración'!$B$24,IF(J832&lt;=200,'Configuración'!$B$25,0))),0))</f>
        <v>4</v>
      </c>
      <c r="T832" s="37">
        <f>IF(B832="","",IF(ISNUMBER(SEARCH("information technology",I832))+ISNUMBER(SEARCH("software",I832))+ISNUMBER(SEARCH("internet",I832))+ISNUMBER(SEARCH("computer",I832))+ISNUMBER(SEARCH("saas",I832))+ISNUMBER(SEARCH("fintech",I832))+ISNUMBER(SEARCH("information services",I832))+ISNUMBER(SEARCH("telecommunications",I832))&gt;0,'Configuración'!$B$27,'Configuración'!$B$28))</f>
        <v>4</v>
      </c>
      <c r="U832" s="25">
        <f>IF(B832="","",IF(ISNUMBER(SEARCH("CEO",C832))+ISNUMBER(SEARCH("Founder",C832))+ISNUMBER(SEARCH("Owner",C832))+ISNUMBER(SEARCH("Dueño",C832))+ISNUMBER(SEARCH("Director General",C832))+ISNUMBER(SEARCH("Presidente",C832))+ISNUMBER(SEARCH("President",C832))&gt;0,'Configuración'!$B$31,IF(ISNUMBER(SEARCH("CMO",C832))+ISNUMBER(SEARCH("Chief Marketing",C832))+ISNUMBER(SEARCH("VP Marketing",C832))+ISNUMBER(SEARCH("Director de Marketing",C832))+ISNUMBER(SEARCH("Director Marketing",C832))+ISNUMBER(SEARCH("Head of Marketing",C832))+ISNUMBER(SEARCH("Head Marketing",C832))&gt;0,'Configuración'!$B$32,IF(ISNUMBER(SEARCH("Marketing Manager",C832))+ISNUMBER(SEARCH("Gerente de Marketing",C832))+ISNUMBER(SEARCH("Growth Manager",C832))+ISNUMBER(SEARCH("Demand Gen",C832))+ISNUMBER(SEARCH("Marketing Lead",C832))&gt;0,'Configuración'!$B$33,IF(ISNUMBER(SEARCH("COO",C832))+ISNUMBER(SEARCH("CFO",C832))+ISNUMBER(SEARCH("CTO",C832))+ISNUMBER(SEARCH("Chief Operating",C832))+ISNUMBER(SEARCH("Chief Financial",C832))+ISNUMBER(SEARCH("Gerente General",C832))+ISNUMBER(SEARCH("General Manager",C832))&gt;0,'Configuración'!$B$34,'Configuración'!$B$35)))))</f>
        <v>4</v>
      </c>
      <c r="V832" s="38">
        <f>IF(B832="","",IF(K832="Sí",'Configuración'!$B$5,0)+IF(L832="Semanal",'Configuración'!$B$6,IF(L832="Mensual",'Configuración'!$B$7,0))+IF(M832="Sí",'Configuración'!$B$8,0)+IF(N832="Sí",'Configuración'!$B$9,0)+IF(O832="Sí",'Configuración'!$B$10,0)+IF(P832="Sí",'Configuración'!$B$11,0)+IF(Q832="Sí",'Configuración'!$B$12,0)+S832+T832+U832)</f>
        <v>12</v>
      </c>
      <c r="W832" s="39" t="str">
        <f>IF(B832="","",IF(V832&gt;='Configuración'!$B$19,"A",IF(V832&gt;='Configuración'!$B$20,"B",IF(V832&gt;='Configuración'!$B$21,"C","Descarte"))))</f>
        <v>Descarte</v>
      </c>
    </row>
    <row r="833" ht="15.75" customHeight="1">
      <c r="A833" s="34">
        <f t="shared" si="1"/>
        <v>831</v>
      </c>
      <c r="B833" s="29" t="s">
        <v>1171</v>
      </c>
      <c r="C833" s="29" t="s">
        <v>4908</v>
      </c>
      <c r="D833" s="30" t="s">
        <v>4909</v>
      </c>
      <c r="E833" s="29" t="s">
        <v>4910</v>
      </c>
      <c r="F833" s="30" t="s">
        <v>4911</v>
      </c>
      <c r="G833" s="30" t="s">
        <v>4912</v>
      </c>
      <c r="H833" s="30" t="s">
        <v>4913</v>
      </c>
      <c r="I833" s="29" t="s">
        <v>310</v>
      </c>
      <c r="J833" s="31">
        <v>13.0</v>
      </c>
      <c r="K833" s="35"/>
      <c r="L833" s="35"/>
      <c r="M833" s="35"/>
      <c r="N833" s="35"/>
      <c r="O833" s="35"/>
      <c r="P833" s="35"/>
      <c r="Q833" s="35"/>
      <c r="R833" s="35"/>
      <c r="S833" s="37">
        <f>IF(B833="","",IF(ISNUMBER(J833),IF(J833&lt;=10,'Configuración'!$B$23,IF(J833&lt;=50,'Configuración'!$B$24,IF(J833&lt;=200,'Configuración'!$B$25,0))),0))</f>
        <v>4</v>
      </c>
      <c r="T833" s="37">
        <f>IF(B833="","",IF(ISNUMBER(SEARCH("information technology",I833))+ISNUMBER(SEARCH("software",I833))+ISNUMBER(SEARCH("internet",I833))+ISNUMBER(SEARCH("computer",I833))+ISNUMBER(SEARCH("saas",I833))+ISNUMBER(SEARCH("fintech",I833))+ISNUMBER(SEARCH("information services",I833))+ISNUMBER(SEARCH("telecommunications",I833))&gt;0,'Configuración'!$B$27,'Configuración'!$B$28))</f>
        <v>4</v>
      </c>
      <c r="U833" s="25">
        <f>IF(B833="","",IF(ISNUMBER(SEARCH("CEO",C833))+ISNUMBER(SEARCH("Founder",C833))+ISNUMBER(SEARCH("Owner",C833))+ISNUMBER(SEARCH("Dueño",C833))+ISNUMBER(SEARCH("Director General",C833))+ISNUMBER(SEARCH("Presidente",C833))+ISNUMBER(SEARCH("President",C833))&gt;0,'Configuración'!$B$31,IF(ISNUMBER(SEARCH("CMO",C833))+ISNUMBER(SEARCH("Chief Marketing",C833))+ISNUMBER(SEARCH("VP Marketing",C833))+ISNUMBER(SEARCH("Director de Marketing",C833))+ISNUMBER(SEARCH("Director Marketing",C833))+ISNUMBER(SEARCH("Head of Marketing",C833))+ISNUMBER(SEARCH("Head Marketing",C833))&gt;0,'Configuración'!$B$32,IF(ISNUMBER(SEARCH("Marketing Manager",C833))+ISNUMBER(SEARCH("Gerente de Marketing",C833))+ISNUMBER(SEARCH("Growth Manager",C833))+ISNUMBER(SEARCH("Demand Gen",C833))+ISNUMBER(SEARCH("Marketing Lead",C833))&gt;0,'Configuración'!$B$33,IF(ISNUMBER(SEARCH("COO",C833))+ISNUMBER(SEARCH("CFO",C833))+ISNUMBER(SEARCH("CTO",C833))+ISNUMBER(SEARCH("Chief Operating",C833))+ISNUMBER(SEARCH("Chief Financial",C833))+ISNUMBER(SEARCH("Gerente General",C833))+ISNUMBER(SEARCH("General Manager",C833))&gt;0,'Configuración'!$B$34,'Configuración'!$B$35)))))</f>
        <v>12</v>
      </c>
      <c r="V833" s="38">
        <f>IF(B833="","",IF(K833="Sí",'Configuración'!$B$5,0)+IF(L833="Semanal",'Configuración'!$B$6,IF(L833="Mensual",'Configuración'!$B$7,0))+IF(M833="Sí",'Configuración'!$B$8,0)+IF(N833="Sí",'Configuración'!$B$9,0)+IF(O833="Sí",'Configuración'!$B$10,0)+IF(P833="Sí",'Configuración'!$B$11,0)+IF(Q833="Sí",'Configuración'!$B$12,0)+S833+T833+U833)</f>
        <v>20</v>
      </c>
      <c r="W833" s="39" t="str">
        <f>IF(B833="","",IF(V833&gt;='Configuración'!$B$19,"A",IF(V833&gt;='Configuración'!$B$20,"B",IF(V833&gt;='Configuración'!$B$21,"C","Descarte"))))</f>
        <v>Descarte</v>
      </c>
    </row>
    <row r="834" ht="15.75" customHeight="1">
      <c r="A834" s="34">
        <f t="shared" si="1"/>
        <v>832</v>
      </c>
      <c r="B834" s="29" t="s">
        <v>4009</v>
      </c>
      <c r="C834" s="29" t="s">
        <v>224</v>
      </c>
      <c r="D834" s="29" t="s">
        <v>4914</v>
      </c>
      <c r="E834" s="29" t="s">
        <v>4915</v>
      </c>
      <c r="F834" s="30" t="s">
        <v>4916</v>
      </c>
      <c r="G834" s="30" t="s">
        <v>4917</v>
      </c>
      <c r="H834" s="30" t="s">
        <v>4918</v>
      </c>
      <c r="I834" s="29" t="s">
        <v>659</v>
      </c>
      <c r="J834" s="31">
        <v>6.0</v>
      </c>
      <c r="K834" s="35"/>
      <c r="L834" s="35"/>
      <c r="M834" s="35"/>
      <c r="N834" s="35"/>
      <c r="O834" s="35"/>
      <c r="P834" s="35"/>
      <c r="Q834" s="35"/>
      <c r="R834" s="35"/>
      <c r="S834" s="37">
        <f>IF(B834="","",IF(ISNUMBER(J834),IF(J834&lt;=10,'Configuración'!$B$23,IF(J834&lt;=50,'Configuración'!$B$24,IF(J834&lt;=200,'Configuración'!$B$25,0))),0))</f>
        <v>12</v>
      </c>
      <c r="T834" s="37">
        <f>IF(B834="","",IF(ISNUMBER(SEARCH("information technology",I834))+ISNUMBER(SEARCH("software",I834))+ISNUMBER(SEARCH("internet",I834))+ISNUMBER(SEARCH("computer",I834))+ISNUMBER(SEARCH("saas",I834))+ISNUMBER(SEARCH("fintech",I834))+ISNUMBER(SEARCH("information services",I834))+ISNUMBER(SEARCH("telecommunications",I834))&gt;0,'Configuración'!$B$27,'Configuración'!$B$28))</f>
        <v>4</v>
      </c>
      <c r="U834" s="25">
        <f>IF(B834="","",IF(ISNUMBER(SEARCH("CEO",C834))+ISNUMBER(SEARCH("Founder",C834))+ISNUMBER(SEARCH("Owner",C834))+ISNUMBER(SEARCH("Dueño",C834))+ISNUMBER(SEARCH("Director General",C834))+ISNUMBER(SEARCH("Presidente",C834))+ISNUMBER(SEARCH("President",C834))&gt;0,'Configuración'!$B$31,IF(ISNUMBER(SEARCH("CMO",C834))+ISNUMBER(SEARCH("Chief Marketing",C834))+ISNUMBER(SEARCH("VP Marketing",C834))+ISNUMBER(SEARCH("Director de Marketing",C834))+ISNUMBER(SEARCH("Director Marketing",C834))+ISNUMBER(SEARCH("Head of Marketing",C834))+ISNUMBER(SEARCH("Head Marketing",C834))&gt;0,'Configuración'!$B$32,IF(ISNUMBER(SEARCH("Marketing Manager",C834))+ISNUMBER(SEARCH("Gerente de Marketing",C834))+ISNUMBER(SEARCH("Growth Manager",C834))+ISNUMBER(SEARCH("Demand Gen",C834))+ISNUMBER(SEARCH("Marketing Lead",C834))&gt;0,'Configuración'!$B$33,IF(ISNUMBER(SEARCH("COO",C834))+ISNUMBER(SEARCH("CFO",C834))+ISNUMBER(SEARCH("CTO",C834))+ISNUMBER(SEARCH("Chief Operating",C834))+ISNUMBER(SEARCH("Chief Financial",C834))+ISNUMBER(SEARCH("Gerente General",C834))+ISNUMBER(SEARCH("General Manager",C834))&gt;0,'Configuración'!$B$34,'Configuración'!$B$35)))))</f>
        <v>12</v>
      </c>
      <c r="V834" s="38">
        <f>IF(B834="","",IF(K834="Sí",'Configuración'!$B$5,0)+IF(L834="Semanal",'Configuración'!$B$6,IF(L834="Mensual",'Configuración'!$B$7,0))+IF(M834="Sí",'Configuración'!$B$8,0)+IF(N834="Sí",'Configuración'!$B$9,0)+IF(O834="Sí",'Configuración'!$B$10,0)+IF(P834="Sí",'Configuración'!$B$11,0)+IF(Q834="Sí",'Configuración'!$B$12,0)+S834+T834+U834)</f>
        <v>28</v>
      </c>
      <c r="W834" s="39" t="str">
        <f>IF(B834="","",IF(V834&gt;='Configuración'!$B$19,"A",IF(V834&gt;='Configuración'!$B$20,"B",IF(V834&gt;='Configuración'!$B$21,"C","Descarte"))))</f>
        <v>C</v>
      </c>
    </row>
    <row r="835" ht="15.75" customHeight="1">
      <c r="A835" s="34">
        <f t="shared" si="1"/>
        <v>833</v>
      </c>
      <c r="B835" s="29" t="s">
        <v>556</v>
      </c>
      <c r="C835" s="29" t="s">
        <v>146</v>
      </c>
      <c r="D835" s="29" t="s">
        <v>4919</v>
      </c>
      <c r="E835" s="29" t="s">
        <v>4920</v>
      </c>
      <c r="F835" s="30" t="s">
        <v>4921</v>
      </c>
      <c r="G835" s="30" t="s">
        <v>4922</v>
      </c>
      <c r="H835" s="30" t="s">
        <v>4923</v>
      </c>
      <c r="I835" s="29" t="s">
        <v>127</v>
      </c>
      <c r="J835" s="31">
        <v>6.0</v>
      </c>
      <c r="K835" s="35"/>
      <c r="L835" s="35"/>
      <c r="M835" s="35"/>
      <c r="N835" s="35"/>
      <c r="O835" s="35"/>
      <c r="P835" s="35"/>
      <c r="Q835" s="35"/>
      <c r="R835" s="35"/>
      <c r="S835" s="37">
        <f>IF(B835="","",IF(ISNUMBER(J835),IF(J835&lt;=10,'Configuración'!$B$23,IF(J835&lt;=50,'Configuración'!$B$24,IF(J835&lt;=200,'Configuración'!$B$25,0))),0))</f>
        <v>12</v>
      </c>
      <c r="T835" s="37">
        <f>IF(B835="","",IF(ISNUMBER(SEARCH("information technology",I835))+ISNUMBER(SEARCH("software",I835))+ISNUMBER(SEARCH("internet",I835))+ISNUMBER(SEARCH("computer",I835))+ISNUMBER(SEARCH("saas",I835))+ISNUMBER(SEARCH("fintech",I835))+ISNUMBER(SEARCH("information services",I835))+ISNUMBER(SEARCH("telecommunications",I835))&gt;0,'Configuración'!$B$27,'Configuración'!$B$28))</f>
        <v>12</v>
      </c>
      <c r="U835" s="25">
        <f>IF(B835="","",IF(ISNUMBER(SEARCH("CEO",C835))+ISNUMBER(SEARCH("Founder",C835))+ISNUMBER(SEARCH("Owner",C835))+ISNUMBER(SEARCH("Dueño",C835))+ISNUMBER(SEARCH("Director General",C835))+ISNUMBER(SEARCH("Presidente",C835))+ISNUMBER(SEARCH("President",C835))&gt;0,'Configuración'!$B$31,IF(ISNUMBER(SEARCH("CMO",C835))+ISNUMBER(SEARCH("Chief Marketing",C835))+ISNUMBER(SEARCH("VP Marketing",C835))+ISNUMBER(SEARCH("Director de Marketing",C835))+ISNUMBER(SEARCH("Director Marketing",C835))+ISNUMBER(SEARCH("Head of Marketing",C835))+ISNUMBER(SEARCH("Head Marketing",C835))&gt;0,'Configuración'!$B$32,IF(ISNUMBER(SEARCH("Marketing Manager",C835))+ISNUMBER(SEARCH("Gerente de Marketing",C835))+ISNUMBER(SEARCH("Growth Manager",C835))+ISNUMBER(SEARCH("Demand Gen",C835))+ISNUMBER(SEARCH("Marketing Lead",C835))&gt;0,'Configuración'!$B$33,IF(ISNUMBER(SEARCH("COO",C835))+ISNUMBER(SEARCH("CFO",C835))+ISNUMBER(SEARCH("CTO",C835))+ISNUMBER(SEARCH("Chief Operating",C835))+ISNUMBER(SEARCH("Chief Financial",C835))+ISNUMBER(SEARCH("Gerente General",C835))+ISNUMBER(SEARCH("General Manager",C835))&gt;0,'Configuración'!$B$34,'Configuración'!$B$35)))))</f>
        <v>0</v>
      </c>
      <c r="V835" s="38">
        <f>IF(B835="","",IF(K835="Sí",'Configuración'!$B$5,0)+IF(L835="Semanal",'Configuración'!$B$6,IF(L835="Mensual",'Configuración'!$B$7,0))+IF(M835="Sí",'Configuración'!$B$8,0)+IF(N835="Sí",'Configuración'!$B$9,0)+IF(O835="Sí",'Configuración'!$B$10,0)+IF(P835="Sí",'Configuración'!$B$11,0)+IF(Q835="Sí",'Configuración'!$B$12,0)+S835+T835+U835)</f>
        <v>24</v>
      </c>
      <c r="W835" s="39" t="str">
        <f>IF(B835="","",IF(V835&gt;='Configuración'!$B$19,"A",IF(V835&gt;='Configuración'!$B$20,"B",IF(V835&gt;='Configuración'!$B$21,"C","Descarte"))))</f>
        <v>C</v>
      </c>
    </row>
    <row r="836" ht="15.75" customHeight="1">
      <c r="A836" s="34">
        <f t="shared" si="1"/>
        <v>834</v>
      </c>
      <c r="B836" s="29" t="s">
        <v>984</v>
      </c>
      <c r="C836" s="29" t="s">
        <v>121</v>
      </c>
      <c r="D836" s="29" t="s">
        <v>2261</v>
      </c>
      <c r="E836" s="29" t="s">
        <v>4924</v>
      </c>
      <c r="F836" s="30" t="s">
        <v>4925</v>
      </c>
      <c r="G836" s="30" t="s">
        <v>2264</v>
      </c>
      <c r="H836" s="30" t="s">
        <v>2265</v>
      </c>
      <c r="I836" s="29" t="s">
        <v>127</v>
      </c>
      <c r="J836" s="31">
        <v>5.0</v>
      </c>
      <c r="K836" s="35"/>
      <c r="L836" s="35"/>
      <c r="M836" s="35"/>
      <c r="N836" s="35"/>
      <c r="O836" s="35"/>
      <c r="P836" s="35"/>
      <c r="Q836" s="35"/>
      <c r="R836" s="35"/>
      <c r="S836" s="37">
        <f>IF(B836="","",IF(ISNUMBER(J836),IF(J836&lt;=10,'Configuración'!$B$23,IF(J836&lt;=50,'Configuración'!$B$24,IF(J836&lt;=200,'Configuración'!$B$25,0))),0))</f>
        <v>12</v>
      </c>
      <c r="T836" s="37">
        <f>IF(B836="","",IF(ISNUMBER(SEARCH("information technology",I836))+ISNUMBER(SEARCH("software",I836))+ISNUMBER(SEARCH("internet",I836))+ISNUMBER(SEARCH("computer",I836))+ISNUMBER(SEARCH("saas",I836))+ISNUMBER(SEARCH("fintech",I836))+ISNUMBER(SEARCH("information services",I836))+ISNUMBER(SEARCH("telecommunications",I836))&gt;0,'Configuración'!$B$27,'Configuración'!$B$28))</f>
        <v>12</v>
      </c>
      <c r="U836" s="25">
        <f>IF(B836="","",IF(ISNUMBER(SEARCH("CEO",C836))+ISNUMBER(SEARCH("Founder",C836))+ISNUMBER(SEARCH("Owner",C836))+ISNUMBER(SEARCH("Dueño",C836))+ISNUMBER(SEARCH("Director General",C836))+ISNUMBER(SEARCH("Presidente",C836))+ISNUMBER(SEARCH("President",C836))&gt;0,'Configuración'!$B$31,IF(ISNUMBER(SEARCH("CMO",C836))+ISNUMBER(SEARCH("Chief Marketing",C836))+ISNUMBER(SEARCH("VP Marketing",C836))+ISNUMBER(SEARCH("Director de Marketing",C836))+ISNUMBER(SEARCH("Director Marketing",C836))+ISNUMBER(SEARCH("Head of Marketing",C836))+ISNUMBER(SEARCH("Head Marketing",C836))&gt;0,'Configuración'!$B$32,IF(ISNUMBER(SEARCH("Marketing Manager",C836))+ISNUMBER(SEARCH("Gerente de Marketing",C836))+ISNUMBER(SEARCH("Growth Manager",C836))+ISNUMBER(SEARCH("Demand Gen",C836))+ISNUMBER(SEARCH("Marketing Lead",C836))&gt;0,'Configuración'!$B$33,IF(ISNUMBER(SEARCH("COO",C836))+ISNUMBER(SEARCH("CFO",C836))+ISNUMBER(SEARCH("CTO",C836))+ISNUMBER(SEARCH("Chief Operating",C836))+ISNUMBER(SEARCH("Chief Financial",C836))+ISNUMBER(SEARCH("Gerente General",C836))+ISNUMBER(SEARCH("General Manager",C836))&gt;0,'Configuración'!$B$34,'Configuración'!$B$35)))))</f>
        <v>12</v>
      </c>
      <c r="V836" s="38">
        <f>IF(B836="","",IF(K836="Sí",'Configuración'!$B$5,0)+IF(L836="Semanal",'Configuración'!$B$6,IF(L836="Mensual",'Configuración'!$B$7,0))+IF(M836="Sí",'Configuración'!$B$8,0)+IF(N836="Sí",'Configuración'!$B$9,0)+IF(O836="Sí",'Configuración'!$B$10,0)+IF(P836="Sí",'Configuración'!$B$11,0)+IF(Q836="Sí",'Configuración'!$B$12,0)+S836+T836+U836)</f>
        <v>36</v>
      </c>
      <c r="W836" s="39" t="str">
        <f>IF(B836="","",IF(V836&gt;='Configuración'!$B$19,"A",IF(V836&gt;='Configuración'!$B$20,"B",IF(V836&gt;='Configuración'!$B$21,"C","Descarte"))))</f>
        <v>C</v>
      </c>
    </row>
    <row r="837" ht="15.75" customHeight="1">
      <c r="A837" s="34">
        <f t="shared" si="1"/>
        <v>835</v>
      </c>
      <c r="B837" s="29" t="s">
        <v>564</v>
      </c>
      <c r="C837" s="29" t="s">
        <v>4926</v>
      </c>
      <c r="D837" s="29" t="s">
        <v>4927</v>
      </c>
      <c r="E837" s="29" t="s">
        <v>4928</v>
      </c>
      <c r="F837" s="30" t="s">
        <v>4929</v>
      </c>
      <c r="G837" s="30" t="s">
        <v>4930</v>
      </c>
      <c r="H837" s="30" t="s">
        <v>4931</v>
      </c>
      <c r="I837" s="29" t="s">
        <v>127</v>
      </c>
      <c r="J837" s="31">
        <v>2.0</v>
      </c>
      <c r="K837" s="35"/>
      <c r="L837" s="35"/>
      <c r="M837" s="35"/>
      <c r="N837" s="35"/>
      <c r="O837" s="35"/>
      <c r="P837" s="35"/>
      <c r="Q837" s="35"/>
      <c r="R837" s="35"/>
      <c r="S837" s="37">
        <f>IF(B837="","",IF(ISNUMBER(J837),IF(J837&lt;=10,'Configuración'!$B$23,IF(J837&lt;=50,'Configuración'!$B$24,IF(J837&lt;=200,'Configuración'!$B$25,0))),0))</f>
        <v>12</v>
      </c>
      <c r="T837" s="37">
        <f>IF(B837="","",IF(ISNUMBER(SEARCH("information technology",I837))+ISNUMBER(SEARCH("software",I837))+ISNUMBER(SEARCH("internet",I837))+ISNUMBER(SEARCH("computer",I837))+ISNUMBER(SEARCH("saas",I837))+ISNUMBER(SEARCH("fintech",I837))+ISNUMBER(SEARCH("information services",I837))+ISNUMBER(SEARCH("telecommunications",I837))&gt;0,'Configuración'!$B$27,'Configuración'!$B$28))</f>
        <v>12</v>
      </c>
      <c r="U837" s="25">
        <f>IF(B837="","",IF(ISNUMBER(SEARCH("CEO",C837))+ISNUMBER(SEARCH("Founder",C837))+ISNUMBER(SEARCH("Owner",C837))+ISNUMBER(SEARCH("Dueño",C837))+ISNUMBER(SEARCH("Director General",C837))+ISNUMBER(SEARCH("Presidente",C837))+ISNUMBER(SEARCH("President",C837))&gt;0,'Configuración'!$B$31,IF(ISNUMBER(SEARCH("CMO",C837))+ISNUMBER(SEARCH("Chief Marketing",C837))+ISNUMBER(SEARCH("VP Marketing",C837))+ISNUMBER(SEARCH("Director de Marketing",C837))+ISNUMBER(SEARCH("Director Marketing",C837))+ISNUMBER(SEARCH("Head of Marketing",C837))+ISNUMBER(SEARCH("Head Marketing",C837))&gt;0,'Configuración'!$B$32,IF(ISNUMBER(SEARCH("Marketing Manager",C837))+ISNUMBER(SEARCH("Gerente de Marketing",C837))+ISNUMBER(SEARCH("Growth Manager",C837))+ISNUMBER(SEARCH("Demand Gen",C837))+ISNUMBER(SEARCH("Marketing Lead",C837))&gt;0,'Configuración'!$B$33,IF(ISNUMBER(SEARCH("COO",C837))+ISNUMBER(SEARCH("CFO",C837))+ISNUMBER(SEARCH("CTO",C837))+ISNUMBER(SEARCH("Chief Operating",C837))+ISNUMBER(SEARCH("Chief Financial",C837))+ISNUMBER(SEARCH("Gerente General",C837))+ISNUMBER(SEARCH("General Manager",C837))&gt;0,'Configuración'!$B$34,'Configuración'!$B$35)))))</f>
        <v>12</v>
      </c>
      <c r="V837" s="38">
        <f>IF(B837="","",IF(K837="Sí",'Configuración'!$B$5,0)+IF(L837="Semanal",'Configuración'!$B$6,IF(L837="Mensual",'Configuración'!$B$7,0))+IF(M837="Sí",'Configuración'!$B$8,0)+IF(N837="Sí",'Configuración'!$B$9,0)+IF(O837="Sí",'Configuración'!$B$10,0)+IF(P837="Sí",'Configuración'!$B$11,0)+IF(Q837="Sí",'Configuración'!$B$12,0)+S837+T837+U837)</f>
        <v>36</v>
      </c>
      <c r="W837" s="39" t="str">
        <f>IF(B837="","",IF(V837&gt;='Configuración'!$B$19,"A",IF(V837&gt;='Configuración'!$B$20,"B",IF(V837&gt;='Configuración'!$B$21,"C","Descarte"))))</f>
        <v>C</v>
      </c>
    </row>
    <row r="838" ht="15.75" customHeight="1">
      <c r="A838" s="34">
        <f t="shared" si="1"/>
        <v>836</v>
      </c>
      <c r="B838" s="29" t="s">
        <v>2616</v>
      </c>
      <c r="C838" s="29" t="s">
        <v>763</v>
      </c>
      <c r="D838" s="29" t="s">
        <v>4932</v>
      </c>
      <c r="E838" s="29" t="s">
        <v>4933</v>
      </c>
      <c r="F838" s="30" t="s">
        <v>4934</v>
      </c>
      <c r="G838" s="30" t="s">
        <v>4935</v>
      </c>
      <c r="H838" s="30" t="s">
        <v>4936</v>
      </c>
      <c r="I838" s="29" t="s">
        <v>127</v>
      </c>
      <c r="J838" s="31">
        <v>6.0</v>
      </c>
      <c r="K838" s="35"/>
      <c r="L838" s="35"/>
      <c r="M838" s="35"/>
      <c r="N838" s="35"/>
      <c r="O838" s="35"/>
      <c r="P838" s="35"/>
      <c r="Q838" s="35"/>
      <c r="R838" s="35"/>
      <c r="S838" s="37">
        <f>IF(B838="","",IF(ISNUMBER(J838),IF(J838&lt;=10,'Configuración'!$B$23,IF(J838&lt;=50,'Configuración'!$B$24,IF(J838&lt;=200,'Configuración'!$B$25,0))),0))</f>
        <v>12</v>
      </c>
      <c r="T838" s="37">
        <f>IF(B838="","",IF(ISNUMBER(SEARCH("information technology",I838))+ISNUMBER(SEARCH("software",I838))+ISNUMBER(SEARCH("internet",I838))+ISNUMBER(SEARCH("computer",I838))+ISNUMBER(SEARCH("saas",I838))+ISNUMBER(SEARCH("fintech",I838))+ISNUMBER(SEARCH("information services",I838))+ISNUMBER(SEARCH("telecommunications",I838))&gt;0,'Configuración'!$B$27,'Configuración'!$B$28))</f>
        <v>12</v>
      </c>
      <c r="U838" s="25">
        <f>IF(B838="","",IF(ISNUMBER(SEARCH("CEO",C838))+ISNUMBER(SEARCH("Founder",C838))+ISNUMBER(SEARCH("Owner",C838))+ISNUMBER(SEARCH("Dueño",C838))+ISNUMBER(SEARCH("Director General",C838))+ISNUMBER(SEARCH("Presidente",C838))+ISNUMBER(SEARCH("President",C838))&gt;0,'Configuración'!$B$31,IF(ISNUMBER(SEARCH("CMO",C838))+ISNUMBER(SEARCH("Chief Marketing",C838))+ISNUMBER(SEARCH("VP Marketing",C838))+ISNUMBER(SEARCH("Director de Marketing",C838))+ISNUMBER(SEARCH("Director Marketing",C838))+ISNUMBER(SEARCH("Head of Marketing",C838))+ISNUMBER(SEARCH("Head Marketing",C838))&gt;0,'Configuración'!$B$32,IF(ISNUMBER(SEARCH("Marketing Manager",C838))+ISNUMBER(SEARCH("Gerente de Marketing",C838))+ISNUMBER(SEARCH("Growth Manager",C838))+ISNUMBER(SEARCH("Demand Gen",C838))+ISNUMBER(SEARCH("Marketing Lead",C838))&gt;0,'Configuración'!$B$33,IF(ISNUMBER(SEARCH("COO",C838))+ISNUMBER(SEARCH("CFO",C838))+ISNUMBER(SEARCH("CTO",C838))+ISNUMBER(SEARCH("Chief Operating",C838))+ISNUMBER(SEARCH("Chief Financial",C838))+ISNUMBER(SEARCH("Gerente General",C838))+ISNUMBER(SEARCH("General Manager",C838))&gt;0,'Configuración'!$B$34,'Configuración'!$B$35)))))</f>
        <v>12</v>
      </c>
      <c r="V838" s="38">
        <f>IF(B838="","",IF(K838="Sí",'Configuración'!$B$5,0)+IF(L838="Semanal",'Configuración'!$B$6,IF(L838="Mensual",'Configuración'!$B$7,0))+IF(M838="Sí",'Configuración'!$B$8,0)+IF(N838="Sí",'Configuración'!$B$9,0)+IF(O838="Sí",'Configuración'!$B$10,0)+IF(P838="Sí",'Configuración'!$B$11,0)+IF(Q838="Sí",'Configuración'!$B$12,0)+S838+T838+U838)</f>
        <v>36</v>
      </c>
      <c r="W838" s="39" t="str">
        <f>IF(B838="","",IF(V838&gt;='Configuración'!$B$19,"A",IF(V838&gt;='Configuración'!$B$20,"B",IF(V838&gt;='Configuración'!$B$21,"C","Descarte"))))</f>
        <v>C</v>
      </c>
    </row>
    <row r="839" ht="15.75" customHeight="1">
      <c r="A839" s="34">
        <f t="shared" si="1"/>
        <v>837</v>
      </c>
      <c r="B839" s="29" t="s">
        <v>138</v>
      </c>
      <c r="C839" s="29" t="s">
        <v>4937</v>
      </c>
      <c r="D839" s="29" t="s">
        <v>4938</v>
      </c>
      <c r="E839" s="29" t="s">
        <v>4939</v>
      </c>
      <c r="F839" s="30" t="s">
        <v>4940</v>
      </c>
      <c r="G839" s="30" t="s">
        <v>4941</v>
      </c>
      <c r="H839" s="30" t="s">
        <v>4942</v>
      </c>
      <c r="I839" s="29" t="s">
        <v>127</v>
      </c>
      <c r="J839" s="31">
        <v>40.0</v>
      </c>
      <c r="K839" s="35"/>
      <c r="L839" s="35"/>
      <c r="M839" s="35"/>
      <c r="N839" s="35"/>
      <c r="O839" s="35"/>
      <c r="P839" s="35"/>
      <c r="Q839" s="35"/>
      <c r="R839" s="35"/>
      <c r="S839" s="37">
        <f>IF(B839="","",IF(ISNUMBER(J839),IF(J839&lt;=10,'Configuración'!$B$23,IF(J839&lt;=50,'Configuración'!$B$24,IF(J839&lt;=200,'Configuración'!$B$25,0))),0))</f>
        <v>4</v>
      </c>
      <c r="T839" s="37">
        <f>IF(B839="","",IF(ISNUMBER(SEARCH("information technology",I839))+ISNUMBER(SEARCH("software",I839))+ISNUMBER(SEARCH("internet",I839))+ISNUMBER(SEARCH("computer",I839))+ISNUMBER(SEARCH("saas",I839))+ISNUMBER(SEARCH("fintech",I839))+ISNUMBER(SEARCH("information services",I839))+ISNUMBER(SEARCH("telecommunications",I839))&gt;0,'Configuración'!$B$27,'Configuración'!$B$28))</f>
        <v>12</v>
      </c>
      <c r="U839" s="25">
        <f>IF(B839="","",IF(ISNUMBER(SEARCH("CEO",C839))+ISNUMBER(SEARCH("Founder",C839))+ISNUMBER(SEARCH("Owner",C839))+ISNUMBER(SEARCH("Dueño",C839))+ISNUMBER(SEARCH("Director General",C839))+ISNUMBER(SEARCH("Presidente",C839))+ISNUMBER(SEARCH("President",C839))&gt;0,'Configuración'!$B$31,IF(ISNUMBER(SEARCH("CMO",C839))+ISNUMBER(SEARCH("Chief Marketing",C839))+ISNUMBER(SEARCH("VP Marketing",C839))+ISNUMBER(SEARCH("Director de Marketing",C839))+ISNUMBER(SEARCH("Director Marketing",C839))+ISNUMBER(SEARCH("Head of Marketing",C839))+ISNUMBER(SEARCH("Head Marketing",C839))&gt;0,'Configuración'!$B$32,IF(ISNUMBER(SEARCH("Marketing Manager",C839))+ISNUMBER(SEARCH("Gerente de Marketing",C839))+ISNUMBER(SEARCH("Growth Manager",C839))+ISNUMBER(SEARCH("Demand Gen",C839))+ISNUMBER(SEARCH("Marketing Lead",C839))&gt;0,'Configuración'!$B$33,IF(ISNUMBER(SEARCH("COO",C839))+ISNUMBER(SEARCH("CFO",C839))+ISNUMBER(SEARCH("CTO",C839))+ISNUMBER(SEARCH("Chief Operating",C839))+ISNUMBER(SEARCH("Chief Financial",C839))+ISNUMBER(SEARCH("Gerente General",C839))+ISNUMBER(SEARCH("General Manager",C839))&gt;0,'Configuración'!$B$34,'Configuración'!$B$35)))))</f>
        <v>12</v>
      </c>
      <c r="V839" s="38">
        <f>IF(B839="","",IF(K839="Sí",'Configuración'!$B$5,0)+IF(L839="Semanal",'Configuración'!$B$6,IF(L839="Mensual",'Configuración'!$B$7,0))+IF(M839="Sí",'Configuración'!$B$8,0)+IF(N839="Sí",'Configuración'!$B$9,0)+IF(O839="Sí",'Configuración'!$B$10,0)+IF(P839="Sí",'Configuración'!$B$11,0)+IF(Q839="Sí",'Configuración'!$B$12,0)+S839+T839+U839)</f>
        <v>28</v>
      </c>
      <c r="W839" s="39" t="str">
        <f>IF(B839="","",IF(V839&gt;='Configuración'!$B$19,"A",IF(V839&gt;='Configuración'!$B$20,"B",IF(V839&gt;='Configuración'!$B$21,"C","Descarte"))))</f>
        <v>C</v>
      </c>
    </row>
    <row r="840" ht="15.75" customHeight="1">
      <c r="A840" s="34">
        <f t="shared" si="1"/>
        <v>838</v>
      </c>
      <c r="B840" s="29" t="s">
        <v>610</v>
      </c>
      <c r="C840" s="29" t="s">
        <v>4943</v>
      </c>
      <c r="D840" s="29" t="s">
        <v>4944</v>
      </c>
      <c r="E840" s="29" t="s">
        <v>4945</v>
      </c>
      <c r="F840" s="30" t="s">
        <v>4946</v>
      </c>
      <c r="G840" s="30" t="s">
        <v>4947</v>
      </c>
      <c r="H840" s="30" t="s">
        <v>4948</v>
      </c>
      <c r="I840" s="29" t="s">
        <v>4949</v>
      </c>
      <c r="J840" s="31">
        <v>17.0</v>
      </c>
      <c r="K840" s="35"/>
      <c r="L840" s="35"/>
      <c r="M840" s="35"/>
      <c r="N840" s="35"/>
      <c r="O840" s="35"/>
      <c r="P840" s="35"/>
      <c r="Q840" s="35"/>
      <c r="R840" s="35"/>
      <c r="S840" s="37">
        <f>IF(B840="","",IF(ISNUMBER(J840),IF(J840&lt;=10,'Configuración'!$B$23,IF(J840&lt;=50,'Configuración'!$B$24,IF(J840&lt;=200,'Configuración'!$B$25,0))),0))</f>
        <v>4</v>
      </c>
      <c r="T840" s="37">
        <f>IF(B840="","",IF(ISNUMBER(SEARCH("information technology",I840))+ISNUMBER(SEARCH("software",I840))+ISNUMBER(SEARCH("internet",I840))+ISNUMBER(SEARCH("computer",I840))+ISNUMBER(SEARCH("saas",I840))+ISNUMBER(SEARCH("fintech",I840))+ISNUMBER(SEARCH("information services",I840))+ISNUMBER(SEARCH("telecommunications",I840))&gt;0,'Configuración'!$B$27,'Configuración'!$B$28))</f>
        <v>4</v>
      </c>
      <c r="U840" s="25">
        <f>IF(B840="","",IF(ISNUMBER(SEARCH("CEO",C840))+ISNUMBER(SEARCH("Founder",C840))+ISNUMBER(SEARCH("Owner",C840))+ISNUMBER(SEARCH("Dueño",C840))+ISNUMBER(SEARCH("Director General",C840))+ISNUMBER(SEARCH("Presidente",C840))+ISNUMBER(SEARCH("President",C840))&gt;0,'Configuración'!$B$31,IF(ISNUMBER(SEARCH("CMO",C840))+ISNUMBER(SEARCH("Chief Marketing",C840))+ISNUMBER(SEARCH("VP Marketing",C840))+ISNUMBER(SEARCH("Director de Marketing",C840))+ISNUMBER(SEARCH("Director Marketing",C840))+ISNUMBER(SEARCH("Head of Marketing",C840))+ISNUMBER(SEARCH("Head Marketing",C840))&gt;0,'Configuración'!$B$32,IF(ISNUMBER(SEARCH("Marketing Manager",C840))+ISNUMBER(SEARCH("Gerente de Marketing",C840))+ISNUMBER(SEARCH("Growth Manager",C840))+ISNUMBER(SEARCH("Demand Gen",C840))+ISNUMBER(SEARCH("Marketing Lead",C840))&gt;0,'Configuración'!$B$33,IF(ISNUMBER(SEARCH("COO",C840))+ISNUMBER(SEARCH("CFO",C840))+ISNUMBER(SEARCH("CTO",C840))+ISNUMBER(SEARCH("Chief Operating",C840))+ISNUMBER(SEARCH("Chief Financial",C840))+ISNUMBER(SEARCH("Gerente General",C840))+ISNUMBER(SEARCH("General Manager",C840))&gt;0,'Configuración'!$B$34,'Configuración'!$B$35)))))</f>
        <v>12</v>
      </c>
      <c r="V840" s="38">
        <f>IF(B840="","",IF(K840="Sí",'Configuración'!$B$5,0)+IF(L840="Semanal",'Configuración'!$B$6,IF(L840="Mensual",'Configuración'!$B$7,0))+IF(M840="Sí",'Configuración'!$B$8,0)+IF(N840="Sí",'Configuración'!$B$9,0)+IF(O840="Sí",'Configuración'!$B$10,0)+IF(P840="Sí",'Configuración'!$B$11,0)+IF(Q840="Sí",'Configuración'!$B$12,0)+S840+T840+U840)</f>
        <v>20</v>
      </c>
      <c r="W840" s="39" t="str">
        <f>IF(B840="","",IF(V840&gt;='Configuración'!$B$19,"A",IF(V840&gt;='Configuración'!$B$20,"B",IF(V840&gt;='Configuración'!$B$21,"C","Descarte"))))</f>
        <v>Descarte</v>
      </c>
    </row>
    <row r="841" ht="15.75" customHeight="1">
      <c r="A841" s="34">
        <f t="shared" si="1"/>
        <v>839</v>
      </c>
      <c r="B841" s="29" t="s">
        <v>174</v>
      </c>
      <c r="C841" s="29" t="s">
        <v>131</v>
      </c>
      <c r="D841" s="29" t="s">
        <v>4950</v>
      </c>
      <c r="E841" s="29" t="s">
        <v>4951</v>
      </c>
      <c r="F841" s="30" t="s">
        <v>4952</v>
      </c>
      <c r="G841" s="30" t="s">
        <v>4953</v>
      </c>
      <c r="H841" s="30" t="s">
        <v>4954</v>
      </c>
      <c r="I841" s="29" t="s">
        <v>137</v>
      </c>
      <c r="J841" s="31">
        <v>4.0</v>
      </c>
      <c r="K841" s="35"/>
      <c r="L841" s="35"/>
      <c r="M841" s="35"/>
      <c r="N841" s="35"/>
      <c r="O841" s="35"/>
      <c r="P841" s="35"/>
      <c r="Q841" s="35"/>
      <c r="R841" s="35"/>
      <c r="S841" s="37">
        <f>IF(B841="","",IF(ISNUMBER(J841),IF(J841&lt;=10,'Configuración'!$B$23,IF(J841&lt;=50,'Configuración'!$B$24,IF(J841&lt;=200,'Configuración'!$B$25,0))),0))</f>
        <v>12</v>
      </c>
      <c r="T841" s="37">
        <f>IF(B841="","",IF(ISNUMBER(SEARCH("information technology",I841))+ISNUMBER(SEARCH("software",I841))+ISNUMBER(SEARCH("internet",I841))+ISNUMBER(SEARCH("computer",I841))+ISNUMBER(SEARCH("saas",I841))+ISNUMBER(SEARCH("fintech",I841))+ISNUMBER(SEARCH("information services",I841))+ISNUMBER(SEARCH("telecommunications",I841))&gt;0,'Configuración'!$B$27,'Configuración'!$B$28))</f>
        <v>4</v>
      </c>
      <c r="U841" s="25">
        <f>IF(B841="","",IF(ISNUMBER(SEARCH("CEO",C841))+ISNUMBER(SEARCH("Founder",C841))+ISNUMBER(SEARCH("Owner",C841))+ISNUMBER(SEARCH("Dueño",C841))+ISNUMBER(SEARCH("Director General",C841))+ISNUMBER(SEARCH("Presidente",C841))+ISNUMBER(SEARCH("President",C841))&gt;0,'Configuración'!$B$31,IF(ISNUMBER(SEARCH("CMO",C841))+ISNUMBER(SEARCH("Chief Marketing",C841))+ISNUMBER(SEARCH("VP Marketing",C841))+ISNUMBER(SEARCH("Director de Marketing",C841))+ISNUMBER(SEARCH("Director Marketing",C841))+ISNUMBER(SEARCH("Head of Marketing",C841))+ISNUMBER(SEARCH("Head Marketing",C841))&gt;0,'Configuración'!$B$32,IF(ISNUMBER(SEARCH("Marketing Manager",C841))+ISNUMBER(SEARCH("Gerente de Marketing",C841))+ISNUMBER(SEARCH("Growth Manager",C841))+ISNUMBER(SEARCH("Demand Gen",C841))+ISNUMBER(SEARCH("Marketing Lead",C841))&gt;0,'Configuración'!$B$33,IF(ISNUMBER(SEARCH("COO",C841))+ISNUMBER(SEARCH("CFO",C841))+ISNUMBER(SEARCH("CTO",C841))+ISNUMBER(SEARCH("Chief Operating",C841))+ISNUMBER(SEARCH("Chief Financial",C841))+ISNUMBER(SEARCH("Gerente General",C841))+ISNUMBER(SEARCH("General Manager",C841))&gt;0,'Configuración'!$B$34,'Configuración'!$B$35)))))</f>
        <v>12</v>
      </c>
      <c r="V841" s="38">
        <f>IF(B841="","",IF(K841="Sí",'Configuración'!$B$5,0)+IF(L841="Semanal",'Configuración'!$B$6,IF(L841="Mensual",'Configuración'!$B$7,0))+IF(M841="Sí",'Configuración'!$B$8,0)+IF(N841="Sí",'Configuración'!$B$9,0)+IF(O841="Sí",'Configuración'!$B$10,0)+IF(P841="Sí",'Configuración'!$B$11,0)+IF(Q841="Sí",'Configuración'!$B$12,0)+S841+T841+U841)</f>
        <v>28</v>
      </c>
      <c r="W841" s="39" t="str">
        <f>IF(B841="","",IF(V841&gt;='Configuración'!$B$19,"A",IF(V841&gt;='Configuración'!$B$20,"B",IF(V841&gt;='Configuración'!$B$21,"C","Descarte"))))</f>
        <v>C</v>
      </c>
    </row>
    <row r="842" ht="15.75" customHeight="1">
      <c r="A842" s="34">
        <f t="shared" si="1"/>
        <v>840</v>
      </c>
      <c r="B842" s="29" t="s">
        <v>4955</v>
      </c>
      <c r="C842" s="29" t="s">
        <v>4657</v>
      </c>
      <c r="D842" s="29" t="s">
        <v>4956</v>
      </c>
      <c r="E842" s="29" t="s">
        <v>4957</v>
      </c>
      <c r="F842" s="30" t="s">
        <v>4958</v>
      </c>
      <c r="G842" s="30" t="s">
        <v>4959</v>
      </c>
      <c r="H842" s="30" t="s">
        <v>4960</v>
      </c>
      <c r="I842" s="29" t="s">
        <v>127</v>
      </c>
      <c r="J842" s="31">
        <v>34.0</v>
      </c>
      <c r="K842" s="35"/>
      <c r="L842" s="35"/>
      <c r="M842" s="35"/>
      <c r="N842" s="35"/>
      <c r="O842" s="35"/>
      <c r="P842" s="35"/>
      <c r="Q842" s="35"/>
      <c r="R842" s="35"/>
      <c r="S842" s="37">
        <f>IF(B842="","",IF(ISNUMBER(J842),IF(J842&lt;=10,'Configuración'!$B$23,IF(J842&lt;=50,'Configuración'!$B$24,IF(J842&lt;=200,'Configuración'!$B$25,0))),0))</f>
        <v>4</v>
      </c>
      <c r="T842" s="37">
        <f>IF(B842="","",IF(ISNUMBER(SEARCH("information technology",I842))+ISNUMBER(SEARCH("software",I842))+ISNUMBER(SEARCH("internet",I842))+ISNUMBER(SEARCH("computer",I842))+ISNUMBER(SEARCH("saas",I842))+ISNUMBER(SEARCH("fintech",I842))+ISNUMBER(SEARCH("information services",I842))+ISNUMBER(SEARCH("telecommunications",I842))&gt;0,'Configuración'!$B$27,'Configuración'!$B$28))</f>
        <v>12</v>
      </c>
      <c r="U842" s="25">
        <f>IF(B842="","",IF(ISNUMBER(SEARCH("CEO",C842))+ISNUMBER(SEARCH("Founder",C842))+ISNUMBER(SEARCH("Owner",C842))+ISNUMBER(SEARCH("Dueño",C842))+ISNUMBER(SEARCH("Director General",C842))+ISNUMBER(SEARCH("Presidente",C842))+ISNUMBER(SEARCH("President",C842))&gt;0,'Configuración'!$B$31,IF(ISNUMBER(SEARCH("CMO",C842))+ISNUMBER(SEARCH("Chief Marketing",C842))+ISNUMBER(SEARCH("VP Marketing",C842))+ISNUMBER(SEARCH("Director de Marketing",C842))+ISNUMBER(SEARCH("Director Marketing",C842))+ISNUMBER(SEARCH("Head of Marketing",C842))+ISNUMBER(SEARCH("Head Marketing",C842))&gt;0,'Configuración'!$B$32,IF(ISNUMBER(SEARCH("Marketing Manager",C842))+ISNUMBER(SEARCH("Gerente de Marketing",C842))+ISNUMBER(SEARCH("Growth Manager",C842))+ISNUMBER(SEARCH("Demand Gen",C842))+ISNUMBER(SEARCH("Marketing Lead",C842))&gt;0,'Configuración'!$B$33,IF(ISNUMBER(SEARCH("COO",C842))+ISNUMBER(SEARCH("CFO",C842))+ISNUMBER(SEARCH("CTO",C842))+ISNUMBER(SEARCH("Chief Operating",C842))+ISNUMBER(SEARCH("Chief Financial",C842))+ISNUMBER(SEARCH("Gerente General",C842))+ISNUMBER(SEARCH("General Manager",C842))&gt;0,'Configuración'!$B$34,'Configuración'!$B$35)))))</f>
        <v>12</v>
      </c>
      <c r="V842" s="38">
        <f>IF(B842="","",IF(K842="Sí",'Configuración'!$B$5,0)+IF(L842="Semanal",'Configuración'!$B$6,IF(L842="Mensual",'Configuración'!$B$7,0))+IF(M842="Sí",'Configuración'!$B$8,0)+IF(N842="Sí",'Configuración'!$B$9,0)+IF(O842="Sí",'Configuración'!$B$10,0)+IF(P842="Sí",'Configuración'!$B$11,0)+IF(Q842="Sí",'Configuración'!$B$12,0)+S842+T842+U842)</f>
        <v>28</v>
      </c>
      <c r="W842" s="39" t="str">
        <f>IF(B842="","",IF(V842&gt;='Configuración'!$B$19,"A",IF(V842&gt;='Configuración'!$B$20,"B",IF(V842&gt;='Configuración'!$B$21,"C","Descarte"))))</f>
        <v>C</v>
      </c>
    </row>
    <row r="843" ht="15.75" customHeight="1">
      <c r="A843" s="34">
        <f t="shared" si="1"/>
        <v>841</v>
      </c>
      <c r="B843" s="29" t="s">
        <v>4961</v>
      </c>
      <c r="C843" s="29" t="s">
        <v>1535</v>
      </c>
      <c r="D843" s="29" t="s">
        <v>4962</v>
      </c>
      <c r="E843" s="29" t="s">
        <v>4963</v>
      </c>
      <c r="F843" s="30" t="s">
        <v>4964</v>
      </c>
      <c r="G843" s="30" t="s">
        <v>4965</v>
      </c>
      <c r="H843" s="30" t="s">
        <v>4966</v>
      </c>
      <c r="I843" s="29" t="s">
        <v>946</v>
      </c>
      <c r="J843" s="31">
        <v>3.0</v>
      </c>
      <c r="K843" s="35"/>
      <c r="L843" s="35"/>
      <c r="M843" s="35"/>
      <c r="N843" s="35"/>
      <c r="O843" s="35"/>
      <c r="P843" s="35"/>
      <c r="Q843" s="35"/>
      <c r="R843" s="35"/>
      <c r="S843" s="37">
        <f>IF(B843="","",IF(ISNUMBER(J843),IF(J843&lt;=10,'Configuración'!$B$23,IF(J843&lt;=50,'Configuración'!$B$24,IF(J843&lt;=200,'Configuración'!$B$25,0))),0))</f>
        <v>12</v>
      </c>
      <c r="T843" s="37">
        <f>IF(B843="","",IF(ISNUMBER(SEARCH("information technology",I843))+ISNUMBER(SEARCH("software",I843))+ISNUMBER(SEARCH("internet",I843))+ISNUMBER(SEARCH("computer",I843))+ISNUMBER(SEARCH("saas",I843))+ISNUMBER(SEARCH("fintech",I843))+ISNUMBER(SEARCH("information services",I843))+ISNUMBER(SEARCH("telecommunications",I843))&gt;0,'Configuración'!$B$27,'Configuración'!$B$28))</f>
        <v>4</v>
      </c>
      <c r="U843" s="25">
        <f>IF(B843="","",IF(ISNUMBER(SEARCH("CEO",C843))+ISNUMBER(SEARCH("Founder",C843))+ISNUMBER(SEARCH("Owner",C843))+ISNUMBER(SEARCH("Dueño",C843))+ISNUMBER(SEARCH("Director General",C843))+ISNUMBER(SEARCH("Presidente",C843))+ISNUMBER(SEARCH("President",C843))&gt;0,'Configuración'!$B$31,IF(ISNUMBER(SEARCH("CMO",C843))+ISNUMBER(SEARCH("Chief Marketing",C843))+ISNUMBER(SEARCH("VP Marketing",C843))+ISNUMBER(SEARCH("Director de Marketing",C843))+ISNUMBER(SEARCH("Director Marketing",C843))+ISNUMBER(SEARCH("Head of Marketing",C843))+ISNUMBER(SEARCH("Head Marketing",C843))&gt;0,'Configuración'!$B$32,IF(ISNUMBER(SEARCH("Marketing Manager",C843))+ISNUMBER(SEARCH("Gerente de Marketing",C843))+ISNUMBER(SEARCH("Growth Manager",C843))+ISNUMBER(SEARCH("Demand Gen",C843))+ISNUMBER(SEARCH("Marketing Lead",C843))&gt;0,'Configuración'!$B$33,IF(ISNUMBER(SEARCH("COO",C843))+ISNUMBER(SEARCH("CFO",C843))+ISNUMBER(SEARCH("CTO",C843))+ISNUMBER(SEARCH("Chief Operating",C843))+ISNUMBER(SEARCH("Chief Financial",C843))+ISNUMBER(SEARCH("Gerente General",C843))+ISNUMBER(SEARCH("General Manager",C843))&gt;0,'Configuración'!$B$34,'Configuración'!$B$35)))))</f>
        <v>12</v>
      </c>
      <c r="V843" s="38">
        <f>IF(B843="","",IF(K843="Sí",'Configuración'!$B$5,0)+IF(L843="Semanal",'Configuración'!$B$6,IF(L843="Mensual",'Configuración'!$B$7,0))+IF(M843="Sí",'Configuración'!$B$8,0)+IF(N843="Sí",'Configuración'!$B$9,0)+IF(O843="Sí",'Configuración'!$B$10,0)+IF(P843="Sí",'Configuración'!$B$11,0)+IF(Q843="Sí",'Configuración'!$B$12,0)+S843+T843+U843)</f>
        <v>28</v>
      </c>
      <c r="W843" s="39" t="str">
        <f>IF(B843="","",IF(V843&gt;='Configuración'!$B$19,"A",IF(V843&gt;='Configuración'!$B$20,"B",IF(V843&gt;='Configuración'!$B$21,"C","Descarte"))))</f>
        <v>C</v>
      </c>
    </row>
    <row r="844" ht="15.75" customHeight="1">
      <c r="A844" s="34">
        <f t="shared" si="1"/>
        <v>842</v>
      </c>
      <c r="B844" s="29" t="s">
        <v>501</v>
      </c>
      <c r="C844" s="29" t="s">
        <v>4967</v>
      </c>
      <c r="D844" s="29" t="s">
        <v>4968</v>
      </c>
      <c r="E844" s="29" t="s">
        <v>4969</v>
      </c>
      <c r="F844" s="30" t="s">
        <v>4970</v>
      </c>
      <c r="G844" s="30" t="s">
        <v>4971</v>
      </c>
      <c r="H844" s="30" t="s">
        <v>4972</v>
      </c>
      <c r="I844" s="29" t="s">
        <v>2694</v>
      </c>
      <c r="J844" s="31">
        <v>35.0</v>
      </c>
      <c r="K844" s="35"/>
      <c r="L844" s="35"/>
      <c r="M844" s="35"/>
      <c r="N844" s="35"/>
      <c r="O844" s="35"/>
      <c r="P844" s="35"/>
      <c r="Q844" s="35"/>
      <c r="R844" s="35"/>
      <c r="S844" s="37">
        <f>IF(B844="","",IF(ISNUMBER(J844),IF(J844&lt;=10,'Configuración'!$B$23,IF(J844&lt;=50,'Configuración'!$B$24,IF(J844&lt;=200,'Configuración'!$B$25,0))),0))</f>
        <v>4</v>
      </c>
      <c r="T844" s="37">
        <f>IF(B844="","",IF(ISNUMBER(SEARCH("information technology",I844))+ISNUMBER(SEARCH("software",I844))+ISNUMBER(SEARCH("internet",I844))+ISNUMBER(SEARCH("computer",I844))+ISNUMBER(SEARCH("saas",I844))+ISNUMBER(SEARCH("fintech",I844))+ISNUMBER(SEARCH("information services",I844))+ISNUMBER(SEARCH("telecommunications",I844))&gt;0,'Configuración'!$B$27,'Configuración'!$B$28))</f>
        <v>4</v>
      </c>
      <c r="U844" s="25">
        <f>IF(B844="","",IF(ISNUMBER(SEARCH("CEO",C844))+ISNUMBER(SEARCH("Founder",C844))+ISNUMBER(SEARCH("Owner",C844))+ISNUMBER(SEARCH("Dueño",C844))+ISNUMBER(SEARCH("Director General",C844))+ISNUMBER(SEARCH("Presidente",C844))+ISNUMBER(SEARCH("President",C844))&gt;0,'Configuración'!$B$31,IF(ISNUMBER(SEARCH("CMO",C844))+ISNUMBER(SEARCH("Chief Marketing",C844))+ISNUMBER(SEARCH("VP Marketing",C844))+ISNUMBER(SEARCH("Director de Marketing",C844))+ISNUMBER(SEARCH("Director Marketing",C844))+ISNUMBER(SEARCH("Head of Marketing",C844))+ISNUMBER(SEARCH("Head Marketing",C844))&gt;0,'Configuración'!$B$32,IF(ISNUMBER(SEARCH("Marketing Manager",C844))+ISNUMBER(SEARCH("Gerente de Marketing",C844))+ISNUMBER(SEARCH("Growth Manager",C844))+ISNUMBER(SEARCH("Demand Gen",C844))+ISNUMBER(SEARCH("Marketing Lead",C844))&gt;0,'Configuración'!$B$33,IF(ISNUMBER(SEARCH("COO",C844))+ISNUMBER(SEARCH("CFO",C844))+ISNUMBER(SEARCH("CTO",C844))+ISNUMBER(SEARCH("Chief Operating",C844))+ISNUMBER(SEARCH("Chief Financial",C844))+ISNUMBER(SEARCH("Gerente General",C844))+ISNUMBER(SEARCH("General Manager",C844))&gt;0,'Configuración'!$B$34,'Configuración'!$B$35)))))</f>
        <v>0</v>
      </c>
      <c r="V844" s="38">
        <f>IF(B844="","",IF(K844="Sí",'Configuración'!$B$5,0)+IF(L844="Semanal",'Configuración'!$B$6,IF(L844="Mensual",'Configuración'!$B$7,0))+IF(M844="Sí",'Configuración'!$B$8,0)+IF(N844="Sí",'Configuración'!$B$9,0)+IF(O844="Sí",'Configuración'!$B$10,0)+IF(P844="Sí",'Configuración'!$B$11,0)+IF(Q844="Sí",'Configuración'!$B$12,0)+S844+T844+U844)</f>
        <v>8</v>
      </c>
      <c r="W844" s="39" t="str">
        <f>IF(B844="","",IF(V844&gt;='Configuración'!$B$19,"A",IF(V844&gt;='Configuración'!$B$20,"B",IF(V844&gt;='Configuración'!$B$21,"C","Descarte"))))</f>
        <v>Descarte</v>
      </c>
    </row>
    <row r="845" ht="15.75" customHeight="1">
      <c r="A845" s="34">
        <f t="shared" si="1"/>
        <v>843</v>
      </c>
      <c r="B845" s="29" t="s">
        <v>4973</v>
      </c>
      <c r="C845" s="29" t="s">
        <v>4974</v>
      </c>
      <c r="D845" s="29" t="s">
        <v>4975</v>
      </c>
      <c r="E845" s="29" t="s">
        <v>4976</v>
      </c>
      <c r="F845" s="30" t="s">
        <v>4977</v>
      </c>
      <c r="G845" s="30" t="s">
        <v>4978</v>
      </c>
      <c r="H845" s="30" t="s">
        <v>4979</v>
      </c>
      <c r="I845" s="29" t="s">
        <v>659</v>
      </c>
      <c r="J845" s="31">
        <v>9.0</v>
      </c>
      <c r="K845" s="35"/>
      <c r="L845" s="35"/>
      <c r="M845" s="35"/>
      <c r="N845" s="35"/>
      <c r="O845" s="35"/>
      <c r="P845" s="35"/>
      <c r="Q845" s="35"/>
      <c r="R845" s="35"/>
      <c r="S845" s="37">
        <f>IF(B845="","",IF(ISNUMBER(J845),IF(J845&lt;=10,'Configuración'!$B$23,IF(J845&lt;=50,'Configuración'!$B$24,IF(J845&lt;=200,'Configuración'!$B$25,0))),0))</f>
        <v>12</v>
      </c>
      <c r="T845" s="37">
        <f>IF(B845="","",IF(ISNUMBER(SEARCH("information technology",I845))+ISNUMBER(SEARCH("software",I845))+ISNUMBER(SEARCH("internet",I845))+ISNUMBER(SEARCH("computer",I845))+ISNUMBER(SEARCH("saas",I845))+ISNUMBER(SEARCH("fintech",I845))+ISNUMBER(SEARCH("information services",I845))+ISNUMBER(SEARCH("telecommunications",I845))&gt;0,'Configuración'!$B$27,'Configuración'!$B$28))</f>
        <v>4</v>
      </c>
      <c r="U845" s="25">
        <f>IF(B845="","",IF(ISNUMBER(SEARCH("CEO",C845))+ISNUMBER(SEARCH("Founder",C845))+ISNUMBER(SEARCH("Owner",C845))+ISNUMBER(SEARCH("Dueño",C845))+ISNUMBER(SEARCH("Director General",C845))+ISNUMBER(SEARCH("Presidente",C845))+ISNUMBER(SEARCH("President",C845))&gt;0,'Configuración'!$B$31,IF(ISNUMBER(SEARCH("CMO",C845))+ISNUMBER(SEARCH("Chief Marketing",C845))+ISNUMBER(SEARCH("VP Marketing",C845))+ISNUMBER(SEARCH("Director de Marketing",C845))+ISNUMBER(SEARCH("Director Marketing",C845))+ISNUMBER(SEARCH("Head of Marketing",C845))+ISNUMBER(SEARCH("Head Marketing",C845))&gt;0,'Configuración'!$B$32,IF(ISNUMBER(SEARCH("Marketing Manager",C845))+ISNUMBER(SEARCH("Gerente de Marketing",C845))+ISNUMBER(SEARCH("Growth Manager",C845))+ISNUMBER(SEARCH("Demand Gen",C845))+ISNUMBER(SEARCH("Marketing Lead",C845))&gt;0,'Configuración'!$B$33,IF(ISNUMBER(SEARCH("COO",C845))+ISNUMBER(SEARCH("CFO",C845))+ISNUMBER(SEARCH("CTO",C845))+ISNUMBER(SEARCH("Chief Operating",C845))+ISNUMBER(SEARCH("Chief Financial",C845))+ISNUMBER(SEARCH("Gerente General",C845))+ISNUMBER(SEARCH("General Manager",C845))&gt;0,'Configuración'!$B$34,'Configuración'!$B$35)))))</f>
        <v>12</v>
      </c>
      <c r="V845" s="38">
        <f>IF(B845="","",IF(K845="Sí",'Configuración'!$B$5,0)+IF(L845="Semanal",'Configuración'!$B$6,IF(L845="Mensual",'Configuración'!$B$7,0))+IF(M845="Sí",'Configuración'!$B$8,0)+IF(N845="Sí",'Configuración'!$B$9,0)+IF(O845="Sí",'Configuración'!$B$10,0)+IF(P845="Sí",'Configuración'!$B$11,0)+IF(Q845="Sí",'Configuración'!$B$12,0)+S845+T845+U845)</f>
        <v>28</v>
      </c>
      <c r="W845" s="39" t="str">
        <f>IF(B845="","",IF(V845&gt;='Configuración'!$B$19,"A",IF(V845&gt;='Configuración'!$B$20,"B",IF(V845&gt;='Configuración'!$B$21,"C","Descarte"))))</f>
        <v>C</v>
      </c>
    </row>
    <row r="846" ht="15.75" customHeight="1">
      <c r="A846" s="34">
        <f t="shared" si="1"/>
        <v>844</v>
      </c>
      <c r="B846" s="29" t="s">
        <v>1814</v>
      </c>
      <c r="C846" s="29" t="s">
        <v>1898</v>
      </c>
      <c r="D846" s="29" t="s">
        <v>4980</v>
      </c>
      <c r="E846" s="29" t="s">
        <v>4981</v>
      </c>
      <c r="F846" s="30" t="s">
        <v>4982</v>
      </c>
      <c r="G846" s="30" t="s">
        <v>4983</v>
      </c>
      <c r="H846" s="30" t="s">
        <v>4984</v>
      </c>
      <c r="I846" s="29" t="s">
        <v>310</v>
      </c>
      <c r="J846" s="31">
        <v>3.0</v>
      </c>
      <c r="K846" s="35"/>
      <c r="L846" s="35"/>
      <c r="M846" s="35"/>
      <c r="N846" s="35"/>
      <c r="O846" s="35"/>
      <c r="P846" s="35"/>
      <c r="Q846" s="35"/>
      <c r="R846" s="35"/>
      <c r="S846" s="37">
        <f>IF(B846="","",IF(ISNUMBER(J846),IF(J846&lt;=10,'Configuración'!$B$23,IF(J846&lt;=50,'Configuración'!$B$24,IF(J846&lt;=200,'Configuración'!$B$25,0))),0))</f>
        <v>12</v>
      </c>
      <c r="T846" s="37">
        <f>IF(B846="","",IF(ISNUMBER(SEARCH("information technology",I846))+ISNUMBER(SEARCH("software",I846))+ISNUMBER(SEARCH("internet",I846))+ISNUMBER(SEARCH("computer",I846))+ISNUMBER(SEARCH("saas",I846))+ISNUMBER(SEARCH("fintech",I846))+ISNUMBER(SEARCH("information services",I846))+ISNUMBER(SEARCH("telecommunications",I846))&gt;0,'Configuración'!$B$27,'Configuración'!$B$28))</f>
        <v>4</v>
      </c>
      <c r="U846" s="25">
        <f>IF(B846="","",IF(ISNUMBER(SEARCH("CEO",C846))+ISNUMBER(SEARCH("Founder",C846))+ISNUMBER(SEARCH("Owner",C846))+ISNUMBER(SEARCH("Dueño",C846))+ISNUMBER(SEARCH("Director General",C846))+ISNUMBER(SEARCH("Presidente",C846))+ISNUMBER(SEARCH("President",C846))&gt;0,'Configuración'!$B$31,IF(ISNUMBER(SEARCH("CMO",C846))+ISNUMBER(SEARCH("Chief Marketing",C846))+ISNUMBER(SEARCH("VP Marketing",C846))+ISNUMBER(SEARCH("Director de Marketing",C846))+ISNUMBER(SEARCH("Director Marketing",C846))+ISNUMBER(SEARCH("Head of Marketing",C846))+ISNUMBER(SEARCH("Head Marketing",C846))&gt;0,'Configuración'!$B$32,IF(ISNUMBER(SEARCH("Marketing Manager",C846))+ISNUMBER(SEARCH("Gerente de Marketing",C846))+ISNUMBER(SEARCH("Growth Manager",C846))+ISNUMBER(SEARCH("Demand Gen",C846))+ISNUMBER(SEARCH("Marketing Lead",C846))&gt;0,'Configuración'!$B$33,IF(ISNUMBER(SEARCH("COO",C846))+ISNUMBER(SEARCH("CFO",C846))+ISNUMBER(SEARCH("CTO",C846))+ISNUMBER(SEARCH("Chief Operating",C846))+ISNUMBER(SEARCH("Chief Financial",C846))+ISNUMBER(SEARCH("Gerente General",C846))+ISNUMBER(SEARCH("General Manager",C846))&gt;0,'Configuración'!$B$34,'Configuración'!$B$35)))))</f>
        <v>12</v>
      </c>
      <c r="V846" s="38">
        <f>IF(B846="","",IF(K846="Sí",'Configuración'!$B$5,0)+IF(L846="Semanal",'Configuración'!$B$6,IF(L846="Mensual",'Configuración'!$B$7,0))+IF(M846="Sí",'Configuración'!$B$8,0)+IF(N846="Sí",'Configuración'!$B$9,0)+IF(O846="Sí",'Configuración'!$B$10,0)+IF(P846="Sí",'Configuración'!$B$11,0)+IF(Q846="Sí",'Configuración'!$B$12,0)+S846+T846+U846)</f>
        <v>28</v>
      </c>
      <c r="W846" s="39" t="str">
        <f>IF(B846="","",IF(V846&gt;='Configuración'!$B$19,"A",IF(V846&gt;='Configuración'!$B$20,"B",IF(V846&gt;='Configuración'!$B$21,"C","Descarte"))))</f>
        <v>C</v>
      </c>
    </row>
    <row r="847" ht="15.75" customHeight="1">
      <c r="A847" s="34">
        <f t="shared" si="1"/>
        <v>845</v>
      </c>
      <c r="B847" s="29" t="s">
        <v>181</v>
      </c>
      <c r="C847" s="29" t="s">
        <v>4985</v>
      </c>
      <c r="D847" s="29" t="s">
        <v>4986</v>
      </c>
      <c r="E847" s="29" t="s">
        <v>4987</v>
      </c>
      <c r="F847" s="30" t="s">
        <v>4988</v>
      </c>
      <c r="G847" s="30" t="s">
        <v>4989</v>
      </c>
      <c r="H847" s="30" t="s">
        <v>4990</v>
      </c>
      <c r="I847" s="29" t="s">
        <v>116</v>
      </c>
      <c r="J847" s="31">
        <v>9.0</v>
      </c>
      <c r="K847" s="35"/>
      <c r="L847" s="35"/>
      <c r="M847" s="35"/>
      <c r="N847" s="35"/>
      <c r="O847" s="35"/>
      <c r="P847" s="35"/>
      <c r="Q847" s="35"/>
      <c r="R847" s="35"/>
      <c r="S847" s="37">
        <f>IF(B847="","",IF(ISNUMBER(J847),IF(J847&lt;=10,'Configuración'!$B$23,IF(J847&lt;=50,'Configuración'!$B$24,IF(J847&lt;=200,'Configuración'!$B$25,0))),0))</f>
        <v>12</v>
      </c>
      <c r="T847" s="37">
        <f>IF(B847="","",IF(ISNUMBER(SEARCH("information technology",I847))+ISNUMBER(SEARCH("software",I847))+ISNUMBER(SEARCH("internet",I847))+ISNUMBER(SEARCH("computer",I847))+ISNUMBER(SEARCH("saas",I847))+ISNUMBER(SEARCH("fintech",I847))+ISNUMBER(SEARCH("information services",I847))+ISNUMBER(SEARCH("telecommunications",I847))&gt;0,'Configuración'!$B$27,'Configuración'!$B$28))</f>
        <v>4</v>
      </c>
      <c r="U847" s="25">
        <f>IF(B847="","",IF(ISNUMBER(SEARCH("CEO",C847))+ISNUMBER(SEARCH("Founder",C847))+ISNUMBER(SEARCH("Owner",C847))+ISNUMBER(SEARCH("Dueño",C847))+ISNUMBER(SEARCH("Director General",C847))+ISNUMBER(SEARCH("Presidente",C847))+ISNUMBER(SEARCH("President",C847))&gt;0,'Configuración'!$B$31,IF(ISNUMBER(SEARCH("CMO",C847))+ISNUMBER(SEARCH("Chief Marketing",C847))+ISNUMBER(SEARCH("VP Marketing",C847))+ISNUMBER(SEARCH("Director de Marketing",C847))+ISNUMBER(SEARCH("Director Marketing",C847))+ISNUMBER(SEARCH("Head of Marketing",C847))+ISNUMBER(SEARCH("Head Marketing",C847))&gt;0,'Configuración'!$B$32,IF(ISNUMBER(SEARCH("Marketing Manager",C847))+ISNUMBER(SEARCH("Gerente de Marketing",C847))+ISNUMBER(SEARCH("Growth Manager",C847))+ISNUMBER(SEARCH("Demand Gen",C847))+ISNUMBER(SEARCH("Marketing Lead",C847))&gt;0,'Configuración'!$B$33,IF(ISNUMBER(SEARCH("COO",C847))+ISNUMBER(SEARCH("CFO",C847))+ISNUMBER(SEARCH("CTO",C847))+ISNUMBER(SEARCH("Chief Operating",C847))+ISNUMBER(SEARCH("Chief Financial",C847))+ISNUMBER(SEARCH("Gerente General",C847))+ISNUMBER(SEARCH("General Manager",C847))&gt;0,'Configuración'!$B$34,'Configuración'!$B$35)))))</f>
        <v>12</v>
      </c>
      <c r="V847" s="38">
        <f>IF(B847="","",IF(K847="Sí",'Configuración'!$B$5,0)+IF(L847="Semanal",'Configuración'!$B$6,IF(L847="Mensual",'Configuración'!$B$7,0))+IF(M847="Sí",'Configuración'!$B$8,0)+IF(N847="Sí",'Configuración'!$B$9,0)+IF(O847="Sí",'Configuración'!$B$10,0)+IF(P847="Sí",'Configuración'!$B$11,0)+IF(Q847="Sí",'Configuración'!$B$12,0)+S847+T847+U847)</f>
        <v>28</v>
      </c>
      <c r="W847" s="39" t="str">
        <f>IF(B847="","",IF(V847&gt;='Configuración'!$B$19,"A",IF(V847&gt;='Configuración'!$B$20,"B",IF(V847&gt;='Configuración'!$B$21,"C","Descarte"))))</f>
        <v>C</v>
      </c>
    </row>
    <row r="848" ht="15.75" customHeight="1">
      <c r="A848" s="34">
        <f t="shared" si="1"/>
        <v>846</v>
      </c>
      <c r="B848" s="29" t="s">
        <v>4991</v>
      </c>
      <c r="C848" s="29" t="s">
        <v>131</v>
      </c>
      <c r="D848" s="29" t="s">
        <v>4992</v>
      </c>
      <c r="E848" s="29" t="s">
        <v>4993</v>
      </c>
      <c r="F848" s="30" t="s">
        <v>4994</v>
      </c>
      <c r="G848" s="30" t="s">
        <v>4995</v>
      </c>
      <c r="H848" s="30" t="s">
        <v>4996</v>
      </c>
      <c r="I848" s="29" t="s">
        <v>616</v>
      </c>
      <c r="J848" s="31">
        <v>12.0</v>
      </c>
      <c r="K848" s="35"/>
      <c r="L848" s="35"/>
      <c r="M848" s="35"/>
      <c r="N848" s="35"/>
      <c r="O848" s="35"/>
      <c r="P848" s="35"/>
      <c r="Q848" s="35"/>
      <c r="R848" s="35"/>
      <c r="S848" s="37">
        <f>IF(B848="","",IF(ISNUMBER(J848),IF(J848&lt;=10,'Configuración'!$B$23,IF(J848&lt;=50,'Configuración'!$B$24,IF(J848&lt;=200,'Configuración'!$B$25,0))),0))</f>
        <v>4</v>
      </c>
      <c r="T848" s="37">
        <f>IF(B848="","",IF(ISNUMBER(SEARCH("information technology",I848))+ISNUMBER(SEARCH("software",I848))+ISNUMBER(SEARCH("internet",I848))+ISNUMBER(SEARCH("computer",I848))+ISNUMBER(SEARCH("saas",I848))+ISNUMBER(SEARCH("fintech",I848))+ISNUMBER(SEARCH("information services",I848))+ISNUMBER(SEARCH("telecommunications",I848))&gt;0,'Configuración'!$B$27,'Configuración'!$B$28))</f>
        <v>4</v>
      </c>
      <c r="U848" s="25">
        <f>IF(B848="","",IF(ISNUMBER(SEARCH("CEO",C848))+ISNUMBER(SEARCH("Founder",C848))+ISNUMBER(SEARCH("Owner",C848))+ISNUMBER(SEARCH("Dueño",C848))+ISNUMBER(SEARCH("Director General",C848))+ISNUMBER(SEARCH("Presidente",C848))+ISNUMBER(SEARCH("President",C848))&gt;0,'Configuración'!$B$31,IF(ISNUMBER(SEARCH("CMO",C848))+ISNUMBER(SEARCH("Chief Marketing",C848))+ISNUMBER(SEARCH("VP Marketing",C848))+ISNUMBER(SEARCH("Director de Marketing",C848))+ISNUMBER(SEARCH("Director Marketing",C848))+ISNUMBER(SEARCH("Head of Marketing",C848))+ISNUMBER(SEARCH("Head Marketing",C848))&gt;0,'Configuración'!$B$32,IF(ISNUMBER(SEARCH("Marketing Manager",C848))+ISNUMBER(SEARCH("Gerente de Marketing",C848))+ISNUMBER(SEARCH("Growth Manager",C848))+ISNUMBER(SEARCH("Demand Gen",C848))+ISNUMBER(SEARCH("Marketing Lead",C848))&gt;0,'Configuración'!$B$33,IF(ISNUMBER(SEARCH("COO",C848))+ISNUMBER(SEARCH("CFO",C848))+ISNUMBER(SEARCH("CTO",C848))+ISNUMBER(SEARCH("Chief Operating",C848))+ISNUMBER(SEARCH("Chief Financial",C848))+ISNUMBER(SEARCH("Gerente General",C848))+ISNUMBER(SEARCH("General Manager",C848))&gt;0,'Configuración'!$B$34,'Configuración'!$B$35)))))</f>
        <v>12</v>
      </c>
      <c r="V848" s="38">
        <f>IF(B848="","",IF(K848="Sí",'Configuración'!$B$5,0)+IF(L848="Semanal",'Configuración'!$B$6,IF(L848="Mensual",'Configuración'!$B$7,0))+IF(M848="Sí",'Configuración'!$B$8,0)+IF(N848="Sí",'Configuración'!$B$9,0)+IF(O848="Sí",'Configuración'!$B$10,0)+IF(P848="Sí",'Configuración'!$B$11,0)+IF(Q848="Sí",'Configuración'!$B$12,0)+S848+T848+U848)</f>
        <v>20</v>
      </c>
      <c r="W848" s="39" t="str">
        <f>IF(B848="","",IF(V848&gt;='Configuración'!$B$19,"A",IF(V848&gt;='Configuración'!$B$20,"B",IF(V848&gt;='Configuración'!$B$21,"C","Descarte"))))</f>
        <v>Descarte</v>
      </c>
    </row>
    <row r="849" ht="15.75" customHeight="1">
      <c r="A849" s="34">
        <f t="shared" si="1"/>
        <v>847</v>
      </c>
      <c r="B849" s="29" t="s">
        <v>236</v>
      </c>
      <c r="C849" s="29" t="s">
        <v>763</v>
      </c>
      <c r="D849" s="29" t="s">
        <v>4997</v>
      </c>
      <c r="E849" s="29" t="s">
        <v>4998</v>
      </c>
      <c r="F849" s="30" t="s">
        <v>4999</v>
      </c>
      <c r="G849" s="30" t="s">
        <v>5000</v>
      </c>
      <c r="H849" s="30" t="s">
        <v>5001</v>
      </c>
      <c r="I849" s="29" t="s">
        <v>1245</v>
      </c>
      <c r="J849" s="31">
        <v>13.0</v>
      </c>
      <c r="K849" s="35"/>
      <c r="L849" s="35"/>
      <c r="M849" s="35"/>
      <c r="N849" s="35"/>
      <c r="O849" s="35"/>
      <c r="P849" s="35"/>
      <c r="Q849" s="35"/>
      <c r="R849" s="35"/>
      <c r="S849" s="37">
        <f>IF(B849="","",IF(ISNUMBER(J849),IF(J849&lt;=10,'Configuración'!$B$23,IF(J849&lt;=50,'Configuración'!$B$24,IF(J849&lt;=200,'Configuración'!$B$25,0))),0))</f>
        <v>4</v>
      </c>
      <c r="T849" s="37">
        <f>IF(B849="","",IF(ISNUMBER(SEARCH("information technology",I849))+ISNUMBER(SEARCH("software",I849))+ISNUMBER(SEARCH("internet",I849))+ISNUMBER(SEARCH("computer",I849))+ISNUMBER(SEARCH("saas",I849))+ISNUMBER(SEARCH("fintech",I849))+ISNUMBER(SEARCH("information services",I849))+ISNUMBER(SEARCH("telecommunications",I849))&gt;0,'Configuración'!$B$27,'Configuración'!$B$28))</f>
        <v>4</v>
      </c>
      <c r="U849" s="25">
        <f>IF(B849="","",IF(ISNUMBER(SEARCH("CEO",C849))+ISNUMBER(SEARCH("Founder",C849))+ISNUMBER(SEARCH("Owner",C849))+ISNUMBER(SEARCH("Dueño",C849))+ISNUMBER(SEARCH("Director General",C849))+ISNUMBER(SEARCH("Presidente",C849))+ISNUMBER(SEARCH("President",C849))&gt;0,'Configuración'!$B$31,IF(ISNUMBER(SEARCH("CMO",C849))+ISNUMBER(SEARCH("Chief Marketing",C849))+ISNUMBER(SEARCH("VP Marketing",C849))+ISNUMBER(SEARCH("Director de Marketing",C849))+ISNUMBER(SEARCH("Director Marketing",C849))+ISNUMBER(SEARCH("Head of Marketing",C849))+ISNUMBER(SEARCH("Head Marketing",C849))&gt;0,'Configuración'!$B$32,IF(ISNUMBER(SEARCH("Marketing Manager",C849))+ISNUMBER(SEARCH("Gerente de Marketing",C849))+ISNUMBER(SEARCH("Growth Manager",C849))+ISNUMBER(SEARCH("Demand Gen",C849))+ISNUMBER(SEARCH("Marketing Lead",C849))&gt;0,'Configuración'!$B$33,IF(ISNUMBER(SEARCH("COO",C849))+ISNUMBER(SEARCH("CFO",C849))+ISNUMBER(SEARCH("CTO",C849))+ISNUMBER(SEARCH("Chief Operating",C849))+ISNUMBER(SEARCH("Chief Financial",C849))+ISNUMBER(SEARCH("Gerente General",C849))+ISNUMBER(SEARCH("General Manager",C849))&gt;0,'Configuración'!$B$34,'Configuración'!$B$35)))))</f>
        <v>12</v>
      </c>
      <c r="V849" s="38">
        <f>IF(B849="","",IF(K849="Sí",'Configuración'!$B$5,0)+IF(L849="Semanal",'Configuración'!$B$6,IF(L849="Mensual",'Configuración'!$B$7,0))+IF(M849="Sí",'Configuración'!$B$8,0)+IF(N849="Sí",'Configuración'!$B$9,0)+IF(O849="Sí",'Configuración'!$B$10,0)+IF(P849="Sí",'Configuración'!$B$11,0)+IF(Q849="Sí",'Configuración'!$B$12,0)+S849+T849+U849)</f>
        <v>20</v>
      </c>
      <c r="W849" s="39" t="str">
        <f>IF(B849="","",IF(V849&gt;='Configuración'!$B$19,"A",IF(V849&gt;='Configuración'!$B$20,"B",IF(V849&gt;='Configuración'!$B$21,"C","Descarte"))))</f>
        <v>Descarte</v>
      </c>
    </row>
    <row r="850" ht="15.75" customHeight="1">
      <c r="A850" s="34">
        <f t="shared" si="1"/>
        <v>848</v>
      </c>
      <c r="B850" s="29" t="s">
        <v>262</v>
      </c>
      <c r="C850" s="29" t="s">
        <v>146</v>
      </c>
      <c r="D850" s="29" t="s">
        <v>5002</v>
      </c>
      <c r="E850" s="29" t="s">
        <v>5003</v>
      </c>
      <c r="F850" s="30" t="s">
        <v>5004</v>
      </c>
      <c r="G850" s="30" t="s">
        <v>5005</v>
      </c>
      <c r="H850" s="30" t="s">
        <v>5006</v>
      </c>
      <c r="I850" s="29" t="s">
        <v>188</v>
      </c>
      <c r="J850" s="31">
        <v>1.0</v>
      </c>
      <c r="K850" s="35"/>
      <c r="L850" s="35"/>
      <c r="M850" s="35"/>
      <c r="N850" s="35"/>
      <c r="O850" s="35"/>
      <c r="P850" s="35"/>
      <c r="Q850" s="35"/>
      <c r="R850" s="35"/>
      <c r="S850" s="37">
        <f>IF(B850="","",IF(ISNUMBER(J850),IF(J850&lt;=10,'Configuración'!$B$23,IF(J850&lt;=50,'Configuración'!$B$24,IF(J850&lt;=200,'Configuración'!$B$25,0))),0))</f>
        <v>12</v>
      </c>
      <c r="T850" s="37">
        <f>IF(B850="","",IF(ISNUMBER(SEARCH("information technology",I850))+ISNUMBER(SEARCH("software",I850))+ISNUMBER(SEARCH("internet",I850))+ISNUMBER(SEARCH("computer",I850))+ISNUMBER(SEARCH("saas",I850))+ISNUMBER(SEARCH("fintech",I850))+ISNUMBER(SEARCH("information services",I850))+ISNUMBER(SEARCH("telecommunications",I850))&gt;0,'Configuración'!$B$27,'Configuración'!$B$28))</f>
        <v>4</v>
      </c>
      <c r="U850" s="25">
        <f>IF(B850="","",IF(ISNUMBER(SEARCH("CEO",C850))+ISNUMBER(SEARCH("Founder",C850))+ISNUMBER(SEARCH("Owner",C850))+ISNUMBER(SEARCH("Dueño",C850))+ISNUMBER(SEARCH("Director General",C850))+ISNUMBER(SEARCH("Presidente",C850))+ISNUMBER(SEARCH("President",C850))&gt;0,'Configuración'!$B$31,IF(ISNUMBER(SEARCH("CMO",C850))+ISNUMBER(SEARCH("Chief Marketing",C850))+ISNUMBER(SEARCH("VP Marketing",C850))+ISNUMBER(SEARCH("Director de Marketing",C850))+ISNUMBER(SEARCH("Director Marketing",C850))+ISNUMBER(SEARCH("Head of Marketing",C850))+ISNUMBER(SEARCH("Head Marketing",C850))&gt;0,'Configuración'!$B$32,IF(ISNUMBER(SEARCH("Marketing Manager",C850))+ISNUMBER(SEARCH("Gerente de Marketing",C850))+ISNUMBER(SEARCH("Growth Manager",C850))+ISNUMBER(SEARCH("Demand Gen",C850))+ISNUMBER(SEARCH("Marketing Lead",C850))&gt;0,'Configuración'!$B$33,IF(ISNUMBER(SEARCH("COO",C850))+ISNUMBER(SEARCH("CFO",C850))+ISNUMBER(SEARCH("CTO",C850))+ISNUMBER(SEARCH("Chief Operating",C850))+ISNUMBER(SEARCH("Chief Financial",C850))+ISNUMBER(SEARCH("Gerente General",C850))+ISNUMBER(SEARCH("General Manager",C850))&gt;0,'Configuración'!$B$34,'Configuración'!$B$35)))))</f>
        <v>0</v>
      </c>
      <c r="V850" s="38">
        <f>IF(B850="","",IF(K850="Sí",'Configuración'!$B$5,0)+IF(L850="Semanal",'Configuración'!$B$6,IF(L850="Mensual",'Configuración'!$B$7,0))+IF(M850="Sí",'Configuración'!$B$8,0)+IF(N850="Sí",'Configuración'!$B$9,0)+IF(O850="Sí",'Configuración'!$B$10,0)+IF(P850="Sí",'Configuración'!$B$11,0)+IF(Q850="Sí",'Configuración'!$B$12,0)+S850+T850+U850)</f>
        <v>16</v>
      </c>
      <c r="W850" s="39" t="str">
        <f>IF(B850="","",IF(V850&gt;='Configuración'!$B$19,"A",IF(V850&gt;='Configuración'!$B$20,"B",IF(V850&gt;='Configuración'!$B$21,"C","Descarte"))))</f>
        <v>Descarte</v>
      </c>
    </row>
    <row r="851" ht="15.75" customHeight="1">
      <c r="A851" s="34">
        <f t="shared" si="1"/>
        <v>849</v>
      </c>
      <c r="B851" s="29" t="s">
        <v>138</v>
      </c>
      <c r="C851" s="29" t="s">
        <v>597</v>
      </c>
      <c r="D851" s="29" t="s">
        <v>5007</v>
      </c>
      <c r="E851" s="29" t="s">
        <v>5008</v>
      </c>
      <c r="F851" s="30" t="s">
        <v>5009</v>
      </c>
      <c r="G851" s="30" t="s">
        <v>5010</v>
      </c>
      <c r="H851" s="30" t="s">
        <v>5011</v>
      </c>
      <c r="I851" s="29" t="s">
        <v>769</v>
      </c>
      <c r="J851" s="31">
        <v>19.0</v>
      </c>
      <c r="K851" s="35"/>
      <c r="L851" s="35"/>
      <c r="M851" s="35"/>
      <c r="N851" s="35"/>
      <c r="O851" s="35"/>
      <c r="P851" s="35"/>
      <c r="Q851" s="35"/>
      <c r="R851" s="35"/>
      <c r="S851" s="37">
        <f>IF(B851="","",IF(ISNUMBER(J851),IF(J851&lt;=10,'Configuración'!$B$23,IF(J851&lt;=50,'Configuración'!$B$24,IF(J851&lt;=200,'Configuración'!$B$25,0))),0))</f>
        <v>4</v>
      </c>
      <c r="T851" s="37">
        <f>IF(B851="","",IF(ISNUMBER(SEARCH("information technology",I851))+ISNUMBER(SEARCH("software",I851))+ISNUMBER(SEARCH("internet",I851))+ISNUMBER(SEARCH("computer",I851))+ISNUMBER(SEARCH("saas",I851))+ISNUMBER(SEARCH("fintech",I851))+ISNUMBER(SEARCH("information services",I851))+ISNUMBER(SEARCH("telecommunications",I851))&gt;0,'Configuración'!$B$27,'Configuración'!$B$28))</f>
        <v>4</v>
      </c>
      <c r="U851" s="25">
        <f>IF(B851="","",IF(ISNUMBER(SEARCH("CEO",C851))+ISNUMBER(SEARCH("Founder",C851))+ISNUMBER(SEARCH("Owner",C851))+ISNUMBER(SEARCH("Dueño",C851))+ISNUMBER(SEARCH("Director General",C851))+ISNUMBER(SEARCH("Presidente",C851))+ISNUMBER(SEARCH("President",C851))&gt;0,'Configuración'!$B$31,IF(ISNUMBER(SEARCH("CMO",C851))+ISNUMBER(SEARCH("Chief Marketing",C851))+ISNUMBER(SEARCH("VP Marketing",C851))+ISNUMBER(SEARCH("Director de Marketing",C851))+ISNUMBER(SEARCH("Director Marketing",C851))+ISNUMBER(SEARCH("Head of Marketing",C851))+ISNUMBER(SEARCH("Head Marketing",C851))&gt;0,'Configuración'!$B$32,IF(ISNUMBER(SEARCH("Marketing Manager",C851))+ISNUMBER(SEARCH("Gerente de Marketing",C851))+ISNUMBER(SEARCH("Growth Manager",C851))+ISNUMBER(SEARCH("Demand Gen",C851))+ISNUMBER(SEARCH("Marketing Lead",C851))&gt;0,'Configuración'!$B$33,IF(ISNUMBER(SEARCH("COO",C851))+ISNUMBER(SEARCH("CFO",C851))+ISNUMBER(SEARCH("CTO",C851))+ISNUMBER(SEARCH("Chief Operating",C851))+ISNUMBER(SEARCH("Chief Financial",C851))+ISNUMBER(SEARCH("Gerente General",C851))+ISNUMBER(SEARCH("General Manager",C851))&gt;0,'Configuración'!$B$34,'Configuración'!$B$35)))))</f>
        <v>12</v>
      </c>
      <c r="V851" s="38">
        <f>IF(B851="","",IF(K851="Sí",'Configuración'!$B$5,0)+IF(L851="Semanal",'Configuración'!$B$6,IF(L851="Mensual",'Configuración'!$B$7,0))+IF(M851="Sí",'Configuración'!$B$8,0)+IF(N851="Sí",'Configuración'!$B$9,0)+IF(O851="Sí",'Configuración'!$B$10,0)+IF(P851="Sí",'Configuración'!$B$11,0)+IF(Q851="Sí",'Configuración'!$B$12,0)+S851+T851+U851)</f>
        <v>20</v>
      </c>
      <c r="W851" s="39" t="str">
        <f>IF(B851="","",IF(V851&gt;='Configuración'!$B$19,"A",IF(V851&gt;='Configuración'!$B$20,"B",IF(V851&gt;='Configuración'!$B$21,"C","Descarte"))))</f>
        <v>Descarte</v>
      </c>
    </row>
    <row r="852" ht="15.75" customHeight="1">
      <c r="A852" s="34">
        <f t="shared" si="1"/>
        <v>850</v>
      </c>
      <c r="B852" s="29" t="s">
        <v>5012</v>
      </c>
      <c r="C852" s="29" t="s">
        <v>175</v>
      </c>
      <c r="D852" s="29" t="s">
        <v>5013</v>
      </c>
      <c r="E852" s="29" t="s">
        <v>5014</v>
      </c>
      <c r="F852" s="30" t="s">
        <v>5015</v>
      </c>
      <c r="G852" s="30" t="s">
        <v>5016</v>
      </c>
      <c r="H852" s="30" t="s">
        <v>5017</v>
      </c>
      <c r="I852" s="29" t="s">
        <v>188</v>
      </c>
      <c r="J852" s="31">
        <v>1.0</v>
      </c>
      <c r="K852" s="35"/>
      <c r="L852" s="35"/>
      <c r="M852" s="35"/>
      <c r="N852" s="35"/>
      <c r="O852" s="35"/>
      <c r="P852" s="35"/>
      <c r="Q852" s="35"/>
      <c r="R852" s="35"/>
      <c r="S852" s="37">
        <f>IF(B852="","",IF(ISNUMBER(J852),IF(J852&lt;=10,'Configuración'!$B$23,IF(J852&lt;=50,'Configuración'!$B$24,IF(J852&lt;=200,'Configuración'!$B$25,0))),0))</f>
        <v>12</v>
      </c>
      <c r="T852" s="37">
        <f>IF(B852="","",IF(ISNUMBER(SEARCH("information technology",I852))+ISNUMBER(SEARCH("software",I852))+ISNUMBER(SEARCH("internet",I852))+ISNUMBER(SEARCH("computer",I852))+ISNUMBER(SEARCH("saas",I852))+ISNUMBER(SEARCH("fintech",I852))+ISNUMBER(SEARCH("information services",I852))+ISNUMBER(SEARCH("telecommunications",I852))&gt;0,'Configuración'!$B$27,'Configuración'!$B$28))</f>
        <v>4</v>
      </c>
      <c r="U852" s="25">
        <f>IF(B852="","",IF(ISNUMBER(SEARCH("CEO",C852))+ISNUMBER(SEARCH("Founder",C852))+ISNUMBER(SEARCH("Owner",C852))+ISNUMBER(SEARCH("Dueño",C852))+ISNUMBER(SEARCH("Director General",C852))+ISNUMBER(SEARCH("Presidente",C852))+ISNUMBER(SEARCH("President",C852))&gt;0,'Configuración'!$B$31,IF(ISNUMBER(SEARCH("CMO",C852))+ISNUMBER(SEARCH("Chief Marketing",C852))+ISNUMBER(SEARCH("VP Marketing",C852))+ISNUMBER(SEARCH("Director de Marketing",C852))+ISNUMBER(SEARCH("Director Marketing",C852))+ISNUMBER(SEARCH("Head of Marketing",C852))+ISNUMBER(SEARCH("Head Marketing",C852))&gt;0,'Configuración'!$B$32,IF(ISNUMBER(SEARCH("Marketing Manager",C852))+ISNUMBER(SEARCH("Gerente de Marketing",C852))+ISNUMBER(SEARCH("Growth Manager",C852))+ISNUMBER(SEARCH("Demand Gen",C852))+ISNUMBER(SEARCH("Marketing Lead",C852))&gt;0,'Configuración'!$B$33,IF(ISNUMBER(SEARCH("COO",C852))+ISNUMBER(SEARCH("CFO",C852))+ISNUMBER(SEARCH("CTO",C852))+ISNUMBER(SEARCH("Chief Operating",C852))+ISNUMBER(SEARCH("Chief Financial",C852))+ISNUMBER(SEARCH("Gerente General",C852))+ISNUMBER(SEARCH("General Manager",C852))&gt;0,'Configuración'!$B$34,'Configuración'!$B$35)))))</f>
        <v>12</v>
      </c>
      <c r="V852" s="38">
        <f>IF(B852="","",IF(K852="Sí",'Configuración'!$B$5,0)+IF(L852="Semanal",'Configuración'!$B$6,IF(L852="Mensual",'Configuración'!$B$7,0))+IF(M852="Sí",'Configuración'!$B$8,0)+IF(N852="Sí",'Configuración'!$B$9,0)+IF(O852="Sí",'Configuración'!$B$10,0)+IF(P852="Sí",'Configuración'!$B$11,0)+IF(Q852="Sí",'Configuración'!$B$12,0)+S852+T852+U852)</f>
        <v>28</v>
      </c>
      <c r="W852" s="39" t="str">
        <f>IF(B852="","",IF(V852&gt;='Configuración'!$B$19,"A",IF(V852&gt;='Configuración'!$B$20,"B",IF(V852&gt;='Configuración'!$B$21,"C","Descarte"))))</f>
        <v>C</v>
      </c>
    </row>
    <row r="853" ht="15.75" customHeight="1">
      <c r="A853" s="34">
        <f t="shared" si="1"/>
        <v>851</v>
      </c>
      <c r="B853" s="29" t="s">
        <v>166</v>
      </c>
      <c r="C853" s="29" t="s">
        <v>131</v>
      </c>
      <c r="D853" s="29" t="s">
        <v>5018</v>
      </c>
      <c r="E853" s="29" t="s">
        <v>5019</v>
      </c>
      <c r="F853" s="30" t="s">
        <v>5020</v>
      </c>
      <c r="G853" s="30" t="s">
        <v>5021</v>
      </c>
      <c r="H853" s="30" t="s">
        <v>5022</v>
      </c>
      <c r="I853" s="29" t="s">
        <v>450</v>
      </c>
      <c r="J853" s="31">
        <v>11.0</v>
      </c>
      <c r="K853" s="35"/>
      <c r="L853" s="35"/>
      <c r="M853" s="35"/>
      <c r="N853" s="35"/>
      <c r="O853" s="35"/>
      <c r="P853" s="35"/>
      <c r="Q853" s="35"/>
      <c r="R853" s="35"/>
      <c r="S853" s="37">
        <f>IF(B853="","",IF(ISNUMBER(J853),IF(J853&lt;=10,'Configuración'!$B$23,IF(J853&lt;=50,'Configuración'!$B$24,IF(J853&lt;=200,'Configuración'!$B$25,0))),0))</f>
        <v>4</v>
      </c>
      <c r="T853" s="37">
        <f>IF(B853="","",IF(ISNUMBER(SEARCH("information technology",I853))+ISNUMBER(SEARCH("software",I853))+ISNUMBER(SEARCH("internet",I853))+ISNUMBER(SEARCH("computer",I853))+ISNUMBER(SEARCH("saas",I853))+ISNUMBER(SEARCH("fintech",I853))+ISNUMBER(SEARCH("information services",I853))+ISNUMBER(SEARCH("telecommunications",I853))&gt;0,'Configuración'!$B$27,'Configuración'!$B$28))</f>
        <v>12</v>
      </c>
      <c r="U853" s="25">
        <f>IF(B853="","",IF(ISNUMBER(SEARCH("CEO",C853))+ISNUMBER(SEARCH("Founder",C853))+ISNUMBER(SEARCH("Owner",C853))+ISNUMBER(SEARCH("Dueño",C853))+ISNUMBER(SEARCH("Director General",C853))+ISNUMBER(SEARCH("Presidente",C853))+ISNUMBER(SEARCH("President",C853))&gt;0,'Configuración'!$B$31,IF(ISNUMBER(SEARCH("CMO",C853))+ISNUMBER(SEARCH("Chief Marketing",C853))+ISNUMBER(SEARCH("VP Marketing",C853))+ISNUMBER(SEARCH("Director de Marketing",C853))+ISNUMBER(SEARCH("Director Marketing",C853))+ISNUMBER(SEARCH("Head of Marketing",C853))+ISNUMBER(SEARCH("Head Marketing",C853))&gt;0,'Configuración'!$B$32,IF(ISNUMBER(SEARCH("Marketing Manager",C853))+ISNUMBER(SEARCH("Gerente de Marketing",C853))+ISNUMBER(SEARCH("Growth Manager",C853))+ISNUMBER(SEARCH("Demand Gen",C853))+ISNUMBER(SEARCH("Marketing Lead",C853))&gt;0,'Configuración'!$B$33,IF(ISNUMBER(SEARCH("COO",C853))+ISNUMBER(SEARCH("CFO",C853))+ISNUMBER(SEARCH("CTO",C853))+ISNUMBER(SEARCH("Chief Operating",C853))+ISNUMBER(SEARCH("Chief Financial",C853))+ISNUMBER(SEARCH("Gerente General",C853))+ISNUMBER(SEARCH("General Manager",C853))&gt;0,'Configuración'!$B$34,'Configuración'!$B$35)))))</f>
        <v>12</v>
      </c>
      <c r="V853" s="38">
        <f>IF(B853="","",IF(K853="Sí",'Configuración'!$B$5,0)+IF(L853="Semanal",'Configuración'!$B$6,IF(L853="Mensual",'Configuración'!$B$7,0))+IF(M853="Sí",'Configuración'!$B$8,0)+IF(N853="Sí",'Configuración'!$B$9,0)+IF(O853="Sí",'Configuración'!$B$10,0)+IF(P853="Sí",'Configuración'!$B$11,0)+IF(Q853="Sí",'Configuración'!$B$12,0)+S853+T853+U853)</f>
        <v>28</v>
      </c>
      <c r="W853" s="39" t="str">
        <f>IF(B853="","",IF(V853&gt;='Configuración'!$B$19,"A",IF(V853&gt;='Configuración'!$B$20,"B",IF(V853&gt;='Configuración'!$B$21,"C","Descarte"))))</f>
        <v>C</v>
      </c>
    </row>
    <row r="854" ht="15.75" customHeight="1">
      <c r="A854" s="34">
        <f t="shared" si="1"/>
        <v>852</v>
      </c>
      <c r="B854" s="29" t="s">
        <v>1048</v>
      </c>
      <c r="C854" s="29" t="s">
        <v>487</v>
      </c>
      <c r="D854" s="29" t="s">
        <v>5023</v>
      </c>
      <c r="E854" s="29" t="s">
        <v>5024</v>
      </c>
      <c r="F854" s="30" t="s">
        <v>5025</v>
      </c>
      <c r="G854" s="30" t="s">
        <v>5026</v>
      </c>
      <c r="H854" s="30" t="s">
        <v>5027</v>
      </c>
      <c r="I854" s="29" t="s">
        <v>1356</v>
      </c>
      <c r="J854" s="31">
        <v>9.0</v>
      </c>
      <c r="K854" s="35"/>
      <c r="L854" s="35"/>
      <c r="M854" s="35"/>
      <c r="N854" s="35"/>
      <c r="O854" s="35"/>
      <c r="P854" s="35"/>
      <c r="Q854" s="35"/>
      <c r="R854" s="35"/>
      <c r="S854" s="37">
        <f>IF(B854="","",IF(ISNUMBER(J854),IF(J854&lt;=10,'Configuración'!$B$23,IF(J854&lt;=50,'Configuración'!$B$24,IF(J854&lt;=200,'Configuración'!$B$25,0))),0))</f>
        <v>12</v>
      </c>
      <c r="T854" s="37">
        <f>IF(B854="","",IF(ISNUMBER(SEARCH("information technology",I854))+ISNUMBER(SEARCH("software",I854))+ISNUMBER(SEARCH("internet",I854))+ISNUMBER(SEARCH("computer",I854))+ISNUMBER(SEARCH("saas",I854))+ISNUMBER(SEARCH("fintech",I854))+ISNUMBER(SEARCH("information services",I854))+ISNUMBER(SEARCH("telecommunications",I854))&gt;0,'Configuración'!$B$27,'Configuración'!$B$28))</f>
        <v>4</v>
      </c>
      <c r="U854" s="25">
        <f>IF(B854="","",IF(ISNUMBER(SEARCH("CEO",C854))+ISNUMBER(SEARCH("Founder",C854))+ISNUMBER(SEARCH("Owner",C854))+ISNUMBER(SEARCH("Dueño",C854))+ISNUMBER(SEARCH("Director General",C854))+ISNUMBER(SEARCH("Presidente",C854))+ISNUMBER(SEARCH("President",C854))&gt;0,'Configuración'!$B$31,IF(ISNUMBER(SEARCH("CMO",C854))+ISNUMBER(SEARCH("Chief Marketing",C854))+ISNUMBER(SEARCH("VP Marketing",C854))+ISNUMBER(SEARCH("Director de Marketing",C854))+ISNUMBER(SEARCH("Director Marketing",C854))+ISNUMBER(SEARCH("Head of Marketing",C854))+ISNUMBER(SEARCH("Head Marketing",C854))&gt;0,'Configuración'!$B$32,IF(ISNUMBER(SEARCH("Marketing Manager",C854))+ISNUMBER(SEARCH("Gerente de Marketing",C854))+ISNUMBER(SEARCH("Growth Manager",C854))+ISNUMBER(SEARCH("Demand Gen",C854))+ISNUMBER(SEARCH("Marketing Lead",C854))&gt;0,'Configuración'!$B$33,IF(ISNUMBER(SEARCH("COO",C854))+ISNUMBER(SEARCH("CFO",C854))+ISNUMBER(SEARCH("CTO",C854))+ISNUMBER(SEARCH("Chief Operating",C854))+ISNUMBER(SEARCH("Chief Financial",C854))+ISNUMBER(SEARCH("Gerente General",C854))+ISNUMBER(SEARCH("General Manager",C854))&gt;0,'Configuración'!$B$34,'Configuración'!$B$35)))))</f>
        <v>12</v>
      </c>
      <c r="V854" s="38">
        <f>IF(B854="","",IF(K854="Sí",'Configuración'!$B$5,0)+IF(L854="Semanal",'Configuración'!$B$6,IF(L854="Mensual",'Configuración'!$B$7,0))+IF(M854="Sí",'Configuración'!$B$8,0)+IF(N854="Sí",'Configuración'!$B$9,0)+IF(O854="Sí",'Configuración'!$B$10,0)+IF(P854="Sí",'Configuración'!$B$11,0)+IF(Q854="Sí",'Configuración'!$B$12,0)+S854+T854+U854)</f>
        <v>28</v>
      </c>
      <c r="W854" s="39" t="str">
        <f>IF(B854="","",IF(V854&gt;='Configuración'!$B$19,"A",IF(V854&gt;='Configuración'!$B$20,"B",IF(V854&gt;='Configuración'!$B$21,"C","Descarte"))))</f>
        <v>C</v>
      </c>
    </row>
    <row r="855" ht="15.75" customHeight="1">
      <c r="A855" s="34">
        <f t="shared" si="1"/>
        <v>853</v>
      </c>
      <c r="B855" s="29" t="s">
        <v>5028</v>
      </c>
      <c r="C855" s="29" t="s">
        <v>146</v>
      </c>
      <c r="D855" s="29" t="s">
        <v>5029</v>
      </c>
      <c r="E855" s="29" t="s">
        <v>5030</v>
      </c>
      <c r="F855" s="30" t="s">
        <v>5031</v>
      </c>
      <c r="G855" s="30" t="s">
        <v>5032</v>
      </c>
      <c r="H855" s="30" t="s">
        <v>5033</v>
      </c>
      <c r="I855" s="29" t="s">
        <v>188</v>
      </c>
      <c r="J855" s="31">
        <v>1.0</v>
      </c>
      <c r="K855" s="35"/>
      <c r="L855" s="35"/>
      <c r="M855" s="35"/>
      <c r="N855" s="35"/>
      <c r="O855" s="35"/>
      <c r="P855" s="35"/>
      <c r="Q855" s="35"/>
      <c r="R855" s="35"/>
      <c r="S855" s="37">
        <f>IF(B855="","",IF(ISNUMBER(J855),IF(J855&lt;=10,'Configuración'!$B$23,IF(J855&lt;=50,'Configuración'!$B$24,IF(J855&lt;=200,'Configuración'!$B$25,0))),0))</f>
        <v>12</v>
      </c>
      <c r="T855" s="37">
        <f>IF(B855="","",IF(ISNUMBER(SEARCH("information technology",I855))+ISNUMBER(SEARCH("software",I855))+ISNUMBER(SEARCH("internet",I855))+ISNUMBER(SEARCH("computer",I855))+ISNUMBER(SEARCH("saas",I855))+ISNUMBER(SEARCH("fintech",I855))+ISNUMBER(SEARCH("information services",I855))+ISNUMBER(SEARCH("telecommunications",I855))&gt;0,'Configuración'!$B$27,'Configuración'!$B$28))</f>
        <v>4</v>
      </c>
      <c r="U855" s="25">
        <f>IF(B855="","",IF(ISNUMBER(SEARCH("CEO",C855))+ISNUMBER(SEARCH("Founder",C855))+ISNUMBER(SEARCH("Owner",C855))+ISNUMBER(SEARCH("Dueño",C855))+ISNUMBER(SEARCH("Director General",C855))+ISNUMBER(SEARCH("Presidente",C855))+ISNUMBER(SEARCH("President",C855))&gt;0,'Configuración'!$B$31,IF(ISNUMBER(SEARCH("CMO",C855))+ISNUMBER(SEARCH("Chief Marketing",C855))+ISNUMBER(SEARCH("VP Marketing",C855))+ISNUMBER(SEARCH("Director de Marketing",C855))+ISNUMBER(SEARCH("Director Marketing",C855))+ISNUMBER(SEARCH("Head of Marketing",C855))+ISNUMBER(SEARCH("Head Marketing",C855))&gt;0,'Configuración'!$B$32,IF(ISNUMBER(SEARCH("Marketing Manager",C855))+ISNUMBER(SEARCH("Gerente de Marketing",C855))+ISNUMBER(SEARCH("Growth Manager",C855))+ISNUMBER(SEARCH("Demand Gen",C855))+ISNUMBER(SEARCH("Marketing Lead",C855))&gt;0,'Configuración'!$B$33,IF(ISNUMBER(SEARCH("COO",C855))+ISNUMBER(SEARCH("CFO",C855))+ISNUMBER(SEARCH("CTO",C855))+ISNUMBER(SEARCH("Chief Operating",C855))+ISNUMBER(SEARCH("Chief Financial",C855))+ISNUMBER(SEARCH("Gerente General",C855))+ISNUMBER(SEARCH("General Manager",C855))&gt;0,'Configuración'!$B$34,'Configuración'!$B$35)))))</f>
        <v>0</v>
      </c>
      <c r="V855" s="38">
        <f>IF(B855="","",IF(K855="Sí",'Configuración'!$B$5,0)+IF(L855="Semanal",'Configuración'!$B$6,IF(L855="Mensual",'Configuración'!$B$7,0))+IF(M855="Sí",'Configuración'!$B$8,0)+IF(N855="Sí",'Configuración'!$B$9,0)+IF(O855="Sí",'Configuración'!$B$10,0)+IF(P855="Sí",'Configuración'!$B$11,0)+IF(Q855="Sí",'Configuración'!$B$12,0)+S855+T855+U855)</f>
        <v>16</v>
      </c>
      <c r="W855" s="39" t="str">
        <f>IF(B855="","",IF(V855&gt;='Configuración'!$B$19,"A",IF(V855&gt;='Configuración'!$B$20,"B",IF(V855&gt;='Configuración'!$B$21,"C","Descarte"))))</f>
        <v>Descarte</v>
      </c>
    </row>
    <row r="856" ht="15.75" customHeight="1">
      <c r="A856" s="34">
        <f t="shared" si="1"/>
        <v>854</v>
      </c>
      <c r="B856" s="29" t="s">
        <v>324</v>
      </c>
      <c r="C856" s="29" t="s">
        <v>5034</v>
      </c>
      <c r="D856" s="29" t="s">
        <v>5035</v>
      </c>
      <c r="E856" s="29" t="s">
        <v>5036</v>
      </c>
      <c r="F856" s="30" t="s">
        <v>5037</v>
      </c>
      <c r="G856" s="30" t="s">
        <v>5038</v>
      </c>
      <c r="H856" s="30" t="s">
        <v>5039</v>
      </c>
      <c r="I856" s="29" t="s">
        <v>188</v>
      </c>
      <c r="J856" s="31">
        <v>17.0</v>
      </c>
      <c r="K856" s="35"/>
      <c r="L856" s="35"/>
      <c r="M856" s="35"/>
      <c r="N856" s="35"/>
      <c r="O856" s="35"/>
      <c r="P856" s="35"/>
      <c r="Q856" s="35"/>
      <c r="R856" s="35"/>
      <c r="S856" s="37">
        <f>IF(B856="","",IF(ISNUMBER(J856),IF(J856&lt;=10,'Configuración'!$B$23,IF(J856&lt;=50,'Configuración'!$B$24,IF(J856&lt;=200,'Configuración'!$B$25,0))),0))</f>
        <v>4</v>
      </c>
      <c r="T856" s="37">
        <f>IF(B856="","",IF(ISNUMBER(SEARCH("information technology",I856))+ISNUMBER(SEARCH("software",I856))+ISNUMBER(SEARCH("internet",I856))+ISNUMBER(SEARCH("computer",I856))+ISNUMBER(SEARCH("saas",I856))+ISNUMBER(SEARCH("fintech",I856))+ISNUMBER(SEARCH("information services",I856))+ISNUMBER(SEARCH("telecommunications",I856))&gt;0,'Configuración'!$B$27,'Configuración'!$B$28))</f>
        <v>4</v>
      </c>
      <c r="U856" s="25">
        <f>IF(B856="","",IF(ISNUMBER(SEARCH("CEO",C856))+ISNUMBER(SEARCH("Founder",C856))+ISNUMBER(SEARCH("Owner",C856))+ISNUMBER(SEARCH("Dueño",C856))+ISNUMBER(SEARCH("Director General",C856))+ISNUMBER(SEARCH("Presidente",C856))+ISNUMBER(SEARCH("President",C856))&gt;0,'Configuración'!$B$31,IF(ISNUMBER(SEARCH("CMO",C856))+ISNUMBER(SEARCH("Chief Marketing",C856))+ISNUMBER(SEARCH("VP Marketing",C856))+ISNUMBER(SEARCH("Director de Marketing",C856))+ISNUMBER(SEARCH("Director Marketing",C856))+ISNUMBER(SEARCH("Head of Marketing",C856))+ISNUMBER(SEARCH("Head Marketing",C856))&gt;0,'Configuración'!$B$32,IF(ISNUMBER(SEARCH("Marketing Manager",C856))+ISNUMBER(SEARCH("Gerente de Marketing",C856))+ISNUMBER(SEARCH("Growth Manager",C856))+ISNUMBER(SEARCH("Demand Gen",C856))+ISNUMBER(SEARCH("Marketing Lead",C856))&gt;0,'Configuración'!$B$33,IF(ISNUMBER(SEARCH("COO",C856))+ISNUMBER(SEARCH("CFO",C856))+ISNUMBER(SEARCH("CTO",C856))+ISNUMBER(SEARCH("Chief Operating",C856))+ISNUMBER(SEARCH("Chief Financial",C856))+ISNUMBER(SEARCH("Gerente General",C856))+ISNUMBER(SEARCH("General Manager",C856))&gt;0,'Configuración'!$B$34,'Configuración'!$B$35)))))</f>
        <v>12</v>
      </c>
      <c r="V856" s="38">
        <f>IF(B856="","",IF(K856="Sí",'Configuración'!$B$5,0)+IF(L856="Semanal",'Configuración'!$B$6,IF(L856="Mensual",'Configuración'!$B$7,0))+IF(M856="Sí",'Configuración'!$B$8,0)+IF(N856="Sí",'Configuración'!$B$9,0)+IF(O856="Sí",'Configuración'!$B$10,0)+IF(P856="Sí",'Configuración'!$B$11,0)+IF(Q856="Sí",'Configuración'!$B$12,0)+S856+T856+U856)</f>
        <v>20</v>
      </c>
      <c r="W856" s="39" t="str">
        <f>IF(B856="","",IF(V856&gt;='Configuración'!$B$19,"A",IF(V856&gt;='Configuración'!$B$20,"B",IF(V856&gt;='Configuración'!$B$21,"C","Descarte"))))</f>
        <v>Descarte</v>
      </c>
    </row>
    <row r="857" ht="15.75" customHeight="1">
      <c r="A857" s="34">
        <f t="shared" si="1"/>
        <v>855</v>
      </c>
      <c r="B857" s="29" t="s">
        <v>481</v>
      </c>
      <c r="C857" s="29" t="s">
        <v>487</v>
      </c>
      <c r="D857" s="29" t="s">
        <v>5040</v>
      </c>
      <c r="E857" s="29" t="s">
        <v>5041</v>
      </c>
      <c r="F857" s="30" t="s">
        <v>5042</v>
      </c>
      <c r="G857" s="30" t="s">
        <v>5043</v>
      </c>
      <c r="H857" s="30" t="s">
        <v>5044</v>
      </c>
      <c r="I857" s="29" t="s">
        <v>188</v>
      </c>
      <c r="J857" s="31">
        <v>2.0</v>
      </c>
      <c r="K857" s="35"/>
      <c r="L857" s="35"/>
      <c r="M857" s="35"/>
      <c r="N857" s="35"/>
      <c r="O857" s="35"/>
      <c r="P857" s="35"/>
      <c r="Q857" s="35"/>
      <c r="R857" s="35"/>
      <c r="S857" s="37">
        <f>IF(B857="","",IF(ISNUMBER(J857),IF(J857&lt;=10,'Configuración'!$B$23,IF(J857&lt;=50,'Configuración'!$B$24,IF(J857&lt;=200,'Configuración'!$B$25,0))),0))</f>
        <v>12</v>
      </c>
      <c r="T857" s="37">
        <f>IF(B857="","",IF(ISNUMBER(SEARCH("information technology",I857))+ISNUMBER(SEARCH("software",I857))+ISNUMBER(SEARCH("internet",I857))+ISNUMBER(SEARCH("computer",I857))+ISNUMBER(SEARCH("saas",I857))+ISNUMBER(SEARCH("fintech",I857))+ISNUMBER(SEARCH("information services",I857))+ISNUMBER(SEARCH("telecommunications",I857))&gt;0,'Configuración'!$B$27,'Configuración'!$B$28))</f>
        <v>4</v>
      </c>
      <c r="U857" s="25">
        <f>IF(B857="","",IF(ISNUMBER(SEARCH("CEO",C857))+ISNUMBER(SEARCH("Founder",C857))+ISNUMBER(SEARCH("Owner",C857))+ISNUMBER(SEARCH("Dueño",C857))+ISNUMBER(SEARCH("Director General",C857))+ISNUMBER(SEARCH("Presidente",C857))+ISNUMBER(SEARCH("President",C857))&gt;0,'Configuración'!$B$31,IF(ISNUMBER(SEARCH("CMO",C857))+ISNUMBER(SEARCH("Chief Marketing",C857))+ISNUMBER(SEARCH("VP Marketing",C857))+ISNUMBER(SEARCH("Director de Marketing",C857))+ISNUMBER(SEARCH("Director Marketing",C857))+ISNUMBER(SEARCH("Head of Marketing",C857))+ISNUMBER(SEARCH("Head Marketing",C857))&gt;0,'Configuración'!$B$32,IF(ISNUMBER(SEARCH("Marketing Manager",C857))+ISNUMBER(SEARCH("Gerente de Marketing",C857))+ISNUMBER(SEARCH("Growth Manager",C857))+ISNUMBER(SEARCH("Demand Gen",C857))+ISNUMBER(SEARCH("Marketing Lead",C857))&gt;0,'Configuración'!$B$33,IF(ISNUMBER(SEARCH("COO",C857))+ISNUMBER(SEARCH("CFO",C857))+ISNUMBER(SEARCH("CTO",C857))+ISNUMBER(SEARCH("Chief Operating",C857))+ISNUMBER(SEARCH("Chief Financial",C857))+ISNUMBER(SEARCH("Gerente General",C857))+ISNUMBER(SEARCH("General Manager",C857))&gt;0,'Configuración'!$B$34,'Configuración'!$B$35)))))</f>
        <v>12</v>
      </c>
      <c r="V857" s="38">
        <f>IF(B857="","",IF(K857="Sí",'Configuración'!$B$5,0)+IF(L857="Semanal",'Configuración'!$B$6,IF(L857="Mensual",'Configuración'!$B$7,0))+IF(M857="Sí",'Configuración'!$B$8,0)+IF(N857="Sí",'Configuración'!$B$9,0)+IF(O857="Sí",'Configuración'!$B$10,0)+IF(P857="Sí",'Configuración'!$B$11,0)+IF(Q857="Sí",'Configuración'!$B$12,0)+S857+T857+U857)</f>
        <v>28</v>
      </c>
      <c r="W857" s="39" t="str">
        <f>IF(B857="","",IF(V857&gt;='Configuración'!$B$19,"A",IF(V857&gt;='Configuración'!$B$20,"B",IF(V857&gt;='Configuración'!$B$21,"C","Descarte"))))</f>
        <v>C</v>
      </c>
    </row>
    <row r="858" ht="15.75" customHeight="1">
      <c r="A858" s="34">
        <f t="shared" si="1"/>
        <v>856</v>
      </c>
      <c r="B858" s="29" t="s">
        <v>130</v>
      </c>
      <c r="C858" s="29" t="s">
        <v>5045</v>
      </c>
      <c r="D858" s="29" t="s">
        <v>5046</v>
      </c>
      <c r="E858" s="29" t="s">
        <v>5047</v>
      </c>
      <c r="F858" s="30" t="s">
        <v>5048</v>
      </c>
      <c r="G858" s="30" t="s">
        <v>5049</v>
      </c>
      <c r="H858" s="30" t="s">
        <v>5050</v>
      </c>
      <c r="I858" s="29" t="s">
        <v>188</v>
      </c>
      <c r="J858" s="31">
        <v>11.0</v>
      </c>
      <c r="K858" s="35"/>
      <c r="L858" s="35"/>
      <c r="M858" s="35"/>
      <c r="N858" s="35"/>
      <c r="O858" s="35"/>
      <c r="P858" s="35"/>
      <c r="Q858" s="35"/>
      <c r="R858" s="35"/>
      <c r="S858" s="37">
        <f>IF(B858="","",IF(ISNUMBER(J858),IF(J858&lt;=10,'Configuración'!$B$23,IF(J858&lt;=50,'Configuración'!$B$24,IF(J858&lt;=200,'Configuración'!$B$25,0))),0))</f>
        <v>4</v>
      </c>
      <c r="T858" s="37">
        <f>IF(B858="","",IF(ISNUMBER(SEARCH("information technology",I858))+ISNUMBER(SEARCH("software",I858))+ISNUMBER(SEARCH("internet",I858))+ISNUMBER(SEARCH("computer",I858))+ISNUMBER(SEARCH("saas",I858))+ISNUMBER(SEARCH("fintech",I858))+ISNUMBER(SEARCH("information services",I858))+ISNUMBER(SEARCH("telecommunications",I858))&gt;0,'Configuración'!$B$27,'Configuración'!$B$28))</f>
        <v>4</v>
      </c>
      <c r="U858" s="25">
        <f>IF(B858="","",IF(ISNUMBER(SEARCH("CEO",C858))+ISNUMBER(SEARCH("Founder",C858))+ISNUMBER(SEARCH("Owner",C858))+ISNUMBER(SEARCH("Dueño",C858))+ISNUMBER(SEARCH("Director General",C858))+ISNUMBER(SEARCH("Presidente",C858))+ISNUMBER(SEARCH("President",C858))&gt;0,'Configuración'!$B$31,IF(ISNUMBER(SEARCH("CMO",C858))+ISNUMBER(SEARCH("Chief Marketing",C858))+ISNUMBER(SEARCH("VP Marketing",C858))+ISNUMBER(SEARCH("Director de Marketing",C858))+ISNUMBER(SEARCH("Director Marketing",C858))+ISNUMBER(SEARCH("Head of Marketing",C858))+ISNUMBER(SEARCH("Head Marketing",C858))&gt;0,'Configuración'!$B$32,IF(ISNUMBER(SEARCH("Marketing Manager",C858))+ISNUMBER(SEARCH("Gerente de Marketing",C858))+ISNUMBER(SEARCH("Growth Manager",C858))+ISNUMBER(SEARCH("Demand Gen",C858))+ISNUMBER(SEARCH("Marketing Lead",C858))&gt;0,'Configuración'!$B$33,IF(ISNUMBER(SEARCH("COO",C858))+ISNUMBER(SEARCH("CFO",C858))+ISNUMBER(SEARCH("CTO",C858))+ISNUMBER(SEARCH("Chief Operating",C858))+ISNUMBER(SEARCH("Chief Financial",C858))+ISNUMBER(SEARCH("Gerente General",C858))+ISNUMBER(SEARCH("General Manager",C858))&gt;0,'Configuración'!$B$34,'Configuración'!$B$35)))))</f>
        <v>4</v>
      </c>
      <c r="V858" s="38">
        <f>IF(B858="","",IF(K858="Sí",'Configuración'!$B$5,0)+IF(L858="Semanal",'Configuración'!$B$6,IF(L858="Mensual",'Configuración'!$B$7,0))+IF(M858="Sí",'Configuración'!$B$8,0)+IF(N858="Sí",'Configuración'!$B$9,0)+IF(O858="Sí",'Configuración'!$B$10,0)+IF(P858="Sí",'Configuración'!$B$11,0)+IF(Q858="Sí",'Configuración'!$B$12,0)+S858+T858+U858)</f>
        <v>12</v>
      </c>
      <c r="W858" s="39" t="str">
        <f>IF(B858="","",IF(V858&gt;='Configuración'!$B$19,"A",IF(V858&gt;='Configuración'!$B$20,"B",IF(V858&gt;='Configuración'!$B$21,"C","Descarte"))))</f>
        <v>Descarte</v>
      </c>
    </row>
    <row r="859" ht="15.75" customHeight="1">
      <c r="A859" s="34">
        <f t="shared" si="1"/>
        <v>857</v>
      </c>
      <c r="B859" s="29" t="s">
        <v>181</v>
      </c>
      <c r="C859" s="29" t="s">
        <v>224</v>
      </c>
      <c r="D859" s="29" t="s">
        <v>5051</v>
      </c>
      <c r="E859" s="29" t="s">
        <v>5052</v>
      </c>
      <c r="F859" s="30" t="s">
        <v>5053</v>
      </c>
      <c r="G859" s="30" t="s">
        <v>5054</v>
      </c>
      <c r="H859" s="30" t="s">
        <v>5055</v>
      </c>
      <c r="I859" s="29" t="s">
        <v>127</v>
      </c>
      <c r="J859" s="31">
        <v>2.0</v>
      </c>
      <c r="K859" s="35"/>
      <c r="L859" s="35"/>
      <c r="M859" s="35"/>
      <c r="N859" s="35"/>
      <c r="O859" s="35"/>
      <c r="P859" s="35"/>
      <c r="Q859" s="35"/>
      <c r="R859" s="35"/>
      <c r="S859" s="37">
        <f>IF(B859="","",IF(ISNUMBER(J859),IF(J859&lt;=10,'Configuración'!$B$23,IF(J859&lt;=50,'Configuración'!$B$24,IF(J859&lt;=200,'Configuración'!$B$25,0))),0))</f>
        <v>12</v>
      </c>
      <c r="T859" s="37">
        <f>IF(B859="","",IF(ISNUMBER(SEARCH("information technology",I859))+ISNUMBER(SEARCH("software",I859))+ISNUMBER(SEARCH("internet",I859))+ISNUMBER(SEARCH("computer",I859))+ISNUMBER(SEARCH("saas",I859))+ISNUMBER(SEARCH("fintech",I859))+ISNUMBER(SEARCH("information services",I859))+ISNUMBER(SEARCH("telecommunications",I859))&gt;0,'Configuración'!$B$27,'Configuración'!$B$28))</f>
        <v>12</v>
      </c>
      <c r="U859" s="25">
        <f>IF(B859="","",IF(ISNUMBER(SEARCH("CEO",C859))+ISNUMBER(SEARCH("Founder",C859))+ISNUMBER(SEARCH("Owner",C859))+ISNUMBER(SEARCH("Dueño",C859))+ISNUMBER(SEARCH("Director General",C859))+ISNUMBER(SEARCH("Presidente",C859))+ISNUMBER(SEARCH("President",C859))&gt;0,'Configuración'!$B$31,IF(ISNUMBER(SEARCH("CMO",C859))+ISNUMBER(SEARCH("Chief Marketing",C859))+ISNUMBER(SEARCH("VP Marketing",C859))+ISNUMBER(SEARCH("Director de Marketing",C859))+ISNUMBER(SEARCH("Director Marketing",C859))+ISNUMBER(SEARCH("Head of Marketing",C859))+ISNUMBER(SEARCH("Head Marketing",C859))&gt;0,'Configuración'!$B$32,IF(ISNUMBER(SEARCH("Marketing Manager",C859))+ISNUMBER(SEARCH("Gerente de Marketing",C859))+ISNUMBER(SEARCH("Growth Manager",C859))+ISNUMBER(SEARCH("Demand Gen",C859))+ISNUMBER(SEARCH("Marketing Lead",C859))&gt;0,'Configuración'!$B$33,IF(ISNUMBER(SEARCH("COO",C859))+ISNUMBER(SEARCH("CFO",C859))+ISNUMBER(SEARCH("CTO",C859))+ISNUMBER(SEARCH("Chief Operating",C859))+ISNUMBER(SEARCH("Chief Financial",C859))+ISNUMBER(SEARCH("Gerente General",C859))+ISNUMBER(SEARCH("General Manager",C859))&gt;0,'Configuración'!$B$34,'Configuración'!$B$35)))))</f>
        <v>12</v>
      </c>
      <c r="V859" s="38">
        <f>IF(B859="","",IF(K859="Sí",'Configuración'!$B$5,0)+IF(L859="Semanal",'Configuración'!$B$6,IF(L859="Mensual",'Configuración'!$B$7,0))+IF(M859="Sí",'Configuración'!$B$8,0)+IF(N859="Sí",'Configuración'!$B$9,0)+IF(O859="Sí",'Configuración'!$B$10,0)+IF(P859="Sí",'Configuración'!$B$11,0)+IF(Q859="Sí",'Configuración'!$B$12,0)+S859+T859+U859)</f>
        <v>36</v>
      </c>
      <c r="W859" s="39" t="str">
        <f>IF(B859="","",IF(V859&gt;='Configuración'!$B$19,"A",IF(V859&gt;='Configuración'!$B$20,"B",IF(V859&gt;='Configuración'!$B$21,"C","Descarte"))))</f>
        <v>C</v>
      </c>
    </row>
    <row r="860" ht="15.75" customHeight="1">
      <c r="A860" s="34">
        <f t="shared" si="1"/>
        <v>858</v>
      </c>
      <c r="B860" s="29" t="s">
        <v>762</v>
      </c>
      <c r="C860" s="29" t="s">
        <v>5056</v>
      </c>
      <c r="D860" s="29" t="s">
        <v>5057</v>
      </c>
      <c r="E860" s="29" t="s">
        <v>5058</v>
      </c>
      <c r="F860" s="30" t="s">
        <v>5059</v>
      </c>
      <c r="G860" s="30" t="s">
        <v>5060</v>
      </c>
      <c r="H860" s="30" t="s">
        <v>5061</v>
      </c>
      <c r="I860" s="29" t="s">
        <v>2834</v>
      </c>
      <c r="J860" s="31">
        <v>9.0</v>
      </c>
      <c r="K860" s="35"/>
      <c r="L860" s="35"/>
      <c r="M860" s="35"/>
      <c r="N860" s="35"/>
      <c r="O860" s="35"/>
      <c r="P860" s="35"/>
      <c r="Q860" s="35"/>
      <c r="R860" s="35"/>
      <c r="S860" s="37">
        <f>IF(B860="","",IF(ISNUMBER(J860),IF(J860&lt;=10,'Configuración'!$B$23,IF(J860&lt;=50,'Configuración'!$B$24,IF(J860&lt;=200,'Configuración'!$B$25,0))),0))</f>
        <v>12</v>
      </c>
      <c r="T860" s="37">
        <f>IF(B860="","",IF(ISNUMBER(SEARCH("information technology",I860))+ISNUMBER(SEARCH("software",I860))+ISNUMBER(SEARCH("internet",I860))+ISNUMBER(SEARCH("computer",I860))+ISNUMBER(SEARCH("saas",I860))+ISNUMBER(SEARCH("fintech",I860))+ISNUMBER(SEARCH("information services",I860))+ISNUMBER(SEARCH("telecommunications",I860))&gt;0,'Configuración'!$B$27,'Configuración'!$B$28))</f>
        <v>4</v>
      </c>
      <c r="U860" s="25">
        <f>IF(B860="","",IF(ISNUMBER(SEARCH("CEO",C860))+ISNUMBER(SEARCH("Founder",C860))+ISNUMBER(SEARCH("Owner",C860))+ISNUMBER(SEARCH("Dueño",C860))+ISNUMBER(SEARCH("Director General",C860))+ISNUMBER(SEARCH("Presidente",C860))+ISNUMBER(SEARCH("President",C860))&gt;0,'Configuración'!$B$31,IF(ISNUMBER(SEARCH("CMO",C860))+ISNUMBER(SEARCH("Chief Marketing",C860))+ISNUMBER(SEARCH("VP Marketing",C860))+ISNUMBER(SEARCH("Director de Marketing",C860))+ISNUMBER(SEARCH("Director Marketing",C860))+ISNUMBER(SEARCH("Head of Marketing",C860))+ISNUMBER(SEARCH("Head Marketing",C860))&gt;0,'Configuración'!$B$32,IF(ISNUMBER(SEARCH("Marketing Manager",C860))+ISNUMBER(SEARCH("Gerente de Marketing",C860))+ISNUMBER(SEARCH("Growth Manager",C860))+ISNUMBER(SEARCH("Demand Gen",C860))+ISNUMBER(SEARCH("Marketing Lead",C860))&gt;0,'Configuración'!$B$33,IF(ISNUMBER(SEARCH("COO",C860))+ISNUMBER(SEARCH("CFO",C860))+ISNUMBER(SEARCH("CTO",C860))+ISNUMBER(SEARCH("Chief Operating",C860))+ISNUMBER(SEARCH("Chief Financial",C860))+ISNUMBER(SEARCH("Gerente General",C860))+ISNUMBER(SEARCH("General Manager",C860))&gt;0,'Configuración'!$B$34,'Configuración'!$B$35)))))</f>
        <v>4</v>
      </c>
      <c r="V860" s="38">
        <f>IF(B860="","",IF(K860="Sí",'Configuración'!$B$5,0)+IF(L860="Semanal",'Configuración'!$B$6,IF(L860="Mensual",'Configuración'!$B$7,0))+IF(M860="Sí",'Configuración'!$B$8,0)+IF(N860="Sí",'Configuración'!$B$9,0)+IF(O860="Sí",'Configuración'!$B$10,0)+IF(P860="Sí",'Configuración'!$B$11,0)+IF(Q860="Sí",'Configuración'!$B$12,0)+S860+T860+U860)</f>
        <v>20</v>
      </c>
      <c r="W860" s="39" t="str">
        <f>IF(B860="","",IF(V860&gt;='Configuración'!$B$19,"A",IF(V860&gt;='Configuración'!$B$20,"B",IF(V860&gt;='Configuración'!$B$21,"C","Descarte"))))</f>
        <v>Descarte</v>
      </c>
    </row>
    <row r="861" ht="15.75" customHeight="1">
      <c r="A861" s="34">
        <f t="shared" si="1"/>
        <v>859</v>
      </c>
      <c r="B861" s="29" t="s">
        <v>1048</v>
      </c>
      <c r="C861" s="29" t="s">
        <v>5062</v>
      </c>
      <c r="D861" s="29" t="s">
        <v>5063</v>
      </c>
      <c r="E861" s="29" t="s">
        <v>5064</v>
      </c>
      <c r="F861" s="30" t="s">
        <v>5065</v>
      </c>
      <c r="G861" s="30" t="s">
        <v>5066</v>
      </c>
      <c r="H861" s="30" t="s">
        <v>5067</v>
      </c>
      <c r="I861" s="29" t="s">
        <v>127</v>
      </c>
      <c r="J861" s="31">
        <v>4.0</v>
      </c>
      <c r="K861" s="35"/>
      <c r="L861" s="35"/>
      <c r="M861" s="35"/>
      <c r="N861" s="35"/>
      <c r="O861" s="35"/>
      <c r="P861" s="35"/>
      <c r="Q861" s="35"/>
      <c r="R861" s="35"/>
      <c r="S861" s="37">
        <f>IF(B861="","",IF(ISNUMBER(J861),IF(J861&lt;=10,'Configuración'!$B$23,IF(J861&lt;=50,'Configuración'!$B$24,IF(J861&lt;=200,'Configuración'!$B$25,0))),0))</f>
        <v>12</v>
      </c>
      <c r="T861" s="37">
        <f>IF(B861="","",IF(ISNUMBER(SEARCH("information technology",I861))+ISNUMBER(SEARCH("software",I861))+ISNUMBER(SEARCH("internet",I861))+ISNUMBER(SEARCH("computer",I861))+ISNUMBER(SEARCH("saas",I861))+ISNUMBER(SEARCH("fintech",I861))+ISNUMBER(SEARCH("information services",I861))+ISNUMBER(SEARCH("telecommunications",I861))&gt;0,'Configuración'!$B$27,'Configuración'!$B$28))</f>
        <v>12</v>
      </c>
      <c r="U861" s="25">
        <f>IF(B861="","",IF(ISNUMBER(SEARCH("CEO",C861))+ISNUMBER(SEARCH("Founder",C861))+ISNUMBER(SEARCH("Owner",C861))+ISNUMBER(SEARCH("Dueño",C861))+ISNUMBER(SEARCH("Director General",C861))+ISNUMBER(SEARCH("Presidente",C861))+ISNUMBER(SEARCH("President",C861))&gt;0,'Configuración'!$B$31,IF(ISNUMBER(SEARCH("CMO",C861))+ISNUMBER(SEARCH("Chief Marketing",C861))+ISNUMBER(SEARCH("VP Marketing",C861))+ISNUMBER(SEARCH("Director de Marketing",C861))+ISNUMBER(SEARCH("Director Marketing",C861))+ISNUMBER(SEARCH("Head of Marketing",C861))+ISNUMBER(SEARCH("Head Marketing",C861))&gt;0,'Configuración'!$B$32,IF(ISNUMBER(SEARCH("Marketing Manager",C861))+ISNUMBER(SEARCH("Gerente de Marketing",C861))+ISNUMBER(SEARCH("Growth Manager",C861))+ISNUMBER(SEARCH("Demand Gen",C861))+ISNUMBER(SEARCH("Marketing Lead",C861))&gt;0,'Configuración'!$B$33,IF(ISNUMBER(SEARCH("COO",C861))+ISNUMBER(SEARCH("CFO",C861))+ISNUMBER(SEARCH("CTO",C861))+ISNUMBER(SEARCH("Chief Operating",C861))+ISNUMBER(SEARCH("Chief Financial",C861))+ISNUMBER(SEARCH("Gerente General",C861))+ISNUMBER(SEARCH("General Manager",C861))&gt;0,'Configuración'!$B$34,'Configuración'!$B$35)))))</f>
        <v>12</v>
      </c>
      <c r="V861" s="38">
        <f>IF(B861="","",IF(K861="Sí",'Configuración'!$B$5,0)+IF(L861="Semanal",'Configuración'!$B$6,IF(L861="Mensual",'Configuración'!$B$7,0))+IF(M861="Sí",'Configuración'!$B$8,0)+IF(N861="Sí",'Configuración'!$B$9,0)+IF(O861="Sí",'Configuración'!$B$10,0)+IF(P861="Sí",'Configuración'!$B$11,0)+IF(Q861="Sí",'Configuración'!$B$12,0)+S861+T861+U861)</f>
        <v>36</v>
      </c>
      <c r="W861" s="39" t="str">
        <f>IF(B861="","",IF(V861&gt;='Configuración'!$B$19,"A",IF(V861&gt;='Configuración'!$B$20,"B",IF(V861&gt;='Configuración'!$B$21,"C","Descarte"))))</f>
        <v>C</v>
      </c>
    </row>
    <row r="862" ht="15.75" customHeight="1">
      <c r="A862" s="34">
        <f t="shared" si="1"/>
        <v>860</v>
      </c>
      <c r="B862" s="29" t="s">
        <v>1079</v>
      </c>
      <c r="C862" s="29" t="s">
        <v>487</v>
      </c>
      <c r="D862" s="29" t="s">
        <v>5068</v>
      </c>
      <c r="E862" s="29" t="s">
        <v>5069</v>
      </c>
      <c r="F862" s="30" t="s">
        <v>5070</v>
      </c>
      <c r="G862" s="30" t="s">
        <v>5071</v>
      </c>
      <c r="H862" s="30" t="s">
        <v>5072</v>
      </c>
      <c r="I862" s="29" t="s">
        <v>127</v>
      </c>
      <c r="J862" s="31">
        <v>4.0</v>
      </c>
      <c r="K862" s="35"/>
      <c r="L862" s="35"/>
      <c r="M862" s="35"/>
      <c r="N862" s="35"/>
      <c r="O862" s="35"/>
      <c r="P862" s="35"/>
      <c r="Q862" s="35"/>
      <c r="R862" s="35"/>
      <c r="S862" s="37">
        <f>IF(B862="","",IF(ISNUMBER(J862),IF(J862&lt;=10,'Configuración'!$B$23,IF(J862&lt;=50,'Configuración'!$B$24,IF(J862&lt;=200,'Configuración'!$B$25,0))),0))</f>
        <v>12</v>
      </c>
      <c r="T862" s="37">
        <f>IF(B862="","",IF(ISNUMBER(SEARCH("information technology",I862))+ISNUMBER(SEARCH("software",I862))+ISNUMBER(SEARCH("internet",I862))+ISNUMBER(SEARCH("computer",I862))+ISNUMBER(SEARCH("saas",I862))+ISNUMBER(SEARCH("fintech",I862))+ISNUMBER(SEARCH("information services",I862))+ISNUMBER(SEARCH("telecommunications",I862))&gt;0,'Configuración'!$B$27,'Configuración'!$B$28))</f>
        <v>12</v>
      </c>
      <c r="U862" s="25">
        <f>IF(B862="","",IF(ISNUMBER(SEARCH("CEO",C862))+ISNUMBER(SEARCH("Founder",C862))+ISNUMBER(SEARCH("Owner",C862))+ISNUMBER(SEARCH("Dueño",C862))+ISNUMBER(SEARCH("Director General",C862))+ISNUMBER(SEARCH("Presidente",C862))+ISNUMBER(SEARCH("President",C862))&gt;0,'Configuración'!$B$31,IF(ISNUMBER(SEARCH("CMO",C862))+ISNUMBER(SEARCH("Chief Marketing",C862))+ISNUMBER(SEARCH("VP Marketing",C862))+ISNUMBER(SEARCH("Director de Marketing",C862))+ISNUMBER(SEARCH("Director Marketing",C862))+ISNUMBER(SEARCH("Head of Marketing",C862))+ISNUMBER(SEARCH("Head Marketing",C862))&gt;0,'Configuración'!$B$32,IF(ISNUMBER(SEARCH("Marketing Manager",C862))+ISNUMBER(SEARCH("Gerente de Marketing",C862))+ISNUMBER(SEARCH("Growth Manager",C862))+ISNUMBER(SEARCH("Demand Gen",C862))+ISNUMBER(SEARCH("Marketing Lead",C862))&gt;0,'Configuración'!$B$33,IF(ISNUMBER(SEARCH("COO",C862))+ISNUMBER(SEARCH("CFO",C862))+ISNUMBER(SEARCH("CTO",C862))+ISNUMBER(SEARCH("Chief Operating",C862))+ISNUMBER(SEARCH("Chief Financial",C862))+ISNUMBER(SEARCH("Gerente General",C862))+ISNUMBER(SEARCH("General Manager",C862))&gt;0,'Configuración'!$B$34,'Configuración'!$B$35)))))</f>
        <v>12</v>
      </c>
      <c r="V862" s="38">
        <f>IF(B862="","",IF(K862="Sí",'Configuración'!$B$5,0)+IF(L862="Semanal",'Configuración'!$B$6,IF(L862="Mensual",'Configuración'!$B$7,0))+IF(M862="Sí",'Configuración'!$B$8,0)+IF(N862="Sí",'Configuración'!$B$9,0)+IF(O862="Sí",'Configuración'!$B$10,0)+IF(P862="Sí",'Configuración'!$B$11,0)+IF(Q862="Sí",'Configuración'!$B$12,0)+S862+T862+U862)</f>
        <v>36</v>
      </c>
      <c r="W862" s="39" t="str">
        <f>IF(B862="","",IF(V862&gt;='Configuración'!$B$19,"A",IF(V862&gt;='Configuración'!$B$20,"B",IF(V862&gt;='Configuración'!$B$21,"C","Descarte"))))</f>
        <v>C</v>
      </c>
    </row>
    <row r="863" ht="15.75" customHeight="1">
      <c r="A863" s="34">
        <f t="shared" si="1"/>
        <v>861</v>
      </c>
      <c r="B863" s="29" t="s">
        <v>1008</v>
      </c>
      <c r="C863" s="29" t="s">
        <v>444</v>
      </c>
      <c r="D863" s="29" t="s">
        <v>5073</v>
      </c>
      <c r="E863" s="29" t="s">
        <v>5074</v>
      </c>
      <c r="F863" s="30" t="s">
        <v>5075</v>
      </c>
      <c r="G863" s="30" t="s">
        <v>5076</v>
      </c>
      <c r="H863" s="30" t="s">
        <v>5077</v>
      </c>
      <c r="I863" s="29" t="s">
        <v>127</v>
      </c>
      <c r="J863" s="31">
        <v>1.0</v>
      </c>
      <c r="K863" s="35"/>
      <c r="L863" s="35"/>
      <c r="M863" s="35"/>
      <c r="N863" s="35"/>
      <c r="O863" s="35"/>
      <c r="P863" s="35"/>
      <c r="Q863" s="35"/>
      <c r="R863" s="35"/>
      <c r="S863" s="37">
        <f>IF(B863="","",IF(ISNUMBER(J863),IF(J863&lt;=10,'Configuración'!$B$23,IF(J863&lt;=50,'Configuración'!$B$24,IF(J863&lt;=200,'Configuración'!$B$25,0))),0))</f>
        <v>12</v>
      </c>
      <c r="T863" s="37">
        <f>IF(B863="","",IF(ISNUMBER(SEARCH("information technology",I863))+ISNUMBER(SEARCH("software",I863))+ISNUMBER(SEARCH("internet",I863))+ISNUMBER(SEARCH("computer",I863))+ISNUMBER(SEARCH("saas",I863))+ISNUMBER(SEARCH("fintech",I863))+ISNUMBER(SEARCH("information services",I863))+ISNUMBER(SEARCH("telecommunications",I863))&gt;0,'Configuración'!$B$27,'Configuración'!$B$28))</f>
        <v>12</v>
      </c>
      <c r="U863" s="25">
        <f>IF(B863="","",IF(ISNUMBER(SEARCH("CEO",C863))+ISNUMBER(SEARCH("Founder",C863))+ISNUMBER(SEARCH("Owner",C863))+ISNUMBER(SEARCH("Dueño",C863))+ISNUMBER(SEARCH("Director General",C863))+ISNUMBER(SEARCH("Presidente",C863))+ISNUMBER(SEARCH("President",C863))&gt;0,'Configuración'!$B$31,IF(ISNUMBER(SEARCH("CMO",C863))+ISNUMBER(SEARCH("Chief Marketing",C863))+ISNUMBER(SEARCH("VP Marketing",C863))+ISNUMBER(SEARCH("Director de Marketing",C863))+ISNUMBER(SEARCH("Director Marketing",C863))+ISNUMBER(SEARCH("Head of Marketing",C863))+ISNUMBER(SEARCH("Head Marketing",C863))&gt;0,'Configuración'!$B$32,IF(ISNUMBER(SEARCH("Marketing Manager",C863))+ISNUMBER(SEARCH("Gerente de Marketing",C863))+ISNUMBER(SEARCH("Growth Manager",C863))+ISNUMBER(SEARCH("Demand Gen",C863))+ISNUMBER(SEARCH("Marketing Lead",C863))&gt;0,'Configuración'!$B$33,IF(ISNUMBER(SEARCH("COO",C863))+ISNUMBER(SEARCH("CFO",C863))+ISNUMBER(SEARCH("CTO",C863))+ISNUMBER(SEARCH("Chief Operating",C863))+ISNUMBER(SEARCH("Chief Financial",C863))+ISNUMBER(SEARCH("Gerente General",C863))+ISNUMBER(SEARCH("General Manager",C863))&gt;0,'Configuración'!$B$34,'Configuración'!$B$35)))))</f>
        <v>12</v>
      </c>
      <c r="V863" s="38">
        <f>IF(B863="","",IF(K863="Sí",'Configuración'!$B$5,0)+IF(L863="Semanal",'Configuración'!$B$6,IF(L863="Mensual",'Configuración'!$B$7,0))+IF(M863="Sí",'Configuración'!$B$8,0)+IF(N863="Sí",'Configuración'!$B$9,0)+IF(O863="Sí",'Configuración'!$B$10,0)+IF(P863="Sí",'Configuración'!$B$11,0)+IF(Q863="Sí",'Configuración'!$B$12,0)+S863+T863+U863)</f>
        <v>36</v>
      </c>
      <c r="W863" s="39" t="str">
        <f>IF(B863="","",IF(V863&gt;='Configuración'!$B$19,"A",IF(V863&gt;='Configuración'!$B$20,"B",IF(V863&gt;='Configuración'!$B$21,"C","Descarte"))))</f>
        <v>C</v>
      </c>
    </row>
    <row r="864" ht="15.75" customHeight="1">
      <c r="A864" s="34">
        <f t="shared" si="1"/>
        <v>862</v>
      </c>
      <c r="B864" s="29" t="s">
        <v>5078</v>
      </c>
      <c r="C864" s="29" t="s">
        <v>5079</v>
      </c>
      <c r="D864" s="29" t="s">
        <v>5080</v>
      </c>
      <c r="E864" s="29" t="s">
        <v>5081</v>
      </c>
      <c r="F864" s="30" t="s">
        <v>5082</v>
      </c>
      <c r="G864" s="30" t="s">
        <v>5083</v>
      </c>
      <c r="H864" s="30" t="s">
        <v>5084</v>
      </c>
      <c r="I864" s="29" t="s">
        <v>528</v>
      </c>
      <c r="J864" s="31">
        <v>4.0</v>
      </c>
      <c r="K864" s="35"/>
      <c r="L864" s="35"/>
      <c r="M864" s="35"/>
      <c r="N864" s="35"/>
      <c r="O864" s="35"/>
      <c r="P864" s="35"/>
      <c r="Q864" s="35"/>
      <c r="R864" s="35"/>
      <c r="S864" s="37">
        <f>IF(B864="","",IF(ISNUMBER(J864),IF(J864&lt;=10,'Configuración'!$B$23,IF(J864&lt;=50,'Configuración'!$B$24,IF(J864&lt;=200,'Configuración'!$B$25,0))),0))</f>
        <v>12</v>
      </c>
      <c r="T864" s="37">
        <f>IF(B864="","",IF(ISNUMBER(SEARCH("information technology",I864))+ISNUMBER(SEARCH("software",I864))+ISNUMBER(SEARCH("internet",I864))+ISNUMBER(SEARCH("computer",I864))+ISNUMBER(SEARCH("saas",I864))+ISNUMBER(SEARCH("fintech",I864))+ISNUMBER(SEARCH("information services",I864))+ISNUMBER(SEARCH("telecommunications",I864))&gt;0,'Configuración'!$B$27,'Configuración'!$B$28))</f>
        <v>4</v>
      </c>
      <c r="U864" s="25">
        <f>IF(B864="","",IF(ISNUMBER(SEARCH("CEO",C864))+ISNUMBER(SEARCH("Founder",C864))+ISNUMBER(SEARCH("Owner",C864))+ISNUMBER(SEARCH("Dueño",C864))+ISNUMBER(SEARCH("Director General",C864))+ISNUMBER(SEARCH("Presidente",C864))+ISNUMBER(SEARCH("President",C864))&gt;0,'Configuración'!$B$31,IF(ISNUMBER(SEARCH("CMO",C864))+ISNUMBER(SEARCH("Chief Marketing",C864))+ISNUMBER(SEARCH("VP Marketing",C864))+ISNUMBER(SEARCH("Director de Marketing",C864))+ISNUMBER(SEARCH("Director Marketing",C864))+ISNUMBER(SEARCH("Head of Marketing",C864))+ISNUMBER(SEARCH("Head Marketing",C864))&gt;0,'Configuración'!$B$32,IF(ISNUMBER(SEARCH("Marketing Manager",C864))+ISNUMBER(SEARCH("Gerente de Marketing",C864))+ISNUMBER(SEARCH("Growth Manager",C864))+ISNUMBER(SEARCH("Demand Gen",C864))+ISNUMBER(SEARCH("Marketing Lead",C864))&gt;0,'Configuración'!$B$33,IF(ISNUMBER(SEARCH("COO",C864))+ISNUMBER(SEARCH("CFO",C864))+ISNUMBER(SEARCH("CTO",C864))+ISNUMBER(SEARCH("Chief Operating",C864))+ISNUMBER(SEARCH("Chief Financial",C864))+ISNUMBER(SEARCH("Gerente General",C864))+ISNUMBER(SEARCH("General Manager",C864))&gt;0,'Configuración'!$B$34,'Configuración'!$B$35)))))</f>
        <v>12</v>
      </c>
      <c r="V864" s="38">
        <f>IF(B864="","",IF(K864="Sí",'Configuración'!$B$5,0)+IF(L864="Semanal",'Configuración'!$B$6,IF(L864="Mensual",'Configuración'!$B$7,0))+IF(M864="Sí",'Configuración'!$B$8,0)+IF(N864="Sí",'Configuración'!$B$9,0)+IF(O864="Sí",'Configuración'!$B$10,0)+IF(P864="Sí",'Configuración'!$B$11,0)+IF(Q864="Sí",'Configuración'!$B$12,0)+S864+T864+U864)</f>
        <v>28</v>
      </c>
      <c r="W864" s="39" t="str">
        <f>IF(B864="","",IF(V864&gt;='Configuración'!$B$19,"A",IF(V864&gt;='Configuración'!$B$20,"B",IF(V864&gt;='Configuración'!$B$21,"C","Descarte"))))</f>
        <v>C</v>
      </c>
    </row>
    <row r="865" ht="15.75" customHeight="1">
      <c r="A865" s="34">
        <f t="shared" si="1"/>
        <v>863</v>
      </c>
      <c r="B865" s="29" t="s">
        <v>1079</v>
      </c>
      <c r="C865" s="29" t="s">
        <v>5085</v>
      </c>
      <c r="D865" s="29" t="s">
        <v>5086</v>
      </c>
      <c r="E865" s="29" t="s">
        <v>5087</v>
      </c>
      <c r="F865" s="30" t="s">
        <v>5088</v>
      </c>
      <c r="G865" s="30" t="s">
        <v>5089</v>
      </c>
      <c r="H865" s="30" t="s">
        <v>5090</v>
      </c>
      <c r="I865" s="29" t="s">
        <v>188</v>
      </c>
      <c r="J865" s="31">
        <v>8.0</v>
      </c>
      <c r="K865" s="35"/>
      <c r="L865" s="35"/>
      <c r="M865" s="35"/>
      <c r="N865" s="35"/>
      <c r="O865" s="35"/>
      <c r="P865" s="35"/>
      <c r="Q865" s="35"/>
      <c r="R865" s="35"/>
      <c r="S865" s="37">
        <f>IF(B865="","",IF(ISNUMBER(J865),IF(J865&lt;=10,'Configuración'!$B$23,IF(J865&lt;=50,'Configuración'!$B$24,IF(J865&lt;=200,'Configuración'!$B$25,0))),0))</f>
        <v>12</v>
      </c>
      <c r="T865" s="37">
        <f>IF(B865="","",IF(ISNUMBER(SEARCH("information technology",I865))+ISNUMBER(SEARCH("software",I865))+ISNUMBER(SEARCH("internet",I865))+ISNUMBER(SEARCH("computer",I865))+ISNUMBER(SEARCH("saas",I865))+ISNUMBER(SEARCH("fintech",I865))+ISNUMBER(SEARCH("information services",I865))+ISNUMBER(SEARCH("telecommunications",I865))&gt;0,'Configuración'!$B$27,'Configuración'!$B$28))</f>
        <v>4</v>
      </c>
      <c r="U865" s="25">
        <f>IF(B865="","",IF(ISNUMBER(SEARCH("CEO",C865))+ISNUMBER(SEARCH("Founder",C865))+ISNUMBER(SEARCH("Owner",C865))+ISNUMBER(SEARCH("Dueño",C865))+ISNUMBER(SEARCH("Director General",C865))+ISNUMBER(SEARCH("Presidente",C865))+ISNUMBER(SEARCH("President",C865))&gt;0,'Configuración'!$B$31,IF(ISNUMBER(SEARCH("CMO",C865))+ISNUMBER(SEARCH("Chief Marketing",C865))+ISNUMBER(SEARCH("VP Marketing",C865))+ISNUMBER(SEARCH("Director de Marketing",C865))+ISNUMBER(SEARCH("Director Marketing",C865))+ISNUMBER(SEARCH("Head of Marketing",C865))+ISNUMBER(SEARCH("Head Marketing",C865))&gt;0,'Configuración'!$B$32,IF(ISNUMBER(SEARCH("Marketing Manager",C865))+ISNUMBER(SEARCH("Gerente de Marketing",C865))+ISNUMBER(SEARCH("Growth Manager",C865))+ISNUMBER(SEARCH("Demand Gen",C865))+ISNUMBER(SEARCH("Marketing Lead",C865))&gt;0,'Configuración'!$B$33,IF(ISNUMBER(SEARCH("COO",C865))+ISNUMBER(SEARCH("CFO",C865))+ISNUMBER(SEARCH("CTO",C865))+ISNUMBER(SEARCH("Chief Operating",C865))+ISNUMBER(SEARCH("Chief Financial",C865))+ISNUMBER(SEARCH("Gerente General",C865))+ISNUMBER(SEARCH("General Manager",C865))&gt;0,'Configuración'!$B$34,'Configuración'!$B$35)))))</f>
        <v>12</v>
      </c>
      <c r="V865" s="38">
        <f>IF(B865="","",IF(K865="Sí",'Configuración'!$B$5,0)+IF(L865="Semanal",'Configuración'!$B$6,IF(L865="Mensual",'Configuración'!$B$7,0))+IF(M865="Sí",'Configuración'!$B$8,0)+IF(N865="Sí",'Configuración'!$B$9,0)+IF(O865="Sí",'Configuración'!$B$10,0)+IF(P865="Sí",'Configuración'!$B$11,0)+IF(Q865="Sí",'Configuración'!$B$12,0)+S865+T865+U865)</f>
        <v>28</v>
      </c>
      <c r="W865" s="39" t="str">
        <f>IF(B865="","",IF(V865&gt;='Configuración'!$B$19,"A",IF(V865&gt;='Configuración'!$B$20,"B",IF(V865&gt;='Configuración'!$B$21,"C","Descarte"))))</f>
        <v>C</v>
      </c>
    </row>
    <row r="866" ht="15.75" customHeight="1">
      <c r="A866" s="34">
        <f t="shared" si="1"/>
        <v>864</v>
      </c>
      <c r="B866" s="29" t="s">
        <v>174</v>
      </c>
      <c r="C866" s="29" t="s">
        <v>1535</v>
      </c>
      <c r="D866" s="29" t="s">
        <v>5091</v>
      </c>
      <c r="E866" s="29" t="s">
        <v>5092</v>
      </c>
      <c r="F866" s="30" t="s">
        <v>5093</v>
      </c>
      <c r="G866" s="30" t="s">
        <v>5094</v>
      </c>
      <c r="H866" s="30" t="s">
        <v>5095</v>
      </c>
      <c r="I866" s="29" t="s">
        <v>337</v>
      </c>
      <c r="J866" s="31">
        <v>4.0</v>
      </c>
      <c r="K866" s="35"/>
      <c r="L866" s="35"/>
      <c r="M866" s="35"/>
      <c r="N866" s="35"/>
      <c r="O866" s="35"/>
      <c r="P866" s="35"/>
      <c r="Q866" s="35"/>
      <c r="R866" s="35"/>
      <c r="S866" s="37">
        <f>IF(B866="","",IF(ISNUMBER(J866),IF(J866&lt;=10,'Configuración'!$B$23,IF(J866&lt;=50,'Configuración'!$B$24,IF(J866&lt;=200,'Configuración'!$B$25,0))),0))</f>
        <v>12</v>
      </c>
      <c r="T866" s="37">
        <f>IF(B866="","",IF(ISNUMBER(SEARCH("information technology",I866))+ISNUMBER(SEARCH("software",I866))+ISNUMBER(SEARCH("internet",I866))+ISNUMBER(SEARCH("computer",I866))+ISNUMBER(SEARCH("saas",I866))+ISNUMBER(SEARCH("fintech",I866))+ISNUMBER(SEARCH("information services",I866))+ISNUMBER(SEARCH("telecommunications",I866))&gt;0,'Configuración'!$B$27,'Configuración'!$B$28))</f>
        <v>4</v>
      </c>
      <c r="U866" s="25">
        <f>IF(B866="","",IF(ISNUMBER(SEARCH("CEO",C866))+ISNUMBER(SEARCH("Founder",C866))+ISNUMBER(SEARCH("Owner",C866))+ISNUMBER(SEARCH("Dueño",C866))+ISNUMBER(SEARCH("Director General",C866))+ISNUMBER(SEARCH("Presidente",C866))+ISNUMBER(SEARCH("President",C866))&gt;0,'Configuración'!$B$31,IF(ISNUMBER(SEARCH("CMO",C866))+ISNUMBER(SEARCH("Chief Marketing",C866))+ISNUMBER(SEARCH("VP Marketing",C866))+ISNUMBER(SEARCH("Director de Marketing",C866))+ISNUMBER(SEARCH("Director Marketing",C866))+ISNUMBER(SEARCH("Head of Marketing",C866))+ISNUMBER(SEARCH("Head Marketing",C866))&gt;0,'Configuración'!$B$32,IF(ISNUMBER(SEARCH("Marketing Manager",C866))+ISNUMBER(SEARCH("Gerente de Marketing",C866))+ISNUMBER(SEARCH("Growth Manager",C866))+ISNUMBER(SEARCH("Demand Gen",C866))+ISNUMBER(SEARCH("Marketing Lead",C866))&gt;0,'Configuración'!$B$33,IF(ISNUMBER(SEARCH("COO",C866))+ISNUMBER(SEARCH("CFO",C866))+ISNUMBER(SEARCH("CTO",C866))+ISNUMBER(SEARCH("Chief Operating",C866))+ISNUMBER(SEARCH("Chief Financial",C866))+ISNUMBER(SEARCH("Gerente General",C866))+ISNUMBER(SEARCH("General Manager",C866))&gt;0,'Configuración'!$B$34,'Configuración'!$B$35)))))</f>
        <v>12</v>
      </c>
      <c r="V866" s="38">
        <f>IF(B866="","",IF(K866="Sí",'Configuración'!$B$5,0)+IF(L866="Semanal",'Configuración'!$B$6,IF(L866="Mensual",'Configuración'!$B$7,0))+IF(M866="Sí",'Configuración'!$B$8,0)+IF(N866="Sí",'Configuración'!$B$9,0)+IF(O866="Sí",'Configuración'!$B$10,0)+IF(P866="Sí",'Configuración'!$B$11,0)+IF(Q866="Sí",'Configuración'!$B$12,0)+S866+T866+U866)</f>
        <v>28</v>
      </c>
      <c r="W866" s="39" t="str">
        <f>IF(B866="","",IF(V866&gt;='Configuración'!$B$19,"A",IF(V866&gt;='Configuración'!$B$20,"B",IF(V866&gt;='Configuración'!$B$21,"C","Descarte"))))</f>
        <v>C</v>
      </c>
    </row>
    <row r="867" ht="15.75" customHeight="1">
      <c r="A867" s="34">
        <f t="shared" si="1"/>
        <v>865</v>
      </c>
      <c r="B867" s="29" t="s">
        <v>120</v>
      </c>
      <c r="C867" s="29" t="s">
        <v>5096</v>
      </c>
      <c r="D867" s="29" t="s">
        <v>5097</v>
      </c>
      <c r="E867" s="29" t="s">
        <v>5098</v>
      </c>
      <c r="F867" s="30" t="s">
        <v>5099</v>
      </c>
      <c r="G867" s="30" t="s">
        <v>5100</v>
      </c>
      <c r="H867" s="30" t="s">
        <v>5101</v>
      </c>
      <c r="I867" s="29" t="s">
        <v>628</v>
      </c>
      <c r="J867" s="31">
        <v>43.0</v>
      </c>
      <c r="K867" s="35"/>
      <c r="L867" s="35"/>
      <c r="M867" s="35"/>
      <c r="N867" s="35"/>
      <c r="O867" s="35"/>
      <c r="P867" s="35"/>
      <c r="Q867" s="35"/>
      <c r="R867" s="35"/>
      <c r="S867" s="37">
        <f>IF(B867="","",IF(ISNUMBER(J867),IF(J867&lt;=10,'Configuración'!$B$23,IF(J867&lt;=50,'Configuración'!$B$24,IF(J867&lt;=200,'Configuración'!$B$25,0))),0))</f>
        <v>4</v>
      </c>
      <c r="T867" s="37">
        <f>IF(B867="","",IF(ISNUMBER(SEARCH("information technology",I867))+ISNUMBER(SEARCH("software",I867))+ISNUMBER(SEARCH("internet",I867))+ISNUMBER(SEARCH("computer",I867))+ISNUMBER(SEARCH("saas",I867))+ISNUMBER(SEARCH("fintech",I867))+ISNUMBER(SEARCH("information services",I867))+ISNUMBER(SEARCH("telecommunications",I867))&gt;0,'Configuración'!$B$27,'Configuración'!$B$28))</f>
        <v>4</v>
      </c>
      <c r="U867" s="25">
        <f>IF(B867="","",IF(ISNUMBER(SEARCH("CEO",C867))+ISNUMBER(SEARCH("Founder",C867))+ISNUMBER(SEARCH("Owner",C867))+ISNUMBER(SEARCH("Dueño",C867))+ISNUMBER(SEARCH("Director General",C867))+ISNUMBER(SEARCH("Presidente",C867))+ISNUMBER(SEARCH("President",C867))&gt;0,'Configuración'!$B$31,IF(ISNUMBER(SEARCH("CMO",C867))+ISNUMBER(SEARCH("Chief Marketing",C867))+ISNUMBER(SEARCH("VP Marketing",C867))+ISNUMBER(SEARCH("Director de Marketing",C867))+ISNUMBER(SEARCH("Director Marketing",C867))+ISNUMBER(SEARCH("Head of Marketing",C867))+ISNUMBER(SEARCH("Head Marketing",C867))&gt;0,'Configuración'!$B$32,IF(ISNUMBER(SEARCH("Marketing Manager",C867))+ISNUMBER(SEARCH("Gerente de Marketing",C867))+ISNUMBER(SEARCH("Growth Manager",C867))+ISNUMBER(SEARCH("Demand Gen",C867))+ISNUMBER(SEARCH("Marketing Lead",C867))&gt;0,'Configuración'!$B$33,IF(ISNUMBER(SEARCH("COO",C867))+ISNUMBER(SEARCH("CFO",C867))+ISNUMBER(SEARCH("CTO",C867))+ISNUMBER(SEARCH("Chief Operating",C867))+ISNUMBER(SEARCH("Chief Financial",C867))+ISNUMBER(SEARCH("Gerente General",C867))+ISNUMBER(SEARCH("General Manager",C867))&gt;0,'Configuración'!$B$34,'Configuración'!$B$35)))))</f>
        <v>0</v>
      </c>
      <c r="V867" s="38">
        <f>IF(B867="","",IF(K867="Sí",'Configuración'!$B$5,0)+IF(L867="Semanal",'Configuración'!$B$6,IF(L867="Mensual",'Configuración'!$B$7,0))+IF(M867="Sí",'Configuración'!$B$8,0)+IF(N867="Sí",'Configuración'!$B$9,0)+IF(O867="Sí",'Configuración'!$B$10,0)+IF(P867="Sí",'Configuración'!$B$11,0)+IF(Q867="Sí",'Configuración'!$B$12,0)+S867+T867+U867)</f>
        <v>8</v>
      </c>
      <c r="W867" s="39" t="str">
        <f>IF(B867="","",IF(V867&gt;='Configuración'!$B$19,"A",IF(V867&gt;='Configuración'!$B$20,"B",IF(V867&gt;='Configuración'!$B$21,"C","Descarte"))))</f>
        <v>Descarte</v>
      </c>
    </row>
    <row r="868" ht="15.75" customHeight="1">
      <c r="A868" s="34">
        <f t="shared" si="1"/>
        <v>866</v>
      </c>
      <c r="B868" s="29" t="s">
        <v>564</v>
      </c>
      <c r="C868" s="29" t="s">
        <v>121</v>
      </c>
      <c r="D868" s="29" t="s">
        <v>5102</v>
      </c>
      <c r="E868" s="29" t="s">
        <v>5103</v>
      </c>
      <c r="F868" s="30" t="s">
        <v>5104</v>
      </c>
      <c r="G868" s="30" t="s">
        <v>5105</v>
      </c>
      <c r="H868" s="30" t="s">
        <v>5106</v>
      </c>
      <c r="I868" s="29" t="s">
        <v>137</v>
      </c>
      <c r="J868" s="31">
        <v>40.0</v>
      </c>
      <c r="K868" s="35"/>
      <c r="L868" s="35"/>
      <c r="M868" s="35"/>
      <c r="N868" s="35"/>
      <c r="O868" s="35"/>
      <c r="P868" s="35"/>
      <c r="Q868" s="35"/>
      <c r="R868" s="35"/>
      <c r="S868" s="37">
        <f>IF(B868="","",IF(ISNUMBER(J868),IF(J868&lt;=10,'Configuración'!$B$23,IF(J868&lt;=50,'Configuración'!$B$24,IF(J868&lt;=200,'Configuración'!$B$25,0))),0))</f>
        <v>4</v>
      </c>
      <c r="T868" s="37">
        <f>IF(B868="","",IF(ISNUMBER(SEARCH("information technology",I868))+ISNUMBER(SEARCH("software",I868))+ISNUMBER(SEARCH("internet",I868))+ISNUMBER(SEARCH("computer",I868))+ISNUMBER(SEARCH("saas",I868))+ISNUMBER(SEARCH("fintech",I868))+ISNUMBER(SEARCH("information services",I868))+ISNUMBER(SEARCH("telecommunications",I868))&gt;0,'Configuración'!$B$27,'Configuración'!$B$28))</f>
        <v>4</v>
      </c>
      <c r="U868" s="25">
        <f>IF(B868="","",IF(ISNUMBER(SEARCH("CEO",C868))+ISNUMBER(SEARCH("Founder",C868))+ISNUMBER(SEARCH("Owner",C868))+ISNUMBER(SEARCH("Dueño",C868))+ISNUMBER(SEARCH("Director General",C868))+ISNUMBER(SEARCH("Presidente",C868))+ISNUMBER(SEARCH("President",C868))&gt;0,'Configuración'!$B$31,IF(ISNUMBER(SEARCH("CMO",C868))+ISNUMBER(SEARCH("Chief Marketing",C868))+ISNUMBER(SEARCH("VP Marketing",C868))+ISNUMBER(SEARCH("Director de Marketing",C868))+ISNUMBER(SEARCH("Director Marketing",C868))+ISNUMBER(SEARCH("Head of Marketing",C868))+ISNUMBER(SEARCH("Head Marketing",C868))&gt;0,'Configuración'!$B$32,IF(ISNUMBER(SEARCH("Marketing Manager",C868))+ISNUMBER(SEARCH("Gerente de Marketing",C868))+ISNUMBER(SEARCH("Growth Manager",C868))+ISNUMBER(SEARCH("Demand Gen",C868))+ISNUMBER(SEARCH("Marketing Lead",C868))&gt;0,'Configuración'!$B$33,IF(ISNUMBER(SEARCH("COO",C868))+ISNUMBER(SEARCH("CFO",C868))+ISNUMBER(SEARCH("CTO",C868))+ISNUMBER(SEARCH("Chief Operating",C868))+ISNUMBER(SEARCH("Chief Financial",C868))+ISNUMBER(SEARCH("Gerente General",C868))+ISNUMBER(SEARCH("General Manager",C868))&gt;0,'Configuración'!$B$34,'Configuración'!$B$35)))))</f>
        <v>12</v>
      </c>
      <c r="V868" s="38">
        <f>IF(B868="","",IF(K868="Sí",'Configuración'!$B$5,0)+IF(L868="Semanal",'Configuración'!$B$6,IF(L868="Mensual",'Configuración'!$B$7,0))+IF(M868="Sí",'Configuración'!$B$8,0)+IF(N868="Sí",'Configuración'!$B$9,0)+IF(O868="Sí",'Configuración'!$B$10,0)+IF(P868="Sí",'Configuración'!$B$11,0)+IF(Q868="Sí",'Configuración'!$B$12,0)+S868+T868+U868)</f>
        <v>20</v>
      </c>
      <c r="W868" s="39" t="str">
        <f>IF(B868="","",IF(V868&gt;='Configuración'!$B$19,"A",IF(V868&gt;='Configuración'!$B$20,"B",IF(V868&gt;='Configuración'!$B$21,"C","Descarte"))))</f>
        <v>Descarte</v>
      </c>
    </row>
    <row r="869" ht="15.75" customHeight="1">
      <c r="A869" s="34">
        <f t="shared" si="1"/>
        <v>867</v>
      </c>
      <c r="B869" s="29" t="s">
        <v>5107</v>
      </c>
      <c r="C869" s="29" t="s">
        <v>444</v>
      </c>
      <c r="D869" s="29" t="s">
        <v>5108</v>
      </c>
      <c r="E869" s="29" t="s">
        <v>5109</v>
      </c>
      <c r="F869" s="30" t="s">
        <v>5110</v>
      </c>
      <c r="G869" s="30" t="s">
        <v>5111</v>
      </c>
      <c r="H869" s="30" t="s">
        <v>5112</v>
      </c>
      <c r="I869" s="29" t="s">
        <v>127</v>
      </c>
      <c r="J869" s="31">
        <v>5.0</v>
      </c>
      <c r="K869" s="35"/>
      <c r="L869" s="35"/>
      <c r="M869" s="35"/>
      <c r="N869" s="35"/>
      <c r="O869" s="35"/>
      <c r="P869" s="35"/>
      <c r="Q869" s="35"/>
      <c r="R869" s="35"/>
      <c r="S869" s="37">
        <f>IF(B869="","",IF(ISNUMBER(J869),IF(J869&lt;=10,'Configuración'!$B$23,IF(J869&lt;=50,'Configuración'!$B$24,IF(J869&lt;=200,'Configuración'!$B$25,0))),0))</f>
        <v>12</v>
      </c>
      <c r="T869" s="37">
        <f>IF(B869="","",IF(ISNUMBER(SEARCH("information technology",I869))+ISNUMBER(SEARCH("software",I869))+ISNUMBER(SEARCH("internet",I869))+ISNUMBER(SEARCH("computer",I869))+ISNUMBER(SEARCH("saas",I869))+ISNUMBER(SEARCH("fintech",I869))+ISNUMBER(SEARCH("information services",I869))+ISNUMBER(SEARCH("telecommunications",I869))&gt;0,'Configuración'!$B$27,'Configuración'!$B$28))</f>
        <v>12</v>
      </c>
      <c r="U869" s="25">
        <f>IF(B869="","",IF(ISNUMBER(SEARCH("CEO",C869))+ISNUMBER(SEARCH("Founder",C869))+ISNUMBER(SEARCH("Owner",C869))+ISNUMBER(SEARCH("Dueño",C869))+ISNUMBER(SEARCH("Director General",C869))+ISNUMBER(SEARCH("Presidente",C869))+ISNUMBER(SEARCH("President",C869))&gt;0,'Configuración'!$B$31,IF(ISNUMBER(SEARCH("CMO",C869))+ISNUMBER(SEARCH("Chief Marketing",C869))+ISNUMBER(SEARCH("VP Marketing",C869))+ISNUMBER(SEARCH("Director de Marketing",C869))+ISNUMBER(SEARCH("Director Marketing",C869))+ISNUMBER(SEARCH("Head of Marketing",C869))+ISNUMBER(SEARCH("Head Marketing",C869))&gt;0,'Configuración'!$B$32,IF(ISNUMBER(SEARCH("Marketing Manager",C869))+ISNUMBER(SEARCH("Gerente de Marketing",C869))+ISNUMBER(SEARCH("Growth Manager",C869))+ISNUMBER(SEARCH("Demand Gen",C869))+ISNUMBER(SEARCH("Marketing Lead",C869))&gt;0,'Configuración'!$B$33,IF(ISNUMBER(SEARCH("COO",C869))+ISNUMBER(SEARCH("CFO",C869))+ISNUMBER(SEARCH("CTO",C869))+ISNUMBER(SEARCH("Chief Operating",C869))+ISNUMBER(SEARCH("Chief Financial",C869))+ISNUMBER(SEARCH("Gerente General",C869))+ISNUMBER(SEARCH("General Manager",C869))&gt;0,'Configuración'!$B$34,'Configuración'!$B$35)))))</f>
        <v>12</v>
      </c>
      <c r="V869" s="38">
        <f>IF(B869="","",IF(K869="Sí",'Configuración'!$B$5,0)+IF(L869="Semanal",'Configuración'!$B$6,IF(L869="Mensual",'Configuración'!$B$7,0))+IF(M869="Sí",'Configuración'!$B$8,0)+IF(N869="Sí",'Configuración'!$B$9,0)+IF(O869="Sí",'Configuración'!$B$10,0)+IF(P869="Sí",'Configuración'!$B$11,0)+IF(Q869="Sí",'Configuración'!$B$12,0)+S869+T869+U869)</f>
        <v>36</v>
      </c>
      <c r="W869" s="39" t="str">
        <f>IF(B869="","",IF(V869&gt;='Configuración'!$B$19,"A",IF(V869&gt;='Configuración'!$B$20,"B",IF(V869&gt;='Configuración'!$B$21,"C","Descarte"))))</f>
        <v>C</v>
      </c>
    </row>
    <row r="870" ht="15.75" customHeight="1">
      <c r="A870" s="34">
        <f t="shared" si="1"/>
        <v>868</v>
      </c>
      <c r="B870" s="29" t="s">
        <v>223</v>
      </c>
      <c r="C870" s="29" t="s">
        <v>467</v>
      </c>
      <c r="D870" s="29" t="s">
        <v>5113</v>
      </c>
      <c r="E870" s="29" t="s">
        <v>5114</v>
      </c>
      <c r="F870" s="30" t="s">
        <v>5115</v>
      </c>
      <c r="G870" s="30" t="s">
        <v>5116</v>
      </c>
      <c r="H870" s="30" t="s">
        <v>5117</v>
      </c>
      <c r="I870" s="29" t="s">
        <v>465</v>
      </c>
      <c r="J870" s="31">
        <v>18.0</v>
      </c>
      <c r="K870" s="35"/>
      <c r="L870" s="35"/>
      <c r="M870" s="35"/>
      <c r="N870" s="35"/>
      <c r="O870" s="35"/>
      <c r="P870" s="35"/>
      <c r="Q870" s="35"/>
      <c r="R870" s="35"/>
      <c r="S870" s="37">
        <f>IF(B870="","",IF(ISNUMBER(J870),IF(J870&lt;=10,'Configuración'!$B$23,IF(J870&lt;=50,'Configuración'!$B$24,IF(J870&lt;=200,'Configuración'!$B$25,0))),0))</f>
        <v>4</v>
      </c>
      <c r="T870" s="37">
        <f>IF(B870="","",IF(ISNUMBER(SEARCH("information technology",I870))+ISNUMBER(SEARCH("software",I870))+ISNUMBER(SEARCH("internet",I870))+ISNUMBER(SEARCH("computer",I870))+ISNUMBER(SEARCH("saas",I870))+ISNUMBER(SEARCH("fintech",I870))+ISNUMBER(SEARCH("information services",I870))+ISNUMBER(SEARCH("telecommunications",I870))&gt;0,'Configuración'!$B$27,'Configuración'!$B$28))</f>
        <v>4</v>
      </c>
      <c r="U870" s="25">
        <f>IF(B870="","",IF(ISNUMBER(SEARCH("CEO",C870))+ISNUMBER(SEARCH("Founder",C870))+ISNUMBER(SEARCH("Owner",C870))+ISNUMBER(SEARCH("Dueño",C870))+ISNUMBER(SEARCH("Director General",C870))+ISNUMBER(SEARCH("Presidente",C870))+ISNUMBER(SEARCH("President",C870))&gt;0,'Configuración'!$B$31,IF(ISNUMBER(SEARCH("CMO",C870))+ISNUMBER(SEARCH("Chief Marketing",C870))+ISNUMBER(SEARCH("VP Marketing",C870))+ISNUMBER(SEARCH("Director de Marketing",C870))+ISNUMBER(SEARCH("Director Marketing",C870))+ISNUMBER(SEARCH("Head of Marketing",C870))+ISNUMBER(SEARCH("Head Marketing",C870))&gt;0,'Configuración'!$B$32,IF(ISNUMBER(SEARCH("Marketing Manager",C870))+ISNUMBER(SEARCH("Gerente de Marketing",C870))+ISNUMBER(SEARCH("Growth Manager",C870))+ISNUMBER(SEARCH("Demand Gen",C870))+ISNUMBER(SEARCH("Marketing Lead",C870))&gt;0,'Configuración'!$B$33,IF(ISNUMBER(SEARCH("COO",C870))+ISNUMBER(SEARCH("CFO",C870))+ISNUMBER(SEARCH("CTO",C870))+ISNUMBER(SEARCH("Chief Operating",C870))+ISNUMBER(SEARCH("Chief Financial",C870))+ISNUMBER(SEARCH("Gerente General",C870))+ISNUMBER(SEARCH("General Manager",C870))&gt;0,'Configuración'!$B$34,'Configuración'!$B$35)))))</f>
        <v>0</v>
      </c>
      <c r="V870" s="38">
        <f>IF(B870="","",IF(K870="Sí",'Configuración'!$B$5,0)+IF(L870="Semanal",'Configuración'!$B$6,IF(L870="Mensual",'Configuración'!$B$7,0))+IF(M870="Sí",'Configuración'!$B$8,0)+IF(N870="Sí",'Configuración'!$B$9,0)+IF(O870="Sí",'Configuración'!$B$10,0)+IF(P870="Sí",'Configuración'!$B$11,0)+IF(Q870="Sí",'Configuración'!$B$12,0)+S870+T870+U870)</f>
        <v>8</v>
      </c>
      <c r="W870" s="39" t="str">
        <f>IF(B870="","",IF(V870&gt;='Configuración'!$B$19,"A",IF(V870&gt;='Configuración'!$B$20,"B",IF(V870&gt;='Configuración'!$B$21,"C","Descarte"))))</f>
        <v>Descarte</v>
      </c>
    </row>
    <row r="871" ht="15.75" customHeight="1">
      <c r="A871" s="34">
        <f t="shared" si="1"/>
        <v>869</v>
      </c>
      <c r="B871" s="29" t="s">
        <v>5118</v>
      </c>
      <c r="C871" s="29" t="s">
        <v>146</v>
      </c>
      <c r="D871" s="29" t="s">
        <v>5119</v>
      </c>
      <c r="E871" s="29" t="s">
        <v>5120</v>
      </c>
      <c r="F871" s="30" t="s">
        <v>5121</v>
      </c>
      <c r="G871" s="30" t="s">
        <v>5122</v>
      </c>
      <c r="H871" s="30" t="s">
        <v>5123</v>
      </c>
      <c r="I871" s="29" t="s">
        <v>769</v>
      </c>
      <c r="J871" s="31">
        <v>24.0</v>
      </c>
      <c r="K871" s="35"/>
      <c r="L871" s="35"/>
      <c r="M871" s="35"/>
      <c r="N871" s="35"/>
      <c r="O871" s="35"/>
      <c r="P871" s="35"/>
      <c r="Q871" s="35"/>
      <c r="R871" s="35"/>
      <c r="S871" s="37">
        <f>IF(B871="","",IF(ISNUMBER(J871),IF(J871&lt;=10,'Configuración'!$B$23,IF(J871&lt;=50,'Configuración'!$B$24,IF(J871&lt;=200,'Configuración'!$B$25,0))),0))</f>
        <v>4</v>
      </c>
      <c r="T871" s="37">
        <f>IF(B871="","",IF(ISNUMBER(SEARCH("information technology",I871))+ISNUMBER(SEARCH("software",I871))+ISNUMBER(SEARCH("internet",I871))+ISNUMBER(SEARCH("computer",I871))+ISNUMBER(SEARCH("saas",I871))+ISNUMBER(SEARCH("fintech",I871))+ISNUMBER(SEARCH("information services",I871))+ISNUMBER(SEARCH("telecommunications",I871))&gt;0,'Configuración'!$B$27,'Configuración'!$B$28))</f>
        <v>4</v>
      </c>
      <c r="U871" s="25">
        <f>IF(B871="","",IF(ISNUMBER(SEARCH("CEO",C871))+ISNUMBER(SEARCH("Founder",C871))+ISNUMBER(SEARCH("Owner",C871))+ISNUMBER(SEARCH("Dueño",C871))+ISNUMBER(SEARCH("Director General",C871))+ISNUMBER(SEARCH("Presidente",C871))+ISNUMBER(SEARCH("President",C871))&gt;0,'Configuración'!$B$31,IF(ISNUMBER(SEARCH("CMO",C871))+ISNUMBER(SEARCH("Chief Marketing",C871))+ISNUMBER(SEARCH("VP Marketing",C871))+ISNUMBER(SEARCH("Director de Marketing",C871))+ISNUMBER(SEARCH("Director Marketing",C871))+ISNUMBER(SEARCH("Head of Marketing",C871))+ISNUMBER(SEARCH("Head Marketing",C871))&gt;0,'Configuración'!$B$32,IF(ISNUMBER(SEARCH("Marketing Manager",C871))+ISNUMBER(SEARCH("Gerente de Marketing",C871))+ISNUMBER(SEARCH("Growth Manager",C871))+ISNUMBER(SEARCH("Demand Gen",C871))+ISNUMBER(SEARCH("Marketing Lead",C871))&gt;0,'Configuración'!$B$33,IF(ISNUMBER(SEARCH("COO",C871))+ISNUMBER(SEARCH("CFO",C871))+ISNUMBER(SEARCH("CTO",C871))+ISNUMBER(SEARCH("Chief Operating",C871))+ISNUMBER(SEARCH("Chief Financial",C871))+ISNUMBER(SEARCH("Gerente General",C871))+ISNUMBER(SEARCH("General Manager",C871))&gt;0,'Configuración'!$B$34,'Configuración'!$B$35)))))</f>
        <v>0</v>
      </c>
      <c r="V871" s="38">
        <f>IF(B871="","",IF(K871="Sí",'Configuración'!$B$5,0)+IF(L871="Semanal",'Configuración'!$B$6,IF(L871="Mensual",'Configuración'!$B$7,0))+IF(M871="Sí",'Configuración'!$B$8,0)+IF(N871="Sí",'Configuración'!$B$9,0)+IF(O871="Sí",'Configuración'!$B$10,0)+IF(P871="Sí",'Configuración'!$B$11,0)+IF(Q871="Sí",'Configuración'!$B$12,0)+S871+T871+U871)</f>
        <v>8</v>
      </c>
      <c r="W871" s="39" t="str">
        <f>IF(B871="","",IF(V871&gt;='Configuración'!$B$19,"A",IF(V871&gt;='Configuración'!$B$20,"B",IF(V871&gt;='Configuración'!$B$21,"C","Descarte"))))</f>
        <v>Descarte</v>
      </c>
    </row>
    <row r="872" ht="15.75" customHeight="1">
      <c r="A872" s="34">
        <f t="shared" si="1"/>
        <v>870</v>
      </c>
      <c r="B872" s="29" t="s">
        <v>1028</v>
      </c>
      <c r="C872" s="29" t="s">
        <v>304</v>
      </c>
      <c r="D872" s="29" t="s">
        <v>5124</v>
      </c>
      <c r="E872" s="29" t="s">
        <v>5125</v>
      </c>
      <c r="F872" s="30" t="s">
        <v>5126</v>
      </c>
      <c r="G872" s="30" t="s">
        <v>5127</v>
      </c>
      <c r="H872" s="30" t="s">
        <v>5128</v>
      </c>
      <c r="I872" s="29" t="s">
        <v>5129</v>
      </c>
      <c r="J872" s="31">
        <v>46.0</v>
      </c>
      <c r="K872" s="35"/>
      <c r="L872" s="35"/>
      <c r="M872" s="35"/>
      <c r="N872" s="35"/>
      <c r="O872" s="35"/>
      <c r="P872" s="35"/>
      <c r="Q872" s="35"/>
      <c r="R872" s="35"/>
      <c r="S872" s="37">
        <f>IF(B872="","",IF(ISNUMBER(J872),IF(J872&lt;=10,'Configuración'!$B$23,IF(J872&lt;=50,'Configuración'!$B$24,IF(J872&lt;=200,'Configuración'!$B$25,0))),0))</f>
        <v>4</v>
      </c>
      <c r="T872" s="37">
        <f>IF(B872="","",IF(ISNUMBER(SEARCH("information technology",I872))+ISNUMBER(SEARCH("software",I872))+ISNUMBER(SEARCH("internet",I872))+ISNUMBER(SEARCH("computer",I872))+ISNUMBER(SEARCH("saas",I872))+ISNUMBER(SEARCH("fintech",I872))+ISNUMBER(SEARCH("information services",I872))+ISNUMBER(SEARCH("telecommunications",I872))&gt;0,'Configuración'!$B$27,'Configuración'!$B$28))</f>
        <v>12</v>
      </c>
      <c r="U872" s="25">
        <f>IF(B872="","",IF(ISNUMBER(SEARCH("CEO",C872))+ISNUMBER(SEARCH("Founder",C872))+ISNUMBER(SEARCH("Owner",C872))+ISNUMBER(SEARCH("Dueño",C872))+ISNUMBER(SEARCH("Director General",C872))+ISNUMBER(SEARCH("Presidente",C872))+ISNUMBER(SEARCH("President",C872))&gt;0,'Configuración'!$B$31,IF(ISNUMBER(SEARCH("CMO",C872))+ISNUMBER(SEARCH("Chief Marketing",C872))+ISNUMBER(SEARCH("VP Marketing",C872))+ISNUMBER(SEARCH("Director de Marketing",C872))+ISNUMBER(SEARCH("Director Marketing",C872))+ISNUMBER(SEARCH("Head of Marketing",C872))+ISNUMBER(SEARCH("Head Marketing",C872))&gt;0,'Configuración'!$B$32,IF(ISNUMBER(SEARCH("Marketing Manager",C872))+ISNUMBER(SEARCH("Gerente de Marketing",C872))+ISNUMBER(SEARCH("Growth Manager",C872))+ISNUMBER(SEARCH("Demand Gen",C872))+ISNUMBER(SEARCH("Marketing Lead",C872))&gt;0,'Configuración'!$B$33,IF(ISNUMBER(SEARCH("COO",C872))+ISNUMBER(SEARCH("CFO",C872))+ISNUMBER(SEARCH("CTO",C872))+ISNUMBER(SEARCH("Chief Operating",C872))+ISNUMBER(SEARCH("Chief Financial",C872))+ISNUMBER(SEARCH("Gerente General",C872))+ISNUMBER(SEARCH("General Manager",C872))&gt;0,'Configuración'!$B$34,'Configuración'!$B$35)))))</f>
        <v>4</v>
      </c>
      <c r="V872" s="38">
        <f>IF(B872="","",IF(K872="Sí",'Configuración'!$B$5,0)+IF(L872="Semanal",'Configuración'!$B$6,IF(L872="Mensual",'Configuración'!$B$7,0))+IF(M872="Sí",'Configuración'!$B$8,0)+IF(N872="Sí",'Configuración'!$B$9,0)+IF(O872="Sí",'Configuración'!$B$10,0)+IF(P872="Sí",'Configuración'!$B$11,0)+IF(Q872="Sí",'Configuración'!$B$12,0)+S872+T872+U872)</f>
        <v>20</v>
      </c>
      <c r="W872" s="39" t="str">
        <f>IF(B872="","",IF(V872&gt;='Configuración'!$B$19,"A",IF(V872&gt;='Configuración'!$B$20,"B",IF(V872&gt;='Configuración'!$B$21,"C","Descarte"))))</f>
        <v>Descarte</v>
      </c>
    </row>
    <row r="873" ht="15.75" customHeight="1">
      <c r="A873" s="34">
        <f t="shared" si="1"/>
        <v>871</v>
      </c>
      <c r="B873" s="29" t="s">
        <v>4584</v>
      </c>
      <c r="C873" s="29" t="s">
        <v>5130</v>
      </c>
      <c r="D873" s="29" t="s">
        <v>5131</v>
      </c>
      <c r="E873" s="29" t="s">
        <v>5132</v>
      </c>
      <c r="F873" s="30" t="s">
        <v>5133</v>
      </c>
      <c r="G873" s="30" t="s">
        <v>5134</v>
      </c>
      <c r="H873" s="30" t="s">
        <v>5135</v>
      </c>
      <c r="I873" s="29" t="s">
        <v>1356</v>
      </c>
      <c r="J873" s="31">
        <v>10.0</v>
      </c>
      <c r="K873" s="35"/>
      <c r="L873" s="35"/>
      <c r="M873" s="35"/>
      <c r="N873" s="35"/>
      <c r="O873" s="35"/>
      <c r="P873" s="35"/>
      <c r="Q873" s="35"/>
      <c r="R873" s="35"/>
      <c r="S873" s="37">
        <f>IF(B873="","",IF(ISNUMBER(J873),IF(J873&lt;=10,'Configuración'!$B$23,IF(J873&lt;=50,'Configuración'!$B$24,IF(J873&lt;=200,'Configuración'!$B$25,0))),0))</f>
        <v>12</v>
      </c>
      <c r="T873" s="37">
        <f>IF(B873="","",IF(ISNUMBER(SEARCH("information technology",I873))+ISNUMBER(SEARCH("software",I873))+ISNUMBER(SEARCH("internet",I873))+ISNUMBER(SEARCH("computer",I873))+ISNUMBER(SEARCH("saas",I873))+ISNUMBER(SEARCH("fintech",I873))+ISNUMBER(SEARCH("information services",I873))+ISNUMBER(SEARCH("telecommunications",I873))&gt;0,'Configuración'!$B$27,'Configuración'!$B$28))</f>
        <v>4</v>
      </c>
      <c r="U873" s="25">
        <f>IF(B873="","",IF(ISNUMBER(SEARCH("CEO",C873))+ISNUMBER(SEARCH("Founder",C873))+ISNUMBER(SEARCH("Owner",C873))+ISNUMBER(SEARCH("Dueño",C873))+ISNUMBER(SEARCH("Director General",C873))+ISNUMBER(SEARCH("Presidente",C873))+ISNUMBER(SEARCH("President",C873))&gt;0,'Configuración'!$B$31,IF(ISNUMBER(SEARCH("CMO",C873))+ISNUMBER(SEARCH("Chief Marketing",C873))+ISNUMBER(SEARCH("VP Marketing",C873))+ISNUMBER(SEARCH("Director de Marketing",C873))+ISNUMBER(SEARCH("Director Marketing",C873))+ISNUMBER(SEARCH("Head of Marketing",C873))+ISNUMBER(SEARCH("Head Marketing",C873))&gt;0,'Configuración'!$B$32,IF(ISNUMBER(SEARCH("Marketing Manager",C873))+ISNUMBER(SEARCH("Gerente de Marketing",C873))+ISNUMBER(SEARCH("Growth Manager",C873))+ISNUMBER(SEARCH("Demand Gen",C873))+ISNUMBER(SEARCH("Marketing Lead",C873))&gt;0,'Configuración'!$B$33,IF(ISNUMBER(SEARCH("COO",C873))+ISNUMBER(SEARCH("CFO",C873))+ISNUMBER(SEARCH("CTO",C873))+ISNUMBER(SEARCH("Chief Operating",C873))+ISNUMBER(SEARCH("Chief Financial",C873))+ISNUMBER(SEARCH("Gerente General",C873))+ISNUMBER(SEARCH("General Manager",C873))&gt;0,'Configuración'!$B$34,'Configuración'!$B$35)))))</f>
        <v>12</v>
      </c>
      <c r="V873" s="38">
        <f>IF(B873="","",IF(K873="Sí",'Configuración'!$B$5,0)+IF(L873="Semanal",'Configuración'!$B$6,IF(L873="Mensual",'Configuración'!$B$7,0))+IF(M873="Sí",'Configuración'!$B$8,0)+IF(N873="Sí",'Configuración'!$B$9,0)+IF(O873="Sí",'Configuración'!$B$10,0)+IF(P873="Sí",'Configuración'!$B$11,0)+IF(Q873="Sí",'Configuración'!$B$12,0)+S873+T873+U873)</f>
        <v>28</v>
      </c>
      <c r="W873" s="39" t="str">
        <f>IF(B873="","",IF(V873&gt;='Configuración'!$B$19,"A",IF(V873&gt;='Configuración'!$B$20,"B",IF(V873&gt;='Configuración'!$B$21,"C","Descarte"))))</f>
        <v>C</v>
      </c>
    </row>
    <row r="874" ht="15.75" customHeight="1">
      <c r="A874" s="34">
        <f t="shared" si="1"/>
        <v>872</v>
      </c>
      <c r="B874" s="29" t="s">
        <v>1028</v>
      </c>
      <c r="C874" s="29" t="s">
        <v>175</v>
      </c>
      <c r="D874" s="29" t="s">
        <v>5136</v>
      </c>
      <c r="E874" s="29" t="s">
        <v>5137</v>
      </c>
      <c r="F874" s="30" t="s">
        <v>5138</v>
      </c>
      <c r="G874" s="30" t="s">
        <v>5139</v>
      </c>
      <c r="H874" s="30" t="s">
        <v>5140</v>
      </c>
      <c r="I874" s="29" t="s">
        <v>127</v>
      </c>
      <c r="J874" s="31">
        <v>2.0</v>
      </c>
      <c r="K874" s="35"/>
      <c r="L874" s="35"/>
      <c r="M874" s="35"/>
      <c r="N874" s="35"/>
      <c r="O874" s="35"/>
      <c r="P874" s="35"/>
      <c r="Q874" s="35"/>
      <c r="R874" s="35"/>
      <c r="S874" s="37">
        <f>IF(B874="","",IF(ISNUMBER(J874),IF(J874&lt;=10,'Configuración'!$B$23,IF(J874&lt;=50,'Configuración'!$B$24,IF(J874&lt;=200,'Configuración'!$B$25,0))),0))</f>
        <v>12</v>
      </c>
      <c r="T874" s="37">
        <f>IF(B874="","",IF(ISNUMBER(SEARCH("information technology",I874))+ISNUMBER(SEARCH("software",I874))+ISNUMBER(SEARCH("internet",I874))+ISNUMBER(SEARCH("computer",I874))+ISNUMBER(SEARCH("saas",I874))+ISNUMBER(SEARCH("fintech",I874))+ISNUMBER(SEARCH("information services",I874))+ISNUMBER(SEARCH("telecommunications",I874))&gt;0,'Configuración'!$B$27,'Configuración'!$B$28))</f>
        <v>12</v>
      </c>
      <c r="U874" s="25">
        <f>IF(B874="","",IF(ISNUMBER(SEARCH("CEO",C874))+ISNUMBER(SEARCH("Founder",C874))+ISNUMBER(SEARCH("Owner",C874))+ISNUMBER(SEARCH("Dueño",C874))+ISNUMBER(SEARCH("Director General",C874))+ISNUMBER(SEARCH("Presidente",C874))+ISNUMBER(SEARCH("President",C874))&gt;0,'Configuración'!$B$31,IF(ISNUMBER(SEARCH("CMO",C874))+ISNUMBER(SEARCH("Chief Marketing",C874))+ISNUMBER(SEARCH("VP Marketing",C874))+ISNUMBER(SEARCH("Director de Marketing",C874))+ISNUMBER(SEARCH("Director Marketing",C874))+ISNUMBER(SEARCH("Head of Marketing",C874))+ISNUMBER(SEARCH("Head Marketing",C874))&gt;0,'Configuración'!$B$32,IF(ISNUMBER(SEARCH("Marketing Manager",C874))+ISNUMBER(SEARCH("Gerente de Marketing",C874))+ISNUMBER(SEARCH("Growth Manager",C874))+ISNUMBER(SEARCH("Demand Gen",C874))+ISNUMBER(SEARCH("Marketing Lead",C874))&gt;0,'Configuración'!$B$33,IF(ISNUMBER(SEARCH("COO",C874))+ISNUMBER(SEARCH("CFO",C874))+ISNUMBER(SEARCH("CTO",C874))+ISNUMBER(SEARCH("Chief Operating",C874))+ISNUMBER(SEARCH("Chief Financial",C874))+ISNUMBER(SEARCH("Gerente General",C874))+ISNUMBER(SEARCH("General Manager",C874))&gt;0,'Configuración'!$B$34,'Configuración'!$B$35)))))</f>
        <v>12</v>
      </c>
      <c r="V874" s="38">
        <f>IF(B874="","",IF(K874="Sí",'Configuración'!$B$5,0)+IF(L874="Semanal",'Configuración'!$B$6,IF(L874="Mensual",'Configuración'!$B$7,0))+IF(M874="Sí",'Configuración'!$B$8,0)+IF(N874="Sí",'Configuración'!$B$9,0)+IF(O874="Sí",'Configuración'!$B$10,0)+IF(P874="Sí",'Configuración'!$B$11,0)+IF(Q874="Sí",'Configuración'!$B$12,0)+S874+T874+U874)</f>
        <v>36</v>
      </c>
      <c r="W874" s="39" t="str">
        <f>IF(B874="","",IF(V874&gt;='Configuración'!$B$19,"A",IF(V874&gt;='Configuración'!$B$20,"B",IF(V874&gt;='Configuración'!$B$21,"C","Descarte"))))</f>
        <v>C</v>
      </c>
    </row>
    <row r="875" ht="15.75" customHeight="1">
      <c r="A875" s="34">
        <f t="shared" si="1"/>
        <v>873</v>
      </c>
      <c r="B875" s="29" t="s">
        <v>367</v>
      </c>
      <c r="C875" s="29" t="s">
        <v>131</v>
      </c>
      <c r="D875" s="29" t="s">
        <v>5141</v>
      </c>
      <c r="E875" s="29" t="s">
        <v>5142</v>
      </c>
      <c r="F875" s="30" t="s">
        <v>5143</v>
      </c>
      <c r="G875" s="30" t="s">
        <v>5144</v>
      </c>
      <c r="H875" s="30" t="s">
        <v>5145</v>
      </c>
      <c r="I875" s="29" t="s">
        <v>127</v>
      </c>
      <c r="J875" s="31">
        <v>19.0</v>
      </c>
      <c r="K875" s="35"/>
      <c r="L875" s="35"/>
      <c r="M875" s="35"/>
      <c r="N875" s="35"/>
      <c r="O875" s="35"/>
      <c r="P875" s="35"/>
      <c r="Q875" s="35"/>
      <c r="R875" s="35"/>
      <c r="S875" s="37">
        <f>IF(B875="","",IF(ISNUMBER(J875),IF(J875&lt;=10,'Configuración'!$B$23,IF(J875&lt;=50,'Configuración'!$B$24,IF(J875&lt;=200,'Configuración'!$B$25,0))),0))</f>
        <v>4</v>
      </c>
      <c r="T875" s="37">
        <f>IF(B875="","",IF(ISNUMBER(SEARCH("information technology",I875))+ISNUMBER(SEARCH("software",I875))+ISNUMBER(SEARCH("internet",I875))+ISNUMBER(SEARCH("computer",I875))+ISNUMBER(SEARCH("saas",I875))+ISNUMBER(SEARCH("fintech",I875))+ISNUMBER(SEARCH("information services",I875))+ISNUMBER(SEARCH("telecommunications",I875))&gt;0,'Configuración'!$B$27,'Configuración'!$B$28))</f>
        <v>12</v>
      </c>
      <c r="U875" s="25">
        <f>IF(B875="","",IF(ISNUMBER(SEARCH("CEO",C875))+ISNUMBER(SEARCH("Founder",C875))+ISNUMBER(SEARCH("Owner",C875))+ISNUMBER(SEARCH("Dueño",C875))+ISNUMBER(SEARCH("Director General",C875))+ISNUMBER(SEARCH("Presidente",C875))+ISNUMBER(SEARCH("President",C875))&gt;0,'Configuración'!$B$31,IF(ISNUMBER(SEARCH("CMO",C875))+ISNUMBER(SEARCH("Chief Marketing",C875))+ISNUMBER(SEARCH("VP Marketing",C875))+ISNUMBER(SEARCH("Director de Marketing",C875))+ISNUMBER(SEARCH("Director Marketing",C875))+ISNUMBER(SEARCH("Head of Marketing",C875))+ISNUMBER(SEARCH("Head Marketing",C875))&gt;0,'Configuración'!$B$32,IF(ISNUMBER(SEARCH("Marketing Manager",C875))+ISNUMBER(SEARCH("Gerente de Marketing",C875))+ISNUMBER(SEARCH("Growth Manager",C875))+ISNUMBER(SEARCH("Demand Gen",C875))+ISNUMBER(SEARCH("Marketing Lead",C875))&gt;0,'Configuración'!$B$33,IF(ISNUMBER(SEARCH("COO",C875))+ISNUMBER(SEARCH("CFO",C875))+ISNUMBER(SEARCH("CTO",C875))+ISNUMBER(SEARCH("Chief Operating",C875))+ISNUMBER(SEARCH("Chief Financial",C875))+ISNUMBER(SEARCH("Gerente General",C875))+ISNUMBER(SEARCH("General Manager",C875))&gt;0,'Configuración'!$B$34,'Configuración'!$B$35)))))</f>
        <v>12</v>
      </c>
      <c r="V875" s="38">
        <f>IF(B875="","",IF(K875="Sí",'Configuración'!$B$5,0)+IF(L875="Semanal",'Configuración'!$B$6,IF(L875="Mensual",'Configuración'!$B$7,0))+IF(M875="Sí",'Configuración'!$B$8,0)+IF(N875="Sí",'Configuración'!$B$9,0)+IF(O875="Sí",'Configuración'!$B$10,0)+IF(P875="Sí",'Configuración'!$B$11,0)+IF(Q875="Sí",'Configuración'!$B$12,0)+S875+T875+U875)</f>
        <v>28</v>
      </c>
      <c r="W875" s="39" t="str">
        <f>IF(B875="","",IF(V875&gt;='Configuración'!$B$19,"A",IF(V875&gt;='Configuración'!$B$20,"B",IF(V875&gt;='Configuración'!$B$21,"C","Descarte"))))</f>
        <v>C</v>
      </c>
    </row>
    <row r="876" ht="15.75" customHeight="1">
      <c r="A876" s="34">
        <f t="shared" si="1"/>
        <v>874</v>
      </c>
      <c r="B876" s="29" t="s">
        <v>181</v>
      </c>
      <c r="C876" s="29" t="s">
        <v>311</v>
      </c>
      <c r="D876" s="29" t="s">
        <v>5146</v>
      </c>
      <c r="E876" s="29" t="s">
        <v>5147</v>
      </c>
      <c r="F876" s="30" t="s">
        <v>5148</v>
      </c>
      <c r="G876" s="30" t="s">
        <v>5149</v>
      </c>
      <c r="H876" s="30" t="s">
        <v>5150</v>
      </c>
      <c r="I876" s="29" t="s">
        <v>116</v>
      </c>
      <c r="J876" s="31">
        <v>16.0</v>
      </c>
      <c r="K876" s="35"/>
      <c r="L876" s="35"/>
      <c r="M876" s="35"/>
      <c r="N876" s="35"/>
      <c r="O876" s="35"/>
      <c r="P876" s="35"/>
      <c r="Q876" s="35"/>
      <c r="R876" s="35"/>
      <c r="S876" s="37">
        <f>IF(B876="","",IF(ISNUMBER(J876),IF(J876&lt;=10,'Configuración'!$B$23,IF(J876&lt;=50,'Configuración'!$B$24,IF(J876&lt;=200,'Configuración'!$B$25,0))),0))</f>
        <v>4</v>
      </c>
      <c r="T876" s="37">
        <f>IF(B876="","",IF(ISNUMBER(SEARCH("information technology",I876))+ISNUMBER(SEARCH("software",I876))+ISNUMBER(SEARCH("internet",I876))+ISNUMBER(SEARCH("computer",I876))+ISNUMBER(SEARCH("saas",I876))+ISNUMBER(SEARCH("fintech",I876))+ISNUMBER(SEARCH("information services",I876))+ISNUMBER(SEARCH("telecommunications",I876))&gt;0,'Configuración'!$B$27,'Configuración'!$B$28))</f>
        <v>4</v>
      </c>
      <c r="U876" s="25">
        <f>IF(B876="","",IF(ISNUMBER(SEARCH("CEO",C876))+ISNUMBER(SEARCH("Founder",C876))+ISNUMBER(SEARCH("Owner",C876))+ISNUMBER(SEARCH("Dueño",C876))+ISNUMBER(SEARCH("Director General",C876))+ISNUMBER(SEARCH("Presidente",C876))+ISNUMBER(SEARCH("President",C876))&gt;0,'Configuración'!$B$31,IF(ISNUMBER(SEARCH("CMO",C876))+ISNUMBER(SEARCH("Chief Marketing",C876))+ISNUMBER(SEARCH("VP Marketing",C876))+ISNUMBER(SEARCH("Director de Marketing",C876))+ISNUMBER(SEARCH("Director Marketing",C876))+ISNUMBER(SEARCH("Head of Marketing",C876))+ISNUMBER(SEARCH("Head Marketing",C876))&gt;0,'Configuración'!$B$32,IF(ISNUMBER(SEARCH("Marketing Manager",C876))+ISNUMBER(SEARCH("Gerente de Marketing",C876))+ISNUMBER(SEARCH("Growth Manager",C876))+ISNUMBER(SEARCH("Demand Gen",C876))+ISNUMBER(SEARCH("Marketing Lead",C876))&gt;0,'Configuración'!$B$33,IF(ISNUMBER(SEARCH("COO",C876))+ISNUMBER(SEARCH("CFO",C876))+ISNUMBER(SEARCH("CTO",C876))+ISNUMBER(SEARCH("Chief Operating",C876))+ISNUMBER(SEARCH("Chief Financial",C876))+ISNUMBER(SEARCH("Gerente General",C876))+ISNUMBER(SEARCH("General Manager",C876))&gt;0,'Configuración'!$B$34,'Configuración'!$B$35)))))</f>
        <v>12</v>
      </c>
      <c r="V876" s="38">
        <f>IF(B876="","",IF(K876="Sí",'Configuración'!$B$5,0)+IF(L876="Semanal",'Configuración'!$B$6,IF(L876="Mensual",'Configuración'!$B$7,0))+IF(M876="Sí",'Configuración'!$B$8,0)+IF(N876="Sí",'Configuración'!$B$9,0)+IF(O876="Sí",'Configuración'!$B$10,0)+IF(P876="Sí",'Configuración'!$B$11,0)+IF(Q876="Sí",'Configuración'!$B$12,0)+S876+T876+U876)</f>
        <v>20</v>
      </c>
      <c r="W876" s="39" t="str">
        <f>IF(B876="","",IF(V876&gt;='Configuración'!$B$19,"A",IF(V876&gt;='Configuración'!$B$20,"B",IF(V876&gt;='Configuración'!$B$21,"C","Descarte"))))</f>
        <v>Descarte</v>
      </c>
    </row>
    <row r="877" ht="15.75" customHeight="1">
      <c r="A877" s="34">
        <f t="shared" si="1"/>
        <v>875</v>
      </c>
      <c r="B877" s="29" t="s">
        <v>493</v>
      </c>
      <c r="C877" s="29" t="s">
        <v>5151</v>
      </c>
      <c r="D877" s="29" t="s">
        <v>5152</v>
      </c>
      <c r="E877" s="29" t="s">
        <v>5153</v>
      </c>
      <c r="F877" s="30" t="s">
        <v>5154</v>
      </c>
      <c r="G877" s="30" t="s">
        <v>5155</v>
      </c>
      <c r="H877" s="30" t="s">
        <v>5156</v>
      </c>
      <c r="I877" s="29" t="s">
        <v>337</v>
      </c>
      <c r="J877" s="31">
        <v>24.0</v>
      </c>
      <c r="K877" s="35"/>
      <c r="L877" s="35"/>
      <c r="M877" s="35"/>
      <c r="N877" s="35"/>
      <c r="O877" s="35"/>
      <c r="P877" s="35"/>
      <c r="Q877" s="35"/>
      <c r="R877" s="35"/>
      <c r="S877" s="37">
        <f>IF(B877="","",IF(ISNUMBER(J877),IF(J877&lt;=10,'Configuración'!$B$23,IF(J877&lt;=50,'Configuración'!$B$24,IF(J877&lt;=200,'Configuración'!$B$25,0))),0))</f>
        <v>4</v>
      </c>
      <c r="T877" s="37">
        <f>IF(B877="","",IF(ISNUMBER(SEARCH("information technology",I877))+ISNUMBER(SEARCH("software",I877))+ISNUMBER(SEARCH("internet",I877))+ISNUMBER(SEARCH("computer",I877))+ISNUMBER(SEARCH("saas",I877))+ISNUMBER(SEARCH("fintech",I877))+ISNUMBER(SEARCH("information services",I877))+ISNUMBER(SEARCH("telecommunications",I877))&gt;0,'Configuración'!$B$27,'Configuración'!$B$28))</f>
        <v>4</v>
      </c>
      <c r="U877" s="25">
        <f>IF(B877="","",IF(ISNUMBER(SEARCH("CEO",C877))+ISNUMBER(SEARCH("Founder",C877))+ISNUMBER(SEARCH("Owner",C877))+ISNUMBER(SEARCH("Dueño",C877))+ISNUMBER(SEARCH("Director General",C877))+ISNUMBER(SEARCH("Presidente",C877))+ISNUMBER(SEARCH("President",C877))&gt;0,'Configuración'!$B$31,IF(ISNUMBER(SEARCH("CMO",C877))+ISNUMBER(SEARCH("Chief Marketing",C877))+ISNUMBER(SEARCH("VP Marketing",C877))+ISNUMBER(SEARCH("Director de Marketing",C877))+ISNUMBER(SEARCH("Director Marketing",C877))+ISNUMBER(SEARCH("Head of Marketing",C877))+ISNUMBER(SEARCH("Head Marketing",C877))&gt;0,'Configuración'!$B$32,IF(ISNUMBER(SEARCH("Marketing Manager",C877))+ISNUMBER(SEARCH("Gerente de Marketing",C877))+ISNUMBER(SEARCH("Growth Manager",C877))+ISNUMBER(SEARCH("Demand Gen",C877))+ISNUMBER(SEARCH("Marketing Lead",C877))&gt;0,'Configuración'!$B$33,IF(ISNUMBER(SEARCH("COO",C877))+ISNUMBER(SEARCH("CFO",C877))+ISNUMBER(SEARCH("CTO",C877))+ISNUMBER(SEARCH("Chief Operating",C877))+ISNUMBER(SEARCH("Chief Financial",C877))+ISNUMBER(SEARCH("Gerente General",C877))+ISNUMBER(SEARCH("General Manager",C877))&gt;0,'Configuración'!$B$34,'Configuración'!$B$35)))))</f>
        <v>4</v>
      </c>
      <c r="V877" s="38">
        <f>IF(B877="","",IF(K877="Sí",'Configuración'!$B$5,0)+IF(L877="Semanal",'Configuración'!$B$6,IF(L877="Mensual",'Configuración'!$B$7,0))+IF(M877="Sí",'Configuración'!$B$8,0)+IF(N877="Sí",'Configuración'!$B$9,0)+IF(O877="Sí",'Configuración'!$B$10,0)+IF(P877="Sí",'Configuración'!$B$11,0)+IF(Q877="Sí",'Configuración'!$B$12,0)+S877+T877+U877)</f>
        <v>12</v>
      </c>
      <c r="W877" s="39" t="str">
        <f>IF(B877="","",IF(V877&gt;='Configuración'!$B$19,"A",IF(V877&gt;='Configuración'!$B$20,"B",IF(V877&gt;='Configuración'!$B$21,"C","Descarte"))))</f>
        <v>Descarte</v>
      </c>
    </row>
    <row r="878" ht="15.75" customHeight="1">
      <c r="A878" s="34">
        <f t="shared" si="1"/>
        <v>876</v>
      </c>
      <c r="B878" s="29" t="s">
        <v>629</v>
      </c>
      <c r="C878" s="29" t="s">
        <v>224</v>
      </c>
      <c r="D878" s="29" t="s">
        <v>5157</v>
      </c>
      <c r="E878" s="29" t="s">
        <v>5158</v>
      </c>
      <c r="F878" s="30" t="s">
        <v>5159</v>
      </c>
      <c r="G878" s="30" t="s">
        <v>5160</v>
      </c>
      <c r="H878" s="30" t="s">
        <v>5161</v>
      </c>
      <c r="I878" s="29" t="s">
        <v>127</v>
      </c>
      <c r="J878" s="31">
        <v>1.0</v>
      </c>
      <c r="K878" s="35"/>
      <c r="L878" s="35"/>
      <c r="M878" s="35"/>
      <c r="N878" s="35"/>
      <c r="O878" s="35"/>
      <c r="P878" s="35"/>
      <c r="Q878" s="35"/>
      <c r="R878" s="35"/>
      <c r="S878" s="37">
        <f>IF(B878="","",IF(ISNUMBER(J878),IF(J878&lt;=10,'Configuración'!$B$23,IF(J878&lt;=50,'Configuración'!$B$24,IF(J878&lt;=200,'Configuración'!$B$25,0))),0))</f>
        <v>12</v>
      </c>
      <c r="T878" s="37">
        <f>IF(B878="","",IF(ISNUMBER(SEARCH("information technology",I878))+ISNUMBER(SEARCH("software",I878))+ISNUMBER(SEARCH("internet",I878))+ISNUMBER(SEARCH("computer",I878))+ISNUMBER(SEARCH("saas",I878))+ISNUMBER(SEARCH("fintech",I878))+ISNUMBER(SEARCH("information services",I878))+ISNUMBER(SEARCH("telecommunications",I878))&gt;0,'Configuración'!$B$27,'Configuración'!$B$28))</f>
        <v>12</v>
      </c>
      <c r="U878" s="25">
        <f>IF(B878="","",IF(ISNUMBER(SEARCH("CEO",C878))+ISNUMBER(SEARCH("Founder",C878))+ISNUMBER(SEARCH("Owner",C878))+ISNUMBER(SEARCH("Dueño",C878))+ISNUMBER(SEARCH("Director General",C878))+ISNUMBER(SEARCH("Presidente",C878))+ISNUMBER(SEARCH("President",C878))&gt;0,'Configuración'!$B$31,IF(ISNUMBER(SEARCH("CMO",C878))+ISNUMBER(SEARCH("Chief Marketing",C878))+ISNUMBER(SEARCH("VP Marketing",C878))+ISNUMBER(SEARCH("Director de Marketing",C878))+ISNUMBER(SEARCH("Director Marketing",C878))+ISNUMBER(SEARCH("Head of Marketing",C878))+ISNUMBER(SEARCH("Head Marketing",C878))&gt;0,'Configuración'!$B$32,IF(ISNUMBER(SEARCH("Marketing Manager",C878))+ISNUMBER(SEARCH("Gerente de Marketing",C878))+ISNUMBER(SEARCH("Growth Manager",C878))+ISNUMBER(SEARCH("Demand Gen",C878))+ISNUMBER(SEARCH("Marketing Lead",C878))&gt;0,'Configuración'!$B$33,IF(ISNUMBER(SEARCH("COO",C878))+ISNUMBER(SEARCH("CFO",C878))+ISNUMBER(SEARCH("CTO",C878))+ISNUMBER(SEARCH("Chief Operating",C878))+ISNUMBER(SEARCH("Chief Financial",C878))+ISNUMBER(SEARCH("Gerente General",C878))+ISNUMBER(SEARCH("General Manager",C878))&gt;0,'Configuración'!$B$34,'Configuración'!$B$35)))))</f>
        <v>12</v>
      </c>
      <c r="V878" s="38">
        <f>IF(B878="","",IF(K878="Sí",'Configuración'!$B$5,0)+IF(L878="Semanal",'Configuración'!$B$6,IF(L878="Mensual",'Configuración'!$B$7,0))+IF(M878="Sí",'Configuración'!$B$8,0)+IF(N878="Sí",'Configuración'!$B$9,0)+IF(O878="Sí",'Configuración'!$B$10,0)+IF(P878="Sí",'Configuración'!$B$11,0)+IF(Q878="Sí",'Configuración'!$B$12,0)+S878+T878+U878)</f>
        <v>36</v>
      </c>
      <c r="W878" s="39" t="str">
        <f>IF(B878="","",IF(V878&gt;='Configuración'!$B$19,"A",IF(V878&gt;='Configuración'!$B$20,"B",IF(V878&gt;='Configuración'!$B$21,"C","Descarte"))))</f>
        <v>C</v>
      </c>
    </row>
    <row r="879" ht="15.75" customHeight="1">
      <c r="A879" s="34">
        <f t="shared" si="1"/>
        <v>877</v>
      </c>
      <c r="B879" s="29" t="s">
        <v>861</v>
      </c>
      <c r="C879" s="29" t="s">
        <v>487</v>
      </c>
      <c r="D879" s="29" t="s">
        <v>5162</v>
      </c>
      <c r="E879" s="29" t="s">
        <v>5163</v>
      </c>
      <c r="F879" s="30" t="s">
        <v>5164</v>
      </c>
      <c r="G879" s="30" t="s">
        <v>5165</v>
      </c>
      <c r="H879" s="30" t="s">
        <v>5166</v>
      </c>
      <c r="I879" s="29" t="s">
        <v>188</v>
      </c>
      <c r="J879" s="31">
        <v>23.0</v>
      </c>
      <c r="K879" s="35"/>
      <c r="L879" s="35"/>
      <c r="M879" s="35"/>
      <c r="N879" s="35"/>
      <c r="O879" s="35"/>
      <c r="P879" s="35"/>
      <c r="Q879" s="35"/>
      <c r="R879" s="35"/>
      <c r="S879" s="37">
        <f>IF(B879="","",IF(ISNUMBER(J879),IF(J879&lt;=10,'Configuración'!$B$23,IF(J879&lt;=50,'Configuración'!$B$24,IF(J879&lt;=200,'Configuración'!$B$25,0))),0))</f>
        <v>4</v>
      </c>
      <c r="T879" s="37">
        <f>IF(B879="","",IF(ISNUMBER(SEARCH("information technology",I879))+ISNUMBER(SEARCH("software",I879))+ISNUMBER(SEARCH("internet",I879))+ISNUMBER(SEARCH("computer",I879))+ISNUMBER(SEARCH("saas",I879))+ISNUMBER(SEARCH("fintech",I879))+ISNUMBER(SEARCH("information services",I879))+ISNUMBER(SEARCH("telecommunications",I879))&gt;0,'Configuración'!$B$27,'Configuración'!$B$28))</f>
        <v>4</v>
      </c>
      <c r="U879" s="25">
        <f>IF(B879="","",IF(ISNUMBER(SEARCH("CEO",C879))+ISNUMBER(SEARCH("Founder",C879))+ISNUMBER(SEARCH("Owner",C879))+ISNUMBER(SEARCH("Dueño",C879))+ISNUMBER(SEARCH("Director General",C879))+ISNUMBER(SEARCH("Presidente",C879))+ISNUMBER(SEARCH("President",C879))&gt;0,'Configuración'!$B$31,IF(ISNUMBER(SEARCH("CMO",C879))+ISNUMBER(SEARCH("Chief Marketing",C879))+ISNUMBER(SEARCH("VP Marketing",C879))+ISNUMBER(SEARCH("Director de Marketing",C879))+ISNUMBER(SEARCH("Director Marketing",C879))+ISNUMBER(SEARCH("Head of Marketing",C879))+ISNUMBER(SEARCH("Head Marketing",C879))&gt;0,'Configuración'!$B$32,IF(ISNUMBER(SEARCH("Marketing Manager",C879))+ISNUMBER(SEARCH("Gerente de Marketing",C879))+ISNUMBER(SEARCH("Growth Manager",C879))+ISNUMBER(SEARCH("Demand Gen",C879))+ISNUMBER(SEARCH("Marketing Lead",C879))&gt;0,'Configuración'!$B$33,IF(ISNUMBER(SEARCH("COO",C879))+ISNUMBER(SEARCH("CFO",C879))+ISNUMBER(SEARCH("CTO",C879))+ISNUMBER(SEARCH("Chief Operating",C879))+ISNUMBER(SEARCH("Chief Financial",C879))+ISNUMBER(SEARCH("Gerente General",C879))+ISNUMBER(SEARCH("General Manager",C879))&gt;0,'Configuración'!$B$34,'Configuración'!$B$35)))))</f>
        <v>12</v>
      </c>
      <c r="V879" s="38">
        <f>IF(B879="","",IF(K879="Sí",'Configuración'!$B$5,0)+IF(L879="Semanal",'Configuración'!$B$6,IF(L879="Mensual",'Configuración'!$B$7,0))+IF(M879="Sí",'Configuración'!$B$8,0)+IF(N879="Sí",'Configuración'!$B$9,0)+IF(O879="Sí",'Configuración'!$B$10,0)+IF(P879="Sí",'Configuración'!$B$11,0)+IF(Q879="Sí",'Configuración'!$B$12,0)+S879+T879+U879)</f>
        <v>20</v>
      </c>
      <c r="W879" s="39" t="str">
        <f>IF(B879="","",IF(V879&gt;='Configuración'!$B$19,"A",IF(V879&gt;='Configuración'!$B$20,"B",IF(V879&gt;='Configuración'!$B$21,"C","Descarte"))))</f>
        <v>Descarte</v>
      </c>
    </row>
    <row r="880" ht="15.75" customHeight="1">
      <c r="A880" s="34">
        <f t="shared" si="1"/>
        <v>878</v>
      </c>
      <c r="B880" s="29" t="s">
        <v>236</v>
      </c>
      <c r="C880" s="29" t="s">
        <v>5167</v>
      </c>
      <c r="D880" s="29" t="s">
        <v>5168</v>
      </c>
      <c r="E880" s="29" t="s">
        <v>5169</v>
      </c>
      <c r="F880" s="30" t="s">
        <v>5170</v>
      </c>
      <c r="G880" s="30" t="s">
        <v>5171</v>
      </c>
      <c r="H880" s="30" t="s">
        <v>5172</v>
      </c>
      <c r="I880" s="29" t="s">
        <v>116</v>
      </c>
      <c r="J880" s="31">
        <v>16.0</v>
      </c>
      <c r="K880" s="35"/>
      <c r="L880" s="35"/>
      <c r="M880" s="35"/>
      <c r="N880" s="35"/>
      <c r="O880" s="35"/>
      <c r="P880" s="35"/>
      <c r="Q880" s="35"/>
      <c r="R880" s="35"/>
      <c r="S880" s="37">
        <f>IF(B880="","",IF(ISNUMBER(J880),IF(J880&lt;=10,'Configuración'!$B$23,IF(J880&lt;=50,'Configuración'!$B$24,IF(J880&lt;=200,'Configuración'!$B$25,0))),0))</f>
        <v>4</v>
      </c>
      <c r="T880" s="37">
        <f>IF(B880="","",IF(ISNUMBER(SEARCH("information technology",I880))+ISNUMBER(SEARCH("software",I880))+ISNUMBER(SEARCH("internet",I880))+ISNUMBER(SEARCH("computer",I880))+ISNUMBER(SEARCH("saas",I880))+ISNUMBER(SEARCH("fintech",I880))+ISNUMBER(SEARCH("information services",I880))+ISNUMBER(SEARCH("telecommunications",I880))&gt;0,'Configuración'!$B$27,'Configuración'!$B$28))</f>
        <v>4</v>
      </c>
      <c r="U880" s="25">
        <f>IF(B880="","",IF(ISNUMBER(SEARCH("CEO",C880))+ISNUMBER(SEARCH("Founder",C880))+ISNUMBER(SEARCH("Owner",C880))+ISNUMBER(SEARCH("Dueño",C880))+ISNUMBER(SEARCH("Director General",C880))+ISNUMBER(SEARCH("Presidente",C880))+ISNUMBER(SEARCH("President",C880))&gt;0,'Configuración'!$B$31,IF(ISNUMBER(SEARCH("CMO",C880))+ISNUMBER(SEARCH("Chief Marketing",C880))+ISNUMBER(SEARCH("VP Marketing",C880))+ISNUMBER(SEARCH("Director de Marketing",C880))+ISNUMBER(SEARCH("Director Marketing",C880))+ISNUMBER(SEARCH("Head of Marketing",C880))+ISNUMBER(SEARCH("Head Marketing",C880))&gt;0,'Configuración'!$B$32,IF(ISNUMBER(SEARCH("Marketing Manager",C880))+ISNUMBER(SEARCH("Gerente de Marketing",C880))+ISNUMBER(SEARCH("Growth Manager",C880))+ISNUMBER(SEARCH("Demand Gen",C880))+ISNUMBER(SEARCH("Marketing Lead",C880))&gt;0,'Configuración'!$B$33,IF(ISNUMBER(SEARCH("COO",C880))+ISNUMBER(SEARCH("CFO",C880))+ISNUMBER(SEARCH("CTO",C880))+ISNUMBER(SEARCH("Chief Operating",C880))+ISNUMBER(SEARCH("Chief Financial",C880))+ISNUMBER(SEARCH("Gerente General",C880))+ISNUMBER(SEARCH("General Manager",C880))&gt;0,'Configuración'!$B$34,'Configuración'!$B$35)))))</f>
        <v>12</v>
      </c>
      <c r="V880" s="38">
        <f>IF(B880="","",IF(K880="Sí",'Configuración'!$B$5,0)+IF(L880="Semanal",'Configuración'!$B$6,IF(L880="Mensual",'Configuración'!$B$7,0))+IF(M880="Sí",'Configuración'!$B$8,0)+IF(N880="Sí",'Configuración'!$B$9,0)+IF(O880="Sí",'Configuración'!$B$10,0)+IF(P880="Sí",'Configuración'!$B$11,0)+IF(Q880="Sí",'Configuración'!$B$12,0)+S880+T880+U880)</f>
        <v>20</v>
      </c>
      <c r="W880" s="39" t="str">
        <f>IF(B880="","",IF(V880&gt;='Configuración'!$B$19,"A",IF(V880&gt;='Configuración'!$B$20,"B",IF(V880&gt;='Configuración'!$B$21,"C","Descarte"))))</f>
        <v>Descarte</v>
      </c>
    </row>
    <row r="881" ht="15.75" customHeight="1">
      <c r="A881" s="34">
        <f t="shared" si="1"/>
        <v>879</v>
      </c>
      <c r="B881" s="29" t="s">
        <v>296</v>
      </c>
      <c r="C881" s="29" t="s">
        <v>5173</v>
      </c>
      <c r="D881" s="29" t="s">
        <v>5174</v>
      </c>
      <c r="E881" s="29" t="s">
        <v>5175</v>
      </c>
      <c r="F881" s="30" t="s">
        <v>5176</v>
      </c>
      <c r="G881" s="30" t="s">
        <v>5177</v>
      </c>
      <c r="H881" s="30" t="s">
        <v>5178</v>
      </c>
      <c r="I881" s="29" t="s">
        <v>1196</v>
      </c>
      <c r="J881" s="31">
        <v>6.0</v>
      </c>
      <c r="K881" s="35"/>
      <c r="L881" s="35"/>
      <c r="M881" s="35"/>
      <c r="N881" s="35"/>
      <c r="O881" s="35"/>
      <c r="P881" s="35"/>
      <c r="Q881" s="35"/>
      <c r="R881" s="35"/>
      <c r="S881" s="37">
        <f>IF(B881="","",IF(ISNUMBER(J881),IF(J881&lt;=10,'Configuración'!$B$23,IF(J881&lt;=50,'Configuración'!$B$24,IF(J881&lt;=200,'Configuración'!$B$25,0))),0))</f>
        <v>12</v>
      </c>
      <c r="T881" s="37">
        <f>IF(B881="","",IF(ISNUMBER(SEARCH("information technology",I881))+ISNUMBER(SEARCH("software",I881))+ISNUMBER(SEARCH("internet",I881))+ISNUMBER(SEARCH("computer",I881))+ISNUMBER(SEARCH("saas",I881))+ISNUMBER(SEARCH("fintech",I881))+ISNUMBER(SEARCH("information services",I881))+ISNUMBER(SEARCH("telecommunications",I881))&gt;0,'Configuración'!$B$27,'Configuración'!$B$28))</f>
        <v>4</v>
      </c>
      <c r="U881" s="25">
        <f>IF(B881="","",IF(ISNUMBER(SEARCH("CEO",C881))+ISNUMBER(SEARCH("Founder",C881))+ISNUMBER(SEARCH("Owner",C881))+ISNUMBER(SEARCH("Dueño",C881))+ISNUMBER(SEARCH("Director General",C881))+ISNUMBER(SEARCH("Presidente",C881))+ISNUMBER(SEARCH("President",C881))&gt;0,'Configuración'!$B$31,IF(ISNUMBER(SEARCH("CMO",C881))+ISNUMBER(SEARCH("Chief Marketing",C881))+ISNUMBER(SEARCH("VP Marketing",C881))+ISNUMBER(SEARCH("Director de Marketing",C881))+ISNUMBER(SEARCH("Director Marketing",C881))+ISNUMBER(SEARCH("Head of Marketing",C881))+ISNUMBER(SEARCH("Head Marketing",C881))&gt;0,'Configuración'!$B$32,IF(ISNUMBER(SEARCH("Marketing Manager",C881))+ISNUMBER(SEARCH("Gerente de Marketing",C881))+ISNUMBER(SEARCH("Growth Manager",C881))+ISNUMBER(SEARCH("Demand Gen",C881))+ISNUMBER(SEARCH("Marketing Lead",C881))&gt;0,'Configuración'!$B$33,IF(ISNUMBER(SEARCH("COO",C881))+ISNUMBER(SEARCH("CFO",C881))+ISNUMBER(SEARCH("CTO",C881))+ISNUMBER(SEARCH("Chief Operating",C881))+ISNUMBER(SEARCH("Chief Financial",C881))+ISNUMBER(SEARCH("Gerente General",C881))+ISNUMBER(SEARCH("General Manager",C881))&gt;0,'Configuración'!$B$34,'Configuración'!$B$35)))))</f>
        <v>0</v>
      </c>
      <c r="V881" s="38">
        <f>IF(B881="","",IF(K881="Sí",'Configuración'!$B$5,0)+IF(L881="Semanal",'Configuración'!$B$6,IF(L881="Mensual",'Configuración'!$B$7,0))+IF(M881="Sí",'Configuración'!$B$8,0)+IF(N881="Sí",'Configuración'!$B$9,0)+IF(O881="Sí",'Configuración'!$B$10,0)+IF(P881="Sí",'Configuración'!$B$11,0)+IF(Q881="Sí",'Configuración'!$B$12,0)+S881+T881+U881)</f>
        <v>16</v>
      </c>
      <c r="W881" s="39" t="str">
        <f>IF(B881="","",IF(V881&gt;='Configuración'!$B$19,"A",IF(V881&gt;='Configuración'!$B$20,"B",IF(V881&gt;='Configuración'!$B$21,"C","Descarte"))))</f>
        <v>Descarte</v>
      </c>
    </row>
    <row r="882" ht="15.75" customHeight="1">
      <c r="A882" s="34">
        <f t="shared" si="1"/>
        <v>880</v>
      </c>
      <c r="B882" s="29" t="s">
        <v>556</v>
      </c>
      <c r="C882" s="29" t="s">
        <v>5179</v>
      </c>
      <c r="D882" s="29" t="s">
        <v>5180</v>
      </c>
      <c r="E882" s="29" t="s">
        <v>5181</v>
      </c>
      <c r="F882" s="30" t="s">
        <v>5182</v>
      </c>
      <c r="G882" s="30" t="s">
        <v>5183</v>
      </c>
      <c r="H882" s="30" t="s">
        <v>5184</v>
      </c>
      <c r="I882" s="29" t="s">
        <v>288</v>
      </c>
      <c r="J882" s="31">
        <v>2.0</v>
      </c>
      <c r="K882" s="35"/>
      <c r="L882" s="35"/>
      <c r="M882" s="35"/>
      <c r="N882" s="35"/>
      <c r="O882" s="35"/>
      <c r="P882" s="35"/>
      <c r="Q882" s="35"/>
      <c r="R882" s="35"/>
      <c r="S882" s="37">
        <f>IF(B882="","",IF(ISNUMBER(J882),IF(J882&lt;=10,'Configuración'!$B$23,IF(J882&lt;=50,'Configuración'!$B$24,IF(J882&lt;=200,'Configuración'!$B$25,0))),0))</f>
        <v>12</v>
      </c>
      <c r="T882" s="37">
        <f>IF(B882="","",IF(ISNUMBER(SEARCH("information technology",I882))+ISNUMBER(SEARCH("software",I882))+ISNUMBER(SEARCH("internet",I882))+ISNUMBER(SEARCH("computer",I882))+ISNUMBER(SEARCH("saas",I882))+ISNUMBER(SEARCH("fintech",I882))+ISNUMBER(SEARCH("information services",I882))+ISNUMBER(SEARCH("telecommunications",I882))&gt;0,'Configuración'!$B$27,'Configuración'!$B$28))</f>
        <v>4</v>
      </c>
      <c r="U882" s="25">
        <f>IF(B882="","",IF(ISNUMBER(SEARCH("CEO",C882))+ISNUMBER(SEARCH("Founder",C882))+ISNUMBER(SEARCH("Owner",C882))+ISNUMBER(SEARCH("Dueño",C882))+ISNUMBER(SEARCH("Director General",C882))+ISNUMBER(SEARCH("Presidente",C882))+ISNUMBER(SEARCH("President",C882))&gt;0,'Configuración'!$B$31,IF(ISNUMBER(SEARCH("CMO",C882))+ISNUMBER(SEARCH("Chief Marketing",C882))+ISNUMBER(SEARCH("VP Marketing",C882))+ISNUMBER(SEARCH("Director de Marketing",C882))+ISNUMBER(SEARCH("Director Marketing",C882))+ISNUMBER(SEARCH("Head of Marketing",C882))+ISNUMBER(SEARCH("Head Marketing",C882))&gt;0,'Configuración'!$B$32,IF(ISNUMBER(SEARCH("Marketing Manager",C882))+ISNUMBER(SEARCH("Gerente de Marketing",C882))+ISNUMBER(SEARCH("Growth Manager",C882))+ISNUMBER(SEARCH("Demand Gen",C882))+ISNUMBER(SEARCH("Marketing Lead",C882))&gt;0,'Configuración'!$B$33,IF(ISNUMBER(SEARCH("COO",C882))+ISNUMBER(SEARCH("CFO",C882))+ISNUMBER(SEARCH("CTO",C882))+ISNUMBER(SEARCH("Chief Operating",C882))+ISNUMBER(SEARCH("Chief Financial",C882))+ISNUMBER(SEARCH("Gerente General",C882))+ISNUMBER(SEARCH("General Manager",C882))&gt;0,'Configuración'!$B$34,'Configuración'!$B$35)))))</f>
        <v>12</v>
      </c>
      <c r="V882" s="38">
        <f>IF(B882="","",IF(K882="Sí",'Configuración'!$B$5,0)+IF(L882="Semanal",'Configuración'!$B$6,IF(L882="Mensual",'Configuración'!$B$7,0))+IF(M882="Sí",'Configuración'!$B$8,0)+IF(N882="Sí",'Configuración'!$B$9,0)+IF(O882="Sí",'Configuración'!$B$10,0)+IF(P882="Sí",'Configuración'!$B$11,0)+IF(Q882="Sí",'Configuración'!$B$12,0)+S882+T882+U882)</f>
        <v>28</v>
      </c>
      <c r="W882" s="39" t="str">
        <f>IF(B882="","",IF(V882&gt;='Configuración'!$B$19,"A",IF(V882&gt;='Configuración'!$B$20,"B",IF(V882&gt;='Configuración'!$B$21,"C","Descarte"))))</f>
        <v>C</v>
      </c>
    </row>
    <row r="883" ht="15.75" customHeight="1">
      <c r="A883" s="34">
        <f t="shared" si="1"/>
        <v>881</v>
      </c>
      <c r="B883" s="29" t="s">
        <v>1008</v>
      </c>
      <c r="C883" s="29" t="s">
        <v>131</v>
      </c>
      <c r="D883" s="29" t="s">
        <v>5185</v>
      </c>
      <c r="E883" s="29" t="s">
        <v>5186</v>
      </c>
      <c r="F883" s="30" t="s">
        <v>5187</v>
      </c>
      <c r="G883" s="30" t="s">
        <v>5188</v>
      </c>
      <c r="H883" s="30" t="s">
        <v>5189</v>
      </c>
      <c r="I883" s="29" t="s">
        <v>127</v>
      </c>
      <c r="J883" s="31">
        <v>3.0</v>
      </c>
      <c r="K883" s="35"/>
      <c r="L883" s="35"/>
      <c r="M883" s="35"/>
      <c r="N883" s="35"/>
      <c r="O883" s="35"/>
      <c r="P883" s="35"/>
      <c r="Q883" s="35"/>
      <c r="R883" s="35"/>
      <c r="S883" s="37">
        <f>IF(B883="","",IF(ISNUMBER(J883),IF(J883&lt;=10,'Configuración'!$B$23,IF(J883&lt;=50,'Configuración'!$B$24,IF(J883&lt;=200,'Configuración'!$B$25,0))),0))</f>
        <v>12</v>
      </c>
      <c r="T883" s="37">
        <f>IF(B883="","",IF(ISNUMBER(SEARCH("information technology",I883))+ISNUMBER(SEARCH("software",I883))+ISNUMBER(SEARCH("internet",I883))+ISNUMBER(SEARCH("computer",I883))+ISNUMBER(SEARCH("saas",I883))+ISNUMBER(SEARCH("fintech",I883))+ISNUMBER(SEARCH("information services",I883))+ISNUMBER(SEARCH("telecommunications",I883))&gt;0,'Configuración'!$B$27,'Configuración'!$B$28))</f>
        <v>12</v>
      </c>
      <c r="U883" s="25">
        <f>IF(B883="","",IF(ISNUMBER(SEARCH("CEO",C883))+ISNUMBER(SEARCH("Founder",C883))+ISNUMBER(SEARCH("Owner",C883))+ISNUMBER(SEARCH("Dueño",C883))+ISNUMBER(SEARCH("Director General",C883))+ISNUMBER(SEARCH("Presidente",C883))+ISNUMBER(SEARCH("President",C883))&gt;0,'Configuración'!$B$31,IF(ISNUMBER(SEARCH("CMO",C883))+ISNUMBER(SEARCH("Chief Marketing",C883))+ISNUMBER(SEARCH("VP Marketing",C883))+ISNUMBER(SEARCH("Director de Marketing",C883))+ISNUMBER(SEARCH("Director Marketing",C883))+ISNUMBER(SEARCH("Head of Marketing",C883))+ISNUMBER(SEARCH("Head Marketing",C883))&gt;0,'Configuración'!$B$32,IF(ISNUMBER(SEARCH("Marketing Manager",C883))+ISNUMBER(SEARCH("Gerente de Marketing",C883))+ISNUMBER(SEARCH("Growth Manager",C883))+ISNUMBER(SEARCH("Demand Gen",C883))+ISNUMBER(SEARCH("Marketing Lead",C883))&gt;0,'Configuración'!$B$33,IF(ISNUMBER(SEARCH("COO",C883))+ISNUMBER(SEARCH("CFO",C883))+ISNUMBER(SEARCH("CTO",C883))+ISNUMBER(SEARCH("Chief Operating",C883))+ISNUMBER(SEARCH("Chief Financial",C883))+ISNUMBER(SEARCH("Gerente General",C883))+ISNUMBER(SEARCH("General Manager",C883))&gt;0,'Configuración'!$B$34,'Configuración'!$B$35)))))</f>
        <v>12</v>
      </c>
      <c r="V883" s="38">
        <f>IF(B883="","",IF(K883="Sí",'Configuración'!$B$5,0)+IF(L883="Semanal",'Configuración'!$B$6,IF(L883="Mensual",'Configuración'!$B$7,0))+IF(M883="Sí",'Configuración'!$B$8,0)+IF(N883="Sí",'Configuración'!$B$9,0)+IF(O883="Sí",'Configuración'!$B$10,0)+IF(P883="Sí",'Configuración'!$B$11,0)+IF(Q883="Sí",'Configuración'!$B$12,0)+S883+T883+U883)</f>
        <v>36</v>
      </c>
      <c r="W883" s="39" t="str">
        <f>IF(B883="","",IF(V883&gt;='Configuración'!$B$19,"A",IF(V883&gt;='Configuración'!$B$20,"B",IF(V883&gt;='Configuración'!$B$21,"C","Descarte"))))</f>
        <v>C</v>
      </c>
    </row>
    <row r="884" ht="15.75" customHeight="1">
      <c r="A884" s="34">
        <f t="shared" si="1"/>
        <v>882</v>
      </c>
      <c r="B884" s="29" t="s">
        <v>529</v>
      </c>
      <c r="C884" s="29" t="s">
        <v>202</v>
      </c>
      <c r="D884" s="29" t="s">
        <v>5190</v>
      </c>
      <c r="E884" s="29" t="s">
        <v>5191</v>
      </c>
      <c r="F884" s="30" t="s">
        <v>5192</v>
      </c>
      <c r="G884" s="30" t="s">
        <v>5193</v>
      </c>
      <c r="H884" s="30" t="s">
        <v>5194</v>
      </c>
      <c r="I884" s="29" t="s">
        <v>337</v>
      </c>
      <c r="J884" s="31">
        <v>4.0</v>
      </c>
      <c r="K884" s="35"/>
      <c r="L884" s="35"/>
      <c r="M884" s="35"/>
      <c r="N884" s="35"/>
      <c r="O884" s="35"/>
      <c r="P884" s="35"/>
      <c r="Q884" s="35"/>
      <c r="R884" s="35"/>
      <c r="S884" s="37">
        <f>IF(B884="","",IF(ISNUMBER(J884),IF(J884&lt;=10,'Configuración'!$B$23,IF(J884&lt;=50,'Configuración'!$B$24,IF(J884&lt;=200,'Configuración'!$B$25,0))),0))</f>
        <v>12</v>
      </c>
      <c r="T884" s="37">
        <f>IF(B884="","",IF(ISNUMBER(SEARCH("information technology",I884))+ISNUMBER(SEARCH("software",I884))+ISNUMBER(SEARCH("internet",I884))+ISNUMBER(SEARCH("computer",I884))+ISNUMBER(SEARCH("saas",I884))+ISNUMBER(SEARCH("fintech",I884))+ISNUMBER(SEARCH("information services",I884))+ISNUMBER(SEARCH("telecommunications",I884))&gt;0,'Configuración'!$B$27,'Configuración'!$B$28))</f>
        <v>4</v>
      </c>
      <c r="U884" s="25">
        <f>IF(B884="","",IF(ISNUMBER(SEARCH("CEO",C884))+ISNUMBER(SEARCH("Founder",C884))+ISNUMBER(SEARCH("Owner",C884))+ISNUMBER(SEARCH("Dueño",C884))+ISNUMBER(SEARCH("Director General",C884))+ISNUMBER(SEARCH("Presidente",C884))+ISNUMBER(SEARCH("President",C884))&gt;0,'Configuración'!$B$31,IF(ISNUMBER(SEARCH("CMO",C884))+ISNUMBER(SEARCH("Chief Marketing",C884))+ISNUMBER(SEARCH("VP Marketing",C884))+ISNUMBER(SEARCH("Director de Marketing",C884))+ISNUMBER(SEARCH("Director Marketing",C884))+ISNUMBER(SEARCH("Head of Marketing",C884))+ISNUMBER(SEARCH("Head Marketing",C884))&gt;0,'Configuración'!$B$32,IF(ISNUMBER(SEARCH("Marketing Manager",C884))+ISNUMBER(SEARCH("Gerente de Marketing",C884))+ISNUMBER(SEARCH("Growth Manager",C884))+ISNUMBER(SEARCH("Demand Gen",C884))+ISNUMBER(SEARCH("Marketing Lead",C884))&gt;0,'Configuración'!$B$33,IF(ISNUMBER(SEARCH("COO",C884))+ISNUMBER(SEARCH("CFO",C884))+ISNUMBER(SEARCH("CTO",C884))+ISNUMBER(SEARCH("Chief Operating",C884))+ISNUMBER(SEARCH("Chief Financial",C884))+ISNUMBER(SEARCH("Gerente General",C884))+ISNUMBER(SEARCH("General Manager",C884))&gt;0,'Configuración'!$B$34,'Configuración'!$B$35)))))</f>
        <v>12</v>
      </c>
      <c r="V884" s="38">
        <f>IF(B884="","",IF(K884="Sí",'Configuración'!$B$5,0)+IF(L884="Semanal",'Configuración'!$B$6,IF(L884="Mensual",'Configuración'!$B$7,0))+IF(M884="Sí",'Configuración'!$B$8,0)+IF(N884="Sí",'Configuración'!$B$9,0)+IF(O884="Sí",'Configuración'!$B$10,0)+IF(P884="Sí",'Configuración'!$B$11,0)+IF(Q884="Sí",'Configuración'!$B$12,0)+S884+T884+U884)</f>
        <v>28</v>
      </c>
      <c r="W884" s="39" t="str">
        <f>IF(B884="","",IF(V884&gt;='Configuración'!$B$19,"A",IF(V884&gt;='Configuración'!$B$20,"B",IF(V884&gt;='Configuración'!$B$21,"C","Descarte"))))</f>
        <v>C</v>
      </c>
    </row>
    <row r="885" ht="15.75" customHeight="1">
      <c r="A885" s="34">
        <f t="shared" si="1"/>
        <v>883</v>
      </c>
      <c r="B885" s="29" t="s">
        <v>4462</v>
      </c>
      <c r="C885" s="29" t="s">
        <v>5195</v>
      </c>
      <c r="D885" s="29" t="s">
        <v>5196</v>
      </c>
      <c r="E885" s="29" t="s">
        <v>5197</v>
      </c>
      <c r="F885" s="30" t="s">
        <v>5198</v>
      </c>
      <c r="G885" s="30" t="s">
        <v>5199</v>
      </c>
      <c r="H885" s="30" t="s">
        <v>5200</v>
      </c>
      <c r="I885" s="29" t="s">
        <v>946</v>
      </c>
      <c r="J885" s="31">
        <v>4.0</v>
      </c>
      <c r="K885" s="35"/>
      <c r="L885" s="35"/>
      <c r="M885" s="35"/>
      <c r="N885" s="35"/>
      <c r="O885" s="35"/>
      <c r="P885" s="35"/>
      <c r="Q885" s="35"/>
      <c r="R885" s="35"/>
      <c r="S885" s="37">
        <f>IF(B885="","",IF(ISNUMBER(J885),IF(J885&lt;=10,'Configuración'!$B$23,IF(J885&lt;=50,'Configuración'!$B$24,IF(J885&lt;=200,'Configuración'!$B$25,0))),0))</f>
        <v>12</v>
      </c>
      <c r="T885" s="37">
        <f>IF(B885="","",IF(ISNUMBER(SEARCH("information technology",I885))+ISNUMBER(SEARCH("software",I885))+ISNUMBER(SEARCH("internet",I885))+ISNUMBER(SEARCH("computer",I885))+ISNUMBER(SEARCH("saas",I885))+ISNUMBER(SEARCH("fintech",I885))+ISNUMBER(SEARCH("information services",I885))+ISNUMBER(SEARCH("telecommunications",I885))&gt;0,'Configuración'!$B$27,'Configuración'!$B$28))</f>
        <v>4</v>
      </c>
      <c r="U885" s="25">
        <f>IF(B885="","",IF(ISNUMBER(SEARCH("CEO",C885))+ISNUMBER(SEARCH("Founder",C885))+ISNUMBER(SEARCH("Owner",C885))+ISNUMBER(SEARCH("Dueño",C885))+ISNUMBER(SEARCH("Director General",C885))+ISNUMBER(SEARCH("Presidente",C885))+ISNUMBER(SEARCH("President",C885))&gt;0,'Configuración'!$B$31,IF(ISNUMBER(SEARCH("CMO",C885))+ISNUMBER(SEARCH("Chief Marketing",C885))+ISNUMBER(SEARCH("VP Marketing",C885))+ISNUMBER(SEARCH("Director de Marketing",C885))+ISNUMBER(SEARCH("Director Marketing",C885))+ISNUMBER(SEARCH("Head of Marketing",C885))+ISNUMBER(SEARCH("Head Marketing",C885))&gt;0,'Configuración'!$B$32,IF(ISNUMBER(SEARCH("Marketing Manager",C885))+ISNUMBER(SEARCH("Gerente de Marketing",C885))+ISNUMBER(SEARCH("Growth Manager",C885))+ISNUMBER(SEARCH("Demand Gen",C885))+ISNUMBER(SEARCH("Marketing Lead",C885))&gt;0,'Configuración'!$B$33,IF(ISNUMBER(SEARCH("COO",C885))+ISNUMBER(SEARCH("CFO",C885))+ISNUMBER(SEARCH("CTO",C885))+ISNUMBER(SEARCH("Chief Operating",C885))+ISNUMBER(SEARCH("Chief Financial",C885))+ISNUMBER(SEARCH("Gerente General",C885))+ISNUMBER(SEARCH("General Manager",C885))&gt;0,'Configuración'!$B$34,'Configuración'!$B$35)))))</f>
        <v>12</v>
      </c>
      <c r="V885" s="38">
        <f>IF(B885="","",IF(K885="Sí",'Configuración'!$B$5,0)+IF(L885="Semanal",'Configuración'!$B$6,IF(L885="Mensual",'Configuración'!$B$7,0))+IF(M885="Sí",'Configuración'!$B$8,0)+IF(N885="Sí",'Configuración'!$B$9,0)+IF(O885="Sí",'Configuración'!$B$10,0)+IF(P885="Sí",'Configuración'!$B$11,0)+IF(Q885="Sí",'Configuración'!$B$12,0)+S885+T885+U885)</f>
        <v>28</v>
      </c>
      <c r="W885" s="39" t="str">
        <f>IF(B885="","",IF(V885&gt;='Configuración'!$B$19,"A",IF(V885&gt;='Configuración'!$B$20,"B",IF(V885&gt;='Configuración'!$B$21,"C","Descarte"))))</f>
        <v>C</v>
      </c>
    </row>
    <row r="886" ht="15.75" customHeight="1">
      <c r="A886" s="34">
        <f t="shared" si="1"/>
        <v>884</v>
      </c>
      <c r="B886" s="29" t="s">
        <v>1510</v>
      </c>
      <c r="C886" s="29" t="s">
        <v>5201</v>
      </c>
      <c r="D886" s="29" t="s">
        <v>5202</v>
      </c>
      <c r="E886" s="29" t="s">
        <v>5203</v>
      </c>
      <c r="F886" s="30" t="s">
        <v>5204</v>
      </c>
      <c r="G886" s="30" t="s">
        <v>5205</v>
      </c>
      <c r="H886" s="30" t="s">
        <v>5206</v>
      </c>
      <c r="I886" s="29" t="s">
        <v>188</v>
      </c>
      <c r="J886" s="31">
        <v>2.0</v>
      </c>
      <c r="K886" s="35"/>
      <c r="L886" s="35"/>
      <c r="M886" s="35"/>
      <c r="N886" s="35"/>
      <c r="O886" s="35"/>
      <c r="P886" s="35"/>
      <c r="Q886" s="35"/>
      <c r="R886" s="35"/>
      <c r="S886" s="37">
        <f>IF(B886="","",IF(ISNUMBER(J886),IF(J886&lt;=10,'Configuración'!$B$23,IF(J886&lt;=50,'Configuración'!$B$24,IF(J886&lt;=200,'Configuración'!$B$25,0))),0))</f>
        <v>12</v>
      </c>
      <c r="T886" s="37">
        <f>IF(B886="","",IF(ISNUMBER(SEARCH("information technology",I886))+ISNUMBER(SEARCH("software",I886))+ISNUMBER(SEARCH("internet",I886))+ISNUMBER(SEARCH("computer",I886))+ISNUMBER(SEARCH("saas",I886))+ISNUMBER(SEARCH("fintech",I886))+ISNUMBER(SEARCH("information services",I886))+ISNUMBER(SEARCH("telecommunications",I886))&gt;0,'Configuración'!$B$27,'Configuración'!$B$28))</f>
        <v>4</v>
      </c>
      <c r="U886" s="25">
        <f>IF(B886="","",IF(ISNUMBER(SEARCH("CEO",C886))+ISNUMBER(SEARCH("Founder",C886))+ISNUMBER(SEARCH("Owner",C886))+ISNUMBER(SEARCH("Dueño",C886))+ISNUMBER(SEARCH("Director General",C886))+ISNUMBER(SEARCH("Presidente",C886))+ISNUMBER(SEARCH("President",C886))&gt;0,'Configuración'!$B$31,IF(ISNUMBER(SEARCH("CMO",C886))+ISNUMBER(SEARCH("Chief Marketing",C886))+ISNUMBER(SEARCH("VP Marketing",C886))+ISNUMBER(SEARCH("Director de Marketing",C886))+ISNUMBER(SEARCH("Director Marketing",C886))+ISNUMBER(SEARCH("Head of Marketing",C886))+ISNUMBER(SEARCH("Head Marketing",C886))&gt;0,'Configuración'!$B$32,IF(ISNUMBER(SEARCH("Marketing Manager",C886))+ISNUMBER(SEARCH("Gerente de Marketing",C886))+ISNUMBER(SEARCH("Growth Manager",C886))+ISNUMBER(SEARCH("Demand Gen",C886))+ISNUMBER(SEARCH("Marketing Lead",C886))&gt;0,'Configuración'!$B$33,IF(ISNUMBER(SEARCH("COO",C886))+ISNUMBER(SEARCH("CFO",C886))+ISNUMBER(SEARCH("CTO",C886))+ISNUMBER(SEARCH("Chief Operating",C886))+ISNUMBER(SEARCH("Chief Financial",C886))+ISNUMBER(SEARCH("Gerente General",C886))+ISNUMBER(SEARCH("General Manager",C886))&gt;0,'Configuración'!$B$34,'Configuración'!$B$35)))))</f>
        <v>12</v>
      </c>
      <c r="V886" s="38">
        <f>IF(B886="","",IF(K886="Sí",'Configuración'!$B$5,0)+IF(L886="Semanal",'Configuración'!$B$6,IF(L886="Mensual",'Configuración'!$B$7,0))+IF(M886="Sí",'Configuración'!$B$8,0)+IF(N886="Sí",'Configuración'!$B$9,0)+IF(O886="Sí",'Configuración'!$B$10,0)+IF(P886="Sí",'Configuración'!$B$11,0)+IF(Q886="Sí",'Configuración'!$B$12,0)+S886+T886+U886)</f>
        <v>28</v>
      </c>
      <c r="W886" s="39" t="str">
        <f>IF(B886="","",IF(V886&gt;='Configuración'!$B$19,"A",IF(V886&gt;='Configuración'!$B$20,"B",IF(V886&gt;='Configuración'!$B$21,"C","Descarte"))))</f>
        <v>C</v>
      </c>
    </row>
    <row r="887" ht="15.75" customHeight="1">
      <c r="A887" s="34">
        <f t="shared" si="1"/>
        <v>885</v>
      </c>
      <c r="B887" s="29" t="s">
        <v>610</v>
      </c>
      <c r="C887" s="29" t="s">
        <v>5207</v>
      </c>
      <c r="D887" s="29" t="s">
        <v>5208</v>
      </c>
      <c r="E887" s="29" t="s">
        <v>5209</v>
      </c>
      <c r="F887" s="30" t="s">
        <v>5210</v>
      </c>
      <c r="G887" s="30" t="s">
        <v>5211</v>
      </c>
      <c r="H887" s="30" t="s">
        <v>5212</v>
      </c>
      <c r="I887" s="29" t="s">
        <v>127</v>
      </c>
      <c r="J887" s="31">
        <v>20.0</v>
      </c>
      <c r="K887" s="35"/>
      <c r="L887" s="35"/>
      <c r="M887" s="35"/>
      <c r="N887" s="35"/>
      <c r="O887" s="35"/>
      <c r="P887" s="35"/>
      <c r="Q887" s="35"/>
      <c r="R887" s="35"/>
      <c r="S887" s="37">
        <f>IF(B887="","",IF(ISNUMBER(J887),IF(J887&lt;=10,'Configuración'!$B$23,IF(J887&lt;=50,'Configuración'!$B$24,IF(J887&lt;=200,'Configuración'!$B$25,0))),0))</f>
        <v>4</v>
      </c>
      <c r="T887" s="37">
        <f>IF(B887="","",IF(ISNUMBER(SEARCH("information technology",I887))+ISNUMBER(SEARCH("software",I887))+ISNUMBER(SEARCH("internet",I887))+ISNUMBER(SEARCH("computer",I887))+ISNUMBER(SEARCH("saas",I887))+ISNUMBER(SEARCH("fintech",I887))+ISNUMBER(SEARCH("information services",I887))+ISNUMBER(SEARCH("telecommunications",I887))&gt;0,'Configuración'!$B$27,'Configuración'!$B$28))</f>
        <v>12</v>
      </c>
      <c r="U887" s="25">
        <f>IF(B887="","",IF(ISNUMBER(SEARCH("CEO",C887))+ISNUMBER(SEARCH("Founder",C887))+ISNUMBER(SEARCH("Owner",C887))+ISNUMBER(SEARCH("Dueño",C887))+ISNUMBER(SEARCH("Director General",C887))+ISNUMBER(SEARCH("Presidente",C887))+ISNUMBER(SEARCH("President",C887))&gt;0,'Configuración'!$B$31,IF(ISNUMBER(SEARCH("CMO",C887))+ISNUMBER(SEARCH("Chief Marketing",C887))+ISNUMBER(SEARCH("VP Marketing",C887))+ISNUMBER(SEARCH("Director de Marketing",C887))+ISNUMBER(SEARCH("Director Marketing",C887))+ISNUMBER(SEARCH("Head of Marketing",C887))+ISNUMBER(SEARCH("Head Marketing",C887))&gt;0,'Configuración'!$B$32,IF(ISNUMBER(SEARCH("Marketing Manager",C887))+ISNUMBER(SEARCH("Gerente de Marketing",C887))+ISNUMBER(SEARCH("Growth Manager",C887))+ISNUMBER(SEARCH("Demand Gen",C887))+ISNUMBER(SEARCH("Marketing Lead",C887))&gt;0,'Configuración'!$B$33,IF(ISNUMBER(SEARCH("COO",C887))+ISNUMBER(SEARCH("CFO",C887))+ISNUMBER(SEARCH("CTO",C887))+ISNUMBER(SEARCH("Chief Operating",C887))+ISNUMBER(SEARCH("Chief Financial",C887))+ISNUMBER(SEARCH("Gerente General",C887))+ISNUMBER(SEARCH("General Manager",C887))&gt;0,'Configuración'!$B$34,'Configuración'!$B$35)))))</f>
        <v>12</v>
      </c>
      <c r="V887" s="38">
        <f>IF(B887="","",IF(K887="Sí",'Configuración'!$B$5,0)+IF(L887="Semanal",'Configuración'!$B$6,IF(L887="Mensual",'Configuración'!$B$7,0))+IF(M887="Sí",'Configuración'!$B$8,0)+IF(N887="Sí",'Configuración'!$B$9,0)+IF(O887="Sí",'Configuración'!$B$10,0)+IF(P887="Sí",'Configuración'!$B$11,0)+IF(Q887="Sí",'Configuración'!$B$12,0)+S887+T887+U887)</f>
        <v>28</v>
      </c>
      <c r="W887" s="39" t="str">
        <f>IF(B887="","",IF(V887&gt;='Configuración'!$B$19,"A",IF(V887&gt;='Configuración'!$B$20,"B",IF(V887&gt;='Configuración'!$B$21,"C","Descarte"))))</f>
        <v>C</v>
      </c>
    </row>
    <row r="888" ht="15.75" customHeight="1">
      <c r="A888" s="34">
        <f t="shared" si="1"/>
        <v>886</v>
      </c>
      <c r="B888" s="29" t="s">
        <v>181</v>
      </c>
      <c r="C888" s="29" t="s">
        <v>5213</v>
      </c>
      <c r="D888" s="29" t="s">
        <v>5214</v>
      </c>
      <c r="E888" s="29" t="s">
        <v>5215</v>
      </c>
      <c r="F888" s="30" t="s">
        <v>5216</v>
      </c>
      <c r="G888" s="30" t="s">
        <v>5217</v>
      </c>
      <c r="H888" s="30" t="s">
        <v>5218</v>
      </c>
      <c r="I888" s="29" t="s">
        <v>2651</v>
      </c>
      <c r="J888" s="31">
        <v>35.0</v>
      </c>
      <c r="K888" s="35"/>
      <c r="L888" s="35"/>
      <c r="M888" s="35"/>
      <c r="N888" s="35"/>
      <c r="O888" s="35"/>
      <c r="P888" s="35"/>
      <c r="Q888" s="35"/>
      <c r="R888" s="35"/>
      <c r="S888" s="37">
        <f>IF(B888="","",IF(ISNUMBER(J888),IF(J888&lt;=10,'Configuración'!$B$23,IF(J888&lt;=50,'Configuración'!$B$24,IF(J888&lt;=200,'Configuración'!$B$25,0))),0))</f>
        <v>4</v>
      </c>
      <c r="T888" s="37">
        <f>IF(B888="","",IF(ISNUMBER(SEARCH("information technology",I888))+ISNUMBER(SEARCH("software",I888))+ISNUMBER(SEARCH("internet",I888))+ISNUMBER(SEARCH("computer",I888))+ISNUMBER(SEARCH("saas",I888))+ISNUMBER(SEARCH("fintech",I888))+ISNUMBER(SEARCH("information services",I888))+ISNUMBER(SEARCH("telecommunications",I888))&gt;0,'Configuración'!$B$27,'Configuración'!$B$28))</f>
        <v>4</v>
      </c>
      <c r="U888" s="25">
        <f>IF(B888="","",IF(ISNUMBER(SEARCH("CEO",C888))+ISNUMBER(SEARCH("Founder",C888))+ISNUMBER(SEARCH("Owner",C888))+ISNUMBER(SEARCH("Dueño",C888))+ISNUMBER(SEARCH("Director General",C888))+ISNUMBER(SEARCH("Presidente",C888))+ISNUMBER(SEARCH("President",C888))&gt;0,'Configuración'!$B$31,IF(ISNUMBER(SEARCH("CMO",C888))+ISNUMBER(SEARCH("Chief Marketing",C888))+ISNUMBER(SEARCH("VP Marketing",C888))+ISNUMBER(SEARCH("Director de Marketing",C888))+ISNUMBER(SEARCH("Director Marketing",C888))+ISNUMBER(SEARCH("Head of Marketing",C888))+ISNUMBER(SEARCH("Head Marketing",C888))&gt;0,'Configuración'!$B$32,IF(ISNUMBER(SEARCH("Marketing Manager",C888))+ISNUMBER(SEARCH("Gerente de Marketing",C888))+ISNUMBER(SEARCH("Growth Manager",C888))+ISNUMBER(SEARCH("Demand Gen",C888))+ISNUMBER(SEARCH("Marketing Lead",C888))&gt;0,'Configuración'!$B$33,IF(ISNUMBER(SEARCH("COO",C888))+ISNUMBER(SEARCH("CFO",C888))+ISNUMBER(SEARCH("CTO",C888))+ISNUMBER(SEARCH("Chief Operating",C888))+ISNUMBER(SEARCH("Chief Financial",C888))+ISNUMBER(SEARCH("Gerente General",C888))+ISNUMBER(SEARCH("General Manager",C888))&gt;0,'Configuración'!$B$34,'Configuración'!$B$35)))))</f>
        <v>4</v>
      </c>
      <c r="V888" s="38">
        <f>IF(B888="","",IF(K888="Sí",'Configuración'!$B$5,0)+IF(L888="Semanal",'Configuración'!$B$6,IF(L888="Mensual",'Configuración'!$B$7,0))+IF(M888="Sí",'Configuración'!$B$8,0)+IF(N888="Sí",'Configuración'!$B$9,0)+IF(O888="Sí",'Configuración'!$B$10,0)+IF(P888="Sí",'Configuración'!$B$11,0)+IF(Q888="Sí",'Configuración'!$B$12,0)+S888+T888+U888)</f>
        <v>12</v>
      </c>
      <c r="W888" s="39" t="str">
        <f>IF(B888="","",IF(V888&gt;='Configuración'!$B$19,"A",IF(V888&gt;='Configuración'!$B$20,"B",IF(V888&gt;='Configuración'!$B$21,"C","Descarte"))))</f>
        <v>Descarte</v>
      </c>
    </row>
    <row r="889" ht="15.75" customHeight="1">
      <c r="A889" s="34">
        <f t="shared" si="1"/>
        <v>887</v>
      </c>
      <c r="B889" s="29" t="s">
        <v>5219</v>
      </c>
      <c r="C889" s="29" t="s">
        <v>5220</v>
      </c>
      <c r="D889" s="29" t="s">
        <v>5221</v>
      </c>
      <c r="E889" s="29" t="s">
        <v>5222</v>
      </c>
      <c r="F889" s="30" t="s">
        <v>5223</v>
      </c>
      <c r="G889" s="30" t="s">
        <v>5224</v>
      </c>
      <c r="H889" s="30" t="s">
        <v>5225</v>
      </c>
      <c r="I889" s="29" t="s">
        <v>127</v>
      </c>
      <c r="J889" s="31">
        <v>8.0</v>
      </c>
      <c r="K889" s="35"/>
      <c r="L889" s="35"/>
      <c r="M889" s="35"/>
      <c r="N889" s="35"/>
      <c r="O889" s="35"/>
      <c r="P889" s="35"/>
      <c r="Q889" s="35"/>
      <c r="R889" s="35"/>
      <c r="S889" s="37">
        <f>IF(B889="","",IF(ISNUMBER(J889),IF(J889&lt;=10,'Configuración'!$B$23,IF(J889&lt;=50,'Configuración'!$B$24,IF(J889&lt;=200,'Configuración'!$B$25,0))),0))</f>
        <v>12</v>
      </c>
      <c r="T889" s="37">
        <f>IF(B889="","",IF(ISNUMBER(SEARCH("information technology",I889))+ISNUMBER(SEARCH("software",I889))+ISNUMBER(SEARCH("internet",I889))+ISNUMBER(SEARCH("computer",I889))+ISNUMBER(SEARCH("saas",I889))+ISNUMBER(SEARCH("fintech",I889))+ISNUMBER(SEARCH("information services",I889))+ISNUMBER(SEARCH("telecommunications",I889))&gt;0,'Configuración'!$B$27,'Configuración'!$B$28))</f>
        <v>12</v>
      </c>
      <c r="U889" s="25">
        <f>IF(B889="","",IF(ISNUMBER(SEARCH("CEO",C889))+ISNUMBER(SEARCH("Founder",C889))+ISNUMBER(SEARCH("Owner",C889))+ISNUMBER(SEARCH("Dueño",C889))+ISNUMBER(SEARCH("Director General",C889))+ISNUMBER(SEARCH("Presidente",C889))+ISNUMBER(SEARCH("President",C889))&gt;0,'Configuración'!$B$31,IF(ISNUMBER(SEARCH("CMO",C889))+ISNUMBER(SEARCH("Chief Marketing",C889))+ISNUMBER(SEARCH("VP Marketing",C889))+ISNUMBER(SEARCH("Director de Marketing",C889))+ISNUMBER(SEARCH("Director Marketing",C889))+ISNUMBER(SEARCH("Head of Marketing",C889))+ISNUMBER(SEARCH("Head Marketing",C889))&gt;0,'Configuración'!$B$32,IF(ISNUMBER(SEARCH("Marketing Manager",C889))+ISNUMBER(SEARCH("Gerente de Marketing",C889))+ISNUMBER(SEARCH("Growth Manager",C889))+ISNUMBER(SEARCH("Demand Gen",C889))+ISNUMBER(SEARCH("Marketing Lead",C889))&gt;0,'Configuración'!$B$33,IF(ISNUMBER(SEARCH("COO",C889))+ISNUMBER(SEARCH("CFO",C889))+ISNUMBER(SEARCH("CTO",C889))+ISNUMBER(SEARCH("Chief Operating",C889))+ISNUMBER(SEARCH("Chief Financial",C889))+ISNUMBER(SEARCH("Gerente General",C889))+ISNUMBER(SEARCH("General Manager",C889))&gt;0,'Configuración'!$B$34,'Configuración'!$B$35)))))</f>
        <v>12</v>
      </c>
      <c r="V889" s="38">
        <f>IF(B889="","",IF(K889="Sí",'Configuración'!$B$5,0)+IF(L889="Semanal",'Configuración'!$B$6,IF(L889="Mensual",'Configuración'!$B$7,0))+IF(M889="Sí",'Configuración'!$B$8,0)+IF(N889="Sí",'Configuración'!$B$9,0)+IF(O889="Sí",'Configuración'!$B$10,0)+IF(P889="Sí",'Configuración'!$B$11,0)+IF(Q889="Sí",'Configuración'!$B$12,0)+S889+T889+U889)</f>
        <v>36</v>
      </c>
      <c r="W889" s="39" t="str">
        <f>IF(B889="","",IF(V889&gt;='Configuración'!$B$19,"A",IF(V889&gt;='Configuración'!$B$20,"B",IF(V889&gt;='Configuración'!$B$21,"C","Descarte"))))</f>
        <v>C</v>
      </c>
    </row>
    <row r="890" ht="15.75" customHeight="1">
      <c r="A890" s="34">
        <f t="shared" si="1"/>
        <v>888</v>
      </c>
      <c r="B890" s="29" t="s">
        <v>5226</v>
      </c>
      <c r="C890" s="29" t="s">
        <v>1214</v>
      </c>
      <c r="D890" s="29" t="s">
        <v>5227</v>
      </c>
      <c r="E890" s="29" t="s">
        <v>5228</v>
      </c>
      <c r="F890" s="30" t="s">
        <v>5229</v>
      </c>
      <c r="G890" s="30" t="s">
        <v>5230</v>
      </c>
      <c r="H890" s="30" t="s">
        <v>5231</v>
      </c>
      <c r="I890" s="29" t="s">
        <v>2350</v>
      </c>
      <c r="J890" s="31">
        <v>7.0</v>
      </c>
      <c r="K890" s="35"/>
      <c r="L890" s="35"/>
      <c r="M890" s="35"/>
      <c r="N890" s="35"/>
      <c r="O890" s="35"/>
      <c r="P890" s="35"/>
      <c r="Q890" s="35"/>
      <c r="R890" s="35"/>
      <c r="S890" s="37">
        <f>IF(B890="","",IF(ISNUMBER(J890),IF(J890&lt;=10,'Configuración'!$B$23,IF(J890&lt;=50,'Configuración'!$B$24,IF(J890&lt;=200,'Configuración'!$B$25,0))),0))</f>
        <v>12</v>
      </c>
      <c r="T890" s="37">
        <f>IF(B890="","",IF(ISNUMBER(SEARCH("information technology",I890))+ISNUMBER(SEARCH("software",I890))+ISNUMBER(SEARCH("internet",I890))+ISNUMBER(SEARCH("computer",I890))+ISNUMBER(SEARCH("saas",I890))+ISNUMBER(SEARCH("fintech",I890))+ISNUMBER(SEARCH("information services",I890))+ISNUMBER(SEARCH("telecommunications",I890))&gt;0,'Configuración'!$B$27,'Configuración'!$B$28))</f>
        <v>4</v>
      </c>
      <c r="U890" s="25">
        <f>IF(B890="","",IF(ISNUMBER(SEARCH("CEO",C890))+ISNUMBER(SEARCH("Founder",C890))+ISNUMBER(SEARCH("Owner",C890))+ISNUMBER(SEARCH("Dueño",C890))+ISNUMBER(SEARCH("Director General",C890))+ISNUMBER(SEARCH("Presidente",C890))+ISNUMBER(SEARCH("President",C890))&gt;0,'Configuración'!$B$31,IF(ISNUMBER(SEARCH("CMO",C890))+ISNUMBER(SEARCH("Chief Marketing",C890))+ISNUMBER(SEARCH("VP Marketing",C890))+ISNUMBER(SEARCH("Director de Marketing",C890))+ISNUMBER(SEARCH("Director Marketing",C890))+ISNUMBER(SEARCH("Head of Marketing",C890))+ISNUMBER(SEARCH("Head Marketing",C890))&gt;0,'Configuración'!$B$32,IF(ISNUMBER(SEARCH("Marketing Manager",C890))+ISNUMBER(SEARCH("Gerente de Marketing",C890))+ISNUMBER(SEARCH("Growth Manager",C890))+ISNUMBER(SEARCH("Demand Gen",C890))+ISNUMBER(SEARCH("Marketing Lead",C890))&gt;0,'Configuración'!$B$33,IF(ISNUMBER(SEARCH("COO",C890))+ISNUMBER(SEARCH("CFO",C890))+ISNUMBER(SEARCH("CTO",C890))+ISNUMBER(SEARCH("Chief Operating",C890))+ISNUMBER(SEARCH("Chief Financial",C890))+ISNUMBER(SEARCH("Gerente General",C890))+ISNUMBER(SEARCH("General Manager",C890))&gt;0,'Configuración'!$B$34,'Configuración'!$B$35)))))</f>
        <v>12</v>
      </c>
      <c r="V890" s="38">
        <f>IF(B890="","",IF(K890="Sí",'Configuración'!$B$5,0)+IF(L890="Semanal",'Configuración'!$B$6,IF(L890="Mensual",'Configuración'!$B$7,0))+IF(M890="Sí",'Configuración'!$B$8,0)+IF(N890="Sí",'Configuración'!$B$9,0)+IF(O890="Sí",'Configuración'!$B$10,0)+IF(P890="Sí",'Configuración'!$B$11,0)+IF(Q890="Sí",'Configuración'!$B$12,0)+S890+T890+U890)</f>
        <v>28</v>
      </c>
      <c r="W890" s="39" t="str">
        <f>IF(B890="","",IF(V890&gt;='Configuración'!$B$19,"A",IF(V890&gt;='Configuración'!$B$20,"B",IF(V890&gt;='Configuración'!$B$21,"C","Descarte"))))</f>
        <v>C</v>
      </c>
    </row>
    <row r="891" ht="15.75" customHeight="1">
      <c r="A891" s="34">
        <f t="shared" si="1"/>
        <v>889</v>
      </c>
      <c r="B891" s="29" t="s">
        <v>223</v>
      </c>
      <c r="C891" s="29" t="s">
        <v>622</v>
      </c>
      <c r="D891" s="29" t="s">
        <v>5232</v>
      </c>
      <c r="E891" s="29" t="s">
        <v>5233</v>
      </c>
      <c r="F891" s="30" t="s">
        <v>5234</v>
      </c>
      <c r="G891" s="30" t="s">
        <v>5235</v>
      </c>
      <c r="H891" s="30" t="s">
        <v>5236</v>
      </c>
      <c r="I891" s="29" t="s">
        <v>127</v>
      </c>
      <c r="J891" s="31">
        <v>1.0</v>
      </c>
      <c r="K891" s="35"/>
      <c r="L891" s="35"/>
      <c r="M891" s="35"/>
      <c r="N891" s="35"/>
      <c r="O891" s="35"/>
      <c r="P891" s="35"/>
      <c r="Q891" s="35"/>
      <c r="R891" s="35"/>
      <c r="S891" s="37">
        <f>IF(B891="","",IF(ISNUMBER(J891),IF(J891&lt;=10,'Configuración'!$B$23,IF(J891&lt;=50,'Configuración'!$B$24,IF(J891&lt;=200,'Configuración'!$B$25,0))),0))</f>
        <v>12</v>
      </c>
      <c r="T891" s="37">
        <f>IF(B891="","",IF(ISNUMBER(SEARCH("information technology",I891))+ISNUMBER(SEARCH("software",I891))+ISNUMBER(SEARCH("internet",I891))+ISNUMBER(SEARCH("computer",I891))+ISNUMBER(SEARCH("saas",I891))+ISNUMBER(SEARCH("fintech",I891))+ISNUMBER(SEARCH("information services",I891))+ISNUMBER(SEARCH("telecommunications",I891))&gt;0,'Configuración'!$B$27,'Configuración'!$B$28))</f>
        <v>12</v>
      </c>
      <c r="U891" s="25">
        <f>IF(B891="","",IF(ISNUMBER(SEARCH("CEO",C891))+ISNUMBER(SEARCH("Founder",C891))+ISNUMBER(SEARCH("Owner",C891))+ISNUMBER(SEARCH("Dueño",C891))+ISNUMBER(SEARCH("Director General",C891))+ISNUMBER(SEARCH("Presidente",C891))+ISNUMBER(SEARCH("President",C891))&gt;0,'Configuración'!$B$31,IF(ISNUMBER(SEARCH("CMO",C891))+ISNUMBER(SEARCH("Chief Marketing",C891))+ISNUMBER(SEARCH("VP Marketing",C891))+ISNUMBER(SEARCH("Director de Marketing",C891))+ISNUMBER(SEARCH("Director Marketing",C891))+ISNUMBER(SEARCH("Head of Marketing",C891))+ISNUMBER(SEARCH("Head Marketing",C891))&gt;0,'Configuración'!$B$32,IF(ISNUMBER(SEARCH("Marketing Manager",C891))+ISNUMBER(SEARCH("Gerente de Marketing",C891))+ISNUMBER(SEARCH("Growth Manager",C891))+ISNUMBER(SEARCH("Demand Gen",C891))+ISNUMBER(SEARCH("Marketing Lead",C891))&gt;0,'Configuración'!$B$33,IF(ISNUMBER(SEARCH("COO",C891))+ISNUMBER(SEARCH("CFO",C891))+ISNUMBER(SEARCH("CTO",C891))+ISNUMBER(SEARCH("Chief Operating",C891))+ISNUMBER(SEARCH("Chief Financial",C891))+ISNUMBER(SEARCH("Gerente General",C891))+ISNUMBER(SEARCH("General Manager",C891))&gt;0,'Configuración'!$B$34,'Configuración'!$B$35)))))</f>
        <v>12</v>
      </c>
      <c r="V891" s="38">
        <f>IF(B891="","",IF(K891="Sí",'Configuración'!$B$5,0)+IF(L891="Semanal",'Configuración'!$B$6,IF(L891="Mensual",'Configuración'!$B$7,0))+IF(M891="Sí",'Configuración'!$B$8,0)+IF(N891="Sí",'Configuración'!$B$9,0)+IF(O891="Sí",'Configuración'!$B$10,0)+IF(P891="Sí",'Configuración'!$B$11,0)+IF(Q891="Sí",'Configuración'!$B$12,0)+S891+T891+U891)</f>
        <v>36</v>
      </c>
      <c r="W891" s="39" t="str">
        <f>IF(B891="","",IF(V891&gt;='Configuración'!$B$19,"A",IF(V891&gt;='Configuración'!$B$20,"B",IF(V891&gt;='Configuración'!$B$21,"C","Descarte"))))</f>
        <v>C</v>
      </c>
    </row>
    <row r="892" ht="15.75" customHeight="1">
      <c r="A892" s="34">
        <f t="shared" si="1"/>
        <v>890</v>
      </c>
      <c r="B892" s="29" t="s">
        <v>2603</v>
      </c>
      <c r="C892" s="29" t="s">
        <v>175</v>
      </c>
      <c r="D892" s="29" t="s">
        <v>5237</v>
      </c>
      <c r="E892" s="29" t="s">
        <v>5238</v>
      </c>
      <c r="F892" s="30" t="s">
        <v>5239</v>
      </c>
      <c r="G892" s="30" t="s">
        <v>5240</v>
      </c>
      <c r="H892" s="30" t="s">
        <v>5241</v>
      </c>
      <c r="I892" s="29" t="s">
        <v>188</v>
      </c>
      <c r="J892" s="31">
        <v>1.0</v>
      </c>
      <c r="K892" s="35"/>
      <c r="L892" s="35"/>
      <c r="M892" s="35"/>
      <c r="N892" s="35"/>
      <c r="O892" s="35"/>
      <c r="P892" s="35"/>
      <c r="Q892" s="35"/>
      <c r="R892" s="35"/>
      <c r="S892" s="37">
        <f>IF(B892="","",IF(ISNUMBER(J892),IF(J892&lt;=10,'Configuración'!$B$23,IF(J892&lt;=50,'Configuración'!$B$24,IF(J892&lt;=200,'Configuración'!$B$25,0))),0))</f>
        <v>12</v>
      </c>
      <c r="T892" s="37">
        <f>IF(B892="","",IF(ISNUMBER(SEARCH("information technology",I892))+ISNUMBER(SEARCH("software",I892))+ISNUMBER(SEARCH("internet",I892))+ISNUMBER(SEARCH("computer",I892))+ISNUMBER(SEARCH("saas",I892))+ISNUMBER(SEARCH("fintech",I892))+ISNUMBER(SEARCH("information services",I892))+ISNUMBER(SEARCH("telecommunications",I892))&gt;0,'Configuración'!$B$27,'Configuración'!$B$28))</f>
        <v>4</v>
      </c>
      <c r="U892" s="25">
        <f>IF(B892="","",IF(ISNUMBER(SEARCH("CEO",C892))+ISNUMBER(SEARCH("Founder",C892))+ISNUMBER(SEARCH("Owner",C892))+ISNUMBER(SEARCH("Dueño",C892))+ISNUMBER(SEARCH("Director General",C892))+ISNUMBER(SEARCH("Presidente",C892))+ISNUMBER(SEARCH("President",C892))&gt;0,'Configuración'!$B$31,IF(ISNUMBER(SEARCH("CMO",C892))+ISNUMBER(SEARCH("Chief Marketing",C892))+ISNUMBER(SEARCH("VP Marketing",C892))+ISNUMBER(SEARCH("Director de Marketing",C892))+ISNUMBER(SEARCH("Director Marketing",C892))+ISNUMBER(SEARCH("Head of Marketing",C892))+ISNUMBER(SEARCH("Head Marketing",C892))&gt;0,'Configuración'!$B$32,IF(ISNUMBER(SEARCH("Marketing Manager",C892))+ISNUMBER(SEARCH("Gerente de Marketing",C892))+ISNUMBER(SEARCH("Growth Manager",C892))+ISNUMBER(SEARCH("Demand Gen",C892))+ISNUMBER(SEARCH("Marketing Lead",C892))&gt;0,'Configuración'!$B$33,IF(ISNUMBER(SEARCH("COO",C892))+ISNUMBER(SEARCH("CFO",C892))+ISNUMBER(SEARCH("CTO",C892))+ISNUMBER(SEARCH("Chief Operating",C892))+ISNUMBER(SEARCH("Chief Financial",C892))+ISNUMBER(SEARCH("Gerente General",C892))+ISNUMBER(SEARCH("General Manager",C892))&gt;0,'Configuración'!$B$34,'Configuración'!$B$35)))))</f>
        <v>12</v>
      </c>
      <c r="V892" s="38">
        <f>IF(B892="","",IF(K892="Sí",'Configuración'!$B$5,0)+IF(L892="Semanal",'Configuración'!$B$6,IF(L892="Mensual",'Configuración'!$B$7,0))+IF(M892="Sí",'Configuración'!$B$8,0)+IF(N892="Sí",'Configuración'!$B$9,0)+IF(O892="Sí",'Configuración'!$B$10,0)+IF(P892="Sí",'Configuración'!$B$11,0)+IF(Q892="Sí",'Configuración'!$B$12,0)+S892+T892+U892)</f>
        <v>28</v>
      </c>
      <c r="W892" s="39" t="str">
        <f>IF(B892="","",IF(V892&gt;='Configuración'!$B$19,"A",IF(V892&gt;='Configuración'!$B$20,"B",IF(V892&gt;='Configuración'!$B$21,"C","Descarte"))))</f>
        <v>C</v>
      </c>
    </row>
    <row r="893" ht="15.75" customHeight="1">
      <c r="A893" s="34">
        <f t="shared" si="1"/>
        <v>891</v>
      </c>
      <c r="B893" s="29" t="s">
        <v>897</v>
      </c>
      <c r="C893" s="29" t="s">
        <v>5242</v>
      </c>
      <c r="D893" s="29" t="s">
        <v>5243</v>
      </c>
      <c r="E893" s="29" t="s">
        <v>5244</v>
      </c>
      <c r="F893" s="30" t="s">
        <v>5245</v>
      </c>
      <c r="G893" s="30" t="s">
        <v>5246</v>
      </c>
      <c r="H893" s="30" t="s">
        <v>5247</v>
      </c>
      <c r="I893" s="29" t="s">
        <v>500</v>
      </c>
      <c r="J893" s="31">
        <v>2.0</v>
      </c>
      <c r="K893" s="35"/>
      <c r="L893" s="35"/>
      <c r="M893" s="35"/>
      <c r="N893" s="35"/>
      <c r="O893" s="35"/>
      <c r="P893" s="35"/>
      <c r="Q893" s="35"/>
      <c r="R893" s="35"/>
      <c r="S893" s="37">
        <f>IF(B893="","",IF(ISNUMBER(J893),IF(J893&lt;=10,'Configuración'!$B$23,IF(J893&lt;=50,'Configuración'!$B$24,IF(J893&lt;=200,'Configuración'!$B$25,0))),0))</f>
        <v>12</v>
      </c>
      <c r="T893" s="37">
        <f>IF(B893="","",IF(ISNUMBER(SEARCH("information technology",I893))+ISNUMBER(SEARCH("software",I893))+ISNUMBER(SEARCH("internet",I893))+ISNUMBER(SEARCH("computer",I893))+ISNUMBER(SEARCH("saas",I893))+ISNUMBER(SEARCH("fintech",I893))+ISNUMBER(SEARCH("information services",I893))+ISNUMBER(SEARCH("telecommunications",I893))&gt;0,'Configuración'!$B$27,'Configuración'!$B$28))</f>
        <v>4</v>
      </c>
      <c r="U893" s="25">
        <f>IF(B893="","",IF(ISNUMBER(SEARCH("CEO",C893))+ISNUMBER(SEARCH("Founder",C893))+ISNUMBER(SEARCH("Owner",C893))+ISNUMBER(SEARCH("Dueño",C893))+ISNUMBER(SEARCH("Director General",C893))+ISNUMBER(SEARCH("Presidente",C893))+ISNUMBER(SEARCH("President",C893))&gt;0,'Configuración'!$B$31,IF(ISNUMBER(SEARCH("CMO",C893))+ISNUMBER(SEARCH("Chief Marketing",C893))+ISNUMBER(SEARCH("VP Marketing",C893))+ISNUMBER(SEARCH("Director de Marketing",C893))+ISNUMBER(SEARCH("Director Marketing",C893))+ISNUMBER(SEARCH("Head of Marketing",C893))+ISNUMBER(SEARCH("Head Marketing",C893))&gt;0,'Configuración'!$B$32,IF(ISNUMBER(SEARCH("Marketing Manager",C893))+ISNUMBER(SEARCH("Gerente de Marketing",C893))+ISNUMBER(SEARCH("Growth Manager",C893))+ISNUMBER(SEARCH("Demand Gen",C893))+ISNUMBER(SEARCH("Marketing Lead",C893))&gt;0,'Configuración'!$B$33,IF(ISNUMBER(SEARCH("COO",C893))+ISNUMBER(SEARCH("CFO",C893))+ISNUMBER(SEARCH("CTO",C893))+ISNUMBER(SEARCH("Chief Operating",C893))+ISNUMBER(SEARCH("Chief Financial",C893))+ISNUMBER(SEARCH("Gerente General",C893))+ISNUMBER(SEARCH("General Manager",C893))&gt;0,'Configuración'!$B$34,'Configuración'!$B$35)))))</f>
        <v>12</v>
      </c>
      <c r="V893" s="38">
        <f>IF(B893="","",IF(K893="Sí",'Configuración'!$B$5,0)+IF(L893="Semanal",'Configuración'!$B$6,IF(L893="Mensual",'Configuración'!$B$7,0))+IF(M893="Sí",'Configuración'!$B$8,0)+IF(N893="Sí",'Configuración'!$B$9,0)+IF(O893="Sí",'Configuración'!$B$10,0)+IF(P893="Sí",'Configuración'!$B$11,0)+IF(Q893="Sí",'Configuración'!$B$12,0)+S893+T893+U893)</f>
        <v>28</v>
      </c>
      <c r="W893" s="39" t="str">
        <f>IF(B893="","",IF(V893&gt;='Configuración'!$B$19,"A",IF(V893&gt;='Configuración'!$B$20,"B",IF(V893&gt;='Configuración'!$B$21,"C","Descarte"))))</f>
        <v>C</v>
      </c>
    </row>
    <row r="894" ht="15.75" customHeight="1">
      <c r="A894" s="34">
        <f t="shared" si="1"/>
        <v>892</v>
      </c>
      <c r="B894" s="29" t="s">
        <v>181</v>
      </c>
      <c r="C894" s="29" t="s">
        <v>224</v>
      </c>
      <c r="D894" s="29" t="s">
        <v>5248</v>
      </c>
      <c r="E894" s="29" t="s">
        <v>5249</v>
      </c>
      <c r="F894" s="30" t="s">
        <v>5250</v>
      </c>
      <c r="G894" s="30" t="s">
        <v>5251</v>
      </c>
      <c r="H894" s="30" t="s">
        <v>5252</v>
      </c>
      <c r="I894" s="29" t="s">
        <v>659</v>
      </c>
      <c r="J894" s="31">
        <v>7.0</v>
      </c>
      <c r="K894" s="35"/>
      <c r="L894" s="35"/>
      <c r="M894" s="35"/>
      <c r="N894" s="35"/>
      <c r="O894" s="35"/>
      <c r="P894" s="35"/>
      <c r="Q894" s="35"/>
      <c r="R894" s="35"/>
      <c r="S894" s="37">
        <f>IF(B894="","",IF(ISNUMBER(J894),IF(J894&lt;=10,'Configuración'!$B$23,IF(J894&lt;=50,'Configuración'!$B$24,IF(J894&lt;=200,'Configuración'!$B$25,0))),0))</f>
        <v>12</v>
      </c>
      <c r="T894" s="37">
        <f>IF(B894="","",IF(ISNUMBER(SEARCH("information technology",I894))+ISNUMBER(SEARCH("software",I894))+ISNUMBER(SEARCH("internet",I894))+ISNUMBER(SEARCH("computer",I894))+ISNUMBER(SEARCH("saas",I894))+ISNUMBER(SEARCH("fintech",I894))+ISNUMBER(SEARCH("information services",I894))+ISNUMBER(SEARCH("telecommunications",I894))&gt;0,'Configuración'!$B$27,'Configuración'!$B$28))</f>
        <v>4</v>
      </c>
      <c r="U894" s="25">
        <f>IF(B894="","",IF(ISNUMBER(SEARCH("CEO",C894))+ISNUMBER(SEARCH("Founder",C894))+ISNUMBER(SEARCH("Owner",C894))+ISNUMBER(SEARCH("Dueño",C894))+ISNUMBER(SEARCH("Director General",C894))+ISNUMBER(SEARCH("Presidente",C894))+ISNUMBER(SEARCH("President",C894))&gt;0,'Configuración'!$B$31,IF(ISNUMBER(SEARCH("CMO",C894))+ISNUMBER(SEARCH("Chief Marketing",C894))+ISNUMBER(SEARCH("VP Marketing",C894))+ISNUMBER(SEARCH("Director de Marketing",C894))+ISNUMBER(SEARCH("Director Marketing",C894))+ISNUMBER(SEARCH("Head of Marketing",C894))+ISNUMBER(SEARCH("Head Marketing",C894))&gt;0,'Configuración'!$B$32,IF(ISNUMBER(SEARCH("Marketing Manager",C894))+ISNUMBER(SEARCH("Gerente de Marketing",C894))+ISNUMBER(SEARCH("Growth Manager",C894))+ISNUMBER(SEARCH("Demand Gen",C894))+ISNUMBER(SEARCH("Marketing Lead",C894))&gt;0,'Configuración'!$B$33,IF(ISNUMBER(SEARCH("COO",C894))+ISNUMBER(SEARCH("CFO",C894))+ISNUMBER(SEARCH("CTO",C894))+ISNUMBER(SEARCH("Chief Operating",C894))+ISNUMBER(SEARCH("Chief Financial",C894))+ISNUMBER(SEARCH("Gerente General",C894))+ISNUMBER(SEARCH("General Manager",C894))&gt;0,'Configuración'!$B$34,'Configuración'!$B$35)))))</f>
        <v>12</v>
      </c>
      <c r="V894" s="38">
        <f>IF(B894="","",IF(K894="Sí",'Configuración'!$B$5,0)+IF(L894="Semanal",'Configuración'!$B$6,IF(L894="Mensual",'Configuración'!$B$7,0))+IF(M894="Sí",'Configuración'!$B$8,0)+IF(N894="Sí",'Configuración'!$B$9,0)+IF(O894="Sí",'Configuración'!$B$10,0)+IF(P894="Sí",'Configuración'!$B$11,0)+IF(Q894="Sí",'Configuración'!$B$12,0)+S894+T894+U894)</f>
        <v>28</v>
      </c>
      <c r="W894" s="39" t="str">
        <f>IF(B894="","",IF(V894&gt;='Configuración'!$B$19,"A",IF(V894&gt;='Configuración'!$B$20,"B",IF(V894&gt;='Configuración'!$B$21,"C","Descarte"))))</f>
        <v>C</v>
      </c>
    </row>
    <row r="895" ht="15.75" customHeight="1">
      <c r="A895" s="34">
        <f t="shared" si="1"/>
        <v>893</v>
      </c>
      <c r="B895" s="29" t="s">
        <v>459</v>
      </c>
      <c r="C895" s="29" t="s">
        <v>5253</v>
      </c>
      <c r="D895" s="29" t="s">
        <v>5254</v>
      </c>
      <c r="E895" s="29" t="s">
        <v>5255</v>
      </c>
      <c r="F895" s="30" t="s">
        <v>5256</v>
      </c>
      <c r="G895" s="30" t="s">
        <v>5257</v>
      </c>
      <c r="H895" s="30" t="s">
        <v>5258</v>
      </c>
      <c r="I895" s="29" t="s">
        <v>127</v>
      </c>
      <c r="J895" s="31">
        <v>5.0</v>
      </c>
      <c r="K895" s="35"/>
      <c r="L895" s="35"/>
      <c r="M895" s="35"/>
      <c r="N895" s="35"/>
      <c r="O895" s="35"/>
      <c r="P895" s="35"/>
      <c r="Q895" s="35"/>
      <c r="R895" s="35"/>
      <c r="S895" s="37">
        <f>IF(B895="","",IF(ISNUMBER(J895),IF(J895&lt;=10,'Configuración'!$B$23,IF(J895&lt;=50,'Configuración'!$B$24,IF(J895&lt;=200,'Configuración'!$B$25,0))),0))</f>
        <v>12</v>
      </c>
      <c r="T895" s="37">
        <f>IF(B895="","",IF(ISNUMBER(SEARCH("information technology",I895))+ISNUMBER(SEARCH("software",I895))+ISNUMBER(SEARCH("internet",I895))+ISNUMBER(SEARCH("computer",I895))+ISNUMBER(SEARCH("saas",I895))+ISNUMBER(SEARCH("fintech",I895))+ISNUMBER(SEARCH("information services",I895))+ISNUMBER(SEARCH("telecommunications",I895))&gt;0,'Configuración'!$B$27,'Configuración'!$B$28))</f>
        <v>12</v>
      </c>
      <c r="U895" s="25">
        <f>IF(B895="","",IF(ISNUMBER(SEARCH("CEO",C895))+ISNUMBER(SEARCH("Founder",C895))+ISNUMBER(SEARCH("Owner",C895))+ISNUMBER(SEARCH("Dueño",C895))+ISNUMBER(SEARCH("Director General",C895))+ISNUMBER(SEARCH("Presidente",C895))+ISNUMBER(SEARCH("President",C895))&gt;0,'Configuración'!$B$31,IF(ISNUMBER(SEARCH("CMO",C895))+ISNUMBER(SEARCH("Chief Marketing",C895))+ISNUMBER(SEARCH("VP Marketing",C895))+ISNUMBER(SEARCH("Director de Marketing",C895))+ISNUMBER(SEARCH("Director Marketing",C895))+ISNUMBER(SEARCH("Head of Marketing",C895))+ISNUMBER(SEARCH("Head Marketing",C895))&gt;0,'Configuración'!$B$32,IF(ISNUMBER(SEARCH("Marketing Manager",C895))+ISNUMBER(SEARCH("Gerente de Marketing",C895))+ISNUMBER(SEARCH("Growth Manager",C895))+ISNUMBER(SEARCH("Demand Gen",C895))+ISNUMBER(SEARCH("Marketing Lead",C895))&gt;0,'Configuración'!$B$33,IF(ISNUMBER(SEARCH("COO",C895))+ISNUMBER(SEARCH("CFO",C895))+ISNUMBER(SEARCH("CTO",C895))+ISNUMBER(SEARCH("Chief Operating",C895))+ISNUMBER(SEARCH("Chief Financial",C895))+ISNUMBER(SEARCH("Gerente General",C895))+ISNUMBER(SEARCH("General Manager",C895))&gt;0,'Configuración'!$B$34,'Configuración'!$B$35)))))</f>
        <v>12</v>
      </c>
      <c r="V895" s="38">
        <f>IF(B895="","",IF(K895="Sí",'Configuración'!$B$5,0)+IF(L895="Semanal",'Configuración'!$B$6,IF(L895="Mensual",'Configuración'!$B$7,0))+IF(M895="Sí",'Configuración'!$B$8,0)+IF(N895="Sí",'Configuración'!$B$9,0)+IF(O895="Sí",'Configuración'!$B$10,0)+IF(P895="Sí",'Configuración'!$B$11,0)+IF(Q895="Sí",'Configuración'!$B$12,0)+S895+T895+U895)</f>
        <v>36</v>
      </c>
      <c r="W895" s="39" t="str">
        <f>IF(B895="","",IF(V895&gt;='Configuración'!$B$19,"A",IF(V895&gt;='Configuración'!$B$20,"B",IF(V895&gt;='Configuración'!$B$21,"C","Descarte"))))</f>
        <v>C</v>
      </c>
    </row>
    <row r="896" ht="15.75" customHeight="1">
      <c r="A896" s="34">
        <f t="shared" si="1"/>
        <v>894</v>
      </c>
      <c r="B896" s="29" t="s">
        <v>501</v>
      </c>
      <c r="C896" s="29" t="s">
        <v>1617</v>
      </c>
      <c r="D896" s="29" t="s">
        <v>5259</v>
      </c>
      <c r="E896" s="29" t="s">
        <v>5260</v>
      </c>
      <c r="F896" s="30" t="s">
        <v>5261</v>
      </c>
      <c r="G896" s="30" t="s">
        <v>5262</v>
      </c>
      <c r="H896" s="30" t="s">
        <v>5263</v>
      </c>
      <c r="I896" s="29" t="s">
        <v>127</v>
      </c>
      <c r="J896" s="31">
        <v>49.0</v>
      </c>
      <c r="K896" s="35"/>
      <c r="L896" s="35"/>
      <c r="M896" s="35"/>
      <c r="N896" s="35"/>
      <c r="O896" s="35"/>
      <c r="P896" s="35"/>
      <c r="Q896" s="35"/>
      <c r="R896" s="35"/>
      <c r="S896" s="37">
        <f>IF(B896="","",IF(ISNUMBER(J896),IF(J896&lt;=10,'Configuración'!$B$23,IF(J896&lt;=50,'Configuración'!$B$24,IF(J896&lt;=200,'Configuración'!$B$25,0))),0))</f>
        <v>4</v>
      </c>
      <c r="T896" s="37">
        <f>IF(B896="","",IF(ISNUMBER(SEARCH("information technology",I896))+ISNUMBER(SEARCH("software",I896))+ISNUMBER(SEARCH("internet",I896))+ISNUMBER(SEARCH("computer",I896))+ISNUMBER(SEARCH("saas",I896))+ISNUMBER(SEARCH("fintech",I896))+ISNUMBER(SEARCH("information services",I896))+ISNUMBER(SEARCH("telecommunications",I896))&gt;0,'Configuración'!$B$27,'Configuración'!$B$28))</f>
        <v>12</v>
      </c>
      <c r="U896" s="25">
        <f>IF(B896="","",IF(ISNUMBER(SEARCH("CEO",C896))+ISNUMBER(SEARCH("Founder",C896))+ISNUMBER(SEARCH("Owner",C896))+ISNUMBER(SEARCH("Dueño",C896))+ISNUMBER(SEARCH("Director General",C896))+ISNUMBER(SEARCH("Presidente",C896))+ISNUMBER(SEARCH("President",C896))&gt;0,'Configuración'!$B$31,IF(ISNUMBER(SEARCH("CMO",C896))+ISNUMBER(SEARCH("Chief Marketing",C896))+ISNUMBER(SEARCH("VP Marketing",C896))+ISNUMBER(SEARCH("Director de Marketing",C896))+ISNUMBER(SEARCH("Director Marketing",C896))+ISNUMBER(SEARCH("Head of Marketing",C896))+ISNUMBER(SEARCH("Head Marketing",C896))&gt;0,'Configuración'!$B$32,IF(ISNUMBER(SEARCH("Marketing Manager",C896))+ISNUMBER(SEARCH("Gerente de Marketing",C896))+ISNUMBER(SEARCH("Growth Manager",C896))+ISNUMBER(SEARCH("Demand Gen",C896))+ISNUMBER(SEARCH("Marketing Lead",C896))&gt;0,'Configuración'!$B$33,IF(ISNUMBER(SEARCH("COO",C896))+ISNUMBER(SEARCH("CFO",C896))+ISNUMBER(SEARCH("CTO",C896))+ISNUMBER(SEARCH("Chief Operating",C896))+ISNUMBER(SEARCH("Chief Financial",C896))+ISNUMBER(SEARCH("Gerente General",C896))+ISNUMBER(SEARCH("General Manager",C896))&gt;0,'Configuración'!$B$34,'Configuración'!$B$35)))))</f>
        <v>12</v>
      </c>
      <c r="V896" s="38">
        <f>IF(B896="","",IF(K896="Sí",'Configuración'!$B$5,0)+IF(L896="Semanal",'Configuración'!$B$6,IF(L896="Mensual",'Configuración'!$B$7,0))+IF(M896="Sí",'Configuración'!$B$8,0)+IF(N896="Sí",'Configuración'!$B$9,0)+IF(O896="Sí",'Configuración'!$B$10,0)+IF(P896="Sí",'Configuración'!$B$11,0)+IF(Q896="Sí",'Configuración'!$B$12,0)+S896+T896+U896)</f>
        <v>28</v>
      </c>
      <c r="W896" s="39" t="str">
        <f>IF(B896="","",IF(V896&gt;='Configuración'!$B$19,"A",IF(V896&gt;='Configuración'!$B$20,"B",IF(V896&gt;='Configuración'!$B$21,"C","Descarte"))))</f>
        <v>C</v>
      </c>
    </row>
    <row r="897" ht="15.75" customHeight="1">
      <c r="A897" s="34">
        <f t="shared" si="1"/>
        <v>895</v>
      </c>
      <c r="B897" s="29" t="s">
        <v>1048</v>
      </c>
      <c r="C897" s="29" t="s">
        <v>5264</v>
      </c>
      <c r="D897" s="29" t="s">
        <v>5265</v>
      </c>
      <c r="E897" s="29" t="s">
        <v>5266</v>
      </c>
      <c r="F897" s="30" t="s">
        <v>5267</v>
      </c>
      <c r="G897" s="30" t="s">
        <v>5268</v>
      </c>
      <c r="H897" s="30" t="s">
        <v>5269</v>
      </c>
      <c r="I897" s="29" t="s">
        <v>222</v>
      </c>
      <c r="J897" s="31">
        <v>30.0</v>
      </c>
      <c r="K897" s="35"/>
      <c r="L897" s="35"/>
      <c r="M897" s="35"/>
      <c r="N897" s="35"/>
      <c r="O897" s="35"/>
      <c r="P897" s="35"/>
      <c r="Q897" s="35"/>
      <c r="R897" s="35"/>
      <c r="S897" s="37">
        <f>IF(B897="","",IF(ISNUMBER(J897),IF(J897&lt;=10,'Configuración'!$B$23,IF(J897&lt;=50,'Configuración'!$B$24,IF(J897&lt;=200,'Configuración'!$B$25,0))),0))</f>
        <v>4</v>
      </c>
      <c r="T897" s="37">
        <f>IF(B897="","",IF(ISNUMBER(SEARCH("information technology",I897))+ISNUMBER(SEARCH("software",I897))+ISNUMBER(SEARCH("internet",I897))+ISNUMBER(SEARCH("computer",I897))+ISNUMBER(SEARCH("saas",I897))+ISNUMBER(SEARCH("fintech",I897))+ISNUMBER(SEARCH("information services",I897))+ISNUMBER(SEARCH("telecommunications",I897))&gt;0,'Configuración'!$B$27,'Configuración'!$B$28))</f>
        <v>4</v>
      </c>
      <c r="U897" s="25">
        <f>IF(B897="","",IF(ISNUMBER(SEARCH("CEO",C897))+ISNUMBER(SEARCH("Founder",C897))+ISNUMBER(SEARCH("Owner",C897))+ISNUMBER(SEARCH("Dueño",C897))+ISNUMBER(SEARCH("Director General",C897))+ISNUMBER(SEARCH("Presidente",C897))+ISNUMBER(SEARCH("President",C897))&gt;0,'Configuración'!$B$31,IF(ISNUMBER(SEARCH("CMO",C897))+ISNUMBER(SEARCH("Chief Marketing",C897))+ISNUMBER(SEARCH("VP Marketing",C897))+ISNUMBER(SEARCH("Director de Marketing",C897))+ISNUMBER(SEARCH("Director Marketing",C897))+ISNUMBER(SEARCH("Head of Marketing",C897))+ISNUMBER(SEARCH("Head Marketing",C897))&gt;0,'Configuración'!$B$32,IF(ISNUMBER(SEARCH("Marketing Manager",C897))+ISNUMBER(SEARCH("Gerente de Marketing",C897))+ISNUMBER(SEARCH("Growth Manager",C897))+ISNUMBER(SEARCH("Demand Gen",C897))+ISNUMBER(SEARCH("Marketing Lead",C897))&gt;0,'Configuración'!$B$33,IF(ISNUMBER(SEARCH("COO",C897))+ISNUMBER(SEARCH("CFO",C897))+ISNUMBER(SEARCH("CTO",C897))+ISNUMBER(SEARCH("Chief Operating",C897))+ISNUMBER(SEARCH("Chief Financial",C897))+ISNUMBER(SEARCH("Gerente General",C897))+ISNUMBER(SEARCH("General Manager",C897))&gt;0,'Configuración'!$B$34,'Configuración'!$B$35)))))</f>
        <v>12</v>
      </c>
      <c r="V897" s="38">
        <f>IF(B897="","",IF(K897="Sí",'Configuración'!$B$5,0)+IF(L897="Semanal",'Configuración'!$B$6,IF(L897="Mensual",'Configuración'!$B$7,0))+IF(M897="Sí",'Configuración'!$B$8,0)+IF(N897="Sí",'Configuración'!$B$9,0)+IF(O897="Sí",'Configuración'!$B$10,0)+IF(P897="Sí",'Configuración'!$B$11,0)+IF(Q897="Sí",'Configuración'!$B$12,0)+S897+T897+U897)</f>
        <v>20</v>
      </c>
      <c r="W897" s="39" t="str">
        <f>IF(B897="","",IF(V897&gt;='Configuración'!$B$19,"A",IF(V897&gt;='Configuración'!$B$20,"B",IF(V897&gt;='Configuración'!$B$21,"C","Descarte"))))</f>
        <v>Descarte</v>
      </c>
    </row>
    <row r="898" ht="15.75" customHeight="1">
      <c r="A898" s="34">
        <f t="shared" si="1"/>
        <v>896</v>
      </c>
      <c r="B898" s="29" t="s">
        <v>166</v>
      </c>
      <c r="C898" s="29" t="s">
        <v>5270</v>
      </c>
      <c r="D898" s="29" t="s">
        <v>5271</v>
      </c>
      <c r="E898" s="29" t="s">
        <v>5272</v>
      </c>
      <c r="F898" s="30" t="s">
        <v>5273</v>
      </c>
      <c r="G898" s="30" t="s">
        <v>5274</v>
      </c>
      <c r="H898" s="30" t="s">
        <v>5275</v>
      </c>
      <c r="I898" s="29" t="s">
        <v>127</v>
      </c>
      <c r="J898" s="31">
        <v>4.0</v>
      </c>
      <c r="K898" s="35"/>
      <c r="L898" s="35"/>
      <c r="M898" s="35"/>
      <c r="N898" s="35"/>
      <c r="O898" s="35"/>
      <c r="P898" s="35"/>
      <c r="Q898" s="35"/>
      <c r="R898" s="35"/>
      <c r="S898" s="37">
        <f>IF(B898="","",IF(ISNUMBER(J898),IF(J898&lt;=10,'Configuración'!$B$23,IF(J898&lt;=50,'Configuración'!$B$24,IF(J898&lt;=200,'Configuración'!$B$25,0))),0))</f>
        <v>12</v>
      </c>
      <c r="T898" s="37">
        <f>IF(B898="","",IF(ISNUMBER(SEARCH("information technology",I898))+ISNUMBER(SEARCH("software",I898))+ISNUMBER(SEARCH("internet",I898))+ISNUMBER(SEARCH("computer",I898))+ISNUMBER(SEARCH("saas",I898))+ISNUMBER(SEARCH("fintech",I898))+ISNUMBER(SEARCH("information services",I898))+ISNUMBER(SEARCH("telecommunications",I898))&gt;0,'Configuración'!$B$27,'Configuración'!$B$28))</f>
        <v>12</v>
      </c>
      <c r="U898" s="25">
        <f>IF(B898="","",IF(ISNUMBER(SEARCH("CEO",C898))+ISNUMBER(SEARCH("Founder",C898))+ISNUMBER(SEARCH("Owner",C898))+ISNUMBER(SEARCH("Dueño",C898))+ISNUMBER(SEARCH("Director General",C898))+ISNUMBER(SEARCH("Presidente",C898))+ISNUMBER(SEARCH("President",C898))&gt;0,'Configuración'!$B$31,IF(ISNUMBER(SEARCH("CMO",C898))+ISNUMBER(SEARCH("Chief Marketing",C898))+ISNUMBER(SEARCH("VP Marketing",C898))+ISNUMBER(SEARCH("Director de Marketing",C898))+ISNUMBER(SEARCH("Director Marketing",C898))+ISNUMBER(SEARCH("Head of Marketing",C898))+ISNUMBER(SEARCH("Head Marketing",C898))&gt;0,'Configuración'!$B$32,IF(ISNUMBER(SEARCH("Marketing Manager",C898))+ISNUMBER(SEARCH("Gerente de Marketing",C898))+ISNUMBER(SEARCH("Growth Manager",C898))+ISNUMBER(SEARCH("Demand Gen",C898))+ISNUMBER(SEARCH("Marketing Lead",C898))&gt;0,'Configuración'!$B$33,IF(ISNUMBER(SEARCH("COO",C898))+ISNUMBER(SEARCH("CFO",C898))+ISNUMBER(SEARCH("CTO",C898))+ISNUMBER(SEARCH("Chief Operating",C898))+ISNUMBER(SEARCH("Chief Financial",C898))+ISNUMBER(SEARCH("Gerente General",C898))+ISNUMBER(SEARCH("General Manager",C898))&gt;0,'Configuración'!$B$34,'Configuración'!$B$35)))))</f>
        <v>4</v>
      </c>
      <c r="V898" s="38">
        <f>IF(B898="","",IF(K898="Sí",'Configuración'!$B$5,0)+IF(L898="Semanal",'Configuración'!$B$6,IF(L898="Mensual",'Configuración'!$B$7,0))+IF(M898="Sí",'Configuración'!$B$8,0)+IF(N898="Sí",'Configuración'!$B$9,0)+IF(O898="Sí",'Configuración'!$B$10,0)+IF(P898="Sí",'Configuración'!$B$11,0)+IF(Q898="Sí",'Configuración'!$B$12,0)+S898+T898+U898)</f>
        <v>28</v>
      </c>
      <c r="W898" s="39" t="str">
        <f>IF(B898="","",IF(V898&gt;='Configuración'!$B$19,"A",IF(V898&gt;='Configuración'!$B$20,"B",IF(V898&gt;='Configuración'!$B$21,"C","Descarte"))))</f>
        <v>C</v>
      </c>
    </row>
    <row r="899" ht="15.75" customHeight="1">
      <c r="A899" s="34">
        <f t="shared" si="1"/>
        <v>897</v>
      </c>
      <c r="B899" s="29" t="s">
        <v>5276</v>
      </c>
      <c r="C899" s="29" t="s">
        <v>622</v>
      </c>
      <c r="D899" s="29" t="s">
        <v>5277</v>
      </c>
      <c r="E899" s="29" t="s">
        <v>5278</v>
      </c>
      <c r="F899" s="30" t="s">
        <v>5279</v>
      </c>
      <c r="G899" s="30" t="s">
        <v>5280</v>
      </c>
      <c r="H899" s="30" t="s">
        <v>5281</v>
      </c>
      <c r="I899" s="29" t="s">
        <v>542</v>
      </c>
      <c r="J899" s="31">
        <v>41.0</v>
      </c>
      <c r="K899" s="35"/>
      <c r="L899" s="35"/>
      <c r="M899" s="35"/>
      <c r="N899" s="35"/>
      <c r="O899" s="35"/>
      <c r="P899" s="35"/>
      <c r="Q899" s="35"/>
      <c r="R899" s="35"/>
      <c r="S899" s="37">
        <f>IF(B899="","",IF(ISNUMBER(J899),IF(J899&lt;=10,'Configuración'!$B$23,IF(J899&lt;=50,'Configuración'!$B$24,IF(J899&lt;=200,'Configuración'!$B$25,0))),0))</f>
        <v>4</v>
      </c>
      <c r="T899" s="37">
        <f>IF(B899="","",IF(ISNUMBER(SEARCH("information technology",I899))+ISNUMBER(SEARCH("software",I899))+ISNUMBER(SEARCH("internet",I899))+ISNUMBER(SEARCH("computer",I899))+ISNUMBER(SEARCH("saas",I899))+ISNUMBER(SEARCH("fintech",I899))+ISNUMBER(SEARCH("information services",I899))+ISNUMBER(SEARCH("telecommunications",I899))&gt;0,'Configuración'!$B$27,'Configuración'!$B$28))</f>
        <v>4</v>
      </c>
      <c r="U899" s="25">
        <f>IF(B899="","",IF(ISNUMBER(SEARCH("CEO",C899))+ISNUMBER(SEARCH("Founder",C899))+ISNUMBER(SEARCH("Owner",C899))+ISNUMBER(SEARCH("Dueño",C899))+ISNUMBER(SEARCH("Director General",C899))+ISNUMBER(SEARCH("Presidente",C899))+ISNUMBER(SEARCH("President",C899))&gt;0,'Configuración'!$B$31,IF(ISNUMBER(SEARCH("CMO",C899))+ISNUMBER(SEARCH("Chief Marketing",C899))+ISNUMBER(SEARCH("VP Marketing",C899))+ISNUMBER(SEARCH("Director de Marketing",C899))+ISNUMBER(SEARCH("Director Marketing",C899))+ISNUMBER(SEARCH("Head of Marketing",C899))+ISNUMBER(SEARCH("Head Marketing",C899))&gt;0,'Configuración'!$B$32,IF(ISNUMBER(SEARCH("Marketing Manager",C899))+ISNUMBER(SEARCH("Gerente de Marketing",C899))+ISNUMBER(SEARCH("Growth Manager",C899))+ISNUMBER(SEARCH("Demand Gen",C899))+ISNUMBER(SEARCH("Marketing Lead",C899))&gt;0,'Configuración'!$B$33,IF(ISNUMBER(SEARCH("COO",C899))+ISNUMBER(SEARCH("CFO",C899))+ISNUMBER(SEARCH("CTO",C899))+ISNUMBER(SEARCH("Chief Operating",C899))+ISNUMBER(SEARCH("Chief Financial",C899))+ISNUMBER(SEARCH("Gerente General",C899))+ISNUMBER(SEARCH("General Manager",C899))&gt;0,'Configuración'!$B$34,'Configuración'!$B$35)))))</f>
        <v>12</v>
      </c>
      <c r="V899" s="38">
        <f>IF(B899="","",IF(K899="Sí",'Configuración'!$B$5,0)+IF(L899="Semanal",'Configuración'!$B$6,IF(L899="Mensual",'Configuración'!$B$7,0))+IF(M899="Sí",'Configuración'!$B$8,0)+IF(N899="Sí",'Configuración'!$B$9,0)+IF(O899="Sí",'Configuración'!$B$10,0)+IF(P899="Sí",'Configuración'!$B$11,0)+IF(Q899="Sí",'Configuración'!$B$12,0)+S899+T899+U899)</f>
        <v>20</v>
      </c>
      <c r="W899" s="39" t="str">
        <f>IF(B899="","",IF(V899&gt;='Configuración'!$B$19,"A",IF(V899&gt;='Configuración'!$B$20,"B",IF(V899&gt;='Configuración'!$B$21,"C","Descarte"))))</f>
        <v>Descarte</v>
      </c>
    </row>
    <row r="900" ht="15.75" customHeight="1">
      <c r="A900" s="34">
        <f t="shared" si="1"/>
        <v>898</v>
      </c>
      <c r="B900" s="29" t="s">
        <v>2897</v>
      </c>
      <c r="C900" s="29" t="s">
        <v>597</v>
      </c>
      <c r="D900" s="29" t="s">
        <v>5282</v>
      </c>
      <c r="E900" s="29" t="s">
        <v>5283</v>
      </c>
      <c r="F900" s="30" t="s">
        <v>5284</v>
      </c>
      <c r="G900" s="30" t="s">
        <v>5285</v>
      </c>
      <c r="H900" s="30" t="s">
        <v>5286</v>
      </c>
      <c r="I900" s="29" t="s">
        <v>116</v>
      </c>
      <c r="J900" s="31">
        <v>50.0</v>
      </c>
      <c r="K900" s="35"/>
      <c r="L900" s="35"/>
      <c r="M900" s="35"/>
      <c r="N900" s="35"/>
      <c r="O900" s="35"/>
      <c r="P900" s="35"/>
      <c r="Q900" s="35"/>
      <c r="R900" s="35"/>
      <c r="S900" s="37">
        <f>IF(B900="","",IF(ISNUMBER(J900),IF(J900&lt;=10,'Configuración'!$B$23,IF(J900&lt;=50,'Configuración'!$B$24,IF(J900&lt;=200,'Configuración'!$B$25,0))),0))</f>
        <v>4</v>
      </c>
      <c r="T900" s="37">
        <f>IF(B900="","",IF(ISNUMBER(SEARCH("information technology",I900))+ISNUMBER(SEARCH("software",I900))+ISNUMBER(SEARCH("internet",I900))+ISNUMBER(SEARCH("computer",I900))+ISNUMBER(SEARCH("saas",I900))+ISNUMBER(SEARCH("fintech",I900))+ISNUMBER(SEARCH("information services",I900))+ISNUMBER(SEARCH("telecommunications",I900))&gt;0,'Configuración'!$B$27,'Configuración'!$B$28))</f>
        <v>4</v>
      </c>
      <c r="U900" s="25">
        <f>IF(B900="","",IF(ISNUMBER(SEARCH("CEO",C900))+ISNUMBER(SEARCH("Founder",C900))+ISNUMBER(SEARCH("Owner",C900))+ISNUMBER(SEARCH("Dueño",C900))+ISNUMBER(SEARCH("Director General",C900))+ISNUMBER(SEARCH("Presidente",C900))+ISNUMBER(SEARCH("President",C900))&gt;0,'Configuración'!$B$31,IF(ISNUMBER(SEARCH("CMO",C900))+ISNUMBER(SEARCH("Chief Marketing",C900))+ISNUMBER(SEARCH("VP Marketing",C900))+ISNUMBER(SEARCH("Director de Marketing",C900))+ISNUMBER(SEARCH("Director Marketing",C900))+ISNUMBER(SEARCH("Head of Marketing",C900))+ISNUMBER(SEARCH("Head Marketing",C900))&gt;0,'Configuración'!$B$32,IF(ISNUMBER(SEARCH("Marketing Manager",C900))+ISNUMBER(SEARCH("Gerente de Marketing",C900))+ISNUMBER(SEARCH("Growth Manager",C900))+ISNUMBER(SEARCH("Demand Gen",C900))+ISNUMBER(SEARCH("Marketing Lead",C900))&gt;0,'Configuración'!$B$33,IF(ISNUMBER(SEARCH("COO",C900))+ISNUMBER(SEARCH("CFO",C900))+ISNUMBER(SEARCH("CTO",C900))+ISNUMBER(SEARCH("Chief Operating",C900))+ISNUMBER(SEARCH("Chief Financial",C900))+ISNUMBER(SEARCH("Gerente General",C900))+ISNUMBER(SEARCH("General Manager",C900))&gt;0,'Configuración'!$B$34,'Configuración'!$B$35)))))</f>
        <v>12</v>
      </c>
      <c r="V900" s="38">
        <f>IF(B900="","",IF(K900="Sí",'Configuración'!$B$5,0)+IF(L900="Semanal",'Configuración'!$B$6,IF(L900="Mensual",'Configuración'!$B$7,0))+IF(M900="Sí",'Configuración'!$B$8,0)+IF(N900="Sí",'Configuración'!$B$9,0)+IF(O900="Sí",'Configuración'!$B$10,0)+IF(P900="Sí",'Configuración'!$B$11,0)+IF(Q900="Sí",'Configuración'!$B$12,0)+S900+T900+U900)</f>
        <v>20</v>
      </c>
      <c r="W900" s="39" t="str">
        <f>IF(B900="","",IF(V900&gt;='Configuración'!$B$19,"A",IF(V900&gt;='Configuración'!$B$20,"B",IF(V900&gt;='Configuración'!$B$21,"C","Descarte"))))</f>
        <v>Descarte</v>
      </c>
    </row>
    <row r="901" ht="15.75" customHeight="1">
      <c r="A901" s="34">
        <f t="shared" si="1"/>
        <v>899</v>
      </c>
      <c r="B901" s="29" t="s">
        <v>813</v>
      </c>
      <c r="C901" s="29" t="s">
        <v>1847</v>
      </c>
      <c r="D901" s="29" t="s">
        <v>5287</v>
      </c>
      <c r="E901" s="29" t="s">
        <v>5288</v>
      </c>
      <c r="F901" s="30" t="s">
        <v>5289</v>
      </c>
      <c r="G901" s="30" t="s">
        <v>5290</v>
      </c>
      <c r="H901" s="30" t="s">
        <v>5291</v>
      </c>
      <c r="I901" s="29" t="s">
        <v>127</v>
      </c>
      <c r="J901" s="31">
        <v>38.0</v>
      </c>
      <c r="K901" s="35"/>
      <c r="L901" s="35"/>
      <c r="M901" s="35"/>
      <c r="N901" s="35"/>
      <c r="O901" s="35"/>
      <c r="P901" s="35"/>
      <c r="Q901" s="35"/>
      <c r="R901" s="35"/>
      <c r="S901" s="37">
        <f>IF(B901="","",IF(ISNUMBER(J901),IF(J901&lt;=10,'Configuración'!$B$23,IF(J901&lt;=50,'Configuración'!$B$24,IF(J901&lt;=200,'Configuración'!$B$25,0))),0))</f>
        <v>4</v>
      </c>
      <c r="T901" s="37">
        <f>IF(B901="","",IF(ISNUMBER(SEARCH("information technology",I901))+ISNUMBER(SEARCH("software",I901))+ISNUMBER(SEARCH("internet",I901))+ISNUMBER(SEARCH("computer",I901))+ISNUMBER(SEARCH("saas",I901))+ISNUMBER(SEARCH("fintech",I901))+ISNUMBER(SEARCH("information services",I901))+ISNUMBER(SEARCH("telecommunications",I901))&gt;0,'Configuración'!$B$27,'Configuración'!$B$28))</f>
        <v>12</v>
      </c>
      <c r="U901" s="25">
        <f>IF(B901="","",IF(ISNUMBER(SEARCH("CEO",C901))+ISNUMBER(SEARCH("Founder",C901))+ISNUMBER(SEARCH("Owner",C901))+ISNUMBER(SEARCH("Dueño",C901))+ISNUMBER(SEARCH("Director General",C901))+ISNUMBER(SEARCH("Presidente",C901))+ISNUMBER(SEARCH("President",C901))&gt;0,'Configuración'!$B$31,IF(ISNUMBER(SEARCH("CMO",C901))+ISNUMBER(SEARCH("Chief Marketing",C901))+ISNUMBER(SEARCH("VP Marketing",C901))+ISNUMBER(SEARCH("Director de Marketing",C901))+ISNUMBER(SEARCH("Director Marketing",C901))+ISNUMBER(SEARCH("Head of Marketing",C901))+ISNUMBER(SEARCH("Head Marketing",C901))&gt;0,'Configuración'!$B$32,IF(ISNUMBER(SEARCH("Marketing Manager",C901))+ISNUMBER(SEARCH("Gerente de Marketing",C901))+ISNUMBER(SEARCH("Growth Manager",C901))+ISNUMBER(SEARCH("Demand Gen",C901))+ISNUMBER(SEARCH("Marketing Lead",C901))&gt;0,'Configuración'!$B$33,IF(ISNUMBER(SEARCH("COO",C901))+ISNUMBER(SEARCH("CFO",C901))+ISNUMBER(SEARCH("CTO",C901))+ISNUMBER(SEARCH("Chief Operating",C901))+ISNUMBER(SEARCH("Chief Financial",C901))+ISNUMBER(SEARCH("Gerente General",C901))+ISNUMBER(SEARCH("General Manager",C901))&gt;0,'Configuración'!$B$34,'Configuración'!$B$35)))))</f>
        <v>12</v>
      </c>
      <c r="V901" s="38">
        <f>IF(B901="","",IF(K901="Sí",'Configuración'!$B$5,0)+IF(L901="Semanal",'Configuración'!$B$6,IF(L901="Mensual",'Configuración'!$B$7,0))+IF(M901="Sí",'Configuración'!$B$8,0)+IF(N901="Sí",'Configuración'!$B$9,0)+IF(O901="Sí",'Configuración'!$B$10,0)+IF(P901="Sí",'Configuración'!$B$11,0)+IF(Q901="Sí",'Configuración'!$B$12,0)+S901+T901+U901)</f>
        <v>28</v>
      </c>
      <c r="W901" s="39" t="str">
        <f>IF(B901="","",IF(V901&gt;='Configuración'!$B$19,"A",IF(V901&gt;='Configuración'!$B$20,"B",IF(V901&gt;='Configuración'!$B$21,"C","Descarte"))))</f>
        <v>C</v>
      </c>
    </row>
    <row r="902" ht="15.75" customHeight="1">
      <c r="A902" s="34">
        <f t="shared" si="1"/>
        <v>900</v>
      </c>
      <c r="B902" s="29" t="s">
        <v>5292</v>
      </c>
      <c r="C902" s="29" t="s">
        <v>5293</v>
      </c>
      <c r="D902" s="29" t="s">
        <v>5294</v>
      </c>
      <c r="E902" s="29" t="s">
        <v>5295</v>
      </c>
      <c r="F902" s="30" t="s">
        <v>5296</v>
      </c>
      <c r="G902" s="30" t="s">
        <v>5297</v>
      </c>
      <c r="H902" s="30" t="s">
        <v>5298</v>
      </c>
      <c r="I902" s="29" t="s">
        <v>127</v>
      </c>
      <c r="J902" s="31">
        <v>15.0</v>
      </c>
      <c r="K902" s="35"/>
      <c r="L902" s="35"/>
      <c r="M902" s="35"/>
      <c r="N902" s="35"/>
      <c r="O902" s="35"/>
      <c r="P902" s="35"/>
      <c r="Q902" s="35"/>
      <c r="R902" s="35"/>
      <c r="S902" s="37">
        <f>IF(B902="","",IF(ISNUMBER(J902),IF(J902&lt;=10,'Configuración'!$B$23,IF(J902&lt;=50,'Configuración'!$B$24,IF(J902&lt;=200,'Configuración'!$B$25,0))),0))</f>
        <v>4</v>
      </c>
      <c r="T902" s="37">
        <f>IF(B902="","",IF(ISNUMBER(SEARCH("information technology",I902))+ISNUMBER(SEARCH("software",I902))+ISNUMBER(SEARCH("internet",I902))+ISNUMBER(SEARCH("computer",I902))+ISNUMBER(SEARCH("saas",I902))+ISNUMBER(SEARCH("fintech",I902))+ISNUMBER(SEARCH("information services",I902))+ISNUMBER(SEARCH("telecommunications",I902))&gt;0,'Configuración'!$B$27,'Configuración'!$B$28))</f>
        <v>12</v>
      </c>
      <c r="U902" s="25">
        <f>IF(B902="","",IF(ISNUMBER(SEARCH("CEO",C902))+ISNUMBER(SEARCH("Founder",C902))+ISNUMBER(SEARCH("Owner",C902))+ISNUMBER(SEARCH("Dueño",C902))+ISNUMBER(SEARCH("Director General",C902))+ISNUMBER(SEARCH("Presidente",C902))+ISNUMBER(SEARCH("President",C902))&gt;0,'Configuración'!$B$31,IF(ISNUMBER(SEARCH("CMO",C902))+ISNUMBER(SEARCH("Chief Marketing",C902))+ISNUMBER(SEARCH("VP Marketing",C902))+ISNUMBER(SEARCH("Director de Marketing",C902))+ISNUMBER(SEARCH("Director Marketing",C902))+ISNUMBER(SEARCH("Head of Marketing",C902))+ISNUMBER(SEARCH("Head Marketing",C902))&gt;0,'Configuración'!$B$32,IF(ISNUMBER(SEARCH("Marketing Manager",C902))+ISNUMBER(SEARCH("Gerente de Marketing",C902))+ISNUMBER(SEARCH("Growth Manager",C902))+ISNUMBER(SEARCH("Demand Gen",C902))+ISNUMBER(SEARCH("Marketing Lead",C902))&gt;0,'Configuración'!$B$33,IF(ISNUMBER(SEARCH("COO",C902))+ISNUMBER(SEARCH("CFO",C902))+ISNUMBER(SEARCH("CTO",C902))+ISNUMBER(SEARCH("Chief Operating",C902))+ISNUMBER(SEARCH("Chief Financial",C902))+ISNUMBER(SEARCH("Gerente General",C902))+ISNUMBER(SEARCH("General Manager",C902))&gt;0,'Configuración'!$B$34,'Configuración'!$B$35)))))</f>
        <v>4</v>
      </c>
      <c r="V902" s="38">
        <f>IF(B902="","",IF(K902="Sí",'Configuración'!$B$5,0)+IF(L902="Semanal",'Configuración'!$B$6,IF(L902="Mensual",'Configuración'!$B$7,0))+IF(M902="Sí",'Configuración'!$B$8,0)+IF(N902="Sí",'Configuración'!$B$9,0)+IF(O902="Sí",'Configuración'!$B$10,0)+IF(P902="Sí",'Configuración'!$B$11,0)+IF(Q902="Sí",'Configuración'!$B$12,0)+S902+T902+U902)</f>
        <v>20</v>
      </c>
      <c r="W902" s="39" t="str">
        <f>IF(B902="","",IF(V902&gt;='Configuración'!$B$19,"A",IF(V902&gt;='Configuración'!$B$20,"B",IF(V902&gt;='Configuración'!$B$21,"C","Descarte"))))</f>
        <v>Descarte</v>
      </c>
    </row>
    <row r="903" ht="15.75" customHeight="1">
      <c r="A903" s="34">
        <f t="shared" si="1"/>
        <v>901</v>
      </c>
      <c r="B903" s="29" t="s">
        <v>5299</v>
      </c>
      <c r="C903" s="29" t="s">
        <v>5300</v>
      </c>
      <c r="D903" s="29" t="s">
        <v>5301</v>
      </c>
      <c r="E903" s="29" t="s">
        <v>5302</v>
      </c>
      <c r="F903" s="30" t="s">
        <v>5303</v>
      </c>
      <c r="G903" s="30" t="s">
        <v>5304</v>
      </c>
      <c r="H903" s="30" t="s">
        <v>5305</v>
      </c>
      <c r="I903" s="29" t="s">
        <v>127</v>
      </c>
      <c r="J903" s="31">
        <v>6.0</v>
      </c>
      <c r="K903" s="35"/>
      <c r="L903" s="35"/>
      <c r="M903" s="35"/>
      <c r="N903" s="35"/>
      <c r="O903" s="35"/>
      <c r="P903" s="35"/>
      <c r="Q903" s="35"/>
      <c r="R903" s="35"/>
      <c r="S903" s="37">
        <f>IF(B903="","",IF(ISNUMBER(J903),IF(J903&lt;=10,'Configuración'!$B$23,IF(J903&lt;=50,'Configuración'!$B$24,IF(J903&lt;=200,'Configuración'!$B$25,0))),0))</f>
        <v>12</v>
      </c>
      <c r="T903" s="37">
        <f>IF(B903="","",IF(ISNUMBER(SEARCH("information technology",I903))+ISNUMBER(SEARCH("software",I903))+ISNUMBER(SEARCH("internet",I903))+ISNUMBER(SEARCH("computer",I903))+ISNUMBER(SEARCH("saas",I903))+ISNUMBER(SEARCH("fintech",I903))+ISNUMBER(SEARCH("information services",I903))+ISNUMBER(SEARCH("telecommunications",I903))&gt;0,'Configuración'!$B$27,'Configuración'!$B$28))</f>
        <v>12</v>
      </c>
      <c r="U903" s="25">
        <f>IF(B903="","",IF(ISNUMBER(SEARCH("CEO",C903))+ISNUMBER(SEARCH("Founder",C903))+ISNUMBER(SEARCH("Owner",C903))+ISNUMBER(SEARCH("Dueño",C903))+ISNUMBER(SEARCH("Director General",C903))+ISNUMBER(SEARCH("Presidente",C903))+ISNUMBER(SEARCH("President",C903))&gt;0,'Configuración'!$B$31,IF(ISNUMBER(SEARCH("CMO",C903))+ISNUMBER(SEARCH("Chief Marketing",C903))+ISNUMBER(SEARCH("VP Marketing",C903))+ISNUMBER(SEARCH("Director de Marketing",C903))+ISNUMBER(SEARCH("Director Marketing",C903))+ISNUMBER(SEARCH("Head of Marketing",C903))+ISNUMBER(SEARCH("Head Marketing",C903))&gt;0,'Configuración'!$B$32,IF(ISNUMBER(SEARCH("Marketing Manager",C903))+ISNUMBER(SEARCH("Gerente de Marketing",C903))+ISNUMBER(SEARCH("Growth Manager",C903))+ISNUMBER(SEARCH("Demand Gen",C903))+ISNUMBER(SEARCH("Marketing Lead",C903))&gt;0,'Configuración'!$B$33,IF(ISNUMBER(SEARCH("COO",C903))+ISNUMBER(SEARCH("CFO",C903))+ISNUMBER(SEARCH("CTO",C903))+ISNUMBER(SEARCH("Chief Operating",C903))+ISNUMBER(SEARCH("Chief Financial",C903))+ISNUMBER(SEARCH("Gerente General",C903))+ISNUMBER(SEARCH("General Manager",C903))&gt;0,'Configuración'!$B$34,'Configuración'!$B$35)))))</f>
        <v>12</v>
      </c>
      <c r="V903" s="38">
        <f>IF(B903="","",IF(K903="Sí",'Configuración'!$B$5,0)+IF(L903="Semanal",'Configuración'!$B$6,IF(L903="Mensual",'Configuración'!$B$7,0))+IF(M903="Sí",'Configuración'!$B$8,0)+IF(N903="Sí",'Configuración'!$B$9,0)+IF(O903="Sí",'Configuración'!$B$10,0)+IF(P903="Sí",'Configuración'!$B$11,0)+IF(Q903="Sí",'Configuración'!$B$12,0)+S903+T903+U903)</f>
        <v>36</v>
      </c>
      <c r="W903" s="39" t="str">
        <f>IF(B903="","",IF(V903&gt;='Configuración'!$B$19,"A",IF(V903&gt;='Configuración'!$B$20,"B",IF(V903&gt;='Configuración'!$B$21,"C","Descarte"))))</f>
        <v>C</v>
      </c>
    </row>
    <row r="904" ht="15.75" customHeight="1">
      <c r="A904" s="34">
        <f t="shared" si="1"/>
        <v>902</v>
      </c>
      <c r="B904" s="29" t="s">
        <v>1028</v>
      </c>
      <c r="C904" s="29" t="s">
        <v>318</v>
      </c>
      <c r="D904" s="29" t="s">
        <v>3069</v>
      </c>
      <c r="E904" s="29" t="s">
        <v>5306</v>
      </c>
      <c r="F904" s="30" t="s">
        <v>5307</v>
      </c>
      <c r="G904" s="30" t="s">
        <v>3072</v>
      </c>
      <c r="H904" s="30" t="s">
        <v>3073</v>
      </c>
      <c r="I904" s="29" t="s">
        <v>116</v>
      </c>
      <c r="J904" s="31">
        <v>47.0</v>
      </c>
      <c r="K904" s="35"/>
      <c r="L904" s="35"/>
      <c r="M904" s="35"/>
      <c r="N904" s="35"/>
      <c r="O904" s="35"/>
      <c r="P904" s="35"/>
      <c r="Q904" s="35"/>
      <c r="R904" s="35"/>
      <c r="S904" s="37">
        <f>IF(B904="","",IF(ISNUMBER(J904),IF(J904&lt;=10,'Configuración'!$B$23,IF(J904&lt;=50,'Configuración'!$B$24,IF(J904&lt;=200,'Configuración'!$B$25,0))),0))</f>
        <v>4</v>
      </c>
      <c r="T904" s="37">
        <f>IF(B904="","",IF(ISNUMBER(SEARCH("information technology",I904))+ISNUMBER(SEARCH("software",I904))+ISNUMBER(SEARCH("internet",I904))+ISNUMBER(SEARCH("computer",I904))+ISNUMBER(SEARCH("saas",I904))+ISNUMBER(SEARCH("fintech",I904))+ISNUMBER(SEARCH("information services",I904))+ISNUMBER(SEARCH("telecommunications",I904))&gt;0,'Configuración'!$B$27,'Configuración'!$B$28))</f>
        <v>4</v>
      </c>
      <c r="U904" s="25">
        <f>IF(B904="","",IF(ISNUMBER(SEARCH("CEO",C904))+ISNUMBER(SEARCH("Founder",C904))+ISNUMBER(SEARCH("Owner",C904))+ISNUMBER(SEARCH("Dueño",C904))+ISNUMBER(SEARCH("Director General",C904))+ISNUMBER(SEARCH("Presidente",C904))+ISNUMBER(SEARCH("President",C904))&gt;0,'Configuración'!$B$31,IF(ISNUMBER(SEARCH("CMO",C904))+ISNUMBER(SEARCH("Chief Marketing",C904))+ISNUMBER(SEARCH("VP Marketing",C904))+ISNUMBER(SEARCH("Director de Marketing",C904))+ISNUMBER(SEARCH("Director Marketing",C904))+ISNUMBER(SEARCH("Head of Marketing",C904))+ISNUMBER(SEARCH("Head Marketing",C904))&gt;0,'Configuración'!$B$32,IF(ISNUMBER(SEARCH("Marketing Manager",C904))+ISNUMBER(SEARCH("Gerente de Marketing",C904))+ISNUMBER(SEARCH("Growth Manager",C904))+ISNUMBER(SEARCH("Demand Gen",C904))+ISNUMBER(SEARCH("Marketing Lead",C904))&gt;0,'Configuración'!$B$33,IF(ISNUMBER(SEARCH("COO",C904))+ISNUMBER(SEARCH("CFO",C904))+ISNUMBER(SEARCH("CTO",C904))+ISNUMBER(SEARCH("Chief Operating",C904))+ISNUMBER(SEARCH("Chief Financial",C904))+ISNUMBER(SEARCH("Gerente General",C904))+ISNUMBER(SEARCH("General Manager",C904))&gt;0,'Configuración'!$B$34,'Configuración'!$B$35)))))</f>
        <v>4</v>
      </c>
      <c r="V904" s="38">
        <f>IF(B904="","",IF(K904="Sí",'Configuración'!$B$5,0)+IF(L904="Semanal",'Configuración'!$B$6,IF(L904="Mensual",'Configuración'!$B$7,0))+IF(M904="Sí",'Configuración'!$B$8,0)+IF(N904="Sí",'Configuración'!$B$9,0)+IF(O904="Sí",'Configuración'!$B$10,0)+IF(P904="Sí",'Configuración'!$B$11,0)+IF(Q904="Sí",'Configuración'!$B$12,0)+S904+T904+U904)</f>
        <v>12</v>
      </c>
      <c r="W904" s="39" t="str">
        <f>IF(B904="","",IF(V904&gt;='Configuración'!$B$19,"A",IF(V904&gt;='Configuración'!$B$20,"B",IF(V904&gt;='Configuración'!$B$21,"C","Descarte"))))</f>
        <v>Descarte</v>
      </c>
    </row>
    <row r="905" ht="15.75" customHeight="1">
      <c r="A905" s="34">
        <f t="shared" si="1"/>
        <v>903</v>
      </c>
      <c r="B905" s="29" t="s">
        <v>324</v>
      </c>
      <c r="C905" s="29" t="s">
        <v>297</v>
      </c>
      <c r="D905" s="29" t="s">
        <v>5308</v>
      </c>
      <c r="E905" s="29" t="s">
        <v>5309</v>
      </c>
      <c r="F905" s="30" t="s">
        <v>5310</v>
      </c>
      <c r="G905" s="30" t="s">
        <v>5311</v>
      </c>
      <c r="H905" s="30" t="s">
        <v>5312</v>
      </c>
      <c r="I905" s="29" t="s">
        <v>188</v>
      </c>
      <c r="J905" s="31">
        <v>12.0</v>
      </c>
      <c r="K905" s="35"/>
      <c r="L905" s="35"/>
      <c r="M905" s="35"/>
      <c r="N905" s="35"/>
      <c r="O905" s="35"/>
      <c r="P905" s="35"/>
      <c r="Q905" s="35"/>
      <c r="R905" s="35"/>
      <c r="S905" s="37">
        <f>IF(B905="","",IF(ISNUMBER(J905),IF(J905&lt;=10,'Configuración'!$B$23,IF(J905&lt;=50,'Configuración'!$B$24,IF(J905&lt;=200,'Configuración'!$B$25,0))),0))</f>
        <v>4</v>
      </c>
      <c r="T905" s="37">
        <f>IF(B905="","",IF(ISNUMBER(SEARCH("information technology",I905))+ISNUMBER(SEARCH("software",I905))+ISNUMBER(SEARCH("internet",I905))+ISNUMBER(SEARCH("computer",I905))+ISNUMBER(SEARCH("saas",I905))+ISNUMBER(SEARCH("fintech",I905))+ISNUMBER(SEARCH("information services",I905))+ISNUMBER(SEARCH("telecommunications",I905))&gt;0,'Configuración'!$B$27,'Configuración'!$B$28))</f>
        <v>4</v>
      </c>
      <c r="U905" s="25">
        <f>IF(B905="","",IF(ISNUMBER(SEARCH("CEO",C905))+ISNUMBER(SEARCH("Founder",C905))+ISNUMBER(SEARCH("Owner",C905))+ISNUMBER(SEARCH("Dueño",C905))+ISNUMBER(SEARCH("Director General",C905))+ISNUMBER(SEARCH("Presidente",C905))+ISNUMBER(SEARCH("President",C905))&gt;0,'Configuración'!$B$31,IF(ISNUMBER(SEARCH("CMO",C905))+ISNUMBER(SEARCH("Chief Marketing",C905))+ISNUMBER(SEARCH("VP Marketing",C905))+ISNUMBER(SEARCH("Director de Marketing",C905))+ISNUMBER(SEARCH("Director Marketing",C905))+ISNUMBER(SEARCH("Head of Marketing",C905))+ISNUMBER(SEARCH("Head Marketing",C905))&gt;0,'Configuración'!$B$32,IF(ISNUMBER(SEARCH("Marketing Manager",C905))+ISNUMBER(SEARCH("Gerente de Marketing",C905))+ISNUMBER(SEARCH("Growth Manager",C905))+ISNUMBER(SEARCH("Demand Gen",C905))+ISNUMBER(SEARCH("Marketing Lead",C905))&gt;0,'Configuración'!$B$33,IF(ISNUMBER(SEARCH("COO",C905))+ISNUMBER(SEARCH("CFO",C905))+ISNUMBER(SEARCH("CTO",C905))+ISNUMBER(SEARCH("Chief Operating",C905))+ISNUMBER(SEARCH("Chief Financial",C905))+ISNUMBER(SEARCH("Gerente General",C905))+ISNUMBER(SEARCH("General Manager",C905))&gt;0,'Configuración'!$B$34,'Configuración'!$B$35)))))</f>
        <v>0</v>
      </c>
      <c r="V905" s="38">
        <f>IF(B905="","",IF(K905="Sí",'Configuración'!$B$5,0)+IF(L905="Semanal",'Configuración'!$B$6,IF(L905="Mensual",'Configuración'!$B$7,0))+IF(M905="Sí",'Configuración'!$B$8,0)+IF(N905="Sí",'Configuración'!$B$9,0)+IF(O905="Sí",'Configuración'!$B$10,0)+IF(P905="Sí",'Configuración'!$B$11,0)+IF(Q905="Sí",'Configuración'!$B$12,0)+S905+T905+U905)</f>
        <v>8</v>
      </c>
      <c r="W905" s="39" t="str">
        <f>IF(B905="","",IF(V905&gt;='Configuración'!$B$19,"A",IF(V905&gt;='Configuración'!$B$20,"B",IF(V905&gt;='Configuración'!$B$21,"C","Descarte"))))</f>
        <v>Descarte</v>
      </c>
    </row>
    <row r="906" ht="15.75" customHeight="1">
      <c r="A906" s="34">
        <f t="shared" si="1"/>
        <v>904</v>
      </c>
      <c r="B906" s="29" t="s">
        <v>4122</v>
      </c>
      <c r="C906" s="29" t="s">
        <v>5313</v>
      </c>
      <c r="D906" s="29" t="s">
        <v>5314</v>
      </c>
      <c r="E906" s="29" t="s">
        <v>5315</v>
      </c>
      <c r="F906" s="30" t="s">
        <v>5316</v>
      </c>
      <c r="G906" s="30" t="s">
        <v>5317</v>
      </c>
      <c r="H906" s="30" t="s">
        <v>5318</v>
      </c>
      <c r="I906" s="29" t="s">
        <v>127</v>
      </c>
      <c r="J906" s="31">
        <v>28.0</v>
      </c>
      <c r="K906" s="35"/>
      <c r="L906" s="35"/>
      <c r="M906" s="35"/>
      <c r="N906" s="35"/>
      <c r="O906" s="35"/>
      <c r="P906" s="35"/>
      <c r="Q906" s="35"/>
      <c r="R906" s="35"/>
      <c r="S906" s="37">
        <f>IF(B906="","",IF(ISNUMBER(J906),IF(J906&lt;=10,'Configuración'!$B$23,IF(J906&lt;=50,'Configuración'!$B$24,IF(J906&lt;=200,'Configuración'!$B$25,0))),0))</f>
        <v>4</v>
      </c>
      <c r="T906" s="37">
        <f>IF(B906="","",IF(ISNUMBER(SEARCH("information technology",I906))+ISNUMBER(SEARCH("software",I906))+ISNUMBER(SEARCH("internet",I906))+ISNUMBER(SEARCH("computer",I906))+ISNUMBER(SEARCH("saas",I906))+ISNUMBER(SEARCH("fintech",I906))+ISNUMBER(SEARCH("information services",I906))+ISNUMBER(SEARCH("telecommunications",I906))&gt;0,'Configuración'!$B$27,'Configuración'!$B$28))</f>
        <v>12</v>
      </c>
      <c r="U906" s="25">
        <f>IF(B906="","",IF(ISNUMBER(SEARCH("CEO",C906))+ISNUMBER(SEARCH("Founder",C906))+ISNUMBER(SEARCH("Owner",C906))+ISNUMBER(SEARCH("Dueño",C906))+ISNUMBER(SEARCH("Director General",C906))+ISNUMBER(SEARCH("Presidente",C906))+ISNUMBER(SEARCH("President",C906))&gt;0,'Configuración'!$B$31,IF(ISNUMBER(SEARCH("CMO",C906))+ISNUMBER(SEARCH("Chief Marketing",C906))+ISNUMBER(SEARCH("VP Marketing",C906))+ISNUMBER(SEARCH("Director de Marketing",C906))+ISNUMBER(SEARCH("Director Marketing",C906))+ISNUMBER(SEARCH("Head of Marketing",C906))+ISNUMBER(SEARCH("Head Marketing",C906))&gt;0,'Configuración'!$B$32,IF(ISNUMBER(SEARCH("Marketing Manager",C906))+ISNUMBER(SEARCH("Gerente de Marketing",C906))+ISNUMBER(SEARCH("Growth Manager",C906))+ISNUMBER(SEARCH("Demand Gen",C906))+ISNUMBER(SEARCH("Marketing Lead",C906))&gt;0,'Configuración'!$B$33,IF(ISNUMBER(SEARCH("COO",C906))+ISNUMBER(SEARCH("CFO",C906))+ISNUMBER(SEARCH("CTO",C906))+ISNUMBER(SEARCH("Chief Operating",C906))+ISNUMBER(SEARCH("Chief Financial",C906))+ISNUMBER(SEARCH("Gerente General",C906))+ISNUMBER(SEARCH("General Manager",C906))&gt;0,'Configuración'!$B$34,'Configuración'!$B$35)))))</f>
        <v>4</v>
      </c>
      <c r="V906" s="38">
        <f>IF(B906="","",IF(K906="Sí",'Configuración'!$B$5,0)+IF(L906="Semanal",'Configuración'!$B$6,IF(L906="Mensual",'Configuración'!$B$7,0))+IF(M906="Sí",'Configuración'!$B$8,0)+IF(N906="Sí",'Configuración'!$B$9,0)+IF(O906="Sí",'Configuración'!$B$10,0)+IF(P906="Sí",'Configuración'!$B$11,0)+IF(Q906="Sí",'Configuración'!$B$12,0)+S906+T906+U906)</f>
        <v>20</v>
      </c>
      <c r="W906" s="39" t="str">
        <f>IF(B906="","",IF(V906&gt;='Configuración'!$B$19,"A",IF(V906&gt;='Configuración'!$B$20,"B",IF(V906&gt;='Configuración'!$B$21,"C","Descarte"))))</f>
        <v>Descarte</v>
      </c>
    </row>
    <row r="907" ht="15.75" customHeight="1">
      <c r="A907" s="34">
        <f t="shared" si="1"/>
        <v>905</v>
      </c>
      <c r="B907" s="29" t="s">
        <v>5319</v>
      </c>
      <c r="C907" s="29" t="s">
        <v>202</v>
      </c>
      <c r="D907" s="29" t="s">
        <v>5320</v>
      </c>
      <c r="E907" s="29" t="s">
        <v>5321</v>
      </c>
      <c r="F907" s="30" t="s">
        <v>5322</v>
      </c>
      <c r="G907" s="30" t="s">
        <v>5323</v>
      </c>
      <c r="H907" s="30" t="s">
        <v>5324</v>
      </c>
      <c r="I907" s="29" t="s">
        <v>932</v>
      </c>
      <c r="J907" s="31">
        <v>5.0</v>
      </c>
      <c r="K907" s="35"/>
      <c r="L907" s="35"/>
      <c r="M907" s="35"/>
      <c r="N907" s="35"/>
      <c r="O907" s="35"/>
      <c r="P907" s="35"/>
      <c r="Q907" s="35"/>
      <c r="R907" s="35"/>
      <c r="S907" s="37">
        <f>IF(B907="","",IF(ISNUMBER(J907),IF(J907&lt;=10,'Configuración'!$B$23,IF(J907&lt;=50,'Configuración'!$B$24,IF(J907&lt;=200,'Configuración'!$B$25,0))),0))</f>
        <v>12</v>
      </c>
      <c r="T907" s="37">
        <f>IF(B907="","",IF(ISNUMBER(SEARCH("information technology",I907))+ISNUMBER(SEARCH("software",I907))+ISNUMBER(SEARCH("internet",I907))+ISNUMBER(SEARCH("computer",I907))+ISNUMBER(SEARCH("saas",I907))+ISNUMBER(SEARCH("fintech",I907))+ISNUMBER(SEARCH("information services",I907))+ISNUMBER(SEARCH("telecommunications",I907))&gt;0,'Configuración'!$B$27,'Configuración'!$B$28))</f>
        <v>4</v>
      </c>
      <c r="U907" s="25">
        <f>IF(B907="","",IF(ISNUMBER(SEARCH("CEO",C907))+ISNUMBER(SEARCH("Founder",C907))+ISNUMBER(SEARCH("Owner",C907))+ISNUMBER(SEARCH("Dueño",C907))+ISNUMBER(SEARCH("Director General",C907))+ISNUMBER(SEARCH("Presidente",C907))+ISNUMBER(SEARCH("President",C907))&gt;0,'Configuración'!$B$31,IF(ISNUMBER(SEARCH("CMO",C907))+ISNUMBER(SEARCH("Chief Marketing",C907))+ISNUMBER(SEARCH("VP Marketing",C907))+ISNUMBER(SEARCH("Director de Marketing",C907))+ISNUMBER(SEARCH("Director Marketing",C907))+ISNUMBER(SEARCH("Head of Marketing",C907))+ISNUMBER(SEARCH("Head Marketing",C907))&gt;0,'Configuración'!$B$32,IF(ISNUMBER(SEARCH("Marketing Manager",C907))+ISNUMBER(SEARCH("Gerente de Marketing",C907))+ISNUMBER(SEARCH("Growth Manager",C907))+ISNUMBER(SEARCH("Demand Gen",C907))+ISNUMBER(SEARCH("Marketing Lead",C907))&gt;0,'Configuración'!$B$33,IF(ISNUMBER(SEARCH("COO",C907))+ISNUMBER(SEARCH("CFO",C907))+ISNUMBER(SEARCH("CTO",C907))+ISNUMBER(SEARCH("Chief Operating",C907))+ISNUMBER(SEARCH("Chief Financial",C907))+ISNUMBER(SEARCH("Gerente General",C907))+ISNUMBER(SEARCH("General Manager",C907))&gt;0,'Configuración'!$B$34,'Configuración'!$B$35)))))</f>
        <v>12</v>
      </c>
      <c r="V907" s="38">
        <f>IF(B907="","",IF(K907="Sí",'Configuración'!$B$5,0)+IF(L907="Semanal",'Configuración'!$B$6,IF(L907="Mensual",'Configuración'!$B$7,0))+IF(M907="Sí",'Configuración'!$B$8,0)+IF(N907="Sí",'Configuración'!$B$9,0)+IF(O907="Sí",'Configuración'!$B$10,0)+IF(P907="Sí",'Configuración'!$B$11,0)+IF(Q907="Sí",'Configuración'!$B$12,0)+S907+T907+U907)</f>
        <v>28</v>
      </c>
      <c r="W907" s="39" t="str">
        <f>IF(B907="","",IF(V907&gt;='Configuración'!$B$19,"A",IF(V907&gt;='Configuración'!$B$20,"B",IF(V907&gt;='Configuración'!$B$21,"C","Descarte"))))</f>
        <v>C</v>
      </c>
    </row>
    <row r="908" ht="15.75" customHeight="1">
      <c r="A908" s="34">
        <f t="shared" si="1"/>
        <v>906</v>
      </c>
      <c r="B908" s="29" t="s">
        <v>3399</v>
      </c>
      <c r="C908" s="29" t="s">
        <v>131</v>
      </c>
      <c r="D908" s="29" t="s">
        <v>5325</v>
      </c>
      <c r="E908" s="29" t="s">
        <v>5326</v>
      </c>
      <c r="F908" s="30" t="s">
        <v>5327</v>
      </c>
      <c r="G908" s="30" t="s">
        <v>5328</v>
      </c>
      <c r="H908" s="30" t="s">
        <v>5329</v>
      </c>
      <c r="I908" s="29" t="s">
        <v>1950</v>
      </c>
      <c r="J908" s="31">
        <v>7.0</v>
      </c>
      <c r="K908" s="35"/>
      <c r="L908" s="35"/>
      <c r="M908" s="35"/>
      <c r="N908" s="35"/>
      <c r="O908" s="35"/>
      <c r="P908" s="35"/>
      <c r="Q908" s="35"/>
      <c r="R908" s="35"/>
      <c r="S908" s="37">
        <f>IF(B908="","",IF(ISNUMBER(J908),IF(J908&lt;=10,'Configuración'!$B$23,IF(J908&lt;=50,'Configuración'!$B$24,IF(J908&lt;=200,'Configuración'!$B$25,0))),0))</f>
        <v>12</v>
      </c>
      <c r="T908" s="37">
        <f>IF(B908="","",IF(ISNUMBER(SEARCH("information technology",I908))+ISNUMBER(SEARCH("software",I908))+ISNUMBER(SEARCH("internet",I908))+ISNUMBER(SEARCH("computer",I908))+ISNUMBER(SEARCH("saas",I908))+ISNUMBER(SEARCH("fintech",I908))+ISNUMBER(SEARCH("information services",I908))+ISNUMBER(SEARCH("telecommunications",I908))&gt;0,'Configuración'!$B$27,'Configuración'!$B$28))</f>
        <v>4</v>
      </c>
      <c r="U908" s="25">
        <f>IF(B908="","",IF(ISNUMBER(SEARCH("CEO",C908))+ISNUMBER(SEARCH("Founder",C908))+ISNUMBER(SEARCH("Owner",C908))+ISNUMBER(SEARCH("Dueño",C908))+ISNUMBER(SEARCH("Director General",C908))+ISNUMBER(SEARCH("Presidente",C908))+ISNUMBER(SEARCH("President",C908))&gt;0,'Configuración'!$B$31,IF(ISNUMBER(SEARCH("CMO",C908))+ISNUMBER(SEARCH("Chief Marketing",C908))+ISNUMBER(SEARCH("VP Marketing",C908))+ISNUMBER(SEARCH("Director de Marketing",C908))+ISNUMBER(SEARCH("Director Marketing",C908))+ISNUMBER(SEARCH("Head of Marketing",C908))+ISNUMBER(SEARCH("Head Marketing",C908))&gt;0,'Configuración'!$B$32,IF(ISNUMBER(SEARCH("Marketing Manager",C908))+ISNUMBER(SEARCH("Gerente de Marketing",C908))+ISNUMBER(SEARCH("Growth Manager",C908))+ISNUMBER(SEARCH("Demand Gen",C908))+ISNUMBER(SEARCH("Marketing Lead",C908))&gt;0,'Configuración'!$B$33,IF(ISNUMBER(SEARCH("COO",C908))+ISNUMBER(SEARCH("CFO",C908))+ISNUMBER(SEARCH("CTO",C908))+ISNUMBER(SEARCH("Chief Operating",C908))+ISNUMBER(SEARCH("Chief Financial",C908))+ISNUMBER(SEARCH("Gerente General",C908))+ISNUMBER(SEARCH("General Manager",C908))&gt;0,'Configuración'!$B$34,'Configuración'!$B$35)))))</f>
        <v>12</v>
      </c>
      <c r="V908" s="38">
        <f>IF(B908="","",IF(K908="Sí",'Configuración'!$B$5,0)+IF(L908="Semanal",'Configuración'!$B$6,IF(L908="Mensual",'Configuración'!$B$7,0))+IF(M908="Sí",'Configuración'!$B$8,0)+IF(N908="Sí",'Configuración'!$B$9,0)+IF(O908="Sí",'Configuración'!$B$10,0)+IF(P908="Sí",'Configuración'!$B$11,0)+IF(Q908="Sí",'Configuración'!$B$12,0)+S908+T908+U908)</f>
        <v>28</v>
      </c>
      <c r="W908" s="39" t="str">
        <f>IF(B908="","",IF(V908&gt;='Configuración'!$B$19,"A",IF(V908&gt;='Configuración'!$B$20,"B",IF(V908&gt;='Configuración'!$B$21,"C","Descarte"))))</f>
        <v>C</v>
      </c>
    </row>
    <row r="909" ht="15.75" customHeight="1">
      <c r="A909" s="34">
        <f t="shared" si="1"/>
        <v>907</v>
      </c>
      <c r="B909" s="29" t="s">
        <v>813</v>
      </c>
      <c r="C909" s="29" t="s">
        <v>304</v>
      </c>
      <c r="D909" s="29" t="s">
        <v>5330</v>
      </c>
      <c r="E909" s="29" t="s">
        <v>5331</v>
      </c>
      <c r="F909" s="30" t="s">
        <v>5332</v>
      </c>
      <c r="G909" s="30" t="s">
        <v>5333</v>
      </c>
      <c r="H909" s="30" t="s">
        <v>5334</v>
      </c>
      <c r="I909" s="29" t="s">
        <v>380</v>
      </c>
      <c r="J909" s="31">
        <v>6.0</v>
      </c>
      <c r="K909" s="35"/>
      <c r="L909" s="35"/>
      <c r="M909" s="35"/>
      <c r="N909" s="35"/>
      <c r="O909" s="35"/>
      <c r="P909" s="35"/>
      <c r="Q909" s="35"/>
      <c r="R909" s="35"/>
      <c r="S909" s="37">
        <f>IF(B909="","",IF(ISNUMBER(J909),IF(J909&lt;=10,'Configuración'!$B$23,IF(J909&lt;=50,'Configuración'!$B$24,IF(J909&lt;=200,'Configuración'!$B$25,0))),0))</f>
        <v>12</v>
      </c>
      <c r="T909" s="37">
        <f>IF(B909="","",IF(ISNUMBER(SEARCH("information technology",I909))+ISNUMBER(SEARCH("software",I909))+ISNUMBER(SEARCH("internet",I909))+ISNUMBER(SEARCH("computer",I909))+ISNUMBER(SEARCH("saas",I909))+ISNUMBER(SEARCH("fintech",I909))+ISNUMBER(SEARCH("information services",I909))+ISNUMBER(SEARCH("telecommunications",I909))&gt;0,'Configuración'!$B$27,'Configuración'!$B$28))</f>
        <v>4</v>
      </c>
      <c r="U909" s="25">
        <f>IF(B909="","",IF(ISNUMBER(SEARCH("CEO",C909))+ISNUMBER(SEARCH("Founder",C909))+ISNUMBER(SEARCH("Owner",C909))+ISNUMBER(SEARCH("Dueño",C909))+ISNUMBER(SEARCH("Director General",C909))+ISNUMBER(SEARCH("Presidente",C909))+ISNUMBER(SEARCH("President",C909))&gt;0,'Configuración'!$B$31,IF(ISNUMBER(SEARCH("CMO",C909))+ISNUMBER(SEARCH("Chief Marketing",C909))+ISNUMBER(SEARCH("VP Marketing",C909))+ISNUMBER(SEARCH("Director de Marketing",C909))+ISNUMBER(SEARCH("Director Marketing",C909))+ISNUMBER(SEARCH("Head of Marketing",C909))+ISNUMBER(SEARCH("Head Marketing",C909))&gt;0,'Configuración'!$B$32,IF(ISNUMBER(SEARCH("Marketing Manager",C909))+ISNUMBER(SEARCH("Gerente de Marketing",C909))+ISNUMBER(SEARCH("Growth Manager",C909))+ISNUMBER(SEARCH("Demand Gen",C909))+ISNUMBER(SEARCH("Marketing Lead",C909))&gt;0,'Configuración'!$B$33,IF(ISNUMBER(SEARCH("COO",C909))+ISNUMBER(SEARCH("CFO",C909))+ISNUMBER(SEARCH("CTO",C909))+ISNUMBER(SEARCH("Chief Operating",C909))+ISNUMBER(SEARCH("Chief Financial",C909))+ISNUMBER(SEARCH("Gerente General",C909))+ISNUMBER(SEARCH("General Manager",C909))&gt;0,'Configuración'!$B$34,'Configuración'!$B$35)))))</f>
        <v>4</v>
      </c>
      <c r="V909" s="38">
        <f>IF(B909="","",IF(K909="Sí",'Configuración'!$B$5,0)+IF(L909="Semanal",'Configuración'!$B$6,IF(L909="Mensual",'Configuración'!$B$7,0))+IF(M909="Sí",'Configuración'!$B$8,0)+IF(N909="Sí",'Configuración'!$B$9,0)+IF(O909="Sí",'Configuración'!$B$10,0)+IF(P909="Sí",'Configuración'!$B$11,0)+IF(Q909="Sí",'Configuración'!$B$12,0)+S909+T909+U909)</f>
        <v>20</v>
      </c>
      <c r="W909" s="39" t="str">
        <f>IF(B909="","",IF(V909&gt;='Configuración'!$B$19,"A",IF(V909&gt;='Configuración'!$B$20,"B",IF(V909&gt;='Configuración'!$B$21,"C","Descarte"))))</f>
        <v>Descarte</v>
      </c>
    </row>
    <row r="910" ht="15.75" customHeight="1">
      <c r="A910" s="34">
        <f t="shared" si="1"/>
        <v>908</v>
      </c>
      <c r="B910" s="29" t="s">
        <v>4009</v>
      </c>
      <c r="C910" s="29" t="s">
        <v>131</v>
      </c>
      <c r="D910" s="29" t="s">
        <v>5335</v>
      </c>
      <c r="E910" s="29" t="s">
        <v>5336</v>
      </c>
      <c r="F910" s="30" t="s">
        <v>5337</v>
      </c>
      <c r="G910" s="30" t="s">
        <v>5338</v>
      </c>
      <c r="H910" s="30" t="s">
        <v>5339</v>
      </c>
      <c r="I910" s="29"/>
      <c r="J910" s="31">
        <v>4.0</v>
      </c>
      <c r="K910" s="35"/>
      <c r="L910" s="35"/>
      <c r="M910" s="35"/>
      <c r="N910" s="35"/>
      <c r="O910" s="35"/>
      <c r="P910" s="35"/>
      <c r="Q910" s="35"/>
      <c r="R910" s="35"/>
      <c r="S910" s="37">
        <f>IF(B910="","",IF(ISNUMBER(J910),IF(J910&lt;=10,'Configuración'!$B$23,IF(J910&lt;=50,'Configuración'!$B$24,IF(J910&lt;=200,'Configuración'!$B$25,0))),0))</f>
        <v>12</v>
      </c>
      <c r="T910" s="37">
        <f>IF(B910="","",IF(ISNUMBER(SEARCH("information technology",I910))+ISNUMBER(SEARCH("software",I910))+ISNUMBER(SEARCH("internet",I910))+ISNUMBER(SEARCH("computer",I910))+ISNUMBER(SEARCH("saas",I910))+ISNUMBER(SEARCH("fintech",I910))+ISNUMBER(SEARCH("information services",I910))+ISNUMBER(SEARCH("telecommunications",I910))&gt;0,'Configuración'!$B$27,'Configuración'!$B$28))</f>
        <v>4</v>
      </c>
      <c r="U910" s="25">
        <f>IF(B910="","",IF(ISNUMBER(SEARCH("CEO",C910))+ISNUMBER(SEARCH("Founder",C910))+ISNUMBER(SEARCH("Owner",C910))+ISNUMBER(SEARCH("Dueño",C910))+ISNUMBER(SEARCH("Director General",C910))+ISNUMBER(SEARCH("Presidente",C910))+ISNUMBER(SEARCH("President",C910))&gt;0,'Configuración'!$B$31,IF(ISNUMBER(SEARCH("CMO",C910))+ISNUMBER(SEARCH("Chief Marketing",C910))+ISNUMBER(SEARCH("VP Marketing",C910))+ISNUMBER(SEARCH("Director de Marketing",C910))+ISNUMBER(SEARCH("Director Marketing",C910))+ISNUMBER(SEARCH("Head of Marketing",C910))+ISNUMBER(SEARCH("Head Marketing",C910))&gt;0,'Configuración'!$B$32,IF(ISNUMBER(SEARCH("Marketing Manager",C910))+ISNUMBER(SEARCH("Gerente de Marketing",C910))+ISNUMBER(SEARCH("Growth Manager",C910))+ISNUMBER(SEARCH("Demand Gen",C910))+ISNUMBER(SEARCH("Marketing Lead",C910))&gt;0,'Configuración'!$B$33,IF(ISNUMBER(SEARCH("COO",C910))+ISNUMBER(SEARCH("CFO",C910))+ISNUMBER(SEARCH("CTO",C910))+ISNUMBER(SEARCH("Chief Operating",C910))+ISNUMBER(SEARCH("Chief Financial",C910))+ISNUMBER(SEARCH("Gerente General",C910))+ISNUMBER(SEARCH("General Manager",C910))&gt;0,'Configuración'!$B$34,'Configuración'!$B$35)))))</f>
        <v>12</v>
      </c>
      <c r="V910" s="38">
        <f>IF(B910="","",IF(K910="Sí",'Configuración'!$B$5,0)+IF(L910="Semanal",'Configuración'!$B$6,IF(L910="Mensual",'Configuración'!$B$7,0))+IF(M910="Sí",'Configuración'!$B$8,0)+IF(N910="Sí",'Configuración'!$B$9,0)+IF(O910="Sí",'Configuración'!$B$10,0)+IF(P910="Sí",'Configuración'!$B$11,0)+IF(Q910="Sí",'Configuración'!$B$12,0)+S910+T910+U910)</f>
        <v>28</v>
      </c>
      <c r="W910" s="39" t="str">
        <f>IF(B910="","",IF(V910&gt;='Configuración'!$B$19,"A",IF(V910&gt;='Configuración'!$B$20,"B",IF(V910&gt;='Configuración'!$B$21,"C","Descarte"))))</f>
        <v>C</v>
      </c>
    </row>
    <row r="911" ht="15.75" customHeight="1">
      <c r="A911" s="34">
        <f t="shared" si="1"/>
        <v>909</v>
      </c>
      <c r="B911" s="29" t="s">
        <v>501</v>
      </c>
      <c r="C911" s="29" t="s">
        <v>5340</v>
      </c>
      <c r="D911" s="29" t="s">
        <v>5341</v>
      </c>
      <c r="E911" s="29" t="s">
        <v>5342</v>
      </c>
      <c r="F911" s="30" t="s">
        <v>5343</v>
      </c>
      <c r="G911" s="30" t="s">
        <v>5344</v>
      </c>
      <c r="H911" s="30" t="s">
        <v>5345</v>
      </c>
      <c r="I911" s="29" t="s">
        <v>127</v>
      </c>
      <c r="J911" s="31">
        <v>49.0</v>
      </c>
      <c r="K911" s="35"/>
      <c r="L911" s="35"/>
      <c r="M911" s="35"/>
      <c r="N911" s="35"/>
      <c r="O911" s="35"/>
      <c r="P911" s="35"/>
      <c r="Q911" s="35"/>
      <c r="R911" s="35"/>
      <c r="S911" s="37">
        <f>IF(B911="","",IF(ISNUMBER(J911),IF(J911&lt;=10,'Configuración'!$B$23,IF(J911&lt;=50,'Configuración'!$B$24,IF(J911&lt;=200,'Configuración'!$B$25,0))),0))</f>
        <v>4</v>
      </c>
      <c r="T911" s="37">
        <f>IF(B911="","",IF(ISNUMBER(SEARCH("information technology",I911))+ISNUMBER(SEARCH("software",I911))+ISNUMBER(SEARCH("internet",I911))+ISNUMBER(SEARCH("computer",I911))+ISNUMBER(SEARCH("saas",I911))+ISNUMBER(SEARCH("fintech",I911))+ISNUMBER(SEARCH("information services",I911))+ISNUMBER(SEARCH("telecommunications",I911))&gt;0,'Configuración'!$B$27,'Configuración'!$B$28))</f>
        <v>12</v>
      </c>
      <c r="U911" s="25">
        <f>IF(B911="","",IF(ISNUMBER(SEARCH("CEO",C911))+ISNUMBER(SEARCH("Founder",C911))+ISNUMBER(SEARCH("Owner",C911))+ISNUMBER(SEARCH("Dueño",C911))+ISNUMBER(SEARCH("Director General",C911))+ISNUMBER(SEARCH("Presidente",C911))+ISNUMBER(SEARCH("President",C911))&gt;0,'Configuración'!$B$31,IF(ISNUMBER(SEARCH("CMO",C911))+ISNUMBER(SEARCH("Chief Marketing",C911))+ISNUMBER(SEARCH("VP Marketing",C911))+ISNUMBER(SEARCH("Director de Marketing",C911))+ISNUMBER(SEARCH("Director Marketing",C911))+ISNUMBER(SEARCH("Head of Marketing",C911))+ISNUMBER(SEARCH("Head Marketing",C911))&gt;0,'Configuración'!$B$32,IF(ISNUMBER(SEARCH("Marketing Manager",C911))+ISNUMBER(SEARCH("Gerente de Marketing",C911))+ISNUMBER(SEARCH("Growth Manager",C911))+ISNUMBER(SEARCH("Demand Gen",C911))+ISNUMBER(SEARCH("Marketing Lead",C911))&gt;0,'Configuración'!$B$33,IF(ISNUMBER(SEARCH("COO",C911))+ISNUMBER(SEARCH("CFO",C911))+ISNUMBER(SEARCH("CTO",C911))+ISNUMBER(SEARCH("Chief Operating",C911))+ISNUMBER(SEARCH("Chief Financial",C911))+ISNUMBER(SEARCH("Gerente General",C911))+ISNUMBER(SEARCH("General Manager",C911))&gt;0,'Configuración'!$B$34,'Configuración'!$B$35)))))</f>
        <v>12</v>
      </c>
      <c r="V911" s="38">
        <f>IF(B911="","",IF(K911="Sí",'Configuración'!$B$5,0)+IF(L911="Semanal",'Configuración'!$B$6,IF(L911="Mensual",'Configuración'!$B$7,0))+IF(M911="Sí",'Configuración'!$B$8,0)+IF(N911="Sí",'Configuración'!$B$9,0)+IF(O911="Sí",'Configuración'!$B$10,0)+IF(P911="Sí",'Configuración'!$B$11,0)+IF(Q911="Sí",'Configuración'!$B$12,0)+S911+T911+U911)</f>
        <v>28</v>
      </c>
      <c r="W911" s="39" t="str">
        <f>IF(B911="","",IF(V911&gt;='Configuración'!$B$19,"A",IF(V911&gt;='Configuración'!$B$20,"B",IF(V911&gt;='Configuración'!$B$21,"C","Descarte"))))</f>
        <v>C</v>
      </c>
    </row>
    <row r="912" ht="15.75" customHeight="1">
      <c r="A912" s="34">
        <f t="shared" si="1"/>
        <v>910</v>
      </c>
      <c r="B912" s="29" t="s">
        <v>501</v>
      </c>
      <c r="C912" s="29" t="s">
        <v>5346</v>
      </c>
      <c r="D912" s="29" t="s">
        <v>3815</v>
      </c>
      <c r="E912" s="29" t="s">
        <v>5347</v>
      </c>
      <c r="F912" s="30" t="s">
        <v>5348</v>
      </c>
      <c r="G912" s="30" t="s">
        <v>3818</v>
      </c>
      <c r="H912" s="30" t="s">
        <v>3819</v>
      </c>
      <c r="I912" s="29" t="s">
        <v>3820</v>
      </c>
      <c r="J912" s="31">
        <v>21.0</v>
      </c>
      <c r="K912" s="35"/>
      <c r="L912" s="35"/>
      <c r="M912" s="35"/>
      <c r="N912" s="35"/>
      <c r="O912" s="35"/>
      <c r="P912" s="35"/>
      <c r="Q912" s="35"/>
      <c r="R912" s="35"/>
      <c r="S912" s="37">
        <f>IF(B912="","",IF(ISNUMBER(J912),IF(J912&lt;=10,'Configuración'!$B$23,IF(J912&lt;=50,'Configuración'!$B$24,IF(J912&lt;=200,'Configuración'!$B$25,0))),0))</f>
        <v>4</v>
      </c>
      <c r="T912" s="37">
        <f>IF(B912="","",IF(ISNUMBER(SEARCH("information technology",I912))+ISNUMBER(SEARCH("software",I912))+ISNUMBER(SEARCH("internet",I912))+ISNUMBER(SEARCH("computer",I912))+ISNUMBER(SEARCH("saas",I912))+ISNUMBER(SEARCH("fintech",I912))+ISNUMBER(SEARCH("information services",I912))+ISNUMBER(SEARCH("telecommunications",I912))&gt;0,'Configuración'!$B$27,'Configuración'!$B$28))</f>
        <v>4</v>
      </c>
      <c r="U912" s="25">
        <f>IF(B912="","",IF(ISNUMBER(SEARCH("CEO",C912))+ISNUMBER(SEARCH("Founder",C912))+ISNUMBER(SEARCH("Owner",C912))+ISNUMBER(SEARCH("Dueño",C912))+ISNUMBER(SEARCH("Director General",C912))+ISNUMBER(SEARCH("Presidente",C912))+ISNUMBER(SEARCH("President",C912))&gt;0,'Configuración'!$B$31,IF(ISNUMBER(SEARCH("CMO",C912))+ISNUMBER(SEARCH("Chief Marketing",C912))+ISNUMBER(SEARCH("VP Marketing",C912))+ISNUMBER(SEARCH("Director de Marketing",C912))+ISNUMBER(SEARCH("Director Marketing",C912))+ISNUMBER(SEARCH("Head of Marketing",C912))+ISNUMBER(SEARCH("Head Marketing",C912))&gt;0,'Configuración'!$B$32,IF(ISNUMBER(SEARCH("Marketing Manager",C912))+ISNUMBER(SEARCH("Gerente de Marketing",C912))+ISNUMBER(SEARCH("Growth Manager",C912))+ISNUMBER(SEARCH("Demand Gen",C912))+ISNUMBER(SEARCH("Marketing Lead",C912))&gt;0,'Configuración'!$B$33,IF(ISNUMBER(SEARCH("COO",C912))+ISNUMBER(SEARCH("CFO",C912))+ISNUMBER(SEARCH("CTO",C912))+ISNUMBER(SEARCH("Chief Operating",C912))+ISNUMBER(SEARCH("Chief Financial",C912))+ISNUMBER(SEARCH("Gerente General",C912))+ISNUMBER(SEARCH("General Manager",C912))&gt;0,'Configuración'!$B$34,'Configuración'!$B$35)))))</f>
        <v>12</v>
      </c>
      <c r="V912" s="38">
        <f>IF(B912="","",IF(K912="Sí",'Configuración'!$B$5,0)+IF(L912="Semanal",'Configuración'!$B$6,IF(L912="Mensual",'Configuración'!$B$7,0))+IF(M912="Sí",'Configuración'!$B$8,0)+IF(N912="Sí",'Configuración'!$B$9,0)+IF(O912="Sí",'Configuración'!$B$10,0)+IF(P912="Sí",'Configuración'!$B$11,0)+IF(Q912="Sí",'Configuración'!$B$12,0)+S912+T912+U912)</f>
        <v>20</v>
      </c>
      <c r="W912" s="39" t="str">
        <f>IF(B912="","",IF(V912&gt;='Configuración'!$B$19,"A",IF(V912&gt;='Configuración'!$B$20,"B",IF(V912&gt;='Configuración'!$B$21,"C","Descarte"))))</f>
        <v>Descarte</v>
      </c>
    </row>
    <row r="913" ht="15.75" customHeight="1">
      <c r="A913" s="34">
        <f t="shared" si="1"/>
        <v>911</v>
      </c>
      <c r="B913" s="29" t="s">
        <v>174</v>
      </c>
      <c r="C913" s="29" t="s">
        <v>202</v>
      </c>
      <c r="D913" s="29" t="s">
        <v>5349</v>
      </c>
      <c r="E913" s="29" t="s">
        <v>5350</v>
      </c>
      <c r="F913" s="30" t="s">
        <v>5351</v>
      </c>
      <c r="G913" s="30" t="s">
        <v>5352</v>
      </c>
      <c r="H913" s="30" t="s">
        <v>5353</v>
      </c>
      <c r="I913" s="29" t="s">
        <v>188</v>
      </c>
      <c r="J913" s="31">
        <v>6.0</v>
      </c>
      <c r="K913" s="35"/>
      <c r="L913" s="35"/>
      <c r="M913" s="35"/>
      <c r="N913" s="35"/>
      <c r="O913" s="35"/>
      <c r="P913" s="35"/>
      <c r="Q913" s="35"/>
      <c r="R913" s="35"/>
      <c r="S913" s="37">
        <f>IF(B913="","",IF(ISNUMBER(J913),IF(J913&lt;=10,'Configuración'!$B$23,IF(J913&lt;=50,'Configuración'!$B$24,IF(J913&lt;=200,'Configuración'!$B$25,0))),0))</f>
        <v>12</v>
      </c>
      <c r="T913" s="37">
        <f>IF(B913="","",IF(ISNUMBER(SEARCH("information technology",I913))+ISNUMBER(SEARCH("software",I913))+ISNUMBER(SEARCH("internet",I913))+ISNUMBER(SEARCH("computer",I913))+ISNUMBER(SEARCH("saas",I913))+ISNUMBER(SEARCH("fintech",I913))+ISNUMBER(SEARCH("information services",I913))+ISNUMBER(SEARCH("telecommunications",I913))&gt;0,'Configuración'!$B$27,'Configuración'!$B$28))</f>
        <v>4</v>
      </c>
      <c r="U913" s="25">
        <f>IF(B913="","",IF(ISNUMBER(SEARCH("CEO",C913))+ISNUMBER(SEARCH("Founder",C913))+ISNUMBER(SEARCH("Owner",C913))+ISNUMBER(SEARCH("Dueño",C913))+ISNUMBER(SEARCH("Director General",C913))+ISNUMBER(SEARCH("Presidente",C913))+ISNUMBER(SEARCH("President",C913))&gt;0,'Configuración'!$B$31,IF(ISNUMBER(SEARCH("CMO",C913))+ISNUMBER(SEARCH("Chief Marketing",C913))+ISNUMBER(SEARCH("VP Marketing",C913))+ISNUMBER(SEARCH("Director de Marketing",C913))+ISNUMBER(SEARCH("Director Marketing",C913))+ISNUMBER(SEARCH("Head of Marketing",C913))+ISNUMBER(SEARCH("Head Marketing",C913))&gt;0,'Configuración'!$B$32,IF(ISNUMBER(SEARCH("Marketing Manager",C913))+ISNUMBER(SEARCH("Gerente de Marketing",C913))+ISNUMBER(SEARCH("Growth Manager",C913))+ISNUMBER(SEARCH("Demand Gen",C913))+ISNUMBER(SEARCH("Marketing Lead",C913))&gt;0,'Configuración'!$B$33,IF(ISNUMBER(SEARCH("COO",C913))+ISNUMBER(SEARCH("CFO",C913))+ISNUMBER(SEARCH("CTO",C913))+ISNUMBER(SEARCH("Chief Operating",C913))+ISNUMBER(SEARCH("Chief Financial",C913))+ISNUMBER(SEARCH("Gerente General",C913))+ISNUMBER(SEARCH("General Manager",C913))&gt;0,'Configuración'!$B$34,'Configuración'!$B$35)))))</f>
        <v>12</v>
      </c>
      <c r="V913" s="38">
        <f>IF(B913="","",IF(K913="Sí",'Configuración'!$B$5,0)+IF(L913="Semanal",'Configuración'!$B$6,IF(L913="Mensual",'Configuración'!$B$7,0))+IF(M913="Sí",'Configuración'!$B$8,0)+IF(N913="Sí",'Configuración'!$B$9,0)+IF(O913="Sí",'Configuración'!$B$10,0)+IF(P913="Sí",'Configuración'!$B$11,0)+IF(Q913="Sí",'Configuración'!$B$12,0)+S913+T913+U913)</f>
        <v>28</v>
      </c>
      <c r="W913" s="39" t="str">
        <f>IF(B913="","",IF(V913&gt;='Configuración'!$B$19,"A",IF(V913&gt;='Configuración'!$B$20,"B",IF(V913&gt;='Configuración'!$B$21,"C","Descarte"))))</f>
        <v>C</v>
      </c>
    </row>
    <row r="914" ht="15.75" customHeight="1">
      <c r="A914" s="34">
        <f t="shared" si="1"/>
        <v>912</v>
      </c>
      <c r="B914" s="29" t="s">
        <v>181</v>
      </c>
      <c r="C914" s="29" t="s">
        <v>202</v>
      </c>
      <c r="D914" s="29" t="s">
        <v>5354</v>
      </c>
      <c r="E914" s="29" t="s">
        <v>5355</v>
      </c>
      <c r="F914" s="30" t="s">
        <v>5356</v>
      </c>
      <c r="G914" s="30" t="s">
        <v>5357</v>
      </c>
      <c r="H914" s="30" t="s">
        <v>5358</v>
      </c>
      <c r="I914" s="29" t="s">
        <v>116</v>
      </c>
      <c r="J914" s="31">
        <v>12.0</v>
      </c>
      <c r="K914" s="35"/>
      <c r="L914" s="35"/>
      <c r="M914" s="35"/>
      <c r="N914" s="35"/>
      <c r="O914" s="35"/>
      <c r="P914" s="35"/>
      <c r="Q914" s="35"/>
      <c r="R914" s="35"/>
      <c r="S914" s="37">
        <f>IF(B914="","",IF(ISNUMBER(J914),IF(J914&lt;=10,'Configuración'!$B$23,IF(J914&lt;=50,'Configuración'!$B$24,IF(J914&lt;=200,'Configuración'!$B$25,0))),0))</f>
        <v>4</v>
      </c>
      <c r="T914" s="37">
        <f>IF(B914="","",IF(ISNUMBER(SEARCH("information technology",I914))+ISNUMBER(SEARCH("software",I914))+ISNUMBER(SEARCH("internet",I914))+ISNUMBER(SEARCH("computer",I914))+ISNUMBER(SEARCH("saas",I914))+ISNUMBER(SEARCH("fintech",I914))+ISNUMBER(SEARCH("information services",I914))+ISNUMBER(SEARCH("telecommunications",I914))&gt;0,'Configuración'!$B$27,'Configuración'!$B$28))</f>
        <v>4</v>
      </c>
      <c r="U914" s="25">
        <f>IF(B914="","",IF(ISNUMBER(SEARCH("CEO",C914))+ISNUMBER(SEARCH("Founder",C914))+ISNUMBER(SEARCH("Owner",C914))+ISNUMBER(SEARCH("Dueño",C914))+ISNUMBER(SEARCH("Director General",C914))+ISNUMBER(SEARCH("Presidente",C914))+ISNUMBER(SEARCH("President",C914))&gt;0,'Configuración'!$B$31,IF(ISNUMBER(SEARCH("CMO",C914))+ISNUMBER(SEARCH("Chief Marketing",C914))+ISNUMBER(SEARCH("VP Marketing",C914))+ISNUMBER(SEARCH("Director de Marketing",C914))+ISNUMBER(SEARCH("Director Marketing",C914))+ISNUMBER(SEARCH("Head of Marketing",C914))+ISNUMBER(SEARCH("Head Marketing",C914))&gt;0,'Configuración'!$B$32,IF(ISNUMBER(SEARCH("Marketing Manager",C914))+ISNUMBER(SEARCH("Gerente de Marketing",C914))+ISNUMBER(SEARCH("Growth Manager",C914))+ISNUMBER(SEARCH("Demand Gen",C914))+ISNUMBER(SEARCH("Marketing Lead",C914))&gt;0,'Configuración'!$B$33,IF(ISNUMBER(SEARCH("COO",C914))+ISNUMBER(SEARCH("CFO",C914))+ISNUMBER(SEARCH("CTO",C914))+ISNUMBER(SEARCH("Chief Operating",C914))+ISNUMBER(SEARCH("Chief Financial",C914))+ISNUMBER(SEARCH("Gerente General",C914))+ISNUMBER(SEARCH("General Manager",C914))&gt;0,'Configuración'!$B$34,'Configuración'!$B$35)))))</f>
        <v>12</v>
      </c>
      <c r="V914" s="38">
        <f>IF(B914="","",IF(K914="Sí",'Configuración'!$B$5,0)+IF(L914="Semanal",'Configuración'!$B$6,IF(L914="Mensual",'Configuración'!$B$7,0))+IF(M914="Sí",'Configuración'!$B$8,0)+IF(N914="Sí",'Configuración'!$B$9,0)+IF(O914="Sí",'Configuración'!$B$10,0)+IF(P914="Sí",'Configuración'!$B$11,0)+IF(Q914="Sí",'Configuración'!$B$12,0)+S914+T914+U914)</f>
        <v>20</v>
      </c>
      <c r="W914" s="39" t="str">
        <f>IF(B914="","",IF(V914&gt;='Configuración'!$B$19,"A",IF(V914&gt;='Configuración'!$B$20,"B",IF(V914&gt;='Configuración'!$B$21,"C","Descarte"))))</f>
        <v>Descarte</v>
      </c>
    </row>
    <row r="915" ht="15.75" customHeight="1">
      <c r="A915" s="34">
        <f t="shared" si="1"/>
        <v>913</v>
      </c>
      <c r="B915" s="29" t="s">
        <v>529</v>
      </c>
      <c r="C915" s="29" t="s">
        <v>5359</v>
      </c>
      <c r="D915" s="29" t="s">
        <v>5360</v>
      </c>
      <c r="E915" s="29" t="s">
        <v>5361</v>
      </c>
      <c r="F915" s="30" t="s">
        <v>5362</v>
      </c>
      <c r="G915" s="30" t="s">
        <v>5363</v>
      </c>
      <c r="H915" s="30" t="s">
        <v>5364</v>
      </c>
      <c r="I915" s="29" t="s">
        <v>188</v>
      </c>
      <c r="J915" s="31">
        <v>10.0</v>
      </c>
      <c r="K915" s="35"/>
      <c r="L915" s="35"/>
      <c r="M915" s="35"/>
      <c r="N915" s="35"/>
      <c r="O915" s="35"/>
      <c r="P915" s="35"/>
      <c r="Q915" s="35"/>
      <c r="R915" s="35"/>
      <c r="S915" s="37">
        <f>IF(B915="","",IF(ISNUMBER(J915),IF(J915&lt;=10,'Configuración'!$B$23,IF(J915&lt;=50,'Configuración'!$B$24,IF(J915&lt;=200,'Configuración'!$B$25,0))),0))</f>
        <v>12</v>
      </c>
      <c r="T915" s="37">
        <f>IF(B915="","",IF(ISNUMBER(SEARCH("information technology",I915))+ISNUMBER(SEARCH("software",I915))+ISNUMBER(SEARCH("internet",I915))+ISNUMBER(SEARCH("computer",I915))+ISNUMBER(SEARCH("saas",I915))+ISNUMBER(SEARCH("fintech",I915))+ISNUMBER(SEARCH("information services",I915))+ISNUMBER(SEARCH("telecommunications",I915))&gt;0,'Configuración'!$B$27,'Configuración'!$B$28))</f>
        <v>4</v>
      </c>
      <c r="U915" s="25">
        <f>IF(B915="","",IF(ISNUMBER(SEARCH("CEO",C915))+ISNUMBER(SEARCH("Founder",C915))+ISNUMBER(SEARCH("Owner",C915))+ISNUMBER(SEARCH("Dueño",C915))+ISNUMBER(SEARCH("Director General",C915))+ISNUMBER(SEARCH("Presidente",C915))+ISNUMBER(SEARCH("President",C915))&gt;0,'Configuración'!$B$31,IF(ISNUMBER(SEARCH("CMO",C915))+ISNUMBER(SEARCH("Chief Marketing",C915))+ISNUMBER(SEARCH("VP Marketing",C915))+ISNUMBER(SEARCH("Director de Marketing",C915))+ISNUMBER(SEARCH("Director Marketing",C915))+ISNUMBER(SEARCH("Head of Marketing",C915))+ISNUMBER(SEARCH("Head Marketing",C915))&gt;0,'Configuración'!$B$32,IF(ISNUMBER(SEARCH("Marketing Manager",C915))+ISNUMBER(SEARCH("Gerente de Marketing",C915))+ISNUMBER(SEARCH("Growth Manager",C915))+ISNUMBER(SEARCH("Demand Gen",C915))+ISNUMBER(SEARCH("Marketing Lead",C915))&gt;0,'Configuración'!$B$33,IF(ISNUMBER(SEARCH("COO",C915))+ISNUMBER(SEARCH("CFO",C915))+ISNUMBER(SEARCH("CTO",C915))+ISNUMBER(SEARCH("Chief Operating",C915))+ISNUMBER(SEARCH("Chief Financial",C915))+ISNUMBER(SEARCH("Gerente General",C915))+ISNUMBER(SEARCH("General Manager",C915))&gt;0,'Configuración'!$B$34,'Configuración'!$B$35)))))</f>
        <v>4</v>
      </c>
      <c r="V915" s="38">
        <f>IF(B915="","",IF(K915="Sí",'Configuración'!$B$5,0)+IF(L915="Semanal",'Configuración'!$B$6,IF(L915="Mensual",'Configuración'!$B$7,0))+IF(M915="Sí",'Configuración'!$B$8,0)+IF(N915="Sí",'Configuración'!$B$9,0)+IF(O915="Sí",'Configuración'!$B$10,0)+IF(P915="Sí",'Configuración'!$B$11,0)+IF(Q915="Sí",'Configuración'!$B$12,0)+S915+T915+U915)</f>
        <v>20</v>
      </c>
      <c r="W915" s="39" t="str">
        <f>IF(B915="","",IF(V915&gt;='Configuración'!$B$19,"A",IF(V915&gt;='Configuración'!$B$20,"B",IF(V915&gt;='Configuración'!$B$21,"C","Descarte"))))</f>
        <v>Descarte</v>
      </c>
    </row>
    <row r="916" ht="15.75" customHeight="1">
      <c r="A916" s="34">
        <f t="shared" si="1"/>
        <v>914</v>
      </c>
      <c r="B916" s="29" t="s">
        <v>174</v>
      </c>
      <c r="C916" s="29" t="s">
        <v>131</v>
      </c>
      <c r="D916" s="29" t="s">
        <v>5365</v>
      </c>
      <c r="E916" s="29" t="s">
        <v>5366</v>
      </c>
      <c r="F916" s="30" t="s">
        <v>5367</v>
      </c>
      <c r="G916" s="30" t="s">
        <v>5368</v>
      </c>
      <c r="H916" s="30" t="s">
        <v>5369</v>
      </c>
      <c r="I916" s="29" t="s">
        <v>873</v>
      </c>
      <c r="J916" s="31">
        <v>1.0</v>
      </c>
      <c r="K916" s="35"/>
      <c r="L916" s="35"/>
      <c r="M916" s="35"/>
      <c r="N916" s="35"/>
      <c r="O916" s="35"/>
      <c r="P916" s="35"/>
      <c r="Q916" s="35"/>
      <c r="R916" s="35"/>
      <c r="S916" s="37">
        <f>IF(B916="","",IF(ISNUMBER(J916),IF(J916&lt;=10,'Configuración'!$B$23,IF(J916&lt;=50,'Configuración'!$B$24,IF(J916&lt;=200,'Configuración'!$B$25,0))),0))</f>
        <v>12</v>
      </c>
      <c r="T916" s="37">
        <f>IF(B916="","",IF(ISNUMBER(SEARCH("information technology",I916))+ISNUMBER(SEARCH("software",I916))+ISNUMBER(SEARCH("internet",I916))+ISNUMBER(SEARCH("computer",I916))+ISNUMBER(SEARCH("saas",I916))+ISNUMBER(SEARCH("fintech",I916))+ISNUMBER(SEARCH("information services",I916))+ISNUMBER(SEARCH("telecommunications",I916))&gt;0,'Configuración'!$B$27,'Configuración'!$B$28))</f>
        <v>4</v>
      </c>
      <c r="U916" s="25">
        <f>IF(B916="","",IF(ISNUMBER(SEARCH("CEO",C916))+ISNUMBER(SEARCH("Founder",C916))+ISNUMBER(SEARCH("Owner",C916))+ISNUMBER(SEARCH("Dueño",C916))+ISNUMBER(SEARCH("Director General",C916))+ISNUMBER(SEARCH("Presidente",C916))+ISNUMBER(SEARCH("President",C916))&gt;0,'Configuración'!$B$31,IF(ISNUMBER(SEARCH("CMO",C916))+ISNUMBER(SEARCH("Chief Marketing",C916))+ISNUMBER(SEARCH("VP Marketing",C916))+ISNUMBER(SEARCH("Director de Marketing",C916))+ISNUMBER(SEARCH("Director Marketing",C916))+ISNUMBER(SEARCH("Head of Marketing",C916))+ISNUMBER(SEARCH("Head Marketing",C916))&gt;0,'Configuración'!$B$32,IF(ISNUMBER(SEARCH("Marketing Manager",C916))+ISNUMBER(SEARCH("Gerente de Marketing",C916))+ISNUMBER(SEARCH("Growth Manager",C916))+ISNUMBER(SEARCH("Demand Gen",C916))+ISNUMBER(SEARCH("Marketing Lead",C916))&gt;0,'Configuración'!$B$33,IF(ISNUMBER(SEARCH("COO",C916))+ISNUMBER(SEARCH("CFO",C916))+ISNUMBER(SEARCH("CTO",C916))+ISNUMBER(SEARCH("Chief Operating",C916))+ISNUMBER(SEARCH("Chief Financial",C916))+ISNUMBER(SEARCH("Gerente General",C916))+ISNUMBER(SEARCH("General Manager",C916))&gt;0,'Configuración'!$B$34,'Configuración'!$B$35)))))</f>
        <v>12</v>
      </c>
      <c r="V916" s="38">
        <f>IF(B916="","",IF(K916="Sí",'Configuración'!$B$5,0)+IF(L916="Semanal",'Configuración'!$B$6,IF(L916="Mensual",'Configuración'!$B$7,0))+IF(M916="Sí",'Configuración'!$B$8,0)+IF(N916="Sí",'Configuración'!$B$9,0)+IF(O916="Sí",'Configuración'!$B$10,0)+IF(P916="Sí",'Configuración'!$B$11,0)+IF(Q916="Sí",'Configuración'!$B$12,0)+S916+T916+U916)</f>
        <v>28</v>
      </c>
      <c r="W916" s="39" t="str">
        <f>IF(B916="","",IF(V916&gt;='Configuración'!$B$19,"A",IF(V916&gt;='Configuración'!$B$20,"B",IF(V916&gt;='Configuración'!$B$21,"C","Descarte"))))</f>
        <v>C</v>
      </c>
    </row>
    <row r="917" ht="15.75" customHeight="1">
      <c r="A917" s="34">
        <f t="shared" si="1"/>
        <v>915</v>
      </c>
      <c r="B917" s="29" t="s">
        <v>5370</v>
      </c>
      <c r="C917" s="29" t="s">
        <v>146</v>
      </c>
      <c r="D917" s="29" t="s">
        <v>5371</v>
      </c>
      <c r="E917" s="29" t="s">
        <v>5372</v>
      </c>
      <c r="F917" s="30" t="s">
        <v>5373</v>
      </c>
      <c r="G917" s="30" t="s">
        <v>5374</v>
      </c>
      <c r="H917" s="30" t="s">
        <v>5375</v>
      </c>
      <c r="I917" s="29" t="s">
        <v>2610</v>
      </c>
      <c r="J917" s="31">
        <v>2.0</v>
      </c>
      <c r="K917" s="35"/>
      <c r="L917" s="35"/>
      <c r="M917" s="35"/>
      <c r="N917" s="35"/>
      <c r="O917" s="35"/>
      <c r="P917" s="35"/>
      <c r="Q917" s="35"/>
      <c r="R917" s="35"/>
      <c r="S917" s="37">
        <f>IF(B917="","",IF(ISNUMBER(J917),IF(J917&lt;=10,'Configuración'!$B$23,IF(J917&lt;=50,'Configuración'!$B$24,IF(J917&lt;=200,'Configuración'!$B$25,0))),0))</f>
        <v>12</v>
      </c>
      <c r="T917" s="37">
        <f>IF(B917="","",IF(ISNUMBER(SEARCH("information technology",I917))+ISNUMBER(SEARCH("software",I917))+ISNUMBER(SEARCH("internet",I917))+ISNUMBER(SEARCH("computer",I917))+ISNUMBER(SEARCH("saas",I917))+ISNUMBER(SEARCH("fintech",I917))+ISNUMBER(SEARCH("information services",I917))+ISNUMBER(SEARCH("telecommunications",I917))&gt;0,'Configuración'!$B$27,'Configuración'!$B$28))</f>
        <v>4</v>
      </c>
      <c r="U917" s="25">
        <f>IF(B917="","",IF(ISNUMBER(SEARCH("CEO",C917))+ISNUMBER(SEARCH("Founder",C917))+ISNUMBER(SEARCH("Owner",C917))+ISNUMBER(SEARCH("Dueño",C917))+ISNUMBER(SEARCH("Director General",C917))+ISNUMBER(SEARCH("Presidente",C917))+ISNUMBER(SEARCH("President",C917))&gt;0,'Configuración'!$B$31,IF(ISNUMBER(SEARCH("CMO",C917))+ISNUMBER(SEARCH("Chief Marketing",C917))+ISNUMBER(SEARCH("VP Marketing",C917))+ISNUMBER(SEARCH("Director de Marketing",C917))+ISNUMBER(SEARCH("Director Marketing",C917))+ISNUMBER(SEARCH("Head of Marketing",C917))+ISNUMBER(SEARCH("Head Marketing",C917))&gt;0,'Configuración'!$B$32,IF(ISNUMBER(SEARCH("Marketing Manager",C917))+ISNUMBER(SEARCH("Gerente de Marketing",C917))+ISNUMBER(SEARCH("Growth Manager",C917))+ISNUMBER(SEARCH("Demand Gen",C917))+ISNUMBER(SEARCH("Marketing Lead",C917))&gt;0,'Configuración'!$B$33,IF(ISNUMBER(SEARCH("COO",C917))+ISNUMBER(SEARCH("CFO",C917))+ISNUMBER(SEARCH("CTO",C917))+ISNUMBER(SEARCH("Chief Operating",C917))+ISNUMBER(SEARCH("Chief Financial",C917))+ISNUMBER(SEARCH("Gerente General",C917))+ISNUMBER(SEARCH("General Manager",C917))&gt;0,'Configuración'!$B$34,'Configuración'!$B$35)))))</f>
        <v>0</v>
      </c>
      <c r="V917" s="38">
        <f>IF(B917="","",IF(K917="Sí",'Configuración'!$B$5,0)+IF(L917="Semanal",'Configuración'!$B$6,IF(L917="Mensual",'Configuración'!$B$7,0))+IF(M917="Sí",'Configuración'!$B$8,0)+IF(N917="Sí",'Configuración'!$B$9,0)+IF(O917="Sí",'Configuración'!$B$10,0)+IF(P917="Sí",'Configuración'!$B$11,0)+IF(Q917="Sí",'Configuración'!$B$12,0)+S917+T917+U917)</f>
        <v>16</v>
      </c>
      <c r="W917" s="39" t="str">
        <f>IF(B917="","",IF(V917&gt;='Configuración'!$B$19,"A",IF(V917&gt;='Configuración'!$B$20,"B",IF(V917&gt;='Configuración'!$B$21,"C","Descarte"))))</f>
        <v>Descarte</v>
      </c>
    </row>
    <row r="918" ht="15.75" customHeight="1">
      <c r="A918" s="34">
        <f t="shared" si="1"/>
        <v>916</v>
      </c>
      <c r="B918" s="29" t="s">
        <v>874</v>
      </c>
      <c r="C918" s="29" t="s">
        <v>622</v>
      </c>
      <c r="D918" s="29" t="s">
        <v>5376</v>
      </c>
      <c r="E918" s="29" t="s">
        <v>5377</v>
      </c>
      <c r="F918" s="30" t="s">
        <v>5378</v>
      </c>
      <c r="G918" s="30" t="s">
        <v>5379</v>
      </c>
      <c r="H918" s="30" t="s">
        <v>5380</v>
      </c>
      <c r="I918" s="29" t="s">
        <v>127</v>
      </c>
      <c r="J918" s="31">
        <v>3.0</v>
      </c>
      <c r="K918" s="35"/>
      <c r="L918" s="35"/>
      <c r="M918" s="35"/>
      <c r="N918" s="35"/>
      <c r="O918" s="35"/>
      <c r="P918" s="35"/>
      <c r="Q918" s="35"/>
      <c r="R918" s="35"/>
      <c r="S918" s="37">
        <f>IF(B918="","",IF(ISNUMBER(J918),IF(J918&lt;=10,'Configuración'!$B$23,IF(J918&lt;=50,'Configuración'!$B$24,IF(J918&lt;=200,'Configuración'!$B$25,0))),0))</f>
        <v>12</v>
      </c>
      <c r="T918" s="37">
        <f>IF(B918="","",IF(ISNUMBER(SEARCH("information technology",I918))+ISNUMBER(SEARCH("software",I918))+ISNUMBER(SEARCH("internet",I918))+ISNUMBER(SEARCH("computer",I918))+ISNUMBER(SEARCH("saas",I918))+ISNUMBER(SEARCH("fintech",I918))+ISNUMBER(SEARCH("information services",I918))+ISNUMBER(SEARCH("telecommunications",I918))&gt;0,'Configuración'!$B$27,'Configuración'!$B$28))</f>
        <v>12</v>
      </c>
      <c r="U918" s="25">
        <f>IF(B918="","",IF(ISNUMBER(SEARCH("CEO",C918))+ISNUMBER(SEARCH("Founder",C918))+ISNUMBER(SEARCH("Owner",C918))+ISNUMBER(SEARCH("Dueño",C918))+ISNUMBER(SEARCH("Director General",C918))+ISNUMBER(SEARCH("Presidente",C918))+ISNUMBER(SEARCH("President",C918))&gt;0,'Configuración'!$B$31,IF(ISNUMBER(SEARCH("CMO",C918))+ISNUMBER(SEARCH("Chief Marketing",C918))+ISNUMBER(SEARCH("VP Marketing",C918))+ISNUMBER(SEARCH("Director de Marketing",C918))+ISNUMBER(SEARCH("Director Marketing",C918))+ISNUMBER(SEARCH("Head of Marketing",C918))+ISNUMBER(SEARCH("Head Marketing",C918))&gt;0,'Configuración'!$B$32,IF(ISNUMBER(SEARCH("Marketing Manager",C918))+ISNUMBER(SEARCH("Gerente de Marketing",C918))+ISNUMBER(SEARCH("Growth Manager",C918))+ISNUMBER(SEARCH("Demand Gen",C918))+ISNUMBER(SEARCH("Marketing Lead",C918))&gt;0,'Configuración'!$B$33,IF(ISNUMBER(SEARCH("COO",C918))+ISNUMBER(SEARCH("CFO",C918))+ISNUMBER(SEARCH("CTO",C918))+ISNUMBER(SEARCH("Chief Operating",C918))+ISNUMBER(SEARCH("Chief Financial",C918))+ISNUMBER(SEARCH("Gerente General",C918))+ISNUMBER(SEARCH("General Manager",C918))&gt;0,'Configuración'!$B$34,'Configuración'!$B$35)))))</f>
        <v>12</v>
      </c>
      <c r="V918" s="38">
        <f>IF(B918="","",IF(K918="Sí",'Configuración'!$B$5,0)+IF(L918="Semanal",'Configuración'!$B$6,IF(L918="Mensual",'Configuración'!$B$7,0))+IF(M918="Sí",'Configuración'!$B$8,0)+IF(N918="Sí",'Configuración'!$B$9,0)+IF(O918="Sí",'Configuración'!$B$10,0)+IF(P918="Sí",'Configuración'!$B$11,0)+IF(Q918="Sí",'Configuración'!$B$12,0)+S918+T918+U918)</f>
        <v>36</v>
      </c>
      <c r="W918" s="39" t="str">
        <f>IF(B918="","",IF(V918&gt;='Configuración'!$B$19,"A",IF(V918&gt;='Configuración'!$B$20,"B",IF(V918&gt;='Configuración'!$B$21,"C","Descarte"))))</f>
        <v>C</v>
      </c>
    </row>
    <row r="919" ht="15.75" customHeight="1">
      <c r="A919" s="34">
        <f t="shared" si="1"/>
        <v>917</v>
      </c>
      <c r="B919" s="29" t="s">
        <v>1510</v>
      </c>
      <c r="C919" s="29" t="s">
        <v>5381</v>
      </c>
      <c r="D919" s="29" t="s">
        <v>5382</v>
      </c>
      <c r="E919" s="29" t="s">
        <v>5383</v>
      </c>
      <c r="F919" s="30" t="s">
        <v>5384</v>
      </c>
      <c r="G919" s="30" t="s">
        <v>5385</v>
      </c>
      <c r="H919" s="30" t="s">
        <v>5386</v>
      </c>
      <c r="I919" s="29" t="s">
        <v>280</v>
      </c>
      <c r="J919" s="31">
        <v>38.0</v>
      </c>
      <c r="K919" s="35"/>
      <c r="L919" s="35"/>
      <c r="M919" s="35"/>
      <c r="N919" s="35"/>
      <c r="O919" s="35"/>
      <c r="P919" s="35"/>
      <c r="Q919" s="35"/>
      <c r="R919" s="35"/>
      <c r="S919" s="37">
        <f>IF(B919="","",IF(ISNUMBER(J919),IF(J919&lt;=10,'Configuración'!$B$23,IF(J919&lt;=50,'Configuración'!$B$24,IF(J919&lt;=200,'Configuración'!$B$25,0))),0))</f>
        <v>4</v>
      </c>
      <c r="T919" s="37">
        <f>IF(B919="","",IF(ISNUMBER(SEARCH("information technology",I919))+ISNUMBER(SEARCH("software",I919))+ISNUMBER(SEARCH("internet",I919))+ISNUMBER(SEARCH("computer",I919))+ISNUMBER(SEARCH("saas",I919))+ISNUMBER(SEARCH("fintech",I919))+ISNUMBER(SEARCH("information services",I919))+ISNUMBER(SEARCH("telecommunications",I919))&gt;0,'Configuración'!$B$27,'Configuración'!$B$28))</f>
        <v>12</v>
      </c>
      <c r="U919" s="25">
        <f>IF(B919="","",IF(ISNUMBER(SEARCH("CEO",C919))+ISNUMBER(SEARCH("Founder",C919))+ISNUMBER(SEARCH("Owner",C919))+ISNUMBER(SEARCH("Dueño",C919))+ISNUMBER(SEARCH("Director General",C919))+ISNUMBER(SEARCH("Presidente",C919))+ISNUMBER(SEARCH("President",C919))&gt;0,'Configuración'!$B$31,IF(ISNUMBER(SEARCH("CMO",C919))+ISNUMBER(SEARCH("Chief Marketing",C919))+ISNUMBER(SEARCH("VP Marketing",C919))+ISNUMBER(SEARCH("Director de Marketing",C919))+ISNUMBER(SEARCH("Director Marketing",C919))+ISNUMBER(SEARCH("Head of Marketing",C919))+ISNUMBER(SEARCH("Head Marketing",C919))&gt;0,'Configuración'!$B$32,IF(ISNUMBER(SEARCH("Marketing Manager",C919))+ISNUMBER(SEARCH("Gerente de Marketing",C919))+ISNUMBER(SEARCH("Growth Manager",C919))+ISNUMBER(SEARCH("Demand Gen",C919))+ISNUMBER(SEARCH("Marketing Lead",C919))&gt;0,'Configuración'!$B$33,IF(ISNUMBER(SEARCH("COO",C919))+ISNUMBER(SEARCH("CFO",C919))+ISNUMBER(SEARCH("CTO",C919))+ISNUMBER(SEARCH("Chief Operating",C919))+ISNUMBER(SEARCH("Chief Financial",C919))+ISNUMBER(SEARCH("Gerente General",C919))+ISNUMBER(SEARCH("General Manager",C919))&gt;0,'Configuración'!$B$34,'Configuración'!$B$35)))))</f>
        <v>0</v>
      </c>
      <c r="V919" s="38">
        <f>IF(B919="","",IF(K919="Sí",'Configuración'!$B$5,0)+IF(L919="Semanal",'Configuración'!$B$6,IF(L919="Mensual",'Configuración'!$B$7,0))+IF(M919="Sí",'Configuración'!$B$8,0)+IF(N919="Sí",'Configuración'!$B$9,0)+IF(O919="Sí",'Configuración'!$B$10,0)+IF(P919="Sí",'Configuración'!$B$11,0)+IF(Q919="Sí",'Configuración'!$B$12,0)+S919+T919+U919)</f>
        <v>16</v>
      </c>
      <c r="W919" s="39" t="str">
        <f>IF(B919="","",IF(V919&gt;='Configuración'!$B$19,"A",IF(V919&gt;='Configuración'!$B$20,"B",IF(V919&gt;='Configuración'!$B$21,"C","Descarte"))))</f>
        <v>Descarte</v>
      </c>
    </row>
    <row r="920" ht="15.75" customHeight="1">
      <c r="A920" s="34">
        <f t="shared" si="1"/>
        <v>918</v>
      </c>
      <c r="B920" s="29" t="s">
        <v>5387</v>
      </c>
      <c r="C920" s="29" t="s">
        <v>719</v>
      </c>
      <c r="D920" s="29" t="s">
        <v>5388</v>
      </c>
      <c r="E920" s="29" t="s">
        <v>5389</v>
      </c>
      <c r="F920" s="30" t="s">
        <v>5390</v>
      </c>
      <c r="G920" s="30" t="s">
        <v>5391</v>
      </c>
      <c r="H920" s="30" t="s">
        <v>5392</v>
      </c>
      <c r="I920" s="29" t="s">
        <v>1950</v>
      </c>
      <c r="J920" s="31">
        <v>2.0</v>
      </c>
      <c r="K920" s="35"/>
      <c r="L920" s="35"/>
      <c r="M920" s="35"/>
      <c r="N920" s="35"/>
      <c r="O920" s="35"/>
      <c r="P920" s="35"/>
      <c r="Q920" s="35"/>
      <c r="R920" s="35"/>
      <c r="S920" s="37">
        <f>IF(B920="","",IF(ISNUMBER(J920),IF(J920&lt;=10,'Configuración'!$B$23,IF(J920&lt;=50,'Configuración'!$B$24,IF(J920&lt;=200,'Configuración'!$B$25,0))),0))</f>
        <v>12</v>
      </c>
      <c r="T920" s="37">
        <f>IF(B920="","",IF(ISNUMBER(SEARCH("information technology",I920))+ISNUMBER(SEARCH("software",I920))+ISNUMBER(SEARCH("internet",I920))+ISNUMBER(SEARCH("computer",I920))+ISNUMBER(SEARCH("saas",I920))+ISNUMBER(SEARCH("fintech",I920))+ISNUMBER(SEARCH("information services",I920))+ISNUMBER(SEARCH("telecommunications",I920))&gt;0,'Configuración'!$B$27,'Configuración'!$B$28))</f>
        <v>4</v>
      </c>
      <c r="U920" s="25">
        <f>IF(B920="","",IF(ISNUMBER(SEARCH("CEO",C920))+ISNUMBER(SEARCH("Founder",C920))+ISNUMBER(SEARCH("Owner",C920))+ISNUMBER(SEARCH("Dueño",C920))+ISNUMBER(SEARCH("Director General",C920))+ISNUMBER(SEARCH("Presidente",C920))+ISNUMBER(SEARCH("President",C920))&gt;0,'Configuración'!$B$31,IF(ISNUMBER(SEARCH("CMO",C920))+ISNUMBER(SEARCH("Chief Marketing",C920))+ISNUMBER(SEARCH("VP Marketing",C920))+ISNUMBER(SEARCH("Director de Marketing",C920))+ISNUMBER(SEARCH("Director Marketing",C920))+ISNUMBER(SEARCH("Head of Marketing",C920))+ISNUMBER(SEARCH("Head Marketing",C920))&gt;0,'Configuración'!$B$32,IF(ISNUMBER(SEARCH("Marketing Manager",C920))+ISNUMBER(SEARCH("Gerente de Marketing",C920))+ISNUMBER(SEARCH("Growth Manager",C920))+ISNUMBER(SEARCH("Demand Gen",C920))+ISNUMBER(SEARCH("Marketing Lead",C920))&gt;0,'Configuración'!$B$33,IF(ISNUMBER(SEARCH("COO",C920))+ISNUMBER(SEARCH("CFO",C920))+ISNUMBER(SEARCH("CTO",C920))+ISNUMBER(SEARCH("Chief Operating",C920))+ISNUMBER(SEARCH("Chief Financial",C920))+ISNUMBER(SEARCH("Gerente General",C920))+ISNUMBER(SEARCH("General Manager",C920))&gt;0,'Configuración'!$B$34,'Configuración'!$B$35)))))</f>
        <v>12</v>
      </c>
      <c r="V920" s="38">
        <f>IF(B920="","",IF(K920="Sí",'Configuración'!$B$5,0)+IF(L920="Semanal",'Configuración'!$B$6,IF(L920="Mensual",'Configuración'!$B$7,0))+IF(M920="Sí",'Configuración'!$B$8,0)+IF(N920="Sí",'Configuración'!$B$9,0)+IF(O920="Sí",'Configuración'!$B$10,0)+IF(P920="Sí",'Configuración'!$B$11,0)+IF(Q920="Sí",'Configuración'!$B$12,0)+S920+T920+U920)</f>
        <v>28</v>
      </c>
      <c r="W920" s="39" t="str">
        <f>IF(B920="","",IF(V920&gt;='Configuración'!$B$19,"A",IF(V920&gt;='Configuración'!$B$20,"B",IF(V920&gt;='Configuración'!$B$21,"C","Descarte"))))</f>
        <v>C</v>
      </c>
    </row>
    <row r="921" ht="15.75" customHeight="1">
      <c r="A921" s="34">
        <f t="shared" si="1"/>
        <v>919</v>
      </c>
      <c r="B921" s="29" t="s">
        <v>201</v>
      </c>
      <c r="C921" s="29" t="s">
        <v>121</v>
      </c>
      <c r="D921" s="29" t="s">
        <v>5393</v>
      </c>
      <c r="E921" s="29" t="s">
        <v>5394</v>
      </c>
      <c r="F921" s="30" t="s">
        <v>5395</v>
      </c>
      <c r="G921" s="30" t="s">
        <v>5396</v>
      </c>
      <c r="H921" s="30" t="s">
        <v>5397</v>
      </c>
      <c r="I921" s="29" t="s">
        <v>317</v>
      </c>
      <c r="J921" s="31">
        <v>3.0</v>
      </c>
      <c r="K921" s="35"/>
      <c r="L921" s="35"/>
      <c r="M921" s="35"/>
      <c r="N921" s="35"/>
      <c r="O921" s="35"/>
      <c r="P921" s="35"/>
      <c r="Q921" s="35"/>
      <c r="R921" s="35"/>
      <c r="S921" s="37">
        <f>IF(B921="","",IF(ISNUMBER(J921),IF(J921&lt;=10,'Configuración'!$B$23,IF(J921&lt;=50,'Configuración'!$B$24,IF(J921&lt;=200,'Configuración'!$B$25,0))),0))</f>
        <v>12</v>
      </c>
      <c r="T921" s="37">
        <f>IF(B921="","",IF(ISNUMBER(SEARCH("information technology",I921))+ISNUMBER(SEARCH("software",I921))+ISNUMBER(SEARCH("internet",I921))+ISNUMBER(SEARCH("computer",I921))+ISNUMBER(SEARCH("saas",I921))+ISNUMBER(SEARCH("fintech",I921))+ISNUMBER(SEARCH("information services",I921))+ISNUMBER(SEARCH("telecommunications",I921))&gt;0,'Configuración'!$B$27,'Configuración'!$B$28))</f>
        <v>4</v>
      </c>
      <c r="U921" s="25">
        <f>IF(B921="","",IF(ISNUMBER(SEARCH("CEO",C921))+ISNUMBER(SEARCH("Founder",C921))+ISNUMBER(SEARCH("Owner",C921))+ISNUMBER(SEARCH("Dueño",C921))+ISNUMBER(SEARCH("Director General",C921))+ISNUMBER(SEARCH("Presidente",C921))+ISNUMBER(SEARCH("President",C921))&gt;0,'Configuración'!$B$31,IF(ISNUMBER(SEARCH("CMO",C921))+ISNUMBER(SEARCH("Chief Marketing",C921))+ISNUMBER(SEARCH("VP Marketing",C921))+ISNUMBER(SEARCH("Director de Marketing",C921))+ISNUMBER(SEARCH("Director Marketing",C921))+ISNUMBER(SEARCH("Head of Marketing",C921))+ISNUMBER(SEARCH("Head Marketing",C921))&gt;0,'Configuración'!$B$32,IF(ISNUMBER(SEARCH("Marketing Manager",C921))+ISNUMBER(SEARCH("Gerente de Marketing",C921))+ISNUMBER(SEARCH("Growth Manager",C921))+ISNUMBER(SEARCH("Demand Gen",C921))+ISNUMBER(SEARCH("Marketing Lead",C921))&gt;0,'Configuración'!$B$33,IF(ISNUMBER(SEARCH("COO",C921))+ISNUMBER(SEARCH("CFO",C921))+ISNUMBER(SEARCH("CTO",C921))+ISNUMBER(SEARCH("Chief Operating",C921))+ISNUMBER(SEARCH("Chief Financial",C921))+ISNUMBER(SEARCH("Gerente General",C921))+ISNUMBER(SEARCH("General Manager",C921))&gt;0,'Configuración'!$B$34,'Configuración'!$B$35)))))</f>
        <v>12</v>
      </c>
      <c r="V921" s="38">
        <f>IF(B921="","",IF(K921="Sí",'Configuración'!$B$5,0)+IF(L921="Semanal",'Configuración'!$B$6,IF(L921="Mensual",'Configuración'!$B$7,0))+IF(M921="Sí",'Configuración'!$B$8,0)+IF(N921="Sí",'Configuración'!$B$9,0)+IF(O921="Sí",'Configuración'!$B$10,0)+IF(P921="Sí",'Configuración'!$B$11,0)+IF(Q921="Sí",'Configuración'!$B$12,0)+S921+T921+U921)</f>
        <v>28</v>
      </c>
      <c r="W921" s="39" t="str">
        <f>IF(B921="","",IF(V921&gt;='Configuración'!$B$19,"A",IF(V921&gt;='Configuración'!$B$20,"B",IF(V921&gt;='Configuración'!$B$21,"C","Descarte"))))</f>
        <v>C</v>
      </c>
    </row>
    <row r="922" ht="15.75" customHeight="1">
      <c r="A922" s="34">
        <f t="shared" si="1"/>
        <v>920</v>
      </c>
      <c r="B922" s="29" t="s">
        <v>1674</v>
      </c>
      <c r="C922" s="29" t="s">
        <v>175</v>
      </c>
      <c r="D922" s="29" t="s">
        <v>5398</v>
      </c>
      <c r="E922" s="29" t="s">
        <v>5399</v>
      </c>
      <c r="F922" s="30" t="s">
        <v>5400</v>
      </c>
      <c r="G922" s="30" t="s">
        <v>5401</v>
      </c>
      <c r="H922" s="30" t="s">
        <v>5402</v>
      </c>
      <c r="I922" s="29" t="s">
        <v>659</v>
      </c>
      <c r="J922" s="31">
        <v>5.0</v>
      </c>
      <c r="K922" s="35"/>
      <c r="L922" s="35"/>
      <c r="M922" s="35"/>
      <c r="N922" s="35"/>
      <c r="O922" s="35"/>
      <c r="P922" s="35"/>
      <c r="Q922" s="35"/>
      <c r="R922" s="35"/>
      <c r="S922" s="37">
        <f>IF(B922="","",IF(ISNUMBER(J922),IF(J922&lt;=10,'Configuración'!$B$23,IF(J922&lt;=50,'Configuración'!$B$24,IF(J922&lt;=200,'Configuración'!$B$25,0))),0))</f>
        <v>12</v>
      </c>
      <c r="T922" s="37">
        <f>IF(B922="","",IF(ISNUMBER(SEARCH("information technology",I922))+ISNUMBER(SEARCH("software",I922))+ISNUMBER(SEARCH("internet",I922))+ISNUMBER(SEARCH("computer",I922))+ISNUMBER(SEARCH("saas",I922))+ISNUMBER(SEARCH("fintech",I922))+ISNUMBER(SEARCH("information services",I922))+ISNUMBER(SEARCH("telecommunications",I922))&gt;0,'Configuración'!$B$27,'Configuración'!$B$28))</f>
        <v>4</v>
      </c>
      <c r="U922" s="25">
        <f>IF(B922="","",IF(ISNUMBER(SEARCH("CEO",C922))+ISNUMBER(SEARCH("Founder",C922))+ISNUMBER(SEARCH("Owner",C922))+ISNUMBER(SEARCH("Dueño",C922))+ISNUMBER(SEARCH("Director General",C922))+ISNUMBER(SEARCH("Presidente",C922))+ISNUMBER(SEARCH("President",C922))&gt;0,'Configuración'!$B$31,IF(ISNUMBER(SEARCH("CMO",C922))+ISNUMBER(SEARCH("Chief Marketing",C922))+ISNUMBER(SEARCH("VP Marketing",C922))+ISNUMBER(SEARCH("Director de Marketing",C922))+ISNUMBER(SEARCH("Director Marketing",C922))+ISNUMBER(SEARCH("Head of Marketing",C922))+ISNUMBER(SEARCH("Head Marketing",C922))&gt;0,'Configuración'!$B$32,IF(ISNUMBER(SEARCH("Marketing Manager",C922))+ISNUMBER(SEARCH("Gerente de Marketing",C922))+ISNUMBER(SEARCH("Growth Manager",C922))+ISNUMBER(SEARCH("Demand Gen",C922))+ISNUMBER(SEARCH("Marketing Lead",C922))&gt;0,'Configuración'!$B$33,IF(ISNUMBER(SEARCH("COO",C922))+ISNUMBER(SEARCH("CFO",C922))+ISNUMBER(SEARCH("CTO",C922))+ISNUMBER(SEARCH("Chief Operating",C922))+ISNUMBER(SEARCH("Chief Financial",C922))+ISNUMBER(SEARCH("Gerente General",C922))+ISNUMBER(SEARCH("General Manager",C922))&gt;0,'Configuración'!$B$34,'Configuración'!$B$35)))))</f>
        <v>12</v>
      </c>
      <c r="V922" s="38">
        <f>IF(B922="","",IF(K922="Sí",'Configuración'!$B$5,0)+IF(L922="Semanal",'Configuración'!$B$6,IF(L922="Mensual",'Configuración'!$B$7,0))+IF(M922="Sí",'Configuración'!$B$8,0)+IF(N922="Sí",'Configuración'!$B$9,0)+IF(O922="Sí",'Configuración'!$B$10,0)+IF(P922="Sí",'Configuración'!$B$11,0)+IF(Q922="Sí",'Configuración'!$B$12,0)+S922+T922+U922)</f>
        <v>28</v>
      </c>
      <c r="W922" s="39" t="str">
        <f>IF(B922="","",IF(V922&gt;='Configuración'!$B$19,"A",IF(V922&gt;='Configuración'!$B$20,"B",IF(V922&gt;='Configuración'!$B$21,"C","Descarte"))))</f>
        <v>C</v>
      </c>
    </row>
    <row r="923" ht="15.75" customHeight="1">
      <c r="A923" s="34">
        <f t="shared" si="1"/>
        <v>921</v>
      </c>
      <c r="B923" s="29" t="s">
        <v>159</v>
      </c>
      <c r="C923" s="29" t="s">
        <v>5403</v>
      </c>
      <c r="D923" s="29" t="s">
        <v>5404</v>
      </c>
      <c r="E923" s="29" t="s">
        <v>5405</v>
      </c>
      <c r="F923" s="30" t="s">
        <v>5406</v>
      </c>
      <c r="G923" s="30" t="s">
        <v>5407</v>
      </c>
      <c r="H923" s="30" t="s">
        <v>5408</v>
      </c>
      <c r="I923" s="29" t="s">
        <v>222</v>
      </c>
      <c r="J923" s="31">
        <v>3.0</v>
      </c>
      <c r="K923" s="35"/>
      <c r="L923" s="35"/>
      <c r="M923" s="35"/>
      <c r="N923" s="35"/>
      <c r="O923" s="35"/>
      <c r="P923" s="35"/>
      <c r="Q923" s="35"/>
      <c r="R923" s="35"/>
      <c r="S923" s="37">
        <f>IF(B923="","",IF(ISNUMBER(J923),IF(J923&lt;=10,'Configuración'!$B$23,IF(J923&lt;=50,'Configuración'!$B$24,IF(J923&lt;=200,'Configuración'!$B$25,0))),0))</f>
        <v>12</v>
      </c>
      <c r="T923" s="37">
        <f>IF(B923="","",IF(ISNUMBER(SEARCH("information technology",I923))+ISNUMBER(SEARCH("software",I923))+ISNUMBER(SEARCH("internet",I923))+ISNUMBER(SEARCH("computer",I923))+ISNUMBER(SEARCH("saas",I923))+ISNUMBER(SEARCH("fintech",I923))+ISNUMBER(SEARCH("information services",I923))+ISNUMBER(SEARCH("telecommunications",I923))&gt;0,'Configuración'!$B$27,'Configuración'!$B$28))</f>
        <v>4</v>
      </c>
      <c r="U923" s="25">
        <f>IF(B923="","",IF(ISNUMBER(SEARCH("CEO",C923))+ISNUMBER(SEARCH("Founder",C923))+ISNUMBER(SEARCH("Owner",C923))+ISNUMBER(SEARCH("Dueño",C923))+ISNUMBER(SEARCH("Director General",C923))+ISNUMBER(SEARCH("Presidente",C923))+ISNUMBER(SEARCH("President",C923))&gt;0,'Configuración'!$B$31,IF(ISNUMBER(SEARCH("CMO",C923))+ISNUMBER(SEARCH("Chief Marketing",C923))+ISNUMBER(SEARCH("VP Marketing",C923))+ISNUMBER(SEARCH("Director de Marketing",C923))+ISNUMBER(SEARCH("Director Marketing",C923))+ISNUMBER(SEARCH("Head of Marketing",C923))+ISNUMBER(SEARCH("Head Marketing",C923))&gt;0,'Configuración'!$B$32,IF(ISNUMBER(SEARCH("Marketing Manager",C923))+ISNUMBER(SEARCH("Gerente de Marketing",C923))+ISNUMBER(SEARCH("Growth Manager",C923))+ISNUMBER(SEARCH("Demand Gen",C923))+ISNUMBER(SEARCH("Marketing Lead",C923))&gt;0,'Configuración'!$B$33,IF(ISNUMBER(SEARCH("COO",C923))+ISNUMBER(SEARCH("CFO",C923))+ISNUMBER(SEARCH("CTO",C923))+ISNUMBER(SEARCH("Chief Operating",C923))+ISNUMBER(SEARCH("Chief Financial",C923))+ISNUMBER(SEARCH("Gerente General",C923))+ISNUMBER(SEARCH("General Manager",C923))&gt;0,'Configuración'!$B$34,'Configuración'!$B$35)))))</f>
        <v>12</v>
      </c>
      <c r="V923" s="38">
        <f>IF(B923="","",IF(K923="Sí",'Configuración'!$B$5,0)+IF(L923="Semanal",'Configuración'!$B$6,IF(L923="Mensual",'Configuración'!$B$7,0))+IF(M923="Sí",'Configuración'!$B$8,0)+IF(N923="Sí",'Configuración'!$B$9,0)+IF(O923="Sí",'Configuración'!$B$10,0)+IF(P923="Sí",'Configuración'!$B$11,0)+IF(Q923="Sí",'Configuración'!$B$12,0)+S923+T923+U923)</f>
        <v>28</v>
      </c>
      <c r="W923" s="39" t="str">
        <f>IF(B923="","",IF(V923&gt;='Configuración'!$B$19,"A",IF(V923&gt;='Configuración'!$B$20,"B",IF(V923&gt;='Configuración'!$B$21,"C","Descarte"))))</f>
        <v>C</v>
      </c>
    </row>
    <row r="924" ht="15.75" customHeight="1">
      <c r="A924" s="34">
        <f t="shared" si="1"/>
        <v>922</v>
      </c>
      <c r="B924" s="29" t="s">
        <v>296</v>
      </c>
      <c r="C924" s="29" t="s">
        <v>597</v>
      </c>
      <c r="D924" s="29" t="s">
        <v>5409</v>
      </c>
      <c r="E924" s="29" t="s">
        <v>5410</v>
      </c>
      <c r="F924" s="30" t="s">
        <v>5411</v>
      </c>
      <c r="G924" s="30" t="s">
        <v>5412</v>
      </c>
      <c r="H924" s="30" t="s">
        <v>5413</v>
      </c>
      <c r="I924" s="29" t="s">
        <v>500</v>
      </c>
      <c r="J924" s="31">
        <v>7.0</v>
      </c>
      <c r="K924" s="35"/>
      <c r="L924" s="35"/>
      <c r="M924" s="35"/>
      <c r="N924" s="35"/>
      <c r="O924" s="35"/>
      <c r="P924" s="35"/>
      <c r="Q924" s="35"/>
      <c r="R924" s="35"/>
      <c r="S924" s="37">
        <f>IF(B924="","",IF(ISNUMBER(J924),IF(J924&lt;=10,'Configuración'!$B$23,IF(J924&lt;=50,'Configuración'!$B$24,IF(J924&lt;=200,'Configuración'!$B$25,0))),0))</f>
        <v>12</v>
      </c>
      <c r="T924" s="37">
        <f>IF(B924="","",IF(ISNUMBER(SEARCH("information technology",I924))+ISNUMBER(SEARCH("software",I924))+ISNUMBER(SEARCH("internet",I924))+ISNUMBER(SEARCH("computer",I924))+ISNUMBER(SEARCH("saas",I924))+ISNUMBER(SEARCH("fintech",I924))+ISNUMBER(SEARCH("information services",I924))+ISNUMBER(SEARCH("telecommunications",I924))&gt;0,'Configuración'!$B$27,'Configuración'!$B$28))</f>
        <v>4</v>
      </c>
      <c r="U924" s="25">
        <f>IF(B924="","",IF(ISNUMBER(SEARCH("CEO",C924))+ISNUMBER(SEARCH("Founder",C924))+ISNUMBER(SEARCH("Owner",C924))+ISNUMBER(SEARCH("Dueño",C924))+ISNUMBER(SEARCH("Director General",C924))+ISNUMBER(SEARCH("Presidente",C924))+ISNUMBER(SEARCH("President",C924))&gt;0,'Configuración'!$B$31,IF(ISNUMBER(SEARCH("CMO",C924))+ISNUMBER(SEARCH("Chief Marketing",C924))+ISNUMBER(SEARCH("VP Marketing",C924))+ISNUMBER(SEARCH("Director de Marketing",C924))+ISNUMBER(SEARCH("Director Marketing",C924))+ISNUMBER(SEARCH("Head of Marketing",C924))+ISNUMBER(SEARCH("Head Marketing",C924))&gt;0,'Configuración'!$B$32,IF(ISNUMBER(SEARCH("Marketing Manager",C924))+ISNUMBER(SEARCH("Gerente de Marketing",C924))+ISNUMBER(SEARCH("Growth Manager",C924))+ISNUMBER(SEARCH("Demand Gen",C924))+ISNUMBER(SEARCH("Marketing Lead",C924))&gt;0,'Configuración'!$B$33,IF(ISNUMBER(SEARCH("COO",C924))+ISNUMBER(SEARCH("CFO",C924))+ISNUMBER(SEARCH("CTO",C924))+ISNUMBER(SEARCH("Chief Operating",C924))+ISNUMBER(SEARCH("Chief Financial",C924))+ISNUMBER(SEARCH("Gerente General",C924))+ISNUMBER(SEARCH("General Manager",C924))&gt;0,'Configuración'!$B$34,'Configuración'!$B$35)))))</f>
        <v>12</v>
      </c>
      <c r="V924" s="38">
        <f>IF(B924="","",IF(K924="Sí",'Configuración'!$B$5,0)+IF(L924="Semanal",'Configuración'!$B$6,IF(L924="Mensual",'Configuración'!$B$7,0))+IF(M924="Sí",'Configuración'!$B$8,0)+IF(N924="Sí",'Configuración'!$B$9,0)+IF(O924="Sí",'Configuración'!$B$10,0)+IF(P924="Sí",'Configuración'!$B$11,0)+IF(Q924="Sí",'Configuración'!$B$12,0)+S924+T924+U924)</f>
        <v>28</v>
      </c>
      <c r="W924" s="39" t="str">
        <f>IF(B924="","",IF(V924&gt;='Configuración'!$B$19,"A",IF(V924&gt;='Configuración'!$B$20,"B",IF(V924&gt;='Configuración'!$B$21,"C","Descarte"))))</f>
        <v>C</v>
      </c>
    </row>
    <row r="925" ht="15.75" customHeight="1">
      <c r="A925" s="34">
        <f t="shared" si="1"/>
        <v>923</v>
      </c>
      <c r="B925" s="29" t="s">
        <v>5414</v>
      </c>
      <c r="C925" s="29" t="s">
        <v>5415</v>
      </c>
      <c r="D925" s="29" t="s">
        <v>5416</v>
      </c>
      <c r="E925" s="29" t="s">
        <v>5417</v>
      </c>
      <c r="F925" s="30" t="s">
        <v>5418</v>
      </c>
      <c r="G925" s="30" t="s">
        <v>5419</v>
      </c>
      <c r="H925" s="30" t="s">
        <v>5420</v>
      </c>
      <c r="I925" s="29" t="s">
        <v>896</v>
      </c>
      <c r="J925" s="31">
        <v>17.0</v>
      </c>
      <c r="K925" s="35"/>
      <c r="L925" s="35"/>
      <c r="M925" s="35"/>
      <c r="N925" s="35"/>
      <c r="O925" s="35"/>
      <c r="P925" s="35"/>
      <c r="Q925" s="35"/>
      <c r="R925" s="35"/>
      <c r="S925" s="37">
        <f>IF(B925="","",IF(ISNUMBER(J925),IF(J925&lt;=10,'Configuración'!$B$23,IF(J925&lt;=50,'Configuración'!$B$24,IF(J925&lt;=200,'Configuración'!$B$25,0))),0))</f>
        <v>4</v>
      </c>
      <c r="T925" s="37">
        <f>IF(B925="","",IF(ISNUMBER(SEARCH("information technology",I925))+ISNUMBER(SEARCH("software",I925))+ISNUMBER(SEARCH("internet",I925))+ISNUMBER(SEARCH("computer",I925))+ISNUMBER(SEARCH("saas",I925))+ISNUMBER(SEARCH("fintech",I925))+ISNUMBER(SEARCH("information services",I925))+ISNUMBER(SEARCH("telecommunications",I925))&gt;0,'Configuración'!$B$27,'Configuración'!$B$28))</f>
        <v>4</v>
      </c>
      <c r="U925" s="25">
        <f>IF(B925="","",IF(ISNUMBER(SEARCH("CEO",C925))+ISNUMBER(SEARCH("Founder",C925))+ISNUMBER(SEARCH("Owner",C925))+ISNUMBER(SEARCH("Dueño",C925))+ISNUMBER(SEARCH("Director General",C925))+ISNUMBER(SEARCH("Presidente",C925))+ISNUMBER(SEARCH("President",C925))&gt;0,'Configuración'!$B$31,IF(ISNUMBER(SEARCH("CMO",C925))+ISNUMBER(SEARCH("Chief Marketing",C925))+ISNUMBER(SEARCH("VP Marketing",C925))+ISNUMBER(SEARCH("Director de Marketing",C925))+ISNUMBER(SEARCH("Director Marketing",C925))+ISNUMBER(SEARCH("Head of Marketing",C925))+ISNUMBER(SEARCH("Head Marketing",C925))&gt;0,'Configuración'!$B$32,IF(ISNUMBER(SEARCH("Marketing Manager",C925))+ISNUMBER(SEARCH("Gerente de Marketing",C925))+ISNUMBER(SEARCH("Growth Manager",C925))+ISNUMBER(SEARCH("Demand Gen",C925))+ISNUMBER(SEARCH("Marketing Lead",C925))&gt;0,'Configuración'!$B$33,IF(ISNUMBER(SEARCH("COO",C925))+ISNUMBER(SEARCH("CFO",C925))+ISNUMBER(SEARCH("CTO",C925))+ISNUMBER(SEARCH("Chief Operating",C925))+ISNUMBER(SEARCH("Chief Financial",C925))+ISNUMBER(SEARCH("Gerente General",C925))+ISNUMBER(SEARCH("General Manager",C925))&gt;0,'Configuración'!$B$34,'Configuración'!$B$35)))))</f>
        <v>12</v>
      </c>
      <c r="V925" s="38">
        <f>IF(B925="","",IF(K925="Sí",'Configuración'!$B$5,0)+IF(L925="Semanal",'Configuración'!$B$6,IF(L925="Mensual",'Configuración'!$B$7,0))+IF(M925="Sí",'Configuración'!$B$8,0)+IF(N925="Sí",'Configuración'!$B$9,0)+IF(O925="Sí",'Configuración'!$B$10,0)+IF(P925="Sí",'Configuración'!$B$11,0)+IF(Q925="Sí",'Configuración'!$B$12,0)+S925+T925+U925)</f>
        <v>20</v>
      </c>
      <c r="W925" s="39" t="str">
        <f>IF(B925="","",IF(V925&gt;='Configuración'!$B$19,"A",IF(V925&gt;='Configuración'!$B$20,"B",IF(V925&gt;='Configuración'!$B$21,"C","Descarte"))))</f>
        <v>Descarte</v>
      </c>
    </row>
    <row r="926" ht="15.75" customHeight="1">
      <c r="A926" s="34">
        <f t="shared" si="1"/>
        <v>924</v>
      </c>
      <c r="B926" s="29" t="s">
        <v>4151</v>
      </c>
      <c r="C926" s="29" t="s">
        <v>991</v>
      </c>
      <c r="D926" s="29" t="s">
        <v>5421</v>
      </c>
      <c r="E926" s="29" t="s">
        <v>5422</v>
      </c>
      <c r="F926" s="30" t="s">
        <v>5423</v>
      </c>
      <c r="G926" s="30" t="s">
        <v>5424</v>
      </c>
      <c r="H926" s="30" t="s">
        <v>5425</v>
      </c>
      <c r="I926" s="29" t="s">
        <v>295</v>
      </c>
      <c r="J926" s="31">
        <v>8.0</v>
      </c>
      <c r="K926" s="35"/>
      <c r="L926" s="35"/>
      <c r="M926" s="35"/>
      <c r="N926" s="35"/>
      <c r="O926" s="35"/>
      <c r="P926" s="35"/>
      <c r="Q926" s="35"/>
      <c r="R926" s="35"/>
      <c r="S926" s="37">
        <f>IF(B926="","",IF(ISNUMBER(J926),IF(J926&lt;=10,'Configuración'!$B$23,IF(J926&lt;=50,'Configuración'!$B$24,IF(J926&lt;=200,'Configuración'!$B$25,0))),0))</f>
        <v>12</v>
      </c>
      <c r="T926" s="37">
        <f>IF(B926="","",IF(ISNUMBER(SEARCH("information technology",I926))+ISNUMBER(SEARCH("software",I926))+ISNUMBER(SEARCH("internet",I926))+ISNUMBER(SEARCH("computer",I926))+ISNUMBER(SEARCH("saas",I926))+ISNUMBER(SEARCH("fintech",I926))+ISNUMBER(SEARCH("information services",I926))+ISNUMBER(SEARCH("telecommunications",I926))&gt;0,'Configuración'!$B$27,'Configuración'!$B$28))</f>
        <v>4</v>
      </c>
      <c r="U926" s="25">
        <f>IF(B926="","",IF(ISNUMBER(SEARCH("CEO",C926))+ISNUMBER(SEARCH("Founder",C926))+ISNUMBER(SEARCH("Owner",C926))+ISNUMBER(SEARCH("Dueño",C926))+ISNUMBER(SEARCH("Director General",C926))+ISNUMBER(SEARCH("Presidente",C926))+ISNUMBER(SEARCH("President",C926))&gt;0,'Configuración'!$B$31,IF(ISNUMBER(SEARCH("CMO",C926))+ISNUMBER(SEARCH("Chief Marketing",C926))+ISNUMBER(SEARCH("VP Marketing",C926))+ISNUMBER(SEARCH("Director de Marketing",C926))+ISNUMBER(SEARCH("Director Marketing",C926))+ISNUMBER(SEARCH("Head of Marketing",C926))+ISNUMBER(SEARCH("Head Marketing",C926))&gt;0,'Configuración'!$B$32,IF(ISNUMBER(SEARCH("Marketing Manager",C926))+ISNUMBER(SEARCH("Gerente de Marketing",C926))+ISNUMBER(SEARCH("Growth Manager",C926))+ISNUMBER(SEARCH("Demand Gen",C926))+ISNUMBER(SEARCH("Marketing Lead",C926))&gt;0,'Configuración'!$B$33,IF(ISNUMBER(SEARCH("COO",C926))+ISNUMBER(SEARCH("CFO",C926))+ISNUMBER(SEARCH("CTO",C926))+ISNUMBER(SEARCH("Chief Operating",C926))+ISNUMBER(SEARCH("Chief Financial",C926))+ISNUMBER(SEARCH("Gerente General",C926))+ISNUMBER(SEARCH("General Manager",C926))&gt;0,'Configuración'!$B$34,'Configuración'!$B$35)))))</f>
        <v>12</v>
      </c>
      <c r="V926" s="38">
        <f>IF(B926="","",IF(K926="Sí",'Configuración'!$B$5,0)+IF(L926="Semanal",'Configuración'!$B$6,IF(L926="Mensual",'Configuración'!$B$7,0))+IF(M926="Sí",'Configuración'!$B$8,0)+IF(N926="Sí",'Configuración'!$B$9,0)+IF(O926="Sí",'Configuración'!$B$10,0)+IF(P926="Sí",'Configuración'!$B$11,0)+IF(Q926="Sí",'Configuración'!$B$12,0)+S926+T926+U926)</f>
        <v>28</v>
      </c>
      <c r="W926" s="39" t="str">
        <f>IF(B926="","",IF(V926&gt;='Configuración'!$B$19,"A",IF(V926&gt;='Configuración'!$B$20,"B",IF(V926&gt;='Configuración'!$B$21,"C","Descarte"))))</f>
        <v>C</v>
      </c>
    </row>
    <row r="927" ht="15.75" customHeight="1">
      <c r="A927" s="34">
        <f t="shared" si="1"/>
        <v>925</v>
      </c>
      <c r="B927" s="29" t="s">
        <v>556</v>
      </c>
      <c r="C927" s="29" t="s">
        <v>5426</v>
      </c>
      <c r="D927" s="29" t="s">
        <v>5427</v>
      </c>
      <c r="E927" s="29" t="s">
        <v>5428</v>
      </c>
      <c r="F927" s="30" t="s">
        <v>5429</v>
      </c>
      <c r="G927" s="30" t="s">
        <v>5430</v>
      </c>
      <c r="H927" s="30" t="s">
        <v>5431</v>
      </c>
      <c r="I927" s="29" t="s">
        <v>137</v>
      </c>
      <c r="J927" s="31">
        <v>7.0</v>
      </c>
      <c r="K927" s="35"/>
      <c r="L927" s="35"/>
      <c r="M927" s="35"/>
      <c r="N927" s="35"/>
      <c r="O927" s="35"/>
      <c r="P927" s="35"/>
      <c r="Q927" s="35"/>
      <c r="R927" s="35"/>
      <c r="S927" s="37">
        <f>IF(B927="","",IF(ISNUMBER(J927),IF(J927&lt;=10,'Configuración'!$B$23,IF(J927&lt;=50,'Configuración'!$B$24,IF(J927&lt;=200,'Configuración'!$B$25,0))),0))</f>
        <v>12</v>
      </c>
      <c r="T927" s="37">
        <f>IF(B927="","",IF(ISNUMBER(SEARCH("information technology",I927))+ISNUMBER(SEARCH("software",I927))+ISNUMBER(SEARCH("internet",I927))+ISNUMBER(SEARCH("computer",I927))+ISNUMBER(SEARCH("saas",I927))+ISNUMBER(SEARCH("fintech",I927))+ISNUMBER(SEARCH("information services",I927))+ISNUMBER(SEARCH("telecommunications",I927))&gt;0,'Configuración'!$B$27,'Configuración'!$B$28))</f>
        <v>4</v>
      </c>
      <c r="U927" s="25">
        <f>IF(B927="","",IF(ISNUMBER(SEARCH("CEO",C927))+ISNUMBER(SEARCH("Founder",C927))+ISNUMBER(SEARCH("Owner",C927))+ISNUMBER(SEARCH("Dueño",C927))+ISNUMBER(SEARCH("Director General",C927))+ISNUMBER(SEARCH("Presidente",C927))+ISNUMBER(SEARCH("President",C927))&gt;0,'Configuración'!$B$31,IF(ISNUMBER(SEARCH("CMO",C927))+ISNUMBER(SEARCH("Chief Marketing",C927))+ISNUMBER(SEARCH("VP Marketing",C927))+ISNUMBER(SEARCH("Director de Marketing",C927))+ISNUMBER(SEARCH("Director Marketing",C927))+ISNUMBER(SEARCH("Head of Marketing",C927))+ISNUMBER(SEARCH("Head Marketing",C927))&gt;0,'Configuración'!$B$32,IF(ISNUMBER(SEARCH("Marketing Manager",C927))+ISNUMBER(SEARCH("Gerente de Marketing",C927))+ISNUMBER(SEARCH("Growth Manager",C927))+ISNUMBER(SEARCH("Demand Gen",C927))+ISNUMBER(SEARCH("Marketing Lead",C927))&gt;0,'Configuración'!$B$33,IF(ISNUMBER(SEARCH("COO",C927))+ISNUMBER(SEARCH("CFO",C927))+ISNUMBER(SEARCH("CTO",C927))+ISNUMBER(SEARCH("Chief Operating",C927))+ISNUMBER(SEARCH("Chief Financial",C927))+ISNUMBER(SEARCH("Gerente General",C927))+ISNUMBER(SEARCH("General Manager",C927))&gt;0,'Configuración'!$B$34,'Configuración'!$B$35)))))</f>
        <v>12</v>
      </c>
      <c r="V927" s="38">
        <f>IF(B927="","",IF(K927="Sí",'Configuración'!$B$5,0)+IF(L927="Semanal",'Configuración'!$B$6,IF(L927="Mensual",'Configuración'!$B$7,0))+IF(M927="Sí",'Configuración'!$B$8,0)+IF(N927="Sí",'Configuración'!$B$9,0)+IF(O927="Sí",'Configuración'!$B$10,0)+IF(P927="Sí",'Configuración'!$B$11,0)+IF(Q927="Sí",'Configuración'!$B$12,0)+S927+T927+U927)</f>
        <v>28</v>
      </c>
      <c r="W927" s="39" t="str">
        <f>IF(B927="","",IF(V927&gt;='Configuración'!$B$19,"A",IF(V927&gt;='Configuración'!$B$20,"B",IF(V927&gt;='Configuración'!$B$21,"C","Descarte"))))</f>
        <v>C</v>
      </c>
    </row>
    <row r="928" ht="15.75" customHeight="1">
      <c r="A928" s="34">
        <f t="shared" si="1"/>
        <v>926</v>
      </c>
      <c r="B928" s="29" t="s">
        <v>578</v>
      </c>
      <c r="C928" s="29" t="s">
        <v>622</v>
      </c>
      <c r="D928" s="29" t="s">
        <v>5432</v>
      </c>
      <c r="E928" s="29" t="s">
        <v>5433</v>
      </c>
      <c r="F928" s="30" t="s">
        <v>5434</v>
      </c>
      <c r="G928" s="30" t="s">
        <v>5435</v>
      </c>
      <c r="H928" s="30" t="s">
        <v>5436</v>
      </c>
      <c r="I928" s="29" t="s">
        <v>188</v>
      </c>
      <c r="J928" s="31">
        <v>2.0</v>
      </c>
      <c r="K928" s="35"/>
      <c r="L928" s="35"/>
      <c r="M928" s="35"/>
      <c r="N928" s="35"/>
      <c r="O928" s="35"/>
      <c r="P928" s="35"/>
      <c r="Q928" s="35"/>
      <c r="R928" s="35"/>
      <c r="S928" s="37">
        <f>IF(B928="","",IF(ISNUMBER(J928),IF(J928&lt;=10,'Configuración'!$B$23,IF(J928&lt;=50,'Configuración'!$B$24,IF(J928&lt;=200,'Configuración'!$B$25,0))),0))</f>
        <v>12</v>
      </c>
      <c r="T928" s="37">
        <f>IF(B928="","",IF(ISNUMBER(SEARCH("information technology",I928))+ISNUMBER(SEARCH("software",I928))+ISNUMBER(SEARCH("internet",I928))+ISNUMBER(SEARCH("computer",I928))+ISNUMBER(SEARCH("saas",I928))+ISNUMBER(SEARCH("fintech",I928))+ISNUMBER(SEARCH("information services",I928))+ISNUMBER(SEARCH("telecommunications",I928))&gt;0,'Configuración'!$B$27,'Configuración'!$B$28))</f>
        <v>4</v>
      </c>
      <c r="U928" s="25">
        <f>IF(B928="","",IF(ISNUMBER(SEARCH("CEO",C928))+ISNUMBER(SEARCH("Founder",C928))+ISNUMBER(SEARCH("Owner",C928))+ISNUMBER(SEARCH("Dueño",C928))+ISNUMBER(SEARCH("Director General",C928))+ISNUMBER(SEARCH("Presidente",C928))+ISNUMBER(SEARCH("President",C928))&gt;0,'Configuración'!$B$31,IF(ISNUMBER(SEARCH("CMO",C928))+ISNUMBER(SEARCH("Chief Marketing",C928))+ISNUMBER(SEARCH("VP Marketing",C928))+ISNUMBER(SEARCH("Director de Marketing",C928))+ISNUMBER(SEARCH("Director Marketing",C928))+ISNUMBER(SEARCH("Head of Marketing",C928))+ISNUMBER(SEARCH("Head Marketing",C928))&gt;0,'Configuración'!$B$32,IF(ISNUMBER(SEARCH("Marketing Manager",C928))+ISNUMBER(SEARCH("Gerente de Marketing",C928))+ISNUMBER(SEARCH("Growth Manager",C928))+ISNUMBER(SEARCH("Demand Gen",C928))+ISNUMBER(SEARCH("Marketing Lead",C928))&gt;0,'Configuración'!$B$33,IF(ISNUMBER(SEARCH("COO",C928))+ISNUMBER(SEARCH("CFO",C928))+ISNUMBER(SEARCH("CTO",C928))+ISNUMBER(SEARCH("Chief Operating",C928))+ISNUMBER(SEARCH("Chief Financial",C928))+ISNUMBER(SEARCH("Gerente General",C928))+ISNUMBER(SEARCH("General Manager",C928))&gt;0,'Configuración'!$B$34,'Configuración'!$B$35)))))</f>
        <v>12</v>
      </c>
      <c r="V928" s="38">
        <f>IF(B928="","",IF(K928="Sí",'Configuración'!$B$5,0)+IF(L928="Semanal",'Configuración'!$B$6,IF(L928="Mensual",'Configuración'!$B$7,0))+IF(M928="Sí",'Configuración'!$B$8,0)+IF(N928="Sí",'Configuración'!$B$9,0)+IF(O928="Sí",'Configuración'!$B$10,0)+IF(P928="Sí",'Configuración'!$B$11,0)+IF(Q928="Sí",'Configuración'!$B$12,0)+S928+T928+U928)</f>
        <v>28</v>
      </c>
      <c r="W928" s="39" t="str">
        <f>IF(B928="","",IF(V928&gt;='Configuración'!$B$19,"A",IF(V928&gt;='Configuración'!$B$20,"B",IF(V928&gt;='Configuración'!$B$21,"C","Descarte"))))</f>
        <v>C</v>
      </c>
    </row>
    <row r="929" ht="15.75" customHeight="1">
      <c r="A929" s="34">
        <f t="shared" si="1"/>
        <v>927</v>
      </c>
      <c r="B929" s="29" t="s">
        <v>5437</v>
      </c>
      <c r="C929" s="29" t="s">
        <v>1898</v>
      </c>
      <c r="D929" s="29" t="s">
        <v>5438</v>
      </c>
      <c r="E929" s="29" t="s">
        <v>5439</v>
      </c>
      <c r="F929" s="30" t="s">
        <v>5440</v>
      </c>
      <c r="G929" s="30" t="s">
        <v>5441</v>
      </c>
      <c r="H929" s="30" t="s">
        <v>5442</v>
      </c>
      <c r="I929" s="29" t="s">
        <v>127</v>
      </c>
      <c r="J929" s="31">
        <v>9.0</v>
      </c>
      <c r="K929" s="35"/>
      <c r="L929" s="35"/>
      <c r="M929" s="35"/>
      <c r="N929" s="35"/>
      <c r="O929" s="35"/>
      <c r="P929" s="35"/>
      <c r="Q929" s="35"/>
      <c r="R929" s="35"/>
      <c r="S929" s="37">
        <f>IF(B929="","",IF(ISNUMBER(J929),IF(J929&lt;=10,'Configuración'!$B$23,IF(J929&lt;=50,'Configuración'!$B$24,IF(J929&lt;=200,'Configuración'!$B$25,0))),0))</f>
        <v>12</v>
      </c>
      <c r="T929" s="37">
        <f>IF(B929="","",IF(ISNUMBER(SEARCH("information technology",I929))+ISNUMBER(SEARCH("software",I929))+ISNUMBER(SEARCH("internet",I929))+ISNUMBER(SEARCH("computer",I929))+ISNUMBER(SEARCH("saas",I929))+ISNUMBER(SEARCH("fintech",I929))+ISNUMBER(SEARCH("information services",I929))+ISNUMBER(SEARCH("telecommunications",I929))&gt;0,'Configuración'!$B$27,'Configuración'!$B$28))</f>
        <v>12</v>
      </c>
      <c r="U929" s="25">
        <f>IF(B929="","",IF(ISNUMBER(SEARCH("CEO",C929))+ISNUMBER(SEARCH("Founder",C929))+ISNUMBER(SEARCH("Owner",C929))+ISNUMBER(SEARCH("Dueño",C929))+ISNUMBER(SEARCH("Director General",C929))+ISNUMBER(SEARCH("Presidente",C929))+ISNUMBER(SEARCH("President",C929))&gt;0,'Configuración'!$B$31,IF(ISNUMBER(SEARCH("CMO",C929))+ISNUMBER(SEARCH("Chief Marketing",C929))+ISNUMBER(SEARCH("VP Marketing",C929))+ISNUMBER(SEARCH("Director de Marketing",C929))+ISNUMBER(SEARCH("Director Marketing",C929))+ISNUMBER(SEARCH("Head of Marketing",C929))+ISNUMBER(SEARCH("Head Marketing",C929))&gt;0,'Configuración'!$B$32,IF(ISNUMBER(SEARCH("Marketing Manager",C929))+ISNUMBER(SEARCH("Gerente de Marketing",C929))+ISNUMBER(SEARCH("Growth Manager",C929))+ISNUMBER(SEARCH("Demand Gen",C929))+ISNUMBER(SEARCH("Marketing Lead",C929))&gt;0,'Configuración'!$B$33,IF(ISNUMBER(SEARCH("COO",C929))+ISNUMBER(SEARCH("CFO",C929))+ISNUMBER(SEARCH("CTO",C929))+ISNUMBER(SEARCH("Chief Operating",C929))+ISNUMBER(SEARCH("Chief Financial",C929))+ISNUMBER(SEARCH("Gerente General",C929))+ISNUMBER(SEARCH("General Manager",C929))&gt;0,'Configuración'!$B$34,'Configuración'!$B$35)))))</f>
        <v>12</v>
      </c>
      <c r="V929" s="38">
        <f>IF(B929="","",IF(K929="Sí",'Configuración'!$B$5,0)+IF(L929="Semanal",'Configuración'!$B$6,IF(L929="Mensual",'Configuración'!$B$7,0))+IF(M929="Sí",'Configuración'!$B$8,0)+IF(N929="Sí",'Configuración'!$B$9,0)+IF(O929="Sí",'Configuración'!$B$10,0)+IF(P929="Sí",'Configuración'!$B$11,0)+IF(Q929="Sí",'Configuración'!$B$12,0)+S929+T929+U929)</f>
        <v>36</v>
      </c>
      <c r="W929" s="39" t="str">
        <f>IF(B929="","",IF(V929&gt;='Configuración'!$B$19,"A",IF(V929&gt;='Configuración'!$B$20,"B",IF(V929&gt;='Configuración'!$B$21,"C","Descarte"))))</f>
        <v>C</v>
      </c>
    </row>
    <row r="930" ht="15.75" customHeight="1">
      <c r="A930" s="34">
        <f t="shared" si="1"/>
        <v>928</v>
      </c>
      <c r="B930" s="29" t="s">
        <v>2429</v>
      </c>
      <c r="C930" s="29" t="s">
        <v>1938</v>
      </c>
      <c r="D930" s="29" t="s">
        <v>5443</v>
      </c>
      <c r="E930" s="29" t="s">
        <v>5444</v>
      </c>
      <c r="F930" s="30" t="s">
        <v>5445</v>
      </c>
      <c r="G930" s="30" t="s">
        <v>5446</v>
      </c>
      <c r="H930" s="30" t="s">
        <v>5447</v>
      </c>
      <c r="I930" s="29" t="s">
        <v>542</v>
      </c>
      <c r="J930" s="31">
        <v>10.0</v>
      </c>
      <c r="K930" s="35"/>
      <c r="L930" s="35"/>
      <c r="M930" s="35"/>
      <c r="N930" s="35"/>
      <c r="O930" s="35"/>
      <c r="P930" s="35"/>
      <c r="Q930" s="35"/>
      <c r="R930" s="35"/>
      <c r="S930" s="37">
        <f>IF(B930="","",IF(ISNUMBER(J930),IF(J930&lt;=10,'Configuración'!$B$23,IF(J930&lt;=50,'Configuración'!$B$24,IF(J930&lt;=200,'Configuración'!$B$25,0))),0))</f>
        <v>12</v>
      </c>
      <c r="T930" s="37">
        <f>IF(B930="","",IF(ISNUMBER(SEARCH("information technology",I930))+ISNUMBER(SEARCH("software",I930))+ISNUMBER(SEARCH("internet",I930))+ISNUMBER(SEARCH("computer",I930))+ISNUMBER(SEARCH("saas",I930))+ISNUMBER(SEARCH("fintech",I930))+ISNUMBER(SEARCH("information services",I930))+ISNUMBER(SEARCH("telecommunications",I930))&gt;0,'Configuración'!$B$27,'Configuración'!$B$28))</f>
        <v>4</v>
      </c>
      <c r="U930" s="25">
        <f>IF(B930="","",IF(ISNUMBER(SEARCH("CEO",C930))+ISNUMBER(SEARCH("Founder",C930))+ISNUMBER(SEARCH("Owner",C930))+ISNUMBER(SEARCH("Dueño",C930))+ISNUMBER(SEARCH("Director General",C930))+ISNUMBER(SEARCH("Presidente",C930))+ISNUMBER(SEARCH("President",C930))&gt;0,'Configuración'!$B$31,IF(ISNUMBER(SEARCH("CMO",C930))+ISNUMBER(SEARCH("Chief Marketing",C930))+ISNUMBER(SEARCH("VP Marketing",C930))+ISNUMBER(SEARCH("Director de Marketing",C930))+ISNUMBER(SEARCH("Director Marketing",C930))+ISNUMBER(SEARCH("Head of Marketing",C930))+ISNUMBER(SEARCH("Head Marketing",C930))&gt;0,'Configuración'!$B$32,IF(ISNUMBER(SEARCH("Marketing Manager",C930))+ISNUMBER(SEARCH("Gerente de Marketing",C930))+ISNUMBER(SEARCH("Growth Manager",C930))+ISNUMBER(SEARCH("Demand Gen",C930))+ISNUMBER(SEARCH("Marketing Lead",C930))&gt;0,'Configuración'!$B$33,IF(ISNUMBER(SEARCH("COO",C930))+ISNUMBER(SEARCH("CFO",C930))+ISNUMBER(SEARCH("CTO",C930))+ISNUMBER(SEARCH("Chief Operating",C930))+ISNUMBER(SEARCH("Chief Financial",C930))+ISNUMBER(SEARCH("Gerente General",C930))+ISNUMBER(SEARCH("General Manager",C930))&gt;0,'Configuración'!$B$34,'Configuración'!$B$35)))))</f>
        <v>12</v>
      </c>
      <c r="V930" s="38">
        <f>IF(B930="","",IF(K930="Sí",'Configuración'!$B$5,0)+IF(L930="Semanal",'Configuración'!$B$6,IF(L930="Mensual",'Configuración'!$B$7,0))+IF(M930="Sí",'Configuración'!$B$8,0)+IF(N930="Sí",'Configuración'!$B$9,0)+IF(O930="Sí",'Configuración'!$B$10,0)+IF(P930="Sí",'Configuración'!$B$11,0)+IF(Q930="Sí",'Configuración'!$B$12,0)+S930+T930+U930)</f>
        <v>28</v>
      </c>
      <c r="W930" s="39" t="str">
        <f>IF(B930="","",IF(V930&gt;='Configuración'!$B$19,"A",IF(V930&gt;='Configuración'!$B$20,"B",IF(V930&gt;='Configuración'!$B$21,"C","Descarte"))))</f>
        <v>C</v>
      </c>
    </row>
    <row r="931" ht="15.75" customHeight="1">
      <c r="A931" s="34">
        <f t="shared" si="1"/>
        <v>929</v>
      </c>
      <c r="B931" s="29" t="s">
        <v>5448</v>
      </c>
      <c r="C931" s="29" t="s">
        <v>5449</v>
      </c>
      <c r="D931" s="29" t="s">
        <v>5450</v>
      </c>
      <c r="E931" s="29" t="s">
        <v>5451</v>
      </c>
      <c r="F931" s="30" t="s">
        <v>5452</v>
      </c>
      <c r="G931" s="30" t="s">
        <v>5453</v>
      </c>
      <c r="H931" s="30" t="s">
        <v>5454</v>
      </c>
      <c r="I931" s="29" t="s">
        <v>127</v>
      </c>
      <c r="J931" s="31">
        <v>3.0</v>
      </c>
      <c r="K931" s="35"/>
      <c r="L931" s="35"/>
      <c r="M931" s="35"/>
      <c r="N931" s="35"/>
      <c r="O931" s="35"/>
      <c r="P931" s="35"/>
      <c r="Q931" s="35"/>
      <c r="R931" s="35"/>
      <c r="S931" s="37">
        <f>IF(B931="","",IF(ISNUMBER(J931),IF(J931&lt;=10,'Configuración'!$B$23,IF(J931&lt;=50,'Configuración'!$B$24,IF(J931&lt;=200,'Configuración'!$B$25,0))),0))</f>
        <v>12</v>
      </c>
      <c r="T931" s="37">
        <f>IF(B931="","",IF(ISNUMBER(SEARCH("information technology",I931))+ISNUMBER(SEARCH("software",I931))+ISNUMBER(SEARCH("internet",I931))+ISNUMBER(SEARCH("computer",I931))+ISNUMBER(SEARCH("saas",I931))+ISNUMBER(SEARCH("fintech",I931))+ISNUMBER(SEARCH("information services",I931))+ISNUMBER(SEARCH("telecommunications",I931))&gt;0,'Configuración'!$B$27,'Configuración'!$B$28))</f>
        <v>12</v>
      </c>
      <c r="U931" s="25">
        <f>IF(B931="","",IF(ISNUMBER(SEARCH("CEO",C931))+ISNUMBER(SEARCH("Founder",C931))+ISNUMBER(SEARCH("Owner",C931))+ISNUMBER(SEARCH("Dueño",C931))+ISNUMBER(SEARCH("Director General",C931))+ISNUMBER(SEARCH("Presidente",C931))+ISNUMBER(SEARCH("President",C931))&gt;0,'Configuración'!$B$31,IF(ISNUMBER(SEARCH("CMO",C931))+ISNUMBER(SEARCH("Chief Marketing",C931))+ISNUMBER(SEARCH("VP Marketing",C931))+ISNUMBER(SEARCH("Director de Marketing",C931))+ISNUMBER(SEARCH("Director Marketing",C931))+ISNUMBER(SEARCH("Head of Marketing",C931))+ISNUMBER(SEARCH("Head Marketing",C931))&gt;0,'Configuración'!$B$32,IF(ISNUMBER(SEARCH("Marketing Manager",C931))+ISNUMBER(SEARCH("Gerente de Marketing",C931))+ISNUMBER(SEARCH("Growth Manager",C931))+ISNUMBER(SEARCH("Demand Gen",C931))+ISNUMBER(SEARCH("Marketing Lead",C931))&gt;0,'Configuración'!$B$33,IF(ISNUMBER(SEARCH("COO",C931))+ISNUMBER(SEARCH("CFO",C931))+ISNUMBER(SEARCH("CTO",C931))+ISNUMBER(SEARCH("Chief Operating",C931))+ISNUMBER(SEARCH("Chief Financial",C931))+ISNUMBER(SEARCH("Gerente General",C931))+ISNUMBER(SEARCH("General Manager",C931))&gt;0,'Configuración'!$B$34,'Configuración'!$B$35)))))</f>
        <v>12</v>
      </c>
      <c r="V931" s="38">
        <f>IF(B931="","",IF(K931="Sí",'Configuración'!$B$5,0)+IF(L931="Semanal",'Configuración'!$B$6,IF(L931="Mensual",'Configuración'!$B$7,0))+IF(M931="Sí",'Configuración'!$B$8,0)+IF(N931="Sí",'Configuración'!$B$9,0)+IF(O931="Sí",'Configuración'!$B$10,0)+IF(P931="Sí",'Configuración'!$B$11,0)+IF(Q931="Sí",'Configuración'!$B$12,0)+S931+T931+U931)</f>
        <v>36</v>
      </c>
      <c r="W931" s="39" t="str">
        <f>IF(B931="","",IF(V931&gt;='Configuración'!$B$19,"A",IF(V931&gt;='Configuración'!$B$20,"B",IF(V931&gt;='Configuración'!$B$21,"C","Descarte"))))</f>
        <v>C</v>
      </c>
    </row>
    <row r="932" ht="15.75" customHeight="1">
      <c r="A932" s="34">
        <f t="shared" si="1"/>
        <v>930</v>
      </c>
      <c r="B932" s="29" t="s">
        <v>296</v>
      </c>
      <c r="C932" s="29" t="s">
        <v>5455</v>
      </c>
      <c r="D932" s="29" t="s">
        <v>5456</v>
      </c>
      <c r="E932" s="29" t="s">
        <v>5457</v>
      </c>
      <c r="F932" s="30" t="s">
        <v>5458</v>
      </c>
      <c r="G932" s="30" t="s">
        <v>5459</v>
      </c>
      <c r="H932" s="30" t="s">
        <v>5460</v>
      </c>
      <c r="I932" s="29" t="s">
        <v>500</v>
      </c>
      <c r="J932" s="31">
        <v>1.0</v>
      </c>
      <c r="K932" s="35"/>
      <c r="L932" s="35"/>
      <c r="M932" s="35"/>
      <c r="N932" s="35"/>
      <c r="O932" s="35"/>
      <c r="P932" s="35"/>
      <c r="Q932" s="35"/>
      <c r="R932" s="35"/>
      <c r="S932" s="37">
        <f>IF(B932="","",IF(ISNUMBER(J932),IF(J932&lt;=10,'Configuración'!$B$23,IF(J932&lt;=50,'Configuración'!$B$24,IF(J932&lt;=200,'Configuración'!$B$25,0))),0))</f>
        <v>12</v>
      </c>
      <c r="T932" s="37">
        <f>IF(B932="","",IF(ISNUMBER(SEARCH("information technology",I932))+ISNUMBER(SEARCH("software",I932))+ISNUMBER(SEARCH("internet",I932))+ISNUMBER(SEARCH("computer",I932))+ISNUMBER(SEARCH("saas",I932))+ISNUMBER(SEARCH("fintech",I932))+ISNUMBER(SEARCH("information services",I932))+ISNUMBER(SEARCH("telecommunications",I932))&gt;0,'Configuración'!$B$27,'Configuración'!$B$28))</f>
        <v>4</v>
      </c>
      <c r="U932" s="25">
        <f>IF(B932="","",IF(ISNUMBER(SEARCH("CEO",C932))+ISNUMBER(SEARCH("Founder",C932))+ISNUMBER(SEARCH("Owner",C932))+ISNUMBER(SEARCH("Dueño",C932))+ISNUMBER(SEARCH("Director General",C932))+ISNUMBER(SEARCH("Presidente",C932))+ISNUMBER(SEARCH("President",C932))&gt;0,'Configuración'!$B$31,IF(ISNUMBER(SEARCH("CMO",C932))+ISNUMBER(SEARCH("Chief Marketing",C932))+ISNUMBER(SEARCH("VP Marketing",C932))+ISNUMBER(SEARCH("Director de Marketing",C932))+ISNUMBER(SEARCH("Director Marketing",C932))+ISNUMBER(SEARCH("Head of Marketing",C932))+ISNUMBER(SEARCH("Head Marketing",C932))&gt;0,'Configuración'!$B$32,IF(ISNUMBER(SEARCH("Marketing Manager",C932))+ISNUMBER(SEARCH("Gerente de Marketing",C932))+ISNUMBER(SEARCH("Growth Manager",C932))+ISNUMBER(SEARCH("Demand Gen",C932))+ISNUMBER(SEARCH("Marketing Lead",C932))&gt;0,'Configuración'!$B$33,IF(ISNUMBER(SEARCH("COO",C932))+ISNUMBER(SEARCH("CFO",C932))+ISNUMBER(SEARCH("CTO",C932))+ISNUMBER(SEARCH("Chief Operating",C932))+ISNUMBER(SEARCH("Chief Financial",C932))+ISNUMBER(SEARCH("Gerente General",C932))+ISNUMBER(SEARCH("General Manager",C932))&gt;0,'Configuración'!$B$34,'Configuración'!$B$35)))))</f>
        <v>12</v>
      </c>
      <c r="V932" s="38">
        <f>IF(B932="","",IF(K932="Sí",'Configuración'!$B$5,0)+IF(L932="Semanal",'Configuración'!$B$6,IF(L932="Mensual",'Configuración'!$B$7,0))+IF(M932="Sí",'Configuración'!$B$8,0)+IF(N932="Sí",'Configuración'!$B$9,0)+IF(O932="Sí",'Configuración'!$B$10,0)+IF(P932="Sí",'Configuración'!$B$11,0)+IF(Q932="Sí",'Configuración'!$B$12,0)+S932+T932+U932)</f>
        <v>28</v>
      </c>
      <c r="W932" s="39" t="str">
        <f>IF(B932="","",IF(V932&gt;='Configuración'!$B$19,"A",IF(V932&gt;='Configuración'!$B$20,"B",IF(V932&gt;='Configuración'!$B$21,"C","Descarte"))))</f>
        <v>C</v>
      </c>
    </row>
    <row r="933" ht="15.75" customHeight="1">
      <c r="A933" s="34">
        <f t="shared" si="1"/>
        <v>931</v>
      </c>
      <c r="B933" s="29" t="s">
        <v>2199</v>
      </c>
      <c r="C933" s="29" t="s">
        <v>175</v>
      </c>
      <c r="D933" s="29" t="s">
        <v>5461</v>
      </c>
      <c r="E933" s="29" t="s">
        <v>5462</v>
      </c>
      <c r="F933" s="30" t="s">
        <v>5463</v>
      </c>
      <c r="G933" s="30" t="s">
        <v>5464</v>
      </c>
      <c r="H933" s="30" t="s">
        <v>5465</v>
      </c>
      <c r="I933" s="29" t="s">
        <v>188</v>
      </c>
      <c r="J933" s="31">
        <v>21.0</v>
      </c>
      <c r="K933" s="35"/>
      <c r="L933" s="35"/>
      <c r="M933" s="35"/>
      <c r="N933" s="35"/>
      <c r="O933" s="35"/>
      <c r="P933" s="35"/>
      <c r="Q933" s="35"/>
      <c r="R933" s="35"/>
      <c r="S933" s="37">
        <f>IF(B933="","",IF(ISNUMBER(J933),IF(J933&lt;=10,'Configuración'!$B$23,IF(J933&lt;=50,'Configuración'!$B$24,IF(J933&lt;=200,'Configuración'!$B$25,0))),0))</f>
        <v>4</v>
      </c>
      <c r="T933" s="37">
        <f>IF(B933="","",IF(ISNUMBER(SEARCH("information technology",I933))+ISNUMBER(SEARCH("software",I933))+ISNUMBER(SEARCH("internet",I933))+ISNUMBER(SEARCH("computer",I933))+ISNUMBER(SEARCH("saas",I933))+ISNUMBER(SEARCH("fintech",I933))+ISNUMBER(SEARCH("information services",I933))+ISNUMBER(SEARCH("telecommunications",I933))&gt;0,'Configuración'!$B$27,'Configuración'!$B$28))</f>
        <v>4</v>
      </c>
      <c r="U933" s="25">
        <f>IF(B933="","",IF(ISNUMBER(SEARCH("CEO",C933))+ISNUMBER(SEARCH("Founder",C933))+ISNUMBER(SEARCH("Owner",C933))+ISNUMBER(SEARCH("Dueño",C933))+ISNUMBER(SEARCH("Director General",C933))+ISNUMBER(SEARCH("Presidente",C933))+ISNUMBER(SEARCH("President",C933))&gt;0,'Configuración'!$B$31,IF(ISNUMBER(SEARCH("CMO",C933))+ISNUMBER(SEARCH("Chief Marketing",C933))+ISNUMBER(SEARCH("VP Marketing",C933))+ISNUMBER(SEARCH("Director de Marketing",C933))+ISNUMBER(SEARCH("Director Marketing",C933))+ISNUMBER(SEARCH("Head of Marketing",C933))+ISNUMBER(SEARCH("Head Marketing",C933))&gt;0,'Configuración'!$B$32,IF(ISNUMBER(SEARCH("Marketing Manager",C933))+ISNUMBER(SEARCH("Gerente de Marketing",C933))+ISNUMBER(SEARCH("Growth Manager",C933))+ISNUMBER(SEARCH("Demand Gen",C933))+ISNUMBER(SEARCH("Marketing Lead",C933))&gt;0,'Configuración'!$B$33,IF(ISNUMBER(SEARCH("COO",C933))+ISNUMBER(SEARCH("CFO",C933))+ISNUMBER(SEARCH("CTO",C933))+ISNUMBER(SEARCH("Chief Operating",C933))+ISNUMBER(SEARCH("Chief Financial",C933))+ISNUMBER(SEARCH("Gerente General",C933))+ISNUMBER(SEARCH("General Manager",C933))&gt;0,'Configuración'!$B$34,'Configuración'!$B$35)))))</f>
        <v>12</v>
      </c>
      <c r="V933" s="38">
        <f>IF(B933="","",IF(K933="Sí",'Configuración'!$B$5,0)+IF(L933="Semanal",'Configuración'!$B$6,IF(L933="Mensual",'Configuración'!$B$7,0))+IF(M933="Sí",'Configuración'!$B$8,0)+IF(N933="Sí",'Configuración'!$B$9,0)+IF(O933="Sí",'Configuración'!$B$10,0)+IF(P933="Sí",'Configuración'!$B$11,0)+IF(Q933="Sí",'Configuración'!$B$12,0)+S933+T933+U933)</f>
        <v>20</v>
      </c>
      <c r="W933" s="39" t="str">
        <f>IF(B933="","",IF(V933&gt;='Configuración'!$B$19,"A",IF(V933&gt;='Configuración'!$B$20,"B",IF(V933&gt;='Configuración'!$B$21,"C","Descarte"))))</f>
        <v>Descarte</v>
      </c>
    </row>
    <row r="934" ht="15.75" customHeight="1">
      <c r="A934" s="34">
        <f t="shared" si="1"/>
        <v>932</v>
      </c>
      <c r="B934" s="29" t="s">
        <v>1814</v>
      </c>
      <c r="C934" s="29" t="s">
        <v>175</v>
      </c>
      <c r="D934" s="29" t="s">
        <v>5466</v>
      </c>
      <c r="E934" s="29" t="s">
        <v>5467</v>
      </c>
      <c r="F934" s="30" t="s">
        <v>5468</v>
      </c>
      <c r="G934" s="30" t="s">
        <v>5469</v>
      </c>
      <c r="H934" s="30" t="s">
        <v>5470</v>
      </c>
      <c r="I934" s="29" t="s">
        <v>435</v>
      </c>
      <c r="J934" s="31">
        <v>3.0</v>
      </c>
      <c r="K934" s="35"/>
      <c r="L934" s="35"/>
      <c r="M934" s="35"/>
      <c r="N934" s="35"/>
      <c r="O934" s="35"/>
      <c r="P934" s="35"/>
      <c r="Q934" s="35"/>
      <c r="R934" s="35"/>
      <c r="S934" s="37">
        <f>IF(B934="","",IF(ISNUMBER(J934),IF(J934&lt;=10,'Configuración'!$B$23,IF(J934&lt;=50,'Configuración'!$B$24,IF(J934&lt;=200,'Configuración'!$B$25,0))),0))</f>
        <v>12</v>
      </c>
      <c r="T934" s="37">
        <f>IF(B934="","",IF(ISNUMBER(SEARCH("information technology",I934))+ISNUMBER(SEARCH("software",I934))+ISNUMBER(SEARCH("internet",I934))+ISNUMBER(SEARCH("computer",I934))+ISNUMBER(SEARCH("saas",I934))+ISNUMBER(SEARCH("fintech",I934))+ISNUMBER(SEARCH("information services",I934))+ISNUMBER(SEARCH("telecommunications",I934))&gt;0,'Configuración'!$B$27,'Configuración'!$B$28))</f>
        <v>4</v>
      </c>
      <c r="U934" s="25">
        <f>IF(B934="","",IF(ISNUMBER(SEARCH("CEO",C934))+ISNUMBER(SEARCH("Founder",C934))+ISNUMBER(SEARCH("Owner",C934))+ISNUMBER(SEARCH("Dueño",C934))+ISNUMBER(SEARCH("Director General",C934))+ISNUMBER(SEARCH("Presidente",C934))+ISNUMBER(SEARCH("President",C934))&gt;0,'Configuración'!$B$31,IF(ISNUMBER(SEARCH("CMO",C934))+ISNUMBER(SEARCH("Chief Marketing",C934))+ISNUMBER(SEARCH("VP Marketing",C934))+ISNUMBER(SEARCH("Director de Marketing",C934))+ISNUMBER(SEARCH("Director Marketing",C934))+ISNUMBER(SEARCH("Head of Marketing",C934))+ISNUMBER(SEARCH("Head Marketing",C934))&gt;0,'Configuración'!$B$32,IF(ISNUMBER(SEARCH("Marketing Manager",C934))+ISNUMBER(SEARCH("Gerente de Marketing",C934))+ISNUMBER(SEARCH("Growth Manager",C934))+ISNUMBER(SEARCH("Demand Gen",C934))+ISNUMBER(SEARCH("Marketing Lead",C934))&gt;0,'Configuración'!$B$33,IF(ISNUMBER(SEARCH("COO",C934))+ISNUMBER(SEARCH("CFO",C934))+ISNUMBER(SEARCH("CTO",C934))+ISNUMBER(SEARCH("Chief Operating",C934))+ISNUMBER(SEARCH("Chief Financial",C934))+ISNUMBER(SEARCH("Gerente General",C934))+ISNUMBER(SEARCH("General Manager",C934))&gt;0,'Configuración'!$B$34,'Configuración'!$B$35)))))</f>
        <v>12</v>
      </c>
      <c r="V934" s="38">
        <f>IF(B934="","",IF(K934="Sí",'Configuración'!$B$5,0)+IF(L934="Semanal",'Configuración'!$B$6,IF(L934="Mensual",'Configuración'!$B$7,0))+IF(M934="Sí",'Configuración'!$B$8,0)+IF(N934="Sí",'Configuración'!$B$9,0)+IF(O934="Sí",'Configuración'!$B$10,0)+IF(P934="Sí",'Configuración'!$B$11,0)+IF(Q934="Sí",'Configuración'!$B$12,0)+S934+T934+U934)</f>
        <v>28</v>
      </c>
      <c r="W934" s="39" t="str">
        <f>IF(B934="","",IF(V934&gt;='Configuración'!$B$19,"A",IF(V934&gt;='Configuración'!$B$20,"B",IF(V934&gt;='Configuración'!$B$21,"C","Descarte"))))</f>
        <v>C</v>
      </c>
    </row>
    <row r="935" ht="15.75" customHeight="1">
      <c r="A935" s="34">
        <f t="shared" si="1"/>
        <v>933</v>
      </c>
      <c r="B935" s="29" t="s">
        <v>5471</v>
      </c>
      <c r="C935" s="29" t="s">
        <v>175</v>
      </c>
      <c r="D935" s="29" t="s">
        <v>5472</v>
      </c>
      <c r="E935" s="29" t="s">
        <v>5473</v>
      </c>
      <c r="F935" s="30" t="s">
        <v>5474</v>
      </c>
      <c r="G935" s="30" t="s">
        <v>5475</v>
      </c>
      <c r="H935" s="30" t="s">
        <v>5476</v>
      </c>
      <c r="I935" s="29" t="s">
        <v>116</v>
      </c>
      <c r="J935" s="31">
        <v>1.0</v>
      </c>
      <c r="K935" s="35"/>
      <c r="L935" s="35"/>
      <c r="M935" s="35"/>
      <c r="N935" s="35"/>
      <c r="O935" s="35"/>
      <c r="P935" s="35"/>
      <c r="Q935" s="35"/>
      <c r="R935" s="35"/>
      <c r="S935" s="37">
        <f>IF(B935="","",IF(ISNUMBER(J935),IF(J935&lt;=10,'Configuración'!$B$23,IF(J935&lt;=50,'Configuración'!$B$24,IF(J935&lt;=200,'Configuración'!$B$25,0))),0))</f>
        <v>12</v>
      </c>
      <c r="T935" s="37">
        <f>IF(B935="","",IF(ISNUMBER(SEARCH("information technology",I935))+ISNUMBER(SEARCH("software",I935))+ISNUMBER(SEARCH("internet",I935))+ISNUMBER(SEARCH("computer",I935))+ISNUMBER(SEARCH("saas",I935))+ISNUMBER(SEARCH("fintech",I935))+ISNUMBER(SEARCH("information services",I935))+ISNUMBER(SEARCH("telecommunications",I935))&gt;0,'Configuración'!$B$27,'Configuración'!$B$28))</f>
        <v>4</v>
      </c>
      <c r="U935" s="25">
        <f>IF(B935="","",IF(ISNUMBER(SEARCH("CEO",C935))+ISNUMBER(SEARCH("Founder",C935))+ISNUMBER(SEARCH("Owner",C935))+ISNUMBER(SEARCH("Dueño",C935))+ISNUMBER(SEARCH("Director General",C935))+ISNUMBER(SEARCH("Presidente",C935))+ISNUMBER(SEARCH("President",C935))&gt;0,'Configuración'!$B$31,IF(ISNUMBER(SEARCH("CMO",C935))+ISNUMBER(SEARCH("Chief Marketing",C935))+ISNUMBER(SEARCH("VP Marketing",C935))+ISNUMBER(SEARCH("Director de Marketing",C935))+ISNUMBER(SEARCH("Director Marketing",C935))+ISNUMBER(SEARCH("Head of Marketing",C935))+ISNUMBER(SEARCH("Head Marketing",C935))&gt;0,'Configuración'!$B$32,IF(ISNUMBER(SEARCH("Marketing Manager",C935))+ISNUMBER(SEARCH("Gerente de Marketing",C935))+ISNUMBER(SEARCH("Growth Manager",C935))+ISNUMBER(SEARCH("Demand Gen",C935))+ISNUMBER(SEARCH("Marketing Lead",C935))&gt;0,'Configuración'!$B$33,IF(ISNUMBER(SEARCH("COO",C935))+ISNUMBER(SEARCH("CFO",C935))+ISNUMBER(SEARCH("CTO",C935))+ISNUMBER(SEARCH("Chief Operating",C935))+ISNUMBER(SEARCH("Chief Financial",C935))+ISNUMBER(SEARCH("Gerente General",C935))+ISNUMBER(SEARCH("General Manager",C935))&gt;0,'Configuración'!$B$34,'Configuración'!$B$35)))))</f>
        <v>12</v>
      </c>
      <c r="V935" s="38">
        <f>IF(B935="","",IF(K935="Sí",'Configuración'!$B$5,0)+IF(L935="Semanal",'Configuración'!$B$6,IF(L935="Mensual",'Configuración'!$B$7,0))+IF(M935="Sí",'Configuración'!$B$8,0)+IF(N935="Sí",'Configuración'!$B$9,0)+IF(O935="Sí",'Configuración'!$B$10,0)+IF(P935="Sí",'Configuración'!$B$11,0)+IF(Q935="Sí",'Configuración'!$B$12,0)+S935+T935+U935)</f>
        <v>28</v>
      </c>
      <c r="W935" s="39" t="str">
        <f>IF(B935="","",IF(V935&gt;='Configuración'!$B$19,"A",IF(V935&gt;='Configuración'!$B$20,"B",IF(V935&gt;='Configuración'!$B$21,"C","Descarte"))))</f>
        <v>C</v>
      </c>
    </row>
    <row r="936" ht="15.75" customHeight="1">
      <c r="A936" s="34">
        <f t="shared" si="1"/>
        <v>934</v>
      </c>
      <c r="B936" s="29" t="s">
        <v>5477</v>
      </c>
      <c r="C936" s="29" t="s">
        <v>5478</v>
      </c>
      <c r="D936" s="29" t="s">
        <v>5479</v>
      </c>
      <c r="E936" s="29" t="s">
        <v>5480</v>
      </c>
      <c r="F936" s="30" t="s">
        <v>5481</v>
      </c>
      <c r="G936" s="30" t="s">
        <v>5482</v>
      </c>
      <c r="H936" s="30" t="s">
        <v>5483</v>
      </c>
      <c r="I936" s="29" t="s">
        <v>443</v>
      </c>
      <c r="J936" s="31">
        <v>16.0</v>
      </c>
      <c r="K936" s="35"/>
      <c r="L936" s="35"/>
      <c r="M936" s="35"/>
      <c r="N936" s="35"/>
      <c r="O936" s="35"/>
      <c r="P936" s="35"/>
      <c r="Q936" s="35"/>
      <c r="R936" s="35"/>
      <c r="S936" s="37">
        <f>IF(B936="","",IF(ISNUMBER(J936),IF(J936&lt;=10,'Configuración'!$B$23,IF(J936&lt;=50,'Configuración'!$B$24,IF(J936&lt;=200,'Configuración'!$B$25,0))),0))</f>
        <v>4</v>
      </c>
      <c r="T936" s="37">
        <f>IF(B936="","",IF(ISNUMBER(SEARCH("information technology",I936))+ISNUMBER(SEARCH("software",I936))+ISNUMBER(SEARCH("internet",I936))+ISNUMBER(SEARCH("computer",I936))+ISNUMBER(SEARCH("saas",I936))+ISNUMBER(SEARCH("fintech",I936))+ISNUMBER(SEARCH("information services",I936))+ISNUMBER(SEARCH("telecommunications",I936))&gt;0,'Configuración'!$B$27,'Configuración'!$B$28))</f>
        <v>4</v>
      </c>
      <c r="U936" s="25">
        <f>IF(B936="","",IF(ISNUMBER(SEARCH("CEO",C936))+ISNUMBER(SEARCH("Founder",C936))+ISNUMBER(SEARCH("Owner",C936))+ISNUMBER(SEARCH("Dueño",C936))+ISNUMBER(SEARCH("Director General",C936))+ISNUMBER(SEARCH("Presidente",C936))+ISNUMBER(SEARCH("President",C936))&gt;0,'Configuración'!$B$31,IF(ISNUMBER(SEARCH("CMO",C936))+ISNUMBER(SEARCH("Chief Marketing",C936))+ISNUMBER(SEARCH("VP Marketing",C936))+ISNUMBER(SEARCH("Director de Marketing",C936))+ISNUMBER(SEARCH("Director Marketing",C936))+ISNUMBER(SEARCH("Head of Marketing",C936))+ISNUMBER(SEARCH("Head Marketing",C936))&gt;0,'Configuración'!$B$32,IF(ISNUMBER(SEARCH("Marketing Manager",C936))+ISNUMBER(SEARCH("Gerente de Marketing",C936))+ISNUMBER(SEARCH("Growth Manager",C936))+ISNUMBER(SEARCH("Demand Gen",C936))+ISNUMBER(SEARCH("Marketing Lead",C936))&gt;0,'Configuración'!$B$33,IF(ISNUMBER(SEARCH("COO",C936))+ISNUMBER(SEARCH("CFO",C936))+ISNUMBER(SEARCH("CTO",C936))+ISNUMBER(SEARCH("Chief Operating",C936))+ISNUMBER(SEARCH("Chief Financial",C936))+ISNUMBER(SEARCH("Gerente General",C936))+ISNUMBER(SEARCH("General Manager",C936))&gt;0,'Configuración'!$B$34,'Configuración'!$B$35)))))</f>
        <v>12</v>
      </c>
      <c r="V936" s="38">
        <f>IF(B936="","",IF(K936="Sí",'Configuración'!$B$5,0)+IF(L936="Semanal",'Configuración'!$B$6,IF(L936="Mensual",'Configuración'!$B$7,0))+IF(M936="Sí",'Configuración'!$B$8,0)+IF(N936="Sí",'Configuración'!$B$9,0)+IF(O936="Sí",'Configuración'!$B$10,0)+IF(P936="Sí",'Configuración'!$B$11,0)+IF(Q936="Sí",'Configuración'!$B$12,0)+S936+T936+U936)</f>
        <v>20</v>
      </c>
      <c r="W936" s="39" t="str">
        <f>IF(B936="","",IF(V936&gt;='Configuración'!$B$19,"A",IF(V936&gt;='Configuración'!$B$20,"B",IF(V936&gt;='Configuración'!$B$21,"C","Descarte"))))</f>
        <v>Descarte</v>
      </c>
    </row>
    <row r="937" ht="15.75" customHeight="1">
      <c r="A937" s="34">
        <f t="shared" si="1"/>
        <v>935</v>
      </c>
      <c r="B937" s="29" t="s">
        <v>3119</v>
      </c>
      <c r="C937" s="29" t="s">
        <v>202</v>
      </c>
      <c r="D937" s="29" t="s">
        <v>5484</v>
      </c>
      <c r="E937" s="29" t="s">
        <v>5485</v>
      </c>
      <c r="F937" s="30" t="s">
        <v>5486</v>
      </c>
      <c r="G937" s="30" t="s">
        <v>5487</v>
      </c>
      <c r="H937" s="30" t="s">
        <v>5488</v>
      </c>
      <c r="I937" s="29" t="s">
        <v>127</v>
      </c>
      <c r="J937" s="31">
        <v>6.0</v>
      </c>
      <c r="K937" s="35"/>
      <c r="L937" s="35"/>
      <c r="M937" s="35"/>
      <c r="N937" s="35"/>
      <c r="O937" s="35"/>
      <c r="P937" s="35"/>
      <c r="Q937" s="35"/>
      <c r="R937" s="35"/>
      <c r="S937" s="37">
        <f>IF(B937="","",IF(ISNUMBER(J937),IF(J937&lt;=10,'Configuración'!$B$23,IF(J937&lt;=50,'Configuración'!$B$24,IF(J937&lt;=200,'Configuración'!$B$25,0))),0))</f>
        <v>12</v>
      </c>
      <c r="T937" s="37">
        <f>IF(B937="","",IF(ISNUMBER(SEARCH("information technology",I937))+ISNUMBER(SEARCH("software",I937))+ISNUMBER(SEARCH("internet",I937))+ISNUMBER(SEARCH("computer",I937))+ISNUMBER(SEARCH("saas",I937))+ISNUMBER(SEARCH("fintech",I937))+ISNUMBER(SEARCH("information services",I937))+ISNUMBER(SEARCH("telecommunications",I937))&gt;0,'Configuración'!$B$27,'Configuración'!$B$28))</f>
        <v>12</v>
      </c>
      <c r="U937" s="25">
        <f>IF(B937="","",IF(ISNUMBER(SEARCH("CEO",C937))+ISNUMBER(SEARCH("Founder",C937))+ISNUMBER(SEARCH("Owner",C937))+ISNUMBER(SEARCH("Dueño",C937))+ISNUMBER(SEARCH("Director General",C937))+ISNUMBER(SEARCH("Presidente",C937))+ISNUMBER(SEARCH("President",C937))&gt;0,'Configuración'!$B$31,IF(ISNUMBER(SEARCH("CMO",C937))+ISNUMBER(SEARCH("Chief Marketing",C937))+ISNUMBER(SEARCH("VP Marketing",C937))+ISNUMBER(SEARCH("Director de Marketing",C937))+ISNUMBER(SEARCH("Director Marketing",C937))+ISNUMBER(SEARCH("Head of Marketing",C937))+ISNUMBER(SEARCH("Head Marketing",C937))&gt;0,'Configuración'!$B$32,IF(ISNUMBER(SEARCH("Marketing Manager",C937))+ISNUMBER(SEARCH("Gerente de Marketing",C937))+ISNUMBER(SEARCH("Growth Manager",C937))+ISNUMBER(SEARCH("Demand Gen",C937))+ISNUMBER(SEARCH("Marketing Lead",C937))&gt;0,'Configuración'!$B$33,IF(ISNUMBER(SEARCH("COO",C937))+ISNUMBER(SEARCH("CFO",C937))+ISNUMBER(SEARCH("CTO",C937))+ISNUMBER(SEARCH("Chief Operating",C937))+ISNUMBER(SEARCH("Chief Financial",C937))+ISNUMBER(SEARCH("Gerente General",C937))+ISNUMBER(SEARCH("General Manager",C937))&gt;0,'Configuración'!$B$34,'Configuración'!$B$35)))))</f>
        <v>12</v>
      </c>
      <c r="V937" s="38">
        <f>IF(B937="","",IF(K937="Sí",'Configuración'!$B$5,0)+IF(L937="Semanal",'Configuración'!$B$6,IF(L937="Mensual",'Configuración'!$B$7,0))+IF(M937="Sí",'Configuración'!$B$8,0)+IF(N937="Sí",'Configuración'!$B$9,0)+IF(O937="Sí",'Configuración'!$B$10,0)+IF(P937="Sí",'Configuración'!$B$11,0)+IF(Q937="Sí",'Configuración'!$B$12,0)+S937+T937+U937)</f>
        <v>36</v>
      </c>
      <c r="W937" s="39" t="str">
        <f>IF(B937="","",IF(V937&gt;='Configuración'!$B$19,"A",IF(V937&gt;='Configuración'!$B$20,"B",IF(V937&gt;='Configuración'!$B$21,"C","Descarte"))))</f>
        <v>C</v>
      </c>
    </row>
    <row r="938" ht="15.75" customHeight="1">
      <c r="A938" s="34">
        <f t="shared" si="1"/>
        <v>936</v>
      </c>
      <c r="B938" s="29" t="s">
        <v>2740</v>
      </c>
      <c r="C938" s="29" t="s">
        <v>3034</v>
      </c>
      <c r="D938" s="29" t="s">
        <v>5489</v>
      </c>
      <c r="E938" s="29" t="s">
        <v>5490</v>
      </c>
      <c r="F938" s="30" t="s">
        <v>5491</v>
      </c>
      <c r="G938" s="30" t="s">
        <v>5492</v>
      </c>
      <c r="H938" s="30" t="s">
        <v>5493</v>
      </c>
      <c r="I938" s="29" t="s">
        <v>127</v>
      </c>
      <c r="J938" s="31">
        <v>9.0</v>
      </c>
      <c r="K938" s="35"/>
      <c r="L938" s="35"/>
      <c r="M938" s="35"/>
      <c r="N938" s="35"/>
      <c r="O938" s="35"/>
      <c r="P938" s="35"/>
      <c r="Q938" s="35"/>
      <c r="R938" s="35"/>
      <c r="S938" s="37">
        <f>IF(B938="","",IF(ISNUMBER(J938),IF(J938&lt;=10,'Configuración'!$B$23,IF(J938&lt;=50,'Configuración'!$B$24,IF(J938&lt;=200,'Configuración'!$B$25,0))),0))</f>
        <v>12</v>
      </c>
      <c r="T938" s="37">
        <f>IF(B938="","",IF(ISNUMBER(SEARCH("information technology",I938))+ISNUMBER(SEARCH("software",I938))+ISNUMBER(SEARCH("internet",I938))+ISNUMBER(SEARCH("computer",I938))+ISNUMBER(SEARCH("saas",I938))+ISNUMBER(SEARCH("fintech",I938))+ISNUMBER(SEARCH("information services",I938))+ISNUMBER(SEARCH("telecommunications",I938))&gt;0,'Configuración'!$B$27,'Configuración'!$B$28))</f>
        <v>12</v>
      </c>
      <c r="U938" s="25">
        <f>IF(B938="","",IF(ISNUMBER(SEARCH("CEO",C938))+ISNUMBER(SEARCH("Founder",C938))+ISNUMBER(SEARCH("Owner",C938))+ISNUMBER(SEARCH("Dueño",C938))+ISNUMBER(SEARCH("Director General",C938))+ISNUMBER(SEARCH("Presidente",C938))+ISNUMBER(SEARCH("President",C938))&gt;0,'Configuración'!$B$31,IF(ISNUMBER(SEARCH("CMO",C938))+ISNUMBER(SEARCH("Chief Marketing",C938))+ISNUMBER(SEARCH("VP Marketing",C938))+ISNUMBER(SEARCH("Director de Marketing",C938))+ISNUMBER(SEARCH("Director Marketing",C938))+ISNUMBER(SEARCH("Head of Marketing",C938))+ISNUMBER(SEARCH("Head Marketing",C938))&gt;0,'Configuración'!$B$32,IF(ISNUMBER(SEARCH("Marketing Manager",C938))+ISNUMBER(SEARCH("Gerente de Marketing",C938))+ISNUMBER(SEARCH("Growth Manager",C938))+ISNUMBER(SEARCH("Demand Gen",C938))+ISNUMBER(SEARCH("Marketing Lead",C938))&gt;0,'Configuración'!$B$33,IF(ISNUMBER(SEARCH("COO",C938))+ISNUMBER(SEARCH("CFO",C938))+ISNUMBER(SEARCH("CTO",C938))+ISNUMBER(SEARCH("Chief Operating",C938))+ISNUMBER(SEARCH("Chief Financial",C938))+ISNUMBER(SEARCH("Gerente General",C938))+ISNUMBER(SEARCH("General Manager",C938))&gt;0,'Configuración'!$B$34,'Configuración'!$B$35)))))</f>
        <v>0</v>
      </c>
      <c r="V938" s="38">
        <f>IF(B938="","",IF(K938="Sí",'Configuración'!$B$5,0)+IF(L938="Semanal",'Configuración'!$B$6,IF(L938="Mensual",'Configuración'!$B$7,0))+IF(M938="Sí",'Configuración'!$B$8,0)+IF(N938="Sí",'Configuración'!$B$9,0)+IF(O938="Sí",'Configuración'!$B$10,0)+IF(P938="Sí",'Configuración'!$B$11,0)+IF(Q938="Sí",'Configuración'!$B$12,0)+S938+T938+U938)</f>
        <v>24</v>
      </c>
      <c r="W938" s="39" t="str">
        <f>IF(B938="","",IF(V938&gt;='Configuración'!$B$19,"A",IF(V938&gt;='Configuración'!$B$20,"B",IF(V938&gt;='Configuración'!$B$21,"C","Descarte"))))</f>
        <v>C</v>
      </c>
    </row>
    <row r="939" ht="15.75" customHeight="1">
      <c r="A939" s="34">
        <f t="shared" si="1"/>
        <v>937</v>
      </c>
      <c r="B939" s="29" t="s">
        <v>1674</v>
      </c>
      <c r="C939" s="29" t="s">
        <v>5494</v>
      </c>
      <c r="D939" s="29" t="s">
        <v>5495</v>
      </c>
      <c r="E939" s="29" t="s">
        <v>5496</v>
      </c>
      <c r="F939" s="30" t="s">
        <v>5497</v>
      </c>
      <c r="G939" s="30" t="s">
        <v>5498</v>
      </c>
      <c r="H939" s="30" t="s">
        <v>5499</v>
      </c>
      <c r="I939" s="29" t="s">
        <v>769</v>
      </c>
      <c r="J939" s="31">
        <v>30.0</v>
      </c>
      <c r="K939" s="35"/>
      <c r="L939" s="35"/>
      <c r="M939" s="35"/>
      <c r="N939" s="35"/>
      <c r="O939" s="35"/>
      <c r="P939" s="35"/>
      <c r="Q939" s="35"/>
      <c r="R939" s="35"/>
      <c r="S939" s="37">
        <f>IF(B939="","",IF(ISNUMBER(J939),IF(J939&lt;=10,'Configuración'!$B$23,IF(J939&lt;=50,'Configuración'!$B$24,IF(J939&lt;=200,'Configuración'!$B$25,0))),0))</f>
        <v>4</v>
      </c>
      <c r="T939" s="37">
        <f>IF(B939="","",IF(ISNUMBER(SEARCH("information technology",I939))+ISNUMBER(SEARCH("software",I939))+ISNUMBER(SEARCH("internet",I939))+ISNUMBER(SEARCH("computer",I939))+ISNUMBER(SEARCH("saas",I939))+ISNUMBER(SEARCH("fintech",I939))+ISNUMBER(SEARCH("information services",I939))+ISNUMBER(SEARCH("telecommunications",I939))&gt;0,'Configuración'!$B$27,'Configuración'!$B$28))</f>
        <v>4</v>
      </c>
      <c r="U939" s="25">
        <f>IF(B939="","",IF(ISNUMBER(SEARCH("CEO",C939))+ISNUMBER(SEARCH("Founder",C939))+ISNUMBER(SEARCH("Owner",C939))+ISNUMBER(SEARCH("Dueño",C939))+ISNUMBER(SEARCH("Director General",C939))+ISNUMBER(SEARCH("Presidente",C939))+ISNUMBER(SEARCH("President",C939))&gt;0,'Configuración'!$B$31,IF(ISNUMBER(SEARCH("CMO",C939))+ISNUMBER(SEARCH("Chief Marketing",C939))+ISNUMBER(SEARCH("VP Marketing",C939))+ISNUMBER(SEARCH("Director de Marketing",C939))+ISNUMBER(SEARCH("Director Marketing",C939))+ISNUMBER(SEARCH("Head of Marketing",C939))+ISNUMBER(SEARCH("Head Marketing",C939))&gt;0,'Configuración'!$B$32,IF(ISNUMBER(SEARCH("Marketing Manager",C939))+ISNUMBER(SEARCH("Gerente de Marketing",C939))+ISNUMBER(SEARCH("Growth Manager",C939))+ISNUMBER(SEARCH("Demand Gen",C939))+ISNUMBER(SEARCH("Marketing Lead",C939))&gt;0,'Configuración'!$B$33,IF(ISNUMBER(SEARCH("COO",C939))+ISNUMBER(SEARCH("CFO",C939))+ISNUMBER(SEARCH("CTO",C939))+ISNUMBER(SEARCH("Chief Operating",C939))+ISNUMBER(SEARCH("Chief Financial",C939))+ISNUMBER(SEARCH("Gerente General",C939))+ISNUMBER(SEARCH("General Manager",C939))&gt;0,'Configuración'!$B$34,'Configuración'!$B$35)))))</f>
        <v>4</v>
      </c>
      <c r="V939" s="38">
        <f>IF(B939="","",IF(K939="Sí",'Configuración'!$B$5,0)+IF(L939="Semanal",'Configuración'!$B$6,IF(L939="Mensual",'Configuración'!$B$7,0))+IF(M939="Sí",'Configuración'!$B$8,0)+IF(N939="Sí",'Configuración'!$B$9,0)+IF(O939="Sí",'Configuración'!$B$10,0)+IF(P939="Sí",'Configuración'!$B$11,0)+IF(Q939="Sí",'Configuración'!$B$12,0)+S939+T939+U939)</f>
        <v>12</v>
      </c>
      <c r="W939" s="39" t="str">
        <f>IF(B939="","",IF(V939&gt;='Configuración'!$B$19,"A",IF(V939&gt;='Configuración'!$B$20,"B",IF(V939&gt;='Configuración'!$B$21,"C","Descarte"))))</f>
        <v>Descarte</v>
      </c>
    </row>
    <row r="940" ht="15.75" customHeight="1">
      <c r="A940" s="34">
        <f t="shared" si="1"/>
        <v>938</v>
      </c>
      <c r="B940" s="29" t="s">
        <v>4541</v>
      </c>
      <c r="C940" s="29" t="s">
        <v>5500</v>
      </c>
      <c r="D940" s="29" t="s">
        <v>5501</v>
      </c>
      <c r="E940" s="29" t="s">
        <v>5502</v>
      </c>
      <c r="F940" s="30" t="s">
        <v>5503</v>
      </c>
      <c r="G940" s="30" t="s">
        <v>5504</v>
      </c>
      <c r="H940" s="30" t="s">
        <v>5505</v>
      </c>
      <c r="I940" s="29" t="s">
        <v>188</v>
      </c>
      <c r="J940" s="31">
        <v>6.0</v>
      </c>
      <c r="K940" s="35"/>
      <c r="L940" s="35"/>
      <c r="M940" s="35"/>
      <c r="N940" s="35"/>
      <c r="O940" s="35"/>
      <c r="P940" s="35"/>
      <c r="Q940" s="35"/>
      <c r="R940" s="35"/>
      <c r="S940" s="37">
        <f>IF(B940="","",IF(ISNUMBER(J940),IF(J940&lt;=10,'Configuración'!$B$23,IF(J940&lt;=50,'Configuración'!$B$24,IF(J940&lt;=200,'Configuración'!$B$25,0))),0))</f>
        <v>12</v>
      </c>
      <c r="T940" s="37">
        <f>IF(B940="","",IF(ISNUMBER(SEARCH("information technology",I940))+ISNUMBER(SEARCH("software",I940))+ISNUMBER(SEARCH("internet",I940))+ISNUMBER(SEARCH("computer",I940))+ISNUMBER(SEARCH("saas",I940))+ISNUMBER(SEARCH("fintech",I940))+ISNUMBER(SEARCH("information services",I940))+ISNUMBER(SEARCH("telecommunications",I940))&gt;0,'Configuración'!$B$27,'Configuración'!$B$28))</f>
        <v>4</v>
      </c>
      <c r="U940" s="25">
        <f>IF(B940="","",IF(ISNUMBER(SEARCH("CEO",C940))+ISNUMBER(SEARCH("Founder",C940))+ISNUMBER(SEARCH("Owner",C940))+ISNUMBER(SEARCH("Dueño",C940))+ISNUMBER(SEARCH("Director General",C940))+ISNUMBER(SEARCH("Presidente",C940))+ISNUMBER(SEARCH("President",C940))&gt;0,'Configuración'!$B$31,IF(ISNUMBER(SEARCH("CMO",C940))+ISNUMBER(SEARCH("Chief Marketing",C940))+ISNUMBER(SEARCH("VP Marketing",C940))+ISNUMBER(SEARCH("Director de Marketing",C940))+ISNUMBER(SEARCH("Director Marketing",C940))+ISNUMBER(SEARCH("Head of Marketing",C940))+ISNUMBER(SEARCH("Head Marketing",C940))&gt;0,'Configuración'!$B$32,IF(ISNUMBER(SEARCH("Marketing Manager",C940))+ISNUMBER(SEARCH("Gerente de Marketing",C940))+ISNUMBER(SEARCH("Growth Manager",C940))+ISNUMBER(SEARCH("Demand Gen",C940))+ISNUMBER(SEARCH("Marketing Lead",C940))&gt;0,'Configuración'!$B$33,IF(ISNUMBER(SEARCH("COO",C940))+ISNUMBER(SEARCH("CFO",C940))+ISNUMBER(SEARCH("CTO",C940))+ISNUMBER(SEARCH("Chief Operating",C940))+ISNUMBER(SEARCH("Chief Financial",C940))+ISNUMBER(SEARCH("Gerente General",C940))+ISNUMBER(SEARCH("General Manager",C940))&gt;0,'Configuración'!$B$34,'Configuración'!$B$35)))))</f>
        <v>12</v>
      </c>
      <c r="V940" s="38">
        <f>IF(B940="","",IF(K940="Sí",'Configuración'!$B$5,0)+IF(L940="Semanal",'Configuración'!$B$6,IF(L940="Mensual",'Configuración'!$B$7,0))+IF(M940="Sí",'Configuración'!$B$8,0)+IF(N940="Sí",'Configuración'!$B$9,0)+IF(O940="Sí",'Configuración'!$B$10,0)+IF(P940="Sí",'Configuración'!$B$11,0)+IF(Q940="Sí",'Configuración'!$B$12,0)+S940+T940+U940)</f>
        <v>28</v>
      </c>
      <c r="W940" s="39" t="str">
        <f>IF(B940="","",IF(V940&gt;='Configuración'!$B$19,"A",IF(V940&gt;='Configuración'!$B$20,"B",IF(V940&gt;='Configuración'!$B$21,"C","Descarte"))))</f>
        <v>C</v>
      </c>
    </row>
    <row r="941" ht="15.75" customHeight="1">
      <c r="A941" s="34">
        <f t="shared" si="1"/>
        <v>939</v>
      </c>
      <c r="B941" s="29" t="s">
        <v>181</v>
      </c>
      <c r="C941" s="29" t="s">
        <v>5506</v>
      </c>
      <c r="D941" s="29" t="s">
        <v>5507</v>
      </c>
      <c r="E941" s="29" t="s">
        <v>5508</v>
      </c>
      <c r="F941" s="30" t="s">
        <v>5509</v>
      </c>
      <c r="G941" s="30" t="s">
        <v>5510</v>
      </c>
      <c r="H941" s="30" t="s">
        <v>5511</v>
      </c>
      <c r="I941" s="29" t="s">
        <v>127</v>
      </c>
      <c r="J941" s="31">
        <v>20.0</v>
      </c>
      <c r="K941" s="35"/>
      <c r="L941" s="35"/>
      <c r="M941" s="35"/>
      <c r="N941" s="35"/>
      <c r="O941" s="35"/>
      <c r="P941" s="35"/>
      <c r="Q941" s="35"/>
      <c r="R941" s="35"/>
      <c r="S941" s="37">
        <f>IF(B941="","",IF(ISNUMBER(J941),IF(J941&lt;=10,'Configuración'!$B$23,IF(J941&lt;=50,'Configuración'!$B$24,IF(J941&lt;=200,'Configuración'!$B$25,0))),0))</f>
        <v>4</v>
      </c>
      <c r="T941" s="37">
        <f>IF(B941="","",IF(ISNUMBER(SEARCH("information technology",I941))+ISNUMBER(SEARCH("software",I941))+ISNUMBER(SEARCH("internet",I941))+ISNUMBER(SEARCH("computer",I941))+ISNUMBER(SEARCH("saas",I941))+ISNUMBER(SEARCH("fintech",I941))+ISNUMBER(SEARCH("information services",I941))+ISNUMBER(SEARCH("telecommunications",I941))&gt;0,'Configuración'!$B$27,'Configuración'!$B$28))</f>
        <v>12</v>
      </c>
      <c r="U941" s="25">
        <f>IF(B941="","",IF(ISNUMBER(SEARCH("CEO",C941))+ISNUMBER(SEARCH("Founder",C941))+ISNUMBER(SEARCH("Owner",C941))+ISNUMBER(SEARCH("Dueño",C941))+ISNUMBER(SEARCH("Director General",C941))+ISNUMBER(SEARCH("Presidente",C941))+ISNUMBER(SEARCH("President",C941))&gt;0,'Configuración'!$B$31,IF(ISNUMBER(SEARCH("CMO",C941))+ISNUMBER(SEARCH("Chief Marketing",C941))+ISNUMBER(SEARCH("VP Marketing",C941))+ISNUMBER(SEARCH("Director de Marketing",C941))+ISNUMBER(SEARCH("Director Marketing",C941))+ISNUMBER(SEARCH("Head of Marketing",C941))+ISNUMBER(SEARCH("Head Marketing",C941))&gt;0,'Configuración'!$B$32,IF(ISNUMBER(SEARCH("Marketing Manager",C941))+ISNUMBER(SEARCH("Gerente de Marketing",C941))+ISNUMBER(SEARCH("Growth Manager",C941))+ISNUMBER(SEARCH("Demand Gen",C941))+ISNUMBER(SEARCH("Marketing Lead",C941))&gt;0,'Configuración'!$B$33,IF(ISNUMBER(SEARCH("COO",C941))+ISNUMBER(SEARCH("CFO",C941))+ISNUMBER(SEARCH("CTO",C941))+ISNUMBER(SEARCH("Chief Operating",C941))+ISNUMBER(SEARCH("Chief Financial",C941))+ISNUMBER(SEARCH("Gerente General",C941))+ISNUMBER(SEARCH("General Manager",C941))&gt;0,'Configuración'!$B$34,'Configuración'!$B$35)))))</f>
        <v>0</v>
      </c>
      <c r="V941" s="38">
        <f>IF(B941="","",IF(K941="Sí",'Configuración'!$B$5,0)+IF(L941="Semanal",'Configuración'!$B$6,IF(L941="Mensual",'Configuración'!$B$7,0))+IF(M941="Sí",'Configuración'!$B$8,0)+IF(N941="Sí",'Configuración'!$B$9,0)+IF(O941="Sí",'Configuración'!$B$10,0)+IF(P941="Sí",'Configuración'!$B$11,0)+IF(Q941="Sí",'Configuración'!$B$12,0)+S941+T941+U941)</f>
        <v>16</v>
      </c>
      <c r="W941" s="39" t="str">
        <f>IF(B941="","",IF(V941&gt;='Configuración'!$B$19,"A",IF(V941&gt;='Configuración'!$B$20,"B",IF(V941&gt;='Configuración'!$B$21,"C","Descarte"))))</f>
        <v>Descarte</v>
      </c>
    </row>
    <row r="942" ht="15.75" customHeight="1">
      <c r="A942" s="34">
        <f t="shared" si="1"/>
        <v>940</v>
      </c>
      <c r="B942" s="29" t="s">
        <v>5512</v>
      </c>
      <c r="C942" s="29" t="s">
        <v>597</v>
      </c>
      <c r="D942" s="29" t="s">
        <v>5513</v>
      </c>
      <c r="E942" s="29" t="s">
        <v>5514</v>
      </c>
      <c r="F942" s="30" t="s">
        <v>5515</v>
      </c>
      <c r="G942" s="30" t="s">
        <v>5516</v>
      </c>
      <c r="H942" s="30" t="s">
        <v>5517</v>
      </c>
      <c r="I942" s="29" t="s">
        <v>337</v>
      </c>
      <c r="J942" s="31">
        <v>13.0</v>
      </c>
      <c r="K942" s="35"/>
      <c r="L942" s="35"/>
      <c r="M942" s="35"/>
      <c r="N942" s="35"/>
      <c r="O942" s="35"/>
      <c r="P942" s="35"/>
      <c r="Q942" s="35"/>
      <c r="R942" s="35"/>
      <c r="S942" s="37">
        <f>IF(B942="","",IF(ISNUMBER(J942),IF(J942&lt;=10,'Configuración'!$B$23,IF(J942&lt;=50,'Configuración'!$B$24,IF(J942&lt;=200,'Configuración'!$B$25,0))),0))</f>
        <v>4</v>
      </c>
      <c r="T942" s="37">
        <f>IF(B942="","",IF(ISNUMBER(SEARCH("information technology",I942))+ISNUMBER(SEARCH("software",I942))+ISNUMBER(SEARCH("internet",I942))+ISNUMBER(SEARCH("computer",I942))+ISNUMBER(SEARCH("saas",I942))+ISNUMBER(SEARCH("fintech",I942))+ISNUMBER(SEARCH("information services",I942))+ISNUMBER(SEARCH("telecommunications",I942))&gt;0,'Configuración'!$B$27,'Configuración'!$B$28))</f>
        <v>4</v>
      </c>
      <c r="U942" s="25">
        <f>IF(B942="","",IF(ISNUMBER(SEARCH("CEO",C942))+ISNUMBER(SEARCH("Founder",C942))+ISNUMBER(SEARCH("Owner",C942))+ISNUMBER(SEARCH("Dueño",C942))+ISNUMBER(SEARCH("Director General",C942))+ISNUMBER(SEARCH("Presidente",C942))+ISNUMBER(SEARCH("President",C942))&gt;0,'Configuración'!$B$31,IF(ISNUMBER(SEARCH("CMO",C942))+ISNUMBER(SEARCH("Chief Marketing",C942))+ISNUMBER(SEARCH("VP Marketing",C942))+ISNUMBER(SEARCH("Director de Marketing",C942))+ISNUMBER(SEARCH("Director Marketing",C942))+ISNUMBER(SEARCH("Head of Marketing",C942))+ISNUMBER(SEARCH("Head Marketing",C942))&gt;0,'Configuración'!$B$32,IF(ISNUMBER(SEARCH("Marketing Manager",C942))+ISNUMBER(SEARCH("Gerente de Marketing",C942))+ISNUMBER(SEARCH("Growth Manager",C942))+ISNUMBER(SEARCH("Demand Gen",C942))+ISNUMBER(SEARCH("Marketing Lead",C942))&gt;0,'Configuración'!$B$33,IF(ISNUMBER(SEARCH("COO",C942))+ISNUMBER(SEARCH("CFO",C942))+ISNUMBER(SEARCH("CTO",C942))+ISNUMBER(SEARCH("Chief Operating",C942))+ISNUMBER(SEARCH("Chief Financial",C942))+ISNUMBER(SEARCH("Gerente General",C942))+ISNUMBER(SEARCH("General Manager",C942))&gt;0,'Configuración'!$B$34,'Configuración'!$B$35)))))</f>
        <v>12</v>
      </c>
      <c r="V942" s="38">
        <f>IF(B942="","",IF(K942="Sí",'Configuración'!$B$5,0)+IF(L942="Semanal",'Configuración'!$B$6,IF(L942="Mensual",'Configuración'!$B$7,0))+IF(M942="Sí",'Configuración'!$B$8,0)+IF(N942="Sí",'Configuración'!$B$9,0)+IF(O942="Sí",'Configuración'!$B$10,0)+IF(P942="Sí",'Configuración'!$B$11,0)+IF(Q942="Sí",'Configuración'!$B$12,0)+S942+T942+U942)</f>
        <v>20</v>
      </c>
      <c r="W942" s="39" t="str">
        <f>IF(B942="","",IF(V942&gt;='Configuración'!$B$19,"A",IF(V942&gt;='Configuración'!$B$20,"B",IF(V942&gt;='Configuración'!$B$21,"C","Descarte"))))</f>
        <v>Descarte</v>
      </c>
    </row>
    <row r="943" ht="15.75" customHeight="1">
      <c r="A943" s="34">
        <f t="shared" si="1"/>
        <v>941</v>
      </c>
      <c r="B943" s="29" t="s">
        <v>2616</v>
      </c>
      <c r="C943" s="29" t="s">
        <v>131</v>
      </c>
      <c r="D943" s="29" t="s">
        <v>5518</v>
      </c>
      <c r="E943" s="29" t="s">
        <v>5519</v>
      </c>
      <c r="F943" s="30" t="s">
        <v>5520</v>
      </c>
      <c r="G943" s="30" t="s">
        <v>5521</v>
      </c>
      <c r="H943" s="30" t="s">
        <v>5522</v>
      </c>
      <c r="I943" s="29" t="s">
        <v>5523</v>
      </c>
      <c r="J943" s="31">
        <v>24.0</v>
      </c>
      <c r="K943" s="35"/>
      <c r="L943" s="35"/>
      <c r="M943" s="35"/>
      <c r="N943" s="35"/>
      <c r="O943" s="35"/>
      <c r="P943" s="35"/>
      <c r="Q943" s="35"/>
      <c r="R943" s="35"/>
      <c r="S943" s="37">
        <f>IF(B943="","",IF(ISNUMBER(J943),IF(J943&lt;=10,'Configuración'!$B$23,IF(J943&lt;=50,'Configuración'!$B$24,IF(J943&lt;=200,'Configuración'!$B$25,0))),0))</f>
        <v>4</v>
      </c>
      <c r="T943" s="37">
        <f>IF(B943="","",IF(ISNUMBER(SEARCH("information technology",I943))+ISNUMBER(SEARCH("software",I943))+ISNUMBER(SEARCH("internet",I943))+ISNUMBER(SEARCH("computer",I943))+ISNUMBER(SEARCH("saas",I943))+ISNUMBER(SEARCH("fintech",I943))+ISNUMBER(SEARCH("information services",I943))+ISNUMBER(SEARCH("telecommunications",I943))&gt;0,'Configuración'!$B$27,'Configuración'!$B$28))</f>
        <v>4</v>
      </c>
      <c r="U943" s="25">
        <f>IF(B943="","",IF(ISNUMBER(SEARCH("CEO",C943))+ISNUMBER(SEARCH("Founder",C943))+ISNUMBER(SEARCH("Owner",C943))+ISNUMBER(SEARCH("Dueño",C943))+ISNUMBER(SEARCH("Director General",C943))+ISNUMBER(SEARCH("Presidente",C943))+ISNUMBER(SEARCH("President",C943))&gt;0,'Configuración'!$B$31,IF(ISNUMBER(SEARCH("CMO",C943))+ISNUMBER(SEARCH("Chief Marketing",C943))+ISNUMBER(SEARCH("VP Marketing",C943))+ISNUMBER(SEARCH("Director de Marketing",C943))+ISNUMBER(SEARCH("Director Marketing",C943))+ISNUMBER(SEARCH("Head of Marketing",C943))+ISNUMBER(SEARCH("Head Marketing",C943))&gt;0,'Configuración'!$B$32,IF(ISNUMBER(SEARCH("Marketing Manager",C943))+ISNUMBER(SEARCH("Gerente de Marketing",C943))+ISNUMBER(SEARCH("Growth Manager",C943))+ISNUMBER(SEARCH("Demand Gen",C943))+ISNUMBER(SEARCH("Marketing Lead",C943))&gt;0,'Configuración'!$B$33,IF(ISNUMBER(SEARCH("COO",C943))+ISNUMBER(SEARCH("CFO",C943))+ISNUMBER(SEARCH("CTO",C943))+ISNUMBER(SEARCH("Chief Operating",C943))+ISNUMBER(SEARCH("Chief Financial",C943))+ISNUMBER(SEARCH("Gerente General",C943))+ISNUMBER(SEARCH("General Manager",C943))&gt;0,'Configuración'!$B$34,'Configuración'!$B$35)))))</f>
        <v>12</v>
      </c>
      <c r="V943" s="38">
        <f>IF(B943="","",IF(K943="Sí",'Configuración'!$B$5,0)+IF(L943="Semanal",'Configuración'!$B$6,IF(L943="Mensual",'Configuración'!$B$7,0))+IF(M943="Sí",'Configuración'!$B$8,0)+IF(N943="Sí",'Configuración'!$B$9,0)+IF(O943="Sí",'Configuración'!$B$10,0)+IF(P943="Sí",'Configuración'!$B$11,0)+IF(Q943="Sí",'Configuración'!$B$12,0)+S943+T943+U943)</f>
        <v>20</v>
      </c>
      <c r="W943" s="39" t="str">
        <f>IF(B943="","",IF(V943&gt;='Configuración'!$B$19,"A",IF(V943&gt;='Configuración'!$B$20,"B",IF(V943&gt;='Configuración'!$B$21,"C","Descarte"))))</f>
        <v>Descarte</v>
      </c>
    </row>
    <row r="944" ht="15.75" customHeight="1">
      <c r="A944" s="34">
        <f t="shared" si="1"/>
        <v>942</v>
      </c>
      <c r="B944" s="29" t="s">
        <v>1048</v>
      </c>
      <c r="C944" s="29" t="s">
        <v>5524</v>
      </c>
      <c r="D944" s="29" t="s">
        <v>5525</v>
      </c>
      <c r="E944" s="29" t="s">
        <v>5526</v>
      </c>
      <c r="F944" s="30" t="s">
        <v>5527</v>
      </c>
      <c r="G944" s="30" t="s">
        <v>5528</v>
      </c>
      <c r="H944" s="30" t="s">
        <v>5529</v>
      </c>
      <c r="I944" s="29" t="s">
        <v>127</v>
      </c>
      <c r="J944" s="31">
        <v>1.0</v>
      </c>
      <c r="K944" s="35"/>
      <c r="L944" s="35"/>
      <c r="M944" s="35"/>
      <c r="N944" s="35"/>
      <c r="O944" s="35"/>
      <c r="P944" s="35"/>
      <c r="Q944" s="35"/>
      <c r="R944" s="35"/>
      <c r="S944" s="37">
        <f>IF(B944="","",IF(ISNUMBER(J944),IF(J944&lt;=10,'Configuración'!$B$23,IF(J944&lt;=50,'Configuración'!$B$24,IF(J944&lt;=200,'Configuración'!$B$25,0))),0))</f>
        <v>12</v>
      </c>
      <c r="T944" s="37">
        <f>IF(B944="","",IF(ISNUMBER(SEARCH("information technology",I944))+ISNUMBER(SEARCH("software",I944))+ISNUMBER(SEARCH("internet",I944))+ISNUMBER(SEARCH("computer",I944))+ISNUMBER(SEARCH("saas",I944))+ISNUMBER(SEARCH("fintech",I944))+ISNUMBER(SEARCH("information services",I944))+ISNUMBER(SEARCH("telecommunications",I944))&gt;0,'Configuración'!$B$27,'Configuración'!$B$28))</f>
        <v>12</v>
      </c>
      <c r="U944" s="25">
        <f>IF(B944="","",IF(ISNUMBER(SEARCH("CEO",C944))+ISNUMBER(SEARCH("Founder",C944))+ISNUMBER(SEARCH("Owner",C944))+ISNUMBER(SEARCH("Dueño",C944))+ISNUMBER(SEARCH("Director General",C944))+ISNUMBER(SEARCH("Presidente",C944))+ISNUMBER(SEARCH("President",C944))&gt;0,'Configuración'!$B$31,IF(ISNUMBER(SEARCH("CMO",C944))+ISNUMBER(SEARCH("Chief Marketing",C944))+ISNUMBER(SEARCH("VP Marketing",C944))+ISNUMBER(SEARCH("Director de Marketing",C944))+ISNUMBER(SEARCH("Director Marketing",C944))+ISNUMBER(SEARCH("Head of Marketing",C944))+ISNUMBER(SEARCH("Head Marketing",C944))&gt;0,'Configuración'!$B$32,IF(ISNUMBER(SEARCH("Marketing Manager",C944))+ISNUMBER(SEARCH("Gerente de Marketing",C944))+ISNUMBER(SEARCH("Growth Manager",C944))+ISNUMBER(SEARCH("Demand Gen",C944))+ISNUMBER(SEARCH("Marketing Lead",C944))&gt;0,'Configuración'!$B$33,IF(ISNUMBER(SEARCH("COO",C944))+ISNUMBER(SEARCH("CFO",C944))+ISNUMBER(SEARCH("CTO",C944))+ISNUMBER(SEARCH("Chief Operating",C944))+ISNUMBER(SEARCH("Chief Financial",C944))+ISNUMBER(SEARCH("Gerente General",C944))+ISNUMBER(SEARCH("General Manager",C944))&gt;0,'Configuración'!$B$34,'Configuración'!$B$35)))))</f>
        <v>12</v>
      </c>
      <c r="V944" s="38">
        <f>IF(B944="","",IF(K944="Sí",'Configuración'!$B$5,0)+IF(L944="Semanal",'Configuración'!$B$6,IF(L944="Mensual",'Configuración'!$B$7,0))+IF(M944="Sí",'Configuración'!$B$8,0)+IF(N944="Sí",'Configuración'!$B$9,0)+IF(O944="Sí",'Configuración'!$B$10,0)+IF(P944="Sí",'Configuración'!$B$11,0)+IF(Q944="Sí",'Configuración'!$B$12,0)+S944+T944+U944)</f>
        <v>36</v>
      </c>
      <c r="W944" s="39" t="str">
        <f>IF(B944="","",IF(V944&gt;='Configuración'!$B$19,"A",IF(V944&gt;='Configuración'!$B$20,"B",IF(V944&gt;='Configuración'!$B$21,"C","Descarte"))))</f>
        <v>C</v>
      </c>
    </row>
    <row r="945" ht="15.75" customHeight="1">
      <c r="A945" s="34">
        <f t="shared" si="1"/>
        <v>943</v>
      </c>
      <c r="B945" s="29" t="s">
        <v>473</v>
      </c>
      <c r="C945" s="29" t="s">
        <v>5530</v>
      </c>
      <c r="D945" s="29" t="s">
        <v>5531</v>
      </c>
      <c r="E945" s="29" t="s">
        <v>5532</v>
      </c>
      <c r="F945" s="30" t="s">
        <v>5533</v>
      </c>
      <c r="G945" s="30" t="s">
        <v>5534</v>
      </c>
      <c r="H945" s="30" t="s">
        <v>5535</v>
      </c>
      <c r="I945" s="29" t="s">
        <v>116</v>
      </c>
      <c r="J945" s="31">
        <v>15.0</v>
      </c>
      <c r="K945" s="35"/>
      <c r="L945" s="35"/>
      <c r="M945" s="35"/>
      <c r="N945" s="35"/>
      <c r="O945" s="35"/>
      <c r="P945" s="35"/>
      <c r="Q945" s="35"/>
      <c r="R945" s="35"/>
      <c r="S945" s="37">
        <f>IF(B945="","",IF(ISNUMBER(J945),IF(J945&lt;=10,'Configuración'!$B$23,IF(J945&lt;=50,'Configuración'!$B$24,IF(J945&lt;=200,'Configuración'!$B$25,0))),0))</f>
        <v>4</v>
      </c>
      <c r="T945" s="37">
        <f>IF(B945="","",IF(ISNUMBER(SEARCH("information technology",I945))+ISNUMBER(SEARCH("software",I945))+ISNUMBER(SEARCH("internet",I945))+ISNUMBER(SEARCH("computer",I945))+ISNUMBER(SEARCH("saas",I945))+ISNUMBER(SEARCH("fintech",I945))+ISNUMBER(SEARCH("information services",I945))+ISNUMBER(SEARCH("telecommunications",I945))&gt;0,'Configuración'!$B$27,'Configuración'!$B$28))</f>
        <v>4</v>
      </c>
      <c r="U945" s="25">
        <f>IF(B945="","",IF(ISNUMBER(SEARCH("CEO",C945))+ISNUMBER(SEARCH("Founder",C945))+ISNUMBER(SEARCH("Owner",C945))+ISNUMBER(SEARCH("Dueño",C945))+ISNUMBER(SEARCH("Director General",C945))+ISNUMBER(SEARCH("Presidente",C945))+ISNUMBER(SEARCH("President",C945))&gt;0,'Configuración'!$B$31,IF(ISNUMBER(SEARCH("CMO",C945))+ISNUMBER(SEARCH("Chief Marketing",C945))+ISNUMBER(SEARCH("VP Marketing",C945))+ISNUMBER(SEARCH("Director de Marketing",C945))+ISNUMBER(SEARCH("Director Marketing",C945))+ISNUMBER(SEARCH("Head of Marketing",C945))+ISNUMBER(SEARCH("Head Marketing",C945))&gt;0,'Configuración'!$B$32,IF(ISNUMBER(SEARCH("Marketing Manager",C945))+ISNUMBER(SEARCH("Gerente de Marketing",C945))+ISNUMBER(SEARCH("Growth Manager",C945))+ISNUMBER(SEARCH("Demand Gen",C945))+ISNUMBER(SEARCH("Marketing Lead",C945))&gt;0,'Configuración'!$B$33,IF(ISNUMBER(SEARCH("COO",C945))+ISNUMBER(SEARCH("CFO",C945))+ISNUMBER(SEARCH("CTO",C945))+ISNUMBER(SEARCH("Chief Operating",C945))+ISNUMBER(SEARCH("Chief Financial",C945))+ISNUMBER(SEARCH("Gerente General",C945))+ISNUMBER(SEARCH("General Manager",C945))&gt;0,'Configuración'!$B$34,'Configuración'!$B$35)))))</f>
        <v>0</v>
      </c>
      <c r="V945" s="38">
        <f>IF(B945="","",IF(K945="Sí",'Configuración'!$B$5,0)+IF(L945="Semanal",'Configuración'!$B$6,IF(L945="Mensual",'Configuración'!$B$7,0))+IF(M945="Sí",'Configuración'!$B$8,0)+IF(N945="Sí",'Configuración'!$B$9,0)+IF(O945="Sí",'Configuración'!$B$10,0)+IF(P945="Sí",'Configuración'!$B$11,0)+IF(Q945="Sí",'Configuración'!$B$12,0)+S945+T945+U945)</f>
        <v>8</v>
      </c>
      <c r="W945" s="39" t="str">
        <f>IF(B945="","",IF(V945&gt;='Configuración'!$B$19,"A",IF(V945&gt;='Configuración'!$B$20,"B",IF(V945&gt;='Configuración'!$B$21,"C","Descarte"))))</f>
        <v>Descarte</v>
      </c>
    </row>
    <row r="946" ht="15.75" customHeight="1">
      <c r="A946" s="34">
        <f t="shared" si="1"/>
        <v>944</v>
      </c>
      <c r="B946" s="29" t="s">
        <v>296</v>
      </c>
      <c r="C946" s="29" t="s">
        <v>487</v>
      </c>
      <c r="D946" s="29" t="s">
        <v>5536</v>
      </c>
      <c r="E946" s="29" t="s">
        <v>5537</v>
      </c>
      <c r="F946" s="30" t="s">
        <v>5538</v>
      </c>
      <c r="G946" s="30" t="s">
        <v>5539</v>
      </c>
      <c r="H946" s="30" t="s">
        <v>5540</v>
      </c>
      <c r="I946" s="29" t="s">
        <v>2694</v>
      </c>
      <c r="J946" s="31">
        <v>14.0</v>
      </c>
      <c r="K946" s="35"/>
      <c r="L946" s="35"/>
      <c r="M946" s="35"/>
      <c r="N946" s="35"/>
      <c r="O946" s="35"/>
      <c r="P946" s="35"/>
      <c r="Q946" s="35"/>
      <c r="R946" s="35"/>
      <c r="S946" s="37">
        <f>IF(B946="","",IF(ISNUMBER(J946),IF(J946&lt;=10,'Configuración'!$B$23,IF(J946&lt;=50,'Configuración'!$B$24,IF(J946&lt;=200,'Configuración'!$B$25,0))),0))</f>
        <v>4</v>
      </c>
      <c r="T946" s="37">
        <f>IF(B946="","",IF(ISNUMBER(SEARCH("information technology",I946))+ISNUMBER(SEARCH("software",I946))+ISNUMBER(SEARCH("internet",I946))+ISNUMBER(SEARCH("computer",I946))+ISNUMBER(SEARCH("saas",I946))+ISNUMBER(SEARCH("fintech",I946))+ISNUMBER(SEARCH("information services",I946))+ISNUMBER(SEARCH("telecommunications",I946))&gt;0,'Configuración'!$B$27,'Configuración'!$B$28))</f>
        <v>4</v>
      </c>
      <c r="U946" s="25">
        <f>IF(B946="","",IF(ISNUMBER(SEARCH("CEO",C946))+ISNUMBER(SEARCH("Founder",C946))+ISNUMBER(SEARCH("Owner",C946))+ISNUMBER(SEARCH("Dueño",C946))+ISNUMBER(SEARCH("Director General",C946))+ISNUMBER(SEARCH("Presidente",C946))+ISNUMBER(SEARCH("President",C946))&gt;0,'Configuración'!$B$31,IF(ISNUMBER(SEARCH("CMO",C946))+ISNUMBER(SEARCH("Chief Marketing",C946))+ISNUMBER(SEARCH("VP Marketing",C946))+ISNUMBER(SEARCH("Director de Marketing",C946))+ISNUMBER(SEARCH("Director Marketing",C946))+ISNUMBER(SEARCH("Head of Marketing",C946))+ISNUMBER(SEARCH("Head Marketing",C946))&gt;0,'Configuración'!$B$32,IF(ISNUMBER(SEARCH("Marketing Manager",C946))+ISNUMBER(SEARCH("Gerente de Marketing",C946))+ISNUMBER(SEARCH("Growth Manager",C946))+ISNUMBER(SEARCH("Demand Gen",C946))+ISNUMBER(SEARCH("Marketing Lead",C946))&gt;0,'Configuración'!$B$33,IF(ISNUMBER(SEARCH("COO",C946))+ISNUMBER(SEARCH("CFO",C946))+ISNUMBER(SEARCH("CTO",C946))+ISNUMBER(SEARCH("Chief Operating",C946))+ISNUMBER(SEARCH("Chief Financial",C946))+ISNUMBER(SEARCH("Gerente General",C946))+ISNUMBER(SEARCH("General Manager",C946))&gt;0,'Configuración'!$B$34,'Configuración'!$B$35)))))</f>
        <v>12</v>
      </c>
      <c r="V946" s="38">
        <f>IF(B946="","",IF(K946="Sí",'Configuración'!$B$5,0)+IF(L946="Semanal",'Configuración'!$B$6,IF(L946="Mensual",'Configuración'!$B$7,0))+IF(M946="Sí",'Configuración'!$B$8,0)+IF(N946="Sí",'Configuración'!$B$9,0)+IF(O946="Sí",'Configuración'!$B$10,0)+IF(P946="Sí",'Configuración'!$B$11,0)+IF(Q946="Sí",'Configuración'!$B$12,0)+S946+T946+U946)</f>
        <v>20</v>
      </c>
      <c r="W946" s="39" t="str">
        <f>IF(B946="","",IF(V946&gt;='Configuración'!$B$19,"A",IF(V946&gt;='Configuración'!$B$20,"B",IF(V946&gt;='Configuración'!$B$21,"C","Descarte"))))</f>
        <v>Descarte</v>
      </c>
    </row>
    <row r="947" ht="15.75" customHeight="1">
      <c r="A947" s="34">
        <f t="shared" si="1"/>
        <v>945</v>
      </c>
      <c r="B947" s="29" t="s">
        <v>166</v>
      </c>
      <c r="C947" s="29" t="s">
        <v>5541</v>
      </c>
      <c r="D947" s="29" t="s">
        <v>5542</v>
      </c>
      <c r="E947" s="29" t="s">
        <v>5543</v>
      </c>
      <c r="F947" s="30" t="s">
        <v>5544</v>
      </c>
      <c r="G947" s="30" t="s">
        <v>5545</v>
      </c>
      <c r="H947" s="30" t="s">
        <v>5546</v>
      </c>
      <c r="I947" s="29" t="s">
        <v>158</v>
      </c>
      <c r="J947" s="31">
        <v>1.0</v>
      </c>
      <c r="K947" s="35"/>
      <c r="L947" s="35"/>
      <c r="M947" s="35"/>
      <c r="N947" s="35"/>
      <c r="O947" s="35"/>
      <c r="P947" s="35"/>
      <c r="Q947" s="35"/>
      <c r="R947" s="35"/>
      <c r="S947" s="37">
        <f>IF(B947="","",IF(ISNUMBER(J947),IF(J947&lt;=10,'Configuración'!$B$23,IF(J947&lt;=50,'Configuración'!$B$24,IF(J947&lt;=200,'Configuración'!$B$25,0))),0))</f>
        <v>12</v>
      </c>
      <c r="T947" s="37">
        <f>IF(B947="","",IF(ISNUMBER(SEARCH("information technology",I947))+ISNUMBER(SEARCH("software",I947))+ISNUMBER(SEARCH("internet",I947))+ISNUMBER(SEARCH("computer",I947))+ISNUMBER(SEARCH("saas",I947))+ISNUMBER(SEARCH("fintech",I947))+ISNUMBER(SEARCH("information services",I947))+ISNUMBER(SEARCH("telecommunications",I947))&gt;0,'Configuración'!$B$27,'Configuración'!$B$28))</f>
        <v>4</v>
      </c>
      <c r="U947" s="25">
        <f>IF(B947="","",IF(ISNUMBER(SEARCH("CEO",C947))+ISNUMBER(SEARCH("Founder",C947))+ISNUMBER(SEARCH("Owner",C947))+ISNUMBER(SEARCH("Dueño",C947))+ISNUMBER(SEARCH("Director General",C947))+ISNUMBER(SEARCH("Presidente",C947))+ISNUMBER(SEARCH("President",C947))&gt;0,'Configuración'!$B$31,IF(ISNUMBER(SEARCH("CMO",C947))+ISNUMBER(SEARCH("Chief Marketing",C947))+ISNUMBER(SEARCH("VP Marketing",C947))+ISNUMBER(SEARCH("Director de Marketing",C947))+ISNUMBER(SEARCH("Director Marketing",C947))+ISNUMBER(SEARCH("Head of Marketing",C947))+ISNUMBER(SEARCH("Head Marketing",C947))&gt;0,'Configuración'!$B$32,IF(ISNUMBER(SEARCH("Marketing Manager",C947))+ISNUMBER(SEARCH("Gerente de Marketing",C947))+ISNUMBER(SEARCH("Growth Manager",C947))+ISNUMBER(SEARCH("Demand Gen",C947))+ISNUMBER(SEARCH("Marketing Lead",C947))&gt;0,'Configuración'!$B$33,IF(ISNUMBER(SEARCH("COO",C947))+ISNUMBER(SEARCH("CFO",C947))+ISNUMBER(SEARCH("CTO",C947))+ISNUMBER(SEARCH("Chief Operating",C947))+ISNUMBER(SEARCH("Chief Financial",C947))+ISNUMBER(SEARCH("Gerente General",C947))+ISNUMBER(SEARCH("General Manager",C947))&gt;0,'Configuración'!$B$34,'Configuración'!$B$35)))))</f>
        <v>12</v>
      </c>
      <c r="V947" s="38">
        <f>IF(B947="","",IF(K947="Sí",'Configuración'!$B$5,0)+IF(L947="Semanal",'Configuración'!$B$6,IF(L947="Mensual",'Configuración'!$B$7,0))+IF(M947="Sí",'Configuración'!$B$8,0)+IF(N947="Sí",'Configuración'!$B$9,0)+IF(O947="Sí",'Configuración'!$B$10,0)+IF(P947="Sí",'Configuración'!$B$11,0)+IF(Q947="Sí",'Configuración'!$B$12,0)+S947+T947+U947)</f>
        <v>28</v>
      </c>
      <c r="W947" s="39" t="str">
        <f>IF(B947="","",IF(V947&gt;='Configuración'!$B$19,"A",IF(V947&gt;='Configuración'!$B$20,"B",IF(V947&gt;='Configuración'!$B$21,"C","Descarte"))))</f>
        <v>C</v>
      </c>
    </row>
    <row r="948" ht="15.75" customHeight="1">
      <c r="A948" s="34">
        <f t="shared" si="1"/>
        <v>946</v>
      </c>
      <c r="B948" s="29" t="s">
        <v>5437</v>
      </c>
      <c r="C948" s="29" t="s">
        <v>146</v>
      </c>
      <c r="D948" s="29" t="s">
        <v>5547</v>
      </c>
      <c r="E948" s="29" t="s">
        <v>5548</v>
      </c>
      <c r="F948" s="30" t="s">
        <v>5549</v>
      </c>
      <c r="G948" s="30" t="s">
        <v>5550</v>
      </c>
      <c r="H948" s="30" t="s">
        <v>5551</v>
      </c>
      <c r="I948" s="29"/>
      <c r="J948" s="31">
        <v>1.0</v>
      </c>
      <c r="K948" s="35"/>
      <c r="L948" s="35"/>
      <c r="M948" s="35"/>
      <c r="N948" s="35"/>
      <c r="O948" s="35"/>
      <c r="P948" s="35"/>
      <c r="Q948" s="35"/>
      <c r="R948" s="35"/>
      <c r="S948" s="37">
        <f>IF(B948="","",IF(ISNUMBER(J948),IF(J948&lt;=10,'Configuración'!$B$23,IF(J948&lt;=50,'Configuración'!$B$24,IF(J948&lt;=200,'Configuración'!$B$25,0))),0))</f>
        <v>12</v>
      </c>
      <c r="T948" s="37">
        <f>IF(B948="","",IF(ISNUMBER(SEARCH("information technology",I948))+ISNUMBER(SEARCH("software",I948))+ISNUMBER(SEARCH("internet",I948))+ISNUMBER(SEARCH("computer",I948))+ISNUMBER(SEARCH("saas",I948))+ISNUMBER(SEARCH("fintech",I948))+ISNUMBER(SEARCH("information services",I948))+ISNUMBER(SEARCH("telecommunications",I948))&gt;0,'Configuración'!$B$27,'Configuración'!$B$28))</f>
        <v>4</v>
      </c>
      <c r="U948" s="25">
        <f>IF(B948="","",IF(ISNUMBER(SEARCH("CEO",C948))+ISNUMBER(SEARCH("Founder",C948))+ISNUMBER(SEARCH("Owner",C948))+ISNUMBER(SEARCH("Dueño",C948))+ISNUMBER(SEARCH("Director General",C948))+ISNUMBER(SEARCH("Presidente",C948))+ISNUMBER(SEARCH("President",C948))&gt;0,'Configuración'!$B$31,IF(ISNUMBER(SEARCH("CMO",C948))+ISNUMBER(SEARCH("Chief Marketing",C948))+ISNUMBER(SEARCH("VP Marketing",C948))+ISNUMBER(SEARCH("Director de Marketing",C948))+ISNUMBER(SEARCH("Director Marketing",C948))+ISNUMBER(SEARCH("Head of Marketing",C948))+ISNUMBER(SEARCH("Head Marketing",C948))&gt;0,'Configuración'!$B$32,IF(ISNUMBER(SEARCH("Marketing Manager",C948))+ISNUMBER(SEARCH("Gerente de Marketing",C948))+ISNUMBER(SEARCH("Growth Manager",C948))+ISNUMBER(SEARCH("Demand Gen",C948))+ISNUMBER(SEARCH("Marketing Lead",C948))&gt;0,'Configuración'!$B$33,IF(ISNUMBER(SEARCH("COO",C948))+ISNUMBER(SEARCH("CFO",C948))+ISNUMBER(SEARCH("CTO",C948))+ISNUMBER(SEARCH("Chief Operating",C948))+ISNUMBER(SEARCH("Chief Financial",C948))+ISNUMBER(SEARCH("Gerente General",C948))+ISNUMBER(SEARCH("General Manager",C948))&gt;0,'Configuración'!$B$34,'Configuración'!$B$35)))))</f>
        <v>0</v>
      </c>
      <c r="V948" s="38">
        <f>IF(B948="","",IF(K948="Sí",'Configuración'!$B$5,0)+IF(L948="Semanal",'Configuración'!$B$6,IF(L948="Mensual",'Configuración'!$B$7,0))+IF(M948="Sí",'Configuración'!$B$8,0)+IF(N948="Sí",'Configuración'!$B$9,0)+IF(O948="Sí",'Configuración'!$B$10,0)+IF(P948="Sí",'Configuración'!$B$11,0)+IF(Q948="Sí",'Configuración'!$B$12,0)+S948+T948+U948)</f>
        <v>16</v>
      </c>
      <c r="W948" s="39" t="str">
        <f>IF(B948="","",IF(V948&gt;='Configuración'!$B$19,"A",IF(V948&gt;='Configuración'!$B$20,"B",IF(V948&gt;='Configuración'!$B$21,"C","Descarte"))))</f>
        <v>Descarte</v>
      </c>
    </row>
    <row r="949" ht="15.75" customHeight="1">
      <c r="A949" s="34">
        <f t="shared" si="1"/>
        <v>947</v>
      </c>
      <c r="B949" s="29" t="s">
        <v>181</v>
      </c>
      <c r="C949" s="29" t="s">
        <v>131</v>
      </c>
      <c r="D949" s="29" t="s">
        <v>5552</v>
      </c>
      <c r="E949" s="29" t="s">
        <v>5553</v>
      </c>
      <c r="F949" s="30" t="s">
        <v>5554</v>
      </c>
      <c r="G949" s="30" t="s">
        <v>5555</v>
      </c>
      <c r="H949" s="30" t="s">
        <v>5556</v>
      </c>
      <c r="I949" s="29" t="s">
        <v>310</v>
      </c>
      <c r="J949" s="31">
        <v>8.0</v>
      </c>
      <c r="K949" s="35"/>
      <c r="L949" s="35"/>
      <c r="M949" s="35"/>
      <c r="N949" s="35"/>
      <c r="O949" s="35"/>
      <c r="P949" s="35"/>
      <c r="Q949" s="35"/>
      <c r="R949" s="35"/>
      <c r="S949" s="37">
        <f>IF(B949="","",IF(ISNUMBER(J949),IF(J949&lt;=10,'Configuración'!$B$23,IF(J949&lt;=50,'Configuración'!$B$24,IF(J949&lt;=200,'Configuración'!$B$25,0))),0))</f>
        <v>12</v>
      </c>
      <c r="T949" s="37">
        <f>IF(B949="","",IF(ISNUMBER(SEARCH("information technology",I949))+ISNUMBER(SEARCH("software",I949))+ISNUMBER(SEARCH("internet",I949))+ISNUMBER(SEARCH("computer",I949))+ISNUMBER(SEARCH("saas",I949))+ISNUMBER(SEARCH("fintech",I949))+ISNUMBER(SEARCH("information services",I949))+ISNUMBER(SEARCH("telecommunications",I949))&gt;0,'Configuración'!$B$27,'Configuración'!$B$28))</f>
        <v>4</v>
      </c>
      <c r="U949" s="25">
        <f>IF(B949="","",IF(ISNUMBER(SEARCH("CEO",C949))+ISNUMBER(SEARCH("Founder",C949))+ISNUMBER(SEARCH("Owner",C949))+ISNUMBER(SEARCH("Dueño",C949))+ISNUMBER(SEARCH("Director General",C949))+ISNUMBER(SEARCH("Presidente",C949))+ISNUMBER(SEARCH("President",C949))&gt;0,'Configuración'!$B$31,IF(ISNUMBER(SEARCH("CMO",C949))+ISNUMBER(SEARCH("Chief Marketing",C949))+ISNUMBER(SEARCH("VP Marketing",C949))+ISNUMBER(SEARCH("Director de Marketing",C949))+ISNUMBER(SEARCH("Director Marketing",C949))+ISNUMBER(SEARCH("Head of Marketing",C949))+ISNUMBER(SEARCH("Head Marketing",C949))&gt;0,'Configuración'!$B$32,IF(ISNUMBER(SEARCH("Marketing Manager",C949))+ISNUMBER(SEARCH("Gerente de Marketing",C949))+ISNUMBER(SEARCH("Growth Manager",C949))+ISNUMBER(SEARCH("Demand Gen",C949))+ISNUMBER(SEARCH("Marketing Lead",C949))&gt;0,'Configuración'!$B$33,IF(ISNUMBER(SEARCH("COO",C949))+ISNUMBER(SEARCH("CFO",C949))+ISNUMBER(SEARCH("CTO",C949))+ISNUMBER(SEARCH("Chief Operating",C949))+ISNUMBER(SEARCH("Chief Financial",C949))+ISNUMBER(SEARCH("Gerente General",C949))+ISNUMBER(SEARCH("General Manager",C949))&gt;0,'Configuración'!$B$34,'Configuración'!$B$35)))))</f>
        <v>12</v>
      </c>
      <c r="V949" s="38">
        <f>IF(B949="","",IF(K949="Sí",'Configuración'!$B$5,0)+IF(L949="Semanal",'Configuración'!$B$6,IF(L949="Mensual",'Configuración'!$B$7,0))+IF(M949="Sí",'Configuración'!$B$8,0)+IF(N949="Sí",'Configuración'!$B$9,0)+IF(O949="Sí",'Configuración'!$B$10,0)+IF(P949="Sí",'Configuración'!$B$11,0)+IF(Q949="Sí",'Configuración'!$B$12,0)+S949+T949+U949)</f>
        <v>28</v>
      </c>
      <c r="W949" s="39" t="str">
        <f>IF(B949="","",IF(V949&gt;='Configuración'!$B$19,"A",IF(V949&gt;='Configuración'!$B$20,"B",IF(V949&gt;='Configuración'!$B$21,"C","Descarte"))))</f>
        <v>C</v>
      </c>
    </row>
    <row r="950" ht="15.75" customHeight="1">
      <c r="A950" s="34">
        <f t="shared" si="1"/>
        <v>948</v>
      </c>
      <c r="B950" s="29" t="s">
        <v>1778</v>
      </c>
      <c r="C950" s="29" t="s">
        <v>5557</v>
      </c>
      <c r="D950" s="29" t="s">
        <v>5558</v>
      </c>
      <c r="E950" s="29" t="s">
        <v>5559</v>
      </c>
      <c r="F950" s="30" t="s">
        <v>5560</v>
      </c>
      <c r="G950" s="30" t="s">
        <v>5561</v>
      </c>
      <c r="H950" s="30" t="s">
        <v>5562</v>
      </c>
      <c r="I950" s="29" t="s">
        <v>2651</v>
      </c>
      <c r="J950" s="31">
        <v>19.0</v>
      </c>
      <c r="K950" s="35"/>
      <c r="L950" s="35"/>
      <c r="M950" s="35"/>
      <c r="N950" s="35"/>
      <c r="O950" s="35"/>
      <c r="P950" s="35"/>
      <c r="Q950" s="35"/>
      <c r="R950" s="35"/>
      <c r="S950" s="37">
        <f>IF(B950="","",IF(ISNUMBER(J950),IF(J950&lt;=10,'Configuración'!$B$23,IF(J950&lt;=50,'Configuración'!$B$24,IF(J950&lt;=200,'Configuración'!$B$25,0))),0))</f>
        <v>4</v>
      </c>
      <c r="T950" s="37">
        <f>IF(B950="","",IF(ISNUMBER(SEARCH("information technology",I950))+ISNUMBER(SEARCH("software",I950))+ISNUMBER(SEARCH("internet",I950))+ISNUMBER(SEARCH("computer",I950))+ISNUMBER(SEARCH("saas",I950))+ISNUMBER(SEARCH("fintech",I950))+ISNUMBER(SEARCH("information services",I950))+ISNUMBER(SEARCH("telecommunications",I950))&gt;0,'Configuración'!$B$27,'Configuración'!$B$28))</f>
        <v>4</v>
      </c>
      <c r="U950" s="25">
        <f>IF(B950="","",IF(ISNUMBER(SEARCH("CEO",C950))+ISNUMBER(SEARCH("Founder",C950))+ISNUMBER(SEARCH("Owner",C950))+ISNUMBER(SEARCH("Dueño",C950))+ISNUMBER(SEARCH("Director General",C950))+ISNUMBER(SEARCH("Presidente",C950))+ISNUMBER(SEARCH("President",C950))&gt;0,'Configuración'!$B$31,IF(ISNUMBER(SEARCH("CMO",C950))+ISNUMBER(SEARCH("Chief Marketing",C950))+ISNUMBER(SEARCH("VP Marketing",C950))+ISNUMBER(SEARCH("Director de Marketing",C950))+ISNUMBER(SEARCH("Director Marketing",C950))+ISNUMBER(SEARCH("Head of Marketing",C950))+ISNUMBER(SEARCH("Head Marketing",C950))&gt;0,'Configuración'!$B$32,IF(ISNUMBER(SEARCH("Marketing Manager",C950))+ISNUMBER(SEARCH("Gerente de Marketing",C950))+ISNUMBER(SEARCH("Growth Manager",C950))+ISNUMBER(SEARCH("Demand Gen",C950))+ISNUMBER(SEARCH("Marketing Lead",C950))&gt;0,'Configuración'!$B$33,IF(ISNUMBER(SEARCH("COO",C950))+ISNUMBER(SEARCH("CFO",C950))+ISNUMBER(SEARCH("CTO",C950))+ISNUMBER(SEARCH("Chief Operating",C950))+ISNUMBER(SEARCH("Chief Financial",C950))+ISNUMBER(SEARCH("Gerente General",C950))+ISNUMBER(SEARCH("General Manager",C950))&gt;0,'Configuración'!$B$34,'Configuración'!$B$35)))))</f>
        <v>12</v>
      </c>
      <c r="V950" s="38">
        <f>IF(B950="","",IF(K950="Sí",'Configuración'!$B$5,0)+IF(L950="Semanal",'Configuración'!$B$6,IF(L950="Mensual",'Configuración'!$B$7,0))+IF(M950="Sí",'Configuración'!$B$8,0)+IF(N950="Sí",'Configuración'!$B$9,0)+IF(O950="Sí",'Configuración'!$B$10,0)+IF(P950="Sí",'Configuración'!$B$11,0)+IF(Q950="Sí",'Configuración'!$B$12,0)+S950+T950+U950)</f>
        <v>20</v>
      </c>
      <c r="W950" s="39" t="str">
        <f>IF(B950="","",IF(V950&gt;='Configuración'!$B$19,"A",IF(V950&gt;='Configuración'!$B$20,"B",IF(V950&gt;='Configuración'!$B$21,"C","Descarte"))))</f>
        <v>Descarte</v>
      </c>
    </row>
    <row r="951" ht="15.75" customHeight="1">
      <c r="A951" s="34">
        <f t="shared" si="1"/>
        <v>949</v>
      </c>
      <c r="B951" s="29" t="s">
        <v>174</v>
      </c>
      <c r="C951" s="29" t="s">
        <v>1898</v>
      </c>
      <c r="D951" s="29" t="s">
        <v>5563</v>
      </c>
      <c r="E951" s="29" t="s">
        <v>5564</v>
      </c>
      <c r="F951" s="30" t="s">
        <v>5565</v>
      </c>
      <c r="G951" s="30" t="s">
        <v>5566</v>
      </c>
      <c r="H951" s="30" t="s">
        <v>5567</v>
      </c>
      <c r="I951" s="29" t="s">
        <v>616</v>
      </c>
      <c r="J951" s="31">
        <v>10.0</v>
      </c>
      <c r="K951" s="35"/>
      <c r="L951" s="35"/>
      <c r="M951" s="35"/>
      <c r="N951" s="35"/>
      <c r="O951" s="35"/>
      <c r="P951" s="35"/>
      <c r="Q951" s="35"/>
      <c r="R951" s="35"/>
      <c r="S951" s="37">
        <f>IF(B951="","",IF(ISNUMBER(J951),IF(J951&lt;=10,'Configuración'!$B$23,IF(J951&lt;=50,'Configuración'!$B$24,IF(J951&lt;=200,'Configuración'!$B$25,0))),0))</f>
        <v>12</v>
      </c>
      <c r="T951" s="37">
        <f>IF(B951="","",IF(ISNUMBER(SEARCH("information technology",I951))+ISNUMBER(SEARCH("software",I951))+ISNUMBER(SEARCH("internet",I951))+ISNUMBER(SEARCH("computer",I951))+ISNUMBER(SEARCH("saas",I951))+ISNUMBER(SEARCH("fintech",I951))+ISNUMBER(SEARCH("information services",I951))+ISNUMBER(SEARCH("telecommunications",I951))&gt;0,'Configuración'!$B$27,'Configuración'!$B$28))</f>
        <v>4</v>
      </c>
      <c r="U951" s="25">
        <f>IF(B951="","",IF(ISNUMBER(SEARCH("CEO",C951))+ISNUMBER(SEARCH("Founder",C951))+ISNUMBER(SEARCH("Owner",C951))+ISNUMBER(SEARCH("Dueño",C951))+ISNUMBER(SEARCH("Director General",C951))+ISNUMBER(SEARCH("Presidente",C951))+ISNUMBER(SEARCH("President",C951))&gt;0,'Configuración'!$B$31,IF(ISNUMBER(SEARCH("CMO",C951))+ISNUMBER(SEARCH("Chief Marketing",C951))+ISNUMBER(SEARCH("VP Marketing",C951))+ISNUMBER(SEARCH("Director de Marketing",C951))+ISNUMBER(SEARCH("Director Marketing",C951))+ISNUMBER(SEARCH("Head of Marketing",C951))+ISNUMBER(SEARCH("Head Marketing",C951))&gt;0,'Configuración'!$B$32,IF(ISNUMBER(SEARCH("Marketing Manager",C951))+ISNUMBER(SEARCH("Gerente de Marketing",C951))+ISNUMBER(SEARCH("Growth Manager",C951))+ISNUMBER(SEARCH("Demand Gen",C951))+ISNUMBER(SEARCH("Marketing Lead",C951))&gt;0,'Configuración'!$B$33,IF(ISNUMBER(SEARCH("COO",C951))+ISNUMBER(SEARCH("CFO",C951))+ISNUMBER(SEARCH("CTO",C951))+ISNUMBER(SEARCH("Chief Operating",C951))+ISNUMBER(SEARCH("Chief Financial",C951))+ISNUMBER(SEARCH("Gerente General",C951))+ISNUMBER(SEARCH("General Manager",C951))&gt;0,'Configuración'!$B$34,'Configuración'!$B$35)))))</f>
        <v>12</v>
      </c>
      <c r="V951" s="38">
        <f>IF(B951="","",IF(K951="Sí",'Configuración'!$B$5,0)+IF(L951="Semanal",'Configuración'!$B$6,IF(L951="Mensual",'Configuración'!$B$7,0))+IF(M951="Sí",'Configuración'!$B$8,0)+IF(N951="Sí",'Configuración'!$B$9,0)+IF(O951="Sí",'Configuración'!$B$10,0)+IF(P951="Sí",'Configuración'!$B$11,0)+IF(Q951="Sí",'Configuración'!$B$12,0)+S951+T951+U951)</f>
        <v>28</v>
      </c>
      <c r="W951" s="39" t="str">
        <f>IF(B951="","",IF(V951&gt;='Configuración'!$B$19,"A",IF(V951&gt;='Configuración'!$B$20,"B",IF(V951&gt;='Configuración'!$B$21,"C","Descarte"))))</f>
        <v>C</v>
      </c>
    </row>
    <row r="952" ht="15.75" customHeight="1">
      <c r="A952" s="34">
        <f t="shared" si="1"/>
        <v>950</v>
      </c>
      <c r="B952" s="29" t="s">
        <v>5568</v>
      </c>
      <c r="C952" s="29" t="s">
        <v>5569</v>
      </c>
      <c r="D952" s="29" t="s">
        <v>5570</v>
      </c>
      <c r="E952" s="29" t="s">
        <v>5571</v>
      </c>
      <c r="F952" s="30" t="s">
        <v>5572</v>
      </c>
      <c r="G952" s="30" t="s">
        <v>5573</v>
      </c>
      <c r="H952" s="30" t="s">
        <v>5574</v>
      </c>
      <c r="I952" s="29" t="s">
        <v>127</v>
      </c>
      <c r="J952" s="31">
        <v>3.0</v>
      </c>
      <c r="K952" s="35"/>
      <c r="L952" s="35"/>
      <c r="M952" s="35"/>
      <c r="N952" s="35"/>
      <c r="O952" s="35"/>
      <c r="P952" s="35"/>
      <c r="Q952" s="35"/>
      <c r="R952" s="35"/>
      <c r="S952" s="37">
        <f>IF(B952="","",IF(ISNUMBER(J952),IF(J952&lt;=10,'Configuración'!$B$23,IF(J952&lt;=50,'Configuración'!$B$24,IF(J952&lt;=200,'Configuración'!$B$25,0))),0))</f>
        <v>12</v>
      </c>
      <c r="T952" s="37">
        <f>IF(B952="","",IF(ISNUMBER(SEARCH("information technology",I952))+ISNUMBER(SEARCH("software",I952))+ISNUMBER(SEARCH("internet",I952))+ISNUMBER(SEARCH("computer",I952))+ISNUMBER(SEARCH("saas",I952))+ISNUMBER(SEARCH("fintech",I952))+ISNUMBER(SEARCH("information services",I952))+ISNUMBER(SEARCH("telecommunications",I952))&gt;0,'Configuración'!$B$27,'Configuración'!$B$28))</f>
        <v>12</v>
      </c>
      <c r="U952" s="25">
        <f>IF(B952="","",IF(ISNUMBER(SEARCH("CEO",C952))+ISNUMBER(SEARCH("Founder",C952))+ISNUMBER(SEARCH("Owner",C952))+ISNUMBER(SEARCH("Dueño",C952))+ISNUMBER(SEARCH("Director General",C952))+ISNUMBER(SEARCH("Presidente",C952))+ISNUMBER(SEARCH("President",C952))&gt;0,'Configuración'!$B$31,IF(ISNUMBER(SEARCH("CMO",C952))+ISNUMBER(SEARCH("Chief Marketing",C952))+ISNUMBER(SEARCH("VP Marketing",C952))+ISNUMBER(SEARCH("Director de Marketing",C952))+ISNUMBER(SEARCH("Director Marketing",C952))+ISNUMBER(SEARCH("Head of Marketing",C952))+ISNUMBER(SEARCH("Head Marketing",C952))&gt;0,'Configuración'!$B$32,IF(ISNUMBER(SEARCH("Marketing Manager",C952))+ISNUMBER(SEARCH("Gerente de Marketing",C952))+ISNUMBER(SEARCH("Growth Manager",C952))+ISNUMBER(SEARCH("Demand Gen",C952))+ISNUMBER(SEARCH("Marketing Lead",C952))&gt;0,'Configuración'!$B$33,IF(ISNUMBER(SEARCH("COO",C952))+ISNUMBER(SEARCH("CFO",C952))+ISNUMBER(SEARCH("CTO",C952))+ISNUMBER(SEARCH("Chief Operating",C952))+ISNUMBER(SEARCH("Chief Financial",C952))+ISNUMBER(SEARCH("Gerente General",C952))+ISNUMBER(SEARCH("General Manager",C952))&gt;0,'Configuración'!$B$34,'Configuración'!$B$35)))))</f>
        <v>12</v>
      </c>
      <c r="V952" s="38">
        <f>IF(B952="","",IF(K952="Sí",'Configuración'!$B$5,0)+IF(L952="Semanal",'Configuración'!$B$6,IF(L952="Mensual",'Configuración'!$B$7,0))+IF(M952="Sí",'Configuración'!$B$8,0)+IF(N952="Sí",'Configuración'!$B$9,0)+IF(O952="Sí",'Configuración'!$B$10,0)+IF(P952="Sí",'Configuración'!$B$11,0)+IF(Q952="Sí",'Configuración'!$B$12,0)+S952+T952+U952)</f>
        <v>36</v>
      </c>
      <c r="W952" s="39" t="str">
        <f>IF(B952="","",IF(V952&gt;='Configuración'!$B$19,"A",IF(V952&gt;='Configuración'!$B$20,"B",IF(V952&gt;='Configuración'!$B$21,"C","Descarte"))))</f>
        <v>C</v>
      </c>
    </row>
    <row r="953" ht="15.75" customHeight="1">
      <c r="A953" s="34">
        <f t="shared" si="1"/>
        <v>951</v>
      </c>
      <c r="B953" s="29" t="s">
        <v>5575</v>
      </c>
      <c r="C953" s="29" t="s">
        <v>131</v>
      </c>
      <c r="D953" s="29" t="s">
        <v>5576</v>
      </c>
      <c r="E953" s="29" t="s">
        <v>5577</v>
      </c>
      <c r="F953" s="30" t="s">
        <v>5578</v>
      </c>
      <c r="G953" s="30" t="s">
        <v>5579</v>
      </c>
      <c r="H953" s="30" t="s">
        <v>5580</v>
      </c>
      <c r="I953" s="29" t="s">
        <v>4621</v>
      </c>
      <c r="J953" s="31">
        <v>5.0</v>
      </c>
      <c r="K953" s="35"/>
      <c r="L953" s="35"/>
      <c r="M953" s="35"/>
      <c r="N953" s="35"/>
      <c r="O953" s="35"/>
      <c r="P953" s="35"/>
      <c r="Q953" s="35"/>
      <c r="R953" s="35"/>
      <c r="S953" s="37">
        <f>IF(B953="","",IF(ISNUMBER(J953),IF(J953&lt;=10,'Configuración'!$B$23,IF(J953&lt;=50,'Configuración'!$B$24,IF(J953&lt;=200,'Configuración'!$B$25,0))),0))</f>
        <v>12</v>
      </c>
      <c r="T953" s="37">
        <f>IF(B953="","",IF(ISNUMBER(SEARCH("information technology",I953))+ISNUMBER(SEARCH("software",I953))+ISNUMBER(SEARCH("internet",I953))+ISNUMBER(SEARCH("computer",I953))+ISNUMBER(SEARCH("saas",I953))+ISNUMBER(SEARCH("fintech",I953))+ISNUMBER(SEARCH("information services",I953))+ISNUMBER(SEARCH("telecommunications",I953))&gt;0,'Configuración'!$B$27,'Configuración'!$B$28))</f>
        <v>4</v>
      </c>
      <c r="U953" s="25">
        <f>IF(B953="","",IF(ISNUMBER(SEARCH("CEO",C953))+ISNUMBER(SEARCH("Founder",C953))+ISNUMBER(SEARCH("Owner",C953))+ISNUMBER(SEARCH("Dueño",C953))+ISNUMBER(SEARCH("Director General",C953))+ISNUMBER(SEARCH("Presidente",C953))+ISNUMBER(SEARCH("President",C953))&gt;0,'Configuración'!$B$31,IF(ISNUMBER(SEARCH("CMO",C953))+ISNUMBER(SEARCH("Chief Marketing",C953))+ISNUMBER(SEARCH("VP Marketing",C953))+ISNUMBER(SEARCH("Director de Marketing",C953))+ISNUMBER(SEARCH("Director Marketing",C953))+ISNUMBER(SEARCH("Head of Marketing",C953))+ISNUMBER(SEARCH("Head Marketing",C953))&gt;0,'Configuración'!$B$32,IF(ISNUMBER(SEARCH("Marketing Manager",C953))+ISNUMBER(SEARCH("Gerente de Marketing",C953))+ISNUMBER(SEARCH("Growth Manager",C953))+ISNUMBER(SEARCH("Demand Gen",C953))+ISNUMBER(SEARCH("Marketing Lead",C953))&gt;0,'Configuración'!$B$33,IF(ISNUMBER(SEARCH("COO",C953))+ISNUMBER(SEARCH("CFO",C953))+ISNUMBER(SEARCH("CTO",C953))+ISNUMBER(SEARCH("Chief Operating",C953))+ISNUMBER(SEARCH("Chief Financial",C953))+ISNUMBER(SEARCH("Gerente General",C953))+ISNUMBER(SEARCH("General Manager",C953))&gt;0,'Configuración'!$B$34,'Configuración'!$B$35)))))</f>
        <v>12</v>
      </c>
      <c r="V953" s="38">
        <f>IF(B953="","",IF(K953="Sí",'Configuración'!$B$5,0)+IF(L953="Semanal",'Configuración'!$B$6,IF(L953="Mensual",'Configuración'!$B$7,0))+IF(M953="Sí",'Configuración'!$B$8,0)+IF(N953="Sí",'Configuración'!$B$9,0)+IF(O953="Sí",'Configuración'!$B$10,0)+IF(P953="Sí",'Configuración'!$B$11,0)+IF(Q953="Sí",'Configuración'!$B$12,0)+S953+T953+U953)</f>
        <v>28</v>
      </c>
      <c r="W953" s="39" t="str">
        <f>IF(B953="","",IF(V953&gt;='Configuración'!$B$19,"A",IF(V953&gt;='Configuración'!$B$20,"B",IF(V953&gt;='Configuración'!$B$21,"C","Descarte"))))</f>
        <v>C</v>
      </c>
    </row>
    <row r="954" ht="15.75" customHeight="1">
      <c r="A954" s="34">
        <f t="shared" si="1"/>
        <v>952</v>
      </c>
      <c r="B954" s="29" t="s">
        <v>181</v>
      </c>
      <c r="C954" s="29" t="s">
        <v>1617</v>
      </c>
      <c r="D954" s="29" t="s">
        <v>5581</v>
      </c>
      <c r="E954" s="29" t="s">
        <v>5582</v>
      </c>
      <c r="F954" s="30" t="s">
        <v>5583</v>
      </c>
      <c r="G954" s="30" t="s">
        <v>5584</v>
      </c>
      <c r="H954" s="30" t="s">
        <v>5585</v>
      </c>
      <c r="I954" s="29" t="s">
        <v>127</v>
      </c>
      <c r="J954" s="31">
        <v>5.0</v>
      </c>
      <c r="K954" s="35"/>
      <c r="L954" s="35"/>
      <c r="M954" s="35"/>
      <c r="N954" s="35"/>
      <c r="O954" s="35"/>
      <c r="P954" s="35"/>
      <c r="Q954" s="35"/>
      <c r="R954" s="35"/>
      <c r="S954" s="37">
        <f>IF(B954="","",IF(ISNUMBER(J954),IF(J954&lt;=10,'Configuración'!$B$23,IF(J954&lt;=50,'Configuración'!$B$24,IF(J954&lt;=200,'Configuración'!$B$25,0))),0))</f>
        <v>12</v>
      </c>
      <c r="T954" s="37">
        <f>IF(B954="","",IF(ISNUMBER(SEARCH("information technology",I954))+ISNUMBER(SEARCH("software",I954))+ISNUMBER(SEARCH("internet",I954))+ISNUMBER(SEARCH("computer",I954))+ISNUMBER(SEARCH("saas",I954))+ISNUMBER(SEARCH("fintech",I954))+ISNUMBER(SEARCH("information services",I954))+ISNUMBER(SEARCH("telecommunications",I954))&gt;0,'Configuración'!$B$27,'Configuración'!$B$28))</f>
        <v>12</v>
      </c>
      <c r="U954" s="25">
        <f>IF(B954="","",IF(ISNUMBER(SEARCH("CEO",C954))+ISNUMBER(SEARCH("Founder",C954))+ISNUMBER(SEARCH("Owner",C954))+ISNUMBER(SEARCH("Dueño",C954))+ISNUMBER(SEARCH("Director General",C954))+ISNUMBER(SEARCH("Presidente",C954))+ISNUMBER(SEARCH("President",C954))&gt;0,'Configuración'!$B$31,IF(ISNUMBER(SEARCH("CMO",C954))+ISNUMBER(SEARCH("Chief Marketing",C954))+ISNUMBER(SEARCH("VP Marketing",C954))+ISNUMBER(SEARCH("Director de Marketing",C954))+ISNUMBER(SEARCH("Director Marketing",C954))+ISNUMBER(SEARCH("Head of Marketing",C954))+ISNUMBER(SEARCH("Head Marketing",C954))&gt;0,'Configuración'!$B$32,IF(ISNUMBER(SEARCH("Marketing Manager",C954))+ISNUMBER(SEARCH("Gerente de Marketing",C954))+ISNUMBER(SEARCH("Growth Manager",C954))+ISNUMBER(SEARCH("Demand Gen",C954))+ISNUMBER(SEARCH("Marketing Lead",C954))&gt;0,'Configuración'!$B$33,IF(ISNUMBER(SEARCH("COO",C954))+ISNUMBER(SEARCH("CFO",C954))+ISNUMBER(SEARCH("CTO",C954))+ISNUMBER(SEARCH("Chief Operating",C954))+ISNUMBER(SEARCH("Chief Financial",C954))+ISNUMBER(SEARCH("Gerente General",C954))+ISNUMBER(SEARCH("General Manager",C954))&gt;0,'Configuración'!$B$34,'Configuración'!$B$35)))))</f>
        <v>12</v>
      </c>
      <c r="V954" s="38">
        <f>IF(B954="","",IF(K954="Sí",'Configuración'!$B$5,0)+IF(L954="Semanal",'Configuración'!$B$6,IF(L954="Mensual",'Configuración'!$B$7,0))+IF(M954="Sí",'Configuración'!$B$8,0)+IF(N954="Sí",'Configuración'!$B$9,0)+IF(O954="Sí",'Configuración'!$B$10,0)+IF(P954="Sí",'Configuración'!$B$11,0)+IF(Q954="Sí",'Configuración'!$B$12,0)+S954+T954+U954)</f>
        <v>36</v>
      </c>
      <c r="W954" s="39" t="str">
        <f>IF(B954="","",IF(V954&gt;='Configuración'!$B$19,"A",IF(V954&gt;='Configuración'!$B$20,"B",IF(V954&gt;='Configuración'!$B$21,"C","Descarte"))))</f>
        <v>C</v>
      </c>
    </row>
    <row r="955" ht="15.75" customHeight="1">
      <c r="A955" s="34">
        <f t="shared" si="1"/>
        <v>953</v>
      </c>
      <c r="B955" s="29" t="s">
        <v>5586</v>
      </c>
      <c r="C955" s="29" t="s">
        <v>131</v>
      </c>
      <c r="D955" s="29" t="s">
        <v>5587</v>
      </c>
      <c r="E955" s="29" t="s">
        <v>5588</v>
      </c>
      <c r="F955" s="30" t="s">
        <v>5589</v>
      </c>
      <c r="G955" s="30" t="s">
        <v>5590</v>
      </c>
      <c r="H955" s="30" t="s">
        <v>5591</v>
      </c>
      <c r="I955" s="29" t="s">
        <v>2170</v>
      </c>
      <c r="J955" s="31">
        <v>7.0</v>
      </c>
      <c r="K955" s="35"/>
      <c r="L955" s="35"/>
      <c r="M955" s="35"/>
      <c r="N955" s="35"/>
      <c r="O955" s="35"/>
      <c r="P955" s="35"/>
      <c r="Q955" s="35"/>
      <c r="R955" s="35"/>
      <c r="S955" s="37">
        <f>IF(B955="","",IF(ISNUMBER(J955),IF(J955&lt;=10,'Configuración'!$B$23,IF(J955&lt;=50,'Configuración'!$B$24,IF(J955&lt;=200,'Configuración'!$B$25,0))),0))</f>
        <v>12</v>
      </c>
      <c r="T955" s="37">
        <f>IF(B955="","",IF(ISNUMBER(SEARCH("information technology",I955))+ISNUMBER(SEARCH("software",I955))+ISNUMBER(SEARCH("internet",I955))+ISNUMBER(SEARCH("computer",I955))+ISNUMBER(SEARCH("saas",I955))+ISNUMBER(SEARCH("fintech",I955))+ISNUMBER(SEARCH("information services",I955))+ISNUMBER(SEARCH("telecommunications",I955))&gt;0,'Configuración'!$B$27,'Configuración'!$B$28))</f>
        <v>12</v>
      </c>
      <c r="U955" s="25">
        <f>IF(B955="","",IF(ISNUMBER(SEARCH("CEO",C955))+ISNUMBER(SEARCH("Founder",C955))+ISNUMBER(SEARCH("Owner",C955))+ISNUMBER(SEARCH("Dueño",C955))+ISNUMBER(SEARCH("Director General",C955))+ISNUMBER(SEARCH("Presidente",C955))+ISNUMBER(SEARCH("President",C955))&gt;0,'Configuración'!$B$31,IF(ISNUMBER(SEARCH("CMO",C955))+ISNUMBER(SEARCH("Chief Marketing",C955))+ISNUMBER(SEARCH("VP Marketing",C955))+ISNUMBER(SEARCH("Director de Marketing",C955))+ISNUMBER(SEARCH("Director Marketing",C955))+ISNUMBER(SEARCH("Head of Marketing",C955))+ISNUMBER(SEARCH("Head Marketing",C955))&gt;0,'Configuración'!$B$32,IF(ISNUMBER(SEARCH("Marketing Manager",C955))+ISNUMBER(SEARCH("Gerente de Marketing",C955))+ISNUMBER(SEARCH("Growth Manager",C955))+ISNUMBER(SEARCH("Demand Gen",C955))+ISNUMBER(SEARCH("Marketing Lead",C955))&gt;0,'Configuración'!$B$33,IF(ISNUMBER(SEARCH("COO",C955))+ISNUMBER(SEARCH("CFO",C955))+ISNUMBER(SEARCH("CTO",C955))+ISNUMBER(SEARCH("Chief Operating",C955))+ISNUMBER(SEARCH("Chief Financial",C955))+ISNUMBER(SEARCH("Gerente General",C955))+ISNUMBER(SEARCH("General Manager",C955))&gt;0,'Configuración'!$B$34,'Configuración'!$B$35)))))</f>
        <v>12</v>
      </c>
      <c r="V955" s="38">
        <f>IF(B955="","",IF(K955="Sí",'Configuración'!$B$5,0)+IF(L955="Semanal",'Configuración'!$B$6,IF(L955="Mensual",'Configuración'!$B$7,0))+IF(M955="Sí",'Configuración'!$B$8,0)+IF(N955="Sí",'Configuración'!$B$9,0)+IF(O955="Sí",'Configuración'!$B$10,0)+IF(P955="Sí",'Configuración'!$B$11,0)+IF(Q955="Sí",'Configuración'!$B$12,0)+S955+T955+U955)</f>
        <v>36</v>
      </c>
      <c r="W955" s="39" t="str">
        <f>IF(B955="","",IF(V955&gt;='Configuración'!$B$19,"A",IF(V955&gt;='Configuración'!$B$20,"B",IF(V955&gt;='Configuración'!$B$21,"C","Descarte"))))</f>
        <v>C</v>
      </c>
    </row>
    <row r="956" ht="15.75" customHeight="1">
      <c r="A956" s="34">
        <f t="shared" si="1"/>
        <v>954</v>
      </c>
      <c r="B956" s="29" t="s">
        <v>501</v>
      </c>
      <c r="C956" s="29" t="s">
        <v>131</v>
      </c>
      <c r="D956" s="29" t="s">
        <v>5592</v>
      </c>
      <c r="E956" s="29" t="s">
        <v>5593</v>
      </c>
      <c r="F956" s="30" t="s">
        <v>5594</v>
      </c>
      <c r="G956" s="30" t="s">
        <v>5595</v>
      </c>
      <c r="H956" s="30" t="s">
        <v>5596</v>
      </c>
      <c r="I956" s="29" t="s">
        <v>127</v>
      </c>
      <c r="J956" s="31">
        <v>19.0</v>
      </c>
      <c r="K956" s="35"/>
      <c r="L956" s="35"/>
      <c r="M956" s="35"/>
      <c r="N956" s="35"/>
      <c r="O956" s="35"/>
      <c r="P956" s="35"/>
      <c r="Q956" s="35"/>
      <c r="R956" s="35"/>
      <c r="S956" s="37">
        <f>IF(B956="","",IF(ISNUMBER(J956),IF(J956&lt;=10,'Configuración'!$B$23,IF(J956&lt;=50,'Configuración'!$B$24,IF(J956&lt;=200,'Configuración'!$B$25,0))),0))</f>
        <v>4</v>
      </c>
      <c r="T956" s="37">
        <f>IF(B956="","",IF(ISNUMBER(SEARCH("information technology",I956))+ISNUMBER(SEARCH("software",I956))+ISNUMBER(SEARCH("internet",I956))+ISNUMBER(SEARCH("computer",I956))+ISNUMBER(SEARCH("saas",I956))+ISNUMBER(SEARCH("fintech",I956))+ISNUMBER(SEARCH("information services",I956))+ISNUMBER(SEARCH("telecommunications",I956))&gt;0,'Configuración'!$B$27,'Configuración'!$B$28))</f>
        <v>12</v>
      </c>
      <c r="U956" s="25">
        <f>IF(B956="","",IF(ISNUMBER(SEARCH("CEO",C956))+ISNUMBER(SEARCH("Founder",C956))+ISNUMBER(SEARCH("Owner",C956))+ISNUMBER(SEARCH("Dueño",C956))+ISNUMBER(SEARCH("Director General",C956))+ISNUMBER(SEARCH("Presidente",C956))+ISNUMBER(SEARCH("President",C956))&gt;0,'Configuración'!$B$31,IF(ISNUMBER(SEARCH("CMO",C956))+ISNUMBER(SEARCH("Chief Marketing",C956))+ISNUMBER(SEARCH("VP Marketing",C956))+ISNUMBER(SEARCH("Director de Marketing",C956))+ISNUMBER(SEARCH("Director Marketing",C956))+ISNUMBER(SEARCH("Head of Marketing",C956))+ISNUMBER(SEARCH("Head Marketing",C956))&gt;0,'Configuración'!$B$32,IF(ISNUMBER(SEARCH("Marketing Manager",C956))+ISNUMBER(SEARCH("Gerente de Marketing",C956))+ISNUMBER(SEARCH("Growth Manager",C956))+ISNUMBER(SEARCH("Demand Gen",C956))+ISNUMBER(SEARCH("Marketing Lead",C956))&gt;0,'Configuración'!$B$33,IF(ISNUMBER(SEARCH("COO",C956))+ISNUMBER(SEARCH("CFO",C956))+ISNUMBER(SEARCH("CTO",C956))+ISNUMBER(SEARCH("Chief Operating",C956))+ISNUMBER(SEARCH("Chief Financial",C956))+ISNUMBER(SEARCH("Gerente General",C956))+ISNUMBER(SEARCH("General Manager",C956))&gt;0,'Configuración'!$B$34,'Configuración'!$B$35)))))</f>
        <v>12</v>
      </c>
      <c r="V956" s="38">
        <f>IF(B956="","",IF(K956="Sí",'Configuración'!$B$5,0)+IF(L956="Semanal",'Configuración'!$B$6,IF(L956="Mensual",'Configuración'!$B$7,0))+IF(M956="Sí",'Configuración'!$B$8,0)+IF(N956="Sí",'Configuración'!$B$9,0)+IF(O956="Sí",'Configuración'!$B$10,0)+IF(P956="Sí",'Configuración'!$B$11,0)+IF(Q956="Sí",'Configuración'!$B$12,0)+S956+T956+U956)</f>
        <v>28</v>
      </c>
      <c r="W956" s="39" t="str">
        <f>IF(B956="","",IF(V956&gt;='Configuración'!$B$19,"A",IF(V956&gt;='Configuración'!$B$20,"B",IF(V956&gt;='Configuración'!$B$21,"C","Descarte"))))</f>
        <v>C</v>
      </c>
    </row>
    <row r="957" ht="15.75" customHeight="1">
      <c r="A957" s="34">
        <f t="shared" si="1"/>
        <v>955</v>
      </c>
      <c r="B957" s="29" t="s">
        <v>5597</v>
      </c>
      <c r="C957" s="29" t="s">
        <v>5598</v>
      </c>
      <c r="D957" s="29" t="s">
        <v>5599</v>
      </c>
      <c r="E957" s="29" t="s">
        <v>5600</v>
      </c>
      <c r="F957" s="30" t="s">
        <v>5601</v>
      </c>
      <c r="G957" s="30" t="s">
        <v>5602</v>
      </c>
      <c r="H957" s="30" t="s">
        <v>5603</v>
      </c>
      <c r="I957" s="29" t="s">
        <v>2350</v>
      </c>
      <c r="J957" s="31">
        <v>20.0</v>
      </c>
      <c r="K957" s="35"/>
      <c r="L957" s="35"/>
      <c r="M957" s="35"/>
      <c r="N957" s="35"/>
      <c r="O957" s="35"/>
      <c r="P957" s="35"/>
      <c r="Q957" s="35"/>
      <c r="R957" s="35"/>
      <c r="S957" s="37">
        <f>IF(B957="","",IF(ISNUMBER(J957),IF(J957&lt;=10,'Configuración'!$B$23,IF(J957&lt;=50,'Configuración'!$B$24,IF(J957&lt;=200,'Configuración'!$B$25,0))),0))</f>
        <v>4</v>
      </c>
      <c r="T957" s="37">
        <f>IF(B957="","",IF(ISNUMBER(SEARCH("information technology",I957))+ISNUMBER(SEARCH("software",I957))+ISNUMBER(SEARCH("internet",I957))+ISNUMBER(SEARCH("computer",I957))+ISNUMBER(SEARCH("saas",I957))+ISNUMBER(SEARCH("fintech",I957))+ISNUMBER(SEARCH("information services",I957))+ISNUMBER(SEARCH("telecommunications",I957))&gt;0,'Configuración'!$B$27,'Configuración'!$B$28))</f>
        <v>4</v>
      </c>
      <c r="U957" s="25">
        <f>IF(B957="","",IF(ISNUMBER(SEARCH("CEO",C957))+ISNUMBER(SEARCH("Founder",C957))+ISNUMBER(SEARCH("Owner",C957))+ISNUMBER(SEARCH("Dueño",C957))+ISNUMBER(SEARCH("Director General",C957))+ISNUMBER(SEARCH("Presidente",C957))+ISNUMBER(SEARCH("President",C957))&gt;0,'Configuración'!$B$31,IF(ISNUMBER(SEARCH("CMO",C957))+ISNUMBER(SEARCH("Chief Marketing",C957))+ISNUMBER(SEARCH("VP Marketing",C957))+ISNUMBER(SEARCH("Director de Marketing",C957))+ISNUMBER(SEARCH("Director Marketing",C957))+ISNUMBER(SEARCH("Head of Marketing",C957))+ISNUMBER(SEARCH("Head Marketing",C957))&gt;0,'Configuración'!$B$32,IF(ISNUMBER(SEARCH("Marketing Manager",C957))+ISNUMBER(SEARCH("Gerente de Marketing",C957))+ISNUMBER(SEARCH("Growth Manager",C957))+ISNUMBER(SEARCH("Demand Gen",C957))+ISNUMBER(SEARCH("Marketing Lead",C957))&gt;0,'Configuración'!$B$33,IF(ISNUMBER(SEARCH("COO",C957))+ISNUMBER(SEARCH("CFO",C957))+ISNUMBER(SEARCH("CTO",C957))+ISNUMBER(SEARCH("Chief Operating",C957))+ISNUMBER(SEARCH("Chief Financial",C957))+ISNUMBER(SEARCH("Gerente General",C957))+ISNUMBER(SEARCH("General Manager",C957))&gt;0,'Configuración'!$B$34,'Configuración'!$B$35)))))</f>
        <v>12</v>
      </c>
      <c r="V957" s="38">
        <f>IF(B957="","",IF(K957="Sí",'Configuración'!$B$5,0)+IF(L957="Semanal",'Configuración'!$B$6,IF(L957="Mensual",'Configuración'!$B$7,0))+IF(M957="Sí",'Configuración'!$B$8,0)+IF(N957="Sí",'Configuración'!$B$9,0)+IF(O957="Sí",'Configuración'!$B$10,0)+IF(P957="Sí",'Configuración'!$B$11,0)+IF(Q957="Sí",'Configuración'!$B$12,0)+S957+T957+U957)</f>
        <v>20</v>
      </c>
      <c r="W957" s="39" t="str">
        <f>IF(B957="","",IF(V957&gt;='Configuración'!$B$19,"A",IF(V957&gt;='Configuración'!$B$20,"B",IF(V957&gt;='Configuración'!$B$21,"C","Descarte"))))</f>
        <v>Descarte</v>
      </c>
    </row>
    <row r="958" ht="15.75" customHeight="1">
      <c r="A958" s="34">
        <f t="shared" si="1"/>
        <v>956</v>
      </c>
      <c r="B958" s="29" t="s">
        <v>610</v>
      </c>
      <c r="C958" s="29" t="s">
        <v>5604</v>
      </c>
      <c r="D958" s="29" t="s">
        <v>5605</v>
      </c>
      <c r="E958" s="29" t="s">
        <v>5606</v>
      </c>
      <c r="F958" s="30" t="s">
        <v>5607</v>
      </c>
      <c r="G958" s="30" t="s">
        <v>5608</v>
      </c>
      <c r="H958" s="30" t="s">
        <v>5609</v>
      </c>
      <c r="I958" s="29" t="s">
        <v>188</v>
      </c>
      <c r="J958" s="31">
        <v>27.0</v>
      </c>
      <c r="K958" s="35"/>
      <c r="L958" s="35"/>
      <c r="M958" s="35"/>
      <c r="N958" s="35"/>
      <c r="O958" s="35"/>
      <c r="P958" s="35"/>
      <c r="Q958" s="35"/>
      <c r="R958" s="35"/>
      <c r="S958" s="37">
        <f>IF(B958="","",IF(ISNUMBER(J958),IF(J958&lt;=10,'Configuración'!$B$23,IF(J958&lt;=50,'Configuración'!$B$24,IF(J958&lt;=200,'Configuración'!$B$25,0))),0))</f>
        <v>4</v>
      </c>
      <c r="T958" s="37">
        <f>IF(B958="","",IF(ISNUMBER(SEARCH("information technology",I958))+ISNUMBER(SEARCH("software",I958))+ISNUMBER(SEARCH("internet",I958))+ISNUMBER(SEARCH("computer",I958))+ISNUMBER(SEARCH("saas",I958))+ISNUMBER(SEARCH("fintech",I958))+ISNUMBER(SEARCH("information services",I958))+ISNUMBER(SEARCH("telecommunications",I958))&gt;0,'Configuración'!$B$27,'Configuración'!$B$28))</f>
        <v>4</v>
      </c>
      <c r="U958" s="25">
        <f>IF(B958="","",IF(ISNUMBER(SEARCH("CEO",C958))+ISNUMBER(SEARCH("Founder",C958))+ISNUMBER(SEARCH("Owner",C958))+ISNUMBER(SEARCH("Dueño",C958))+ISNUMBER(SEARCH("Director General",C958))+ISNUMBER(SEARCH("Presidente",C958))+ISNUMBER(SEARCH("President",C958))&gt;0,'Configuración'!$B$31,IF(ISNUMBER(SEARCH("CMO",C958))+ISNUMBER(SEARCH("Chief Marketing",C958))+ISNUMBER(SEARCH("VP Marketing",C958))+ISNUMBER(SEARCH("Director de Marketing",C958))+ISNUMBER(SEARCH("Director Marketing",C958))+ISNUMBER(SEARCH("Head of Marketing",C958))+ISNUMBER(SEARCH("Head Marketing",C958))&gt;0,'Configuración'!$B$32,IF(ISNUMBER(SEARCH("Marketing Manager",C958))+ISNUMBER(SEARCH("Gerente de Marketing",C958))+ISNUMBER(SEARCH("Growth Manager",C958))+ISNUMBER(SEARCH("Demand Gen",C958))+ISNUMBER(SEARCH("Marketing Lead",C958))&gt;0,'Configuración'!$B$33,IF(ISNUMBER(SEARCH("COO",C958))+ISNUMBER(SEARCH("CFO",C958))+ISNUMBER(SEARCH("CTO",C958))+ISNUMBER(SEARCH("Chief Operating",C958))+ISNUMBER(SEARCH("Chief Financial",C958))+ISNUMBER(SEARCH("Gerente General",C958))+ISNUMBER(SEARCH("General Manager",C958))&gt;0,'Configuración'!$B$34,'Configuración'!$B$35)))))</f>
        <v>4</v>
      </c>
      <c r="V958" s="38">
        <f>IF(B958="","",IF(K958="Sí",'Configuración'!$B$5,0)+IF(L958="Semanal",'Configuración'!$B$6,IF(L958="Mensual",'Configuración'!$B$7,0))+IF(M958="Sí",'Configuración'!$B$8,0)+IF(N958="Sí",'Configuración'!$B$9,0)+IF(O958="Sí",'Configuración'!$B$10,0)+IF(P958="Sí",'Configuración'!$B$11,0)+IF(Q958="Sí",'Configuración'!$B$12,0)+S958+T958+U958)</f>
        <v>12</v>
      </c>
      <c r="W958" s="39" t="str">
        <f>IF(B958="","",IF(V958&gt;='Configuración'!$B$19,"A",IF(V958&gt;='Configuración'!$B$20,"B",IF(V958&gt;='Configuración'!$B$21,"C","Descarte"))))</f>
        <v>Descarte</v>
      </c>
    </row>
    <row r="959" ht="15.75" customHeight="1">
      <c r="A959" s="34">
        <f t="shared" si="1"/>
        <v>957</v>
      </c>
      <c r="B959" s="29" t="s">
        <v>4398</v>
      </c>
      <c r="C959" s="29" t="s">
        <v>175</v>
      </c>
      <c r="D959" s="29" t="s">
        <v>5610</v>
      </c>
      <c r="E959" s="29" t="s">
        <v>5611</v>
      </c>
      <c r="F959" s="30" t="s">
        <v>5612</v>
      </c>
      <c r="G959" s="30" t="s">
        <v>5613</v>
      </c>
      <c r="H959" s="30" t="s">
        <v>5614</v>
      </c>
      <c r="I959" s="29" t="s">
        <v>2980</v>
      </c>
      <c r="J959" s="31">
        <v>9.0</v>
      </c>
      <c r="K959" s="35"/>
      <c r="L959" s="35"/>
      <c r="M959" s="35"/>
      <c r="N959" s="35"/>
      <c r="O959" s="35"/>
      <c r="P959" s="35"/>
      <c r="Q959" s="35"/>
      <c r="R959" s="35"/>
      <c r="S959" s="37">
        <f>IF(B959="","",IF(ISNUMBER(J959),IF(J959&lt;=10,'Configuración'!$B$23,IF(J959&lt;=50,'Configuración'!$B$24,IF(J959&lt;=200,'Configuración'!$B$25,0))),0))</f>
        <v>12</v>
      </c>
      <c r="T959" s="37">
        <f>IF(B959="","",IF(ISNUMBER(SEARCH("information technology",I959))+ISNUMBER(SEARCH("software",I959))+ISNUMBER(SEARCH("internet",I959))+ISNUMBER(SEARCH("computer",I959))+ISNUMBER(SEARCH("saas",I959))+ISNUMBER(SEARCH("fintech",I959))+ISNUMBER(SEARCH("information services",I959))+ISNUMBER(SEARCH("telecommunications",I959))&gt;0,'Configuración'!$B$27,'Configuración'!$B$28))</f>
        <v>4</v>
      </c>
      <c r="U959" s="25">
        <f>IF(B959="","",IF(ISNUMBER(SEARCH("CEO",C959))+ISNUMBER(SEARCH("Founder",C959))+ISNUMBER(SEARCH("Owner",C959))+ISNUMBER(SEARCH("Dueño",C959))+ISNUMBER(SEARCH("Director General",C959))+ISNUMBER(SEARCH("Presidente",C959))+ISNUMBER(SEARCH("President",C959))&gt;0,'Configuración'!$B$31,IF(ISNUMBER(SEARCH("CMO",C959))+ISNUMBER(SEARCH("Chief Marketing",C959))+ISNUMBER(SEARCH("VP Marketing",C959))+ISNUMBER(SEARCH("Director de Marketing",C959))+ISNUMBER(SEARCH("Director Marketing",C959))+ISNUMBER(SEARCH("Head of Marketing",C959))+ISNUMBER(SEARCH("Head Marketing",C959))&gt;0,'Configuración'!$B$32,IF(ISNUMBER(SEARCH("Marketing Manager",C959))+ISNUMBER(SEARCH("Gerente de Marketing",C959))+ISNUMBER(SEARCH("Growth Manager",C959))+ISNUMBER(SEARCH("Demand Gen",C959))+ISNUMBER(SEARCH("Marketing Lead",C959))&gt;0,'Configuración'!$B$33,IF(ISNUMBER(SEARCH("COO",C959))+ISNUMBER(SEARCH("CFO",C959))+ISNUMBER(SEARCH("CTO",C959))+ISNUMBER(SEARCH("Chief Operating",C959))+ISNUMBER(SEARCH("Chief Financial",C959))+ISNUMBER(SEARCH("Gerente General",C959))+ISNUMBER(SEARCH("General Manager",C959))&gt;0,'Configuración'!$B$34,'Configuración'!$B$35)))))</f>
        <v>12</v>
      </c>
      <c r="V959" s="38">
        <f>IF(B959="","",IF(K959="Sí",'Configuración'!$B$5,0)+IF(L959="Semanal",'Configuración'!$B$6,IF(L959="Mensual",'Configuración'!$B$7,0))+IF(M959="Sí",'Configuración'!$B$8,0)+IF(N959="Sí",'Configuración'!$B$9,0)+IF(O959="Sí",'Configuración'!$B$10,0)+IF(P959="Sí",'Configuración'!$B$11,0)+IF(Q959="Sí",'Configuración'!$B$12,0)+S959+T959+U959)</f>
        <v>28</v>
      </c>
      <c r="W959" s="39" t="str">
        <f>IF(B959="","",IF(V959&gt;='Configuración'!$B$19,"A",IF(V959&gt;='Configuración'!$B$20,"B",IF(V959&gt;='Configuración'!$B$21,"C","Descarte"))))</f>
        <v>C</v>
      </c>
    </row>
    <row r="960" ht="15.75" customHeight="1">
      <c r="A960" s="34">
        <f t="shared" si="1"/>
        <v>958</v>
      </c>
      <c r="B960" s="29" t="s">
        <v>5615</v>
      </c>
      <c r="C960" s="29" t="s">
        <v>224</v>
      </c>
      <c r="D960" s="29" t="s">
        <v>5616</v>
      </c>
      <c r="E960" s="29" t="s">
        <v>5617</v>
      </c>
      <c r="F960" s="30" t="s">
        <v>5618</v>
      </c>
      <c r="G960" s="30" t="s">
        <v>5619</v>
      </c>
      <c r="H960" s="30" t="s">
        <v>5620</v>
      </c>
      <c r="I960" s="29" t="s">
        <v>542</v>
      </c>
      <c r="J960" s="31">
        <v>23.0</v>
      </c>
      <c r="K960" s="35"/>
      <c r="L960" s="35"/>
      <c r="M960" s="35"/>
      <c r="N960" s="35"/>
      <c r="O960" s="35"/>
      <c r="P960" s="35"/>
      <c r="Q960" s="35"/>
      <c r="R960" s="35"/>
      <c r="S960" s="37">
        <f>IF(B960="","",IF(ISNUMBER(J960),IF(J960&lt;=10,'Configuración'!$B$23,IF(J960&lt;=50,'Configuración'!$B$24,IF(J960&lt;=200,'Configuración'!$B$25,0))),0))</f>
        <v>4</v>
      </c>
      <c r="T960" s="37">
        <f>IF(B960="","",IF(ISNUMBER(SEARCH("information technology",I960))+ISNUMBER(SEARCH("software",I960))+ISNUMBER(SEARCH("internet",I960))+ISNUMBER(SEARCH("computer",I960))+ISNUMBER(SEARCH("saas",I960))+ISNUMBER(SEARCH("fintech",I960))+ISNUMBER(SEARCH("information services",I960))+ISNUMBER(SEARCH("telecommunications",I960))&gt;0,'Configuración'!$B$27,'Configuración'!$B$28))</f>
        <v>4</v>
      </c>
      <c r="U960" s="25">
        <f>IF(B960="","",IF(ISNUMBER(SEARCH("CEO",C960))+ISNUMBER(SEARCH("Founder",C960))+ISNUMBER(SEARCH("Owner",C960))+ISNUMBER(SEARCH("Dueño",C960))+ISNUMBER(SEARCH("Director General",C960))+ISNUMBER(SEARCH("Presidente",C960))+ISNUMBER(SEARCH("President",C960))&gt;0,'Configuración'!$B$31,IF(ISNUMBER(SEARCH("CMO",C960))+ISNUMBER(SEARCH("Chief Marketing",C960))+ISNUMBER(SEARCH("VP Marketing",C960))+ISNUMBER(SEARCH("Director de Marketing",C960))+ISNUMBER(SEARCH("Director Marketing",C960))+ISNUMBER(SEARCH("Head of Marketing",C960))+ISNUMBER(SEARCH("Head Marketing",C960))&gt;0,'Configuración'!$B$32,IF(ISNUMBER(SEARCH("Marketing Manager",C960))+ISNUMBER(SEARCH("Gerente de Marketing",C960))+ISNUMBER(SEARCH("Growth Manager",C960))+ISNUMBER(SEARCH("Demand Gen",C960))+ISNUMBER(SEARCH("Marketing Lead",C960))&gt;0,'Configuración'!$B$33,IF(ISNUMBER(SEARCH("COO",C960))+ISNUMBER(SEARCH("CFO",C960))+ISNUMBER(SEARCH("CTO",C960))+ISNUMBER(SEARCH("Chief Operating",C960))+ISNUMBER(SEARCH("Chief Financial",C960))+ISNUMBER(SEARCH("Gerente General",C960))+ISNUMBER(SEARCH("General Manager",C960))&gt;0,'Configuración'!$B$34,'Configuración'!$B$35)))))</f>
        <v>12</v>
      </c>
      <c r="V960" s="38">
        <f>IF(B960="","",IF(K960="Sí",'Configuración'!$B$5,0)+IF(L960="Semanal",'Configuración'!$B$6,IF(L960="Mensual",'Configuración'!$B$7,0))+IF(M960="Sí",'Configuración'!$B$8,0)+IF(N960="Sí",'Configuración'!$B$9,0)+IF(O960="Sí",'Configuración'!$B$10,0)+IF(P960="Sí",'Configuración'!$B$11,0)+IF(Q960="Sí",'Configuración'!$B$12,0)+S960+T960+U960)</f>
        <v>20</v>
      </c>
      <c r="W960" s="39" t="str">
        <f>IF(B960="","",IF(V960&gt;='Configuración'!$B$19,"A",IF(V960&gt;='Configuración'!$B$20,"B",IF(V960&gt;='Configuración'!$B$21,"C","Descarte"))))</f>
        <v>Descarte</v>
      </c>
    </row>
    <row r="961" ht="15.75" customHeight="1">
      <c r="A961" s="34">
        <f t="shared" si="1"/>
        <v>959</v>
      </c>
      <c r="B961" s="29" t="s">
        <v>2396</v>
      </c>
      <c r="C961" s="29" t="s">
        <v>304</v>
      </c>
      <c r="D961" s="29" t="s">
        <v>5621</v>
      </c>
      <c r="E961" s="29" t="s">
        <v>5622</v>
      </c>
      <c r="F961" s="30" t="s">
        <v>5623</v>
      </c>
      <c r="G961" s="30" t="s">
        <v>5624</v>
      </c>
      <c r="H961" s="30" t="s">
        <v>5625</v>
      </c>
      <c r="I961" s="29" t="s">
        <v>1393</v>
      </c>
      <c r="J961" s="31">
        <v>3.0</v>
      </c>
      <c r="K961" s="35"/>
      <c r="L961" s="35"/>
      <c r="M961" s="35"/>
      <c r="N961" s="35"/>
      <c r="O961" s="35"/>
      <c r="P961" s="35"/>
      <c r="Q961" s="35"/>
      <c r="R961" s="35"/>
      <c r="S961" s="37">
        <f>IF(B961="","",IF(ISNUMBER(J961),IF(J961&lt;=10,'Configuración'!$B$23,IF(J961&lt;=50,'Configuración'!$B$24,IF(J961&lt;=200,'Configuración'!$B$25,0))),0))</f>
        <v>12</v>
      </c>
      <c r="T961" s="37">
        <f>IF(B961="","",IF(ISNUMBER(SEARCH("information technology",I961))+ISNUMBER(SEARCH("software",I961))+ISNUMBER(SEARCH("internet",I961))+ISNUMBER(SEARCH("computer",I961))+ISNUMBER(SEARCH("saas",I961))+ISNUMBER(SEARCH("fintech",I961))+ISNUMBER(SEARCH("information services",I961))+ISNUMBER(SEARCH("telecommunications",I961))&gt;0,'Configuración'!$B$27,'Configuración'!$B$28))</f>
        <v>4</v>
      </c>
      <c r="U961" s="25">
        <f>IF(B961="","",IF(ISNUMBER(SEARCH("CEO",C961))+ISNUMBER(SEARCH("Founder",C961))+ISNUMBER(SEARCH("Owner",C961))+ISNUMBER(SEARCH("Dueño",C961))+ISNUMBER(SEARCH("Director General",C961))+ISNUMBER(SEARCH("Presidente",C961))+ISNUMBER(SEARCH("President",C961))&gt;0,'Configuración'!$B$31,IF(ISNUMBER(SEARCH("CMO",C961))+ISNUMBER(SEARCH("Chief Marketing",C961))+ISNUMBER(SEARCH("VP Marketing",C961))+ISNUMBER(SEARCH("Director de Marketing",C961))+ISNUMBER(SEARCH("Director Marketing",C961))+ISNUMBER(SEARCH("Head of Marketing",C961))+ISNUMBER(SEARCH("Head Marketing",C961))&gt;0,'Configuración'!$B$32,IF(ISNUMBER(SEARCH("Marketing Manager",C961))+ISNUMBER(SEARCH("Gerente de Marketing",C961))+ISNUMBER(SEARCH("Growth Manager",C961))+ISNUMBER(SEARCH("Demand Gen",C961))+ISNUMBER(SEARCH("Marketing Lead",C961))&gt;0,'Configuración'!$B$33,IF(ISNUMBER(SEARCH("COO",C961))+ISNUMBER(SEARCH("CFO",C961))+ISNUMBER(SEARCH("CTO",C961))+ISNUMBER(SEARCH("Chief Operating",C961))+ISNUMBER(SEARCH("Chief Financial",C961))+ISNUMBER(SEARCH("Gerente General",C961))+ISNUMBER(SEARCH("General Manager",C961))&gt;0,'Configuración'!$B$34,'Configuración'!$B$35)))))</f>
        <v>4</v>
      </c>
      <c r="V961" s="38">
        <f>IF(B961="","",IF(K961="Sí",'Configuración'!$B$5,0)+IF(L961="Semanal",'Configuración'!$B$6,IF(L961="Mensual",'Configuración'!$B$7,0))+IF(M961="Sí",'Configuración'!$B$8,0)+IF(N961="Sí",'Configuración'!$B$9,0)+IF(O961="Sí",'Configuración'!$B$10,0)+IF(P961="Sí",'Configuración'!$B$11,0)+IF(Q961="Sí",'Configuración'!$B$12,0)+S961+T961+U961)</f>
        <v>20</v>
      </c>
      <c r="W961" s="39" t="str">
        <f>IF(B961="","",IF(V961&gt;='Configuración'!$B$19,"A",IF(V961&gt;='Configuración'!$B$20,"B",IF(V961&gt;='Configuración'!$B$21,"C","Descarte"))))</f>
        <v>Descarte</v>
      </c>
    </row>
    <row r="962" ht="15.75" customHeight="1">
      <c r="A962" s="34">
        <f t="shared" si="1"/>
        <v>960</v>
      </c>
      <c r="B962" s="29" t="s">
        <v>223</v>
      </c>
      <c r="C962" s="29" t="s">
        <v>202</v>
      </c>
      <c r="D962" s="29" t="s">
        <v>5626</v>
      </c>
      <c r="E962" s="29" t="s">
        <v>5627</v>
      </c>
      <c r="F962" s="30" t="s">
        <v>5628</v>
      </c>
      <c r="G962" s="30" t="s">
        <v>5629</v>
      </c>
      <c r="H962" s="30" t="s">
        <v>5630</v>
      </c>
      <c r="I962" s="29" t="s">
        <v>116</v>
      </c>
      <c r="J962" s="31">
        <v>6.0</v>
      </c>
      <c r="K962" s="35"/>
      <c r="L962" s="35"/>
      <c r="M962" s="35"/>
      <c r="N962" s="35"/>
      <c r="O962" s="35"/>
      <c r="P962" s="35"/>
      <c r="Q962" s="35"/>
      <c r="R962" s="35"/>
      <c r="S962" s="37">
        <f>IF(B962="","",IF(ISNUMBER(J962),IF(J962&lt;=10,'Configuración'!$B$23,IF(J962&lt;=50,'Configuración'!$B$24,IF(J962&lt;=200,'Configuración'!$B$25,0))),0))</f>
        <v>12</v>
      </c>
      <c r="T962" s="37">
        <f>IF(B962="","",IF(ISNUMBER(SEARCH("information technology",I962))+ISNUMBER(SEARCH("software",I962))+ISNUMBER(SEARCH("internet",I962))+ISNUMBER(SEARCH("computer",I962))+ISNUMBER(SEARCH("saas",I962))+ISNUMBER(SEARCH("fintech",I962))+ISNUMBER(SEARCH("information services",I962))+ISNUMBER(SEARCH("telecommunications",I962))&gt;0,'Configuración'!$B$27,'Configuración'!$B$28))</f>
        <v>4</v>
      </c>
      <c r="U962" s="25">
        <f>IF(B962="","",IF(ISNUMBER(SEARCH("CEO",C962))+ISNUMBER(SEARCH("Founder",C962))+ISNUMBER(SEARCH("Owner",C962))+ISNUMBER(SEARCH("Dueño",C962))+ISNUMBER(SEARCH("Director General",C962))+ISNUMBER(SEARCH("Presidente",C962))+ISNUMBER(SEARCH("President",C962))&gt;0,'Configuración'!$B$31,IF(ISNUMBER(SEARCH("CMO",C962))+ISNUMBER(SEARCH("Chief Marketing",C962))+ISNUMBER(SEARCH("VP Marketing",C962))+ISNUMBER(SEARCH("Director de Marketing",C962))+ISNUMBER(SEARCH("Director Marketing",C962))+ISNUMBER(SEARCH("Head of Marketing",C962))+ISNUMBER(SEARCH("Head Marketing",C962))&gt;0,'Configuración'!$B$32,IF(ISNUMBER(SEARCH("Marketing Manager",C962))+ISNUMBER(SEARCH("Gerente de Marketing",C962))+ISNUMBER(SEARCH("Growth Manager",C962))+ISNUMBER(SEARCH("Demand Gen",C962))+ISNUMBER(SEARCH("Marketing Lead",C962))&gt;0,'Configuración'!$B$33,IF(ISNUMBER(SEARCH("COO",C962))+ISNUMBER(SEARCH("CFO",C962))+ISNUMBER(SEARCH("CTO",C962))+ISNUMBER(SEARCH("Chief Operating",C962))+ISNUMBER(SEARCH("Chief Financial",C962))+ISNUMBER(SEARCH("Gerente General",C962))+ISNUMBER(SEARCH("General Manager",C962))&gt;0,'Configuración'!$B$34,'Configuración'!$B$35)))))</f>
        <v>12</v>
      </c>
      <c r="V962" s="38">
        <f>IF(B962="","",IF(K962="Sí",'Configuración'!$B$5,0)+IF(L962="Semanal",'Configuración'!$B$6,IF(L962="Mensual",'Configuración'!$B$7,0))+IF(M962="Sí",'Configuración'!$B$8,0)+IF(N962="Sí",'Configuración'!$B$9,0)+IF(O962="Sí",'Configuración'!$B$10,0)+IF(P962="Sí",'Configuración'!$B$11,0)+IF(Q962="Sí",'Configuración'!$B$12,0)+S962+T962+U962)</f>
        <v>28</v>
      </c>
      <c r="W962" s="39" t="str">
        <f>IF(B962="","",IF(V962&gt;='Configuración'!$B$19,"A",IF(V962&gt;='Configuración'!$B$20,"B",IF(V962&gt;='Configuración'!$B$21,"C","Descarte"))))</f>
        <v>C</v>
      </c>
    </row>
    <row r="963" ht="15.75" customHeight="1">
      <c r="A963" s="34">
        <f t="shared" si="1"/>
        <v>961</v>
      </c>
      <c r="B963" s="29" t="s">
        <v>159</v>
      </c>
      <c r="C963" s="29" t="s">
        <v>516</v>
      </c>
      <c r="D963" s="29" t="s">
        <v>5631</v>
      </c>
      <c r="E963" s="29" t="s">
        <v>5632</v>
      </c>
      <c r="F963" s="30" t="s">
        <v>5633</v>
      </c>
      <c r="G963" s="30" t="s">
        <v>5634</v>
      </c>
      <c r="H963" s="30" t="s">
        <v>5635</v>
      </c>
      <c r="I963" s="29" t="s">
        <v>508</v>
      </c>
      <c r="J963" s="31">
        <v>6.0</v>
      </c>
      <c r="K963" s="35"/>
      <c r="L963" s="35"/>
      <c r="M963" s="35"/>
      <c r="N963" s="35"/>
      <c r="O963" s="35"/>
      <c r="P963" s="35"/>
      <c r="Q963" s="35"/>
      <c r="R963" s="35"/>
      <c r="S963" s="37">
        <f>IF(B963="","",IF(ISNUMBER(J963),IF(J963&lt;=10,'Configuración'!$B$23,IF(J963&lt;=50,'Configuración'!$B$24,IF(J963&lt;=200,'Configuración'!$B$25,0))),0))</f>
        <v>12</v>
      </c>
      <c r="T963" s="37">
        <f>IF(B963="","",IF(ISNUMBER(SEARCH("information technology",I963))+ISNUMBER(SEARCH("software",I963))+ISNUMBER(SEARCH("internet",I963))+ISNUMBER(SEARCH("computer",I963))+ISNUMBER(SEARCH("saas",I963))+ISNUMBER(SEARCH("fintech",I963))+ISNUMBER(SEARCH("information services",I963))+ISNUMBER(SEARCH("telecommunications",I963))&gt;0,'Configuración'!$B$27,'Configuración'!$B$28))</f>
        <v>4</v>
      </c>
      <c r="U963" s="25">
        <f>IF(B963="","",IF(ISNUMBER(SEARCH("CEO",C963))+ISNUMBER(SEARCH("Founder",C963))+ISNUMBER(SEARCH("Owner",C963))+ISNUMBER(SEARCH("Dueño",C963))+ISNUMBER(SEARCH("Director General",C963))+ISNUMBER(SEARCH("Presidente",C963))+ISNUMBER(SEARCH("President",C963))&gt;0,'Configuración'!$B$31,IF(ISNUMBER(SEARCH("CMO",C963))+ISNUMBER(SEARCH("Chief Marketing",C963))+ISNUMBER(SEARCH("VP Marketing",C963))+ISNUMBER(SEARCH("Director de Marketing",C963))+ISNUMBER(SEARCH("Director Marketing",C963))+ISNUMBER(SEARCH("Head of Marketing",C963))+ISNUMBER(SEARCH("Head Marketing",C963))&gt;0,'Configuración'!$B$32,IF(ISNUMBER(SEARCH("Marketing Manager",C963))+ISNUMBER(SEARCH("Gerente de Marketing",C963))+ISNUMBER(SEARCH("Growth Manager",C963))+ISNUMBER(SEARCH("Demand Gen",C963))+ISNUMBER(SEARCH("Marketing Lead",C963))&gt;0,'Configuración'!$B$33,IF(ISNUMBER(SEARCH("COO",C963))+ISNUMBER(SEARCH("CFO",C963))+ISNUMBER(SEARCH("CTO",C963))+ISNUMBER(SEARCH("Chief Operating",C963))+ISNUMBER(SEARCH("Chief Financial",C963))+ISNUMBER(SEARCH("Gerente General",C963))+ISNUMBER(SEARCH("General Manager",C963))&gt;0,'Configuración'!$B$34,'Configuración'!$B$35)))))</f>
        <v>0</v>
      </c>
      <c r="V963" s="38">
        <f>IF(B963="","",IF(K963="Sí",'Configuración'!$B$5,0)+IF(L963="Semanal",'Configuración'!$B$6,IF(L963="Mensual",'Configuración'!$B$7,0))+IF(M963="Sí",'Configuración'!$B$8,0)+IF(N963="Sí",'Configuración'!$B$9,0)+IF(O963="Sí",'Configuración'!$B$10,0)+IF(P963="Sí",'Configuración'!$B$11,0)+IF(Q963="Sí",'Configuración'!$B$12,0)+S963+T963+U963)</f>
        <v>16</v>
      </c>
      <c r="W963" s="39" t="str">
        <f>IF(B963="","",IF(V963&gt;='Configuración'!$B$19,"A",IF(V963&gt;='Configuración'!$B$20,"B",IF(V963&gt;='Configuración'!$B$21,"C","Descarte"))))</f>
        <v>Descarte</v>
      </c>
    </row>
    <row r="964" ht="15.75" customHeight="1">
      <c r="A964" s="34">
        <f t="shared" si="1"/>
        <v>962</v>
      </c>
      <c r="B964" s="29" t="s">
        <v>556</v>
      </c>
      <c r="C964" s="29" t="s">
        <v>175</v>
      </c>
      <c r="D964" s="29" t="s">
        <v>5636</v>
      </c>
      <c r="E964" s="29" t="s">
        <v>5637</v>
      </c>
      <c r="F964" s="30" t="s">
        <v>5638</v>
      </c>
      <c r="G964" s="30" t="s">
        <v>5639</v>
      </c>
      <c r="H964" s="30" t="s">
        <v>5640</v>
      </c>
      <c r="I964" s="29" t="s">
        <v>5641</v>
      </c>
      <c r="J964" s="31">
        <v>4.0</v>
      </c>
      <c r="K964" s="35"/>
      <c r="L964" s="35"/>
      <c r="M964" s="35"/>
      <c r="N964" s="35"/>
      <c r="O964" s="35"/>
      <c r="P964" s="35"/>
      <c r="Q964" s="35"/>
      <c r="R964" s="35"/>
      <c r="S964" s="37">
        <f>IF(B964="","",IF(ISNUMBER(J964),IF(J964&lt;=10,'Configuración'!$B$23,IF(J964&lt;=50,'Configuración'!$B$24,IF(J964&lt;=200,'Configuración'!$B$25,0))),0))</f>
        <v>12</v>
      </c>
      <c r="T964" s="37">
        <f>IF(B964="","",IF(ISNUMBER(SEARCH("information technology",I964))+ISNUMBER(SEARCH("software",I964))+ISNUMBER(SEARCH("internet",I964))+ISNUMBER(SEARCH("computer",I964))+ISNUMBER(SEARCH("saas",I964))+ISNUMBER(SEARCH("fintech",I964))+ISNUMBER(SEARCH("information services",I964))+ISNUMBER(SEARCH("telecommunications",I964))&gt;0,'Configuración'!$B$27,'Configuración'!$B$28))</f>
        <v>4</v>
      </c>
      <c r="U964" s="25">
        <f>IF(B964="","",IF(ISNUMBER(SEARCH("CEO",C964))+ISNUMBER(SEARCH("Founder",C964))+ISNUMBER(SEARCH("Owner",C964))+ISNUMBER(SEARCH("Dueño",C964))+ISNUMBER(SEARCH("Director General",C964))+ISNUMBER(SEARCH("Presidente",C964))+ISNUMBER(SEARCH("President",C964))&gt;0,'Configuración'!$B$31,IF(ISNUMBER(SEARCH("CMO",C964))+ISNUMBER(SEARCH("Chief Marketing",C964))+ISNUMBER(SEARCH("VP Marketing",C964))+ISNUMBER(SEARCH("Director de Marketing",C964))+ISNUMBER(SEARCH("Director Marketing",C964))+ISNUMBER(SEARCH("Head of Marketing",C964))+ISNUMBER(SEARCH("Head Marketing",C964))&gt;0,'Configuración'!$B$32,IF(ISNUMBER(SEARCH("Marketing Manager",C964))+ISNUMBER(SEARCH("Gerente de Marketing",C964))+ISNUMBER(SEARCH("Growth Manager",C964))+ISNUMBER(SEARCH("Demand Gen",C964))+ISNUMBER(SEARCH("Marketing Lead",C964))&gt;0,'Configuración'!$B$33,IF(ISNUMBER(SEARCH("COO",C964))+ISNUMBER(SEARCH("CFO",C964))+ISNUMBER(SEARCH("CTO",C964))+ISNUMBER(SEARCH("Chief Operating",C964))+ISNUMBER(SEARCH("Chief Financial",C964))+ISNUMBER(SEARCH("Gerente General",C964))+ISNUMBER(SEARCH("General Manager",C964))&gt;0,'Configuración'!$B$34,'Configuración'!$B$35)))))</f>
        <v>12</v>
      </c>
      <c r="V964" s="38">
        <f>IF(B964="","",IF(K964="Sí",'Configuración'!$B$5,0)+IF(L964="Semanal",'Configuración'!$B$6,IF(L964="Mensual",'Configuración'!$B$7,0))+IF(M964="Sí",'Configuración'!$B$8,0)+IF(N964="Sí",'Configuración'!$B$9,0)+IF(O964="Sí",'Configuración'!$B$10,0)+IF(P964="Sí",'Configuración'!$B$11,0)+IF(Q964="Sí",'Configuración'!$B$12,0)+S964+T964+U964)</f>
        <v>28</v>
      </c>
      <c r="W964" s="39" t="str">
        <f>IF(B964="","",IF(V964&gt;='Configuración'!$B$19,"A",IF(V964&gt;='Configuración'!$B$20,"B",IF(V964&gt;='Configuración'!$B$21,"C","Descarte"))))</f>
        <v>C</v>
      </c>
    </row>
    <row r="965" ht="15.75" customHeight="1">
      <c r="A965" s="34">
        <f t="shared" si="1"/>
        <v>963</v>
      </c>
      <c r="B965" s="29" t="s">
        <v>262</v>
      </c>
      <c r="C965" s="29" t="s">
        <v>202</v>
      </c>
      <c r="D965" s="29" t="s">
        <v>468</v>
      </c>
      <c r="E965" s="29" t="s">
        <v>5642</v>
      </c>
      <c r="F965" s="30" t="s">
        <v>5643</v>
      </c>
      <c r="G965" s="30" t="s">
        <v>471</v>
      </c>
      <c r="H965" s="30" t="s">
        <v>472</v>
      </c>
      <c r="I965" s="29" t="s">
        <v>116</v>
      </c>
      <c r="J965" s="31">
        <v>36.0</v>
      </c>
      <c r="K965" s="35"/>
      <c r="L965" s="35"/>
      <c r="M965" s="35"/>
      <c r="N965" s="35"/>
      <c r="O965" s="35"/>
      <c r="P965" s="35"/>
      <c r="Q965" s="35"/>
      <c r="R965" s="35"/>
      <c r="S965" s="37">
        <f>IF(B965="","",IF(ISNUMBER(J965),IF(J965&lt;=10,'Configuración'!$B$23,IF(J965&lt;=50,'Configuración'!$B$24,IF(J965&lt;=200,'Configuración'!$B$25,0))),0))</f>
        <v>4</v>
      </c>
      <c r="T965" s="37">
        <f>IF(B965="","",IF(ISNUMBER(SEARCH("information technology",I965))+ISNUMBER(SEARCH("software",I965))+ISNUMBER(SEARCH("internet",I965))+ISNUMBER(SEARCH("computer",I965))+ISNUMBER(SEARCH("saas",I965))+ISNUMBER(SEARCH("fintech",I965))+ISNUMBER(SEARCH("information services",I965))+ISNUMBER(SEARCH("telecommunications",I965))&gt;0,'Configuración'!$B$27,'Configuración'!$B$28))</f>
        <v>4</v>
      </c>
      <c r="U965" s="25">
        <f>IF(B965="","",IF(ISNUMBER(SEARCH("CEO",C965))+ISNUMBER(SEARCH("Founder",C965))+ISNUMBER(SEARCH("Owner",C965))+ISNUMBER(SEARCH("Dueño",C965))+ISNUMBER(SEARCH("Director General",C965))+ISNUMBER(SEARCH("Presidente",C965))+ISNUMBER(SEARCH("President",C965))&gt;0,'Configuración'!$B$31,IF(ISNUMBER(SEARCH("CMO",C965))+ISNUMBER(SEARCH("Chief Marketing",C965))+ISNUMBER(SEARCH("VP Marketing",C965))+ISNUMBER(SEARCH("Director de Marketing",C965))+ISNUMBER(SEARCH("Director Marketing",C965))+ISNUMBER(SEARCH("Head of Marketing",C965))+ISNUMBER(SEARCH("Head Marketing",C965))&gt;0,'Configuración'!$B$32,IF(ISNUMBER(SEARCH("Marketing Manager",C965))+ISNUMBER(SEARCH("Gerente de Marketing",C965))+ISNUMBER(SEARCH("Growth Manager",C965))+ISNUMBER(SEARCH("Demand Gen",C965))+ISNUMBER(SEARCH("Marketing Lead",C965))&gt;0,'Configuración'!$B$33,IF(ISNUMBER(SEARCH("COO",C965))+ISNUMBER(SEARCH("CFO",C965))+ISNUMBER(SEARCH("CTO",C965))+ISNUMBER(SEARCH("Chief Operating",C965))+ISNUMBER(SEARCH("Chief Financial",C965))+ISNUMBER(SEARCH("Gerente General",C965))+ISNUMBER(SEARCH("General Manager",C965))&gt;0,'Configuración'!$B$34,'Configuración'!$B$35)))))</f>
        <v>12</v>
      </c>
      <c r="V965" s="38">
        <f>IF(B965="","",IF(K965="Sí",'Configuración'!$B$5,0)+IF(L965="Semanal",'Configuración'!$B$6,IF(L965="Mensual",'Configuración'!$B$7,0))+IF(M965="Sí",'Configuración'!$B$8,0)+IF(N965="Sí",'Configuración'!$B$9,0)+IF(O965="Sí",'Configuración'!$B$10,0)+IF(P965="Sí",'Configuración'!$B$11,0)+IF(Q965="Sí",'Configuración'!$B$12,0)+S965+T965+U965)</f>
        <v>20</v>
      </c>
      <c r="W965" s="39" t="str">
        <f>IF(B965="","",IF(V965&gt;='Configuración'!$B$19,"A",IF(V965&gt;='Configuración'!$B$20,"B",IF(V965&gt;='Configuración'!$B$21,"C","Descarte"))))</f>
        <v>Descarte</v>
      </c>
    </row>
    <row r="966" ht="15.75" customHeight="1">
      <c r="A966" s="34">
        <f t="shared" si="1"/>
        <v>964</v>
      </c>
      <c r="B966" s="29" t="s">
        <v>2788</v>
      </c>
      <c r="C966" s="29" t="s">
        <v>5644</v>
      </c>
      <c r="D966" s="29" t="s">
        <v>5645</v>
      </c>
      <c r="E966" s="29" t="s">
        <v>5646</v>
      </c>
      <c r="F966" s="30" t="s">
        <v>5647</v>
      </c>
      <c r="G966" s="30" t="s">
        <v>5648</v>
      </c>
      <c r="H966" s="30" t="s">
        <v>5649</v>
      </c>
      <c r="I966" s="29" t="s">
        <v>295</v>
      </c>
      <c r="J966" s="31">
        <v>21.0</v>
      </c>
      <c r="K966" s="35"/>
      <c r="L966" s="35"/>
      <c r="M966" s="35"/>
      <c r="N966" s="35"/>
      <c r="O966" s="35"/>
      <c r="P966" s="35"/>
      <c r="Q966" s="35"/>
      <c r="R966" s="35"/>
      <c r="S966" s="37">
        <f>IF(B966="","",IF(ISNUMBER(J966),IF(J966&lt;=10,'Configuración'!$B$23,IF(J966&lt;=50,'Configuración'!$B$24,IF(J966&lt;=200,'Configuración'!$B$25,0))),0))</f>
        <v>4</v>
      </c>
      <c r="T966" s="37">
        <f>IF(B966="","",IF(ISNUMBER(SEARCH("information technology",I966))+ISNUMBER(SEARCH("software",I966))+ISNUMBER(SEARCH("internet",I966))+ISNUMBER(SEARCH("computer",I966))+ISNUMBER(SEARCH("saas",I966))+ISNUMBER(SEARCH("fintech",I966))+ISNUMBER(SEARCH("information services",I966))+ISNUMBER(SEARCH("telecommunications",I966))&gt;0,'Configuración'!$B$27,'Configuración'!$B$28))</f>
        <v>4</v>
      </c>
      <c r="U966" s="25">
        <f>IF(B966="","",IF(ISNUMBER(SEARCH("CEO",C966))+ISNUMBER(SEARCH("Founder",C966))+ISNUMBER(SEARCH("Owner",C966))+ISNUMBER(SEARCH("Dueño",C966))+ISNUMBER(SEARCH("Director General",C966))+ISNUMBER(SEARCH("Presidente",C966))+ISNUMBER(SEARCH("President",C966))&gt;0,'Configuración'!$B$31,IF(ISNUMBER(SEARCH("CMO",C966))+ISNUMBER(SEARCH("Chief Marketing",C966))+ISNUMBER(SEARCH("VP Marketing",C966))+ISNUMBER(SEARCH("Director de Marketing",C966))+ISNUMBER(SEARCH("Director Marketing",C966))+ISNUMBER(SEARCH("Head of Marketing",C966))+ISNUMBER(SEARCH("Head Marketing",C966))&gt;0,'Configuración'!$B$32,IF(ISNUMBER(SEARCH("Marketing Manager",C966))+ISNUMBER(SEARCH("Gerente de Marketing",C966))+ISNUMBER(SEARCH("Growth Manager",C966))+ISNUMBER(SEARCH("Demand Gen",C966))+ISNUMBER(SEARCH("Marketing Lead",C966))&gt;0,'Configuración'!$B$33,IF(ISNUMBER(SEARCH("COO",C966))+ISNUMBER(SEARCH("CFO",C966))+ISNUMBER(SEARCH("CTO",C966))+ISNUMBER(SEARCH("Chief Operating",C966))+ISNUMBER(SEARCH("Chief Financial",C966))+ISNUMBER(SEARCH("Gerente General",C966))+ISNUMBER(SEARCH("General Manager",C966))&gt;0,'Configuración'!$B$34,'Configuración'!$B$35)))))</f>
        <v>4</v>
      </c>
      <c r="V966" s="38">
        <f>IF(B966="","",IF(K966="Sí",'Configuración'!$B$5,0)+IF(L966="Semanal",'Configuración'!$B$6,IF(L966="Mensual",'Configuración'!$B$7,0))+IF(M966="Sí",'Configuración'!$B$8,0)+IF(N966="Sí",'Configuración'!$B$9,0)+IF(O966="Sí",'Configuración'!$B$10,0)+IF(P966="Sí",'Configuración'!$B$11,0)+IF(Q966="Sí",'Configuración'!$B$12,0)+S966+T966+U966)</f>
        <v>12</v>
      </c>
      <c r="W966" s="39" t="str">
        <f>IF(B966="","",IF(V966&gt;='Configuración'!$B$19,"A",IF(V966&gt;='Configuración'!$B$20,"B",IF(V966&gt;='Configuración'!$B$21,"C","Descarte"))))</f>
        <v>Descarte</v>
      </c>
    </row>
    <row r="967" ht="15.75" customHeight="1">
      <c r="A967" s="34">
        <f t="shared" si="1"/>
        <v>965</v>
      </c>
      <c r="B967" s="29" t="s">
        <v>5650</v>
      </c>
      <c r="C967" s="29" t="s">
        <v>131</v>
      </c>
      <c r="D967" s="29" t="s">
        <v>5651</v>
      </c>
      <c r="E967" s="29" t="s">
        <v>5652</v>
      </c>
      <c r="F967" s="30" t="s">
        <v>5653</v>
      </c>
      <c r="G967" s="30" t="s">
        <v>5654</v>
      </c>
      <c r="H967" s="30" t="s">
        <v>5655</v>
      </c>
      <c r="I967" s="29" t="s">
        <v>337</v>
      </c>
      <c r="J967" s="31">
        <v>9.0</v>
      </c>
      <c r="K967" s="35"/>
      <c r="L967" s="35"/>
      <c r="M967" s="35"/>
      <c r="N967" s="35"/>
      <c r="O967" s="35"/>
      <c r="P967" s="35"/>
      <c r="Q967" s="35"/>
      <c r="R967" s="35"/>
      <c r="S967" s="37">
        <f>IF(B967="","",IF(ISNUMBER(J967),IF(J967&lt;=10,'Configuración'!$B$23,IF(J967&lt;=50,'Configuración'!$B$24,IF(J967&lt;=200,'Configuración'!$B$25,0))),0))</f>
        <v>12</v>
      </c>
      <c r="T967" s="37">
        <f>IF(B967="","",IF(ISNUMBER(SEARCH("information technology",I967))+ISNUMBER(SEARCH("software",I967))+ISNUMBER(SEARCH("internet",I967))+ISNUMBER(SEARCH("computer",I967))+ISNUMBER(SEARCH("saas",I967))+ISNUMBER(SEARCH("fintech",I967))+ISNUMBER(SEARCH("information services",I967))+ISNUMBER(SEARCH("telecommunications",I967))&gt;0,'Configuración'!$B$27,'Configuración'!$B$28))</f>
        <v>4</v>
      </c>
      <c r="U967" s="25">
        <f>IF(B967="","",IF(ISNUMBER(SEARCH("CEO",C967))+ISNUMBER(SEARCH("Founder",C967))+ISNUMBER(SEARCH("Owner",C967))+ISNUMBER(SEARCH("Dueño",C967))+ISNUMBER(SEARCH("Director General",C967))+ISNUMBER(SEARCH("Presidente",C967))+ISNUMBER(SEARCH("President",C967))&gt;0,'Configuración'!$B$31,IF(ISNUMBER(SEARCH("CMO",C967))+ISNUMBER(SEARCH("Chief Marketing",C967))+ISNUMBER(SEARCH("VP Marketing",C967))+ISNUMBER(SEARCH("Director de Marketing",C967))+ISNUMBER(SEARCH("Director Marketing",C967))+ISNUMBER(SEARCH("Head of Marketing",C967))+ISNUMBER(SEARCH("Head Marketing",C967))&gt;0,'Configuración'!$B$32,IF(ISNUMBER(SEARCH("Marketing Manager",C967))+ISNUMBER(SEARCH("Gerente de Marketing",C967))+ISNUMBER(SEARCH("Growth Manager",C967))+ISNUMBER(SEARCH("Demand Gen",C967))+ISNUMBER(SEARCH("Marketing Lead",C967))&gt;0,'Configuración'!$B$33,IF(ISNUMBER(SEARCH("COO",C967))+ISNUMBER(SEARCH("CFO",C967))+ISNUMBER(SEARCH("CTO",C967))+ISNUMBER(SEARCH("Chief Operating",C967))+ISNUMBER(SEARCH("Chief Financial",C967))+ISNUMBER(SEARCH("Gerente General",C967))+ISNUMBER(SEARCH("General Manager",C967))&gt;0,'Configuración'!$B$34,'Configuración'!$B$35)))))</f>
        <v>12</v>
      </c>
      <c r="V967" s="38">
        <f>IF(B967="","",IF(K967="Sí",'Configuración'!$B$5,0)+IF(L967="Semanal",'Configuración'!$B$6,IF(L967="Mensual",'Configuración'!$B$7,0))+IF(M967="Sí",'Configuración'!$B$8,0)+IF(N967="Sí",'Configuración'!$B$9,0)+IF(O967="Sí",'Configuración'!$B$10,0)+IF(P967="Sí",'Configuración'!$B$11,0)+IF(Q967="Sí",'Configuración'!$B$12,0)+S967+T967+U967)</f>
        <v>28</v>
      </c>
      <c r="W967" s="39" t="str">
        <f>IF(B967="","",IF(V967&gt;='Configuración'!$B$19,"A",IF(V967&gt;='Configuración'!$B$20,"B",IF(V967&gt;='Configuración'!$B$21,"C","Descarte"))))</f>
        <v>C</v>
      </c>
    </row>
    <row r="968" ht="15.75" customHeight="1">
      <c r="A968" s="34">
        <f t="shared" si="1"/>
        <v>966</v>
      </c>
      <c r="B968" s="29" t="s">
        <v>4514</v>
      </c>
      <c r="C968" s="29" t="s">
        <v>224</v>
      </c>
      <c r="D968" s="29" t="s">
        <v>5656</v>
      </c>
      <c r="E968" s="29" t="s">
        <v>5657</v>
      </c>
      <c r="F968" s="30" t="s">
        <v>5658</v>
      </c>
      <c r="G968" s="30" t="s">
        <v>5659</v>
      </c>
      <c r="H968" s="30" t="s">
        <v>5660</v>
      </c>
      <c r="I968" s="29" t="s">
        <v>1034</v>
      </c>
      <c r="J968" s="31">
        <v>3.0</v>
      </c>
      <c r="K968" s="35"/>
      <c r="L968" s="35"/>
      <c r="M968" s="35"/>
      <c r="N968" s="35"/>
      <c r="O968" s="35"/>
      <c r="P968" s="35"/>
      <c r="Q968" s="35"/>
      <c r="R968" s="35"/>
      <c r="S968" s="37">
        <f>IF(B968="","",IF(ISNUMBER(J968),IF(J968&lt;=10,'Configuración'!$B$23,IF(J968&lt;=50,'Configuración'!$B$24,IF(J968&lt;=200,'Configuración'!$B$25,0))),0))</f>
        <v>12</v>
      </c>
      <c r="T968" s="37">
        <f>IF(B968="","",IF(ISNUMBER(SEARCH("information technology",I968))+ISNUMBER(SEARCH("software",I968))+ISNUMBER(SEARCH("internet",I968))+ISNUMBER(SEARCH("computer",I968))+ISNUMBER(SEARCH("saas",I968))+ISNUMBER(SEARCH("fintech",I968))+ISNUMBER(SEARCH("information services",I968))+ISNUMBER(SEARCH("telecommunications",I968))&gt;0,'Configuración'!$B$27,'Configuración'!$B$28))</f>
        <v>4</v>
      </c>
      <c r="U968" s="25">
        <f>IF(B968="","",IF(ISNUMBER(SEARCH("CEO",C968))+ISNUMBER(SEARCH("Founder",C968))+ISNUMBER(SEARCH("Owner",C968))+ISNUMBER(SEARCH("Dueño",C968))+ISNUMBER(SEARCH("Director General",C968))+ISNUMBER(SEARCH("Presidente",C968))+ISNUMBER(SEARCH("President",C968))&gt;0,'Configuración'!$B$31,IF(ISNUMBER(SEARCH("CMO",C968))+ISNUMBER(SEARCH("Chief Marketing",C968))+ISNUMBER(SEARCH("VP Marketing",C968))+ISNUMBER(SEARCH("Director de Marketing",C968))+ISNUMBER(SEARCH("Director Marketing",C968))+ISNUMBER(SEARCH("Head of Marketing",C968))+ISNUMBER(SEARCH("Head Marketing",C968))&gt;0,'Configuración'!$B$32,IF(ISNUMBER(SEARCH("Marketing Manager",C968))+ISNUMBER(SEARCH("Gerente de Marketing",C968))+ISNUMBER(SEARCH("Growth Manager",C968))+ISNUMBER(SEARCH("Demand Gen",C968))+ISNUMBER(SEARCH("Marketing Lead",C968))&gt;0,'Configuración'!$B$33,IF(ISNUMBER(SEARCH("COO",C968))+ISNUMBER(SEARCH("CFO",C968))+ISNUMBER(SEARCH("CTO",C968))+ISNUMBER(SEARCH("Chief Operating",C968))+ISNUMBER(SEARCH("Chief Financial",C968))+ISNUMBER(SEARCH("Gerente General",C968))+ISNUMBER(SEARCH("General Manager",C968))&gt;0,'Configuración'!$B$34,'Configuración'!$B$35)))))</f>
        <v>12</v>
      </c>
      <c r="V968" s="38">
        <f>IF(B968="","",IF(K968="Sí",'Configuración'!$B$5,0)+IF(L968="Semanal",'Configuración'!$B$6,IF(L968="Mensual",'Configuración'!$B$7,0))+IF(M968="Sí",'Configuración'!$B$8,0)+IF(N968="Sí",'Configuración'!$B$9,0)+IF(O968="Sí",'Configuración'!$B$10,0)+IF(P968="Sí",'Configuración'!$B$11,0)+IF(Q968="Sí",'Configuración'!$B$12,0)+S968+T968+U968)</f>
        <v>28</v>
      </c>
      <c r="W968" s="39" t="str">
        <f>IF(B968="","",IF(V968&gt;='Configuración'!$B$19,"A",IF(V968&gt;='Configuración'!$B$20,"B",IF(V968&gt;='Configuración'!$B$21,"C","Descarte"))))</f>
        <v>C</v>
      </c>
    </row>
    <row r="969" ht="15.75" customHeight="1">
      <c r="A969" s="34">
        <f t="shared" si="1"/>
        <v>967</v>
      </c>
      <c r="B969" s="29" t="s">
        <v>1048</v>
      </c>
      <c r="C969" s="29" t="s">
        <v>304</v>
      </c>
      <c r="D969" s="29" t="s">
        <v>5661</v>
      </c>
      <c r="E969" s="29" t="s">
        <v>5662</v>
      </c>
      <c r="F969" s="30" t="s">
        <v>5663</v>
      </c>
      <c r="G969" s="30" t="s">
        <v>5664</v>
      </c>
      <c r="H969" s="30" t="s">
        <v>5665</v>
      </c>
      <c r="I969" s="29" t="s">
        <v>127</v>
      </c>
      <c r="J969" s="31">
        <v>37.0</v>
      </c>
      <c r="K969" s="35"/>
      <c r="L969" s="35"/>
      <c r="M969" s="35"/>
      <c r="N969" s="35"/>
      <c r="O969" s="35"/>
      <c r="P969" s="35"/>
      <c r="Q969" s="35"/>
      <c r="R969" s="35"/>
      <c r="S969" s="37">
        <f>IF(B969="","",IF(ISNUMBER(J969),IF(J969&lt;=10,'Configuración'!$B$23,IF(J969&lt;=50,'Configuración'!$B$24,IF(J969&lt;=200,'Configuración'!$B$25,0))),0))</f>
        <v>4</v>
      </c>
      <c r="T969" s="37">
        <f>IF(B969="","",IF(ISNUMBER(SEARCH("information technology",I969))+ISNUMBER(SEARCH("software",I969))+ISNUMBER(SEARCH("internet",I969))+ISNUMBER(SEARCH("computer",I969))+ISNUMBER(SEARCH("saas",I969))+ISNUMBER(SEARCH("fintech",I969))+ISNUMBER(SEARCH("information services",I969))+ISNUMBER(SEARCH("telecommunications",I969))&gt;0,'Configuración'!$B$27,'Configuración'!$B$28))</f>
        <v>12</v>
      </c>
      <c r="U969" s="25">
        <f>IF(B969="","",IF(ISNUMBER(SEARCH("CEO",C969))+ISNUMBER(SEARCH("Founder",C969))+ISNUMBER(SEARCH("Owner",C969))+ISNUMBER(SEARCH("Dueño",C969))+ISNUMBER(SEARCH("Director General",C969))+ISNUMBER(SEARCH("Presidente",C969))+ISNUMBER(SEARCH("President",C969))&gt;0,'Configuración'!$B$31,IF(ISNUMBER(SEARCH("CMO",C969))+ISNUMBER(SEARCH("Chief Marketing",C969))+ISNUMBER(SEARCH("VP Marketing",C969))+ISNUMBER(SEARCH("Director de Marketing",C969))+ISNUMBER(SEARCH("Director Marketing",C969))+ISNUMBER(SEARCH("Head of Marketing",C969))+ISNUMBER(SEARCH("Head Marketing",C969))&gt;0,'Configuración'!$B$32,IF(ISNUMBER(SEARCH("Marketing Manager",C969))+ISNUMBER(SEARCH("Gerente de Marketing",C969))+ISNUMBER(SEARCH("Growth Manager",C969))+ISNUMBER(SEARCH("Demand Gen",C969))+ISNUMBER(SEARCH("Marketing Lead",C969))&gt;0,'Configuración'!$B$33,IF(ISNUMBER(SEARCH("COO",C969))+ISNUMBER(SEARCH("CFO",C969))+ISNUMBER(SEARCH("CTO",C969))+ISNUMBER(SEARCH("Chief Operating",C969))+ISNUMBER(SEARCH("Chief Financial",C969))+ISNUMBER(SEARCH("Gerente General",C969))+ISNUMBER(SEARCH("General Manager",C969))&gt;0,'Configuración'!$B$34,'Configuración'!$B$35)))))</f>
        <v>4</v>
      </c>
      <c r="V969" s="38">
        <f>IF(B969="","",IF(K969="Sí",'Configuración'!$B$5,0)+IF(L969="Semanal",'Configuración'!$B$6,IF(L969="Mensual",'Configuración'!$B$7,0))+IF(M969="Sí",'Configuración'!$B$8,0)+IF(N969="Sí",'Configuración'!$B$9,0)+IF(O969="Sí",'Configuración'!$B$10,0)+IF(P969="Sí",'Configuración'!$B$11,0)+IF(Q969="Sí",'Configuración'!$B$12,0)+S969+T969+U969)</f>
        <v>20</v>
      </c>
      <c r="W969" s="39" t="str">
        <f>IF(B969="","",IF(V969&gt;='Configuración'!$B$19,"A",IF(V969&gt;='Configuración'!$B$20,"B",IF(V969&gt;='Configuración'!$B$21,"C","Descarte"))))</f>
        <v>Descarte</v>
      </c>
    </row>
    <row r="970" ht="15.75" customHeight="1">
      <c r="A970" s="34">
        <f t="shared" si="1"/>
        <v>968</v>
      </c>
      <c r="B970" s="29" t="s">
        <v>262</v>
      </c>
      <c r="C970" s="29" t="s">
        <v>444</v>
      </c>
      <c r="D970" s="29" t="s">
        <v>5666</v>
      </c>
      <c r="E970" s="29" t="s">
        <v>5667</v>
      </c>
      <c r="F970" s="30" t="s">
        <v>5668</v>
      </c>
      <c r="G970" s="30" t="s">
        <v>5669</v>
      </c>
      <c r="H970" s="30" t="s">
        <v>5670</v>
      </c>
      <c r="I970" s="29" t="s">
        <v>127</v>
      </c>
      <c r="J970" s="31">
        <v>49.0</v>
      </c>
      <c r="K970" s="35"/>
      <c r="L970" s="35"/>
      <c r="M970" s="35"/>
      <c r="N970" s="35"/>
      <c r="O970" s="35"/>
      <c r="P970" s="35"/>
      <c r="Q970" s="35"/>
      <c r="R970" s="35"/>
      <c r="S970" s="37">
        <f>IF(B970="","",IF(ISNUMBER(J970),IF(J970&lt;=10,'Configuración'!$B$23,IF(J970&lt;=50,'Configuración'!$B$24,IF(J970&lt;=200,'Configuración'!$B$25,0))),0))</f>
        <v>4</v>
      </c>
      <c r="T970" s="37">
        <f>IF(B970="","",IF(ISNUMBER(SEARCH("information technology",I970))+ISNUMBER(SEARCH("software",I970))+ISNUMBER(SEARCH("internet",I970))+ISNUMBER(SEARCH("computer",I970))+ISNUMBER(SEARCH("saas",I970))+ISNUMBER(SEARCH("fintech",I970))+ISNUMBER(SEARCH("information services",I970))+ISNUMBER(SEARCH("telecommunications",I970))&gt;0,'Configuración'!$B$27,'Configuración'!$B$28))</f>
        <v>12</v>
      </c>
      <c r="U970" s="25">
        <f>IF(B970="","",IF(ISNUMBER(SEARCH("CEO",C970))+ISNUMBER(SEARCH("Founder",C970))+ISNUMBER(SEARCH("Owner",C970))+ISNUMBER(SEARCH("Dueño",C970))+ISNUMBER(SEARCH("Director General",C970))+ISNUMBER(SEARCH("Presidente",C970))+ISNUMBER(SEARCH("President",C970))&gt;0,'Configuración'!$B$31,IF(ISNUMBER(SEARCH("CMO",C970))+ISNUMBER(SEARCH("Chief Marketing",C970))+ISNUMBER(SEARCH("VP Marketing",C970))+ISNUMBER(SEARCH("Director de Marketing",C970))+ISNUMBER(SEARCH("Director Marketing",C970))+ISNUMBER(SEARCH("Head of Marketing",C970))+ISNUMBER(SEARCH("Head Marketing",C970))&gt;0,'Configuración'!$B$32,IF(ISNUMBER(SEARCH("Marketing Manager",C970))+ISNUMBER(SEARCH("Gerente de Marketing",C970))+ISNUMBER(SEARCH("Growth Manager",C970))+ISNUMBER(SEARCH("Demand Gen",C970))+ISNUMBER(SEARCH("Marketing Lead",C970))&gt;0,'Configuración'!$B$33,IF(ISNUMBER(SEARCH("COO",C970))+ISNUMBER(SEARCH("CFO",C970))+ISNUMBER(SEARCH("CTO",C970))+ISNUMBER(SEARCH("Chief Operating",C970))+ISNUMBER(SEARCH("Chief Financial",C970))+ISNUMBER(SEARCH("Gerente General",C970))+ISNUMBER(SEARCH("General Manager",C970))&gt;0,'Configuración'!$B$34,'Configuración'!$B$35)))))</f>
        <v>12</v>
      </c>
      <c r="V970" s="38">
        <f>IF(B970="","",IF(K970="Sí",'Configuración'!$B$5,0)+IF(L970="Semanal",'Configuración'!$B$6,IF(L970="Mensual",'Configuración'!$B$7,0))+IF(M970="Sí",'Configuración'!$B$8,0)+IF(N970="Sí",'Configuración'!$B$9,0)+IF(O970="Sí",'Configuración'!$B$10,0)+IF(P970="Sí",'Configuración'!$B$11,0)+IF(Q970="Sí",'Configuración'!$B$12,0)+S970+T970+U970)</f>
        <v>28</v>
      </c>
      <c r="W970" s="39" t="str">
        <f>IF(B970="","",IF(V970&gt;='Configuración'!$B$19,"A",IF(V970&gt;='Configuración'!$B$20,"B",IF(V970&gt;='Configuración'!$B$21,"C","Descarte"))))</f>
        <v>C</v>
      </c>
    </row>
    <row r="971" ht="15.75" customHeight="1">
      <c r="A971" s="34">
        <f t="shared" si="1"/>
        <v>969</v>
      </c>
      <c r="B971" s="29" t="s">
        <v>1048</v>
      </c>
      <c r="C971" s="29" t="s">
        <v>5671</v>
      </c>
      <c r="D971" s="29" t="s">
        <v>5672</v>
      </c>
      <c r="E971" s="29" t="s">
        <v>5673</v>
      </c>
      <c r="F971" s="30" t="s">
        <v>5674</v>
      </c>
      <c r="G971" s="30" t="s">
        <v>5675</v>
      </c>
      <c r="H971" s="30" t="s">
        <v>5676</v>
      </c>
      <c r="I971" s="29" t="s">
        <v>2610</v>
      </c>
      <c r="J971" s="31">
        <v>1.0</v>
      </c>
      <c r="K971" s="35"/>
      <c r="L971" s="35"/>
      <c r="M971" s="35"/>
      <c r="N971" s="35"/>
      <c r="O971" s="35"/>
      <c r="P971" s="35"/>
      <c r="Q971" s="35"/>
      <c r="R971" s="35"/>
      <c r="S971" s="37">
        <f>IF(B971="","",IF(ISNUMBER(J971),IF(J971&lt;=10,'Configuración'!$B$23,IF(J971&lt;=50,'Configuración'!$B$24,IF(J971&lt;=200,'Configuración'!$B$25,0))),0))</f>
        <v>12</v>
      </c>
      <c r="T971" s="37">
        <f>IF(B971="","",IF(ISNUMBER(SEARCH("information technology",I971))+ISNUMBER(SEARCH("software",I971))+ISNUMBER(SEARCH("internet",I971))+ISNUMBER(SEARCH("computer",I971))+ISNUMBER(SEARCH("saas",I971))+ISNUMBER(SEARCH("fintech",I971))+ISNUMBER(SEARCH("information services",I971))+ISNUMBER(SEARCH("telecommunications",I971))&gt;0,'Configuración'!$B$27,'Configuración'!$B$28))</f>
        <v>4</v>
      </c>
      <c r="U971" s="25">
        <f>IF(B971="","",IF(ISNUMBER(SEARCH("CEO",C971))+ISNUMBER(SEARCH("Founder",C971))+ISNUMBER(SEARCH("Owner",C971))+ISNUMBER(SEARCH("Dueño",C971))+ISNUMBER(SEARCH("Director General",C971))+ISNUMBER(SEARCH("Presidente",C971))+ISNUMBER(SEARCH("President",C971))&gt;0,'Configuración'!$B$31,IF(ISNUMBER(SEARCH("CMO",C971))+ISNUMBER(SEARCH("Chief Marketing",C971))+ISNUMBER(SEARCH("VP Marketing",C971))+ISNUMBER(SEARCH("Director de Marketing",C971))+ISNUMBER(SEARCH("Director Marketing",C971))+ISNUMBER(SEARCH("Head of Marketing",C971))+ISNUMBER(SEARCH("Head Marketing",C971))&gt;0,'Configuración'!$B$32,IF(ISNUMBER(SEARCH("Marketing Manager",C971))+ISNUMBER(SEARCH("Gerente de Marketing",C971))+ISNUMBER(SEARCH("Growth Manager",C971))+ISNUMBER(SEARCH("Demand Gen",C971))+ISNUMBER(SEARCH("Marketing Lead",C971))&gt;0,'Configuración'!$B$33,IF(ISNUMBER(SEARCH("COO",C971))+ISNUMBER(SEARCH("CFO",C971))+ISNUMBER(SEARCH("CTO",C971))+ISNUMBER(SEARCH("Chief Operating",C971))+ISNUMBER(SEARCH("Chief Financial",C971))+ISNUMBER(SEARCH("Gerente General",C971))+ISNUMBER(SEARCH("General Manager",C971))&gt;0,'Configuración'!$B$34,'Configuración'!$B$35)))))</f>
        <v>12</v>
      </c>
      <c r="V971" s="38">
        <f>IF(B971="","",IF(K971="Sí",'Configuración'!$B$5,0)+IF(L971="Semanal",'Configuración'!$B$6,IF(L971="Mensual",'Configuración'!$B$7,0))+IF(M971="Sí",'Configuración'!$B$8,0)+IF(N971="Sí",'Configuración'!$B$9,0)+IF(O971="Sí",'Configuración'!$B$10,0)+IF(P971="Sí",'Configuración'!$B$11,0)+IF(Q971="Sí",'Configuración'!$B$12,0)+S971+T971+U971)</f>
        <v>28</v>
      </c>
      <c r="W971" s="39" t="str">
        <f>IF(B971="","",IF(V971&gt;='Configuración'!$B$19,"A",IF(V971&gt;='Configuración'!$B$20,"B",IF(V971&gt;='Configuración'!$B$21,"C","Descarte"))))</f>
        <v>C</v>
      </c>
    </row>
    <row r="972" ht="15.75" customHeight="1">
      <c r="A972" s="34">
        <f t="shared" si="1"/>
        <v>970</v>
      </c>
      <c r="B972" s="29" t="s">
        <v>174</v>
      </c>
      <c r="C972" s="29" t="s">
        <v>224</v>
      </c>
      <c r="D972" s="29" t="s">
        <v>2534</v>
      </c>
      <c r="E972" s="29" t="s">
        <v>5677</v>
      </c>
      <c r="F972" s="30" t="s">
        <v>5678</v>
      </c>
      <c r="G972" s="30" t="s">
        <v>2537</v>
      </c>
      <c r="H972" s="30" t="s">
        <v>2538</v>
      </c>
      <c r="I972" s="29" t="s">
        <v>127</v>
      </c>
      <c r="J972" s="31">
        <v>4.0</v>
      </c>
      <c r="K972" s="35"/>
      <c r="L972" s="35"/>
      <c r="M972" s="35"/>
      <c r="N972" s="35"/>
      <c r="O972" s="35"/>
      <c r="P972" s="35"/>
      <c r="Q972" s="35"/>
      <c r="R972" s="35"/>
      <c r="S972" s="37">
        <f>IF(B972="","",IF(ISNUMBER(J972),IF(J972&lt;=10,'Configuración'!$B$23,IF(J972&lt;=50,'Configuración'!$B$24,IF(J972&lt;=200,'Configuración'!$B$25,0))),0))</f>
        <v>12</v>
      </c>
      <c r="T972" s="37">
        <f>IF(B972="","",IF(ISNUMBER(SEARCH("information technology",I972))+ISNUMBER(SEARCH("software",I972))+ISNUMBER(SEARCH("internet",I972))+ISNUMBER(SEARCH("computer",I972))+ISNUMBER(SEARCH("saas",I972))+ISNUMBER(SEARCH("fintech",I972))+ISNUMBER(SEARCH("information services",I972))+ISNUMBER(SEARCH("telecommunications",I972))&gt;0,'Configuración'!$B$27,'Configuración'!$B$28))</f>
        <v>12</v>
      </c>
      <c r="U972" s="25">
        <f>IF(B972="","",IF(ISNUMBER(SEARCH("CEO",C972))+ISNUMBER(SEARCH("Founder",C972))+ISNUMBER(SEARCH("Owner",C972))+ISNUMBER(SEARCH("Dueño",C972))+ISNUMBER(SEARCH("Director General",C972))+ISNUMBER(SEARCH("Presidente",C972))+ISNUMBER(SEARCH("President",C972))&gt;0,'Configuración'!$B$31,IF(ISNUMBER(SEARCH("CMO",C972))+ISNUMBER(SEARCH("Chief Marketing",C972))+ISNUMBER(SEARCH("VP Marketing",C972))+ISNUMBER(SEARCH("Director de Marketing",C972))+ISNUMBER(SEARCH("Director Marketing",C972))+ISNUMBER(SEARCH("Head of Marketing",C972))+ISNUMBER(SEARCH("Head Marketing",C972))&gt;0,'Configuración'!$B$32,IF(ISNUMBER(SEARCH("Marketing Manager",C972))+ISNUMBER(SEARCH("Gerente de Marketing",C972))+ISNUMBER(SEARCH("Growth Manager",C972))+ISNUMBER(SEARCH("Demand Gen",C972))+ISNUMBER(SEARCH("Marketing Lead",C972))&gt;0,'Configuración'!$B$33,IF(ISNUMBER(SEARCH("COO",C972))+ISNUMBER(SEARCH("CFO",C972))+ISNUMBER(SEARCH("CTO",C972))+ISNUMBER(SEARCH("Chief Operating",C972))+ISNUMBER(SEARCH("Chief Financial",C972))+ISNUMBER(SEARCH("Gerente General",C972))+ISNUMBER(SEARCH("General Manager",C972))&gt;0,'Configuración'!$B$34,'Configuración'!$B$35)))))</f>
        <v>12</v>
      </c>
      <c r="V972" s="38">
        <f>IF(B972="","",IF(K972="Sí",'Configuración'!$B$5,0)+IF(L972="Semanal",'Configuración'!$B$6,IF(L972="Mensual",'Configuración'!$B$7,0))+IF(M972="Sí",'Configuración'!$B$8,0)+IF(N972="Sí",'Configuración'!$B$9,0)+IF(O972="Sí",'Configuración'!$B$10,0)+IF(P972="Sí",'Configuración'!$B$11,0)+IF(Q972="Sí",'Configuración'!$B$12,0)+S972+T972+U972)</f>
        <v>36</v>
      </c>
      <c r="W972" s="39" t="str">
        <f>IF(B972="","",IF(V972&gt;='Configuración'!$B$19,"A",IF(V972&gt;='Configuración'!$B$20,"B",IF(V972&gt;='Configuración'!$B$21,"C","Descarte"))))</f>
        <v>C</v>
      </c>
    </row>
    <row r="973" ht="15.75" customHeight="1">
      <c r="A973" s="34">
        <f t="shared" si="1"/>
        <v>971</v>
      </c>
      <c r="B973" s="29" t="s">
        <v>166</v>
      </c>
      <c r="C973" s="29" t="s">
        <v>202</v>
      </c>
      <c r="D973" s="29" t="s">
        <v>5679</v>
      </c>
      <c r="E973" s="29" t="s">
        <v>5680</v>
      </c>
      <c r="F973" s="30" t="s">
        <v>5681</v>
      </c>
      <c r="G973" s="30" t="s">
        <v>5682</v>
      </c>
      <c r="H973" s="30" t="s">
        <v>5683</v>
      </c>
      <c r="I973" s="29" t="s">
        <v>127</v>
      </c>
      <c r="J973" s="31">
        <v>3.0</v>
      </c>
      <c r="K973" s="35"/>
      <c r="L973" s="35"/>
      <c r="M973" s="35"/>
      <c r="N973" s="35"/>
      <c r="O973" s="35"/>
      <c r="P973" s="35"/>
      <c r="Q973" s="35"/>
      <c r="R973" s="35"/>
      <c r="S973" s="37">
        <f>IF(B973="","",IF(ISNUMBER(J973),IF(J973&lt;=10,'Configuración'!$B$23,IF(J973&lt;=50,'Configuración'!$B$24,IF(J973&lt;=200,'Configuración'!$B$25,0))),0))</f>
        <v>12</v>
      </c>
      <c r="T973" s="37">
        <f>IF(B973="","",IF(ISNUMBER(SEARCH("information technology",I973))+ISNUMBER(SEARCH("software",I973))+ISNUMBER(SEARCH("internet",I973))+ISNUMBER(SEARCH("computer",I973))+ISNUMBER(SEARCH("saas",I973))+ISNUMBER(SEARCH("fintech",I973))+ISNUMBER(SEARCH("information services",I973))+ISNUMBER(SEARCH("telecommunications",I973))&gt;0,'Configuración'!$B$27,'Configuración'!$B$28))</f>
        <v>12</v>
      </c>
      <c r="U973" s="25">
        <f>IF(B973="","",IF(ISNUMBER(SEARCH("CEO",C973))+ISNUMBER(SEARCH("Founder",C973))+ISNUMBER(SEARCH("Owner",C973))+ISNUMBER(SEARCH("Dueño",C973))+ISNUMBER(SEARCH("Director General",C973))+ISNUMBER(SEARCH("Presidente",C973))+ISNUMBER(SEARCH("President",C973))&gt;0,'Configuración'!$B$31,IF(ISNUMBER(SEARCH("CMO",C973))+ISNUMBER(SEARCH("Chief Marketing",C973))+ISNUMBER(SEARCH("VP Marketing",C973))+ISNUMBER(SEARCH("Director de Marketing",C973))+ISNUMBER(SEARCH("Director Marketing",C973))+ISNUMBER(SEARCH("Head of Marketing",C973))+ISNUMBER(SEARCH("Head Marketing",C973))&gt;0,'Configuración'!$B$32,IF(ISNUMBER(SEARCH("Marketing Manager",C973))+ISNUMBER(SEARCH("Gerente de Marketing",C973))+ISNUMBER(SEARCH("Growth Manager",C973))+ISNUMBER(SEARCH("Demand Gen",C973))+ISNUMBER(SEARCH("Marketing Lead",C973))&gt;0,'Configuración'!$B$33,IF(ISNUMBER(SEARCH("COO",C973))+ISNUMBER(SEARCH("CFO",C973))+ISNUMBER(SEARCH("CTO",C973))+ISNUMBER(SEARCH("Chief Operating",C973))+ISNUMBER(SEARCH("Chief Financial",C973))+ISNUMBER(SEARCH("Gerente General",C973))+ISNUMBER(SEARCH("General Manager",C973))&gt;0,'Configuración'!$B$34,'Configuración'!$B$35)))))</f>
        <v>12</v>
      </c>
      <c r="V973" s="38">
        <f>IF(B973="","",IF(K973="Sí",'Configuración'!$B$5,0)+IF(L973="Semanal",'Configuración'!$B$6,IF(L973="Mensual",'Configuración'!$B$7,0))+IF(M973="Sí",'Configuración'!$B$8,0)+IF(N973="Sí",'Configuración'!$B$9,0)+IF(O973="Sí",'Configuración'!$B$10,0)+IF(P973="Sí",'Configuración'!$B$11,0)+IF(Q973="Sí",'Configuración'!$B$12,0)+S973+T973+U973)</f>
        <v>36</v>
      </c>
      <c r="W973" s="39" t="str">
        <f>IF(B973="","",IF(V973&gt;='Configuración'!$B$19,"A",IF(V973&gt;='Configuración'!$B$20,"B",IF(V973&gt;='Configuración'!$B$21,"C","Descarte"))))</f>
        <v>C</v>
      </c>
    </row>
    <row r="974" ht="15.75" customHeight="1">
      <c r="A974" s="34">
        <f t="shared" si="1"/>
        <v>972</v>
      </c>
      <c r="B974" s="29" t="s">
        <v>1079</v>
      </c>
      <c r="C974" s="29" t="s">
        <v>5684</v>
      </c>
      <c r="D974" s="29" t="s">
        <v>5685</v>
      </c>
      <c r="E974" s="29" t="s">
        <v>5686</v>
      </c>
      <c r="F974" s="30" t="s">
        <v>5687</v>
      </c>
      <c r="G974" s="30" t="s">
        <v>5688</v>
      </c>
      <c r="H974" s="30" t="s">
        <v>5689</v>
      </c>
      <c r="I974" s="29" t="s">
        <v>2031</v>
      </c>
      <c r="J974" s="31">
        <v>8500.0</v>
      </c>
      <c r="K974" s="35"/>
      <c r="L974" s="35"/>
      <c r="M974" s="35"/>
      <c r="N974" s="35"/>
      <c r="O974" s="35"/>
      <c r="P974" s="35"/>
      <c r="Q974" s="35"/>
      <c r="R974" s="35"/>
      <c r="S974" s="37">
        <f>IF(B974="","",IF(ISNUMBER(J974),IF(J974&lt;=10,'Configuración'!$B$23,IF(J974&lt;=50,'Configuración'!$B$24,IF(J974&lt;=200,'Configuración'!$B$25,0))),0))</f>
        <v>0</v>
      </c>
      <c r="T974" s="37">
        <f>IF(B974="","",IF(ISNUMBER(SEARCH("information technology",I974))+ISNUMBER(SEARCH("software",I974))+ISNUMBER(SEARCH("internet",I974))+ISNUMBER(SEARCH("computer",I974))+ISNUMBER(SEARCH("saas",I974))+ISNUMBER(SEARCH("fintech",I974))+ISNUMBER(SEARCH("information services",I974))+ISNUMBER(SEARCH("telecommunications",I974))&gt;0,'Configuración'!$B$27,'Configuración'!$B$28))</f>
        <v>4</v>
      </c>
      <c r="U974" s="25">
        <f>IF(B974="","",IF(ISNUMBER(SEARCH("CEO",C974))+ISNUMBER(SEARCH("Founder",C974))+ISNUMBER(SEARCH("Owner",C974))+ISNUMBER(SEARCH("Dueño",C974))+ISNUMBER(SEARCH("Director General",C974))+ISNUMBER(SEARCH("Presidente",C974))+ISNUMBER(SEARCH("President",C974))&gt;0,'Configuración'!$B$31,IF(ISNUMBER(SEARCH("CMO",C974))+ISNUMBER(SEARCH("Chief Marketing",C974))+ISNUMBER(SEARCH("VP Marketing",C974))+ISNUMBER(SEARCH("Director de Marketing",C974))+ISNUMBER(SEARCH("Director Marketing",C974))+ISNUMBER(SEARCH("Head of Marketing",C974))+ISNUMBER(SEARCH("Head Marketing",C974))&gt;0,'Configuración'!$B$32,IF(ISNUMBER(SEARCH("Marketing Manager",C974))+ISNUMBER(SEARCH("Gerente de Marketing",C974))+ISNUMBER(SEARCH("Growth Manager",C974))+ISNUMBER(SEARCH("Demand Gen",C974))+ISNUMBER(SEARCH("Marketing Lead",C974))&gt;0,'Configuración'!$B$33,IF(ISNUMBER(SEARCH("COO",C974))+ISNUMBER(SEARCH("CFO",C974))+ISNUMBER(SEARCH("CTO",C974))+ISNUMBER(SEARCH("Chief Operating",C974))+ISNUMBER(SEARCH("Chief Financial",C974))+ISNUMBER(SEARCH("Gerente General",C974))+ISNUMBER(SEARCH("General Manager",C974))&gt;0,'Configuración'!$B$34,'Configuración'!$B$35)))))</f>
        <v>0</v>
      </c>
      <c r="V974" s="38">
        <f>IF(B974="","",IF(K974="Sí",'Configuración'!$B$5,0)+IF(L974="Semanal",'Configuración'!$B$6,IF(L974="Mensual",'Configuración'!$B$7,0))+IF(M974="Sí",'Configuración'!$B$8,0)+IF(N974="Sí",'Configuración'!$B$9,0)+IF(O974="Sí",'Configuración'!$B$10,0)+IF(P974="Sí",'Configuración'!$B$11,0)+IF(Q974="Sí",'Configuración'!$B$12,0)+S974+T974+U974)</f>
        <v>4</v>
      </c>
      <c r="W974" s="39" t="str">
        <f>IF(B974="","",IF(V974&gt;='Configuración'!$B$19,"A",IF(V974&gt;='Configuración'!$B$20,"B",IF(V974&gt;='Configuración'!$B$21,"C","Descarte"))))</f>
        <v>Descarte</v>
      </c>
    </row>
    <row r="975" ht="15.75" customHeight="1">
      <c r="A975" s="34">
        <f t="shared" si="1"/>
        <v>973</v>
      </c>
      <c r="B975" s="29" t="s">
        <v>181</v>
      </c>
      <c r="C975" s="29" t="s">
        <v>5690</v>
      </c>
      <c r="D975" s="29" t="s">
        <v>5691</v>
      </c>
      <c r="E975" s="29" t="s">
        <v>5692</v>
      </c>
      <c r="F975" s="30" t="s">
        <v>5693</v>
      </c>
      <c r="G975" s="30" t="s">
        <v>5694</v>
      </c>
      <c r="H975" s="30" t="s">
        <v>5695</v>
      </c>
      <c r="I975" s="29" t="s">
        <v>127</v>
      </c>
      <c r="J975" s="31">
        <v>2.0</v>
      </c>
      <c r="K975" s="35"/>
      <c r="L975" s="35"/>
      <c r="M975" s="35"/>
      <c r="N975" s="35"/>
      <c r="O975" s="35"/>
      <c r="P975" s="35"/>
      <c r="Q975" s="35"/>
      <c r="R975" s="35"/>
      <c r="S975" s="37">
        <f>IF(B975="","",IF(ISNUMBER(J975),IF(J975&lt;=10,'Configuración'!$B$23,IF(J975&lt;=50,'Configuración'!$B$24,IF(J975&lt;=200,'Configuración'!$B$25,0))),0))</f>
        <v>12</v>
      </c>
      <c r="T975" s="37">
        <f>IF(B975="","",IF(ISNUMBER(SEARCH("information technology",I975))+ISNUMBER(SEARCH("software",I975))+ISNUMBER(SEARCH("internet",I975))+ISNUMBER(SEARCH("computer",I975))+ISNUMBER(SEARCH("saas",I975))+ISNUMBER(SEARCH("fintech",I975))+ISNUMBER(SEARCH("information services",I975))+ISNUMBER(SEARCH("telecommunications",I975))&gt;0,'Configuración'!$B$27,'Configuración'!$B$28))</f>
        <v>12</v>
      </c>
      <c r="U975" s="25">
        <f>IF(B975="","",IF(ISNUMBER(SEARCH("CEO",C975))+ISNUMBER(SEARCH("Founder",C975))+ISNUMBER(SEARCH("Owner",C975))+ISNUMBER(SEARCH("Dueño",C975))+ISNUMBER(SEARCH("Director General",C975))+ISNUMBER(SEARCH("Presidente",C975))+ISNUMBER(SEARCH("President",C975))&gt;0,'Configuración'!$B$31,IF(ISNUMBER(SEARCH("CMO",C975))+ISNUMBER(SEARCH("Chief Marketing",C975))+ISNUMBER(SEARCH("VP Marketing",C975))+ISNUMBER(SEARCH("Director de Marketing",C975))+ISNUMBER(SEARCH("Director Marketing",C975))+ISNUMBER(SEARCH("Head of Marketing",C975))+ISNUMBER(SEARCH("Head Marketing",C975))&gt;0,'Configuración'!$B$32,IF(ISNUMBER(SEARCH("Marketing Manager",C975))+ISNUMBER(SEARCH("Gerente de Marketing",C975))+ISNUMBER(SEARCH("Growth Manager",C975))+ISNUMBER(SEARCH("Demand Gen",C975))+ISNUMBER(SEARCH("Marketing Lead",C975))&gt;0,'Configuración'!$B$33,IF(ISNUMBER(SEARCH("COO",C975))+ISNUMBER(SEARCH("CFO",C975))+ISNUMBER(SEARCH("CTO",C975))+ISNUMBER(SEARCH("Chief Operating",C975))+ISNUMBER(SEARCH("Chief Financial",C975))+ISNUMBER(SEARCH("Gerente General",C975))+ISNUMBER(SEARCH("General Manager",C975))&gt;0,'Configuración'!$B$34,'Configuración'!$B$35)))))</f>
        <v>12</v>
      </c>
      <c r="V975" s="38">
        <f>IF(B975="","",IF(K975="Sí",'Configuración'!$B$5,0)+IF(L975="Semanal",'Configuración'!$B$6,IF(L975="Mensual",'Configuración'!$B$7,0))+IF(M975="Sí",'Configuración'!$B$8,0)+IF(N975="Sí",'Configuración'!$B$9,0)+IF(O975="Sí",'Configuración'!$B$10,0)+IF(P975="Sí",'Configuración'!$B$11,0)+IF(Q975="Sí",'Configuración'!$B$12,0)+S975+T975+U975)</f>
        <v>36</v>
      </c>
      <c r="W975" s="39" t="str">
        <f>IF(B975="","",IF(V975&gt;='Configuración'!$B$19,"A",IF(V975&gt;='Configuración'!$B$20,"B",IF(V975&gt;='Configuración'!$B$21,"C","Descarte"))))</f>
        <v>C</v>
      </c>
    </row>
    <row r="976" ht="15.75" customHeight="1">
      <c r="A976" s="34">
        <f t="shared" si="1"/>
        <v>974</v>
      </c>
      <c r="B976" s="29" t="s">
        <v>501</v>
      </c>
      <c r="C976" s="29" t="s">
        <v>5696</v>
      </c>
      <c r="D976" s="29" t="s">
        <v>5697</v>
      </c>
      <c r="E976" s="29" t="s">
        <v>5698</v>
      </c>
      <c r="F976" s="30" t="s">
        <v>5699</v>
      </c>
      <c r="G976" s="30" t="s">
        <v>5700</v>
      </c>
      <c r="H976" s="30" t="s">
        <v>5701</v>
      </c>
      <c r="I976" s="29" t="s">
        <v>127</v>
      </c>
      <c r="J976" s="31">
        <v>32.0</v>
      </c>
      <c r="K976" s="35"/>
      <c r="L976" s="35"/>
      <c r="M976" s="35"/>
      <c r="N976" s="35"/>
      <c r="O976" s="35"/>
      <c r="P976" s="35"/>
      <c r="Q976" s="35"/>
      <c r="R976" s="35"/>
      <c r="S976" s="37">
        <f>IF(B976="","",IF(ISNUMBER(J976),IF(J976&lt;=10,'Configuración'!$B$23,IF(J976&lt;=50,'Configuración'!$B$24,IF(J976&lt;=200,'Configuración'!$B$25,0))),0))</f>
        <v>4</v>
      </c>
      <c r="T976" s="37">
        <f>IF(B976="","",IF(ISNUMBER(SEARCH("information technology",I976))+ISNUMBER(SEARCH("software",I976))+ISNUMBER(SEARCH("internet",I976))+ISNUMBER(SEARCH("computer",I976))+ISNUMBER(SEARCH("saas",I976))+ISNUMBER(SEARCH("fintech",I976))+ISNUMBER(SEARCH("information services",I976))+ISNUMBER(SEARCH("telecommunications",I976))&gt;0,'Configuración'!$B$27,'Configuración'!$B$28))</f>
        <v>12</v>
      </c>
      <c r="U976" s="25">
        <f>IF(B976="","",IF(ISNUMBER(SEARCH("CEO",C976))+ISNUMBER(SEARCH("Founder",C976))+ISNUMBER(SEARCH("Owner",C976))+ISNUMBER(SEARCH("Dueño",C976))+ISNUMBER(SEARCH("Director General",C976))+ISNUMBER(SEARCH("Presidente",C976))+ISNUMBER(SEARCH("President",C976))&gt;0,'Configuración'!$B$31,IF(ISNUMBER(SEARCH("CMO",C976))+ISNUMBER(SEARCH("Chief Marketing",C976))+ISNUMBER(SEARCH("VP Marketing",C976))+ISNUMBER(SEARCH("Director de Marketing",C976))+ISNUMBER(SEARCH("Director Marketing",C976))+ISNUMBER(SEARCH("Head of Marketing",C976))+ISNUMBER(SEARCH("Head Marketing",C976))&gt;0,'Configuración'!$B$32,IF(ISNUMBER(SEARCH("Marketing Manager",C976))+ISNUMBER(SEARCH("Gerente de Marketing",C976))+ISNUMBER(SEARCH("Growth Manager",C976))+ISNUMBER(SEARCH("Demand Gen",C976))+ISNUMBER(SEARCH("Marketing Lead",C976))&gt;0,'Configuración'!$B$33,IF(ISNUMBER(SEARCH("COO",C976))+ISNUMBER(SEARCH("CFO",C976))+ISNUMBER(SEARCH("CTO",C976))+ISNUMBER(SEARCH("Chief Operating",C976))+ISNUMBER(SEARCH("Chief Financial",C976))+ISNUMBER(SEARCH("Gerente General",C976))+ISNUMBER(SEARCH("General Manager",C976))&gt;0,'Configuración'!$B$34,'Configuración'!$B$35)))))</f>
        <v>0</v>
      </c>
      <c r="V976" s="38">
        <f>IF(B976="","",IF(K976="Sí",'Configuración'!$B$5,0)+IF(L976="Semanal",'Configuración'!$B$6,IF(L976="Mensual",'Configuración'!$B$7,0))+IF(M976="Sí",'Configuración'!$B$8,0)+IF(N976="Sí",'Configuración'!$B$9,0)+IF(O976="Sí",'Configuración'!$B$10,0)+IF(P976="Sí",'Configuración'!$B$11,0)+IF(Q976="Sí",'Configuración'!$B$12,0)+S976+T976+U976)</f>
        <v>16</v>
      </c>
      <c r="W976" s="39" t="str">
        <f>IF(B976="","",IF(V976&gt;='Configuración'!$B$19,"A",IF(V976&gt;='Configuración'!$B$20,"B",IF(V976&gt;='Configuración'!$B$21,"C","Descarte"))))</f>
        <v>Descarte</v>
      </c>
    </row>
    <row r="977" ht="15.75" customHeight="1">
      <c r="A977" s="34">
        <f t="shared" si="1"/>
        <v>975</v>
      </c>
      <c r="B977" s="29" t="s">
        <v>473</v>
      </c>
      <c r="C977" s="29" t="s">
        <v>5702</v>
      </c>
      <c r="D977" s="29" t="s">
        <v>5703</v>
      </c>
      <c r="E977" s="29" t="s">
        <v>5704</v>
      </c>
      <c r="F977" s="30" t="s">
        <v>5705</v>
      </c>
      <c r="G977" s="30" t="s">
        <v>5706</v>
      </c>
      <c r="H977" s="30" t="s">
        <v>5707</v>
      </c>
      <c r="I977" s="29" t="s">
        <v>2904</v>
      </c>
      <c r="J977" s="31">
        <v>4.0</v>
      </c>
      <c r="K977" s="35"/>
      <c r="L977" s="35"/>
      <c r="M977" s="35"/>
      <c r="N977" s="35"/>
      <c r="O977" s="35"/>
      <c r="P977" s="35"/>
      <c r="Q977" s="35"/>
      <c r="R977" s="35"/>
      <c r="S977" s="37">
        <f>IF(B977="","",IF(ISNUMBER(J977),IF(J977&lt;=10,'Configuración'!$B$23,IF(J977&lt;=50,'Configuración'!$B$24,IF(J977&lt;=200,'Configuración'!$B$25,0))),0))</f>
        <v>12</v>
      </c>
      <c r="T977" s="37">
        <f>IF(B977="","",IF(ISNUMBER(SEARCH("information technology",I977))+ISNUMBER(SEARCH("software",I977))+ISNUMBER(SEARCH("internet",I977))+ISNUMBER(SEARCH("computer",I977))+ISNUMBER(SEARCH("saas",I977))+ISNUMBER(SEARCH("fintech",I977))+ISNUMBER(SEARCH("information services",I977))+ISNUMBER(SEARCH("telecommunications",I977))&gt;0,'Configuración'!$B$27,'Configuración'!$B$28))</f>
        <v>4</v>
      </c>
      <c r="U977" s="25">
        <f>IF(B977="","",IF(ISNUMBER(SEARCH("CEO",C977))+ISNUMBER(SEARCH("Founder",C977))+ISNUMBER(SEARCH("Owner",C977))+ISNUMBER(SEARCH("Dueño",C977))+ISNUMBER(SEARCH("Director General",C977))+ISNUMBER(SEARCH("Presidente",C977))+ISNUMBER(SEARCH("President",C977))&gt;0,'Configuración'!$B$31,IF(ISNUMBER(SEARCH("CMO",C977))+ISNUMBER(SEARCH("Chief Marketing",C977))+ISNUMBER(SEARCH("VP Marketing",C977))+ISNUMBER(SEARCH("Director de Marketing",C977))+ISNUMBER(SEARCH("Director Marketing",C977))+ISNUMBER(SEARCH("Head of Marketing",C977))+ISNUMBER(SEARCH("Head Marketing",C977))&gt;0,'Configuración'!$B$32,IF(ISNUMBER(SEARCH("Marketing Manager",C977))+ISNUMBER(SEARCH("Gerente de Marketing",C977))+ISNUMBER(SEARCH("Growth Manager",C977))+ISNUMBER(SEARCH("Demand Gen",C977))+ISNUMBER(SEARCH("Marketing Lead",C977))&gt;0,'Configuración'!$B$33,IF(ISNUMBER(SEARCH("COO",C977))+ISNUMBER(SEARCH("CFO",C977))+ISNUMBER(SEARCH("CTO",C977))+ISNUMBER(SEARCH("Chief Operating",C977))+ISNUMBER(SEARCH("Chief Financial",C977))+ISNUMBER(SEARCH("Gerente General",C977))+ISNUMBER(SEARCH("General Manager",C977))&gt;0,'Configuración'!$B$34,'Configuración'!$B$35)))))</f>
        <v>12</v>
      </c>
      <c r="V977" s="38">
        <f>IF(B977="","",IF(K977="Sí",'Configuración'!$B$5,0)+IF(L977="Semanal",'Configuración'!$B$6,IF(L977="Mensual",'Configuración'!$B$7,0))+IF(M977="Sí",'Configuración'!$B$8,0)+IF(N977="Sí",'Configuración'!$B$9,0)+IF(O977="Sí",'Configuración'!$B$10,0)+IF(P977="Sí",'Configuración'!$B$11,0)+IF(Q977="Sí",'Configuración'!$B$12,0)+S977+T977+U977)</f>
        <v>28</v>
      </c>
      <c r="W977" s="39" t="str">
        <f>IF(B977="","",IF(V977&gt;='Configuración'!$B$19,"A",IF(V977&gt;='Configuración'!$B$20,"B",IF(V977&gt;='Configuración'!$B$21,"C","Descarte"))))</f>
        <v>C</v>
      </c>
    </row>
    <row r="978" ht="15.75" customHeight="1">
      <c r="A978" s="34">
        <f t="shared" si="1"/>
        <v>976</v>
      </c>
      <c r="B978" s="29" t="s">
        <v>5708</v>
      </c>
      <c r="C978" s="29" t="s">
        <v>2297</v>
      </c>
      <c r="D978" s="29" t="s">
        <v>5709</v>
      </c>
      <c r="E978" s="29" t="s">
        <v>5710</v>
      </c>
      <c r="F978" s="30" t="s">
        <v>5711</v>
      </c>
      <c r="G978" s="30" t="s">
        <v>5712</v>
      </c>
      <c r="H978" s="30" t="s">
        <v>5713</v>
      </c>
      <c r="I978" s="29" t="s">
        <v>659</v>
      </c>
      <c r="J978" s="31">
        <v>5.0</v>
      </c>
      <c r="K978" s="35"/>
      <c r="L978" s="35"/>
      <c r="M978" s="35"/>
      <c r="N978" s="35"/>
      <c r="O978" s="35"/>
      <c r="P978" s="35"/>
      <c r="Q978" s="35"/>
      <c r="R978" s="35"/>
      <c r="S978" s="37">
        <f>IF(B978="","",IF(ISNUMBER(J978),IF(J978&lt;=10,'Configuración'!$B$23,IF(J978&lt;=50,'Configuración'!$B$24,IF(J978&lt;=200,'Configuración'!$B$25,0))),0))</f>
        <v>12</v>
      </c>
      <c r="T978" s="37">
        <f>IF(B978="","",IF(ISNUMBER(SEARCH("information technology",I978))+ISNUMBER(SEARCH("software",I978))+ISNUMBER(SEARCH("internet",I978))+ISNUMBER(SEARCH("computer",I978))+ISNUMBER(SEARCH("saas",I978))+ISNUMBER(SEARCH("fintech",I978))+ISNUMBER(SEARCH("information services",I978))+ISNUMBER(SEARCH("telecommunications",I978))&gt;0,'Configuración'!$B$27,'Configuración'!$B$28))</f>
        <v>4</v>
      </c>
      <c r="U978" s="25">
        <f>IF(B978="","",IF(ISNUMBER(SEARCH("CEO",C978))+ISNUMBER(SEARCH("Founder",C978))+ISNUMBER(SEARCH("Owner",C978))+ISNUMBER(SEARCH("Dueño",C978))+ISNUMBER(SEARCH("Director General",C978))+ISNUMBER(SEARCH("Presidente",C978))+ISNUMBER(SEARCH("President",C978))&gt;0,'Configuración'!$B$31,IF(ISNUMBER(SEARCH("CMO",C978))+ISNUMBER(SEARCH("Chief Marketing",C978))+ISNUMBER(SEARCH("VP Marketing",C978))+ISNUMBER(SEARCH("Director de Marketing",C978))+ISNUMBER(SEARCH("Director Marketing",C978))+ISNUMBER(SEARCH("Head of Marketing",C978))+ISNUMBER(SEARCH("Head Marketing",C978))&gt;0,'Configuración'!$B$32,IF(ISNUMBER(SEARCH("Marketing Manager",C978))+ISNUMBER(SEARCH("Gerente de Marketing",C978))+ISNUMBER(SEARCH("Growth Manager",C978))+ISNUMBER(SEARCH("Demand Gen",C978))+ISNUMBER(SEARCH("Marketing Lead",C978))&gt;0,'Configuración'!$B$33,IF(ISNUMBER(SEARCH("COO",C978))+ISNUMBER(SEARCH("CFO",C978))+ISNUMBER(SEARCH("CTO",C978))+ISNUMBER(SEARCH("Chief Operating",C978))+ISNUMBER(SEARCH("Chief Financial",C978))+ISNUMBER(SEARCH("Gerente General",C978))+ISNUMBER(SEARCH("General Manager",C978))&gt;0,'Configuración'!$B$34,'Configuración'!$B$35)))))</f>
        <v>12</v>
      </c>
      <c r="V978" s="38">
        <f>IF(B978="","",IF(K978="Sí",'Configuración'!$B$5,0)+IF(L978="Semanal",'Configuración'!$B$6,IF(L978="Mensual",'Configuración'!$B$7,0))+IF(M978="Sí",'Configuración'!$B$8,0)+IF(N978="Sí",'Configuración'!$B$9,0)+IF(O978="Sí",'Configuración'!$B$10,0)+IF(P978="Sí",'Configuración'!$B$11,0)+IF(Q978="Sí",'Configuración'!$B$12,0)+S978+T978+U978)</f>
        <v>28</v>
      </c>
      <c r="W978" s="39" t="str">
        <f>IF(B978="","",IF(V978&gt;='Configuración'!$B$19,"A",IF(V978&gt;='Configuración'!$B$20,"B",IF(V978&gt;='Configuración'!$B$21,"C","Descarte"))))</f>
        <v>C</v>
      </c>
    </row>
    <row r="979" ht="15.75" customHeight="1">
      <c r="A979" s="34">
        <f t="shared" si="1"/>
        <v>977</v>
      </c>
      <c r="B979" s="29" t="s">
        <v>5714</v>
      </c>
      <c r="C979" s="29" t="s">
        <v>5715</v>
      </c>
      <c r="D979" s="29" t="s">
        <v>5716</v>
      </c>
      <c r="E979" s="29" t="s">
        <v>5717</v>
      </c>
      <c r="F979" s="30" t="s">
        <v>5718</v>
      </c>
      <c r="G979" s="30" t="s">
        <v>5719</v>
      </c>
      <c r="H979" s="30" t="s">
        <v>5720</v>
      </c>
      <c r="I979" s="29" t="s">
        <v>1429</v>
      </c>
      <c r="J979" s="31">
        <v>6.0</v>
      </c>
      <c r="K979" s="35"/>
      <c r="L979" s="35"/>
      <c r="M979" s="35"/>
      <c r="N979" s="35"/>
      <c r="O979" s="35"/>
      <c r="P979" s="35"/>
      <c r="Q979" s="35"/>
      <c r="R979" s="35"/>
      <c r="S979" s="37">
        <f>IF(B979="","",IF(ISNUMBER(J979),IF(J979&lt;=10,'Configuración'!$B$23,IF(J979&lt;=50,'Configuración'!$B$24,IF(J979&lt;=200,'Configuración'!$B$25,0))),0))</f>
        <v>12</v>
      </c>
      <c r="T979" s="37">
        <f>IF(B979="","",IF(ISNUMBER(SEARCH("information technology",I979))+ISNUMBER(SEARCH("software",I979))+ISNUMBER(SEARCH("internet",I979))+ISNUMBER(SEARCH("computer",I979))+ISNUMBER(SEARCH("saas",I979))+ISNUMBER(SEARCH("fintech",I979))+ISNUMBER(SEARCH("information services",I979))+ISNUMBER(SEARCH("telecommunications",I979))&gt;0,'Configuración'!$B$27,'Configuración'!$B$28))</f>
        <v>4</v>
      </c>
      <c r="U979" s="25">
        <f>IF(B979="","",IF(ISNUMBER(SEARCH("CEO",C979))+ISNUMBER(SEARCH("Founder",C979))+ISNUMBER(SEARCH("Owner",C979))+ISNUMBER(SEARCH("Dueño",C979))+ISNUMBER(SEARCH("Director General",C979))+ISNUMBER(SEARCH("Presidente",C979))+ISNUMBER(SEARCH("President",C979))&gt;0,'Configuración'!$B$31,IF(ISNUMBER(SEARCH("CMO",C979))+ISNUMBER(SEARCH("Chief Marketing",C979))+ISNUMBER(SEARCH("VP Marketing",C979))+ISNUMBER(SEARCH("Director de Marketing",C979))+ISNUMBER(SEARCH("Director Marketing",C979))+ISNUMBER(SEARCH("Head of Marketing",C979))+ISNUMBER(SEARCH("Head Marketing",C979))&gt;0,'Configuración'!$B$32,IF(ISNUMBER(SEARCH("Marketing Manager",C979))+ISNUMBER(SEARCH("Gerente de Marketing",C979))+ISNUMBER(SEARCH("Growth Manager",C979))+ISNUMBER(SEARCH("Demand Gen",C979))+ISNUMBER(SEARCH("Marketing Lead",C979))&gt;0,'Configuración'!$B$33,IF(ISNUMBER(SEARCH("COO",C979))+ISNUMBER(SEARCH("CFO",C979))+ISNUMBER(SEARCH("CTO",C979))+ISNUMBER(SEARCH("Chief Operating",C979))+ISNUMBER(SEARCH("Chief Financial",C979))+ISNUMBER(SEARCH("Gerente General",C979))+ISNUMBER(SEARCH("General Manager",C979))&gt;0,'Configuración'!$B$34,'Configuración'!$B$35)))))</f>
        <v>12</v>
      </c>
      <c r="V979" s="38">
        <f>IF(B979="","",IF(K979="Sí",'Configuración'!$B$5,0)+IF(L979="Semanal",'Configuración'!$B$6,IF(L979="Mensual",'Configuración'!$B$7,0))+IF(M979="Sí",'Configuración'!$B$8,0)+IF(N979="Sí",'Configuración'!$B$9,0)+IF(O979="Sí",'Configuración'!$B$10,0)+IF(P979="Sí",'Configuración'!$B$11,0)+IF(Q979="Sí",'Configuración'!$B$12,0)+S979+T979+U979)</f>
        <v>28</v>
      </c>
      <c r="W979" s="39" t="str">
        <f>IF(B979="","",IF(V979&gt;='Configuración'!$B$19,"A",IF(V979&gt;='Configuración'!$B$20,"B",IF(V979&gt;='Configuración'!$B$21,"C","Descarte"))))</f>
        <v>C</v>
      </c>
    </row>
    <row r="980" ht="15.75" customHeight="1">
      <c r="A980" s="34">
        <f t="shared" si="1"/>
        <v>978</v>
      </c>
      <c r="B980" s="29" t="s">
        <v>4514</v>
      </c>
      <c r="C980" s="29" t="s">
        <v>1471</v>
      </c>
      <c r="D980" s="29" t="s">
        <v>5721</v>
      </c>
      <c r="E980" s="29" t="s">
        <v>5722</v>
      </c>
      <c r="F980" s="30" t="s">
        <v>5723</v>
      </c>
      <c r="G980" s="30" t="s">
        <v>5724</v>
      </c>
      <c r="H980" s="30" t="s">
        <v>5725</v>
      </c>
      <c r="I980" s="29" t="s">
        <v>127</v>
      </c>
      <c r="J980" s="31">
        <v>15.0</v>
      </c>
      <c r="K980" s="35"/>
      <c r="L980" s="35"/>
      <c r="M980" s="35"/>
      <c r="N980" s="35"/>
      <c r="O980" s="35"/>
      <c r="P980" s="35"/>
      <c r="Q980" s="35"/>
      <c r="R980" s="35"/>
      <c r="S980" s="37">
        <f>IF(B980="","",IF(ISNUMBER(J980),IF(J980&lt;=10,'Configuración'!$B$23,IF(J980&lt;=50,'Configuración'!$B$24,IF(J980&lt;=200,'Configuración'!$B$25,0))),0))</f>
        <v>4</v>
      </c>
      <c r="T980" s="37">
        <f>IF(B980="","",IF(ISNUMBER(SEARCH("information technology",I980))+ISNUMBER(SEARCH("software",I980))+ISNUMBER(SEARCH("internet",I980))+ISNUMBER(SEARCH("computer",I980))+ISNUMBER(SEARCH("saas",I980))+ISNUMBER(SEARCH("fintech",I980))+ISNUMBER(SEARCH("information services",I980))+ISNUMBER(SEARCH("telecommunications",I980))&gt;0,'Configuración'!$B$27,'Configuración'!$B$28))</f>
        <v>12</v>
      </c>
      <c r="U980" s="25">
        <f>IF(B980="","",IF(ISNUMBER(SEARCH("CEO",C980))+ISNUMBER(SEARCH("Founder",C980))+ISNUMBER(SEARCH("Owner",C980))+ISNUMBER(SEARCH("Dueño",C980))+ISNUMBER(SEARCH("Director General",C980))+ISNUMBER(SEARCH("Presidente",C980))+ISNUMBER(SEARCH("President",C980))&gt;0,'Configuración'!$B$31,IF(ISNUMBER(SEARCH("CMO",C980))+ISNUMBER(SEARCH("Chief Marketing",C980))+ISNUMBER(SEARCH("VP Marketing",C980))+ISNUMBER(SEARCH("Director de Marketing",C980))+ISNUMBER(SEARCH("Director Marketing",C980))+ISNUMBER(SEARCH("Head of Marketing",C980))+ISNUMBER(SEARCH("Head Marketing",C980))&gt;0,'Configuración'!$B$32,IF(ISNUMBER(SEARCH("Marketing Manager",C980))+ISNUMBER(SEARCH("Gerente de Marketing",C980))+ISNUMBER(SEARCH("Growth Manager",C980))+ISNUMBER(SEARCH("Demand Gen",C980))+ISNUMBER(SEARCH("Marketing Lead",C980))&gt;0,'Configuración'!$B$33,IF(ISNUMBER(SEARCH("COO",C980))+ISNUMBER(SEARCH("CFO",C980))+ISNUMBER(SEARCH("CTO",C980))+ISNUMBER(SEARCH("Chief Operating",C980))+ISNUMBER(SEARCH("Chief Financial",C980))+ISNUMBER(SEARCH("Gerente General",C980))+ISNUMBER(SEARCH("General Manager",C980))&gt;0,'Configuración'!$B$34,'Configuración'!$B$35)))))</f>
        <v>12</v>
      </c>
      <c r="V980" s="38">
        <f>IF(B980="","",IF(K980="Sí",'Configuración'!$B$5,0)+IF(L980="Semanal",'Configuración'!$B$6,IF(L980="Mensual",'Configuración'!$B$7,0))+IF(M980="Sí",'Configuración'!$B$8,0)+IF(N980="Sí",'Configuración'!$B$9,0)+IF(O980="Sí",'Configuración'!$B$10,0)+IF(P980="Sí",'Configuración'!$B$11,0)+IF(Q980="Sí",'Configuración'!$B$12,0)+S980+T980+U980)</f>
        <v>28</v>
      </c>
      <c r="W980" s="39" t="str">
        <f>IF(B980="","",IF(V980&gt;='Configuración'!$B$19,"A",IF(V980&gt;='Configuración'!$B$20,"B",IF(V980&gt;='Configuración'!$B$21,"C","Descarte"))))</f>
        <v>C</v>
      </c>
    </row>
    <row r="981" ht="15.75" customHeight="1">
      <c r="A981" s="34">
        <f t="shared" si="1"/>
        <v>979</v>
      </c>
      <c r="B981" s="29" t="s">
        <v>5726</v>
      </c>
      <c r="C981" s="29" t="s">
        <v>361</v>
      </c>
      <c r="D981" s="29" t="s">
        <v>5727</v>
      </c>
      <c r="E981" s="29" t="s">
        <v>5728</v>
      </c>
      <c r="F981" s="30" t="s">
        <v>5729</v>
      </c>
      <c r="G981" s="30" t="s">
        <v>5730</v>
      </c>
      <c r="H981" s="30" t="s">
        <v>5731</v>
      </c>
      <c r="I981" s="29" t="s">
        <v>127</v>
      </c>
      <c r="J981" s="31">
        <v>25.0</v>
      </c>
      <c r="K981" s="35"/>
      <c r="L981" s="35"/>
      <c r="M981" s="35"/>
      <c r="N981" s="35"/>
      <c r="O981" s="35"/>
      <c r="P981" s="35"/>
      <c r="Q981" s="35"/>
      <c r="R981" s="35"/>
      <c r="S981" s="37">
        <f>IF(B981="","",IF(ISNUMBER(J981),IF(J981&lt;=10,'Configuración'!$B$23,IF(J981&lt;=50,'Configuración'!$B$24,IF(J981&lt;=200,'Configuración'!$B$25,0))),0))</f>
        <v>4</v>
      </c>
      <c r="T981" s="37">
        <f>IF(B981="","",IF(ISNUMBER(SEARCH("information technology",I981))+ISNUMBER(SEARCH("software",I981))+ISNUMBER(SEARCH("internet",I981))+ISNUMBER(SEARCH("computer",I981))+ISNUMBER(SEARCH("saas",I981))+ISNUMBER(SEARCH("fintech",I981))+ISNUMBER(SEARCH("information services",I981))+ISNUMBER(SEARCH("telecommunications",I981))&gt;0,'Configuración'!$B$27,'Configuración'!$B$28))</f>
        <v>12</v>
      </c>
      <c r="U981" s="25">
        <f>IF(B981="","",IF(ISNUMBER(SEARCH("CEO",C981))+ISNUMBER(SEARCH("Founder",C981))+ISNUMBER(SEARCH("Owner",C981))+ISNUMBER(SEARCH("Dueño",C981))+ISNUMBER(SEARCH("Director General",C981))+ISNUMBER(SEARCH("Presidente",C981))+ISNUMBER(SEARCH("President",C981))&gt;0,'Configuración'!$B$31,IF(ISNUMBER(SEARCH("CMO",C981))+ISNUMBER(SEARCH("Chief Marketing",C981))+ISNUMBER(SEARCH("VP Marketing",C981))+ISNUMBER(SEARCH("Director de Marketing",C981))+ISNUMBER(SEARCH("Director Marketing",C981))+ISNUMBER(SEARCH("Head of Marketing",C981))+ISNUMBER(SEARCH("Head Marketing",C981))&gt;0,'Configuración'!$B$32,IF(ISNUMBER(SEARCH("Marketing Manager",C981))+ISNUMBER(SEARCH("Gerente de Marketing",C981))+ISNUMBER(SEARCH("Growth Manager",C981))+ISNUMBER(SEARCH("Demand Gen",C981))+ISNUMBER(SEARCH("Marketing Lead",C981))&gt;0,'Configuración'!$B$33,IF(ISNUMBER(SEARCH("COO",C981))+ISNUMBER(SEARCH("CFO",C981))+ISNUMBER(SEARCH("CTO",C981))+ISNUMBER(SEARCH("Chief Operating",C981))+ISNUMBER(SEARCH("Chief Financial",C981))+ISNUMBER(SEARCH("Gerente General",C981))+ISNUMBER(SEARCH("General Manager",C981))&gt;0,'Configuración'!$B$34,'Configuración'!$B$35)))))</f>
        <v>0</v>
      </c>
      <c r="V981" s="38">
        <f>IF(B981="","",IF(K981="Sí",'Configuración'!$B$5,0)+IF(L981="Semanal",'Configuración'!$B$6,IF(L981="Mensual",'Configuración'!$B$7,0))+IF(M981="Sí",'Configuración'!$B$8,0)+IF(N981="Sí",'Configuración'!$B$9,0)+IF(O981="Sí",'Configuración'!$B$10,0)+IF(P981="Sí",'Configuración'!$B$11,0)+IF(Q981="Sí",'Configuración'!$B$12,0)+S981+T981+U981)</f>
        <v>16</v>
      </c>
      <c r="W981" s="39" t="str">
        <f>IF(B981="","",IF(V981&gt;='Configuración'!$B$19,"A",IF(V981&gt;='Configuración'!$B$20,"B",IF(V981&gt;='Configuración'!$B$21,"C","Descarte"))))</f>
        <v>Descarte</v>
      </c>
    </row>
    <row r="982" ht="15.75" customHeight="1">
      <c r="A982" s="34">
        <f t="shared" si="1"/>
        <v>980</v>
      </c>
      <c r="B982" s="29" t="s">
        <v>610</v>
      </c>
      <c r="C982" s="29" t="s">
        <v>494</v>
      </c>
      <c r="D982" s="29" t="s">
        <v>5732</v>
      </c>
      <c r="E982" s="29" t="s">
        <v>5733</v>
      </c>
      <c r="F982" s="30" t="s">
        <v>5734</v>
      </c>
      <c r="G982" s="30" t="s">
        <v>5735</v>
      </c>
      <c r="H982" s="30" t="s">
        <v>5736</v>
      </c>
      <c r="I982" s="29" t="s">
        <v>127</v>
      </c>
      <c r="J982" s="31">
        <v>29.0</v>
      </c>
      <c r="K982" s="35"/>
      <c r="L982" s="35"/>
      <c r="M982" s="35"/>
      <c r="N982" s="35"/>
      <c r="O982" s="35"/>
      <c r="P982" s="35"/>
      <c r="Q982" s="35"/>
      <c r="R982" s="35"/>
      <c r="S982" s="37">
        <f>IF(B982="","",IF(ISNUMBER(J982),IF(J982&lt;=10,'Configuración'!$B$23,IF(J982&lt;=50,'Configuración'!$B$24,IF(J982&lt;=200,'Configuración'!$B$25,0))),0))</f>
        <v>4</v>
      </c>
      <c r="T982" s="37">
        <f>IF(B982="","",IF(ISNUMBER(SEARCH("information technology",I982))+ISNUMBER(SEARCH("software",I982))+ISNUMBER(SEARCH("internet",I982))+ISNUMBER(SEARCH("computer",I982))+ISNUMBER(SEARCH("saas",I982))+ISNUMBER(SEARCH("fintech",I982))+ISNUMBER(SEARCH("information services",I982))+ISNUMBER(SEARCH("telecommunications",I982))&gt;0,'Configuración'!$B$27,'Configuración'!$B$28))</f>
        <v>12</v>
      </c>
      <c r="U982" s="25">
        <f>IF(B982="","",IF(ISNUMBER(SEARCH("CEO",C982))+ISNUMBER(SEARCH("Founder",C982))+ISNUMBER(SEARCH("Owner",C982))+ISNUMBER(SEARCH("Dueño",C982))+ISNUMBER(SEARCH("Director General",C982))+ISNUMBER(SEARCH("Presidente",C982))+ISNUMBER(SEARCH("President",C982))&gt;0,'Configuración'!$B$31,IF(ISNUMBER(SEARCH("CMO",C982))+ISNUMBER(SEARCH("Chief Marketing",C982))+ISNUMBER(SEARCH("VP Marketing",C982))+ISNUMBER(SEARCH("Director de Marketing",C982))+ISNUMBER(SEARCH("Director Marketing",C982))+ISNUMBER(SEARCH("Head of Marketing",C982))+ISNUMBER(SEARCH("Head Marketing",C982))&gt;0,'Configuración'!$B$32,IF(ISNUMBER(SEARCH("Marketing Manager",C982))+ISNUMBER(SEARCH("Gerente de Marketing",C982))+ISNUMBER(SEARCH("Growth Manager",C982))+ISNUMBER(SEARCH("Demand Gen",C982))+ISNUMBER(SEARCH("Marketing Lead",C982))&gt;0,'Configuración'!$B$33,IF(ISNUMBER(SEARCH("COO",C982))+ISNUMBER(SEARCH("CFO",C982))+ISNUMBER(SEARCH("CTO",C982))+ISNUMBER(SEARCH("Chief Operating",C982))+ISNUMBER(SEARCH("Chief Financial",C982))+ISNUMBER(SEARCH("Gerente General",C982))+ISNUMBER(SEARCH("General Manager",C982))&gt;0,'Configuración'!$B$34,'Configuración'!$B$35)))))</f>
        <v>4</v>
      </c>
      <c r="V982" s="38">
        <f>IF(B982="","",IF(K982="Sí",'Configuración'!$B$5,0)+IF(L982="Semanal",'Configuración'!$B$6,IF(L982="Mensual",'Configuración'!$B$7,0))+IF(M982="Sí",'Configuración'!$B$8,0)+IF(N982="Sí",'Configuración'!$B$9,0)+IF(O982="Sí",'Configuración'!$B$10,0)+IF(P982="Sí",'Configuración'!$B$11,0)+IF(Q982="Sí",'Configuración'!$B$12,0)+S982+T982+U982)</f>
        <v>20</v>
      </c>
      <c r="W982" s="39" t="str">
        <f>IF(B982="","",IF(V982&gt;='Configuración'!$B$19,"A",IF(V982&gt;='Configuración'!$B$20,"B",IF(V982&gt;='Configuración'!$B$21,"C","Descarte"))))</f>
        <v>Descarte</v>
      </c>
    </row>
    <row r="983" ht="15.75" customHeight="1">
      <c r="A983" s="34">
        <f t="shared" si="1"/>
        <v>981</v>
      </c>
      <c r="B983" s="29" t="s">
        <v>473</v>
      </c>
      <c r="C983" s="29" t="s">
        <v>131</v>
      </c>
      <c r="D983" s="29" t="s">
        <v>5737</v>
      </c>
      <c r="E983" s="29" t="s">
        <v>5738</v>
      </c>
      <c r="F983" s="30" t="s">
        <v>5739</v>
      </c>
      <c r="G983" s="30" t="s">
        <v>5740</v>
      </c>
      <c r="H983" s="30" t="s">
        <v>5741</v>
      </c>
      <c r="I983" s="29" t="s">
        <v>116</v>
      </c>
      <c r="J983" s="31">
        <v>10.0</v>
      </c>
      <c r="K983" s="35"/>
      <c r="L983" s="35"/>
      <c r="M983" s="35"/>
      <c r="N983" s="35"/>
      <c r="O983" s="35"/>
      <c r="P983" s="35"/>
      <c r="Q983" s="35"/>
      <c r="R983" s="35"/>
      <c r="S983" s="37">
        <f>IF(B983="","",IF(ISNUMBER(J983),IF(J983&lt;=10,'Configuración'!$B$23,IF(J983&lt;=50,'Configuración'!$B$24,IF(J983&lt;=200,'Configuración'!$B$25,0))),0))</f>
        <v>12</v>
      </c>
      <c r="T983" s="37">
        <f>IF(B983="","",IF(ISNUMBER(SEARCH("information technology",I983))+ISNUMBER(SEARCH("software",I983))+ISNUMBER(SEARCH("internet",I983))+ISNUMBER(SEARCH("computer",I983))+ISNUMBER(SEARCH("saas",I983))+ISNUMBER(SEARCH("fintech",I983))+ISNUMBER(SEARCH("information services",I983))+ISNUMBER(SEARCH("telecommunications",I983))&gt;0,'Configuración'!$B$27,'Configuración'!$B$28))</f>
        <v>4</v>
      </c>
      <c r="U983" s="25">
        <f>IF(B983="","",IF(ISNUMBER(SEARCH("CEO",C983))+ISNUMBER(SEARCH("Founder",C983))+ISNUMBER(SEARCH("Owner",C983))+ISNUMBER(SEARCH("Dueño",C983))+ISNUMBER(SEARCH("Director General",C983))+ISNUMBER(SEARCH("Presidente",C983))+ISNUMBER(SEARCH("President",C983))&gt;0,'Configuración'!$B$31,IF(ISNUMBER(SEARCH("CMO",C983))+ISNUMBER(SEARCH("Chief Marketing",C983))+ISNUMBER(SEARCH("VP Marketing",C983))+ISNUMBER(SEARCH("Director de Marketing",C983))+ISNUMBER(SEARCH("Director Marketing",C983))+ISNUMBER(SEARCH("Head of Marketing",C983))+ISNUMBER(SEARCH("Head Marketing",C983))&gt;0,'Configuración'!$B$32,IF(ISNUMBER(SEARCH("Marketing Manager",C983))+ISNUMBER(SEARCH("Gerente de Marketing",C983))+ISNUMBER(SEARCH("Growth Manager",C983))+ISNUMBER(SEARCH("Demand Gen",C983))+ISNUMBER(SEARCH("Marketing Lead",C983))&gt;0,'Configuración'!$B$33,IF(ISNUMBER(SEARCH("COO",C983))+ISNUMBER(SEARCH("CFO",C983))+ISNUMBER(SEARCH("CTO",C983))+ISNUMBER(SEARCH("Chief Operating",C983))+ISNUMBER(SEARCH("Chief Financial",C983))+ISNUMBER(SEARCH("Gerente General",C983))+ISNUMBER(SEARCH("General Manager",C983))&gt;0,'Configuración'!$B$34,'Configuración'!$B$35)))))</f>
        <v>12</v>
      </c>
      <c r="V983" s="38">
        <f>IF(B983="","",IF(K983="Sí",'Configuración'!$B$5,0)+IF(L983="Semanal",'Configuración'!$B$6,IF(L983="Mensual",'Configuración'!$B$7,0))+IF(M983="Sí",'Configuración'!$B$8,0)+IF(N983="Sí",'Configuración'!$B$9,0)+IF(O983="Sí",'Configuración'!$B$10,0)+IF(P983="Sí",'Configuración'!$B$11,0)+IF(Q983="Sí",'Configuración'!$B$12,0)+S983+T983+U983)</f>
        <v>28</v>
      </c>
      <c r="W983" s="39" t="str">
        <f>IF(B983="","",IF(V983&gt;='Configuración'!$B$19,"A",IF(V983&gt;='Configuración'!$B$20,"B",IF(V983&gt;='Configuración'!$B$21,"C","Descarte"))))</f>
        <v>C</v>
      </c>
    </row>
    <row r="984" ht="15.75" customHeight="1">
      <c r="A984" s="34">
        <f t="shared" si="1"/>
        <v>982</v>
      </c>
      <c r="B984" s="29" t="s">
        <v>5742</v>
      </c>
      <c r="C984" s="29" t="s">
        <v>175</v>
      </c>
      <c r="D984" s="29" t="s">
        <v>5743</v>
      </c>
      <c r="E984" s="29" t="s">
        <v>5744</v>
      </c>
      <c r="F984" s="30" t="s">
        <v>5745</v>
      </c>
      <c r="G984" s="30" t="s">
        <v>5746</v>
      </c>
      <c r="H984" s="30" t="s">
        <v>5747</v>
      </c>
      <c r="I984" s="29" t="s">
        <v>116</v>
      </c>
      <c r="J984" s="31">
        <v>8.0</v>
      </c>
      <c r="K984" s="35"/>
      <c r="L984" s="35"/>
      <c r="M984" s="35"/>
      <c r="N984" s="35"/>
      <c r="O984" s="35"/>
      <c r="P984" s="35"/>
      <c r="Q984" s="35"/>
      <c r="R984" s="35"/>
      <c r="S984" s="37">
        <f>IF(B984="","",IF(ISNUMBER(J984),IF(J984&lt;=10,'Configuración'!$B$23,IF(J984&lt;=50,'Configuración'!$B$24,IF(J984&lt;=200,'Configuración'!$B$25,0))),0))</f>
        <v>12</v>
      </c>
      <c r="T984" s="37">
        <f>IF(B984="","",IF(ISNUMBER(SEARCH("information technology",I984))+ISNUMBER(SEARCH("software",I984))+ISNUMBER(SEARCH("internet",I984))+ISNUMBER(SEARCH("computer",I984))+ISNUMBER(SEARCH("saas",I984))+ISNUMBER(SEARCH("fintech",I984))+ISNUMBER(SEARCH("information services",I984))+ISNUMBER(SEARCH("telecommunications",I984))&gt;0,'Configuración'!$B$27,'Configuración'!$B$28))</f>
        <v>4</v>
      </c>
      <c r="U984" s="25">
        <f>IF(B984="","",IF(ISNUMBER(SEARCH("CEO",C984))+ISNUMBER(SEARCH("Founder",C984))+ISNUMBER(SEARCH("Owner",C984))+ISNUMBER(SEARCH("Dueño",C984))+ISNUMBER(SEARCH("Director General",C984))+ISNUMBER(SEARCH("Presidente",C984))+ISNUMBER(SEARCH("President",C984))&gt;0,'Configuración'!$B$31,IF(ISNUMBER(SEARCH("CMO",C984))+ISNUMBER(SEARCH("Chief Marketing",C984))+ISNUMBER(SEARCH("VP Marketing",C984))+ISNUMBER(SEARCH("Director de Marketing",C984))+ISNUMBER(SEARCH("Director Marketing",C984))+ISNUMBER(SEARCH("Head of Marketing",C984))+ISNUMBER(SEARCH("Head Marketing",C984))&gt;0,'Configuración'!$B$32,IF(ISNUMBER(SEARCH("Marketing Manager",C984))+ISNUMBER(SEARCH("Gerente de Marketing",C984))+ISNUMBER(SEARCH("Growth Manager",C984))+ISNUMBER(SEARCH("Demand Gen",C984))+ISNUMBER(SEARCH("Marketing Lead",C984))&gt;0,'Configuración'!$B$33,IF(ISNUMBER(SEARCH("COO",C984))+ISNUMBER(SEARCH("CFO",C984))+ISNUMBER(SEARCH("CTO",C984))+ISNUMBER(SEARCH("Chief Operating",C984))+ISNUMBER(SEARCH("Chief Financial",C984))+ISNUMBER(SEARCH("Gerente General",C984))+ISNUMBER(SEARCH("General Manager",C984))&gt;0,'Configuración'!$B$34,'Configuración'!$B$35)))))</f>
        <v>12</v>
      </c>
      <c r="V984" s="38">
        <f>IF(B984="","",IF(K984="Sí",'Configuración'!$B$5,0)+IF(L984="Semanal",'Configuración'!$B$6,IF(L984="Mensual",'Configuración'!$B$7,0))+IF(M984="Sí",'Configuración'!$B$8,0)+IF(N984="Sí",'Configuración'!$B$9,0)+IF(O984="Sí",'Configuración'!$B$10,0)+IF(P984="Sí",'Configuración'!$B$11,0)+IF(Q984="Sí",'Configuración'!$B$12,0)+S984+T984+U984)</f>
        <v>28</v>
      </c>
      <c r="W984" s="39" t="str">
        <f>IF(B984="","",IF(V984&gt;='Configuración'!$B$19,"A",IF(V984&gt;='Configuración'!$B$20,"B",IF(V984&gt;='Configuración'!$B$21,"C","Descarte"))))</f>
        <v>C</v>
      </c>
    </row>
    <row r="985" ht="15.75" customHeight="1">
      <c r="A985" s="34">
        <f t="shared" si="1"/>
        <v>983</v>
      </c>
      <c r="B985" s="29" t="s">
        <v>2199</v>
      </c>
      <c r="C985" s="29" t="s">
        <v>121</v>
      </c>
      <c r="D985" s="29" t="s">
        <v>5748</v>
      </c>
      <c r="E985" s="29" t="s">
        <v>5749</v>
      </c>
      <c r="F985" s="30" t="s">
        <v>5750</v>
      </c>
      <c r="G985" s="30" t="s">
        <v>5751</v>
      </c>
      <c r="H985" s="30" t="s">
        <v>5752</v>
      </c>
      <c r="I985" s="29" t="s">
        <v>3843</v>
      </c>
      <c r="J985" s="31">
        <v>7.0</v>
      </c>
      <c r="K985" s="35"/>
      <c r="L985" s="35"/>
      <c r="M985" s="35"/>
      <c r="N985" s="35"/>
      <c r="O985" s="35"/>
      <c r="P985" s="35"/>
      <c r="Q985" s="35"/>
      <c r="R985" s="35"/>
      <c r="S985" s="37">
        <f>IF(B985="","",IF(ISNUMBER(J985),IF(J985&lt;=10,'Configuración'!$B$23,IF(J985&lt;=50,'Configuración'!$B$24,IF(J985&lt;=200,'Configuración'!$B$25,0))),0))</f>
        <v>12</v>
      </c>
      <c r="T985" s="37">
        <f>IF(B985="","",IF(ISNUMBER(SEARCH("information technology",I985))+ISNUMBER(SEARCH("software",I985))+ISNUMBER(SEARCH("internet",I985))+ISNUMBER(SEARCH("computer",I985))+ISNUMBER(SEARCH("saas",I985))+ISNUMBER(SEARCH("fintech",I985))+ISNUMBER(SEARCH("information services",I985))+ISNUMBER(SEARCH("telecommunications",I985))&gt;0,'Configuración'!$B$27,'Configuración'!$B$28))</f>
        <v>4</v>
      </c>
      <c r="U985" s="25">
        <f>IF(B985="","",IF(ISNUMBER(SEARCH("CEO",C985))+ISNUMBER(SEARCH("Founder",C985))+ISNUMBER(SEARCH("Owner",C985))+ISNUMBER(SEARCH("Dueño",C985))+ISNUMBER(SEARCH("Director General",C985))+ISNUMBER(SEARCH("Presidente",C985))+ISNUMBER(SEARCH("President",C985))&gt;0,'Configuración'!$B$31,IF(ISNUMBER(SEARCH("CMO",C985))+ISNUMBER(SEARCH("Chief Marketing",C985))+ISNUMBER(SEARCH("VP Marketing",C985))+ISNUMBER(SEARCH("Director de Marketing",C985))+ISNUMBER(SEARCH("Director Marketing",C985))+ISNUMBER(SEARCH("Head of Marketing",C985))+ISNUMBER(SEARCH("Head Marketing",C985))&gt;0,'Configuración'!$B$32,IF(ISNUMBER(SEARCH("Marketing Manager",C985))+ISNUMBER(SEARCH("Gerente de Marketing",C985))+ISNUMBER(SEARCH("Growth Manager",C985))+ISNUMBER(SEARCH("Demand Gen",C985))+ISNUMBER(SEARCH("Marketing Lead",C985))&gt;0,'Configuración'!$B$33,IF(ISNUMBER(SEARCH("COO",C985))+ISNUMBER(SEARCH("CFO",C985))+ISNUMBER(SEARCH("CTO",C985))+ISNUMBER(SEARCH("Chief Operating",C985))+ISNUMBER(SEARCH("Chief Financial",C985))+ISNUMBER(SEARCH("Gerente General",C985))+ISNUMBER(SEARCH("General Manager",C985))&gt;0,'Configuración'!$B$34,'Configuración'!$B$35)))))</f>
        <v>12</v>
      </c>
      <c r="V985" s="38">
        <f>IF(B985="","",IF(K985="Sí",'Configuración'!$B$5,0)+IF(L985="Semanal",'Configuración'!$B$6,IF(L985="Mensual",'Configuración'!$B$7,0))+IF(M985="Sí",'Configuración'!$B$8,0)+IF(N985="Sí",'Configuración'!$B$9,0)+IF(O985="Sí",'Configuración'!$B$10,0)+IF(P985="Sí",'Configuración'!$B$11,0)+IF(Q985="Sí",'Configuración'!$B$12,0)+S985+T985+U985)</f>
        <v>28</v>
      </c>
      <c r="W985" s="39" t="str">
        <f>IF(B985="","",IF(V985&gt;='Configuración'!$B$19,"A",IF(V985&gt;='Configuración'!$B$20,"B",IF(V985&gt;='Configuración'!$B$21,"C","Descarte"))))</f>
        <v>C</v>
      </c>
    </row>
    <row r="986" ht="15.75" customHeight="1">
      <c r="A986" s="34">
        <f t="shared" si="1"/>
        <v>984</v>
      </c>
      <c r="B986" s="29" t="s">
        <v>324</v>
      </c>
      <c r="C986" s="29" t="s">
        <v>5753</v>
      </c>
      <c r="D986" s="29" t="s">
        <v>5754</v>
      </c>
      <c r="E986" s="29" t="s">
        <v>5755</v>
      </c>
      <c r="F986" s="30" t="s">
        <v>5756</v>
      </c>
      <c r="G986" s="30" t="s">
        <v>5757</v>
      </c>
      <c r="H986" s="30" t="s">
        <v>5758</v>
      </c>
      <c r="I986" s="29" t="s">
        <v>116</v>
      </c>
      <c r="J986" s="31">
        <v>1.0</v>
      </c>
      <c r="K986" s="35"/>
      <c r="L986" s="35"/>
      <c r="M986" s="35"/>
      <c r="N986" s="35"/>
      <c r="O986" s="35"/>
      <c r="P986" s="35"/>
      <c r="Q986" s="35"/>
      <c r="R986" s="35"/>
      <c r="S986" s="37">
        <f>IF(B986="","",IF(ISNUMBER(J986),IF(J986&lt;=10,'Configuración'!$B$23,IF(J986&lt;=50,'Configuración'!$B$24,IF(J986&lt;=200,'Configuración'!$B$25,0))),0))</f>
        <v>12</v>
      </c>
      <c r="T986" s="37">
        <f>IF(B986="","",IF(ISNUMBER(SEARCH("information technology",I986))+ISNUMBER(SEARCH("software",I986))+ISNUMBER(SEARCH("internet",I986))+ISNUMBER(SEARCH("computer",I986))+ISNUMBER(SEARCH("saas",I986))+ISNUMBER(SEARCH("fintech",I986))+ISNUMBER(SEARCH("information services",I986))+ISNUMBER(SEARCH("telecommunications",I986))&gt;0,'Configuración'!$B$27,'Configuración'!$B$28))</f>
        <v>4</v>
      </c>
      <c r="U986" s="25">
        <f>IF(B986="","",IF(ISNUMBER(SEARCH("CEO",C986))+ISNUMBER(SEARCH("Founder",C986))+ISNUMBER(SEARCH("Owner",C986))+ISNUMBER(SEARCH("Dueño",C986))+ISNUMBER(SEARCH("Director General",C986))+ISNUMBER(SEARCH("Presidente",C986))+ISNUMBER(SEARCH("President",C986))&gt;0,'Configuración'!$B$31,IF(ISNUMBER(SEARCH("CMO",C986))+ISNUMBER(SEARCH("Chief Marketing",C986))+ISNUMBER(SEARCH("VP Marketing",C986))+ISNUMBER(SEARCH("Director de Marketing",C986))+ISNUMBER(SEARCH("Director Marketing",C986))+ISNUMBER(SEARCH("Head of Marketing",C986))+ISNUMBER(SEARCH("Head Marketing",C986))&gt;0,'Configuración'!$B$32,IF(ISNUMBER(SEARCH("Marketing Manager",C986))+ISNUMBER(SEARCH("Gerente de Marketing",C986))+ISNUMBER(SEARCH("Growth Manager",C986))+ISNUMBER(SEARCH("Demand Gen",C986))+ISNUMBER(SEARCH("Marketing Lead",C986))&gt;0,'Configuración'!$B$33,IF(ISNUMBER(SEARCH("COO",C986))+ISNUMBER(SEARCH("CFO",C986))+ISNUMBER(SEARCH("CTO",C986))+ISNUMBER(SEARCH("Chief Operating",C986))+ISNUMBER(SEARCH("Chief Financial",C986))+ISNUMBER(SEARCH("Gerente General",C986))+ISNUMBER(SEARCH("General Manager",C986))&gt;0,'Configuración'!$B$34,'Configuración'!$B$35)))))</f>
        <v>12</v>
      </c>
      <c r="V986" s="38">
        <f>IF(B986="","",IF(K986="Sí",'Configuración'!$B$5,0)+IF(L986="Semanal",'Configuración'!$B$6,IF(L986="Mensual",'Configuración'!$B$7,0))+IF(M986="Sí",'Configuración'!$B$8,0)+IF(N986="Sí",'Configuración'!$B$9,0)+IF(O986="Sí",'Configuración'!$B$10,0)+IF(P986="Sí",'Configuración'!$B$11,0)+IF(Q986="Sí",'Configuración'!$B$12,0)+S986+T986+U986)</f>
        <v>28</v>
      </c>
      <c r="W986" s="39" t="str">
        <f>IF(B986="","",IF(V986&gt;='Configuración'!$B$19,"A",IF(V986&gt;='Configuración'!$B$20,"B",IF(V986&gt;='Configuración'!$B$21,"C","Descarte"))))</f>
        <v>C</v>
      </c>
    </row>
    <row r="987" ht="15.75" customHeight="1">
      <c r="A987" s="34">
        <f t="shared" si="1"/>
        <v>985</v>
      </c>
      <c r="B987" s="29" t="s">
        <v>1137</v>
      </c>
      <c r="C987" s="29" t="s">
        <v>5759</v>
      </c>
      <c r="D987" s="29" t="s">
        <v>5760</v>
      </c>
      <c r="E987" s="29" t="s">
        <v>5761</v>
      </c>
      <c r="F987" s="30" t="s">
        <v>5762</v>
      </c>
      <c r="G987" s="30" t="s">
        <v>5763</v>
      </c>
      <c r="H987" s="30" t="s">
        <v>5764</v>
      </c>
      <c r="I987" s="29" t="s">
        <v>1277</v>
      </c>
      <c r="J987" s="31">
        <v>8.0</v>
      </c>
      <c r="K987" s="35"/>
      <c r="L987" s="35"/>
      <c r="M987" s="35"/>
      <c r="N987" s="35"/>
      <c r="O987" s="35"/>
      <c r="P987" s="35"/>
      <c r="Q987" s="35"/>
      <c r="R987" s="35"/>
      <c r="S987" s="37">
        <f>IF(B987="","",IF(ISNUMBER(J987),IF(J987&lt;=10,'Configuración'!$B$23,IF(J987&lt;=50,'Configuración'!$B$24,IF(J987&lt;=200,'Configuración'!$B$25,0))),0))</f>
        <v>12</v>
      </c>
      <c r="T987" s="37">
        <f>IF(B987="","",IF(ISNUMBER(SEARCH("information technology",I987))+ISNUMBER(SEARCH("software",I987))+ISNUMBER(SEARCH("internet",I987))+ISNUMBER(SEARCH("computer",I987))+ISNUMBER(SEARCH("saas",I987))+ISNUMBER(SEARCH("fintech",I987))+ISNUMBER(SEARCH("information services",I987))+ISNUMBER(SEARCH("telecommunications",I987))&gt;0,'Configuración'!$B$27,'Configuración'!$B$28))</f>
        <v>4</v>
      </c>
      <c r="U987" s="25">
        <f>IF(B987="","",IF(ISNUMBER(SEARCH("CEO",C987))+ISNUMBER(SEARCH("Founder",C987))+ISNUMBER(SEARCH("Owner",C987))+ISNUMBER(SEARCH("Dueño",C987))+ISNUMBER(SEARCH("Director General",C987))+ISNUMBER(SEARCH("Presidente",C987))+ISNUMBER(SEARCH("President",C987))&gt;0,'Configuración'!$B$31,IF(ISNUMBER(SEARCH("CMO",C987))+ISNUMBER(SEARCH("Chief Marketing",C987))+ISNUMBER(SEARCH("VP Marketing",C987))+ISNUMBER(SEARCH("Director de Marketing",C987))+ISNUMBER(SEARCH("Director Marketing",C987))+ISNUMBER(SEARCH("Head of Marketing",C987))+ISNUMBER(SEARCH("Head Marketing",C987))&gt;0,'Configuración'!$B$32,IF(ISNUMBER(SEARCH("Marketing Manager",C987))+ISNUMBER(SEARCH("Gerente de Marketing",C987))+ISNUMBER(SEARCH("Growth Manager",C987))+ISNUMBER(SEARCH("Demand Gen",C987))+ISNUMBER(SEARCH("Marketing Lead",C987))&gt;0,'Configuración'!$B$33,IF(ISNUMBER(SEARCH("COO",C987))+ISNUMBER(SEARCH("CFO",C987))+ISNUMBER(SEARCH("CTO",C987))+ISNUMBER(SEARCH("Chief Operating",C987))+ISNUMBER(SEARCH("Chief Financial",C987))+ISNUMBER(SEARCH("Gerente General",C987))+ISNUMBER(SEARCH("General Manager",C987))&gt;0,'Configuración'!$B$34,'Configuración'!$B$35)))))</f>
        <v>12</v>
      </c>
      <c r="V987" s="38">
        <f>IF(B987="","",IF(K987="Sí",'Configuración'!$B$5,0)+IF(L987="Semanal",'Configuración'!$B$6,IF(L987="Mensual",'Configuración'!$B$7,0))+IF(M987="Sí",'Configuración'!$B$8,0)+IF(N987="Sí",'Configuración'!$B$9,0)+IF(O987="Sí",'Configuración'!$B$10,0)+IF(P987="Sí",'Configuración'!$B$11,0)+IF(Q987="Sí",'Configuración'!$B$12,0)+S987+T987+U987)</f>
        <v>28</v>
      </c>
      <c r="W987" s="39" t="str">
        <f>IF(B987="","",IF(V987&gt;='Configuración'!$B$19,"A",IF(V987&gt;='Configuración'!$B$20,"B",IF(V987&gt;='Configuración'!$B$21,"C","Descarte"))))</f>
        <v>C</v>
      </c>
    </row>
    <row r="988" ht="15.75" customHeight="1">
      <c r="A988" s="34">
        <f t="shared" si="1"/>
        <v>986</v>
      </c>
      <c r="B988" s="29" t="s">
        <v>2094</v>
      </c>
      <c r="C988" s="29" t="s">
        <v>5765</v>
      </c>
      <c r="D988" s="29" t="s">
        <v>5766</v>
      </c>
      <c r="E988" s="29" t="s">
        <v>5767</v>
      </c>
      <c r="F988" s="30" t="s">
        <v>5768</v>
      </c>
      <c r="G988" s="30" t="s">
        <v>5769</v>
      </c>
      <c r="H988" s="30" t="s">
        <v>5770</v>
      </c>
      <c r="I988" s="29" t="s">
        <v>137</v>
      </c>
      <c r="J988" s="31">
        <v>7.0</v>
      </c>
      <c r="K988" s="35"/>
      <c r="L988" s="35"/>
      <c r="M988" s="35"/>
      <c r="N988" s="35"/>
      <c r="O988" s="35"/>
      <c r="P988" s="35"/>
      <c r="Q988" s="35"/>
      <c r="R988" s="35"/>
      <c r="S988" s="37">
        <f>IF(B988="","",IF(ISNUMBER(J988),IF(J988&lt;=10,'Configuración'!$B$23,IF(J988&lt;=50,'Configuración'!$B$24,IF(J988&lt;=200,'Configuración'!$B$25,0))),0))</f>
        <v>12</v>
      </c>
      <c r="T988" s="37">
        <f>IF(B988="","",IF(ISNUMBER(SEARCH("information technology",I988))+ISNUMBER(SEARCH("software",I988))+ISNUMBER(SEARCH("internet",I988))+ISNUMBER(SEARCH("computer",I988))+ISNUMBER(SEARCH("saas",I988))+ISNUMBER(SEARCH("fintech",I988))+ISNUMBER(SEARCH("information services",I988))+ISNUMBER(SEARCH("telecommunications",I988))&gt;0,'Configuración'!$B$27,'Configuración'!$B$28))</f>
        <v>4</v>
      </c>
      <c r="U988" s="25">
        <f>IF(B988="","",IF(ISNUMBER(SEARCH("CEO",C988))+ISNUMBER(SEARCH("Founder",C988))+ISNUMBER(SEARCH("Owner",C988))+ISNUMBER(SEARCH("Dueño",C988))+ISNUMBER(SEARCH("Director General",C988))+ISNUMBER(SEARCH("Presidente",C988))+ISNUMBER(SEARCH("President",C988))&gt;0,'Configuración'!$B$31,IF(ISNUMBER(SEARCH("CMO",C988))+ISNUMBER(SEARCH("Chief Marketing",C988))+ISNUMBER(SEARCH("VP Marketing",C988))+ISNUMBER(SEARCH("Director de Marketing",C988))+ISNUMBER(SEARCH("Director Marketing",C988))+ISNUMBER(SEARCH("Head of Marketing",C988))+ISNUMBER(SEARCH("Head Marketing",C988))&gt;0,'Configuración'!$B$32,IF(ISNUMBER(SEARCH("Marketing Manager",C988))+ISNUMBER(SEARCH("Gerente de Marketing",C988))+ISNUMBER(SEARCH("Growth Manager",C988))+ISNUMBER(SEARCH("Demand Gen",C988))+ISNUMBER(SEARCH("Marketing Lead",C988))&gt;0,'Configuración'!$B$33,IF(ISNUMBER(SEARCH("COO",C988))+ISNUMBER(SEARCH("CFO",C988))+ISNUMBER(SEARCH("CTO",C988))+ISNUMBER(SEARCH("Chief Operating",C988))+ISNUMBER(SEARCH("Chief Financial",C988))+ISNUMBER(SEARCH("Gerente General",C988))+ISNUMBER(SEARCH("General Manager",C988))&gt;0,'Configuración'!$B$34,'Configuración'!$B$35)))))</f>
        <v>12</v>
      </c>
      <c r="V988" s="38">
        <f>IF(B988="","",IF(K988="Sí",'Configuración'!$B$5,0)+IF(L988="Semanal",'Configuración'!$B$6,IF(L988="Mensual",'Configuración'!$B$7,0))+IF(M988="Sí",'Configuración'!$B$8,0)+IF(N988="Sí",'Configuración'!$B$9,0)+IF(O988="Sí",'Configuración'!$B$10,0)+IF(P988="Sí",'Configuración'!$B$11,0)+IF(Q988="Sí",'Configuración'!$B$12,0)+S988+T988+U988)</f>
        <v>28</v>
      </c>
      <c r="W988" s="39" t="str">
        <f>IF(B988="","",IF(V988&gt;='Configuración'!$B$19,"A",IF(V988&gt;='Configuración'!$B$20,"B",IF(V988&gt;='Configuración'!$B$21,"C","Descarte"))))</f>
        <v>C</v>
      </c>
    </row>
    <row r="989" ht="15.75" customHeight="1">
      <c r="A989" s="34">
        <f t="shared" si="1"/>
        <v>987</v>
      </c>
      <c r="B989" s="29" t="s">
        <v>556</v>
      </c>
      <c r="C989" s="29" t="s">
        <v>5771</v>
      </c>
      <c r="D989" s="29" t="s">
        <v>5772</v>
      </c>
      <c r="E989" s="29" t="s">
        <v>5773</v>
      </c>
      <c r="F989" s="30" t="s">
        <v>5774</v>
      </c>
      <c r="G989" s="30" t="s">
        <v>5775</v>
      </c>
      <c r="H989" s="30" t="s">
        <v>5776</v>
      </c>
      <c r="I989" s="29" t="s">
        <v>127</v>
      </c>
      <c r="J989" s="31">
        <v>6.0</v>
      </c>
      <c r="K989" s="35"/>
      <c r="L989" s="35"/>
      <c r="M989" s="35"/>
      <c r="N989" s="35"/>
      <c r="O989" s="35"/>
      <c r="P989" s="35"/>
      <c r="Q989" s="35"/>
      <c r="R989" s="35"/>
      <c r="S989" s="37">
        <f>IF(B989="","",IF(ISNUMBER(J989),IF(J989&lt;=10,'Configuración'!$B$23,IF(J989&lt;=50,'Configuración'!$B$24,IF(J989&lt;=200,'Configuración'!$B$25,0))),0))</f>
        <v>12</v>
      </c>
      <c r="T989" s="37">
        <f>IF(B989="","",IF(ISNUMBER(SEARCH("information technology",I989))+ISNUMBER(SEARCH("software",I989))+ISNUMBER(SEARCH("internet",I989))+ISNUMBER(SEARCH("computer",I989))+ISNUMBER(SEARCH("saas",I989))+ISNUMBER(SEARCH("fintech",I989))+ISNUMBER(SEARCH("information services",I989))+ISNUMBER(SEARCH("telecommunications",I989))&gt;0,'Configuración'!$B$27,'Configuración'!$B$28))</f>
        <v>12</v>
      </c>
      <c r="U989" s="25">
        <f>IF(B989="","",IF(ISNUMBER(SEARCH("CEO",C989))+ISNUMBER(SEARCH("Founder",C989))+ISNUMBER(SEARCH("Owner",C989))+ISNUMBER(SEARCH("Dueño",C989))+ISNUMBER(SEARCH("Director General",C989))+ISNUMBER(SEARCH("Presidente",C989))+ISNUMBER(SEARCH("President",C989))&gt;0,'Configuración'!$B$31,IF(ISNUMBER(SEARCH("CMO",C989))+ISNUMBER(SEARCH("Chief Marketing",C989))+ISNUMBER(SEARCH("VP Marketing",C989))+ISNUMBER(SEARCH("Director de Marketing",C989))+ISNUMBER(SEARCH("Director Marketing",C989))+ISNUMBER(SEARCH("Head of Marketing",C989))+ISNUMBER(SEARCH("Head Marketing",C989))&gt;0,'Configuración'!$B$32,IF(ISNUMBER(SEARCH("Marketing Manager",C989))+ISNUMBER(SEARCH("Gerente de Marketing",C989))+ISNUMBER(SEARCH("Growth Manager",C989))+ISNUMBER(SEARCH("Demand Gen",C989))+ISNUMBER(SEARCH("Marketing Lead",C989))&gt;0,'Configuración'!$B$33,IF(ISNUMBER(SEARCH("COO",C989))+ISNUMBER(SEARCH("CFO",C989))+ISNUMBER(SEARCH("CTO",C989))+ISNUMBER(SEARCH("Chief Operating",C989))+ISNUMBER(SEARCH("Chief Financial",C989))+ISNUMBER(SEARCH("Gerente General",C989))+ISNUMBER(SEARCH("General Manager",C989))&gt;0,'Configuración'!$B$34,'Configuración'!$B$35)))))</f>
        <v>12</v>
      </c>
      <c r="V989" s="38">
        <f>IF(B989="","",IF(K989="Sí",'Configuración'!$B$5,0)+IF(L989="Semanal",'Configuración'!$B$6,IF(L989="Mensual",'Configuración'!$B$7,0))+IF(M989="Sí",'Configuración'!$B$8,0)+IF(N989="Sí",'Configuración'!$B$9,0)+IF(O989="Sí",'Configuración'!$B$10,0)+IF(P989="Sí",'Configuración'!$B$11,0)+IF(Q989="Sí",'Configuración'!$B$12,0)+S989+T989+U989)</f>
        <v>36</v>
      </c>
      <c r="W989" s="39" t="str">
        <f>IF(B989="","",IF(V989&gt;='Configuración'!$B$19,"A",IF(V989&gt;='Configuración'!$B$20,"B",IF(V989&gt;='Configuración'!$B$21,"C","Descarte"))))</f>
        <v>C</v>
      </c>
    </row>
    <row r="990" ht="15.75" customHeight="1">
      <c r="A990" s="34">
        <f t="shared" si="1"/>
        <v>988</v>
      </c>
      <c r="B990" s="29" t="s">
        <v>1008</v>
      </c>
      <c r="C990" s="29" t="s">
        <v>202</v>
      </c>
      <c r="D990" s="29" t="s">
        <v>5777</v>
      </c>
      <c r="E990" s="29" t="s">
        <v>5778</v>
      </c>
      <c r="F990" s="30" t="s">
        <v>5779</v>
      </c>
      <c r="G990" s="30" t="s">
        <v>5780</v>
      </c>
      <c r="H990" s="30" t="s">
        <v>5781</v>
      </c>
      <c r="I990" s="29" t="s">
        <v>116</v>
      </c>
      <c r="J990" s="31">
        <v>24.0</v>
      </c>
      <c r="K990" s="35"/>
      <c r="L990" s="35"/>
      <c r="M990" s="35"/>
      <c r="N990" s="35"/>
      <c r="O990" s="35"/>
      <c r="P990" s="35"/>
      <c r="Q990" s="35"/>
      <c r="R990" s="35"/>
      <c r="S990" s="37">
        <f>IF(B990="","",IF(ISNUMBER(J990),IF(J990&lt;=10,'Configuración'!$B$23,IF(J990&lt;=50,'Configuración'!$B$24,IF(J990&lt;=200,'Configuración'!$B$25,0))),0))</f>
        <v>4</v>
      </c>
      <c r="T990" s="37">
        <f>IF(B990="","",IF(ISNUMBER(SEARCH("information technology",I990))+ISNUMBER(SEARCH("software",I990))+ISNUMBER(SEARCH("internet",I990))+ISNUMBER(SEARCH("computer",I990))+ISNUMBER(SEARCH("saas",I990))+ISNUMBER(SEARCH("fintech",I990))+ISNUMBER(SEARCH("information services",I990))+ISNUMBER(SEARCH("telecommunications",I990))&gt;0,'Configuración'!$B$27,'Configuración'!$B$28))</f>
        <v>4</v>
      </c>
      <c r="U990" s="25">
        <f>IF(B990="","",IF(ISNUMBER(SEARCH("CEO",C990))+ISNUMBER(SEARCH("Founder",C990))+ISNUMBER(SEARCH("Owner",C990))+ISNUMBER(SEARCH("Dueño",C990))+ISNUMBER(SEARCH("Director General",C990))+ISNUMBER(SEARCH("Presidente",C990))+ISNUMBER(SEARCH("President",C990))&gt;0,'Configuración'!$B$31,IF(ISNUMBER(SEARCH("CMO",C990))+ISNUMBER(SEARCH("Chief Marketing",C990))+ISNUMBER(SEARCH("VP Marketing",C990))+ISNUMBER(SEARCH("Director de Marketing",C990))+ISNUMBER(SEARCH("Director Marketing",C990))+ISNUMBER(SEARCH("Head of Marketing",C990))+ISNUMBER(SEARCH("Head Marketing",C990))&gt;0,'Configuración'!$B$32,IF(ISNUMBER(SEARCH("Marketing Manager",C990))+ISNUMBER(SEARCH("Gerente de Marketing",C990))+ISNUMBER(SEARCH("Growth Manager",C990))+ISNUMBER(SEARCH("Demand Gen",C990))+ISNUMBER(SEARCH("Marketing Lead",C990))&gt;0,'Configuración'!$B$33,IF(ISNUMBER(SEARCH("COO",C990))+ISNUMBER(SEARCH("CFO",C990))+ISNUMBER(SEARCH("CTO",C990))+ISNUMBER(SEARCH("Chief Operating",C990))+ISNUMBER(SEARCH("Chief Financial",C990))+ISNUMBER(SEARCH("Gerente General",C990))+ISNUMBER(SEARCH("General Manager",C990))&gt;0,'Configuración'!$B$34,'Configuración'!$B$35)))))</f>
        <v>12</v>
      </c>
      <c r="V990" s="38">
        <f>IF(B990="","",IF(K990="Sí",'Configuración'!$B$5,0)+IF(L990="Semanal",'Configuración'!$B$6,IF(L990="Mensual",'Configuración'!$B$7,0))+IF(M990="Sí",'Configuración'!$B$8,0)+IF(N990="Sí",'Configuración'!$B$9,0)+IF(O990="Sí",'Configuración'!$B$10,0)+IF(P990="Sí",'Configuración'!$B$11,0)+IF(Q990="Sí",'Configuración'!$B$12,0)+S990+T990+U990)</f>
        <v>20</v>
      </c>
      <c r="W990" s="39" t="str">
        <f>IF(B990="","",IF(V990&gt;='Configuración'!$B$19,"A",IF(V990&gt;='Configuración'!$B$20,"B",IF(V990&gt;='Configuración'!$B$21,"C","Descarte"))))</f>
        <v>Descarte</v>
      </c>
    </row>
    <row r="991" ht="15.75" customHeight="1">
      <c r="A991" s="34">
        <f t="shared" si="1"/>
        <v>989</v>
      </c>
      <c r="B991" s="29" t="s">
        <v>1171</v>
      </c>
      <c r="C991" s="29" t="s">
        <v>175</v>
      </c>
      <c r="D991" s="29" t="s">
        <v>5782</v>
      </c>
      <c r="E991" s="29" t="s">
        <v>5783</v>
      </c>
      <c r="F991" s="30" t="s">
        <v>5784</v>
      </c>
      <c r="G991" s="30" t="s">
        <v>5785</v>
      </c>
      <c r="H991" s="30" t="s">
        <v>5786</v>
      </c>
      <c r="I991" s="29" t="s">
        <v>188</v>
      </c>
      <c r="J991" s="31">
        <v>2.0</v>
      </c>
      <c r="K991" s="35"/>
      <c r="L991" s="35"/>
      <c r="M991" s="35"/>
      <c r="N991" s="35"/>
      <c r="O991" s="35"/>
      <c r="P991" s="35"/>
      <c r="Q991" s="35"/>
      <c r="R991" s="35"/>
      <c r="S991" s="37">
        <f>IF(B991="","",IF(ISNUMBER(J991),IF(J991&lt;=10,'Configuración'!$B$23,IF(J991&lt;=50,'Configuración'!$B$24,IF(J991&lt;=200,'Configuración'!$B$25,0))),0))</f>
        <v>12</v>
      </c>
      <c r="T991" s="37">
        <f>IF(B991="","",IF(ISNUMBER(SEARCH("information technology",I991))+ISNUMBER(SEARCH("software",I991))+ISNUMBER(SEARCH("internet",I991))+ISNUMBER(SEARCH("computer",I991))+ISNUMBER(SEARCH("saas",I991))+ISNUMBER(SEARCH("fintech",I991))+ISNUMBER(SEARCH("information services",I991))+ISNUMBER(SEARCH("telecommunications",I991))&gt;0,'Configuración'!$B$27,'Configuración'!$B$28))</f>
        <v>4</v>
      </c>
      <c r="U991" s="25">
        <f>IF(B991="","",IF(ISNUMBER(SEARCH("CEO",C991))+ISNUMBER(SEARCH("Founder",C991))+ISNUMBER(SEARCH("Owner",C991))+ISNUMBER(SEARCH("Dueño",C991))+ISNUMBER(SEARCH("Director General",C991))+ISNUMBER(SEARCH("Presidente",C991))+ISNUMBER(SEARCH("President",C991))&gt;0,'Configuración'!$B$31,IF(ISNUMBER(SEARCH("CMO",C991))+ISNUMBER(SEARCH("Chief Marketing",C991))+ISNUMBER(SEARCH("VP Marketing",C991))+ISNUMBER(SEARCH("Director de Marketing",C991))+ISNUMBER(SEARCH("Director Marketing",C991))+ISNUMBER(SEARCH("Head of Marketing",C991))+ISNUMBER(SEARCH("Head Marketing",C991))&gt;0,'Configuración'!$B$32,IF(ISNUMBER(SEARCH("Marketing Manager",C991))+ISNUMBER(SEARCH("Gerente de Marketing",C991))+ISNUMBER(SEARCH("Growth Manager",C991))+ISNUMBER(SEARCH("Demand Gen",C991))+ISNUMBER(SEARCH("Marketing Lead",C991))&gt;0,'Configuración'!$B$33,IF(ISNUMBER(SEARCH("COO",C991))+ISNUMBER(SEARCH("CFO",C991))+ISNUMBER(SEARCH("CTO",C991))+ISNUMBER(SEARCH("Chief Operating",C991))+ISNUMBER(SEARCH("Chief Financial",C991))+ISNUMBER(SEARCH("Gerente General",C991))+ISNUMBER(SEARCH("General Manager",C991))&gt;0,'Configuración'!$B$34,'Configuración'!$B$35)))))</f>
        <v>12</v>
      </c>
      <c r="V991" s="38">
        <f>IF(B991="","",IF(K991="Sí",'Configuración'!$B$5,0)+IF(L991="Semanal",'Configuración'!$B$6,IF(L991="Mensual",'Configuración'!$B$7,0))+IF(M991="Sí",'Configuración'!$B$8,0)+IF(N991="Sí",'Configuración'!$B$9,0)+IF(O991="Sí",'Configuración'!$B$10,0)+IF(P991="Sí",'Configuración'!$B$11,0)+IF(Q991="Sí",'Configuración'!$B$12,0)+S991+T991+U991)</f>
        <v>28</v>
      </c>
      <c r="W991" s="39" t="str">
        <f>IF(B991="","",IF(V991&gt;='Configuración'!$B$19,"A",IF(V991&gt;='Configuración'!$B$20,"B",IF(V991&gt;='Configuración'!$B$21,"C","Descarte"))))</f>
        <v>C</v>
      </c>
    </row>
    <row r="992" ht="15.75" customHeight="1">
      <c r="A992" s="34">
        <f t="shared" si="1"/>
        <v>990</v>
      </c>
      <c r="B992" s="29" t="s">
        <v>1927</v>
      </c>
      <c r="C992" s="29" t="s">
        <v>224</v>
      </c>
      <c r="D992" s="29" t="s">
        <v>2357</v>
      </c>
      <c r="E992" s="29" t="s">
        <v>5787</v>
      </c>
      <c r="F992" s="30" t="s">
        <v>5788</v>
      </c>
      <c r="G992" s="30" t="s">
        <v>2360</v>
      </c>
      <c r="H992" s="30" t="s">
        <v>2361</v>
      </c>
      <c r="I992" s="29" t="s">
        <v>116</v>
      </c>
      <c r="J992" s="31">
        <v>26.0</v>
      </c>
      <c r="K992" s="35"/>
      <c r="L992" s="35"/>
      <c r="M992" s="35"/>
      <c r="N992" s="35"/>
      <c r="O992" s="35"/>
      <c r="P992" s="35"/>
      <c r="Q992" s="35"/>
      <c r="R992" s="35"/>
      <c r="S992" s="37">
        <f>IF(B992="","",IF(ISNUMBER(J992),IF(J992&lt;=10,'Configuración'!$B$23,IF(J992&lt;=50,'Configuración'!$B$24,IF(J992&lt;=200,'Configuración'!$B$25,0))),0))</f>
        <v>4</v>
      </c>
      <c r="T992" s="37">
        <f>IF(B992="","",IF(ISNUMBER(SEARCH("information technology",I992))+ISNUMBER(SEARCH("software",I992))+ISNUMBER(SEARCH("internet",I992))+ISNUMBER(SEARCH("computer",I992))+ISNUMBER(SEARCH("saas",I992))+ISNUMBER(SEARCH("fintech",I992))+ISNUMBER(SEARCH("information services",I992))+ISNUMBER(SEARCH("telecommunications",I992))&gt;0,'Configuración'!$B$27,'Configuración'!$B$28))</f>
        <v>4</v>
      </c>
      <c r="U992" s="25">
        <f>IF(B992="","",IF(ISNUMBER(SEARCH("CEO",C992))+ISNUMBER(SEARCH("Founder",C992))+ISNUMBER(SEARCH("Owner",C992))+ISNUMBER(SEARCH("Dueño",C992))+ISNUMBER(SEARCH("Director General",C992))+ISNUMBER(SEARCH("Presidente",C992))+ISNUMBER(SEARCH("President",C992))&gt;0,'Configuración'!$B$31,IF(ISNUMBER(SEARCH("CMO",C992))+ISNUMBER(SEARCH("Chief Marketing",C992))+ISNUMBER(SEARCH("VP Marketing",C992))+ISNUMBER(SEARCH("Director de Marketing",C992))+ISNUMBER(SEARCH("Director Marketing",C992))+ISNUMBER(SEARCH("Head of Marketing",C992))+ISNUMBER(SEARCH("Head Marketing",C992))&gt;0,'Configuración'!$B$32,IF(ISNUMBER(SEARCH("Marketing Manager",C992))+ISNUMBER(SEARCH("Gerente de Marketing",C992))+ISNUMBER(SEARCH("Growth Manager",C992))+ISNUMBER(SEARCH("Demand Gen",C992))+ISNUMBER(SEARCH("Marketing Lead",C992))&gt;0,'Configuración'!$B$33,IF(ISNUMBER(SEARCH("COO",C992))+ISNUMBER(SEARCH("CFO",C992))+ISNUMBER(SEARCH("CTO",C992))+ISNUMBER(SEARCH("Chief Operating",C992))+ISNUMBER(SEARCH("Chief Financial",C992))+ISNUMBER(SEARCH("Gerente General",C992))+ISNUMBER(SEARCH("General Manager",C992))&gt;0,'Configuración'!$B$34,'Configuración'!$B$35)))))</f>
        <v>12</v>
      </c>
      <c r="V992" s="38">
        <f>IF(B992="","",IF(K992="Sí",'Configuración'!$B$5,0)+IF(L992="Semanal",'Configuración'!$B$6,IF(L992="Mensual",'Configuración'!$B$7,0))+IF(M992="Sí",'Configuración'!$B$8,0)+IF(N992="Sí",'Configuración'!$B$9,0)+IF(O992="Sí",'Configuración'!$B$10,0)+IF(P992="Sí",'Configuración'!$B$11,0)+IF(Q992="Sí",'Configuración'!$B$12,0)+S992+T992+U992)</f>
        <v>20</v>
      </c>
      <c r="W992" s="39" t="str">
        <f>IF(B992="","",IF(V992&gt;='Configuración'!$B$19,"A",IF(V992&gt;='Configuración'!$B$20,"B",IF(V992&gt;='Configuración'!$B$21,"C","Descarte"))))</f>
        <v>Descarte</v>
      </c>
    </row>
    <row r="993" ht="15.75" customHeight="1">
      <c r="A993" s="34">
        <f t="shared" si="1"/>
        <v>991</v>
      </c>
      <c r="B993" s="29" t="s">
        <v>5789</v>
      </c>
      <c r="C993" s="29" t="s">
        <v>5790</v>
      </c>
      <c r="D993" s="29" t="s">
        <v>5791</v>
      </c>
      <c r="E993" s="29" t="s">
        <v>5792</v>
      </c>
      <c r="F993" s="30" t="s">
        <v>5793</v>
      </c>
      <c r="G993" s="30" t="s">
        <v>5794</v>
      </c>
      <c r="H993" s="30" t="s">
        <v>5795</v>
      </c>
      <c r="I993" s="29" t="s">
        <v>116</v>
      </c>
      <c r="J993" s="31">
        <v>4.0</v>
      </c>
      <c r="K993" s="35"/>
      <c r="L993" s="35"/>
      <c r="M993" s="35"/>
      <c r="N993" s="35"/>
      <c r="O993" s="35"/>
      <c r="P993" s="35"/>
      <c r="Q993" s="35"/>
      <c r="R993" s="35"/>
      <c r="S993" s="37">
        <f>IF(B993="","",IF(ISNUMBER(J993),IF(J993&lt;=10,'Configuración'!$B$23,IF(J993&lt;=50,'Configuración'!$B$24,IF(J993&lt;=200,'Configuración'!$B$25,0))),0))</f>
        <v>12</v>
      </c>
      <c r="T993" s="37">
        <f>IF(B993="","",IF(ISNUMBER(SEARCH("information technology",I993))+ISNUMBER(SEARCH("software",I993))+ISNUMBER(SEARCH("internet",I993))+ISNUMBER(SEARCH("computer",I993))+ISNUMBER(SEARCH("saas",I993))+ISNUMBER(SEARCH("fintech",I993))+ISNUMBER(SEARCH("information services",I993))+ISNUMBER(SEARCH("telecommunications",I993))&gt;0,'Configuración'!$B$27,'Configuración'!$B$28))</f>
        <v>4</v>
      </c>
      <c r="U993" s="25">
        <f>IF(B993="","",IF(ISNUMBER(SEARCH("CEO",C993))+ISNUMBER(SEARCH("Founder",C993))+ISNUMBER(SEARCH("Owner",C993))+ISNUMBER(SEARCH("Dueño",C993))+ISNUMBER(SEARCH("Director General",C993))+ISNUMBER(SEARCH("Presidente",C993))+ISNUMBER(SEARCH("President",C993))&gt;0,'Configuración'!$B$31,IF(ISNUMBER(SEARCH("CMO",C993))+ISNUMBER(SEARCH("Chief Marketing",C993))+ISNUMBER(SEARCH("VP Marketing",C993))+ISNUMBER(SEARCH("Director de Marketing",C993))+ISNUMBER(SEARCH("Director Marketing",C993))+ISNUMBER(SEARCH("Head of Marketing",C993))+ISNUMBER(SEARCH("Head Marketing",C993))&gt;0,'Configuración'!$B$32,IF(ISNUMBER(SEARCH("Marketing Manager",C993))+ISNUMBER(SEARCH("Gerente de Marketing",C993))+ISNUMBER(SEARCH("Growth Manager",C993))+ISNUMBER(SEARCH("Demand Gen",C993))+ISNUMBER(SEARCH("Marketing Lead",C993))&gt;0,'Configuración'!$B$33,IF(ISNUMBER(SEARCH("COO",C993))+ISNUMBER(SEARCH("CFO",C993))+ISNUMBER(SEARCH("CTO",C993))+ISNUMBER(SEARCH("Chief Operating",C993))+ISNUMBER(SEARCH("Chief Financial",C993))+ISNUMBER(SEARCH("Gerente General",C993))+ISNUMBER(SEARCH("General Manager",C993))&gt;0,'Configuración'!$B$34,'Configuración'!$B$35)))))</f>
        <v>12</v>
      </c>
      <c r="V993" s="38">
        <f>IF(B993="","",IF(K993="Sí",'Configuración'!$B$5,0)+IF(L993="Semanal",'Configuración'!$B$6,IF(L993="Mensual",'Configuración'!$B$7,0))+IF(M993="Sí",'Configuración'!$B$8,0)+IF(N993="Sí",'Configuración'!$B$9,0)+IF(O993="Sí",'Configuración'!$B$10,0)+IF(P993="Sí",'Configuración'!$B$11,0)+IF(Q993="Sí",'Configuración'!$B$12,0)+S993+T993+U993)</f>
        <v>28</v>
      </c>
      <c r="W993" s="39" t="str">
        <f>IF(B993="","",IF(V993&gt;='Configuración'!$B$19,"A",IF(V993&gt;='Configuración'!$B$20,"B",IF(V993&gt;='Configuración'!$B$21,"C","Descarte"))))</f>
        <v>C</v>
      </c>
    </row>
    <row r="994" ht="15.75" customHeight="1">
      <c r="A994" s="34">
        <f t="shared" si="1"/>
        <v>992</v>
      </c>
      <c r="B994" s="29" t="s">
        <v>473</v>
      </c>
      <c r="C994" s="29" t="s">
        <v>224</v>
      </c>
      <c r="D994" s="29" t="s">
        <v>5796</v>
      </c>
      <c r="E994" s="29" t="s">
        <v>5797</v>
      </c>
      <c r="F994" s="30" t="s">
        <v>5798</v>
      </c>
      <c r="G994" s="30" t="s">
        <v>5799</v>
      </c>
      <c r="H994" s="30" t="s">
        <v>5800</v>
      </c>
      <c r="I994" s="29" t="s">
        <v>563</v>
      </c>
      <c r="J994" s="31">
        <v>13.0</v>
      </c>
      <c r="K994" s="35"/>
      <c r="L994" s="35"/>
      <c r="M994" s="35"/>
      <c r="N994" s="35"/>
      <c r="O994" s="35"/>
      <c r="P994" s="35"/>
      <c r="Q994" s="35"/>
      <c r="R994" s="35"/>
      <c r="S994" s="37">
        <f>IF(B994="","",IF(ISNUMBER(J994),IF(J994&lt;=10,'Configuración'!$B$23,IF(J994&lt;=50,'Configuración'!$B$24,IF(J994&lt;=200,'Configuración'!$B$25,0))),0))</f>
        <v>4</v>
      </c>
      <c r="T994" s="37">
        <f>IF(B994="","",IF(ISNUMBER(SEARCH("information technology",I994))+ISNUMBER(SEARCH("software",I994))+ISNUMBER(SEARCH("internet",I994))+ISNUMBER(SEARCH("computer",I994))+ISNUMBER(SEARCH("saas",I994))+ISNUMBER(SEARCH("fintech",I994))+ISNUMBER(SEARCH("information services",I994))+ISNUMBER(SEARCH("telecommunications",I994))&gt;0,'Configuración'!$B$27,'Configuración'!$B$28))</f>
        <v>4</v>
      </c>
      <c r="U994" s="25">
        <f>IF(B994="","",IF(ISNUMBER(SEARCH("CEO",C994))+ISNUMBER(SEARCH("Founder",C994))+ISNUMBER(SEARCH("Owner",C994))+ISNUMBER(SEARCH("Dueño",C994))+ISNUMBER(SEARCH("Director General",C994))+ISNUMBER(SEARCH("Presidente",C994))+ISNUMBER(SEARCH("President",C994))&gt;0,'Configuración'!$B$31,IF(ISNUMBER(SEARCH("CMO",C994))+ISNUMBER(SEARCH("Chief Marketing",C994))+ISNUMBER(SEARCH("VP Marketing",C994))+ISNUMBER(SEARCH("Director de Marketing",C994))+ISNUMBER(SEARCH("Director Marketing",C994))+ISNUMBER(SEARCH("Head of Marketing",C994))+ISNUMBER(SEARCH("Head Marketing",C994))&gt;0,'Configuración'!$B$32,IF(ISNUMBER(SEARCH("Marketing Manager",C994))+ISNUMBER(SEARCH("Gerente de Marketing",C994))+ISNUMBER(SEARCH("Growth Manager",C994))+ISNUMBER(SEARCH("Demand Gen",C994))+ISNUMBER(SEARCH("Marketing Lead",C994))&gt;0,'Configuración'!$B$33,IF(ISNUMBER(SEARCH("COO",C994))+ISNUMBER(SEARCH("CFO",C994))+ISNUMBER(SEARCH("CTO",C994))+ISNUMBER(SEARCH("Chief Operating",C994))+ISNUMBER(SEARCH("Chief Financial",C994))+ISNUMBER(SEARCH("Gerente General",C994))+ISNUMBER(SEARCH("General Manager",C994))&gt;0,'Configuración'!$B$34,'Configuración'!$B$35)))))</f>
        <v>12</v>
      </c>
      <c r="V994" s="38">
        <f>IF(B994="","",IF(K994="Sí",'Configuración'!$B$5,0)+IF(L994="Semanal",'Configuración'!$B$6,IF(L994="Mensual",'Configuración'!$B$7,0))+IF(M994="Sí",'Configuración'!$B$8,0)+IF(N994="Sí",'Configuración'!$B$9,0)+IF(O994="Sí",'Configuración'!$B$10,0)+IF(P994="Sí",'Configuración'!$B$11,0)+IF(Q994="Sí",'Configuración'!$B$12,0)+S994+T994+U994)</f>
        <v>20</v>
      </c>
      <c r="W994" s="39" t="str">
        <f>IF(B994="","",IF(V994&gt;='Configuración'!$B$19,"A",IF(V994&gt;='Configuración'!$B$20,"B",IF(V994&gt;='Configuración'!$B$21,"C","Descarte"))))</f>
        <v>Descarte</v>
      </c>
    </row>
    <row r="995" ht="15.75" customHeight="1">
      <c r="A995" s="34">
        <f t="shared" si="1"/>
        <v>993</v>
      </c>
      <c r="B995" s="29" t="s">
        <v>5801</v>
      </c>
      <c r="C995" s="29" t="s">
        <v>5802</v>
      </c>
      <c r="D995" s="29" t="s">
        <v>5803</v>
      </c>
      <c r="E995" s="29" t="s">
        <v>5804</v>
      </c>
      <c r="F995" s="30" t="s">
        <v>5805</v>
      </c>
      <c r="G995" s="30" t="s">
        <v>5806</v>
      </c>
      <c r="H995" s="30" t="s">
        <v>5807</v>
      </c>
      <c r="I995" s="29" t="s">
        <v>847</v>
      </c>
      <c r="J995" s="31">
        <v>31.0</v>
      </c>
      <c r="K995" s="35"/>
      <c r="L995" s="35"/>
      <c r="M995" s="35"/>
      <c r="N995" s="35"/>
      <c r="O995" s="35"/>
      <c r="P995" s="35"/>
      <c r="Q995" s="35"/>
      <c r="R995" s="35"/>
      <c r="S995" s="37">
        <f>IF(B995="","",IF(ISNUMBER(J995),IF(J995&lt;=10,'Configuración'!$B$23,IF(J995&lt;=50,'Configuración'!$B$24,IF(J995&lt;=200,'Configuración'!$B$25,0))),0))</f>
        <v>4</v>
      </c>
      <c r="T995" s="37">
        <f>IF(B995="","",IF(ISNUMBER(SEARCH("information technology",I995))+ISNUMBER(SEARCH("software",I995))+ISNUMBER(SEARCH("internet",I995))+ISNUMBER(SEARCH("computer",I995))+ISNUMBER(SEARCH("saas",I995))+ISNUMBER(SEARCH("fintech",I995))+ISNUMBER(SEARCH("information services",I995))+ISNUMBER(SEARCH("telecommunications",I995))&gt;0,'Configuración'!$B$27,'Configuración'!$B$28))</f>
        <v>4</v>
      </c>
      <c r="U995" s="25">
        <f>IF(B995="","",IF(ISNUMBER(SEARCH("CEO",C995))+ISNUMBER(SEARCH("Founder",C995))+ISNUMBER(SEARCH("Owner",C995))+ISNUMBER(SEARCH("Dueño",C995))+ISNUMBER(SEARCH("Director General",C995))+ISNUMBER(SEARCH("Presidente",C995))+ISNUMBER(SEARCH("President",C995))&gt;0,'Configuración'!$B$31,IF(ISNUMBER(SEARCH("CMO",C995))+ISNUMBER(SEARCH("Chief Marketing",C995))+ISNUMBER(SEARCH("VP Marketing",C995))+ISNUMBER(SEARCH("Director de Marketing",C995))+ISNUMBER(SEARCH("Director Marketing",C995))+ISNUMBER(SEARCH("Head of Marketing",C995))+ISNUMBER(SEARCH("Head Marketing",C995))&gt;0,'Configuración'!$B$32,IF(ISNUMBER(SEARCH("Marketing Manager",C995))+ISNUMBER(SEARCH("Gerente de Marketing",C995))+ISNUMBER(SEARCH("Growth Manager",C995))+ISNUMBER(SEARCH("Demand Gen",C995))+ISNUMBER(SEARCH("Marketing Lead",C995))&gt;0,'Configuración'!$B$33,IF(ISNUMBER(SEARCH("COO",C995))+ISNUMBER(SEARCH("CFO",C995))+ISNUMBER(SEARCH("CTO",C995))+ISNUMBER(SEARCH("Chief Operating",C995))+ISNUMBER(SEARCH("Chief Financial",C995))+ISNUMBER(SEARCH("Gerente General",C995))+ISNUMBER(SEARCH("General Manager",C995))&gt;0,'Configuración'!$B$34,'Configuración'!$B$35)))))</f>
        <v>12</v>
      </c>
      <c r="V995" s="38">
        <f>IF(B995="","",IF(K995="Sí",'Configuración'!$B$5,0)+IF(L995="Semanal",'Configuración'!$B$6,IF(L995="Mensual",'Configuración'!$B$7,0))+IF(M995="Sí",'Configuración'!$B$8,0)+IF(N995="Sí",'Configuración'!$B$9,0)+IF(O995="Sí",'Configuración'!$B$10,0)+IF(P995="Sí",'Configuración'!$B$11,0)+IF(Q995="Sí",'Configuración'!$B$12,0)+S995+T995+U995)</f>
        <v>20</v>
      </c>
      <c r="W995" s="39" t="str">
        <f>IF(B995="","",IF(V995&gt;='Configuración'!$B$19,"A",IF(V995&gt;='Configuración'!$B$20,"B",IF(V995&gt;='Configuración'!$B$21,"C","Descarte"))))</f>
        <v>Descarte</v>
      </c>
    </row>
    <row r="996" ht="15.75" customHeight="1">
      <c r="A996" s="34">
        <f t="shared" si="1"/>
        <v>994</v>
      </c>
      <c r="B996" s="29" t="s">
        <v>5808</v>
      </c>
      <c r="C996" s="29" t="s">
        <v>5809</v>
      </c>
      <c r="D996" s="29" t="s">
        <v>5810</v>
      </c>
      <c r="E996" s="29" t="s">
        <v>5811</v>
      </c>
      <c r="F996" s="30" t="s">
        <v>5812</v>
      </c>
      <c r="G996" s="30" t="s">
        <v>5813</v>
      </c>
      <c r="H996" s="30" t="s">
        <v>5814</v>
      </c>
      <c r="I996" s="29" t="s">
        <v>116</v>
      </c>
      <c r="J996" s="31">
        <v>14.0</v>
      </c>
      <c r="K996" s="35"/>
      <c r="L996" s="35"/>
      <c r="M996" s="35"/>
      <c r="N996" s="35"/>
      <c r="O996" s="35"/>
      <c r="P996" s="35"/>
      <c r="Q996" s="35"/>
      <c r="R996" s="35"/>
      <c r="S996" s="37">
        <f>IF(B996="","",IF(ISNUMBER(J996),IF(J996&lt;=10,'Configuración'!$B$23,IF(J996&lt;=50,'Configuración'!$B$24,IF(J996&lt;=200,'Configuración'!$B$25,0))),0))</f>
        <v>4</v>
      </c>
      <c r="T996" s="37">
        <f>IF(B996="","",IF(ISNUMBER(SEARCH("information technology",I996))+ISNUMBER(SEARCH("software",I996))+ISNUMBER(SEARCH("internet",I996))+ISNUMBER(SEARCH("computer",I996))+ISNUMBER(SEARCH("saas",I996))+ISNUMBER(SEARCH("fintech",I996))+ISNUMBER(SEARCH("information services",I996))+ISNUMBER(SEARCH("telecommunications",I996))&gt;0,'Configuración'!$B$27,'Configuración'!$B$28))</f>
        <v>4</v>
      </c>
      <c r="U996" s="25">
        <f>IF(B996="","",IF(ISNUMBER(SEARCH("CEO",C996))+ISNUMBER(SEARCH("Founder",C996))+ISNUMBER(SEARCH("Owner",C996))+ISNUMBER(SEARCH("Dueño",C996))+ISNUMBER(SEARCH("Director General",C996))+ISNUMBER(SEARCH("Presidente",C996))+ISNUMBER(SEARCH("President",C996))&gt;0,'Configuración'!$B$31,IF(ISNUMBER(SEARCH("CMO",C996))+ISNUMBER(SEARCH("Chief Marketing",C996))+ISNUMBER(SEARCH("VP Marketing",C996))+ISNUMBER(SEARCH("Director de Marketing",C996))+ISNUMBER(SEARCH("Director Marketing",C996))+ISNUMBER(SEARCH("Head of Marketing",C996))+ISNUMBER(SEARCH("Head Marketing",C996))&gt;0,'Configuración'!$B$32,IF(ISNUMBER(SEARCH("Marketing Manager",C996))+ISNUMBER(SEARCH("Gerente de Marketing",C996))+ISNUMBER(SEARCH("Growth Manager",C996))+ISNUMBER(SEARCH("Demand Gen",C996))+ISNUMBER(SEARCH("Marketing Lead",C996))&gt;0,'Configuración'!$B$33,IF(ISNUMBER(SEARCH("COO",C996))+ISNUMBER(SEARCH("CFO",C996))+ISNUMBER(SEARCH("CTO",C996))+ISNUMBER(SEARCH("Chief Operating",C996))+ISNUMBER(SEARCH("Chief Financial",C996))+ISNUMBER(SEARCH("Gerente General",C996))+ISNUMBER(SEARCH("General Manager",C996))&gt;0,'Configuración'!$B$34,'Configuración'!$B$35)))))</f>
        <v>12</v>
      </c>
      <c r="V996" s="38">
        <f>IF(B996="","",IF(K996="Sí",'Configuración'!$B$5,0)+IF(L996="Semanal",'Configuración'!$B$6,IF(L996="Mensual",'Configuración'!$B$7,0))+IF(M996="Sí",'Configuración'!$B$8,0)+IF(N996="Sí",'Configuración'!$B$9,0)+IF(O996="Sí",'Configuración'!$B$10,0)+IF(P996="Sí",'Configuración'!$B$11,0)+IF(Q996="Sí",'Configuración'!$B$12,0)+S996+T996+U996)</f>
        <v>20</v>
      </c>
      <c r="W996" s="39" t="str">
        <f>IF(B996="","",IF(V996&gt;='Configuración'!$B$19,"A",IF(V996&gt;='Configuración'!$B$20,"B",IF(V996&gt;='Configuración'!$B$21,"C","Descarte"))))</f>
        <v>Descarte</v>
      </c>
    </row>
    <row r="997" ht="15.75" customHeight="1">
      <c r="A997" s="34">
        <f t="shared" si="1"/>
        <v>995</v>
      </c>
      <c r="B997" s="29" t="s">
        <v>5815</v>
      </c>
      <c r="C997" s="29" t="s">
        <v>597</v>
      </c>
      <c r="D997" s="29" t="s">
        <v>5816</v>
      </c>
      <c r="E997" s="29" t="s">
        <v>5817</v>
      </c>
      <c r="F997" s="30" t="s">
        <v>5818</v>
      </c>
      <c r="G997" s="30" t="s">
        <v>5819</v>
      </c>
      <c r="H997" s="30" t="s">
        <v>5820</v>
      </c>
      <c r="I997" s="29" t="s">
        <v>127</v>
      </c>
      <c r="J997" s="31">
        <v>4.0</v>
      </c>
      <c r="K997" s="35"/>
      <c r="L997" s="35"/>
      <c r="M997" s="35"/>
      <c r="N997" s="35"/>
      <c r="O997" s="35"/>
      <c r="P997" s="35"/>
      <c r="Q997" s="35"/>
      <c r="R997" s="35"/>
      <c r="S997" s="37">
        <f>IF(B997="","",IF(ISNUMBER(J997),IF(J997&lt;=10,'Configuración'!$B$23,IF(J997&lt;=50,'Configuración'!$B$24,IF(J997&lt;=200,'Configuración'!$B$25,0))),0))</f>
        <v>12</v>
      </c>
      <c r="T997" s="37">
        <f>IF(B997="","",IF(ISNUMBER(SEARCH("information technology",I997))+ISNUMBER(SEARCH("software",I997))+ISNUMBER(SEARCH("internet",I997))+ISNUMBER(SEARCH("computer",I997))+ISNUMBER(SEARCH("saas",I997))+ISNUMBER(SEARCH("fintech",I997))+ISNUMBER(SEARCH("information services",I997))+ISNUMBER(SEARCH("telecommunications",I997))&gt;0,'Configuración'!$B$27,'Configuración'!$B$28))</f>
        <v>12</v>
      </c>
      <c r="U997" s="25">
        <f>IF(B997="","",IF(ISNUMBER(SEARCH("CEO",C997))+ISNUMBER(SEARCH("Founder",C997))+ISNUMBER(SEARCH("Owner",C997))+ISNUMBER(SEARCH("Dueño",C997))+ISNUMBER(SEARCH("Director General",C997))+ISNUMBER(SEARCH("Presidente",C997))+ISNUMBER(SEARCH("President",C997))&gt;0,'Configuración'!$B$31,IF(ISNUMBER(SEARCH("CMO",C997))+ISNUMBER(SEARCH("Chief Marketing",C997))+ISNUMBER(SEARCH("VP Marketing",C997))+ISNUMBER(SEARCH("Director de Marketing",C997))+ISNUMBER(SEARCH("Director Marketing",C997))+ISNUMBER(SEARCH("Head of Marketing",C997))+ISNUMBER(SEARCH("Head Marketing",C997))&gt;0,'Configuración'!$B$32,IF(ISNUMBER(SEARCH("Marketing Manager",C997))+ISNUMBER(SEARCH("Gerente de Marketing",C997))+ISNUMBER(SEARCH("Growth Manager",C997))+ISNUMBER(SEARCH("Demand Gen",C997))+ISNUMBER(SEARCH("Marketing Lead",C997))&gt;0,'Configuración'!$B$33,IF(ISNUMBER(SEARCH("COO",C997))+ISNUMBER(SEARCH("CFO",C997))+ISNUMBER(SEARCH("CTO",C997))+ISNUMBER(SEARCH("Chief Operating",C997))+ISNUMBER(SEARCH("Chief Financial",C997))+ISNUMBER(SEARCH("Gerente General",C997))+ISNUMBER(SEARCH("General Manager",C997))&gt;0,'Configuración'!$B$34,'Configuración'!$B$35)))))</f>
        <v>12</v>
      </c>
      <c r="V997" s="38">
        <f>IF(B997="","",IF(K997="Sí",'Configuración'!$B$5,0)+IF(L997="Semanal",'Configuración'!$B$6,IF(L997="Mensual",'Configuración'!$B$7,0))+IF(M997="Sí",'Configuración'!$B$8,0)+IF(N997="Sí",'Configuración'!$B$9,0)+IF(O997="Sí",'Configuración'!$B$10,0)+IF(P997="Sí",'Configuración'!$B$11,0)+IF(Q997="Sí",'Configuración'!$B$12,0)+S997+T997+U997)</f>
        <v>36</v>
      </c>
      <c r="W997" s="39" t="str">
        <f>IF(B997="","",IF(V997&gt;='Configuración'!$B$19,"A",IF(V997&gt;='Configuración'!$B$20,"B",IF(V997&gt;='Configuración'!$B$21,"C","Descarte"))))</f>
        <v>C</v>
      </c>
    </row>
    <row r="998" ht="15.75" customHeight="1">
      <c r="A998" s="34">
        <f t="shared" si="1"/>
        <v>996</v>
      </c>
      <c r="B998" s="29" t="s">
        <v>262</v>
      </c>
      <c r="C998" s="29" t="s">
        <v>1815</v>
      </c>
      <c r="D998" s="29" t="s">
        <v>5821</v>
      </c>
      <c r="E998" s="29" t="s">
        <v>5822</v>
      </c>
      <c r="F998" s="30" t="s">
        <v>5823</v>
      </c>
      <c r="G998" s="30" t="s">
        <v>5824</v>
      </c>
      <c r="H998" s="30" t="s">
        <v>5825</v>
      </c>
      <c r="I998" s="29" t="s">
        <v>127</v>
      </c>
      <c r="J998" s="31">
        <v>4.0</v>
      </c>
      <c r="K998" s="35"/>
      <c r="L998" s="35"/>
      <c r="M998" s="35"/>
      <c r="N998" s="35"/>
      <c r="O998" s="35"/>
      <c r="P998" s="35"/>
      <c r="Q998" s="35"/>
      <c r="R998" s="35"/>
      <c r="S998" s="37">
        <f>IF(B998="","",IF(ISNUMBER(J998),IF(J998&lt;=10,'Configuración'!$B$23,IF(J998&lt;=50,'Configuración'!$B$24,IF(J998&lt;=200,'Configuración'!$B$25,0))),0))</f>
        <v>12</v>
      </c>
      <c r="T998" s="37">
        <f>IF(B998="","",IF(ISNUMBER(SEARCH("information technology",I998))+ISNUMBER(SEARCH("software",I998))+ISNUMBER(SEARCH("internet",I998))+ISNUMBER(SEARCH("computer",I998))+ISNUMBER(SEARCH("saas",I998))+ISNUMBER(SEARCH("fintech",I998))+ISNUMBER(SEARCH("information services",I998))+ISNUMBER(SEARCH("telecommunications",I998))&gt;0,'Configuración'!$B$27,'Configuración'!$B$28))</f>
        <v>12</v>
      </c>
      <c r="U998" s="25">
        <f>IF(B998="","",IF(ISNUMBER(SEARCH("CEO",C998))+ISNUMBER(SEARCH("Founder",C998))+ISNUMBER(SEARCH("Owner",C998))+ISNUMBER(SEARCH("Dueño",C998))+ISNUMBER(SEARCH("Director General",C998))+ISNUMBER(SEARCH("Presidente",C998))+ISNUMBER(SEARCH("President",C998))&gt;0,'Configuración'!$B$31,IF(ISNUMBER(SEARCH("CMO",C998))+ISNUMBER(SEARCH("Chief Marketing",C998))+ISNUMBER(SEARCH("VP Marketing",C998))+ISNUMBER(SEARCH("Director de Marketing",C998))+ISNUMBER(SEARCH("Director Marketing",C998))+ISNUMBER(SEARCH("Head of Marketing",C998))+ISNUMBER(SEARCH("Head Marketing",C998))&gt;0,'Configuración'!$B$32,IF(ISNUMBER(SEARCH("Marketing Manager",C998))+ISNUMBER(SEARCH("Gerente de Marketing",C998))+ISNUMBER(SEARCH("Growth Manager",C998))+ISNUMBER(SEARCH("Demand Gen",C998))+ISNUMBER(SEARCH("Marketing Lead",C998))&gt;0,'Configuración'!$B$33,IF(ISNUMBER(SEARCH("COO",C998))+ISNUMBER(SEARCH("CFO",C998))+ISNUMBER(SEARCH("CTO",C998))+ISNUMBER(SEARCH("Chief Operating",C998))+ISNUMBER(SEARCH("Chief Financial",C998))+ISNUMBER(SEARCH("Gerente General",C998))+ISNUMBER(SEARCH("General Manager",C998))&gt;0,'Configuración'!$B$34,'Configuración'!$B$35)))))</f>
        <v>12</v>
      </c>
      <c r="V998" s="38">
        <f>IF(B998="","",IF(K998="Sí",'Configuración'!$B$5,0)+IF(L998="Semanal",'Configuración'!$B$6,IF(L998="Mensual",'Configuración'!$B$7,0))+IF(M998="Sí",'Configuración'!$B$8,0)+IF(N998="Sí",'Configuración'!$B$9,0)+IF(O998="Sí",'Configuración'!$B$10,0)+IF(P998="Sí",'Configuración'!$B$11,0)+IF(Q998="Sí",'Configuración'!$B$12,0)+S998+T998+U998)</f>
        <v>36</v>
      </c>
      <c r="W998" s="39" t="str">
        <f>IF(B998="","",IF(V998&gt;='Configuración'!$B$19,"A",IF(V998&gt;='Configuración'!$B$20,"B",IF(V998&gt;='Configuración'!$B$21,"C","Descarte"))))</f>
        <v>C</v>
      </c>
    </row>
    <row r="999" ht="15.75" customHeight="1">
      <c r="A999" s="34">
        <f t="shared" si="1"/>
        <v>997</v>
      </c>
      <c r="B999" s="29" t="s">
        <v>1686</v>
      </c>
      <c r="C999" s="29" t="s">
        <v>175</v>
      </c>
      <c r="D999" s="29" t="s">
        <v>5826</v>
      </c>
      <c r="E999" s="29" t="s">
        <v>5827</v>
      </c>
      <c r="F999" s="30" t="s">
        <v>5828</v>
      </c>
      <c r="G999" s="30" t="s">
        <v>5829</v>
      </c>
      <c r="H999" s="30" t="s">
        <v>5830</v>
      </c>
      <c r="I999" s="29" t="s">
        <v>127</v>
      </c>
      <c r="J999" s="31">
        <v>5.0</v>
      </c>
      <c r="K999" s="35"/>
      <c r="L999" s="35"/>
      <c r="M999" s="35"/>
      <c r="N999" s="35"/>
      <c r="O999" s="35"/>
      <c r="P999" s="35"/>
      <c r="Q999" s="35"/>
      <c r="R999" s="35"/>
      <c r="S999" s="37">
        <f>IF(B999="","",IF(ISNUMBER(J999),IF(J999&lt;=10,'Configuración'!$B$23,IF(J999&lt;=50,'Configuración'!$B$24,IF(J999&lt;=200,'Configuración'!$B$25,0))),0))</f>
        <v>12</v>
      </c>
      <c r="T999" s="37">
        <f>IF(B999="","",IF(ISNUMBER(SEARCH("information technology",I999))+ISNUMBER(SEARCH("software",I999))+ISNUMBER(SEARCH("internet",I999))+ISNUMBER(SEARCH("computer",I999))+ISNUMBER(SEARCH("saas",I999))+ISNUMBER(SEARCH("fintech",I999))+ISNUMBER(SEARCH("information services",I999))+ISNUMBER(SEARCH("telecommunications",I999))&gt;0,'Configuración'!$B$27,'Configuración'!$B$28))</f>
        <v>12</v>
      </c>
      <c r="U999" s="25">
        <f>IF(B999="","",IF(ISNUMBER(SEARCH("CEO",C999))+ISNUMBER(SEARCH("Founder",C999))+ISNUMBER(SEARCH("Owner",C999))+ISNUMBER(SEARCH("Dueño",C999))+ISNUMBER(SEARCH("Director General",C999))+ISNUMBER(SEARCH("Presidente",C999))+ISNUMBER(SEARCH("President",C999))&gt;0,'Configuración'!$B$31,IF(ISNUMBER(SEARCH("CMO",C999))+ISNUMBER(SEARCH("Chief Marketing",C999))+ISNUMBER(SEARCH("VP Marketing",C999))+ISNUMBER(SEARCH("Director de Marketing",C999))+ISNUMBER(SEARCH("Director Marketing",C999))+ISNUMBER(SEARCH("Head of Marketing",C999))+ISNUMBER(SEARCH("Head Marketing",C999))&gt;0,'Configuración'!$B$32,IF(ISNUMBER(SEARCH("Marketing Manager",C999))+ISNUMBER(SEARCH("Gerente de Marketing",C999))+ISNUMBER(SEARCH("Growth Manager",C999))+ISNUMBER(SEARCH("Demand Gen",C999))+ISNUMBER(SEARCH("Marketing Lead",C999))&gt;0,'Configuración'!$B$33,IF(ISNUMBER(SEARCH("COO",C999))+ISNUMBER(SEARCH("CFO",C999))+ISNUMBER(SEARCH("CTO",C999))+ISNUMBER(SEARCH("Chief Operating",C999))+ISNUMBER(SEARCH("Chief Financial",C999))+ISNUMBER(SEARCH("Gerente General",C999))+ISNUMBER(SEARCH("General Manager",C999))&gt;0,'Configuración'!$B$34,'Configuración'!$B$35)))))</f>
        <v>12</v>
      </c>
      <c r="V999" s="38">
        <f>IF(B999="","",IF(K999="Sí",'Configuración'!$B$5,0)+IF(L999="Semanal",'Configuración'!$B$6,IF(L999="Mensual",'Configuración'!$B$7,0))+IF(M999="Sí",'Configuración'!$B$8,0)+IF(N999="Sí",'Configuración'!$B$9,0)+IF(O999="Sí",'Configuración'!$B$10,0)+IF(P999="Sí",'Configuración'!$B$11,0)+IF(Q999="Sí",'Configuración'!$B$12,0)+S999+T999+U999)</f>
        <v>36</v>
      </c>
      <c r="W999" s="39" t="str">
        <f>IF(B999="","",IF(V999&gt;='Configuración'!$B$19,"A",IF(V999&gt;='Configuración'!$B$20,"B",IF(V999&gt;='Configuración'!$B$21,"C","Descarte"))))</f>
        <v>C</v>
      </c>
    </row>
    <row r="1000" ht="15.75" customHeight="1">
      <c r="A1000" s="34">
        <f t="shared" si="1"/>
        <v>998</v>
      </c>
      <c r="B1000" s="29" t="s">
        <v>262</v>
      </c>
      <c r="C1000" s="29" t="s">
        <v>516</v>
      </c>
      <c r="D1000" s="29" t="s">
        <v>5831</v>
      </c>
      <c r="E1000" s="29" t="s">
        <v>5832</v>
      </c>
      <c r="F1000" s="30" t="s">
        <v>5833</v>
      </c>
      <c r="G1000" s="30" t="s">
        <v>5834</v>
      </c>
      <c r="H1000" s="30" t="s">
        <v>5835</v>
      </c>
      <c r="I1000" s="29" t="s">
        <v>116</v>
      </c>
      <c r="J1000" s="31">
        <v>11.0</v>
      </c>
      <c r="K1000" s="35"/>
      <c r="L1000" s="35"/>
      <c r="M1000" s="35"/>
      <c r="N1000" s="35"/>
      <c r="O1000" s="35"/>
      <c r="P1000" s="35"/>
      <c r="Q1000" s="35"/>
      <c r="R1000" s="35"/>
      <c r="S1000" s="37">
        <f>IF(B1000="","",IF(ISNUMBER(J1000),IF(J1000&lt;=10,'Configuración'!$B$23,IF(J1000&lt;=50,'Configuración'!$B$24,IF(J1000&lt;=200,'Configuración'!$B$25,0))),0))</f>
        <v>4</v>
      </c>
      <c r="T1000" s="37">
        <f>IF(B1000="","",IF(ISNUMBER(SEARCH("information technology",I1000))+ISNUMBER(SEARCH("software",I1000))+ISNUMBER(SEARCH("internet",I1000))+ISNUMBER(SEARCH("computer",I1000))+ISNUMBER(SEARCH("saas",I1000))+ISNUMBER(SEARCH("fintech",I1000))+ISNUMBER(SEARCH("information services",I1000))+ISNUMBER(SEARCH("telecommunications",I1000))&gt;0,'Configuración'!$B$27,'Configuración'!$B$28))</f>
        <v>4</v>
      </c>
      <c r="U1000" s="25">
        <f>IF(B1000="","",IF(ISNUMBER(SEARCH("CEO",C1000))+ISNUMBER(SEARCH("Founder",C1000))+ISNUMBER(SEARCH("Owner",C1000))+ISNUMBER(SEARCH("Dueño",C1000))+ISNUMBER(SEARCH("Director General",C1000))+ISNUMBER(SEARCH("Presidente",C1000))+ISNUMBER(SEARCH("President",C1000))&gt;0,'Configuración'!$B$31,IF(ISNUMBER(SEARCH("CMO",C1000))+ISNUMBER(SEARCH("Chief Marketing",C1000))+ISNUMBER(SEARCH("VP Marketing",C1000))+ISNUMBER(SEARCH("Director de Marketing",C1000))+ISNUMBER(SEARCH("Director Marketing",C1000))+ISNUMBER(SEARCH("Head of Marketing",C1000))+ISNUMBER(SEARCH("Head Marketing",C1000))&gt;0,'Configuración'!$B$32,IF(ISNUMBER(SEARCH("Marketing Manager",C1000))+ISNUMBER(SEARCH("Gerente de Marketing",C1000))+ISNUMBER(SEARCH("Growth Manager",C1000))+ISNUMBER(SEARCH("Demand Gen",C1000))+ISNUMBER(SEARCH("Marketing Lead",C1000))&gt;0,'Configuración'!$B$33,IF(ISNUMBER(SEARCH("COO",C1000))+ISNUMBER(SEARCH("CFO",C1000))+ISNUMBER(SEARCH("CTO",C1000))+ISNUMBER(SEARCH("Chief Operating",C1000))+ISNUMBER(SEARCH("Chief Financial",C1000))+ISNUMBER(SEARCH("Gerente General",C1000))+ISNUMBER(SEARCH("General Manager",C1000))&gt;0,'Configuración'!$B$34,'Configuración'!$B$35)))))</f>
        <v>0</v>
      </c>
      <c r="V1000" s="38">
        <f>IF(B1000="","",IF(K1000="Sí",'Configuración'!$B$5,0)+IF(L1000="Semanal",'Configuración'!$B$6,IF(L1000="Mensual",'Configuración'!$B$7,0))+IF(M1000="Sí",'Configuración'!$B$8,0)+IF(N1000="Sí",'Configuración'!$B$9,0)+IF(O1000="Sí",'Configuración'!$B$10,0)+IF(P1000="Sí",'Configuración'!$B$11,0)+IF(Q1000="Sí",'Configuración'!$B$12,0)+S1000+T1000+U1000)</f>
        <v>8</v>
      </c>
      <c r="W1000" s="39" t="str">
        <f>IF(B1000="","",IF(V1000&gt;='Configuración'!$B$19,"A",IF(V1000&gt;='Configuración'!$B$20,"B",IF(V1000&gt;='Configuración'!$B$21,"C","Descarte"))))</f>
        <v>Descarte</v>
      </c>
    </row>
    <row r="1001" ht="15.75" customHeight="1">
      <c r="A1001" s="34">
        <f t="shared" si="1"/>
        <v>999</v>
      </c>
      <c r="B1001" s="29" t="s">
        <v>501</v>
      </c>
      <c r="C1001" s="29" t="s">
        <v>5836</v>
      </c>
      <c r="D1001" s="29" t="s">
        <v>5837</v>
      </c>
      <c r="E1001" s="29" t="s">
        <v>5838</v>
      </c>
      <c r="F1001" s="30" t="s">
        <v>5839</v>
      </c>
      <c r="G1001" s="30" t="s">
        <v>5840</v>
      </c>
      <c r="H1001" s="30" t="s">
        <v>5841</v>
      </c>
      <c r="I1001" s="29" t="s">
        <v>188</v>
      </c>
      <c r="J1001" s="31">
        <v>2.0</v>
      </c>
      <c r="K1001" s="35"/>
      <c r="L1001" s="35"/>
      <c r="M1001" s="35"/>
      <c r="N1001" s="35"/>
      <c r="O1001" s="35"/>
      <c r="P1001" s="35"/>
      <c r="Q1001" s="35"/>
      <c r="R1001" s="35"/>
      <c r="S1001" s="37">
        <f>IF(B1001="","",IF(ISNUMBER(J1001),IF(J1001&lt;=10,'Configuración'!$B$23,IF(J1001&lt;=50,'Configuración'!$B$24,IF(J1001&lt;=200,'Configuración'!$B$25,0))),0))</f>
        <v>12</v>
      </c>
      <c r="T1001" s="37">
        <f>IF(B1001="","",IF(ISNUMBER(SEARCH("information technology",I1001))+ISNUMBER(SEARCH("software",I1001))+ISNUMBER(SEARCH("internet",I1001))+ISNUMBER(SEARCH("computer",I1001))+ISNUMBER(SEARCH("saas",I1001))+ISNUMBER(SEARCH("fintech",I1001))+ISNUMBER(SEARCH("information services",I1001))+ISNUMBER(SEARCH("telecommunications",I1001))&gt;0,'Configuración'!$B$27,'Configuración'!$B$28))</f>
        <v>4</v>
      </c>
      <c r="U1001" s="25">
        <f>IF(B1001="","",IF(ISNUMBER(SEARCH("CEO",C1001))+ISNUMBER(SEARCH("Founder",C1001))+ISNUMBER(SEARCH("Owner",C1001))+ISNUMBER(SEARCH("Dueño",C1001))+ISNUMBER(SEARCH("Director General",C1001))+ISNUMBER(SEARCH("Presidente",C1001))+ISNUMBER(SEARCH("President",C1001))&gt;0,'Configuración'!$B$31,IF(ISNUMBER(SEARCH("CMO",C1001))+ISNUMBER(SEARCH("Chief Marketing",C1001))+ISNUMBER(SEARCH("VP Marketing",C1001))+ISNUMBER(SEARCH("Director de Marketing",C1001))+ISNUMBER(SEARCH("Director Marketing",C1001))+ISNUMBER(SEARCH("Head of Marketing",C1001))+ISNUMBER(SEARCH("Head Marketing",C1001))&gt;0,'Configuración'!$B$32,IF(ISNUMBER(SEARCH("Marketing Manager",C1001))+ISNUMBER(SEARCH("Gerente de Marketing",C1001))+ISNUMBER(SEARCH("Growth Manager",C1001))+ISNUMBER(SEARCH("Demand Gen",C1001))+ISNUMBER(SEARCH("Marketing Lead",C1001))&gt;0,'Configuración'!$B$33,IF(ISNUMBER(SEARCH("COO",C1001))+ISNUMBER(SEARCH("CFO",C1001))+ISNUMBER(SEARCH("CTO",C1001))+ISNUMBER(SEARCH("Chief Operating",C1001))+ISNUMBER(SEARCH("Chief Financial",C1001))+ISNUMBER(SEARCH("Gerente General",C1001))+ISNUMBER(SEARCH("General Manager",C1001))&gt;0,'Configuración'!$B$34,'Configuración'!$B$35)))))</f>
        <v>12</v>
      </c>
      <c r="V1001" s="38">
        <f>IF(B1001="","",IF(K1001="Sí",'Configuración'!$B$5,0)+IF(L1001="Semanal",'Configuración'!$B$6,IF(L1001="Mensual",'Configuración'!$B$7,0))+IF(M1001="Sí",'Configuración'!$B$8,0)+IF(N1001="Sí",'Configuración'!$B$9,0)+IF(O1001="Sí",'Configuración'!$B$10,0)+IF(P1001="Sí",'Configuración'!$B$11,0)+IF(Q1001="Sí",'Configuración'!$B$12,0)+S1001+T1001+U1001)</f>
        <v>28</v>
      </c>
      <c r="W1001" s="39" t="str">
        <f>IF(B1001="","",IF(V1001&gt;='Configuración'!$B$19,"A",IF(V1001&gt;='Configuración'!$B$20,"B",IF(V1001&gt;='Configuración'!$B$21,"C","Descarte"))))</f>
        <v>C</v>
      </c>
    </row>
    <row r="1002" ht="15.75" customHeight="1">
      <c r="A1002" s="34">
        <f t="shared" si="1"/>
        <v>1000</v>
      </c>
      <c r="B1002" s="29" t="s">
        <v>181</v>
      </c>
      <c r="C1002" s="29" t="s">
        <v>202</v>
      </c>
      <c r="D1002" s="29" t="s">
        <v>5842</v>
      </c>
      <c r="E1002" s="29" t="s">
        <v>5843</v>
      </c>
      <c r="F1002" s="30" t="s">
        <v>5844</v>
      </c>
      <c r="G1002" s="30" t="s">
        <v>5845</v>
      </c>
      <c r="H1002" s="30" t="s">
        <v>5846</v>
      </c>
      <c r="I1002" s="29" t="s">
        <v>337</v>
      </c>
      <c r="J1002" s="31">
        <v>2.0</v>
      </c>
      <c r="K1002" s="35"/>
      <c r="L1002" s="35"/>
      <c r="M1002" s="35"/>
      <c r="N1002" s="35"/>
      <c r="O1002" s="35"/>
      <c r="P1002" s="35"/>
      <c r="Q1002" s="35"/>
      <c r="R1002" s="35"/>
      <c r="S1002" s="37">
        <f>IF(B1002="","",IF(ISNUMBER(J1002),IF(J1002&lt;=10,'Configuración'!$B$23,IF(J1002&lt;=50,'Configuración'!$B$24,IF(J1002&lt;=200,'Configuración'!$B$25,0))),0))</f>
        <v>12</v>
      </c>
      <c r="T1002" s="37">
        <f>IF(B1002="","",IF(ISNUMBER(SEARCH("information technology",I1002))+ISNUMBER(SEARCH("software",I1002))+ISNUMBER(SEARCH("internet",I1002))+ISNUMBER(SEARCH("computer",I1002))+ISNUMBER(SEARCH("saas",I1002))+ISNUMBER(SEARCH("fintech",I1002))+ISNUMBER(SEARCH("information services",I1002))+ISNUMBER(SEARCH("telecommunications",I1002))&gt;0,'Configuración'!$B$27,'Configuración'!$B$28))</f>
        <v>4</v>
      </c>
      <c r="U1002" s="25">
        <f>IF(B1002="","",IF(ISNUMBER(SEARCH("CEO",C1002))+ISNUMBER(SEARCH("Founder",C1002))+ISNUMBER(SEARCH("Owner",C1002))+ISNUMBER(SEARCH("Dueño",C1002))+ISNUMBER(SEARCH("Director General",C1002))+ISNUMBER(SEARCH("Presidente",C1002))+ISNUMBER(SEARCH("President",C1002))&gt;0,'Configuración'!$B$31,IF(ISNUMBER(SEARCH("CMO",C1002))+ISNUMBER(SEARCH("Chief Marketing",C1002))+ISNUMBER(SEARCH("VP Marketing",C1002))+ISNUMBER(SEARCH("Director de Marketing",C1002))+ISNUMBER(SEARCH("Director Marketing",C1002))+ISNUMBER(SEARCH("Head of Marketing",C1002))+ISNUMBER(SEARCH("Head Marketing",C1002))&gt;0,'Configuración'!$B$32,IF(ISNUMBER(SEARCH("Marketing Manager",C1002))+ISNUMBER(SEARCH("Gerente de Marketing",C1002))+ISNUMBER(SEARCH("Growth Manager",C1002))+ISNUMBER(SEARCH("Demand Gen",C1002))+ISNUMBER(SEARCH("Marketing Lead",C1002))&gt;0,'Configuración'!$B$33,IF(ISNUMBER(SEARCH("COO",C1002))+ISNUMBER(SEARCH("CFO",C1002))+ISNUMBER(SEARCH("CTO",C1002))+ISNUMBER(SEARCH("Chief Operating",C1002))+ISNUMBER(SEARCH("Chief Financial",C1002))+ISNUMBER(SEARCH("Gerente General",C1002))+ISNUMBER(SEARCH("General Manager",C1002))&gt;0,'Configuración'!$B$34,'Configuración'!$B$35)))))</f>
        <v>12</v>
      </c>
      <c r="V1002" s="38">
        <f>IF(B1002="","",IF(K1002="Sí",'Configuración'!$B$5,0)+IF(L1002="Semanal",'Configuración'!$B$6,IF(L1002="Mensual",'Configuración'!$B$7,0))+IF(M1002="Sí",'Configuración'!$B$8,0)+IF(N1002="Sí",'Configuración'!$B$9,0)+IF(O1002="Sí",'Configuración'!$B$10,0)+IF(P1002="Sí",'Configuración'!$B$11,0)+IF(Q1002="Sí",'Configuración'!$B$12,0)+S1002+T1002+U1002)</f>
        <v>28</v>
      </c>
      <c r="W1002" s="39" t="str">
        <f>IF(B1002="","",IF(V1002&gt;='Configuración'!$B$19,"A",IF(V1002&gt;='Configuración'!$B$20,"B",IF(V1002&gt;='Configuración'!$B$21,"C","Descarte"))))</f>
        <v>C</v>
      </c>
    </row>
    <row r="1003" ht="15.75" customHeight="1">
      <c r="A1003" s="34">
        <f t="shared" si="1"/>
        <v>1001</v>
      </c>
      <c r="B1003" s="29" t="s">
        <v>556</v>
      </c>
      <c r="C1003" s="29" t="s">
        <v>146</v>
      </c>
      <c r="D1003" s="29" t="s">
        <v>5847</v>
      </c>
      <c r="E1003" s="29" t="s">
        <v>5848</v>
      </c>
      <c r="F1003" s="30" t="s">
        <v>5849</v>
      </c>
      <c r="G1003" s="30" t="s">
        <v>5850</v>
      </c>
      <c r="H1003" s="30" t="s">
        <v>5851</v>
      </c>
      <c r="I1003" s="29" t="s">
        <v>428</v>
      </c>
      <c r="J1003" s="31">
        <v>27.0</v>
      </c>
      <c r="K1003" s="35"/>
      <c r="L1003" s="35"/>
      <c r="M1003" s="35"/>
      <c r="N1003" s="35"/>
      <c r="O1003" s="35"/>
      <c r="P1003" s="35"/>
      <c r="Q1003" s="35"/>
      <c r="R1003" s="35"/>
      <c r="S1003" s="37">
        <f>IF(B1003="","",IF(ISNUMBER(J1003),IF(J1003&lt;=10,'Configuración'!$B$23,IF(J1003&lt;=50,'Configuración'!$B$24,IF(J1003&lt;=200,'Configuración'!$B$25,0))),0))</f>
        <v>4</v>
      </c>
      <c r="T1003" s="37">
        <f>IF(B1003="","",IF(ISNUMBER(SEARCH("information technology",I1003))+ISNUMBER(SEARCH("software",I1003))+ISNUMBER(SEARCH("internet",I1003))+ISNUMBER(SEARCH("computer",I1003))+ISNUMBER(SEARCH("saas",I1003))+ISNUMBER(SEARCH("fintech",I1003))+ISNUMBER(SEARCH("information services",I1003))+ISNUMBER(SEARCH("telecommunications",I1003))&gt;0,'Configuración'!$B$27,'Configuración'!$B$28))</f>
        <v>12</v>
      </c>
      <c r="U1003" s="25">
        <f>IF(B1003="","",IF(ISNUMBER(SEARCH("CEO",C1003))+ISNUMBER(SEARCH("Founder",C1003))+ISNUMBER(SEARCH("Owner",C1003))+ISNUMBER(SEARCH("Dueño",C1003))+ISNUMBER(SEARCH("Director General",C1003))+ISNUMBER(SEARCH("Presidente",C1003))+ISNUMBER(SEARCH("President",C1003))&gt;0,'Configuración'!$B$31,IF(ISNUMBER(SEARCH("CMO",C1003))+ISNUMBER(SEARCH("Chief Marketing",C1003))+ISNUMBER(SEARCH("VP Marketing",C1003))+ISNUMBER(SEARCH("Director de Marketing",C1003))+ISNUMBER(SEARCH("Director Marketing",C1003))+ISNUMBER(SEARCH("Head of Marketing",C1003))+ISNUMBER(SEARCH("Head Marketing",C1003))&gt;0,'Configuración'!$B$32,IF(ISNUMBER(SEARCH("Marketing Manager",C1003))+ISNUMBER(SEARCH("Gerente de Marketing",C1003))+ISNUMBER(SEARCH("Growth Manager",C1003))+ISNUMBER(SEARCH("Demand Gen",C1003))+ISNUMBER(SEARCH("Marketing Lead",C1003))&gt;0,'Configuración'!$B$33,IF(ISNUMBER(SEARCH("COO",C1003))+ISNUMBER(SEARCH("CFO",C1003))+ISNUMBER(SEARCH("CTO",C1003))+ISNUMBER(SEARCH("Chief Operating",C1003))+ISNUMBER(SEARCH("Chief Financial",C1003))+ISNUMBER(SEARCH("Gerente General",C1003))+ISNUMBER(SEARCH("General Manager",C1003))&gt;0,'Configuración'!$B$34,'Configuración'!$B$35)))))</f>
        <v>0</v>
      </c>
      <c r="V1003" s="38">
        <f>IF(B1003="","",IF(K1003="Sí",'Configuración'!$B$5,0)+IF(L1003="Semanal",'Configuración'!$B$6,IF(L1003="Mensual",'Configuración'!$B$7,0))+IF(M1003="Sí",'Configuración'!$B$8,0)+IF(N1003="Sí",'Configuración'!$B$9,0)+IF(O1003="Sí",'Configuración'!$B$10,0)+IF(P1003="Sí",'Configuración'!$B$11,0)+IF(Q1003="Sí",'Configuración'!$B$12,0)+S1003+T1003+U1003)</f>
        <v>16</v>
      </c>
      <c r="W1003" s="39" t="str">
        <f>IF(B1003="","",IF(V1003&gt;='Configuración'!$B$19,"A",IF(V1003&gt;='Configuración'!$B$20,"B",IF(V1003&gt;='Configuración'!$B$21,"C","Descarte"))))</f>
        <v>Descarte</v>
      </c>
    </row>
    <row r="1004" ht="15.75" customHeight="1">
      <c r="A1004" s="34">
        <f t="shared" si="1"/>
        <v>1002</v>
      </c>
      <c r="B1004" s="29" t="s">
        <v>2740</v>
      </c>
      <c r="C1004" s="29" t="s">
        <v>146</v>
      </c>
      <c r="D1004" s="29" t="s">
        <v>5852</v>
      </c>
      <c r="E1004" s="29" t="s">
        <v>5853</v>
      </c>
      <c r="F1004" s="30" t="s">
        <v>5854</v>
      </c>
      <c r="G1004" s="30" t="s">
        <v>5855</v>
      </c>
      <c r="H1004" s="30" t="s">
        <v>5856</v>
      </c>
      <c r="I1004" s="29" t="s">
        <v>188</v>
      </c>
      <c r="J1004" s="31">
        <v>1.0</v>
      </c>
      <c r="K1004" s="35"/>
      <c r="L1004" s="35"/>
      <c r="M1004" s="35"/>
      <c r="N1004" s="35"/>
      <c r="O1004" s="35"/>
      <c r="P1004" s="35"/>
      <c r="Q1004" s="35"/>
      <c r="R1004" s="35"/>
      <c r="S1004" s="37">
        <f>IF(B1004="","",IF(ISNUMBER(J1004),IF(J1004&lt;=10,'Configuración'!$B$23,IF(J1004&lt;=50,'Configuración'!$B$24,IF(J1004&lt;=200,'Configuración'!$B$25,0))),0))</f>
        <v>12</v>
      </c>
      <c r="T1004" s="37">
        <f>IF(B1004="","",IF(ISNUMBER(SEARCH("information technology",I1004))+ISNUMBER(SEARCH("software",I1004))+ISNUMBER(SEARCH("internet",I1004))+ISNUMBER(SEARCH("computer",I1004))+ISNUMBER(SEARCH("saas",I1004))+ISNUMBER(SEARCH("fintech",I1004))+ISNUMBER(SEARCH("information services",I1004))+ISNUMBER(SEARCH("telecommunications",I1004))&gt;0,'Configuración'!$B$27,'Configuración'!$B$28))</f>
        <v>4</v>
      </c>
      <c r="U1004" s="25">
        <f>IF(B1004="","",IF(ISNUMBER(SEARCH("CEO",C1004))+ISNUMBER(SEARCH("Founder",C1004))+ISNUMBER(SEARCH("Owner",C1004))+ISNUMBER(SEARCH("Dueño",C1004))+ISNUMBER(SEARCH("Director General",C1004))+ISNUMBER(SEARCH("Presidente",C1004))+ISNUMBER(SEARCH("President",C1004))&gt;0,'Configuración'!$B$31,IF(ISNUMBER(SEARCH("CMO",C1004))+ISNUMBER(SEARCH("Chief Marketing",C1004))+ISNUMBER(SEARCH("VP Marketing",C1004))+ISNUMBER(SEARCH("Director de Marketing",C1004))+ISNUMBER(SEARCH("Director Marketing",C1004))+ISNUMBER(SEARCH("Head of Marketing",C1004))+ISNUMBER(SEARCH("Head Marketing",C1004))&gt;0,'Configuración'!$B$32,IF(ISNUMBER(SEARCH("Marketing Manager",C1004))+ISNUMBER(SEARCH("Gerente de Marketing",C1004))+ISNUMBER(SEARCH("Growth Manager",C1004))+ISNUMBER(SEARCH("Demand Gen",C1004))+ISNUMBER(SEARCH("Marketing Lead",C1004))&gt;0,'Configuración'!$B$33,IF(ISNUMBER(SEARCH("COO",C1004))+ISNUMBER(SEARCH("CFO",C1004))+ISNUMBER(SEARCH("CTO",C1004))+ISNUMBER(SEARCH("Chief Operating",C1004))+ISNUMBER(SEARCH("Chief Financial",C1004))+ISNUMBER(SEARCH("Gerente General",C1004))+ISNUMBER(SEARCH("General Manager",C1004))&gt;0,'Configuración'!$B$34,'Configuración'!$B$35)))))</f>
        <v>0</v>
      </c>
      <c r="V1004" s="38">
        <f>IF(B1004="","",IF(K1004="Sí",'Configuración'!$B$5,0)+IF(L1004="Semanal",'Configuración'!$B$6,IF(L1004="Mensual",'Configuración'!$B$7,0))+IF(M1004="Sí",'Configuración'!$B$8,0)+IF(N1004="Sí",'Configuración'!$B$9,0)+IF(O1004="Sí",'Configuración'!$B$10,0)+IF(P1004="Sí",'Configuración'!$B$11,0)+IF(Q1004="Sí",'Configuración'!$B$12,0)+S1004+T1004+U1004)</f>
        <v>16</v>
      </c>
      <c r="W1004" s="39" t="str">
        <f>IF(B1004="","",IF(V1004&gt;='Configuración'!$B$19,"A",IF(V1004&gt;='Configuración'!$B$20,"B",IF(V1004&gt;='Configuración'!$B$21,"C","Descarte"))))</f>
        <v>Descarte</v>
      </c>
    </row>
    <row r="1005" ht="15.75" customHeight="1">
      <c r="A1005" s="34">
        <f t="shared" si="1"/>
        <v>1003</v>
      </c>
      <c r="B1005" s="29" t="s">
        <v>166</v>
      </c>
      <c r="C1005" s="29" t="s">
        <v>1953</v>
      </c>
      <c r="D1005" s="29" t="s">
        <v>5857</v>
      </c>
      <c r="E1005" s="29" t="s">
        <v>5858</v>
      </c>
      <c r="F1005" s="30" t="s">
        <v>5859</v>
      </c>
      <c r="G1005" s="30" t="s">
        <v>5860</v>
      </c>
      <c r="H1005" s="30" t="s">
        <v>5861</v>
      </c>
      <c r="I1005" s="29" t="s">
        <v>659</v>
      </c>
      <c r="J1005" s="31">
        <v>22.0</v>
      </c>
      <c r="K1005" s="35"/>
      <c r="L1005" s="35"/>
      <c r="M1005" s="35"/>
      <c r="N1005" s="35"/>
      <c r="O1005" s="35"/>
      <c r="P1005" s="35"/>
      <c r="Q1005" s="35"/>
      <c r="R1005" s="35"/>
      <c r="S1005" s="37">
        <f>IF(B1005="","",IF(ISNUMBER(J1005),IF(J1005&lt;=10,'Configuración'!$B$23,IF(J1005&lt;=50,'Configuración'!$B$24,IF(J1005&lt;=200,'Configuración'!$B$25,0))),0))</f>
        <v>4</v>
      </c>
      <c r="T1005" s="37">
        <f>IF(B1005="","",IF(ISNUMBER(SEARCH("information technology",I1005))+ISNUMBER(SEARCH("software",I1005))+ISNUMBER(SEARCH("internet",I1005))+ISNUMBER(SEARCH("computer",I1005))+ISNUMBER(SEARCH("saas",I1005))+ISNUMBER(SEARCH("fintech",I1005))+ISNUMBER(SEARCH("information services",I1005))+ISNUMBER(SEARCH("telecommunications",I1005))&gt;0,'Configuración'!$B$27,'Configuración'!$B$28))</f>
        <v>4</v>
      </c>
      <c r="U1005" s="25">
        <f>IF(B1005="","",IF(ISNUMBER(SEARCH("CEO",C1005))+ISNUMBER(SEARCH("Founder",C1005))+ISNUMBER(SEARCH("Owner",C1005))+ISNUMBER(SEARCH("Dueño",C1005))+ISNUMBER(SEARCH("Director General",C1005))+ISNUMBER(SEARCH("Presidente",C1005))+ISNUMBER(SEARCH("President",C1005))&gt;0,'Configuración'!$B$31,IF(ISNUMBER(SEARCH("CMO",C1005))+ISNUMBER(SEARCH("Chief Marketing",C1005))+ISNUMBER(SEARCH("VP Marketing",C1005))+ISNUMBER(SEARCH("Director de Marketing",C1005))+ISNUMBER(SEARCH("Director Marketing",C1005))+ISNUMBER(SEARCH("Head of Marketing",C1005))+ISNUMBER(SEARCH("Head Marketing",C1005))&gt;0,'Configuración'!$B$32,IF(ISNUMBER(SEARCH("Marketing Manager",C1005))+ISNUMBER(SEARCH("Gerente de Marketing",C1005))+ISNUMBER(SEARCH("Growth Manager",C1005))+ISNUMBER(SEARCH("Demand Gen",C1005))+ISNUMBER(SEARCH("Marketing Lead",C1005))&gt;0,'Configuración'!$B$33,IF(ISNUMBER(SEARCH("COO",C1005))+ISNUMBER(SEARCH("CFO",C1005))+ISNUMBER(SEARCH("CTO",C1005))+ISNUMBER(SEARCH("Chief Operating",C1005))+ISNUMBER(SEARCH("Chief Financial",C1005))+ISNUMBER(SEARCH("Gerente General",C1005))+ISNUMBER(SEARCH("General Manager",C1005))&gt;0,'Configuración'!$B$34,'Configuración'!$B$35)))))</f>
        <v>12</v>
      </c>
      <c r="V1005" s="38">
        <f>IF(B1005="","",IF(K1005="Sí",'Configuración'!$B$5,0)+IF(L1005="Semanal",'Configuración'!$B$6,IF(L1005="Mensual",'Configuración'!$B$7,0))+IF(M1005="Sí",'Configuración'!$B$8,0)+IF(N1005="Sí",'Configuración'!$B$9,0)+IF(O1005="Sí",'Configuración'!$B$10,0)+IF(P1005="Sí",'Configuración'!$B$11,0)+IF(Q1005="Sí",'Configuración'!$B$12,0)+S1005+T1005+U1005)</f>
        <v>20</v>
      </c>
      <c r="W1005" s="39" t="str">
        <f>IF(B1005="","",IF(V1005&gt;='Configuración'!$B$19,"A",IF(V1005&gt;='Configuración'!$B$20,"B",IF(V1005&gt;='Configuración'!$B$21,"C","Descarte"))))</f>
        <v>Descarte</v>
      </c>
    </row>
    <row r="1006" ht="15.75" customHeight="1">
      <c r="A1006" s="34">
        <f t="shared" si="1"/>
        <v>1004</v>
      </c>
      <c r="B1006" s="29" t="s">
        <v>109</v>
      </c>
      <c r="C1006" s="29" t="s">
        <v>5862</v>
      </c>
      <c r="D1006" s="29" t="s">
        <v>5863</v>
      </c>
      <c r="E1006" s="29" t="s">
        <v>5864</v>
      </c>
      <c r="F1006" s="30" t="s">
        <v>5865</v>
      </c>
      <c r="G1006" s="30" t="s">
        <v>5866</v>
      </c>
      <c r="H1006" s="30" t="s">
        <v>5867</v>
      </c>
      <c r="I1006" s="29" t="s">
        <v>127</v>
      </c>
      <c r="J1006" s="31">
        <v>2.0</v>
      </c>
      <c r="K1006" s="35"/>
      <c r="L1006" s="35"/>
      <c r="M1006" s="35"/>
      <c r="N1006" s="35"/>
      <c r="O1006" s="35"/>
      <c r="P1006" s="35"/>
      <c r="Q1006" s="35"/>
      <c r="R1006" s="35"/>
      <c r="S1006" s="37">
        <f>IF(B1006="","",IF(ISNUMBER(J1006),IF(J1006&lt;=10,'Configuración'!$B$23,IF(J1006&lt;=50,'Configuración'!$B$24,IF(J1006&lt;=200,'Configuración'!$B$25,0))),0))</f>
        <v>12</v>
      </c>
      <c r="T1006" s="37">
        <f>IF(B1006="","",IF(ISNUMBER(SEARCH("information technology",I1006))+ISNUMBER(SEARCH("software",I1006))+ISNUMBER(SEARCH("internet",I1006))+ISNUMBER(SEARCH("computer",I1006))+ISNUMBER(SEARCH("saas",I1006))+ISNUMBER(SEARCH("fintech",I1006))+ISNUMBER(SEARCH("information services",I1006))+ISNUMBER(SEARCH("telecommunications",I1006))&gt;0,'Configuración'!$B$27,'Configuración'!$B$28))</f>
        <v>12</v>
      </c>
      <c r="U1006" s="25">
        <f>IF(B1006="","",IF(ISNUMBER(SEARCH("CEO",C1006))+ISNUMBER(SEARCH("Founder",C1006))+ISNUMBER(SEARCH("Owner",C1006))+ISNUMBER(SEARCH("Dueño",C1006))+ISNUMBER(SEARCH("Director General",C1006))+ISNUMBER(SEARCH("Presidente",C1006))+ISNUMBER(SEARCH("President",C1006))&gt;0,'Configuración'!$B$31,IF(ISNUMBER(SEARCH("CMO",C1006))+ISNUMBER(SEARCH("Chief Marketing",C1006))+ISNUMBER(SEARCH("VP Marketing",C1006))+ISNUMBER(SEARCH("Director de Marketing",C1006))+ISNUMBER(SEARCH("Director Marketing",C1006))+ISNUMBER(SEARCH("Head of Marketing",C1006))+ISNUMBER(SEARCH("Head Marketing",C1006))&gt;0,'Configuración'!$B$32,IF(ISNUMBER(SEARCH("Marketing Manager",C1006))+ISNUMBER(SEARCH("Gerente de Marketing",C1006))+ISNUMBER(SEARCH("Growth Manager",C1006))+ISNUMBER(SEARCH("Demand Gen",C1006))+ISNUMBER(SEARCH("Marketing Lead",C1006))&gt;0,'Configuración'!$B$33,IF(ISNUMBER(SEARCH("COO",C1006))+ISNUMBER(SEARCH("CFO",C1006))+ISNUMBER(SEARCH("CTO",C1006))+ISNUMBER(SEARCH("Chief Operating",C1006))+ISNUMBER(SEARCH("Chief Financial",C1006))+ISNUMBER(SEARCH("Gerente General",C1006))+ISNUMBER(SEARCH("General Manager",C1006))&gt;0,'Configuración'!$B$34,'Configuración'!$B$35)))))</f>
        <v>12</v>
      </c>
      <c r="V1006" s="38">
        <f>IF(B1006="","",IF(K1006="Sí",'Configuración'!$B$5,0)+IF(L1006="Semanal",'Configuración'!$B$6,IF(L1006="Mensual",'Configuración'!$B$7,0))+IF(M1006="Sí",'Configuración'!$B$8,0)+IF(N1006="Sí",'Configuración'!$B$9,0)+IF(O1006="Sí",'Configuración'!$B$10,0)+IF(P1006="Sí",'Configuración'!$B$11,0)+IF(Q1006="Sí",'Configuración'!$B$12,0)+S1006+T1006+U1006)</f>
        <v>36</v>
      </c>
      <c r="W1006" s="39" t="str">
        <f>IF(B1006="","",IF(V1006&gt;='Configuración'!$B$19,"A",IF(V1006&gt;='Configuración'!$B$20,"B",IF(V1006&gt;='Configuración'!$B$21,"C","Descarte"))))</f>
        <v>C</v>
      </c>
    </row>
    <row r="1007" ht="15.75" customHeight="1">
      <c r="A1007" s="34">
        <f t="shared" si="1"/>
        <v>1005</v>
      </c>
      <c r="B1007" s="29" t="s">
        <v>1601</v>
      </c>
      <c r="C1007" s="29" t="s">
        <v>5868</v>
      </c>
      <c r="D1007" s="29" t="s">
        <v>5869</v>
      </c>
      <c r="E1007" s="29" t="s">
        <v>5870</v>
      </c>
      <c r="F1007" s="30" t="s">
        <v>5871</v>
      </c>
      <c r="G1007" s="30" t="s">
        <v>5872</v>
      </c>
      <c r="H1007" s="30" t="s">
        <v>5873</v>
      </c>
      <c r="I1007" s="29" t="s">
        <v>769</v>
      </c>
      <c r="J1007" s="31">
        <v>2.0</v>
      </c>
      <c r="K1007" s="35"/>
      <c r="L1007" s="35"/>
      <c r="M1007" s="35"/>
      <c r="N1007" s="35"/>
      <c r="O1007" s="35"/>
      <c r="P1007" s="35"/>
      <c r="Q1007" s="35"/>
      <c r="R1007" s="35"/>
      <c r="S1007" s="37">
        <f>IF(B1007="","",IF(ISNUMBER(J1007),IF(J1007&lt;=10,'Configuración'!$B$23,IF(J1007&lt;=50,'Configuración'!$B$24,IF(J1007&lt;=200,'Configuración'!$B$25,0))),0))</f>
        <v>12</v>
      </c>
      <c r="T1007" s="37">
        <f>IF(B1007="","",IF(ISNUMBER(SEARCH("information technology",I1007))+ISNUMBER(SEARCH("software",I1007))+ISNUMBER(SEARCH("internet",I1007))+ISNUMBER(SEARCH("computer",I1007))+ISNUMBER(SEARCH("saas",I1007))+ISNUMBER(SEARCH("fintech",I1007))+ISNUMBER(SEARCH("information services",I1007))+ISNUMBER(SEARCH("telecommunications",I1007))&gt;0,'Configuración'!$B$27,'Configuración'!$B$28))</f>
        <v>4</v>
      </c>
      <c r="U1007" s="25">
        <f>IF(B1007="","",IF(ISNUMBER(SEARCH("CEO",C1007))+ISNUMBER(SEARCH("Founder",C1007))+ISNUMBER(SEARCH("Owner",C1007))+ISNUMBER(SEARCH("Dueño",C1007))+ISNUMBER(SEARCH("Director General",C1007))+ISNUMBER(SEARCH("Presidente",C1007))+ISNUMBER(SEARCH("President",C1007))&gt;0,'Configuración'!$B$31,IF(ISNUMBER(SEARCH("CMO",C1007))+ISNUMBER(SEARCH("Chief Marketing",C1007))+ISNUMBER(SEARCH("VP Marketing",C1007))+ISNUMBER(SEARCH("Director de Marketing",C1007))+ISNUMBER(SEARCH("Director Marketing",C1007))+ISNUMBER(SEARCH("Head of Marketing",C1007))+ISNUMBER(SEARCH("Head Marketing",C1007))&gt;0,'Configuración'!$B$32,IF(ISNUMBER(SEARCH("Marketing Manager",C1007))+ISNUMBER(SEARCH("Gerente de Marketing",C1007))+ISNUMBER(SEARCH("Growth Manager",C1007))+ISNUMBER(SEARCH("Demand Gen",C1007))+ISNUMBER(SEARCH("Marketing Lead",C1007))&gt;0,'Configuración'!$B$33,IF(ISNUMBER(SEARCH("COO",C1007))+ISNUMBER(SEARCH("CFO",C1007))+ISNUMBER(SEARCH("CTO",C1007))+ISNUMBER(SEARCH("Chief Operating",C1007))+ISNUMBER(SEARCH("Chief Financial",C1007))+ISNUMBER(SEARCH("Gerente General",C1007))+ISNUMBER(SEARCH("General Manager",C1007))&gt;0,'Configuración'!$B$34,'Configuración'!$B$35)))))</f>
        <v>0</v>
      </c>
      <c r="V1007" s="38">
        <f>IF(B1007="","",IF(K1007="Sí",'Configuración'!$B$5,0)+IF(L1007="Semanal",'Configuración'!$B$6,IF(L1007="Mensual",'Configuración'!$B$7,0))+IF(M1007="Sí",'Configuración'!$B$8,0)+IF(N1007="Sí",'Configuración'!$B$9,0)+IF(O1007="Sí",'Configuración'!$B$10,0)+IF(P1007="Sí",'Configuración'!$B$11,0)+IF(Q1007="Sí",'Configuración'!$B$12,0)+S1007+T1007+U1007)</f>
        <v>16</v>
      </c>
      <c r="W1007" s="39" t="str">
        <f>IF(B1007="","",IF(V1007&gt;='Configuración'!$B$19,"A",IF(V1007&gt;='Configuración'!$B$20,"B",IF(V1007&gt;='Configuración'!$B$21,"C","Descarte"))))</f>
        <v>Descarte</v>
      </c>
    </row>
    <row r="1008" ht="15.75" customHeight="1">
      <c r="A1008" s="34">
        <f t="shared" si="1"/>
        <v>1006</v>
      </c>
      <c r="B1008" s="29" t="s">
        <v>120</v>
      </c>
      <c r="C1008" s="29" t="s">
        <v>5874</v>
      </c>
      <c r="D1008" s="29" t="s">
        <v>5875</v>
      </c>
      <c r="E1008" s="29" t="s">
        <v>5876</v>
      </c>
      <c r="F1008" s="30" t="s">
        <v>5877</v>
      </c>
      <c r="G1008" s="30" t="s">
        <v>5878</v>
      </c>
      <c r="H1008" s="30" t="s">
        <v>5879</v>
      </c>
      <c r="I1008" s="29" t="s">
        <v>127</v>
      </c>
      <c r="J1008" s="31">
        <v>3.0</v>
      </c>
      <c r="K1008" s="35"/>
      <c r="L1008" s="35"/>
      <c r="M1008" s="35"/>
      <c r="N1008" s="35"/>
      <c r="O1008" s="35"/>
      <c r="P1008" s="35"/>
      <c r="Q1008" s="35"/>
      <c r="R1008" s="35"/>
      <c r="S1008" s="37">
        <f>IF(B1008="","",IF(ISNUMBER(J1008),IF(J1008&lt;=10,'Configuración'!$B$23,IF(J1008&lt;=50,'Configuración'!$B$24,IF(J1008&lt;=200,'Configuración'!$B$25,0))),0))</f>
        <v>12</v>
      </c>
      <c r="T1008" s="37">
        <f>IF(B1008="","",IF(ISNUMBER(SEARCH("information technology",I1008))+ISNUMBER(SEARCH("software",I1008))+ISNUMBER(SEARCH("internet",I1008))+ISNUMBER(SEARCH("computer",I1008))+ISNUMBER(SEARCH("saas",I1008))+ISNUMBER(SEARCH("fintech",I1008))+ISNUMBER(SEARCH("information services",I1008))+ISNUMBER(SEARCH("telecommunications",I1008))&gt;0,'Configuración'!$B$27,'Configuración'!$B$28))</f>
        <v>12</v>
      </c>
      <c r="U1008" s="25">
        <f>IF(B1008="","",IF(ISNUMBER(SEARCH("CEO",C1008))+ISNUMBER(SEARCH("Founder",C1008))+ISNUMBER(SEARCH("Owner",C1008))+ISNUMBER(SEARCH("Dueño",C1008))+ISNUMBER(SEARCH("Director General",C1008))+ISNUMBER(SEARCH("Presidente",C1008))+ISNUMBER(SEARCH("President",C1008))&gt;0,'Configuración'!$B$31,IF(ISNUMBER(SEARCH("CMO",C1008))+ISNUMBER(SEARCH("Chief Marketing",C1008))+ISNUMBER(SEARCH("VP Marketing",C1008))+ISNUMBER(SEARCH("Director de Marketing",C1008))+ISNUMBER(SEARCH("Director Marketing",C1008))+ISNUMBER(SEARCH("Head of Marketing",C1008))+ISNUMBER(SEARCH("Head Marketing",C1008))&gt;0,'Configuración'!$B$32,IF(ISNUMBER(SEARCH("Marketing Manager",C1008))+ISNUMBER(SEARCH("Gerente de Marketing",C1008))+ISNUMBER(SEARCH("Growth Manager",C1008))+ISNUMBER(SEARCH("Demand Gen",C1008))+ISNUMBER(SEARCH("Marketing Lead",C1008))&gt;0,'Configuración'!$B$33,IF(ISNUMBER(SEARCH("COO",C1008))+ISNUMBER(SEARCH("CFO",C1008))+ISNUMBER(SEARCH("CTO",C1008))+ISNUMBER(SEARCH("Chief Operating",C1008))+ISNUMBER(SEARCH("Chief Financial",C1008))+ISNUMBER(SEARCH("Gerente General",C1008))+ISNUMBER(SEARCH("General Manager",C1008))&gt;0,'Configuración'!$B$34,'Configuración'!$B$35)))))</f>
        <v>12</v>
      </c>
      <c r="V1008" s="38">
        <f>IF(B1008="","",IF(K1008="Sí",'Configuración'!$B$5,0)+IF(L1008="Semanal",'Configuración'!$B$6,IF(L1008="Mensual",'Configuración'!$B$7,0))+IF(M1008="Sí",'Configuración'!$B$8,0)+IF(N1008="Sí",'Configuración'!$B$9,0)+IF(O1008="Sí",'Configuración'!$B$10,0)+IF(P1008="Sí",'Configuración'!$B$11,0)+IF(Q1008="Sí",'Configuración'!$B$12,0)+S1008+T1008+U1008)</f>
        <v>36</v>
      </c>
      <c r="W1008" s="39" t="str">
        <f>IF(B1008="","",IF(V1008&gt;='Configuración'!$B$19,"A",IF(V1008&gt;='Configuración'!$B$20,"B",IF(V1008&gt;='Configuración'!$B$21,"C","Descarte"))))</f>
        <v>C</v>
      </c>
    </row>
    <row r="1009" ht="15.75" customHeight="1">
      <c r="A1009" s="34">
        <f t="shared" si="1"/>
        <v>1007</v>
      </c>
      <c r="B1009" s="29" t="s">
        <v>209</v>
      </c>
      <c r="C1009" s="29" t="s">
        <v>4367</v>
      </c>
      <c r="D1009" s="29" t="s">
        <v>5880</v>
      </c>
      <c r="E1009" s="29" t="s">
        <v>5881</v>
      </c>
      <c r="F1009" s="30" t="s">
        <v>5882</v>
      </c>
      <c r="G1009" s="30" t="s">
        <v>5883</v>
      </c>
      <c r="H1009" s="30" t="s">
        <v>5884</v>
      </c>
      <c r="I1009" s="29" t="s">
        <v>188</v>
      </c>
      <c r="J1009" s="31">
        <v>18.0</v>
      </c>
      <c r="K1009" s="35"/>
      <c r="L1009" s="35"/>
      <c r="M1009" s="35"/>
      <c r="N1009" s="35"/>
      <c r="O1009" s="35"/>
      <c r="P1009" s="35"/>
      <c r="Q1009" s="35"/>
      <c r="R1009" s="35"/>
      <c r="S1009" s="37">
        <f>IF(B1009="","",IF(ISNUMBER(J1009),IF(J1009&lt;=10,'Configuración'!$B$23,IF(J1009&lt;=50,'Configuración'!$B$24,IF(J1009&lt;=200,'Configuración'!$B$25,0))),0))</f>
        <v>4</v>
      </c>
      <c r="T1009" s="37">
        <f>IF(B1009="","",IF(ISNUMBER(SEARCH("information technology",I1009))+ISNUMBER(SEARCH("software",I1009))+ISNUMBER(SEARCH("internet",I1009))+ISNUMBER(SEARCH("computer",I1009))+ISNUMBER(SEARCH("saas",I1009))+ISNUMBER(SEARCH("fintech",I1009))+ISNUMBER(SEARCH("information services",I1009))+ISNUMBER(SEARCH("telecommunications",I1009))&gt;0,'Configuración'!$B$27,'Configuración'!$B$28))</f>
        <v>4</v>
      </c>
      <c r="U1009" s="25">
        <f>IF(B1009="","",IF(ISNUMBER(SEARCH("CEO",C1009))+ISNUMBER(SEARCH("Founder",C1009))+ISNUMBER(SEARCH("Owner",C1009))+ISNUMBER(SEARCH("Dueño",C1009))+ISNUMBER(SEARCH("Director General",C1009))+ISNUMBER(SEARCH("Presidente",C1009))+ISNUMBER(SEARCH("President",C1009))&gt;0,'Configuración'!$B$31,IF(ISNUMBER(SEARCH("CMO",C1009))+ISNUMBER(SEARCH("Chief Marketing",C1009))+ISNUMBER(SEARCH("VP Marketing",C1009))+ISNUMBER(SEARCH("Director de Marketing",C1009))+ISNUMBER(SEARCH("Director Marketing",C1009))+ISNUMBER(SEARCH("Head of Marketing",C1009))+ISNUMBER(SEARCH("Head Marketing",C1009))&gt;0,'Configuración'!$B$32,IF(ISNUMBER(SEARCH("Marketing Manager",C1009))+ISNUMBER(SEARCH("Gerente de Marketing",C1009))+ISNUMBER(SEARCH("Growth Manager",C1009))+ISNUMBER(SEARCH("Demand Gen",C1009))+ISNUMBER(SEARCH("Marketing Lead",C1009))&gt;0,'Configuración'!$B$33,IF(ISNUMBER(SEARCH("COO",C1009))+ISNUMBER(SEARCH("CFO",C1009))+ISNUMBER(SEARCH("CTO",C1009))+ISNUMBER(SEARCH("Chief Operating",C1009))+ISNUMBER(SEARCH("Chief Financial",C1009))+ISNUMBER(SEARCH("Gerente General",C1009))+ISNUMBER(SEARCH("General Manager",C1009))&gt;0,'Configuración'!$B$34,'Configuración'!$B$35)))))</f>
        <v>4</v>
      </c>
      <c r="V1009" s="38">
        <f>IF(B1009="","",IF(K1009="Sí",'Configuración'!$B$5,0)+IF(L1009="Semanal",'Configuración'!$B$6,IF(L1009="Mensual",'Configuración'!$B$7,0))+IF(M1009="Sí",'Configuración'!$B$8,0)+IF(N1009="Sí",'Configuración'!$B$9,0)+IF(O1009="Sí",'Configuración'!$B$10,0)+IF(P1009="Sí",'Configuración'!$B$11,0)+IF(Q1009="Sí",'Configuración'!$B$12,0)+S1009+T1009+U1009)</f>
        <v>12</v>
      </c>
      <c r="W1009" s="39" t="str">
        <f>IF(B1009="","",IF(V1009&gt;='Configuración'!$B$19,"A",IF(V1009&gt;='Configuración'!$B$20,"B",IF(V1009&gt;='Configuración'!$B$21,"C","Descarte"))))</f>
        <v>Descarte</v>
      </c>
    </row>
    <row r="1010" ht="15.75" customHeight="1">
      <c r="A1010" s="34">
        <f t="shared" si="1"/>
        <v>1008</v>
      </c>
      <c r="B1010" s="29" t="s">
        <v>1534</v>
      </c>
      <c r="C1010" s="29" t="s">
        <v>146</v>
      </c>
      <c r="D1010" s="29" t="s">
        <v>5885</v>
      </c>
      <c r="E1010" s="29" t="s">
        <v>5886</v>
      </c>
      <c r="F1010" s="30" t="s">
        <v>5887</v>
      </c>
      <c r="G1010" s="30" t="s">
        <v>5888</v>
      </c>
      <c r="H1010" s="30" t="s">
        <v>5889</v>
      </c>
      <c r="I1010" s="29" t="s">
        <v>310</v>
      </c>
      <c r="J1010" s="31">
        <v>41.0</v>
      </c>
      <c r="K1010" s="35"/>
      <c r="L1010" s="35"/>
      <c r="M1010" s="35"/>
      <c r="N1010" s="35"/>
      <c r="O1010" s="35"/>
      <c r="P1010" s="35"/>
      <c r="Q1010" s="35"/>
      <c r="R1010" s="35"/>
      <c r="S1010" s="37">
        <f>IF(B1010="","",IF(ISNUMBER(J1010),IF(J1010&lt;=10,'Configuración'!$B$23,IF(J1010&lt;=50,'Configuración'!$B$24,IF(J1010&lt;=200,'Configuración'!$B$25,0))),0))</f>
        <v>4</v>
      </c>
      <c r="T1010" s="37">
        <f>IF(B1010="","",IF(ISNUMBER(SEARCH("information technology",I1010))+ISNUMBER(SEARCH("software",I1010))+ISNUMBER(SEARCH("internet",I1010))+ISNUMBER(SEARCH("computer",I1010))+ISNUMBER(SEARCH("saas",I1010))+ISNUMBER(SEARCH("fintech",I1010))+ISNUMBER(SEARCH("information services",I1010))+ISNUMBER(SEARCH("telecommunications",I1010))&gt;0,'Configuración'!$B$27,'Configuración'!$B$28))</f>
        <v>4</v>
      </c>
      <c r="U1010" s="25">
        <f>IF(B1010="","",IF(ISNUMBER(SEARCH("CEO",C1010))+ISNUMBER(SEARCH("Founder",C1010))+ISNUMBER(SEARCH("Owner",C1010))+ISNUMBER(SEARCH("Dueño",C1010))+ISNUMBER(SEARCH("Director General",C1010))+ISNUMBER(SEARCH("Presidente",C1010))+ISNUMBER(SEARCH("President",C1010))&gt;0,'Configuración'!$B$31,IF(ISNUMBER(SEARCH("CMO",C1010))+ISNUMBER(SEARCH("Chief Marketing",C1010))+ISNUMBER(SEARCH("VP Marketing",C1010))+ISNUMBER(SEARCH("Director de Marketing",C1010))+ISNUMBER(SEARCH("Director Marketing",C1010))+ISNUMBER(SEARCH("Head of Marketing",C1010))+ISNUMBER(SEARCH("Head Marketing",C1010))&gt;0,'Configuración'!$B$32,IF(ISNUMBER(SEARCH("Marketing Manager",C1010))+ISNUMBER(SEARCH("Gerente de Marketing",C1010))+ISNUMBER(SEARCH("Growth Manager",C1010))+ISNUMBER(SEARCH("Demand Gen",C1010))+ISNUMBER(SEARCH("Marketing Lead",C1010))&gt;0,'Configuración'!$B$33,IF(ISNUMBER(SEARCH("COO",C1010))+ISNUMBER(SEARCH("CFO",C1010))+ISNUMBER(SEARCH("CTO",C1010))+ISNUMBER(SEARCH("Chief Operating",C1010))+ISNUMBER(SEARCH("Chief Financial",C1010))+ISNUMBER(SEARCH("Gerente General",C1010))+ISNUMBER(SEARCH("General Manager",C1010))&gt;0,'Configuración'!$B$34,'Configuración'!$B$35)))))</f>
        <v>0</v>
      </c>
      <c r="V1010" s="38">
        <f>IF(B1010="","",IF(K1010="Sí",'Configuración'!$B$5,0)+IF(L1010="Semanal",'Configuración'!$B$6,IF(L1010="Mensual",'Configuración'!$B$7,0))+IF(M1010="Sí",'Configuración'!$B$8,0)+IF(N1010="Sí",'Configuración'!$B$9,0)+IF(O1010="Sí",'Configuración'!$B$10,0)+IF(P1010="Sí",'Configuración'!$B$11,0)+IF(Q1010="Sí",'Configuración'!$B$12,0)+S1010+T1010+U1010)</f>
        <v>8</v>
      </c>
      <c r="W1010" s="39" t="str">
        <f>IF(B1010="","",IF(V1010&gt;='Configuración'!$B$19,"A",IF(V1010&gt;='Configuración'!$B$20,"B",IF(V1010&gt;='Configuración'!$B$21,"C","Descarte"))))</f>
        <v>Descarte</v>
      </c>
    </row>
    <row r="1011" ht="15.75" customHeight="1">
      <c r="A1011" s="34">
        <f t="shared" si="1"/>
        <v>1009</v>
      </c>
      <c r="B1011" s="29" t="s">
        <v>5890</v>
      </c>
      <c r="C1011" s="29" t="s">
        <v>131</v>
      </c>
      <c r="D1011" s="29" t="s">
        <v>5314</v>
      </c>
      <c r="E1011" s="29" t="s">
        <v>5891</v>
      </c>
      <c r="F1011" s="30" t="s">
        <v>5892</v>
      </c>
      <c r="G1011" s="30" t="s">
        <v>5317</v>
      </c>
      <c r="H1011" s="30" t="s">
        <v>5318</v>
      </c>
      <c r="I1011" s="29" t="s">
        <v>127</v>
      </c>
      <c r="J1011" s="31">
        <v>28.0</v>
      </c>
      <c r="K1011" s="35"/>
      <c r="L1011" s="35"/>
      <c r="M1011" s="35"/>
      <c r="N1011" s="35"/>
      <c r="O1011" s="35"/>
      <c r="P1011" s="35"/>
      <c r="Q1011" s="35"/>
      <c r="R1011" s="35"/>
      <c r="S1011" s="37">
        <f>IF(B1011="","",IF(ISNUMBER(J1011),IF(J1011&lt;=10,'Configuración'!$B$23,IF(J1011&lt;=50,'Configuración'!$B$24,IF(J1011&lt;=200,'Configuración'!$B$25,0))),0))</f>
        <v>4</v>
      </c>
      <c r="T1011" s="37">
        <f>IF(B1011="","",IF(ISNUMBER(SEARCH("information technology",I1011))+ISNUMBER(SEARCH("software",I1011))+ISNUMBER(SEARCH("internet",I1011))+ISNUMBER(SEARCH("computer",I1011))+ISNUMBER(SEARCH("saas",I1011))+ISNUMBER(SEARCH("fintech",I1011))+ISNUMBER(SEARCH("information services",I1011))+ISNUMBER(SEARCH("telecommunications",I1011))&gt;0,'Configuración'!$B$27,'Configuración'!$B$28))</f>
        <v>12</v>
      </c>
      <c r="U1011" s="25">
        <f>IF(B1011="","",IF(ISNUMBER(SEARCH("CEO",C1011))+ISNUMBER(SEARCH("Founder",C1011))+ISNUMBER(SEARCH("Owner",C1011))+ISNUMBER(SEARCH("Dueño",C1011))+ISNUMBER(SEARCH("Director General",C1011))+ISNUMBER(SEARCH("Presidente",C1011))+ISNUMBER(SEARCH("President",C1011))&gt;0,'Configuración'!$B$31,IF(ISNUMBER(SEARCH("CMO",C1011))+ISNUMBER(SEARCH("Chief Marketing",C1011))+ISNUMBER(SEARCH("VP Marketing",C1011))+ISNUMBER(SEARCH("Director de Marketing",C1011))+ISNUMBER(SEARCH("Director Marketing",C1011))+ISNUMBER(SEARCH("Head of Marketing",C1011))+ISNUMBER(SEARCH("Head Marketing",C1011))&gt;0,'Configuración'!$B$32,IF(ISNUMBER(SEARCH("Marketing Manager",C1011))+ISNUMBER(SEARCH("Gerente de Marketing",C1011))+ISNUMBER(SEARCH("Growth Manager",C1011))+ISNUMBER(SEARCH("Demand Gen",C1011))+ISNUMBER(SEARCH("Marketing Lead",C1011))&gt;0,'Configuración'!$B$33,IF(ISNUMBER(SEARCH("COO",C1011))+ISNUMBER(SEARCH("CFO",C1011))+ISNUMBER(SEARCH("CTO",C1011))+ISNUMBER(SEARCH("Chief Operating",C1011))+ISNUMBER(SEARCH("Chief Financial",C1011))+ISNUMBER(SEARCH("Gerente General",C1011))+ISNUMBER(SEARCH("General Manager",C1011))&gt;0,'Configuración'!$B$34,'Configuración'!$B$35)))))</f>
        <v>12</v>
      </c>
      <c r="V1011" s="38">
        <f>IF(B1011="","",IF(K1011="Sí",'Configuración'!$B$5,0)+IF(L1011="Semanal",'Configuración'!$B$6,IF(L1011="Mensual",'Configuración'!$B$7,0))+IF(M1011="Sí",'Configuración'!$B$8,0)+IF(N1011="Sí",'Configuración'!$B$9,0)+IF(O1011="Sí",'Configuración'!$B$10,0)+IF(P1011="Sí",'Configuración'!$B$11,0)+IF(Q1011="Sí",'Configuración'!$B$12,0)+S1011+T1011+U1011)</f>
        <v>28</v>
      </c>
      <c r="W1011" s="39" t="str">
        <f>IF(B1011="","",IF(V1011&gt;='Configuración'!$B$19,"A",IF(V1011&gt;='Configuración'!$B$20,"B",IF(V1011&gt;='Configuración'!$B$21,"C","Descarte"))))</f>
        <v>C</v>
      </c>
    </row>
    <row r="1012" ht="15.75" customHeight="1">
      <c r="A1012" s="34">
        <f t="shared" si="1"/>
        <v>1010</v>
      </c>
      <c r="B1012" s="29" t="s">
        <v>4872</v>
      </c>
      <c r="C1012" s="29" t="s">
        <v>5893</v>
      </c>
      <c r="D1012" s="29" t="s">
        <v>5894</v>
      </c>
      <c r="E1012" s="29" t="s">
        <v>5895</v>
      </c>
      <c r="F1012" s="30" t="s">
        <v>5896</v>
      </c>
      <c r="G1012" s="30" t="s">
        <v>5897</v>
      </c>
      <c r="H1012" s="30" t="s">
        <v>5898</v>
      </c>
      <c r="I1012" s="29" t="s">
        <v>127</v>
      </c>
      <c r="J1012" s="31">
        <v>25.0</v>
      </c>
      <c r="K1012" s="35"/>
      <c r="L1012" s="35"/>
      <c r="M1012" s="35"/>
      <c r="N1012" s="35"/>
      <c r="O1012" s="35"/>
      <c r="P1012" s="35"/>
      <c r="Q1012" s="35"/>
      <c r="R1012" s="35"/>
      <c r="S1012" s="37">
        <f>IF(B1012="","",IF(ISNUMBER(J1012),IF(J1012&lt;=10,'Configuración'!$B$23,IF(J1012&lt;=50,'Configuración'!$B$24,IF(J1012&lt;=200,'Configuración'!$B$25,0))),0))</f>
        <v>4</v>
      </c>
      <c r="T1012" s="37">
        <f>IF(B1012="","",IF(ISNUMBER(SEARCH("information technology",I1012))+ISNUMBER(SEARCH("software",I1012))+ISNUMBER(SEARCH("internet",I1012))+ISNUMBER(SEARCH("computer",I1012))+ISNUMBER(SEARCH("saas",I1012))+ISNUMBER(SEARCH("fintech",I1012))+ISNUMBER(SEARCH("information services",I1012))+ISNUMBER(SEARCH("telecommunications",I1012))&gt;0,'Configuración'!$B$27,'Configuración'!$B$28))</f>
        <v>12</v>
      </c>
      <c r="U1012" s="25">
        <f>IF(B1012="","",IF(ISNUMBER(SEARCH("CEO",C1012))+ISNUMBER(SEARCH("Founder",C1012))+ISNUMBER(SEARCH("Owner",C1012))+ISNUMBER(SEARCH("Dueño",C1012))+ISNUMBER(SEARCH("Director General",C1012))+ISNUMBER(SEARCH("Presidente",C1012))+ISNUMBER(SEARCH("President",C1012))&gt;0,'Configuración'!$B$31,IF(ISNUMBER(SEARCH("CMO",C1012))+ISNUMBER(SEARCH("Chief Marketing",C1012))+ISNUMBER(SEARCH("VP Marketing",C1012))+ISNUMBER(SEARCH("Director de Marketing",C1012))+ISNUMBER(SEARCH("Director Marketing",C1012))+ISNUMBER(SEARCH("Head of Marketing",C1012))+ISNUMBER(SEARCH("Head Marketing",C1012))&gt;0,'Configuración'!$B$32,IF(ISNUMBER(SEARCH("Marketing Manager",C1012))+ISNUMBER(SEARCH("Gerente de Marketing",C1012))+ISNUMBER(SEARCH("Growth Manager",C1012))+ISNUMBER(SEARCH("Demand Gen",C1012))+ISNUMBER(SEARCH("Marketing Lead",C1012))&gt;0,'Configuración'!$B$33,IF(ISNUMBER(SEARCH("COO",C1012))+ISNUMBER(SEARCH("CFO",C1012))+ISNUMBER(SEARCH("CTO",C1012))+ISNUMBER(SEARCH("Chief Operating",C1012))+ISNUMBER(SEARCH("Chief Financial",C1012))+ISNUMBER(SEARCH("Gerente General",C1012))+ISNUMBER(SEARCH("General Manager",C1012))&gt;0,'Configuración'!$B$34,'Configuración'!$B$35)))))</f>
        <v>12</v>
      </c>
      <c r="V1012" s="38">
        <f>IF(B1012="","",IF(K1012="Sí",'Configuración'!$B$5,0)+IF(L1012="Semanal",'Configuración'!$B$6,IF(L1012="Mensual",'Configuración'!$B$7,0))+IF(M1012="Sí",'Configuración'!$B$8,0)+IF(N1012="Sí",'Configuración'!$B$9,0)+IF(O1012="Sí",'Configuración'!$B$10,0)+IF(P1012="Sí",'Configuración'!$B$11,0)+IF(Q1012="Sí",'Configuración'!$B$12,0)+S1012+T1012+U1012)</f>
        <v>28</v>
      </c>
      <c r="W1012" s="39" t="str">
        <f>IF(B1012="","",IF(V1012&gt;='Configuración'!$B$19,"A",IF(V1012&gt;='Configuración'!$B$20,"B",IF(V1012&gt;='Configuración'!$B$21,"C","Descarte"))))</f>
        <v>C</v>
      </c>
    </row>
    <row r="1013" ht="15.75" customHeight="1">
      <c r="A1013" s="34">
        <f t="shared" si="1"/>
        <v>1011</v>
      </c>
      <c r="B1013" s="29" t="s">
        <v>501</v>
      </c>
      <c r="C1013" s="29" t="s">
        <v>318</v>
      </c>
      <c r="D1013" s="40" t="s">
        <v>5899</v>
      </c>
      <c r="E1013" s="29" t="s">
        <v>5900</v>
      </c>
      <c r="F1013" s="30" t="s">
        <v>5901</v>
      </c>
      <c r="G1013" s="30" t="s">
        <v>5902</v>
      </c>
      <c r="H1013" s="30" t="s">
        <v>5903</v>
      </c>
      <c r="I1013" s="29" t="s">
        <v>946</v>
      </c>
      <c r="J1013" s="31">
        <v>21.0</v>
      </c>
      <c r="K1013" s="35"/>
      <c r="L1013" s="35"/>
      <c r="M1013" s="35"/>
      <c r="N1013" s="35"/>
      <c r="O1013" s="35"/>
      <c r="P1013" s="35"/>
      <c r="Q1013" s="35"/>
      <c r="R1013" s="35"/>
      <c r="S1013" s="37">
        <f>IF(B1013="","",IF(ISNUMBER(J1013),IF(J1013&lt;=10,'Configuración'!$B$23,IF(J1013&lt;=50,'Configuración'!$B$24,IF(J1013&lt;=200,'Configuración'!$B$25,0))),0))</f>
        <v>4</v>
      </c>
      <c r="T1013" s="37">
        <f>IF(B1013="","",IF(ISNUMBER(SEARCH("information technology",I1013))+ISNUMBER(SEARCH("software",I1013))+ISNUMBER(SEARCH("internet",I1013))+ISNUMBER(SEARCH("computer",I1013))+ISNUMBER(SEARCH("saas",I1013))+ISNUMBER(SEARCH("fintech",I1013))+ISNUMBER(SEARCH("information services",I1013))+ISNUMBER(SEARCH("telecommunications",I1013))&gt;0,'Configuración'!$B$27,'Configuración'!$B$28))</f>
        <v>4</v>
      </c>
      <c r="U1013" s="25">
        <f>IF(B1013="","",IF(ISNUMBER(SEARCH("CEO",C1013))+ISNUMBER(SEARCH("Founder",C1013))+ISNUMBER(SEARCH("Owner",C1013))+ISNUMBER(SEARCH("Dueño",C1013))+ISNUMBER(SEARCH("Director General",C1013))+ISNUMBER(SEARCH("Presidente",C1013))+ISNUMBER(SEARCH("President",C1013))&gt;0,'Configuración'!$B$31,IF(ISNUMBER(SEARCH("CMO",C1013))+ISNUMBER(SEARCH("Chief Marketing",C1013))+ISNUMBER(SEARCH("VP Marketing",C1013))+ISNUMBER(SEARCH("Director de Marketing",C1013))+ISNUMBER(SEARCH("Director Marketing",C1013))+ISNUMBER(SEARCH("Head of Marketing",C1013))+ISNUMBER(SEARCH("Head Marketing",C1013))&gt;0,'Configuración'!$B$32,IF(ISNUMBER(SEARCH("Marketing Manager",C1013))+ISNUMBER(SEARCH("Gerente de Marketing",C1013))+ISNUMBER(SEARCH("Growth Manager",C1013))+ISNUMBER(SEARCH("Demand Gen",C1013))+ISNUMBER(SEARCH("Marketing Lead",C1013))&gt;0,'Configuración'!$B$33,IF(ISNUMBER(SEARCH("COO",C1013))+ISNUMBER(SEARCH("CFO",C1013))+ISNUMBER(SEARCH("CTO",C1013))+ISNUMBER(SEARCH("Chief Operating",C1013))+ISNUMBER(SEARCH("Chief Financial",C1013))+ISNUMBER(SEARCH("Gerente General",C1013))+ISNUMBER(SEARCH("General Manager",C1013))&gt;0,'Configuración'!$B$34,'Configuración'!$B$35)))))</f>
        <v>4</v>
      </c>
      <c r="V1013" s="38">
        <f>IF(B1013="","",IF(K1013="Sí",'Configuración'!$B$5,0)+IF(L1013="Semanal",'Configuración'!$B$6,IF(L1013="Mensual",'Configuración'!$B$7,0))+IF(M1013="Sí",'Configuración'!$B$8,0)+IF(N1013="Sí",'Configuración'!$B$9,0)+IF(O1013="Sí",'Configuración'!$B$10,0)+IF(P1013="Sí",'Configuración'!$B$11,0)+IF(Q1013="Sí",'Configuración'!$B$12,0)+S1013+T1013+U1013)</f>
        <v>12</v>
      </c>
      <c r="W1013" s="39" t="str">
        <f>IF(B1013="","",IF(V1013&gt;='Configuración'!$B$19,"A",IF(V1013&gt;='Configuración'!$B$20,"B",IF(V1013&gt;='Configuración'!$B$21,"C","Descarte"))))</f>
        <v>Descarte</v>
      </c>
    </row>
    <row r="1014" ht="15.75" customHeight="1">
      <c r="A1014" s="34">
        <f t="shared" si="1"/>
        <v>1012</v>
      </c>
      <c r="B1014" s="29" t="s">
        <v>867</v>
      </c>
      <c r="C1014" s="29" t="s">
        <v>597</v>
      </c>
      <c r="D1014" s="30" t="s">
        <v>5904</v>
      </c>
      <c r="E1014" s="29" t="s">
        <v>5905</v>
      </c>
      <c r="F1014" s="30" t="s">
        <v>5906</v>
      </c>
      <c r="G1014" s="30" t="s">
        <v>5907</v>
      </c>
      <c r="H1014" s="30" t="s">
        <v>5908</v>
      </c>
      <c r="I1014" s="29" t="s">
        <v>127</v>
      </c>
      <c r="J1014" s="31">
        <v>5.0</v>
      </c>
      <c r="K1014" s="35"/>
      <c r="L1014" s="35"/>
      <c r="M1014" s="35"/>
      <c r="N1014" s="35"/>
      <c r="O1014" s="35"/>
      <c r="P1014" s="35"/>
      <c r="Q1014" s="35"/>
      <c r="R1014" s="35"/>
      <c r="S1014" s="37">
        <f>IF(B1014="","",IF(ISNUMBER(J1014),IF(J1014&lt;=10,'Configuración'!$B$23,IF(J1014&lt;=50,'Configuración'!$B$24,IF(J1014&lt;=200,'Configuración'!$B$25,0))),0))</f>
        <v>12</v>
      </c>
      <c r="T1014" s="37">
        <f>IF(B1014="","",IF(ISNUMBER(SEARCH("information technology",I1014))+ISNUMBER(SEARCH("software",I1014))+ISNUMBER(SEARCH("internet",I1014))+ISNUMBER(SEARCH("computer",I1014))+ISNUMBER(SEARCH("saas",I1014))+ISNUMBER(SEARCH("fintech",I1014))+ISNUMBER(SEARCH("information services",I1014))+ISNUMBER(SEARCH("telecommunications",I1014))&gt;0,'Configuración'!$B$27,'Configuración'!$B$28))</f>
        <v>12</v>
      </c>
      <c r="U1014" s="25">
        <f>IF(B1014="","",IF(ISNUMBER(SEARCH("CEO",C1014))+ISNUMBER(SEARCH("Founder",C1014))+ISNUMBER(SEARCH("Owner",C1014))+ISNUMBER(SEARCH("Dueño",C1014))+ISNUMBER(SEARCH("Director General",C1014))+ISNUMBER(SEARCH("Presidente",C1014))+ISNUMBER(SEARCH("President",C1014))&gt;0,'Configuración'!$B$31,IF(ISNUMBER(SEARCH("CMO",C1014))+ISNUMBER(SEARCH("Chief Marketing",C1014))+ISNUMBER(SEARCH("VP Marketing",C1014))+ISNUMBER(SEARCH("Director de Marketing",C1014))+ISNUMBER(SEARCH("Director Marketing",C1014))+ISNUMBER(SEARCH("Head of Marketing",C1014))+ISNUMBER(SEARCH("Head Marketing",C1014))&gt;0,'Configuración'!$B$32,IF(ISNUMBER(SEARCH("Marketing Manager",C1014))+ISNUMBER(SEARCH("Gerente de Marketing",C1014))+ISNUMBER(SEARCH("Growth Manager",C1014))+ISNUMBER(SEARCH("Demand Gen",C1014))+ISNUMBER(SEARCH("Marketing Lead",C1014))&gt;0,'Configuración'!$B$33,IF(ISNUMBER(SEARCH("COO",C1014))+ISNUMBER(SEARCH("CFO",C1014))+ISNUMBER(SEARCH("CTO",C1014))+ISNUMBER(SEARCH("Chief Operating",C1014))+ISNUMBER(SEARCH("Chief Financial",C1014))+ISNUMBER(SEARCH("Gerente General",C1014))+ISNUMBER(SEARCH("General Manager",C1014))&gt;0,'Configuración'!$B$34,'Configuración'!$B$35)))))</f>
        <v>12</v>
      </c>
      <c r="V1014" s="38">
        <f>IF(B1014="","",IF(K1014="Sí",'Configuración'!$B$5,0)+IF(L1014="Semanal",'Configuración'!$B$6,IF(L1014="Mensual",'Configuración'!$B$7,0))+IF(M1014="Sí",'Configuración'!$B$8,0)+IF(N1014="Sí",'Configuración'!$B$9,0)+IF(O1014="Sí",'Configuración'!$B$10,0)+IF(P1014="Sí",'Configuración'!$B$11,0)+IF(Q1014="Sí",'Configuración'!$B$12,0)+S1014+T1014+U1014)</f>
        <v>36</v>
      </c>
      <c r="W1014" s="39" t="str">
        <f>IF(B1014="","",IF(V1014&gt;='Configuración'!$B$19,"A",IF(V1014&gt;='Configuración'!$B$20,"B",IF(V1014&gt;='Configuración'!$B$21,"C","Descarte"))))</f>
        <v>C</v>
      </c>
    </row>
    <row r="1015" ht="15.75" customHeight="1">
      <c r="A1015" s="34">
        <f t="shared" si="1"/>
        <v>1013</v>
      </c>
      <c r="B1015" s="29" t="s">
        <v>138</v>
      </c>
      <c r="C1015" s="29" t="s">
        <v>5909</v>
      </c>
      <c r="D1015" s="29" t="s">
        <v>5910</v>
      </c>
      <c r="E1015" s="29" t="s">
        <v>5911</v>
      </c>
      <c r="F1015" s="30" t="s">
        <v>5912</v>
      </c>
      <c r="G1015" s="30" t="s">
        <v>5913</v>
      </c>
      <c r="H1015" s="30" t="s">
        <v>5914</v>
      </c>
      <c r="I1015" s="29" t="s">
        <v>127</v>
      </c>
      <c r="J1015" s="31">
        <v>4.0</v>
      </c>
      <c r="K1015" s="35"/>
      <c r="L1015" s="35"/>
      <c r="M1015" s="35"/>
      <c r="N1015" s="35"/>
      <c r="O1015" s="35"/>
      <c r="P1015" s="35"/>
      <c r="Q1015" s="35"/>
      <c r="R1015" s="35"/>
      <c r="S1015" s="37">
        <f>IF(B1015="","",IF(ISNUMBER(J1015),IF(J1015&lt;=10,'Configuración'!$B$23,IF(J1015&lt;=50,'Configuración'!$B$24,IF(J1015&lt;=200,'Configuración'!$B$25,0))),0))</f>
        <v>12</v>
      </c>
      <c r="T1015" s="37">
        <f>IF(B1015="","",IF(ISNUMBER(SEARCH("information technology",I1015))+ISNUMBER(SEARCH("software",I1015))+ISNUMBER(SEARCH("internet",I1015))+ISNUMBER(SEARCH("computer",I1015))+ISNUMBER(SEARCH("saas",I1015))+ISNUMBER(SEARCH("fintech",I1015))+ISNUMBER(SEARCH("information services",I1015))+ISNUMBER(SEARCH("telecommunications",I1015))&gt;0,'Configuración'!$B$27,'Configuración'!$B$28))</f>
        <v>12</v>
      </c>
      <c r="U1015" s="25">
        <f>IF(B1015="","",IF(ISNUMBER(SEARCH("CEO",C1015))+ISNUMBER(SEARCH("Founder",C1015))+ISNUMBER(SEARCH("Owner",C1015))+ISNUMBER(SEARCH("Dueño",C1015))+ISNUMBER(SEARCH("Director General",C1015))+ISNUMBER(SEARCH("Presidente",C1015))+ISNUMBER(SEARCH("President",C1015))&gt;0,'Configuración'!$B$31,IF(ISNUMBER(SEARCH("CMO",C1015))+ISNUMBER(SEARCH("Chief Marketing",C1015))+ISNUMBER(SEARCH("VP Marketing",C1015))+ISNUMBER(SEARCH("Director de Marketing",C1015))+ISNUMBER(SEARCH("Director Marketing",C1015))+ISNUMBER(SEARCH("Head of Marketing",C1015))+ISNUMBER(SEARCH("Head Marketing",C1015))&gt;0,'Configuración'!$B$32,IF(ISNUMBER(SEARCH("Marketing Manager",C1015))+ISNUMBER(SEARCH("Gerente de Marketing",C1015))+ISNUMBER(SEARCH("Growth Manager",C1015))+ISNUMBER(SEARCH("Demand Gen",C1015))+ISNUMBER(SEARCH("Marketing Lead",C1015))&gt;0,'Configuración'!$B$33,IF(ISNUMBER(SEARCH("COO",C1015))+ISNUMBER(SEARCH("CFO",C1015))+ISNUMBER(SEARCH("CTO",C1015))+ISNUMBER(SEARCH("Chief Operating",C1015))+ISNUMBER(SEARCH("Chief Financial",C1015))+ISNUMBER(SEARCH("Gerente General",C1015))+ISNUMBER(SEARCH("General Manager",C1015))&gt;0,'Configuración'!$B$34,'Configuración'!$B$35)))))</f>
        <v>4</v>
      </c>
      <c r="V1015" s="38">
        <f>IF(B1015="","",IF(K1015="Sí",'Configuración'!$B$5,0)+IF(L1015="Semanal",'Configuración'!$B$6,IF(L1015="Mensual",'Configuración'!$B$7,0))+IF(M1015="Sí",'Configuración'!$B$8,0)+IF(N1015="Sí",'Configuración'!$B$9,0)+IF(O1015="Sí",'Configuración'!$B$10,0)+IF(P1015="Sí",'Configuración'!$B$11,0)+IF(Q1015="Sí",'Configuración'!$B$12,0)+S1015+T1015+U1015)</f>
        <v>28</v>
      </c>
      <c r="W1015" s="39" t="str">
        <f>IF(B1015="","",IF(V1015&gt;='Configuración'!$B$19,"A",IF(V1015&gt;='Configuración'!$B$20,"B",IF(V1015&gt;='Configuración'!$B$21,"C","Descarte"))))</f>
        <v>C</v>
      </c>
    </row>
    <row r="1016" ht="15.75" customHeight="1">
      <c r="A1016" s="34">
        <f t="shared" si="1"/>
        <v>1014</v>
      </c>
      <c r="B1016" s="29" t="s">
        <v>5915</v>
      </c>
      <c r="C1016" s="29" t="s">
        <v>5916</v>
      </c>
      <c r="D1016" s="29" t="s">
        <v>5917</v>
      </c>
      <c r="E1016" s="29" t="s">
        <v>5918</v>
      </c>
      <c r="F1016" s="30" t="s">
        <v>5919</v>
      </c>
      <c r="G1016" s="30" t="s">
        <v>5920</v>
      </c>
      <c r="H1016" s="30" t="s">
        <v>5921</v>
      </c>
      <c r="I1016" s="29" t="s">
        <v>127</v>
      </c>
      <c r="J1016" s="31">
        <v>24.0</v>
      </c>
      <c r="K1016" s="35"/>
      <c r="L1016" s="35"/>
      <c r="M1016" s="35"/>
      <c r="N1016" s="35"/>
      <c r="O1016" s="35"/>
      <c r="P1016" s="35"/>
      <c r="Q1016" s="35"/>
      <c r="R1016" s="35"/>
      <c r="S1016" s="37">
        <f>IF(B1016="","",IF(ISNUMBER(J1016),IF(J1016&lt;=10,'Configuración'!$B$23,IF(J1016&lt;=50,'Configuración'!$B$24,IF(J1016&lt;=200,'Configuración'!$B$25,0))),0))</f>
        <v>4</v>
      </c>
      <c r="T1016" s="37">
        <f>IF(B1016="","",IF(ISNUMBER(SEARCH("information technology",I1016))+ISNUMBER(SEARCH("software",I1016))+ISNUMBER(SEARCH("internet",I1016))+ISNUMBER(SEARCH("computer",I1016))+ISNUMBER(SEARCH("saas",I1016))+ISNUMBER(SEARCH("fintech",I1016))+ISNUMBER(SEARCH("information services",I1016))+ISNUMBER(SEARCH("telecommunications",I1016))&gt;0,'Configuración'!$B$27,'Configuración'!$B$28))</f>
        <v>12</v>
      </c>
      <c r="U1016" s="25">
        <f>IF(B1016="","",IF(ISNUMBER(SEARCH("CEO",C1016))+ISNUMBER(SEARCH("Founder",C1016))+ISNUMBER(SEARCH("Owner",C1016))+ISNUMBER(SEARCH("Dueño",C1016))+ISNUMBER(SEARCH("Director General",C1016))+ISNUMBER(SEARCH("Presidente",C1016))+ISNUMBER(SEARCH("President",C1016))&gt;0,'Configuración'!$B$31,IF(ISNUMBER(SEARCH("CMO",C1016))+ISNUMBER(SEARCH("Chief Marketing",C1016))+ISNUMBER(SEARCH("VP Marketing",C1016))+ISNUMBER(SEARCH("Director de Marketing",C1016))+ISNUMBER(SEARCH("Director Marketing",C1016))+ISNUMBER(SEARCH("Head of Marketing",C1016))+ISNUMBER(SEARCH("Head Marketing",C1016))&gt;0,'Configuración'!$B$32,IF(ISNUMBER(SEARCH("Marketing Manager",C1016))+ISNUMBER(SEARCH("Gerente de Marketing",C1016))+ISNUMBER(SEARCH("Growth Manager",C1016))+ISNUMBER(SEARCH("Demand Gen",C1016))+ISNUMBER(SEARCH("Marketing Lead",C1016))&gt;0,'Configuración'!$B$33,IF(ISNUMBER(SEARCH("COO",C1016))+ISNUMBER(SEARCH("CFO",C1016))+ISNUMBER(SEARCH("CTO",C1016))+ISNUMBER(SEARCH("Chief Operating",C1016))+ISNUMBER(SEARCH("Chief Financial",C1016))+ISNUMBER(SEARCH("Gerente General",C1016))+ISNUMBER(SEARCH("General Manager",C1016))&gt;0,'Configuración'!$B$34,'Configuración'!$B$35)))))</f>
        <v>12</v>
      </c>
      <c r="V1016" s="38">
        <f>IF(B1016="","",IF(K1016="Sí",'Configuración'!$B$5,0)+IF(L1016="Semanal",'Configuración'!$B$6,IF(L1016="Mensual",'Configuración'!$B$7,0))+IF(M1016="Sí",'Configuración'!$B$8,0)+IF(N1016="Sí",'Configuración'!$B$9,0)+IF(O1016="Sí",'Configuración'!$B$10,0)+IF(P1016="Sí",'Configuración'!$B$11,0)+IF(Q1016="Sí",'Configuración'!$B$12,0)+S1016+T1016+U1016)</f>
        <v>28</v>
      </c>
      <c r="W1016" s="39" t="str">
        <f>IF(B1016="","",IF(V1016&gt;='Configuración'!$B$19,"A",IF(V1016&gt;='Configuración'!$B$20,"B",IF(V1016&gt;='Configuración'!$B$21,"C","Descarte"))))</f>
        <v>C</v>
      </c>
    </row>
    <row r="1017" ht="15.75" customHeight="1">
      <c r="A1017" s="34">
        <f t="shared" si="1"/>
        <v>1015</v>
      </c>
      <c r="B1017" s="29" t="s">
        <v>138</v>
      </c>
      <c r="C1017" s="29" t="s">
        <v>622</v>
      </c>
      <c r="D1017" s="29" t="s">
        <v>5922</v>
      </c>
      <c r="E1017" s="29" t="s">
        <v>5923</v>
      </c>
      <c r="F1017" s="30" t="s">
        <v>5924</v>
      </c>
      <c r="G1017" s="30" t="s">
        <v>5925</v>
      </c>
      <c r="H1017" s="30" t="s">
        <v>5926</v>
      </c>
      <c r="I1017" s="29" t="s">
        <v>1922</v>
      </c>
      <c r="J1017" s="31">
        <v>6.0</v>
      </c>
      <c r="K1017" s="35"/>
      <c r="L1017" s="35"/>
      <c r="M1017" s="35"/>
      <c r="N1017" s="35"/>
      <c r="O1017" s="35"/>
      <c r="P1017" s="35"/>
      <c r="Q1017" s="35"/>
      <c r="R1017" s="35"/>
      <c r="S1017" s="37">
        <f>IF(B1017="","",IF(ISNUMBER(J1017),IF(J1017&lt;=10,'Configuración'!$B$23,IF(J1017&lt;=50,'Configuración'!$B$24,IF(J1017&lt;=200,'Configuración'!$B$25,0))),0))</f>
        <v>12</v>
      </c>
      <c r="T1017" s="37">
        <f>IF(B1017="","",IF(ISNUMBER(SEARCH("information technology",I1017))+ISNUMBER(SEARCH("software",I1017))+ISNUMBER(SEARCH("internet",I1017))+ISNUMBER(SEARCH("computer",I1017))+ISNUMBER(SEARCH("saas",I1017))+ISNUMBER(SEARCH("fintech",I1017))+ISNUMBER(SEARCH("information services",I1017))+ISNUMBER(SEARCH("telecommunications",I1017))&gt;0,'Configuración'!$B$27,'Configuración'!$B$28))</f>
        <v>4</v>
      </c>
      <c r="U1017" s="25">
        <f>IF(B1017="","",IF(ISNUMBER(SEARCH("CEO",C1017))+ISNUMBER(SEARCH("Founder",C1017))+ISNUMBER(SEARCH("Owner",C1017))+ISNUMBER(SEARCH("Dueño",C1017))+ISNUMBER(SEARCH("Director General",C1017))+ISNUMBER(SEARCH("Presidente",C1017))+ISNUMBER(SEARCH("President",C1017))&gt;0,'Configuración'!$B$31,IF(ISNUMBER(SEARCH("CMO",C1017))+ISNUMBER(SEARCH("Chief Marketing",C1017))+ISNUMBER(SEARCH("VP Marketing",C1017))+ISNUMBER(SEARCH("Director de Marketing",C1017))+ISNUMBER(SEARCH("Director Marketing",C1017))+ISNUMBER(SEARCH("Head of Marketing",C1017))+ISNUMBER(SEARCH("Head Marketing",C1017))&gt;0,'Configuración'!$B$32,IF(ISNUMBER(SEARCH("Marketing Manager",C1017))+ISNUMBER(SEARCH("Gerente de Marketing",C1017))+ISNUMBER(SEARCH("Growth Manager",C1017))+ISNUMBER(SEARCH("Demand Gen",C1017))+ISNUMBER(SEARCH("Marketing Lead",C1017))&gt;0,'Configuración'!$B$33,IF(ISNUMBER(SEARCH("COO",C1017))+ISNUMBER(SEARCH("CFO",C1017))+ISNUMBER(SEARCH("CTO",C1017))+ISNUMBER(SEARCH("Chief Operating",C1017))+ISNUMBER(SEARCH("Chief Financial",C1017))+ISNUMBER(SEARCH("Gerente General",C1017))+ISNUMBER(SEARCH("General Manager",C1017))&gt;0,'Configuración'!$B$34,'Configuración'!$B$35)))))</f>
        <v>12</v>
      </c>
      <c r="V1017" s="38">
        <f>IF(B1017="","",IF(K1017="Sí",'Configuración'!$B$5,0)+IF(L1017="Semanal",'Configuración'!$B$6,IF(L1017="Mensual",'Configuración'!$B$7,0))+IF(M1017="Sí",'Configuración'!$B$8,0)+IF(N1017="Sí",'Configuración'!$B$9,0)+IF(O1017="Sí",'Configuración'!$B$10,0)+IF(P1017="Sí",'Configuración'!$B$11,0)+IF(Q1017="Sí",'Configuración'!$B$12,0)+S1017+T1017+U1017)</f>
        <v>28</v>
      </c>
      <c r="W1017" s="39" t="str">
        <f>IF(B1017="","",IF(V1017&gt;='Configuración'!$B$19,"A",IF(V1017&gt;='Configuración'!$B$20,"B",IF(V1017&gt;='Configuración'!$B$21,"C","Descarte"))))</f>
        <v>C</v>
      </c>
    </row>
    <row r="1018" ht="15.75" customHeight="1">
      <c r="A1018" s="34">
        <f t="shared" si="1"/>
        <v>1016</v>
      </c>
      <c r="B1018" s="29" t="s">
        <v>181</v>
      </c>
      <c r="C1018" s="29" t="s">
        <v>5927</v>
      </c>
      <c r="D1018" s="29" t="s">
        <v>5928</v>
      </c>
      <c r="E1018" s="29" t="s">
        <v>5929</v>
      </c>
      <c r="F1018" s="30" t="s">
        <v>5930</v>
      </c>
      <c r="G1018" s="30" t="s">
        <v>5931</v>
      </c>
      <c r="H1018" s="30" t="s">
        <v>5932</v>
      </c>
      <c r="I1018" s="29" t="s">
        <v>127</v>
      </c>
      <c r="J1018" s="31">
        <v>23.0</v>
      </c>
      <c r="K1018" s="35"/>
      <c r="L1018" s="35"/>
      <c r="M1018" s="35"/>
      <c r="N1018" s="35"/>
      <c r="O1018" s="35"/>
      <c r="P1018" s="35"/>
      <c r="Q1018" s="35"/>
      <c r="R1018" s="35"/>
      <c r="S1018" s="37">
        <f>IF(B1018="","",IF(ISNUMBER(J1018),IF(J1018&lt;=10,'Configuración'!$B$23,IF(J1018&lt;=50,'Configuración'!$B$24,IF(J1018&lt;=200,'Configuración'!$B$25,0))),0))</f>
        <v>4</v>
      </c>
      <c r="T1018" s="37">
        <f>IF(B1018="","",IF(ISNUMBER(SEARCH("information technology",I1018))+ISNUMBER(SEARCH("software",I1018))+ISNUMBER(SEARCH("internet",I1018))+ISNUMBER(SEARCH("computer",I1018))+ISNUMBER(SEARCH("saas",I1018))+ISNUMBER(SEARCH("fintech",I1018))+ISNUMBER(SEARCH("information services",I1018))+ISNUMBER(SEARCH("telecommunications",I1018))&gt;0,'Configuración'!$B$27,'Configuración'!$B$28))</f>
        <v>12</v>
      </c>
      <c r="U1018" s="25">
        <f>IF(B1018="","",IF(ISNUMBER(SEARCH("CEO",C1018))+ISNUMBER(SEARCH("Founder",C1018))+ISNUMBER(SEARCH("Owner",C1018))+ISNUMBER(SEARCH("Dueño",C1018))+ISNUMBER(SEARCH("Director General",C1018))+ISNUMBER(SEARCH("Presidente",C1018))+ISNUMBER(SEARCH("President",C1018))&gt;0,'Configuración'!$B$31,IF(ISNUMBER(SEARCH("CMO",C1018))+ISNUMBER(SEARCH("Chief Marketing",C1018))+ISNUMBER(SEARCH("VP Marketing",C1018))+ISNUMBER(SEARCH("Director de Marketing",C1018))+ISNUMBER(SEARCH("Director Marketing",C1018))+ISNUMBER(SEARCH("Head of Marketing",C1018))+ISNUMBER(SEARCH("Head Marketing",C1018))&gt;0,'Configuración'!$B$32,IF(ISNUMBER(SEARCH("Marketing Manager",C1018))+ISNUMBER(SEARCH("Gerente de Marketing",C1018))+ISNUMBER(SEARCH("Growth Manager",C1018))+ISNUMBER(SEARCH("Demand Gen",C1018))+ISNUMBER(SEARCH("Marketing Lead",C1018))&gt;0,'Configuración'!$B$33,IF(ISNUMBER(SEARCH("COO",C1018))+ISNUMBER(SEARCH("CFO",C1018))+ISNUMBER(SEARCH("CTO",C1018))+ISNUMBER(SEARCH("Chief Operating",C1018))+ISNUMBER(SEARCH("Chief Financial",C1018))+ISNUMBER(SEARCH("Gerente General",C1018))+ISNUMBER(SEARCH("General Manager",C1018))&gt;0,'Configuración'!$B$34,'Configuración'!$B$35)))))</f>
        <v>12</v>
      </c>
      <c r="V1018" s="38">
        <f>IF(B1018="","",IF(K1018="Sí",'Configuración'!$B$5,0)+IF(L1018="Semanal",'Configuración'!$B$6,IF(L1018="Mensual",'Configuración'!$B$7,0))+IF(M1018="Sí",'Configuración'!$B$8,0)+IF(N1018="Sí",'Configuración'!$B$9,0)+IF(O1018="Sí",'Configuración'!$B$10,0)+IF(P1018="Sí",'Configuración'!$B$11,0)+IF(Q1018="Sí",'Configuración'!$B$12,0)+S1018+T1018+U1018)</f>
        <v>28</v>
      </c>
      <c r="W1018" s="39" t="str">
        <f>IF(B1018="","",IF(V1018&gt;='Configuración'!$B$19,"A",IF(V1018&gt;='Configuración'!$B$20,"B",IF(V1018&gt;='Configuración'!$B$21,"C","Descarte"))))</f>
        <v>C</v>
      </c>
    </row>
    <row r="1019" ht="15.75" customHeight="1">
      <c r="A1019" s="34">
        <f t="shared" si="1"/>
        <v>1017</v>
      </c>
      <c r="B1019" s="29" t="s">
        <v>3167</v>
      </c>
      <c r="C1019" s="29" t="s">
        <v>5933</v>
      </c>
      <c r="D1019" s="29" t="s">
        <v>5934</v>
      </c>
      <c r="E1019" s="29" t="s">
        <v>5935</v>
      </c>
      <c r="F1019" s="30" t="s">
        <v>5936</v>
      </c>
      <c r="G1019" s="30" t="s">
        <v>5937</v>
      </c>
      <c r="H1019" s="30" t="s">
        <v>5938</v>
      </c>
      <c r="I1019" s="29" t="s">
        <v>288</v>
      </c>
      <c r="J1019" s="31">
        <v>2.0</v>
      </c>
      <c r="K1019" s="35"/>
      <c r="L1019" s="35"/>
      <c r="M1019" s="35"/>
      <c r="N1019" s="35"/>
      <c r="O1019" s="35"/>
      <c r="P1019" s="35"/>
      <c r="Q1019" s="35"/>
      <c r="R1019" s="35"/>
      <c r="S1019" s="37">
        <f>IF(B1019="","",IF(ISNUMBER(J1019),IF(J1019&lt;=10,'Configuración'!$B$23,IF(J1019&lt;=50,'Configuración'!$B$24,IF(J1019&lt;=200,'Configuración'!$B$25,0))),0))</f>
        <v>12</v>
      </c>
      <c r="T1019" s="37">
        <f>IF(B1019="","",IF(ISNUMBER(SEARCH("information technology",I1019))+ISNUMBER(SEARCH("software",I1019))+ISNUMBER(SEARCH("internet",I1019))+ISNUMBER(SEARCH("computer",I1019))+ISNUMBER(SEARCH("saas",I1019))+ISNUMBER(SEARCH("fintech",I1019))+ISNUMBER(SEARCH("information services",I1019))+ISNUMBER(SEARCH("telecommunications",I1019))&gt;0,'Configuración'!$B$27,'Configuración'!$B$28))</f>
        <v>4</v>
      </c>
      <c r="U1019" s="25">
        <f>IF(B1019="","",IF(ISNUMBER(SEARCH("CEO",C1019))+ISNUMBER(SEARCH("Founder",C1019))+ISNUMBER(SEARCH("Owner",C1019))+ISNUMBER(SEARCH("Dueño",C1019))+ISNUMBER(SEARCH("Director General",C1019))+ISNUMBER(SEARCH("Presidente",C1019))+ISNUMBER(SEARCH("President",C1019))&gt;0,'Configuración'!$B$31,IF(ISNUMBER(SEARCH("CMO",C1019))+ISNUMBER(SEARCH("Chief Marketing",C1019))+ISNUMBER(SEARCH("VP Marketing",C1019))+ISNUMBER(SEARCH("Director de Marketing",C1019))+ISNUMBER(SEARCH("Director Marketing",C1019))+ISNUMBER(SEARCH("Head of Marketing",C1019))+ISNUMBER(SEARCH("Head Marketing",C1019))&gt;0,'Configuración'!$B$32,IF(ISNUMBER(SEARCH("Marketing Manager",C1019))+ISNUMBER(SEARCH("Gerente de Marketing",C1019))+ISNUMBER(SEARCH("Growth Manager",C1019))+ISNUMBER(SEARCH("Demand Gen",C1019))+ISNUMBER(SEARCH("Marketing Lead",C1019))&gt;0,'Configuración'!$B$33,IF(ISNUMBER(SEARCH("COO",C1019))+ISNUMBER(SEARCH("CFO",C1019))+ISNUMBER(SEARCH("CTO",C1019))+ISNUMBER(SEARCH("Chief Operating",C1019))+ISNUMBER(SEARCH("Chief Financial",C1019))+ISNUMBER(SEARCH("Gerente General",C1019))+ISNUMBER(SEARCH("General Manager",C1019))&gt;0,'Configuración'!$B$34,'Configuración'!$B$35)))))</f>
        <v>12</v>
      </c>
      <c r="V1019" s="38">
        <f>IF(B1019="","",IF(K1019="Sí",'Configuración'!$B$5,0)+IF(L1019="Semanal",'Configuración'!$B$6,IF(L1019="Mensual",'Configuración'!$B$7,0))+IF(M1019="Sí",'Configuración'!$B$8,0)+IF(N1019="Sí",'Configuración'!$B$9,0)+IF(O1019="Sí",'Configuración'!$B$10,0)+IF(P1019="Sí",'Configuración'!$B$11,0)+IF(Q1019="Sí",'Configuración'!$B$12,0)+S1019+T1019+U1019)</f>
        <v>28</v>
      </c>
      <c r="W1019" s="39" t="str">
        <f>IF(B1019="","",IF(V1019&gt;='Configuración'!$B$19,"A",IF(V1019&gt;='Configuración'!$B$20,"B",IF(V1019&gt;='Configuración'!$B$21,"C","Descarte"))))</f>
        <v>C</v>
      </c>
    </row>
    <row r="1020" ht="15.75" customHeight="1">
      <c r="A1020" s="34">
        <f t="shared" si="1"/>
        <v>1018</v>
      </c>
      <c r="B1020" s="29" t="s">
        <v>138</v>
      </c>
      <c r="C1020" s="29" t="s">
        <v>1522</v>
      </c>
      <c r="D1020" s="40" t="s">
        <v>5939</v>
      </c>
      <c r="E1020" s="29" t="s">
        <v>5940</v>
      </c>
      <c r="F1020" s="30" t="s">
        <v>5941</v>
      </c>
      <c r="G1020" s="30" t="s">
        <v>5942</v>
      </c>
      <c r="H1020" s="30" t="s">
        <v>5943</v>
      </c>
      <c r="I1020" s="29" t="s">
        <v>188</v>
      </c>
      <c r="J1020" s="31">
        <v>2.0</v>
      </c>
      <c r="K1020" s="35"/>
      <c r="L1020" s="35"/>
      <c r="M1020" s="35"/>
      <c r="N1020" s="35"/>
      <c r="O1020" s="35"/>
      <c r="P1020" s="35"/>
      <c r="Q1020" s="35"/>
      <c r="R1020" s="35"/>
      <c r="S1020" s="37">
        <f>IF(B1020="","",IF(ISNUMBER(J1020),IF(J1020&lt;=10,'Configuración'!$B$23,IF(J1020&lt;=50,'Configuración'!$B$24,IF(J1020&lt;=200,'Configuración'!$B$25,0))),0))</f>
        <v>12</v>
      </c>
      <c r="T1020" s="37">
        <f>IF(B1020="","",IF(ISNUMBER(SEARCH("information technology",I1020))+ISNUMBER(SEARCH("software",I1020))+ISNUMBER(SEARCH("internet",I1020))+ISNUMBER(SEARCH("computer",I1020))+ISNUMBER(SEARCH("saas",I1020))+ISNUMBER(SEARCH("fintech",I1020))+ISNUMBER(SEARCH("information services",I1020))+ISNUMBER(SEARCH("telecommunications",I1020))&gt;0,'Configuración'!$B$27,'Configuración'!$B$28))</f>
        <v>4</v>
      </c>
      <c r="U1020" s="25">
        <f>IF(B1020="","",IF(ISNUMBER(SEARCH("CEO",C1020))+ISNUMBER(SEARCH("Founder",C1020))+ISNUMBER(SEARCH("Owner",C1020))+ISNUMBER(SEARCH("Dueño",C1020))+ISNUMBER(SEARCH("Director General",C1020))+ISNUMBER(SEARCH("Presidente",C1020))+ISNUMBER(SEARCH("President",C1020))&gt;0,'Configuración'!$B$31,IF(ISNUMBER(SEARCH("CMO",C1020))+ISNUMBER(SEARCH("Chief Marketing",C1020))+ISNUMBER(SEARCH("VP Marketing",C1020))+ISNUMBER(SEARCH("Director de Marketing",C1020))+ISNUMBER(SEARCH("Director Marketing",C1020))+ISNUMBER(SEARCH("Head of Marketing",C1020))+ISNUMBER(SEARCH("Head Marketing",C1020))&gt;0,'Configuración'!$B$32,IF(ISNUMBER(SEARCH("Marketing Manager",C1020))+ISNUMBER(SEARCH("Gerente de Marketing",C1020))+ISNUMBER(SEARCH("Growth Manager",C1020))+ISNUMBER(SEARCH("Demand Gen",C1020))+ISNUMBER(SEARCH("Marketing Lead",C1020))&gt;0,'Configuración'!$B$33,IF(ISNUMBER(SEARCH("COO",C1020))+ISNUMBER(SEARCH("CFO",C1020))+ISNUMBER(SEARCH("CTO",C1020))+ISNUMBER(SEARCH("Chief Operating",C1020))+ISNUMBER(SEARCH("Chief Financial",C1020))+ISNUMBER(SEARCH("Gerente General",C1020))+ISNUMBER(SEARCH("General Manager",C1020))&gt;0,'Configuración'!$B$34,'Configuración'!$B$35)))))</f>
        <v>12</v>
      </c>
      <c r="V1020" s="38">
        <f>IF(B1020="","",IF(K1020="Sí",'Configuración'!$B$5,0)+IF(L1020="Semanal",'Configuración'!$B$6,IF(L1020="Mensual",'Configuración'!$B$7,0))+IF(M1020="Sí",'Configuración'!$B$8,0)+IF(N1020="Sí",'Configuración'!$B$9,0)+IF(O1020="Sí",'Configuración'!$B$10,0)+IF(P1020="Sí",'Configuración'!$B$11,0)+IF(Q1020="Sí",'Configuración'!$B$12,0)+S1020+T1020+U1020)</f>
        <v>28</v>
      </c>
      <c r="W1020" s="39" t="str">
        <f>IF(B1020="","",IF(V1020&gt;='Configuración'!$B$19,"A",IF(V1020&gt;='Configuración'!$B$20,"B",IF(V1020&gt;='Configuración'!$B$21,"C","Descarte"))))</f>
        <v>C</v>
      </c>
    </row>
    <row r="1021" ht="15.75" customHeight="1">
      <c r="A1021" s="34">
        <f t="shared" si="1"/>
        <v>1019</v>
      </c>
      <c r="B1021" s="29" t="s">
        <v>159</v>
      </c>
      <c r="C1021" s="29" t="s">
        <v>5944</v>
      </c>
      <c r="D1021" s="30" t="s">
        <v>2539</v>
      </c>
      <c r="E1021" s="29" t="s">
        <v>5945</v>
      </c>
      <c r="F1021" s="30" t="s">
        <v>5946</v>
      </c>
      <c r="G1021" s="30" t="s">
        <v>2542</v>
      </c>
      <c r="H1021" s="30" t="s">
        <v>2543</v>
      </c>
      <c r="I1021" s="29" t="s">
        <v>1393</v>
      </c>
      <c r="J1021" s="31">
        <v>40.0</v>
      </c>
      <c r="K1021" s="35"/>
      <c r="L1021" s="35"/>
      <c r="M1021" s="35"/>
      <c r="N1021" s="35"/>
      <c r="O1021" s="35"/>
      <c r="P1021" s="35"/>
      <c r="Q1021" s="35"/>
      <c r="R1021" s="35"/>
      <c r="S1021" s="37">
        <f>IF(B1021="","",IF(ISNUMBER(J1021),IF(J1021&lt;=10,'Configuración'!$B$23,IF(J1021&lt;=50,'Configuración'!$B$24,IF(J1021&lt;=200,'Configuración'!$B$25,0))),0))</f>
        <v>4</v>
      </c>
      <c r="T1021" s="37">
        <f>IF(B1021="","",IF(ISNUMBER(SEARCH("information technology",I1021))+ISNUMBER(SEARCH("software",I1021))+ISNUMBER(SEARCH("internet",I1021))+ISNUMBER(SEARCH("computer",I1021))+ISNUMBER(SEARCH("saas",I1021))+ISNUMBER(SEARCH("fintech",I1021))+ISNUMBER(SEARCH("information services",I1021))+ISNUMBER(SEARCH("telecommunications",I1021))&gt;0,'Configuración'!$B$27,'Configuración'!$B$28))</f>
        <v>4</v>
      </c>
      <c r="U1021" s="25">
        <f>IF(B1021="","",IF(ISNUMBER(SEARCH("CEO",C1021))+ISNUMBER(SEARCH("Founder",C1021))+ISNUMBER(SEARCH("Owner",C1021))+ISNUMBER(SEARCH("Dueño",C1021))+ISNUMBER(SEARCH("Director General",C1021))+ISNUMBER(SEARCH("Presidente",C1021))+ISNUMBER(SEARCH("President",C1021))&gt;0,'Configuración'!$B$31,IF(ISNUMBER(SEARCH("CMO",C1021))+ISNUMBER(SEARCH("Chief Marketing",C1021))+ISNUMBER(SEARCH("VP Marketing",C1021))+ISNUMBER(SEARCH("Director de Marketing",C1021))+ISNUMBER(SEARCH("Director Marketing",C1021))+ISNUMBER(SEARCH("Head of Marketing",C1021))+ISNUMBER(SEARCH("Head Marketing",C1021))&gt;0,'Configuración'!$B$32,IF(ISNUMBER(SEARCH("Marketing Manager",C1021))+ISNUMBER(SEARCH("Gerente de Marketing",C1021))+ISNUMBER(SEARCH("Growth Manager",C1021))+ISNUMBER(SEARCH("Demand Gen",C1021))+ISNUMBER(SEARCH("Marketing Lead",C1021))&gt;0,'Configuración'!$B$33,IF(ISNUMBER(SEARCH("COO",C1021))+ISNUMBER(SEARCH("CFO",C1021))+ISNUMBER(SEARCH("CTO",C1021))+ISNUMBER(SEARCH("Chief Operating",C1021))+ISNUMBER(SEARCH("Chief Financial",C1021))+ISNUMBER(SEARCH("Gerente General",C1021))+ISNUMBER(SEARCH("General Manager",C1021))&gt;0,'Configuración'!$B$34,'Configuración'!$B$35)))))</f>
        <v>12</v>
      </c>
      <c r="V1021" s="38">
        <f>IF(B1021="","",IF(K1021="Sí",'Configuración'!$B$5,0)+IF(L1021="Semanal",'Configuración'!$B$6,IF(L1021="Mensual",'Configuración'!$B$7,0))+IF(M1021="Sí",'Configuración'!$B$8,0)+IF(N1021="Sí",'Configuración'!$B$9,0)+IF(O1021="Sí",'Configuración'!$B$10,0)+IF(P1021="Sí",'Configuración'!$B$11,0)+IF(Q1021="Sí",'Configuración'!$B$12,0)+S1021+T1021+U1021)</f>
        <v>20</v>
      </c>
      <c r="W1021" s="39" t="str">
        <f>IF(B1021="","",IF(V1021&gt;='Configuración'!$B$19,"A",IF(V1021&gt;='Configuración'!$B$20,"B",IF(V1021&gt;='Configuración'!$B$21,"C","Descarte"))))</f>
        <v>Descarte</v>
      </c>
    </row>
    <row r="1022" ht="15.75" customHeight="1">
      <c r="A1022" s="34">
        <f t="shared" si="1"/>
        <v>1020</v>
      </c>
      <c r="B1022" s="29" t="s">
        <v>174</v>
      </c>
      <c r="C1022" s="29" t="s">
        <v>311</v>
      </c>
      <c r="D1022" s="29" t="s">
        <v>5947</v>
      </c>
      <c r="E1022" s="29" t="s">
        <v>5948</v>
      </c>
      <c r="F1022" s="30" t="s">
        <v>5949</v>
      </c>
      <c r="G1022" s="30" t="s">
        <v>5950</v>
      </c>
      <c r="H1022" s="30" t="s">
        <v>5951</v>
      </c>
      <c r="I1022" s="29" t="s">
        <v>127</v>
      </c>
      <c r="J1022" s="31">
        <v>5.0</v>
      </c>
      <c r="K1022" s="35"/>
      <c r="L1022" s="35"/>
      <c r="M1022" s="35"/>
      <c r="N1022" s="35"/>
      <c r="O1022" s="35"/>
      <c r="P1022" s="35"/>
      <c r="Q1022" s="35"/>
      <c r="R1022" s="35"/>
      <c r="S1022" s="37">
        <f>IF(B1022="","",IF(ISNUMBER(J1022),IF(J1022&lt;=10,'Configuración'!$B$23,IF(J1022&lt;=50,'Configuración'!$B$24,IF(J1022&lt;=200,'Configuración'!$B$25,0))),0))</f>
        <v>12</v>
      </c>
      <c r="T1022" s="37">
        <f>IF(B1022="","",IF(ISNUMBER(SEARCH("information technology",I1022))+ISNUMBER(SEARCH("software",I1022))+ISNUMBER(SEARCH("internet",I1022))+ISNUMBER(SEARCH("computer",I1022))+ISNUMBER(SEARCH("saas",I1022))+ISNUMBER(SEARCH("fintech",I1022))+ISNUMBER(SEARCH("information services",I1022))+ISNUMBER(SEARCH("telecommunications",I1022))&gt;0,'Configuración'!$B$27,'Configuración'!$B$28))</f>
        <v>12</v>
      </c>
      <c r="U1022" s="25">
        <f>IF(B1022="","",IF(ISNUMBER(SEARCH("CEO",C1022))+ISNUMBER(SEARCH("Founder",C1022))+ISNUMBER(SEARCH("Owner",C1022))+ISNUMBER(SEARCH("Dueño",C1022))+ISNUMBER(SEARCH("Director General",C1022))+ISNUMBER(SEARCH("Presidente",C1022))+ISNUMBER(SEARCH("President",C1022))&gt;0,'Configuración'!$B$31,IF(ISNUMBER(SEARCH("CMO",C1022))+ISNUMBER(SEARCH("Chief Marketing",C1022))+ISNUMBER(SEARCH("VP Marketing",C1022))+ISNUMBER(SEARCH("Director de Marketing",C1022))+ISNUMBER(SEARCH("Director Marketing",C1022))+ISNUMBER(SEARCH("Head of Marketing",C1022))+ISNUMBER(SEARCH("Head Marketing",C1022))&gt;0,'Configuración'!$B$32,IF(ISNUMBER(SEARCH("Marketing Manager",C1022))+ISNUMBER(SEARCH("Gerente de Marketing",C1022))+ISNUMBER(SEARCH("Growth Manager",C1022))+ISNUMBER(SEARCH("Demand Gen",C1022))+ISNUMBER(SEARCH("Marketing Lead",C1022))&gt;0,'Configuración'!$B$33,IF(ISNUMBER(SEARCH("COO",C1022))+ISNUMBER(SEARCH("CFO",C1022))+ISNUMBER(SEARCH("CTO",C1022))+ISNUMBER(SEARCH("Chief Operating",C1022))+ISNUMBER(SEARCH("Chief Financial",C1022))+ISNUMBER(SEARCH("Gerente General",C1022))+ISNUMBER(SEARCH("General Manager",C1022))&gt;0,'Configuración'!$B$34,'Configuración'!$B$35)))))</f>
        <v>12</v>
      </c>
      <c r="V1022" s="38">
        <f>IF(B1022="","",IF(K1022="Sí",'Configuración'!$B$5,0)+IF(L1022="Semanal",'Configuración'!$B$6,IF(L1022="Mensual",'Configuración'!$B$7,0))+IF(M1022="Sí",'Configuración'!$B$8,0)+IF(N1022="Sí",'Configuración'!$B$9,0)+IF(O1022="Sí",'Configuración'!$B$10,0)+IF(P1022="Sí",'Configuración'!$B$11,0)+IF(Q1022="Sí",'Configuración'!$B$12,0)+S1022+T1022+U1022)</f>
        <v>36</v>
      </c>
      <c r="W1022" s="39" t="str">
        <f>IF(B1022="","",IF(V1022&gt;='Configuración'!$B$19,"A",IF(V1022&gt;='Configuración'!$B$20,"B",IF(V1022&gt;='Configuración'!$B$21,"C","Descarte"))))</f>
        <v>C</v>
      </c>
    </row>
    <row r="1023" ht="15.75" customHeight="1">
      <c r="A1023" s="34">
        <f t="shared" si="1"/>
        <v>1021</v>
      </c>
      <c r="B1023" s="29" t="s">
        <v>166</v>
      </c>
      <c r="C1023" s="29" t="s">
        <v>5952</v>
      </c>
      <c r="D1023" s="29" t="s">
        <v>5953</v>
      </c>
      <c r="E1023" s="29" t="s">
        <v>5954</v>
      </c>
      <c r="F1023" s="30" t="s">
        <v>5955</v>
      </c>
      <c r="G1023" s="30" t="s">
        <v>5956</v>
      </c>
      <c r="H1023" s="30" t="s">
        <v>5957</v>
      </c>
      <c r="I1023" s="29" t="s">
        <v>188</v>
      </c>
      <c r="J1023" s="31">
        <v>1.0</v>
      </c>
      <c r="K1023" s="35"/>
      <c r="L1023" s="35"/>
      <c r="M1023" s="35"/>
      <c r="N1023" s="35"/>
      <c r="O1023" s="35"/>
      <c r="P1023" s="35"/>
      <c r="Q1023" s="35"/>
      <c r="R1023" s="35"/>
      <c r="S1023" s="37">
        <f>IF(B1023="","",IF(ISNUMBER(J1023),IF(J1023&lt;=10,'Configuración'!$B$23,IF(J1023&lt;=50,'Configuración'!$B$24,IF(J1023&lt;=200,'Configuración'!$B$25,0))),0))</f>
        <v>12</v>
      </c>
      <c r="T1023" s="37">
        <f>IF(B1023="","",IF(ISNUMBER(SEARCH("information technology",I1023))+ISNUMBER(SEARCH("software",I1023))+ISNUMBER(SEARCH("internet",I1023))+ISNUMBER(SEARCH("computer",I1023))+ISNUMBER(SEARCH("saas",I1023))+ISNUMBER(SEARCH("fintech",I1023))+ISNUMBER(SEARCH("information services",I1023))+ISNUMBER(SEARCH("telecommunications",I1023))&gt;0,'Configuración'!$B$27,'Configuración'!$B$28))</f>
        <v>4</v>
      </c>
      <c r="U1023" s="25">
        <f>IF(B1023="","",IF(ISNUMBER(SEARCH("CEO",C1023))+ISNUMBER(SEARCH("Founder",C1023))+ISNUMBER(SEARCH("Owner",C1023))+ISNUMBER(SEARCH("Dueño",C1023))+ISNUMBER(SEARCH("Director General",C1023))+ISNUMBER(SEARCH("Presidente",C1023))+ISNUMBER(SEARCH("President",C1023))&gt;0,'Configuración'!$B$31,IF(ISNUMBER(SEARCH("CMO",C1023))+ISNUMBER(SEARCH("Chief Marketing",C1023))+ISNUMBER(SEARCH("VP Marketing",C1023))+ISNUMBER(SEARCH("Director de Marketing",C1023))+ISNUMBER(SEARCH("Director Marketing",C1023))+ISNUMBER(SEARCH("Head of Marketing",C1023))+ISNUMBER(SEARCH("Head Marketing",C1023))&gt;0,'Configuración'!$B$32,IF(ISNUMBER(SEARCH("Marketing Manager",C1023))+ISNUMBER(SEARCH("Gerente de Marketing",C1023))+ISNUMBER(SEARCH("Growth Manager",C1023))+ISNUMBER(SEARCH("Demand Gen",C1023))+ISNUMBER(SEARCH("Marketing Lead",C1023))&gt;0,'Configuración'!$B$33,IF(ISNUMBER(SEARCH("COO",C1023))+ISNUMBER(SEARCH("CFO",C1023))+ISNUMBER(SEARCH("CTO",C1023))+ISNUMBER(SEARCH("Chief Operating",C1023))+ISNUMBER(SEARCH("Chief Financial",C1023))+ISNUMBER(SEARCH("Gerente General",C1023))+ISNUMBER(SEARCH("General Manager",C1023))&gt;0,'Configuración'!$B$34,'Configuración'!$B$35)))))</f>
        <v>12</v>
      </c>
      <c r="V1023" s="38">
        <f>IF(B1023="","",IF(K1023="Sí",'Configuración'!$B$5,0)+IF(L1023="Semanal",'Configuración'!$B$6,IF(L1023="Mensual",'Configuración'!$B$7,0))+IF(M1023="Sí",'Configuración'!$B$8,0)+IF(N1023="Sí",'Configuración'!$B$9,0)+IF(O1023="Sí",'Configuración'!$B$10,0)+IF(P1023="Sí",'Configuración'!$B$11,0)+IF(Q1023="Sí",'Configuración'!$B$12,0)+S1023+T1023+U1023)</f>
        <v>28</v>
      </c>
      <c r="W1023" s="39" t="str">
        <f>IF(B1023="","",IF(V1023&gt;='Configuración'!$B$19,"A",IF(V1023&gt;='Configuración'!$B$20,"B",IF(V1023&gt;='Configuración'!$B$21,"C","Descarte"))))</f>
        <v>C</v>
      </c>
    </row>
    <row r="1024" ht="15.75" customHeight="1">
      <c r="A1024" s="34">
        <f t="shared" si="1"/>
        <v>1022</v>
      </c>
      <c r="B1024" s="29" t="s">
        <v>5958</v>
      </c>
      <c r="C1024" s="29" t="s">
        <v>131</v>
      </c>
      <c r="D1024" s="29" t="s">
        <v>5959</v>
      </c>
      <c r="E1024" s="29" t="s">
        <v>5960</v>
      </c>
      <c r="F1024" s="30" t="s">
        <v>5961</v>
      </c>
      <c r="G1024" s="30" t="s">
        <v>5962</v>
      </c>
      <c r="H1024" s="30" t="s">
        <v>5963</v>
      </c>
      <c r="I1024" s="29" t="s">
        <v>873</v>
      </c>
      <c r="J1024" s="31">
        <v>8.0</v>
      </c>
      <c r="K1024" s="35"/>
      <c r="L1024" s="35"/>
      <c r="M1024" s="35"/>
      <c r="N1024" s="35"/>
      <c r="O1024" s="35"/>
      <c r="P1024" s="35"/>
      <c r="Q1024" s="35"/>
      <c r="R1024" s="35"/>
      <c r="S1024" s="37">
        <f>IF(B1024="","",IF(ISNUMBER(J1024),IF(J1024&lt;=10,'Configuración'!$B$23,IF(J1024&lt;=50,'Configuración'!$B$24,IF(J1024&lt;=200,'Configuración'!$B$25,0))),0))</f>
        <v>12</v>
      </c>
      <c r="T1024" s="37">
        <f>IF(B1024="","",IF(ISNUMBER(SEARCH("information technology",I1024))+ISNUMBER(SEARCH("software",I1024))+ISNUMBER(SEARCH("internet",I1024))+ISNUMBER(SEARCH("computer",I1024))+ISNUMBER(SEARCH("saas",I1024))+ISNUMBER(SEARCH("fintech",I1024))+ISNUMBER(SEARCH("information services",I1024))+ISNUMBER(SEARCH("telecommunications",I1024))&gt;0,'Configuración'!$B$27,'Configuración'!$B$28))</f>
        <v>4</v>
      </c>
      <c r="U1024" s="25">
        <f>IF(B1024="","",IF(ISNUMBER(SEARCH("CEO",C1024))+ISNUMBER(SEARCH("Founder",C1024))+ISNUMBER(SEARCH("Owner",C1024))+ISNUMBER(SEARCH("Dueño",C1024))+ISNUMBER(SEARCH("Director General",C1024))+ISNUMBER(SEARCH("Presidente",C1024))+ISNUMBER(SEARCH("President",C1024))&gt;0,'Configuración'!$B$31,IF(ISNUMBER(SEARCH("CMO",C1024))+ISNUMBER(SEARCH("Chief Marketing",C1024))+ISNUMBER(SEARCH("VP Marketing",C1024))+ISNUMBER(SEARCH("Director de Marketing",C1024))+ISNUMBER(SEARCH("Director Marketing",C1024))+ISNUMBER(SEARCH("Head of Marketing",C1024))+ISNUMBER(SEARCH("Head Marketing",C1024))&gt;0,'Configuración'!$B$32,IF(ISNUMBER(SEARCH("Marketing Manager",C1024))+ISNUMBER(SEARCH("Gerente de Marketing",C1024))+ISNUMBER(SEARCH("Growth Manager",C1024))+ISNUMBER(SEARCH("Demand Gen",C1024))+ISNUMBER(SEARCH("Marketing Lead",C1024))&gt;0,'Configuración'!$B$33,IF(ISNUMBER(SEARCH("COO",C1024))+ISNUMBER(SEARCH("CFO",C1024))+ISNUMBER(SEARCH("CTO",C1024))+ISNUMBER(SEARCH("Chief Operating",C1024))+ISNUMBER(SEARCH("Chief Financial",C1024))+ISNUMBER(SEARCH("Gerente General",C1024))+ISNUMBER(SEARCH("General Manager",C1024))&gt;0,'Configuración'!$B$34,'Configuración'!$B$35)))))</f>
        <v>12</v>
      </c>
      <c r="V1024" s="38">
        <f>IF(B1024="","",IF(K1024="Sí",'Configuración'!$B$5,0)+IF(L1024="Semanal",'Configuración'!$B$6,IF(L1024="Mensual",'Configuración'!$B$7,0))+IF(M1024="Sí",'Configuración'!$B$8,0)+IF(N1024="Sí",'Configuración'!$B$9,0)+IF(O1024="Sí",'Configuración'!$B$10,0)+IF(P1024="Sí",'Configuración'!$B$11,0)+IF(Q1024="Sí",'Configuración'!$B$12,0)+S1024+T1024+U1024)</f>
        <v>28</v>
      </c>
      <c r="W1024" s="39" t="str">
        <f>IF(B1024="","",IF(V1024&gt;='Configuración'!$B$19,"A",IF(V1024&gt;='Configuración'!$B$20,"B",IF(V1024&gt;='Configuración'!$B$21,"C","Descarte"))))</f>
        <v>C</v>
      </c>
    </row>
    <row r="1025" ht="15.75" customHeight="1">
      <c r="A1025" s="34">
        <f t="shared" si="1"/>
        <v>1023</v>
      </c>
      <c r="B1025" s="29" t="s">
        <v>4622</v>
      </c>
      <c r="C1025" s="29" t="s">
        <v>597</v>
      </c>
      <c r="D1025" s="29" t="s">
        <v>5964</v>
      </c>
      <c r="E1025" s="29" t="s">
        <v>5965</v>
      </c>
      <c r="F1025" s="30" t="s">
        <v>5966</v>
      </c>
      <c r="G1025" s="30" t="s">
        <v>5967</v>
      </c>
      <c r="H1025" s="30" t="s">
        <v>5968</v>
      </c>
      <c r="I1025" s="29" t="s">
        <v>116</v>
      </c>
      <c r="J1025" s="31">
        <v>11.0</v>
      </c>
      <c r="K1025" s="35"/>
      <c r="L1025" s="35"/>
      <c r="M1025" s="35"/>
      <c r="N1025" s="35"/>
      <c r="O1025" s="35"/>
      <c r="P1025" s="35"/>
      <c r="Q1025" s="35"/>
      <c r="R1025" s="35"/>
      <c r="S1025" s="37">
        <f>IF(B1025="","",IF(ISNUMBER(J1025),IF(J1025&lt;=10,'Configuración'!$B$23,IF(J1025&lt;=50,'Configuración'!$B$24,IF(J1025&lt;=200,'Configuración'!$B$25,0))),0))</f>
        <v>4</v>
      </c>
      <c r="T1025" s="37">
        <f>IF(B1025="","",IF(ISNUMBER(SEARCH("information technology",I1025))+ISNUMBER(SEARCH("software",I1025))+ISNUMBER(SEARCH("internet",I1025))+ISNUMBER(SEARCH("computer",I1025))+ISNUMBER(SEARCH("saas",I1025))+ISNUMBER(SEARCH("fintech",I1025))+ISNUMBER(SEARCH("information services",I1025))+ISNUMBER(SEARCH("telecommunications",I1025))&gt;0,'Configuración'!$B$27,'Configuración'!$B$28))</f>
        <v>4</v>
      </c>
      <c r="U1025" s="25">
        <f>IF(B1025="","",IF(ISNUMBER(SEARCH("CEO",C1025))+ISNUMBER(SEARCH("Founder",C1025))+ISNUMBER(SEARCH("Owner",C1025))+ISNUMBER(SEARCH("Dueño",C1025))+ISNUMBER(SEARCH("Director General",C1025))+ISNUMBER(SEARCH("Presidente",C1025))+ISNUMBER(SEARCH("President",C1025))&gt;0,'Configuración'!$B$31,IF(ISNUMBER(SEARCH("CMO",C1025))+ISNUMBER(SEARCH("Chief Marketing",C1025))+ISNUMBER(SEARCH("VP Marketing",C1025))+ISNUMBER(SEARCH("Director de Marketing",C1025))+ISNUMBER(SEARCH("Director Marketing",C1025))+ISNUMBER(SEARCH("Head of Marketing",C1025))+ISNUMBER(SEARCH("Head Marketing",C1025))&gt;0,'Configuración'!$B$32,IF(ISNUMBER(SEARCH("Marketing Manager",C1025))+ISNUMBER(SEARCH("Gerente de Marketing",C1025))+ISNUMBER(SEARCH("Growth Manager",C1025))+ISNUMBER(SEARCH("Demand Gen",C1025))+ISNUMBER(SEARCH("Marketing Lead",C1025))&gt;0,'Configuración'!$B$33,IF(ISNUMBER(SEARCH("COO",C1025))+ISNUMBER(SEARCH("CFO",C1025))+ISNUMBER(SEARCH("CTO",C1025))+ISNUMBER(SEARCH("Chief Operating",C1025))+ISNUMBER(SEARCH("Chief Financial",C1025))+ISNUMBER(SEARCH("Gerente General",C1025))+ISNUMBER(SEARCH("General Manager",C1025))&gt;0,'Configuración'!$B$34,'Configuración'!$B$35)))))</f>
        <v>12</v>
      </c>
      <c r="V1025" s="38">
        <f>IF(B1025="","",IF(K1025="Sí",'Configuración'!$B$5,0)+IF(L1025="Semanal",'Configuración'!$B$6,IF(L1025="Mensual",'Configuración'!$B$7,0))+IF(M1025="Sí",'Configuración'!$B$8,0)+IF(N1025="Sí",'Configuración'!$B$9,0)+IF(O1025="Sí",'Configuración'!$B$10,0)+IF(P1025="Sí",'Configuración'!$B$11,0)+IF(Q1025="Sí",'Configuración'!$B$12,0)+S1025+T1025+U1025)</f>
        <v>20</v>
      </c>
      <c r="W1025" s="39" t="str">
        <f>IF(B1025="","",IF(V1025&gt;='Configuración'!$B$19,"A",IF(V1025&gt;='Configuración'!$B$20,"B",IF(V1025&gt;='Configuración'!$B$21,"C","Descarte"))))</f>
        <v>Descarte</v>
      </c>
    </row>
    <row r="1026" ht="15.75" customHeight="1">
      <c r="A1026" s="34">
        <f t="shared" si="1"/>
        <v>1024</v>
      </c>
      <c r="B1026" s="29" t="s">
        <v>473</v>
      </c>
      <c r="C1026" s="29" t="s">
        <v>5969</v>
      </c>
      <c r="D1026" s="29" t="s">
        <v>5970</v>
      </c>
      <c r="E1026" s="29" t="s">
        <v>5971</v>
      </c>
      <c r="F1026" s="30" t="s">
        <v>5972</v>
      </c>
      <c r="G1026" s="30" t="s">
        <v>5973</v>
      </c>
      <c r="H1026" s="30" t="s">
        <v>5974</v>
      </c>
      <c r="I1026" s="29" t="s">
        <v>127</v>
      </c>
      <c r="J1026" s="31">
        <v>2.0</v>
      </c>
      <c r="K1026" s="35"/>
      <c r="L1026" s="35"/>
      <c r="M1026" s="35"/>
      <c r="N1026" s="35"/>
      <c r="O1026" s="35"/>
      <c r="P1026" s="35"/>
      <c r="Q1026" s="35"/>
      <c r="R1026" s="35"/>
      <c r="S1026" s="37">
        <f>IF(B1026="","",IF(ISNUMBER(J1026),IF(J1026&lt;=10,'Configuración'!$B$23,IF(J1026&lt;=50,'Configuración'!$B$24,IF(J1026&lt;=200,'Configuración'!$B$25,0))),0))</f>
        <v>12</v>
      </c>
      <c r="T1026" s="37">
        <f>IF(B1026="","",IF(ISNUMBER(SEARCH("information technology",I1026))+ISNUMBER(SEARCH("software",I1026))+ISNUMBER(SEARCH("internet",I1026))+ISNUMBER(SEARCH("computer",I1026))+ISNUMBER(SEARCH("saas",I1026))+ISNUMBER(SEARCH("fintech",I1026))+ISNUMBER(SEARCH("information services",I1026))+ISNUMBER(SEARCH("telecommunications",I1026))&gt;0,'Configuración'!$B$27,'Configuración'!$B$28))</f>
        <v>12</v>
      </c>
      <c r="U1026" s="25">
        <f>IF(B1026="","",IF(ISNUMBER(SEARCH("CEO",C1026))+ISNUMBER(SEARCH("Founder",C1026))+ISNUMBER(SEARCH("Owner",C1026))+ISNUMBER(SEARCH("Dueño",C1026))+ISNUMBER(SEARCH("Director General",C1026))+ISNUMBER(SEARCH("Presidente",C1026))+ISNUMBER(SEARCH("President",C1026))&gt;0,'Configuración'!$B$31,IF(ISNUMBER(SEARCH("CMO",C1026))+ISNUMBER(SEARCH("Chief Marketing",C1026))+ISNUMBER(SEARCH("VP Marketing",C1026))+ISNUMBER(SEARCH("Director de Marketing",C1026))+ISNUMBER(SEARCH("Director Marketing",C1026))+ISNUMBER(SEARCH("Head of Marketing",C1026))+ISNUMBER(SEARCH("Head Marketing",C1026))&gt;0,'Configuración'!$B$32,IF(ISNUMBER(SEARCH("Marketing Manager",C1026))+ISNUMBER(SEARCH("Gerente de Marketing",C1026))+ISNUMBER(SEARCH("Growth Manager",C1026))+ISNUMBER(SEARCH("Demand Gen",C1026))+ISNUMBER(SEARCH("Marketing Lead",C1026))&gt;0,'Configuración'!$B$33,IF(ISNUMBER(SEARCH("COO",C1026))+ISNUMBER(SEARCH("CFO",C1026))+ISNUMBER(SEARCH("CTO",C1026))+ISNUMBER(SEARCH("Chief Operating",C1026))+ISNUMBER(SEARCH("Chief Financial",C1026))+ISNUMBER(SEARCH("Gerente General",C1026))+ISNUMBER(SEARCH("General Manager",C1026))&gt;0,'Configuración'!$B$34,'Configuración'!$B$35)))))</f>
        <v>12</v>
      </c>
      <c r="V1026" s="38">
        <f>IF(B1026="","",IF(K1026="Sí",'Configuración'!$B$5,0)+IF(L1026="Semanal",'Configuración'!$B$6,IF(L1026="Mensual",'Configuración'!$B$7,0))+IF(M1026="Sí",'Configuración'!$B$8,0)+IF(N1026="Sí",'Configuración'!$B$9,0)+IF(O1026="Sí",'Configuración'!$B$10,0)+IF(P1026="Sí",'Configuración'!$B$11,0)+IF(Q1026="Sí",'Configuración'!$B$12,0)+S1026+T1026+U1026)</f>
        <v>36</v>
      </c>
      <c r="W1026" s="39" t="str">
        <f>IF(B1026="","",IF(V1026&gt;='Configuración'!$B$19,"A",IF(V1026&gt;='Configuración'!$B$20,"B",IF(V1026&gt;='Configuración'!$B$21,"C","Descarte"))))</f>
        <v>C</v>
      </c>
    </row>
    <row r="1027" ht="15.75" customHeight="1">
      <c r="A1027" s="34">
        <f t="shared" si="1"/>
        <v>1025</v>
      </c>
      <c r="B1027" s="29" t="s">
        <v>5975</v>
      </c>
      <c r="C1027" s="29" t="s">
        <v>121</v>
      </c>
      <c r="D1027" s="29" t="s">
        <v>5976</v>
      </c>
      <c r="E1027" s="29" t="s">
        <v>5977</v>
      </c>
      <c r="F1027" s="30" t="s">
        <v>5978</v>
      </c>
      <c r="G1027" s="30" t="s">
        <v>5979</v>
      </c>
      <c r="H1027" s="30" t="s">
        <v>5980</v>
      </c>
      <c r="I1027" s="29" t="s">
        <v>428</v>
      </c>
      <c r="J1027" s="31">
        <v>4.0</v>
      </c>
      <c r="K1027" s="35"/>
      <c r="L1027" s="35"/>
      <c r="M1027" s="35"/>
      <c r="N1027" s="35"/>
      <c r="O1027" s="35"/>
      <c r="P1027" s="35"/>
      <c r="Q1027" s="35"/>
      <c r="R1027" s="35"/>
      <c r="S1027" s="37">
        <f>IF(B1027="","",IF(ISNUMBER(J1027),IF(J1027&lt;=10,'Configuración'!$B$23,IF(J1027&lt;=50,'Configuración'!$B$24,IF(J1027&lt;=200,'Configuración'!$B$25,0))),0))</f>
        <v>12</v>
      </c>
      <c r="T1027" s="37">
        <f>IF(B1027="","",IF(ISNUMBER(SEARCH("information technology",I1027))+ISNUMBER(SEARCH("software",I1027))+ISNUMBER(SEARCH("internet",I1027))+ISNUMBER(SEARCH("computer",I1027))+ISNUMBER(SEARCH("saas",I1027))+ISNUMBER(SEARCH("fintech",I1027))+ISNUMBER(SEARCH("information services",I1027))+ISNUMBER(SEARCH("telecommunications",I1027))&gt;0,'Configuración'!$B$27,'Configuración'!$B$28))</f>
        <v>12</v>
      </c>
      <c r="U1027" s="25">
        <f>IF(B1027="","",IF(ISNUMBER(SEARCH("CEO",C1027))+ISNUMBER(SEARCH("Founder",C1027))+ISNUMBER(SEARCH("Owner",C1027))+ISNUMBER(SEARCH("Dueño",C1027))+ISNUMBER(SEARCH("Director General",C1027))+ISNUMBER(SEARCH("Presidente",C1027))+ISNUMBER(SEARCH("President",C1027))&gt;0,'Configuración'!$B$31,IF(ISNUMBER(SEARCH("CMO",C1027))+ISNUMBER(SEARCH("Chief Marketing",C1027))+ISNUMBER(SEARCH("VP Marketing",C1027))+ISNUMBER(SEARCH("Director de Marketing",C1027))+ISNUMBER(SEARCH("Director Marketing",C1027))+ISNUMBER(SEARCH("Head of Marketing",C1027))+ISNUMBER(SEARCH("Head Marketing",C1027))&gt;0,'Configuración'!$B$32,IF(ISNUMBER(SEARCH("Marketing Manager",C1027))+ISNUMBER(SEARCH("Gerente de Marketing",C1027))+ISNUMBER(SEARCH("Growth Manager",C1027))+ISNUMBER(SEARCH("Demand Gen",C1027))+ISNUMBER(SEARCH("Marketing Lead",C1027))&gt;0,'Configuración'!$B$33,IF(ISNUMBER(SEARCH("COO",C1027))+ISNUMBER(SEARCH("CFO",C1027))+ISNUMBER(SEARCH("CTO",C1027))+ISNUMBER(SEARCH("Chief Operating",C1027))+ISNUMBER(SEARCH("Chief Financial",C1027))+ISNUMBER(SEARCH("Gerente General",C1027))+ISNUMBER(SEARCH("General Manager",C1027))&gt;0,'Configuración'!$B$34,'Configuración'!$B$35)))))</f>
        <v>12</v>
      </c>
      <c r="V1027" s="38">
        <f>IF(B1027="","",IF(K1027="Sí",'Configuración'!$B$5,0)+IF(L1027="Semanal",'Configuración'!$B$6,IF(L1027="Mensual",'Configuración'!$B$7,0))+IF(M1027="Sí",'Configuración'!$B$8,0)+IF(N1027="Sí",'Configuración'!$B$9,0)+IF(O1027="Sí",'Configuración'!$B$10,0)+IF(P1027="Sí",'Configuración'!$B$11,0)+IF(Q1027="Sí",'Configuración'!$B$12,0)+S1027+T1027+U1027)</f>
        <v>36</v>
      </c>
      <c r="W1027" s="39" t="str">
        <f>IF(B1027="","",IF(V1027&gt;='Configuración'!$B$19,"A",IF(V1027&gt;='Configuración'!$B$20,"B",IF(V1027&gt;='Configuración'!$B$21,"C","Descarte"))))</f>
        <v>C</v>
      </c>
    </row>
    <row r="1028" ht="15.75" customHeight="1">
      <c r="A1028" s="34">
        <f t="shared" si="1"/>
        <v>1026</v>
      </c>
      <c r="B1028" s="29" t="s">
        <v>2616</v>
      </c>
      <c r="C1028" s="29" t="s">
        <v>5981</v>
      </c>
      <c r="D1028" s="29" t="s">
        <v>5982</v>
      </c>
      <c r="E1028" s="29" t="s">
        <v>5983</v>
      </c>
      <c r="F1028" s="30" t="s">
        <v>5984</v>
      </c>
      <c r="G1028" s="30" t="s">
        <v>5985</v>
      </c>
      <c r="H1028" s="30" t="s">
        <v>5986</v>
      </c>
      <c r="I1028" s="29" t="s">
        <v>2694</v>
      </c>
      <c r="J1028" s="31">
        <v>23.0</v>
      </c>
      <c r="K1028" s="35"/>
      <c r="L1028" s="35"/>
      <c r="M1028" s="35"/>
      <c r="N1028" s="35"/>
      <c r="O1028" s="35"/>
      <c r="P1028" s="35"/>
      <c r="Q1028" s="35"/>
      <c r="R1028" s="35"/>
      <c r="S1028" s="37">
        <f>IF(B1028="","",IF(ISNUMBER(J1028),IF(J1028&lt;=10,'Configuración'!$B$23,IF(J1028&lt;=50,'Configuración'!$B$24,IF(J1028&lt;=200,'Configuración'!$B$25,0))),0))</f>
        <v>4</v>
      </c>
      <c r="T1028" s="37">
        <f>IF(B1028="","",IF(ISNUMBER(SEARCH("information technology",I1028))+ISNUMBER(SEARCH("software",I1028))+ISNUMBER(SEARCH("internet",I1028))+ISNUMBER(SEARCH("computer",I1028))+ISNUMBER(SEARCH("saas",I1028))+ISNUMBER(SEARCH("fintech",I1028))+ISNUMBER(SEARCH("information services",I1028))+ISNUMBER(SEARCH("telecommunications",I1028))&gt;0,'Configuración'!$B$27,'Configuración'!$B$28))</f>
        <v>4</v>
      </c>
      <c r="U1028" s="25">
        <f>IF(B1028="","",IF(ISNUMBER(SEARCH("CEO",C1028))+ISNUMBER(SEARCH("Founder",C1028))+ISNUMBER(SEARCH("Owner",C1028))+ISNUMBER(SEARCH("Dueño",C1028))+ISNUMBER(SEARCH("Director General",C1028))+ISNUMBER(SEARCH("Presidente",C1028))+ISNUMBER(SEARCH("President",C1028))&gt;0,'Configuración'!$B$31,IF(ISNUMBER(SEARCH("CMO",C1028))+ISNUMBER(SEARCH("Chief Marketing",C1028))+ISNUMBER(SEARCH("VP Marketing",C1028))+ISNUMBER(SEARCH("Director de Marketing",C1028))+ISNUMBER(SEARCH("Director Marketing",C1028))+ISNUMBER(SEARCH("Head of Marketing",C1028))+ISNUMBER(SEARCH("Head Marketing",C1028))&gt;0,'Configuración'!$B$32,IF(ISNUMBER(SEARCH("Marketing Manager",C1028))+ISNUMBER(SEARCH("Gerente de Marketing",C1028))+ISNUMBER(SEARCH("Growth Manager",C1028))+ISNUMBER(SEARCH("Demand Gen",C1028))+ISNUMBER(SEARCH("Marketing Lead",C1028))&gt;0,'Configuración'!$B$33,IF(ISNUMBER(SEARCH("COO",C1028))+ISNUMBER(SEARCH("CFO",C1028))+ISNUMBER(SEARCH("CTO",C1028))+ISNUMBER(SEARCH("Chief Operating",C1028))+ISNUMBER(SEARCH("Chief Financial",C1028))+ISNUMBER(SEARCH("Gerente General",C1028))+ISNUMBER(SEARCH("General Manager",C1028))&gt;0,'Configuración'!$B$34,'Configuración'!$B$35)))))</f>
        <v>12</v>
      </c>
      <c r="V1028" s="38">
        <f>IF(B1028="","",IF(K1028="Sí",'Configuración'!$B$5,0)+IF(L1028="Semanal",'Configuración'!$B$6,IF(L1028="Mensual",'Configuración'!$B$7,0))+IF(M1028="Sí",'Configuración'!$B$8,0)+IF(N1028="Sí",'Configuración'!$B$9,0)+IF(O1028="Sí",'Configuración'!$B$10,0)+IF(P1028="Sí",'Configuración'!$B$11,0)+IF(Q1028="Sí",'Configuración'!$B$12,0)+S1028+T1028+U1028)</f>
        <v>20</v>
      </c>
      <c r="W1028" s="39" t="str">
        <f>IF(B1028="","",IF(V1028&gt;='Configuración'!$B$19,"A",IF(V1028&gt;='Configuración'!$B$20,"B",IF(V1028&gt;='Configuración'!$B$21,"C","Descarte"))))</f>
        <v>Descarte</v>
      </c>
    </row>
    <row r="1029" ht="15.75" customHeight="1">
      <c r="A1029" s="34">
        <f t="shared" si="1"/>
        <v>1027</v>
      </c>
      <c r="B1029" s="29" t="s">
        <v>610</v>
      </c>
      <c r="C1029" s="29" t="s">
        <v>5987</v>
      </c>
      <c r="D1029" s="29" t="s">
        <v>5988</v>
      </c>
      <c r="E1029" s="29" t="s">
        <v>5989</v>
      </c>
      <c r="F1029" s="30" t="s">
        <v>5990</v>
      </c>
      <c r="G1029" s="30" t="s">
        <v>5991</v>
      </c>
      <c r="H1029" s="30" t="s">
        <v>5992</v>
      </c>
      <c r="I1029" s="29" t="s">
        <v>127</v>
      </c>
      <c r="J1029" s="31">
        <v>38.0</v>
      </c>
      <c r="K1029" s="35"/>
      <c r="L1029" s="35"/>
      <c r="M1029" s="35"/>
      <c r="N1029" s="35"/>
      <c r="O1029" s="35"/>
      <c r="P1029" s="35"/>
      <c r="Q1029" s="35"/>
      <c r="R1029" s="35"/>
      <c r="S1029" s="37">
        <f>IF(B1029="","",IF(ISNUMBER(J1029),IF(J1029&lt;=10,'Configuración'!$B$23,IF(J1029&lt;=50,'Configuración'!$B$24,IF(J1029&lt;=200,'Configuración'!$B$25,0))),0))</f>
        <v>4</v>
      </c>
      <c r="T1029" s="37">
        <f>IF(B1029="","",IF(ISNUMBER(SEARCH("information technology",I1029))+ISNUMBER(SEARCH("software",I1029))+ISNUMBER(SEARCH("internet",I1029))+ISNUMBER(SEARCH("computer",I1029))+ISNUMBER(SEARCH("saas",I1029))+ISNUMBER(SEARCH("fintech",I1029))+ISNUMBER(SEARCH("information services",I1029))+ISNUMBER(SEARCH("telecommunications",I1029))&gt;0,'Configuración'!$B$27,'Configuración'!$B$28))</f>
        <v>12</v>
      </c>
      <c r="U1029" s="25">
        <f>IF(B1029="","",IF(ISNUMBER(SEARCH("CEO",C1029))+ISNUMBER(SEARCH("Founder",C1029))+ISNUMBER(SEARCH("Owner",C1029))+ISNUMBER(SEARCH("Dueño",C1029))+ISNUMBER(SEARCH("Director General",C1029))+ISNUMBER(SEARCH("Presidente",C1029))+ISNUMBER(SEARCH("President",C1029))&gt;0,'Configuración'!$B$31,IF(ISNUMBER(SEARCH("CMO",C1029))+ISNUMBER(SEARCH("Chief Marketing",C1029))+ISNUMBER(SEARCH("VP Marketing",C1029))+ISNUMBER(SEARCH("Director de Marketing",C1029))+ISNUMBER(SEARCH("Director Marketing",C1029))+ISNUMBER(SEARCH("Head of Marketing",C1029))+ISNUMBER(SEARCH("Head Marketing",C1029))&gt;0,'Configuración'!$B$32,IF(ISNUMBER(SEARCH("Marketing Manager",C1029))+ISNUMBER(SEARCH("Gerente de Marketing",C1029))+ISNUMBER(SEARCH("Growth Manager",C1029))+ISNUMBER(SEARCH("Demand Gen",C1029))+ISNUMBER(SEARCH("Marketing Lead",C1029))&gt;0,'Configuración'!$B$33,IF(ISNUMBER(SEARCH("COO",C1029))+ISNUMBER(SEARCH("CFO",C1029))+ISNUMBER(SEARCH("CTO",C1029))+ISNUMBER(SEARCH("Chief Operating",C1029))+ISNUMBER(SEARCH("Chief Financial",C1029))+ISNUMBER(SEARCH("Gerente General",C1029))+ISNUMBER(SEARCH("General Manager",C1029))&gt;0,'Configuración'!$B$34,'Configuración'!$B$35)))))</f>
        <v>12</v>
      </c>
      <c r="V1029" s="38">
        <f>IF(B1029="","",IF(K1029="Sí",'Configuración'!$B$5,0)+IF(L1029="Semanal",'Configuración'!$B$6,IF(L1029="Mensual",'Configuración'!$B$7,0))+IF(M1029="Sí",'Configuración'!$B$8,0)+IF(N1029="Sí",'Configuración'!$B$9,0)+IF(O1029="Sí",'Configuración'!$B$10,0)+IF(P1029="Sí",'Configuración'!$B$11,0)+IF(Q1029="Sí",'Configuración'!$B$12,0)+S1029+T1029+U1029)</f>
        <v>28</v>
      </c>
      <c r="W1029" s="39" t="str">
        <f>IF(B1029="","",IF(V1029&gt;='Configuración'!$B$19,"A",IF(V1029&gt;='Configuración'!$B$20,"B",IF(V1029&gt;='Configuración'!$B$21,"C","Descarte"))))</f>
        <v>C</v>
      </c>
    </row>
    <row r="1030" ht="15.75" customHeight="1">
      <c r="A1030" s="34">
        <f t="shared" si="1"/>
        <v>1028</v>
      </c>
      <c r="B1030" s="29" t="s">
        <v>5993</v>
      </c>
      <c r="C1030" s="29" t="s">
        <v>297</v>
      </c>
      <c r="D1030" s="29" t="s">
        <v>5994</v>
      </c>
      <c r="E1030" s="29" t="s">
        <v>5995</v>
      </c>
      <c r="F1030" s="30" t="s">
        <v>5996</v>
      </c>
      <c r="G1030" s="30" t="s">
        <v>5997</v>
      </c>
      <c r="H1030" s="30" t="s">
        <v>5998</v>
      </c>
      <c r="I1030" s="29" t="s">
        <v>127</v>
      </c>
      <c r="J1030" s="31">
        <v>7.0</v>
      </c>
      <c r="K1030" s="35"/>
      <c r="L1030" s="35"/>
      <c r="M1030" s="35"/>
      <c r="N1030" s="35"/>
      <c r="O1030" s="35"/>
      <c r="P1030" s="35"/>
      <c r="Q1030" s="35"/>
      <c r="R1030" s="35"/>
      <c r="S1030" s="37">
        <f>IF(B1030="","",IF(ISNUMBER(J1030),IF(J1030&lt;=10,'Configuración'!$B$23,IF(J1030&lt;=50,'Configuración'!$B$24,IF(J1030&lt;=200,'Configuración'!$B$25,0))),0))</f>
        <v>12</v>
      </c>
      <c r="T1030" s="37">
        <f>IF(B1030="","",IF(ISNUMBER(SEARCH("information technology",I1030))+ISNUMBER(SEARCH("software",I1030))+ISNUMBER(SEARCH("internet",I1030))+ISNUMBER(SEARCH("computer",I1030))+ISNUMBER(SEARCH("saas",I1030))+ISNUMBER(SEARCH("fintech",I1030))+ISNUMBER(SEARCH("information services",I1030))+ISNUMBER(SEARCH("telecommunications",I1030))&gt;0,'Configuración'!$B$27,'Configuración'!$B$28))</f>
        <v>12</v>
      </c>
      <c r="U1030" s="25">
        <f>IF(B1030="","",IF(ISNUMBER(SEARCH("CEO",C1030))+ISNUMBER(SEARCH("Founder",C1030))+ISNUMBER(SEARCH("Owner",C1030))+ISNUMBER(SEARCH("Dueño",C1030))+ISNUMBER(SEARCH("Director General",C1030))+ISNUMBER(SEARCH("Presidente",C1030))+ISNUMBER(SEARCH("President",C1030))&gt;0,'Configuración'!$B$31,IF(ISNUMBER(SEARCH("CMO",C1030))+ISNUMBER(SEARCH("Chief Marketing",C1030))+ISNUMBER(SEARCH("VP Marketing",C1030))+ISNUMBER(SEARCH("Director de Marketing",C1030))+ISNUMBER(SEARCH("Director Marketing",C1030))+ISNUMBER(SEARCH("Head of Marketing",C1030))+ISNUMBER(SEARCH("Head Marketing",C1030))&gt;0,'Configuración'!$B$32,IF(ISNUMBER(SEARCH("Marketing Manager",C1030))+ISNUMBER(SEARCH("Gerente de Marketing",C1030))+ISNUMBER(SEARCH("Growth Manager",C1030))+ISNUMBER(SEARCH("Demand Gen",C1030))+ISNUMBER(SEARCH("Marketing Lead",C1030))&gt;0,'Configuración'!$B$33,IF(ISNUMBER(SEARCH("COO",C1030))+ISNUMBER(SEARCH("CFO",C1030))+ISNUMBER(SEARCH("CTO",C1030))+ISNUMBER(SEARCH("Chief Operating",C1030))+ISNUMBER(SEARCH("Chief Financial",C1030))+ISNUMBER(SEARCH("Gerente General",C1030))+ISNUMBER(SEARCH("General Manager",C1030))&gt;0,'Configuración'!$B$34,'Configuración'!$B$35)))))</f>
        <v>0</v>
      </c>
      <c r="V1030" s="38">
        <f>IF(B1030="","",IF(K1030="Sí",'Configuración'!$B$5,0)+IF(L1030="Semanal",'Configuración'!$B$6,IF(L1030="Mensual",'Configuración'!$B$7,0))+IF(M1030="Sí",'Configuración'!$B$8,0)+IF(N1030="Sí",'Configuración'!$B$9,0)+IF(O1030="Sí",'Configuración'!$B$10,0)+IF(P1030="Sí",'Configuración'!$B$11,0)+IF(Q1030="Sí",'Configuración'!$B$12,0)+S1030+T1030+U1030)</f>
        <v>24</v>
      </c>
      <c r="W1030" s="39" t="str">
        <f>IF(B1030="","",IF(V1030&gt;='Configuración'!$B$19,"A",IF(V1030&gt;='Configuración'!$B$20,"B",IF(V1030&gt;='Configuración'!$B$21,"C","Descarte"))))</f>
        <v>C</v>
      </c>
    </row>
    <row r="1031" ht="15.75" customHeight="1">
      <c r="A1031" s="34">
        <f t="shared" si="1"/>
        <v>1029</v>
      </c>
      <c r="B1031" s="29" t="s">
        <v>5999</v>
      </c>
      <c r="C1031" s="29" t="s">
        <v>6000</v>
      </c>
      <c r="D1031" s="29" t="s">
        <v>2960</v>
      </c>
      <c r="E1031" s="29" t="s">
        <v>6001</v>
      </c>
      <c r="F1031" s="30" t="s">
        <v>6002</v>
      </c>
      <c r="G1031" s="30" t="s">
        <v>2963</v>
      </c>
      <c r="H1031" s="30" t="s">
        <v>2964</v>
      </c>
      <c r="I1031" s="29" t="s">
        <v>769</v>
      </c>
      <c r="J1031" s="31">
        <v>6.0</v>
      </c>
      <c r="K1031" s="35"/>
      <c r="L1031" s="35"/>
      <c r="M1031" s="35"/>
      <c r="N1031" s="35"/>
      <c r="O1031" s="35"/>
      <c r="P1031" s="35"/>
      <c r="Q1031" s="35"/>
      <c r="R1031" s="35"/>
      <c r="S1031" s="37">
        <f>IF(B1031="","",IF(ISNUMBER(J1031),IF(J1031&lt;=10,'Configuración'!$B$23,IF(J1031&lt;=50,'Configuración'!$B$24,IF(J1031&lt;=200,'Configuración'!$B$25,0))),0))</f>
        <v>12</v>
      </c>
      <c r="T1031" s="37">
        <f>IF(B1031="","",IF(ISNUMBER(SEARCH("information technology",I1031))+ISNUMBER(SEARCH("software",I1031))+ISNUMBER(SEARCH("internet",I1031))+ISNUMBER(SEARCH("computer",I1031))+ISNUMBER(SEARCH("saas",I1031))+ISNUMBER(SEARCH("fintech",I1031))+ISNUMBER(SEARCH("information services",I1031))+ISNUMBER(SEARCH("telecommunications",I1031))&gt;0,'Configuración'!$B$27,'Configuración'!$B$28))</f>
        <v>4</v>
      </c>
      <c r="U1031" s="25">
        <f>IF(B1031="","",IF(ISNUMBER(SEARCH("CEO",C1031))+ISNUMBER(SEARCH("Founder",C1031))+ISNUMBER(SEARCH("Owner",C1031))+ISNUMBER(SEARCH("Dueño",C1031))+ISNUMBER(SEARCH("Director General",C1031))+ISNUMBER(SEARCH("Presidente",C1031))+ISNUMBER(SEARCH("President",C1031))&gt;0,'Configuración'!$B$31,IF(ISNUMBER(SEARCH("CMO",C1031))+ISNUMBER(SEARCH("Chief Marketing",C1031))+ISNUMBER(SEARCH("VP Marketing",C1031))+ISNUMBER(SEARCH("Director de Marketing",C1031))+ISNUMBER(SEARCH("Director Marketing",C1031))+ISNUMBER(SEARCH("Head of Marketing",C1031))+ISNUMBER(SEARCH("Head Marketing",C1031))&gt;0,'Configuración'!$B$32,IF(ISNUMBER(SEARCH("Marketing Manager",C1031))+ISNUMBER(SEARCH("Gerente de Marketing",C1031))+ISNUMBER(SEARCH("Growth Manager",C1031))+ISNUMBER(SEARCH("Demand Gen",C1031))+ISNUMBER(SEARCH("Marketing Lead",C1031))&gt;0,'Configuración'!$B$33,IF(ISNUMBER(SEARCH("COO",C1031))+ISNUMBER(SEARCH("CFO",C1031))+ISNUMBER(SEARCH("CTO",C1031))+ISNUMBER(SEARCH("Chief Operating",C1031))+ISNUMBER(SEARCH("Chief Financial",C1031))+ISNUMBER(SEARCH("Gerente General",C1031))+ISNUMBER(SEARCH("General Manager",C1031))&gt;0,'Configuración'!$B$34,'Configuración'!$B$35)))))</f>
        <v>12</v>
      </c>
      <c r="V1031" s="38">
        <f>IF(B1031="","",IF(K1031="Sí",'Configuración'!$B$5,0)+IF(L1031="Semanal",'Configuración'!$B$6,IF(L1031="Mensual",'Configuración'!$B$7,0))+IF(M1031="Sí",'Configuración'!$B$8,0)+IF(N1031="Sí",'Configuración'!$B$9,0)+IF(O1031="Sí",'Configuración'!$B$10,0)+IF(P1031="Sí",'Configuración'!$B$11,0)+IF(Q1031="Sí",'Configuración'!$B$12,0)+S1031+T1031+U1031)</f>
        <v>28</v>
      </c>
      <c r="W1031" s="39" t="str">
        <f>IF(B1031="","",IF(V1031&gt;='Configuración'!$B$19,"A",IF(V1031&gt;='Configuración'!$B$20,"B",IF(V1031&gt;='Configuración'!$B$21,"C","Descarte"))))</f>
        <v>C</v>
      </c>
    </row>
    <row r="1032" ht="15.75" customHeight="1">
      <c r="A1032" s="34">
        <f t="shared" si="1"/>
        <v>1030</v>
      </c>
      <c r="B1032" s="29" t="s">
        <v>398</v>
      </c>
      <c r="C1032" s="29" t="s">
        <v>5671</v>
      </c>
      <c r="D1032" s="29" t="s">
        <v>6003</v>
      </c>
      <c r="E1032" s="29" t="s">
        <v>6004</v>
      </c>
      <c r="F1032" s="30" t="s">
        <v>6005</v>
      </c>
      <c r="G1032" s="30" t="s">
        <v>6006</v>
      </c>
      <c r="H1032" s="30" t="s">
        <v>6007</v>
      </c>
      <c r="I1032" s="29" t="s">
        <v>2170</v>
      </c>
      <c r="J1032" s="31">
        <v>16.0</v>
      </c>
      <c r="K1032" s="35"/>
      <c r="L1032" s="35"/>
      <c r="M1032" s="35"/>
      <c r="N1032" s="35"/>
      <c r="O1032" s="35"/>
      <c r="P1032" s="35"/>
      <c r="Q1032" s="35"/>
      <c r="R1032" s="35"/>
      <c r="S1032" s="37">
        <f>IF(B1032="","",IF(ISNUMBER(J1032),IF(J1032&lt;=10,'Configuración'!$B$23,IF(J1032&lt;=50,'Configuración'!$B$24,IF(J1032&lt;=200,'Configuración'!$B$25,0))),0))</f>
        <v>4</v>
      </c>
      <c r="T1032" s="37">
        <f>IF(B1032="","",IF(ISNUMBER(SEARCH("information technology",I1032))+ISNUMBER(SEARCH("software",I1032))+ISNUMBER(SEARCH("internet",I1032))+ISNUMBER(SEARCH("computer",I1032))+ISNUMBER(SEARCH("saas",I1032))+ISNUMBER(SEARCH("fintech",I1032))+ISNUMBER(SEARCH("information services",I1032))+ISNUMBER(SEARCH("telecommunications",I1032))&gt;0,'Configuración'!$B$27,'Configuración'!$B$28))</f>
        <v>12</v>
      </c>
      <c r="U1032" s="25">
        <f>IF(B1032="","",IF(ISNUMBER(SEARCH("CEO",C1032))+ISNUMBER(SEARCH("Founder",C1032))+ISNUMBER(SEARCH("Owner",C1032))+ISNUMBER(SEARCH("Dueño",C1032))+ISNUMBER(SEARCH("Director General",C1032))+ISNUMBER(SEARCH("Presidente",C1032))+ISNUMBER(SEARCH("President",C1032))&gt;0,'Configuración'!$B$31,IF(ISNUMBER(SEARCH("CMO",C1032))+ISNUMBER(SEARCH("Chief Marketing",C1032))+ISNUMBER(SEARCH("VP Marketing",C1032))+ISNUMBER(SEARCH("Director de Marketing",C1032))+ISNUMBER(SEARCH("Director Marketing",C1032))+ISNUMBER(SEARCH("Head of Marketing",C1032))+ISNUMBER(SEARCH("Head Marketing",C1032))&gt;0,'Configuración'!$B$32,IF(ISNUMBER(SEARCH("Marketing Manager",C1032))+ISNUMBER(SEARCH("Gerente de Marketing",C1032))+ISNUMBER(SEARCH("Growth Manager",C1032))+ISNUMBER(SEARCH("Demand Gen",C1032))+ISNUMBER(SEARCH("Marketing Lead",C1032))&gt;0,'Configuración'!$B$33,IF(ISNUMBER(SEARCH("COO",C1032))+ISNUMBER(SEARCH("CFO",C1032))+ISNUMBER(SEARCH("CTO",C1032))+ISNUMBER(SEARCH("Chief Operating",C1032))+ISNUMBER(SEARCH("Chief Financial",C1032))+ISNUMBER(SEARCH("Gerente General",C1032))+ISNUMBER(SEARCH("General Manager",C1032))&gt;0,'Configuración'!$B$34,'Configuración'!$B$35)))))</f>
        <v>12</v>
      </c>
      <c r="V1032" s="38">
        <f>IF(B1032="","",IF(K1032="Sí",'Configuración'!$B$5,0)+IF(L1032="Semanal",'Configuración'!$B$6,IF(L1032="Mensual",'Configuración'!$B$7,0))+IF(M1032="Sí",'Configuración'!$B$8,0)+IF(N1032="Sí",'Configuración'!$B$9,0)+IF(O1032="Sí",'Configuración'!$B$10,0)+IF(P1032="Sí",'Configuración'!$B$11,0)+IF(Q1032="Sí",'Configuración'!$B$12,0)+S1032+T1032+U1032)</f>
        <v>28</v>
      </c>
      <c r="W1032" s="39" t="str">
        <f>IF(B1032="","",IF(V1032&gt;='Configuración'!$B$19,"A",IF(V1032&gt;='Configuración'!$B$20,"B",IF(V1032&gt;='Configuración'!$B$21,"C","Descarte"))))</f>
        <v>C</v>
      </c>
    </row>
    <row r="1033" ht="15.75" customHeight="1">
      <c r="A1033" s="34">
        <f t="shared" si="1"/>
        <v>1031</v>
      </c>
      <c r="B1033" s="29" t="s">
        <v>174</v>
      </c>
      <c r="C1033" s="29" t="s">
        <v>6008</v>
      </c>
      <c r="D1033" s="29" t="s">
        <v>6009</v>
      </c>
      <c r="E1033" s="29" t="s">
        <v>6010</v>
      </c>
      <c r="F1033" s="30" t="s">
        <v>6011</v>
      </c>
      <c r="G1033" s="30" t="s">
        <v>6012</v>
      </c>
      <c r="H1033" s="30" t="s">
        <v>6013</v>
      </c>
      <c r="I1033" s="29" t="s">
        <v>280</v>
      </c>
      <c r="J1033" s="31">
        <v>33.0</v>
      </c>
      <c r="K1033" s="35"/>
      <c r="L1033" s="35"/>
      <c r="M1033" s="35"/>
      <c r="N1033" s="35"/>
      <c r="O1033" s="35"/>
      <c r="P1033" s="35"/>
      <c r="Q1033" s="35"/>
      <c r="R1033" s="35"/>
      <c r="S1033" s="37">
        <f>IF(B1033="","",IF(ISNUMBER(J1033),IF(J1033&lt;=10,'Configuración'!$B$23,IF(J1033&lt;=50,'Configuración'!$B$24,IF(J1033&lt;=200,'Configuración'!$B$25,0))),0))</f>
        <v>4</v>
      </c>
      <c r="T1033" s="37">
        <f>IF(B1033="","",IF(ISNUMBER(SEARCH("information technology",I1033))+ISNUMBER(SEARCH("software",I1033))+ISNUMBER(SEARCH("internet",I1033))+ISNUMBER(SEARCH("computer",I1033))+ISNUMBER(SEARCH("saas",I1033))+ISNUMBER(SEARCH("fintech",I1033))+ISNUMBER(SEARCH("information services",I1033))+ISNUMBER(SEARCH("telecommunications",I1033))&gt;0,'Configuración'!$B$27,'Configuración'!$B$28))</f>
        <v>12</v>
      </c>
      <c r="U1033" s="25">
        <f>IF(B1033="","",IF(ISNUMBER(SEARCH("CEO",C1033))+ISNUMBER(SEARCH("Founder",C1033))+ISNUMBER(SEARCH("Owner",C1033))+ISNUMBER(SEARCH("Dueño",C1033))+ISNUMBER(SEARCH("Director General",C1033))+ISNUMBER(SEARCH("Presidente",C1033))+ISNUMBER(SEARCH("President",C1033))&gt;0,'Configuración'!$B$31,IF(ISNUMBER(SEARCH("CMO",C1033))+ISNUMBER(SEARCH("Chief Marketing",C1033))+ISNUMBER(SEARCH("VP Marketing",C1033))+ISNUMBER(SEARCH("Director de Marketing",C1033))+ISNUMBER(SEARCH("Director Marketing",C1033))+ISNUMBER(SEARCH("Head of Marketing",C1033))+ISNUMBER(SEARCH("Head Marketing",C1033))&gt;0,'Configuración'!$B$32,IF(ISNUMBER(SEARCH("Marketing Manager",C1033))+ISNUMBER(SEARCH("Gerente de Marketing",C1033))+ISNUMBER(SEARCH("Growth Manager",C1033))+ISNUMBER(SEARCH("Demand Gen",C1033))+ISNUMBER(SEARCH("Marketing Lead",C1033))&gt;0,'Configuración'!$B$33,IF(ISNUMBER(SEARCH("COO",C1033))+ISNUMBER(SEARCH("CFO",C1033))+ISNUMBER(SEARCH("CTO",C1033))+ISNUMBER(SEARCH("Chief Operating",C1033))+ISNUMBER(SEARCH("Chief Financial",C1033))+ISNUMBER(SEARCH("Gerente General",C1033))+ISNUMBER(SEARCH("General Manager",C1033))&gt;0,'Configuración'!$B$34,'Configuración'!$B$35)))))</f>
        <v>12</v>
      </c>
      <c r="V1033" s="38">
        <f>IF(B1033="","",IF(K1033="Sí",'Configuración'!$B$5,0)+IF(L1033="Semanal",'Configuración'!$B$6,IF(L1033="Mensual",'Configuración'!$B$7,0))+IF(M1033="Sí",'Configuración'!$B$8,0)+IF(N1033="Sí",'Configuración'!$B$9,0)+IF(O1033="Sí",'Configuración'!$B$10,0)+IF(P1033="Sí",'Configuración'!$B$11,0)+IF(Q1033="Sí",'Configuración'!$B$12,0)+S1033+T1033+U1033)</f>
        <v>28</v>
      </c>
      <c r="W1033" s="39" t="str">
        <f>IF(B1033="","",IF(V1033&gt;='Configuración'!$B$19,"A",IF(V1033&gt;='Configuración'!$B$20,"B",IF(V1033&gt;='Configuración'!$B$21,"C","Descarte"))))</f>
        <v>C</v>
      </c>
    </row>
    <row r="1034" ht="15.75" customHeight="1">
      <c r="A1034" s="34">
        <f t="shared" si="1"/>
        <v>1032</v>
      </c>
      <c r="B1034" s="29" t="s">
        <v>296</v>
      </c>
      <c r="C1034" s="29" t="s">
        <v>6014</v>
      </c>
      <c r="D1034" s="29" t="s">
        <v>6015</v>
      </c>
      <c r="E1034" s="29" t="s">
        <v>6016</v>
      </c>
      <c r="F1034" s="30" t="s">
        <v>6017</v>
      </c>
      <c r="G1034" s="30" t="s">
        <v>6018</v>
      </c>
      <c r="H1034" s="30" t="s">
        <v>6019</v>
      </c>
      <c r="I1034" s="29" t="s">
        <v>188</v>
      </c>
      <c r="J1034" s="31">
        <v>14.0</v>
      </c>
      <c r="K1034" s="35"/>
      <c r="L1034" s="35"/>
      <c r="M1034" s="35"/>
      <c r="N1034" s="35"/>
      <c r="O1034" s="35"/>
      <c r="P1034" s="35"/>
      <c r="Q1034" s="35"/>
      <c r="R1034" s="35"/>
      <c r="S1034" s="37">
        <f>IF(B1034="","",IF(ISNUMBER(J1034),IF(J1034&lt;=10,'Configuración'!$B$23,IF(J1034&lt;=50,'Configuración'!$B$24,IF(J1034&lt;=200,'Configuración'!$B$25,0))),0))</f>
        <v>4</v>
      </c>
      <c r="T1034" s="37">
        <f>IF(B1034="","",IF(ISNUMBER(SEARCH("information technology",I1034))+ISNUMBER(SEARCH("software",I1034))+ISNUMBER(SEARCH("internet",I1034))+ISNUMBER(SEARCH("computer",I1034))+ISNUMBER(SEARCH("saas",I1034))+ISNUMBER(SEARCH("fintech",I1034))+ISNUMBER(SEARCH("information services",I1034))+ISNUMBER(SEARCH("telecommunications",I1034))&gt;0,'Configuración'!$B$27,'Configuración'!$B$28))</f>
        <v>4</v>
      </c>
      <c r="U1034" s="25">
        <f>IF(B1034="","",IF(ISNUMBER(SEARCH("CEO",C1034))+ISNUMBER(SEARCH("Founder",C1034))+ISNUMBER(SEARCH("Owner",C1034))+ISNUMBER(SEARCH("Dueño",C1034))+ISNUMBER(SEARCH("Director General",C1034))+ISNUMBER(SEARCH("Presidente",C1034))+ISNUMBER(SEARCH("President",C1034))&gt;0,'Configuración'!$B$31,IF(ISNUMBER(SEARCH("CMO",C1034))+ISNUMBER(SEARCH("Chief Marketing",C1034))+ISNUMBER(SEARCH("VP Marketing",C1034))+ISNUMBER(SEARCH("Director de Marketing",C1034))+ISNUMBER(SEARCH("Director Marketing",C1034))+ISNUMBER(SEARCH("Head of Marketing",C1034))+ISNUMBER(SEARCH("Head Marketing",C1034))&gt;0,'Configuración'!$B$32,IF(ISNUMBER(SEARCH("Marketing Manager",C1034))+ISNUMBER(SEARCH("Gerente de Marketing",C1034))+ISNUMBER(SEARCH("Growth Manager",C1034))+ISNUMBER(SEARCH("Demand Gen",C1034))+ISNUMBER(SEARCH("Marketing Lead",C1034))&gt;0,'Configuración'!$B$33,IF(ISNUMBER(SEARCH("COO",C1034))+ISNUMBER(SEARCH("CFO",C1034))+ISNUMBER(SEARCH("CTO",C1034))+ISNUMBER(SEARCH("Chief Operating",C1034))+ISNUMBER(SEARCH("Chief Financial",C1034))+ISNUMBER(SEARCH("Gerente General",C1034))+ISNUMBER(SEARCH("General Manager",C1034))&gt;0,'Configuración'!$B$34,'Configuración'!$B$35)))))</f>
        <v>12</v>
      </c>
      <c r="V1034" s="38">
        <f>IF(B1034="","",IF(K1034="Sí",'Configuración'!$B$5,0)+IF(L1034="Semanal",'Configuración'!$B$6,IF(L1034="Mensual",'Configuración'!$B$7,0))+IF(M1034="Sí",'Configuración'!$B$8,0)+IF(N1034="Sí",'Configuración'!$B$9,0)+IF(O1034="Sí",'Configuración'!$B$10,0)+IF(P1034="Sí",'Configuración'!$B$11,0)+IF(Q1034="Sí",'Configuración'!$B$12,0)+S1034+T1034+U1034)</f>
        <v>20</v>
      </c>
      <c r="W1034" s="39" t="str">
        <f>IF(B1034="","",IF(V1034&gt;='Configuración'!$B$19,"A",IF(V1034&gt;='Configuración'!$B$20,"B",IF(V1034&gt;='Configuración'!$B$21,"C","Descarte"))))</f>
        <v>Descarte</v>
      </c>
    </row>
    <row r="1035" ht="15.75" customHeight="1">
      <c r="A1035" s="34">
        <f t="shared" si="1"/>
        <v>1033</v>
      </c>
      <c r="B1035" s="29" t="s">
        <v>262</v>
      </c>
      <c r="C1035" s="29" t="s">
        <v>146</v>
      </c>
      <c r="D1035" s="29" t="s">
        <v>6020</v>
      </c>
      <c r="E1035" s="29" t="s">
        <v>6021</v>
      </c>
      <c r="F1035" s="30" t="s">
        <v>6022</v>
      </c>
      <c r="G1035" s="30" t="s">
        <v>6023</v>
      </c>
      <c r="H1035" s="30" t="s">
        <v>6024</v>
      </c>
      <c r="I1035" s="29" t="s">
        <v>127</v>
      </c>
      <c r="J1035" s="31">
        <v>6.0</v>
      </c>
      <c r="K1035" s="35"/>
      <c r="L1035" s="35"/>
      <c r="M1035" s="35"/>
      <c r="N1035" s="35"/>
      <c r="O1035" s="35"/>
      <c r="P1035" s="35"/>
      <c r="Q1035" s="35"/>
      <c r="R1035" s="35"/>
      <c r="S1035" s="37">
        <f>IF(B1035="","",IF(ISNUMBER(J1035),IF(J1035&lt;=10,'Configuración'!$B$23,IF(J1035&lt;=50,'Configuración'!$B$24,IF(J1035&lt;=200,'Configuración'!$B$25,0))),0))</f>
        <v>12</v>
      </c>
      <c r="T1035" s="37">
        <f>IF(B1035="","",IF(ISNUMBER(SEARCH("information technology",I1035))+ISNUMBER(SEARCH("software",I1035))+ISNUMBER(SEARCH("internet",I1035))+ISNUMBER(SEARCH("computer",I1035))+ISNUMBER(SEARCH("saas",I1035))+ISNUMBER(SEARCH("fintech",I1035))+ISNUMBER(SEARCH("information services",I1035))+ISNUMBER(SEARCH("telecommunications",I1035))&gt;0,'Configuración'!$B$27,'Configuración'!$B$28))</f>
        <v>12</v>
      </c>
      <c r="U1035" s="25">
        <f>IF(B1035="","",IF(ISNUMBER(SEARCH("CEO",C1035))+ISNUMBER(SEARCH("Founder",C1035))+ISNUMBER(SEARCH("Owner",C1035))+ISNUMBER(SEARCH("Dueño",C1035))+ISNUMBER(SEARCH("Director General",C1035))+ISNUMBER(SEARCH("Presidente",C1035))+ISNUMBER(SEARCH("President",C1035))&gt;0,'Configuración'!$B$31,IF(ISNUMBER(SEARCH("CMO",C1035))+ISNUMBER(SEARCH("Chief Marketing",C1035))+ISNUMBER(SEARCH("VP Marketing",C1035))+ISNUMBER(SEARCH("Director de Marketing",C1035))+ISNUMBER(SEARCH("Director Marketing",C1035))+ISNUMBER(SEARCH("Head of Marketing",C1035))+ISNUMBER(SEARCH("Head Marketing",C1035))&gt;0,'Configuración'!$B$32,IF(ISNUMBER(SEARCH("Marketing Manager",C1035))+ISNUMBER(SEARCH("Gerente de Marketing",C1035))+ISNUMBER(SEARCH("Growth Manager",C1035))+ISNUMBER(SEARCH("Demand Gen",C1035))+ISNUMBER(SEARCH("Marketing Lead",C1035))&gt;0,'Configuración'!$B$33,IF(ISNUMBER(SEARCH("COO",C1035))+ISNUMBER(SEARCH("CFO",C1035))+ISNUMBER(SEARCH("CTO",C1035))+ISNUMBER(SEARCH("Chief Operating",C1035))+ISNUMBER(SEARCH("Chief Financial",C1035))+ISNUMBER(SEARCH("Gerente General",C1035))+ISNUMBER(SEARCH("General Manager",C1035))&gt;0,'Configuración'!$B$34,'Configuración'!$B$35)))))</f>
        <v>0</v>
      </c>
      <c r="V1035" s="38">
        <f>IF(B1035="","",IF(K1035="Sí",'Configuración'!$B$5,0)+IF(L1035="Semanal",'Configuración'!$B$6,IF(L1035="Mensual",'Configuración'!$B$7,0))+IF(M1035="Sí",'Configuración'!$B$8,0)+IF(N1035="Sí",'Configuración'!$B$9,0)+IF(O1035="Sí",'Configuración'!$B$10,0)+IF(P1035="Sí",'Configuración'!$B$11,0)+IF(Q1035="Sí",'Configuración'!$B$12,0)+S1035+T1035+U1035)</f>
        <v>24</v>
      </c>
      <c r="W1035" s="39" t="str">
        <f>IF(B1035="","",IF(V1035&gt;='Configuración'!$B$19,"A",IF(V1035&gt;='Configuración'!$B$20,"B",IF(V1035&gt;='Configuración'!$B$21,"C","Descarte"))))</f>
        <v>C</v>
      </c>
    </row>
    <row r="1036" ht="15.75" customHeight="1">
      <c r="A1036" s="34">
        <f t="shared" si="1"/>
        <v>1034</v>
      </c>
      <c r="B1036" s="29" t="s">
        <v>4584</v>
      </c>
      <c r="C1036" s="29" t="s">
        <v>2551</v>
      </c>
      <c r="D1036" s="29" t="s">
        <v>6025</v>
      </c>
      <c r="E1036" s="29" t="s">
        <v>6026</v>
      </c>
      <c r="F1036" s="30" t="s">
        <v>6027</v>
      </c>
      <c r="G1036" s="30" t="s">
        <v>6028</v>
      </c>
      <c r="H1036" s="30" t="s">
        <v>6029</v>
      </c>
      <c r="I1036" s="29" t="s">
        <v>480</v>
      </c>
      <c r="J1036" s="31">
        <v>22.0</v>
      </c>
      <c r="K1036" s="35"/>
      <c r="L1036" s="35"/>
      <c r="M1036" s="35"/>
      <c r="N1036" s="35"/>
      <c r="O1036" s="35"/>
      <c r="P1036" s="35"/>
      <c r="Q1036" s="35"/>
      <c r="R1036" s="35"/>
      <c r="S1036" s="37">
        <f>IF(B1036="","",IF(ISNUMBER(J1036),IF(J1036&lt;=10,'Configuración'!$B$23,IF(J1036&lt;=50,'Configuración'!$B$24,IF(J1036&lt;=200,'Configuración'!$B$25,0))),0))</f>
        <v>4</v>
      </c>
      <c r="T1036" s="37">
        <f>IF(B1036="","",IF(ISNUMBER(SEARCH("information technology",I1036))+ISNUMBER(SEARCH("software",I1036))+ISNUMBER(SEARCH("internet",I1036))+ISNUMBER(SEARCH("computer",I1036))+ISNUMBER(SEARCH("saas",I1036))+ISNUMBER(SEARCH("fintech",I1036))+ISNUMBER(SEARCH("information services",I1036))+ISNUMBER(SEARCH("telecommunications",I1036))&gt;0,'Configuración'!$B$27,'Configuración'!$B$28))</f>
        <v>4</v>
      </c>
      <c r="U1036" s="25">
        <f>IF(B1036="","",IF(ISNUMBER(SEARCH("CEO",C1036))+ISNUMBER(SEARCH("Founder",C1036))+ISNUMBER(SEARCH("Owner",C1036))+ISNUMBER(SEARCH("Dueño",C1036))+ISNUMBER(SEARCH("Director General",C1036))+ISNUMBER(SEARCH("Presidente",C1036))+ISNUMBER(SEARCH("President",C1036))&gt;0,'Configuración'!$B$31,IF(ISNUMBER(SEARCH("CMO",C1036))+ISNUMBER(SEARCH("Chief Marketing",C1036))+ISNUMBER(SEARCH("VP Marketing",C1036))+ISNUMBER(SEARCH("Director de Marketing",C1036))+ISNUMBER(SEARCH("Director Marketing",C1036))+ISNUMBER(SEARCH("Head of Marketing",C1036))+ISNUMBER(SEARCH("Head Marketing",C1036))&gt;0,'Configuración'!$B$32,IF(ISNUMBER(SEARCH("Marketing Manager",C1036))+ISNUMBER(SEARCH("Gerente de Marketing",C1036))+ISNUMBER(SEARCH("Growth Manager",C1036))+ISNUMBER(SEARCH("Demand Gen",C1036))+ISNUMBER(SEARCH("Marketing Lead",C1036))&gt;0,'Configuración'!$B$33,IF(ISNUMBER(SEARCH("COO",C1036))+ISNUMBER(SEARCH("CFO",C1036))+ISNUMBER(SEARCH("CTO",C1036))+ISNUMBER(SEARCH("Chief Operating",C1036))+ISNUMBER(SEARCH("Chief Financial",C1036))+ISNUMBER(SEARCH("Gerente General",C1036))+ISNUMBER(SEARCH("General Manager",C1036))&gt;0,'Configuración'!$B$34,'Configuración'!$B$35)))))</f>
        <v>12</v>
      </c>
      <c r="V1036" s="38">
        <f>IF(B1036="","",IF(K1036="Sí",'Configuración'!$B$5,0)+IF(L1036="Semanal",'Configuración'!$B$6,IF(L1036="Mensual",'Configuración'!$B$7,0))+IF(M1036="Sí",'Configuración'!$B$8,0)+IF(N1036="Sí",'Configuración'!$B$9,0)+IF(O1036="Sí",'Configuración'!$B$10,0)+IF(P1036="Sí",'Configuración'!$B$11,0)+IF(Q1036="Sí",'Configuración'!$B$12,0)+S1036+T1036+U1036)</f>
        <v>20</v>
      </c>
      <c r="W1036" s="39" t="str">
        <f>IF(B1036="","",IF(V1036&gt;='Configuración'!$B$19,"A",IF(V1036&gt;='Configuración'!$B$20,"B",IF(V1036&gt;='Configuración'!$B$21,"C","Descarte"))))</f>
        <v>Descarte</v>
      </c>
    </row>
    <row r="1037" ht="15.75" customHeight="1">
      <c r="A1037" s="34">
        <f t="shared" si="1"/>
        <v>1035</v>
      </c>
      <c r="B1037" s="29" t="s">
        <v>2788</v>
      </c>
      <c r="C1037" s="29" t="s">
        <v>6030</v>
      </c>
      <c r="D1037" s="29" t="s">
        <v>6031</v>
      </c>
      <c r="E1037" s="29" t="s">
        <v>6032</v>
      </c>
      <c r="F1037" s="30" t="s">
        <v>6033</v>
      </c>
      <c r="G1037" s="30" t="s">
        <v>6034</v>
      </c>
      <c r="H1037" s="30" t="s">
        <v>6035</v>
      </c>
      <c r="I1037" s="29" t="s">
        <v>1245</v>
      </c>
      <c r="J1037" s="31">
        <v>43.0</v>
      </c>
      <c r="K1037" s="35"/>
      <c r="L1037" s="35"/>
      <c r="M1037" s="35"/>
      <c r="N1037" s="35"/>
      <c r="O1037" s="35"/>
      <c r="P1037" s="35"/>
      <c r="Q1037" s="35"/>
      <c r="R1037" s="35"/>
      <c r="S1037" s="37">
        <f>IF(B1037="","",IF(ISNUMBER(J1037),IF(J1037&lt;=10,'Configuración'!$B$23,IF(J1037&lt;=50,'Configuración'!$B$24,IF(J1037&lt;=200,'Configuración'!$B$25,0))),0))</f>
        <v>4</v>
      </c>
      <c r="T1037" s="37">
        <f>IF(B1037="","",IF(ISNUMBER(SEARCH("information technology",I1037))+ISNUMBER(SEARCH("software",I1037))+ISNUMBER(SEARCH("internet",I1037))+ISNUMBER(SEARCH("computer",I1037))+ISNUMBER(SEARCH("saas",I1037))+ISNUMBER(SEARCH("fintech",I1037))+ISNUMBER(SEARCH("information services",I1037))+ISNUMBER(SEARCH("telecommunications",I1037))&gt;0,'Configuración'!$B$27,'Configuración'!$B$28))</f>
        <v>4</v>
      </c>
      <c r="U1037" s="25">
        <f>IF(B1037="","",IF(ISNUMBER(SEARCH("CEO",C1037))+ISNUMBER(SEARCH("Founder",C1037))+ISNUMBER(SEARCH("Owner",C1037))+ISNUMBER(SEARCH("Dueño",C1037))+ISNUMBER(SEARCH("Director General",C1037))+ISNUMBER(SEARCH("Presidente",C1037))+ISNUMBER(SEARCH("President",C1037))&gt;0,'Configuración'!$B$31,IF(ISNUMBER(SEARCH("CMO",C1037))+ISNUMBER(SEARCH("Chief Marketing",C1037))+ISNUMBER(SEARCH("VP Marketing",C1037))+ISNUMBER(SEARCH("Director de Marketing",C1037))+ISNUMBER(SEARCH("Director Marketing",C1037))+ISNUMBER(SEARCH("Head of Marketing",C1037))+ISNUMBER(SEARCH("Head Marketing",C1037))&gt;0,'Configuración'!$B$32,IF(ISNUMBER(SEARCH("Marketing Manager",C1037))+ISNUMBER(SEARCH("Gerente de Marketing",C1037))+ISNUMBER(SEARCH("Growth Manager",C1037))+ISNUMBER(SEARCH("Demand Gen",C1037))+ISNUMBER(SEARCH("Marketing Lead",C1037))&gt;0,'Configuración'!$B$33,IF(ISNUMBER(SEARCH("COO",C1037))+ISNUMBER(SEARCH("CFO",C1037))+ISNUMBER(SEARCH("CTO",C1037))+ISNUMBER(SEARCH("Chief Operating",C1037))+ISNUMBER(SEARCH("Chief Financial",C1037))+ISNUMBER(SEARCH("Gerente General",C1037))+ISNUMBER(SEARCH("General Manager",C1037))&gt;0,'Configuración'!$B$34,'Configuración'!$B$35)))))</f>
        <v>4</v>
      </c>
      <c r="V1037" s="38">
        <f>IF(B1037="","",IF(K1037="Sí",'Configuración'!$B$5,0)+IF(L1037="Semanal",'Configuración'!$B$6,IF(L1037="Mensual",'Configuración'!$B$7,0))+IF(M1037="Sí",'Configuración'!$B$8,0)+IF(N1037="Sí",'Configuración'!$B$9,0)+IF(O1037="Sí",'Configuración'!$B$10,0)+IF(P1037="Sí",'Configuración'!$B$11,0)+IF(Q1037="Sí",'Configuración'!$B$12,0)+S1037+T1037+U1037)</f>
        <v>12</v>
      </c>
      <c r="W1037" s="39" t="str">
        <f>IF(B1037="","",IF(V1037&gt;='Configuración'!$B$19,"A",IF(V1037&gt;='Configuración'!$B$20,"B",IF(V1037&gt;='Configuración'!$B$21,"C","Descarte"))))</f>
        <v>Descarte</v>
      </c>
    </row>
    <row r="1038" ht="15.75" customHeight="1">
      <c r="A1038" s="34">
        <f t="shared" si="1"/>
        <v>1036</v>
      </c>
      <c r="B1038" s="29" t="s">
        <v>564</v>
      </c>
      <c r="C1038" s="29" t="s">
        <v>1120</v>
      </c>
      <c r="D1038" s="29" t="s">
        <v>6036</v>
      </c>
      <c r="E1038" s="29" t="s">
        <v>6037</v>
      </c>
      <c r="F1038" s="30" t="s">
        <v>6038</v>
      </c>
      <c r="G1038" s="30" t="s">
        <v>6039</v>
      </c>
      <c r="H1038" s="30" t="s">
        <v>6040</v>
      </c>
      <c r="I1038" s="29"/>
      <c r="J1038" s="31">
        <v>1.0</v>
      </c>
      <c r="K1038" s="35"/>
      <c r="L1038" s="35"/>
      <c r="M1038" s="35"/>
      <c r="N1038" s="35"/>
      <c r="O1038" s="35"/>
      <c r="P1038" s="35"/>
      <c r="Q1038" s="35"/>
      <c r="R1038" s="35"/>
      <c r="S1038" s="37">
        <f>IF(B1038="","",IF(ISNUMBER(J1038),IF(J1038&lt;=10,'Configuración'!$B$23,IF(J1038&lt;=50,'Configuración'!$B$24,IF(J1038&lt;=200,'Configuración'!$B$25,0))),0))</f>
        <v>12</v>
      </c>
      <c r="T1038" s="37">
        <f>IF(B1038="","",IF(ISNUMBER(SEARCH("information technology",I1038))+ISNUMBER(SEARCH("software",I1038))+ISNUMBER(SEARCH("internet",I1038))+ISNUMBER(SEARCH("computer",I1038))+ISNUMBER(SEARCH("saas",I1038))+ISNUMBER(SEARCH("fintech",I1038))+ISNUMBER(SEARCH("information services",I1038))+ISNUMBER(SEARCH("telecommunications",I1038))&gt;0,'Configuración'!$B$27,'Configuración'!$B$28))</f>
        <v>4</v>
      </c>
      <c r="U1038" s="25">
        <f>IF(B1038="","",IF(ISNUMBER(SEARCH("CEO",C1038))+ISNUMBER(SEARCH("Founder",C1038))+ISNUMBER(SEARCH("Owner",C1038))+ISNUMBER(SEARCH("Dueño",C1038))+ISNUMBER(SEARCH("Director General",C1038))+ISNUMBER(SEARCH("Presidente",C1038))+ISNUMBER(SEARCH("President",C1038))&gt;0,'Configuración'!$B$31,IF(ISNUMBER(SEARCH("CMO",C1038))+ISNUMBER(SEARCH("Chief Marketing",C1038))+ISNUMBER(SEARCH("VP Marketing",C1038))+ISNUMBER(SEARCH("Director de Marketing",C1038))+ISNUMBER(SEARCH("Director Marketing",C1038))+ISNUMBER(SEARCH("Head of Marketing",C1038))+ISNUMBER(SEARCH("Head Marketing",C1038))&gt;0,'Configuración'!$B$32,IF(ISNUMBER(SEARCH("Marketing Manager",C1038))+ISNUMBER(SEARCH("Gerente de Marketing",C1038))+ISNUMBER(SEARCH("Growth Manager",C1038))+ISNUMBER(SEARCH("Demand Gen",C1038))+ISNUMBER(SEARCH("Marketing Lead",C1038))&gt;0,'Configuración'!$B$33,IF(ISNUMBER(SEARCH("COO",C1038))+ISNUMBER(SEARCH("CFO",C1038))+ISNUMBER(SEARCH("CTO",C1038))+ISNUMBER(SEARCH("Chief Operating",C1038))+ISNUMBER(SEARCH("Chief Financial",C1038))+ISNUMBER(SEARCH("Gerente General",C1038))+ISNUMBER(SEARCH("General Manager",C1038))&gt;0,'Configuración'!$B$34,'Configuración'!$B$35)))))</f>
        <v>4</v>
      </c>
      <c r="V1038" s="38">
        <f>IF(B1038="","",IF(K1038="Sí",'Configuración'!$B$5,0)+IF(L1038="Semanal",'Configuración'!$B$6,IF(L1038="Mensual",'Configuración'!$B$7,0))+IF(M1038="Sí",'Configuración'!$B$8,0)+IF(N1038="Sí",'Configuración'!$B$9,0)+IF(O1038="Sí",'Configuración'!$B$10,0)+IF(P1038="Sí",'Configuración'!$B$11,0)+IF(Q1038="Sí",'Configuración'!$B$12,0)+S1038+T1038+U1038)</f>
        <v>20</v>
      </c>
      <c r="W1038" s="39" t="str">
        <f>IF(B1038="","",IF(V1038&gt;='Configuración'!$B$19,"A",IF(V1038&gt;='Configuración'!$B$20,"B",IF(V1038&gt;='Configuración'!$B$21,"C","Descarte"))))</f>
        <v>Descarte</v>
      </c>
    </row>
    <row r="1039" ht="15.75" customHeight="1">
      <c r="A1039" s="34">
        <f t="shared" si="1"/>
        <v>1037</v>
      </c>
      <c r="B1039" s="29" t="s">
        <v>236</v>
      </c>
      <c r="C1039" s="29" t="s">
        <v>6041</v>
      </c>
      <c r="D1039" s="29" t="s">
        <v>6042</v>
      </c>
      <c r="E1039" s="29" t="s">
        <v>6043</v>
      </c>
      <c r="F1039" s="30" t="s">
        <v>6044</v>
      </c>
      <c r="G1039" s="30" t="s">
        <v>6045</v>
      </c>
      <c r="H1039" s="30" t="s">
        <v>6046</v>
      </c>
      <c r="I1039" s="29" t="s">
        <v>659</v>
      </c>
      <c r="J1039" s="31">
        <v>36.0</v>
      </c>
      <c r="K1039" s="35"/>
      <c r="L1039" s="35"/>
      <c r="M1039" s="35"/>
      <c r="N1039" s="35"/>
      <c r="O1039" s="35"/>
      <c r="P1039" s="35"/>
      <c r="Q1039" s="35"/>
      <c r="R1039" s="35"/>
      <c r="S1039" s="37">
        <f>IF(B1039="","",IF(ISNUMBER(J1039),IF(J1039&lt;=10,'Configuración'!$B$23,IF(J1039&lt;=50,'Configuración'!$B$24,IF(J1039&lt;=200,'Configuración'!$B$25,0))),0))</f>
        <v>4</v>
      </c>
      <c r="T1039" s="37">
        <f>IF(B1039="","",IF(ISNUMBER(SEARCH("information technology",I1039))+ISNUMBER(SEARCH("software",I1039))+ISNUMBER(SEARCH("internet",I1039))+ISNUMBER(SEARCH("computer",I1039))+ISNUMBER(SEARCH("saas",I1039))+ISNUMBER(SEARCH("fintech",I1039))+ISNUMBER(SEARCH("information services",I1039))+ISNUMBER(SEARCH("telecommunications",I1039))&gt;0,'Configuración'!$B$27,'Configuración'!$B$28))</f>
        <v>4</v>
      </c>
      <c r="U1039" s="25">
        <f>IF(B1039="","",IF(ISNUMBER(SEARCH("CEO",C1039))+ISNUMBER(SEARCH("Founder",C1039))+ISNUMBER(SEARCH("Owner",C1039))+ISNUMBER(SEARCH("Dueño",C1039))+ISNUMBER(SEARCH("Director General",C1039))+ISNUMBER(SEARCH("Presidente",C1039))+ISNUMBER(SEARCH("President",C1039))&gt;0,'Configuración'!$B$31,IF(ISNUMBER(SEARCH("CMO",C1039))+ISNUMBER(SEARCH("Chief Marketing",C1039))+ISNUMBER(SEARCH("VP Marketing",C1039))+ISNUMBER(SEARCH("Director de Marketing",C1039))+ISNUMBER(SEARCH("Director Marketing",C1039))+ISNUMBER(SEARCH("Head of Marketing",C1039))+ISNUMBER(SEARCH("Head Marketing",C1039))&gt;0,'Configuración'!$B$32,IF(ISNUMBER(SEARCH("Marketing Manager",C1039))+ISNUMBER(SEARCH("Gerente de Marketing",C1039))+ISNUMBER(SEARCH("Growth Manager",C1039))+ISNUMBER(SEARCH("Demand Gen",C1039))+ISNUMBER(SEARCH("Marketing Lead",C1039))&gt;0,'Configuración'!$B$33,IF(ISNUMBER(SEARCH("COO",C1039))+ISNUMBER(SEARCH("CFO",C1039))+ISNUMBER(SEARCH("CTO",C1039))+ISNUMBER(SEARCH("Chief Operating",C1039))+ISNUMBER(SEARCH("Chief Financial",C1039))+ISNUMBER(SEARCH("Gerente General",C1039))+ISNUMBER(SEARCH("General Manager",C1039))&gt;0,'Configuración'!$B$34,'Configuración'!$B$35)))))</f>
        <v>12</v>
      </c>
      <c r="V1039" s="38">
        <f>IF(B1039="","",IF(K1039="Sí",'Configuración'!$B$5,0)+IF(L1039="Semanal",'Configuración'!$B$6,IF(L1039="Mensual",'Configuración'!$B$7,0))+IF(M1039="Sí",'Configuración'!$B$8,0)+IF(N1039="Sí",'Configuración'!$B$9,0)+IF(O1039="Sí",'Configuración'!$B$10,0)+IF(P1039="Sí",'Configuración'!$B$11,0)+IF(Q1039="Sí",'Configuración'!$B$12,0)+S1039+T1039+U1039)</f>
        <v>20</v>
      </c>
      <c r="W1039" s="39" t="str">
        <f>IF(B1039="","",IF(V1039&gt;='Configuración'!$B$19,"A",IF(V1039&gt;='Configuración'!$B$20,"B",IF(V1039&gt;='Configuración'!$B$21,"C","Descarte"))))</f>
        <v>Descarte</v>
      </c>
    </row>
    <row r="1040" ht="15.75" customHeight="1">
      <c r="A1040" s="34">
        <f t="shared" si="1"/>
        <v>1038</v>
      </c>
      <c r="B1040" s="29" t="s">
        <v>6047</v>
      </c>
      <c r="C1040" s="29" t="s">
        <v>175</v>
      </c>
      <c r="D1040" s="29" t="s">
        <v>4457</v>
      </c>
      <c r="E1040" s="29" t="s">
        <v>6048</v>
      </c>
      <c r="F1040" s="30" t="s">
        <v>6049</v>
      </c>
      <c r="G1040" s="30" t="s">
        <v>4460</v>
      </c>
      <c r="H1040" s="30" t="s">
        <v>4461</v>
      </c>
      <c r="I1040" s="29" t="s">
        <v>127</v>
      </c>
      <c r="J1040" s="31">
        <v>5.0</v>
      </c>
      <c r="K1040" s="35"/>
      <c r="L1040" s="35"/>
      <c r="M1040" s="35"/>
      <c r="N1040" s="35"/>
      <c r="O1040" s="35"/>
      <c r="P1040" s="35"/>
      <c r="Q1040" s="35"/>
      <c r="R1040" s="35"/>
      <c r="S1040" s="37">
        <f>IF(B1040="","",IF(ISNUMBER(J1040),IF(J1040&lt;=10,'Configuración'!$B$23,IF(J1040&lt;=50,'Configuración'!$B$24,IF(J1040&lt;=200,'Configuración'!$B$25,0))),0))</f>
        <v>12</v>
      </c>
      <c r="T1040" s="37">
        <f>IF(B1040="","",IF(ISNUMBER(SEARCH("information technology",I1040))+ISNUMBER(SEARCH("software",I1040))+ISNUMBER(SEARCH("internet",I1040))+ISNUMBER(SEARCH("computer",I1040))+ISNUMBER(SEARCH("saas",I1040))+ISNUMBER(SEARCH("fintech",I1040))+ISNUMBER(SEARCH("information services",I1040))+ISNUMBER(SEARCH("telecommunications",I1040))&gt;0,'Configuración'!$B$27,'Configuración'!$B$28))</f>
        <v>12</v>
      </c>
      <c r="U1040" s="25">
        <f>IF(B1040="","",IF(ISNUMBER(SEARCH("CEO",C1040))+ISNUMBER(SEARCH("Founder",C1040))+ISNUMBER(SEARCH("Owner",C1040))+ISNUMBER(SEARCH("Dueño",C1040))+ISNUMBER(SEARCH("Director General",C1040))+ISNUMBER(SEARCH("Presidente",C1040))+ISNUMBER(SEARCH("President",C1040))&gt;0,'Configuración'!$B$31,IF(ISNUMBER(SEARCH("CMO",C1040))+ISNUMBER(SEARCH("Chief Marketing",C1040))+ISNUMBER(SEARCH("VP Marketing",C1040))+ISNUMBER(SEARCH("Director de Marketing",C1040))+ISNUMBER(SEARCH("Director Marketing",C1040))+ISNUMBER(SEARCH("Head of Marketing",C1040))+ISNUMBER(SEARCH("Head Marketing",C1040))&gt;0,'Configuración'!$B$32,IF(ISNUMBER(SEARCH("Marketing Manager",C1040))+ISNUMBER(SEARCH("Gerente de Marketing",C1040))+ISNUMBER(SEARCH("Growth Manager",C1040))+ISNUMBER(SEARCH("Demand Gen",C1040))+ISNUMBER(SEARCH("Marketing Lead",C1040))&gt;0,'Configuración'!$B$33,IF(ISNUMBER(SEARCH("COO",C1040))+ISNUMBER(SEARCH("CFO",C1040))+ISNUMBER(SEARCH("CTO",C1040))+ISNUMBER(SEARCH("Chief Operating",C1040))+ISNUMBER(SEARCH("Chief Financial",C1040))+ISNUMBER(SEARCH("Gerente General",C1040))+ISNUMBER(SEARCH("General Manager",C1040))&gt;0,'Configuración'!$B$34,'Configuración'!$B$35)))))</f>
        <v>12</v>
      </c>
      <c r="V1040" s="38">
        <f>IF(B1040="","",IF(K1040="Sí",'Configuración'!$B$5,0)+IF(L1040="Semanal",'Configuración'!$B$6,IF(L1040="Mensual",'Configuración'!$B$7,0))+IF(M1040="Sí",'Configuración'!$B$8,0)+IF(N1040="Sí",'Configuración'!$B$9,0)+IF(O1040="Sí",'Configuración'!$B$10,0)+IF(P1040="Sí",'Configuración'!$B$11,0)+IF(Q1040="Sí",'Configuración'!$B$12,0)+S1040+T1040+U1040)</f>
        <v>36</v>
      </c>
      <c r="W1040" s="39" t="str">
        <f>IF(B1040="","",IF(V1040&gt;='Configuración'!$B$19,"A",IF(V1040&gt;='Configuración'!$B$20,"B",IF(V1040&gt;='Configuración'!$B$21,"C","Descarte"))))</f>
        <v>C</v>
      </c>
    </row>
    <row r="1041" ht="15.75" customHeight="1">
      <c r="A1041" s="34">
        <f t="shared" si="1"/>
        <v>1039</v>
      </c>
      <c r="B1041" s="29" t="s">
        <v>174</v>
      </c>
      <c r="C1041" s="29" t="s">
        <v>243</v>
      </c>
      <c r="D1041" s="29" t="s">
        <v>6050</v>
      </c>
      <c r="E1041" s="29" t="s">
        <v>6051</v>
      </c>
      <c r="F1041" s="30" t="s">
        <v>6052</v>
      </c>
      <c r="G1041" s="30" t="s">
        <v>6053</v>
      </c>
      <c r="H1041" s="30" t="s">
        <v>6054</v>
      </c>
      <c r="I1041" s="29" t="s">
        <v>188</v>
      </c>
      <c r="J1041" s="31">
        <v>2.0</v>
      </c>
      <c r="K1041" s="35"/>
      <c r="L1041" s="35"/>
      <c r="M1041" s="35"/>
      <c r="N1041" s="35"/>
      <c r="O1041" s="35"/>
      <c r="P1041" s="35"/>
      <c r="Q1041" s="35"/>
      <c r="R1041" s="35"/>
      <c r="S1041" s="37">
        <f>IF(B1041="","",IF(ISNUMBER(J1041),IF(J1041&lt;=10,'Configuración'!$B$23,IF(J1041&lt;=50,'Configuración'!$B$24,IF(J1041&lt;=200,'Configuración'!$B$25,0))),0))</f>
        <v>12</v>
      </c>
      <c r="T1041" s="37">
        <f>IF(B1041="","",IF(ISNUMBER(SEARCH("information technology",I1041))+ISNUMBER(SEARCH("software",I1041))+ISNUMBER(SEARCH("internet",I1041))+ISNUMBER(SEARCH("computer",I1041))+ISNUMBER(SEARCH("saas",I1041))+ISNUMBER(SEARCH("fintech",I1041))+ISNUMBER(SEARCH("information services",I1041))+ISNUMBER(SEARCH("telecommunications",I1041))&gt;0,'Configuración'!$B$27,'Configuración'!$B$28))</f>
        <v>4</v>
      </c>
      <c r="U1041" s="25">
        <f>IF(B1041="","",IF(ISNUMBER(SEARCH("CEO",C1041))+ISNUMBER(SEARCH("Founder",C1041))+ISNUMBER(SEARCH("Owner",C1041))+ISNUMBER(SEARCH("Dueño",C1041))+ISNUMBER(SEARCH("Director General",C1041))+ISNUMBER(SEARCH("Presidente",C1041))+ISNUMBER(SEARCH("President",C1041))&gt;0,'Configuración'!$B$31,IF(ISNUMBER(SEARCH("CMO",C1041))+ISNUMBER(SEARCH("Chief Marketing",C1041))+ISNUMBER(SEARCH("VP Marketing",C1041))+ISNUMBER(SEARCH("Director de Marketing",C1041))+ISNUMBER(SEARCH("Director Marketing",C1041))+ISNUMBER(SEARCH("Head of Marketing",C1041))+ISNUMBER(SEARCH("Head Marketing",C1041))&gt;0,'Configuración'!$B$32,IF(ISNUMBER(SEARCH("Marketing Manager",C1041))+ISNUMBER(SEARCH("Gerente de Marketing",C1041))+ISNUMBER(SEARCH("Growth Manager",C1041))+ISNUMBER(SEARCH("Demand Gen",C1041))+ISNUMBER(SEARCH("Marketing Lead",C1041))&gt;0,'Configuración'!$B$33,IF(ISNUMBER(SEARCH("COO",C1041))+ISNUMBER(SEARCH("CFO",C1041))+ISNUMBER(SEARCH("CTO",C1041))+ISNUMBER(SEARCH("Chief Operating",C1041))+ISNUMBER(SEARCH("Chief Financial",C1041))+ISNUMBER(SEARCH("Gerente General",C1041))+ISNUMBER(SEARCH("General Manager",C1041))&gt;0,'Configuración'!$B$34,'Configuración'!$B$35)))))</f>
        <v>12</v>
      </c>
      <c r="V1041" s="38">
        <f>IF(B1041="","",IF(K1041="Sí",'Configuración'!$B$5,0)+IF(L1041="Semanal",'Configuración'!$B$6,IF(L1041="Mensual",'Configuración'!$B$7,0))+IF(M1041="Sí",'Configuración'!$B$8,0)+IF(N1041="Sí",'Configuración'!$B$9,0)+IF(O1041="Sí",'Configuración'!$B$10,0)+IF(P1041="Sí",'Configuración'!$B$11,0)+IF(Q1041="Sí",'Configuración'!$B$12,0)+S1041+T1041+U1041)</f>
        <v>28</v>
      </c>
      <c r="W1041" s="39" t="str">
        <f>IF(B1041="","",IF(V1041&gt;='Configuración'!$B$19,"A",IF(V1041&gt;='Configuración'!$B$20,"B",IF(V1041&gt;='Configuración'!$B$21,"C","Descarte"))))</f>
        <v>C</v>
      </c>
    </row>
    <row r="1042" ht="15.75" customHeight="1">
      <c r="A1042" s="34">
        <f t="shared" si="1"/>
        <v>1040</v>
      </c>
      <c r="B1042" s="29" t="s">
        <v>166</v>
      </c>
      <c r="C1042" s="29" t="s">
        <v>202</v>
      </c>
      <c r="D1042" s="29" t="s">
        <v>6055</v>
      </c>
      <c r="E1042" s="29" t="s">
        <v>6056</v>
      </c>
      <c r="F1042" s="30" t="s">
        <v>6057</v>
      </c>
      <c r="G1042" s="30" t="s">
        <v>6058</v>
      </c>
      <c r="H1042" s="30" t="s">
        <v>6059</v>
      </c>
      <c r="I1042" s="29" t="s">
        <v>188</v>
      </c>
      <c r="J1042" s="31">
        <v>3.0</v>
      </c>
      <c r="K1042" s="35"/>
      <c r="L1042" s="35"/>
      <c r="M1042" s="35"/>
      <c r="N1042" s="35"/>
      <c r="O1042" s="35"/>
      <c r="P1042" s="35"/>
      <c r="Q1042" s="35"/>
      <c r="R1042" s="35"/>
      <c r="S1042" s="37">
        <f>IF(B1042="","",IF(ISNUMBER(J1042),IF(J1042&lt;=10,'Configuración'!$B$23,IF(J1042&lt;=50,'Configuración'!$B$24,IF(J1042&lt;=200,'Configuración'!$B$25,0))),0))</f>
        <v>12</v>
      </c>
      <c r="T1042" s="37">
        <f>IF(B1042="","",IF(ISNUMBER(SEARCH("information technology",I1042))+ISNUMBER(SEARCH("software",I1042))+ISNUMBER(SEARCH("internet",I1042))+ISNUMBER(SEARCH("computer",I1042))+ISNUMBER(SEARCH("saas",I1042))+ISNUMBER(SEARCH("fintech",I1042))+ISNUMBER(SEARCH("information services",I1042))+ISNUMBER(SEARCH("telecommunications",I1042))&gt;0,'Configuración'!$B$27,'Configuración'!$B$28))</f>
        <v>4</v>
      </c>
      <c r="U1042" s="25">
        <f>IF(B1042="","",IF(ISNUMBER(SEARCH("CEO",C1042))+ISNUMBER(SEARCH("Founder",C1042))+ISNUMBER(SEARCH("Owner",C1042))+ISNUMBER(SEARCH("Dueño",C1042))+ISNUMBER(SEARCH("Director General",C1042))+ISNUMBER(SEARCH("Presidente",C1042))+ISNUMBER(SEARCH("President",C1042))&gt;0,'Configuración'!$B$31,IF(ISNUMBER(SEARCH("CMO",C1042))+ISNUMBER(SEARCH("Chief Marketing",C1042))+ISNUMBER(SEARCH("VP Marketing",C1042))+ISNUMBER(SEARCH("Director de Marketing",C1042))+ISNUMBER(SEARCH("Director Marketing",C1042))+ISNUMBER(SEARCH("Head of Marketing",C1042))+ISNUMBER(SEARCH("Head Marketing",C1042))&gt;0,'Configuración'!$B$32,IF(ISNUMBER(SEARCH("Marketing Manager",C1042))+ISNUMBER(SEARCH("Gerente de Marketing",C1042))+ISNUMBER(SEARCH("Growth Manager",C1042))+ISNUMBER(SEARCH("Demand Gen",C1042))+ISNUMBER(SEARCH("Marketing Lead",C1042))&gt;0,'Configuración'!$B$33,IF(ISNUMBER(SEARCH("COO",C1042))+ISNUMBER(SEARCH("CFO",C1042))+ISNUMBER(SEARCH("CTO",C1042))+ISNUMBER(SEARCH("Chief Operating",C1042))+ISNUMBER(SEARCH("Chief Financial",C1042))+ISNUMBER(SEARCH("Gerente General",C1042))+ISNUMBER(SEARCH("General Manager",C1042))&gt;0,'Configuración'!$B$34,'Configuración'!$B$35)))))</f>
        <v>12</v>
      </c>
      <c r="V1042" s="38">
        <f>IF(B1042="","",IF(K1042="Sí",'Configuración'!$B$5,0)+IF(L1042="Semanal",'Configuración'!$B$6,IF(L1042="Mensual",'Configuración'!$B$7,0))+IF(M1042="Sí",'Configuración'!$B$8,0)+IF(N1042="Sí",'Configuración'!$B$9,0)+IF(O1042="Sí",'Configuración'!$B$10,0)+IF(P1042="Sí",'Configuración'!$B$11,0)+IF(Q1042="Sí",'Configuración'!$B$12,0)+S1042+T1042+U1042)</f>
        <v>28</v>
      </c>
      <c r="W1042" s="39" t="str">
        <f>IF(B1042="","",IF(V1042&gt;='Configuración'!$B$19,"A",IF(V1042&gt;='Configuración'!$B$20,"B",IF(V1042&gt;='Configuración'!$B$21,"C","Descarte"))))</f>
        <v>C</v>
      </c>
    </row>
    <row r="1043" ht="15.75" customHeight="1">
      <c r="A1043" s="34">
        <f t="shared" si="1"/>
        <v>1041</v>
      </c>
      <c r="B1043" s="29" t="s">
        <v>529</v>
      </c>
      <c r="C1043" s="29" t="s">
        <v>487</v>
      </c>
      <c r="D1043" s="29" t="s">
        <v>6060</v>
      </c>
      <c r="E1043" s="29" t="s">
        <v>6061</v>
      </c>
      <c r="F1043" s="30" t="s">
        <v>6062</v>
      </c>
      <c r="G1043" s="30" t="s">
        <v>6063</v>
      </c>
      <c r="H1043" s="30" t="s">
        <v>6064</v>
      </c>
      <c r="I1043" s="29" t="s">
        <v>628</v>
      </c>
      <c r="J1043" s="31">
        <v>8.0</v>
      </c>
      <c r="K1043" s="35"/>
      <c r="L1043" s="35"/>
      <c r="M1043" s="35"/>
      <c r="N1043" s="35"/>
      <c r="O1043" s="35"/>
      <c r="P1043" s="35"/>
      <c r="Q1043" s="35"/>
      <c r="R1043" s="35"/>
      <c r="S1043" s="37">
        <f>IF(B1043="","",IF(ISNUMBER(J1043),IF(J1043&lt;=10,'Configuración'!$B$23,IF(J1043&lt;=50,'Configuración'!$B$24,IF(J1043&lt;=200,'Configuración'!$B$25,0))),0))</f>
        <v>12</v>
      </c>
      <c r="T1043" s="37">
        <f>IF(B1043="","",IF(ISNUMBER(SEARCH("information technology",I1043))+ISNUMBER(SEARCH("software",I1043))+ISNUMBER(SEARCH("internet",I1043))+ISNUMBER(SEARCH("computer",I1043))+ISNUMBER(SEARCH("saas",I1043))+ISNUMBER(SEARCH("fintech",I1043))+ISNUMBER(SEARCH("information services",I1043))+ISNUMBER(SEARCH("telecommunications",I1043))&gt;0,'Configuración'!$B$27,'Configuración'!$B$28))</f>
        <v>4</v>
      </c>
      <c r="U1043" s="25">
        <f>IF(B1043="","",IF(ISNUMBER(SEARCH("CEO",C1043))+ISNUMBER(SEARCH("Founder",C1043))+ISNUMBER(SEARCH("Owner",C1043))+ISNUMBER(SEARCH("Dueño",C1043))+ISNUMBER(SEARCH("Director General",C1043))+ISNUMBER(SEARCH("Presidente",C1043))+ISNUMBER(SEARCH("President",C1043))&gt;0,'Configuración'!$B$31,IF(ISNUMBER(SEARCH("CMO",C1043))+ISNUMBER(SEARCH("Chief Marketing",C1043))+ISNUMBER(SEARCH("VP Marketing",C1043))+ISNUMBER(SEARCH("Director de Marketing",C1043))+ISNUMBER(SEARCH("Director Marketing",C1043))+ISNUMBER(SEARCH("Head of Marketing",C1043))+ISNUMBER(SEARCH("Head Marketing",C1043))&gt;0,'Configuración'!$B$32,IF(ISNUMBER(SEARCH("Marketing Manager",C1043))+ISNUMBER(SEARCH("Gerente de Marketing",C1043))+ISNUMBER(SEARCH("Growth Manager",C1043))+ISNUMBER(SEARCH("Demand Gen",C1043))+ISNUMBER(SEARCH("Marketing Lead",C1043))&gt;0,'Configuración'!$B$33,IF(ISNUMBER(SEARCH("COO",C1043))+ISNUMBER(SEARCH("CFO",C1043))+ISNUMBER(SEARCH("CTO",C1043))+ISNUMBER(SEARCH("Chief Operating",C1043))+ISNUMBER(SEARCH("Chief Financial",C1043))+ISNUMBER(SEARCH("Gerente General",C1043))+ISNUMBER(SEARCH("General Manager",C1043))&gt;0,'Configuración'!$B$34,'Configuración'!$B$35)))))</f>
        <v>12</v>
      </c>
      <c r="V1043" s="38">
        <f>IF(B1043="","",IF(K1043="Sí",'Configuración'!$B$5,0)+IF(L1043="Semanal",'Configuración'!$B$6,IF(L1043="Mensual",'Configuración'!$B$7,0))+IF(M1043="Sí",'Configuración'!$B$8,0)+IF(N1043="Sí",'Configuración'!$B$9,0)+IF(O1043="Sí",'Configuración'!$B$10,0)+IF(P1043="Sí",'Configuración'!$B$11,0)+IF(Q1043="Sí",'Configuración'!$B$12,0)+S1043+T1043+U1043)</f>
        <v>28</v>
      </c>
      <c r="W1043" s="39" t="str">
        <f>IF(B1043="","",IF(V1043&gt;='Configuración'!$B$19,"A",IF(V1043&gt;='Configuración'!$B$20,"B",IF(V1043&gt;='Configuración'!$B$21,"C","Descarte"))))</f>
        <v>C</v>
      </c>
    </row>
    <row r="1044" ht="15.75" customHeight="1">
      <c r="A1044" s="34">
        <f t="shared" si="1"/>
        <v>1042</v>
      </c>
      <c r="B1044" s="29" t="s">
        <v>236</v>
      </c>
      <c r="C1044" s="29" t="s">
        <v>311</v>
      </c>
      <c r="D1044" s="29" t="s">
        <v>6065</v>
      </c>
      <c r="E1044" s="29" t="s">
        <v>6066</v>
      </c>
      <c r="F1044" s="30" t="s">
        <v>6067</v>
      </c>
      <c r="G1044" s="30" t="s">
        <v>6068</v>
      </c>
      <c r="H1044" s="30" t="s">
        <v>6069</v>
      </c>
      <c r="I1044" s="29" t="s">
        <v>127</v>
      </c>
      <c r="J1044" s="31">
        <v>25.0</v>
      </c>
      <c r="K1044" s="35"/>
      <c r="L1044" s="35"/>
      <c r="M1044" s="35"/>
      <c r="N1044" s="35"/>
      <c r="O1044" s="35"/>
      <c r="P1044" s="35"/>
      <c r="Q1044" s="35"/>
      <c r="R1044" s="35"/>
      <c r="S1044" s="37">
        <f>IF(B1044="","",IF(ISNUMBER(J1044),IF(J1044&lt;=10,'Configuración'!$B$23,IF(J1044&lt;=50,'Configuración'!$B$24,IF(J1044&lt;=200,'Configuración'!$B$25,0))),0))</f>
        <v>4</v>
      </c>
      <c r="T1044" s="37">
        <f>IF(B1044="","",IF(ISNUMBER(SEARCH("information technology",I1044))+ISNUMBER(SEARCH("software",I1044))+ISNUMBER(SEARCH("internet",I1044))+ISNUMBER(SEARCH("computer",I1044))+ISNUMBER(SEARCH("saas",I1044))+ISNUMBER(SEARCH("fintech",I1044))+ISNUMBER(SEARCH("information services",I1044))+ISNUMBER(SEARCH("telecommunications",I1044))&gt;0,'Configuración'!$B$27,'Configuración'!$B$28))</f>
        <v>12</v>
      </c>
      <c r="U1044" s="25">
        <f>IF(B1044="","",IF(ISNUMBER(SEARCH("CEO",C1044))+ISNUMBER(SEARCH("Founder",C1044))+ISNUMBER(SEARCH("Owner",C1044))+ISNUMBER(SEARCH("Dueño",C1044))+ISNUMBER(SEARCH("Director General",C1044))+ISNUMBER(SEARCH("Presidente",C1044))+ISNUMBER(SEARCH("President",C1044))&gt;0,'Configuración'!$B$31,IF(ISNUMBER(SEARCH("CMO",C1044))+ISNUMBER(SEARCH("Chief Marketing",C1044))+ISNUMBER(SEARCH("VP Marketing",C1044))+ISNUMBER(SEARCH("Director de Marketing",C1044))+ISNUMBER(SEARCH("Director Marketing",C1044))+ISNUMBER(SEARCH("Head of Marketing",C1044))+ISNUMBER(SEARCH("Head Marketing",C1044))&gt;0,'Configuración'!$B$32,IF(ISNUMBER(SEARCH("Marketing Manager",C1044))+ISNUMBER(SEARCH("Gerente de Marketing",C1044))+ISNUMBER(SEARCH("Growth Manager",C1044))+ISNUMBER(SEARCH("Demand Gen",C1044))+ISNUMBER(SEARCH("Marketing Lead",C1044))&gt;0,'Configuración'!$B$33,IF(ISNUMBER(SEARCH("COO",C1044))+ISNUMBER(SEARCH("CFO",C1044))+ISNUMBER(SEARCH("CTO",C1044))+ISNUMBER(SEARCH("Chief Operating",C1044))+ISNUMBER(SEARCH("Chief Financial",C1044))+ISNUMBER(SEARCH("Gerente General",C1044))+ISNUMBER(SEARCH("General Manager",C1044))&gt;0,'Configuración'!$B$34,'Configuración'!$B$35)))))</f>
        <v>12</v>
      </c>
      <c r="V1044" s="38">
        <f>IF(B1044="","",IF(K1044="Sí",'Configuración'!$B$5,0)+IF(L1044="Semanal",'Configuración'!$B$6,IF(L1044="Mensual",'Configuración'!$B$7,0))+IF(M1044="Sí",'Configuración'!$B$8,0)+IF(N1044="Sí",'Configuración'!$B$9,0)+IF(O1044="Sí",'Configuración'!$B$10,0)+IF(P1044="Sí",'Configuración'!$B$11,0)+IF(Q1044="Sí",'Configuración'!$B$12,0)+S1044+T1044+U1044)</f>
        <v>28</v>
      </c>
      <c r="W1044" s="39" t="str">
        <f>IF(B1044="","",IF(V1044&gt;='Configuración'!$B$19,"A",IF(V1044&gt;='Configuración'!$B$20,"B",IF(V1044&gt;='Configuración'!$B$21,"C","Descarte"))))</f>
        <v>C</v>
      </c>
    </row>
    <row r="1045" ht="15.75" customHeight="1">
      <c r="A1045" s="34">
        <f t="shared" si="1"/>
        <v>1043</v>
      </c>
      <c r="B1045" s="29" t="s">
        <v>6070</v>
      </c>
      <c r="C1045" s="29" t="s">
        <v>202</v>
      </c>
      <c r="D1045" s="29" t="s">
        <v>6071</v>
      </c>
      <c r="E1045" s="29" t="s">
        <v>6072</v>
      </c>
      <c r="F1045" s="30" t="s">
        <v>6073</v>
      </c>
      <c r="G1045" s="30" t="s">
        <v>6074</v>
      </c>
      <c r="H1045" s="30" t="s">
        <v>6075</v>
      </c>
      <c r="I1045" s="29" t="s">
        <v>1356</v>
      </c>
      <c r="J1045" s="31">
        <v>3.0</v>
      </c>
      <c r="K1045" s="35"/>
      <c r="L1045" s="35"/>
      <c r="M1045" s="35"/>
      <c r="N1045" s="35"/>
      <c r="O1045" s="35"/>
      <c r="P1045" s="35"/>
      <c r="Q1045" s="35"/>
      <c r="R1045" s="35"/>
      <c r="S1045" s="37">
        <f>IF(B1045="","",IF(ISNUMBER(J1045),IF(J1045&lt;=10,'Configuración'!$B$23,IF(J1045&lt;=50,'Configuración'!$B$24,IF(J1045&lt;=200,'Configuración'!$B$25,0))),0))</f>
        <v>12</v>
      </c>
      <c r="T1045" s="37">
        <f>IF(B1045="","",IF(ISNUMBER(SEARCH("information technology",I1045))+ISNUMBER(SEARCH("software",I1045))+ISNUMBER(SEARCH("internet",I1045))+ISNUMBER(SEARCH("computer",I1045))+ISNUMBER(SEARCH("saas",I1045))+ISNUMBER(SEARCH("fintech",I1045))+ISNUMBER(SEARCH("information services",I1045))+ISNUMBER(SEARCH("telecommunications",I1045))&gt;0,'Configuración'!$B$27,'Configuración'!$B$28))</f>
        <v>4</v>
      </c>
      <c r="U1045" s="25">
        <f>IF(B1045="","",IF(ISNUMBER(SEARCH("CEO",C1045))+ISNUMBER(SEARCH("Founder",C1045))+ISNUMBER(SEARCH("Owner",C1045))+ISNUMBER(SEARCH("Dueño",C1045))+ISNUMBER(SEARCH("Director General",C1045))+ISNUMBER(SEARCH("Presidente",C1045))+ISNUMBER(SEARCH("President",C1045))&gt;0,'Configuración'!$B$31,IF(ISNUMBER(SEARCH("CMO",C1045))+ISNUMBER(SEARCH("Chief Marketing",C1045))+ISNUMBER(SEARCH("VP Marketing",C1045))+ISNUMBER(SEARCH("Director de Marketing",C1045))+ISNUMBER(SEARCH("Director Marketing",C1045))+ISNUMBER(SEARCH("Head of Marketing",C1045))+ISNUMBER(SEARCH("Head Marketing",C1045))&gt;0,'Configuración'!$B$32,IF(ISNUMBER(SEARCH("Marketing Manager",C1045))+ISNUMBER(SEARCH("Gerente de Marketing",C1045))+ISNUMBER(SEARCH("Growth Manager",C1045))+ISNUMBER(SEARCH("Demand Gen",C1045))+ISNUMBER(SEARCH("Marketing Lead",C1045))&gt;0,'Configuración'!$B$33,IF(ISNUMBER(SEARCH("COO",C1045))+ISNUMBER(SEARCH("CFO",C1045))+ISNUMBER(SEARCH("CTO",C1045))+ISNUMBER(SEARCH("Chief Operating",C1045))+ISNUMBER(SEARCH("Chief Financial",C1045))+ISNUMBER(SEARCH("Gerente General",C1045))+ISNUMBER(SEARCH("General Manager",C1045))&gt;0,'Configuración'!$B$34,'Configuración'!$B$35)))))</f>
        <v>12</v>
      </c>
      <c r="V1045" s="38">
        <f>IF(B1045="","",IF(K1045="Sí",'Configuración'!$B$5,0)+IF(L1045="Semanal",'Configuración'!$B$6,IF(L1045="Mensual",'Configuración'!$B$7,0))+IF(M1045="Sí",'Configuración'!$B$8,0)+IF(N1045="Sí",'Configuración'!$B$9,0)+IF(O1045="Sí",'Configuración'!$B$10,0)+IF(P1045="Sí",'Configuración'!$B$11,0)+IF(Q1045="Sí",'Configuración'!$B$12,0)+S1045+T1045+U1045)</f>
        <v>28</v>
      </c>
      <c r="W1045" s="39" t="str">
        <f>IF(B1045="","",IF(V1045&gt;='Configuración'!$B$19,"A",IF(V1045&gt;='Configuración'!$B$20,"B",IF(V1045&gt;='Configuración'!$B$21,"C","Descarte"))))</f>
        <v>C</v>
      </c>
    </row>
    <row r="1046" ht="15.75" customHeight="1">
      <c r="A1046" s="34">
        <f t="shared" si="1"/>
        <v>1044</v>
      </c>
      <c r="B1046" s="29" t="s">
        <v>181</v>
      </c>
      <c r="C1046" s="29" t="s">
        <v>131</v>
      </c>
      <c r="D1046" s="29" t="s">
        <v>6076</v>
      </c>
      <c r="E1046" s="29" t="s">
        <v>6077</v>
      </c>
      <c r="F1046" s="30" t="s">
        <v>6078</v>
      </c>
      <c r="G1046" s="30" t="s">
        <v>6079</v>
      </c>
      <c r="H1046" s="30" t="s">
        <v>6080</v>
      </c>
      <c r="I1046" s="29" t="s">
        <v>127</v>
      </c>
      <c r="J1046" s="31">
        <v>19.0</v>
      </c>
      <c r="K1046" s="35"/>
      <c r="L1046" s="35"/>
      <c r="M1046" s="35"/>
      <c r="N1046" s="35"/>
      <c r="O1046" s="35"/>
      <c r="P1046" s="35"/>
      <c r="Q1046" s="35"/>
      <c r="R1046" s="35"/>
      <c r="S1046" s="37">
        <f>IF(B1046="","",IF(ISNUMBER(J1046),IF(J1046&lt;=10,'Configuración'!$B$23,IF(J1046&lt;=50,'Configuración'!$B$24,IF(J1046&lt;=200,'Configuración'!$B$25,0))),0))</f>
        <v>4</v>
      </c>
      <c r="T1046" s="37">
        <f>IF(B1046="","",IF(ISNUMBER(SEARCH("information technology",I1046))+ISNUMBER(SEARCH("software",I1046))+ISNUMBER(SEARCH("internet",I1046))+ISNUMBER(SEARCH("computer",I1046))+ISNUMBER(SEARCH("saas",I1046))+ISNUMBER(SEARCH("fintech",I1046))+ISNUMBER(SEARCH("information services",I1046))+ISNUMBER(SEARCH("telecommunications",I1046))&gt;0,'Configuración'!$B$27,'Configuración'!$B$28))</f>
        <v>12</v>
      </c>
      <c r="U1046" s="25">
        <f>IF(B1046="","",IF(ISNUMBER(SEARCH("CEO",C1046))+ISNUMBER(SEARCH("Founder",C1046))+ISNUMBER(SEARCH("Owner",C1046))+ISNUMBER(SEARCH("Dueño",C1046))+ISNUMBER(SEARCH("Director General",C1046))+ISNUMBER(SEARCH("Presidente",C1046))+ISNUMBER(SEARCH("President",C1046))&gt;0,'Configuración'!$B$31,IF(ISNUMBER(SEARCH("CMO",C1046))+ISNUMBER(SEARCH("Chief Marketing",C1046))+ISNUMBER(SEARCH("VP Marketing",C1046))+ISNUMBER(SEARCH("Director de Marketing",C1046))+ISNUMBER(SEARCH("Director Marketing",C1046))+ISNUMBER(SEARCH("Head of Marketing",C1046))+ISNUMBER(SEARCH("Head Marketing",C1046))&gt;0,'Configuración'!$B$32,IF(ISNUMBER(SEARCH("Marketing Manager",C1046))+ISNUMBER(SEARCH("Gerente de Marketing",C1046))+ISNUMBER(SEARCH("Growth Manager",C1046))+ISNUMBER(SEARCH("Demand Gen",C1046))+ISNUMBER(SEARCH("Marketing Lead",C1046))&gt;0,'Configuración'!$B$33,IF(ISNUMBER(SEARCH("COO",C1046))+ISNUMBER(SEARCH("CFO",C1046))+ISNUMBER(SEARCH("CTO",C1046))+ISNUMBER(SEARCH("Chief Operating",C1046))+ISNUMBER(SEARCH("Chief Financial",C1046))+ISNUMBER(SEARCH("Gerente General",C1046))+ISNUMBER(SEARCH("General Manager",C1046))&gt;0,'Configuración'!$B$34,'Configuración'!$B$35)))))</f>
        <v>12</v>
      </c>
      <c r="V1046" s="38">
        <f>IF(B1046="","",IF(K1046="Sí",'Configuración'!$B$5,0)+IF(L1046="Semanal",'Configuración'!$B$6,IF(L1046="Mensual",'Configuración'!$B$7,0))+IF(M1046="Sí",'Configuración'!$B$8,0)+IF(N1046="Sí",'Configuración'!$B$9,0)+IF(O1046="Sí",'Configuración'!$B$10,0)+IF(P1046="Sí",'Configuración'!$B$11,0)+IF(Q1046="Sí",'Configuración'!$B$12,0)+S1046+T1046+U1046)</f>
        <v>28</v>
      </c>
      <c r="W1046" s="39" t="str">
        <f>IF(B1046="","",IF(V1046&gt;='Configuración'!$B$19,"A",IF(V1046&gt;='Configuración'!$B$20,"B",IF(V1046&gt;='Configuración'!$B$21,"C","Descarte"))))</f>
        <v>C</v>
      </c>
    </row>
    <row r="1047" ht="15.75" customHeight="1">
      <c r="A1047" s="34">
        <f t="shared" si="1"/>
        <v>1045</v>
      </c>
      <c r="B1047" s="29" t="s">
        <v>5815</v>
      </c>
      <c r="C1047" s="29" t="s">
        <v>318</v>
      </c>
      <c r="D1047" s="29" t="s">
        <v>6081</v>
      </c>
      <c r="E1047" s="29" t="s">
        <v>6082</v>
      </c>
      <c r="F1047" s="30" t="s">
        <v>6083</v>
      </c>
      <c r="G1047" s="30" t="s">
        <v>6084</v>
      </c>
      <c r="H1047" s="30" t="s">
        <v>6085</v>
      </c>
      <c r="I1047" s="29" t="s">
        <v>508</v>
      </c>
      <c r="J1047" s="31">
        <v>4.0</v>
      </c>
      <c r="K1047" s="35"/>
      <c r="L1047" s="35"/>
      <c r="M1047" s="35"/>
      <c r="N1047" s="35"/>
      <c r="O1047" s="35"/>
      <c r="P1047" s="35"/>
      <c r="Q1047" s="35"/>
      <c r="R1047" s="35"/>
      <c r="S1047" s="37">
        <f>IF(B1047="","",IF(ISNUMBER(J1047),IF(J1047&lt;=10,'Configuración'!$B$23,IF(J1047&lt;=50,'Configuración'!$B$24,IF(J1047&lt;=200,'Configuración'!$B$25,0))),0))</f>
        <v>12</v>
      </c>
      <c r="T1047" s="37">
        <f>IF(B1047="","",IF(ISNUMBER(SEARCH("information technology",I1047))+ISNUMBER(SEARCH("software",I1047))+ISNUMBER(SEARCH("internet",I1047))+ISNUMBER(SEARCH("computer",I1047))+ISNUMBER(SEARCH("saas",I1047))+ISNUMBER(SEARCH("fintech",I1047))+ISNUMBER(SEARCH("information services",I1047))+ISNUMBER(SEARCH("telecommunications",I1047))&gt;0,'Configuración'!$B$27,'Configuración'!$B$28))</f>
        <v>4</v>
      </c>
      <c r="U1047" s="25">
        <f>IF(B1047="","",IF(ISNUMBER(SEARCH("CEO",C1047))+ISNUMBER(SEARCH("Founder",C1047))+ISNUMBER(SEARCH("Owner",C1047))+ISNUMBER(SEARCH("Dueño",C1047))+ISNUMBER(SEARCH("Director General",C1047))+ISNUMBER(SEARCH("Presidente",C1047))+ISNUMBER(SEARCH("President",C1047))&gt;0,'Configuración'!$B$31,IF(ISNUMBER(SEARCH("CMO",C1047))+ISNUMBER(SEARCH("Chief Marketing",C1047))+ISNUMBER(SEARCH("VP Marketing",C1047))+ISNUMBER(SEARCH("Director de Marketing",C1047))+ISNUMBER(SEARCH("Director Marketing",C1047))+ISNUMBER(SEARCH("Head of Marketing",C1047))+ISNUMBER(SEARCH("Head Marketing",C1047))&gt;0,'Configuración'!$B$32,IF(ISNUMBER(SEARCH("Marketing Manager",C1047))+ISNUMBER(SEARCH("Gerente de Marketing",C1047))+ISNUMBER(SEARCH("Growth Manager",C1047))+ISNUMBER(SEARCH("Demand Gen",C1047))+ISNUMBER(SEARCH("Marketing Lead",C1047))&gt;0,'Configuración'!$B$33,IF(ISNUMBER(SEARCH("COO",C1047))+ISNUMBER(SEARCH("CFO",C1047))+ISNUMBER(SEARCH("CTO",C1047))+ISNUMBER(SEARCH("Chief Operating",C1047))+ISNUMBER(SEARCH("Chief Financial",C1047))+ISNUMBER(SEARCH("Gerente General",C1047))+ISNUMBER(SEARCH("General Manager",C1047))&gt;0,'Configuración'!$B$34,'Configuración'!$B$35)))))</f>
        <v>4</v>
      </c>
      <c r="V1047" s="38">
        <f>IF(B1047="","",IF(K1047="Sí",'Configuración'!$B$5,0)+IF(L1047="Semanal",'Configuración'!$B$6,IF(L1047="Mensual",'Configuración'!$B$7,0))+IF(M1047="Sí",'Configuración'!$B$8,0)+IF(N1047="Sí",'Configuración'!$B$9,0)+IF(O1047="Sí",'Configuración'!$B$10,0)+IF(P1047="Sí",'Configuración'!$B$11,0)+IF(Q1047="Sí",'Configuración'!$B$12,0)+S1047+T1047+U1047)</f>
        <v>20</v>
      </c>
      <c r="W1047" s="39" t="str">
        <f>IF(B1047="","",IF(V1047&gt;='Configuración'!$B$19,"A",IF(V1047&gt;='Configuración'!$B$20,"B",IF(V1047&gt;='Configuración'!$B$21,"C","Descarte"))))</f>
        <v>Descarte</v>
      </c>
    </row>
    <row r="1048" ht="15.75" customHeight="1">
      <c r="A1048" s="34">
        <f t="shared" si="1"/>
        <v>1046</v>
      </c>
      <c r="B1048" s="29" t="s">
        <v>874</v>
      </c>
      <c r="C1048" s="29" t="s">
        <v>6086</v>
      </c>
      <c r="D1048" s="29" t="s">
        <v>6087</v>
      </c>
      <c r="E1048" s="29" t="s">
        <v>6088</v>
      </c>
      <c r="F1048" s="30" t="s">
        <v>6089</v>
      </c>
      <c r="G1048" s="30" t="s">
        <v>6090</v>
      </c>
      <c r="H1048" s="30" t="s">
        <v>6091</v>
      </c>
      <c r="I1048" s="29" t="s">
        <v>127</v>
      </c>
      <c r="J1048" s="31">
        <v>5.0</v>
      </c>
      <c r="K1048" s="35"/>
      <c r="L1048" s="35"/>
      <c r="M1048" s="35"/>
      <c r="N1048" s="35"/>
      <c r="O1048" s="35"/>
      <c r="P1048" s="35"/>
      <c r="Q1048" s="35"/>
      <c r="R1048" s="35"/>
      <c r="S1048" s="37">
        <f>IF(B1048="","",IF(ISNUMBER(J1048),IF(J1048&lt;=10,'Configuración'!$B$23,IF(J1048&lt;=50,'Configuración'!$B$24,IF(J1048&lt;=200,'Configuración'!$B$25,0))),0))</f>
        <v>12</v>
      </c>
      <c r="T1048" s="37">
        <f>IF(B1048="","",IF(ISNUMBER(SEARCH("information technology",I1048))+ISNUMBER(SEARCH("software",I1048))+ISNUMBER(SEARCH("internet",I1048))+ISNUMBER(SEARCH("computer",I1048))+ISNUMBER(SEARCH("saas",I1048))+ISNUMBER(SEARCH("fintech",I1048))+ISNUMBER(SEARCH("information services",I1048))+ISNUMBER(SEARCH("telecommunications",I1048))&gt;0,'Configuración'!$B$27,'Configuración'!$B$28))</f>
        <v>12</v>
      </c>
      <c r="U1048" s="25">
        <f>IF(B1048="","",IF(ISNUMBER(SEARCH("CEO",C1048))+ISNUMBER(SEARCH("Founder",C1048))+ISNUMBER(SEARCH("Owner",C1048))+ISNUMBER(SEARCH("Dueño",C1048))+ISNUMBER(SEARCH("Director General",C1048))+ISNUMBER(SEARCH("Presidente",C1048))+ISNUMBER(SEARCH("President",C1048))&gt;0,'Configuración'!$B$31,IF(ISNUMBER(SEARCH("CMO",C1048))+ISNUMBER(SEARCH("Chief Marketing",C1048))+ISNUMBER(SEARCH("VP Marketing",C1048))+ISNUMBER(SEARCH("Director de Marketing",C1048))+ISNUMBER(SEARCH("Director Marketing",C1048))+ISNUMBER(SEARCH("Head of Marketing",C1048))+ISNUMBER(SEARCH("Head Marketing",C1048))&gt;0,'Configuración'!$B$32,IF(ISNUMBER(SEARCH("Marketing Manager",C1048))+ISNUMBER(SEARCH("Gerente de Marketing",C1048))+ISNUMBER(SEARCH("Growth Manager",C1048))+ISNUMBER(SEARCH("Demand Gen",C1048))+ISNUMBER(SEARCH("Marketing Lead",C1048))&gt;0,'Configuración'!$B$33,IF(ISNUMBER(SEARCH("COO",C1048))+ISNUMBER(SEARCH("CFO",C1048))+ISNUMBER(SEARCH("CTO",C1048))+ISNUMBER(SEARCH("Chief Operating",C1048))+ISNUMBER(SEARCH("Chief Financial",C1048))+ISNUMBER(SEARCH("Gerente General",C1048))+ISNUMBER(SEARCH("General Manager",C1048))&gt;0,'Configuración'!$B$34,'Configuración'!$B$35)))))</f>
        <v>12</v>
      </c>
      <c r="V1048" s="38">
        <f>IF(B1048="","",IF(K1048="Sí",'Configuración'!$B$5,0)+IF(L1048="Semanal",'Configuración'!$B$6,IF(L1048="Mensual",'Configuración'!$B$7,0))+IF(M1048="Sí",'Configuración'!$B$8,0)+IF(N1048="Sí",'Configuración'!$B$9,0)+IF(O1048="Sí",'Configuración'!$B$10,0)+IF(P1048="Sí",'Configuración'!$B$11,0)+IF(Q1048="Sí",'Configuración'!$B$12,0)+S1048+T1048+U1048)</f>
        <v>36</v>
      </c>
      <c r="W1048" s="39" t="str">
        <f>IF(B1048="","",IF(V1048&gt;='Configuración'!$B$19,"A",IF(V1048&gt;='Configuración'!$B$20,"B",IF(V1048&gt;='Configuración'!$B$21,"C","Descarte"))))</f>
        <v>C</v>
      </c>
    </row>
    <row r="1049" ht="15.75" customHeight="1">
      <c r="A1049" s="34">
        <f t="shared" si="1"/>
        <v>1047</v>
      </c>
      <c r="B1049" s="29" t="s">
        <v>130</v>
      </c>
      <c r="C1049" s="29" t="s">
        <v>131</v>
      </c>
      <c r="D1049" s="29" t="s">
        <v>6092</v>
      </c>
      <c r="E1049" s="29" t="s">
        <v>6093</v>
      </c>
      <c r="F1049" s="30" t="s">
        <v>6094</v>
      </c>
      <c r="G1049" s="30" t="s">
        <v>6095</v>
      </c>
      <c r="H1049" s="30" t="s">
        <v>6096</v>
      </c>
      <c r="I1049" s="29" t="s">
        <v>127</v>
      </c>
      <c r="J1049" s="31">
        <v>22.0</v>
      </c>
      <c r="K1049" s="35"/>
      <c r="L1049" s="35"/>
      <c r="M1049" s="35"/>
      <c r="N1049" s="35"/>
      <c r="O1049" s="35"/>
      <c r="P1049" s="35"/>
      <c r="Q1049" s="35"/>
      <c r="R1049" s="35"/>
      <c r="S1049" s="37">
        <f>IF(B1049="","",IF(ISNUMBER(J1049),IF(J1049&lt;=10,'Configuración'!$B$23,IF(J1049&lt;=50,'Configuración'!$B$24,IF(J1049&lt;=200,'Configuración'!$B$25,0))),0))</f>
        <v>4</v>
      </c>
      <c r="T1049" s="37">
        <f>IF(B1049="","",IF(ISNUMBER(SEARCH("information technology",I1049))+ISNUMBER(SEARCH("software",I1049))+ISNUMBER(SEARCH("internet",I1049))+ISNUMBER(SEARCH("computer",I1049))+ISNUMBER(SEARCH("saas",I1049))+ISNUMBER(SEARCH("fintech",I1049))+ISNUMBER(SEARCH("information services",I1049))+ISNUMBER(SEARCH("telecommunications",I1049))&gt;0,'Configuración'!$B$27,'Configuración'!$B$28))</f>
        <v>12</v>
      </c>
      <c r="U1049" s="25">
        <f>IF(B1049="","",IF(ISNUMBER(SEARCH("CEO",C1049))+ISNUMBER(SEARCH("Founder",C1049))+ISNUMBER(SEARCH("Owner",C1049))+ISNUMBER(SEARCH("Dueño",C1049))+ISNUMBER(SEARCH("Director General",C1049))+ISNUMBER(SEARCH("Presidente",C1049))+ISNUMBER(SEARCH("President",C1049))&gt;0,'Configuración'!$B$31,IF(ISNUMBER(SEARCH("CMO",C1049))+ISNUMBER(SEARCH("Chief Marketing",C1049))+ISNUMBER(SEARCH("VP Marketing",C1049))+ISNUMBER(SEARCH("Director de Marketing",C1049))+ISNUMBER(SEARCH("Director Marketing",C1049))+ISNUMBER(SEARCH("Head of Marketing",C1049))+ISNUMBER(SEARCH("Head Marketing",C1049))&gt;0,'Configuración'!$B$32,IF(ISNUMBER(SEARCH("Marketing Manager",C1049))+ISNUMBER(SEARCH("Gerente de Marketing",C1049))+ISNUMBER(SEARCH("Growth Manager",C1049))+ISNUMBER(SEARCH("Demand Gen",C1049))+ISNUMBER(SEARCH("Marketing Lead",C1049))&gt;0,'Configuración'!$B$33,IF(ISNUMBER(SEARCH("COO",C1049))+ISNUMBER(SEARCH("CFO",C1049))+ISNUMBER(SEARCH("CTO",C1049))+ISNUMBER(SEARCH("Chief Operating",C1049))+ISNUMBER(SEARCH("Chief Financial",C1049))+ISNUMBER(SEARCH("Gerente General",C1049))+ISNUMBER(SEARCH("General Manager",C1049))&gt;0,'Configuración'!$B$34,'Configuración'!$B$35)))))</f>
        <v>12</v>
      </c>
      <c r="V1049" s="38">
        <f>IF(B1049="","",IF(K1049="Sí",'Configuración'!$B$5,0)+IF(L1049="Semanal",'Configuración'!$B$6,IF(L1049="Mensual",'Configuración'!$B$7,0))+IF(M1049="Sí",'Configuración'!$B$8,0)+IF(N1049="Sí",'Configuración'!$B$9,0)+IF(O1049="Sí",'Configuración'!$B$10,0)+IF(P1049="Sí",'Configuración'!$B$11,0)+IF(Q1049="Sí",'Configuración'!$B$12,0)+S1049+T1049+U1049)</f>
        <v>28</v>
      </c>
      <c r="W1049" s="39" t="str">
        <f>IF(B1049="","",IF(V1049&gt;='Configuración'!$B$19,"A",IF(V1049&gt;='Configuración'!$B$20,"B",IF(V1049&gt;='Configuración'!$B$21,"C","Descarte"))))</f>
        <v>C</v>
      </c>
    </row>
    <row r="1050" ht="15.75" customHeight="1">
      <c r="A1050" s="34">
        <f t="shared" si="1"/>
        <v>1048</v>
      </c>
      <c r="B1050" s="29" t="s">
        <v>6097</v>
      </c>
      <c r="C1050" s="29" t="s">
        <v>6098</v>
      </c>
      <c r="D1050" s="29" t="s">
        <v>6099</v>
      </c>
      <c r="E1050" s="29" t="s">
        <v>6100</v>
      </c>
      <c r="F1050" s="30" t="s">
        <v>6101</v>
      </c>
      <c r="G1050" s="30" t="s">
        <v>6102</v>
      </c>
      <c r="H1050" s="30" t="s">
        <v>6103</v>
      </c>
      <c r="I1050" s="29" t="s">
        <v>659</v>
      </c>
      <c r="J1050" s="31">
        <v>5.0</v>
      </c>
      <c r="K1050" s="35"/>
      <c r="L1050" s="35"/>
      <c r="M1050" s="35"/>
      <c r="N1050" s="35"/>
      <c r="O1050" s="35"/>
      <c r="P1050" s="35"/>
      <c r="Q1050" s="35"/>
      <c r="R1050" s="35"/>
      <c r="S1050" s="37">
        <f>IF(B1050="","",IF(ISNUMBER(J1050),IF(J1050&lt;=10,'Configuración'!$B$23,IF(J1050&lt;=50,'Configuración'!$B$24,IF(J1050&lt;=200,'Configuración'!$B$25,0))),0))</f>
        <v>12</v>
      </c>
      <c r="T1050" s="37">
        <f>IF(B1050="","",IF(ISNUMBER(SEARCH("information technology",I1050))+ISNUMBER(SEARCH("software",I1050))+ISNUMBER(SEARCH("internet",I1050))+ISNUMBER(SEARCH("computer",I1050))+ISNUMBER(SEARCH("saas",I1050))+ISNUMBER(SEARCH("fintech",I1050))+ISNUMBER(SEARCH("information services",I1050))+ISNUMBER(SEARCH("telecommunications",I1050))&gt;0,'Configuración'!$B$27,'Configuración'!$B$28))</f>
        <v>4</v>
      </c>
      <c r="U1050" s="25">
        <f>IF(B1050="","",IF(ISNUMBER(SEARCH("CEO",C1050))+ISNUMBER(SEARCH("Founder",C1050))+ISNUMBER(SEARCH("Owner",C1050))+ISNUMBER(SEARCH("Dueño",C1050))+ISNUMBER(SEARCH("Director General",C1050))+ISNUMBER(SEARCH("Presidente",C1050))+ISNUMBER(SEARCH("President",C1050))&gt;0,'Configuración'!$B$31,IF(ISNUMBER(SEARCH("CMO",C1050))+ISNUMBER(SEARCH("Chief Marketing",C1050))+ISNUMBER(SEARCH("VP Marketing",C1050))+ISNUMBER(SEARCH("Director de Marketing",C1050))+ISNUMBER(SEARCH("Director Marketing",C1050))+ISNUMBER(SEARCH("Head of Marketing",C1050))+ISNUMBER(SEARCH("Head Marketing",C1050))&gt;0,'Configuración'!$B$32,IF(ISNUMBER(SEARCH("Marketing Manager",C1050))+ISNUMBER(SEARCH("Gerente de Marketing",C1050))+ISNUMBER(SEARCH("Growth Manager",C1050))+ISNUMBER(SEARCH("Demand Gen",C1050))+ISNUMBER(SEARCH("Marketing Lead",C1050))&gt;0,'Configuración'!$B$33,IF(ISNUMBER(SEARCH("COO",C1050))+ISNUMBER(SEARCH("CFO",C1050))+ISNUMBER(SEARCH("CTO",C1050))+ISNUMBER(SEARCH("Chief Operating",C1050))+ISNUMBER(SEARCH("Chief Financial",C1050))+ISNUMBER(SEARCH("Gerente General",C1050))+ISNUMBER(SEARCH("General Manager",C1050))&gt;0,'Configuración'!$B$34,'Configuración'!$B$35)))))</f>
        <v>12</v>
      </c>
      <c r="V1050" s="38">
        <f>IF(B1050="","",IF(K1050="Sí",'Configuración'!$B$5,0)+IF(L1050="Semanal",'Configuración'!$B$6,IF(L1050="Mensual",'Configuración'!$B$7,0))+IF(M1050="Sí",'Configuración'!$B$8,0)+IF(N1050="Sí",'Configuración'!$B$9,0)+IF(O1050="Sí",'Configuración'!$B$10,0)+IF(P1050="Sí",'Configuración'!$B$11,0)+IF(Q1050="Sí",'Configuración'!$B$12,0)+S1050+T1050+U1050)</f>
        <v>28</v>
      </c>
      <c r="W1050" s="39" t="str">
        <f>IF(B1050="","",IF(V1050&gt;='Configuración'!$B$19,"A",IF(V1050&gt;='Configuración'!$B$20,"B",IF(V1050&gt;='Configuración'!$B$21,"C","Descarte"))))</f>
        <v>C</v>
      </c>
    </row>
    <row r="1051" ht="15.75" customHeight="1">
      <c r="A1051" s="34">
        <f t="shared" si="1"/>
        <v>1049</v>
      </c>
      <c r="B1051" s="29" t="s">
        <v>1623</v>
      </c>
      <c r="C1051" s="29" t="s">
        <v>3892</v>
      </c>
      <c r="D1051" s="29" t="s">
        <v>6104</v>
      </c>
      <c r="E1051" s="29" t="s">
        <v>6105</v>
      </c>
      <c r="F1051" s="30" t="s">
        <v>6106</v>
      </c>
      <c r="G1051" s="30" t="s">
        <v>6107</v>
      </c>
      <c r="H1051" s="30" t="s">
        <v>6108</v>
      </c>
      <c r="I1051" s="29" t="s">
        <v>873</v>
      </c>
      <c r="J1051" s="31">
        <v>6.0</v>
      </c>
      <c r="K1051" s="35"/>
      <c r="L1051" s="35"/>
      <c r="M1051" s="35"/>
      <c r="N1051" s="35"/>
      <c r="O1051" s="35"/>
      <c r="P1051" s="35"/>
      <c r="Q1051" s="35"/>
      <c r="R1051" s="35"/>
      <c r="S1051" s="37">
        <f>IF(B1051="","",IF(ISNUMBER(J1051),IF(J1051&lt;=10,'Configuración'!$B$23,IF(J1051&lt;=50,'Configuración'!$B$24,IF(J1051&lt;=200,'Configuración'!$B$25,0))),0))</f>
        <v>12</v>
      </c>
      <c r="T1051" s="37">
        <f>IF(B1051="","",IF(ISNUMBER(SEARCH("information technology",I1051))+ISNUMBER(SEARCH("software",I1051))+ISNUMBER(SEARCH("internet",I1051))+ISNUMBER(SEARCH("computer",I1051))+ISNUMBER(SEARCH("saas",I1051))+ISNUMBER(SEARCH("fintech",I1051))+ISNUMBER(SEARCH("information services",I1051))+ISNUMBER(SEARCH("telecommunications",I1051))&gt;0,'Configuración'!$B$27,'Configuración'!$B$28))</f>
        <v>4</v>
      </c>
      <c r="U1051" s="25">
        <f>IF(B1051="","",IF(ISNUMBER(SEARCH("CEO",C1051))+ISNUMBER(SEARCH("Founder",C1051))+ISNUMBER(SEARCH("Owner",C1051))+ISNUMBER(SEARCH("Dueño",C1051))+ISNUMBER(SEARCH("Director General",C1051))+ISNUMBER(SEARCH("Presidente",C1051))+ISNUMBER(SEARCH("President",C1051))&gt;0,'Configuración'!$B$31,IF(ISNUMBER(SEARCH("CMO",C1051))+ISNUMBER(SEARCH("Chief Marketing",C1051))+ISNUMBER(SEARCH("VP Marketing",C1051))+ISNUMBER(SEARCH("Director de Marketing",C1051))+ISNUMBER(SEARCH("Director Marketing",C1051))+ISNUMBER(SEARCH("Head of Marketing",C1051))+ISNUMBER(SEARCH("Head Marketing",C1051))&gt;0,'Configuración'!$B$32,IF(ISNUMBER(SEARCH("Marketing Manager",C1051))+ISNUMBER(SEARCH("Gerente de Marketing",C1051))+ISNUMBER(SEARCH("Growth Manager",C1051))+ISNUMBER(SEARCH("Demand Gen",C1051))+ISNUMBER(SEARCH("Marketing Lead",C1051))&gt;0,'Configuración'!$B$33,IF(ISNUMBER(SEARCH("COO",C1051))+ISNUMBER(SEARCH("CFO",C1051))+ISNUMBER(SEARCH("CTO",C1051))+ISNUMBER(SEARCH("Chief Operating",C1051))+ISNUMBER(SEARCH("Chief Financial",C1051))+ISNUMBER(SEARCH("Gerente General",C1051))+ISNUMBER(SEARCH("General Manager",C1051))&gt;0,'Configuración'!$B$34,'Configuración'!$B$35)))))</f>
        <v>0</v>
      </c>
      <c r="V1051" s="38">
        <f>IF(B1051="","",IF(K1051="Sí",'Configuración'!$B$5,0)+IF(L1051="Semanal",'Configuración'!$B$6,IF(L1051="Mensual",'Configuración'!$B$7,0))+IF(M1051="Sí",'Configuración'!$B$8,0)+IF(N1051="Sí",'Configuración'!$B$9,0)+IF(O1051="Sí",'Configuración'!$B$10,0)+IF(P1051="Sí",'Configuración'!$B$11,0)+IF(Q1051="Sí",'Configuración'!$B$12,0)+S1051+T1051+U1051)</f>
        <v>16</v>
      </c>
      <c r="W1051" s="39" t="str">
        <f>IF(B1051="","",IF(V1051&gt;='Configuración'!$B$19,"A",IF(V1051&gt;='Configuración'!$B$20,"B",IF(V1051&gt;='Configuración'!$B$21,"C","Descarte"))))</f>
        <v>Descarte</v>
      </c>
    </row>
    <row r="1052" ht="15.75" customHeight="1">
      <c r="A1052" s="34">
        <f t="shared" si="1"/>
        <v>1050</v>
      </c>
      <c r="B1052" s="29" t="s">
        <v>6109</v>
      </c>
      <c r="C1052" s="29" t="s">
        <v>6110</v>
      </c>
      <c r="D1052" s="29" t="s">
        <v>1037</v>
      </c>
      <c r="E1052" s="29" t="s">
        <v>6111</v>
      </c>
      <c r="F1052" s="30" t="s">
        <v>6112</v>
      </c>
      <c r="G1052" s="30" t="s">
        <v>1040</v>
      </c>
      <c r="H1052" s="30" t="s">
        <v>1041</v>
      </c>
      <c r="I1052" s="29" t="s">
        <v>1042</v>
      </c>
      <c r="J1052" s="31">
        <v>4.0</v>
      </c>
      <c r="K1052" s="35"/>
      <c r="L1052" s="35"/>
      <c r="M1052" s="35"/>
      <c r="N1052" s="35"/>
      <c r="O1052" s="35"/>
      <c r="P1052" s="35"/>
      <c r="Q1052" s="35"/>
      <c r="R1052" s="35"/>
      <c r="S1052" s="37">
        <f>IF(B1052="","",IF(ISNUMBER(J1052),IF(J1052&lt;=10,'Configuración'!$B$23,IF(J1052&lt;=50,'Configuración'!$B$24,IF(J1052&lt;=200,'Configuración'!$B$25,0))),0))</f>
        <v>12</v>
      </c>
      <c r="T1052" s="37">
        <f>IF(B1052="","",IF(ISNUMBER(SEARCH("information technology",I1052))+ISNUMBER(SEARCH("software",I1052))+ISNUMBER(SEARCH("internet",I1052))+ISNUMBER(SEARCH("computer",I1052))+ISNUMBER(SEARCH("saas",I1052))+ISNUMBER(SEARCH("fintech",I1052))+ISNUMBER(SEARCH("information services",I1052))+ISNUMBER(SEARCH("telecommunications",I1052))&gt;0,'Configuración'!$B$27,'Configuración'!$B$28))</f>
        <v>4</v>
      </c>
      <c r="U1052" s="25">
        <f>IF(B1052="","",IF(ISNUMBER(SEARCH("CEO",C1052))+ISNUMBER(SEARCH("Founder",C1052))+ISNUMBER(SEARCH("Owner",C1052))+ISNUMBER(SEARCH("Dueño",C1052))+ISNUMBER(SEARCH("Director General",C1052))+ISNUMBER(SEARCH("Presidente",C1052))+ISNUMBER(SEARCH("President",C1052))&gt;0,'Configuración'!$B$31,IF(ISNUMBER(SEARCH("CMO",C1052))+ISNUMBER(SEARCH("Chief Marketing",C1052))+ISNUMBER(SEARCH("VP Marketing",C1052))+ISNUMBER(SEARCH("Director de Marketing",C1052))+ISNUMBER(SEARCH("Director Marketing",C1052))+ISNUMBER(SEARCH("Head of Marketing",C1052))+ISNUMBER(SEARCH("Head Marketing",C1052))&gt;0,'Configuración'!$B$32,IF(ISNUMBER(SEARCH("Marketing Manager",C1052))+ISNUMBER(SEARCH("Gerente de Marketing",C1052))+ISNUMBER(SEARCH("Growth Manager",C1052))+ISNUMBER(SEARCH("Demand Gen",C1052))+ISNUMBER(SEARCH("Marketing Lead",C1052))&gt;0,'Configuración'!$B$33,IF(ISNUMBER(SEARCH("COO",C1052))+ISNUMBER(SEARCH("CFO",C1052))+ISNUMBER(SEARCH("CTO",C1052))+ISNUMBER(SEARCH("Chief Operating",C1052))+ISNUMBER(SEARCH("Chief Financial",C1052))+ISNUMBER(SEARCH("Gerente General",C1052))+ISNUMBER(SEARCH("General Manager",C1052))&gt;0,'Configuración'!$B$34,'Configuración'!$B$35)))))</f>
        <v>12</v>
      </c>
      <c r="V1052" s="38">
        <f>IF(B1052="","",IF(K1052="Sí",'Configuración'!$B$5,0)+IF(L1052="Semanal",'Configuración'!$B$6,IF(L1052="Mensual",'Configuración'!$B$7,0))+IF(M1052="Sí",'Configuración'!$B$8,0)+IF(N1052="Sí",'Configuración'!$B$9,0)+IF(O1052="Sí",'Configuración'!$B$10,0)+IF(P1052="Sí",'Configuración'!$B$11,0)+IF(Q1052="Sí",'Configuración'!$B$12,0)+S1052+T1052+U1052)</f>
        <v>28</v>
      </c>
      <c r="W1052" s="39" t="str">
        <f>IF(B1052="","",IF(V1052&gt;='Configuración'!$B$19,"A",IF(V1052&gt;='Configuración'!$B$20,"B",IF(V1052&gt;='Configuración'!$B$21,"C","Descarte"))))</f>
        <v>C</v>
      </c>
    </row>
    <row r="1053" ht="15.75" customHeight="1">
      <c r="A1053" s="34">
        <f t="shared" si="1"/>
        <v>1051</v>
      </c>
      <c r="B1053" s="29" t="s">
        <v>940</v>
      </c>
      <c r="C1053" s="29" t="s">
        <v>131</v>
      </c>
      <c r="D1053" s="29" t="s">
        <v>6113</v>
      </c>
      <c r="E1053" s="29" t="s">
        <v>6114</v>
      </c>
      <c r="F1053" s="30" t="s">
        <v>6115</v>
      </c>
      <c r="G1053" s="30" t="s">
        <v>6116</v>
      </c>
      <c r="H1053" s="30" t="s">
        <v>6117</v>
      </c>
      <c r="I1053" s="29" t="s">
        <v>659</v>
      </c>
      <c r="J1053" s="31">
        <v>4.0</v>
      </c>
      <c r="K1053" s="35"/>
      <c r="L1053" s="35"/>
      <c r="M1053" s="35"/>
      <c r="N1053" s="35"/>
      <c r="O1053" s="35"/>
      <c r="P1053" s="35"/>
      <c r="Q1053" s="35"/>
      <c r="R1053" s="35"/>
      <c r="S1053" s="37">
        <f>IF(B1053="","",IF(ISNUMBER(J1053),IF(J1053&lt;=10,'Configuración'!$B$23,IF(J1053&lt;=50,'Configuración'!$B$24,IF(J1053&lt;=200,'Configuración'!$B$25,0))),0))</f>
        <v>12</v>
      </c>
      <c r="T1053" s="37">
        <f>IF(B1053="","",IF(ISNUMBER(SEARCH("information technology",I1053))+ISNUMBER(SEARCH("software",I1053))+ISNUMBER(SEARCH("internet",I1053))+ISNUMBER(SEARCH("computer",I1053))+ISNUMBER(SEARCH("saas",I1053))+ISNUMBER(SEARCH("fintech",I1053))+ISNUMBER(SEARCH("information services",I1053))+ISNUMBER(SEARCH("telecommunications",I1053))&gt;0,'Configuración'!$B$27,'Configuración'!$B$28))</f>
        <v>4</v>
      </c>
      <c r="U1053" s="25">
        <f>IF(B1053="","",IF(ISNUMBER(SEARCH("CEO",C1053))+ISNUMBER(SEARCH("Founder",C1053))+ISNUMBER(SEARCH("Owner",C1053))+ISNUMBER(SEARCH("Dueño",C1053))+ISNUMBER(SEARCH("Director General",C1053))+ISNUMBER(SEARCH("Presidente",C1053))+ISNUMBER(SEARCH("President",C1053))&gt;0,'Configuración'!$B$31,IF(ISNUMBER(SEARCH("CMO",C1053))+ISNUMBER(SEARCH("Chief Marketing",C1053))+ISNUMBER(SEARCH("VP Marketing",C1053))+ISNUMBER(SEARCH("Director de Marketing",C1053))+ISNUMBER(SEARCH("Director Marketing",C1053))+ISNUMBER(SEARCH("Head of Marketing",C1053))+ISNUMBER(SEARCH("Head Marketing",C1053))&gt;0,'Configuración'!$B$32,IF(ISNUMBER(SEARCH("Marketing Manager",C1053))+ISNUMBER(SEARCH("Gerente de Marketing",C1053))+ISNUMBER(SEARCH("Growth Manager",C1053))+ISNUMBER(SEARCH("Demand Gen",C1053))+ISNUMBER(SEARCH("Marketing Lead",C1053))&gt;0,'Configuración'!$B$33,IF(ISNUMBER(SEARCH("COO",C1053))+ISNUMBER(SEARCH("CFO",C1053))+ISNUMBER(SEARCH("CTO",C1053))+ISNUMBER(SEARCH("Chief Operating",C1053))+ISNUMBER(SEARCH("Chief Financial",C1053))+ISNUMBER(SEARCH("Gerente General",C1053))+ISNUMBER(SEARCH("General Manager",C1053))&gt;0,'Configuración'!$B$34,'Configuración'!$B$35)))))</f>
        <v>12</v>
      </c>
      <c r="V1053" s="38">
        <f>IF(B1053="","",IF(K1053="Sí",'Configuración'!$B$5,0)+IF(L1053="Semanal",'Configuración'!$B$6,IF(L1053="Mensual",'Configuración'!$B$7,0))+IF(M1053="Sí",'Configuración'!$B$8,0)+IF(N1053="Sí",'Configuración'!$B$9,0)+IF(O1053="Sí",'Configuración'!$B$10,0)+IF(P1053="Sí",'Configuración'!$B$11,0)+IF(Q1053="Sí",'Configuración'!$B$12,0)+S1053+T1053+U1053)</f>
        <v>28</v>
      </c>
      <c r="W1053" s="39" t="str">
        <f>IF(B1053="","",IF(V1053&gt;='Configuración'!$B$19,"A",IF(V1053&gt;='Configuración'!$B$20,"B",IF(V1053&gt;='Configuración'!$B$21,"C","Descarte"))))</f>
        <v>C</v>
      </c>
    </row>
    <row r="1054" ht="15.75" customHeight="1">
      <c r="A1054" s="34">
        <f t="shared" si="1"/>
        <v>1052</v>
      </c>
      <c r="B1054" s="29" t="s">
        <v>120</v>
      </c>
      <c r="C1054" s="29" t="s">
        <v>318</v>
      </c>
      <c r="D1054" s="29" t="s">
        <v>6118</v>
      </c>
      <c r="E1054" s="29" t="s">
        <v>6119</v>
      </c>
      <c r="F1054" s="30" t="s">
        <v>6120</v>
      </c>
      <c r="G1054" s="30" t="s">
        <v>6121</v>
      </c>
      <c r="H1054" s="30" t="s">
        <v>6122</v>
      </c>
      <c r="I1054" s="29" t="s">
        <v>127</v>
      </c>
      <c r="J1054" s="31">
        <v>10.0</v>
      </c>
      <c r="K1054" s="35"/>
      <c r="L1054" s="35"/>
      <c r="M1054" s="35"/>
      <c r="N1054" s="35"/>
      <c r="O1054" s="35"/>
      <c r="P1054" s="35"/>
      <c r="Q1054" s="35"/>
      <c r="R1054" s="35"/>
      <c r="S1054" s="37">
        <f>IF(B1054="","",IF(ISNUMBER(J1054),IF(J1054&lt;=10,'Configuración'!$B$23,IF(J1054&lt;=50,'Configuración'!$B$24,IF(J1054&lt;=200,'Configuración'!$B$25,0))),0))</f>
        <v>12</v>
      </c>
      <c r="T1054" s="37">
        <f>IF(B1054="","",IF(ISNUMBER(SEARCH("information technology",I1054))+ISNUMBER(SEARCH("software",I1054))+ISNUMBER(SEARCH("internet",I1054))+ISNUMBER(SEARCH("computer",I1054))+ISNUMBER(SEARCH("saas",I1054))+ISNUMBER(SEARCH("fintech",I1054))+ISNUMBER(SEARCH("information services",I1054))+ISNUMBER(SEARCH("telecommunications",I1054))&gt;0,'Configuración'!$B$27,'Configuración'!$B$28))</f>
        <v>12</v>
      </c>
      <c r="U1054" s="25">
        <f>IF(B1054="","",IF(ISNUMBER(SEARCH("CEO",C1054))+ISNUMBER(SEARCH("Founder",C1054))+ISNUMBER(SEARCH("Owner",C1054))+ISNUMBER(SEARCH("Dueño",C1054))+ISNUMBER(SEARCH("Director General",C1054))+ISNUMBER(SEARCH("Presidente",C1054))+ISNUMBER(SEARCH("President",C1054))&gt;0,'Configuración'!$B$31,IF(ISNUMBER(SEARCH("CMO",C1054))+ISNUMBER(SEARCH("Chief Marketing",C1054))+ISNUMBER(SEARCH("VP Marketing",C1054))+ISNUMBER(SEARCH("Director de Marketing",C1054))+ISNUMBER(SEARCH("Director Marketing",C1054))+ISNUMBER(SEARCH("Head of Marketing",C1054))+ISNUMBER(SEARCH("Head Marketing",C1054))&gt;0,'Configuración'!$B$32,IF(ISNUMBER(SEARCH("Marketing Manager",C1054))+ISNUMBER(SEARCH("Gerente de Marketing",C1054))+ISNUMBER(SEARCH("Growth Manager",C1054))+ISNUMBER(SEARCH("Demand Gen",C1054))+ISNUMBER(SEARCH("Marketing Lead",C1054))&gt;0,'Configuración'!$B$33,IF(ISNUMBER(SEARCH("COO",C1054))+ISNUMBER(SEARCH("CFO",C1054))+ISNUMBER(SEARCH("CTO",C1054))+ISNUMBER(SEARCH("Chief Operating",C1054))+ISNUMBER(SEARCH("Chief Financial",C1054))+ISNUMBER(SEARCH("Gerente General",C1054))+ISNUMBER(SEARCH("General Manager",C1054))&gt;0,'Configuración'!$B$34,'Configuración'!$B$35)))))</f>
        <v>4</v>
      </c>
      <c r="V1054" s="38">
        <f>IF(B1054="","",IF(K1054="Sí",'Configuración'!$B$5,0)+IF(L1054="Semanal",'Configuración'!$B$6,IF(L1054="Mensual",'Configuración'!$B$7,0))+IF(M1054="Sí",'Configuración'!$B$8,0)+IF(N1054="Sí",'Configuración'!$B$9,0)+IF(O1054="Sí",'Configuración'!$B$10,0)+IF(P1054="Sí",'Configuración'!$B$11,0)+IF(Q1054="Sí",'Configuración'!$B$12,0)+S1054+T1054+U1054)</f>
        <v>28</v>
      </c>
      <c r="W1054" s="39" t="str">
        <f>IF(B1054="","",IF(V1054&gt;='Configuración'!$B$19,"A",IF(V1054&gt;='Configuración'!$B$20,"B",IF(V1054&gt;='Configuración'!$B$21,"C","Descarte"))))</f>
        <v>C</v>
      </c>
    </row>
    <row r="1055" ht="15.75" customHeight="1">
      <c r="A1055" s="34">
        <f t="shared" si="1"/>
        <v>1053</v>
      </c>
      <c r="B1055" s="29" t="s">
        <v>138</v>
      </c>
      <c r="C1055" s="29" t="s">
        <v>131</v>
      </c>
      <c r="D1055" s="29" t="s">
        <v>6123</v>
      </c>
      <c r="E1055" s="29" t="s">
        <v>6124</v>
      </c>
      <c r="F1055" s="30" t="s">
        <v>6125</v>
      </c>
      <c r="G1055" s="30" t="s">
        <v>6126</v>
      </c>
      <c r="H1055" s="30" t="s">
        <v>6127</v>
      </c>
      <c r="I1055" s="29" t="s">
        <v>616</v>
      </c>
      <c r="J1055" s="31">
        <v>4.0</v>
      </c>
      <c r="K1055" s="35"/>
      <c r="L1055" s="35"/>
      <c r="M1055" s="35"/>
      <c r="N1055" s="35"/>
      <c r="O1055" s="35"/>
      <c r="P1055" s="35"/>
      <c r="Q1055" s="35"/>
      <c r="R1055" s="35"/>
      <c r="S1055" s="37">
        <f>IF(B1055="","",IF(ISNUMBER(J1055),IF(J1055&lt;=10,'Configuración'!$B$23,IF(J1055&lt;=50,'Configuración'!$B$24,IF(J1055&lt;=200,'Configuración'!$B$25,0))),0))</f>
        <v>12</v>
      </c>
      <c r="T1055" s="37">
        <f>IF(B1055="","",IF(ISNUMBER(SEARCH("information technology",I1055))+ISNUMBER(SEARCH("software",I1055))+ISNUMBER(SEARCH("internet",I1055))+ISNUMBER(SEARCH("computer",I1055))+ISNUMBER(SEARCH("saas",I1055))+ISNUMBER(SEARCH("fintech",I1055))+ISNUMBER(SEARCH("information services",I1055))+ISNUMBER(SEARCH("telecommunications",I1055))&gt;0,'Configuración'!$B$27,'Configuración'!$B$28))</f>
        <v>4</v>
      </c>
      <c r="U1055" s="25">
        <f>IF(B1055="","",IF(ISNUMBER(SEARCH("CEO",C1055))+ISNUMBER(SEARCH("Founder",C1055))+ISNUMBER(SEARCH("Owner",C1055))+ISNUMBER(SEARCH("Dueño",C1055))+ISNUMBER(SEARCH("Director General",C1055))+ISNUMBER(SEARCH("Presidente",C1055))+ISNUMBER(SEARCH("President",C1055))&gt;0,'Configuración'!$B$31,IF(ISNUMBER(SEARCH("CMO",C1055))+ISNUMBER(SEARCH("Chief Marketing",C1055))+ISNUMBER(SEARCH("VP Marketing",C1055))+ISNUMBER(SEARCH("Director de Marketing",C1055))+ISNUMBER(SEARCH("Director Marketing",C1055))+ISNUMBER(SEARCH("Head of Marketing",C1055))+ISNUMBER(SEARCH("Head Marketing",C1055))&gt;0,'Configuración'!$B$32,IF(ISNUMBER(SEARCH("Marketing Manager",C1055))+ISNUMBER(SEARCH("Gerente de Marketing",C1055))+ISNUMBER(SEARCH("Growth Manager",C1055))+ISNUMBER(SEARCH("Demand Gen",C1055))+ISNUMBER(SEARCH("Marketing Lead",C1055))&gt;0,'Configuración'!$B$33,IF(ISNUMBER(SEARCH("COO",C1055))+ISNUMBER(SEARCH("CFO",C1055))+ISNUMBER(SEARCH("CTO",C1055))+ISNUMBER(SEARCH("Chief Operating",C1055))+ISNUMBER(SEARCH("Chief Financial",C1055))+ISNUMBER(SEARCH("Gerente General",C1055))+ISNUMBER(SEARCH("General Manager",C1055))&gt;0,'Configuración'!$B$34,'Configuración'!$B$35)))))</f>
        <v>12</v>
      </c>
      <c r="V1055" s="38">
        <f>IF(B1055="","",IF(K1055="Sí",'Configuración'!$B$5,0)+IF(L1055="Semanal",'Configuración'!$B$6,IF(L1055="Mensual",'Configuración'!$B$7,0))+IF(M1055="Sí",'Configuración'!$B$8,0)+IF(N1055="Sí",'Configuración'!$B$9,0)+IF(O1055="Sí",'Configuración'!$B$10,0)+IF(P1055="Sí",'Configuración'!$B$11,0)+IF(Q1055="Sí",'Configuración'!$B$12,0)+S1055+T1055+U1055)</f>
        <v>28</v>
      </c>
      <c r="W1055" s="39" t="str">
        <f>IF(B1055="","",IF(V1055&gt;='Configuración'!$B$19,"A",IF(V1055&gt;='Configuración'!$B$20,"B",IF(V1055&gt;='Configuración'!$B$21,"C","Descarte"))))</f>
        <v>C</v>
      </c>
    </row>
    <row r="1056" ht="15.75" customHeight="1">
      <c r="A1056" s="34">
        <f t="shared" si="1"/>
        <v>1054</v>
      </c>
      <c r="B1056" s="29" t="s">
        <v>897</v>
      </c>
      <c r="C1056" s="29" t="s">
        <v>6128</v>
      </c>
      <c r="D1056" s="29" t="s">
        <v>6129</v>
      </c>
      <c r="E1056" s="29" t="s">
        <v>6130</v>
      </c>
      <c r="F1056" s="30" t="s">
        <v>6131</v>
      </c>
      <c r="G1056" s="30" t="s">
        <v>6132</v>
      </c>
      <c r="H1056" s="30" t="s">
        <v>6133</v>
      </c>
      <c r="I1056" s="29" t="s">
        <v>990</v>
      </c>
      <c r="J1056" s="31">
        <v>15.0</v>
      </c>
      <c r="K1056" s="35"/>
      <c r="L1056" s="35"/>
      <c r="M1056" s="35"/>
      <c r="N1056" s="35"/>
      <c r="O1056" s="35"/>
      <c r="P1056" s="35"/>
      <c r="Q1056" s="35"/>
      <c r="R1056" s="35"/>
      <c r="S1056" s="37">
        <f>IF(B1056="","",IF(ISNUMBER(J1056),IF(J1056&lt;=10,'Configuración'!$B$23,IF(J1056&lt;=50,'Configuración'!$B$24,IF(J1056&lt;=200,'Configuración'!$B$25,0))),0))</f>
        <v>4</v>
      </c>
      <c r="T1056" s="37">
        <f>IF(B1056="","",IF(ISNUMBER(SEARCH("information technology",I1056))+ISNUMBER(SEARCH("software",I1056))+ISNUMBER(SEARCH("internet",I1056))+ISNUMBER(SEARCH("computer",I1056))+ISNUMBER(SEARCH("saas",I1056))+ISNUMBER(SEARCH("fintech",I1056))+ISNUMBER(SEARCH("information services",I1056))+ISNUMBER(SEARCH("telecommunications",I1056))&gt;0,'Configuración'!$B$27,'Configuración'!$B$28))</f>
        <v>4</v>
      </c>
      <c r="U1056" s="25">
        <f>IF(B1056="","",IF(ISNUMBER(SEARCH("CEO",C1056))+ISNUMBER(SEARCH("Founder",C1056))+ISNUMBER(SEARCH("Owner",C1056))+ISNUMBER(SEARCH("Dueño",C1056))+ISNUMBER(SEARCH("Director General",C1056))+ISNUMBER(SEARCH("Presidente",C1056))+ISNUMBER(SEARCH("President",C1056))&gt;0,'Configuración'!$B$31,IF(ISNUMBER(SEARCH("CMO",C1056))+ISNUMBER(SEARCH("Chief Marketing",C1056))+ISNUMBER(SEARCH("VP Marketing",C1056))+ISNUMBER(SEARCH("Director de Marketing",C1056))+ISNUMBER(SEARCH("Director Marketing",C1056))+ISNUMBER(SEARCH("Head of Marketing",C1056))+ISNUMBER(SEARCH("Head Marketing",C1056))&gt;0,'Configuración'!$B$32,IF(ISNUMBER(SEARCH("Marketing Manager",C1056))+ISNUMBER(SEARCH("Gerente de Marketing",C1056))+ISNUMBER(SEARCH("Growth Manager",C1056))+ISNUMBER(SEARCH("Demand Gen",C1056))+ISNUMBER(SEARCH("Marketing Lead",C1056))&gt;0,'Configuración'!$B$33,IF(ISNUMBER(SEARCH("COO",C1056))+ISNUMBER(SEARCH("CFO",C1056))+ISNUMBER(SEARCH("CTO",C1056))+ISNUMBER(SEARCH("Chief Operating",C1056))+ISNUMBER(SEARCH("Chief Financial",C1056))+ISNUMBER(SEARCH("Gerente General",C1056))+ISNUMBER(SEARCH("General Manager",C1056))&gt;0,'Configuración'!$B$34,'Configuración'!$B$35)))))</f>
        <v>12</v>
      </c>
      <c r="V1056" s="38">
        <f>IF(B1056="","",IF(K1056="Sí",'Configuración'!$B$5,0)+IF(L1056="Semanal",'Configuración'!$B$6,IF(L1056="Mensual",'Configuración'!$B$7,0))+IF(M1056="Sí",'Configuración'!$B$8,0)+IF(N1056="Sí",'Configuración'!$B$9,0)+IF(O1056="Sí",'Configuración'!$B$10,0)+IF(P1056="Sí",'Configuración'!$B$11,0)+IF(Q1056="Sí",'Configuración'!$B$12,0)+S1056+T1056+U1056)</f>
        <v>20</v>
      </c>
      <c r="W1056" s="39" t="str">
        <f>IF(B1056="","",IF(V1056&gt;='Configuración'!$B$19,"A",IF(V1056&gt;='Configuración'!$B$20,"B",IF(V1056&gt;='Configuración'!$B$21,"C","Descarte"))))</f>
        <v>Descarte</v>
      </c>
    </row>
    <row r="1057" ht="15.75" customHeight="1">
      <c r="A1057" s="34">
        <f t="shared" si="1"/>
        <v>1055</v>
      </c>
      <c r="B1057" s="29" t="s">
        <v>236</v>
      </c>
      <c r="C1057" s="29" t="s">
        <v>131</v>
      </c>
      <c r="D1057" s="29" t="s">
        <v>6134</v>
      </c>
      <c r="E1057" s="29" t="s">
        <v>6135</v>
      </c>
      <c r="F1057" s="30" t="s">
        <v>6136</v>
      </c>
      <c r="G1057" s="30" t="s">
        <v>6137</v>
      </c>
      <c r="H1057" s="30" t="s">
        <v>6138</v>
      </c>
      <c r="I1057" s="29" t="s">
        <v>847</v>
      </c>
      <c r="J1057" s="31">
        <v>2.0</v>
      </c>
      <c r="K1057" s="35"/>
      <c r="L1057" s="35"/>
      <c r="M1057" s="35"/>
      <c r="N1057" s="35"/>
      <c r="O1057" s="35"/>
      <c r="P1057" s="35"/>
      <c r="Q1057" s="35"/>
      <c r="R1057" s="35"/>
      <c r="S1057" s="37">
        <f>IF(B1057="","",IF(ISNUMBER(J1057),IF(J1057&lt;=10,'Configuración'!$B$23,IF(J1057&lt;=50,'Configuración'!$B$24,IF(J1057&lt;=200,'Configuración'!$B$25,0))),0))</f>
        <v>12</v>
      </c>
      <c r="T1057" s="37">
        <f>IF(B1057="","",IF(ISNUMBER(SEARCH("information technology",I1057))+ISNUMBER(SEARCH("software",I1057))+ISNUMBER(SEARCH("internet",I1057))+ISNUMBER(SEARCH("computer",I1057))+ISNUMBER(SEARCH("saas",I1057))+ISNUMBER(SEARCH("fintech",I1057))+ISNUMBER(SEARCH("information services",I1057))+ISNUMBER(SEARCH("telecommunications",I1057))&gt;0,'Configuración'!$B$27,'Configuración'!$B$28))</f>
        <v>4</v>
      </c>
      <c r="U1057" s="25">
        <f>IF(B1057="","",IF(ISNUMBER(SEARCH("CEO",C1057))+ISNUMBER(SEARCH("Founder",C1057))+ISNUMBER(SEARCH("Owner",C1057))+ISNUMBER(SEARCH("Dueño",C1057))+ISNUMBER(SEARCH("Director General",C1057))+ISNUMBER(SEARCH("Presidente",C1057))+ISNUMBER(SEARCH("President",C1057))&gt;0,'Configuración'!$B$31,IF(ISNUMBER(SEARCH("CMO",C1057))+ISNUMBER(SEARCH("Chief Marketing",C1057))+ISNUMBER(SEARCH("VP Marketing",C1057))+ISNUMBER(SEARCH("Director de Marketing",C1057))+ISNUMBER(SEARCH("Director Marketing",C1057))+ISNUMBER(SEARCH("Head of Marketing",C1057))+ISNUMBER(SEARCH("Head Marketing",C1057))&gt;0,'Configuración'!$B$32,IF(ISNUMBER(SEARCH("Marketing Manager",C1057))+ISNUMBER(SEARCH("Gerente de Marketing",C1057))+ISNUMBER(SEARCH("Growth Manager",C1057))+ISNUMBER(SEARCH("Demand Gen",C1057))+ISNUMBER(SEARCH("Marketing Lead",C1057))&gt;0,'Configuración'!$B$33,IF(ISNUMBER(SEARCH("COO",C1057))+ISNUMBER(SEARCH("CFO",C1057))+ISNUMBER(SEARCH("CTO",C1057))+ISNUMBER(SEARCH("Chief Operating",C1057))+ISNUMBER(SEARCH("Chief Financial",C1057))+ISNUMBER(SEARCH("Gerente General",C1057))+ISNUMBER(SEARCH("General Manager",C1057))&gt;0,'Configuración'!$B$34,'Configuración'!$B$35)))))</f>
        <v>12</v>
      </c>
      <c r="V1057" s="38">
        <f>IF(B1057="","",IF(K1057="Sí",'Configuración'!$B$5,0)+IF(L1057="Semanal",'Configuración'!$B$6,IF(L1057="Mensual",'Configuración'!$B$7,0))+IF(M1057="Sí",'Configuración'!$B$8,0)+IF(N1057="Sí",'Configuración'!$B$9,0)+IF(O1057="Sí",'Configuración'!$B$10,0)+IF(P1057="Sí",'Configuración'!$B$11,0)+IF(Q1057="Sí",'Configuración'!$B$12,0)+S1057+T1057+U1057)</f>
        <v>28</v>
      </c>
      <c r="W1057" s="39" t="str">
        <f>IF(B1057="","",IF(V1057&gt;='Configuración'!$B$19,"A",IF(V1057&gt;='Configuración'!$B$20,"B",IF(V1057&gt;='Configuración'!$B$21,"C","Descarte"))))</f>
        <v>C</v>
      </c>
    </row>
    <row r="1058" ht="15.75" customHeight="1">
      <c r="A1058" s="34">
        <f t="shared" si="1"/>
        <v>1056</v>
      </c>
      <c r="B1058" s="29" t="s">
        <v>755</v>
      </c>
      <c r="C1058" s="29" t="s">
        <v>731</v>
      </c>
      <c r="D1058" s="29" t="s">
        <v>5552</v>
      </c>
      <c r="E1058" s="29" t="s">
        <v>6139</v>
      </c>
      <c r="F1058" s="30" t="s">
        <v>6140</v>
      </c>
      <c r="G1058" s="30" t="s">
        <v>5555</v>
      </c>
      <c r="H1058" s="30" t="s">
        <v>5556</v>
      </c>
      <c r="I1058" s="29" t="s">
        <v>310</v>
      </c>
      <c r="J1058" s="31">
        <v>8.0</v>
      </c>
      <c r="K1058" s="35"/>
      <c r="L1058" s="35"/>
      <c r="M1058" s="35"/>
      <c r="N1058" s="35"/>
      <c r="O1058" s="35"/>
      <c r="P1058" s="35"/>
      <c r="Q1058" s="35"/>
      <c r="R1058" s="35"/>
      <c r="S1058" s="37">
        <f>IF(B1058="","",IF(ISNUMBER(J1058),IF(J1058&lt;=10,'Configuración'!$B$23,IF(J1058&lt;=50,'Configuración'!$B$24,IF(J1058&lt;=200,'Configuración'!$B$25,0))),0))</f>
        <v>12</v>
      </c>
      <c r="T1058" s="37">
        <f>IF(B1058="","",IF(ISNUMBER(SEARCH("information technology",I1058))+ISNUMBER(SEARCH("software",I1058))+ISNUMBER(SEARCH("internet",I1058))+ISNUMBER(SEARCH("computer",I1058))+ISNUMBER(SEARCH("saas",I1058))+ISNUMBER(SEARCH("fintech",I1058))+ISNUMBER(SEARCH("information services",I1058))+ISNUMBER(SEARCH("telecommunications",I1058))&gt;0,'Configuración'!$B$27,'Configuración'!$B$28))</f>
        <v>4</v>
      </c>
      <c r="U1058" s="25">
        <f>IF(B1058="","",IF(ISNUMBER(SEARCH("CEO",C1058))+ISNUMBER(SEARCH("Founder",C1058))+ISNUMBER(SEARCH("Owner",C1058))+ISNUMBER(SEARCH("Dueño",C1058))+ISNUMBER(SEARCH("Director General",C1058))+ISNUMBER(SEARCH("Presidente",C1058))+ISNUMBER(SEARCH("President",C1058))&gt;0,'Configuración'!$B$31,IF(ISNUMBER(SEARCH("CMO",C1058))+ISNUMBER(SEARCH("Chief Marketing",C1058))+ISNUMBER(SEARCH("VP Marketing",C1058))+ISNUMBER(SEARCH("Director de Marketing",C1058))+ISNUMBER(SEARCH("Director Marketing",C1058))+ISNUMBER(SEARCH("Head of Marketing",C1058))+ISNUMBER(SEARCH("Head Marketing",C1058))&gt;0,'Configuración'!$B$32,IF(ISNUMBER(SEARCH("Marketing Manager",C1058))+ISNUMBER(SEARCH("Gerente de Marketing",C1058))+ISNUMBER(SEARCH("Growth Manager",C1058))+ISNUMBER(SEARCH("Demand Gen",C1058))+ISNUMBER(SEARCH("Marketing Lead",C1058))&gt;0,'Configuración'!$B$33,IF(ISNUMBER(SEARCH("COO",C1058))+ISNUMBER(SEARCH("CFO",C1058))+ISNUMBER(SEARCH("CTO",C1058))+ISNUMBER(SEARCH("Chief Operating",C1058))+ISNUMBER(SEARCH("Chief Financial",C1058))+ISNUMBER(SEARCH("Gerente General",C1058))+ISNUMBER(SEARCH("General Manager",C1058))&gt;0,'Configuración'!$B$34,'Configuración'!$B$35)))))</f>
        <v>12</v>
      </c>
      <c r="V1058" s="38">
        <f>IF(B1058="","",IF(K1058="Sí",'Configuración'!$B$5,0)+IF(L1058="Semanal",'Configuración'!$B$6,IF(L1058="Mensual",'Configuración'!$B$7,0))+IF(M1058="Sí",'Configuración'!$B$8,0)+IF(N1058="Sí",'Configuración'!$B$9,0)+IF(O1058="Sí",'Configuración'!$B$10,0)+IF(P1058="Sí",'Configuración'!$B$11,0)+IF(Q1058="Sí",'Configuración'!$B$12,0)+S1058+T1058+U1058)</f>
        <v>28</v>
      </c>
      <c r="W1058" s="39" t="str">
        <f>IF(B1058="","",IF(V1058&gt;='Configuración'!$B$19,"A",IF(V1058&gt;='Configuración'!$B$20,"B",IF(V1058&gt;='Configuración'!$B$21,"C","Descarte"))))</f>
        <v>C</v>
      </c>
    </row>
    <row r="1059" ht="15.75" customHeight="1">
      <c r="A1059" s="34">
        <f t="shared" si="1"/>
        <v>1057</v>
      </c>
      <c r="B1059" s="29" t="s">
        <v>174</v>
      </c>
      <c r="C1059" s="29" t="s">
        <v>202</v>
      </c>
      <c r="D1059" s="29" t="s">
        <v>6141</v>
      </c>
      <c r="E1059" s="29" t="s">
        <v>6142</v>
      </c>
      <c r="F1059" s="30" t="s">
        <v>6143</v>
      </c>
      <c r="G1059" s="30" t="s">
        <v>6144</v>
      </c>
      <c r="H1059" s="30" t="s">
        <v>6145</v>
      </c>
      <c r="I1059" s="29" t="s">
        <v>127</v>
      </c>
      <c r="J1059" s="31">
        <v>7.0</v>
      </c>
      <c r="K1059" s="35"/>
      <c r="L1059" s="35"/>
      <c r="M1059" s="35"/>
      <c r="N1059" s="35"/>
      <c r="O1059" s="35"/>
      <c r="P1059" s="35"/>
      <c r="Q1059" s="35"/>
      <c r="R1059" s="35"/>
      <c r="S1059" s="37">
        <f>IF(B1059="","",IF(ISNUMBER(J1059),IF(J1059&lt;=10,'Configuración'!$B$23,IF(J1059&lt;=50,'Configuración'!$B$24,IF(J1059&lt;=200,'Configuración'!$B$25,0))),0))</f>
        <v>12</v>
      </c>
      <c r="T1059" s="37">
        <f>IF(B1059="","",IF(ISNUMBER(SEARCH("information technology",I1059))+ISNUMBER(SEARCH("software",I1059))+ISNUMBER(SEARCH("internet",I1059))+ISNUMBER(SEARCH("computer",I1059))+ISNUMBER(SEARCH("saas",I1059))+ISNUMBER(SEARCH("fintech",I1059))+ISNUMBER(SEARCH("information services",I1059))+ISNUMBER(SEARCH("telecommunications",I1059))&gt;0,'Configuración'!$B$27,'Configuración'!$B$28))</f>
        <v>12</v>
      </c>
      <c r="U1059" s="25">
        <f>IF(B1059="","",IF(ISNUMBER(SEARCH("CEO",C1059))+ISNUMBER(SEARCH("Founder",C1059))+ISNUMBER(SEARCH("Owner",C1059))+ISNUMBER(SEARCH("Dueño",C1059))+ISNUMBER(SEARCH("Director General",C1059))+ISNUMBER(SEARCH("Presidente",C1059))+ISNUMBER(SEARCH("President",C1059))&gt;0,'Configuración'!$B$31,IF(ISNUMBER(SEARCH("CMO",C1059))+ISNUMBER(SEARCH("Chief Marketing",C1059))+ISNUMBER(SEARCH("VP Marketing",C1059))+ISNUMBER(SEARCH("Director de Marketing",C1059))+ISNUMBER(SEARCH("Director Marketing",C1059))+ISNUMBER(SEARCH("Head of Marketing",C1059))+ISNUMBER(SEARCH("Head Marketing",C1059))&gt;0,'Configuración'!$B$32,IF(ISNUMBER(SEARCH("Marketing Manager",C1059))+ISNUMBER(SEARCH("Gerente de Marketing",C1059))+ISNUMBER(SEARCH("Growth Manager",C1059))+ISNUMBER(SEARCH("Demand Gen",C1059))+ISNUMBER(SEARCH("Marketing Lead",C1059))&gt;0,'Configuración'!$B$33,IF(ISNUMBER(SEARCH("COO",C1059))+ISNUMBER(SEARCH("CFO",C1059))+ISNUMBER(SEARCH("CTO",C1059))+ISNUMBER(SEARCH("Chief Operating",C1059))+ISNUMBER(SEARCH("Chief Financial",C1059))+ISNUMBER(SEARCH("Gerente General",C1059))+ISNUMBER(SEARCH("General Manager",C1059))&gt;0,'Configuración'!$B$34,'Configuración'!$B$35)))))</f>
        <v>12</v>
      </c>
      <c r="V1059" s="38">
        <f>IF(B1059="","",IF(K1059="Sí",'Configuración'!$B$5,0)+IF(L1059="Semanal",'Configuración'!$B$6,IF(L1059="Mensual",'Configuración'!$B$7,0))+IF(M1059="Sí",'Configuración'!$B$8,0)+IF(N1059="Sí",'Configuración'!$B$9,0)+IF(O1059="Sí",'Configuración'!$B$10,0)+IF(P1059="Sí",'Configuración'!$B$11,0)+IF(Q1059="Sí",'Configuración'!$B$12,0)+S1059+T1059+U1059)</f>
        <v>36</v>
      </c>
      <c r="W1059" s="39" t="str">
        <f>IF(B1059="","",IF(V1059&gt;='Configuración'!$B$19,"A",IF(V1059&gt;='Configuración'!$B$20,"B",IF(V1059&gt;='Configuración'!$B$21,"C","Descarte"))))</f>
        <v>C</v>
      </c>
    </row>
    <row r="1060" ht="15.75" customHeight="1">
      <c r="A1060" s="34">
        <f t="shared" si="1"/>
        <v>1058</v>
      </c>
      <c r="B1060" s="29" t="s">
        <v>466</v>
      </c>
      <c r="C1060" s="29" t="s">
        <v>487</v>
      </c>
      <c r="D1060" s="29" t="s">
        <v>6146</v>
      </c>
      <c r="E1060" s="29" t="s">
        <v>6147</v>
      </c>
      <c r="F1060" s="30" t="s">
        <v>6148</v>
      </c>
      <c r="G1060" s="30" t="s">
        <v>6149</v>
      </c>
      <c r="H1060" s="30" t="s">
        <v>6150</v>
      </c>
      <c r="I1060" s="29" t="s">
        <v>127</v>
      </c>
      <c r="J1060" s="31">
        <v>1.0</v>
      </c>
      <c r="K1060" s="35"/>
      <c r="L1060" s="35"/>
      <c r="M1060" s="35"/>
      <c r="N1060" s="35"/>
      <c r="O1060" s="35"/>
      <c r="P1060" s="35"/>
      <c r="Q1060" s="35"/>
      <c r="R1060" s="35"/>
      <c r="S1060" s="37">
        <f>IF(B1060="","",IF(ISNUMBER(J1060),IF(J1060&lt;=10,'Configuración'!$B$23,IF(J1060&lt;=50,'Configuración'!$B$24,IF(J1060&lt;=200,'Configuración'!$B$25,0))),0))</f>
        <v>12</v>
      </c>
      <c r="T1060" s="37">
        <f>IF(B1060="","",IF(ISNUMBER(SEARCH("information technology",I1060))+ISNUMBER(SEARCH("software",I1060))+ISNUMBER(SEARCH("internet",I1060))+ISNUMBER(SEARCH("computer",I1060))+ISNUMBER(SEARCH("saas",I1060))+ISNUMBER(SEARCH("fintech",I1060))+ISNUMBER(SEARCH("information services",I1060))+ISNUMBER(SEARCH("telecommunications",I1060))&gt;0,'Configuración'!$B$27,'Configuración'!$B$28))</f>
        <v>12</v>
      </c>
      <c r="U1060" s="25">
        <f>IF(B1060="","",IF(ISNUMBER(SEARCH("CEO",C1060))+ISNUMBER(SEARCH("Founder",C1060))+ISNUMBER(SEARCH("Owner",C1060))+ISNUMBER(SEARCH("Dueño",C1060))+ISNUMBER(SEARCH("Director General",C1060))+ISNUMBER(SEARCH("Presidente",C1060))+ISNUMBER(SEARCH("President",C1060))&gt;0,'Configuración'!$B$31,IF(ISNUMBER(SEARCH("CMO",C1060))+ISNUMBER(SEARCH("Chief Marketing",C1060))+ISNUMBER(SEARCH("VP Marketing",C1060))+ISNUMBER(SEARCH("Director de Marketing",C1060))+ISNUMBER(SEARCH("Director Marketing",C1060))+ISNUMBER(SEARCH("Head of Marketing",C1060))+ISNUMBER(SEARCH("Head Marketing",C1060))&gt;0,'Configuración'!$B$32,IF(ISNUMBER(SEARCH("Marketing Manager",C1060))+ISNUMBER(SEARCH("Gerente de Marketing",C1060))+ISNUMBER(SEARCH("Growth Manager",C1060))+ISNUMBER(SEARCH("Demand Gen",C1060))+ISNUMBER(SEARCH("Marketing Lead",C1060))&gt;0,'Configuración'!$B$33,IF(ISNUMBER(SEARCH("COO",C1060))+ISNUMBER(SEARCH("CFO",C1060))+ISNUMBER(SEARCH("CTO",C1060))+ISNUMBER(SEARCH("Chief Operating",C1060))+ISNUMBER(SEARCH("Chief Financial",C1060))+ISNUMBER(SEARCH("Gerente General",C1060))+ISNUMBER(SEARCH("General Manager",C1060))&gt;0,'Configuración'!$B$34,'Configuración'!$B$35)))))</f>
        <v>12</v>
      </c>
      <c r="V1060" s="38">
        <f>IF(B1060="","",IF(K1060="Sí",'Configuración'!$B$5,0)+IF(L1060="Semanal",'Configuración'!$B$6,IF(L1060="Mensual",'Configuración'!$B$7,0))+IF(M1060="Sí",'Configuración'!$B$8,0)+IF(N1060="Sí",'Configuración'!$B$9,0)+IF(O1060="Sí",'Configuración'!$B$10,0)+IF(P1060="Sí",'Configuración'!$B$11,0)+IF(Q1060="Sí",'Configuración'!$B$12,0)+S1060+T1060+U1060)</f>
        <v>36</v>
      </c>
      <c r="W1060" s="39" t="str">
        <f>IF(B1060="","",IF(V1060&gt;='Configuración'!$B$19,"A",IF(V1060&gt;='Configuración'!$B$20,"B",IF(V1060&gt;='Configuración'!$B$21,"C","Descarte"))))</f>
        <v>C</v>
      </c>
    </row>
    <row r="1061" ht="15.75" customHeight="1">
      <c r="A1061" s="34">
        <f t="shared" si="1"/>
        <v>1059</v>
      </c>
      <c r="B1061" s="29" t="s">
        <v>6151</v>
      </c>
      <c r="C1061" s="29" t="s">
        <v>131</v>
      </c>
      <c r="D1061" s="29" t="s">
        <v>6152</v>
      </c>
      <c r="E1061" s="29" t="s">
        <v>6153</v>
      </c>
      <c r="F1061" s="30" t="s">
        <v>6154</v>
      </c>
      <c r="G1061" s="30" t="s">
        <v>6155</v>
      </c>
      <c r="H1061" s="30" t="s">
        <v>6156</v>
      </c>
      <c r="I1061" s="29" t="s">
        <v>465</v>
      </c>
      <c r="J1061" s="31">
        <v>9.0</v>
      </c>
      <c r="K1061" s="35"/>
      <c r="L1061" s="35"/>
      <c r="M1061" s="35"/>
      <c r="N1061" s="35"/>
      <c r="O1061" s="35"/>
      <c r="P1061" s="35"/>
      <c r="Q1061" s="35"/>
      <c r="R1061" s="35"/>
      <c r="S1061" s="37">
        <f>IF(B1061="","",IF(ISNUMBER(J1061),IF(J1061&lt;=10,'Configuración'!$B$23,IF(J1061&lt;=50,'Configuración'!$B$24,IF(J1061&lt;=200,'Configuración'!$B$25,0))),0))</f>
        <v>12</v>
      </c>
      <c r="T1061" s="37">
        <f>IF(B1061="","",IF(ISNUMBER(SEARCH("information technology",I1061))+ISNUMBER(SEARCH("software",I1061))+ISNUMBER(SEARCH("internet",I1061))+ISNUMBER(SEARCH("computer",I1061))+ISNUMBER(SEARCH("saas",I1061))+ISNUMBER(SEARCH("fintech",I1061))+ISNUMBER(SEARCH("information services",I1061))+ISNUMBER(SEARCH("telecommunications",I1061))&gt;0,'Configuración'!$B$27,'Configuración'!$B$28))</f>
        <v>4</v>
      </c>
      <c r="U1061" s="25">
        <f>IF(B1061="","",IF(ISNUMBER(SEARCH("CEO",C1061))+ISNUMBER(SEARCH("Founder",C1061))+ISNUMBER(SEARCH("Owner",C1061))+ISNUMBER(SEARCH("Dueño",C1061))+ISNUMBER(SEARCH("Director General",C1061))+ISNUMBER(SEARCH("Presidente",C1061))+ISNUMBER(SEARCH("President",C1061))&gt;0,'Configuración'!$B$31,IF(ISNUMBER(SEARCH("CMO",C1061))+ISNUMBER(SEARCH("Chief Marketing",C1061))+ISNUMBER(SEARCH("VP Marketing",C1061))+ISNUMBER(SEARCH("Director de Marketing",C1061))+ISNUMBER(SEARCH("Director Marketing",C1061))+ISNUMBER(SEARCH("Head of Marketing",C1061))+ISNUMBER(SEARCH("Head Marketing",C1061))&gt;0,'Configuración'!$B$32,IF(ISNUMBER(SEARCH("Marketing Manager",C1061))+ISNUMBER(SEARCH("Gerente de Marketing",C1061))+ISNUMBER(SEARCH("Growth Manager",C1061))+ISNUMBER(SEARCH("Demand Gen",C1061))+ISNUMBER(SEARCH("Marketing Lead",C1061))&gt;0,'Configuración'!$B$33,IF(ISNUMBER(SEARCH("COO",C1061))+ISNUMBER(SEARCH("CFO",C1061))+ISNUMBER(SEARCH("CTO",C1061))+ISNUMBER(SEARCH("Chief Operating",C1061))+ISNUMBER(SEARCH("Chief Financial",C1061))+ISNUMBER(SEARCH("Gerente General",C1061))+ISNUMBER(SEARCH("General Manager",C1061))&gt;0,'Configuración'!$B$34,'Configuración'!$B$35)))))</f>
        <v>12</v>
      </c>
      <c r="V1061" s="38">
        <f>IF(B1061="","",IF(K1061="Sí",'Configuración'!$B$5,0)+IF(L1061="Semanal",'Configuración'!$B$6,IF(L1061="Mensual",'Configuración'!$B$7,0))+IF(M1061="Sí",'Configuración'!$B$8,0)+IF(N1061="Sí",'Configuración'!$B$9,0)+IF(O1061="Sí",'Configuración'!$B$10,0)+IF(P1061="Sí",'Configuración'!$B$11,0)+IF(Q1061="Sí",'Configuración'!$B$12,0)+S1061+T1061+U1061)</f>
        <v>28</v>
      </c>
      <c r="W1061" s="39" t="str">
        <f>IF(B1061="","",IF(V1061&gt;='Configuración'!$B$19,"A",IF(V1061&gt;='Configuración'!$B$20,"B",IF(V1061&gt;='Configuración'!$B$21,"C","Descarte"))))</f>
        <v>C</v>
      </c>
    </row>
    <row r="1062" ht="15.75" customHeight="1">
      <c r="A1062" s="34">
        <f t="shared" si="1"/>
        <v>1060</v>
      </c>
      <c r="B1062" s="29" t="s">
        <v>174</v>
      </c>
      <c r="C1062" s="29" t="s">
        <v>131</v>
      </c>
      <c r="D1062" s="29" t="s">
        <v>6157</v>
      </c>
      <c r="E1062" s="29" t="s">
        <v>6158</v>
      </c>
      <c r="F1062" s="30" t="s">
        <v>6159</v>
      </c>
      <c r="G1062" s="30" t="s">
        <v>6160</v>
      </c>
      <c r="H1062" s="30" t="s">
        <v>6161</v>
      </c>
      <c r="I1062" s="29" t="s">
        <v>127</v>
      </c>
      <c r="J1062" s="31">
        <v>13.0</v>
      </c>
      <c r="K1062" s="35"/>
      <c r="L1062" s="35"/>
      <c r="M1062" s="35"/>
      <c r="N1062" s="35"/>
      <c r="O1062" s="35"/>
      <c r="P1062" s="35"/>
      <c r="Q1062" s="35"/>
      <c r="R1062" s="35"/>
      <c r="S1062" s="37">
        <f>IF(B1062="","",IF(ISNUMBER(J1062),IF(J1062&lt;=10,'Configuración'!$B$23,IF(J1062&lt;=50,'Configuración'!$B$24,IF(J1062&lt;=200,'Configuración'!$B$25,0))),0))</f>
        <v>4</v>
      </c>
      <c r="T1062" s="37">
        <f>IF(B1062="","",IF(ISNUMBER(SEARCH("information technology",I1062))+ISNUMBER(SEARCH("software",I1062))+ISNUMBER(SEARCH("internet",I1062))+ISNUMBER(SEARCH("computer",I1062))+ISNUMBER(SEARCH("saas",I1062))+ISNUMBER(SEARCH("fintech",I1062))+ISNUMBER(SEARCH("information services",I1062))+ISNUMBER(SEARCH("telecommunications",I1062))&gt;0,'Configuración'!$B$27,'Configuración'!$B$28))</f>
        <v>12</v>
      </c>
      <c r="U1062" s="25">
        <f>IF(B1062="","",IF(ISNUMBER(SEARCH("CEO",C1062))+ISNUMBER(SEARCH("Founder",C1062))+ISNUMBER(SEARCH("Owner",C1062))+ISNUMBER(SEARCH("Dueño",C1062))+ISNUMBER(SEARCH("Director General",C1062))+ISNUMBER(SEARCH("Presidente",C1062))+ISNUMBER(SEARCH("President",C1062))&gt;0,'Configuración'!$B$31,IF(ISNUMBER(SEARCH("CMO",C1062))+ISNUMBER(SEARCH("Chief Marketing",C1062))+ISNUMBER(SEARCH("VP Marketing",C1062))+ISNUMBER(SEARCH("Director de Marketing",C1062))+ISNUMBER(SEARCH("Director Marketing",C1062))+ISNUMBER(SEARCH("Head of Marketing",C1062))+ISNUMBER(SEARCH("Head Marketing",C1062))&gt;0,'Configuración'!$B$32,IF(ISNUMBER(SEARCH("Marketing Manager",C1062))+ISNUMBER(SEARCH("Gerente de Marketing",C1062))+ISNUMBER(SEARCH("Growth Manager",C1062))+ISNUMBER(SEARCH("Demand Gen",C1062))+ISNUMBER(SEARCH("Marketing Lead",C1062))&gt;0,'Configuración'!$B$33,IF(ISNUMBER(SEARCH("COO",C1062))+ISNUMBER(SEARCH("CFO",C1062))+ISNUMBER(SEARCH("CTO",C1062))+ISNUMBER(SEARCH("Chief Operating",C1062))+ISNUMBER(SEARCH("Chief Financial",C1062))+ISNUMBER(SEARCH("Gerente General",C1062))+ISNUMBER(SEARCH("General Manager",C1062))&gt;0,'Configuración'!$B$34,'Configuración'!$B$35)))))</f>
        <v>12</v>
      </c>
      <c r="V1062" s="38">
        <f>IF(B1062="","",IF(K1062="Sí",'Configuración'!$B$5,0)+IF(L1062="Semanal",'Configuración'!$B$6,IF(L1062="Mensual",'Configuración'!$B$7,0))+IF(M1062="Sí",'Configuración'!$B$8,0)+IF(N1062="Sí",'Configuración'!$B$9,0)+IF(O1062="Sí",'Configuración'!$B$10,0)+IF(P1062="Sí",'Configuración'!$B$11,0)+IF(Q1062="Sí",'Configuración'!$B$12,0)+S1062+T1062+U1062)</f>
        <v>28</v>
      </c>
      <c r="W1062" s="39" t="str">
        <f>IF(B1062="","",IF(V1062&gt;='Configuración'!$B$19,"A",IF(V1062&gt;='Configuración'!$B$20,"B",IF(V1062&gt;='Configuración'!$B$21,"C","Descarte"))))</f>
        <v>C</v>
      </c>
    </row>
    <row r="1063" ht="15.75" customHeight="1">
      <c r="A1063" s="34">
        <f t="shared" si="1"/>
        <v>1061</v>
      </c>
      <c r="B1063" s="29" t="s">
        <v>1528</v>
      </c>
      <c r="C1063" s="29" t="s">
        <v>243</v>
      </c>
      <c r="D1063" s="29" t="s">
        <v>6162</v>
      </c>
      <c r="E1063" s="29" t="s">
        <v>6163</v>
      </c>
      <c r="F1063" s="30" t="s">
        <v>6164</v>
      </c>
      <c r="G1063" s="30" t="s">
        <v>6165</v>
      </c>
      <c r="H1063" s="30" t="s">
        <v>6166</v>
      </c>
      <c r="I1063" s="29" t="s">
        <v>480</v>
      </c>
      <c r="J1063" s="31">
        <v>4.0</v>
      </c>
      <c r="K1063" s="35"/>
      <c r="L1063" s="35"/>
      <c r="M1063" s="35"/>
      <c r="N1063" s="35"/>
      <c r="O1063" s="35"/>
      <c r="P1063" s="35"/>
      <c r="Q1063" s="35"/>
      <c r="R1063" s="35"/>
      <c r="S1063" s="37">
        <f>IF(B1063="","",IF(ISNUMBER(J1063),IF(J1063&lt;=10,'Configuración'!$B$23,IF(J1063&lt;=50,'Configuración'!$B$24,IF(J1063&lt;=200,'Configuración'!$B$25,0))),0))</f>
        <v>12</v>
      </c>
      <c r="T1063" s="37">
        <f>IF(B1063="","",IF(ISNUMBER(SEARCH("information technology",I1063))+ISNUMBER(SEARCH("software",I1063))+ISNUMBER(SEARCH("internet",I1063))+ISNUMBER(SEARCH("computer",I1063))+ISNUMBER(SEARCH("saas",I1063))+ISNUMBER(SEARCH("fintech",I1063))+ISNUMBER(SEARCH("information services",I1063))+ISNUMBER(SEARCH("telecommunications",I1063))&gt;0,'Configuración'!$B$27,'Configuración'!$B$28))</f>
        <v>4</v>
      </c>
      <c r="U1063" s="25">
        <f>IF(B1063="","",IF(ISNUMBER(SEARCH("CEO",C1063))+ISNUMBER(SEARCH("Founder",C1063))+ISNUMBER(SEARCH("Owner",C1063))+ISNUMBER(SEARCH("Dueño",C1063))+ISNUMBER(SEARCH("Director General",C1063))+ISNUMBER(SEARCH("Presidente",C1063))+ISNUMBER(SEARCH("President",C1063))&gt;0,'Configuración'!$B$31,IF(ISNUMBER(SEARCH("CMO",C1063))+ISNUMBER(SEARCH("Chief Marketing",C1063))+ISNUMBER(SEARCH("VP Marketing",C1063))+ISNUMBER(SEARCH("Director de Marketing",C1063))+ISNUMBER(SEARCH("Director Marketing",C1063))+ISNUMBER(SEARCH("Head of Marketing",C1063))+ISNUMBER(SEARCH("Head Marketing",C1063))&gt;0,'Configuración'!$B$32,IF(ISNUMBER(SEARCH("Marketing Manager",C1063))+ISNUMBER(SEARCH("Gerente de Marketing",C1063))+ISNUMBER(SEARCH("Growth Manager",C1063))+ISNUMBER(SEARCH("Demand Gen",C1063))+ISNUMBER(SEARCH("Marketing Lead",C1063))&gt;0,'Configuración'!$B$33,IF(ISNUMBER(SEARCH("COO",C1063))+ISNUMBER(SEARCH("CFO",C1063))+ISNUMBER(SEARCH("CTO",C1063))+ISNUMBER(SEARCH("Chief Operating",C1063))+ISNUMBER(SEARCH("Chief Financial",C1063))+ISNUMBER(SEARCH("Gerente General",C1063))+ISNUMBER(SEARCH("General Manager",C1063))&gt;0,'Configuración'!$B$34,'Configuración'!$B$35)))))</f>
        <v>12</v>
      </c>
      <c r="V1063" s="38">
        <f>IF(B1063="","",IF(K1063="Sí",'Configuración'!$B$5,0)+IF(L1063="Semanal",'Configuración'!$B$6,IF(L1063="Mensual",'Configuración'!$B$7,0))+IF(M1063="Sí",'Configuración'!$B$8,0)+IF(N1063="Sí",'Configuración'!$B$9,0)+IF(O1063="Sí",'Configuración'!$B$10,0)+IF(P1063="Sí",'Configuración'!$B$11,0)+IF(Q1063="Sí",'Configuración'!$B$12,0)+S1063+T1063+U1063)</f>
        <v>28</v>
      </c>
      <c r="W1063" s="39" t="str">
        <f>IF(B1063="","",IF(V1063&gt;='Configuración'!$B$19,"A",IF(V1063&gt;='Configuración'!$B$20,"B",IF(V1063&gt;='Configuración'!$B$21,"C","Descarte"))))</f>
        <v>C</v>
      </c>
    </row>
    <row r="1064" ht="15.75" customHeight="1">
      <c r="A1064" s="34">
        <f t="shared" si="1"/>
        <v>1062</v>
      </c>
      <c r="B1064" s="29" t="s">
        <v>236</v>
      </c>
      <c r="C1064" s="29" t="s">
        <v>6167</v>
      </c>
      <c r="D1064" s="29" t="s">
        <v>6168</v>
      </c>
      <c r="E1064" s="29" t="s">
        <v>6169</v>
      </c>
      <c r="F1064" s="30" t="s">
        <v>6170</v>
      </c>
      <c r="G1064" s="30" t="s">
        <v>6171</v>
      </c>
      <c r="H1064" s="30" t="s">
        <v>6172</v>
      </c>
      <c r="I1064" s="29" t="s">
        <v>946</v>
      </c>
      <c r="J1064" s="31">
        <v>37.0</v>
      </c>
      <c r="K1064" s="35"/>
      <c r="L1064" s="35"/>
      <c r="M1064" s="35"/>
      <c r="N1064" s="35"/>
      <c r="O1064" s="35"/>
      <c r="P1064" s="35"/>
      <c r="Q1064" s="35"/>
      <c r="R1064" s="35"/>
      <c r="S1064" s="37">
        <f>IF(B1064="","",IF(ISNUMBER(J1064),IF(J1064&lt;=10,'Configuración'!$B$23,IF(J1064&lt;=50,'Configuración'!$B$24,IF(J1064&lt;=200,'Configuración'!$B$25,0))),0))</f>
        <v>4</v>
      </c>
      <c r="T1064" s="37">
        <f>IF(B1064="","",IF(ISNUMBER(SEARCH("information technology",I1064))+ISNUMBER(SEARCH("software",I1064))+ISNUMBER(SEARCH("internet",I1064))+ISNUMBER(SEARCH("computer",I1064))+ISNUMBER(SEARCH("saas",I1064))+ISNUMBER(SEARCH("fintech",I1064))+ISNUMBER(SEARCH("information services",I1064))+ISNUMBER(SEARCH("telecommunications",I1064))&gt;0,'Configuración'!$B$27,'Configuración'!$B$28))</f>
        <v>4</v>
      </c>
      <c r="U1064" s="25">
        <f>IF(B1064="","",IF(ISNUMBER(SEARCH("CEO",C1064))+ISNUMBER(SEARCH("Founder",C1064))+ISNUMBER(SEARCH("Owner",C1064))+ISNUMBER(SEARCH("Dueño",C1064))+ISNUMBER(SEARCH("Director General",C1064))+ISNUMBER(SEARCH("Presidente",C1064))+ISNUMBER(SEARCH("President",C1064))&gt;0,'Configuración'!$B$31,IF(ISNUMBER(SEARCH("CMO",C1064))+ISNUMBER(SEARCH("Chief Marketing",C1064))+ISNUMBER(SEARCH("VP Marketing",C1064))+ISNUMBER(SEARCH("Director de Marketing",C1064))+ISNUMBER(SEARCH("Director Marketing",C1064))+ISNUMBER(SEARCH("Head of Marketing",C1064))+ISNUMBER(SEARCH("Head Marketing",C1064))&gt;0,'Configuración'!$B$32,IF(ISNUMBER(SEARCH("Marketing Manager",C1064))+ISNUMBER(SEARCH("Gerente de Marketing",C1064))+ISNUMBER(SEARCH("Growth Manager",C1064))+ISNUMBER(SEARCH("Demand Gen",C1064))+ISNUMBER(SEARCH("Marketing Lead",C1064))&gt;0,'Configuración'!$B$33,IF(ISNUMBER(SEARCH("COO",C1064))+ISNUMBER(SEARCH("CFO",C1064))+ISNUMBER(SEARCH("CTO",C1064))+ISNUMBER(SEARCH("Chief Operating",C1064))+ISNUMBER(SEARCH("Chief Financial",C1064))+ISNUMBER(SEARCH("Gerente General",C1064))+ISNUMBER(SEARCH("General Manager",C1064))&gt;0,'Configuración'!$B$34,'Configuración'!$B$35)))))</f>
        <v>12</v>
      </c>
      <c r="V1064" s="38">
        <f>IF(B1064="","",IF(K1064="Sí",'Configuración'!$B$5,0)+IF(L1064="Semanal",'Configuración'!$B$6,IF(L1064="Mensual",'Configuración'!$B$7,0))+IF(M1064="Sí",'Configuración'!$B$8,0)+IF(N1064="Sí",'Configuración'!$B$9,0)+IF(O1064="Sí",'Configuración'!$B$10,0)+IF(P1064="Sí",'Configuración'!$B$11,0)+IF(Q1064="Sí",'Configuración'!$B$12,0)+S1064+T1064+U1064)</f>
        <v>20</v>
      </c>
      <c r="W1064" s="39" t="str">
        <f>IF(B1064="","",IF(V1064&gt;='Configuración'!$B$19,"A",IF(V1064&gt;='Configuración'!$B$20,"B",IF(V1064&gt;='Configuración'!$B$21,"C","Descarte"))))</f>
        <v>Descarte</v>
      </c>
    </row>
    <row r="1065" ht="15.75" customHeight="1">
      <c r="A1065" s="34">
        <f t="shared" si="1"/>
        <v>1063</v>
      </c>
      <c r="B1065" s="29" t="s">
        <v>1008</v>
      </c>
      <c r="C1065" s="29" t="s">
        <v>6173</v>
      </c>
      <c r="D1065" s="29" t="s">
        <v>6174</v>
      </c>
      <c r="E1065" s="29" t="s">
        <v>6175</v>
      </c>
      <c r="F1065" s="30" t="s">
        <v>6176</v>
      </c>
      <c r="G1065" s="30" t="s">
        <v>6177</v>
      </c>
      <c r="H1065" s="30" t="s">
        <v>6178</v>
      </c>
      <c r="I1065" s="29" t="s">
        <v>1446</v>
      </c>
      <c r="J1065" s="31">
        <v>8.0</v>
      </c>
      <c r="K1065" s="35"/>
      <c r="L1065" s="35"/>
      <c r="M1065" s="35"/>
      <c r="N1065" s="35"/>
      <c r="O1065" s="35"/>
      <c r="P1065" s="35"/>
      <c r="Q1065" s="35"/>
      <c r="R1065" s="35"/>
      <c r="S1065" s="37">
        <f>IF(B1065="","",IF(ISNUMBER(J1065),IF(J1065&lt;=10,'Configuración'!$B$23,IF(J1065&lt;=50,'Configuración'!$B$24,IF(J1065&lt;=200,'Configuración'!$B$25,0))),0))</f>
        <v>12</v>
      </c>
      <c r="T1065" s="37">
        <f>IF(B1065="","",IF(ISNUMBER(SEARCH("information technology",I1065))+ISNUMBER(SEARCH("software",I1065))+ISNUMBER(SEARCH("internet",I1065))+ISNUMBER(SEARCH("computer",I1065))+ISNUMBER(SEARCH("saas",I1065))+ISNUMBER(SEARCH("fintech",I1065))+ISNUMBER(SEARCH("information services",I1065))+ISNUMBER(SEARCH("telecommunications",I1065))&gt;0,'Configuración'!$B$27,'Configuración'!$B$28))</f>
        <v>4</v>
      </c>
      <c r="U1065" s="25">
        <f>IF(B1065="","",IF(ISNUMBER(SEARCH("CEO",C1065))+ISNUMBER(SEARCH("Founder",C1065))+ISNUMBER(SEARCH("Owner",C1065))+ISNUMBER(SEARCH("Dueño",C1065))+ISNUMBER(SEARCH("Director General",C1065))+ISNUMBER(SEARCH("Presidente",C1065))+ISNUMBER(SEARCH("President",C1065))&gt;0,'Configuración'!$B$31,IF(ISNUMBER(SEARCH("CMO",C1065))+ISNUMBER(SEARCH("Chief Marketing",C1065))+ISNUMBER(SEARCH("VP Marketing",C1065))+ISNUMBER(SEARCH("Director de Marketing",C1065))+ISNUMBER(SEARCH("Director Marketing",C1065))+ISNUMBER(SEARCH("Head of Marketing",C1065))+ISNUMBER(SEARCH("Head Marketing",C1065))&gt;0,'Configuración'!$B$32,IF(ISNUMBER(SEARCH("Marketing Manager",C1065))+ISNUMBER(SEARCH("Gerente de Marketing",C1065))+ISNUMBER(SEARCH("Growth Manager",C1065))+ISNUMBER(SEARCH("Demand Gen",C1065))+ISNUMBER(SEARCH("Marketing Lead",C1065))&gt;0,'Configuración'!$B$33,IF(ISNUMBER(SEARCH("COO",C1065))+ISNUMBER(SEARCH("CFO",C1065))+ISNUMBER(SEARCH("CTO",C1065))+ISNUMBER(SEARCH("Chief Operating",C1065))+ISNUMBER(SEARCH("Chief Financial",C1065))+ISNUMBER(SEARCH("Gerente General",C1065))+ISNUMBER(SEARCH("General Manager",C1065))&gt;0,'Configuración'!$B$34,'Configuración'!$B$35)))))</f>
        <v>12</v>
      </c>
      <c r="V1065" s="38">
        <f>IF(B1065="","",IF(K1065="Sí",'Configuración'!$B$5,0)+IF(L1065="Semanal",'Configuración'!$B$6,IF(L1065="Mensual",'Configuración'!$B$7,0))+IF(M1065="Sí",'Configuración'!$B$8,0)+IF(N1065="Sí",'Configuración'!$B$9,0)+IF(O1065="Sí",'Configuración'!$B$10,0)+IF(P1065="Sí",'Configuración'!$B$11,0)+IF(Q1065="Sí",'Configuración'!$B$12,0)+S1065+T1065+U1065)</f>
        <v>28</v>
      </c>
      <c r="W1065" s="39" t="str">
        <f>IF(B1065="","",IF(V1065&gt;='Configuración'!$B$19,"A",IF(V1065&gt;='Configuración'!$B$20,"B",IF(V1065&gt;='Configuración'!$B$21,"C","Descarte"))))</f>
        <v>C</v>
      </c>
    </row>
    <row r="1066" ht="15.75" customHeight="1">
      <c r="A1066" s="34">
        <f t="shared" si="1"/>
        <v>1064</v>
      </c>
      <c r="B1066" s="29" t="s">
        <v>2042</v>
      </c>
      <c r="C1066" s="29" t="s">
        <v>6179</v>
      </c>
      <c r="D1066" s="29" t="s">
        <v>6180</v>
      </c>
      <c r="E1066" s="29" t="s">
        <v>6181</v>
      </c>
      <c r="F1066" s="30" t="s">
        <v>6182</v>
      </c>
      <c r="G1066" s="30" t="s">
        <v>6183</v>
      </c>
      <c r="H1066" s="30" t="s">
        <v>6184</v>
      </c>
      <c r="I1066" s="29" t="s">
        <v>127</v>
      </c>
      <c r="J1066" s="31">
        <v>11.0</v>
      </c>
      <c r="K1066" s="35"/>
      <c r="L1066" s="35"/>
      <c r="M1066" s="35"/>
      <c r="N1066" s="35"/>
      <c r="O1066" s="35"/>
      <c r="P1066" s="35"/>
      <c r="Q1066" s="35"/>
      <c r="R1066" s="35"/>
      <c r="S1066" s="37">
        <f>IF(B1066="","",IF(ISNUMBER(J1066),IF(J1066&lt;=10,'Configuración'!$B$23,IF(J1066&lt;=50,'Configuración'!$B$24,IF(J1066&lt;=200,'Configuración'!$B$25,0))),0))</f>
        <v>4</v>
      </c>
      <c r="T1066" s="37">
        <f>IF(B1066="","",IF(ISNUMBER(SEARCH("information technology",I1066))+ISNUMBER(SEARCH("software",I1066))+ISNUMBER(SEARCH("internet",I1066))+ISNUMBER(SEARCH("computer",I1066))+ISNUMBER(SEARCH("saas",I1066))+ISNUMBER(SEARCH("fintech",I1066))+ISNUMBER(SEARCH("information services",I1066))+ISNUMBER(SEARCH("telecommunications",I1066))&gt;0,'Configuración'!$B$27,'Configuración'!$B$28))</f>
        <v>12</v>
      </c>
      <c r="U1066" s="25">
        <f>IF(B1066="","",IF(ISNUMBER(SEARCH("CEO",C1066))+ISNUMBER(SEARCH("Founder",C1066))+ISNUMBER(SEARCH("Owner",C1066))+ISNUMBER(SEARCH("Dueño",C1066))+ISNUMBER(SEARCH("Director General",C1066))+ISNUMBER(SEARCH("Presidente",C1066))+ISNUMBER(SEARCH("President",C1066))&gt;0,'Configuración'!$B$31,IF(ISNUMBER(SEARCH("CMO",C1066))+ISNUMBER(SEARCH("Chief Marketing",C1066))+ISNUMBER(SEARCH("VP Marketing",C1066))+ISNUMBER(SEARCH("Director de Marketing",C1066))+ISNUMBER(SEARCH("Director Marketing",C1066))+ISNUMBER(SEARCH("Head of Marketing",C1066))+ISNUMBER(SEARCH("Head Marketing",C1066))&gt;0,'Configuración'!$B$32,IF(ISNUMBER(SEARCH("Marketing Manager",C1066))+ISNUMBER(SEARCH("Gerente de Marketing",C1066))+ISNUMBER(SEARCH("Growth Manager",C1066))+ISNUMBER(SEARCH("Demand Gen",C1066))+ISNUMBER(SEARCH("Marketing Lead",C1066))&gt;0,'Configuración'!$B$33,IF(ISNUMBER(SEARCH("COO",C1066))+ISNUMBER(SEARCH("CFO",C1066))+ISNUMBER(SEARCH("CTO",C1066))+ISNUMBER(SEARCH("Chief Operating",C1066))+ISNUMBER(SEARCH("Chief Financial",C1066))+ISNUMBER(SEARCH("Gerente General",C1066))+ISNUMBER(SEARCH("General Manager",C1066))&gt;0,'Configuración'!$B$34,'Configuración'!$B$35)))))</f>
        <v>0</v>
      </c>
      <c r="V1066" s="38">
        <f>IF(B1066="","",IF(K1066="Sí",'Configuración'!$B$5,0)+IF(L1066="Semanal",'Configuración'!$B$6,IF(L1066="Mensual",'Configuración'!$B$7,0))+IF(M1066="Sí",'Configuración'!$B$8,0)+IF(N1066="Sí",'Configuración'!$B$9,0)+IF(O1066="Sí",'Configuración'!$B$10,0)+IF(P1066="Sí",'Configuración'!$B$11,0)+IF(Q1066="Sí",'Configuración'!$B$12,0)+S1066+T1066+U1066)</f>
        <v>16</v>
      </c>
      <c r="W1066" s="39" t="str">
        <f>IF(B1066="","",IF(V1066&gt;='Configuración'!$B$19,"A",IF(V1066&gt;='Configuración'!$B$20,"B",IF(V1066&gt;='Configuración'!$B$21,"C","Descarte"))))</f>
        <v>Descarte</v>
      </c>
    </row>
    <row r="1067" ht="15.75" customHeight="1">
      <c r="A1067" s="34">
        <f t="shared" si="1"/>
        <v>1065</v>
      </c>
      <c r="B1067" s="29" t="s">
        <v>351</v>
      </c>
      <c r="C1067" s="29" t="s">
        <v>934</v>
      </c>
      <c r="D1067" s="29" t="s">
        <v>6185</v>
      </c>
      <c r="E1067" s="29" t="s">
        <v>6186</v>
      </c>
      <c r="F1067" s="30" t="s">
        <v>6187</v>
      </c>
      <c r="G1067" s="30" t="s">
        <v>6188</v>
      </c>
      <c r="H1067" s="30" t="s">
        <v>6189</v>
      </c>
      <c r="I1067" s="29" t="s">
        <v>116</v>
      </c>
      <c r="J1067" s="31">
        <v>12.0</v>
      </c>
      <c r="K1067" s="35"/>
      <c r="L1067" s="35"/>
      <c r="M1067" s="35"/>
      <c r="N1067" s="35"/>
      <c r="O1067" s="35"/>
      <c r="P1067" s="35"/>
      <c r="Q1067" s="35"/>
      <c r="R1067" s="35"/>
      <c r="S1067" s="37">
        <f>IF(B1067="","",IF(ISNUMBER(J1067),IF(J1067&lt;=10,'Configuración'!$B$23,IF(J1067&lt;=50,'Configuración'!$B$24,IF(J1067&lt;=200,'Configuración'!$B$25,0))),0))</f>
        <v>4</v>
      </c>
      <c r="T1067" s="37">
        <f>IF(B1067="","",IF(ISNUMBER(SEARCH("information technology",I1067))+ISNUMBER(SEARCH("software",I1067))+ISNUMBER(SEARCH("internet",I1067))+ISNUMBER(SEARCH("computer",I1067))+ISNUMBER(SEARCH("saas",I1067))+ISNUMBER(SEARCH("fintech",I1067))+ISNUMBER(SEARCH("information services",I1067))+ISNUMBER(SEARCH("telecommunications",I1067))&gt;0,'Configuración'!$B$27,'Configuración'!$B$28))</f>
        <v>4</v>
      </c>
      <c r="U1067" s="25">
        <f>IF(B1067="","",IF(ISNUMBER(SEARCH("CEO",C1067))+ISNUMBER(SEARCH("Founder",C1067))+ISNUMBER(SEARCH("Owner",C1067))+ISNUMBER(SEARCH("Dueño",C1067))+ISNUMBER(SEARCH("Director General",C1067))+ISNUMBER(SEARCH("Presidente",C1067))+ISNUMBER(SEARCH("President",C1067))&gt;0,'Configuración'!$B$31,IF(ISNUMBER(SEARCH("CMO",C1067))+ISNUMBER(SEARCH("Chief Marketing",C1067))+ISNUMBER(SEARCH("VP Marketing",C1067))+ISNUMBER(SEARCH("Director de Marketing",C1067))+ISNUMBER(SEARCH("Director Marketing",C1067))+ISNUMBER(SEARCH("Head of Marketing",C1067))+ISNUMBER(SEARCH("Head Marketing",C1067))&gt;0,'Configuración'!$B$32,IF(ISNUMBER(SEARCH("Marketing Manager",C1067))+ISNUMBER(SEARCH("Gerente de Marketing",C1067))+ISNUMBER(SEARCH("Growth Manager",C1067))+ISNUMBER(SEARCH("Demand Gen",C1067))+ISNUMBER(SEARCH("Marketing Lead",C1067))&gt;0,'Configuración'!$B$33,IF(ISNUMBER(SEARCH("COO",C1067))+ISNUMBER(SEARCH("CFO",C1067))+ISNUMBER(SEARCH("CTO",C1067))+ISNUMBER(SEARCH("Chief Operating",C1067))+ISNUMBER(SEARCH("Chief Financial",C1067))+ISNUMBER(SEARCH("Gerente General",C1067))+ISNUMBER(SEARCH("General Manager",C1067))&gt;0,'Configuración'!$B$34,'Configuración'!$B$35)))))</f>
        <v>12</v>
      </c>
      <c r="V1067" s="38">
        <f>IF(B1067="","",IF(K1067="Sí",'Configuración'!$B$5,0)+IF(L1067="Semanal",'Configuración'!$B$6,IF(L1067="Mensual",'Configuración'!$B$7,0))+IF(M1067="Sí",'Configuración'!$B$8,0)+IF(N1067="Sí",'Configuración'!$B$9,0)+IF(O1067="Sí",'Configuración'!$B$10,0)+IF(P1067="Sí",'Configuración'!$B$11,0)+IF(Q1067="Sí",'Configuración'!$B$12,0)+S1067+T1067+U1067)</f>
        <v>20</v>
      </c>
      <c r="W1067" s="39" t="str">
        <f>IF(B1067="","",IF(V1067&gt;='Configuración'!$B$19,"A",IF(V1067&gt;='Configuración'!$B$20,"B",IF(V1067&gt;='Configuración'!$B$21,"C","Descarte"))))</f>
        <v>Descarte</v>
      </c>
    </row>
    <row r="1068" ht="15.75" customHeight="1">
      <c r="A1068" s="34">
        <f t="shared" si="1"/>
        <v>1066</v>
      </c>
      <c r="B1068" s="29" t="s">
        <v>262</v>
      </c>
      <c r="C1068" s="29" t="s">
        <v>202</v>
      </c>
      <c r="D1068" s="29" t="s">
        <v>6190</v>
      </c>
      <c r="E1068" s="29" t="s">
        <v>6191</v>
      </c>
      <c r="F1068" s="30" t="s">
        <v>6192</v>
      </c>
      <c r="G1068" s="30" t="s">
        <v>6193</v>
      </c>
      <c r="H1068" s="30" t="s">
        <v>6194</v>
      </c>
      <c r="I1068" s="29" t="s">
        <v>127</v>
      </c>
      <c r="J1068" s="31">
        <v>34.0</v>
      </c>
      <c r="K1068" s="35"/>
      <c r="L1068" s="35"/>
      <c r="M1068" s="35"/>
      <c r="N1068" s="35"/>
      <c r="O1068" s="35"/>
      <c r="P1068" s="35"/>
      <c r="Q1068" s="35"/>
      <c r="R1068" s="35"/>
      <c r="S1068" s="37">
        <f>IF(B1068="","",IF(ISNUMBER(J1068),IF(J1068&lt;=10,'Configuración'!$B$23,IF(J1068&lt;=50,'Configuración'!$B$24,IF(J1068&lt;=200,'Configuración'!$B$25,0))),0))</f>
        <v>4</v>
      </c>
      <c r="T1068" s="37">
        <f>IF(B1068="","",IF(ISNUMBER(SEARCH("information technology",I1068))+ISNUMBER(SEARCH("software",I1068))+ISNUMBER(SEARCH("internet",I1068))+ISNUMBER(SEARCH("computer",I1068))+ISNUMBER(SEARCH("saas",I1068))+ISNUMBER(SEARCH("fintech",I1068))+ISNUMBER(SEARCH("information services",I1068))+ISNUMBER(SEARCH("telecommunications",I1068))&gt;0,'Configuración'!$B$27,'Configuración'!$B$28))</f>
        <v>12</v>
      </c>
      <c r="U1068" s="25">
        <f>IF(B1068="","",IF(ISNUMBER(SEARCH("CEO",C1068))+ISNUMBER(SEARCH("Founder",C1068))+ISNUMBER(SEARCH("Owner",C1068))+ISNUMBER(SEARCH("Dueño",C1068))+ISNUMBER(SEARCH("Director General",C1068))+ISNUMBER(SEARCH("Presidente",C1068))+ISNUMBER(SEARCH("President",C1068))&gt;0,'Configuración'!$B$31,IF(ISNUMBER(SEARCH("CMO",C1068))+ISNUMBER(SEARCH("Chief Marketing",C1068))+ISNUMBER(SEARCH("VP Marketing",C1068))+ISNUMBER(SEARCH("Director de Marketing",C1068))+ISNUMBER(SEARCH("Director Marketing",C1068))+ISNUMBER(SEARCH("Head of Marketing",C1068))+ISNUMBER(SEARCH("Head Marketing",C1068))&gt;0,'Configuración'!$B$32,IF(ISNUMBER(SEARCH("Marketing Manager",C1068))+ISNUMBER(SEARCH("Gerente de Marketing",C1068))+ISNUMBER(SEARCH("Growth Manager",C1068))+ISNUMBER(SEARCH("Demand Gen",C1068))+ISNUMBER(SEARCH("Marketing Lead",C1068))&gt;0,'Configuración'!$B$33,IF(ISNUMBER(SEARCH("COO",C1068))+ISNUMBER(SEARCH("CFO",C1068))+ISNUMBER(SEARCH("CTO",C1068))+ISNUMBER(SEARCH("Chief Operating",C1068))+ISNUMBER(SEARCH("Chief Financial",C1068))+ISNUMBER(SEARCH("Gerente General",C1068))+ISNUMBER(SEARCH("General Manager",C1068))&gt;0,'Configuración'!$B$34,'Configuración'!$B$35)))))</f>
        <v>12</v>
      </c>
      <c r="V1068" s="38">
        <f>IF(B1068="","",IF(K1068="Sí",'Configuración'!$B$5,0)+IF(L1068="Semanal",'Configuración'!$B$6,IF(L1068="Mensual",'Configuración'!$B$7,0))+IF(M1068="Sí",'Configuración'!$B$8,0)+IF(N1068="Sí",'Configuración'!$B$9,0)+IF(O1068="Sí",'Configuración'!$B$10,0)+IF(P1068="Sí",'Configuración'!$B$11,0)+IF(Q1068="Sí",'Configuración'!$B$12,0)+S1068+T1068+U1068)</f>
        <v>28</v>
      </c>
      <c r="W1068" s="39" t="str">
        <f>IF(B1068="","",IF(V1068&gt;='Configuración'!$B$19,"A",IF(V1068&gt;='Configuración'!$B$20,"B",IF(V1068&gt;='Configuración'!$B$21,"C","Descarte"))))</f>
        <v>C</v>
      </c>
    </row>
    <row r="1069" ht="15.75" customHeight="1">
      <c r="A1069" s="34">
        <f t="shared" si="1"/>
        <v>1067</v>
      </c>
      <c r="B1069" s="29" t="s">
        <v>6195</v>
      </c>
      <c r="C1069" s="29" t="s">
        <v>3034</v>
      </c>
      <c r="D1069" s="29" t="s">
        <v>6196</v>
      </c>
      <c r="E1069" s="29" t="s">
        <v>6197</v>
      </c>
      <c r="F1069" s="30" t="s">
        <v>6198</v>
      </c>
      <c r="G1069" s="30" t="s">
        <v>6199</v>
      </c>
      <c r="H1069" s="30" t="s">
        <v>6200</v>
      </c>
      <c r="I1069" s="29" t="s">
        <v>137</v>
      </c>
      <c r="J1069" s="31">
        <v>7.0</v>
      </c>
      <c r="K1069" s="35"/>
      <c r="L1069" s="35"/>
      <c r="M1069" s="35"/>
      <c r="N1069" s="35"/>
      <c r="O1069" s="35"/>
      <c r="P1069" s="35"/>
      <c r="Q1069" s="35"/>
      <c r="R1069" s="35"/>
      <c r="S1069" s="37">
        <f>IF(B1069="","",IF(ISNUMBER(J1069),IF(J1069&lt;=10,'Configuración'!$B$23,IF(J1069&lt;=50,'Configuración'!$B$24,IF(J1069&lt;=200,'Configuración'!$B$25,0))),0))</f>
        <v>12</v>
      </c>
      <c r="T1069" s="37">
        <f>IF(B1069="","",IF(ISNUMBER(SEARCH("information technology",I1069))+ISNUMBER(SEARCH("software",I1069))+ISNUMBER(SEARCH("internet",I1069))+ISNUMBER(SEARCH("computer",I1069))+ISNUMBER(SEARCH("saas",I1069))+ISNUMBER(SEARCH("fintech",I1069))+ISNUMBER(SEARCH("information services",I1069))+ISNUMBER(SEARCH("telecommunications",I1069))&gt;0,'Configuración'!$B$27,'Configuración'!$B$28))</f>
        <v>4</v>
      </c>
      <c r="U1069" s="25">
        <f>IF(B1069="","",IF(ISNUMBER(SEARCH("CEO",C1069))+ISNUMBER(SEARCH("Founder",C1069))+ISNUMBER(SEARCH("Owner",C1069))+ISNUMBER(SEARCH("Dueño",C1069))+ISNUMBER(SEARCH("Director General",C1069))+ISNUMBER(SEARCH("Presidente",C1069))+ISNUMBER(SEARCH("President",C1069))&gt;0,'Configuración'!$B$31,IF(ISNUMBER(SEARCH("CMO",C1069))+ISNUMBER(SEARCH("Chief Marketing",C1069))+ISNUMBER(SEARCH("VP Marketing",C1069))+ISNUMBER(SEARCH("Director de Marketing",C1069))+ISNUMBER(SEARCH("Director Marketing",C1069))+ISNUMBER(SEARCH("Head of Marketing",C1069))+ISNUMBER(SEARCH("Head Marketing",C1069))&gt;0,'Configuración'!$B$32,IF(ISNUMBER(SEARCH("Marketing Manager",C1069))+ISNUMBER(SEARCH("Gerente de Marketing",C1069))+ISNUMBER(SEARCH("Growth Manager",C1069))+ISNUMBER(SEARCH("Demand Gen",C1069))+ISNUMBER(SEARCH("Marketing Lead",C1069))&gt;0,'Configuración'!$B$33,IF(ISNUMBER(SEARCH("COO",C1069))+ISNUMBER(SEARCH("CFO",C1069))+ISNUMBER(SEARCH("CTO",C1069))+ISNUMBER(SEARCH("Chief Operating",C1069))+ISNUMBER(SEARCH("Chief Financial",C1069))+ISNUMBER(SEARCH("Gerente General",C1069))+ISNUMBER(SEARCH("General Manager",C1069))&gt;0,'Configuración'!$B$34,'Configuración'!$B$35)))))</f>
        <v>0</v>
      </c>
      <c r="V1069" s="38">
        <f>IF(B1069="","",IF(K1069="Sí",'Configuración'!$B$5,0)+IF(L1069="Semanal",'Configuración'!$B$6,IF(L1069="Mensual",'Configuración'!$B$7,0))+IF(M1069="Sí",'Configuración'!$B$8,0)+IF(N1069="Sí",'Configuración'!$B$9,0)+IF(O1069="Sí",'Configuración'!$B$10,0)+IF(P1069="Sí",'Configuración'!$B$11,0)+IF(Q1069="Sí",'Configuración'!$B$12,0)+S1069+T1069+U1069)</f>
        <v>16</v>
      </c>
      <c r="W1069" s="39" t="str">
        <f>IF(B1069="","",IF(V1069&gt;='Configuración'!$B$19,"A",IF(V1069&gt;='Configuración'!$B$20,"B",IF(V1069&gt;='Configuración'!$B$21,"C","Descarte"))))</f>
        <v>Descarte</v>
      </c>
    </row>
    <row r="1070" ht="15.75" customHeight="1">
      <c r="A1070" s="34">
        <f t="shared" si="1"/>
        <v>1068</v>
      </c>
      <c r="B1070" s="29" t="s">
        <v>223</v>
      </c>
      <c r="C1070" s="29" t="s">
        <v>6201</v>
      </c>
      <c r="D1070" s="29" t="s">
        <v>6202</v>
      </c>
      <c r="E1070" s="29" t="s">
        <v>6203</v>
      </c>
      <c r="F1070" s="30" t="s">
        <v>6204</v>
      </c>
      <c r="G1070" s="30" t="s">
        <v>6205</v>
      </c>
      <c r="H1070" s="30" t="s">
        <v>6206</v>
      </c>
      <c r="I1070" s="29" t="s">
        <v>188</v>
      </c>
      <c r="J1070" s="31">
        <v>3.0</v>
      </c>
      <c r="K1070" s="35"/>
      <c r="L1070" s="35"/>
      <c r="M1070" s="35"/>
      <c r="N1070" s="35"/>
      <c r="O1070" s="35"/>
      <c r="P1070" s="35"/>
      <c r="Q1070" s="35"/>
      <c r="R1070" s="35"/>
      <c r="S1070" s="37">
        <f>IF(B1070="","",IF(ISNUMBER(J1070),IF(J1070&lt;=10,'Configuración'!$B$23,IF(J1070&lt;=50,'Configuración'!$B$24,IF(J1070&lt;=200,'Configuración'!$B$25,0))),0))</f>
        <v>12</v>
      </c>
      <c r="T1070" s="37">
        <f>IF(B1070="","",IF(ISNUMBER(SEARCH("information technology",I1070))+ISNUMBER(SEARCH("software",I1070))+ISNUMBER(SEARCH("internet",I1070))+ISNUMBER(SEARCH("computer",I1070))+ISNUMBER(SEARCH("saas",I1070))+ISNUMBER(SEARCH("fintech",I1070))+ISNUMBER(SEARCH("information services",I1070))+ISNUMBER(SEARCH("telecommunications",I1070))&gt;0,'Configuración'!$B$27,'Configuración'!$B$28))</f>
        <v>4</v>
      </c>
      <c r="U1070" s="25">
        <f>IF(B1070="","",IF(ISNUMBER(SEARCH("CEO",C1070))+ISNUMBER(SEARCH("Founder",C1070))+ISNUMBER(SEARCH("Owner",C1070))+ISNUMBER(SEARCH("Dueño",C1070))+ISNUMBER(SEARCH("Director General",C1070))+ISNUMBER(SEARCH("Presidente",C1070))+ISNUMBER(SEARCH("President",C1070))&gt;0,'Configuración'!$B$31,IF(ISNUMBER(SEARCH("CMO",C1070))+ISNUMBER(SEARCH("Chief Marketing",C1070))+ISNUMBER(SEARCH("VP Marketing",C1070))+ISNUMBER(SEARCH("Director de Marketing",C1070))+ISNUMBER(SEARCH("Director Marketing",C1070))+ISNUMBER(SEARCH("Head of Marketing",C1070))+ISNUMBER(SEARCH("Head Marketing",C1070))&gt;0,'Configuración'!$B$32,IF(ISNUMBER(SEARCH("Marketing Manager",C1070))+ISNUMBER(SEARCH("Gerente de Marketing",C1070))+ISNUMBER(SEARCH("Growth Manager",C1070))+ISNUMBER(SEARCH("Demand Gen",C1070))+ISNUMBER(SEARCH("Marketing Lead",C1070))&gt;0,'Configuración'!$B$33,IF(ISNUMBER(SEARCH("COO",C1070))+ISNUMBER(SEARCH("CFO",C1070))+ISNUMBER(SEARCH("CTO",C1070))+ISNUMBER(SEARCH("Chief Operating",C1070))+ISNUMBER(SEARCH("Chief Financial",C1070))+ISNUMBER(SEARCH("Gerente General",C1070))+ISNUMBER(SEARCH("General Manager",C1070))&gt;0,'Configuración'!$B$34,'Configuración'!$B$35)))))</f>
        <v>0</v>
      </c>
      <c r="V1070" s="38">
        <f>IF(B1070="","",IF(K1070="Sí",'Configuración'!$B$5,0)+IF(L1070="Semanal",'Configuración'!$B$6,IF(L1070="Mensual",'Configuración'!$B$7,0))+IF(M1070="Sí",'Configuración'!$B$8,0)+IF(N1070="Sí",'Configuración'!$B$9,0)+IF(O1070="Sí",'Configuración'!$B$10,0)+IF(P1070="Sí",'Configuración'!$B$11,0)+IF(Q1070="Sí",'Configuración'!$B$12,0)+S1070+T1070+U1070)</f>
        <v>16</v>
      </c>
      <c r="W1070" s="39" t="str">
        <f>IF(B1070="","",IF(V1070&gt;='Configuración'!$B$19,"A",IF(V1070&gt;='Configuración'!$B$20,"B",IF(V1070&gt;='Configuración'!$B$21,"C","Descarte"))))</f>
        <v>Descarte</v>
      </c>
    </row>
    <row r="1071" ht="15.75" customHeight="1">
      <c r="A1071" s="34">
        <f t="shared" si="1"/>
        <v>1069</v>
      </c>
      <c r="B1071" s="29" t="s">
        <v>2603</v>
      </c>
      <c r="C1071" s="29" t="s">
        <v>6207</v>
      </c>
      <c r="D1071" s="29" t="s">
        <v>6208</v>
      </c>
      <c r="E1071" s="29" t="s">
        <v>6209</v>
      </c>
      <c r="F1071" s="30" t="s">
        <v>6210</v>
      </c>
      <c r="G1071" s="30" t="s">
        <v>6211</v>
      </c>
      <c r="H1071" s="30" t="s">
        <v>6212</v>
      </c>
      <c r="I1071" s="29" t="s">
        <v>188</v>
      </c>
      <c r="J1071" s="31">
        <v>3.0</v>
      </c>
      <c r="K1071" s="35"/>
      <c r="L1071" s="35"/>
      <c r="M1071" s="35"/>
      <c r="N1071" s="35"/>
      <c r="O1071" s="35"/>
      <c r="P1071" s="35"/>
      <c r="Q1071" s="35"/>
      <c r="R1071" s="35"/>
      <c r="S1071" s="37">
        <f>IF(B1071="","",IF(ISNUMBER(J1071),IF(J1071&lt;=10,'Configuración'!$B$23,IF(J1071&lt;=50,'Configuración'!$B$24,IF(J1071&lt;=200,'Configuración'!$B$25,0))),0))</f>
        <v>12</v>
      </c>
      <c r="T1071" s="37">
        <f>IF(B1071="","",IF(ISNUMBER(SEARCH("information technology",I1071))+ISNUMBER(SEARCH("software",I1071))+ISNUMBER(SEARCH("internet",I1071))+ISNUMBER(SEARCH("computer",I1071))+ISNUMBER(SEARCH("saas",I1071))+ISNUMBER(SEARCH("fintech",I1071))+ISNUMBER(SEARCH("information services",I1071))+ISNUMBER(SEARCH("telecommunications",I1071))&gt;0,'Configuración'!$B$27,'Configuración'!$B$28))</f>
        <v>4</v>
      </c>
      <c r="U1071" s="25">
        <f>IF(B1071="","",IF(ISNUMBER(SEARCH("CEO",C1071))+ISNUMBER(SEARCH("Founder",C1071))+ISNUMBER(SEARCH("Owner",C1071))+ISNUMBER(SEARCH("Dueño",C1071))+ISNUMBER(SEARCH("Director General",C1071))+ISNUMBER(SEARCH("Presidente",C1071))+ISNUMBER(SEARCH("President",C1071))&gt;0,'Configuración'!$B$31,IF(ISNUMBER(SEARCH("CMO",C1071))+ISNUMBER(SEARCH("Chief Marketing",C1071))+ISNUMBER(SEARCH("VP Marketing",C1071))+ISNUMBER(SEARCH("Director de Marketing",C1071))+ISNUMBER(SEARCH("Director Marketing",C1071))+ISNUMBER(SEARCH("Head of Marketing",C1071))+ISNUMBER(SEARCH("Head Marketing",C1071))&gt;0,'Configuración'!$B$32,IF(ISNUMBER(SEARCH("Marketing Manager",C1071))+ISNUMBER(SEARCH("Gerente de Marketing",C1071))+ISNUMBER(SEARCH("Growth Manager",C1071))+ISNUMBER(SEARCH("Demand Gen",C1071))+ISNUMBER(SEARCH("Marketing Lead",C1071))&gt;0,'Configuración'!$B$33,IF(ISNUMBER(SEARCH("COO",C1071))+ISNUMBER(SEARCH("CFO",C1071))+ISNUMBER(SEARCH("CTO",C1071))+ISNUMBER(SEARCH("Chief Operating",C1071))+ISNUMBER(SEARCH("Chief Financial",C1071))+ISNUMBER(SEARCH("Gerente General",C1071))+ISNUMBER(SEARCH("General Manager",C1071))&gt;0,'Configuración'!$B$34,'Configuración'!$B$35)))))</f>
        <v>12</v>
      </c>
      <c r="V1071" s="38">
        <f>IF(B1071="","",IF(K1071="Sí",'Configuración'!$B$5,0)+IF(L1071="Semanal",'Configuración'!$B$6,IF(L1071="Mensual",'Configuración'!$B$7,0))+IF(M1071="Sí",'Configuración'!$B$8,0)+IF(N1071="Sí",'Configuración'!$B$9,0)+IF(O1071="Sí",'Configuración'!$B$10,0)+IF(P1071="Sí",'Configuración'!$B$11,0)+IF(Q1071="Sí",'Configuración'!$B$12,0)+S1071+T1071+U1071)</f>
        <v>28</v>
      </c>
      <c r="W1071" s="39" t="str">
        <f>IF(B1071="","",IF(V1071&gt;='Configuración'!$B$19,"A",IF(V1071&gt;='Configuración'!$B$20,"B",IF(V1071&gt;='Configuración'!$B$21,"C","Descarte"))))</f>
        <v>C</v>
      </c>
    </row>
    <row r="1072" ht="15.75" customHeight="1">
      <c r="A1072" s="34">
        <f t="shared" si="1"/>
        <v>1070</v>
      </c>
      <c r="B1072" s="29" t="s">
        <v>3063</v>
      </c>
      <c r="C1072" s="29" t="s">
        <v>6213</v>
      </c>
      <c r="D1072" s="29" t="s">
        <v>6214</v>
      </c>
      <c r="E1072" s="29" t="s">
        <v>6215</v>
      </c>
      <c r="F1072" s="30" t="s">
        <v>6216</v>
      </c>
      <c r="G1072" s="30" t="s">
        <v>6217</v>
      </c>
      <c r="H1072" s="30" t="s">
        <v>6218</v>
      </c>
      <c r="I1072" s="29" t="s">
        <v>116</v>
      </c>
      <c r="J1072" s="31">
        <v>49.0</v>
      </c>
      <c r="K1072" s="35"/>
      <c r="L1072" s="35"/>
      <c r="M1072" s="35"/>
      <c r="N1072" s="35"/>
      <c r="O1072" s="35"/>
      <c r="P1072" s="35"/>
      <c r="Q1072" s="35"/>
      <c r="R1072" s="35"/>
      <c r="S1072" s="37">
        <f>IF(B1072="","",IF(ISNUMBER(J1072),IF(J1072&lt;=10,'Configuración'!$B$23,IF(J1072&lt;=50,'Configuración'!$B$24,IF(J1072&lt;=200,'Configuración'!$B$25,0))),0))</f>
        <v>4</v>
      </c>
      <c r="T1072" s="37">
        <f>IF(B1072="","",IF(ISNUMBER(SEARCH("information technology",I1072))+ISNUMBER(SEARCH("software",I1072))+ISNUMBER(SEARCH("internet",I1072))+ISNUMBER(SEARCH("computer",I1072))+ISNUMBER(SEARCH("saas",I1072))+ISNUMBER(SEARCH("fintech",I1072))+ISNUMBER(SEARCH("information services",I1072))+ISNUMBER(SEARCH("telecommunications",I1072))&gt;0,'Configuración'!$B$27,'Configuración'!$B$28))</f>
        <v>4</v>
      </c>
      <c r="U1072" s="25">
        <f>IF(B1072="","",IF(ISNUMBER(SEARCH("CEO",C1072))+ISNUMBER(SEARCH("Founder",C1072))+ISNUMBER(SEARCH("Owner",C1072))+ISNUMBER(SEARCH("Dueño",C1072))+ISNUMBER(SEARCH("Director General",C1072))+ISNUMBER(SEARCH("Presidente",C1072))+ISNUMBER(SEARCH("President",C1072))&gt;0,'Configuración'!$B$31,IF(ISNUMBER(SEARCH("CMO",C1072))+ISNUMBER(SEARCH("Chief Marketing",C1072))+ISNUMBER(SEARCH("VP Marketing",C1072))+ISNUMBER(SEARCH("Director de Marketing",C1072))+ISNUMBER(SEARCH("Director Marketing",C1072))+ISNUMBER(SEARCH("Head of Marketing",C1072))+ISNUMBER(SEARCH("Head Marketing",C1072))&gt;0,'Configuración'!$B$32,IF(ISNUMBER(SEARCH("Marketing Manager",C1072))+ISNUMBER(SEARCH("Gerente de Marketing",C1072))+ISNUMBER(SEARCH("Growth Manager",C1072))+ISNUMBER(SEARCH("Demand Gen",C1072))+ISNUMBER(SEARCH("Marketing Lead",C1072))&gt;0,'Configuración'!$B$33,IF(ISNUMBER(SEARCH("COO",C1072))+ISNUMBER(SEARCH("CFO",C1072))+ISNUMBER(SEARCH("CTO",C1072))+ISNUMBER(SEARCH("Chief Operating",C1072))+ISNUMBER(SEARCH("Chief Financial",C1072))+ISNUMBER(SEARCH("Gerente General",C1072))+ISNUMBER(SEARCH("General Manager",C1072))&gt;0,'Configuración'!$B$34,'Configuración'!$B$35)))))</f>
        <v>12</v>
      </c>
      <c r="V1072" s="38">
        <f>IF(B1072="","",IF(K1072="Sí",'Configuración'!$B$5,0)+IF(L1072="Semanal",'Configuración'!$B$6,IF(L1072="Mensual",'Configuración'!$B$7,0))+IF(M1072="Sí",'Configuración'!$B$8,0)+IF(N1072="Sí",'Configuración'!$B$9,0)+IF(O1072="Sí",'Configuración'!$B$10,0)+IF(P1072="Sí",'Configuración'!$B$11,0)+IF(Q1072="Sí",'Configuración'!$B$12,0)+S1072+T1072+U1072)</f>
        <v>20</v>
      </c>
      <c r="W1072" s="39" t="str">
        <f>IF(B1072="","",IF(V1072&gt;='Configuración'!$B$19,"A",IF(V1072&gt;='Configuración'!$B$20,"B",IF(V1072&gt;='Configuración'!$B$21,"C","Descarte"))))</f>
        <v>Descarte</v>
      </c>
    </row>
    <row r="1073" ht="15.75" customHeight="1">
      <c r="A1073" s="34">
        <f t="shared" si="1"/>
        <v>1071</v>
      </c>
      <c r="B1073" s="29" t="s">
        <v>610</v>
      </c>
      <c r="C1073" s="29" t="s">
        <v>131</v>
      </c>
      <c r="D1073" s="29" t="s">
        <v>6219</v>
      </c>
      <c r="E1073" s="29" t="s">
        <v>6220</v>
      </c>
      <c r="F1073" s="30" t="s">
        <v>6221</v>
      </c>
      <c r="G1073" s="30" t="s">
        <v>6222</v>
      </c>
      <c r="H1073" s="30" t="s">
        <v>6223</v>
      </c>
      <c r="I1073" s="29" t="s">
        <v>964</v>
      </c>
      <c r="J1073" s="31">
        <v>15.0</v>
      </c>
      <c r="K1073" s="35"/>
      <c r="L1073" s="35"/>
      <c r="M1073" s="35"/>
      <c r="N1073" s="35"/>
      <c r="O1073" s="35"/>
      <c r="P1073" s="35"/>
      <c r="Q1073" s="35"/>
      <c r="R1073" s="35"/>
      <c r="S1073" s="37">
        <f>IF(B1073="","",IF(ISNUMBER(J1073),IF(J1073&lt;=10,'Configuración'!$B$23,IF(J1073&lt;=50,'Configuración'!$B$24,IF(J1073&lt;=200,'Configuración'!$B$25,0))),0))</f>
        <v>4</v>
      </c>
      <c r="T1073" s="37">
        <f>IF(B1073="","",IF(ISNUMBER(SEARCH("information technology",I1073))+ISNUMBER(SEARCH("software",I1073))+ISNUMBER(SEARCH("internet",I1073))+ISNUMBER(SEARCH("computer",I1073))+ISNUMBER(SEARCH("saas",I1073))+ISNUMBER(SEARCH("fintech",I1073))+ISNUMBER(SEARCH("information services",I1073))+ISNUMBER(SEARCH("telecommunications",I1073))&gt;0,'Configuración'!$B$27,'Configuración'!$B$28))</f>
        <v>4</v>
      </c>
      <c r="U1073" s="25">
        <f>IF(B1073="","",IF(ISNUMBER(SEARCH("CEO",C1073))+ISNUMBER(SEARCH("Founder",C1073))+ISNUMBER(SEARCH("Owner",C1073))+ISNUMBER(SEARCH("Dueño",C1073))+ISNUMBER(SEARCH("Director General",C1073))+ISNUMBER(SEARCH("Presidente",C1073))+ISNUMBER(SEARCH("President",C1073))&gt;0,'Configuración'!$B$31,IF(ISNUMBER(SEARCH("CMO",C1073))+ISNUMBER(SEARCH("Chief Marketing",C1073))+ISNUMBER(SEARCH("VP Marketing",C1073))+ISNUMBER(SEARCH("Director de Marketing",C1073))+ISNUMBER(SEARCH("Director Marketing",C1073))+ISNUMBER(SEARCH("Head of Marketing",C1073))+ISNUMBER(SEARCH("Head Marketing",C1073))&gt;0,'Configuración'!$B$32,IF(ISNUMBER(SEARCH("Marketing Manager",C1073))+ISNUMBER(SEARCH("Gerente de Marketing",C1073))+ISNUMBER(SEARCH("Growth Manager",C1073))+ISNUMBER(SEARCH("Demand Gen",C1073))+ISNUMBER(SEARCH("Marketing Lead",C1073))&gt;0,'Configuración'!$B$33,IF(ISNUMBER(SEARCH("COO",C1073))+ISNUMBER(SEARCH("CFO",C1073))+ISNUMBER(SEARCH("CTO",C1073))+ISNUMBER(SEARCH("Chief Operating",C1073))+ISNUMBER(SEARCH("Chief Financial",C1073))+ISNUMBER(SEARCH("Gerente General",C1073))+ISNUMBER(SEARCH("General Manager",C1073))&gt;0,'Configuración'!$B$34,'Configuración'!$B$35)))))</f>
        <v>12</v>
      </c>
      <c r="V1073" s="38">
        <f>IF(B1073="","",IF(K1073="Sí",'Configuración'!$B$5,0)+IF(L1073="Semanal",'Configuración'!$B$6,IF(L1073="Mensual",'Configuración'!$B$7,0))+IF(M1073="Sí",'Configuración'!$B$8,0)+IF(N1073="Sí",'Configuración'!$B$9,0)+IF(O1073="Sí",'Configuración'!$B$10,0)+IF(P1073="Sí",'Configuración'!$B$11,0)+IF(Q1073="Sí",'Configuración'!$B$12,0)+S1073+T1073+U1073)</f>
        <v>20</v>
      </c>
      <c r="W1073" s="39" t="str">
        <f>IF(B1073="","",IF(V1073&gt;='Configuración'!$B$19,"A",IF(V1073&gt;='Configuración'!$B$20,"B",IF(V1073&gt;='Configuración'!$B$21,"C","Descarte"))))</f>
        <v>Descarte</v>
      </c>
    </row>
    <row r="1074" ht="15.75" customHeight="1">
      <c r="A1074" s="34">
        <f t="shared" si="1"/>
        <v>1072</v>
      </c>
      <c r="B1074" s="29" t="s">
        <v>174</v>
      </c>
      <c r="C1074" s="29" t="s">
        <v>146</v>
      </c>
      <c r="D1074" s="29" t="s">
        <v>3944</v>
      </c>
      <c r="E1074" s="29" t="s">
        <v>6224</v>
      </c>
      <c r="F1074" s="30" t="s">
        <v>6225</v>
      </c>
      <c r="G1074" s="30" t="s">
        <v>3947</v>
      </c>
      <c r="H1074" s="30" t="s">
        <v>3948</v>
      </c>
      <c r="I1074" s="29" t="s">
        <v>310</v>
      </c>
      <c r="J1074" s="31">
        <v>5.0</v>
      </c>
      <c r="K1074" s="35"/>
      <c r="L1074" s="35"/>
      <c r="M1074" s="35"/>
      <c r="N1074" s="35"/>
      <c r="O1074" s="35"/>
      <c r="P1074" s="35"/>
      <c r="Q1074" s="35"/>
      <c r="R1074" s="35"/>
      <c r="S1074" s="37">
        <f>IF(B1074="","",IF(ISNUMBER(J1074),IF(J1074&lt;=10,'Configuración'!$B$23,IF(J1074&lt;=50,'Configuración'!$B$24,IF(J1074&lt;=200,'Configuración'!$B$25,0))),0))</f>
        <v>12</v>
      </c>
      <c r="T1074" s="37">
        <f>IF(B1074="","",IF(ISNUMBER(SEARCH("information technology",I1074))+ISNUMBER(SEARCH("software",I1074))+ISNUMBER(SEARCH("internet",I1074))+ISNUMBER(SEARCH("computer",I1074))+ISNUMBER(SEARCH("saas",I1074))+ISNUMBER(SEARCH("fintech",I1074))+ISNUMBER(SEARCH("information services",I1074))+ISNUMBER(SEARCH("telecommunications",I1074))&gt;0,'Configuración'!$B$27,'Configuración'!$B$28))</f>
        <v>4</v>
      </c>
      <c r="U1074" s="25">
        <f>IF(B1074="","",IF(ISNUMBER(SEARCH("CEO",C1074))+ISNUMBER(SEARCH("Founder",C1074))+ISNUMBER(SEARCH("Owner",C1074))+ISNUMBER(SEARCH("Dueño",C1074))+ISNUMBER(SEARCH("Director General",C1074))+ISNUMBER(SEARCH("Presidente",C1074))+ISNUMBER(SEARCH("President",C1074))&gt;0,'Configuración'!$B$31,IF(ISNUMBER(SEARCH("CMO",C1074))+ISNUMBER(SEARCH("Chief Marketing",C1074))+ISNUMBER(SEARCH("VP Marketing",C1074))+ISNUMBER(SEARCH("Director de Marketing",C1074))+ISNUMBER(SEARCH("Director Marketing",C1074))+ISNUMBER(SEARCH("Head of Marketing",C1074))+ISNUMBER(SEARCH("Head Marketing",C1074))&gt;0,'Configuración'!$B$32,IF(ISNUMBER(SEARCH("Marketing Manager",C1074))+ISNUMBER(SEARCH("Gerente de Marketing",C1074))+ISNUMBER(SEARCH("Growth Manager",C1074))+ISNUMBER(SEARCH("Demand Gen",C1074))+ISNUMBER(SEARCH("Marketing Lead",C1074))&gt;0,'Configuración'!$B$33,IF(ISNUMBER(SEARCH("COO",C1074))+ISNUMBER(SEARCH("CFO",C1074))+ISNUMBER(SEARCH("CTO",C1074))+ISNUMBER(SEARCH("Chief Operating",C1074))+ISNUMBER(SEARCH("Chief Financial",C1074))+ISNUMBER(SEARCH("Gerente General",C1074))+ISNUMBER(SEARCH("General Manager",C1074))&gt;0,'Configuración'!$B$34,'Configuración'!$B$35)))))</f>
        <v>0</v>
      </c>
      <c r="V1074" s="38">
        <f>IF(B1074="","",IF(K1074="Sí",'Configuración'!$B$5,0)+IF(L1074="Semanal",'Configuración'!$B$6,IF(L1074="Mensual",'Configuración'!$B$7,0))+IF(M1074="Sí",'Configuración'!$B$8,0)+IF(N1074="Sí",'Configuración'!$B$9,0)+IF(O1074="Sí",'Configuración'!$B$10,0)+IF(P1074="Sí",'Configuración'!$B$11,0)+IF(Q1074="Sí",'Configuración'!$B$12,0)+S1074+T1074+U1074)</f>
        <v>16</v>
      </c>
      <c r="W1074" s="39" t="str">
        <f>IF(B1074="","",IF(V1074&gt;='Configuración'!$B$19,"A",IF(V1074&gt;='Configuración'!$B$20,"B",IF(V1074&gt;='Configuración'!$B$21,"C","Descarte"))))</f>
        <v>Descarte</v>
      </c>
    </row>
    <row r="1075" ht="15.75" customHeight="1">
      <c r="A1075" s="34">
        <f t="shared" si="1"/>
        <v>1073</v>
      </c>
      <c r="B1075" s="29" t="s">
        <v>501</v>
      </c>
      <c r="C1075" s="29" t="s">
        <v>318</v>
      </c>
      <c r="D1075" s="29" t="s">
        <v>5599</v>
      </c>
      <c r="E1075" s="29" t="s">
        <v>6226</v>
      </c>
      <c r="F1075" s="30" t="s">
        <v>6227</v>
      </c>
      <c r="G1075" s="30" t="s">
        <v>5602</v>
      </c>
      <c r="H1075" s="30" t="s">
        <v>5603</v>
      </c>
      <c r="I1075" s="29" t="s">
        <v>2350</v>
      </c>
      <c r="J1075" s="31">
        <v>20.0</v>
      </c>
      <c r="K1075" s="35"/>
      <c r="L1075" s="35"/>
      <c r="M1075" s="35"/>
      <c r="N1075" s="35"/>
      <c r="O1075" s="35"/>
      <c r="P1075" s="35"/>
      <c r="Q1075" s="35"/>
      <c r="R1075" s="35"/>
      <c r="S1075" s="37">
        <f>IF(B1075="","",IF(ISNUMBER(J1075),IF(J1075&lt;=10,'Configuración'!$B$23,IF(J1075&lt;=50,'Configuración'!$B$24,IF(J1075&lt;=200,'Configuración'!$B$25,0))),0))</f>
        <v>4</v>
      </c>
      <c r="T1075" s="37">
        <f>IF(B1075="","",IF(ISNUMBER(SEARCH("information technology",I1075))+ISNUMBER(SEARCH("software",I1075))+ISNUMBER(SEARCH("internet",I1075))+ISNUMBER(SEARCH("computer",I1075))+ISNUMBER(SEARCH("saas",I1075))+ISNUMBER(SEARCH("fintech",I1075))+ISNUMBER(SEARCH("information services",I1075))+ISNUMBER(SEARCH("telecommunications",I1075))&gt;0,'Configuración'!$B$27,'Configuración'!$B$28))</f>
        <v>4</v>
      </c>
      <c r="U1075" s="25">
        <f>IF(B1075="","",IF(ISNUMBER(SEARCH("CEO",C1075))+ISNUMBER(SEARCH("Founder",C1075))+ISNUMBER(SEARCH("Owner",C1075))+ISNUMBER(SEARCH("Dueño",C1075))+ISNUMBER(SEARCH("Director General",C1075))+ISNUMBER(SEARCH("Presidente",C1075))+ISNUMBER(SEARCH("President",C1075))&gt;0,'Configuración'!$B$31,IF(ISNUMBER(SEARCH("CMO",C1075))+ISNUMBER(SEARCH("Chief Marketing",C1075))+ISNUMBER(SEARCH("VP Marketing",C1075))+ISNUMBER(SEARCH("Director de Marketing",C1075))+ISNUMBER(SEARCH("Director Marketing",C1075))+ISNUMBER(SEARCH("Head of Marketing",C1075))+ISNUMBER(SEARCH("Head Marketing",C1075))&gt;0,'Configuración'!$B$32,IF(ISNUMBER(SEARCH("Marketing Manager",C1075))+ISNUMBER(SEARCH("Gerente de Marketing",C1075))+ISNUMBER(SEARCH("Growth Manager",C1075))+ISNUMBER(SEARCH("Demand Gen",C1075))+ISNUMBER(SEARCH("Marketing Lead",C1075))&gt;0,'Configuración'!$B$33,IF(ISNUMBER(SEARCH("COO",C1075))+ISNUMBER(SEARCH("CFO",C1075))+ISNUMBER(SEARCH("CTO",C1075))+ISNUMBER(SEARCH("Chief Operating",C1075))+ISNUMBER(SEARCH("Chief Financial",C1075))+ISNUMBER(SEARCH("Gerente General",C1075))+ISNUMBER(SEARCH("General Manager",C1075))&gt;0,'Configuración'!$B$34,'Configuración'!$B$35)))))</f>
        <v>4</v>
      </c>
      <c r="V1075" s="38">
        <f>IF(B1075="","",IF(K1075="Sí",'Configuración'!$B$5,0)+IF(L1075="Semanal",'Configuración'!$B$6,IF(L1075="Mensual",'Configuración'!$B$7,0))+IF(M1075="Sí",'Configuración'!$B$8,0)+IF(N1075="Sí",'Configuración'!$B$9,0)+IF(O1075="Sí",'Configuración'!$B$10,0)+IF(P1075="Sí",'Configuración'!$B$11,0)+IF(Q1075="Sí",'Configuración'!$B$12,0)+S1075+T1075+U1075)</f>
        <v>12</v>
      </c>
      <c r="W1075" s="39" t="str">
        <f>IF(B1075="","",IF(V1075&gt;='Configuración'!$B$19,"A",IF(V1075&gt;='Configuración'!$B$20,"B",IF(V1075&gt;='Configuración'!$B$21,"C","Descarte"))))</f>
        <v>Descarte</v>
      </c>
    </row>
    <row r="1076" ht="15.75" customHeight="1">
      <c r="A1076" s="34">
        <f t="shared" si="1"/>
        <v>1074</v>
      </c>
      <c r="B1076" s="29" t="s">
        <v>166</v>
      </c>
      <c r="C1076" s="29" t="s">
        <v>6228</v>
      </c>
      <c r="D1076" s="29" t="s">
        <v>6229</v>
      </c>
      <c r="E1076" s="29" t="s">
        <v>6230</v>
      </c>
      <c r="F1076" s="30" t="s">
        <v>6231</v>
      </c>
      <c r="G1076" s="30" t="s">
        <v>6232</v>
      </c>
      <c r="H1076" s="30" t="s">
        <v>6233</v>
      </c>
      <c r="I1076" s="29" t="s">
        <v>659</v>
      </c>
      <c r="J1076" s="31">
        <v>3.0</v>
      </c>
      <c r="K1076" s="35"/>
      <c r="L1076" s="35"/>
      <c r="M1076" s="35"/>
      <c r="N1076" s="35"/>
      <c r="O1076" s="35"/>
      <c r="P1076" s="35"/>
      <c r="Q1076" s="35"/>
      <c r="R1076" s="35"/>
      <c r="S1076" s="37">
        <f>IF(B1076="","",IF(ISNUMBER(J1076),IF(J1076&lt;=10,'Configuración'!$B$23,IF(J1076&lt;=50,'Configuración'!$B$24,IF(J1076&lt;=200,'Configuración'!$B$25,0))),0))</f>
        <v>12</v>
      </c>
      <c r="T1076" s="37">
        <f>IF(B1076="","",IF(ISNUMBER(SEARCH("information technology",I1076))+ISNUMBER(SEARCH("software",I1076))+ISNUMBER(SEARCH("internet",I1076))+ISNUMBER(SEARCH("computer",I1076))+ISNUMBER(SEARCH("saas",I1076))+ISNUMBER(SEARCH("fintech",I1076))+ISNUMBER(SEARCH("information services",I1076))+ISNUMBER(SEARCH("telecommunications",I1076))&gt;0,'Configuración'!$B$27,'Configuración'!$B$28))</f>
        <v>4</v>
      </c>
      <c r="U1076" s="25">
        <f>IF(B1076="","",IF(ISNUMBER(SEARCH("CEO",C1076))+ISNUMBER(SEARCH("Founder",C1076))+ISNUMBER(SEARCH("Owner",C1076))+ISNUMBER(SEARCH("Dueño",C1076))+ISNUMBER(SEARCH("Director General",C1076))+ISNUMBER(SEARCH("Presidente",C1076))+ISNUMBER(SEARCH("President",C1076))&gt;0,'Configuración'!$B$31,IF(ISNUMBER(SEARCH("CMO",C1076))+ISNUMBER(SEARCH("Chief Marketing",C1076))+ISNUMBER(SEARCH("VP Marketing",C1076))+ISNUMBER(SEARCH("Director de Marketing",C1076))+ISNUMBER(SEARCH("Director Marketing",C1076))+ISNUMBER(SEARCH("Head of Marketing",C1076))+ISNUMBER(SEARCH("Head Marketing",C1076))&gt;0,'Configuración'!$B$32,IF(ISNUMBER(SEARCH("Marketing Manager",C1076))+ISNUMBER(SEARCH("Gerente de Marketing",C1076))+ISNUMBER(SEARCH("Growth Manager",C1076))+ISNUMBER(SEARCH("Demand Gen",C1076))+ISNUMBER(SEARCH("Marketing Lead",C1076))&gt;0,'Configuración'!$B$33,IF(ISNUMBER(SEARCH("COO",C1076))+ISNUMBER(SEARCH("CFO",C1076))+ISNUMBER(SEARCH("CTO",C1076))+ISNUMBER(SEARCH("Chief Operating",C1076))+ISNUMBER(SEARCH("Chief Financial",C1076))+ISNUMBER(SEARCH("Gerente General",C1076))+ISNUMBER(SEARCH("General Manager",C1076))&gt;0,'Configuración'!$B$34,'Configuración'!$B$35)))))</f>
        <v>12</v>
      </c>
      <c r="V1076" s="38">
        <f>IF(B1076="","",IF(K1076="Sí",'Configuración'!$B$5,0)+IF(L1076="Semanal",'Configuración'!$B$6,IF(L1076="Mensual",'Configuración'!$B$7,0))+IF(M1076="Sí",'Configuración'!$B$8,0)+IF(N1076="Sí",'Configuración'!$B$9,0)+IF(O1076="Sí",'Configuración'!$B$10,0)+IF(P1076="Sí",'Configuración'!$B$11,0)+IF(Q1076="Sí",'Configuración'!$B$12,0)+S1076+T1076+U1076)</f>
        <v>28</v>
      </c>
      <c r="W1076" s="39" t="str">
        <f>IF(B1076="","",IF(V1076&gt;='Configuración'!$B$19,"A",IF(V1076&gt;='Configuración'!$B$20,"B",IF(V1076&gt;='Configuración'!$B$21,"C","Descarte"))))</f>
        <v>C</v>
      </c>
    </row>
    <row r="1077" ht="15.75" customHeight="1">
      <c r="A1077" s="34">
        <f t="shared" si="1"/>
        <v>1075</v>
      </c>
      <c r="B1077" s="29" t="s">
        <v>4872</v>
      </c>
      <c r="C1077" s="29" t="s">
        <v>146</v>
      </c>
      <c r="D1077" s="29" t="s">
        <v>6234</v>
      </c>
      <c r="E1077" s="29" t="s">
        <v>6235</v>
      </c>
      <c r="F1077" s="30" t="s">
        <v>6236</v>
      </c>
      <c r="G1077" s="30" t="s">
        <v>6237</v>
      </c>
      <c r="H1077" s="30" t="s">
        <v>6238</v>
      </c>
      <c r="I1077" s="29" t="s">
        <v>5523</v>
      </c>
      <c r="J1077" s="31">
        <v>34.0</v>
      </c>
      <c r="K1077" s="35"/>
      <c r="L1077" s="35"/>
      <c r="M1077" s="35"/>
      <c r="N1077" s="35"/>
      <c r="O1077" s="35"/>
      <c r="P1077" s="35"/>
      <c r="Q1077" s="35"/>
      <c r="R1077" s="35"/>
      <c r="S1077" s="37">
        <f>IF(B1077="","",IF(ISNUMBER(J1077),IF(J1077&lt;=10,'Configuración'!$B$23,IF(J1077&lt;=50,'Configuración'!$B$24,IF(J1077&lt;=200,'Configuración'!$B$25,0))),0))</f>
        <v>4</v>
      </c>
      <c r="T1077" s="37">
        <f>IF(B1077="","",IF(ISNUMBER(SEARCH("information technology",I1077))+ISNUMBER(SEARCH("software",I1077))+ISNUMBER(SEARCH("internet",I1077))+ISNUMBER(SEARCH("computer",I1077))+ISNUMBER(SEARCH("saas",I1077))+ISNUMBER(SEARCH("fintech",I1077))+ISNUMBER(SEARCH("information services",I1077))+ISNUMBER(SEARCH("telecommunications",I1077))&gt;0,'Configuración'!$B$27,'Configuración'!$B$28))</f>
        <v>4</v>
      </c>
      <c r="U1077" s="25">
        <f>IF(B1077="","",IF(ISNUMBER(SEARCH("CEO",C1077))+ISNUMBER(SEARCH("Founder",C1077))+ISNUMBER(SEARCH("Owner",C1077))+ISNUMBER(SEARCH("Dueño",C1077))+ISNUMBER(SEARCH("Director General",C1077))+ISNUMBER(SEARCH("Presidente",C1077))+ISNUMBER(SEARCH("President",C1077))&gt;0,'Configuración'!$B$31,IF(ISNUMBER(SEARCH("CMO",C1077))+ISNUMBER(SEARCH("Chief Marketing",C1077))+ISNUMBER(SEARCH("VP Marketing",C1077))+ISNUMBER(SEARCH("Director de Marketing",C1077))+ISNUMBER(SEARCH("Director Marketing",C1077))+ISNUMBER(SEARCH("Head of Marketing",C1077))+ISNUMBER(SEARCH("Head Marketing",C1077))&gt;0,'Configuración'!$B$32,IF(ISNUMBER(SEARCH("Marketing Manager",C1077))+ISNUMBER(SEARCH("Gerente de Marketing",C1077))+ISNUMBER(SEARCH("Growth Manager",C1077))+ISNUMBER(SEARCH("Demand Gen",C1077))+ISNUMBER(SEARCH("Marketing Lead",C1077))&gt;0,'Configuración'!$B$33,IF(ISNUMBER(SEARCH("COO",C1077))+ISNUMBER(SEARCH("CFO",C1077))+ISNUMBER(SEARCH("CTO",C1077))+ISNUMBER(SEARCH("Chief Operating",C1077))+ISNUMBER(SEARCH("Chief Financial",C1077))+ISNUMBER(SEARCH("Gerente General",C1077))+ISNUMBER(SEARCH("General Manager",C1077))&gt;0,'Configuración'!$B$34,'Configuración'!$B$35)))))</f>
        <v>0</v>
      </c>
      <c r="V1077" s="38">
        <f>IF(B1077="","",IF(K1077="Sí",'Configuración'!$B$5,0)+IF(L1077="Semanal",'Configuración'!$B$6,IF(L1077="Mensual",'Configuración'!$B$7,0))+IF(M1077="Sí",'Configuración'!$B$8,0)+IF(N1077="Sí",'Configuración'!$B$9,0)+IF(O1077="Sí",'Configuración'!$B$10,0)+IF(P1077="Sí",'Configuración'!$B$11,0)+IF(Q1077="Sí",'Configuración'!$B$12,0)+S1077+T1077+U1077)</f>
        <v>8</v>
      </c>
      <c r="W1077" s="39" t="str">
        <f>IF(B1077="","",IF(V1077&gt;='Configuración'!$B$19,"A",IF(V1077&gt;='Configuración'!$B$20,"B",IF(V1077&gt;='Configuración'!$B$21,"C","Descarte"))))</f>
        <v>Descarte</v>
      </c>
    </row>
    <row r="1078" ht="15.75" customHeight="1">
      <c r="A1078" s="34">
        <f t="shared" si="1"/>
        <v>1076</v>
      </c>
      <c r="B1078" s="29" t="s">
        <v>6239</v>
      </c>
      <c r="C1078" s="29" t="s">
        <v>202</v>
      </c>
      <c r="D1078" s="29" t="s">
        <v>6240</v>
      </c>
      <c r="E1078" s="29" t="s">
        <v>6241</v>
      </c>
      <c r="F1078" s="30" t="s">
        <v>6242</v>
      </c>
      <c r="G1078" s="30" t="s">
        <v>6243</v>
      </c>
      <c r="H1078" s="30" t="s">
        <v>6244</v>
      </c>
      <c r="I1078" s="29" t="s">
        <v>1429</v>
      </c>
      <c r="J1078" s="31">
        <v>1.0</v>
      </c>
      <c r="K1078" s="35"/>
      <c r="L1078" s="35"/>
      <c r="M1078" s="35"/>
      <c r="N1078" s="35"/>
      <c r="O1078" s="35"/>
      <c r="P1078" s="35"/>
      <c r="Q1078" s="35"/>
      <c r="R1078" s="35"/>
      <c r="S1078" s="37">
        <f>IF(B1078="","",IF(ISNUMBER(J1078),IF(J1078&lt;=10,'Configuración'!$B$23,IF(J1078&lt;=50,'Configuración'!$B$24,IF(J1078&lt;=200,'Configuración'!$B$25,0))),0))</f>
        <v>12</v>
      </c>
      <c r="T1078" s="37">
        <f>IF(B1078="","",IF(ISNUMBER(SEARCH("information technology",I1078))+ISNUMBER(SEARCH("software",I1078))+ISNUMBER(SEARCH("internet",I1078))+ISNUMBER(SEARCH("computer",I1078))+ISNUMBER(SEARCH("saas",I1078))+ISNUMBER(SEARCH("fintech",I1078))+ISNUMBER(SEARCH("information services",I1078))+ISNUMBER(SEARCH("telecommunications",I1078))&gt;0,'Configuración'!$B$27,'Configuración'!$B$28))</f>
        <v>4</v>
      </c>
      <c r="U1078" s="25">
        <f>IF(B1078="","",IF(ISNUMBER(SEARCH("CEO",C1078))+ISNUMBER(SEARCH("Founder",C1078))+ISNUMBER(SEARCH("Owner",C1078))+ISNUMBER(SEARCH("Dueño",C1078))+ISNUMBER(SEARCH("Director General",C1078))+ISNUMBER(SEARCH("Presidente",C1078))+ISNUMBER(SEARCH("President",C1078))&gt;0,'Configuración'!$B$31,IF(ISNUMBER(SEARCH("CMO",C1078))+ISNUMBER(SEARCH("Chief Marketing",C1078))+ISNUMBER(SEARCH("VP Marketing",C1078))+ISNUMBER(SEARCH("Director de Marketing",C1078))+ISNUMBER(SEARCH("Director Marketing",C1078))+ISNUMBER(SEARCH("Head of Marketing",C1078))+ISNUMBER(SEARCH("Head Marketing",C1078))&gt;0,'Configuración'!$B$32,IF(ISNUMBER(SEARCH("Marketing Manager",C1078))+ISNUMBER(SEARCH("Gerente de Marketing",C1078))+ISNUMBER(SEARCH("Growth Manager",C1078))+ISNUMBER(SEARCH("Demand Gen",C1078))+ISNUMBER(SEARCH("Marketing Lead",C1078))&gt;0,'Configuración'!$B$33,IF(ISNUMBER(SEARCH("COO",C1078))+ISNUMBER(SEARCH("CFO",C1078))+ISNUMBER(SEARCH("CTO",C1078))+ISNUMBER(SEARCH("Chief Operating",C1078))+ISNUMBER(SEARCH("Chief Financial",C1078))+ISNUMBER(SEARCH("Gerente General",C1078))+ISNUMBER(SEARCH("General Manager",C1078))&gt;0,'Configuración'!$B$34,'Configuración'!$B$35)))))</f>
        <v>12</v>
      </c>
      <c r="V1078" s="38">
        <f>IF(B1078="","",IF(K1078="Sí",'Configuración'!$B$5,0)+IF(L1078="Semanal",'Configuración'!$B$6,IF(L1078="Mensual",'Configuración'!$B$7,0))+IF(M1078="Sí",'Configuración'!$B$8,0)+IF(N1078="Sí",'Configuración'!$B$9,0)+IF(O1078="Sí",'Configuración'!$B$10,0)+IF(P1078="Sí",'Configuración'!$B$11,0)+IF(Q1078="Sí",'Configuración'!$B$12,0)+S1078+T1078+U1078)</f>
        <v>28</v>
      </c>
      <c r="W1078" s="39" t="str">
        <f>IF(B1078="","",IF(V1078&gt;='Configuración'!$B$19,"A",IF(V1078&gt;='Configuración'!$B$20,"B",IF(V1078&gt;='Configuración'!$B$21,"C","Descarte"))))</f>
        <v>C</v>
      </c>
    </row>
    <row r="1079" ht="15.75" customHeight="1">
      <c r="A1079" s="34">
        <f t="shared" si="1"/>
        <v>1077</v>
      </c>
      <c r="B1079" s="29" t="s">
        <v>1220</v>
      </c>
      <c r="C1079" s="29" t="s">
        <v>146</v>
      </c>
      <c r="D1079" s="29" t="s">
        <v>6245</v>
      </c>
      <c r="E1079" s="29" t="s">
        <v>6246</v>
      </c>
      <c r="F1079" s="30" t="s">
        <v>6247</v>
      </c>
      <c r="G1079" s="30" t="s">
        <v>6248</v>
      </c>
      <c r="H1079" s="30" t="s">
        <v>6249</v>
      </c>
      <c r="I1079" s="29" t="s">
        <v>932</v>
      </c>
      <c r="J1079" s="31">
        <v>25.0</v>
      </c>
      <c r="K1079" s="35"/>
      <c r="L1079" s="35"/>
      <c r="M1079" s="35"/>
      <c r="N1079" s="35"/>
      <c r="O1079" s="35"/>
      <c r="P1079" s="35"/>
      <c r="Q1079" s="35"/>
      <c r="R1079" s="35"/>
      <c r="S1079" s="37">
        <f>IF(B1079="","",IF(ISNUMBER(J1079),IF(J1079&lt;=10,'Configuración'!$B$23,IF(J1079&lt;=50,'Configuración'!$B$24,IF(J1079&lt;=200,'Configuración'!$B$25,0))),0))</f>
        <v>4</v>
      </c>
      <c r="T1079" s="37">
        <f>IF(B1079="","",IF(ISNUMBER(SEARCH("information technology",I1079))+ISNUMBER(SEARCH("software",I1079))+ISNUMBER(SEARCH("internet",I1079))+ISNUMBER(SEARCH("computer",I1079))+ISNUMBER(SEARCH("saas",I1079))+ISNUMBER(SEARCH("fintech",I1079))+ISNUMBER(SEARCH("information services",I1079))+ISNUMBER(SEARCH("telecommunications",I1079))&gt;0,'Configuración'!$B$27,'Configuración'!$B$28))</f>
        <v>4</v>
      </c>
      <c r="U1079" s="25">
        <f>IF(B1079="","",IF(ISNUMBER(SEARCH("CEO",C1079))+ISNUMBER(SEARCH("Founder",C1079))+ISNUMBER(SEARCH("Owner",C1079))+ISNUMBER(SEARCH("Dueño",C1079))+ISNUMBER(SEARCH("Director General",C1079))+ISNUMBER(SEARCH("Presidente",C1079))+ISNUMBER(SEARCH("President",C1079))&gt;0,'Configuración'!$B$31,IF(ISNUMBER(SEARCH("CMO",C1079))+ISNUMBER(SEARCH("Chief Marketing",C1079))+ISNUMBER(SEARCH("VP Marketing",C1079))+ISNUMBER(SEARCH("Director de Marketing",C1079))+ISNUMBER(SEARCH("Director Marketing",C1079))+ISNUMBER(SEARCH("Head of Marketing",C1079))+ISNUMBER(SEARCH("Head Marketing",C1079))&gt;0,'Configuración'!$B$32,IF(ISNUMBER(SEARCH("Marketing Manager",C1079))+ISNUMBER(SEARCH("Gerente de Marketing",C1079))+ISNUMBER(SEARCH("Growth Manager",C1079))+ISNUMBER(SEARCH("Demand Gen",C1079))+ISNUMBER(SEARCH("Marketing Lead",C1079))&gt;0,'Configuración'!$B$33,IF(ISNUMBER(SEARCH("COO",C1079))+ISNUMBER(SEARCH("CFO",C1079))+ISNUMBER(SEARCH("CTO",C1079))+ISNUMBER(SEARCH("Chief Operating",C1079))+ISNUMBER(SEARCH("Chief Financial",C1079))+ISNUMBER(SEARCH("Gerente General",C1079))+ISNUMBER(SEARCH("General Manager",C1079))&gt;0,'Configuración'!$B$34,'Configuración'!$B$35)))))</f>
        <v>0</v>
      </c>
      <c r="V1079" s="38">
        <f>IF(B1079="","",IF(K1079="Sí",'Configuración'!$B$5,0)+IF(L1079="Semanal",'Configuración'!$B$6,IF(L1079="Mensual",'Configuración'!$B$7,0))+IF(M1079="Sí",'Configuración'!$B$8,0)+IF(N1079="Sí",'Configuración'!$B$9,0)+IF(O1079="Sí",'Configuración'!$B$10,0)+IF(P1079="Sí",'Configuración'!$B$11,0)+IF(Q1079="Sí",'Configuración'!$B$12,0)+S1079+T1079+U1079)</f>
        <v>8</v>
      </c>
      <c r="W1079" s="39" t="str">
        <f>IF(B1079="","",IF(V1079&gt;='Configuración'!$B$19,"A",IF(V1079&gt;='Configuración'!$B$20,"B",IF(V1079&gt;='Configuración'!$B$21,"C","Descarte"))))</f>
        <v>Descarte</v>
      </c>
    </row>
    <row r="1080" ht="15.75" customHeight="1">
      <c r="A1080" s="34">
        <f t="shared" si="1"/>
        <v>1078</v>
      </c>
      <c r="B1080" s="29" t="s">
        <v>174</v>
      </c>
      <c r="C1080" s="29" t="s">
        <v>6250</v>
      </c>
      <c r="D1080" s="29" t="s">
        <v>6251</v>
      </c>
      <c r="E1080" s="29"/>
      <c r="F1080" s="30" t="s">
        <v>6252</v>
      </c>
      <c r="G1080" s="30" t="s">
        <v>6253</v>
      </c>
      <c r="H1080" s="30" t="s">
        <v>6254</v>
      </c>
      <c r="I1080" s="29" t="s">
        <v>188</v>
      </c>
      <c r="J1080" s="31">
        <v>1.0</v>
      </c>
      <c r="K1080" s="35"/>
      <c r="L1080" s="35"/>
      <c r="M1080" s="35"/>
      <c r="N1080" s="35"/>
      <c r="O1080" s="35"/>
      <c r="P1080" s="35"/>
      <c r="Q1080" s="35"/>
      <c r="R1080" s="35"/>
      <c r="S1080" s="37">
        <f>IF(B1080="","",IF(ISNUMBER(J1080),IF(J1080&lt;=10,'Configuración'!$B$23,IF(J1080&lt;=50,'Configuración'!$B$24,IF(J1080&lt;=200,'Configuración'!$B$25,0))),0))</f>
        <v>12</v>
      </c>
      <c r="T1080" s="37">
        <f>IF(B1080="","",IF(ISNUMBER(SEARCH("information technology",I1080))+ISNUMBER(SEARCH("software",I1080))+ISNUMBER(SEARCH("internet",I1080))+ISNUMBER(SEARCH("computer",I1080))+ISNUMBER(SEARCH("saas",I1080))+ISNUMBER(SEARCH("fintech",I1080))+ISNUMBER(SEARCH("information services",I1080))+ISNUMBER(SEARCH("telecommunications",I1080))&gt;0,'Configuración'!$B$27,'Configuración'!$B$28))</f>
        <v>4</v>
      </c>
      <c r="U1080" s="25">
        <f>IF(B1080="","",IF(ISNUMBER(SEARCH("CEO",C1080))+ISNUMBER(SEARCH("Founder",C1080))+ISNUMBER(SEARCH("Owner",C1080))+ISNUMBER(SEARCH("Dueño",C1080))+ISNUMBER(SEARCH("Director General",C1080))+ISNUMBER(SEARCH("Presidente",C1080))+ISNUMBER(SEARCH("President",C1080))&gt;0,'Configuración'!$B$31,IF(ISNUMBER(SEARCH("CMO",C1080))+ISNUMBER(SEARCH("Chief Marketing",C1080))+ISNUMBER(SEARCH("VP Marketing",C1080))+ISNUMBER(SEARCH("Director de Marketing",C1080))+ISNUMBER(SEARCH("Director Marketing",C1080))+ISNUMBER(SEARCH("Head of Marketing",C1080))+ISNUMBER(SEARCH("Head Marketing",C1080))&gt;0,'Configuración'!$B$32,IF(ISNUMBER(SEARCH("Marketing Manager",C1080))+ISNUMBER(SEARCH("Gerente de Marketing",C1080))+ISNUMBER(SEARCH("Growth Manager",C1080))+ISNUMBER(SEARCH("Demand Gen",C1080))+ISNUMBER(SEARCH("Marketing Lead",C1080))&gt;0,'Configuración'!$B$33,IF(ISNUMBER(SEARCH("COO",C1080))+ISNUMBER(SEARCH("CFO",C1080))+ISNUMBER(SEARCH("CTO",C1080))+ISNUMBER(SEARCH("Chief Operating",C1080))+ISNUMBER(SEARCH("Chief Financial",C1080))+ISNUMBER(SEARCH("Gerente General",C1080))+ISNUMBER(SEARCH("General Manager",C1080))&gt;0,'Configuración'!$B$34,'Configuración'!$B$35)))))</f>
        <v>12</v>
      </c>
      <c r="V1080" s="38">
        <f>IF(B1080="","",IF(K1080="Sí",'Configuración'!$B$5,0)+IF(L1080="Semanal",'Configuración'!$B$6,IF(L1080="Mensual",'Configuración'!$B$7,0))+IF(M1080="Sí",'Configuración'!$B$8,0)+IF(N1080="Sí",'Configuración'!$B$9,0)+IF(O1080="Sí",'Configuración'!$B$10,0)+IF(P1080="Sí",'Configuración'!$B$11,0)+IF(Q1080="Sí",'Configuración'!$B$12,0)+S1080+T1080+U1080)</f>
        <v>28</v>
      </c>
      <c r="W1080" s="39" t="str">
        <f>IF(B1080="","",IF(V1080&gt;='Configuración'!$B$19,"A",IF(V1080&gt;='Configuración'!$B$20,"B",IF(V1080&gt;='Configuración'!$B$21,"C","Descarte"))))</f>
        <v>C</v>
      </c>
    </row>
    <row r="1081" ht="15.75" customHeight="1">
      <c r="A1081" s="34">
        <f t="shared" si="1"/>
        <v>1079</v>
      </c>
      <c r="B1081" s="29" t="s">
        <v>120</v>
      </c>
      <c r="C1081" s="29" t="s">
        <v>224</v>
      </c>
      <c r="D1081" s="29" t="s">
        <v>6255</v>
      </c>
      <c r="E1081" s="29" t="s">
        <v>6256</v>
      </c>
      <c r="F1081" s="30" t="s">
        <v>6257</v>
      </c>
      <c r="G1081" s="30" t="s">
        <v>6258</v>
      </c>
      <c r="H1081" s="30" t="s">
        <v>6259</v>
      </c>
      <c r="I1081" s="29" t="s">
        <v>127</v>
      </c>
      <c r="J1081" s="31">
        <v>30.0</v>
      </c>
      <c r="K1081" s="35"/>
      <c r="L1081" s="35"/>
      <c r="M1081" s="35"/>
      <c r="N1081" s="35"/>
      <c r="O1081" s="35"/>
      <c r="P1081" s="35"/>
      <c r="Q1081" s="35"/>
      <c r="R1081" s="35"/>
      <c r="S1081" s="37">
        <f>IF(B1081="","",IF(ISNUMBER(J1081),IF(J1081&lt;=10,'Configuración'!$B$23,IF(J1081&lt;=50,'Configuración'!$B$24,IF(J1081&lt;=200,'Configuración'!$B$25,0))),0))</f>
        <v>4</v>
      </c>
      <c r="T1081" s="37">
        <f>IF(B1081="","",IF(ISNUMBER(SEARCH("information technology",I1081))+ISNUMBER(SEARCH("software",I1081))+ISNUMBER(SEARCH("internet",I1081))+ISNUMBER(SEARCH("computer",I1081))+ISNUMBER(SEARCH("saas",I1081))+ISNUMBER(SEARCH("fintech",I1081))+ISNUMBER(SEARCH("information services",I1081))+ISNUMBER(SEARCH("telecommunications",I1081))&gt;0,'Configuración'!$B$27,'Configuración'!$B$28))</f>
        <v>12</v>
      </c>
      <c r="U1081" s="25">
        <f>IF(B1081="","",IF(ISNUMBER(SEARCH("CEO",C1081))+ISNUMBER(SEARCH("Founder",C1081))+ISNUMBER(SEARCH("Owner",C1081))+ISNUMBER(SEARCH("Dueño",C1081))+ISNUMBER(SEARCH("Director General",C1081))+ISNUMBER(SEARCH("Presidente",C1081))+ISNUMBER(SEARCH("President",C1081))&gt;0,'Configuración'!$B$31,IF(ISNUMBER(SEARCH("CMO",C1081))+ISNUMBER(SEARCH("Chief Marketing",C1081))+ISNUMBER(SEARCH("VP Marketing",C1081))+ISNUMBER(SEARCH("Director de Marketing",C1081))+ISNUMBER(SEARCH("Director Marketing",C1081))+ISNUMBER(SEARCH("Head of Marketing",C1081))+ISNUMBER(SEARCH("Head Marketing",C1081))&gt;0,'Configuración'!$B$32,IF(ISNUMBER(SEARCH("Marketing Manager",C1081))+ISNUMBER(SEARCH("Gerente de Marketing",C1081))+ISNUMBER(SEARCH("Growth Manager",C1081))+ISNUMBER(SEARCH("Demand Gen",C1081))+ISNUMBER(SEARCH("Marketing Lead",C1081))&gt;0,'Configuración'!$B$33,IF(ISNUMBER(SEARCH("COO",C1081))+ISNUMBER(SEARCH("CFO",C1081))+ISNUMBER(SEARCH("CTO",C1081))+ISNUMBER(SEARCH("Chief Operating",C1081))+ISNUMBER(SEARCH("Chief Financial",C1081))+ISNUMBER(SEARCH("Gerente General",C1081))+ISNUMBER(SEARCH("General Manager",C1081))&gt;0,'Configuración'!$B$34,'Configuración'!$B$35)))))</f>
        <v>12</v>
      </c>
      <c r="V1081" s="38">
        <f>IF(B1081="","",IF(K1081="Sí",'Configuración'!$B$5,0)+IF(L1081="Semanal",'Configuración'!$B$6,IF(L1081="Mensual",'Configuración'!$B$7,0))+IF(M1081="Sí",'Configuración'!$B$8,0)+IF(N1081="Sí",'Configuración'!$B$9,0)+IF(O1081="Sí",'Configuración'!$B$10,0)+IF(P1081="Sí",'Configuración'!$B$11,0)+IF(Q1081="Sí",'Configuración'!$B$12,0)+S1081+T1081+U1081)</f>
        <v>28</v>
      </c>
      <c r="W1081" s="39" t="str">
        <f>IF(B1081="","",IF(V1081&gt;='Configuración'!$B$19,"A",IF(V1081&gt;='Configuración'!$B$20,"B",IF(V1081&gt;='Configuración'!$B$21,"C","Descarte"))))</f>
        <v>C</v>
      </c>
    </row>
    <row r="1082" ht="15.75" customHeight="1">
      <c r="A1082" s="34">
        <f t="shared" si="1"/>
        <v>1080</v>
      </c>
      <c r="B1082" s="29" t="s">
        <v>6260</v>
      </c>
      <c r="C1082" s="29" t="s">
        <v>6261</v>
      </c>
      <c r="D1082" s="29" t="s">
        <v>6262</v>
      </c>
      <c r="E1082" s="29" t="s">
        <v>6263</v>
      </c>
      <c r="F1082" s="30" t="s">
        <v>6264</v>
      </c>
      <c r="G1082" s="30" t="s">
        <v>6265</v>
      </c>
      <c r="H1082" s="30" t="s">
        <v>6266</v>
      </c>
      <c r="I1082" s="29" t="s">
        <v>127</v>
      </c>
      <c r="J1082" s="31">
        <v>47.0</v>
      </c>
      <c r="K1082" s="35"/>
      <c r="L1082" s="35"/>
      <c r="M1082" s="35"/>
      <c r="N1082" s="35"/>
      <c r="O1082" s="35"/>
      <c r="P1082" s="35"/>
      <c r="Q1082" s="35"/>
      <c r="R1082" s="35"/>
      <c r="S1082" s="37">
        <f>IF(B1082="","",IF(ISNUMBER(J1082),IF(J1082&lt;=10,'Configuración'!$B$23,IF(J1082&lt;=50,'Configuración'!$B$24,IF(J1082&lt;=200,'Configuración'!$B$25,0))),0))</f>
        <v>4</v>
      </c>
      <c r="T1082" s="37">
        <f>IF(B1082="","",IF(ISNUMBER(SEARCH("information technology",I1082))+ISNUMBER(SEARCH("software",I1082))+ISNUMBER(SEARCH("internet",I1082))+ISNUMBER(SEARCH("computer",I1082))+ISNUMBER(SEARCH("saas",I1082))+ISNUMBER(SEARCH("fintech",I1082))+ISNUMBER(SEARCH("information services",I1082))+ISNUMBER(SEARCH("telecommunications",I1082))&gt;0,'Configuración'!$B$27,'Configuración'!$B$28))</f>
        <v>12</v>
      </c>
      <c r="U1082" s="25">
        <f>IF(B1082="","",IF(ISNUMBER(SEARCH("CEO",C1082))+ISNUMBER(SEARCH("Founder",C1082))+ISNUMBER(SEARCH("Owner",C1082))+ISNUMBER(SEARCH("Dueño",C1082))+ISNUMBER(SEARCH("Director General",C1082))+ISNUMBER(SEARCH("Presidente",C1082))+ISNUMBER(SEARCH("President",C1082))&gt;0,'Configuración'!$B$31,IF(ISNUMBER(SEARCH("CMO",C1082))+ISNUMBER(SEARCH("Chief Marketing",C1082))+ISNUMBER(SEARCH("VP Marketing",C1082))+ISNUMBER(SEARCH("Director de Marketing",C1082))+ISNUMBER(SEARCH("Director Marketing",C1082))+ISNUMBER(SEARCH("Head of Marketing",C1082))+ISNUMBER(SEARCH("Head Marketing",C1082))&gt;0,'Configuración'!$B$32,IF(ISNUMBER(SEARCH("Marketing Manager",C1082))+ISNUMBER(SEARCH("Gerente de Marketing",C1082))+ISNUMBER(SEARCH("Growth Manager",C1082))+ISNUMBER(SEARCH("Demand Gen",C1082))+ISNUMBER(SEARCH("Marketing Lead",C1082))&gt;0,'Configuración'!$B$33,IF(ISNUMBER(SEARCH("COO",C1082))+ISNUMBER(SEARCH("CFO",C1082))+ISNUMBER(SEARCH("CTO",C1082))+ISNUMBER(SEARCH("Chief Operating",C1082))+ISNUMBER(SEARCH("Chief Financial",C1082))+ISNUMBER(SEARCH("Gerente General",C1082))+ISNUMBER(SEARCH("General Manager",C1082))&gt;0,'Configuración'!$B$34,'Configuración'!$B$35)))))</f>
        <v>12</v>
      </c>
      <c r="V1082" s="38">
        <f>IF(B1082="","",IF(K1082="Sí",'Configuración'!$B$5,0)+IF(L1082="Semanal",'Configuración'!$B$6,IF(L1082="Mensual",'Configuración'!$B$7,0))+IF(M1082="Sí",'Configuración'!$B$8,0)+IF(N1082="Sí",'Configuración'!$B$9,0)+IF(O1082="Sí",'Configuración'!$B$10,0)+IF(P1082="Sí",'Configuración'!$B$11,0)+IF(Q1082="Sí",'Configuración'!$B$12,0)+S1082+T1082+U1082)</f>
        <v>28</v>
      </c>
      <c r="W1082" s="39" t="str">
        <f>IF(B1082="","",IF(V1082&gt;='Configuración'!$B$19,"A",IF(V1082&gt;='Configuración'!$B$20,"B",IF(V1082&gt;='Configuración'!$B$21,"C","Descarte"))))</f>
        <v>C</v>
      </c>
    </row>
    <row r="1083" ht="15.75" customHeight="1">
      <c r="A1083" s="34">
        <f t="shared" si="1"/>
        <v>1081</v>
      </c>
      <c r="B1083" s="29" t="s">
        <v>6267</v>
      </c>
      <c r="C1083" s="29" t="s">
        <v>6268</v>
      </c>
      <c r="D1083" s="29" t="s">
        <v>2374</v>
      </c>
      <c r="E1083" s="29" t="s">
        <v>6269</v>
      </c>
      <c r="F1083" s="30" t="s">
        <v>6270</v>
      </c>
      <c r="G1083" s="30" t="s">
        <v>2377</v>
      </c>
      <c r="H1083" s="30" t="s">
        <v>2378</v>
      </c>
      <c r="I1083" s="29" t="s">
        <v>188</v>
      </c>
      <c r="J1083" s="31">
        <v>5.0</v>
      </c>
      <c r="K1083" s="35"/>
      <c r="L1083" s="35"/>
      <c r="M1083" s="35"/>
      <c r="N1083" s="35"/>
      <c r="O1083" s="35"/>
      <c r="P1083" s="35"/>
      <c r="Q1083" s="35"/>
      <c r="R1083" s="35"/>
      <c r="S1083" s="37">
        <f>IF(B1083="","",IF(ISNUMBER(J1083),IF(J1083&lt;=10,'Configuración'!$B$23,IF(J1083&lt;=50,'Configuración'!$B$24,IF(J1083&lt;=200,'Configuración'!$B$25,0))),0))</f>
        <v>12</v>
      </c>
      <c r="T1083" s="37">
        <f>IF(B1083="","",IF(ISNUMBER(SEARCH("information technology",I1083))+ISNUMBER(SEARCH("software",I1083))+ISNUMBER(SEARCH("internet",I1083))+ISNUMBER(SEARCH("computer",I1083))+ISNUMBER(SEARCH("saas",I1083))+ISNUMBER(SEARCH("fintech",I1083))+ISNUMBER(SEARCH("information services",I1083))+ISNUMBER(SEARCH("telecommunications",I1083))&gt;0,'Configuración'!$B$27,'Configuración'!$B$28))</f>
        <v>4</v>
      </c>
      <c r="U1083" s="25">
        <f>IF(B1083="","",IF(ISNUMBER(SEARCH("CEO",C1083))+ISNUMBER(SEARCH("Founder",C1083))+ISNUMBER(SEARCH("Owner",C1083))+ISNUMBER(SEARCH("Dueño",C1083))+ISNUMBER(SEARCH("Director General",C1083))+ISNUMBER(SEARCH("Presidente",C1083))+ISNUMBER(SEARCH("President",C1083))&gt;0,'Configuración'!$B$31,IF(ISNUMBER(SEARCH("CMO",C1083))+ISNUMBER(SEARCH("Chief Marketing",C1083))+ISNUMBER(SEARCH("VP Marketing",C1083))+ISNUMBER(SEARCH("Director de Marketing",C1083))+ISNUMBER(SEARCH("Director Marketing",C1083))+ISNUMBER(SEARCH("Head of Marketing",C1083))+ISNUMBER(SEARCH("Head Marketing",C1083))&gt;0,'Configuración'!$B$32,IF(ISNUMBER(SEARCH("Marketing Manager",C1083))+ISNUMBER(SEARCH("Gerente de Marketing",C1083))+ISNUMBER(SEARCH("Growth Manager",C1083))+ISNUMBER(SEARCH("Demand Gen",C1083))+ISNUMBER(SEARCH("Marketing Lead",C1083))&gt;0,'Configuración'!$B$33,IF(ISNUMBER(SEARCH("COO",C1083))+ISNUMBER(SEARCH("CFO",C1083))+ISNUMBER(SEARCH("CTO",C1083))+ISNUMBER(SEARCH("Chief Operating",C1083))+ISNUMBER(SEARCH("Chief Financial",C1083))+ISNUMBER(SEARCH("Gerente General",C1083))+ISNUMBER(SEARCH("General Manager",C1083))&gt;0,'Configuración'!$B$34,'Configuración'!$B$35)))))</f>
        <v>12</v>
      </c>
      <c r="V1083" s="38">
        <f>IF(B1083="","",IF(K1083="Sí",'Configuración'!$B$5,0)+IF(L1083="Semanal",'Configuración'!$B$6,IF(L1083="Mensual",'Configuración'!$B$7,0))+IF(M1083="Sí",'Configuración'!$B$8,0)+IF(N1083="Sí",'Configuración'!$B$9,0)+IF(O1083="Sí",'Configuración'!$B$10,0)+IF(P1083="Sí",'Configuración'!$B$11,0)+IF(Q1083="Sí",'Configuración'!$B$12,0)+S1083+T1083+U1083)</f>
        <v>28</v>
      </c>
      <c r="W1083" s="39" t="str">
        <f>IF(B1083="","",IF(V1083&gt;='Configuración'!$B$19,"A",IF(V1083&gt;='Configuración'!$B$20,"B",IF(V1083&gt;='Configuración'!$B$21,"C","Descarte"))))</f>
        <v>C</v>
      </c>
    </row>
    <row r="1084" ht="15.75" customHeight="1">
      <c r="A1084" s="34">
        <f t="shared" si="1"/>
        <v>1082</v>
      </c>
      <c r="B1084" s="29" t="s">
        <v>1171</v>
      </c>
      <c r="C1084" s="29" t="s">
        <v>2459</v>
      </c>
      <c r="D1084" s="29" t="s">
        <v>6271</v>
      </c>
      <c r="E1084" s="29" t="s">
        <v>6272</v>
      </c>
      <c r="F1084" s="30" t="s">
        <v>6273</v>
      </c>
      <c r="G1084" s="30" t="s">
        <v>6274</v>
      </c>
      <c r="H1084" s="30" t="s">
        <v>6275</v>
      </c>
      <c r="I1084" s="29" t="s">
        <v>116</v>
      </c>
      <c r="J1084" s="31">
        <v>8.0</v>
      </c>
      <c r="K1084" s="35"/>
      <c r="L1084" s="35"/>
      <c r="M1084" s="35"/>
      <c r="N1084" s="35"/>
      <c r="O1084" s="35"/>
      <c r="P1084" s="35"/>
      <c r="Q1084" s="35"/>
      <c r="R1084" s="35"/>
      <c r="S1084" s="37">
        <f>IF(B1084="","",IF(ISNUMBER(J1084),IF(J1084&lt;=10,'Configuración'!$B$23,IF(J1084&lt;=50,'Configuración'!$B$24,IF(J1084&lt;=200,'Configuración'!$B$25,0))),0))</f>
        <v>12</v>
      </c>
      <c r="T1084" s="37">
        <f>IF(B1084="","",IF(ISNUMBER(SEARCH("information technology",I1084))+ISNUMBER(SEARCH("software",I1084))+ISNUMBER(SEARCH("internet",I1084))+ISNUMBER(SEARCH("computer",I1084))+ISNUMBER(SEARCH("saas",I1084))+ISNUMBER(SEARCH("fintech",I1084))+ISNUMBER(SEARCH("information services",I1084))+ISNUMBER(SEARCH("telecommunications",I1084))&gt;0,'Configuración'!$B$27,'Configuración'!$B$28))</f>
        <v>4</v>
      </c>
      <c r="U1084" s="25">
        <f>IF(B1084="","",IF(ISNUMBER(SEARCH("CEO",C1084))+ISNUMBER(SEARCH("Founder",C1084))+ISNUMBER(SEARCH("Owner",C1084))+ISNUMBER(SEARCH("Dueño",C1084))+ISNUMBER(SEARCH("Director General",C1084))+ISNUMBER(SEARCH("Presidente",C1084))+ISNUMBER(SEARCH("President",C1084))&gt;0,'Configuración'!$B$31,IF(ISNUMBER(SEARCH("CMO",C1084))+ISNUMBER(SEARCH("Chief Marketing",C1084))+ISNUMBER(SEARCH("VP Marketing",C1084))+ISNUMBER(SEARCH("Director de Marketing",C1084))+ISNUMBER(SEARCH("Director Marketing",C1084))+ISNUMBER(SEARCH("Head of Marketing",C1084))+ISNUMBER(SEARCH("Head Marketing",C1084))&gt;0,'Configuración'!$B$32,IF(ISNUMBER(SEARCH("Marketing Manager",C1084))+ISNUMBER(SEARCH("Gerente de Marketing",C1084))+ISNUMBER(SEARCH("Growth Manager",C1084))+ISNUMBER(SEARCH("Demand Gen",C1084))+ISNUMBER(SEARCH("Marketing Lead",C1084))&gt;0,'Configuración'!$B$33,IF(ISNUMBER(SEARCH("COO",C1084))+ISNUMBER(SEARCH("CFO",C1084))+ISNUMBER(SEARCH("CTO",C1084))+ISNUMBER(SEARCH("Chief Operating",C1084))+ISNUMBER(SEARCH("Chief Financial",C1084))+ISNUMBER(SEARCH("Gerente General",C1084))+ISNUMBER(SEARCH("General Manager",C1084))&gt;0,'Configuración'!$B$34,'Configuración'!$B$35)))))</f>
        <v>12</v>
      </c>
      <c r="V1084" s="38">
        <f>IF(B1084="","",IF(K1084="Sí",'Configuración'!$B$5,0)+IF(L1084="Semanal",'Configuración'!$B$6,IF(L1084="Mensual",'Configuración'!$B$7,0))+IF(M1084="Sí",'Configuración'!$B$8,0)+IF(N1084="Sí",'Configuración'!$B$9,0)+IF(O1084="Sí",'Configuración'!$B$10,0)+IF(P1084="Sí",'Configuración'!$B$11,0)+IF(Q1084="Sí",'Configuración'!$B$12,0)+S1084+T1084+U1084)</f>
        <v>28</v>
      </c>
      <c r="W1084" s="39" t="str">
        <f>IF(B1084="","",IF(V1084&gt;='Configuración'!$B$19,"A",IF(V1084&gt;='Configuración'!$B$20,"B",IF(V1084&gt;='Configuración'!$B$21,"C","Descarte"))))</f>
        <v>C</v>
      </c>
    </row>
    <row r="1085" ht="15.75" customHeight="1">
      <c r="A1085" s="34">
        <f t="shared" si="1"/>
        <v>1083</v>
      </c>
      <c r="B1085" s="29" t="s">
        <v>5890</v>
      </c>
      <c r="C1085" s="29" t="s">
        <v>131</v>
      </c>
      <c r="D1085" s="29" t="s">
        <v>6276</v>
      </c>
      <c r="E1085" s="29" t="s">
        <v>6277</v>
      </c>
      <c r="F1085" s="30" t="s">
        <v>6278</v>
      </c>
      <c r="G1085" s="30" t="s">
        <v>6279</v>
      </c>
      <c r="H1085" s="30" t="s">
        <v>6280</v>
      </c>
      <c r="I1085" s="29" t="s">
        <v>127</v>
      </c>
      <c r="J1085" s="31">
        <v>12.0</v>
      </c>
      <c r="K1085" s="35"/>
      <c r="L1085" s="35"/>
      <c r="M1085" s="35"/>
      <c r="N1085" s="35"/>
      <c r="O1085" s="35"/>
      <c r="P1085" s="35"/>
      <c r="Q1085" s="35"/>
      <c r="R1085" s="35"/>
      <c r="S1085" s="37">
        <f>IF(B1085="","",IF(ISNUMBER(J1085),IF(J1085&lt;=10,'Configuración'!$B$23,IF(J1085&lt;=50,'Configuración'!$B$24,IF(J1085&lt;=200,'Configuración'!$B$25,0))),0))</f>
        <v>4</v>
      </c>
      <c r="T1085" s="37">
        <f>IF(B1085="","",IF(ISNUMBER(SEARCH("information technology",I1085))+ISNUMBER(SEARCH("software",I1085))+ISNUMBER(SEARCH("internet",I1085))+ISNUMBER(SEARCH("computer",I1085))+ISNUMBER(SEARCH("saas",I1085))+ISNUMBER(SEARCH("fintech",I1085))+ISNUMBER(SEARCH("information services",I1085))+ISNUMBER(SEARCH("telecommunications",I1085))&gt;0,'Configuración'!$B$27,'Configuración'!$B$28))</f>
        <v>12</v>
      </c>
      <c r="U1085" s="25">
        <f>IF(B1085="","",IF(ISNUMBER(SEARCH("CEO",C1085))+ISNUMBER(SEARCH("Founder",C1085))+ISNUMBER(SEARCH("Owner",C1085))+ISNUMBER(SEARCH("Dueño",C1085))+ISNUMBER(SEARCH("Director General",C1085))+ISNUMBER(SEARCH("Presidente",C1085))+ISNUMBER(SEARCH("President",C1085))&gt;0,'Configuración'!$B$31,IF(ISNUMBER(SEARCH("CMO",C1085))+ISNUMBER(SEARCH("Chief Marketing",C1085))+ISNUMBER(SEARCH("VP Marketing",C1085))+ISNUMBER(SEARCH("Director de Marketing",C1085))+ISNUMBER(SEARCH("Director Marketing",C1085))+ISNUMBER(SEARCH("Head of Marketing",C1085))+ISNUMBER(SEARCH("Head Marketing",C1085))&gt;0,'Configuración'!$B$32,IF(ISNUMBER(SEARCH("Marketing Manager",C1085))+ISNUMBER(SEARCH("Gerente de Marketing",C1085))+ISNUMBER(SEARCH("Growth Manager",C1085))+ISNUMBER(SEARCH("Demand Gen",C1085))+ISNUMBER(SEARCH("Marketing Lead",C1085))&gt;0,'Configuración'!$B$33,IF(ISNUMBER(SEARCH("COO",C1085))+ISNUMBER(SEARCH("CFO",C1085))+ISNUMBER(SEARCH("CTO",C1085))+ISNUMBER(SEARCH("Chief Operating",C1085))+ISNUMBER(SEARCH("Chief Financial",C1085))+ISNUMBER(SEARCH("Gerente General",C1085))+ISNUMBER(SEARCH("General Manager",C1085))&gt;0,'Configuración'!$B$34,'Configuración'!$B$35)))))</f>
        <v>12</v>
      </c>
      <c r="V1085" s="38">
        <f>IF(B1085="","",IF(K1085="Sí",'Configuración'!$B$5,0)+IF(L1085="Semanal",'Configuración'!$B$6,IF(L1085="Mensual",'Configuración'!$B$7,0))+IF(M1085="Sí",'Configuración'!$B$8,0)+IF(N1085="Sí",'Configuración'!$B$9,0)+IF(O1085="Sí",'Configuración'!$B$10,0)+IF(P1085="Sí",'Configuración'!$B$11,0)+IF(Q1085="Sí",'Configuración'!$B$12,0)+S1085+T1085+U1085)</f>
        <v>28</v>
      </c>
      <c r="W1085" s="39" t="str">
        <f>IF(B1085="","",IF(V1085&gt;='Configuración'!$B$19,"A",IF(V1085&gt;='Configuración'!$B$20,"B",IF(V1085&gt;='Configuración'!$B$21,"C","Descarte"))))</f>
        <v>C</v>
      </c>
    </row>
    <row r="1086" ht="15.75" customHeight="1">
      <c r="A1086" s="34">
        <f t="shared" si="1"/>
        <v>1084</v>
      </c>
      <c r="B1086" s="29" t="s">
        <v>6281</v>
      </c>
      <c r="C1086" s="29" t="s">
        <v>796</v>
      </c>
      <c r="D1086" s="29" t="s">
        <v>654</v>
      </c>
      <c r="E1086" s="29" t="s">
        <v>6282</v>
      </c>
      <c r="F1086" s="30" t="s">
        <v>6283</v>
      </c>
      <c r="G1086" s="30" t="s">
        <v>657</v>
      </c>
      <c r="H1086" s="30" t="s">
        <v>658</v>
      </c>
      <c r="I1086" s="29" t="s">
        <v>659</v>
      </c>
      <c r="J1086" s="31">
        <v>5.0</v>
      </c>
      <c r="K1086" s="35"/>
      <c r="L1086" s="35"/>
      <c r="M1086" s="35"/>
      <c r="N1086" s="35"/>
      <c r="O1086" s="35"/>
      <c r="P1086" s="35"/>
      <c r="Q1086" s="35"/>
      <c r="R1086" s="35"/>
      <c r="S1086" s="37">
        <f>IF(B1086="","",IF(ISNUMBER(J1086),IF(J1086&lt;=10,'Configuración'!$B$23,IF(J1086&lt;=50,'Configuración'!$B$24,IF(J1086&lt;=200,'Configuración'!$B$25,0))),0))</f>
        <v>12</v>
      </c>
      <c r="T1086" s="37">
        <f>IF(B1086="","",IF(ISNUMBER(SEARCH("information technology",I1086))+ISNUMBER(SEARCH("software",I1086))+ISNUMBER(SEARCH("internet",I1086))+ISNUMBER(SEARCH("computer",I1086))+ISNUMBER(SEARCH("saas",I1086))+ISNUMBER(SEARCH("fintech",I1086))+ISNUMBER(SEARCH("information services",I1086))+ISNUMBER(SEARCH("telecommunications",I1086))&gt;0,'Configuración'!$B$27,'Configuración'!$B$28))</f>
        <v>4</v>
      </c>
      <c r="U1086" s="25">
        <f>IF(B1086="","",IF(ISNUMBER(SEARCH("CEO",C1086))+ISNUMBER(SEARCH("Founder",C1086))+ISNUMBER(SEARCH("Owner",C1086))+ISNUMBER(SEARCH("Dueño",C1086))+ISNUMBER(SEARCH("Director General",C1086))+ISNUMBER(SEARCH("Presidente",C1086))+ISNUMBER(SEARCH("President",C1086))&gt;0,'Configuración'!$B$31,IF(ISNUMBER(SEARCH("CMO",C1086))+ISNUMBER(SEARCH("Chief Marketing",C1086))+ISNUMBER(SEARCH("VP Marketing",C1086))+ISNUMBER(SEARCH("Director de Marketing",C1086))+ISNUMBER(SEARCH("Director Marketing",C1086))+ISNUMBER(SEARCH("Head of Marketing",C1086))+ISNUMBER(SEARCH("Head Marketing",C1086))&gt;0,'Configuración'!$B$32,IF(ISNUMBER(SEARCH("Marketing Manager",C1086))+ISNUMBER(SEARCH("Gerente de Marketing",C1086))+ISNUMBER(SEARCH("Growth Manager",C1086))+ISNUMBER(SEARCH("Demand Gen",C1086))+ISNUMBER(SEARCH("Marketing Lead",C1086))&gt;0,'Configuración'!$B$33,IF(ISNUMBER(SEARCH("COO",C1086))+ISNUMBER(SEARCH("CFO",C1086))+ISNUMBER(SEARCH("CTO",C1086))+ISNUMBER(SEARCH("Chief Operating",C1086))+ISNUMBER(SEARCH("Chief Financial",C1086))+ISNUMBER(SEARCH("Gerente General",C1086))+ISNUMBER(SEARCH("General Manager",C1086))&gt;0,'Configuración'!$B$34,'Configuración'!$B$35)))))</f>
        <v>12</v>
      </c>
      <c r="V1086" s="38">
        <f>IF(B1086="","",IF(K1086="Sí",'Configuración'!$B$5,0)+IF(L1086="Semanal",'Configuración'!$B$6,IF(L1086="Mensual",'Configuración'!$B$7,0))+IF(M1086="Sí",'Configuración'!$B$8,0)+IF(N1086="Sí",'Configuración'!$B$9,0)+IF(O1086="Sí",'Configuración'!$B$10,0)+IF(P1086="Sí",'Configuración'!$B$11,0)+IF(Q1086="Sí",'Configuración'!$B$12,0)+S1086+T1086+U1086)</f>
        <v>28</v>
      </c>
      <c r="W1086" s="39" t="str">
        <f>IF(B1086="","",IF(V1086&gt;='Configuración'!$B$19,"A",IF(V1086&gt;='Configuración'!$B$20,"B",IF(V1086&gt;='Configuración'!$B$21,"C","Descarte"))))</f>
        <v>C</v>
      </c>
    </row>
    <row r="1087" ht="15.75" customHeight="1">
      <c r="A1087" s="34">
        <f t="shared" si="1"/>
        <v>1085</v>
      </c>
      <c r="B1087" s="29" t="s">
        <v>138</v>
      </c>
      <c r="C1087" s="29" t="s">
        <v>146</v>
      </c>
      <c r="D1087" s="29" t="s">
        <v>6284</v>
      </c>
      <c r="E1087" s="29" t="s">
        <v>6285</v>
      </c>
      <c r="F1087" s="30" t="s">
        <v>6286</v>
      </c>
      <c r="G1087" s="30" t="s">
        <v>6287</v>
      </c>
      <c r="H1087" s="30" t="s">
        <v>6288</v>
      </c>
      <c r="I1087" s="29" t="s">
        <v>659</v>
      </c>
      <c r="J1087" s="31">
        <v>17.0</v>
      </c>
      <c r="K1087" s="35"/>
      <c r="L1087" s="35"/>
      <c r="M1087" s="35"/>
      <c r="N1087" s="35"/>
      <c r="O1087" s="35"/>
      <c r="P1087" s="35"/>
      <c r="Q1087" s="35"/>
      <c r="R1087" s="35"/>
      <c r="S1087" s="37">
        <f>IF(B1087="","",IF(ISNUMBER(J1087),IF(J1087&lt;=10,'Configuración'!$B$23,IF(J1087&lt;=50,'Configuración'!$B$24,IF(J1087&lt;=200,'Configuración'!$B$25,0))),0))</f>
        <v>4</v>
      </c>
      <c r="T1087" s="37">
        <f>IF(B1087="","",IF(ISNUMBER(SEARCH("information technology",I1087))+ISNUMBER(SEARCH("software",I1087))+ISNUMBER(SEARCH("internet",I1087))+ISNUMBER(SEARCH("computer",I1087))+ISNUMBER(SEARCH("saas",I1087))+ISNUMBER(SEARCH("fintech",I1087))+ISNUMBER(SEARCH("information services",I1087))+ISNUMBER(SEARCH("telecommunications",I1087))&gt;0,'Configuración'!$B$27,'Configuración'!$B$28))</f>
        <v>4</v>
      </c>
      <c r="U1087" s="25">
        <f>IF(B1087="","",IF(ISNUMBER(SEARCH("CEO",C1087))+ISNUMBER(SEARCH("Founder",C1087))+ISNUMBER(SEARCH("Owner",C1087))+ISNUMBER(SEARCH("Dueño",C1087))+ISNUMBER(SEARCH("Director General",C1087))+ISNUMBER(SEARCH("Presidente",C1087))+ISNUMBER(SEARCH("President",C1087))&gt;0,'Configuración'!$B$31,IF(ISNUMBER(SEARCH("CMO",C1087))+ISNUMBER(SEARCH("Chief Marketing",C1087))+ISNUMBER(SEARCH("VP Marketing",C1087))+ISNUMBER(SEARCH("Director de Marketing",C1087))+ISNUMBER(SEARCH("Director Marketing",C1087))+ISNUMBER(SEARCH("Head of Marketing",C1087))+ISNUMBER(SEARCH("Head Marketing",C1087))&gt;0,'Configuración'!$B$32,IF(ISNUMBER(SEARCH("Marketing Manager",C1087))+ISNUMBER(SEARCH("Gerente de Marketing",C1087))+ISNUMBER(SEARCH("Growth Manager",C1087))+ISNUMBER(SEARCH("Demand Gen",C1087))+ISNUMBER(SEARCH("Marketing Lead",C1087))&gt;0,'Configuración'!$B$33,IF(ISNUMBER(SEARCH("COO",C1087))+ISNUMBER(SEARCH("CFO",C1087))+ISNUMBER(SEARCH("CTO",C1087))+ISNUMBER(SEARCH("Chief Operating",C1087))+ISNUMBER(SEARCH("Chief Financial",C1087))+ISNUMBER(SEARCH("Gerente General",C1087))+ISNUMBER(SEARCH("General Manager",C1087))&gt;0,'Configuración'!$B$34,'Configuración'!$B$35)))))</f>
        <v>0</v>
      </c>
      <c r="V1087" s="38">
        <f>IF(B1087="","",IF(K1087="Sí",'Configuración'!$B$5,0)+IF(L1087="Semanal",'Configuración'!$B$6,IF(L1087="Mensual",'Configuración'!$B$7,0))+IF(M1087="Sí",'Configuración'!$B$8,0)+IF(N1087="Sí",'Configuración'!$B$9,0)+IF(O1087="Sí",'Configuración'!$B$10,0)+IF(P1087="Sí",'Configuración'!$B$11,0)+IF(Q1087="Sí",'Configuración'!$B$12,0)+S1087+T1087+U1087)</f>
        <v>8</v>
      </c>
      <c r="W1087" s="39" t="str">
        <f>IF(B1087="","",IF(V1087&gt;='Configuración'!$B$19,"A",IF(V1087&gt;='Configuración'!$B$20,"B",IF(V1087&gt;='Configuración'!$B$21,"C","Descarte"))))</f>
        <v>Descarte</v>
      </c>
    </row>
    <row r="1088" ht="15.75" customHeight="1">
      <c r="A1088" s="34">
        <f t="shared" si="1"/>
        <v>1086</v>
      </c>
      <c r="B1088" s="29" t="s">
        <v>556</v>
      </c>
      <c r="C1088" s="29" t="s">
        <v>146</v>
      </c>
      <c r="D1088" s="29" t="s">
        <v>6289</v>
      </c>
      <c r="E1088" s="29" t="s">
        <v>6290</v>
      </c>
      <c r="F1088" s="30" t="s">
        <v>6291</v>
      </c>
      <c r="G1088" s="30" t="s">
        <v>6292</v>
      </c>
      <c r="H1088" s="30" t="s">
        <v>6293</v>
      </c>
      <c r="I1088" s="29" t="s">
        <v>127</v>
      </c>
      <c r="J1088" s="31">
        <v>2.0</v>
      </c>
      <c r="K1088" s="35"/>
      <c r="L1088" s="35"/>
      <c r="M1088" s="35"/>
      <c r="N1088" s="35"/>
      <c r="O1088" s="35"/>
      <c r="P1088" s="35"/>
      <c r="Q1088" s="35"/>
      <c r="R1088" s="35"/>
      <c r="S1088" s="37">
        <f>IF(B1088="","",IF(ISNUMBER(J1088),IF(J1088&lt;=10,'Configuración'!$B$23,IF(J1088&lt;=50,'Configuración'!$B$24,IF(J1088&lt;=200,'Configuración'!$B$25,0))),0))</f>
        <v>12</v>
      </c>
      <c r="T1088" s="37">
        <f>IF(B1088="","",IF(ISNUMBER(SEARCH("information technology",I1088))+ISNUMBER(SEARCH("software",I1088))+ISNUMBER(SEARCH("internet",I1088))+ISNUMBER(SEARCH("computer",I1088))+ISNUMBER(SEARCH("saas",I1088))+ISNUMBER(SEARCH("fintech",I1088))+ISNUMBER(SEARCH("information services",I1088))+ISNUMBER(SEARCH("telecommunications",I1088))&gt;0,'Configuración'!$B$27,'Configuración'!$B$28))</f>
        <v>12</v>
      </c>
      <c r="U1088" s="25">
        <f>IF(B1088="","",IF(ISNUMBER(SEARCH("CEO",C1088))+ISNUMBER(SEARCH("Founder",C1088))+ISNUMBER(SEARCH("Owner",C1088))+ISNUMBER(SEARCH("Dueño",C1088))+ISNUMBER(SEARCH("Director General",C1088))+ISNUMBER(SEARCH("Presidente",C1088))+ISNUMBER(SEARCH("President",C1088))&gt;0,'Configuración'!$B$31,IF(ISNUMBER(SEARCH("CMO",C1088))+ISNUMBER(SEARCH("Chief Marketing",C1088))+ISNUMBER(SEARCH("VP Marketing",C1088))+ISNUMBER(SEARCH("Director de Marketing",C1088))+ISNUMBER(SEARCH("Director Marketing",C1088))+ISNUMBER(SEARCH("Head of Marketing",C1088))+ISNUMBER(SEARCH("Head Marketing",C1088))&gt;0,'Configuración'!$B$32,IF(ISNUMBER(SEARCH("Marketing Manager",C1088))+ISNUMBER(SEARCH("Gerente de Marketing",C1088))+ISNUMBER(SEARCH("Growth Manager",C1088))+ISNUMBER(SEARCH("Demand Gen",C1088))+ISNUMBER(SEARCH("Marketing Lead",C1088))&gt;0,'Configuración'!$B$33,IF(ISNUMBER(SEARCH("COO",C1088))+ISNUMBER(SEARCH("CFO",C1088))+ISNUMBER(SEARCH("CTO",C1088))+ISNUMBER(SEARCH("Chief Operating",C1088))+ISNUMBER(SEARCH("Chief Financial",C1088))+ISNUMBER(SEARCH("Gerente General",C1088))+ISNUMBER(SEARCH("General Manager",C1088))&gt;0,'Configuración'!$B$34,'Configuración'!$B$35)))))</f>
        <v>0</v>
      </c>
      <c r="V1088" s="38">
        <f>IF(B1088="","",IF(K1088="Sí",'Configuración'!$B$5,0)+IF(L1088="Semanal",'Configuración'!$B$6,IF(L1088="Mensual",'Configuración'!$B$7,0))+IF(M1088="Sí",'Configuración'!$B$8,0)+IF(N1088="Sí",'Configuración'!$B$9,0)+IF(O1088="Sí",'Configuración'!$B$10,0)+IF(P1088="Sí",'Configuración'!$B$11,0)+IF(Q1088="Sí",'Configuración'!$B$12,0)+S1088+T1088+U1088)</f>
        <v>24</v>
      </c>
      <c r="W1088" s="39" t="str">
        <f>IF(B1088="","",IF(V1088&gt;='Configuración'!$B$19,"A",IF(V1088&gt;='Configuración'!$B$20,"B",IF(V1088&gt;='Configuración'!$B$21,"C","Descarte"))))</f>
        <v>C</v>
      </c>
    </row>
    <row r="1089" ht="15.75" customHeight="1">
      <c r="A1089" s="34">
        <f t="shared" si="1"/>
        <v>1087</v>
      </c>
      <c r="B1089" s="29" t="s">
        <v>6294</v>
      </c>
      <c r="C1089" s="29" t="s">
        <v>622</v>
      </c>
      <c r="D1089" s="29" t="s">
        <v>6295</v>
      </c>
      <c r="E1089" s="29" t="s">
        <v>6296</v>
      </c>
      <c r="F1089" s="30" t="s">
        <v>6297</v>
      </c>
      <c r="G1089" s="30" t="s">
        <v>6298</v>
      </c>
      <c r="H1089" s="30" t="s">
        <v>6299</v>
      </c>
      <c r="I1089" s="29" t="s">
        <v>127</v>
      </c>
      <c r="J1089" s="31">
        <v>11.0</v>
      </c>
      <c r="K1089" s="35"/>
      <c r="L1089" s="35"/>
      <c r="M1089" s="35"/>
      <c r="N1089" s="35"/>
      <c r="O1089" s="35"/>
      <c r="P1089" s="35"/>
      <c r="Q1089" s="35"/>
      <c r="R1089" s="35"/>
      <c r="S1089" s="37">
        <f>IF(B1089="","",IF(ISNUMBER(J1089),IF(J1089&lt;=10,'Configuración'!$B$23,IF(J1089&lt;=50,'Configuración'!$B$24,IF(J1089&lt;=200,'Configuración'!$B$25,0))),0))</f>
        <v>4</v>
      </c>
      <c r="T1089" s="37">
        <f>IF(B1089="","",IF(ISNUMBER(SEARCH("information technology",I1089))+ISNUMBER(SEARCH("software",I1089))+ISNUMBER(SEARCH("internet",I1089))+ISNUMBER(SEARCH("computer",I1089))+ISNUMBER(SEARCH("saas",I1089))+ISNUMBER(SEARCH("fintech",I1089))+ISNUMBER(SEARCH("information services",I1089))+ISNUMBER(SEARCH("telecommunications",I1089))&gt;0,'Configuración'!$B$27,'Configuración'!$B$28))</f>
        <v>12</v>
      </c>
      <c r="U1089" s="25">
        <f>IF(B1089="","",IF(ISNUMBER(SEARCH("CEO",C1089))+ISNUMBER(SEARCH("Founder",C1089))+ISNUMBER(SEARCH("Owner",C1089))+ISNUMBER(SEARCH("Dueño",C1089))+ISNUMBER(SEARCH("Director General",C1089))+ISNUMBER(SEARCH("Presidente",C1089))+ISNUMBER(SEARCH("President",C1089))&gt;0,'Configuración'!$B$31,IF(ISNUMBER(SEARCH("CMO",C1089))+ISNUMBER(SEARCH("Chief Marketing",C1089))+ISNUMBER(SEARCH("VP Marketing",C1089))+ISNUMBER(SEARCH("Director de Marketing",C1089))+ISNUMBER(SEARCH("Director Marketing",C1089))+ISNUMBER(SEARCH("Head of Marketing",C1089))+ISNUMBER(SEARCH("Head Marketing",C1089))&gt;0,'Configuración'!$B$32,IF(ISNUMBER(SEARCH("Marketing Manager",C1089))+ISNUMBER(SEARCH("Gerente de Marketing",C1089))+ISNUMBER(SEARCH("Growth Manager",C1089))+ISNUMBER(SEARCH("Demand Gen",C1089))+ISNUMBER(SEARCH("Marketing Lead",C1089))&gt;0,'Configuración'!$B$33,IF(ISNUMBER(SEARCH("COO",C1089))+ISNUMBER(SEARCH("CFO",C1089))+ISNUMBER(SEARCH("CTO",C1089))+ISNUMBER(SEARCH("Chief Operating",C1089))+ISNUMBER(SEARCH("Chief Financial",C1089))+ISNUMBER(SEARCH("Gerente General",C1089))+ISNUMBER(SEARCH("General Manager",C1089))&gt;0,'Configuración'!$B$34,'Configuración'!$B$35)))))</f>
        <v>12</v>
      </c>
      <c r="V1089" s="38">
        <f>IF(B1089="","",IF(K1089="Sí",'Configuración'!$B$5,0)+IF(L1089="Semanal",'Configuración'!$B$6,IF(L1089="Mensual",'Configuración'!$B$7,0))+IF(M1089="Sí",'Configuración'!$B$8,0)+IF(N1089="Sí",'Configuración'!$B$9,0)+IF(O1089="Sí",'Configuración'!$B$10,0)+IF(P1089="Sí",'Configuración'!$B$11,0)+IF(Q1089="Sí",'Configuración'!$B$12,0)+S1089+T1089+U1089)</f>
        <v>28</v>
      </c>
      <c r="W1089" s="39" t="str">
        <f>IF(B1089="","",IF(V1089&gt;='Configuración'!$B$19,"A",IF(V1089&gt;='Configuración'!$B$20,"B",IF(V1089&gt;='Configuración'!$B$21,"C","Descarte"))))</f>
        <v>C</v>
      </c>
    </row>
    <row r="1090" ht="15.75" customHeight="1">
      <c r="A1090" s="34">
        <f t="shared" si="1"/>
        <v>1088</v>
      </c>
      <c r="B1090" s="29" t="s">
        <v>4462</v>
      </c>
      <c r="C1090" s="29" t="s">
        <v>202</v>
      </c>
      <c r="D1090" s="29" t="s">
        <v>6300</v>
      </c>
      <c r="E1090" s="29" t="s">
        <v>6301</v>
      </c>
      <c r="F1090" s="30" t="s">
        <v>6302</v>
      </c>
      <c r="G1090" s="30" t="s">
        <v>6303</v>
      </c>
      <c r="H1090" s="30" t="s">
        <v>6304</v>
      </c>
      <c r="I1090" s="29" t="s">
        <v>1785</v>
      </c>
      <c r="J1090" s="31">
        <v>5.0</v>
      </c>
      <c r="K1090" s="35"/>
      <c r="L1090" s="35"/>
      <c r="M1090" s="35"/>
      <c r="N1090" s="35"/>
      <c r="O1090" s="35"/>
      <c r="P1090" s="35"/>
      <c r="Q1090" s="35"/>
      <c r="R1090" s="35"/>
      <c r="S1090" s="37">
        <f>IF(B1090="","",IF(ISNUMBER(J1090),IF(J1090&lt;=10,'Configuración'!$B$23,IF(J1090&lt;=50,'Configuración'!$B$24,IF(J1090&lt;=200,'Configuración'!$B$25,0))),0))</f>
        <v>12</v>
      </c>
      <c r="T1090" s="37">
        <f>IF(B1090="","",IF(ISNUMBER(SEARCH("information technology",I1090))+ISNUMBER(SEARCH("software",I1090))+ISNUMBER(SEARCH("internet",I1090))+ISNUMBER(SEARCH("computer",I1090))+ISNUMBER(SEARCH("saas",I1090))+ISNUMBER(SEARCH("fintech",I1090))+ISNUMBER(SEARCH("information services",I1090))+ISNUMBER(SEARCH("telecommunications",I1090))&gt;0,'Configuración'!$B$27,'Configuración'!$B$28))</f>
        <v>4</v>
      </c>
      <c r="U1090" s="25">
        <f>IF(B1090="","",IF(ISNUMBER(SEARCH("CEO",C1090))+ISNUMBER(SEARCH("Founder",C1090))+ISNUMBER(SEARCH("Owner",C1090))+ISNUMBER(SEARCH("Dueño",C1090))+ISNUMBER(SEARCH("Director General",C1090))+ISNUMBER(SEARCH("Presidente",C1090))+ISNUMBER(SEARCH("President",C1090))&gt;0,'Configuración'!$B$31,IF(ISNUMBER(SEARCH("CMO",C1090))+ISNUMBER(SEARCH("Chief Marketing",C1090))+ISNUMBER(SEARCH("VP Marketing",C1090))+ISNUMBER(SEARCH("Director de Marketing",C1090))+ISNUMBER(SEARCH("Director Marketing",C1090))+ISNUMBER(SEARCH("Head of Marketing",C1090))+ISNUMBER(SEARCH("Head Marketing",C1090))&gt;0,'Configuración'!$B$32,IF(ISNUMBER(SEARCH("Marketing Manager",C1090))+ISNUMBER(SEARCH("Gerente de Marketing",C1090))+ISNUMBER(SEARCH("Growth Manager",C1090))+ISNUMBER(SEARCH("Demand Gen",C1090))+ISNUMBER(SEARCH("Marketing Lead",C1090))&gt;0,'Configuración'!$B$33,IF(ISNUMBER(SEARCH("COO",C1090))+ISNUMBER(SEARCH("CFO",C1090))+ISNUMBER(SEARCH("CTO",C1090))+ISNUMBER(SEARCH("Chief Operating",C1090))+ISNUMBER(SEARCH("Chief Financial",C1090))+ISNUMBER(SEARCH("Gerente General",C1090))+ISNUMBER(SEARCH("General Manager",C1090))&gt;0,'Configuración'!$B$34,'Configuración'!$B$35)))))</f>
        <v>12</v>
      </c>
      <c r="V1090" s="38">
        <f>IF(B1090="","",IF(K1090="Sí",'Configuración'!$B$5,0)+IF(L1090="Semanal",'Configuración'!$B$6,IF(L1090="Mensual",'Configuración'!$B$7,0))+IF(M1090="Sí",'Configuración'!$B$8,0)+IF(N1090="Sí",'Configuración'!$B$9,0)+IF(O1090="Sí",'Configuración'!$B$10,0)+IF(P1090="Sí",'Configuración'!$B$11,0)+IF(Q1090="Sí",'Configuración'!$B$12,0)+S1090+T1090+U1090)</f>
        <v>28</v>
      </c>
      <c r="W1090" s="39" t="str">
        <f>IF(B1090="","",IF(V1090&gt;='Configuración'!$B$19,"A",IF(V1090&gt;='Configuración'!$B$20,"B",IF(V1090&gt;='Configuración'!$B$21,"C","Descarte"))))</f>
        <v>C</v>
      </c>
    </row>
    <row r="1091" ht="15.75" customHeight="1">
      <c r="A1091" s="34">
        <f t="shared" si="1"/>
        <v>1089</v>
      </c>
      <c r="B1091" s="29" t="s">
        <v>109</v>
      </c>
      <c r="C1091" s="29" t="s">
        <v>175</v>
      </c>
      <c r="D1091" s="29" t="s">
        <v>6305</v>
      </c>
      <c r="E1091" s="29" t="s">
        <v>6306</v>
      </c>
      <c r="F1091" s="30" t="s">
        <v>6307</v>
      </c>
      <c r="G1091" s="30" t="s">
        <v>6308</v>
      </c>
      <c r="H1091" s="30" t="s">
        <v>6309</v>
      </c>
      <c r="I1091" s="29" t="s">
        <v>2834</v>
      </c>
      <c r="J1091" s="31">
        <v>13.0</v>
      </c>
      <c r="K1091" s="35"/>
      <c r="L1091" s="35"/>
      <c r="M1091" s="35"/>
      <c r="N1091" s="35"/>
      <c r="O1091" s="35"/>
      <c r="P1091" s="35"/>
      <c r="Q1091" s="35"/>
      <c r="R1091" s="35"/>
      <c r="S1091" s="37">
        <f>IF(B1091="","",IF(ISNUMBER(J1091),IF(J1091&lt;=10,'Configuración'!$B$23,IF(J1091&lt;=50,'Configuración'!$B$24,IF(J1091&lt;=200,'Configuración'!$B$25,0))),0))</f>
        <v>4</v>
      </c>
      <c r="T1091" s="37">
        <f>IF(B1091="","",IF(ISNUMBER(SEARCH("information technology",I1091))+ISNUMBER(SEARCH("software",I1091))+ISNUMBER(SEARCH("internet",I1091))+ISNUMBER(SEARCH("computer",I1091))+ISNUMBER(SEARCH("saas",I1091))+ISNUMBER(SEARCH("fintech",I1091))+ISNUMBER(SEARCH("information services",I1091))+ISNUMBER(SEARCH("telecommunications",I1091))&gt;0,'Configuración'!$B$27,'Configuración'!$B$28))</f>
        <v>4</v>
      </c>
      <c r="U1091" s="25">
        <f>IF(B1091="","",IF(ISNUMBER(SEARCH("CEO",C1091))+ISNUMBER(SEARCH("Founder",C1091))+ISNUMBER(SEARCH("Owner",C1091))+ISNUMBER(SEARCH("Dueño",C1091))+ISNUMBER(SEARCH("Director General",C1091))+ISNUMBER(SEARCH("Presidente",C1091))+ISNUMBER(SEARCH("President",C1091))&gt;0,'Configuración'!$B$31,IF(ISNUMBER(SEARCH("CMO",C1091))+ISNUMBER(SEARCH("Chief Marketing",C1091))+ISNUMBER(SEARCH("VP Marketing",C1091))+ISNUMBER(SEARCH("Director de Marketing",C1091))+ISNUMBER(SEARCH("Director Marketing",C1091))+ISNUMBER(SEARCH("Head of Marketing",C1091))+ISNUMBER(SEARCH("Head Marketing",C1091))&gt;0,'Configuración'!$B$32,IF(ISNUMBER(SEARCH("Marketing Manager",C1091))+ISNUMBER(SEARCH("Gerente de Marketing",C1091))+ISNUMBER(SEARCH("Growth Manager",C1091))+ISNUMBER(SEARCH("Demand Gen",C1091))+ISNUMBER(SEARCH("Marketing Lead",C1091))&gt;0,'Configuración'!$B$33,IF(ISNUMBER(SEARCH("COO",C1091))+ISNUMBER(SEARCH("CFO",C1091))+ISNUMBER(SEARCH("CTO",C1091))+ISNUMBER(SEARCH("Chief Operating",C1091))+ISNUMBER(SEARCH("Chief Financial",C1091))+ISNUMBER(SEARCH("Gerente General",C1091))+ISNUMBER(SEARCH("General Manager",C1091))&gt;0,'Configuración'!$B$34,'Configuración'!$B$35)))))</f>
        <v>12</v>
      </c>
      <c r="V1091" s="38">
        <f>IF(B1091="","",IF(K1091="Sí",'Configuración'!$B$5,0)+IF(L1091="Semanal",'Configuración'!$B$6,IF(L1091="Mensual",'Configuración'!$B$7,0))+IF(M1091="Sí",'Configuración'!$B$8,0)+IF(N1091="Sí",'Configuración'!$B$9,0)+IF(O1091="Sí",'Configuración'!$B$10,0)+IF(P1091="Sí",'Configuración'!$B$11,0)+IF(Q1091="Sí",'Configuración'!$B$12,0)+S1091+T1091+U1091)</f>
        <v>20</v>
      </c>
      <c r="W1091" s="39" t="str">
        <f>IF(B1091="","",IF(V1091&gt;='Configuración'!$B$19,"A",IF(V1091&gt;='Configuración'!$B$20,"B",IF(V1091&gt;='Configuración'!$B$21,"C","Descarte"))))</f>
        <v>Descarte</v>
      </c>
    </row>
    <row r="1092" ht="15.75" customHeight="1">
      <c r="A1092" s="34">
        <f t="shared" si="1"/>
        <v>1090</v>
      </c>
      <c r="B1092" s="29" t="s">
        <v>324</v>
      </c>
      <c r="C1092" s="29" t="s">
        <v>6310</v>
      </c>
      <c r="D1092" s="29" t="s">
        <v>6311</v>
      </c>
      <c r="E1092" s="29" t="s">
        <v>6312</v>
      </c>
      <c r="F1092" s="30" t="s">
        <v>6313</v>
      </c>
      <c r="G1092" s="30" t="s">
        <v>6314</v>
      </c>
      <c r="H1092" s="30" t="s">
        <v>6315</v>
      </c>
      <c r="I1092" s="29" t="s">
        <v>145</v>
      </c>
      <c r="J1092" s="31">
        <v>3.0</v>
      </c>
      <c r="K1092" s="35"/>
      <c r="L1092" s="35"/>
      <c r="M1092" s="35"/>
      <c r="N1092" s="35"/>
      <c r="O1092" s="35"/>
      <c r="P1092" s="35"/>
      <c r="Q1092" s="35"/>
      <c r="R1092" s="35"/>
      <c r="S1092" s="37">
        <f>IF(B1092="","",IF(ISNUMBER(J1092),IF(J1092&lt;=10,'Configuración'!$B$23,IF(J1092&lt;=50,'Configuración'!$B$24,IF(J1092&lt;=200,'Configuración'!$B$25,0))),0))</f>
        <v>12</v>
      </c>
      <c r="T1092" s="37">
        <f>IF(B1092="","",IF(ISNUMBER(SEARCH("information technology",I1092))+ISNUMBER(SEARCH("software",I1092))+ISNUMBER(SEARCH("internet",I1092))+ISNUMBER(SEARCH("computer",I1092))+ISNUMBER(SEARCH("saas",I1092))+ISNUMBER(SEARCH("fintech",I1092))+ISNUMBER(SEARCH("information services",I1092))+ISNUMBER(SEARCH("telecommunications",I1092))&gt;0,'Configuración'!$B$27,'Configuración'!$B$28))</f>
        <v>4</v>
      </c>
      <c r="U1092" s="25">
        <f>IF(B1092="","",IF(ISNUMBER(SEARCH("CEO",C1092))+ISNUMBER(SEARCH("Founder",C1092))+ISNUMBER(SEARCH("Owner",C1092))+ISNUMBER(SEARCH("Dueño",C1092))+ISNUMBER(SEARCH("Director General",C1092))+ISNUMBER(SEARCH("Presidente",C1092))+ISNUMBER(SEARCH("President",C1092))&gt;0,'Configuración'!$B$31,IF(ISNUMBER(SEARCH("CMO",C1092))+ISNUMBER(SEARCH("Chief Marketing",C1092))+ISNUMBER(SEARCH("VP Marketing",C1092))+ISNUMBER(SEARCH("Director de Marketing",C1092))+ISNUMBER(SEARCH("Director Marketing",C1092))+ISNUMBER(SEARCH("Head of Marketing",C1092))+ISNUMBER(SEARCH("Head Marketing",C1092))&gt;0,'Configuración'!$B$32,IF(ISNUMBER(SEARCH("Marketing Manager",C1092))+ISNUMBER(SEARCH("Gerente de Marketing",C1092))+ISNUMBER(SEARCH("Growth Manager",C1092))+ISNUMBER(SEARCH("Demand Gen",C1092))+ISNUMBER(SEARCH("Marketing Lead",C1092))&gt;0,'Configuración'!$B$33,IF(ISNUMBER(SEARCH("COO",C1092))+ISNUMBER(SEARCH("CFO",C1092))+ISNUMBER(SEARCH("CTO",C1092))+ISNUMBER(SEARCH("Chief Operating",C1092))+ISNUMBER(SEARCH("Chief Financial",C1092))+ISNUMBER(SEARCH("Gerente General",C1092))+ISNUMBER(SEARCH("General Manager",C1092))&gt;0,'Configuración'!$B$34,'Configuración'!$B$35)))))</f>
        <v>12</v>
      </c>
      <c r="V1092" s="38">
        <f>IF(B1092="","",IF(K1092="Sí",'Configuración'!$B$5,0)+IF(L1092="Semanal",'Configuración'!$B$6,IF(L1092="Mensual",'Configuración'!$B$7,0))+IF(M1092="Sí",'Configuración'!$B$8,0)+IF(N1092="Sí",'Configuración'!$B$9,0)+IF(O1092="Sí",'Configuración'!$B$10,0)+IF(P1092="Sí",'Configuración'!$B$11,0)+IF(Q1092="Sí",'Configuración'!$B$12,0)+S1092+T1092+U1092)</f>
        <v>28</v>
      </c>
      <c r="W1092" s="39" t="str">
        <f>IF(B1092="","",IF(V1092&gt;='Configuración'!$B$19,"A",IF(V1092&gt;='Configuración'!$B$20,"B",IF(V1092&gt;='Configuración'!$B$21,"C","Descarte"))))</f>
        <v>C</v>
      </c>
    </row>
    <row r="1093" ht="15.75" customHeight="1">
      <c r="A1093" s="34">
        <f t="shared" si="1"/>
        <v>1091</v>
      </c>
      <c r="B1093" s="29" t="s">
        <v>166</v>
      </c>
      <c r="C1093" s="29" t="s">
        <v>6316</v>
      </c>
      <c r="D1093" s="29" t="s">
        <v>6317</v>
      </c>
      <c r="E1093" s="29" t="s">
        <v>6318</v>
      </c>
      <c r="F1093" s="30" t="s">
        <v>6319</v>
      </c>
      <c r="G1093" s="30" t="s">
        <v>6320</v>
      </c>
      <c r="H1093" s="30" t="s">
        <v>6321</v>
      </c>
      <c r="I1093" s="29" t="s">
        <v>4621</v>
      </c>
      <c r="J1093" s="31">
        <v>6.0</v>
      </c>
      <c r="K1093" s="35"/>
      <c r="L1093" s="35"/>
      <c r="M1093" s="35"/>
      <c r="N1093" s="35"/>
      <c r="O1093" s="35"/>
      <c r="P1093" s="35"/>
      <c r="Q1093" s="35"/>
      <c r="R1093" s="35"/>
      <c r="S1093" s="37">
        <f>IF(B1093="","",IF(ISNUMBER(J1093),IF(J1093&lt;=10,'Configuración'!$B$23,IF(J1093&lt;=50,'Configuración'!$B$24,IF(J1093&lt;=200,'Configuración'!$B$25,0))),0))</f>
        <v>12</v>
      </c>
      <c r="T1093" s="37">
        <f>IF(B1093="","",IF(ISNUMBER(SEARCH("information technology",I1093))+ISNUMBER(SEARCH("software",I1093))+ISNUMBER(SEARCH("internet",I1093))+ISNUMBER(SEARCH("computer",I1093))+ISNUMBER(SEARCH("saas",I1093))+ISNUMBER(SEARCH("fintech",I1093))+ISNUMBER(SEARCH("information services",I1093))+ISNUMBER(SEARCH("telecommunications",I1093))&gt;0,'Configuración'!$B$27,'Configuración'!$B$28))</f>
        <v>4</v>
      </c>
      <c r="U1093" s="25">
        <f>IF(B1093="","",IF(ISNUMBER(SEARCH("CEO",C1093))+ISNUMBER(SEARCH("Founder",C1093))+ISNUMBER(SEARCH("Owner",C1093))+ISNUMBER(SEARCH("Dueño",C1093))+ISNUMBER(SEARCH("Director General",C1093))+ISNUMBER(SEARCH("Presidente",C1093))+ISNUMBER(SEARCH("President",C1093))&gt;0,'Configuración'!$B$31,IF(ISNUMBER(SEARCH("CMO",C1093))+ISNUMBER(SEARCH("Chief Marketing",C1093))+ISNUMBER(SEARCH("VP Marketing",C1093))+ISNUMBER(SEARCH("Director de Marketing",C1093))+ISNUMBER(SEARCH("Director Marketing",C1093))+ISNUMBER(SEARCH("Head of Marketing",C1093))+ISNUMBER(SEARCH("Head Marketing",C1093))&gt;0,'Configuración'!$B$32,IF(ISNUMBER(SEARCH("Marketing Manager",C1093))+ISNUMBER(SEARCH("Gerente de Marketing",C1093))+ISNUMBER(SEARCH("Growth Manager",C1093))+ISNUMBER(SEARCH("Demand Gen",C1093))+ISNUMBER(SEARCH("Marketing Lead",C1093))&gt;0,'Configuración'!$B$33,IF(ISNUMBER(SEARCH("COO",C1093))+ISNUMBER(SEARCH("CFO",C1093))+ISNUMBER(SEARCH("CTO",C1093))+ISNUMBER(SEARCH("Chief Operating",C1093))+ISNUMBER(SEARCH("Chief Financial",C1093))+ISNUMBER(SEARCH("Gerente General",C1093))+ISNUMBER(SEARCH("General Manager",C1093))&gt;0,'Configuración'!$B$34,'Configuración'!$B$35)))))</f>
        <v>12</v>
      </c>
      <c r="V1093" s="38">
        <f>IF(B1093="","",IF(K1093="Sí",'Configuración'!$B$5,0)+IF(L1093="Semanal",'Configuración'!$B$6,IF(L1093="Mensual",'Configuración'!$B$7,0))+IF(M1093="Sí",'Configuración'!$B$8,0)+IF(N1093="Sí",'Configuración'!$B$9,0)+IF(O1093="Sí",'Configuración'!$B$10,0)+IF(P1093="Sí",'Configuración'!$B$11,0)+IF(Q1093="Sí",'Configuración'!$B$12,0)+S1093+T1093+U1093)</f>
        <v>28</v>
      </c>
      <c r="W1093" s="39" t="str">
        <f>IF(B1093="","",IF(V1093&gt;='Configuración'!$B$19,"A",IF(V1093&gt;='Configuración'!$B$20,"B",IF(V1093&gt;='Configuración'!$B$21,"C","Descarte"))))</f>
        <v>C</v>
      </c>
    </row>
    <row r="1094" ht="15.75" customHeight="1">
      <c r="A1094" s="34">
        <f t="shared" si="1"/>
        <v>1092</v>
      </c>
      <c r="B1094" s="29" t="s">
        <v>6322</v>
      </c>
      <c r="C1094" s="29" t="s">
        <v>1898</v>
      </c>
      <c r="D1094" s="29" t="s">
        <v>6323</v>
      </c>
      <c r="E1094" s="29" t="s">
        <v>6324</v>
      </c>
      <c r="F1094" s="30" t="s">
        <v>6325</v>
      </c>
      <c r="G1094" s="30" t="s">
        <v>6326</v>
      </c>
      <c r="H1094" s="30" t="s">
        <v>6327</v>
      </c>
      <c r="I1094" s="29" t="s">
        <v>873</v>
      </c>
      <c r="J1094" s="31">
        <v>4.0</v>
      </c>
      <c r="K1094" s="35"/>
      <c r="L1094" s="35"/>
      <c r="M1094" s="35"/>
      <c r="N1094" s="35"/>
      <c r="O1094" s="35"/>
      <c r="P1094" s="35"/>
      <c r="Q1094" s="35"/>
      <c r="R1094" s="35"/>
      <c r="S1094" s="37">
        <f>IF(B1094="","",IF(ISNUMBER(J1094),IF(J1094&lt;=10,'Configuración'!$B$23,IF(J1094&lt;=50,'Configuración'!$B$24,IF(J1094&lt;=200,'Configuración'!$B$25,0))),0))</f>
        <v>12</v>
      </c>
      <c r="T1094" s="37">
        <f>IF(B1094="","",IF(ISNUMBER(SEARCH("information technology",I1094))+ISNUMBER(SEARCH("software",I1094))+ISNUMBER(SEARCH("internet",I1094))+ISNUMBER(SEARCH("computer",I1094))+ISNUMBER(SEARCH("saas",I1094))+ISNUMBER(SEARCH("fintech",I1094))+ISNUMBER(SEARCH("information services",I1094))+ISNUMBER(SEARCH("telecommunications",I1094))&gt;0,'Configuración'!$B$27,'Configuración'!$B$28))</f>
        <v>4</v>
      </c>
      <c r="U1094" s="25">
        <f>IF(B1094="","",IF(ISNUMBER(SEARCH("CEO",C1094))+ISNUMBER(SEARCH("Founder",C1094))+ISNUMBER(SEARCH("Owner",C1094))+ISNUMBER(SEARCH("Dueño",C1094))+ISNUMBER(SEARCH("Director General",C1094))+ISNUMBER(SEARCH("Presidente",C1094))+ISNUMBER(SEARCH("President",C1094))&gt;0,'Configuración'!$B$31,IF(ISNUMBER(SEARCH("CMO",C1094))+ISNUMBER(SEARCH("Chief Marketing",C1094))+ISNUMBER(SEARCH("VP Marketing",C1094))+ISNUMBER(SEARCH("Director de Marketing",C1094))+ISNUMBER(SEARCH("Director Marketing",C1094))+ISNUMBER(SEARCH("Head of Marketing",C1094))+ISNUMBER(SEARCH("Head Marketing",C1094))&gt;0,'Configuración'!$B$32,IF(ISNUMBER(SEARCH("Marketing Manager",C1094))+ISNUMBER(SEARCH("Gerente de Marketing",C1094))+ISNUMBER(SEARCH("Growth Manager",C1094))+ISNUMBER(SEARCH("Demand Gen",C1094))+ISNUMBER(SEARCH("Marketing Lead",C1094))&gt;0,'Configuración'!$B$33,IF(ISNUMBER(SEARCH("COO",C1094))+ISNUMBER(SEARCH("CFO",C1094))+ISNUMBER(SEARCH("CTO",C1094))+ISNUMBER(SEARCH("Chief Operating",C1094))+ISNUMBER(SEARCH("Chief Financial",C1094))+ISNUMBER(SEARCH("Gerente General",C1094))+ISNUMBER(SEARCH("General Manager",C1094))&gt;0,'Configuración'!$B$34,'Configuración'!$B$35)))))</f>
        <v>12</v>
      </c>
      <c r="V1094" s="38">
        <f>IF(B1094="","",IF(K1094="Sí",'Configuración'!$B$5,0)+IF(L1094="Semanal",'Configuración'!$B$6,IF(L1094="Mensual",'Configuración'!$B$7,0))+IF(M1094="Sí",'Configuración'!$B$8,0)+IF(N1094="Sí",'Configuración'!$B$9,0)+IF(O1094="Sí",'Configuración'!$B$10,0)+IF(P1094="Sí",'Configuración'!$B$11,0)+IF(Q1094="Sí",'Configuración'!$B$12,0)+S1094+T1094+U1094)</f>
        <v>28</v>
      </c>
      <c r="W1094" s="39" t="str">
        <f>IF(B1094="","",IF(V1094&gt;='Configuración'!$B$19,"A",IF(V1094&gt;='Configuración'!$B$20,"B",IF(V1094&gt;='Configuración'!$B$21,"C","Descarte"))))</f>
        <v>C</v>
      </c>
    </row>
    <row r="1095" ht="15.75" customHeight="1">
      <c r="A1095" s="34">
        <f t="shared" si="1"/>
        <v>1093</v>
      </c>
      <c r="B1095" s="29" t="s">
        <v>6328</v>
      </c>
      <c r="C1095" s="29" t="s">
        <v>4566</v>
      </c>
      <c r="D1095" s="29" t="s">
        <v>6329</v>
      </c>
      <c r="E1095" s="29" t="s">
        <v>6330</v>
      </c>
      <c r="F1095" s="30" t="s">
        <v>6331</v>
      </c>
      <c r="G1095" s="30" t="s">
        <v>6332</v>
      </c>
      <c r="H1095" s="30" t="s">
        <v>6333</v>
      </c>
      <c r="I1095" s="29" t="s">
        <v>188</v>
      </c>
      <c r="J1095" s="31">
        <v>22.0</v>
      </c>
      <c r="K1095" s="35"/>
      <c r="L1095" s="35"/>
      <c r="M1095" s="35"/>
      <c r="N1095" s="35"/>
      <c r="O1095" s="35"/>
      <c r="P1095" s="35"/>
      <c r="Q1095" s="35"/>
      <c r="R1095" s="35"/>
      <c r="S1095" s="37">
        <f>IF(B1095="","",IF(ISNUMBER(J1095),IF(J1095&lt;=10,'Configuración'!$B$23,IF(J1095&lt;=50,'Configuración'!$B$24,IF(J1095&lt;=200,'Configuración'!$B$25,0))),0))</f>
        <v>4</v>
      </c>
      <c r="T1095" s="37">
        <f>IF(B1095="","",IF(ISNUMBER(SEARCH("information technology",I1095))+ISNUMBER(SEARCH("software",I1095))+ISNUMBER(SEARCH("internet",I1095))+ISNUMBER(SEARCH("computer",I1095))+ISNUMBER(SEARCH("saas",I1095))+ISNUMBER(SEARCH("fintech",I1095))+ISNUMBER(SEARCH("information services",I1095))+ISNUMBER(SEARCH("telecommunications",I1095))&gt;0,'Configuración'!$B$27,'Configuración'!$B$28))</f>
        <v>4</v>
      </c>
      <c r="U1095" s="25">
        <f>IF(B1095="","",IF(ISNUMBER(SEARCH("CEO",C1095))+ISNUMBER(SEARCH("Founder",C1095))+ISNUMBER(SEARCH("Owner",C1095))+ISNUMBER(SEARCH("Dueño",C1095))+ISNUMBER(SEARCH("Director General",C1095))+ISNUMBER(SEARCH("Presidente",C1095))+ISNUMBER(SEARCH("President",C1095))&gt;0,'Configuración'!$B$31,IF(ISNUMBER(SEARCH("CMO",C1095))+ISNUMBER(SEARCH("Chief Marketing",C1095))+ISNUMBER(SEARCH("VP Marketing",C1095))+ISNUMBER(SEARCH("Director de Marketing",C1095))+ISNUMBER(SEARCH("Director Marketing",C1095))+ISNUMBER(SEARCH("Head of Marketing",C1095))+ISNUMBER(SEARCH("Head Marketing",C1095))&gt;0,'Configuración'!$B$32,IF(ISNUMBER(SEARCH("Marketing Manager",C1095))+ISNUMBER(SEARCH("Gerente de Marketing",C1095))+ISNUMBER(SEARCH("Growth Manager",C1095))+ISNUMBER(SEARCH("Demand Gen",C1095))+ISNUMBER(SEARCH("Marketing Lead",C1095))&gt;0,'Configuración'!$B$33,IF(ISNUMBER(SEARCH("COO",C1095))+ISNUMBER(SEARCH("CFO",C1095))+ISNUMBER(SEARCH("CTO",C1095))+ISNUMBER(SEARCH("Chief Operating",C1095))+ISNUMBER(SEARCH("Chief Financial",C1095))+ISNUMBER(SEARCH("Gerente General",C1095))+ISNUMBER(SEARCH("General Manager",C1095))&gt;0,'Configuración'!$B$34,'Configuración'!$B$35)))))</f>
        <v>12</v>
      </c>
      <c r="V1095" s="38">
        <f>IF(B1095="","",IF(K1095="Sí",'Configuración'!$B$5,0)+IF(L1095="Semanal",'Configuración'!$B$6,IF(L1095="Mensual",'Configuración'!$B$7,0))+IF(M1095="Sí",'Configuración'!$B$8,0)+IF(N1095="Sí",'Configuración'!$B$9,0)+IF(O1095="Sí",'Configuración'!$B$10,0)+IF(P1095="Sí",'Configuración'!$B$11,0)+IF(Q1095="Sí",'Configuración'!$B$12,0)+S1095+T1095+U1095)</f>
        <v>20</v>
      </c>
      <c r="W1095" s="39" t="str">
        <f>IF(B1095="","",IF(V1095&gt;='Configuración'!$B$19,"A",IF(V1095&gt;='Configuración'!$B$20,"B",IF(V1095&gt;='Configuración'!$B$21,"C","Descarte"))))</f>
        <v>Descarte</v>
      </c>
    </row>
    <row r="1096" ht="15.75" customHeight="1">
      <c r="A1096" s="34">
        <f t="shared" si="1"/>
        <v>1094</v>
      </c>
      <c r="B1096" s="29" t="s">
        <v>351</v>
      </c>
      <c r="C1096" s="29" t="s">
        <v>719</v>
      </c>
      <c r="D1096" s="29" t="s">
        <v>5661</v>
      </c>
      <c r="E1096" s="29" t="s">
        <v>6334</v>
      </c>
      <c r="F1096" s="30" t="s">
        <v>6335</v>
      </c>
      <c r="G1096" s="30" t="s">
        <v>5664</v>
      </c>
      <c r="H1096" s="30" t="s">
        <v>5665</v>
      </c>
      <c r="I1096" s="29" t="s">
        <v>127</v>
      </c>
      <c r="J1096" s="31">
        <v>37.0</v>
      </c>
      <c r="K1096" s="35"/>
      <c r="L1096" s="35"/>
      <c r="M1096" s="35"/>
      <c r="N1096" s="35"/>
      <c r="O1096" s="35"/>
      <c r="P1096" s="35"/>
      <c r="Q1096" s="35"/>
      <c r="R1096" s="35"/>
      <c r="S1096" s="37">
        <f>IF(B1096="","",IF(ISNUMBER(J1096),IF(J1096&lt;=10,'Configuración'!$B$23,IF(J1096&lt;=50,'Configuración'!$B$24,IF(J1096&lt;=200,'Configuración'!$B$25,0))),0))</f>
        <v>4</v>
      </c>
      <c r="T1096" s="37">
        <f>IF(B1096="","",IF(ISNUMBER(SEARCH("information technology",I1096))+ISNUMBER(SEARCH("software",I1096))+ISNUMBER(SEARCH("internet",I1096))+ISNUMBER(SEARCH("computer",I1096))+ISNUMBER(SEARCH("saas",I1096))+ISNUMBER(SEARCH("fintech",I1096))+ISNUMBER(SEARCH("information services",I1096))+ISNUMBER(SEARCH("telecommunications",I1096))&gt;0,'Configuración'!$B$27,'Configuración'!$B$28))</f>
        <v>12</v>
      </c>
      <c r="U1096" s="25">
        <f>IF(B1096="","",IF(ISNUMBER(SEARCH("CEO",C1096))+ISNUMBER(SEARCH("Founder",C1096))+ISNUMBER(SEARCH("Owner",C1096))+ISNUMBER(SEARCH("Dueño",C1096))+ISNUMBER(SEARCH("Director General",C1096))+ISNUMBER(SEARCH("Presidente",C1096))+ISNUMBER(SEARCH("President",C1096))&gt;0,'Configuración'!$B$31,IF(ISNUMBER(SEARCH("CMO",C1096))+ISNUMBER(SEARCH("Chief Marketing",C1096))+ISNUMBER(SEARCH("VP Marketing",C1096))+ISNUMBER(SEARCH("Director de Marketing",C1096))+ISNUMBER(SEARCH("Director Marketing",C1096))+ISNUMBER(SEARCH("Head of Marketing",C1096))+ISNUMBER(SEARCH("Head Marketing",C1096))&gt;0,'Configuración'!$B$32,IF(ISNUMBER(SEARCH("Marketing Manager",C1096))+ISNUMBER(SEARCH("Gerente de Marketing",C1096))+ISNUMBER(SEARCH("Growth Manager",C1096))+ISNUMBER(SEARCH("Demand Gen",C1096))+ISNUMBER(SEARCH("Marketing Lead",C1096))&gt;0,'Configuración'!$B$33,IF(ISNUMBER(SEARCH("COO",C1096))+ISNUMBER(SEARCH("CFO",C1096))+ISNUMBER(SEARCH("CTO",C1096))+ISNUMBER(SEARCH("Chief Operating",C1096))+ISNUMBER(SEARCH("Chief Financial",C1096))+ISNUMBER(SEARCH("Gerente General",C1096))+ISNUMBER(SEARCH("General Manager",C1096))&gt;0,'Configuración'!$B$34,'Configuración'!$B$35)))))</f>
        <v>12</v>
      </c>
      <c r="V1096" s="38">
        <f>IF(B1096="","",IF(K1096="Sí",'Configuración'!$B$5,0)+IF(L1096="Semanal",'Configuración'!$B$6,IF(L1096="Mensual",'Configuración'!$B$7,0))+IF(M1096="Sí",'Configuración'!$B$8,0)+IF(N1096="Sí",'Configuración'!$B$9,0)+IF(O1096="Sí",'Configuración'!$B$10,0)+IF(P1096="Sí",'Configuración'!$B$11,0)+IF(Q1096="Sí",'Configuración'!$B$12,0)+S1096+T1096+U1096)</f>
        <v>28</v>
      </c>
      <c r="W1096" s="39" t="str">
        <f>IF(B1096="","",IF(V1096&gt;='Configuración'!$B$19,"A",IF(V1096&gt;='Configuración'!$B$20,"B",IF(V1096&gt;='Configuración'!$B$21,"C","Descarte"))))</f>
        <v>C</v>
      </c>
    </row>
    <row r="1097" ht="15.75" customHeight="1">
      <c r="A1097" s="34">
        <f t="shared" si="1"/>
        <v>1095</v>
      </c>
      <c r="B1097" s="29" t="s">
        <v>610</v>
      </c>
      <c r="C1097" s="29" t="s">
        <v>597</v>
      </c>
      <c r="D1097" s="29" t="s">
        <v>6336</v>
      </c>
      <c r="E1097" s="29" t="s">
        <v>6337</v>
      </c>
      <c r="F1097" s="30" t="s">
        <v>6338</v>
      </c>
      <c r="G1097" s="30" t="s">
        <v>6339</v>
      </c>
      <c r="H1097" s="30" t="s">
        <v>6340</v>
      </c>
      <c r="I1097" s="29" t="s">
        <v>116</v>
      </c>
      <c r="J1097" s="31">
        <v>5.0</v>
      </c>
      <c r="K1097" s="35"/>
      <c r="L1097" s="35"/>
      <c r="M1097" s="35"/>
      <c r="N1097" s="35"/>
      <c r="O1097" s="35"/>
      <c r="P1097" s="35"/>
      <c r="Q1097" s="35"/>
      <c r="R1097" s="35"/>
      <c r="S1097" s="37">
        <f>IF(B1097="","",IF(ISNUMBER(J1097),IF(J1097&lt;=10,'Configuración'!$B$23,IF(J1097&lt;=50,'Configuración'!$B$24,IF(J1097&lt;=200,'Configuración'!$B$25,0))),0))</f>
        <v>12</v>
      </c>
      <c r="T1097" s="37">
        <f>IF(B1097="","",IF(ISNUMBER(SEARCH("information technology",I1097))+ISNUMBER(SEARCH("software",I1097))+ISNUMBER(SEARCH("internet",I1097))+ISNUMBER(SEARCH("computer",I1097))+ISNUMBER(SEARCH("saas",I1097))+ISNUMBER(SEARCH("fintech",I1097))+ISNUMBER(SEARCH("information services",I1097))+ISNUMBER(SEARCH("telecommunications",I1097))&gt;0,'Configuración'!$B$27,'Configuración'!$B$28))</f>
        <v>4</v>
      </c>
      <c r="U1097" s="25">
        <f>IF(B1097="","",IF(ISNUMBER(SEARCH("CEO",C1097))+ISNUMBER(SEARCH("Founder",C1097))+ISNUMBER(SEARCH("Owner",C1097))+ISNUMBER(SEARCH("Dueño",C1097))+ISNUMBER(SEARCH("Director General",C1097))+ISNUMBER(SEARCH("Presidente",C1097))+ISNUMBER(SEARCH("President",C1097))&gt;0,'Configuración'!$B$31,IF(ISNUMBER(SEARCH("CMO",C1097))+ISNUMBER(SEARCH("Chief Marketing",C1097))+ISNUMBER(SEARCH("VP Marketing",C1097))+ISNUMBER(SEARCH("Director de Marketing",C1097))+ISNUMBER(SEARCH("Director Marketing",C1097))+ISNUMBER(SEARCH("Head of Marketing",C1097))+ISNUMBER(SEARCH("Head Marketing",C1097))&gt;0,'Configuración'!$B$32,IF(ISNUMBER(SEARCH("Marketing Manager",C1097))+ISNUMBER(SEARCH("Gerente de Marketing",C1097))+ISNUMBER(SEARCH("Growth Manager",C1097))+ISNUMBER(SEARCH("Demand Gen",C1097))+ISNUMBER(SEARCH("Marketing Lead",C1097))&gt;0,'Configuración'!$B$33,IF(ISNUMBER(SEARCH("COO",C1097))+ISNUMBER(SEARCH("CFO",C1097))+ISNUMBER(SEARCH("CTO",C1097))+ISNUMBER(SEARCH("Chief Operating",C1097))+ISNUMBER(SEARCH("Chief Financial",C1097))+ISNUMBER(SEARCH("Gerente General",C1097))+ISNUMBER(SEARCH("General Manager",C1097))&gt;0,'Configuración'!$B$34,'Configuración'!$B$35)))))</f>
        <v>12</v>
      </c>
      <c r="V1097" s="38">
        <f>IF(B1097="","",IF(K1097="Sí",'Configuración'!$B$5,0)+IF(L1097="Semanal",'Configuración'!$B$6,IF(L1097="Mensual",'Configuración'!$B$7,0))+IF(M1097="Sí",'Configuración'!$B$8,0)+IF(N1097="Sí",'Configuración'!$B$9,0)+IF(O1097="Sí",'Configuración'!$B$10,0)+IF(P1097="Sí",'Configuración'!$B$11,0)+IF(Q1097="Sí",'Configuración'!$B$12,0)+S1097+T1097+U1097)</f>
        <v>28</v>
      </c>
      <c r="W1097" s="39" t="str">
        <f>IF(B1097="","",IF(V1097&gt;='Configuración'!$B$19,"A",IF(V1097&gt;='Configuración'!$B$20,"B",IF(V1097&gt;='Configuración'!$B$21,"C","Descarte"))))</f>
        <v>C</v>
      </c>
    </row>
    <row r="1098" ht="15.75" customHeight="1">
      <c r="A1098" s="34">
        <f t="shared" si="1"/>
        <v>1096</v>
      </c>
      <c r="B1098" s="29" t="s">
        <v>1961</v>
      </c>
      <c r="C1098" s="29" t="s">
        <v>1656</v>
      </c>
      <c r="D1098" s="29" t="s">
        <v>6341</v>
      </c>
      <c r="E1098" s="29" t="s">
        <v>6342</v>
      </c>
      <c r="F1098" s="30" t="s">
        <v>6343</v>
      </c>
      <c r="G1098" s="30" t="s">
        <v>6344</v>
      </c>
      <c r="H1098" s="30" t="s">
        <v>6345</v>
      </c>
      <c r="I1098" s="29" t="s">
        <v>127</v>
      </c>
      <c r="J1098" s="31">
        <v>2.0</v>
      </c>
      <c r="K1098" s="35"/>
      <c r="L1098" s="35"/>
      <c r="M1098" s="35"/>
      <c r="N1098" s="35"/>
      <c r="O1098" s="35"/>
      <c r="P1098" s="35"/>
      <c r="Q1098" s="35"/>
      <c r="R1098" s="35"/>
      <c r="S1098" s="37">
        <f>IF(B1098="","",IF(ISNUMBER(J1098),IF(J1098&lt;=10,'Configuración'!$B$23,IF(J1098&lt;=50,'Configuración'!$B$24,IF(J1098&lt;=200,'Configuración'!$B$25,0))),0))</f>
        <v>12</v>
      </c>
      <c r="T1098" s="37">
        <f>IF(B1098="","",IF(ISNUMBER(SEARCH("information technology",I1098))+ISNUMBER(SEARCH("software",I1098))+ISNUMBER(SEARCH("internet",I1098))+ISNUMBER(SEARCH("computer",I1098))+ISNUMBER(SEARCH("saas",I1098))+ISNUMBER(SEARCH("fintech",I1098))+ISNUMBER(SEARCH("information services",I1098))+ISNUMBER(SEARCH("telecommunications",I1098))&gt;0,'Configuración'!$B$27,'Configuración'!$B$28))</f>
        <v>12</v>
      </c>
      <c r="U1098" s="25">
        <f>IF(B1098="","",IF(ISNUMBER(SEARCH("CEO",C1098))+ISNUMBER(SEARCH("Founder",C1098))+ISNUMBER(SEARCH("Owner",C1098))+ISNUMBER(SEARCH("Dueño",C1098))+ISNUMBER(SEARCH("Director General",C1098))+ISNUMBER(SEARCH("Presidente",C1098))+ISNUMBER(SEARCH("President",C1098))&gt;0,'Configuración'!$B$31,IF(ISNUMBER(SEARCH("CMO",C1098))+ISNUMBER(SEARCH("Chief Marketing",C1098))+ISNUMBER(SEARCH("VP Marketing",C1098))+ISNUMBER(SEARCH("Director de Marketing",C1098))+ISNUMBER(SEARCH("Director Marketing",C1098))+ISNUMBER(SEARCH("Head of Marketing",C1098))+ISNUMBER(SEARCH("Head Marketing",C1098))&gt;0,'Configuración'!$B$32,IF(ISNUMBER(SEARCH("Marketing Manager",C1098))+ISNUMBER(SEARCH("Gerente de Marketing",C1098))+ISNUMBER(SEARCH("Growth Manager",C1098))+ISNUMBER(SEARCH("Demand Gen",C1098))+ISNUMBER(SEARCH("Marketing Lead",C1098))&gt;0,'Configuración'!$B$33,IF(ISNUMBER(SEARCH("COO",C1098))+ISNUMBER(SEARCH("CFO",C1098))+ISNUMBER(SEARCH("CTO",C1098))+ISNUMBER(SEARCH("Chief Operating",C1098))+ISNUMBER(SEARCH("Chief Financial",C1098))+ISNUMBER(SEARCH("Gerente General",C1098))+ISNUMBER(SEARCH("General Manager",C1098))&gt;0,'Configuración'!$B$34,'Configuración'!$B$35)))))</f>
        <v>12</v>
      </c>
      <c r="V1098" s="38">
        <f>IF(B1098="","",IF(K1098="Sí",'Configuración'!$B$5,0)+IF(L1098="Semanal",'Configuración'!$B$6,IF(L1098="Mensual",'Configuración'!$B$7,0))+IF(M1098="Sí",'Configuración'!$B$8,0)+IF(N1098="Sí",'Configuración'!$B$9,0)+IF(O1098="Sí",'Configuración'!$B$10,0)+IF(P1098="Sí",'Configuración'!$B$11,0)+IF(Q1098="Sí",'Configuración'!$B$12,0)+S1098+T1098+U1098)</f>
        <v>36</v>
      </c>
      <c r="W1098" s="39" t="str">
        <f>IF(B1098="","",IF(V1098&gt;='Configuración'!$B$19,"A",IF(V1098&gt;='Configuración'!$B$20,"B",IF(V1098&gt;='Configuración'!$B$21,"C","Descarte"))))</f>
        <v>C</v>
      </c>
    </row>
    <row r="1099" ht="15.75" customHeight="1">
      <c r="A1099" s="34">
        <f t="shared" si="1"/>
        <v>1097</v>
      </c>
      <c r="B1099" s="29" t="s">
        <v>6346</v>
      </c>
      <c r="C1099" s="29" t="s">
        <v>6347</v>
      </c>
      <c r="D1099" s="29" t="s">
        <v>6348</v>
      </c>
      <c r="E1099" s="29" t="s">
        <v>6349</v>
      </c>
      <c r="F1099" s="30" t="s">
        <v>6350</v>
      </c>
      <c r="G1099" s="30" t="s">
        <v>6351</v>
      </c>
      <c r="H1099" s="30" t="s">
        <v>6352</v>
      </c>
      <c r="I1099" s="29" t="s">
        <v>769</v>
      </c>
      <c r="J1099" s="31">
        <v>9.0</v>
      </c>
      <c r="K1099" s="35"/>
      <c r="L1099" s="35"/>
      <c r="M1099" s="35"/>
      <c r="N1099" s="35"/>
      <c r="O1099" s="35"/>
      <c r="P1099" s="35"/>
      <c r="Q1099" s="35"/>
      <c r="R1099" s="35"/>
      <c r="S1099" s="37">
        <f>IF(B1099="","",IF(ISNUMBER(J1099),IF(J1099&lt;=10,'Configuración'!$B$23,IF(J1099&lt;=50,'Configuración'!$B$24,IF(J1099&lt;=200,'Configuración'!$B$25,0))),0))</f>
        <v>12</v>
      </c>
      <c r="T1099" s="37">
        <f>IF(B1099="","",IF(ISNUMBER(SEARCH("information technology",I1099))+ISNUMBER(SEARCH("software",I1099))+ISNUMBER(SEARCH("internet",I1099))+ISNUMBER(SEARCH("computer",I1099))+ISNUMBER(SEARCH("saas",I1099))+ISNUMBER(SEARCH("fintech",I1099))+ISNUMBER(SEARCH("information services",I1099))+ISNUMBER(SEARCH("telecommunications",I1099))&gt;0,'Configuración'!$B$27,'Configuración'!$B$28))</f>
        <v>4</v>
      </c>
      <c r="U1099" s="25">
        <f>IF(B1099="","",IF(ISNUMBER(SEARCH("CEO",C1099))+ISNUMBER(SEARCH("Founder",C1099))+ISNUMBER(SEARCH("Owner",C1099))+ISNUMBER(SEARCH("Dueño",C1099))+ISNUMBER(SEARCH("Director General",C1099))+ISNUMBER(SEARCH("Presidente",C1099))+ISNUMBER(SEARCH("President",C1099))&gt;0,'Configuración'!$B$31,IF(ISNUMBER(SEARCH("CMO",C1099))+ISNUMBER(SEARCH("Chief Marketing",C1099))+ISNUMBER(SEARCH("VP Marketing",C1099))+ISNUMBER(SEARCH("Director de Marketing",C1099))+ISNUMBER(SEARCH("Director Marketing",C1099))+ISNUMBER(SEARCH("Head of Marketing",C1099))+ISNUMBER(SEARCH("Head Marketing",C1099))&gt;0,'Configuración'!$B$32,IF(ISNUMBER(SEARCH("Marketing Manager",C1099))+ISNUMBER(SEARCH("Gerente de Marketing",C1099))+ISNUMBER(SEARCH("Growth Manager",C1099))+ISNUMBER(SEARCH("Demand Gen",C1099))+ISNUMBER(SEARCH("Marketing Lead",C1099))&gt;0,'Configuración'!$B$33,IF(ISNUMBER(SEARCH("COO",C1099))+ISNUMBER(SEARCH("CFO",C1099))+ISNUMBER(SEARCH("CTO",C1099))+ISNUMBER(SEARCH("Chief Operating",C1099))+ISNUMBER(SEARCH("Chief Financial",C1099))+ISNUMBER(SEARCH("Gerente General",C1099))+ISNUMBER(SEARCH("General Manager",C1099))&gt;0,'Configuración'!$B$34,'Configuración'!$B$35)))))</f>
        <v>12</v>
      </c>
      <c r="V1099" s="38">
        <f>IF(B1099="","",IF(K1099="Sí",'Configuración'!$B$5,0)+IF(L1099="Semanal",'Configuración'!$B$6,IF(L1099="Mensual",'Configuración'!$B$7,0))+IF(M1099="Sí",'Configuración'!$B$8,0)+IF(N1099="Sí",'Configuración'!$B$9,0)+IF(O1099="Sí",'Configuración'!$B$10,0)+IF(P1099="Sí",'Configuración'!$B$11,0)+IF(Q1099="Sí",'Configuración'!$B$12,0)+S1099+T1099+U1099)</f>
        <v>28</v>
      </c>
      <c r="W1099" s="39" t="str">
        <f>IF(B1099="","",IF(V1099&gt;='Configuración'!$B$19,"A",IF(V1099&gt;='Configuración'!$B$20,"B",IF(V1099&gt;='Configuración'!$B$21,"C","Descarte"))))</f>
        <v>C</v>
      </c>
    </row>
    <row r="1100" ht="15.75" customHeight="1">
      <c r="A1100" s="34">
        <f t="shared" si="1"/>
        <v>1098</v>
      </c>
      <c r="B1100" s="29" t="s">
        <v>296</v>
      </c>
      <c r="C1100" s="29" t="s">
        <v>131</v>
      </c>
      <c r="D1100" s="29" t="s">
        <v>6353</v>
      </c>
      <c r="E1100" s="29" t="s">
        <v>6354</v>
      </c>
      <c r="F1100" s="30" t="s">
        <v>6355</v>
      </c>
      <c r="G1100" s="30" t="s">
        <v>6356</v>
      </c>
      <c r="H1100" s="30" t="s">
        <v>6357</v>
      </c>
      <c r="I1100" s="29" t="s">
        <v>127</v>
      </c>
      <c r="J1100" s="31">
        <v>25.0</v>
      </c>
      <c r="K1100" s="35"/>
      <c r="L1100" s="35"/>
      <c r="M1100" s="35"/>
      <c r="N1100" s="35"/>
      <c r="O1100" s="35"/>
      <c r="P1100" s="35"/>
      <c r="Q1100" s="35"/>
      <c r="R1100" s="35"/>
      <c r="S1100" s="37">
        <f>IF(B1100="","",IF(ISNUMBER(J1100),IF(J1100&lt;=10,'Configuración'!$B$23,IF(J1100&lt;=50,'Configuración'!$B$24,IF(J1100&lt;=200,'Configuración'!$B$25,0))),0))</f>
        <v>4</v>
      </c>
      <c r="T1100" s="37">
        <f>IF(B1100="","",IF(ISNUMBER(SEARCH("information technology",I1100))+ISNUMBER(SEARCH("software",I1100))+ISNUMBER(SEARCH("internet",I1100))+ISNUMBER(SEARCH("computer",I1100))+ISNUMBER(SEARCH("saas",I1100))+ISNUMBER(SEARCH("fintech",I1100))+ISNUMBER(SEARCH("information services",I1100))+ISNUMBER(SEARCH("telecommunications",I1100))&gt;0,'Configuración'!$B$27,'Configuración'!$B$28))</f>
        <v>12</v>
      </c>
      <c r="U1100" s="25">
        <f>IF(B1100="","",IF(ISNUMBER(SEARCH("CEO",C1100))+ISNUMBER(SEARCH("Founder",C1100))+ISNUMBER(SEARCH("Owner",C1100))+ISNUMBER(SEARCH("Dueño",C1100))+ISNUMBER(SEARCH("Director General",C1100))+ISNUMBER(SEARCH("Presidente",C1100))+ISNUMBER(SEARCH("President",C1100))&gt;0,'Configuración'!$B$31,IF(ISNUMBER(SEARCH("CMO",C1100))+ISNUMBER(SEARCH("Chief Marketing",C1100))+ISNUMBER(SEARCH("VP Marketing",C1100))+ISNUMBER(SEARCH("Director de Marketing",C1100))+ISNUMBER(SEARCH("Director Marketing",C1100))+ISNUMBER(SEARCH("Head of Marketing",C1100))+ISNUMBER(SEARCH("Head Marketing",C1100))&gt;0,'Configuración'!$B$32,IF(ISNUMBER(SEARCH("Marketing Manager",C1100))+ISNUMBER(SEARCH("Gerente de Marketing",C1100))+ISNUMBER(SEARCH("Growth Manager",C1100))+ISNUMBER(SEARCH("Demand Gen",C1100))+ISNUMBER(SEARCH("Marketing Lead",C1100))&gt;0,'Configuración'!$B$33,IF(ISNUMBER(SEARCH("COO",C1100))+ISNUMBER(SEARCH("CFO",C1100))+ISNUMBER(SEARCH("CTO",C1100))+ISNUMBER(SEARCH("Chief Operating",C1100))+ISNUMBER(SEARCH("Chief Financial",C1100))+ISNUMBER(SEARCH("Gerente General",C1100))+ISNUMBER(SEARCH("General Manager",C1100))&gt;0,'Configuración'!$B$34,'Configuración'!$B$35)))))</f>
        <v>12</v>
      </c>
      <c r="V1100" s="38">
        <f>IF(B1100="","",IF(K1100="Sí",'Configuración'!$B$5,0)+IF(L1100="Semanal",'Configuración'!$B$6,IF(L1100="Mensual",'Configuración'!$B$7,0))+IF(M1100="Sí",'Configuración'!$B$8,0)+IF(N1100="Sí",'Configuración'!$B$9,0)+IF(O1100="Sí",'Configuración'!$B$10,0)+IF(P1100="Sí",'Configuración'!$B$11,0)+IF(Q1100="Sí",'Configuración'!$B$12,0)+S1100+T1100+U1100)</f>
        <v>28</v>
      </c>
      <c r="W1100" s="39" t="str">
        <f>IF(B1100="","",IF(V1100&gt;='Configuración'!$B$19,"A",IF(V1100&gt;='Configuración'!$B$20,"B",IF(V1100&gt;='Configuración'!$B$21,"C","Descarte"))))</f>
        <v>C</v>
      </c>
    </row>
    <row r="1101" ht="15.75" customHeight="1">
      <c r="A1101" s="34">
        <f t="shared" si="1"/>
        <v>1099</v>
      </c>
      <c r="B1101" s="29" t="s">
        <v>6358</v>
      </c>
      <c r="C1101" s="29" t="s">
        <v>6359</v>
      </c>
      <c r="D1101" s="29" t="s">
        <v>6360</v>
      </c>
      <c r="E1101" s="29" t="s">
        <v>6361</v>
      </c>
      <c r="F1101" s="30" t="s">
        <v>6362</v>
      </c>
      <c r="G1101" s="30" t="s">
        <v>6363</v>
      </c>
      <c r="H1101" s="30" t="s">
        <v>6364</v>
      </c>
      <c r="I1101" s="29" t="s">
        <v>188</v>
      </c>
      <c r="J1101" s="31">
        <v>14.0</v>
      </c>
      <c r="K1101" s="35"/>
      <c r="L1101" s="35"/>
      <c r="M1101" s="35"/>
      <c r="N1101" s="35"/>
      <c r="O1101" s="35"/>
      <c r="P1101" s="35"/>
      <c r="Q1101" s="35"/>
      <c r="R1101" s="35"/>
      <c r="S1101" s="37">
        <f>IF(B1101="","",IF(ISNUMBER(J1101),IF(J1101&lt;=10,'Configuración'!$B$23,IF(J1101&lt;=50,'Configuración'!$B$24,IF(J1101&lt;=200,'Configuración'!$B$25,0))),0))</f>
        <v>4</v>
      </c>
      <c r="T1101" s="37">
        <f>IF(B1101="","",IF(ISNUMBER(SEARCH("information technology",I1101))+ISNUMBER(SEARCH("software",I1101))+ISNUMBER(SEARCH("internet",I1101))+ISNUMBER(SEARCH("computer",I1101))+ISNUMBER(SEARCH("saas",I1101))+ISNUMBER(SEARCH("fintech",I1101))+ISNUMBER(SEARCH("information services",I1101))+ISNUMBER(SEARCH("telecommunications",I1101))&gt;0,'Configuración'!$B$27,'Configuración'!$B$28))</f>
        <v>4</v>
      </c>
      <c r="U1101" s="25">
        <f>IF(B1101="","",IF(ISNUMBER(SEARCH("CEO",C1101))+ISNUMBER(SEARCH("Founder",C1101))+ISNUMBER(SEARCH("Owner",C1101))+ISNUMBER(SEARCH("Dueño",C1101))+ISNUMBER(SEARCH("Director General",C1101))+ISNUMBER(SEARCH("Presidente",C1101))+ISNUMBER(SEARCH("President",C1101))&gt;0,'Configuración'!$B$31,IF(ISNUMBER(SEARCH("CMO",C1101))+ISNUMBER(SEARCH("Chief Marketing",C1101))+ISNUMBER(SEARCH("VP Marketing",C1101))+ISNUMBER(SEARCH("Director de Marketing",C1101))+ISNUMBER(SEARCH("Director Marketing",C1101))+ISNUMBER(SEARCH("Head of Marketing",C1101))+ISNUMBER(SEARCH("Head Marketing",C1101))&gt;0,'Configuración'!$B$32,IF(ISNUMBER(SEARCH("Marketing Manager",C1101))+ISNUMBER(SEARCH("Gerente de Marketing",C1101))+ISNUMBER(SEARCH("Growth Manager",C1101))+ISNUMBER(SEARCH("Demand Gen",C1101))+ISNUMBER(SEARCH("Marketing Lead",C1101))&gt;0,'Configuración'!$B$33,IF(ISNUMBER(SEARCH("COO",C1101))+ISNUMBER(SEARCH("CFO",C1101))+ISNUMBER(SEARCH("CTO",C1101))+ISNUMBER(SEARCH("Chief Operating",C1101))+ISNUMBER(SEARCH("Chief Financial",C1101))+ISNUMBER(SEARCH("Gerente General",C1101))+ISNUMBER(SEARCH("General Manager",C1101))&gt;0,'Configuración'!$B$34,'Configuración'!$B$35)))))</f>
        <v>12</v>
      </c>
      <c r="V1101" s="38">
        <f>IF(B1101="","",IF(K1101="Sí",'Configuración'!$B$5,0)+IF(L1101="Semanal",'Configuración'!$B$6,IF(L1101="Mensual",'Configuración'!$B$7,0))+IF(M1101="Sí",'Configuración'!$B$8,0)+IF(N1101="Sí",'Configuración'!$B$9,0)+IF(O1101="Sí",'Configuración'!$B$10,0)+IF(P1101="Sí",'Configuración'!$B$11,0)+IF(Q1101="Sí",'Configuración'!$B$12,0)+S1101+T1101+U1101)</f>
        <v>20</v>
      </c>
      <c r="W1101" s="39" t="str">
        <f>IF(B1101="","",IF(V1101&gt;='Configuración'!$B$19,"A",IF(V1101&gt;='Configuración'!$B$20,"B",IF(V1101&gt;='Configuración'!$B$21,"C","Descarte"))))</f>
        <v>Descarte</v>
      </c>
    </row>
    <row r="1102" ht="15.75" customHeight="1">
      <c r="A1102" s="34">
        <f t="shared" si="1"/>
        <v>1100</v>
      </c>
      <c r="B1102" s="29" t="s">
        <v>6365</v>
      </c>
      <c r="C1102" s="29" t="s">
        <v>622</v>
      </c>
      <c r="D1102" s="29" t="s">
        <v>6366</v>
      </c>
      <c r="E1102" s="29" t="s">
        <v>6367</v>
      </c>
      <c r="F1102" s="30" t="s">
        <v>6368</v>
      </c>
      <c r="G1102" s="30" t="s">
        <v>6369</v>
      </c>
      <c r="H1102" s="30" t="s">
        <v>6370</v>
      </c>
      <c r="I1102" s="29" t="s">
        <v>116</v>
      </c>
      <c r="J1102" s="31">
        <v>21.0</v>
      </c>
      <c r="K1102" s="35"/>
      <c r="L1102" s="35"/>
      <c r="M1102" s="35"/>
      <c r="N1102" s="35"/>
      <c r="O1102" s="35"/>
      <c r="P1102" s="35"/>
      <c r="Q1102" s="35"/>
      <c r="R1102" s="35"/>
      <c r="S1102" s="37">
        <f>IF(B1102="","",IF(ISNUMBER(J1102),IF(J1102&lt;=10,'Configuración'!$B$23,IF(J1102&lt;=50,'Configuración'!$B$24,IF(J1102&lt;=200,'Configuración'!$B$25,0))),0))</f>
        <v>4</v>
      </c>
      <c r="T1102" s="37">
        <f>IF(B1102="","",IF(ISNUMBER(SEARCH("information technology",I1102))+ISNUMBER(SEARCH("software",I1102))+ISNUMBER(SEARCH("internet",I1102))+ISNUMBER(SEARCH("computer",I1102))+ISNUMBER(SEARCH("saas",I1102))+ISNUMBER(SEARCH("fintech",I1102))+ISNUMBER(SEARCH("information services",I1102))+ISNUMBER(SEARCH("telecommunications",I1102))&gt;0,'Configuración'!$B$27,'Configuración'!$B$28))</f>
        <v>4</v>
      </c>
      <c r="U1102" s="25">
        <f>IF(B1102="","",IF(ISNUMBER(SEARCH("CEO",C1102))+ISNUMBER(SEARCH("Founder",C1102))+ISNUMBER(SEARCH("Owner",C1102))+ISNUMBER(SEARCH("Dueño",C1102))+ISNUMBER(SEARCH("Director General",C1102))+ISNUMBER(SEARCH("Presidente",C1102))+ISNUMBER(SEARCH("President",C1102))&gt;0,'Configuración'!$B$31,IF(ISNUMBER(SEARCH("CMO",C1102))+ISNUMBER(SEARCH("Chief Marketing",C1102))+ISNUMBER(SEARCH("VP Marketing",C1102))+ISNUMBER(SEARCH("Director de Marketing",C1102))+ISNUMBER(SEARCH("Director Marketing",C1102))+ISNUMBER(SEARCH("Head of Marketing",C1102))+ISNUMBER(SEARCH("Head Marketing",C1102))&gt;0,'Configuración'!$B$32,IF(ISNUMBER(SEARCH("Marketing Manager",C1102))+ISNUMBER(SEARCH("Gerente de Marketing",C1102))+ISNUMBER(SEARCH("Growth Manager",C1102))+ISNUMBER(SEARCH("Demand Gen",C1102))+ISNUMBER(SEARCH("Marketing Lead",C1102))&gt;0,'Configuración'!$B$33,IF(ISNUMBER(SEARCH("COO",C1102))+ISNUMBER(SEARCH("CFO",C1102))+ISNUMBER(SEARCH("CTO",C1102))+ISNUMBER(SEARCH("Chief Operating",C1102))+ISNUMBER(SEARCH("Chief Financial",C1102))+ISNUMBER(SEARCH("Gerente General",C1102))+ISNUMBER(SEARCH("General Manager",C1102))&gt;0,'Configuración'!$B$34,'Configuración'!$B$35)))))</f>
        <v>12</v>
      </c>
      <c r="V1102" s="38">
        <f>IF(B1102="","",IF(K1102="Sí",'Configuración'!$B$5,0)+IF(L1102="Semanal",'Configuración'!$B$6,IF(L1102="Mensual",'Configuración'!$B$7,0))+IF(M1102="Sí",'Configuración'!$B$8,0)+IF(N1102="Sí",'Configuración'!$B$9,0)+IF(O1102="Sí",'Configuración'!$B$10,0)+IF(P1102="Sí",'Configuración'!$B$11,0)+IF(Q1102="Sí",'Configuración'!$B$12,0)+S1102+T1102+U1102)</f>
        <v>20</v>
      </c>
      <c r="W1102" s="39" t="str">
        <f>IF(B1102="","",IF(V1102&gt;='Configuración'!$B$19,"A",IF(V1102&gt;='Configuración'!$B$20,"B",IF(V1102&gt;='Configuración'!$B$21,"C","Descarte"))))</f>
        <v>Descarte</v>
      </c>
    </row>
    <row r="1103" ht="15.75" customHeight="1">
      <c r="A1103" s="34">
        <f t="shared" si="1"/>
        <v>1101</v>
      </c>
      <c r="B1103" s="29" t="s">
        <v>174</v>
      </c>
      <c r="C1103" s="29" t="s">
        <v>6371</v>
      </c>
      <c r="D1103" s="29" t="s">
        <v>6372</v>
      </c>
      <c r="E1103" s="29" t="s">
        <v>6373</v>
      </c>
      <c r="F1103" s="30" t="s">
        <v>6374</v>
      </c>
      <c r="G1103" s="30" t="s">
        <v>6375</v>
      </c>
      <c r="H1103" s="30" t="s">
        <v>6376</v>
      </c>
      <c r="I1103" s="29" t="s">
        <v>127</v>
      </c>
      <c r="J1103" s="31">
        <v>17.0</v>
      </c>
      <c r="K1103" s="35"/>
      <c r="L1103" s="35"/>
      <c r="M1103" s="35"/>
      <c r="N1103" s="35"/>
      <c r="O1103" s="35"/>
      <c r="P1103" s="35"/>
      <c r="Q1103" s="35"/>
      <c r="R1103" s="35"/>
      <c r="S1103" s="37">
        <f>IF(B1103="","",IF(ISNUMBER(J1103),IF(J1103&lt;=10,'Configuración'!$B$23,IF(J1103&lt;=50,'Configuración'!$B$24,IF(J1103&lt;=200,'Configuración'!$B$25,0))),0))</f>
        <v>4</v>
      </c>
      <c r="T1103" s="37">
        <f>IF(B1103="","",IF(ISNUMBER(SEARCH("information technology",I1103))+ISNUMBER(SEARCH("software",I1103))+ISNUMBER(SEARCH("internet",I1103))+ISNUMBER(SEARCH("computer",I1103))+ISNUMBER(SEARCH("saas",I1103))+ISNUMBER(SEARCH("fintech",I1103))+ISNUMBER(SEARCH("information services",I1103))+ISNUMBER(SEARCH("telecommunications",I1103))&gt;0,'Configuración'!$B$27,'Configuración'!$B$28))</f>
        <v>12</v>
      </c>
      <c r="U1103" s="25">
        <f>IF(B1103="","",IF(ISNUMBER(SEARCH("CEO",C1103))+ISNUMBER(SEARCH("Founder",C1103))+ISNUMBER(SEARCH("Owner",C1103))+ISNUMBER(SEARCH("Dueño",C1103))+ISNUMBER(SEARCH("Director General",C1103))+ISNUMBER(SEARCH("Presidente",C1103))+ISNUMBER(SEARCH("President",C1103))&gt;0,'Configuración'!$B$31,IF(ISNUMBER(SEARCH("CMO",C1103))+ISNUMBER(SEARCH("Chief Marketing",C1103))+ISNUMBER(SEARCH("VP Marketing",C1103))+ISNUMBER(SEARCH("Director de Marketing",C1103))+ISNUMBER(SEARCH("Director Marketing",C1103))+ISNUMBER(SEARCH("Head of Marketing",C1103))+ISNUMBER(SEARCH("Head Marketing",C1103))&gt;0,'Configuración'!$B$32,IF(ISNUMBER(SEARCH("Marketing Manager",C1103))+ISNUMBER(SEARCH("Gerente de Marketing",C1103))+ISNUMBER(SEARCH("Growth Manager",C1103))+ISNUMBER(SEARCH("Demand Gen",C1103))+ISNUMBER(SEARCH("Marketing Lead",C1103))&gt;0,'Configuración'!$B$33,IF(ISNUMBER(SEARCH("COO",C1103))+ISNUMBER(SEARCH("CFO",C1103))+ISNUMBER(SEARCH("CTO",C1103))+ISNUMBER(SEARCH("Chief Operating",C1103))+ISNUMBER(SEARCH("Chief Financial",C1103))+ISNUMBER(SEARCH("Gerente General",C1103))+ISNUMBER(SEARCH("General Manager",C1103))&gt;0,'Configuración'!$B$34,'Configuración'!$B$35)))))</f>
        <v>4</v>
      </c>
      <c r="V1103" s="38">
        <f>IF(B1103="","",IF(K1103="Sí",'Configuración'!$B$5,0)+IF(L1103="Semanal",'Configuración'!$B$6,IF(L1103="Mensual",'Configuración'!$B$7,0))+IF(M1103="Sí",'Configuración'!$B$8,0)+IF(N1103="Sí",'Configuración'!$B$9,0)+IF(O1103="Sí",'Configuración'!$B$10,0)+IF(P1103="Sí",'Configuración'!$B$11,0)+IF(Q1103="Sí",'Configuración'!$B$12,0)+S1103+T1103+U1103)</f>
        <v>20</v>
      </c>
      <c r="W1103" s="39" t="str">
        <f>IF(B1103="","",IF(V1103&gt;='Configuración'!$B$19,"A",IF(V1103&gt;='Configuración'!$B$20,"B",IF(V1103&gt;='Configuración'!$B$21,"C","Descarte"))))</f>
        <v>Descarte</v>
      </c>
    </row>
    <row r="1104" ht="15.75" customHeight="1">
      <c r="A1104" s="34">
        <f t="shared" si="1"/>
        <v>1102</v>
      </c>
      <c r="B1104" s="29" t="s">
        <v>1778</v>
      </c>
      <c r="C1104" s="29" t="s">
        <v>597</v>
      </c>
      <c r="D1104" s="29" t="s">
        <v>6377</v>
      </c>
      <c r="E1104" s="29" t="s">
        <v>6378</v>
      </c>
      <c r="F1104" s="30" t="s">
        <v>6379</v>
      </c>
      <c r="G1104" s="30" t="s">
        <v>6380</v>
      </c>
      <c r="H1104" s="30" t="s">
        <v>6381</v>
      </c>
      <c r="I1104" s="29" t="s">
        <v>188</v>
      </c>
      <c r="J1104" s="31">
        <v>2.0</v>
      </c>
      <c r="K1104" s="35"/>
      <c r="L1104" s="35"/>
      <c r="M1104" s="35"/>
      <c r="N1104" s="35"/>
      <c r="O1104" s="35"/>
      <c r="P1104" s="35"/>
      <c r="Q1104" s="35"/>
      <c r="R1104" s="35"/>
      <c r="S1104" s="37">
        <f>IF(B1104="","",IF(ISNUMBER(J1104),IF(J1104&lt;=10,'Configuración'!$B$23,IF(J1104&lt;=50,'Configuración'!$B$24,IF(J1104&lt;=200,'Configuración'!$B$25,0))),0))</f>
        <v>12</v>
      </c>
      <c r="T1104" s="37">
        <f>IF(B1104="","",IF(ISNUMBER(SEARCH("information technology",I1104))+ISNUMBER(SEARCH("software",I1104))+ISNUMBER(SEARCH("internet",I1104))+ISNUMBER(SEARCH("computer",I1104))+ISNUMBER(SEARCH("saas",I1104))+ISNUMBER(SEARCH("fintech",I1104))+ISNUMBER(SEARCH("information services",I1104))+ISNUMBER(SEARCH("telecommunications",I1104))&gt;0,'Configuración'!$B$27,'Configuración'!$B$28))</f>
        <v>4</v>
      </c>
      <c r="U1104" s="25">
        <f>IF(B1104="","",IF(ISNUMBER(SEARCH("CEO",C1104))+ISNUMBER(SEARCH("Founder",C1104))+ISNUMBER(SEARCH("Owner",C1104))+ISNUMBER(SEARCH("Dueño",C1104))+ISNUMBER(SEARCH("Director General",C1104))+ISNUMBER(SEARCH("Presidente",C1104))+ISNUMBER(SEARCH("President",C1104))&gt;0,'Configuración'!$B$31,IF(ISNUMBER(SEARCH("CMO",C1104))+ISNUMBER(SEARCH("Chief Marketing",C1104))+ISNUMBER(SEARCH("VP Marketing",C1104))+ISNUMBER(SEARCH("Director de Marketing",C1104))+ISNUMBER(SEARCH("Director Marketing",C1104))+ISNUMBER(SEARCH("Head of Marketing",C1104))+ISNUMBER(SEARCH("Head Marketing",C1104))&gt;0,'Configuración'!$B$32,IF(ISNUMBER(SEARCH("Marketing Manager",C1104))+ISNUMBER(SEARCH("Gerente de Marketing",C1104))+ISNUMBER(SEARCH("Growth Manager",C1104))+ISNUMBER(SEARCH("Demand Gen",C1104))+ISNUMBER(SEARCH("Marketing Lead",C1104))&gt;0,'Configuración'!$B$33,IF(ISNUMBER(SEARCH("COO",C1104))+ISNUMBER(SEARCH("CFO",C1104))+ISNUMBER(SEARCH("CTO",C1104))+ISNUMBER(SEARCH("Chief Operating",C1104))+ISNUMBER(SEARCH("Chief Financial",C1104))+ISNUMBER(SEARCH("Gerente General",C1104))+ISNUMBER(SEARCH("General Manager",C1104))&gt;0,'Configuración'!$B$34,'Configuración'!$B$35)))))</f>
        <v>12</v>
      </c>
      <c r="V1104" s="38">
        <f>IF(B1104="","",IF(K1104="Sí",'Configuración'!$B$5,0)+IF(L1104="Semanal",'Configuración'!$B$6,IF(L1104="Mensual",'Configuración'!$B$7,0))+IF(M1104="Sí",'Configuración'!$B$8,0)+IF(N1104="Sí",'Configuración'!$B$9,0)+IF(O1104="Sí",'Configuración'!$B$10,0)+IF(P1104="Sí",'Configuración'!$B$11,0)+IF(Q1104="Sí",'Configuración'!$B$12,0)+S1104+T1104+U1104)</f>
        <v>28</v>
      </c>
      <c r="W1104" s="39" t="str">
        <f>IF(B1104="","",IF(V1104&gt;='Configuración'!$B$19,"A",IF(V1104&gt;='Configuración'!$B$20,"B",IF(V1104&gt;='Configuración'!$B$21,"C","Descarte"))))</f>
        <v>C</v>
      </c>
    </row>
    <row r="1105" ht="15.75" customHeight="1">
      <c r="A1105" s="34">
        <f t="shared" si="1"/>
        <v>1103</v>
      </c>
      <c r="B1105" s="29" t="s">
        <v>262</v>
      </c>
      <c r="C1105" s="29" t="s">
        <v>597</v>
      </c>
      <c r="D1105" s="29" t="s">
        <v>111</v>
      </c>
      <c r="E1105" s="29" t="s">
        <v>6382</v>
      </c>
      <c r="F1105" s="30" t="s">
        <v>6383</v>
      </c>
      <c r="G1105" s="30" t="s">
        <v>114</v>
      </c>
      <c r="H1105" s="30" t="s">
        <v>115</v>
      </c>
      <c r="I1105" s="29" t="s">
        <v>116</v>
      </c>
      <c r="J1105" s="31">
        <v>44.0</v>
      </c>
      <c r="K1105" s="35"/>
      <c r="L1105" s="35"/>
      <c r="M1105" s="35"/>
      <c r="N1105" s="35"/>
      <c r="O1105" s="35"/>
      <c r="P1105" s="35"/>
      <c r="Q1105" s="35"/>
      <c r="R1105" s="35"/>
      <c r="S1105" s="37">
        <f>IF(B1105="","",IF(ISNUMBER(J1105),IF(J1105&lt;=10,'Configuración'!$B$23,IF(J1105&lt;=50,'Configuración'!$B$24,IF(J1105&lt;=200,'Configuración'!$B$25,0))),0))</f>
        <v>4</v>
      </c>
      <c r="T1105" s="37">
        <f>IF(B1105="","",IF(ISNUMBER(SEARCH("information technology",I1105))+ISNUMBER(SEARCH("software",I1105))+ISNUMBER(SEARCH("internet",I1105))+ISNUMBER(SEARCH("computer",I1105))+ISNUMBER(SEARCH("saas",I1105))+ISNUMBER(SEARCH("fintech",I1105))+ISNUMBER(SEARCH("information services",I1105))+ISNUMBER(SEARCH("telecommunications",I1105))&gt;0,'Configuración'!$B$27,'Configuración'!$B$28))</f>
        <v>4</v>
      </c>
      <c r="U1105" s="25">
        <f>IF(B1105="","",IF(ISNUMBER(SEARCH("CEO",C1105))+ISNUMBER(SEARCH("Founder",C1105))+ISNUMBER(SEARCH("Owner",C1105))+ISNUMBER(SEARCH("Dueño",C1105))+ISNUMBER(SEARCH("Director General",C1105))+ISNUMBER(SEARCH("Presidente",C1105))+ISNUMBER(SEARCH("President",C1105))&gt;0,'Configuración'!$B$31,IF(ISNUMBER(SEARCH("CMO",C1105))+ISNUMBER(SEARCH("Chief Marketing",C1105))+ISNUMBER(SEARCH("VP Marketing",C1105))+ISNUMBER(SEARCH("Director de Marketing",C1105))+ISNUMBER(SEARCH("Director Marketing",C1105))+ISNUMBER(SEARCH("Head of Marketing",C1105))+ISNUMBER(SEARCH("Head Marketing",C1105))&gt;0,'Configuración'!$B$32,IF(ISNUMBER(SEARCH("Marketing Manager",C1105))+ISNUMBER(SEARCH("Gerente de Marketing",C1105))+ISNUMBER(SEARCH("Growth Manager",C1105))+ISNUMBER(SEARCH("Demand Gen",C1105))+ISNUMBER(SEARCH("Marketing Lead",C1105))&gt;0,'Configuración'!$B$33,IF(ISNUMBER(SEARCH("COO",C1105))+ISNUMBER(SEARCH("CFO",C1105))+ISNUMBER(SEARCH("CTO",C1105))+ISNUMBER(SEARCH("Chief Operating",C1105))+ISNUMBER(SEARCH("Chief Financial",C1105))+ISNUMBER(SEARCH("Gerente General",C1105))+ISNUMBER(SEARCH("General Manager",C1105))&gt;0,'Configuración'!$B$34,'Configuración'!$B$35)))))</f>
        <v>12</v>
      </c>
      <c r="V1105" s="38">
        <f>IF(B1105="","",IF(K1105="Sí",'Configuración'!$B$5,0)+IF(L1105="Semanal",'Configuración'!$B$6,IF(L1105="Mensual",'Configuración'!$B$7,0))+IF(M1105="Sí",'Configuración'!$B$8,0)+IF(N1105="Sí",'Configuración'!$B$9,0)+IF(O1105="Sí",'Configuración'!$B$10,0)+IF(P1105="Sí",'Configuración'!$B$11,0)+IF(Q1105="Sí",'Configuración'!$B$12,0)+S1105+T1105+U1105)</f>
        <v>20</v>
      </c>
      <c r="W1105" s="39" t="str">
        <f>IF(B1105="","",IF(V1105&gt;='Configuración'!$B$19,"A",IF(V1105&gt;='Configuración'!$B$20,"B",IF(V1105&gt;='Configuración'!$B$21,"C","Descarte"))))</f>
        <v>Descarte</v>
      </c>
    </row>
    <row r="1106" ht="15.75" customHeight="1">
      <c r="A1106" s="34">
        <f t="shared" si="1"/>
        <v>1104</v>
      </c>
      <c r="B1106" s="29" t="s">
        <v>343</v>
      </c>
      <c r="C1106" s="29" t="s">
        <v>202</v>
      </c>
      <c r="D1106" s="29" t="s">
        <v>6384</v>
      </c>
      <c r="E1106" s="29" t="s">
        <v>6385</v>
      </c>
      <c r="F1106" s="30" t="s">
        <v>6386</v>
      </c>
      <c r="G1106" s="30" t="s">
        <v>6387</v>
      </c>
      <c r="H1106" s="30" t="s">
        <v>6388</v>
      </c>
      <c r="I1106" s="29" t="s">
        <v>508</v>
      </c>
      <c r="J1106" s="31">
        <v>13.0</v>
      </c>
      <c r="K1106" s="35"/>
      <c r="L1106" s="35"/>
      <c r="M1106" s="35"/>
      <c r="N1106" s="35"/>
      <c r="O1106" s="35"/>
      <c r="P1106" s="35"/>
      <c r="Q1106" s="35"/>
      <c r="R1106" s="35"/>
      <c r="S1106" s="37">
        <f>IF(B1106="","",IF(ISNUMBER(J1106),IF(J1106&lt;=10,'Configuración'!$B$23,IF(J1106&lt;=50,'Configuración'!$B$24,IF(J1106&lt;=200,'Configuración'!$B$25,0))),0))</f>
        <v>4</v>
      </c>
      <c r="T1106" s="37">
        <f>IF(B1106="","",IF(ISNUMBER(SEARCH("information technology",I1106))+ISNUMBER(SEARCH("software",I1106))+ISNUMBER(SEARCH("internet",I1106))+ISNUMBER(SEARCH("computer",I1106))+ISNUMBER(SEARCH("saas",I1106))+ISNUMBER(SEARCH("fintech",I1106))+ISNUMBER(SEARCH("information services",I1106))+ISNUMBER(SEARCH("telecommunications",I1106))&gt;0,'Configuración'!$B$27,'Configuración'!$B$28))</f>
        <v>4</v>
      </c>
      <c r="U1106" s="25">
        <f>IF(B1106="","",IF(ISNUMBER(SEARCH("CEO",C1106))+ISNUMBER(SEARCH("Founder",C1106))+ISNUMBER(SEARCH("Owner",C1106))+ISNUMBER(SEARCH("Dueño",C1106))+ISNUMBER(SEARCH("Director General",C1106))+ISNUMBER(SEARCH("Presidente",C1106))+ISNUMBER(SEARCH("President",C1106))&gt;0,'Configuración'!$B$31,IF(ISNUMBER(SEARCH("CMO",C1106))+ISNUMBER(SEARCH("Chief Marketing",C1106))+ISNUMBER(SEARCH("VP Marketing",C1106))+ISNUMBER(SEARCH("Director de Marketing",C1106))+ISNUMBER(SEARCH("Director Marketing",C1106))+ISNUMBER(SEARCH("Head of Marketing",C1106))+ISNUMBER(SEARCH("Head Marketing",C1106))&gt;0,'Configuración'!$B$32,IF(ISNUMBER(SEARCH("Marketing Manager",C1106))+ISNUMBER(SEARCH("Gerente de Marketing",C1106))+ISNUMBER(SEARCH("Growth Manager",C1106))+ISNUMBER(SEARCH("Demand Gen",C1106))+ISNUMBER(SEARCH("Marketing Lead",C1106))&gt;0,'Configuración'!$B$33,IF(ISNUMBER(SEARCH("COO",C1106))+ISNUMBER(SEARCH("CFO",C1106))+ISNUMBER(SEARCH("CTO",C1106))+ISNUMBER(SEARCH("Chief Operating",C1106))+ISNUMBER(SEARCH("Chief Financial",C1106))+ISNUMBER(SEARCH("Gerente General",C1106))+ISNUMBER(SEARCH("General Manager",C1106))&gt;0,'Configuración'!$B$34,'Configuración'!$B$35)))))</f>
        <v>12</v>
      </c>
      <c r="V1106" s="38">
        <f>IF(B1106="","",IF(K1106="Sí",'Configuración'!$B$5,0)+IF(L1106="Semanal",'Configuración'!$B$6,IF(L1106="Mensual",'Configuración'!$B$7,0))+IF(M1106="Sí",'Configuración'!$B$8,0)+IF(N1106="Sí",'Configuración'!$B$9,0)+IF(O1106="Sí",'Configuración'!$B$10,0)+IF(P1106="Sí",'Configuración'!$B$11,0)+IF(Q1106="Sí",'Configuración'!$B$12,0)+S1106+T1106+U1106)</f>
        <v>20</v>
      </c>
      <c r="W1106" s="39" t="str">
        <f>IF(B1106="","",IF(V1106&gt;='Configuración'!$B$19,"A",IF(V1106&gt;='Configuración'!$B$20,"B",IF(V1106&gt;='Configuración'!$B$21,"C","Descarte"))))</f>
        <v>Descarte</v>
      </c>
    </row>
    <row r="1107" ht="15.75" customHeight="1">
      <c r="A1107" s="34">
        <f t="shared" si="1"/>
        <v>1105</v>
      </c>
      <c r="B1107" s="29" t="s">
        <v>629</v>
      </c>
      <c r="C1107" s="29" t="s">
        <v>6389</v>
      </c>
      <c r="D1107" s="29" t="s">
        <v>6390</v>
      </c>
      <c r="E1107" s="29" t="s">
        <v>6391</v>
      </c>
      <c r="F1107" s="30" t="s">
        <v>6392</v>
      </c>
      <c r="G1107" s="30" t="s">
        <v>6393</v>
      </c>
      <c r="H1107" s="30" t="s">
        <v>6394</v>
      </c>
      <c r="I1107" s="29" t="s">
        <v>2980</v>
      </c>
      <c r="J1107" s="31">
        <v>1.0</v>
      </c>
      <c r="K1107" s="35"/>
      <c r="L1107" s="35"/>
      <c r="M1107" s="35"/>
      <c r="N1107" s="35"/>
      <c r="O1107" s="35"/>
      <c r="P1107" s="35"/>
      <c r="Q1107" s="35"/>
      <c r="R1107" s="35"/>
      <c r="S1107" s="37">
        <f>IF(B1107="","",IF(ISNUMBER(J1107),IF(J1107&lt;=10,'Configuración'!$B$23,IF(J1107&lt;=50,'Configuración'!$B$24,IF(J1107&lt;=200,'Configuración'!$B$25,0))),0))</f>
        <v>12</v>
      </c>
      <c r="T1107" s="37">
        <f>IF(B1107="","",IF(ISNUMBER(SEARCH("information technology",I1107))+ISNUMBER(SEARCH("software",I1107))+ISNUMBER(SEARCH("internet",I1107))+ISNUMBER(SEARCH("computer",I1107))+ISNUMBER(SEARCH("saas",I1107))+ISNUMBER(SEARCH("fintech",I1107))+ISNUMBER(SEARCH("information services",I1107))+ISNUMBER(SEARCH("telecommunications",I1107))&gt;0,'Configuración'!$B$27,'Configuración'!$B$28))</f>
        <v>4</v>
      </c>
      <c r="U1107" s="25">
        <f>IF(B1107="","",IF(ISNUMBER(SEARCH("CEO",C1107))+ISNUMBER(SEARCH("Founder",C1107))+ISNUMBER(SEARCH("Owner",C1107))+ISNUMBER(SEARCH("Dueño",C1107))+ISNUMBER(SEARCH("Director General",C1107))+ISNUMBER(SEARCH("Presidente",C1107))+ISNUMBER(SEARCH("President",C1107))&gt;0,'Configuración'!$B$31,IF(ISNUMBER(SEARCH("CMO",C1107))+ISNUMBER(SEARCH("Chief Marketing",C1107))+ISNUMBER(SEARCH("VP Marketing",C1107))+ISNUMBER(SEARCH("Director de Marketing",C1107))+ISNUMBER(SEARCH("Director Marketing",C1107))+ISNUMBER(SEARCH("Head of Marketing",C1107))+ISNUMBER(SEARCH("Head Marketing",C1107))&gt;0,'Configuración'!$B$32,IF(ISNUMBER(SEARCH("Marketing Manager",C1107))+ISNUMBER(SEARCH("Gerente de Marketing",C1107))+ISNUMBER(SEARCH("Growth Manager",C1107))+ISNUMBER(SEARCH("Demand Gen",C1107))+ISNUMBER(SEARCH("Marketing Lead",C1107))&gt;0,'Configuración'!$B$33,IF(ISNUMBER(SEARCH("COO",C1107))+ISNUMBER(SEARCH("CFO",C1107))+ISNUMBER(SEARCH("CTO",C1107))+ISNUMBER(SEARCH("Chief Operating",C1107))+ISNUMBER(SEARCH("Chief Financial",C1107))+ISNUMBER(SEARCH("Gerente General",C1107))+ISNUMBER(SEARCH("General Manager",C1107))&gt;0,'Configuración'!$B$34,'Configuración'!$B$35)))))</f>
        <v>12</v>
      </c>
      <c r="V1107" s="38">
        <f>IF(B1107="","",IF(K1107="Sí",'Configuración'!$B$5,0)+IF(L1107="Semanal",'Configuración'!$B$6,IF(L1107="Mensual",'Configuración'!$B$7,0))+IF(M1107="Sí",'Configuración'!$B$8,0)+IF(N1107="Sí",'Configuración'!$B$9,0)+IF(O1107="Sí",'Configuración'!$B$10,0)+IF(P1107="Sí",'Configuración'!$B$11,0)+IF(Q1107="Sí",'Configuración'!$B$12,0)+S1107+T1107+U1107)</f>
        <v>28</v>
      </c>
      <c r="W1107" s="39" t="str">
        <f>IF(B1107="","",IF(V1107&gt;='Configuración'!$B$19,"A",IF(V1107&gt;='Configuración'!$B$20,"B",IF(V1107&gt;='Configuración'!$B$21,"C","Descarte"))))</f>
        <v>C</v>
      </c>
    </row>
    <row r="1108" ht="15.75" customHeight="1">
      <c r="A1108" s="34">
        <f t="shared" si="1"/>
        <v>1106</v>
      </c>
      <c r="B1108" s="29" t="s">
        <v>181</v>
      </c>
      <c r="C1108" s="29" t="s">
        <v>202</v>
      </c>
      <c r="D1108" s="29" t="s">
        <v>1319</v>
      </c>
      <c r="E1108" s="29" t="s">
        <v>6395</v>
      </c>
      <c r="F1108" s="30" t="s">
        <v>6396</v>
      </c>
      <c r="G1108" s="30" t="s">
        <v>1322</v>
      </c>
      <c r="H1108" s="30" t="s">
        <v>1323</v>
      </c>
      <c r="I1108" s="29" t="s">
        <v>127</v>
      </c>
      <c r="J1108" s="31">
        <v>4.0</v>
      </c>
      <c r="K1108" s="35"/>
      <c r="L1108" s="35"/>
      <c r="M1108" s="35"/>
      <c r="N1108" s="35"/>
      <c r="O1108" s="35"/>
      <c r="P1108" s="35"/>
      <c r="Q1108" s="35"/>
      <c r="R1108" s="35"/>
      <c r="S1108" s="37">
        <f>IF(B1108="","",IF(ISNUMBER(J1108),IF(J1108&lt;=10,'Configuración'!$B$23,IF(J1108&lt;=50,'Configuración'!$B$24,IF(J1108&lt;=200,'Configuración'!$B$25,0))),0))</f>
        <v>12</v>
      </c>
      <c r="T1108" s="37">
        <f>IF(B1108="","",IF(ISNUMBER(SEARCH("information technology",I1108))+ISNUMBER(SEARCH("software",I1108))+ISNUMBER(SEARCH("internet",I1108))+ISNUMBER(SEARCH("computer",I1108))+ISNUMBER(SEARCH("saas",I1108))+ISNUMBER(SEARCH("fintech",I1108))+ISNUMBER(SEARCH("information services",I1108))+ISNUMBER(SEARCH("telecommunications",I1108))&gt;0,'Configuración'!$B$27,'Configuración'!$B$28))</f>
        <v>12</v>
      </c>
      <c r="U1108" s="25">
        <f>IF(B1108="","",IF(ISNUMBER(SEARCH("CEO",C1108))+ISNUMBER(SEARCH("Founder",C1108))+ISNUMBER(SEARCH("Owner",C1108))+ISNUMBER(SEARCH("Dueño",C1108))+ISNUMBER(SEARCH("Director General",C1108))+ISNUMBER(SEARCH("Presidente",C1108))+ISNUMBER(SEARCH("President",C1108))&gt;0,'Configuración'!$B$31,IF(ISNUMBER(SEARCH("CMO",C1108))+ISNUMBER(SEARCH("Chief Marketing",C1108))+ISNUMBER(SEARCH("VP Marketing",C1108))+ISNUMBER(SEARCH("Director de Marketing",C1108))+ISNUMBER(SEARCH("Director Marketing",C1108))+ISNUMBER(SEARCH("Head of Marketing",C1108))+ISNUMBER(SEARCH("Head Marketing",C1108))&gt;0,'Configuración'!$B$32,IF(ISNUMBER(SEARCH("Marketing Manager",C1108))+ISNUMBER(SEARCH("Gerente de Marketing",C1108))+ISNUMBER(SEARCH("Growth Manager",C1108))+ISNUMBER(SEARCH("Demand Gen",C1108))+ISNUMBER(SEARCH("Marketing Lead",C1108))&gt;0,'Configuración'!$B$33,IF(ISNUMBER(SEARCH("COO",C1108))+ISNUMBER(SEARCH("CFO",C1108))+ISNUMBER(SEARCH("CTO",C1108))+ISNUMBER(SEARCH("Chief Operating",C1108))+ISNUMBER(SEARCH("Chief Financial",C1108))+ISNUMBER(SEARCH("Gerente General",C1108))+ISNUMBER(SEARCH("General Manager",C1108))&gt;0,'Configuración'!$B$34,'Configuración'!$B$35)))))</f>
        <v>12</v>
      </c>
      <c r="V1108" s="38">
        <f>IF(B1108="","",IF(K1108="Sí",'Configuración'!$B$5,0)+IF(L1108="Semanal",'Configuración'!$B$6,IF(L1108="Mensual",'Configuración'!$B$7,0))+IF(M1108="Sí",'Configuración'!$B$8,0)+IF(N1108="Sí",'Configuración'!$B$9,0)+IF(O1108="Sí",'Configuración'!$B$10,0)+IF(P1108="Sí",'Configuración'!$B$11,0)+IF(Q1108="Sí",'Configuración'!$B$12,0)+S1108+T1108+U1108)</f>
        <v>36</v>
      </c>
      <c r="W1108" s="39" t="str">
        <f>IF(B1108="","",IF(V1108&gt;='Configuración'!$B$19,"A",IF(V1108&gt;='Configuración'!$B$20,"B",IF(V1108&gt;='Configuración'!$B$21,"C","Descarte"))))</f>
        <v>C</v>
      </c>
    </row>
    <row r="1109" ht="15.75" customHeight="1">
      <c r="A1109" s="34">
        <f t="shared" si="1"/>
        <v>1107</v>
      </c>
      <c r="B1109" s="29" t="s">
        <v>6397</v>
      </c>
      <c r="C1109" s="29" t="s">
        <v>131</v>
      </c>
      <c r="D1109" s="29" t="s">
        <v>6398</v>
      </c>
      <c r="E1109" s="29" t="s">
        <v>6399</v>
      </c>
      <c r="F1109" s="30" t="s">
        <v>6400</v>
      </c>
      <c r="G1109" s="30" t="s">
        <v>6401</v>
      </c>
      <c r="H1109" s="30" t="s">
        <v>6402</v>
      </c>
      <c r="I1109" s="29" t="s">
        <v>188</v>
      </c>
      <c r="J1109" s="31">
        <v>1.0</v>
      </c>
      <c r="K1109" s="35"/>
      <c r="L1109" s="35"/>
      <c r="M1109" s="35"/>
      <c r="N1109" s="35"/>
      <c r="O1109" s="35"/>
      <c r="P1109" s="35"/>
      <c r="Q1109" s="35"/>
      <c r="R1109" s="35"/>
      <c r="S1109" s="37">
        <f>IF(B1109="","",IF(ISNUMBER(J1109),IF(J1109&lt;=10,'Configuración'!$B$23,IF(J1109&lt;=50,'Configuración'!$B$24,IF(J1109&lt;=200,'Configuración'!$B$25,0))),0))</f>
        <v>12</v>
      </c>
      <c r="T1109" s="37">
        <f>IF(B1109="","",IF(ISNUMBER(SEARCH("information technology",I1109))+ISNUMBER(SEARCH("software",I1109))+ISNUMBER(SEARCH("internet",I1109))+ISNUMBER(SEARCH("computer",I1109))+ISNUMBER(SEARCH("saas",I1109))+ISNUMBER(SEARCH("fintech",I1109))+ISNUMBER(SEARCH("information services",I1109))+ISNUMBER(SEARCH("telecommunications",I1109))&gt;0,'Configuración'!$B$27,'Configuración'!$B$28))</f>
        <v>4</v>
      </c>
      <c r="U1109" s="25">
        <f>IF(B1109="","",IF(ISNUMBER(SEARCH("CEO",C1109))+ISNUMBER(SEARCH("Founder",C1109))+ISNUMBER(SEARCH("Owner",C1109))+ISNUMBER(SEARCH("Dueño",C1109))+ISNUMBER(SEARCH("Director General",C1109))+ISNUMBER(SEARCH("Presidente",C1109))+ISNUMBER(SEARCH("President",C1109))&gt;0,'Configuración'!$B$31,IF(ISNUMBER(SEARCH("CMO",C1109))+ISNUMBER(SEARCH("Chief Marketing",C1109))+ISNUMBER(SEARCH("VP Marketing",C1109))+ISNUMBER(SEARCH("Director de Marketing",C1109))+ISNUMBER(SEARCH("Director Marketing",C1109))+ISNUMBER(SEARCH("Head of Marketing",C1109))+ISNUMBER(SEARCH("Head Marketing",C1109))&gt;0,'Configuración'!$B$32,IF(ISNUMBER(SEARCH("Marketing Manager",C1109))+ISNUMBER(SEARCH("Gerente de Marketing",C1109))+ISNUMBER(SEARCH("Growth Manager",C1109))+ISNUMBER(SEARCH("Demand Gen",C1109))+ISNUMBER(SEARCH("Marketing Lead",C1109))&gt;0,'Configuración'!$B$33,IF(ISNUMBER(SEARCH("COO",C1109))+ISNUMBER(SEARCH("CFO",C1109))+ISNUMBER(SEARCH("CTO",C1109))+ISNUMBER(SEARCH("Chief Operating",C1109))+ISNUMBER(SEARCH("Chief Financial",C1109))+ISNUMBER(SEARCH("Gerente General",C1109))+ISNUMBER(SEARCH("General Manager",C1109))&gt;0,'Configuración'!$B$34,'Configuración'!$B$35)))))</f>
        <v>12</v>
      </c>
      <c r="V1109" s="38">
        <f>IF(B1109="","",IF(K1109="Sí",'Configuración'!$B$5,0)+IF(L1109="Semanal",'Configuración'!$B$6,IF(L1109="Mensual",'Configuración'!$B$7,0))+IF(M1109="Sí",'Configuración'!$B$8,0)+IF(N1109="Sí",'Configuración'!$B$9,0)+IF(O1109="Sí",'Configuración'!$B$10,0)+IF(P1109="Sí",'Configuración'!$B$11,0)+IF(Q1109="Sí",'Configuración'!$B$12,0)+S1109+T1109+U1109)</f>
        <v>28</v>
      </c>
      <c r="W1109" s="39" t="str">
        <f>IF(B1109="","",IF(V1109&gt;='Configuración'!$B$19,"A",IF(V1109&gt;='Configuración'!$B$20,"B",IF(V1109&gt;='Configuración'!$B$21,"C","Descarte"))))</f>
        <v>C</v>
      </c>
    </row>
    <row r="1110" ht="15.75" customHeight="1">
      <c r="A1110" s="34">
        <f t="shared" si="1"/>
        <v>1108</v>
      </c>
      <c r="B1110" s="29" t="s">
        <v>1227</v>
      </c>
      <c r="C1110" s="29" t="s">
        <v>318</v>
      </c>
      <c r="D1110" s="29" t="s">
        <v>6403</v>
      </c>
      <c r="E1110" s="29" t="s">
        <v>6404</v>
      </c>
      <c r="F1110" s="30" t="s">
        <v>6405</v>
      </c>
      <c r="G1110" s="30" t="s">
        <v>6406</v>
      </c>
      <c r="H1110" s="30" t="s">
        <v>6407</v>
      </c>
      <c r="I1110" s="29" t="s">
        <v>127</v>
      </c>
      <c r="J1110" s="31">
        <v>3.0</v>
      </c>
      <c r="K1110" s="35"/>
      <c r="L1110" s="35"/>
      <c r="M1110" s="35"/>
      <c r="N1110" s="35"/>
      <c r="O1110" s="35"/>
      <c r="P1110" s="35"/>
      <c r="Q1110" s="35"/>
      <c r="R1110" s="35"/>
      <c r="S1110" s="37">
        <f>IF(B1110="","",IF(ISNUMBER(J1110),IF(J1110&lt;=10,'Configuración'!$B$23,IF(J1110&lt;=50,'Configuración'!$B$24,IF(J1110&lt;=200,'Configuración'!$B$25,0))),0))</f>
        <v>12</v>
      </c>
      <c r="T1110" s="37">
        <f>IF(B1110="","",IF(ISNUMBER(SEARCH("information technology",I1110))+ISNUMBER(SEARCH("software",I1110))+ISNUMBER(SEARCH("internet",I1110))+ISNUMBER(SEARCH("computer",I1110))+ISNUMBER(SEARCH("saas",I1110))+ISNUMBER(SEARCH("fintech",I1110))+ISNUMBER(SEARCH("information services",I1110))+ISNUMBER(SEARCH("telecommunications",I1110))&gt;0,'Configuración'!$B$27,'Configuración'!$B$28))</f>
        <v>12</v>
      </c>
      <c r="U1110" s="25">
        <f>IF(B1110="","",IF(ISNUMBER(SEARCH("CEO",C1110))+ISNUMBER(SEARCH("Founder",C1110))+ISNUMBER(SEARCH("Owner",C1110))+ISNUMBER(SEARCH("Dueño",C1110))+ISNUMBER(SEARCH("Director General",C1110))+ISNUMBER(SEARCH("Presidente",C1110))+ISNUMBER(SEARCH("President",C1110))&gt;0,'Configuración'!$B$31,IF(ISNUMBER(SEARCH("CMO",C1110))+ISNUMBER(SEARCH("Chief Marketing",C1110))+ISNUMBER(SEARCH("VP Marketing",C1110))+ISNUMBER(SEARCH("Director de Marketing",C1110))+ISNUMBER(SEARCH("Director Marketing",C1110))+ISNUMBER(SEARCH("Head of Marketing",C1110))+ISNUMBER(SEARCH("Head Marketing",C1110))&gt;0,'Configuración'!$B$32,IF(ISNUMBER(SEARCH("Marketing Manager",C1110))+ISNUMBER(SEARCH("Gerente de Marketing",C1110))+ISNUMBER(SEARCH("Growth Manager",C1110))+ISNUMBER(SEARCH("Demand Gen",C1110))+ISNUMBER(SEARCH("Marketing Lead",C1110))&gt;0,'Configuración'!$B$33,IF(ISNUMBER(SEARCH("COO",C1110))+ISNUMBER(SEARCH("CFO",C1110))+ISNUMBER(SEARCH("CTO",C1110))+ISNUMBER(SEARCH("Chief Operating",C1110))+ISNUMBER(SEARCH("Chief Financial",C1110))+ISNUMBER(SEARCH("Gerente General",C1110))+ISNUMBER(SEARCH("General Manager",C1110))&gt;0,'Configuración'!$B$34,'Configuración'!$B$35)))))</f>
        <v>4</v>
      </c>
      <c r="V1110" s="38">
        <f>IF(B1110="","",IF(K1110="Sí",'Configuración'!$B$5,0)+IF(L1110="Semanal",'Configuración'!$B$6,IF(L1110="Mensual",'Configuración'!$B$7,0))+IF(M1110="Sí",'Configuración'!$B$8,0)+IF(N1110="Sí",'Configuración'!$B$9,0)+IF(O1110="Sí",'Configuración'!$B$10,0)+IF(P1110="Sí",'Configuración'!$B$11,0)+IF(Q1110="Sí",'Configuración'!$B$12,0)+S1110+T1110+U1110)</f>
        <v>28</v>
      </c>
      <c r="W1110" s="39" t="str">
        <f>IF(B1110="","",IF(V1110&gt;='Configuración'!$B$19,"A",IF(V1110&gt;='Configuración'!$B$20,"B",IF(V1110&gt;='Configuración'!$B$21,"C","Descarte"))))</f>
        <v>C</v>
      </c>
    </row>
    <row r="1111" ht="15.75" customHeight="1">
      <c r="A1111" s="34">
        <f t="shared" si="1"/>
        <v>1109</v>
      </c>
      <c r="B1111" s="29" t="s">
        <v>1227</v>
      </c>
      <c r="C1111" s="29" t="s">
        <v>934</v>
      </c>
      <c r="D1111" s="29" t="s">
        <v>6408</v>
      </c>
      <c r="E1111" s="29" t="s">
        <v>6409</v>
      </c>
      <c r="F1111" s="30" t="s">
        <v>6410</v>
      </c>
      <c r="G1111" s="30" t="s">
        <v>6411</v>
      </c>
      <c r="H1111" s="30" t="s">
        <v>6412</v>
      </c>
      <c r="I1111" s="29" t="s">
        <v>127</v>
      </c>
      <c r="J1111" s="31">
        <v>9.0</v>
      </c>
      <c r="K1111" s="35"/>
      <c r="L1111" s="35"/>
      <c r="M1111" s="35"/>
      <c r="N1111" s="35"/>
      <c r="O1111" s="35"/>
      <c r="P1111" s="35"/>
      <c r="Q1111" s="35"/>
      <c r="R1111" s="35"/>
      <c r="S1111" s="37">
        <f>IF(B1111="","",IF(ISNUMBER(J1111),IF(J1111&lt;=10,'Configuración'!$B$23,IF(J1111&lt;=50,'Configuración'!$B$24,IF(J1111&lt;=200,'Configuración'!$B$25,0))),0))</f>
        <v>12</v>
      </c>
      <c r="T1111" s="37">
        <f>IF(B1111="","",IF(ISNUMBER(SEARCH("information technology",I1111))+ISNUMBER(SEARCH("software",I1111))+ISNUMBER(SEARCH("internet",I1111))+ISNUMBER(SEARCH("computer",I1111))+ISNUMBER(SEARCH("saas",I1111))+ISNUMBER(SEARCH("fintech",I1111))+ISNUMBER(SEARCH("information services",I1111))+ISNUMBER(SEARCH("telecommunications",I1111))&gt;0,'Configuración'!$B$27,'Configuración'!$B$28))</f>
        <v>12</v>
      </c>
      <c r="U1111" s="25">
        <f>IF(B1111="","",IF(ISNUMBER(SEARCH("CEO",C1111))+ISNUMBER(SEARCH("Founder",C1111))+ISNUMBER(SEARCH("Owner",C1111))+ISNUMBER(SEARCH("Dueño",C1111))+ISNUMBER(SEARCH("Director General",C1111))+ISNUMBER(SEARCH("Presidente",C1111))+ISNUMBER(SEARCH("President",C1111))&gt;0,'Configuración'!$B$31,IF(ISNUMBER(SEARCH("CMO",C1111))+ISNUMBER(SEARCH("Chief Marketing",C1111))+ISNUMBER(SEARCH("VP Marketing",C1111))+ISNUMBER(SEARCH("Director de Marketing",C1111))+ISNUMBER(SEARCH("Director Marketing",C1111))+ISNUMBER(SEARCH("Head of Marketing",C1111))+ISNUMBER(SEARCH("Head Marketing",C1111))&gt;0,'Configuración'!$B$32,IF(ISNUMBER(SEARCH("Marketing Manager",C1111))+ISNUMBER(SEARCH("Gerente de Marketing",C1111))+ISNUMBER(SEARCH("Growth Manager",C1111))+ISNUMBER(SEARCH("Demand Gen",C1111))+ISNUMBER(SEARCH("Marketing Lead",C1111))&gt;0,'Configuración'!$B$33,IF(ISNUMBER(SEARCH("COO",C1111))+ISNUMBER(SEARCH("CFO",C1111))+ISNUMBER(SEARCH("CTO",C1111))+ISNUMBER(SEARCH("Chief Operating",C1111))+ISNUMBER(SEARCH("Chief Financial",C1111))+ISNUMBER(SEARCH("Gerente General",C1111))+ISNUMBER(SEARCH("General Manager",C1111))&gt;0,'Configuración'!$B$34,'Configuración'!$B$35)))))</f>
        <v>12</v>
      </c>
      <c r="V1111" s="38">
        <f>IF(B1111="","",IF(K1111="Sí",'Configuración'!$B$5,0)+IF(L1111="Semanal",'Configuración'!$B$6,IF(L1111="Mensual",'Configuración'!$B$7,0))+IF(M1111="Sí",'Configuración'!$B$8,0)+IF(N1111="Sí",'Configuración'!$B$9,0)+IF(O1111="Sí",'Configuración'!$B$10,0)+IF(P1111="Sí",'Configuración'!$B$11,0)+IF(Q1111="Sí",'Configuración'!$B$12,0)+S1111+T1111+U1111)</f>
        <v>36</v>
      </c>
      <c r="W1111" s="39" t="str">
        <f>IF(B1111="","",IF(V1111&gt;='Configuración'!$B$19,"A",IF(V1111&gt;='Configuración'!$B$20,"B",IF(V1111&gt;='Configuración'!$B$21,"C","Descarte"))))</f>
        <v>C</v>
      </c>
    </row>
    <row r="1112" ht="15.75" customHeight="1">
      <c r="A1112" s="34">
        <f t="shared" si="1"/>
        <v>1110</v>
      </c>
      <c r="B1112" s="29" t="s">
        <v>166</v>
      </c>
      <c r="C1112" s="29" t="s">
        <v>131</v>
      </c>
      <c r="D1112" s="29" t="s">
        <v>2771</v>
      </c>
      <c r="E1112" s="29" t="s">
        <v>6413</v>
      </c>
      <c r="F1112" s="30" t="s">
        <v>6414</v>
      </c>
      <c r="G1112" s="30" t="s">
        <v>2774</v>
      </c>
      <c r="H1112" s="30" t="s">
        <v>2775</v>
      </c>
      <c r="I1112" s="29" t="s">
        <v>188</v>
      </c>
      <c r="J1112" s="31">
        <v>24.0</v>
      </c>
      <c r="K1112" s="35"/>
      <c r="L1112" s="35"/>
      <c r="M1112" s="35"/>
      <c r="N1112" s="35"/>
      <c r="O1112" s="35"/>
      <c r="P1112" s="35"/>
      <c r="Q1112" s="35"/>
      <c r="R1112" s="35"/>
      <c r="S1112" s="37">
        <f>IF(B1112="","",IF(ISNUMBER(J1112),IF(J1112&lt;=10,'Configuración'!$B$23,IF(J1112&lt;=50,'Configuración'!$B$24,IF(J1112&lt;=200,'Configuración'!$B$25,0))),0))</f>
        <v>4</v>
      </c>
      <c r="T1112" s="37">
        <f>IF(B1112="","",IF(ISNUMBER(SEARCH("information technology",I1112))+ISNUMBER(SEARCH("software",I1112))+ISNUMBER(SEARCH("internet",I1112))+ISNUMBER(SEARCH("computer",I1112))+ISNUMBER(SEARCH("saas",I1112))+ISNUMBER(SEARCH("fintech",I1112))+ISNUMBER(SEARCH("information services",I1112))+ISNUMBER(SEARCH("telecommunications",I1112))&gt;0,'Configuración'!$B$27,'Configuración'!$B$28))</f>
        <v>4</v>
      </c>
      <c r="U1112" s="25">
        <f>IF(B1112="","",IF(ISNUMBER(SEARCH("CEO",C1112))+ISNUMBER(SEARCH("Founder",C1112))+ISNUMBER(SEARCH("Owner",C1112))+ISNUMBER(SEARCH("Dueño",C1112))+ISNUMBER(SEARCH("Director General",C1112))+ISNUMBER(SEARCH("Presidente",C1112))+ISNUMBER(SEARCH("President",C1112))&gt;0,'Configuración'!$B$31,IF(ISNUMBER(SEARCH("CMO",C1112))+ISNUMBER(SEARCH("Chief Marketing",C1112))+ISNUMBER(SEARCH("VP Marketing",C1112))+ISNUMBER(SEARCH("Director de Marketing",C1112))+ISNUMBER(SEARCH("Director Marketing",C1112))+ISNUMBER(SEARCH("Head of Marketing",C1112))+ISNUMBER(SEARCH("Head Marketing",C1112))&gt;0,'Configuración'!$B$32,IF(ISNUMBER(SEARCH("Marketing Manager",C1112))+ISNUMBER(SEARCH("Gerente de Marketing",C1112))+ISNUMBER(SEARCH("Growth Manager",C1112))+ISNUMBER(SEARCH("Demand Gen",C1112))+ISNUMBER(SEARCH("Marketing Lead",C1112))&gt;0,'Configuración'!$B$33,IF(ISNUMBER(SEARCH("COO",C1112))+ISNUMBER(SEARCH("CFO",C1112))+ISNUMBER(SEARCH("CTO",C1112))+ISNUMBER(SEARCH("Chief Operating",C1112))+ISNUMBER(SEARCH("Chief Financial",C1112))+ISNUMBER(SEARCH("Gerente General",C1112))+ISNUMBER(SEARCH("General Manager",C1112))&gt;0,'Configuración'!$B$34,'Configuración'!$B$35)))))</f>
        <v>12</v>
      </c>
      <c r="V1112" s="38">
        <f>IF(B1112="","",IF(K1112="Sí",'Configuración'!$B$5,0)+IF(L1112="Semanal",'Configuración'!$B$6,IF(L1112="Mensual",'Configuración'!$B$7,0))+IF(M1112="Sí",'Configuración'!$B$8,0)+IF(N1112="Sí",'Configuración'!$B$9,0)+IF(O1112="Sí",'Configuración'!$B$10,0)+IF(P1112="Sí",'Configuración'!$B$11,0)+IF(Q1112="Sí",'Configuración'!$B$12,0)+S1112+T1112+U1112)</f>
        <v>20</v>
      </c>
      <c r="W1112" s="39" t="str">
        <f>IF(B1112="","",IF(V1112&gt;='Configuración'!$B$19,"A",IF(V1112&gt;='Configuración'!$B$20,"B",IF(V1112&gt;='Configuración'!$B$21,"C","Descarte"))))</f>
        <v>Descarte</v>
      </c>
    </row>
    <row r="1113" ht="15.75" customHeight="1">
      <c r="A1113" s="34">
        <f t="shared" si="1"/>
        <v>1111</v>
      </c>
      <c r="B1113" s="29" t="s">
        <v>181</v>
      </c>
      <c r="C1113" s="29" t="s">
        <v>304</v>
      </c>
      <c r="D1113" s="29" t="s">
        <v>6415</v>
      </c>
      <c r="E1113" s="29" t="s">
        <v>6416</v>
      </c>
      <c r="F1113" s="30" t="s">
        <v>6417</v>
      </c>
      <c r="G1113" s="30" t="s">
        <v>6418</v>
      </c>
      <c r="H1113" s="30" t="s">
        <v>6419</v>
      </c>
      <c r="I1113" s="29" t="s">
        <v>127</v>
      </c>
      <c r="J1113" s="31">
        <v>16.0</v>
      </c>
      <c r="K1113" s="35"/>
      <c r="L1113" s="35"/>
      <c r="M1113" s="35"/>
      <c r="N1113" s="35"/>
      <c r="O1113" s="35"/>
      <c r="P1113" s="35"/>
      <c r="Q1113" s="35"/>
      <c r="R1113" s="35"/>
      <c r="S1113" s="37">
        <f>IF(B1113="","",IF(ISNUMBER(J1113),IF(J1113&lt;=10,'Configuración'!$B$23,IF(J1113&lt;=50,'Configuración'!$B$24,IF(J1113&lt;=200,'Configuración'!$B$25,0))),0))</f>
        <v>4</v>
      </c>
      <c r="T1113" s="37">
        <f>IF(B1113="","",IF(ISNUMBER(SEARCH("information technology",I1113))+ISNUMBER(SEARCH("software",I1113))+ISNUMBER(SEARCH("internet",I1113))+ISNUMBER(SEARCH("computer",I1113))+ISNUMBER(SEARCH("saas",I1113))+ISNUMBER(SEARCH("fintech",I1113))+ISNUMBER(SEARCH("information services",I1113))+ISNUMBER(SEARCH("telecommunications",I1113))&gt;0,'Configuración'!$B$27,'Configuración'!$B$28))</f>
        <v>12</v>
      </c>
      <c r="U1113" s="25">
        <f>IF(B1113="","",IF(ISNUMBER(SEARCH("CEO",C1113))+ISNUMBER(SEARCH("Founder",C1113))+ISNUMBER(SEARCH("Owner",C1113))+ISNUMBER(SEARCH("Dueño",C1113))+ISNUMBER(SEARCH("Director General",C1113))+ISNUMBER(SEARCH("Presidente",C1113))+ISNUMBER(SEARCH("President",C1113))&gt;0,'Configuración'!$B$31,IF(ISNUMBER(SEARCH("CMO",C1113))+ISNUMBER(SEARCH("Chief Marketing",C1113))+ISNUMBER(SEARCH("VP Marketing",C1113))+ISNUMBER(SEARCH("Director de Marketing",C1113))+ISNUMBER(SEARCH("Director Marketing",C1113))+ISNUMBER(SEARCH("Head of Marketing",C1113))+ISNUMBER(SEARCH("Head Marketing",C1113))&gt;0,'Configuración'!$B$32,IF(ISNUMBER(SEARCH("Marketing Manager",C1113))+ISNUMBER(SEARCH("Gerente de Marketing",C1113))+ISNUMBER(SEARCH("Growth Manager",C1113))+ISNUMBER(SEARCH("Demand Gen",C1113))+ISNUMBER(SEARCH("Marketing Lead",C1113))&gt;0,'Configuración'!$B$33,IF(ISNUMBER(SEARCH("COO",C1113))+ISNUMBER(SEARCH("CFO",C1113))+ISNUMBER(SEARCH("CTO",C1113))+ISNUMBER(SEARCH("Chief Operating",C1113))+ISNUMBER(SEARCH("Chief Financial",C1113))+ISNUMBER(SEARCH("Gerente General",C1113))+ISNUMBER(SEARCH("General Manager",C1113))&gt;0,'Configuración'!$B$34,'Configuración'!$B$35)))))</f>
        <v>4</v>
      </c>
      <c r="V1113" s="38">
        <f>IF(B1113="","",IF(K1113="Sí",'Configuración'!$B$5,0)+IF(L1113="Semanal",'Configuración'!$B$6,IF(L1113="Mensual",'Configuración'!$B$7,0))+IF(M1113="Sí",'Configuración'!$B$8,0)+IF(N1113="Sí",'Configuración'!$B$9,0)+IF(O1113="Sí",'Configuración'!$B$10,0)+IF(P1113="Sí",'Configuración'!$B$11,0)+IF(Q1113="Sí",'Configuración'!$B$12,0)+S1113+T1113+U1113)</f>
        <v>20</v>
      </c>
      <c r="W1113" s="39" t="str">
        <f>IF(B1113="","",IF(V1113&gt;='Configuración'!$B$19,"A",IF(V1113&gt;='Configuración'!$B$20,"B",IF(V1113&gt;='Configuración'!$B$21,"C","Descarte"))))</f>
        <v>Descarte</v>
      </c>
    </row>
    <row r="1114" ht="15.75" customHeight="1">
      <c r="A1114" s="34">
        <f t="shared" si="1"/>
        <v>1112</v>
      </c>
      <c r="B1114" s="29" t="s">
        <v>6420</v>
      </c>
      <c r="C1114" s="29" t="s">
        <v>6421</v>
      </c>
      <c r="D1114" s="29" t="s">
        <v>6422</v>
      </c>
      <c r="E1114" s="29" t="s">
        <v>6423</v>
      </c>
      <c r="F1114" s="30" t="s">
        <v>6424</v>
      </c>
      <c r="G1114" s="30" t="s">
        <v>6425</v>
      </c>
      <c r="H1114" s="30" t="s">
        <v>6426</v>
      </c>
      <c r="I1114" s="29" t="s">
        <v>2350</v>
      </c>
      <c r="J1114" s="31">
        <v>5.0</v>
      </c>
      <c r="K1114" s="35"/>
      <c r="L1114" s="35"/>
      <c r="M1114" s="35"/>
      <c r="N1114" s="35"/>
      <c r="O1114" s="35"/>
      <c r="P1114" s="35"/>
      <c r="Q1114" s="35"/>
      <c r="R1114" s="35"/>
      <c r="S1114" s="37">
        <f>IF(B1114="","",IF(ISNUMBER(J1114),IF(J1114&lt;=10,'Configuración'!$B$23,IF(J1114&lt;=50,'Configuración'!$B$24,IF(J1114&lt;=200,'Configuración'!$B$25,0))),0))</f>
        <v>12</v>
      </c>
      <c r="T1114" s="37">
        <f>IF(B1114="","",IF(ISNUMBER(SEARCH("information technology",I1114))+ISNUMBER(SEARCH("software",I1114))+ISNUMBER(SEARCH("internet",I1114))+ISNUMBER(SEARCH("computer",I1114))+ISNUMBER(SEARCH("saas",I1114))+ISNUMBER(SEARCH("fintech",I1114))+ISNUMBER(SEARCH("information services",I1114))+ISNUMBER(SEARCH("telecommunications",I1114))&gt;0,'Configuración'!$B$27,'Configuración'!$B$28))</f>
        <v>4</v>
      </c>
      <c r="U1114" s="25">
        <f>IF(B1114="","",IF(ISNUMBER(SEARCH("CEO",C1114))+ISNUMBER(SEARCH("Founder",C1114))+ISNUMBER(SEARCH("Owner",C1114))+ISNUMBER(SEARCH("Dueño",C1114))+ISNUMBER(SEARCH("Director General",C1114))+ISNUMBER(SEARCH("Presidente",C1114))+ISNUMBER(SEARCH("President",C1114))&gt;0,'Configuración'!$B$31,IF(ISNUMBER(SEARCH("CMO",C1114))+ISNUMBER(SEARCH("Chief Marketing",C1114))+ISNUMBER(SEARCH("VP Marketing",C1114))+ISNUMBER(SEARCH("Director de Marketing",C1114))+ISNUMBER(SEARCH("Director Marketing",C1114))+ISNUMBER(SEARCH("Head of Marketing",C1114))+ISNUMBER(SEARCH("Head Marketing",C1114))&gt;0,'Configuración'!$B$32,IF(ISNUMBER(SEARCH("Marketing Manager",C1114))+ISNUMBER(SEARCH("Gerente de Marketing",C1114))+ISNUMBER(SEARCH("Growth Manager",C1114))+ISNUMBER(SEARCH("Demand Gen",C1114))+ISNUMBER(SEARCH("Marketing Lead",C1114))&gt;0,'Configuración'!$B$33,IF(ISNUMBER(SEARCH("COO",C1114))+ISNUMBER(SEARCH("CFO",C1114))+ISNUMBER(SEARCH("CTO",C1114))+ISNUMBER(SEARCH("Chief Operating",C1114))+ISNUMBER(SEARCH("Chief Financial",C1114))+ISNUMBER(SEARCH("Gerente General",C1114))+ISNUMBER(SEARCH("General Manager",C1114))&gt;0,'Configuración'!$B$34,'Configuración'!$B$35)))))</f>
        <v>12</v>
      </c>
      <c r="V1114" s="38">
        <f>IF(B1114="","",IF(K1114="Sí",'Configuración'!$B$5,0)+IF(L1114="Semanal",'Configuración'!$B$6,IF(L1114="Mensual",'Configuración'!$B$7,0))+IF(M1114="Sí",'Configuración'!$B$8,0)+IF(N1114="Sí",'Configuración'!$B$9,0)+IF(O1114="Sí",'Configuración'!$B$10,0)+IF(P1114="Sí",'Configuración'!$B$11,0)+IF(Q1114="Sí",'Configuración'!$B$12,0)+S1114+T1114+U1114)</f>
        <v>28</v>
      </c>
      <c r="W1114" s="39" t="str">
        <f>IF(B1114="","",IF(V1114&gt;='Configuración'!$B$19,"A",IF(V1114&gt;='Configuración'!$B$20,"B",IF(V1114&gt;='Configuración'!$B$21,"C","Descarte"))))</f>
        <v>C</v>
      </c>
    </row>
    <row r="1115" ht="15.75" customHeight="1">
      <c r="A1115" s="34">
        <f t="shared" si="1"/>
        <v>1113</v>
      </c>
      <c r="B1115" s="29" t="s">
        <v>473</v>
      </c>
      <c r="C1115" s="29" t="s">
        <v>202</v>
      </c>
      <c r="D1115" s="29" t="s">
        <v>6271</v>
      </c>
      <c r="E1115" s="29" t="s">
        <v>6427</v>
      </c>
      <c r="F1115" s="30" t="s">
        <v>6428</v>
      </c>
      <c r="G1115" s="30" t="s">
        <v>6274</v>
      </c>
      <c r="H1115" s="30" t="s">
        <v>6275</v>
      </c>
      <c r="I1115" s="29" t="s">
        <v>116</v>
      </c>
      <c r="J1115" s="31">
        <v>8.0</v>
      </c>
      <c r="K1115" s="35"/>
      <c r="L1115" s="35"/>
      <c r="M1115" s="35"/>
      <c r="N1115" s="35"/>
      <c r="O1115" s="35"/>
      <c r="P1115" s="35"/>
      <c r="Q1115" s="35"/>
      <c r="R1115" s="35"/>
      <c r="S1115" s="37">
        <f>IF(B1115="","",IF(ISNUMBER(J1115),IF(J1115&lt;=10,'Configuración'!$B$23,IF(J1115&lt;=50,'Configuración'!$B$24,IF(J1115&lt;=200,'Configuración'!$B$25,0))),0))</f>
        <v>12</v>
      </c>
      <c r="T1115" s="37">
        <f>IF(B1115="","",IF(ISNUMBER(SEARCH("information technology",I1115))+ISNUMBER(SEARCH("software",I1115))+ISNUMBER(SEARCH("internet",I1115))+ISNUMBER(SEARCH("computer",I1115))+ISNUMBER(SEARCH("saas",I1115))+ISNUMBER(SEARCH("fintech",I1115))+ISNUMBER(SEARCH("information services",I1115))+ISNUMBER(SEARCH("telecommunications",I1115))&gt;0,'Configuración'!$B$27,'Configuración'!$B$28))</f>
        <v>4</v>
      </c>
      <c r="U1115" s="25">
        <f>IF(B1115="","",IF(ISNUMBER(SEARCH("CEO",C1115))+ISNUMBER(SEARCH("Founder",C1115))+ISNUMBER(SEARCH("Owner",C1115))+ISNUMBER(SEARCH("Dueño",C1115))+ISNUMBER(SEARCH("Director General",C1115))+ISNUMBER(SEARCH("Presidente",C1115))+ISNUMBER(SEARCH("President",C1115))&gt;0,'Configuración'!$B$31,IF(ISNUMBER(SEARCH("CMO",C1115))+ISNUMBER(SEARCH("Chief Marketing",C1115))+ISNUMBER(SEARCH("VP Marketing",C1115))+ISNUMBER(SEARCH("Director de Marketing",C1115))+ISNUMBER(SEARCH("Director Marketing",C1115))+ISNUMBER(SEARCH("Head of Marketing",C1115))+ISNUMBER(SEARCH("Head Marketing",C1115))&gt;0,'Configuración'!$B$32,IF(ISNUMBER(SEARCH("Marketing Manager",C1115))+ISNUMBER(SEARCH("Gerente de Marketing",C1115))+ISNUMBER(SEARCH("Growth Manager",C1115))+ISNUMBER(SEARCH("Demand Gen",C1115))+ISNUMBER(SEARCH("Marketing Lead",C1115))&gt;0,'Configuración'!$B$33,IF(ISNUMBER(SEARCH("COO",C1115))+ISNUMBER(SEARCH("CFO",C1115))+ISNUMBER(SEARCH("CTO",C1115))+ISNUMBER(SEARCH("Chief Operating",C1115))+ISNUMBER(SEARCH("Chief Financial",C1115))+ISNUMBER(SEARCH("Gerente General",C1115))+ISNUMBER(SEARCH("General Manager",C1115))&gt;0,'Configuración'!$B$34,'Configuración'!$B$35)))))</f>
        <v>12</v>
      </c>
      <c r="V1115" s="38">
        <f>IF(B1115="","",IF(K1115="Sí",'Configuración'!$B$5,0)+IF(L1115="Semanal",'Configuración'!$B$6,IF(L1115="Mensual",'Configuración'!$B$7,0))+IF(M1115="Sí",'Configuración'!$B$8,0)+IF(N1115="Sí",'Configuración'!$B$9,0)+IF(O1115="Sí",'Configuración'!$B$10,0)+IF(P1115="Sí",'Configuración'!$B$11,0)+IF(Q1115="Sí",'Configuración'!$B$12,0)+S1115+T1115+U1115)</f>
        <v>28</v>
      </c>
      <c r="W1115" s="39" t="str">
        <f>IF(B1115="","",IF(V1115&gt;='Configuración'!$B$19,"A",IF(V1115&gt;='Configuración'!$B$20,"B",IF(V1115&gt;='Configuración'!$B$21,"C","Descarte"))))</f>
        <v>C</v>
      </c>
    </row>
    <row r="1116" ht="15.75" customHeight="1">
      <c r="A1116" s="34">
        <f t="shared" si="1"/>
        <v>1114</v>
      </c>
      <c r="B1116" s="29" t="s">
        <v>236</v>
      </c>
      <c r="C1116" s="29" t="s">
        <v>1847</v>
      </c>
      <c r="D1116" s="29" t="s">
        <v>1015</v>
      </c>
      <c r="E1116" s="29" t="s">
        <v>6429</v>
      </c>
      <c r="F1116" s="30" t="s">
        <v>6430</v>
      </c>
      <c r="G1116" s="30" t="s">
        <v>1018</v>
      </c>
      <c r="H1116" s="30" t="s">
        <v>1019</v>
      </c>
      <c r="I1116" s="29" t="s">
        <v>137</v>
      </c>
      <c r="J1116" s="31">
        <v>10.0</v>
      </c>
      <c r="K1116" s="35"/>
      <c r="L1116" s="35"/>
      <c r="M1116" s="35"/>
      <c r="N1116" s="35"/>
      <c r="O1116" s="35"/>
      <c r="P1116" s="35"/>
      <c r="Q1116" s="35"/>
      <c r="R1116" s="35"/>
      <c r="S1116" s="37">
        <f>IF(B1116="","",IF(ISNUMBER(J1116),IF(J1116&lt;=10,'Configuración'!$B$23,IF(J1116&lt;=50,'Configuración'!$B$24,IF(J1116&lt;=200,'Configuración'!$B$25,0))),0))</f>
        <v>12</v>
      </c>
      <c r="T1116" s="37">
        <f>IF(B1116="","",IF(ISNUMBER(SEARCH("information technology",I1116))+ISNUMBER(SEARCH("software",I1116))+ISNUMBER(SEARCH("internet",I1116))+ISNUMBER(SEARCH("computer",I1116))+ISNUMBER(SEARCH("saas",I1116))+ISNUMBER(SEARCH("fintech",I1116))+ISNUMBER(SEARCH("information services",I1116))+ISNUMBER(SEARCH("telecommunications",I1116))&gt;0,'Configuración'!$B$27,'Configuración'!$B$28))</f>
        <v>4</v>
      </c>
      <c r="U1116" s="25">
        <f>IF(B1116="","",IF(ISNUMBER(SEARCH("CEO",C1116))+ISNUMBER(SEARCH("Founder",C1116))+ISNUMBER(SEARCH("Owner",C1116))+ISNUMBER(SEARCH("Dueño",C1116))+ISNUMBER(SEARCH("Director General",C1116))+ISNUMBER(SEARCH("Presidente",C1116))+ISNUMBER(SEARCH("President",C1116))&gt;0,'Configuración'!$B$31,IF(ISNUMBER(SEARCH("CMO",C1116))+ISNUMBER(SEARCH("Chief Marketing",C1116))+ISNUMBER(SEARCH("VP Marketing",C1116))+ISNUMBER(SEARCH("Director de Marketing",C1116))+ISNUMBER(SEARCH("Director Marketing",C1116))+ISNUMBER(SEARCH("Head of Marketing",C1116))+ISNUMBER(SEARCH("Head Marketing",C1116))&gt;0,'Configuración'!$B$32,IF(ISNUMBER(SEARCH("Marketing Manager",C1116))+ISNUMBER(SEARCH("Gerente de Marketing",C1116))+ISNUMBER(SEARCH("Growth Manager",C1116))+ISNUMBER(SEARCH("Demand Gen",C1116))+ISNUMBER(SEARCH("Marketing Lead",C1116))&gt;0,'Configuración'!$B$33,IF(ISNUMBER(SEARCH("COO",C1116))+ISNUMBER(SEARCH("CFO",C1116))+ISNUMBER(SEARCH("CTO",C1116))+ISNUMBER(SEARCH("Chief Operating",C1116))+ISNUMBER(SEARCH("Chief Financial",C1116))+ISNUMBER(SEARCH("Gerente General",C1116))+ISNUMBER(SEARCH("General Manager",C1116))&gt;0,'Configuración'!$B$34,'Configuración'!$B$35)))))</f>
        <v>12</v>
      </c>
      <c r="V1116" s="38">
        <f>IF(B1116="","",IF(K1116="Sí",'Configuración'!$B$5,0)+IF(L1116="Semanal",'Configuración'!$B$6,IF(L1116="Mensual",'Configuración'!$B$7,0))+IF(M1116="Sí",'Configuración'!$B$8,0)+IF(N1116="Sí",'Configuración'!$B$9,0)+IF(O1116="Sí",'Configuración'!$B$10,0)+IF(P1116="Sí",'Configuración'!$B$11,0)+IF(Q1116="Sí",'Configuración'!$B$12,0)+S1116+T1116+U1116)</f>
        <v>28</v>
      </c>
      <c r="W1116" s="39" t="str">
        <f>IF(B1116="","",IF(V1116&gt;='Configuración'!$B$19,"A",IF(V1116&gt;='Configuración'!$B$20,"B",IF(V1116&gt;='Configuración'!$B$21,"C","Descarte"))))</f>
        <v>C</v>
      </c>
    </row>
    <row r="1117" ht="15.75" customHeight="1">
      <c r="A1117" s="34">
        <f t="shared" si="1"/>
        <v>1115</v>
      </c>
      <c r="B1117" s="29" t="s">
        <v>6431</v>
      </c>
      <c r="C1117" s="29" t="s">
        <v>175</v>
      </c>
      <c r="D1117" s="29" t="s">
        <v>6432</v>
      </c>
      <c r="E1117" s="29" t="s">
        <v>6433</v>
      </c>
      <c r="F1117" s="30" t="s">
        <v>6434</v>
      </c>
      <c r="G1117" s="30" t="s">
        <v>6435</v>
      </c>
      <c r="H1117" s="30" t="s">
        <v>6436</v>
      </c>
      <c r="I1117" s="29" t="s">
        <v>188</v>
      </c>
      <c r="J1117" s="31">
        <v>3.0</v>
      </c>
      <c r="K1117" s="35"/>
      <c r="L1117" s="35"/>
      <c r="M1117" s="35"/>
      <c r="N1117" s="35"/>
      <c r="O1117" s="35"/>
      <c r="P1117" s="35"/>
      <c r="Q1117" s="35"/>
      <c r="R1117" s="35"/>
      <c r="S1117" s="37">
        <f>IF(B1117="","",IF(ISNUMBER(J1117),IF(J1117&lt;=10,'Configuración'!$B$23,IF(J1117&lt;=50,'Configuración'!$B$24,IF(J1117&lt;=200,'Configuración'!$B$25,0))),0))</f>
        <v>12</v>
      </c>
      <c r="T1117" s="37">
        <f>IF(B1117="","",IF(ISNUMBER(SEARCH("information technology",I1117))+ISNUMBER(SEARCH("software",I1117))+ISNUMBER(SEARCH("internet",I1117))+ISNUMBER(SEARCH("computer",I1117))+ISNUMBER(SEARCH("saas",I1117))+ISNUMBER(SEARCH("fintech",I1117))+ISNUMBER(SEARCH("information services",I1117))+ISNUMBER(SEARCH("telecommunications",I1117))&gt;0,'Configuración'!$B$27,'Configuración'!$B$28))</f>
        <v>4</v>
      </c>
      <c r="U1117" s="25">
        <f>IF(B1117="","",IF(ISNUMBER(SEARCH("CEO",C1117))+ISNUMBER(SEARCH("Founder",C1117))+ISNUMBER(SEARCH("Owner",C1117))+ISNUMBER(SEARCH("Dueño",C1117))+ISNUMBER(SEARCH("Director General",C1117))+ISNUMBER(SEARCH("Presidente",C1117))+ISNUMBER(SEARCH("President",C1117))&gt;0,'Configuración'!$B$31,IF(ISNUMBER(SEARCH("CMO",C1117))+ISNUMBER(SEARCH("Chief Marketing",C1117))+ISNUMBER(SEARCH("VP Marketing",C1117))+ISNUMBER(SEARCH("Director de Marketing",C1117))+ISNUMBER(SEARCH("Director Marketing",C1117))+ISNUMBER(SEARCH("Head of Marketing",C1117))+ISNUMBER(SEARCH("Head Marketing",C1117))&gt;0,'Configuración'!$B$32,IF(ISNUMBER(SEARCH("Marketing Manager",C1117))+ISNUMBER(SEARCH("Gerente de Marketing",C1117))+ISNUMBER(SEARCH("Growth Manager",C1117))+ISNUMBER(SEARCH("Demand Gen",C1117))+ISNUMBER(SEARCH("Marketing Lead",C1117))&gt;0,'Configuración'!$B$33,IF(ISNUMBER(SEARCH("COO",C1117))+ISNUMBER(SEARCH("CFO",C1117))+ISNUMBER(SEARCH("CTO",C1117))+ISNUMBER(SEARCH("Chief Operating",C1117))+ISNUMBER(SEARCH("Chief Financial",C1117))+ISNUMBER(SEARCH("Gerente General",C1117))+ISNUMBER(SEARCH("General Manager",C1117))&gt;0,'Configuración'!$B$34,'Configuración'!$B$35)))))</f>
        <v>12</v>
      </c>
      <c r="V1117" s="38">
        <f>IF(B1117="","",IF(K1117="Sí",'Configuración'!$B$5,0)+IF(L1117="Semanal",'Configuración'!$B$6,IF(L1117="Mensual",'Configuración'!$B$7,0))+IF(M1117="Sí",'Configuración'!$B$8,0)+IF(N1117="Sí",'Configuración'!$B$9,0)+IF(O1117="Sí",'Configuración'!$B$10,0)+IF(P1117="Sí",'Configuración'!$B$11,0)+IF(Q1117="Sí",'Configuración'!$B$12,0)+S1117+T1117+U1117)</f>
        <v>28</v>
      </c>
      <c r="W1117" s="39" t="str">
        <f>IF(B1117="","",IF(V1117&gt;='Configuración'!$B$19,"A",IF(V1117&gt;='Configuración'!$B$20,"B",IF(V1117&gt;='Configuración'!$B$21,"C","Descarte"))))</f>
        <v>C</v>
      </c>
    </row>
    <row r="1118" ht="15.75" customHeight="1">
      <c r="A1118" s="34">
        <f t="shared" si="1"/>
        <v>1116</v>
      </c>
      <c r="B1118" s="29" t="s">
        <v>1686</v>
      </c>
      <c r="C1118" s="29" t="s">
        <v>1815</v>
      </c>
      <c r="D1118" s="29" t="s">
        <v>6437</v>
      </c>
      <c r="E1118" s="29" t="s">
        <v>6438</v>
      </c>
      <c r="F1118" s="30" t="s">
        <v>6439</v>
      </c>
      <c r="G1118" s="30" t="s">
        <v>6440</v>
      </c>
      <c r="H1118" s="30" t="s">
        <v>6441</v>
      </c>
      <c r="I1118" s="29" t="s">
        <v>127</v>
      </c>
      <c r="J1118" s="31">
        <v>9.0</v>
      </c>
      <c r="K1118" s="35"/>
      <c r="L1118" s="35"/>
      <c r="M1118" s="35"/>
      <c r="N1118" s="35"/>
      <c r="O1118" s="35"/>
      <c r="P1118" s="35"/>
      <c r="Q1118" s="35"/>
      <c r="R1118" s="35"/>
      <c r="S1118" s="37">
        <f>IF(B1118="","",IF(ISNUMBER(J1118),IF(J1118&lt;=10,'Configuración'!$B$23,IF(J1118&lt;=50,'Configuración'!$B$24,IF(J1118&lt;=200,'Configuración'!$B$25,0))),0))</f>
        <v>12</v>
      </c>
      <c r="T1118" s="37">
        <f>IF(B1118="","",IF(ISNUMBER(SEARCH("information technology",I1118))+ISNUMBER(SEARCH("software",I1118))+ISNUMBER(SEARCH("internet",I1118))+ISNUMBER(SEARCH("computer",I1118))+ISNUMBER(SEARCH("saas",I1118))+ISNUMBER(SEARCH("fintech",I1118))+ISNUMBER(SEARCH("information services",I1118))+ISNUMBER(SEARCH("telecommunications",I1118))&gt;0,'Configuración'!$B$27,'Configuración'!$B$28))</f>
        <v>12</v>
      </c>
      <c r="U1118" s="25">
        <f>IF(B1118="","",IF(ISNUMBER(SEARCH("CEO",C1118))+ISNUMBER(SEARCH("Founder",C1118))+ISNUMBER(SEARCH("Owner",C1118))+ISNUMBER(SEARCH("Dueño",C1118))+ISNUMBER(SEARCH("Director General",C1118))+ISNUMBER(SEARCH("Presidente",C1118))+ISNUMBER(SEARCH("President",C1118))&gt;0,'Configuración'!$B$31,IF(ISNUMBER(SEARCH("CMO",C1118))+ISNUMBER(SEARCH("Chief Marketing",C1118))+ISNUMBER(SEARCH("VP Marketing",C1118))+ISNUMBER(SEARCH("Director de Marketing",C1118))+ISNUMBER(SEARCH("Director Marketing",C1118))+ISNUMBER(SEARCH("Head of Marketing",C1118))+ISNUMBER(SEARCH("Head Marketing",C1118))&gt;0,'Configuración'!$B$32,IF(ISNUMBER(SEARCH("Marketing Manager",C1118))+ISNUMBER(SEARCH("Gerente de Marketing",C1118))+ISNUMBER(SEARCH("Growth Manager",C1118))+ISNUMBER(SEARCH("Demand Gen",C1118))+ISNUMBER(SEARCH("Marketing Lead",C1118))&gt;0,'Configuración'!$B$33,IF(ISNUMBER(SEARCH("COO",C1118))+ISNUMBER(SEARCH("CFO",C1118))+ISNUMBER(SEARCH("CTO",C1118))+ISNUMBER(SEARCH("Chief Operating",C1118))+ISNUMBER(SEARCH("Chief Financial",C1118))+ISNUMBER(SEARCH("Gerente General",C1118))+ISNUMBER(SEARCH("General Manager",C1118))&gt;0,'Configuración'!$B$34,'Configuración'!$B$35)))))</f>
        <v>12</v>
      </c>
      <c r="V1118" s="38">
        <f>IF(B1118="","",IF(K1118="Sí",'Configuración'!$B$5,0)+IF(L1118="Semanal",'Configuración'!$B$6,IF(L1118="Mensual",'Configuración'!$B$7,0))+IF(M1118="Sí",'Configuración'!$B$8,0)+IF(N1118="Sí",'Configuración'!$B$9,0)+IF(O1118="Sí",'Configuración'!$B$10,0)+IF(P1118="Sí",'Configuración'!$B$11,0)+IF(Q1118="Sí",'Configuración'!$B$12,0)+S1118+T1118+U1118)</f>
        <v>36</v>
      </c>
      <c r="W1118" s="39" t="str">
        <f>IF(B1118="","",IF(V1118&gt;='Configuración'!$B$19,"A",IF(V1118&gt;='Configuración'!$B$20,"B",IF(V1118&gt;='Configuración'!$B$21,"C","Descarte"))))</f>
        <v>C</v>
      </c>
    </row>
    <row r="1119" ht="15.75" customHeight="1">
      <c r="A1119" s="34">
        <f t="shared" si="1"/>
        <v>1117</v>
      </c>
      <c r="B1119" s="29" t="s">
        <v>6442</v>
      </c>
      <c r="C1119" s="29" t="s">
        <v>131</v>
      </c>
      <c r="D1119" s="29" t="s">
        <v>6443</v>
      </c>
      <c r="E1119" s="29" t="s">
        <v>6444</v>
      </c>
      <c r="F1119" s="30" t="s">
        <v>6445</v>
      </c>
      <c r="G1119" s="30" t="s">
        <v>6446</v>
      </c>
      <c r="H1119" s="30" t="s">
        <v>6447</v>
      </c>
      <c r="I1119" s="29" t="s">
        <v>188</v>
      </c>
      <c r="J1119" s="31">
        <v>20.0</v>
      </c>
      <c r="K1119" s="35"/>
      <c r="L1119" s="35"/>
      <c r="M1119" s="35"/>
      <c r="N1119" s="35"/>
      <c r="O1119" s="35"/>
      <c r="P1119" s="35"/>
      <c r="Q1119" s="35"/>
      <c r="R1119" s="35"/>
      <c r="S1119" s="37">
        <f>IF(B1119="","",IF(ISNUMBER(J1119),IF(J1119&lt;=10,'Configuración'!$B$23,IF(J1119&lt;=50,'Configuración'!$B$24,IF(J1119&lt;=200,'Configuración'!$B$25,0))),0))</f>
        <v>4</v>
      </c>
      <c r="T1119" s="37">
        <f>IF(B1119="","",IF(ISNUMBER(SEARCH("information technology",I1119))+ISNUMBER(SEARCH("software",I1119))+ISNUMBER(SEARCH("internet",I1119))+ISNUMBER(SEARCH("computer",I1119))+ISNUMBER(SEARCH("saas",I1119))+ISNUMBER(SEARCH("fintech",I1119))+ISNUMBER(SEARCH("information services",I1119))+ISNUMBER(SEARCH("telecommunications",I1119))&gt;0,'Configuración'!$B$27,'Configuración'!$B$28))</f>
        <v>4</v>
      </c>
      <c r="U1119" s="25">
        <f>IF(B1119="","",IF(ISNUMBER(SEARCH("CEO",C1119))+ISNUMBER(SEARCH("Founder",C1119))+ISNUMBER(SEARCH("Owner",C1119))+ISNUMBER(SEARCH("Dueño",C1119))+ISNUMBER(SEARCH("Director General",C1119))+ISNUMBER(SEARCH("Presidente",C1119))+ISNUMBER(SEARCH("President",C1119))&gt;0,'Configuración'!$B$31,IF(ISNUMBER(SEARCH("CMO",C1119))+ISNUMBER(SEARCH("Chief Marketing",C1119))+ISNUMBER(SEARCH("VP Marketing",C1119))+ISNUMBER(SEARCH("Director de Marketing",C1119))+ISNUMBER(SEARCH("Director Marketing",C1119))+ISNUMBER(SEARCH("Head of Marketing",C1119))+ISNUMBER(SEARCH("Head Marketing",C1119))&gt;0,'Configuración'!$B$32,IF(ISNUMBER(SEARCH("Marketing Manager",C1119))+ISNUMBER(SEARCH("Gerente de Marketing",C1119))+ISNUMBER(SEARCH("Growth Manager",C1119))+ISNUMBER(SEARCH("Demand Gen",C1119))+ISNUMBER(SEARCH("Marketing Lead",C1119))&gt;0,'Configuración'!$B$33,IF(ISNUMBER(SEARCH("COO",C1119))+ISNUMBER(SEARCH("CFO",C1119))+ISNUMBER(SEARCH("CTO",C1119))+ISNUMBER(SEARCH("Chief Operating",C1119))+ISNUMBER(SEARCH("Chief Financial",C1119))+ISNUMBER(SEARCH("Gerente General",C1119))+ISNUMBER(SEARCH("General Manager",C1119))&gt;0,'Configuración'!$B$34,'Configuración'!$B$35)))))</f>
        <v>12</v>
      </c>
      <c r="V1119" s="38">
        <f>IF(B1119="","",IF(K1119="Sí",'Configuración'!$B$5,0)+IF(L1119="Semanal",'Configuración'!$B$6,IF(L1119="Mensual",'Configuración'!$B$7,0))+IF(M1119="Sí",'Configuración'!$B$8,0)+IF(N1119="Sí",'Configuración'!$B$9,0)+IF(O1119="Sí",'Configuración'!$B$10,0)+IF(P1119="Sí",'Configuración'!$B$11,0)+IF(Q1119="Sí",'Configuración'!$B$12,0)+S1119+T1119+U1119)</f>
        <v>20</v>
      </c>
      <c r="W1119" s="39" t="str">
        <f>IF(B1119="","",IF(V1119&gt;='Configuración'!$B$19,"A",IF(V1119&gt;='Configuración'!$B$20,"B",IF(V1119&gt;='Configuración'!$B$21,"C","Descarte"))))</f>
        <v>Descarte</v>
      </c>
    </row>
    <row r="1120" ht="15.75" customHeight="1">
      <c r="A1120" s="34">
        <f t="shared" si="1"/>
        <v>1118</v>
      </c>
      <c r="B1120" s="29" t="s">
        <v>501</v>
      </c>
      <c r="C1120" s="29" t="s">
        <v>6448</v>
      </c>
      <c r="D1120" s="29" t="s">
        <v>6449</v>
      </c>
      <c r="E1120" s="29" t="s">
        <v>6450</v>
      </c>
      <c r="F1120" s="30" t="s">
        <v>6451</v>
      </c>
      <c r="G1120" s="30" t="s">
        <v>6452</v>
      </c>
      <c r="H1120" s="30" t="s">
        <v>6453</v>
      </c>
      <c r="I1120" s="29" t="s">
        <v>188</v>
      </c>
      <c r="J1120" s="31">
        <v>2.0</v>
      </c>
      <c r="K1120" s="35"/>
      <c r="L1120" s="35"/>
      <c r="M1120" s="35"/>
      <c r="N1120" s="35"/>
      <c r="O1120" s="35"/>
      <c r="P1120" s="35"/>
      <c r="Q1120" s="35"/>
      <c r="R1120" s="35"/>
      <c r="S1120" s="37">
        <f>IF(B1120="","",IF(ISNUMBER(J1120),IF(J1120&lt;=10,'Configuración'!$B$23,IF(J1120&lt;=50,'Configuración'!$B$24,IF(J1120&lt;=200,'Configuración'!$B$25,0))),0))</f>
        <v>12</v>
      </c>
      <c r="T1120" s="37">
        <f>IF(B1120="","",IF(ISNUMBER(SEARCH("information technology",I1120))+ISNUMBER(SEARCH("software",I1120))+ISNUMBER(SEARCH("internet",I1120))+ISNUMBER(SEARCH("computer",I1120))+ISNUMBER(SEARCH("saas",I1120))+ISNUMBER(SEARCH("fintech",I1120))+ISNUMBER(SEARCH("information services",I1120))+ISNUMBER(SEARCH("telecommunications",I1120))&gt;0,'Configuración'!$B$27,'Configuración'!$B$28))</f>
        <v>4</v>
      </c>
      <c r="U1120" s="25">
        <f>IF(B1120="","",IF(ISNUMBER(SEARCH("CEO",C1120))+ISNUMBER(SEARCH("Founder",C1120))+ISNUMBER(SEARCH("Owner",C1120))+ISNUMBER(SEARCH("Dueño",C1120))+ISNUMBER(SEARCH("Director General",C1120))+ISNUMBER(SEARCH("Presidente",C1120))+ISNUMBER(SEARCH("President",C1120))&gt;0,'Configuración'!$B$31,IF(ISNUMBER(SEARCH("CMO",C1120))+ISNUMBER(SEARCH("Chief Marketing",C1120))+ISNUMBER(SEARCH("VP Marketing",C1120))+ISNUMBER(SEARCH("Director de Marketing",C1120))+ISNUMBER(SEARCH("Director Marketing",C1120))+ISNUMBER(SEARCH("Head of Marketing",C1120))+ISNUMBER(SEARCH("Head Marketing",C1120))&gt;0,'Configuración'!$B$32,IF(ISNUMBER(SEARCH("Marketing Manager",C1120))+ISNUMBER(SEARCH("Gerente de Marketing",C1120))+ISNUMBER(SEARCH("Growth Manager",C1120))+ISNUMBER(SEARCH("Demand Gen",C1120))+ISNUMBER(SEARCH("Marketing Lead",C1120))&gt;0,'Configuración'!$B$33,IF(ISNUMBER(SEARCH("COO",C1120))+ISNUMBER(SEARCH("CFO",C1120))+ISNUMBER(SEARCH("CTO",C1120))+ISNUMBER(SEARCH("Chief Operating",C1120))+ISNUMBER(SEARCH("Chief Financial",C1120))+ISNUMBER(SEARCH("Gerente General",C1120))+ISNUMBER(SEARCH("General Manager",C1120))&gt;0,'Configuración'!$B$34,'Configuración'!$B$35)))))</f>
        <v>12</v>
      </c>
      <c r="V1120" s="38">
        <f>IF(B1120="","",IF(K1120="Sí",'Configuración'!$B$5,0)+IF(L1120="Semanal",'Configuración'!$B$6,IF(L1120="Mensual",'Configuración'!$B$7,0))+IF(M1120="Sí",'Configuración'!$B$8,0)+IF(N1120="Sí",'Configuración'!$B$9,0)+IF(O1120="Sí",'Configuración'!$B$10,0)+IF(P1120="Sí",'Configuración'!$B$11,0)+IF(Q1120="Sí",'Configuración'!$B$12,0)+S1120+T1120+U1120)</f>
        <v>28</v>
      </c>
      <c r="W1120" s="39" t="str">
        <f>IF(B1120="","",IF(V1120&gt;='Configuración'!$B$19,"A",IF(V1120&gt;='Configuración'!$B$20,"B",IF(V1120&gt;='Configuración'!$B$21,"C","Descarte"))))</f>
        <v>C</v>
      </c>
    </row>
    <row r="1121" ht="15.75" customHeight="1">
      <c r="A1121" s="34">
        <f t="shared" si="1"/>
        <v>1119</v>
      </c>
      <c r="B1121" s="29" t="s">
        <v>6454</v>
      </c>
      <c r="C1121" s="29" t="s">
        <v>121</v>
      </c>
      <c r="D1121" s="29" t="s">
        <v>6455</v>
      </c>
      <c r="E1121" s="29" t="s">
        <v>6456</v>
      </c>
      <c r="F1121" s="30" t="s">
        <v>6457</v>
      </c>
      <c r="G1121" s="30" t="s">
        <v>6458</v>
      </c>
      <c r="H1121" s="30" t="s">
        <v>6459</v>
      </c>
      <c r="I1121" s="29" t="s">
        <v>2904</v>
      </c>
      <c r="J1121" s="31">
        <v>11.0</v>
      </c>
      <c r="K1121" s="35"/>
      <c r="L1121" s="35"/>
      <c r="M1121" s="35"/>
      <c r="N1121" s="35"/>
      <c r="O1121" s="35"/>
      <c r="P1121" s="35"/>
      <c r="Q1121" s="35"/>
      <c r="R1121" s="35"/>
      <c r="S1121" s="37">
        <f>IF(B1121="","",IF(ISNUMBER(J1121),IF(J1121&lt;=10,'Configuración'!$B$23,IF(J1121&lt;=50,'Configuración'!$B$24,IF(J1121&lt;=200,'Configuración'!$B$25,0))),0))</f>
        <v>4</v>
      </c>
      <c r="T1121" s="37">
        <f>IF(B1121="","",IF(ISNUMBER(SEARCH("information technology",I1121))+ISNUMBER(SEARCH("software",I1121))+ISNUMBER(SEARCH("internet",I1121))+ISNUMBER(SEARCH("computer",I1121))+ISNUMBER(SEARCH("saas",I1121))+ISNUMBER(SEARCH("fintech",I1121))+ISNUMBER(SEARCH("information services",I1121))+ISNUMBER(SEARCH("telecommunications",I1121))&gt;0,'Configuración'!$B$27,'Configuración'!$B$28))</f>
        <v>4</v>
      </c>
      <c r="U1121" s="25">
        <f>IF(B1121="","",IF(ISNUMBER(SEARCH("CEO",C1121))+ISNUMBER(SEARCH("Founder",C1121))+ISNUMBER(SEARCH("Owner",C1121))+ISNUMBER(SEARCH("Dueño",C1121))+ISNUMBER(SEARCH("Director General",C1121))+ISNUMBER(SEARCH("Presidente",C1121))+ISNUMBER(SEARCH("President",C1121))&gt;0,'Configuración'!$B$31,IF(ISNUMBER(SEARCH("CMO",C1121))+ISNUMBER(SEARCH("Chief Marketing",C1121))+ISNUMBER(SEARCH("VP Marketing",C1121))+ISNUMBER(SEARCH("Director de Marketing",C1121))+ISNUMBER(SEARCH("Director Marketing",C1121))+ISNUMBER(SEARCH("Head of Marketing",C1121))+ISNUMBER(SEARCH("Head Marketing",C1121))&gt;0,'Configuración'!$B$32,IF(ISNUMBER(SEARCH("Marketing Manager",C1121))+ISNUMBER(SEARCH("Gerente de Marketing",C1121))+ISNUMBER(SEARCH("Growth Manager",C1121))+ISNUMBER(SEARCH("Demand Gen",C1121))+ISNUMBER(SEARCH("Marketing Lead",C1121))&gt;0,'Configuración'!$B$33,IF(ISNUMBER(SEARCH("COO",C1121))+ISNUMBER(SEARCH("CFO",C1121))+ISNUMBER(SEARCH("CTO",C1121))+ISNUMBER(SEARCH("Chief Operating",C1121))+ISNUMBER(SEARCH("Chief Financial",C1121))+ISNUMBER(SEARCH("Gerente General",C1121))+ISNUMBER(SEARCH("General Manager",C1121))&gt;0,'Configuración'!$B$34,'Configuración'!$B$35)))))</f>
        <v>12</v>
      </c>
      <c r="V1121" s="38">
        <f>IF(B1121="","",IF(K1121="Sí",'Configuración'!$B$5,0)+IF(L1121="Semanal",'Configuración'!$B$6,IF(L1121="Mensual",'Configuración'!$B$7,0))+IF(M1121="Sí",'Configuración'!$B$8,0)+IF(N1121="Sí",'Configuración'!$B$9,0)+IF(O1121="Sí",'Configuración'!$B$10,0)+IF(P1121="Sí",'Configuración'!$B$11,0)+IF(Q1121="Sí",'Configuración'!$B$12,0)+S1121+T1121+U1121)</f>
        <v>20</v>
      </c>
      <c r="W1121" s="39" t="str">
        <f>IF(B1121="","",IF(V1121&gt;='Configuración'!$B$19,"A",IF(V1121&gt;='Configuración'!$B$20,"B",IF(V1121&gt;='Configuración'!$B$21,"C","Descarte"))))</f>
        <v>Descarte</v>
      </c>
    </row>
    <row r="1122" ht="15.75" customHeight="1">
      <c r="A1122" s="34">
        <f t="shared" si="1"/>
        <v>1120</v>
      </c>
      <c r="B1122" s="29" t="s">
        <v>6460</v>
      </c>
      <c r="C1122" s="29" t="s">
        <v>622</v>
      </c>
      <c r="D1122" s="29" t="s">
        <v>6461</v>
      </c>
      <c r="E1122" s="29" t="s">
        <v>6462</v>
      </c>
      <c r="F1122" s="30" t="s">
        <v>6463</v>
      </c>
      <c r="G1122" s="30" t="s">
        <v>6464</v>
      </c>
      <c r="H1122" s="30" t="s">
        <v>6465</v>
      </c>
      <c r="I1122" s="29" t="s">
        <v>3212</v>
      </c>
      <c r="J1122" s="31">
        <v>7.0</v>
      </c>
      <c r="K1122" s="35"/>
      <c r="L1122" s="35"/>
      <c r="M1122" s="35"/>
      <c r="N1122" s="35"/>
      <c r="O1122" s="35"/>
      <c r="P1122" s="35"/>
      <c r="Q1122" s="35"/>
      <c r="R1122" s="35"/>
      <c r="S1122" s="37">
        <f>IF(B1122="","",IF(ISNUMBER(J1122),IF(J1122&lt;=10,'Configuración'!$B$23,IF(J1122&lt;=50,'Configuración'!$B$24,IF(J1122&lt;=200,'Configuración'!$B$25,0))),0))</f>
        <v>12</v>
      </c>
      <c r="T1122" s="37">
        <f>IF(B1122="","",IF(ISNUMBER(SEARCH("information technology",I1122))+ISNUMBER(SEARCH("software",I1122))+ISNUMBER(SEARCH("internet",I1122))+ISNUMBER(SEARCH("computer",I1122))+ISNUMBER(SEARCH("saas",I1122))+ISNUMBER(SEARCH("fintech",I1122))+ISNUMBER(SEARCH("information services",I1122))+ISNUMBER(SEARCH("telecommunications",I1122))&gt;0,'Configuración'!$B$27,'Configuración'!$B$28))</f>
        <v>4</v>
      </c>
      <c r="U1122" s="25">
        <f>IF(B1122="","",IF(ISNUMBER(SEARCH("CEO",C1122))+ISNUMBER(SEARCH("Founder",C1122))+ISNUMBER(SEARCH("Owner",C1122))+ISNUMBER(SEARCH("Dueño",C1122))+ISNUMBER(SEARCH("Director General",C1122))+ISNUMBER(SEARCH("Presidente",C1122))+ISNUMBER(SEARCH("President",C1122))&gt;0,'Configuración'!$B$31,IF(ISNUMBER(SEARCH("CMO",C1122))+ISNUMBER(SEARCH("Chief Marketing",C1122))+ISNUMBER(SEARCH("VP Marketing",C1122))+ISNUMBER(SEARCH("Director de Marketing",C1122))+ISNUMBER(SEARCH("Director Marketing",C1122))+ISNUMBER(SEARCH("Head of Marketing",C1122))+ISNUMBER(SEARCH("Head Marketing",C1122))&gt;0,'Configuración'!$B$32,IF(ISNUMBER(SEARCH("Marketing Manager",C1122))+ISNUMBER(SEARCH("Gerente de Marketing",C1122))+ISNUMBER(SEARCH("Growth Manager",C1122))+ISNUMBER(SEARCH("Demand Gen",C1122))+ISNUMBER(SEARCH("Marketing Lead",C1122))&gt;0,'Configuración'!$B$33,IF(ISNUMBER(SEARCH("COO",C1122))+ISNUMBER(SEARCH("CFO",C1122))+ISNUMBER(SEARCH("CTO",C1122))+ISNUMBER(SEARCH("Chief Operating",C1122))+ISNUMBER(SEARCH("Chief Financial",C1122))+ISNUMBER(SEARCH("Gerente General",C1122))+ISNUMBER(SEARCH("General Manager",C1122))&gt;0,'Configuración'!$B$34,'Configuración'!$B$35)))))</f>
        <v>12</v>
      </c>
      <c r="V1122" s="38">
        <f>IF(B1122="","",IF(K1122="Sí",'Configuración'!$B$5,0)+IF(L1122="Semanal",'Configuración'!$B$6,IF(L1122="Mensual",'Configuración'!$B$7,0))+IF(M1122="Sí",'Configuración'!$B$8,0)+IF(N1122="Sí",'Configuración'!$B$9,0)+IF(O1122="Sí",'Configuración'!$B$10,0)+IF(P1122="Sí",'Configuración'!$B$11,0)+IF(Q1122="Sí",'Configuración'!$B$12,0)+S1122+T1122+U1122)</f>
        <v>28</v>
      </c>
      <c r="W1122" s="39" t="str">
        <f>IF(B1122="","",IF(V1122&gt;='Configuración'!$B$19,"A",IF(V1122&gt;='Configuración'!$B$20,"B",IF(V1122&gt;='Configuración'!$B$21,"C","Descarte"))))</f>
        <v>C</v>
      </c>
    </row>
    <row r="1123" ht="15.75" customHeight="1">
      <c r="A1123" s="34">
        <f t="shared" si="1"/>
        <v>1121</v>
      </c>
      <c r="B1123" s="29" t="s">
        <v>6466</v>
      </c>
      <c r="C1123" s="29" t="s">
        <v>202</v>
      </c>
      <c r="D1123" s="29" t="s">
        <v>6467</v>
      </c>
      <c r="E1123" s="29" t="s">
        <v>6468</v>
      </c>
      <c r="F1123" s="30" t="s">
        <v>6469</v>
      </c>
      <c r="G1123" s="30" t="s">
        <v>6470</v>
      </c>
      <c r="H1123" s="30" t="s">
        <v>6471</v>
      </c>
      <c r="I1123" s="29" t="s">
        <v>458</v>
      </c>
      <c r="J1123" s="31">
        <v>2.0</v>
      </c>
      <c r="K1123" s="35"/>
      <c r="L1123" s="35"/>
      <c r="M1123" s="35"/>
      <c r="N1123" s="35"/>
      <c r="O1123" s="35"/>
      <c r="P1123" s="35"/>
      <c r="Q1123" s="35"/>
      <c r="R1123" s="35"/>
      <c r="S1123" s="37">
        <f>IF(B1123="","",IF(ISNUMBER(J1123),IF(J1123&lt;=10,'Configuración'!$B$23,IF(J1123&lt;=50,'Configuración'!$B$24,IF(J1123&lt;=200,'Configuración'!$B$25,0))),0))</f>
        <v>12</v>
      </c>
      <c r="T1123" s="37">
        <f>IF(B1123="","",IF(ISNUMBER(SEARCH("information technology",I1123))+ISNUMBER(SEARCH("software",I1123))+ISNUMBER(SEARCH("internet",I1123))+ISNUMBER(SEARCH("computer",I1123))+ISNUMBER(SEARCH("saas",I1123))+ISNUMBER(SEARCH("fintech",I1123))+ISNUMBER(SEARCH("information services",I1123))+ISNUMBER(SEARCH("telecommunications",I1123))&gt;0,'Configuración'!$B$27,'Configuración'!$B$28))</f>
        <v>4</v>
      </c>
      <c r="U1123" s="25">
        <f>IF(B1123="","",IF(ISNUMBER(SEARCH("CEO",C1123))+ISNUMBER(SEARCH("Founder",C1123))+ISNUMBER(SEARCH("Owner",C1123))+ISNUMBER(SEARCH("Dueño",C1123))+ISNUMBER(SEARCH("Director General",C1123))+ISNUMBER(SEARCH("Presidente",C1123))+ISNUMBER(SEARCH("President",C1123))&gt;0,'Configuración'!$B$31,IF(ISNUMBER(SEARCH("CMO",C1123))+ISNUMBER(SEARCH("Chief Marketing",C1123))+ISNUMBER(SEARCH("VP Marketing",C1123))+ISNUMBER(SEARCH("Director de Marketing",C1123))+ISNUMBER(SEARCH("Director Marketing",C1123))+ISNUMBER(SEARCH("Head of Marketing",C1123))+ISNUMBER(SEARCH("Head Marketing",C1123))&gt;0,'Configuración'!$B$32,IF(ISNUMBER(SEARCH("Marketing Manager",C1123))+ISNUMBER(SEARCH("Gerente de Marketing",C1123))+ISNUMBER(SEARCH("Growth Manager",C1123))+ISNUMBER(SEARCH("Demand Gen",C1123))+ISNUMBER(SEARCH("Marketing Lead",C1123))&gt;0,'Configuración'!$B$33,IF(ISNUMBER(SEARCH("COO",C1123))+ISNUMBER(SEARCH("CFO",C1123))+ISNUMBER(SEARCH("CTO",C1123))+ISNUMBER(SEARCH("Chief Operating",C1123))+ISNUMBER(SEARCH("Chief Financial",C1123))+ISNUMBER(SEARCH("Gerente General",C1123))+ISNUMBER(SEARCH("General Manager",C1123))&gt;0,'Configuración'!$B$34,'Configuración'!$B$35)))))</f>
        <v>12</v>
      </c>
      <c r="V1123" s="38">
        <f>IF(B1123="","",IF(K1123="Sí",'Configuración'!$B$5,0)+IF(L1123="Semanal",'Configuración'!$B$6,IF(L1123="Mensual",'Configuración'!$B$7,0))+IF(M1123="Sí",'Configuración'!$B$8,0)+IF(N1123="Sí",'Configuración'!$B$9,0)+IF(O1123="Sí",'Configuración'!$B$10,0)+IF(P1123="Sí",'Configuración'!$B$11,0)+IF(Q1123="Sí",'Configuración'!$B$12,0)+S1123+T1123+U1123)</f>
        <v>28</v>
      </c>
      <c r="W1123" s="39" t="str">
        <f>IF(B1123="","",IF(V1123&gt;='Configuración'!$B$19,"A",IF(V1123&gt;='Configuración'!$B$20,"B",IF(V1123&gt;='Configuración'!$B$21,"C","Descarte"))))</f>
        <v>C</v>
      </c>
    </row>
    <row r="1124" ht="15.75" customHeight="1">
      <c r="A1124" s="34">
        <f t="shared" si="1"/>
        <v>1122</v>
      </c>
      <c r="B1124" s="29" t="s">
        <v>262</v>
      </c>
      <c r="C1124" s="29" t="s">
        <v>224</v>
      </c>
      <c r="D1124" s="29" t="s">
        <v>6472</v>
      </c>
      <c r="E1124" s="29" t="s">
        <v>6473</v>
      </c>
      <c r="F1124" s="30" t="s">
        <v>6474</v>
      </c>
      <c r="G1124" s="30" t="s">
        <v>6475</v>
      </c>
      <c r="H1124" s="30" t="s">
        <v>6476</v>
      </c>
      <c r="I1124" s="29" t="s">
        <v>127</v>
      </c>
      <c r="J1124" s="31">
        <v>1.0</v>
      </c>
      <c r="K1124" s="35"/>
      <c r="L1124" s="35"/>
      <c r="M1124" s="35"/>
      <c r="N1124" s="35"/>
      <c r="O1124" s="35"/>
      <c r="P1124" s="35"/>
      <c r="Q1124" s="35"/>
      <c r="R1124" s="35"/>
      <c r="S1124" s="37">
        <f>IF(B1124="","",IF(ISNUMBER(J1124),IF(J1124&lt;=10,'Configuración'!$B$23,IF(J1124&lt;=50,'Configuración'!$B$24,IF(J1124&lt;=200,'Configuración'!$B$25,0))),0))</f>
        <v>12</v>
      </c>
      <c r="T1124" s="37">
        <f>IF(B1124="","",IF(ISNUMBER(SEARCH("information technology",I1124))+ISNUMBER(SEARCH("software",I1124))+ISNUMBER(SEARCH("internet",I1124))+ISNUMBER(SEARCH("computer",I1124))+ISNUMBER(SEARCH("saas",I1124))+ISNUMBER(SEARCH("fintech",I1124))+ISNUMBER(SEARCH("information services",I1124))+ISNUMBER(SEARCH("telecommunications",I1124))&gt;0,'Configuración'!$B$27,'Configuración'!$B$28))</f>
        <v>12</v>
      </c>
      <c r="U1124" s="25">
        <f>IF(B1124="","",IF(ISNUMBER(SEARCH("CEO",C1124))+ISNUMBER(SEARCH("Founder",C1124))+ISNUMBER(SEARCH("Owner",C1124))+ISNUMBER(SEARCH("Dueño",C1124))+ISNUMBER(SEARCH("Director General",C1124))+ISNUMBER(SEARCH("Presidente",C1124))+ISNUMBER(SEARCH("President",C1124))&gt;0,'Configuración'!$B$31,IF(ISNUMBER(SEARCH("CMO",C1124))+ISNUMBER(SEARCH("Chief Marketing",C1124))+ISNUMBER(SEARCH("VP Marketing",C1124))+ISNUMBER(SEARCH("Director de Marketing",C1124))+ISNUMBER(SEARCH("Director Marketing",C1124))+ISNUMBER(SEARCH("Head of Marketing",C1124))+ISNUMBER(SEARCH("Head Marketing",C1124))&gt;0,'Configuración'!$B$32,IF(ISNUMBER(SEARCH("Marketing Manager",C1124))+ISNUMBER(SEARCH("Gerente de Marketing",C1124))+ISNUMBER(SEARCH("Growth Manager",C1124))+ISNUMBER(SEARCH("Demand Gen",C1124))+ISNUMBER(SEARCH("Marketing Lead",C1124))&gt;0,'Configuración'!$B$33,IF(ISNUMBER(SEARCH("COO",C1124))+ISNUMBER(SEARCH("CFO",C1124))+ISNUMBER(SEARCH("CTO",C1124))+ISNUMBER(SEARCH("Chief Operating",C1124))+ISNUMBER(SEARCH("Chief Financial",C1124))+ISNUMBER(SEARCH("Gerente General",C1124))+ISNUMBER(SEARCH("General Manager",C1124))&gt;0,'Configuración'!$B$34,'Configuración'!$B$35)))))</f>
        <v>12</v>
      </c>
      <c r="V1124" s="38">
        <f>IF(B1124="","",IF(K1124="Sí",'Configuración'!$B$5,0)+IF(L1124="Semanal",'Configuración'!$B$6,IF(L1124="Mensual",'Configuración'!$B$7,0))+IF(M1124="Sí",'Configuración'!$B$8,0)+IF(N1124="Sí",'Configuración'!$B$9,0)+IF(O1124="Sí",'Configuración'!$B$10,0)+IF(P1124="Sí",'Configuración'!$B$11,0)+IF(Q1124="Sí",'Configuración'!$B$12,0)+S1124+T1124+U1124)</f>
        <v>36</v>
      </c>
      <c r="W1124" s="39" t="str">
        <f>IF(B1124="","",IF(V1124&gt;='Configuración'!$B$19,"A",IF(V1124&gt;='Configuración'!$B$20,"B",IF(V1124&gt;='Configuración'!$B$21,"C","Descarte"))))</f>
        <v>C</v>
      </c>
    </row>
    <row r="1125" ht="15.75" customHeight="1">
      <c r="A1125" s="34">
        <f t="shared" si="1"/>
        <v>1123</v>
      </c>
      <c r="B1125" s="29" t="s">
        <v>236</v>
      </c>
      <c r="C1125" s="29" t="s">
        <v>146</v>
      </c>
      <c r="D1125" s="29" t="s">
        <v>6477</v>
      </c>
      <c r="E1125" s="29" t="s">
        <v>6478</v>
      </c>
      <c r="F1125" s="30" t="s">
        <v>6479</v>
      </c>
      <c r="G1125" s="30" t="s">
        <v>6480</v>
      </c>
      <c r="H1125" s="30" t="s">
        <v>6481</v>
      </c>
      <c r="I1125" s="29" t="s">
        <v>2610</v>
      </c>
      <c r="J1125" s="31">
        <v>27.0</v>
      </c>
      <c r="K1125" s="35"/>
      <c r="L1125" s="35"/>
      <c r="M1125" s="35"/>
      <c r="N1125" s="35"/>
      <c r="O1125" s="35"/>
      <c r="P1125" s="35"/>
      <c r="Q1125" s="35"/>
      <c r="R1125" s="35"/>
      <c r="S1125" s="37">
        <f>IF(B1125="","",IF(ISNUMBER(J1125),IF(J1125&lt;=10,'Configuración'!$B$23,IF(J1125&lt;=50,'Configuración'!$B$24,IF(J1125&lt;=200,'Configuración'!$B$25,0))),0))</f>
        <v>4</v>
      </c>
      <c r="T1125" s="37">
        <f>IF(B1125="","",IF(ISNUMBER(SEARCH("information technology",I1125))+ISNUMBER(SEARCH("software",I1125))+ISNUMBER(SEARCH("internet",I1125))+ISNUMBER(SEARCH("computer",I1125))+ISNUMBER(SEARCH("saas",I1125))+ISNUMBER(SEARCH("fintech",I1125))+ISNUMBER(SEARCH("information services",I1125))+ISNUMBER(SEARCH("telecommunications",I1125))&gt;0,'Configuración'!$B$27,'Configuración'!$B$28))</f>
        <v>4</v>
      </c>
      <c r="U1125" s="25">
        <f>IF(B1125="","",IF(ISNUMBER(SEARCH("CEO",C1125))+ISNUMBER(SEARCH("Founder",C1125))+ISNUMBER(SEARCH("Owner",C1125))+ISNUMBER(SEARCH("Dueño",C1125))+ISNUMBER(SEARCH("Director General",C1125))+ISNUMBER(SEARCH("Presidente",C1125))+ISNUMBER(SEARCH("President",C1125))&gt;0,'Configuración'!$B$31,IF(ISNUMBER(SEARCH("CMO",C1125))+ISNUMBER(SEARCH("Chief Marketing",C1125))+ISNUMBER(SEARCH("VP Marketing",C1125))+ISNUMBER(SEARCH("Director de Marketing",C1125))+ISNUMBER(SEARCH("Director Marketing",C1125))+ISNUMBER(SEARCH("Head of Marketing",C1125))+ISNUMBER(SEARCH("Head Marketing",C1125))&gt;0,'Configuración'!$B$32,IF(ISNUMBER(SEARCH("Marketing Manager",C1125))+ISNUMBER(SEARCH("Gerente de Marketing",C1125))+ISNUMBER(SEARCH("Growth Manager",C1125))+ISNUMBER(SEARCH("Demand Gen",C1125))+ISNUMBER(SEARCH("Marketing Lead",C1125))&gt;0,'Configuración'!$B$33,IF(ISNUMBER(SEARCH("COO",C1125))+ISNUMBER(SEARCH("CFO",C1125))+ISNUMBER(SEARCH("CTO",C1125))+ISNUMBER(SEARCH("Chief Operating",C1125))+ISNUMBER(SEARCH("Chief Financial",C1125))+ISNUMBER(SEARCH("Gerente General",C1125))+ISNUMBER(SEARCH("General Manager",C1125))&gt;0,'Configuración'!$B$34,'Configuración'!$B$35)))))</f>
        <v>0</v>
      </c>
      <c r="V1125" s="38">
        <f>IF(B1125="","",IF(K1125="Sí",'Configuración'!$B$5,0)+IF(L1125="Semanal",'Configuración'!$B$6,IF(L1125="Mensual",'Configuración'!$B$7,0))+IF(M1125="Sí",'Configuración'!$B$8,0)+IF(N1125="Sí",'Configuración'!$B$9,0)+IF(O1125="Sí",'Configuración'!$B$10,0)+IF(P1125="Sí",'Configuración'!$B$11,0)+IF(Q1125="Sí",'Configuración'!$B$12,0)+S1125+T1125+U1125)</f>
        <v>8</v>
      </c>
      <c r="W1125" s="39" t="str">
        <f>IF(B1125="","",IF(V1125&gt;='Configuración'!$B$19,"A",IF(V1125&gt;='Configuración'!$B$20,"B",IF(V1125&gt;='Configuración'!$B$21,"C","Descarte"))))</f>
        <v>Descarte</v>
      </c>
    </row>
    <row r="1126" ht="15.75" customHeight="1">
      <c r="A1126" s="34">
        <f t="shared" si="1"/>
        <v>1124</v>
      </c>
      <c r="B1126" s="29" t="s">
        <v>181</v>
      </c>
      <c r="C1126" s="29" t="s">
        <v>597</v>
      </c>
      <c r="D1126" s="29" t="s">
        <v>6482</v>
      </c>
      <c r="E1126" s="29" t="s">
        <v>6483</v>
      </c>
      <c r="F1126" s="30" t="s">
        <v>6484</v>
      </c>
      <c r="G1126" s="30" t="s">
        <v>6485</v>
      </c>
      <c r="H1126" s="30" t="s">
        <v>6486</v>
      </c>
      <c r="I1126" s="29" t="s">
        <v>508</v>
      </c>
      <c r="J1126" s="31">
        <v>13.0</v>
      </c>
      <c r="K1126" s="35"/>
      <c r="L1126" s="35"/>
      <c r="M1126" s="35"/>
      <c r="N1126" s="35"/>
      <c r="O1126" s="35"/>
      <c r="P1126" s="35"/>
      <c r="Q1126" s="35"/>
      <c r="R1126" s="35"/>
      <c r="S1126" s="37">
        <f>IF(B1126="","",IF(ISNUMBER(J1126),IF(J1126&lt;=10,'Configuración'!$B$23,IF(J1126&lt;=50,'Configuración'!$B$24,IF(J1126&lt;=200,'Configuración'!$B$25,0))),0))</f>
        <v>4</v>
      </c>
      <c r="T1126" s="37">
        <f>IF(B1126="","",IF(ISNUMBER(SEARCH("information technology",I1126))+ISNUMBER(SEARCH("software",I1126))+ISNUMBER(SEARCH("internet",I1126))+ISNUMBER(SEARCH("computer",I1126))+ISNUMBER(SEARCH("saas",I1126))+ISNUMBER(SEARCH("fintech",I1126))+ISNUMBER(SEARCH("information services",I1126))+ISNUMBER(SEARCH("telecommunications",I1126))&gt;0,'Configuración'!$B$27,'Configuración'!$B$28))</f>
        <v>4</v>
      </c>
      <c r="U1126" s="25">
        <f>IF(B1126="","",IF(ISNUMBER(SEARCH("CEO",C1126))+ISNUMBER(SEARCH("Founder",C1126))+ISNUMBER(SEARCH("Owner",C1126))+ISNUMBER(SEARCH("Dueño",C1126))+ISNUMBER(SEARCH("Director General",C1126))+ISNUMBER(SEARCH("Presidente",C1126))+ISNUMBER(SEARCH("President",C1126))&gt;0,'Configuración'!$B$31,IF(ISNUMBER(SEARCH("CMO",C1126))+ISNUMBER(SEARCH("Chief Marketing",C1126))+ISNUMBER(SEARCH("VP Marketing",C1126))+ISNUMBER(SEARCH("Director de Marketing",C1126))+ISNUMBER(SEARCH("Director Marketing",C1126))+ISNUMBER(SEARCH("Head of Marketing",C1126))+ISNUMBER(SEARCH("Head Marketing",C1126))&gt;0,'Configuración'!$B$32,IF(ISNUMBER(SEARCH("Marketing Manager",C1126))+ISNUMBER(SEARCH("Gerente de Marketing",C1126))+ISNUMBER(SEARCH("Growth Manager",C1126))+ISNUMBER(SEARCH("Demand Gen",C1126))+ISNUMBER(SEARCH("Marketing Lead",C1126))&gt;0,'Configuración'!$B$33,IF(ISNUMBER(SEARCH("COO",C1126))+ISNUMBER(SEARCH("CFO",C1126))+ISNUMBER(SEARCH("CTO",C1126))+ISNUMBER(SEARCH("Chief Operating",C1126))+ISNUMBER(SEARCH("Chief Financial",C1126))+ISNUMBER(SEARCH("Gerente General",C1126))+ISNUMBER(SEARCH("General Manager",C1126))&gt;0,'Configuración'!$B$34,'Configuración'!$B$35)))))</f>
        <v>12</v>
      </c>
      <c r="V1126" s="38">
        <f>IF(B1126="","",IF(K1126="Sí",'Configuración'!$B$5,0)+IF(L1126="Semanal",'Configuración'!$B$6,IF(L1126="Mensual",'Configuración'!$B$7,0))+IF(M1126="Sí",'Configuración'!$B$8,0)+IF(N1126="Sí",'Configuración'!$B$9,0)+IF(O1126="Sí",'Configuración'!$B$10,0)+IF(P1126="Sí",'Configuración'!$B$11,0)+IF(Q1126="Sí",'Configuración'!$B$12,0)+S1126+T1126+U1126)</f>
        <v>20</v>
      </c>
      <c r="W1126" s="39" t="str">
        <f>IF(B1126="","",IF(V1126&gt;='Configuración'!$B$19,"A",IF(V1126&gt;='Configuración'!$B$20,"B",IF(V1126&gt;='Configuración'!$B$21,"C","Descarte"))))</f>
        <v>Descarte</v>
      </c>
    </row>
    <row r="1127" ht="15.75" customHeight="1">
      <c r="A1127" s="34">
        <f t="shared" si="1"/>
        <v>1125</v>
      </c>
      <c r="B1127" s="29" t="s">
        <v>223</v>
      </c>
      <c r="C1127" s="29" t="s">
        <v>175</v>
      </c>
      <c r="D1127" s="29" t="s">
        <v>6487</v>
      </c>
      <c r="E1127" s="29" t="s">
        <v>6488</v>
      </c>
      <c r="F1127" s="30" t="s">
        <v>6489</v>
      </c>
      <c r="G1127" s="30" t="s">
        <v>6490</v>
      </c>
      <c r="H1127" s="30" t="s">
        <v>6491</v>
      </c>
      <c r="I1127" s="29" t="s">
        <v>2651</v>
      </c>
      <c r="J1127" s="31">
        <v>8.0</v>
      </c>
      <c r="K1127" s="35"/>
      <c r="L1127" s="35"/>
      <c r="M1127" s="35"/>
      <c r="N1127" s="35"/>
      <c r="O1127" s="35"/>
      <c r="P1127" s="35"/>
      <c r="Q1127" s="35"/>
      <c r="R1127" s="35"/>
      <c r="S1127" s="37">
        <f>IF(B1127="","",IF(ISNUMBER(J1127),IF(J1127&lt;=10,'Configuración'!$B$23,IF(J1127&lt;=50,'Configuración'!$B$24,IF(J1127&lt;=200,'Configuración'!$B$25,0))),0))</f>
        <v>12</v>
      </c>
      <c r="T1127" s="37">
        <f>IF(B1127="","",IF(ISNUMBER(SEARCH("information technology",I1127))+ISNUMBER(SEARCH("software",I1127))+ISNUMBER(SEARCH("internet",I1127))+ISNUMBER(SEARCH("computer",I1127))+ISNUMBER(SEARCH("saas",I1127))+ISNUMBER(SEARCH("fintech",I1127))+ISNUMBER(SEARCH("information services",I1127))+ISNUMBER(SEARCH("telecommunications",I1127))&gt;0,'Configuración'!$B$27,'Configuración'!$B$28))</f>
        <v>4</v>
      </c>
      <c r="U1127" s="25">
        <f>IF(B1127="","",IF(ISNUMBER(SEARCH("CEO",C1127))+ISNUMBER(SEARCH("Founder",C1127))+ISNUMBER(SEARCH("Owner",C1127))+ISNUMBER(SEARCH("Dueño",C1127))+ISNUMBER(SEARCH("Director General",C1127))+ISNUMBER(SEARCH("Presidente",C1127))+ISNUMBER(SEARCH("President",C1127))&gt;0,'Configuración'!$B$31,IF(ISNUMBER(SEARCH("CMO",C1127))+ISNUMBER(SEARCH("Chief Marketing",C1127))+ISNUMBER(SEARCH("VP Marketing",C1127))+ISNUMBER(SEARCH("Director de Marketing",C1127))+ISNUMBER(SEARCH("Director Marketing",C1127))+ISNUMBER(SEARCH("Head of Marketing",C1127))+ISNUMBER(SEARCH("Head Marketing",C1127))&gt;0,'Configuración'!$B$32,IF(ISNUMBER(SEARCH("Marketing Manager",C1127))+ISNUMBER(SEARCH("Gerente de Marketing",C1127))+ISNUMBER(SEARCH("Growth Manager",C1127))+ISNUMBER(SEARCH("Demand Gen",C1127))+ISNUMBER(SEARCH("Marketing Lead",C1127))&gt;0,'Configuración'!$B$33,IF(ISNUMBER(SEARCH("COO",C1127))+ISNUMBER(SEARCH("CFO",C1127))+ISNUMBER(SEARCH("CTO",C1127))+ISNUMBER(SEARCH("Chief Operating",C1127))+ISNUMBER(SEARCH("Chief Financial",C1127))+ISNUMBER(SEARCH("Gerente General",C1127))+ISNUMBER(SEARCH("General Manager",C1127))&gt;0,'Configuración'!$B$34,'Configuración'!$B$35)))))</f>
        <v>12</v>
      </c>
      <c r="V1127" s="38">
        <f>IF(B1127="","",IF(K1127="Sí",'Configuración'!$B$5,0)+IF(L1127="Semanal",'Configuración'!$B$6,IF(L1127="Mensual",'Configuración'!$B$7,0))+IF(M1127="Sí",'Configuración'!$B$8,0)+IF(N1127="Sí",'Configuración'!$B$9,0)+IF(O1127="Sí",'Configuración'!$B$10,0)+IF(P1127="Sí",'Configuración'!$B$11,0)+IF(Q1127="Sí",'Configuración'!$B$12,0)+S1127+T1127+U1127)</f>
        <v>28</v>
      </c>
      <c r="W1127" s="39" t="str">
        <f>IF(B1127="","",IF(V1127&gt;='Configuración'!$B$19,"A",IF(V1127&gt;='Configuración'!$B$20,"B",IF(V1127&gt;='Configuración'!$B$21,"C","Descarte"))))</f>
        <v>C</v>
      </c>
    </row>
    <row r="1128" ht="15.75" customHeight="1">
      <c r="A1128" s="34">
        <f t="shared" si="1"/>
        <v>1126</v>
      </c>
      <c r="B1128" s="29" t="s">
        <v>6492</v>
      </c>
      <c r="C1128" s="29" t="s">
        <v>622</v>
      </c>
      <c r="D1128" s="29" t="s">
        <v>6493</v>
      </c>
      <c r="E1128" s="29" t="s">
        <v>6494</v>
      </c>
      <c r="F1128" s="30" t="s">
        <v>6495</v>
      </c>
      <c r="G1128" s="30" t="s">
        <v>6496</v>
      </c>
      <c r="H1128" s="30" t="s">
        <v>6497</v>
      </c>
      <c r="I1128" s="29" t="s">
        <v>188</v>
      </c>
      <c r="J1128" s="31">
        <v>1.0</v>
      </c>
      <c r="K1128" s="35"/>
      <c r="L1128" s="35"/>
      <c r="M1128" s="35"/>
      <c r="N1128" s="35"/>
      <c r="O1128" s="35"/>
      <c r="P1128" s="35"/>
      <c r="Q1128" s="35"/>
      <c r="R1128" s="35"/>
      <c r="S1128" s="37">
        <f>IF(B1128="","",IF(ISNUMBER(J1128),IF(J1128&lt;=10,'Configuración'!$B$23,IF(J1128&lt;=50,'Configuración'!$B$24,IF(J1128&lt;=200,'Configuración'!$B$25,0))),0))</f>
        <v>12</v>
      </c>
      <c r="T1128" s="37">
        <f>IF(B1128="","",IF(ISNUMBER(SEARCH("information technology",I1128))+ISNUMBER(SEARCH("software",I1128))+ISNUMBER(SEARCH("internet",I1128))+ISNUMBER(SEARCH("computer",I1128))+ISNUMBER(SEARCH("saas",I1128))+ISNUMBER(SEARCH("fintech",I1128))+ISNUMBER(SEARCH("information services",I1128))+ISNUMBER(SEARCH("telecommunications",I1128))&gt;0,'Configuración'!$B$27,'Configuración'!$B$28))</f>
        <v>4</v>
      </c>
      <c r="U1128" s="25">
        <f>IF(B1128="","",IF(ISNUMBER(SEARCH("CEO",C1128))+ISNUMBER(SEARCH("Founder",C1128))+ISNUMBER(SEARCH("Owner",C1128))+ISNUMBER(SEARCH("Dueño",C1128))+ISNUMBER(SEARCH("Director General",C1128))+ISNUMBER(SEARCH("Presidente",C1128))+ISNUMBER(SEARCH("President",C1128))&gt;0,'Configuración'!$B$31,IF(ISNUMBER(SEARCH("CMO",C1128))+ISNUMBER(SEARCH("Chief Marketing",C1128))+ISNUMBER(SEARCH("VP Marketing",C1128))+ISNUMBER(SEARCH("Director de Marketing",C1128))+ISNUMBER(SEARCH("Director Marketing",C1128))+ISNUMBER(SEARCH("Head of Marketing",C1128))+ISNUMBER(SEARCH("Head Marketing",C1128))&gt;0,'Configuración'!$B$32,IF(ISNUMBER(SEARCH("Marketing Manager",C1128))+ISNUMBER(SEARCH("Gerente de Marketing",C1128))+ISNUMBER(SEARCH("Growth Manager",C1128))+ISNUMBER(SEARCH("Demand Gen",C1128))+ISNUMBER(SEARCH("Marketing Lead",C1128))&gt;0,'Configuración'!$B$33,IF(ISNUMBER(SEARCH("COO",C1128))+ISNUMBER(SEARCH("CFO",C1128))+ISNUMBER(SEARCH("CTO",C1128))+ISNUMBER(SEARCH("Chief Operating",C1128))+ISNUMBER(SEARCH("Chief Financial",C1128))+ISNUMBER(SEARCH("Gerente General",C1128))+ISNUMBER(SEARCH("General Manager",C1128))&gt;0,'Configuración'!$B$34,'Configuración'!$B$35)))))</f>
        <v>12</v>
      </c>
      <c r="V1128" s="38">
        <f>IF(B1128="","",IF(K1128="Sí",'Configuración'!$B$5,0)+IF(L1128="Semanal",'Configuración'!$B$6,IF(L1128="Mensual",'Configuración'!$B$7,0))+IF(M1128="Sí",'Configuración'!$B$8,0)+IF(N1128="Sí",'Configuración'!$B$9,0)+IF(O1128="Sí",'Configuración'!$B$10,0)+IF(P1128="Sí",'Configuración'!$B$11,0)+IF(Q1128="Sí",'Configuración'!$B$12,0)+S1128+T1128+U1128)</f>
        <v>28</v>
      </c>
      <c r="W1128" s="39" t="str">
        <f>IF(B1128="","",IF(V1128&gt;='Configuración'!$B$19,"A",IF(V1128&gt;='Configuración'!$B$20,"B",IF(V1128&gt;='Configuración'!$B$21,"C","Descarte"))))</f>
        <v>C</v>
      </c>
    </row>
    <row r="1129" ht="15.75" customHeight="1">
      <c r="A1129" s="34">
        <f t="shared" si="1"/>
        <v>1127</v>
      </c>
      <c r="B1129" s="29" t="s">
        <v>501</v>
      </c>
      <c r="C1129" s="29" t="s">
        <v>622</v>
      </c>
      <c r="D1129" s="29" t="s">
        <v>6498</v>
      </c>
      <c r="E1129" s="29" t="s">
        <v>6499</v>
      </c>
      <c r="F1129" s="30" t="s">
        <v>6500</v>
      </c>
      <c r="G1129" s="30" t="s">
        <v>6501</v>
      </c>
      <c r="H1129" s="30" t="s">
        <v>6502</v>
      </c>
      <c r="I1129" s="29" t="s">
        <v>350</v>
      </c>
      <c r="J1129" s="31">
        <v>4.0</v>
      </c>
      <c r="K1129" s="35"/>
      <c r="L1129" s="35"/>
      <c r="M1129" s="35"/>
      <c r="N1129" s="35"/>
      <c r="O1129" s="35"/>
      <c r="P1129" s="35"/>
      <c r="Q1129" s="35"/>
      <c r="R1129" s="35"/>
      <c r="S1129" s="37">
        <f>IF(B1129="","",IF(ISNUMBER(J1129),IF(J1129&lt;=10,'Configuración'!$B$23,IF(J1129&lt;=50,'Configuración'!$B$24,IF(J1129&lt;=200,'Configuración'!$B$25,0))),0))</f>
        <v>12</v>
      </c>
      <c r="T1129" s="37">
        <f>IF(B1129="","",IF(ISNUMBER(SEARCH("information technology",I1129))+ISNUMBER(SEARCH("software",I1129))+ISNUMBER(SEARCH("internet",I1129))+ISNUMBER(SEARCH("computer",I1129))+ISNUMBER(SEARCH("saas",I1129))+ISNUMBER(SEARCH("fintech",I1129))+ISNUMBER(SEARCH("information services",I1129))+ISNUMBER(SEARCH("telecommunications",I1129))&gt;0,'Configuración'!$B$27,'Configuración'!$B$28))</f>
        <v>4</v>
      </c>
      <c r="U1129" s="25">
        <f>IF(B1129="","",IF(ISNUMBER(SEARCH("CEO",C1129))+ISNUMBER(SEARCH("Founder",C1129))+ISNUMBER(SEARCH("Owner",C1129))+ISNUMBER(SEARCH("Dueño",C1129))+ISNUMBER(SEARCH("Director General",C1129))+ISNUMBER(SEARCH("Presidente",C1129))+ISNUMBER(SEARCH("President",C1129))&gt;0,'Configuración'!$B$31,IF(ISNUMBER(SEARCH("CMO",C1129))+ISNUMBER(SEARCH("Chief Marketing",C1129))+ISNUMBER(SEARCH("VP Marketing",C1129))+ISNUMBER(SEARCH("Director de Marketing",C1129))+ISNUMBER(SEARCH("Director Marketing",C1129))+ISNUMBER(SEARCH("Head of Marketing",C1129))+ISNUMBER(SEARCH("Head Marketing",C1129))&gt;0,'Configuración'!$B$32,IF(ISNUMBER(SEARCH("Marketing Manager",C1129))+ISNUMBER(SEARCH("Gerente de Marketing",C1129))+ISNUMBER(SEARCH("Growth Manager",C1129))+ISNUMBER(SEARCH("Demand Gen",C1129))+ISNUMBER(SEARCH("Marketing Lead",C1129))&gt;0,'Configuración'!$B$33,IF(ISNUMBER(SEARCH("COO",C1129))+ISNUMBER(SEARCH("CFO",C1129))+ISNUMBER(SEARCH("CTO",C1129))+ISNUMBER(SEARCH("Chief Operating",C1129))+ISNUMBER(SEARCH("Chief Financial",C1129))+ISNUMBER(SEARCH("Gerente General",C1129))+ISNUMBER(SEARCH("General Manager",C1129))&gt;0,'Configuración'!$B$34,'Configuración'!$B$35)))))</f>
        <v>12</v>
      </c>
      <c r="V1129" s="38">
        <f>IF(B1129="","",IF(K1129="Sí",'Configuración'!$B$5,0)+IF(L1129="Semanal",'Configuración'!$B$6,IF(L1129="Mensual",'Configuración'!$B$7,0))+IF(M1129="Sí",'Configuración'!$B$8,0)+IF(N1129="Sí",'Configuración'!$B$9,0)+IF(O1129="Sí",'Configuración'!$B$10,0)+IF(P1129="Sí",'Configuración'!$B$11,0)+IF(Q1129="Sí",'Configuración'!$B$12,0)+S1129+T1129+U1129)</f>
        <v>28</v>
      </c>
      <c r="W1129" s="39" t="str">
        <f>IF(B1129="","",IF(V1129&gt;='Configuración'!$B$19,"A",IF(V1129&gt;='Configuración'!$B$20,"B",IF(V1129&gt;='Configuración'!$B$21,"C","Descarte"))))</f>
        <v>C</v>
      </c>
    </row>
    <row r="1130" ht="15.75" customHeight="1">
      <c r="A1130" s="34">
        <f t="shared" si="1"/>
        <v>1128</v>
      </c>
      <c r="B1130" s="29" t="s">
        <v>6503</v>
      </c>
      <c r="C1130" s="29" t="s">
        <v>6504</v>
      </c>
      <c r="D1130" s="29" t="s">
        <v>6505</v>
      </c>
      <c r="E1130" s="29" t="s">
        <v>6506</v>
      </c>
      <c r="F1130" s="30" t="s">
        <v>6507</v>
      </c>
      <c r="G1130" s="30" t="s">
        <v>6508</v>
      </c>
      <c r="H1130" s="30" t="s">
        <v>6509</v>
      </c>
      <c r="I1130" s="29" t="s">
        <v>4697</v>
      </c>
      <c r="J1130" s="31">
        <v>7.0</v>
      </c>
      <c r="K1130" s="35"/>
      <c r="L1130" s="35"/>
      <c r="M1130" s="35"/>
      <c r="N1130" s="35"/>
      <c r="O1130" s="35"/>
      <c r="P1130" s="35"/>
      <c r="Q1130" s="35"/>
      <c r="R1130" s="35"/>
      <c r="S1130" s="37">
        <f>IF(B1130="","",IF(ISNUMBER(J1130),IF(J1130&lt;=10,'Configuración'!$B$23,IF(J1130&lt;=50,'Configuración'!$B$24,IF(J1130&lt;=200,'Configuración'!$B$25,0))),0))</f>
        <v>12</v>
      </c>
      <c r="T1130" s="37">
        <f>IF(B1130="","",IF(ISNUMBER(SEARCH("information technology",I1130))+ISNUMBER(SEARCH("software",I1130))+ISNUMBER(SEARCH("internet",I1130))+ISNUMBER(SEARCH("computer",I1130))+ISNUMBER(SEARCH("saas",I1130))+ISNUMBER(SEARCH("fintech",I1130))+ISNUMBER(SEARCH("information services",I1130))+ISNUMBER(SEARCH("telecommunications",I1130))&gt;0,'Configuración'!$B$27,'Configuración'!$B$28))</f>
        <v>4</v>
      </c>
      <c r="U1130" s="25">
        <f>IF(B1130="","",IF(ISNUMBER(SEARCH("CEO",C1130))+ISNUMBER(SEARCH("Founder",C1130))+ISNUMBER(SEARCH("Owner",C1130))+ISNUMBER(SEARCH("Dueño",C1130))+ISNUMBER(SEARCH("Director General",C1130))+ISNUMBER(SEARCH("Presidente",C1130))+ISNUMBER(SEARCH("President",C1130))&gt;0,'Configuración'!$B$31,IF(ISNUMBER(SEARCH("CMO",C1130))+ISNUMBER(SEARCH("Chief Marketing",C1130))+ISNUMBER(SEARCH("VP Marketing",C1130))+ISNUMBER(SEARCH("Director de Marketing",C1130))+ISNUMBER(SEARCH("Director Marketing",C1130))+ISNUMBER(SEARCH("Head of Marketing",C1130))+ISNUMBER(SEARCH("Head Marketing",C1130))&gt;0,'Configuración'!$B$32,IF(ISNUMBER(SEARCH("Marketing Manager",C1130))+ISNUMBER(SEARCH("Gerente de Marketing",C1130))+ISNUMBER(SEARCH("Growth Manager",C1130))+ISNUMBER(SEARCH("Demand Gen",C1130))+ISNUMBER(SEARCH("Marketing Lead",C1130))&gt;0,'Configuración'!$B$33,IF(ISNUMBER(SEARCH("COO",C1130))+ISNUMBER(SEARCH("CFO",C1130))+ISNUMBER(SEARCH("CTO",C1130))+ISNUMBER(SEARCH("Chief Operating",C1130))+ISNUMBER(SEARCH("Chief Financial",C1130))+ISNUMBER(SEARCH("Gerente General",C1130))+ISNUMBER(SEARCH("General Manager",C1130))&gt;0,'Configuración'!$B$34,'Configuración'!$B$35)))))</f>
        <v>12</v>
      </c>
      <c r="V1130" s="38">
        <f>IF(B1130="","",IF(K1130="Sí",'Configuración'!$B$5,0)+IF(L1130="Semanal",'Configuración'!$B$6,IF(L1130="Mensual",'Configuración'!$B$7,0))+IF(M1130="Sí",'Configuración'!$B$8,0)+IF(N1130="Sí",'Configuración'!$B$9,0)+IF(O1130="Sí",'Configuración'!$B$10,0)+IF(P1130="Sí",'Configuración'!$B$11,0)+IF(Q1130="Sí",'Configuración'!$B$12,0)+S1130+T1130+U1130)</f>
        <v>28</v>
      </c>
      <c r="W1130" s="39" t="str">
        <f>IF(B1130="","",IF(V1130&gt;='Configuración'!$B$19,"A",IF(V1130&gt;='Configuración'!$B$20,"B",IF(V1130&gt;='Configuración'!$B$21,"C","Descarte"))))</f>
        <v>C</v>
      </c>
    </row>
    <row r="1131" ht="15.75" customHeight="1">
      <c r="A1131" s="34">
        <f t="shared" si="1"/>
        <v>1129</v>
      </c>
      <c r="B1131" s="29" t="s">
        <v>603</v>
      </c>
      <c r="C1131" s="29" t="s">
        <v>121</v>
      </c>
      <c r="D1131" s="29" t="s">
        <v>6510</v>
      </c>
      <c r="E1131" s="29" t="s">
        <v>6511</v>
      </c>
      <c r="F1131" s="30" t="s">
        <v>6512</v>
      </c>
      <c r="G1131" s="30" t="s">
        <v>6513</v>
      </c>
      <c r="H1131" s="30" t="s">
        <v>6514</v>
      </c>
      <c r="I1131" s="29" t="s">
        <v>2904</v>
      </c>
      <c r="J1131" s="31">
        <v>2.0</v>
      </c>
      <c r="K1131" s="35"/>
      <c r="L1131" s="35"/>
      <c r="M1131" s="35"/>
      <c r="N1131" s="35"/>
      <c r="O1131" s="35"/>
      <c r="P1131" s="35"/>
      <c r="Q1131" s="35"/>
      <c r="R1131" s="35"/>
      <c r="S1131" s="37">
        <f>IF(B1131="","",IF(ISNUMBER(J1131),IF(J1131&lt;=10,'Configuración'!$B$23,IF(J1131&lt;=50,'Configuración'!$B$24,IF(J1131&lt;=200,'Configuración'!$B$25,0))),0))</f>
        <v>12</v>
      </c>
      <c r="T1131" s="37">
        <f>IF(B1131="","",IF(ISNUMBER(SEARCH("information technology",I1131))+ISNUMBER(SEARCH("software",I1131))+ISNUMBER(SEARCH("internet",I1131))+ISNUMBER(SEARCH("computer",I1131))+ISNUMBER(SEARCH("saas",I1131))+ISNUMBER(SEARCH("fintech",I1131))+ISNUMBER(SEARCH("information services",I1131))+ISNUMBER(SEARCH("telecommunications",I1131))&gt;0,'Configuración'!$B$27,'Configuración'!$B$28))</f>
        <v>4</v>
      </c>
      <c r="U1131" s="25">
        <f>IF(B1131="","",IF(ISNUMBER(SEARCH("CEO",C1131))+ISNUMBER(SEARCH("Founder",C1131))+ISNUMBER(SEARCH("Owner",C1131))+ISNUMBER(SEARCH("Dueño",C1131))+ISNUMBER(SEARCH("Director General",C1131))+ISNUMBER(SEARCH("Presidente",C1131))+ISNUMBER(SEARCH("President",C1131))&gt;0,'Configuración'!$B$31,IF(ISNUMBER(SEARCH("CMO",C1131))+ISNUMBER(SEARCH("Chief Marketing",C1131))+ISNUMBER(SEARCH("VP Marketing",C1131))+ISNUMBER(SEARCH("Director de Marketing",C1131))+ISNUMBER(SEARCH("Director Marketing",C1131))+ISNUMBER(SEARCH("Head of Marketing",C1131))+ISNUMBER(SEARCH("Head Marketing",C1131))&gt;0,'Configuración'!$B$32,IF(ISNUMBER(SEARCH("Marketing Manager",C1131))+ISNUMBER(SEARCH("Gerente de Marketing",C1131))+ISNUMBER(SEARCH("Growth Manager",C1131))+ISNUMBER(SEARCH("Demand Gen",C1131))+ISNUMBER(SEARCH("Marketing Lead",C1131))&gt;0,'Configuración'!$B$33,IF(ISNUMBER(SEARCH("COO",C1131))+ISNUMBER(SEARCH("CFO",C1131))+ISNUMBER(SEARCH("CTO",C1131))+ISNUMBER(SEARCH("Chief Operating",C1131))+ISNUMBER(SEARCH("Chief Financial",C1131))+ISNUMBER(SEARCH("Gerente General",C1131))+ISNUMBER(SEARCH("General Manager",C1131))&gt;0,'Configuración'!$B$34,'Configuración'!$B$35)))))</f>
        <v>12</v>
      </c>
      <c r="V1131" s="38">
        <f>IF(B1131="","",IF(K1131="Sí",'Configuración'!$B$5,0)+IF(L1131="Semanal",'Configuración'!$B$6,IF(L1131="Mensual",'Configuración'!$B$7,0))+IF(M1131="Sí",'Configuración'!$B$8,0)+IF(N1131="Sí",'Configuración'!$B$9,0)+IF(O1131="Sí",'Configuración'!$B$10,0)+IF(P1131="Sí",'Configuración'!$B$11,0)+IF(Q1131="Sí",'Configuración'!$B$12,0)+S1131+T1131+U1131)</f>
        <v>28</v>
      </c>
      <c r="W1131" s="39" t="str">
        <f>IF(B1131="","",IF(V1131&gt;='Configuración'!$B$19,"A",IF(V1131&gt;='Configuración'!$B$20,"B",IF(V1131&gt;='Configuración'!$B$21,"C","Descarte"))))</f>
        <v>C</v>
      </c>
    </row>
    <row r="1132" ht="15.75" customHeight="1">
      <c r="A1132" s="34">
        <f t="shared" si="1"/>
        <v>1130</v>
      </c>
      <c r="B1132" s="29" t="s">
        <v>159</v>
      </c>
      <c r="C1132" s="29" t="s">
        <v>2326</v>
      </c>
      <c r="D1132" s="29" t="s">
        <v>6515</v>
      </c>
      <c r="E1132" s="29" t="s">
        <v>6516</v>
      </c>
      <c r="F1132" s="30" t="s">
        <v>6517</v>
      </c>
      <c r="G1132" s="30" t="s">
        <v>6518</v>
      </c>
      <c r="H1132" s="30" t="s">
        <v>6519</v>
      </c>
      <c r="I1132" s="29" t="s">
        <v>1693</v>
      </c>
      <c r="J1132" s="31">
        <v>49.0</v>
      </c>
      <c r="K1132" s="35"/>
      <c r="L1132" s="35"/>
      <c r="M1132" s="35"/>
      <c r="N1132" s="35"/>
      <c r="O1132" s="35"/>
      <c r="P1132" s="35"/>
      <c r="Q1132" s="35"/>
      <c r="R1132" s="35"/>
      <c r="S1132" s="37">
        <f>IF(B1132="","",IF(ISNUMBER(J1132),IF(J1132&lt;=10,'Configuración'!$B$23,IF(J1132&lt;=50,'Configuración'!$B$24,IF(J1132&lt;=200,'Configuración'!$B$25,0))),0))</f>
        <v>4</v>
      </c>
      <c r="T1132" s="37">
        <f>IF(B1132="","",IF(ISNUMBER(SEARCH("information technology",I1132))+ISNUMBER(SEARCH("software",I1132))+ISNUMBER(SEARCH("internet",I1132))+ISNUMBER(SEARCH("computer",I1132))+ISNUMBER(SEARCH("saas",I1132))+ISNUMBER(SEARCH("fintech",I1132))+ISNUMBER(SEARCH("information services",I1132))+ISNUMBER(SEARCH("telecommunications",I1132))&gt;0,'Configuración'!$B$27,'Configuración'!$B$28))</f>
        <v>4</v>
      </c>
      <c r="U1132" s="25">
        <f>IF(B1132="","",IF(ISNUMBER(SEARCH("CEO",C1132))+ISNUMBER(SEARCH("Founder",C1132))+ISNUMBER(SEARCH("Owner",C1132))+ISNUMBER(SEARCH("Dueño",C1132))+ISNUMBER(SEARCH("Director General",C1132))+ISNUMBER(SEARCH("Presidente",C1132))+ISNUMBER(SEARCH("President",C1132))&gt;0,'Configuración'!$B$31,IF(ISNUMBER(SEARCH("CMO",C1132))+ISNUMBER(SEARCH("Chief Marketing",C1132))+ISNUMBER(SEARCH("VP Marketing",C1132))+ISNUMBER(SEARCH("Director de Marketing",C1132))+ISNUMBER(SEARCH("Director Marketing",C1132))+ISNUMBER(SEARCH("Head of Marketing",C1132))+ISNUMBER(SEARCH("Head Marketing",C1132))&gt;0,'Configuración'!$B$32,IF(ISNUMBER(SEARCH("Marketing Manager",C1132))+ISNUMBER(SEARCH("Gerente de Marketing",C1132))+ISNUMBER(SEARCH("Growth Manager",C1132))+ISNUMBER(SEARCH("Demand Gen",C1132))+ISNUMBER(SEARCH("Marketing Lead",C1132))&gt;0,'Configuración'!$B$33,IF(ISNUMBER(SEARCH("COO",C1132))+ISNUMBER(SEARCH("CFO",C1132))+ISNUMBER(SEARCH("CTO",C1132))+ISNUMBER(SEARCH("Chief Operating",C1132))+ISNUMBER(SEARCH("Chief Financial",C1132))+ISNUMBER(SEARCH("Gerente General",C1132))+ISNUMBER(SEARCH("General Manager",C1132))&gt;0,'Configuración'!$B$34,'Configuración'!$B$35)))))</f>
        <v>12</v>
      </c>
      <c r="V1132" s="38">
        <f>IF(B1132="","",IF(K1132="Sí",'Configuración'!$B$5,0)+IF(L1132="Semanal",'Configuración'!$B$6,IF(L1132="Mensual",'Configuración'!$B$7,0))+IF(M1132="Sí",'Configuración'!$B$8,0)+IF(N1132="Sí",'Configuración'!$B$9,0)+IF(O1132="Sí",'Configuración'!$B$10,0)+IF(P1132="Sí",'Configuración'!$B$11,0)+IF(Q1132="Sí",'Configuración'!$B$12,0)+S1132+T1132+U1132)</f>
        <v>20</v>
      </c>
      <c r="W1132" s="39" t="str">
        <f>IF(B1132="","",IF(V1132&gt;='Configuración'!$B$19,"A",IF(V1132&gt;='Configuración'!$B$20,"B",IF(V1132&gt;='Configuración'!$B$21,"C","Descarte"))))</f>
        <v>Descarte</v>
      </c>
    </row>
    <row r="1133" ht="15.75" customHeight="1">
      <c r="A1133" s="34">
        <f t="shared" si="1"/>
        <v>1131</v>
      </c>
      <c r="B1133" s="29" t="s">
        <v>610</v>
      </c>
      <c r="C1133" s="29" t="s">
        <v>175</v>
      </c>
      <c r="D1133" s="29" t="s">
        <v>6520</v>
      </c>
      <c r="E1133" s="29" t="s">
        <v>6521</v>
      </c>
      <c r="F1133" s="30" t="s">
        <v>6522</v>
      </c>
      <c r="G1133" s="30" t="s">
        <v>6523</v>
      </c>
      <c r="H1133" s="30" t="s">
        <v>6524</v>
      </c>
      <c r="I1133" s="29" t="s">
        <v>127</v>
      </c>
      <c r="J1133" s="31">
        <v>1.0</v>
      </c>
      <c r="K1133" s="35"/>
      <c r="L1133" s="35"/>
      <c r="M1133" s="35"/>
      <c r="N1133" s="35"/>
      <c r="O1133" s="35"/>
      <c r="P1133" s="35"/>
      <c r="Q1133" s="35"/>
      <c r="R1133" s="35"/>
      <c r="S1133" s="37">
        <f>IF(B1133="","",IF(ISNUMBER(J1133),IF(J1133&lt;=10,'Configuración'!$B$23,IF(J1133&lt;=50,'Configuración'!$B$24,IF(J1133&lt;=200,'Configuración'!$B$25,0))),0))</f>
        <v>12</v>
      </c>
      <c r="T1133" s="37">
        <f>IF(B1133="","",IF(ISNUMBER(SEARCH("information technology",I1133))+ISNUMBER(SEARCH("software",I1133))+ISNUMBER(SEARCH("internet",I1133))+ISNUMBER(SEARCH("computer",I1133))+ISNUMBER(SEARCH("saas",I1133))+ISNUMBER(SEARCH("fintech",I1133))+ISNUMBER(SEARCH("information services",I1133))+ISNUMBER(SEARCH("telecommunications",I1133))&gt;0,'Configuración'!$B$27,'Configuración'!$B$28))</f>
        <v>12</v>
      </c>
      <c r="U1133" s="25">
        <f>IF(B1133="","",IF(ISNUMBER(SEARCH("CEO",C1133))+ISNUMBER(SEARCH("Founder",C1133))+ISNUMBER(SEARCH("Owner",C1133))+ISNUMBER(SEARCH("Dueño",C1133))+ISNUMBER(SEARCH("Director General",C1133))+ISNUMBER(SEARCH("Presidente",C1133))+ISNUMBER(SEARCH("President",C1133))&gt;0,'Configuración'!$B$31,IF(ISNUMBER(SEARCH("CMO",C1133))+ISNUMBER(SEARCH("Chief Marketing",C1133))+ISNUMBER(SEARCH("VP Marketing",C1133))+ISNUMBER(SEARCH("Director de Marketing",C1133))+ISNUMBER(SEARCH("Director Marketing",C1133))+ISNUMBER(SEARCH("Head of Marketing",C1133))+ISNUMBER(SEARCH("Head Marketing",C1133))&gt;0,'Configuración'!$B$32,IF(ISNUMBER(SEARCH("Marketing Manager",C1133))+ISNUMBER(SEARCH("Gerente de Marketing",C1133))+ISNUMBER(SEARCH("Growth Manager",C1133))+ISNUMBER(SEARCH("Demand Gen",C1133))+ISNUMBER(SEARCH("Marketing Lead",C1133))&gt;0,'Configuración'!$B$33,IF(ISNUMBER(SEARCH("COO",C1133))+ISNUMBER(SEARCH("CFO",C1133))+ISNUMBER(SEARCH("CTO",C1133))+ISNUMBER(SEARCH("Chief Operating",C1133))+ISNUMBER(SEARCH("Chief Financial",C1133))+ISNUMBER(SEARCH("Gerente General",C1133))+ISNUMBER(SEARCH("General Manager",C1133))&gt;0,'Configuración'!$B$34,'Configuración'!$B$35)))))</f>
        <v>12</v>
      </c>
      <c r="V1133" s="38">
        <f>IF(B1133="","",IF(K1133="Sí",'Configuración'!$B$5,0)+IF(L1133="Semanal",'Configuración'!$B$6,IF(L1133="Mensual",'Configuración'!$B$7,0))+IF(M1133="Sí",'Configuración'!$B$8,0)+IF(N1133="Sí",'Configuración'!$B$9,0)+IF(O1133="Sí",'Configuración'!$B$10,0)+IF(P1133="Sí",'Configuración'!$B$11,0)+IF(Q1133="Sí",'Configuración'!$B$12,0)+S1133+T1133+U1133)</f>
        <v>36</v>
      </c>
      <c r="W1133" s="39" t="str">
        <f>IF(B1133="","",IF(V1133&gt;='Configuración'!$B$19,"A",IF(V1133&gt;='Configuración'!$B$20,"B",IF(V1133&gt;='Configuración'!$B$21,"C","Descarte"))))</f>
        <v>C</v>
      </c>
    </row>
    <row r="1134" ht="15.75" customHeight="1">
      <c r="A1134" s="34">
        <f t="shared" si="1"/>
        <v>1132</v>
      </c>
      <c r="B1134" s="29" t="s">
        <v>138</v>
      </c>
      <c r="C1134" s="29" t="s">
        <v>202</v>
      </c>
      <c r="D1134" s="29" t="s">
        <v>1466</v>
      </c>
      <c r="E1134" s="29" t="s">
        <v>6525</v>
      </c>
      <c r="F1134" s="30" t="s">
        <v>6526</v>
      </c>
      <c r="G1134" s="30" t="s">
        <v>1469</v>
      </c>
      <c r="H1134" s="30" t="s">
        <v>1470</v>
      </c>
      <c r="I1134" s="29" t="s">
        <v>116</v>
      </c>
      <c r="J1134" s="31">
        <v>36.0</v>
      </c>
      <c r="K1134" s="35"/>
      <c r="L1134" s="35"/>
      <c r="M1134" s="35"/>
      <c r="N1134" s="35"/>
      <c r="O1134" s="35"/>
      <c r="P1134" s="35"/>
      <c r="Q1134" s="35"/>
      <c r="R1134" s="35"/>
      <c r="S1134" s="37">
        <f>IF(B1134="","",IF(ISNUMBER(J1134),IF(J1134&lt;=10,'Configuración'!$B$23,IF(J1134&lt;=50,'Configuración'!$B$24,IF(J1134&lt;=200,'Configuración'!$B$25,0))),0))</f>
        <v>4</v>
      </c>
      <c r="T1134" s="37">
        <f>IF(B1134="","",IF(ISNUMBER(SEARCH("information technology",I1134))+ISNUMBER(SEARCH("software",I1134))+ISNUMBER(SEARCH("internet",I1134))+ISNUMBER(SEARCH("computer",I1134))+ISNUMBER(SEARCH("saas",I1134))+ISNUMBER(SEARCH("fintech",I1134))+ISNUMBER(SEARCH("information services",I1134))+ISNUMBER(SEARCH("telecommunications",I1134))&gt;0,'Configuración'!$B$27,'Configuración'!$B$28))</f>
        <v>4</v>
      </c>
      <c r="U1134" s="25">
        <f>IF(B1134="","",IF(ISNUMBER(SEARCH("CEO",C1134))+ISNUMBER(SEARCH("Founder",C1134))+ISNUMBER(SEARCH("Owner",C1134))+ISNUMBER(SEARCH("Dueño",C1134))+ISNUMBER(SEARCH("Director General",C1134))+ISNUMBER(SEARCH("Presidente",C1134))+ISNUMBER(SEARCH("President",C1134))&gt;0,'Configuración'!$B$31,IF(ISNUMBER(SEARCH("CMO",C1134))+ISNUMBER(SEARCH("Chief Marketing",C1134))+ISNUMBER(SEARCH("VP Marketing",C1134))+ISNUMBER(SEARCH("Director de Marketing",C1134))+ISNUMBER(SEARCH("Director Marketing",C1134))+ISNUMBER(SEARCH("Head of Marketing",C1134))+ISNUMBER(SEARCH("Head Marketing",C1134))&gt;0,'Configuración'!$B$32,IF(ISNUMBER(SEARCH("Marketing Manager",C1134))+ISNUMBER(SEARCH("Gerente de Marketing",C1134))+ISNUMBER(SEARCH("Growth Manager",C1134))+ISNUMBER(SEARCH("Demand Gen",C1134))+ISNUMBER(SEARCH("Marketing Lead",C1134))&gt;0,'Configuración'!$B$33,IF(ISNUMBER(SEARCH("COO",C1134))+ISNUMBER(SEARCH("CFO",C1134))+ISNUMBER(SEARCH("CTO",C1134))+ISNUMBER(SEARCH("Chief Operating",C1134))+ISNUMBER(SEARCH("Chief Financial",C1134))+ISNUMBER(SEARCH("Gerente General",C1134))+ISNUMBER(SEARCH("General Manager",C1134))&gt;0,'Configuración'!$B$34,'Configuración'!$B$35)))))</f>
        <v>12</v>
      </c>
      <c r="V1134" s="38">
        <f>IF(B1134="","",IF(K1134="Sí",'Configuración'!$B$5,0)+IF(L1134="Semanal",'Configuración'!$B$6,IF(L1134="Mensual",'Configuración'!$B$7,0))+IF(M1134="Sí",'Configuración'!$B$8,0)+IF(N1134="Sí",'Configuración'!$B$9,0)+IF(O1134="Sí",'Configuración'!$B$10,0)+IF(P1134="Sí",'Configuración'!$B$11,0)+IF(Q1134="Sí",'Configuración'!$B$12,0)+S1134+T1134+U1134)</f>
        <v>20</v>
      </c>
      <c r="W1134" s="39" t="str">
        <f>IF(B1134="","",IF(V1134&gt;='Configuración'!$B$19,"A",IF(V1134&gt;='Configuración'!$B$20,"B",IF(V1134&gt;='Configuración'!$B$21,"C","Descarte"))))</f>
        <v>Descarte</v>
      </c>
    </row>
    <row r="1135" ht="15.75" customHeight="1">
      <c r="A1135" s="34">
        <f t="shared" si="1"/>
        <v>1133</v>
      </c>
      <c r="B1135" s="29" t="s">
        <v>867</v>
      </c>
      <c r="C1135" s="29" t="s">
        <v>487</v>
      </c>
      <c r="D1135" s="29" t="s">
        <v>6527</v>
      </c>
      <c r="E1135" s="29" t="s">
        <v>6528</v>
      </c>
      <c r="F1135" s="30" t="s">
        <v>6529</v>
      </c>
      <c r="G1135" s="30" t="s">
        <v>6530</v>
      </c>
      <c r="H1135" s="30" t="s">
        <v>6531</v>
      </c>
      <c r="I1135" s="29" t="s">
        <v>310</v>
      </c>
      <c r="J1135" s="31">
        <v>17.0</v>
      </c>
      <c r="K1135" s="35"/>
      <c r="L1135" s="35"/>
      <c r="M1135" s="35"/>
      <c r="N1135" s="35"/>
      <c r="O1135" s="35"/>
      <c r="P1135" s="35"/>
      <c r="Q1135" s="35"/>
      <c r="R1135" s="35"/>
      <c r="S1135" s="37">
        <f>IF(B1135="","",IF(ISNUMBER(J1135),IF(J1135&lt;=10,'Configuración'!$B$23,IF(J1135&lt;=50,'Configuración'!$B$24,IF(J1135&lt;=200,'Configuración'!$B$25,0))),0))</f>
        <v>4</v>
      </c>
      <c r="T1135" s="37">
        <f>IF(B1135="","",IF(ISNUMBER(SEARCH("information technology",I1135))+ISNUMBER(SEARCH("software",I1135))+ISNUMBER(SEARCH("internet",I1135))+ISNUMBER(SEARCH("computer",I1135))+ISNUMBER(SEARCH("saas",I1135))+ISNUMBER(SEARCH("fintech",I1135))+ISNUMBER(SEARCH("information services",I1135))+ISNUMBER(SEARCH("telecommunications",I1135))&gt;0,'Configuración'!$B$27,'Configuración'!$B$28))</f>
        <v>4</v>
      </c>
      <c r="U1135" s="25">
        <f>IF(B1135="","",IF(ISNUMBER(SEARCH("CEO",C1135))+ISNUMBER(SEARCH("Founder",C1135))+ISNUMBER(SEARCH("Owner",C1135))+ISNUMBER(SEARCH("Dueño",C1135))+ISNUMBER(SEARCH("Director General",C1135))+ISNUMBER(SEARCH("Presidente",C1135))+ISNUMBER(SEARCH("President",C1135))&gt;0,'Configuración'!$B$31,IF(ISNUMBER(SEARCH("CMO",C1135))+ISNUMBER(SEARCH("Chief Marketing",C1135))+ISNUMBER(SEARCH("VP Marketing",C1135))+ISNUMBER(SEARCH("Director de Marketing",C1135))+ISNUMBER(SEARCH("Director Marketing",C1135))+ISNUMBER(SEARCH("Head of Marketing",C1135))+ISNUMBER(SEARCH("Head Marketing",C1135))&gt;0,'Configuración'!$B$32,IF(ISNUMBER(SEARCH("Marketing Manager",C1135))+ISNUMBER(SEARCH("Gerente de Marketing",C1135))+ISNUMBER(SEARCH("Growth Manager",C1135))+ISNUMBER(SEARCH("Demand Gen",C1135))+ISNUMBER(SEARCH("Marketing Lead",C1135))&gt;0,'Configuración'!$B$33,IF(ISNUMBER(SEARCH("COO",C1135))+ISNUMBER(SEARCH("CFO",C1135))+ISNUMBER(SEARCH("CTO",C1135))+ISNUMBER(SEARCH("Chief Operating",C1135))+ISNUMBER(SEARCH("Chief Financial",C1135))+ISNUMBER(SEARCH("Gerente General",C1135))+ISNUMBER(SEARCH("General Manager",C1135))&gt;0,'Configuración'!$B$34,'Configuración'!$B$35)))))</f>
        <v>12</v>
      </c>
      <c r="V1135" s="38">
        <f>IF(B1135="","",IF(K1135="Sí",'Configuración'!$B$5,0)+IF(L1135="Semanal",'Configuración'!$B$6,IF(L1135="Mensual",'Configuración'!$B$7,0))+IF(M1135="Sí",'Configuración'!$B$8,0)+IF(N1135="Sí",'Configuración'!$B$9,0)+IF(O1135="Sí",'Configuración'!$B$10,0)+IF(P1135="Sí",'Configuración'!$B$11,0)+IF(Q1135="Sí",'Configuración'!$B$12,0)+S1135+T1135+U1135)</f>
        <v>20</v>
      </c>
      <c r="W1135" s="39" t="str">
        <f>IF(B1135="","",IF(V1135&gt;='Configuración'!$B$19,"A",IF(V1135&gt;='Configuración'!$B$20,"B",IF(V1135&gt;='Configuración'!$B$21,"C","Descarte"))))</f>
        <v>Descarte</v>
      </c>
    </row>
    <row r="1136" ht="15.75" customHeight="1">
      <c r="A1136" s="34">
        <f t="shared" si="1"/>
        <v>1134</v>
      </c>
      <c r="B1136" s="29" t="s">
        <v>6532</v>
      </c>
      <c r="C1136" s="29" t="s">
        <v>131</v>
      </c>
      <c r="D1136" s="29" t="s">
        <v>6533</v>
      </c>
      <c r="E1136" s="29" t="s">
        <v>6534</v>
      </c>
      <c r="F1136" s="30" t="s">
        <v>6535</v>
      </c>
      <c r="G1136" s="30" t="s">
        <v>6536</v>
      </c>
      <c r="H1136" s="30" t="s">
        <v>6537</v>
      </c>
      <c r="I1136" s="29" t="s">
        <v>2856</v>
      </c>
      <c r="J1136" s="31">
        <v>22.0</v>
      </c>
      <c r="K1136" s="35"/>
      <c r="L1136" s="35"/>
      <c r="M1136" s="35"/>
      <c r="N1136" s="35"/>
      <c r="O1136" s="35"/>
      <c r="P1136" s="35"/>
      <c r="Q1136" s="35"/>
      <c r="R1136" s="35"/>
      <c r="S1136" s="37">
        <f>IF(B1136="","",IF(ISNUMBER(J1136),IF(J1136&lt;=10,'Configuración'!$B$23,IF(J1136&lt;=50,'Configuración'!$B$24,IF(J1136&lt;=200,'Configuración'!$B$25,0))),0))</f>
        <v>4</v>
      </c>
      <c r="T1136" s="37">
        <f>IF(B1136="","",IF(ISNUMBER(SEARCH("information technology",I1136))+ISNUMBER(SEARCH("software",I1136))+ISNUMBER(SEARCH("internet",I1136))+ISNUMBER(SEARCH("computer",I1136))+ISNUMBER(SEARCH("saas",I1136))+ISNUMBER(SEARCH("fintech",I1136))+ISNUMBER(SEARCH("information services",I1136))+ISNUMBER(SEARCH("telecommunications",I1136))&gt;0,'Configuración'!$B$27,'Configuración'!$B$28))</f>
        <v>4</v>
      </c>
      <c r="U1136" s="25">
        <f>IF(B1136="","",IF(ISNUMBER(SEARCH("CEO",C1136))+ISNUMBER(SEARCH("Founder",C1136))+ISNUMBER(SEARCH("Owner",C1136))+ISNUMBER(SEARCH("Dueño",C1136))+ISNUMBER(SEARCH("Director General",C1136))+ISNUMBER(SEARCH("Presidente",C1136))+ISNUMBER(SEARCH("President",C1136))&gt;0,'Configuración'!$B$31,IF(ISNUMBER(SEARCH("CMO",C1136))+ISNUMBER(SEARCH("Chief Marketing",C1136))+ISNUMBER(SEARCH("VP Marketing",C1136))+ISNUMBER(SEARCH("Director de Marketing",C1136))+ISNUMBER(SEARCH("Director Marketing",C1136))+ISNUMBER(SEARCH("Head of Marketing",C1136))+ISNUMBER(SEARCH("Head Marketing",C1136))&gt;0,'Configuración'!$B$32,IF(ISNUMBER(SEARCH("Marketing Manager",C1136))+ISNUMBER(SEARCH("Gerente de Marketing",C1136))+ISNUMBER(SEARCH("Growth Manager",C1136))+ISNUMBER(SEARCH("Demand Gen",C1136))+ISNUMBER(SEARCH("Marketing Lead",C1136))&gt;0,'Configuración'!$B$33,IF(ISNUMBER(SEARCH("COO",C1136))+ISNUMBER(SEARCH("CFO",C1136))+ISNUMBER(SEARCH("CTO",C1136))+ISNUMBER(SEARCH("Chief Operating",C1136))+ISNUMBER(SEARCH("Chief Financial",C1136))+ISNUMBER(SEARCH("Gerente General",C1136))+ISNUMBER(SEARCH("General Manager",C1136))&gt;0,'Configuración'!$B$34,'Configuración'!$B$35)))))</f>
        <v>12</v>
      </c>
      <c r="V1136" s="38">
        <f>IF(B1136="","",IF(K1136="Sí",'Configuración'!$B$5,0)+IF(L1136="Semanal",'Configuración'!$B$6,IF(L1136="Mensual",'Configuración'!$B$7,0))+IF(M1136="Sí",'Configuración'!$B$8,0)+IF(N1136="Sí",'Configuración'!$B$9,0)+IF(O1136="Sí",'Configuración'!$B$10,0)+IF(P1136="Sí",'Configuración'!$B$11,0)+IF(Q1136="Sí",'Configuración'!$B$12,0)+S1136+T1136+U1136)</f>
        <v>20</v>
      </c>
      <c r="W1136" s="39" t="str">
        <f>IF(B1136="","",IF(V1136&gt;='Configuración'!$B$19,"A",IF(V1136&gt;='Configuración'!$B$20,"B",IF(V1136&gt;='Configuración'!$B$21,"C","Descarte"))))</f>
        <v>Descarte</v>
      </c>
    </row>
    <row r="1137" ht="15.75" customHeight="1">
      <c r="A1137" s="34">
        <f t="shared" si="1"/>
        <v>1135</v>
      </c>
      <c r="B1137" s="29" t="s">
        <v>181</v>
      </c>
      <c r="C1137" s="29" t="s">
        <v>622</v>
      </c>
      <c r="D1137" s="29" t="s">
        <v>2386</v>
      </c>
      <c r="E1137" s="29" t="s">
        <v>6538</v>
      </c>
      <c r="F1137" s="30" t="s">
        <v>6539</v>
      </c>
      <c r="G1137" s="30" t="s">
        <v>2389</v>
      </c>
      <c r="H1137" s="30" t="s">
        <v>2390</v>
      </c>
      <c r="I1137" s="29" t="s">
        <v>337</v>
      </c>
      <c r="J1137" s="31">
        <v>15.0</v>
      </c>
      <c r="K1137" s="35"/>
      <c r="L1137" s="35"/>
      <c r="M1137" s="35"/>
      <c r="N1137" s="35"/>
      <c r="O1137" s="35"/>
      <c r="P1137" s="35"/>
      <c r="Q1137" s="35"/>
      <c r="R1137" s="35"/>
      <c r="S1137" s="37">
        <f>IF(B1137="","",IF(ISNUMBER(J1137),IF(J1137&lt;=10,'Configuración'!$B$23,IF(J1137&lt;=50,'Configuración'!$B$24,IF(J1137&lt;=200,'Configuración'!$B$25,0))),0))</f>
        <v>4</v>
      </c>
      <c r="T1137" s="37">
        <f>IF(B1137="","",IF(ISNUMBER(SEARCH("information technology",I1137))+ISNUMBER(SEARCH("software",I1137))+ISNUMBER(SEARCH("internet",I1137))+ISNUMBER(SEARCH("computer",I1137))+ISNUMBER(SEARCH("saas",I1137))+ISNUMBER(SEARCH("fintech",I1137))+ISNUMBER(SEARCH("information services",I1137))+ISNUMBER(SEARCH("telecommunications",I1137))&gt;0,'Configuración'!$B$27,'Configuración'!$B$28))</f>
        <v>4</v>
      </c>
      <c r="U1137" s="25">
        <f>IF(B1137="","",IF(ISNUMBER(SEARCH("CEO",C1137))+ISNUMBER(SEARCH("Founder",C1137))+ISNUMBER(SEARCH("Owner",C1137))+ISNUMBER(SEARCH("Dueño",C1137))+ISNUMBER(SEARCH("Director General",C1137))+ISNUMBER(SEARCH("Presidente",C1137))+ISNUMBER(SEARCH("President",C1137))&gt;0,'Configuración'!$B$31,IF(ISNUMBER(SEARCH("CMO",C1137))+ISNUMBER(SEARCH("Chief Marketing",C1137))+ISNUMBER(SEARCH("VP Marketing",C1137))+ISNUMBER(SEARCH("Director de Marketing",C1137))+ISNUMBER(SEARCH("Director Marketing",C1137))+ISNUMBER(SEARCH("Head of Marketing",C1137))+ISNUMBER(SEARCH("Head Marketing",C1137))&gt;0,'Configuración'!$B$32,IF(ISNUMBER(SEARCH("Marketing Manager",C1137))+ISNUMBER(SEARCH("Gerente de Marketing",C1137))+ISNUMBER(SEARCH("Growth Manager",C1137))+ISNUMBER(SEARCH("Demand Gen",C1137))+ISNUMBER(SEARCH("Marketing Lead",C1137))&gt;0,'Configuración'!$B$33,IF(ISNUMBER(SEARCH("COO",C1137))+ISNUMBER(SEARCH("CFO",C1137))+ISNUMBER(SEARCH("CTO",C1137))+ISNUMBER(SEARCH("Chief Operating",C1137))+ISNUMBER(SEARCH("Chief Financial",C1137))+ISNUMBER(SEARCH("Gerente General",C1137))+ISNUMBER(SEARCH("General Manager",C1137))&gt;0,'Configuración'!$B$34,'Configuración'!$B$35)))))</f>
        <v>12</v>
      </c>
      <c r="V1137" s="38">
        <f>IF(B1137="","",IF(K1137="Sí",'Configuración'!$B$5,0)+IF(L1137="Semanal",'Configuración'!$B$6,IF(L1137="Mensual",'Configuración'!$B$7,0))+IF(M1137="Sí",'Configuración'!$B$8,0)+IF(N1137="Sí",'Configuración'!$B$9,0)+IF(O1137="Sí",'Configuración'!$B$10,0)+IF(P1137="Sí",'Configuración'!$B$11,0)+IF(Q1137="Sí",'Configuración'!$B$12,0)+S1137+T1137+U1137)</f>
        <v>20</v>
      </c>
      <c r="W1137" s="39" t="str">
        <f>IF(B1137="","",IF(V1137&gt;='Configuración'!$B$19,"A",IF(V1137&gt;='Configuración'!$B$20,"B",IF(V1137&gt;='Configuración'!$B$21,"C","Descarte"))))</f>
        <v>Descarte</v>
      </c>
    </row>
    <row r="1138" ht="15.75" customHeight="1">
      <c r="A1138" s="34">
        <f t="shared" si="1"/>
        <v>1136</v>
      </c>
      <c r="B1138" s="29" t="s">
        <v>262</v>
      </c>
      <c r="C1138" s="29" t="s">
        <v>622</v>
      </c>
      <c r="D1138" s="29" t="s">
        <v>6540</v>
      </c>
      <c r="E1138" s="29" t="s">
        <v>6541</v>
      </c>
      <c r="F1138" s="30" t="s">
        <v>6542</v>
      </c>
      <c r="G1138" s="30" t="s">
        <v>6543</v>
      </c>
      <c r="H1138" s="30" t="s">
        <v>6544</v>
      </c>
      <c r="I1138" s="29" t="s">
        <v>2651</v>
      </c>
      <c r="J1138" s="31">
        <v>14.0</v>
      </c>
      <c r="K1138" s="35"/>
      <c r="L1138" s="35"/>
      <c r="M1138" s="35"/>
      <c r="N1138" s="35"/>
      <c r="O1138" s="35"/>
      <c r="P1138" s="35"/>
      <c r="Q1138" s="35"/>
      <c r="R1138" s="35"/>
      <c r="S1138" s="37">
        <f>IF(B1138="","",IF(ISNUMBER(J1138),IF(J1138&lt;=10,'Configuración'!$B$23,IF(J1138&lt;=50,'Configuración'!$B$24,IF(J1138&lt;=200,'Configuración'!$B$25,0))),0))</f>
        <v>4</v>
      </c>
      <c r="T1138" s="37">
        <f>IF(B1138="","",IF(ISNUMBER(SEARCH("information technology",I1138))+ISNUMBER(SEARCH("software",I1138))+ISNUMBER(SEARCH("internet",I1138))+ISNUMBER(SEARCH("computer",I1138))+ISNUMBER(SEARCH("saas",I1138))+ISNUMBER(SEARCH("fintech",I1138))+ISNUMBER(SEARCH("information services",I1138))+ISNUMBER(SEARCH("telecommunications",I1138))&gt;0,'Configuración'!$B$27,'Configuración'!$B$28))</f>
        <v>4</v>
      </c>
      <c r="U1138" s="25">
        <f>IF(B1138="","",IF(ISNUMBER(SEARCH("CEO",C1138))+ISNUMBER(SEARCH("Founder",C1138))+ISNUMBER(SEARCH("Owner",C1138))+ISNUMBER(SEARCH("Dueño",C1138))+ISNUMBER(SEARCH("Director General",C1138))+ISNUMBER(SEARCH("Presidente",C1138))+ISNUMBER(SEARCH("President",C1138))&gt;0,'Configuración'!$B$31,IF(ISNUMBER(SEARCH("CMO",C1138))+ISNUMBER(SEARCH("Chief Marketing",C1138))+ISNUMBER(SEARCH("VP Marketing",C1138))+ISNUMBER(SEARCH("Director de Marketing",C1138))+ISNUMBER(SEARCH("Director Marketing",C1138))+ISNUMBER(SEARCH("Head of Marketing",C1138))+ISNUMBER(SEARCH("Head Marketing",C1138))&gt;0,'Configuración'!$B$32,IF(ISNUMBER(SEARCH("Marketing Manager",C1138))+ISNUMBER(SEARCH("Gerente de Marketing",C1138))+ISNUMBER(SEARCH("Growth Manager",C1138))+ISNUMBER(SEARCH("Demand Gen",C1138))+ISNUMBER(SEARCH("Marketing Lead",C1138))&gt;0,'Configuración'!$B$33,IF(ISNUMBER(SEARCH("COO",C1138))+ISNUMBER(SEARCH("CFO",C1138))+ISNUMBER(SEARCH("CTO",C1138))+ISNUMBER(SEARCH("Chief Operating",C1138))+ISNUMBER(SEARCH("Chief Financial",C1138))+ISNUMBER(SEARCH("Gerente General",C1138))+ISNUMBER(SEARCH("General Manager",C1138))&gt;0,'Configuración'!$B$34,'Configuración'!$B$35)))))</f>
        <v>12</v>
      </c>
      <c r="V1138" s="38">
        <f>IF(B1138="","",IF(K1138="Sí",'Configuración'!$B$5,0)+IF(L1138="Semanal",'Configuración'!$B$6,IF(L1138="Mensual",'Configuración'!$B$7,0))+IF(M1138="Sí",'Configuración'!$B$8,0)+IF(N1138="Sí",'Configuración'!$B$9,0)+IF(O1138="Sí",'Configuración'!$B$10,0)+IF(P1138="Sí",'Configuración'!$B$11,0)+IF(Q1138="Sí",'Configuración'!$B$12,0)+S1138+T1138+U1138)</f>
        <v>20</v>
      </c>
      <c r="W1138" s="39" t="str">
        <f>IF(B1138="","",IF(V1138&gt;='Configuración'!$B$19,"A",IF(V1138&gt;='Configuración'!$B$20,"B",IF(V1138&gt;='Configuración'!$B$21,"C","Descarte"))))</f>
        <v>Descarte</v>
      </c>
    </row>
    <row r="1139" ht="15.75" customHeight="1">
      <c r="A1139" s="34">
        <f t="shared" si="1"/>
        <v>1137</v>
      </c>
      <c r="B1139" s="29" t="s">
        <v>4514</v>
      </c>
      <c r="C1139" s="29" t="s">
        <v>622</v>
      </c>
      <c r="D1139" s="29" t="s">
        <v>6545</v>
      </c>
      <c r="E1139" s="29" t="s">
        <v>6546</v>
      </c>
      <c r="F1139" s="30" t="s">
        <v>6547</v>
      </c>
      <c r="G1139" s="30" t="s">
        <v>6548</v>
      </c>
      <c r="H1139" s="30" t="s">
        <v>6549</v>
      </c>
      <c r="I1139" s="29" t="s">
        <v>873</v>
      </c>
      <c r="J1139" s="31">
        <v>8.0</v>
      </c>
      <c r="K1139" s="35"/>
      <c r="L1139" s="35"/>
      <c r="M1139" s="35"/>
      <c r="N1139" s="35"/>
      <c r="O1139" s="35"/>
      <c r="P1139" s="35"/>
      <c r="Q1139" s="35"/>
      <c r="R1139" s="35"/>
      <c r="S1139" s="37">
        <f>IF(B1139="","",IF(ISNUMBER(J1139),IF(J1139&lt;=10,'Configuración'!$B$23,IF(J1139&lt;=50,'Configuración'!$B$24,IF(J1139&lt;=200,'Configuración'!$B$25,0))),0))</f>
        <v>12</v>
      </c>
      <c r="T1139" s="37">
        <f>IF(B1139="","",IF(ISNUMBER(SEARCH("information technology",I1139))+ISNUMBER(SEARCH("software",I1139))+ISNUMBER(SEARCH("internet",I1139))+ISNUMBER(SEARCH("computer",I1139))+ISNUMBER(SEARCH("saas",I1139))+ISNUMBER(SEARCH("fintech",I1139))+ISNUMBER(SEARCH("information services",I1139))+ISNUMBER(SEARCH("telecommunications",I1139))&gt;0,'Configuración'!$B$27,'Configuración'!$B$28))</f>
        <v>4</v>
      </c>
      <c r="U1139" s="25">
        <f>IF(B1139="","",IF(ISNUMBER(SEARCH("CEO",C1139))+ISNUMBER(SEARCH("Founder",C1139))+ISNUMBER(SEARCH("Owner",C1139))+ISNUMBER(SEARCH("Dueño",C1139))+ISNUMBER(SEARCH("Director General",C1139))+ISNUMBER(SEARCH("Presidente",C1139))+ISNUMBER(SEARCH("President",C1139))&gt;0,'Configuración'!$B$31,IF(ISNUMBER(SEARCH("CMO",C1139))+ISNUMBER(SEARCH("Chief Marketing",C1139))+ISNUMBER(SEARCH("VP Marketing",C1139))+ISNUMBER(SEARCH("Director de Marketing",C1139))+ISNUMBER(SEARCH("Director Marketing",C1139))+ISNUMBER(SEARCH("Head of Marketing",C1139))+ISNUMBER(SEARCH("Head Marketing",C1139))&gt;0,'Configuración'!$B$32,IF(ISNUMBER(SEARCH("Marketing Manager",C1139))+ISNUMBER(SEARCH("Gerente de Marketing",C1139))+ISNUMBER(SEARCH("Growth Manager",C1139))+ISNUMBER(SEARCH("Demand Gen",C1139))+ISNUMBER(SEARCH("Marketing Lead",C1139))&gt;0,'Configuración'!$B$33,IF(ISNUMBER(SEARCH("COO",C1139))+ISNUMBER(SEARCH("CFO",C1139))+ISNUMBER(SEARCH("CTO",C1139))+ISNUMBER(SEARCH("Chief Operating",C1139))+ISNUMBER(SEARCH("Chief Financial",C1139))+ISNUMBER(SEARCH("Gerente General",C1139))+ISNUMBER(SEARCH("General Manager",C1139))&gt;0,'Configuración'!$B$34,'Configuración'!$B$35)))))</f>
        <v>12</v>
      </c>
      <c r="V1139" s="38">
        <f>IF(B1139="","",IF(K1139="Sí",'Configuración'!$B$5,0)+IF(L1139="Semanal",'Configuración'!$B$6,IF(L1139="Mensual",'Configuración'!$B$7,0))+IF(M1139="Sí",'Configuración'!$B$8,0)+IF(N1139="Sí",'Configuración'!$B$9,0)+IF(O1139="Sí",'Configuración'!$B$10,0)+IF(P1139="Sí",'Configuración'!$B$11,0)+IF(Q1139="Sí",'Configuración'!$B$12,0)+S1139+T1139+U1139)</f>
        <v>28</v>
      </c>
      <c r="W1139" s="39" t="str">
        <f>IF(B1139="","",IF(V1139&gt;='Configuración'!$B$19,"A",IF(V1139&gt;='Configuración'!$B$20,"B",IF(V1139&gt;='Configuración'!$B$21,"C","Descarte"))))</f>
        <v>C</v>
      </c>
    </row>
    <row r="1140" ht="15.75" customHeight="1">
      <c r="A1140" s="34">
        <f t="shared" si="1"/>
        <v>1138</v>
      </c>
      <c r="B1140" s="29" t="s">
        <v>947</v>
      </c>
      <c r="C1140" s="29" t="s">
        <v>6550</v>
      </c>
      <c r="D1140" s="29" t="s">
        <v>6551</v>
      </c>
      <c r="E1140" s="29" t="s">
        <v>6552</v>
      </c>
      <c r="F1140" s="30" t="s">
        <v>6553</v>
      </c>
      <c r="G1140" s="30" t="s">
        <v>6554</v>
      </c>
      <c r="H1140" s="30" t="s">
        <v>6555</v>
      </c>
      <c r="I1140" s="29" t="s">
        <v>127</v>
      </c>
      <c r="J1140" s="31">
        <v>5.0</v>
      </c>
      <c r="K1140" s="35"/>
      <c r="L1140" s="35"/>
      <c r="M1140" s="35"/>
      <c r="N1140" s="35"/>
      <c r="O1140" s="35"/>
      <c r="P1140" s="35"/>
      <c r="Q1140" s="35"/>
      <c r="R1140" s="35"/>
      <c r="S1140" s="37">
        <f>IF(B1140="","",IF(ISNUMBER(J1140),IF(J1140&lt;=10,'Configuración'!$B$23,IF(J1140&lt;=50,'Configuración'!$B$24,IF(J1140&lt;=200,'Configuración'!$B$25,0))),0))</f>
        <v>12</v>
      </c>
      <c r="T1140" s="37">
        <f>IF(B1140="","",IF(ISNUMBER(SEARCH("information technology",I1140))+ISNUMBER(SEARCH("software",I1140))+ISNUMBER(SEARCH("internet",I1140))+ISNUMBER(SEARCH("computer",I1140))+ISNUMBER(SEARCH("saas",I1140))+ISNUMBER(SEARCH("fintech",I1140))+ISNUMBER(SEARCH("information services",I1140))+ISNUMBER(SEARCH("telecommunications",I1140))&gt;0,'Configuración'!$B$27,'Configuración'!$B$28))</f>
        <v>12</v>
      </c>
      <c r="U1140" s="25">
        <f>IF(B1140="","",IF(ISNUMBER(SEARCH("CEO",C1140))+ISNUMBER(SEARCH("Founder",C1140))+ISNUMBER(SEARCH("Owner",C1140))+ISNUMBER(SEARCH("Dueño",C1140))+ISNUMBER(SEARCH("Director General",C1140))+ISNUMBER(SEARCH("Presidente",C1140))+ISNUMBER(SEARCH("President",C1140))&gt;0,'Configuración'!$B$31,IF(ISNUMBER(SEARCH("CMO",C1140))+ISNUMBER(SEARCH("Chief Marketing",C1140))+ISNUMBER(SEARCH("VP Marketing",C1140))+ISNUMBER(SEARCH("Director de Marketing",C1140))+ISNUMBER(SEARCH("Director Marketing",C1140))+ISNUMBER(SEARCH("Head of Marketing",C1140))+ISNUMBER(SEARCH("Head Marketing",C1140))&gt;0,'Configuración'!$B$32,IF(ISNUMBER(SEARCH("Marketing Manager",C1140))+ISNUMBER(SEARCH("Gerente de Marketing",C1140))+ISNUMBER(SEARCH("Growth Manager",C1140))+ISNUMBER(SEARCH("Demand Gen",C1140))+ISNUMBER(SEARCH("Marketing Lead",C1140))&gt;0,'Configuración'!$B$33,IF(ISNUMBER(SEARCH("COO",C1140))+ISNUMBER(SEARCH("CFO",C1140))+ISNUMBER(SEARCH("CTO",C1140))+ISNUMBER(SEARCH("Chief Operating",C1140))+ISNUMBER(SEARCH("Chief Financial",C1140))+ISNUMBER(SEARCH("Gerente General",C1140))+ISNUMBER(SEARCH("General Manager",C1140))&gt;0,'Configuración'!$B$34,'Configuración'!$B$35)))))</f>
        <v>0</v>
      </c>
      <c r="V1140" s="38">
        <f>IF(B1140="","",IF(K1140="Sí",'Configuración'!$B$5,0)+IF(L1140="Semanal",'Configuración'!$B$6,IF(L1140="Mensual",'Configuración'!$B$7,0))+IF(M1140="Sí",'Configuración'!$B$8,0)+IF(N1140="Sí",'Configuración'!$B$9,0)+IF(O1140="Sí",'Configuración'!$B$10,0)+IF(P1140="Sí",'Configuración'!$B$11,0)+IF(Q1140="Sí",'Configuración'!$B$12,0)+S1140+T1140+U1140)</f>
        <v>24</v>
      </c>
      <c r="W1140" s="39" t="str">
        <f>IF(B1140="","",IF(V1140&gt;='Configuración'!$B$19,"A",IF(V1140&gt;='Configuración'!$B$20,"B",IF(V1140&gt;='Configuración'!$B$21,"C","Descarte"))))</f>
        <v>C</v>
      </c>
    </row>
    <row r="1141" ht="15.75" customHeight="1">
      <c r="A1141" s="34">
        <f t="shared" si="1"/>
        <v>1139</v>
      </c>
      <c r="B1141" s="29" t="s">
        <v>1008</v>
      </c>
      <c r="C1141" s="29" t="s">
        <v>146</v>
      </c>
      <c r="D1141" s="29" t="s">
        <v>6556</v>
      </c>
      <c r="E1141" s="29" t="s">
        <v>6557</v>
      </c>
      <c r="F1141" s="30" t="s">
        <v>6558</v>
      </c>
      <c r="G1141" s="30" t="s">
        <v>6559</v>
      </c>
      <c r="H1141" s="30" t="s">
        <v>6560</v>
      </c>
      <c r="I1141" s="29" t="s">
        <v>127</v>
      </c>
      <c r="J1141" s="31">
        <v>13.0</v>
      </c>
      <c r="K1141" s="35"/>
      <c r="L1141" s="35"/>
      <c r="M1141" s="35"/>
      <c r="N1141" s="35"/>
      <c r="O1141" s="35"/>
      <c r="P1141" s="35"/>
      <c r="Q1141" s="35"/>
      <c r="R1141" s="35"/>
      <c r="S1141" s="37">
        <f>IF(B1141="","",IF(ISNUMBER(J1141),IF(J1141&lt;=10,'Configuración'!$B$23,IF(J1141&lt;=50,'Configuración'!$B$24,IF(J1141&lt;=200,'Configuración'!$B$25,0))),0))</f>
        <v>4</v>
      </c>
      <c r="T1141" s="37">
        <f>IF(B1141="","",IF(ISNUMBER(SEARCH("information technology",I1141))+ISNUMBER(SEARCH("software",I1141))+ISNUMBER(SEARCH("internet",I1141))+ISNUMBER(SEARCH("computer",I1141))+ISNUMBER(SEARCH("saas",I1141))+ISNUMBER(SEARCH("fintech",I1141))+ISNUMBER(SEARCH("information services",I1141))+ISNUMBER(SEARCH("telecommunications",I1141))&gt;0,'Configuración'!$B$27,'Configuración'!$B$28))</f>
        <v>12</v>
      </c>
      <c r="U1141" s="25">
        <f>IF(B1141="","",IF(ISNUMBER(SEARCH("CEO",C1141))+ISNUMBER(SEARCH("Founder",C1141))+ISNUMBER(SEARCH("Owner",C1141))+ISNUMBER(SEARCH("Dueño",C1141))+ISNUMBER(SEARCH("Director General",C1141))+ISNUMBER(SEARCH("Presidente",C1141))+ISNUMBER(SEARCH("President",C1141))&gt;0,'Configuración'!$B$31,IF(ISNUMBER(SEARCH("CMO",C1141))+ISNUMBER(SEARCH("Chief Marketing",C1141))+ISNUMBER(SEARCH("VP Marketing",C1141))+ISNUMBER(SEARCH("Director de Marketing",C1141))+ISNUMBER(SEARCH("Director Marketing",C1141))+ISNUMBER(SEARCH("Head of Marketing",C1141))+ISNUMBER(SEARCH("Head Marketing",C1141))&gt;0,'Configuración'!$B$32,IF(ISNUMBER(SEARCH("Marketing Manager",C1141))+ISNUMBER(SEARCH("Gerente de Marketing",C1141))+ISNUMBER(SEARCH("Growth Manager",C1141))+ISNUMBER(SEARCH("Demand Gen",C1141))+ISNUMBER(SEARCH("Marketing Lead",C1141))&gt;0,'Configuración'!$B$33,IF(ISNUMBER(SEARCH("COO",C1141))+ISNUMBER(SEARCH("CFO",C1141))+ISNUMBER(SEARCH("CTO",C1141))+ISNUMBER(SEARCH("Chief Operating",C1141))+ISNUMBER(SEARCH("Chief Financial",C1141))+ISNUMBER(SEARCH("Gerente General",C1141))+ISNUMBER(SEARCH("General Manager",C1141))&gt;0,'Configuración'!$B$34,'Configuración'!$B$35)))))</f>
        <v>0</v>
      </c>
      <c r="V1141" s="38">
        <f>IF(B1141="","",IF(K1141="Sí",'Configuración'!$B$5,0)+IF(L1141="Semanal",'Configuración'!$B$6,IF(L1141="Mensual",'Configuración'!$B$7,0))+IF(M1141="Sí",'Configuración'!$B$8,0)+IF(N1141="Sí",'Configuración'!$B$9,0)+IF(O1141="Sí",'Configuración'!$B$10,0)+IF(P1141="Sí",'Configuración'!$B$11,0)+IF(Q1141="Sí",'Configuración'!$B$12,0)+S1141+T1141+U1141)</f>
        <v>16</v>
      </c>
      <c r="W1141" s="39" t="str">
        <f>IF(B1141="","",IF(V1141&gt;='Configuración'!$B$19,"A",IF(V1141&gt;='Configuración'!$B$20,"B",IF(V1141&gt;='Configuración'!$B$21,"C","Descarte"))))</f>
        <v>Descarte</v>
      </c>
    </row>
    <row r="1142" ht="15.75" customHeight="1">
      <c r="A1142" s="34">
        <f t="shared" si="1"/>
        <v>1140</v>
      </c>
      <c r="B1142" s="29" t="s">
        <v>1028</v>
      </c>
      <c r="C1142" s="29" t="s">
        <v>6561</v>
      </c>
      <c r="D1142" s="29" t="s">
        <v>6562</v>
      </c>
      <c r="E1142" s="29" t="s">
        <v>6563</v>
      </c>
      <c r="F1142" s="30" t="s">
        <v>6564</v>
      </c>
      <c r="G1142" s="30" t="s">
        <v>6565</v>
      </c>
      <c r="H1142" s="30" t="s">
        <v>6566</v>
      </c>
      <c r="I1142" s="29" t="s">
        <v>480</v>
      </c>
      <c r="J1142" s="31">
        <v>18.0</v>
      </c>
      <c r="K1142" s="35"/>
      <c r="L1142" s="35"/>
      <c r="M1142" s="35"/>
      <c r="N1142" s="35"/>
      <c r="O1142" s="35"/>
      <c r="P1142" s="35"/>
      <c r="Q1142" s="35"/>
      <c r="R1142" s="35"/>
      <c r="S1142" s="37">
        <f>IF(B1142="","",IF(ISNUMBER(J1142),IF(J1142&lt;=10,'Configuración'!$B$23,IF(J1142&lt;=50,'Configuración'!$B$24,IF(J1142&lt;=200,'Configuración'!$B$25,0))),0))</f>
        <v>4</v>
      </c>
      <c r="T1142" s="37">
        <f>IF(B1142="","",IF(ISNUMBER(SEARCH("information technology",I1142))+ISNUMBER(SEARCH("software",I1142))+ISNUMBER(SEARCH("internet",I1142))+ISNUMBER(SEARCH("computer",I1142))+ISNUMBER(SEARCH("saas",I1142))+ISNUMBER(SEARCH("fintech",I1142))+ISNUMBER(SEARCH("information services",I1142))+ISNUMBER(SEARCH("telecommunications",I1142))&gt;0,'Configuración'!$B$27,'Configuración'!$B$28))</f>
        <v>4</v>
      </c>
      <c r="U1142" s="25">
        <f>IF(B1142="","",IF(ISNUMBER(SEARCH("CEO",C1142))+ISNUMBER(SEARCH("Founder",C1142))+ISNUMBER(SEARCH("Owner",C1142))+ISNUMBER(SEARCH("Dueño",C1142))+ISNUMBER(SEARCH("Director General",C1142))+ISNUMBER(SEARCH("Presidente",C1142))+ISNUMBER(SEARCH("President",C1142))&gt;0,'Configuración'!$B$31,IF(ISNUMBER(SEARCH("CMO",C1142))+ISNUMBER(SEARCH("Chief Marketing",C1142))+ISNUMBER(SEARCH("VP Marketing",C1142))+ISNUMBER(SEARCH("Director de Marketing",C1142))+ISNUMBER(SEARCH("Director Marketing",C1142))+ISNUMBER(SEARCH("Head of Marketing",C1142))+ISNUMBER(SEARCH("Head Marketing",C1142))&gt;0,'Configuración'!$B$32,IF(ISNUMBER(SEARCH("Marketing Manager",C1142))+ISNUMBER(SEARCH("Gerente de Marketing",C1142))+ISNUMBER(SEARCH("Growth Manager",C1142))+ISNUMBER(SEARCH("Demand Gen",C1142))+ISNUMBER(SEARCH("Marketing Lead",C1142))&gt;0,'Configuración'!$B$33,IF(ISNUMBER(SEARCH("COO",C1142))+ISNUMBER(SEARCH("CFO",C1142))+ISNUMBER(SEARCH("CTO",C1142))+ISNUMBER(SEARCH("Chief Operating",C1142))+ISNUMBER(SEARCH("Chief Financial",C1142))+ISNUMBER(SEARCH("Gerente General",C1142))+ISNUMBER(SEARCH("General Manager",C1142))&gt;0,'Configuración'!$B$34,'Configuración'!$B$35)))))</f>
        <v>12</v>
      </c>
      <c r="V1142" s="38">
        <f>IF(B1142="","",IF(K1142="Sí",'Configuración'!$B$5,0)+IF(L1142="Semanal",'Configuración'!$B$6,IF(L1142="Mensual",'Configuración'!$B$7,0))+IF(M1142="Sí",'Configuración'!$B$8,0)+IF(N1142="Sí",'Configuración'!$B$9,0)+IF(O1142="Sí",'Configuración'!$B$10,0)+IF(P1142="Sí",'Configuración'!$B$11,0)+IF(Q1142="Sí",'Configuración'!$B$12,0)+S1142+T1142+U1142)</f>
        <v>20</v>
      </c>
      <c r="W1142" s="39" t="str">
        <f>IF(B1142="","",IF(V1142&gt;='Configuración'!$B$19,"A",IF(V1142&gt;='Configuración'!$B$20,"B",IF(V1142&gt;='Configuración'!$B$21,"C","Descarte"))))</f>
        <v>Descarte</v>
      </c>
    </row>
    <row r="1143" ht="15.75" customHeight="1">
      <c r="A1143" s="34">
        <f t="shared" si="1"/>
        <v>1141</v>
      </c>
      <c r="B1143" s="29" t="s">
        <v>174</v>
      </c>
      <c r="C1143" s="29" t="s">
        <v>6567</v>
      </c>
      <c r="D1143" s="29" t="s">
        <v>623</v>
      </c>
      <c r="E1143" s="29" t="s">
        <v>6568</v>
      </c>
      <c r="F1143" s="30" t="s">
        <v>6569</v>
      </c>
      <c r="G1143" s="30" t="s">
        <v>626</v>
      </c>
      <c r="H1143" s="30" t="s">
        <v>627</v>
      </c>
      <c r="I1143" s="29" t="s">
        <v>628</v>
      </c>
      <c r="J1143" s="31">
        <v>45.0</v>
      </c>
      <c r="K1143" s="35"/>
      <c r="L1143" s="35"/>
      <c r="M1143" s="35"/>
      <c r="N1143" s="35"/>
      <c r="O1143" s="35"/>
      <c r="P1143" s="35"/>
      <c r="Q1143" s="35"/>
      <c r="R1143" s="35"/>
      <c r="S1143" s="37">
        <f>IF(B1143="","",IF(ISNUMBER(J1143),IF(J1143&lt;=10,'Configuración'!$B$23,IF(J1143&lt;=50,'Configuración'!$B$24,IF(J1143&lt;=200,'Configuración'!$B$25,0))),0))</f>
        <v>4</v>
      </c>
      <c r="T1143" s="37">
        <f>IF(B1143="","",IF(ISNUMBER(SEARCH("information technology",I1143))+ISNUMBER(SEARCH("software",I1143))+ISNUMBER(SEARCH("internet",I1143))+ISNUMBER(SEARCH("computer",I1143))+ISNUMBER(SEARCH("saas",I1143))+ISNUMBER(SEARCH("fintech",I1143))+ISNUMBER(SEARCH("information services",I1143))+ISNUMBER(SEARCH("telecommunications",I1143))&gt;0,'Configuración'!$B$27,'Configuración'!$B$28))</f>
        <v>4</v>
      </c>
      <c r="U1143" s="25">
        <f>IF(B1143="","",IF(ISNUMBER(SEARCH("CEO",C1143))+ISNUMBER(SEARCH("Founder",C1143))+ISNUMBER(SEARCH("Owner",C1143))+ISNUMBER(SEARCH("Dueño",C1143))+ISNUMBER(SEARCH("Director General",C1143))+ISNUMBER(SEARCH("Presidente",C1143))+ISNUMBER(SEARCH("President",C1143))&gt;0,'Configuración'!$B$31,IF(ISNUMBER(SEARCH("CMO",C1143))+ISNUMBER(SEARCH("Chief Marketing",C1143))+ISNUMBER(SEARCH("VP Marketing",C1143))+ISNUMBER(SEARCH("Director de Marketing",C1143))+ISNUMBER(SEARCH("Director Marketing",C1143))+ISNUMBER(SEARCH("Head of Marketing",C1143))+ISNUMBER(SEARCH("Head Marketing",C1143))&gt;0,'Configuración'!$B$32,IF(ISNUMBER(SEARCH("Marketing Manager",C1143))+ISNUMBER(SEARCH("Gerente de Marketing",C1143))+ISNUMBER(SEARCH("Growth Manager",C1143))+ISNUMBER(SEARCH("Demand Gen",C1143))+ISNUMBER(SEARCH("Marketing Lead",C1143))&gt;0,'Configuración'!$B$33,IF(ISNUMBER(SEARCH("COO",C1143))+ISNUMBER(SEARCH("CFO",C1143))+ISNUMBER(SEARCH("CTO",C1143))+ISNUMBER(SEARCH("Chief Operating",C1143))+ISNUMBER(SEARCH("Chief Financial",C1143))+ISNUMBER(SEARCH("Gerente General",C1143))+ISNUMBER(SEARCH("General Manager",C1143))&gt;0,'Configuración'!$B$34,'Configuración'!$B$35)))))</f>
        <v>0</v>
      </c>
      <c r="V1143" s="38">
        <f>IF(B1143="","",IF(K1143="Sí",'Configuración'!$B$5,0)+IF(L1143="Semanal",'Configuración'!$B$6,IF(L1143="Mensual",'Configuración'!$B$7,0))+IF(M1143="Sí",'Configuración'!$B$8,0)+IF(N1143="Sí",'Configuración'!$B$9,0)+IF(O1143="Sí",'Configuración'!$B$10,0)+IF(P1143="Sí",'Configuración'!$B$11,0)+IF(Q1143="Sí",'Configuración'!$B$12,0)+S1143+T1143+U1143)</f>
        <v>8</v>
      </c>
      <c r="W1143" s="39" t="str">
        <f>IF(B1143="","",IF(V1143&gt;='Configuración'!$B$19,"A",IF(V1143&gt;='Configuración'!$B$20,"B",IF(V1143&gt;='Configuración'!$B$21,"C","Descarte"))))</f>
        <v>Descarte</v>
      </c>
    </row>
    <row r="1144" ht="15.75" customHeight="1">
      <c r="A1144" s="34">
        <f t="shared" si="1"/>
        <v>1142</v>
      </c>
      <c r="B1144" s="29" t="s">
        <v>181</v>
      </c>
      <c r="C1144" s="29" t="s">
        <v>202</v>
      </c>
      <c r="D1144" s="29" t="s">
        <v>6570</v>
      </c>
      <c r="E1144" s="29" t="s">
        <v>6571</v>
      </c>
      <c r="F1144" s="30" t="s">
        <v>6572</v>
      </c>
      <c r="G1144" s="30" t="s">
        <v>6573</v>
      </c>
      <c r="H1144" s="30" t="s">
        <v>6574</v>
      </c>
      <c r="I1144" s="29" t="s">
        <v>2669</v>
      </c>
      <c r="J1144" s="31">
        <v>49.0</v>
      </c>
      <c r="K1144" s="35"/>
      <c r="L1144" s="35"/>
      <c r="M1144" s="35"/>
      <c r="N1144" s="35"/>
      <c r="O1144" s="35"/>
      <c r="P1144" s="35"/>
      <c r="Q1144" s="35"/>
      <c r="R1144" s="35"/>
      <c r="S1144" s="37">
        <f>IF(B1144="","",IF(ISNUMBER(J1144),IF(J1144&lt;=10,'Configuración'!$B$23,IF(J1144&lt;=50,'Configuración'!$B$24,IF(J1144&lt;=200,'Configuración'!$B$25,0))),0))</f>
        <v>4</v>
      </c>
      <c r="T1144" s="37">
        <f>IF(B1144="","",IF(ISNUMBER(SEARCH("information technology",I1144))+ISNUMBER(SEARCH("software",I1144))+ISNUMBER(SEARCH("internet",I1144))+ISNUMBER(SEARCH("computer",I1144))+ISNUMBER(SEARCH("saas",I1144))+ISNUMBER(SEARCH("fintech",I1144))+ISNUMBER(SEARCH("information services",I1144))+ISNUMBER(SEARCH("telecommunications",I1144))&gt;0,'Configuración'!$B$27,'Configuración'!$B$28))</f>
        <v>4</v>
      </c>
      <c r="U1144" s="25">
        <f>IF(B1144="","",IF(ISNUMBER(SEARCH("CEO",C1144))+ISNUMBER(SEARCH("Founder",C1144))+ISNUMBER(SEARCH("Owner",C1144))+ISNUMBER(SEARCH("Dueño",C1144))+ISNUMBER(SEARCH("Director General",C1144))+ISNUMBER(SEARCH("Presidente",C1144))+ISNUMBER(SEARCH("President",C1144))&gt;0,'Configuración'!$B$31,IF(ISNUMBER(SEARCH("CMO",C1144))+ISNUMBER(SEARCH("Chief Marketing",C1144))+ISNUMBER(SEARCH("VP Marketing",C1144))+ISNUMBER(SEARCH("Director de Marketing",C1144))+ISNUMBER(SEARCH("Director Marketing",C1144))+ISNUMBER(SEARCH("Head of Marketing",C1144))+ISNUMBER(SEARCH("Head Marketing",C1144))&gt;0,'Configuración'!$B$32,IF(ISNUMBER(SEARCH("Marketing Manager",C1144))+ISNUMBER(SEARCH("Gerente de Marketing",C1144))+ISNUMBER(SEARCH("Growth Manager",C1144))+ISNUMBER(SEARCH("Demand Gen",C1144))+ISNUMBER(SEARCH("Marketing Lead",C1144))&gt;0,'Configuración'!$B$33,IF(ISNUMBER(SEARCH("COO",C1144))+ISNUMBER(SEARCH("CFO",C1144))+ISNUMBER(SEARCH("CTO",C1144))+ISNUMBER(SEARCH("Chief Operating",C1144))+ISNUMBER(SEARCH("Chief Financial",C1144))+ISNUMBER(SEARCH("Gerente General",C1144))+ISNUMBER(SEARCH("General Manager",C1144))&gt;0,'Configuración'!$B$34,'Configuración'!$B$35)))))</f>
        <v>12</v>
      </c>
      <c r="V1144" s="38">
        <f>IF(B1144="","",IF(K1144="Sí",'Configuración'!$B$5,0)+IF(L1144="Semanal",'Configuración'!$B$6,IF(L1144="Mensual",'Configuración'!$B$7,0))+IF(M1144="Sí",'Configuración'!$B$8,0)+IF(N1144="Sí",'Configuración'!$B$9,0)+IF(O1144="Sí",'Configuración'!$B$10,0)+IF(P1144="Sí",'Configuración'!$B$11,0)+IF(Q1144="Sí",'Configuración'!$B$12,0)+S1144+T1144+U1144)</f>
        <v>20</v>
      </c>
      <c r="W1144" s="39" t="str">
        <f>IF(B1144="","",IF(V1144&gt;='Configuración'!$B$19,"A",IF(V1144&gt;='Configuración'!$B$20,"B",IF(V1144&gt;='Configuración'!$B$21,"C","Descarte"))))</f>
        <v>Descarte</v>
      </c>
    </row>
    <row r="1145" ht="15.75" customHeight="1">
      <c r="A1145" s="34">
        <f t="shared" si="1"/>
        <v>1143</v>
      </c>
      <c r="B1145" s="29" t="s">
        <v>6575</v>
      </c>
      <c r="C1145" s="29" t="s">
        <v>202</v>
      </c>
      <c r="D1145" s="29" t="s">
        <v>6576</v>
      </c>
      <c r="E1145" s="29" t="s">
        <v>6577</v>
      </c>
      <c r="F1145" s="30" t="s">
        <v>6578</v>
      </c>
      <c r="G1145" s="30" t="s">
        <v>6579</v>
      </c>
      <c r="H1145" s="30" t="s">
        <v>6580</v>
      </c>
      <c r="I1145" s="29" t="s">
        <v>127</v>
      </c>
      <c r="J1145" s="31">
        <v>14.0</v>
      </c>
      <c r="K1145" s="35"/>
      <c r="L1145" s="35"/>
      <c r="M1145" s="35"/>
      <c r="N1145" s="35"/>
      <c r="O1145" s="35"/>
      <c r="P1145" s="35"/>
      <c r="Q1145" s="35"/>
      <c r="R1145" s="35"/>
      <c r="S1145" s="37">
        <f>IF(B1145="","",IF(ISNUMBER(J1145),IF(J1145&lt;=10,'Configuración'!$B$23,IF(J1145&lt;=50,'Configuración'!$B$24,IF(J1145&lt;=200,'Configuración'!$B$25,0))),0))</f>
        <v>4</v>
      </c>
      <c r="T1145" s="37">
        <f>IF(B1145="","",IF(ISNUMBER(SEARCH("information technology",I1145))+ISNUMBER(SEARCH("software",I1145))+ISNUMBER(SEARCH("internet",I1145))+ISNUMBER(SEARCH("computer",I1145))+ISNUMBER(SEARCH("saas",I1145))+ISNUMBER(SEARCH("fintech",I1145))+ISNUMBER(SEARCH("information services",I1145))+ISNUMBER(SEARCH("telecommunications",I1145))&gt;0,'Configuración'!$B$27,'Configuración'!$B$28))</f>
        <v>12</v>
      </c>
      <c r="U1145" s="25">
        <f>IF(B1145="","",IF(ISNUMBER(SEARCH("CEO",C1145))+ISNUMBER(SEARCH("Founder",C1145))+ISNUMBER(SEARCH("Owner",C1145))+ISNUMBER(SEARCH("Dueño",C1145))+ISNUMBER(SEARCH("Director General",C1145))+ISNUMBER(SEARCH("Presidente",C1145))+ISNUMBER(SEARCH("President",C1145))&gt;0,'Configuración'!$B$31,IF(ISNUMBER(SEARCH("CMO",C1145))+ISNUMBER(SEARCH("Chief Marketing",C1145))+ISNUMBER(SEARCH("VP Marketing",C1145))+ISNUMBER(SEARCH("Director de Marketing",C1145))+ISNUMBER(SEARCH("Director Marketing",C1145))+ISNUMBER(SEARCH("Head of Marketing",C1145))+ISNUMBER(SEARCH("Head Marketing",C1145))&gt;0,'Configuración'!$B$32,IF(ISNUMBER(SEARCH("Marketing Manager",C1145))+ISNUMBER(SEARCH("Gerente de Marketing",C1145))+ISNUMBER(SEARCH("Growth Manager",C1145))+ISNUMBER(SEARCH("Demand Gen",C1145))+ISNUMBER(SEARCH("Marketing Lead",C1145))&gt;0,'Configuración'!$B$33,IF(ISNUMBER(SEARCH("COO",C1145))+ISNUMBER(SEARCH("CFO",C1145))+ISNUMBER(SEARCH("CTO",C1145))+ISNUMBER(SEARCH("Chief Operating",C1145))+ISNUMBER(SEARCH("Chief Financial",C1145))+ISNUMBER(SEARCH("Gerente General",C1145))+ISNUMBER(SEARCH("General Manager",C1145))&gt;0,'Configuración'!$B$34,'Configuración'!$B$35)))))</f>
        <v>12</v>
      </c>
      <c r="V1145" s="38">
        <f>IF(B1145="","",IF(K1145="Sí",'Configuración'!$B$5,0)+IF(L1145="Semanal",'Configuración'!$B$6,IF(L1145="Mensual",'Configuración'!$B$7,0))+IF(M1145="Sí",'Configuración'!$B$8,0)+IF(N1145="Sí",'Configuración'!$B$9,0)+IF(O1145="Sí",'Configuración'!$B$10,0)+IF(P1145="Sí",'Configuración'!$B$11,0)+IF(Q1145="Sí",'Configuración'!$B$12,0)+S1145+T1145+U1145)</f>
        <v>28</v>
      </c>
      <c r="W1145" s="39" t="str">
        <f>IF(B1145="","",IF(V1145&gt;='Configuración'!$B$19,"A",IF(V1145&gt;='Configuración'!$B$20,"B",IF(V1145&gt;='Configuración'!$B$21,"C","Descarte"))))</f>
        <v>C</v>
      </c>
    </row>
    <row r="1146" ht="15.75" customHeight="1">
      <c r="A1146" s="34">
        <f t="shared" si="1"/>
        <v>1144</v>
      </c>
      <c r="B1146" s="29" t="s">
        <v>947</v>
      </c>
      <c r="C1146" s="29" t="s">
        <v>1743</v>
      </c>
      <c r="D1146" s="29" t="s">
        <v>6581</v>
      </c>
      <c r="E1146" s="29" t="s">
        <v>6582</v>
      </c>
      <c r="F1146" s="30" t="s">
        <v>6583</v>
      </c>
      <c r="G1146" s="30" t="s">
        <v>6584</v>
      </c>
      <c r="H1146" s="30" t="s">
        <v>6585</v>
      </c>
      <c r="I1146" s="29" t="s">
        <v>2170</v>
      </c>
      <c r="J1146" s="31">
        <v>2.0</v>
      </c>
      <c r="K1146" s="35"/>
      <c r="L1146" s="35"/>
      <c r="M1146" s="35"/>
      <c r="N1146" s="35"/>
      <c r="O1146" s="35"/>
      <c r="P1146" s="35"/>
      <c r="Q1146" s="35"/>
      <c r="R1146" s="35"/>
      <c r="S1146" s="37">
        <f>IF(B1146="","",IF(ISNUMBER(J1146),IF(J1146&lt;=10,'Configuración'!$B$23,IF(J1146&lt;=50,'Configuración'!$B$24,IF(J1146&lt;=200,'Configuración'!$B$25,0))),0))</f>
        <v>12</v>
      </c>
      <c r="T1146" s="37">
        <f>IF(B1146="","",IF(ISNUMBER(SEARCH("information technology",I1146))+ISNUMBER(SEARCH("software",I1146))+ISNUMBER(SEARCH("internet",I1146))+ISNUMBER(SEARCH("computer",I1146))+ISNUMBER(SEARCH("saas",I1146))+ISNUMBER(SEARCH("fintech",I1146))+ISNUMBER(SEARCH("information services",I1146))+ISNUMBER(SEARCH("telecommunications",I1146))&gt;0,'Configuración'!$B$27,'Configuración'!$B$28))</f>
        <v>12</v>
      </c>
      <c r="U1146" s="25">
        <f>IF(B1146="","",IF(ISNUMBER(SEARCH("CEO",C1146))+ISNUMBER(SEARCH("Founder",C1146))+ISNUMBER(SEARCH("Owner",C1146))+ISNUMBER(SEARCH("Dueño",C1146))+ISNUMBER(SEARCH("Director General",C1146))+ISNUMBER(SEARCH("Presidente",C1146))+ISNUMBER(SEARCH("President",C1146))&gt;0,'Configuración'!$B$31,IF(ISNUMBER(SEARCH("CMO",C1146))+ISNUMBER(SEARCH("Chief Marketing",C1146))+ISNUMBER(SEARCH("VP Marketing",C1146))+ISNUMBER(SEARCH("Director de Marketing",C1146))+ISNUMBER(SEARCH("Director Marketing",C1146))+ISNUMBER(SEARCH("Head of Marketing",C1146))+ISNUMBER(SEARCH("Head Marketing",C1146))&gt;0,'Configuración'!$B$32,IF(ISNUMBER(SEARCH("Marketing Manager",C1146))+ISNUMBER(SEARCH("Gerente de Marketing",C1146))+ISNUMBER(SEARCH("Growth Manager",C1146))+ISNUMBER(SEARCH("Demand Gen",C1146))+ISNUMBER(SEARCH("Marketing Lead",C1146))&gt;0,'Configuración'!$B$33,IF(ISNUMBER(SEARCH("COO",C1146))+ISNUMBER(SEARCH("CFO",C1146))+ISNUMBER(SEARCH("CTO",C1146))+ISNUMBER(SEARCH("Chief Operating",C1146))+ISNUMBER(SEARCH("Chief Financial",C1146))+ISNUMBER(SEARCH("Gerente General",C1146))+ISNUMBER(SEARCH("General Manager",C1146))&gt;0,'Configuración'!$B$34,'Configuración'!$B$35)))))</f>
        <v>12</v>
      </c>
      <c r="V1146" s="38">
        <f>IF(B1146="","",IF(K1146="Sí",'Configuración'!$B$5,0)+IF(L1146="Semanal",'Configuración'!$B$6,IF(L1146="Mensual",'Configuración'!$B$7,0))+IF(M1146="Sí",'Configuración'!$B$8,0)+IF(N1146="Sí",'Configuración'!$B$9,0)+IF(O1146="Sí",'Configuración'!$B$10,0)+IF(P1146="Sí",'Configuración'!$B$11,0)+IF(Q1146="Sí",'Configuración'!$B$12,0)+S1146+T1146+U1146)</f>
        <v>36</v>
      </c>
      <c r="W1146" s="39" t="str">
        <f>IF(B1146="","",IF(V1146&gt;='Configuración'!$B$19,"A",IF(V1146&gt;='Configuración'!$B$20,"B",IF(V1146&gt;='Configuración'!$B$21,"C","Descarte"))))</f>
        <v>C</v>
      </c>
    </row>
    <row r="1147" ht="15.75" customHeight="1">
      <c r="A1147" s="34">
        <f t="shared" si="1"/>
        <v>1145</v>
      </c>
      <c r="B1147" s="29" t="s">
        <v>6586</v>
      </c>
      <c r="C1147" s="29" t="s">
        <v>6587</v>
      </c>
      <c r="D1147" s="29" t="s">
        <v>6588</v>
      </c>
      <c r="E1147" s="29" t="s">
        <v>6589</v>
      </c>
      <c r="F1147" s="30" t="s">
        <v>6590</v>
      </c>
      <c r="G1147" s="30" t="s">
        <v>6591</v>
      </c>
      <c r="H1147" s="30" t="s">
        <v>6592</v>
      </c>
      <c r="I1147" s="29" t="s">
        <v>847</v>
      </c>
      <c r="J1147" s="31">
        <v>14.0</v>
      </c>
      <c r="K1147" s="35"/>
      <c r="L1147" s="35"/>
      <c r="M1147" s="35"/>
      <c r="N1147" s="35"/>
      <c r="O1147" s="35"/>
      <c r="P1147" s="35"/>
      <c r="Q1147" s="35"/>
      <c r="R1147" s="35"/>
      <c r="S1147" s="37">
        <f>IF(B1147="","",IF(ISNUMBER(J1147),IF(J1147&lt;=10,'Configuración'!$B$23,IF(J1147&lt;=50,'Configuración'!$B$24,IF(J1147&lt;=200,'Configuración'!$B$25,0))),0))</f>
        <v>4</v>
      </c>
      <c r="T1147" s="37">
        <f>IF(B1147="","",IF(ISNUMBER(SEARCH("information technology",I1147))+ISNUMBER(SEARCH("software",I1147))+ISNUMBER(SEARCH("internet",I1147))+ISNUMBER(SEARCH("computer",I1147))+ISNUMBER(SEARCH("saas",I1147))+ISNUMBER(SEARCH("fintech",I1147))+ISNUMBER(SEARCH("information services",I1147))+ISNUMBER(SEARCH("telecommunications",I1147))&gt;0,'Configuración'!$B$27,'Configuración'!$B$28))</f>
        <v>4</v>
      </c>
      <c r="U1147" s="25">
        <f>IF(B1147="","",IF(ISNUMBER(SEARCH("CEO",C1147))+ISNUMBER(SEARCH("Founder",C1147))+ISNUMBER(SEARCH("Owner",C1147))+ISNUMBER(SEARCH("Dueño",C1147))+ISNUMBER(SEARCH("Director General",C1147))+ISNUMBER(SEARCH("Presidente",C1147))+ISNUMBER(SEARCH("President",C1147))&gt;0,'Configuración'!$B$31,IF(ISNUMBER(SEARCH("CMO",C1147))+ISNUMBER(SEARCH("Chief Marketing",C1147))+ISNUMBER(SEARCH("VP Marketing",C1147))+ISNUMBER(SEARCH("Director de Marketing",C1147))+ISNUMBER(SEARCH("Director Marketing",C1147))+ISNUMBER(SEARCH("Head of Marketing",C1147))+ISNUMBER(SEARCH("Head Marketing",C1147))&gt;0,'Configuración'!$B$32,IF(ISNUMBER(SEARCH("Marketing Manager",C1147))+ISNUMBER(SEARCH("Gerente de Marketing",C1147))+ISNUMBER(SEARCH("Growth Manager",C1147))+ISNUMBER(SEARCH("Demand Gen",C1147))+ISNUMBER(SEARCH("Marketing Lead",C1147))&gt;0,'Configuración'!$B$33,IF(ISNUMBER(SEARCH("COO",C1147))+ISNUMBER(SEARCH("CFO",C1147))+ISNUMBER(SEARCH("CTO",C1147))+ISNUMBER(SEARCH("Chief Operating",C1147))+ISNUMBER(SEARCH("Chief Financial",C1147))+ISNUMBER(SEARCH("Gerente General",C1147))+ISNUMBER(SEARCH("General Manager",C1147))&gt;0,'Configuración'!$B$34,'Configuración'!$B$35)))))</f>
        <v>12</v>
      </c>
      <c r="V1147" s="38">
        <f>IF(B1147="","",IF(K1147="Sí",'Configuración'!$B$5,0)+IF(L1147="Semanal",'Configuración'!$B$6,IF(L1147="Mensual",'Configuración'!$B$7,0))+IF(M1147="Sí",'Configuración'!$B$8,0)+IF(N1147="Sí",'Configuración'!$B$9,0)+IF(O1147="Sí",'Configuración'!$B$10,0)+IF(P1147="Sí",'Configuración'!$B$11,0)+IF(Q1147="Sí",'Configuración'!$B$12,0)+S1147+T1147+U1147)</f>
        <v>20</v>
      </c>
      <c r="W1147" s="39" t="str">
        <f>IF(B1147="","",IF(V1147&gt;='Configuración'!$B$19,"A",IF(V1147&gt;='Configuración'!$B$20,"B",IF(V1147&gt;='Configuración'!$B$21,"C","Descarte"))))</f>
        <v>Descarte</v>
      </c>
    </row>
    <row r="1148" ht="15.75" customHeight="1">
      <c r="A1148" s="34">
        <f t="shared" si="1"/>
        <v>1146</v>
      </c>
      <c r="B1148" s="29" t="s">
        <v>174</v>
      </c>
      <c r="C1148" s="29" t="s">
        <v>224</v>
      </c>
      <c r="D1148" s="29" t="s">
        <v>6593</v>
      </c>
      <c r="E1148" s="29" t="s">
        <v>6594</v>
      </c>
      <c r="F1148" s="30" t="s">
        <v>6595</v>
      </c>
      <c r="G1148" s="30" t="s">
        <v>6596</v>
      </c>
      <c r="H1148" s="30" t="s">
        <v>6597</v>
      </c>
      <c r="I1148" s="29" t="s">
        <v>116</v>
      </c>
      <c r="J1148" s="31">
        <v>44.0</v>
      </c>
      <c r="K1148" s="35"/>
      <c r="L1148" s="35"/>
      <c r="M1148" s="35"/>
      <c r="N1148" s="35"/>
      <c r="O1148" s="35"/>
      <c r="P1148" s="35"/>
      <c r="Q1148" s="35"/>
      <c r="R1148" s="35"/>
      <c r="S1148" s="37">
        <f>IF(B1148="","",IF(ISNUMBER(J1148),IF(J1148&lt;=10,'Configuración'!$B$23,IF(J1148&lt;=50,'Configuración'!$B$24,IF(J1148&lt;=200,'Configuración'!$B$25,0))),0))</f>
        <v>4</v>
      </c>
      <c r="T1148" s="37">
        <f>IF(B1148="","",IF(ISNUMBER(SEARCH("information technology",I1148))+ISNUMBER(SEARCH("software",I1148))+ISNUMBER(SEARCH("internet",I1148))+ISNUMBER(SEARCH("computer",I1148))+ISNUMBER(SEARCH("saas",I1148))+ISNUMBER(SEARCH("fintech",I1148))+ISNUMBER(SEARCH("information services",I1148))+ISNUMBER(SEARCH("telecommunications",I1148))&gt;0,'Configuración'!$B$27,'Configuración'!$B$28))</f>
        <v>4</v>
      </c>
      <c r="U1148" s="25">
        <f>IF(B1148="","",IF(ISNUMBER(SEARCH("CEO",C1148))+ISNUMBER(SEARCH("Founder",C1148))+ISNUMBER(SEARCH("Owner",C1148))+ISNUMBER(SEARCH("Dueño",C1148))+ISNUMBER(SEARCH("Director General",C1148))+ISNUMBER(SEARCH("Presidente",C1148))+ISNUMBER(SEARCH("President",C1148))&gt;0,'Configuración'!$B$31,IF(ISNUMBER(SEARCH("CMO",C1148))+ISNUMBER(SEARCH("Chief Marketing",C1148))+ISNUMBER(SEARCH("VP Marketing",C1148))+ISNUMBER(SEARCH("Director de Marketing",C1148))+ISNUMBER(SEARCH("Director Marketing",C1148))+ISNUMBER(SEARCH("Head of Marketing",C1148))+ISNUMBER(SEARCH("Head Marketing",C1148))&gt;0,'Configuración'!$B$32,IF(ISNUMBER(SEARCH("Marketing Manager",C1148))+ISNUMBER(SEARCH("Gerente de Marketing",C1148))+ISNUMBER(SEARCH("Growth Manager",C1148))+ISNUMBER(SEARCH("Demand Gen",C1148))+ISNUMBER(SEARCH("Marketing Lead",C1148))&gt;0,'Configuración'!$B$33,IF(ISNUMBER(SEARCH("COO",C1148))+ISNUMBER(SEARCH("CFO",C1148))+ISNUMBER(SEARCH("CTO",C1148))+ISNUMBER(SEARCH("Chief Operating",C1148))+ISNUMBER(SEARCH("Chief Financial",C1148))+ISNUMBER(SEARCH("Gerente General",C1148))+ISNUMBER(SEARCH("General Manager",C1148))&gt;0,'Configuración'!$B$34,'Configuración'!$B$35)))))</f>
        <v>12</v>
      </c>
      <c r="V1148" s="38">
        <f>IF(B1148="","",IF(K1148="Sí",'Configuración'!$B$5,0)+IF(L1148="Semanal",'Configuración'!$B$6,IF(L1148="Mensual",'Configuración'!$B$7,0))+IF(M1148="Sí",'Configuración'!$B$8,0)+IF(N1148="Sí",'Configuración'!$B$9,0)+IF(O1148="Sí",'Configuración'!$B$10,0)+IF(P1148="Sí",'Configuración'!$B$11,0)+IF(Q1148="Sí",'Configuración'!$B$12,0)+S1148+T1148+U1148)</f>
        <v>20</v>
      </c>
      <c r="W1148" s="39" t="str">
        <f>IF(B1148="","",IF(V1148&gt;='Configuración'!$B$19,"A",IF(V1148&gt;='Configuración'!$B$20,"B",IF(V1148&gt;='Configuración'!$B$21,"C","Descarte"))))</f>
        <v>Descarte</v>
      </c>
    </row>
    <row r="1149" ht="15.75" customHeight="1">
      <c r="A1149" s="34">
        <f t="shared" si="1"/>
        <v>1147</v>
      </c>
      <c r="B1149" s="29" t="s">
        <v>236</v>
      </c>
      <c r="C1149" s="29" t="s">
        <v>597</v>
      </c>
      <c r="D1149" s="29" t="s">
        <v>6598</v>
      </c>
      <c r="E1149" s="29" t="s">
        <v>6599</v>
      </c>
      <c r="F1149" s="30" t="s">
        <v>6600</v>
      </c>
      <c r="G1149" s="30" t="s">
        <v>6601</v>
      </c>
      <c r="H1149" s="30" t="s">
        <v>6602</v>
      </c>
      <c r="I1149" s="29" t="s">
        <v>116</v>
      </c>
      <c r="J1149" s="31">
        <v>11.0</v>
      </c>
      <c r="K1149" s="35"/>
      <c r="L1149" s="35"/>
      <c r="M1149" s="35"/>
      <c r="N1149" s="35"/>
      <c r="O1149" s="35"/>
      <c r="P1149" s="35"/>
      <c r="Q1149" s="35"/>
      <c r="R1149" s="35"/>
      <c r="S1149" s="37">
        <f>IF(B1149="","",IF(ISNUMBER(J1149),IF(J1149&lt;=10,'Configuración'!$B$23,IF(J1149&lt;=50,'Configuración'!$B$24,IF(J1149&lt;=200,'Configuración'!$B$25,0))),0))</f>
        <v>4</v>
      </c>
      <c r="T1149" s="37">
        <f>IF(B1149="","",IF(ISNUMBER(SEARCH("information technology",I1149))+ISNUMBER(SEARCH("software",I1149))+ISNUMBER(SEARCH("internet",I1149))+ISNUMBER(SEARCH("computer",I1149))+ISNUMBER(SEARCH("saas",I1149))+ISNUMBER(SEARCH("fintech",I1149))+ISNUMBER(SEARCH("information services",I1149))+ISNUMBER(SEARCH("telecommunications",I1149))&gt;0,'Configuración'!$B$27,'Configuración'!$B$28))</f>
        <v>4</v>
      </c>
      <c r="U1149" s="25">
        <f>IF(B1149="","",IF(ISNUMBER(SEARCH("CEO",C1149))+ISNUMBER(SEARCH("Founder",C1149))+ISNUMBER(SEARCH("Owner",C1149))+ISNUMBER(SEARCH("Dueño",C1149))+ISNUMBER(SEARCH("Director General",C1149))+ISNUMBER(SEARCH("Presidente",C1149))+ISNUMBER(SEARCH("President",C1149))&gt;0,'Configuración'!$B$31,IF(ISNUMBER(SEARCH("CMO",C1149))+ISNUMBER(SEARCH("Chief Marketing",C1149))+ISNUMBER(SEARCH("VP Marketing",C1149))+ISNUMBER(SEARCH("Director de Marketing",C1149))+ISNUMBER(SEARCH("Director Marketing",C1149))+ISNUMBER(SEARCH("Head of Marketing",C1149))+ISNUMBER(SEARCH("Head Marketing",C1149))&gt;0,'Configuración'!$B$32,IF(ISNUMBER(SEARCH("Marketing Manager",C1149))+ISNUMBER(SEARCH("Gerente de Marketing",C1149))+ISNUMBER(SEARCH("Growth Manager",C1149))+ISNUMBER(SEARCH("Demand Gen",C1149))+ISNUMBER(SEARCH("Marketing Lead",C1149))&gt;0,'Configuración'!$B$33,IF(ISNUMBER(SEARCH("COO",C1149))+ISNUMBER(SEARCH("CFO",C1149))+ISNUMBER(SEARCH("CTO",C1149))+ISNUMBER(SEARCH("Chief Operating",C1149))+ISNUMBER(SEARCH("Chief Financial",C1149))+ISNUMBER(SEARCH("Gerente General",C1149))+ISNUMBER(SEARCH("General Manager",C1149))&gt;0,'Configuración'!$B$34,'Configuración'!$B$35)))))</f>
        <v>12</v>
      </c>
      <c r="V1149" s="38">
        <f>IF(B1149="","",IF(K1149="Sí",'Configuración'!$B$5,0)+IF(L1149="Semanal",'Configuración'!$B$6,IF(L1149="Mensual",'Configuración'!$B$7,0))+IF(M1149="Sí",'Configuración'!$B$8,0)+IF(N1149="Sí",'Configuración'!$B$9,0)+IF(O1149="Sí",'Configuración'!$B$10,0)+IF(P1149="Sí",'Configuración'!$B$11,0)+IF(Q1149="Sí",'Configuración'!$B$12,0)+S1149+T1149+U1149)</f>
        <v>20</v>
      </c>
      <c r="W1149" s="39" t="str">
        <f>IF(B1149="","",IF(V1149&gt;='Configuración'!$B$19,"A",IF(V1149&gt;='Configuración'!$B$20,"B",IF(V1149&gt;='Configuración'!$B$21,"C","Descarte"))))</f>
        <v>Descarte</v>
      </c>
    </row>
    <row r="1150" ht="15.75" customHeight="1">
      <c r="A1150" s="34">
        <f t="shared" si="1"/>
        <v>1148</v>
      </c>
      <c r="B1150" s="29" t="s">
        <v>6603</v>
      </c>
      <c r="C1150" s="29" t="s">
        <v>6604</v>
      </c>
      <c r="D1150" s="29" t="s">
        <v>6605</v>
      </c>
      <c r="E1150" s="29" t="s">
        <v>6606</v>
      </c>
      <c r="F1150" s="30" t="s">
        <v>6607</v>
      </c>
      <c r="G1150" s="30" t="s">
        <v>6608</v>
      </c>
      <c r="H1150" s="30" t="s">
        <v>6609</v>
      </c>
      <c r="I1150" s="29" t="s">
        <v>137</v>
      </c>
      <c r="J1150" s="31">
        <v>7.0</v>
      </c>
      <c r="K1150" s="35"/>
      <c r="L1150" s="35"/>
      <c r="M1150" s="35"/>
      <c r="N1150" s="35"/>
      <c r="O1150" s="35"/>
      <c r="P1150" s="35"/>
      <c r="Q1150" s="35"/>
      <c r="R1150" s="35"/>
      <c r="S1150" s="37">
        <f>IF(B1150="","",IF(ISNUMBER(J1150),IF(J1150&lt;=10,'Configuración'!$B$23,IF(J1150&lt;=50,'Configuración'!$B$24,IF(J1150&lt;=200,'Configuración'!$B$25,0))),0))</f>
        <v>12</v>
      </c>
      <c r="T1150" s="37">
        <f>IF(B1150="","",IF(ISNUMBER(SEARCH("information technology",I1150))+ISNUMBER(SEARCH("software",I1150))+ISNUMBER(SEARCH("internet",I1150))+ISNUMBER(SEARCH("computer",I1150))+ISNUMBER(SEARCH("saas",I1150))+ISNUMBER(SEARCH("fintech",I1150))+ISNUMBER(SEARCH("information services",I1150))+ISNUMBER(SEARCH("telecommunications",I1150))&gt;0,'Configuración'!$B$27,'Configuración'!$B$28))</f>
        <v>4</v>
      </c>
      <c r="U1150" s="25">
        <f>IF(B1150="","",IF(ISNUMBER(SEARCH("CEO",C1150))+ISNUMBER(SEARCH("Founder",C1150))+ISNUMBER(SEARCH("Owner",C1150))+ISNUMBER(SEARCH("Dueño",C1150))+ISNUMBER(SEARCH("Director General",C1150))+ISNUMBER(SEARCH("Presidente",C1150))+ISNUMBER(SEARCH("President",C1150))&gt;0,'Configuración'!$B$31,IF(ISNUMBER(SEARCH("CMO",C1150))+ISNUMBER(SEARCH("Chief Marketing",C1150))+ISNUMBER(SEARCH("VP Marketing",C1150))+ISNUMBER(SEARCH("Director de Marketing",C1150))+ISNUMBER(SEARCH("Director Marketing",C1150))+ISNUMBER(SEARCH("Head of Marketing",C1150))+ISNUMBER(SEARCH("Head Marketing",C1150))&gt;0,'Configuración'!$B$32,IF(ISNUMBER(SEARCH("Marketing Manager",C1150))+ISNUMBER(SEARCH("Gerente de Marketing",C1150))+ISNUMBER(SEARCH("Growth Manager",C1150))+ISNUMBER(SEARCH("Demand Gen",C1150))+ISNUMBER(SEARCH("Marketing Lead",C1150))&gt;0,'Configuración'!$B$33,IF(ISNUMBER(SEARCH("COO",C1150))+ISNUMBER(SEARCH("CFO",C1150))+ISNUMBER(SEARCH("CTO",C1150))+ISNUMBER(SEARCH("Chief Operating",C1150))+ISNUMBER(SEARCH("Chief Financial",C1150))+ISNUMBER(SEARCH("Gerente General",C1150))+ISNUMBER(SEARCH("General Manager",C1150))&gt;0,'Configuración'!$B$34,'Configuración'!$B$35)))))</f>
        <v>12</v>
      </c>
      <c r="V1150" s="38">
        <f>IF(B1150="","",IF(K1150="Sí",'Configuración'!$B$5,0)+IF(L1150="Semanal",'Configuración'!$B$6,IF(L1150="Mensual",'Configuración'!$B$7,0))+IF(M1150="Sí",'Configuración'!$B$8,0)+IF(N1150="Sí",'Configuración'!$B$9,0)+IF(O1150="Sí",'Configuración'!$B$10,0)+IF(P1150="Sí",'Configuración'!$B$11,0)+IF(Q1150="Sí",'Configuración'!$B$12,0)+S1150+T1150+U1150)</f>
        <v>28</v>
      </c>
      <c r="W1150" s="39" t="str">
        <f>IF(B1150="","",IF(V1150&gt;='Configuración'!$B$19,"A",IF(V1150&gt;='Configuración'!$B$20,"B",IF(V1150&gt;='Configuración'!$B$21,"C","Descarte"))))</f>
        <v>C</v>
      </c>
    </row>
    <row r="1151" ht="15.75" customHeight="1">
      <c r="A1151" s="34">
        <f t="shared" si="1"/>
        <v>1149</v>
      </c>
      <c r="B1151" s="29" t="s">
        <v>4391</v>
      </c>
      <c r="C1151" s="29" t="s">
        <v>6610</v>
      </c>
      <c r="D1151" s="29" t="s">
        <v>6611</v>
      </c>
      <c r="E1151" s="29" t="s">
        <v>6612</v>
      </c>
      <c r="F1151" s="30" t="s">
        <v>6613</v>
      </c>
      <c r="G1151" s="30" t="s">
        <v>6614</v>
      </c>
      <c r="H1151" s="30" t="s">
        <v>6615</v>
      </c>
      <c r="I1151" s="29" t="s">
        <v>1245</v>
      </c>
      <c r="J1151" s="31">
        <v>38.0</v>
      </c>
      <c r="K1151" s="35"/>
      <c r="L1151" s="35"/>
      <c r="M1151" s="35"/>
      <c r="N1151" s="35"/>
      <c r="O1151" s="35"/>
      <c r="P1151" s="35"/>
      <c r="Q1151" s="35"/>
      <c r="R1151" s="35"/>
      <c r="S1151" s="37">
        <f>IF(B1151="","",IF(ISNUMBER(J1151),IF(J1151&lt;=10,'Configuración'!$B$23,IF(J1151&lt;=50,'Configuración'!$B$24,IF(J1151&lt;=200,'Configuración'!$B$25,0))),0))</f>
        <v>4</v>
      </c>
      <c r="T1151" s="37">
        <f>IF(B1151="","",IF(ISNUMBER(SEARCH("information technology",I1151))+ISNUMBER(SEARCH("software",I1151))+ISNUMBER(SEARCH("internet",I1151))+ISNUMBER(SEARCH("computer",I1151))+ISNUMBER(SEARCH("saas",I1151))+ISNUMBER(SEARCH("fintech",I1151))+ISNUMBER(SEARCH("information services",I1151))+ISNUMBER(SEARCH("telecommunications",I1151))&gt;0,'Configuración'!$B$27,'Configuración'!$B$28))</f>
        <v>4</v>
      </c>
      <c r="U1151" s="25">
        <f>IF(B1151="","",IF(ISNUMBER(SEARCH("CEO",C1151))+ISNUMBER(SEARCH("Founder",C1151))+ISNUMBER(SEARCH("Owner",C1151))+ISNUMBER(SEARCH("Dueño",C1151))+ISNUMBER(SEARCH("Director General",C1151))+ISNUMBER(SEARCH("Presidente",C1151))+ISNUMBER(SEARCH("President",C1151))&gt;0,'Configuración'!$B$31,IF(ISNUMBER(SEARCH("CMO",C1151))+ISNUMBER(SEARCH("Chief Marketing",C1151))+ISNUMBER(SEARCH("VP Marketing",C1151))+ISNUMBER(SEARCH("Director de Marketing",C1151))+ISNUMBER(SEARCH("Director Marketing",C1151))+ISNUMBER(SEARCH("Head of Marketing",C1151))+ISNUMBER(SEARCH("Head Marketing",C1151))&gt;0,'Configuración'!$B$32,IF(ISNUMBER(SEARCH("Marketing Manager",C1151))+ISNUMBER(SEARCH("Gerente de Marketing",C1151))+ISNUMBER(SEARCH("Growth Manager",C1151))+ISNUMBER(SEARCH("Demand Gen",C1151))+ISNUMBER(SEARCH("Marketing Lead",C1151))&gt;0,'Configuración'!$B$33,IF(ISNUMBER(SEARCH("COO",C1151))+ISNUMBER(SEARCH("CFO",C1151))+ISNUMBER(SEARCH("CTO",C1151))+ISNUMBER(SEARCH("Chief Operating",C1151))+ISNUMBER(SEARCH("Chief Financial",C1151))+ISNUMBER(SEARCH("Gerente General",C1151))+ISNUMBER(SEARCH("General Manager",C1151))&gt;0,'Configuración'!$B$34,'Configuración'!$B$35)))))</f>
        <v>12</v>
      </c>
      <c r="V1151" s="38">
        <f>IF(B1151="","",IF(K1151="Sí",'Configuración'!$B$5,0)+IF(L1151="Semanal",'Configuración'!$B$6,IF(L1151="Mensual",'Configuración'!$B$7,0))+IF(M1151="Sí",'Configuración'!$B$8,0)+IF(N1151="Sí",'Configuración'!$B$9,0)+IF(O1151="Sí",'Configuración'!$B$10,0)+IF(P1151="Sí",'Configuración'!$B$11,0)+IF(Q1151="Sí",'Configuración'!$B$12,0)+S1151+T1151+U1151)</f>
        <v>20</v>
      </c>
      <c r="W1151" s="39" t="str">
        <f>IF(B1151="","",IF(V1151&gt;='Configuración'!$B$19,"A",IF(V1151&gt;='Configuración'!$B$20,"B",IF(V1151&gt;='Configuración'!$B$21,"C","Descarte"))))</f>
        <v>Descarte</v>
      </c>
    </row>
    <row r="1152" ht="15.75" customHeight="1">
      <c r="A1152" s="34">
        <f t="shared" si="1"/>
        <v>1150</v>
      </c>
      <c r="B1152" s="29" t="s">
        <v>6616</v>
      </c>
      <c r="C1152" s="29" t="s">
        <v>6617</v>
      </c>
      <c r="D1152" s="29" t="s">
        <v>6618</v>
      </c>
      <c r="E1152" s="29" t="s">
        <v>6619</v>
      </c>
      <c r="F1152" s="30" t="s">
        <v>6620</v>
      </c>
      <c r="G1152" s="30" t="s">
        <v>6621</v>
      </c>
      <c r="H1152" s="30" t="s">
        <v>6622</v>
      </c>
      <c r="I1152" s="29" t="s">
        <v>946</v>
      </c>
      <c r="J1152" s="31">
        <v>1.0</v>
      </c>
      <c r="K1152" s="35"/>
      <c r="L1152" s="35"/>
      <c r="M1152" s="35"/>
      <c r="N1152" s="35"/>
      <c r="O1152" s="35"/>
      <c r="P1152" s="35"/>
      <c r="Q1152" s="35"/>
      <c r="R1152" s="35"/>
      <c r="S1152" s="37">
        <f>IF(B1152="","",IF(ISNUMBER(J1152),IF(J1152&lt;=10,'Configuración'!$B$23,IF(J1152&lt;=50,'Configuración'!$B$24,IF(J1152&lt;=200,'Configuración'!$B$25,0))),0))</f>
        <v>12</v>
      </c>
      <c r="T1152" s="37">
        <f>IF(B1152="","",IF(ISNUMBER(SEARCH("information technology",I1152))+ISNUMBER(SEARCH("software",I1152))+ISNUMBER(SEARCH("internet",I1152))+ISNUMBER(SEARCH("computer",I1152))+ISNUMBER(SEARCH("saas",I1152))+ISNUMBER(SEARCH("fintech",I1152))+ISNUMBER(SEARCH("information services",I1152))+ISNUMBER(SEARCH("telecommunications",I1152))&gt;0,'Configuración'!$B$27,'Configuración'!$B$28))</f>
        <v>4</v>
      </c>
      <c r="U1152" s="25">
        <f>IF(B1152="","",IF(ISNUMBER(SEARCH("CEO",C1152))+ISNUMBER(SEARCH("Founder",C1152))+ISNUMBER(SEARCH("Owner",C1152))+ISNUMBER(SEARCH("Dueño",C1152))+ISNUMBER(SEARCH("Director General",C1152))+ISNUMBER(SEARCH("Presidente",C1152))+ISNUMBER(SEARCH("President",C1152))&gt;0,'Configuración'!$B$31,IF(ISNUMBER(SEARCH("CMO",C1152))+ISNUMBER(SEARCH("Chief Marketing",C1152))+ISNUMBER(SEARCH("VP Marketing",C1152))+ISNUMBER(SEARCH("Director de Marketing",C1152))+ISNUMBER(SEARCH("Director Marketing",C1152))+ISNUMBER(SEARCH("Head of Marketing",C1152))+ISNUMBER(SEARCH("Head Marketing",C1152))&gt;0,'Configuración'!$B$32,IF(ISNUMBER(SEARCH("Marketing Manager",C1152))+ISNUMBER(SEARCH("Gerente de Marketing",C1152))+ISNUMBER(SEARCH("Growth Manager",C1152))+ISNUMBER(SEARCH("Demand Gen",C1152))+ISNUMBER(SEARCH("Marketing Lead",C1152))&gt;0,'Configuración'!$B$33,IF(ISNUMBER(SEARCH("COO",C1152))+ISNUMBER(SEARCH("CFO",C1152))+ISNUMBER(SEARCH("CTO",C1152))+ISNUMBER(SEARCH("Chief Operating",C1152))+ISNUMBER(SEARCH("Chief Financial",C1152))+ISNUMBER(SEARCH("Gerente General",C1152))+ISNUMBER(SEARCH("General Manager",C1152))&gt;0,'Configuración'!$B$34,'Configuración'!$B$35)))))</f>
        <v>12</v>
      </c>
      <c r="V1152" s="38">
        <f>IF(B1152="","",IF(K1152="Sí",'Configuración'!$B$5,0)+IF(L1152="Semanal",'Configuración'!$B$6,IF(L1152="Mensual",'Configuración'!$B$7,0))+IF(M1152="Sí",'Configuración'!$B$8,0)+IF(N1152="Sí",'Configuración'!$B$9,0)+IF(O1152="Sí",'Configuración'!$B$10,0)+IF(P1152="Sí",'Configuración'!$B$11,0)+IF(Q1152="Sí",'Configuración'!$B$12,0)+S1152+T1152+U1152)</f>
        <v>28</v>
      </c>
      <c r="W1152" s="39" t="str">
        <f>IF(B1152="","",IF(V1152&gt;='Configuración'!$B$19,"A",IF(V1152&gt;='Configuración'!$B$20,"B",IF(V1152&gt;='Configuración'!$B$21,"C","Descarte"))))</f>
        <v>C</v>
      </c>
    </row>
    <row r="1153" ht="15.75" customHeight="1">
      <c r="A1153" s="34">
        <f t="shared" si="1"/>
        <v>1151</v>
      </c>
      <c r="B1153" s="29" t="s">
        <v>2206</v>
      </c>
      <c r="C1153" s="29" t="s">
        <v>131</v>
      </c>
      <c r="D1153" s="29" t="s">
        <v>6623</v>
      </c>
      <c r="E1153" s="29" t="s">
        <v>6624</v>
      </c>
      <c r="F1153" s="30" t="s">
        <v>6625</v>
      </c>
      <c r="G1153" s="30" t="s">
        <v>6626</v>
      </c>
      <c r="H1153" s="30" t="s">
        <v>6627</v>
      </c>
      <c r="I1153" s="29" t="s">
        <v>127</v>
      </c>
      <c r="J1153" s="31">
        <v>8.0</v>
      </c>
      <c r="K1153" s="35"/>
      <c r="L1153" s="35"/>
      <c r="M1153" s="35"/>
      <c r="N1153" s="35"/>
      <c r="O1153" s="35"/>
      <c r="P1153" s="35"/>
      <c r="Q1153" s="35"/>
      <c r="R1153" s="35"/>
      <c r="S1153" s="37">
        <f>IF(B1153="","",IF(ISNUMBER(J1153),IF(J1153&lt;=10,'Configuración'!$B$23,IF(J1153&lt;=50,'Configuración'!$B$24,IF(J1153&lt;=200,'Configuración'!$B$25,0))),0))</f>
        <v>12</v>
      </c>
      <c r="T1153" s="37">
        <f>IF(B1153="","",IF(ISNUMBER(SEARCH("information technology",I1153))+ISNUMBER(SEARCH("software",I1153))+ISNUMBER(SEARCH("internet",I1153))+ISNUMBER(SEARCH("computer",I1153))+ISNUMBER(SEARCH("saas",I1153))+ISNUMBER(SEARCH("fintech",I1153))+ISNUMBER(SEARCH("information services",I1153))+ISNUMBER(SEARCH("telecommunications",I1153))&gt;0,'Configuración'!$B$27,'Configuración'!$B$28))</f>
        <v>12</v>
      </c>
      <c r="U1153" s="25">
        <f>IF(B1153="","",IF(ISNUMBER(SEARCH("CEO",C1153))+ISNUMBER(SEARCH("Founder",C1153))+ISNUMBER(SEARCH("Owner",C1153))+ISNUMBER(SEARCH("Dueño",C1153))+ISNUMBER(SEARCH("Director General",C1153))+ISNUMBER(SEARCH("Presidente",C1153))+ISNUMBER(SEARCH("President",C1153))&gt;0,'Configuración'!$B$31,IF(ISNUMBER(SEARCH("CMO",C1153))+ISNUMBER(SEARCH("Chief Marketing",C1153))+ISNUMBER(SEARCH("VP Marketing",C1153))+ISNUMBER(SEARCH("Director de Marketing",C1153))+ISNUMBER(SEARCH("Director Marketing",C1153))+ISNUMBER(SEARCH("Head of Marketing",C1153))+ISNUMBER(SEARCH("Head Marketing",C1153))&gt;0,'Configuración'!$B$32,IF(ISNUMBER(SEARCH("Marketing Manager",C1153))+ISNUMBER(SEARCH("Gerente de Marketing",C1153))+ISNUMBER(SEARCH("Growth Manager",C1153))+ISNUMBER(SEARCH("Demand Gen",C1153))+ISNUMBER(SEARCH("Marketing Lead",C1153))&gt;0,'Configuración'!$B$33,IF(ISNUMBER(SEARCH("COO",C1153))+ISNUMBER(SEARCH("CFO",C1153))+ISNUMBER(SEARCH("CTO",C1153))+ISNUMBER(SEARCH("Chief Operating",C1153))+ISNUMBER(SEARCH("Chief Financial",C1153))+ISNUMBER(SEARCH("Gerente General",C1153))+ISNUMBER(SEARCH("General Manager",C1153))&gt;0,'Configuración'!$B$34,'Configuración'!$B$35)))))</f>
        <v>12</v>
      </c>
      <c r="V1153" s="38">
        <f>IF(B1153="","",IF(K1153="Sí",'Configuración'!$B$5,0)+IF(L1153="Semanal",'Configuración'!$B$6,IF(L1153="Mensual",'Configuración'!$B$7,0))+IF(M1153="Sí",'Configuración'!$B$8,0)+IF(N1153="Sí",'Configuración'!$B$9,0)+IF(O1153="Sí",'Configuración'!$B$10,0)+IF(P1153="Sí",'Configuración'!$B$11,0)+IF(Q1153="Sí",'Configuración'!$B$12,0)+S1153+T1153+U1153)</f>
        <v>36</v>
      </c>
      <c r="W1153" s="39" t="str">
        <f>IF(B1153="","",IF(V1153&gt;='Configuración'!$B$19,"A",IF(V1153&gt;='Configuración'!$B$20,"B",IF(V1153&gt;='Configuración'!$B$21,"C","Descarte"))))</f>
        <v>C</v>
      </c>
    </row>
    <row r="1154" ht="15.75" customHeight="1">
      <c r="A1154" s="34">
        <f t="shared" si="1"/>
        <v>1152</v>
      </c>
      <c r="B1154" s="29" t="s">
        <v>6454</v>
      </c>
      <c r="C1154" s="29" t="s">
        <v>6628</v>
      </c>
      <c r="D1154" s="29" t="s">
        <v>6629</v>
      </c>
      <c r="E1154" s="29" t="s">
        <v>6630</v>
      </c>
      <c r="F1154" s="30" t="s">
        <v>6631</v>
      </c>
      <c r="G1154" s="30" t="s">
        <v>6632</v>
      </c>
      <c r="H1154" s="30" t="s">
        <v>6633</v>
      </c>
      <c r="I1154" s="29" t="s">
        <v>127</v>
      </c>
      <c r="J1154" s="31">
        <v>4.0</v>
      </c>
      <c r="K1154" s="35"/>
      <c r="L1154" s="35"/>
      <c r="M1154" s="35"/>
      <c r="N1154" s="35"/>
      <c r="O1154" s="35"/>
      <c r="P1154" s="35"/>
      <c r="Q1154" s="35"/>
      <c r="R1154" s="35"/>
      <c r="S1154" s="37">
        <f>IF(B1154="","",IF(ISNUMBER(J1154),IF(J1154&lt;=10,'Configuración'!$B$23,IF(J1154&lt;=50,'Configuración'!$B$24,IF(J1154&lt;=200,'Configuración'!$B$25,0))),0))</f>
        <v>12</v>
      </c>
      <c r="T1154" s="37">
        <f>IF(B1154="","",IF(ISNUMBER(SEARCH("information technology",I1154))+ISNUMBER(SEARCH("software",I1154))+ISNUMBER(SEARCH("internet",I1154))+ISNUMBER(SEARCH("computer",I1154))+ISNUMBER(SEARCH("saas",I1154))+ISNUMBER(SEARCH("fintech",I1154))+ISNUMBER(SEARCH("information services",I1154))+ISNUMBER(SEARCH("telecommunications",I1154))&gt;0,'Configuración'!$B$27,'Configuración'!$B$28))</f>
        <v>12</v>
      </c>
      <c r="U1154" s="25">
        <f>IF(B1154="","",IF(ISNUMBER(SEARCH("CEO",C1154))+ISNUMBER(SEARCH("Founder",C1154))+ISNUMBER(SEARCH("Owner",C1154))+ISNUMBER(SEARCH("Dueño",C1154))+ISNUMBER(SEARCH("Director General",C1154))+ISNUMBER(SEARCH("Presidente",C1154))+ISNUMBER(SEARCH("President",C1154))&gt;0,'Configuración'!$B$31,IF(ISNUMBER(SEARCH("CMO",C1154))+ISNUMBER(SEARCH("Chief Marketing",C1154))+ISNUMBER(SEARCH("VP Marketing",C1154))+ISNUMBER(SEARCH("Director de Marketing",C1154))+ISNUMBER(SEARCH("Director Marketing",C1154))+ISNUMBER(SEARCH("Head of Marketing",C1154))+ISNUMBER(SEARCH("Head Marketing",C1154))&gt;0,'Configuración'!$B$32,IF(ISNUMBER(SEARCH("Marketing Manager",C1154))+ISNUMBER(SEARCH("Gerente de Marketing",C1154))+ISNUMBER(SEARCH("Growth Manager",C1154))+ISNUMBER(SEARCH("Demand Gen",C1154))+ISNUMBER(SEARCH("Marketing Lead",C1154))&gt;0,'Configuración'!$B$33,IF(ISNUMBER(SEARCH("COO",C1154))+ISNUMBER(SEARCH("CFO",C1154))+ISNUMBER(SEARCH("CTO",C1154))+ISNUMBER(SEARCH("Chief Operating",C1154))+ISNUMBER(SEARCH("Chief Financial",C1154))+ISNUMBER(SEARCH("Gerente General",C1154))+ISNUMBER(SEARCH("General Manager",C1154))&gt;0,'Configuración'!$B$34,'Configuración'!$B$35)))))</f>
        <v>12</v>
      </c>
      <c r="V1154" s="38">
        <f>IF(B1154="","",IF(K1154="Sí",'Configuración'!$B$5,0)+IF(L1154="Semanal",'Configuración'!$B$6,IF(L1154="Mensual",'Configuración'!$B$7,0))+IF(M1154="Sí",'Configuración'!$B$8,0)+IF(N1154="Sí",'Configuración'!$B$9,0)+IF(O1154="Sí",'Configuración'!$B$10,0)+IF(P1154="Sí",'Configuración'!$B$11,0)+IF(Q1154="Sí",'Configuración'!$B$12,0)+S1154+T1154+U1154)</f>
        <v>36</v>
      </c>
      <c r="W1154" s="39" t="str">
        <f>IF(B1154="","",IF(V1154&gt;='Configuración'!$B$19,"A",IF(V1154&gt;='Configuración'!$B$20,"B",IF(V1154&gt;='Configuración'!$B$21,"C","Descarte"))))</f>
        <v>C</v>
      </c>
    </row>
    <row r="1155" ht="15.75" customHeight="1">
      <c r="A1155" s="34">
        <f t="shared" si="1"/>
        <v>1153</v>
      </c>
      <c r="B1155" s="29" t="s">
        <v>813</v>
      </c>
      <c r="C1155" s="29" t="s">
        <v>6634</v>
      </c>
      <c r="D1155" s="29" t="s">
        <v>3180</v>
      </c>
      <c r="E1155" s="29" t="s">
        <v>6635</v>
      </c>
      <c r="F1155" s="30" t="s">
        <v>6636</v>
      </c>
      <c r="G1155" s="30" t="s">
        <v>3183</v>
      </c>
      <c r="H1155" s="30" t="s">
        <v>3184</v>
      </c>
      <c r="I1155" s="29" t="s">
        <v>116</v>
      </c>
      <c r="J1155" s="31">
        <v>17.0</v>
      </c>
      <c r="K1155" s="35"/>
      <c r="L1155" s="35"/>
      <c r="M1155" s="35"/>
      <c r="N1155" s="35"/>
      <c r="O1155" s="35"/>
      <c r="P1155" s="35"/>
      <c r="Q1155" s="35"/>
      <c r="R1155" s="35"/>
      <c r="S1155" s="37">
        <f>IF(B1155="","",IF(ISNUMBER(J1155),IF(J1155&lt;=10,'Configuración'!$B$23,IF(J1155&lt;=50,'Configuración'!$B$24,IF(J1155&lt;=200,'Configuración'!$B$25,0))),0))</f>
        <v>4</v>
      </c>
      <c r="T1155" s="37">
        <f>IF(B1155="","",IF(ISNUMBER(SEARCH("information technology",I1155))+ISNUMBER(SEARCH("software",I1155))+ISNUMBER(SEARCH("internet",I1155))+ISNUMBER(SEARCH("computer",I1155))+ISNUMBER(SEARCH("saas",I1155))+ISNUMBER(SEARCH("fintech",I1155))+ISNUMBER(SEARCH("information services",I1155))+ISNUMBER(SEARCH("telecommunications",I1155))&gt;0,'Configuración'!$B$27,'Configuración'!$B$28))</f>
        <v>4</v>
      </c>
      <c r="U1155" s="25">
        <f>IF(B1155="","",IF(ISNUMBER(SEARCH("CEO",C1155))+ISNUMBER(SEARCH("Founder",C1155))+ISNUMBER(SEARCH("Owner",C1155))+ISNUMBER(SEARCH("Dueño",C1155))+ISNUMBER(SEARCH("Director General",C1155))+ISNUMBER(SEARCH("Presidente",C1155))+ISNUMBER(SEARCH("President",C1155))&gt;0,'Configuración'!$B$31,IF(ISNUMBER(SEARCH("CMO",C1155))+ISNUMBER(SEARCH("Chief Marketing",C1155))+ISNUMBER(SEARCH("VP Marketing",C1155))+ISNUMBER(SEARCH("Director de Marketing",C1155))+ISNUMBER(SEARCH("Director Marketing",C1155))+ISNUMBER(SEARCH("Head of Marketing",C1155))+ISNUMBER(SEARCH("Head Marketing",C1155))&gt;0,'Configuración'!$B$32,IF(ISNUMBER(SEARCH("Marketing Manager",C1155))+ISNUMBER(SEARCH("Gerente de Marketing",C1155))+ISNUMBER(SEARCH("Growth Manager",C1155))+ISNUMBER(SEARCH("Demand Gen",C1155))+ISNUMBER(SEARCH("Marketing Lead",C1155))&gt;0,'Configuración'!$B$33,IF(ISNUMBER(SEARCH("COO",C1155))+ISNUMBER(SEARCH("CFO",C1155))+ISNUMBER(SEARCH("CTO",C1155))+ISNUMBER(SEARCH("Chief Operating",C1155))+ISNUMBER(SEARCH("Chief Financial",C1155))+ISNUMBER(SEARCH("Gerente General",C1155))+ISNUMBER(SEARCH("General Manager",C1155))&gt;0,'Configuración'!$B$34,'Configuración'!$B$35)))))</f>
        <v>12</v>
      </c>
      <c r="V1155" s="38">
        <f>IF(B1155="","",IF(K1155="Sí",'Configuración'!$B$5,0)+IF(L1155="Semanal",'Configuración'!$B$6,IF(L1155="Mensual",'Configuración'!$B$7,0))+IF(M1155="Sí",'Configuración'!$B$8,0)+IF(N1155="Sí",'Configuración'!$B$9,0)+IF(O1155="Sí",'Configuración'!$B$10,0)+IF(P1155="Sí",'Configuración'!$B$11,0)+IF(Q1155="Sí",'Configuración'!$B$12,0)+S1155+T1155+U1155)</f>
        <v>20</v>
      </c>
      <c r="W1155" s="39" t="str">
        <f>IF(B1155="","",IF(V1155&gt;='Configuración'!$B$19,"A",IF(V1155&gt;='Configuración'!$B$20,"B",IF(V1155&gt;='Configuración'!$B$21,"C","Descarte"))))</f>
        <v>Descarte</v>
      </c>
    </row>
    <row r="1156" ht="15.75" customHeight="1">
      <c r="A1156" s="34">
        <f t="shared" si="1"/>
        <v>1154</v>
      </c>
      <c r="B1156" s="29" t="s">
        <v>6637</v>
      </c>
      <c r="C1156" s="29" t="s">
        <v>131</v>
      </c>
      <c r="D1156" s="29" t="s">
        <v>6638</v>
      </c>
      <c r="E1156" s="29" t="s">
        <v>6639</v>
      </c>
      <c r="F1156" s="30" t="s">
        <v>6640</v>
      </c>
      <c r="G1156" s="30" t="s">
        <v>6641</v>
      </c>
      <c r="H1156" s="30" t="s">
        <v>6642</v>
      </c>
      <c r="I1156" s="29" t="s">
        <v>127</v>
      </c>
      <c r="J1156" s="31">
        <v>15.0</v>
      </c>
      <c r="K1156" s="35"/>
      <c r="L1156" s="35"/>
      <c r="M1156" s="35"/>
      <c r="N1156" s="35"/>
      <c r="O1156" s="35"/>
      <c r="P1156" s="35"/>
      <c r="Q1156" s="35"/>
      <c r="R1156" s="35"/>
      <c r="S1156" s="37">
        <f>IF(B1156="","",IF(ISNUMBER(J1156),IF(J1156&lt;=10,'Configuración'!$B$23,IF(J1156&lt;=50,'Configuración'!$B$24,IF(J1156&lt;=200,'Configuración'!$B$25,0))),0))</f>
        <v>4</v>
      </c>
      <c r="T1156" s="37">
        <f>IF(B1156="","",IF(ISNUMBER(SEARCH("information technology",I1156))+ISNUMBER(SEARCH("software",I1156))+ISNUMBER(SEARCH("internet",I1156))+ISNUMBER(SEARCH("computer",I1156))+ISNUMBER(SEARCH("saas",I1156))+ISNUMBER(SEARCH("fintech",I1156))+ISNUMBER(SEARCH("information services",I1156))+ISNUMBER(SEARCH("telecommunications",I1156))&gt;0,'Configuración'!$B$27,'Configuración'!$B$28))</f>
        <v>12</v>
      </c>
      <c r="U1156" s="25">
        <f>IF(B1156="","",IF(ISNUMBER(SEARCH("CEO",C1156))+ISNUMBER(SEARCH("Founder",C1156))+ISNUMBER(SEARCH("Owner",C1156))+ISNUMBER(SEARCH("Dueño",C1156))+ISNUMBER(SEARCH("Director General",C1156))+ISNUMBER(SEARCH("Presidente",C1156))+ISNUMBER(SEARCH("President",C1156))&gt;0,'Configuración'!$B$31,IF(ISNUMBER(SEARCH("CMO",C1156))+ISNUMBER(SEARCH("Chief Marketing",C1156))+ISNUMBER(SEARCH("VP Marketing",C1156))+ISNUMBER(SEARCH("Director de Marketing",C1156))+ISNUMBER(SEARCH("Director Marketing",C1156))+ISNUMBER(SEARCH("Head of Marketing",C1156))+ISNUMBER(SEARCH("Head Marketing",C1156))&gt;0,'Configuración'!$B$32,IF(ISNUMBER(SEARCH("Marketing Manager",C1156))+ISNUMBER(SEARCH("Gerente de Marketing",C1156))+ISNUMBER(SEARCH("Growth Manager",C1156))+ISNUMBER(SEARCH("Demand Gen",C1156))+ISNUMBER(SEARCH("Marketing Lead",C1156))&gt;0,'Configuración'!$B$33,IF(ISNUMBER(SEARCH("COO",C1156))+ISNUMBER(SEARCH("CFO",C1156))+ISNUMBER(SEARCH("CTO",C1156))+ISNUMBER(SEARCH("Chief Operating",C1156))+ISNUMBER(SEARCH("Chief Financial",C1156))+ISNUMBER(SEARCH("Gerente General",C1156))+ISNUMBER(SEARCH("General Manager",C1156))&gt;0,'Configuración'!$B$34,'Configuración'!$B$35)))))</f>
        <v>12</v>
      </c>
      <c r="V1156" s="38">
        <f>IF(B1156="","",IF(K1156="Sí",'Configuración'!$B$5,0)+IF(L1156="Semanal",'Configuración'!$B$6,IF(L1156="Mensual",'Configuración'!$B$7,0))+IF(M1156="Sí",'Configuración'!$B$8,0)+IF(N1156="Sí",'Configuración'!$B$9,0)+IF(O1156="Sí",'Configuración'!$B$10,0)+IF(P1156="Sí",'Configuración'!$B$11,0)+IF(Q1156="Sí",'Configuración'!$B$12,0)+S1156+T1156+U1156)</f>
        <v>28</v>
      </c>
      <c r="W1156" s="39" t="str">
        <f>IF(B1156="","",IF(V1156&gt;='Configuración'!$B$19,"A",IF(V1156&gt;='Configuración'!$B$20,"B",IF(V1156&gt;='Configuración'!$B$21,"C","Descarte"))))</f>
        <v>C</v>
      </c>
    </row>
    <row r="1157" ht="15.75" customHeight="1">
      <c r="A1157" s="34">
        <f t="shared" si="1"/>
        <v>1155</v>
      </c>
      <c r="B1157" s="29" t="s">
        <v>1686</v>
      </c>
      <c r="C1157" s="29" t="s">
        <v>6643</v>
      </c>
      <c r="D1157" s="29" t="s">
        <v>6644</v>
      </c>
      <c r="E1157" s="29" t="s">
        <v>6645</v>
      </c>
      <c r="F1157" s="30" t="s">
        <v>6646</v>
      </c>
      <c r="G1157" s="30" t="s">
        <v>6647</v>
      </c>
      <c r="H1157" s="30" t="s">
        <v>6648</v>
      </c>
      <c r="I1157" s="29" t="s">
        <v>847</v>
      </c>
      <c r="J1157" s="31">
        <v>10.0</v>
      </c>
      <c r="K1157" s="35"/>
      <c r="L1157" s="35"/>
      <c r="M1157" s="35"/>
      <c r="N1157" s="35"/>
      <c r="O1157" s="35"/>
      <c r="P1157" s="35"/>
      <c r="Q1157" s="35"/>
      <c r="R1157" s="35"/>
      <c r="S1157" s="37">
        <f>IF(B1157="","",IF(ISNUMBER(J1157),IF(J1157&lt;=10,'Configuración'!$B$23,IF(J1157&lt;=50,'Configuración'!$B$24,IF(J1157&lt;=200,'Configuración'!$B$25,0))),0))</f>
        <v>12</v>
      </c>
      <c r="T1157" s="37">
        <f>IF(B1157="","",IF(ISNUMBER(SEARCH("information technology",I1157))+ISNUMBER(SEARCH("software",I1157))+ISNUMBER(SEARCH("internet",I1157))+ISNUMBER(SEARCH("computer",I1157))+ISNUMBER(SEARCH("saas",I1157))+ISNUMBER(SEARCH("fintech",I1157))+ISNUMBER(SEARCH("information services",I1157))+ISNUMBER(SEARCH("telecommunications",I1157))&gt;0,'Configuración'!$B$27,'Configuración'!$B$28))</f>
        <v>4</v>
      </c>
      <c r="U1157" s="25">
        <f>IF(B1157="","",IF(ISNUMBER(SEARCH("CEO",C1157))+ISNUMBER(SEARCH("Founder",C1157))+ISNUMBER(SEARCH("Owner",C1157))+ISNUMBER(SEARCH("Dueño",C1157))+ISNUMBER(SEARCH("Director General",C1157))+ISNUMBER(SEARCH("Presidente",C1157))+ISNUMBER(SEARCH("President",C1157))&gt;0,'Configuración'!$B$31,IF(ISNUMBER(SEARCH("CMO",C1157))+ISNUMBER(SEARCH("Chief Marketing",C1157))+ISNUMBER(SEARCH("VP Marketing",C1157))+ISNUMBER(SEARCH("Director de Marketing",C1157))+ISNUMBER(SEARCH("Director Marketing",C1157))+ISNUMBER(SEARCH("Head of Marketing",C1157))+ISNUMBER(SEARCH("Head Marketing",C1157))&gt;0,'Configuración'!$B$32,IF(ISNUMBER(SEARCH("Marketing Manager",C1157))+ISNUMBER(SEARCH("Gerente de Marketing",C1157))+ISNUMBER(SEARCH("Growth Manager",C1157))+ISNUMBER(SEARCH("Demand Gen",C1157))+ISNUMBER(SEARCH("Marketing Lead",C1157))&gt;0,'Configuración'!$B$33,IF(ISNUMBER(SEARCH("COO",C1157))+ISNUMBER(SEARCH("CFO",C1157))+ISNUMBER(SEARCH("CTO",C1157))+ISNUMBER(SEARCH("Chief Operating",C1157))+ISNUMBER(SEARCH("Chief Financial",C1157))+ISNUMBER(SEARCH("Gerente General",C1157))+ISNUMBER(SEARCH("General Manager",C1157))&gt;0,'Configuración'!$B$34,'Configuración'!$B$35)))))</f>
        <v>12</v>
      </c>
      <c r="V1157" s="38">
        <f>IF(B1157="","",IF(K1157="Sí",'Configuración'!$B$5,0)+IF(L1157="Semanal",'Configuración'!$B$6,IF(L1157="Mensual",'Configuración'!$B$7,0))+IF(M1157="Sí",'Configuración'!$B$8,0)+IF(N1157="Sí",'Configuración'!$B$9,0)+IF(O1157="Sí",'Configuración'!$B$10,0)+IF(P1157="Sí",'Configuración'!$B$11,0)+IF(Q1157="Sí",'Configuración'!$B$12,0)+S1157+T1157+U1157)</f>
        <v>28</v>
      </c>
      <c r="W1157" s="39" t="str">
        <f>IF(B1157="","",IF(V1157&gt;='Configuración'!$B$19,"A",IF(V1157&gt;='Configuración'!$B$20,"B",IF(V1157&gt;='Configuración'!$B$21,"C","Descarte"))))</f>
        <v>C</v>
      </c>
    </row>
    <row r="1158" ht="15.75" customHeight="1">
      <c r="A1158" s="34">
        <f t="shared" si="1"/>
        <v>1156</v>
      </c>
      <c r="B1158" s="29" t="s">
        <v>529</v>
      </c>
      <c r="C1158" s="29" t="s">
        <v>6649</v>
      </c>
      <c r="D1158" s="29" t="s">
        <v>6650</v>
      </c>
      <c r="E1158" s="29" t="s">
        <v>6651</v>
      </c>
      <c r="F1158" s="30" t="s">
        <v>6652</v>
      </c>
      <c r="G1158" s="30" t="s">
        <v>6653</v>
      </c>
      <c r="H1158" s="30" t="s">
        <v>6654</v>
      </c>
      <c r="I1158" s="29" t="s">
        <v>1245</v>
      </c>
      <c r="J1158" s="31">
        <v>14.0</v>
      </c>
      <c r="K1158" s="35"/>
      <c r="L1158" s="35"/>
      <c r="M1158" s="35"/>
      <c r="N1158" s="35"/>
      <c r="O1158" s="35"/>
      <c r="P1158" s="35"/>
      <c r="Q1158" s="35"/>
      <c r="R1158" s="35"/>
      <c r="S1158" s="37">
        <f>IF(B1158="","",IF(ISNUMBER(J1158),IF(J1158&lt;=10,'Configuración'!$B$23,IF(J1158&lt;=50,'Configuración'!$B$24,IF(J1158&lt;=200,'Configuración'!$B$25,0))),0))</f>
        <v>4</v>
      </c>
      <c r="T1158" s="37">
        <f>IF(B1158="","",IF(ISNUMBER(SEARCH("information technology",I1158))+ISNUMBER(SEARCH("software",I1158))+ISNUMBER(SEARCH("internet",I1158))+ISNUMBER(SEARCH("computer",I1158))+ISNUMBER(SEARCH("saas",I1158))+ISNUMBER(SEARCH("fintech",I1158))+ISNUMBER(SEARCH("information services",I1158))+ISNUMBER(SEARCH("telecommunications",I1158))&gt;0,'Configuración'!$B$27,'Configuración'!$B$28))</f>
        <v>4</v>
      </c>
      <c r="U1158" s="25">
        <f>IF(B1158="","",IF(ISNUMBER(SEARCH("CEO",C1158))+ISNUMBER(SEARCH("Founder",C1158))+ISNUMBER(SEARCH("Owner",C1158))+ISNUMBER(SEARCH("Dueño",C1158))+ISNUMBER(SEARCH("Director General",C1158))+ISNUMBER(SEARCH("Presidente",C1158))+ISNUMBER(SEARCH("President",C1158))&gt;0,'Configuración'!$B$31,IF(ISNUMBER(SEARCH("CMO",C1158))+ISNUMBER(SEARCH("Chief Marketing",C1158))+ISNUMBER(SEARCH("VP Marketing",C1158))+ISNUMBER(SEARCH("Director de Marketing",C1158))+ISNUMBER(SEARCH("Director Marketing",C1158))+ISNUMBER(SEARCH("Head of Marketing",C1158))+ISNUMBER(SEARCH("Head Marketing",C1158))&gt;0,'Configuración'!$B$32,IF(ISNUMBER(SEARCH("Marketing Manager",C1158))+ISNUMBER(SEARCH("Gerente de Marketing",C1158))+ISNUMBER(SEARCH("Growth Manager",C1158))+ISNUMBER(SEARCH("Demand Gen",C1158))+ISNUMBER(SEARCH("Marketing Lead",C1158))&gt;0,'Configuración'!$B$33,IF(ISNUMBER(SEARCH("COO",C1158))+ISNUMBER(SEARCH("CFO",C1158))+ISNUMBER(SEARCH("CTO",C1158))+ISNUMBER(SEARCH("Chief Operating",C1158))+ISNUMBER(SEARCH("Chief Financial",C1158))+ISNUMBER(SEARCH("Gerente General",C1158))+ISNUMBER(SEARCH("General Manager",C1158))&gt;0,'Configuración'!$B$34,'Configuración'!$B$35)))))</f>
        <v>12</v>
      </c>
      <c r="V1158" s="38">
        <f>IF(B1158="","",IF(K1158="Sí",'Configuración'!$B$5,0)+IF(L1158="Semanal",'Configuración'!$B$6,IF(L1158="Mensual",'Configuración'!$B$7,0))+IF(M1158="Sí",'Configuración'!$B$8,0)+IF(N1158="Sí",'Configuración'!$B$9,0)+IF(O1158="Sí",'Configuración'!$B$10,0)+IF(P1158="Sí",'Configuración'!$B$11,0)+IF(Q1158="Sí",'Configuración'!$B$12,0)+S1158+T1158+U1158)</f>
        <v>20</v>
      </c>
      <c r="W1158" s="39" t="str">
        <f>IF(B1158="","",IF(V1158&gt;='Configuración'!$B$19,"A",IF(V1158&gt;='Configuración'!$B$20,"B",IF(V1158&gt;='Configuración'!$B$21,"C","Descarte"))))</f>
        <v>Descarte</v>
      </c>
    </row>
    <row r="1159" ht="15.75" customHeight="1">
      <c r="A1159" s="34">
        <f t="shared" si="1"/>
        <v>1157</v>
      </c>
      <c r="B1159" s="29" t="s">
        <v>6655</v>
      </c>
      <c r="C1159" s="29" t="s">
        <v>1325</v>
      </c>
      <c r="D1159" s="29" t="s">
        <v>4296</v>
      </c>
      <c r="E1159" s="29" t="s">
        <v>6656</v>
      </c>
      <c r="F1159" s="30" t="s">
        <v>6657</v>
      </c>
      <c r="G1159" s="30" t="s">
        <v>4299</v>
      </c>
      <c r="H1159" s="30" t="s">
        <v>4300</v>
      </c>
      <c r="I1159" s="29" t="s">
        <v>222</v>
      </c>
      <c r="J1159" s="31">
        <v>16.0</v>
      </c>
      <c r="K1159" s="35"/>
      <c r="L1159" s="35"/>
      <c r="M1159" s="35"/>
      <c r="N1159" s="35"/>
      <c r="O1159" s="35"/>
      <c r="P1159" s="35"/>
      <c r="Q1159" s="35"/>
      <c r="R1159" s="35"/>
      <c r="S1159" s="37">
        <f>IF(B1159="","",IF(ISNUMBER(J1159),IF(J1159&lt;=10,'Configuración'!$B$23,IF(J1159&lt;=50,'Configuración'!$B$24,IF(J1159&lt;=200,'Configuración'!$B$25,0))),0))</f>
        <v>4</v>
      </c>
      <c r="T1159" s="37">
        <f>IF(B1159="","",IF(ISNUMBER(SEARCH("information technology",I1159))+ISNUMBER(SEARCH("software",I1159))+ISNUMBER(SEARCH("internet",I1159))+ISNUMBER(SEARCH("computer",I1159))+ISNUMBER(SEARCH("saas",I1159))+ISNUMBER(SEARCH("fintech",I1159))+ISNUMBER(SEARCH("information services",I1159))+ISNUMBER(SEARCH("telecommunications",I1159))&gt;0,'Configuración'!$B$27,'Configuración'!$B$28))</f>
        <v>4</v>
      </c>
      <c r="U1159" s="25">
        <f>IF(B1159="","",IF(ISNUMBER(SEARCH("CEO",C1159))+ISNUMBER(SEARCH("Founder",C1159))+ISNUMBER(SEARCH("Owner",C1159))+ISNUMBER(SEARCH("Dueño",C1159))+ISNUMBER(SEARCH("Director General",C1159))+ISNUMBER(SEARCH("Presidente",C1159))+ISNUMBER(SEARCH("President",C1159))&gt;0,'Configuración'!$B$31,IF(ISNUMBER(SEARCH("CMO",C1159))+ISNUMBER(SEARCH("Chief Marketing",C1159))+ISNUMBER(SEARCH("VP Marketing",C1159))+ISNUMBER(SEARCH("Director de Marketing",C1159))+ISNUMBER(SEARCH("Director Marketing",C1159))+ISNUMBER(SEARCH("Head of Marketing",C1159))+ISNUMBER(SEARCH("Head Marketing",C1159))&gt;0,'Configuración'!$B$32,IF(ISNUMBER(SEARCH("Marketing Manager",C1159))+ISNUMBER(SEARCH("Gerente de Marketing",C1159))+ISNUMBER(SEARCH("Growth Manager",C1159))+ISNUMBER(SEARCH("Demand Gen",C1159))+ISNUMBER(SEARCH("Marketing Lead",C1159))&gt;0,'Configuración'!$B$33,IF(ISNUMBER(SEARCH("COO",C1159))+ISNUMBER(SEARCH("CFO",C1159))+ISNUMBER(SEARCH("CTO",C1159))+ISNUMBER(SEARCH("Chief Operating",C1159))+ISNUMBER(SEARCH("Chief Financial",C1159))+ISNUMBER(SEARCH("Gerente General",C1159))+ISNUMBER(SEARCH("General Manager",C1159))&gt;0,'Configuración'!$B$34,'Configuración'!$B$35)))))</f>
        <v>12</v>
      </c>
      <c r="V1159" s="38">
        <f>IF(B1159="","",IF(K1159="Sí",'Configuración'!$B$5,0)+IF(L1159="Semanal",'Configuración'!$B$6,IF(L1159="Mensual",'Configuración'!$B$7,0))+IF(M1159="Sí",'Configuración'!$B$8,0)+IF(N1159="Sí",'Configuración'!$B$9,0)+IF(O1159="Sí",'Configuración'!$B$10,0)+IF(P1159="Sí",'Configuración'!$B$11,0)+IF(Q1159="Sí",'Configuración'!$B$12,0)+S1159+T1159+U1159)</f>
        <v>20</v>
      </c>
      <c r="W1159" s="39" t="str">
        <f>IF(B1159="","",IF(V1159&gt;='Configuración'!$B$19,"A",IF(V1159&gt;='Configuración'!$B$20,"B",IF(V1159&gt;='Configuración'!$B$21,"C","Descarte"))))</f>
        <v>Descarte</v>
      </c>
    </row>
    <row r="1160" ht="15.75" customHeight="1">
      <c r="A1160" s="34">
        <f t="shared" si="1"/>
        <v>1158</v>
      </c>
      <c r="B1160" s="29" t="s">
        <v>2603</v>
      </c>
      <c r="C1160" s="29" t="s">
        <v>622</v>
      </c>
      <c r="D1160" s="29" t="s">
        <v>6658</v>
      </c>
      <c r="E1160" s="29" t="s">
        <v>6659</v>
      </c>
      <c r="F1160" s="30" t="s">
        <v>6660</v>
      </c>
      <c r="G1160" s="30" t="s">
        <v>6661</v>
      </c>
      <c r="H1160" s="30" t="s">
        <v>6662</v>
      </c>
      <c r="I1160" s="29" t="s">
        <v>127</v>
      </c>
      <c r="J1160" s="31">
        <v>5.0</v>
      </c>
      <c r="K1160" s="35"/>
      <c r="L1160" s="35"/>
      <c r="M1160" s="35"/>
      <c r="N1160" s="35"/>
      <c r="O1160" s="35"/>
      <c r="P1160" s="35"/>
      <c r="Q1160" s="35"/>
      <c r="R1160" s="35"/>
      <c r="S1160" s="37">
        <f>IF(B1160="","",IF(ISNUMBER(J1160),IF(J1160&lt;=10,'Configuración'!$B$23,IF(J1160&lt;=50,'Configuración'!$B$24,IF(J1160&lt;=200,'Configuración'!$B$25,0))),0))</f>
        <v>12</v>
      </c>
      <c r="T1160" s="37">
        <f>IF(B1160="","",IF(ISNUMBER(SEARCH("information technology",I1160))+ISNUMBER(SEARCH("software",I1160))+ISNUMBER(SEARCH("internet",I1160))+ISNUMBER(SEARCH("computer",I1160))+ISNUMBER(SEARCH("saas",I1160))+ISNUMBER(SEARCH("fintech",I1160))+ISNUMBER(SEARCH("information services",I1160))+ISNUMBER(SEARCH("telecommunications",I1160))&gt;0,'Configuración'!$B$27,'Configuración'!$B$28))</f>
        <v>12</v>
      </c>
      <c r="U1160" s="25">
        <f>IF(B1160="","",IF(ISNUMBER(SEARCH("CEO",C1160))+ISNUMBER(SEARCH("Founder",C1160))+ISNUMBER(SEARCH("Owner",C1160))+ISNUMBER(SEARCH("Dueño",C1160))+ISNUMBER(SEARCH("Director General",C1160))+ISNUMBER(SEARCH("Presidente",C1160))+ISNUMBER(SEARCH("President",C1160))&gt;0,'Configuración'!$B$31,IF(ISNUMBER(SEARCH("CMO",C1160))+ISNUMBER(SEARCH("Chief Marketing",C1160))+ISNUMBER(SEARCH("VP Marketing",C1160))+ISNUMBER(SEARCH("Director de Marketing",C1160))+ISNUMBER(SEARCH("Director Marketing",C1160))+ISNUMBER(SEARCH("Head of Marketing",C1160))+ISNUMBER(SEARCH("Head Marketing",C1160))&gt;0,'Configuración'!$B$32,IF(ISNUMBER(SEARCH("Marketing Manager",C1160))+ISNUMBER(SEARCH("Gerente de Marketing",C1160))+ISNUMBER(SEARCH("Growth Manager",C1160))+ISNUMBER(SEARCH("Demand Gen",C1160))+ISNUMBER(SEARCH("Marketing Lead",C1160))&gt;0,'Configuración'!$B$33,IF(ISNUMBER(SEARCH("COO",C1160))+ISNUMBER(SEARCH("CFO",C1160))+ISNUMBER(SEARCH("CTO",C1160))+ISNUMBER(SEARCH("Chief Operating",C1160))+ISNUMBER(SEARCH("Chief Financial",C1160))+ISNUMBER(SEARCH("Gerente General",C1160))+ISNUMBER(SEARCH("General Manager",C1160))&gt;0,'Configuración'!$B$34,'Configuración'!$B$35)))))</f>
        <v>12</v>
      </c>
      <c r="V1160" s="38">
        <f>IF(B1160="","",IF(K1160="Sí",'Configuración'!$B$5,0)+IF(L1160="Semanal",'Configuración'!$B$6,IF(L1160="Mensual",'Configuración'!$B$7,0))+IF(M1160="Sí",'Configuración'!$B$8,0)+IF(N1160="Sí",'Configuración'!$B$9,0)+IF(O1160="Sí",'Configuración'!$B$10,0)+IF(P1160="Sí",'Configuración'!$B$11,0)+IF(Q1160="Sí",'Configuración'!$B$12,0)+S1160+T1160+U1160)</f>
        <v>36</v>
      </c>
      <c r="W1160" s="39" t="str">
        <f>IF(B1160="","",IF(V1160&gt;='Configuración'!$B$19,"A",IF(V1160&gt;='Configuración'!$B$20,"B",IF(V1160&gt;='Configuración'!$B$21,"C","Descarte"))))</f>
        <v>C</v>
      </c>
    </row>
    <row r="1161" ht="15.75" customHeight="1">
      <c r="A1161" s="34">
        <f t="shared" si="1"/>
        <v>1159</v>
      </c>
      <c r="B1161" s="29" t="s">
        <v>296</v>
      </c>
      <c r="C1161" s="29" t="s">
        <v>6663</v>
      </c>
      <c r="D1161" s="29" t="s">
        <v>6664</v>
      </c>
      <c r="E1161" s="29" t="s">
        <v>6665</v>
      </c>
      <c r="F1161" s="30" t="s">
        <v>6666</v>
      </c>
      <c r="G1161" s="30" t="s">
        <v>6667</v>
      </c>
      <c r="H1161" s="30" t="s">
        <v>6668</v>
      </c>
      <c r="I1161" s="29" t="s">
        <v>116</v>
      </c>
      <c r="J1161" s="31">
        <v>38.0</v>
      </c>
      <c r="K1161" s="35"/>
      <c r="L1161" s="35"/>
      <c r="M1161" s="35"/>
      <c r="N1161" s="35"/>
      <c r="O1161" s="35"/>
      <c r="P1161" s="35"/>
      <c r="Q1161" s="35"/>
      <c r="R1161" s="35"/>
      <c r="S1161" s="37">
        <f>IF(B1161="","",IF(ISNUMBER(J1161),IF(J1161&lt;=10,'Configuración'!$B$23,IF(J1161&lt;=50,'Configuración'!$B$24,IF(J1161&lt;=200,'Configuración'!$B$25,0))),0))</f>
        <v>4</v>
      </c>
      <c r="T1161" s="37">
        <f>IF(B1161="","",IF(ISNUMBER(SEARCH("information technology",I1161))+ISNUMBER(SEARCH("software",I1161))+ISNUMBER(SEARCH("internet",I1161))+ISNUMBER(SEARCH("computer",I1161))+ISNUMBER(SEARCH("saas",I1161))+ISNUMBER(SEARCH("fintech",I1161))+ISNUMBER(SEARCH("information services",I1161))+ISNUMBER(SEARCH("telecommunications",I1161))&gt;0,'Configuración'!$B$27,'Configuración'!$B$28))</f>
        <v>4</v>
      </c>
      <c r="U1161" s="25">
        <f>IF(B1161="","",IF(ISNUMBER(SEARCH("CEO",C1161))+ISNUMBER(SEARCH("Founder",C1161))+ISNUMBER(SEARCH("Owner",C1161))+ISNUMBER(SEARCH("Dueño",C1161))+ISNUMBER(SEARCH("Director General",C1161))+ISNUMBER(SEARCH("Presidente",C1161))+ISNUMBER(SEARCH("President",C1161))&gt;0,'Configuración'!$B$31,IF(ISNUMBER(SEARCH("CMO",C1161))+ISNUMBER(SEARCH("Chief Marketing",C1161))+ISNUMBER(SEARCH("VP Marketing",C1161))+ISNUMBER(SEARCH("Director de Marketing",C1161))+ISNUMBER(SEARCH("Director Marketing",C1161))+ISNUMBER(SEARCH("Head of Marketing",C1161))+ISNUMBER(SEARCH("Head Marketing",C1161))&gt;0,'Configuración'!$B$32,IF(ISNUMBER(SEARCH("Marketing Manager",C1161))+ISNUMBER(SEARCH("Gerente de Marketing",C1161))+ISNUMBER(SEARCH("Growth Manager",C1161))+ISNUMBER(SEARCH("Demand Gen",C1161))+ISNUMBER(SEARCH("Marketing Lead",C1161))&gt;0,'Configuración'!$B$33,IF(ISNUMBER(SEARCH("COO",C1161))+ISNUMBER(SEARCH("CFO",C1161))+ISNUMBER(SEARCH("CTO",C1161))+ISNUMBER(SEARCH("Chief Operating",C1161))+ISNUMBER(SEARCH("Chief Financial",C1161))+ISNUMBER(SEARCH("Gerente General",C1161))+ISNUMBER(SEARCH("General Manager",C1161))&gt;0,'Configuración'!$B$34,'Configuración'!$B$35)))))</f>
        <v>4</v>
      </c>
      <c r="V1161" s="38">
        <f>IF(B1161="","",IF(K1161="Sí",'Configuración'!$B$5,0)+IF(L1161="Semanal",'Configuración'!$B$6,IF(L1161="Mensual",'Configuración'!$B$7,0))+IF(M1161="Sí",'Configuración'!$B$8,0)+IF(N1161="Sí",'Configuración'!$B$9,0)+IF(O1161="Sí",'Configuración'!$B$10,0)+IF(P1161="Sí",'Configuración'!$B$11,0)+IF(Q1161="Sí",'Configuración'!$B$12,0)+S1161+T1161+U1161)</f>
        <v>12</v>
      </c>
      <c r="W1161" s="39" t="str">
        <f>IF(B1161="","",IF(V1161&gt;='Configuración'!$B$19,"A",IF(V1161&gt;='Configuración'!$B$20,"B",IF(V1161&gt;='Configuración'!$B$21,"C","Descarte"))))</f>
        <v>Descarte</v>
      </c>
    </row>
    <row r="1162" ht="15.75" customHeight="1">
      <c r="A1162" s="34">
        <f t="shared" si="1"/>
        <v>1160</v>
      </c>
      <c r="B1162" s="29" t="s">
        <v>6669</v>
      </c>
      <c r="C1162" s="29" t="s">
        <v>202</v>
      </c>
      <c r="D1162" s="29" t="s">
        <v>6670</v>
      </c>
      <c r="E1162" s="29" t="s">
        <v>6671</v>
      </c>
      <c r="F1162" s="30" t="s">
        <v>6672</v>
      </c>
      <c r="G1162" s="30" t="s">
        <v>6673</v>
      </c>
      <c r="H1162" s="30" t="s">
        <v>6674</v>
      </c>
      <c r="I1162" s="29" t="s">
        <v>2272</v>
      </c>
      <c r="J1162" s="31">
        <v>3.0</v>
      </c>
      <c r="K1162" s="35"/>
      <c r="L1162" s="35"/>
      <c r="M1162" s="35"/>
      <c r="N1162" s="35"/>
      <c r="O1162" s="35"/>
      <c r="P1162" s="35"/>
      <c r="Q1162" s="35"/>
      <c r="R1162" s="35"/>
      <c r="S1162" s="37">
        <f>IF(B1162="","",IF(ISNUMBER(J1162),IF(J1162&lt;=10,'Configuración'!$B$23,IF(J1162&lt;=50,'Configuración'!$B$24,IF(J1162&lt;=200,'Configuración'!$B$25,0))),0))</f>
        <v>12</v>
      </c>
      <c r="T1162" s="37">
        <f>IF(B1162="","",IF(ISNUMBER(SEARCH("information technology",I1162))+ISNUMBER(SEARCH("software",I1162))+ISNUMBER(SEARCH("internet",I1162))+ISNUMBER(SEARCH("computer",I1162))+ISNUMBER(SEARCH("saas",I1162))+ISNUMBER(SEARCH("fintech",I1162))+ISNUMBER(SEARCH("information services",I1162))+ISNUMBER(SEARCH("telecommunications",I1162))&gt;0,'Configuración'!$B$27,'Configuración'!$B$28))</f>
        <v>4</v>
      </c>
      <c r="U1162" s="25">
        <f>IF(B1162="","",IF(ISNUMBER(SEARCH("CEO",C1162))+ISNUMBER(SEARCH("Founder",C1162))+ISNUMBER(SEARCH("Owner",C1162))+ISNUMBER(SEARCH("Dueño",C1162))+ISNUMBER(SEARCH("Director General",C1162))+ISNUMBER(SEARCH("Presidente",C1162))+ISNUMBER(SEARCH("President",C1162))&gt;0,'Configuración'!$B$31,IF(ISNUMBER(SEARCH("CMO",C1162))+ISNUMBER(SEARCH("Chief Marketing",C1162))+ISNUMBER(SEARCH("VP Marketing",C1162))+ISNUMBER(SEARCH("Director de Marketing",C1162))+ISNUMBER(SEARCH("Director Marketing",C1162))+ISNUMBER(SEARCH("Head of Marketing",C1162))+ISNUMBER(SEARCH("Head Marketing",C1162))&gt;0,'Configuración'!$B$32,IF(ISNUMBER(SEARCH("Marketing Manager",C1162))+ISNUMBER(SEARCH("Gerente de Marketing",C1162))+ISNUMBER(SEARCH("Growth Manager",C1162))+ISNUMBER(SEARCH("Demand Gen",C1162))+ISNUMBER(SEARCH("Marketing Lead",C1162))&gt;0,'Configuración'!$B$33,IF(ISNUMBER(SEARCH("COO",C1162))+ISNUMBER(SEARCH("CFO",C1162))+ISNUMBER(SEARCH("CTO",C1162))+ISNUMBER(SEARCH("Chief Operating",C1162))+ISNUMBER(SEARCH("Chief Financial",C1162))+ISNUMBER(SEARCH("Gerente General",C1162))+ISNUMBER(SEARCH("General Manager",C1162))&gt;0,'Configuración'!$B$34,'Configuración'!$B$35)))))</f>
        <v>12</v>
      </c>
      <c r="V1162" s="38">
        <f>IF(B1162="","",IF(K1162="Sí",'Configuración'!$B$5,0)+IF(L1162="Semanal",'Configuración'!$B$6,IF(L1162="Mensual",'Configuración'!$B$7,0))+IF(M1162="Sí",'Configuración'!$B$8,0)+IF(N1162="Sí",'Configuración'!$B$9,0)+IF(O1162="Sí",'Configuración'!$B$10,0)+IF(P1162="Sí",'Configuración'!$B$11,0)+IF(Q1162="Sí",'Configuración'!$B$12,0)+S1162+T1162+U1162)</f>
        <v>28</v>
      </c>
      <c r="W1162" s="39" t="str">
        <f>IF(B1162="","",IF(V1162&gt;='Configuración'!$B$19,"A",IF(V1162&gt;='Configuración'!$B$20,"B",IF(V1162&gt;='Configuración'!$B$21,"C","Descarte"))))</f>
        <v>C</v>
      </c>
    </row>
    <row r="1163" ht="15.75" customHeight="1">
      <c r="A1163" s="34">
        <f t="shared" si="1"/>
        <v>1161</v>
      </c>
      <c r="B1163" s="29" t="s">
        <v>3119</v>
      </c>
      <c r="C1163" s="29" t="s">
        <v>6675</v>
      </c>
      <c r="D1163" s="29" t="s">
        <v>6676</v>
      </c>
      <c r="E1163" s="29" t="s">
        <v>6677</v>
      </c>
      <c r="F1163" s="30" t="s">
        <v>6678</v>
      </c>
      <c r="G1163" s="30" t="s">
        <v>6679</v>
      </c>
      <c r="H1163" s="30" t="s">
        <v>6680</v>
      </c>
      <c r="I1163" s="29" t="s">
        <v>127</v>
      </c>
      <c r="J1163" s="31">
        <v>6.0</v>
      </c>
      <c r="K1163" s="35"/>
      <c r="L1163" s="35"/>
      <c r="M1163" s="35"/>
      <c r="N1163" s="35"/>
      <c r="O1163" s="35"/>
      <c r="P1163" s="35"/>
      <c r="Q1163" s="35"/>
      <c r="R1163" s="35"/>
      <c r="S1163" s="37">
        <f>IF(B1163="","",IF(ISNUMBER(J1163),IF(J1163&lt;=10,'Configuración'!$B$23,IF(J1163&lt;=50,'Configuración'!$B$24,IF(J1163&lt;=200,'Configuración'!$B$25,0))),0))</f>
        <v>12</v>
      </c>
      <c r="T1163" s="37">
        <f>IF(B1163="","",IF(ISNUMBER(SEARCH("information technology",I1163))+ISNUMBER(SEARCH("software",I1163))+ISNUMBER(SEARCH("internet",I1163))+ISNUMBER(SEARCH("computer",I1163))+ISNUMBER(SEARCH("saas",I1163))+ISNUMBER(SEARCH("fintech",I1163))+ISNUMBER(SEARCH("information services",I1163))+ISNUMBER(SEARCH("telecommunications",I1163))&gt;0,'Configuración'!$B$27,'Configuración'!$B$28))</f>
        <v>12</v>
      </c>
      <c r="U1163" s="25">
        <f>IF(B1163="","",IF(ISNUMBER(SEARCH("CEO",C1163))+ISNUMBER(SEARCH("Founder",C1163))+ISNUMBER(SEARCH("Owner",C1163))+ISNUMBER(SEARCH("Dueño",C1163))+ISNUMBER(SEARCH("Director General",C1163))+ISNUMBER(SEARCH("Presidente",C1163))+ISNUMBER(SEARCH("President",C1163))&gt;0,'Configuración'!$B$31,IF(ISNUMBER(SEARCH("CMO",C1163))+ISNUMBER(SEARCH("Chief Marketing",C1163))+ISNUMBER(SEARCH("VP Marketing",C1163))+ISNUMBER(SEARCH("Director de Marketing",C1163))+ISNUMBER(SEARCH("Director Marketing",C1163))+ISNUMBER(SEARCH("Head of Marketing",C1163))+ISNUMBER(SEARCH("Head Marketing",C1163))&gt;0,'Configuración'!$B$32,IF(ISNUMBER(SEARCH("Marketing Manager",C1163))+ISNUMBER(SEARCH("Gerente de Marketing",C1163))+ISNUMBER(SEARCH("Growth Manager",C1163))+ISNUMBER(SEARCH("Demand Gen",C1163))+ISNUMBER(SEARCH("Marketing Lead",C1163))&gt;0,'Configuración'!$B$33,IF(ISNUMBER(SEARCH("COO",C1163))+ISNUMBER(SEARCH("CFO",C1163))+ISNUMBER(SEARCH("CTO",C1163))+ISNUMBER(SEARCH("Chief Operating",C1163))+ISNUMBER(SEARCH("Chief Financial",C1163))+ISNUMBER(SEARCH("Gerente General",C1163))+ISNUMBER(SEARCH("General Manager",C1163))&gt;0,'Configuración'!$B$34,'Configuración'!$B$35)))))</f>
        <v>12</v>
      </c>
      <c r="V1163" s="38">
        <f>IF(B1163="","",IF(K1163="Sí",'Configuración'!$B$5,0)+IF(L1163="Semanal",'Configuración'!$B$6,IF(L1163="Mensual",'Configuración'!$B$7,0))+IF(M1163="Sí",'Configuración'!$B$8,0)+IF(N1163="Sí",'Configuración'!$B$9,0)+IF(O1163="Sí",'Configuración'!$B$10,0)+IF(P1163="Sí",'Configuración'!$B$11,0)+IF(Q1163="Sí",'Configuración'!$B$12,0)+S1163+T1163+U1163)</f>
        <v>36</v>
      </c>
      <c r="W1163" s="39" t="str">
        <f>IF(B1163="","",IF(V1163&gt;='Configuración'!$B$19,"A",IF(V1163&gt;='Configuración'!$B$20,"B",IF(V1163&gt;='Configuración'!$B$21,"C","Descarte"))))</f>
        <v>C</v>
      </c>
    </row>
    <row r="1164" ht="15.75" customHeight="1">
      <c r="A1164" s="34">
        <f t="shared" si="1"/>
        <v>1162</v>
      </c>
      <c r="B1164" s="29" t="s">
        <v>762</v>
      </c>
      <c r="C1164" s="29" t="s">
        <v>224</v>
      </c>
      <c r="D1164" s="29" t="s">
        <v>6681</v>
      </c>
      <c r="E1164" s="29" t="s">
        <v>6682</v>
      </c>
      <c r="F1164" s="30" t="s">
        <v>6683</v>
      </c>
      <c r="G1164" s="30" t="s">
        <v>6684</v>
      </c>
      <c r="H1164" s="30" t="s">
        <v>6685</v>
      </c>
      <c r="I1164" s="29" t="s">
        <v>1429</v>
      </c>
      <c r="J1164" s="31">
        <v>17.0</v>
      </c>
      <c r="K1164" s="35"/>
      <c r="L1164" s="35"/>
      <c r="M1164" s="35"/>
      <c r="N1164" s="35"/>
      <c r="O1164" s="35"/>
      <c r="P1164" s="35"/>
      <c r="Q1164" s="35"/>
      <c r="R1164" s="35"/>
      <c r="S1164" s="37">
        <f>IF(B1164="","",IF(ISNUMBER(J1164),IF(J1164&lt;=10,'Configuración'!$B$23,IF(J1164&lt;=50,'Configuración'!$B$24,IF(J1164&lt;=200,'Configuración'!$B$25,0))),0))</f>
        <v>4</v>
      </c>
      <c r="T1164" s="37">
        <f>IF(B1164="","",IF(ISNUMBER(SEARCH("information technology",I1164))+ISNUMBER(SEARCH("software",I1164))+ISNUMBER(SEARCH("internet",I1164))+ISNUMBER(SEARCH("computer",I1164))+ISNUMBER(SEARCH("saas",I1164))+ISNUMBER(SEARCH("fintech",I1164))+ISNUMBER(SEARCH("information services",I1164))+ISNUMBER(SEARCH("telecommunications",I1164))&gt;0,'Configuración'!$B$27,'Configuración'!$B$28))</f>
        <v>4</v>
      </c>
      <c r="U1164" s="25">
        <f>IF(B1164="","",IF(ISNUMBER(SEARCH("CEO",C1164))+ISNUMBER(SEARCH("Founder",C1164))+ISNUMBER(SEARCH("Owner",C1164))+ISNUMBER(SEARCH("Dueño",C1164))+ISNUMBER(SEARCH("Director General",C1164))+ISNUMBER(SEARCH("Presidente",C1164))+ISNUMBER(SEARCH("President",C1164))&gt;0,'Configuración'!$B$31,IF(ISNUMBER(SEARCH("CMO",C1164))+ISNUMBER(SEARCH("Chief Marketing",C1164))+ISNUMBER(SEARCH("VP Marketing",C1164))+ISNUMBER(SEARCH("Director de Marketing",C1164))+ISNUMBER(SEARCH("Director Marketing",C1164))+ISNUMBER(SEARCH("Head of Marketing",C1164))+ISNUMBER(SEARCH("Head Marketing",C1164))&gt;0,'Configuración'!$B$32,IF(ISNUMBER(SEARCH("Marketing Manager",C1164))+ISNUMBER(SEARCH("Gerente de Marketing",C1164))+ISNUMBER(SEARCH("Growth Manager",C1164))+ISNUMBER(SEARCH("Demand Gen",C1164))+ISNUMBER(SEARCH("Marketing Lead",C1164))&gt;0,'Configuración'!$B$33,IF(ISNUMBER(SEARCH("COO",C1164))+ISNUMBER(SEARCH("CFO",C1164))+ISNUMBER(SEARCH("CTO",C1164))+ISNUMBER(SEARCH("Chief Operating",C1164))+ISNUMBER(SEARCH("Chief Financial",C1164))+ISNUMBER(SEARCH("Gerente General",C1164))+ISNUMBER(SEARCH("General Manager",C1164))&gt;0,'Configuración'!$B$34,'Configuración'!$B$35)))))</f>
        <v>12</v>
      </c>
      <c r="V1164" s="38">
        <f>IF(B1164="","",IF(K1164="Sí",'Configuración'!$B$5,0)+IF(L1164="Semanal",'Configuración'!$B$6,IF(L1164="Mensual",'Configuración'!$B$7,0))+IF(M1164="Sí",'Configuración'!$B$8,0)+IF(N1164="Sí",'Configuración'!$B$9,0)+IF(O1164="Sí",'Configuración'!$B$10,0)+IF(P1164="Sí",'Configuración'!$B$11,0)+IF(Q1164="Sí",'Configuración'!$B$12,0)+S1164+T1164+U1164)</f>
        <v>20</v>
      </c>
      <c r="W1164" s="39" t="str">
        <f>IF(B1164="","",IF(V1164&gt;='Configuración'!$B$19,"A",IF(V1164&gt;='Configuración'!$B$20,"B",IF(V1164&gt;='Configuración'!$B$21,"C","Descarte"))))</f>
        <v>Descarte</v>
      </c>
    </row>
    <row r="1165" ht="15.75" customHeight="1">
      <c r="A1165" s="34">
        <f t="shared" si="1"/>
        <v>1163</v>
      </c>
      <c r="B1165" s="29" t="s">
        <v>236</v>
      </c>
      <c r="C1165" s="29" t="s">
        <v>6686</v>
      </c>
      <c r="D1165" s="29" t="s">
        <v>6687</v>
      </c>
      <c r="E1165" s="29" t="s">
        <v>6688</v>
      </c>
      <c r="F1165" s="30" t="s">
        <v>6689</v>
      </c>
      <c r="G1165" s="30" t="s">
        <v>6690</v>
      </c>
      <c r="H1165" s="30" t="s">
        <v>6691</v>
      </c>
      <c r="I1165" s="29" t="s">
        <v>2031</v>
      </c>
      <c r="J1165" s="31">
        <v>32.0</v>
      </c>
      <c r="K1165" s="35"/>
      <c r="L1165" s="35"/>
      <c r="M1165" s="35"/>
      <c r="N1165" s="35"/>
      <c r="O1165" s="35"/>
      <c r="P1165" s="35"/>
      <c r="Q1165" s="35"/>
      <c r="R1165" s="35"/>
      <c r="S1165" s="37">
        <f>IF(B1165="","",IF(ISNUMBER(J1165),IF(J1165&lt;=10,'Configuración'!$B$23,IF(J1165&lt;=50,'Configuración'!$B$24,IF(J1165&lt;=200,'Configuración'!$B$25,0))),0))</f>
        <v>4</v>
      </c>
      <c r="T1165" s="37">
        <f>IF(B1165="","",IF(ISNUMBER(SEARCH("information technology",I1165))+ISNUMBER(SEARCH("software",I1165))+ISNUMBER(SEARCH("internet",I1165))+ISNUMBER(SEARCH("computer",I1165))+ISNUMBER(SEARCH("saas",I1165))+ISNUMBER(SEARCH("fintech",I1165))+ISNUMBER(SEARCH("information services",I1165))+ISNUMBER(SEARCH("telecommunications",I1165))&gt;0,'Configuración'!$B$27,'Configuración'!$B$28))</f>
        <v>4</v>
      </c>
      <c r="U1165" s="25">
        <f>IF(B1165="","",IF(ISNUMBER(SEARCH("CEO",C1165))+ISNUMBER(SEARCH("Founder",C1165))+ISNUMBER(SEARCH("Owner",C1165))+ISNUMBER(SEARCH("Dueño",C1165))+ISNUMBER(SEARCH("Director General",C1165))+ISNUMBER(SEARCH("Presidente",C1165))+ISNUMBER(SEARCH("President",C1165))&gt;0,'Configuración'!$B$31,IF(ISNUMBER(SEARCH("CMO",C1165))+ISNUMBER(SEARCH("Chief Marketing",C1165))+ISNUMBER(SEARCH("VP Marketing",C1165))+ISNUMBER(SEARCH("Director de Marketing",C1165))+ISNUMBER(SEARCH("Director Marketing",C1165))+ISNUMBER(SEARCH("Head of Marketing",C1165))+ISNUMBER(SEARCH("Head Marketing",C1165))&gt;0,'Configuración'!$B$32,IF(ISNUMBER(SEARCH("Marketing Manager",C1165))+ISNUMBER(SEARCH("Gerente de Marketing",C1165))+ISNUMBER(SEARCH("Growth Manager",C1165))+ISNUMBER(SEARCH("Demand Gen",C1165))+ISNUMBER(SEARCH("Marketing Lead",C1165))&gt;0,'Configuración'!$B$33,IF(ISNUMBER(SEARCH("COO",C1165))+ISNUMBER(SEARCH("CFO",C1165))+ISNUMBER(SEARCH("CTO",C1165))+ISNUMBER(SEARCH("Chief Operating",C1165))+ISNUMBER(SEARCH("Chief Financial",C1165))+ISNUMBER(SEARCH("Gerente General",C1165))+ISNUMBER(SEARCH("General Manager",C1165))&gt;0,'Configuración'!$B$34,'Configuración'!$B$35)))))</f>
        <v>12</v>
      </c>
      <c r="V1165" s="38">
        <f>IF(B1165="","",IF(K1165="Sí",'Configuración'!$B$5,0)+IF(L1165="Semanal",'Configuración'!$B$6,IF(L1165="Mensual",'Configuración'!$B$7,0))+IF(M1165="Sí",'Configuración'!$B$8,0)+IF(N1165="Sí",'Configuración'!$B$9,0)+IF(O1165="Sí",'Configuración'!$B$10,0)+IF(P1165="Sí",'Configuración'!$B$11,0)+IF(Q1165="Sí",'Configuración'!$B$12,0)+S1165+T1165+U1165)</f>
        <v>20</v>
      </c>
      <c r="W1165" s="39" t="str">
        <f>IF(B1165="","",IF(V1165&gt;='Configuración'!$B$19,"A",IF(V1165&gt;='Configuración'!$B$20,"B",IF(V1165&gt;='Configuración'!$B$21,"C","Descarte"))))</f>
        <v>Descarte</v>
      </c>
    </row>
    <row r="1166" ht="15.75" customHeight="1">
      <c r="A1166" s="34">
        <f t="shared" si="1"/>
        <v>1164</v>
      </c>
      <c r="B1166" s="29" t="s">
        <v>897</v>
      </c>
      <c r="C1166" s="29" t="s">
        <v>1465</v>
      </c>
      <c r="D1166" s="29" t="s">
        <v>6692</v>
      </c>
      <c r="E1166" s="29" t="s">
        <v>6693</v>
      </c>
      <c r="F1166" s="30" t="s">
        <v>6694</v>
      </c>
      <c r="G1166" s="30" t="s">
        <v>6695</v>
      </c>
      <c r="H1166" s="30" t="s">
        <v>6696</v>
      </c>
      <c r="I1166" s="29" t="s">
        <v>188</v>
      </c>
      <c r="J1166" s="31">
        <v>12.0</v>
      </c>
      <c r="K1166" s="35"/>
      <c r="L1166" s="35"/>
      <c r="M1166" s="35"/>
      <c r="N1166" s="35"/>
      <c r="O1166" s="35"/>
      <c r="P1166" s="35"/>
      <c r="Q1166" s="35"/>
      <c r="R1166" s="35"/>
      <c r="S1166" s="37">
        <f>IF(B1166="","",IF(ISNUMBER(J1166),IF(J1166&lt;=10,'Configuración'!$B$23,IF(J1166&lt;=50,'Configuración'!$B$24,IF(J1166&lt;=200,'Configuración'!$B$25,0))),0))</f>
        <v>4</v>
      </c>
      <c r="T1166" s="37">
        <f>IF(B1166="","",IF(ISNUMBER(SEARCH("information technology",I1166))+ISNUMBER(SEARCH("software",I1166))+ISNUMBER(SEARCH("internet",I1166))+ISNUMBER(SEARCH("computer",I1166))+ISNUMBER(SEARCH("saas",I1166))+ISNUMBER(SEARCH("fintech",I1166))+ISNUMBER(SEARCH("information services",I1166))+ISNUMBER(SEARCH("telecommunications",I1166))&gt;0,'Configuración'!$B$27,'Configuración'!$B$28))</f>
        <v>4</v>
      </c>
      <c r="U1166" s="25">
        <f>IF(B1166="","",IF(ISNUMBER(SEARCH("CEO",C1166))+ISNUMBER(SEARCH("Founder",C1166))+ISNUMBER(SEARCH("Owner",C1166))+ISNUMBER(SEARCH("Dueño",C1166))+ISNUMBER(SEARCH("Director General",C1166))+ISNUMBER(SEARCH("Presidente",C1166))+ISNUMBER(SEARCH("President",C1166))&gt;0,'Configuración'!$B$31,IF(ISNUMBER(SEARCH("CMO",C1166))+ISNUMBER(SEARCH("Chief Marketing",C1166))+ISNUMBER(SEARCH("VP Marketing",C1166))+ISNUMBER(SEARCH("Director de Marketing",C1166))+ISNUMBER(SEARCH("Director Marketing",C1166))+ISNUMBER(SEARCH("Head of Marketing",C1166))+ISNUMBER(SEARCH("Head Marketing",C1166))&gt;0,'Configuración'!$B$32,IF(ISNUMBER(SEARCH("Marketing Manager",C1166))+ISNUMBER(SEARCH("Gerente de Marketing",C1166))+ISNUMBER(SEARCH("Growth Manager",C1166))+ISNUMBER(SEARCH("Demand Gen",C1166))+ISNUMBER(SEARCH("Marketing Lead",C1166))&gt;0,'Configuración'!$B$33,IF(ISNUMBER(SEARCH("COO",C1166))+ISNUMBER(SEARCH("CFO",C1166))+ISNUMBER(SEARCH("CTO",C1166))+ISNUMBER(SEARCH("Chief Operating",C1166))+ISNUMBER(SEARCH("Chief Financial",C1166))+ISNUMBER(SEARCH("Gerente General",C1166))+ISNUMBER(SEARCH("General Manager",C1166))&gt;0,'Configuración'!$B$34,'Configuración'!$B$35)))))</f>
        <v>4</v>
      </c>
      <c r="V1166" s="38">
        <f>IF(B1166="","",IF(K1166="Sí",'Configuración'!$B$5,0)+IF(L1166="Semanal",'Configuración'!$B$6,IF(L1166="Mensual",'Configuración'!$B$7,0))+IF(M1166="Sí",'Configuración'!$B$8,0)+IF(N1166="Sí",'Configuración'!$B$9,0)+IF(O1166="Sí",'Configuración'!$B$10,0)+IF(P1166="Sí",'Configuración'!$B$11,0)+IF(Q1166="Sí",'Configuración'!$B$12,0)+S1166+T1166+U1166)</f>
        <v>12</v>
      </c>
      <c r="W1166" s="39" t="str">
        <f>IF(B1166="","",IF(V1166&gt;='Configuración'!$B$19,"A",IF(V1166&gt;='Configuración'!$B$20,"B",IF(V1166&gt;='Configuración'!$B$21,"C","Descarte"))))</f>
        <v>Descarte</v>
      </c>
    </row>
    <row r="1167" ht="15.75" customHeight="1">
      <c r="A1167" s="34">
        <f t="shared" si="1"/>
        <v>1165</v>
      </c>
      <c r="B1167" s="29" t="s">
        <v>296</v>
      </c>
      <c r="C1167" s="29" t="s">
        <v>121</v>
      </c>
      <c r="D1167" s="29" t="s">
        <v>6697</v>
      </c>
      <c r="E1167" s="29" t="s">
        <v>6698</v>
      </c>
      <c r="F1167" s="30" t="s">
        <v>6699</v>
      </c>
      <c r="G1167" s="30" t="s">
        <v>6700</v>
      </c>
      <c r="H1167" s="30" t="s">
        <v>6701</v>
      </c>
      <c r="I1167" s="29" t="s">
        <v>1429</v>
      </c>
      <c r="J1167" s="31">
        <v>23.0</v>
      </c>
      <c r="K1167" s="35"/>
      <c r="L1167" s="35"/>
      <c r="M1167" s="35"/>
      <c r="N1167" s="35"/>
      <c r="O1167" s="35"/>
      <c r="P1167" s="35"/>
      <c r="Q1167" s="35"/>
      <c r="R1167" s="35"/>
      <c r="S1167" s="37">
        <f>IF(B1167="","",IF(ISNUMBER(J1167),IF(J1167&lt;=10,'Configuración'!$B$23,IF(J1167&lt;=50,'Configuración'!$B$24,IF(J1167&lt;=200,'Configuración'!$B$25,0))),0))</f>
        <v>4</v>
      </c>
      <c r="T1167" s="37">
        <f>IF(B1167="","",IF(ISNUMBER(SEARCH("information technology",I1167))+ISNUMBER(SEARCH("software",I1167))+ISNUMBER(SEARCH("internet",I1167))+ISNUMBER(SEARCH("computer",I1167))+ISNUMBER(SEARCH("saas",I1167))+ISNUMBER(SEARCH("fintech",I1167))+ISNUMBER(SEARCH("information services",I1167))+ISNUMBER(SEARCH("telecommunications",I1167))&gt;0,'Configuración'!$B$27,'Configuración'!$B$28))</f>
        <v>4</v>
      </c>
      <c r="U1167" s="25">
        <f>IF(B1167="","",IF(ISNUMBER(SEARCH("CEO",C1167))+ISNUMBER(SEARCH("Founder",C1167))+ISNUMBER(SEARCH("Owner",C1167))+ISNUMBER(SEARCH("Dueño",C1167))+ISNUMBER(SEARCH("Director General",C1167))+ISNUMBER(SEARCH("Presidente",C1167))+ISNUMBER(SEARCH("President",C1167))&gt;0,'Configuración'!$B$31,IF(ISNUMBER(SEARCH("CMO",C1167))+ISNUMBER(SEARCH("Chief Marketing",C1167))+ISNUMBER(SEARCH("VP Marketing",C1167))+ISNUMBER(SEARCH("Director de Marketing",C1167))+ISNUMBER(SEARCH("Director Marketing",C1167))+ISNUMBER(SEARCH("Head of Marketing",C1167))+ISNUMBER(SEARCH("Head Marketing",C1167))&gt;0,'Configuración'!$B$32,IF(ISNUMBER(SEARCH("Marketing Manager",C1167))+ISNUMBER(SEARCH("Gerente de Marketing",C1167))+ISNUMBER(SEARCH("Growth Manager",C1167))+ISNUMBER(SEARCH("Demand Gen",C1167))+ISNUMBER(SEARCH("Marketing Lead",C1167))&gt;0,'Configuración'!$B$33,IF(ISNUMBER(SEARCH("COO",C1167))+ISNUMBER(SEARCH("CFO",C1167))+ISNUMBER(SEARCH("CTO",C1167))+ISNUMBER(SEARCH("Chief Operating",C1167))+ISNUMBER(SEARCH("Chief Financial",C1167))+ISNUMBER(SEARCH("Gerente General",C1167))+ISNUMBER(SEARCH("General Manager",C1167))&gt;0,'Configuración'!$B$34,'Configuración'!$B$35)))))</f>
        <v>12</v>
      </c>
      <c r="V1167" s="38">
        <f>IF(B1167="","",IF(K1167="Sí",'Configuración'!$B$5,0)+IF(L1167="Semanal",'Configuración'!$B$6,IF(L1167="Mensual",'Configuración'!$B$7,0))+IF(M1167="Sí",'Configuración'!$B$8,0)+IF(N1167="Sí",'Configuración'!$B$9,0)+IF(O1167="Sí",'Configuración'!$B$10,0)+IF(P1167="Sí",'Configuración'!$B$11,0)+IF(Q1167="Sí",'Configuración'!$B$12,0)+S1167+T1167+U1167)</f>
        <v>20</v>
      </c>
      <c r="W1167" s="39" t="str">
        <f>IF(B1167="","",IF(V1167&gt;='Configuración'!$B$19,"A",IF(V1167&gt;='Configuración'!$B$20,"B",IF(V1167&gt;='Configuración'!$B$21,"C","Descarte"))))</f>
        <v>Descarte</v>
      </c>
    </row>
    <row r="1168" ht="15.75" customHeight="1">
      <c r="A1168" s="34">
        <f t="shared" si="1"/>
        <v>1166</v>
      </c>
      <c r="B1168" s="29" t="s">
        <v>343</v>
      </c>
      <c r="C1168" s="29" t="s">
        <v>6702</v>
      </c>
      <c r="D1168" s="29" t="s">
        <v>6703</v>
      </c>
      <c r="E1168" s="29" t="s">
        <v>6704</v>
      </c>
      <c r="F1168" s="30" t="s">
        <v>6705</v>
      </c>
      <c r="G1168" s="30" t="s">
        <v>6706</v>
      </c>
      <c r="H1168" s="30" t="s">
        <v>6707</v>
      </c>
      <c r="I1168" s="29" t="s">
        <v>127</v>
      </c>
      <c r="J1168" s="31">
        <v>3.0</v>
      </c>
      <c r="K1168" s="35"/>
      <c r="L1168" s="35"/>
      <c r="M1168" s="35"/>
      <c r="N1168" s="35"/>
      <c r="O1168" s="35"/>
      <c r="P1168" s="35"/>
      <c r="Q1168" s="35"/>
      <c r="R1168" s="35"/>
      <c r="S1168" s="37">
        <f>IF(B1168="","",IF(ISNUMBER(J1168),IF(J1168&lt;=10,'Configuración'!$B$23,IF(J1168&lt;=50,'Configuración'!$B$24,IF(J1168&lt;=200,'Configuración'!$B$25,0))),0))</f>
        <v>12</v>
      </c>
      <c r="T1168" s="37">
        <f>IF(B1168="","",IF(ISNUMBER(SEARCH("information technology",I1168))+ISNUMBER(SEARCH("software",I1168))+ISNUMBER(SEARCH("internet",I1168))+ISNUMBER(SEARCH("computer",I1168))+ISNUMBER(SEARCH("saas",I1168))+ISNUMBER(SEARCH("fintech",I1168))+ISNUMBER(SEARCH("information services",I1168))+ISNUMBER(SEARCH("telecommunications",I1168))&gt;0,'Configuración'!$B$27,'Configuración'!$B$28))</f>
        <v>12</v>
      </c>
      <c r="U1168" s="25">
        <f>IF(B1168="","",IF(ISNUMBER(SEARCH("CEO",C1168))+ISNUMBER(SEARCH("Founder",C1168))+ISNUMBER(SEARCH("Owner",C1168))+ISNUMBER(SEARCH("Dueño",C1168))+ISNUMBER(SEARCH("Director General",C1168))+ISNUMBER(SEARCH("Presidente",C1168))+ISNUMBER(SEARCH("President",C1168))&gt;0,'Configuración'!$B$31,IF(ISNUMBER(SEARCH("CMO",C1168))+ISNUMBER(SEARCH("Chief Marketing",C1168))+ISNUMBER(SEARCH("VP Marketing",C1168))+ISNUMBER(SEARCH("Director de Marketing",C1168))+ISNUMBER(SEARCH("Director Marketing",C1168))+ISNUMBER(SEARCH("Head of Marketing",C1168))+ISNUMBER(SEARCH("Head Marketing",C1168))&gt;0,'Configuración'!$B$32,IF(ISNUMBER(SEARCH("Marketing Manager",C1168))+ISNUMBER(SEARCH("Gerente de Marketing",C1168))+ISNUMBER(SEARCH("Growth Manager",C1168))+ISNUMBER(SEARCH("Demand Gen",C1168))+ISNUMBER(SEARCH("Marketing Lead",C1168))&gt;0,'Configuración'!$B$33,IF(ISNUMBER(SEARCH("COO",C1168))+ISNUMBER(SEARCH("CFO",C1168))+ISNUMBER(SEARCH("CTO",C1168))+ISNUMBER(SEARCH("Chief Operating",C1168))+ISNUMBER(SEARCH("Chief Financial",C1168))+ISNUMBER(SEARCH("Gerente General",C1168))+ISNUMBER(SEARCH("General Manager",C1168))&gt;0,'Configuración'!$B$34,'Configuración'!$B$35)))))</f>
        <v>12</v>
      </c>
      <c r="V1168" s="38">
        <f>IF(B1168="","",IF(K1168="Sí",'Configuración'!$B$5,0)+IF(L1168="Semanal",'Configuración'!$B$6,IF(L1168="Mensual",'Configuración'!$B$7,0))+IF(M1168="Sí",'Configuración'!$B$8,0)+IF(N1168="Sí",'Configuración'!$B$9,0)+IF(O1168="Sí",'Configuración'!$B$10,0)+IF(P1168="Sí",'Configuración'!$B$11,0)+IF(Q1168="Sí",'Configuración'!$B$12,0)+S1168+T1168+U1168)</f>
        <v>36</v>
      </c>
      <c r="W1168" s="39" t="str">
        <f>IF(B1168="","",IF(V1168&gt;='Configuración'!$B$19,"A",IF(V1168&gt;='Configuración'!$B$20,"B",IF(V1168&gt;='Configuración'!$B$21,"C","Descarte"))))</f>
        <v>C</v>
      </c>
    </row>
    <row r="1169" ht="15.75" customHeight="1">
      <c r="A1169" s="34">
        <f t="shared" si="1"/>
        <v>1167</v>
      </c>
      <c r="B1169" s="29" t="s">
        <v>181</v>
      </c>
      <c r="C1169" s="29" t="s">
        <v>6041</v>
      </c>
      <c r="D1169" s="29" t="s">
        <v>6708</v>
      </c>
      <c r="E1169" s="29" t="s">
        <v>6709</v>
      </c>
      <c r="F1169" s="30" t="s">
        <v>6710</v>
      </c>
      <c r="G1169" s="30" t="s">
        <v>6711</v>
      </c>
      <c r="H1169" s="30" t="s">
        <v>6712</v>
      </c>
      <c r="I1169" s="29" t="s">
        <v>2694</v>
      </c>
      <c r="J1169" s="31">
        <v>6.0</v>
      </c>
      <c r="K1169" s="35"/>
      <c r="L1169" s="35"/>
      <c r="M1169" s="35"/>
      <c r="N1169" s="35"/>
      <c r="O1169" s="35"/>
      <c r="P1169" s="35"/>
      <c r="Q1169" s="35"/>
      <c r="R1169" s="35"/>
      <c r="S1169" s="37">
        <f>IF(B1169="","",IF(ISNUMBER(J1169),IF(J1169&lt;=10,'Configuración'!$B$23,IF(J1169&lt;=50,'Configuración'!$B$24,IF(J1169&lt;=200,'Configuración'!$B$25,0))),0))</f>
        <v>12</v>
      </c>
      <c r="T1169" s="37">
        <f>IF(B1169="","",IF(ISNUMBER(SEARCH("information technology",I1169))+ISNUMBER(SEARCH("software",I1169))+ISNUMBER(SEARCH("internet",I1169))+ISNUMBER(SEARCH("computer",I1169))+ISNUMBER(SEARCH("saas",I1169))+ISNUMBER(SEARCH("fintech",I1169))+ISNUMBER(SEARCH("information services",I1169))+ISNUMBER(SEARCH("telecommunications",I1169))&gt;0,'Configuración'!$B$27,'Configuración'!$B$28))</f>
        <v>4</v>
      </c>
      <c r="U1169" s="25">
        <f>IF(B1169="","",IF(ISNUMBER(SEARCH("CEO",C1169))+ISNUMBER(SEARCH("Founder",C1169))+ISNUMBER(SEARCH("Owner",C1169))+ISNUMBER(SEARCH("Dueño",C1169))+ISNUMBER(SEARCH("Director General",C1169))+ISNUMBER(SEARCH("Presidente",C1169))+ISNUMBER(SEARCH("President",C1169))&gt;0,'Configuración'!$B$31,IF(ISNUMBER(SEARCH("CMO",C1169))+ISNUMBER(SEARCH("Chief Marketing",C1169))+ISNUMBER(SEARCH("VP Marketing",C1169))+ISNUMBER(SEARCH("Director de Marketing",C1169))+ISNUMBER(SEARCH("Director Marketing",C1169))+ISNUMBER(SEARCH("Head of Marketing",C1169))+ISNUMBER(SEARCH("Head Marketing",C1169))&gt;0,'Configuración'!$B$32,IF(ISNUMBER(SEARCH("Marketing Manager",C1169))+ISNUMBER(SEARCH("Gerente de Marketing",C1169))+ISNUMBER(SEARCH("Growth Manager",C1169))+ISNUMBER(SEARCH("Demand Gen",C1169))+ISNUMBER(SEARCH("Marketing Lead",C1169))&gt;0,'Configuración'!$B$33,IF(ISNUMBER(SEARCH("COO",C1169))+ISNUMBER(SEARCH("CFO",C1169))+ISNUMBER(SEARCH("CTO",C1169))+ISNUMBER(SEARCH("Chief Operating",C1169))+ISNUMBER(SEARCH("Chief Financial",C1169))+ISNUMBER(SEARCH("Gerente General",C1169))+ISNUMBER(SEARCH("General Manager",C1169))&gt;0,'Configuración'!$B$34,'Configuración'!$B$35)))))</f>
        <v>12</v>
      </c>
      <c r="V1169" s="38">
        <f>IF(B1169="","",IF(K1169="Sí",'Configuración'!$B$5,0)+IF(L1169="Semanal",'Configuración'!$B$6,IF(L1169="Mensual",'Configuración'!$B$7,0))+IF(M1169="Sí",'Configuración'!$B$8,0)+IF(N1169="Sí",'Configuración'!$B$9,0)+IF(O1169="Sí",'Configuración'!$B$10,0)+IF(P1169="Sí",'Configuración'!$B$11,0)+IF(Q1169="Sí",'Configuración'!$B$12,0)+S1169+T1169+U1169)</f>
        <v>28</v>
      </c>
      <c r="W1169" s="39" t="str">
        <f>IF(B1169="","",IF(V1169&gt;='Configuración'!$B$19,"A",IF(V1169&gt;='Configuración'!$B$20,"B",IF(V1169&gt;='Configuración'!$B$21,"C","Descarte"))))</f>
        <v>C</v>
      </c>
    </row>
    <row r="1170" ht="15.75" customHeight="1">
      <c r="A1170" s="34">
        <f t="shared" si="1"/>
        <v>1168</v>
      </c>
      <c r="B1170" s="29" t="s">
        <v>2042</v>
      </c>
      <c r="C1170" s="29" t="s">
        <v>6713</v>
      </c>
      <c r="D1170" s="29" t="s">
        <v>6714</v>
      </c>
      <c r="E1170" s="29" t="s">
        <v>6715</v>
      </c>
      <c r="F1170" s="30" t="s">
        <v>6716</v>
      </c>
      <c r="G1170" s="30" t="s">
        <v>6717</v>
      </c>
      <c r="H1170" s="30" t="s">
        <v>6718</v>
      </c>
      <c r="I1170" s="29" t="s">
        <v>137</v>
      </c>
      <c r="J1170" s="31">
        <v>13.0</v>
      </c>
      <c r="K1170" s="35"/>
      <c r="L1170" s="35"/>
      <c r="M1170" s="35"/>
      <c r="N1170" s="35"/>
      <c r="O1170" s="35"/>
      <c r="P1170" s="35"/>
      <c r="Q1170" s="35"/>
      <c r="R1170" s="35"/>
      <c r="S1170" s="37">
        <f>IF(B1170="","",IF(ISNUMBER(J1170),IF(J1170&lt;=10,'Configuración'!$B$23,IF(J1170&lt;=50,'Configuración'!$B$24,IF(J1170&lt;=200,'Configuración'!$B$25,0))),0))</f>
        <v>4</v>
      </c>
      <c r="T1170" s="37">
        <f>IF(B1170="","",IF(ISNUMBER(SEARCH("information technology",I1170))+ISNUMBER(SEARCH("software",I1170))+ISNUMBER(SEARCH("internet",I1170))+ISNUMBER(SEARCH("computer",I1170))+ISNUMBER(SEARCH("saas",I1170))+ISNUMBER(SEARCH("fintech",I1170))+ISNUMBER(SEARCH("information services",I1170))+ISNUMBER(SEARCH("telecommunications",I1170))&gt;0,'Configuración'!$B$27,'Configuración'!$B$28))</f>
        <v>4</v>
      </c>
      <c r="U1170" s="25">
        <f>IF(B1170="","",IF(ISNUMBER(SEARCH("CEO",C1170))+ISNUMBER(SEARCH("Founder",C1170))+ISNUMBER(SEARCH("Owner",C1170))+ISNUMBER(SEARCH("Dueño",C1170))+ISNUMBER(SEARCH("Director General",C1170))+ISNUMBER(SEARCH("Presidente",C1170))+ISNUMBER(SEARCH("President",C1170))&gt;0,'Configuración'!$B$31,IF(ISNUMBER(SEARCH("CMO",C1170))+ISNUMBER(SEARCH("Chief Marketing",C1170))+ISNUMBER(SEARCH("VP Marketing",C1170))+ISNUMBER(SEARCH("Director de Marketing",C1170))+ISNUMBER(SEARCH("Director Marketing",C1170))+ISNUMBER(SEARCH("Head of Marketing",C1170))+ISNUMBER(SEARCH("Head Marketing",C1170))&gt;0,'Configuración'!$B$32,IF(ISNUMBER(SEARCH("Marketing Manager",C1170))+ISNUMBER(SEARCH("Gerente de Marketing",C1170))+ISNUMBER(SEARCH("Growth Manager",C1170))+ISNUMBER(SEARCH("Demand Gen",C1170))+ISNUMBER(SEARCH("Marketing Lead",C1170))&gt;0,'Configuración'!$B$33,IF(ISNUMBER(SEARCH("COO",C1170))+ISNUMBER(SEARCH("CFO",C1170))+ISNUMBER(SEARCH("CTO",C1170))+ISNUMBER(SEARCH("Chief Operating",C1170))+ISNUMBER(SEARCH("Chief Financial",C1170))+ISNUMBER(SEARCH("Gerente General",C1170))+ISNUMBER(SEARCH("General Manager",C1170))&gt;0,'Configuración'!$B$34,'Configuración'!$B$35)))))</f>
        <v>12</v>
      </c>
      <c r="V1170" s="38">
        <f>IF(B1170="","",IF(K1170="Sí",'Configuración'!$B$5,0)+IF(L1170="Semanal",'Configuración'!$B$6,IF(L1170="Mensual",'Configuración'!$B$7,0))+IF(M1170="Sí",'Configuración'!$B$8,0)+IF(N1170="Sí",'Configuración'!$B$9,0)+IF(O1170="Sí",'Configuración'!$B$10,0)+IF(P1170="Sí",'Configuración'!$B$11,0)+IF(Q1170="Sí",'Configuración'!$B$12,0)+S1170+T1170+U1170)</f>
        <v>20</v>
      </c>
      <c r="W1170" s="39" t="str">
        <f>IF(B1170="","",IF(V1170&gt;='Configuración'!$B$19,"A",IF(V1170&gt;='Configuración'!$B$20,"B",IF(V1170&gt;='Configuración'!$B$21,"C","Descarte"))))</f>
        <v>Descarte</v>
      </c>
    </row>
    <row r="1171" ht="15.75" customHeight="1">
      <c r="A1171" s="34">
        <f t="shared" si="1"/>
        <v>1169</v>
      </c>
      <c r="B1171" s="29" t="s">
        <v>138</v>
      </c>
      <c r="C1171" s="29" t="s">
        <v>1381</v>
      </c>
      <c r="D1171" s="29" t="s">
        <v>1848</v>
      </c>
      <c r="E1171" s="29" t="s">
        <v>6719</v>
      </c>
      <c r="F1171" s="30" t="s">
        <v>6720</v>
      </c>
      <c r="G1171" s="30" t="s">
        <v>1851</v>
      </c>
      <c r="H1171" s="30" t="s">
        <v>1852</v>
      </c>
      <c r="I1171" s="29" t="s">
        <v>127</v>
      </c>
      <c r="J1171" s="31">
        <v>13.0</v>
      </c>
      <c r="K1171" s="35"/>
      <c r="L1171" s="35"/>
      <c r="M1171" s="35"/>
      <c r="N1171" s="35"/>
      <c r="O1171" s="35"/>
      <c r="P1171" s="35"/>
      <c r="Q1171" s="35"/>
      <c r="R1171" s="35"/>
      <c r="S1171" s="37">
        <f>IF(B1171="","",IF(ISNUMBER(J1171),IF(J1171&lt;=10,'Configuración'!$B$23,IF(J1171&lt;=50,'Configuración'!$B$24,IF(J1171&lt;=200,'Configuración'!$B$25,0))),0))</f>
        <v>4</v>
      </c>
      <c r="T1171" s="37">
        <f>IF(B1171="","",IF(ISNUMBER(SEARCH("information technology",I1171))+ISNUMBER(SEARCH("software",I1171))+ISNUMBER(SEARCH("internet",I1171))+ISNUMBER(SEARCH("computer",I1171))+ISNUMBER(SEARCH("saas",I1171))+ISNUMBER(SEARCH("fintech",I1171))+ISNUMBER(SEARCH("information services",I1171))+ISNUMBER(SEARCH("telecommunications",I1171))&gt;0,'Configuración'!$B$27,'Configuración'!$B$28))</f>
        <v>12</v>
      </c>
      <c r="U1171" s="25">
        <f>IF(B1171="","",IF(ISNUMBER(SEARCH("CEO",C1171))+ISNUMBER(SEARCH("Founder",C1171))+ISNUMBER(SEARCH("Owner",C1171))+ISNUMBER(SEARCH("Dueño",C1171))+ISNUMBER(SEARCH("Director General",C1171))+ISNUMBER(SEARCH("Presidente",C1171))+ISNUMBER(SEARCH("President",C1171))&gt;0,'Configuración'!$B$31,IF(ISNUMBER(SEARCH("CMO",C1171))+ISNUMBER(SEARCH("Chief Marketing",C1171))+ISNUMBER(SEARCH("VP Marketing",C1171))+ISNUMBER(SEARCH("Director de Marketing",C1171))+ISNUMBER(SEARCH("Director Marketing",C1171))+ISNUMBER(SEARCH("Head of Marketing",C1171))+ISNUMBER(SEARCH("Head Marketing",C1171))&gt;0,'Configuración'!$B$32,IF(ISNUMBER(SEARCH("Marketing Manager",C1171))+ISNUMBER(SEARCH("Gerente de Marketing",C1171))+ISNUMBER(SEARCH("Growth Manager",C1171))+ISNUMBER(SEARCH("Demand Gen",C1171))+ISNUMBER(SEARCH("Marketing Lead",C1171))&gt;0,'Configuración'!$B$33,IF(ISNUMBER(SEARCH("COO",C1171))+ISNUMBER(SEARCH("CFO",C1171))+ISNUMBER(SEARCH("CTO",C1171))+ISNUMBER(SEARCH("Chief Operating",C1171))+ISNUMBER(SEARCH("Chief Financial",C1171))+ISNUMBER(SEARCH("Gerente General",C1171))+ISNUMBER(SEARCH("General Manager",C1171))&gt;0,'Configuración'!$B$34,'Configuración'!$B$35)))))</f>
        <v>12</v>
      </c>
      <c r="V1171" s="38">
        <f>IF(B1171="","",IF(K1171="Sí",'Configuración'!$B$5,0)+IF(L1171="Semanal",'Configuración'!$B$6,IF(L1171="Mensual",'Configuración'!$B$7,0))+IF(M1171="Sí",'Configuración'!$B$8,0)+IF(N1171="Sí",'Configuración'!$B$9,0)+IF(O1171="Sí",'Configuración'!$B$10,0)+IF(P1171="Sí",'Configuración'!$B$11,0)+IF(Q1171="Sí",'Configuración'!$B$12,0)+S1171+T1171+U1171)</f>
        <v>28</v>
      </c>
      <c r="W1171" s="39" t="str">
        <f>IF(B1171="","",IF(V1171&gt;='Configuración'!$B$19,"A",IF(V1171&gt;='Configuración'!$B$20,"B",IF(V1171&gt;='Configuración'!$B$21,"C","Descarte"))))</f>
        <v>C</v>
      </c>
    </row>
    <row r="1172" ht="15.75" customHeight="1">
      <c r="A1172" s="34">
        <f t="shared" si="1"/>
        <v>1170</v>
      </c>
      <c r="B1172" s="29" t="s">
        <v>6721</v>
      </c>
      <c r="C1172" s="29" t="s">
        <v>597</v>
      </c>
      <c r="D1172" s="29" t="s">
        <v>6722</v>
      </c>
      <c r="E1172" s="29" t="s">
        <v>6723</v>
      </c>
      <c r="F1172" s="30" t="s">
        <v>6724</v>
      </c>
      <c r="G1172" s="30" t="s">
        <v>6725</v>
      </c>
      <c r="H1172" s="30" t="s">
        <v>6726</v>
      </c>
      <c r="I1172" s="29" t="s">
        <v>127</v>
      </c>
      <c r="J1172" s="31">
        <v>15.0</v>
      </c>
      <c r="K1172" s="35"/>
      <c r="L1172" s="35"/>
      <c r="M1172" s="35"/>
      <c r="N1172" s="35"/>
      <c r="O1172" s="35"/>
      <c r="P1172" s="35"/>
      <c r="Q1172" s="35"/>
      <c r="R1172" s="35"/>
      <c r="S1172" s="37">
        <f>IF(B1172="","",IF(ISNUMBER(J1172),IF(J1172&lt;=10,'Configuración'!$B$23,IF(J1172&lt;=50,'Configuración'!$B$24,IF(J1172&lt;=200,'Configuración'!$B$25,0))),0))</f>
        <v>4</v>
      </c>
      <c r="T1172" s="37">
        <f>IF(B1172="","",IF(ISNUMBER(SEARCH("information technology",I1172))+ISNUMBER(SEARCH("software",I1172))+ISNUMBER(SEARCH("internet",I1172))+ISNUMBER(SEARCH("computer",I1172))+ISNUMBER(SEARCH("saas",I1172))+ISNUMBER(SEARCH("fintech",I1172))+ISNUMBER(SEARCH("information services",I1172))+ISNUMBER(SEARCH("telecommunications",I1172))&gt;0,'Configuración'!$B$27,'Configuración'!$B$28))</f>
        <v>12</v>
      </c>
      <c r="U1172" s="25">
        <f>IF(B1172="","",IF(ISNUMBER(SEARCH("CEO",C1172))+ISNUMBER(SEARCH("Founder",C1172))+ISNUMBER(SEARCH("Owner",C1172))+ISNUMBER(SEARCH("Dueño",C1172))+ISNUMBER(SEARCH("Director General",C1172))+ISNUMBER(SEARCH("Presidente",C1172))+ISNUMBER(SEARCH("President",C1172))&gt;0,'Configuración'!$B$31,IF(ISNUMBER(SEARCH("CMO",C1172))+ISNUMBER(SEARCH("Chief Marketing",C1172))+ISNUMBER(SEARCH("VP Marketing",C1172))+ISNUMBER(SEARCH("Director de Marketing",C1172))+ISNUMBER(SEARCH("Director Marketing",C1172))+ISNUMBER(SEARCH("Head of Marketing",C1172))+ISNUMBER(SEARCH("Head Marketing",C1172))&gt;0,'Configuración'!$B$32,IF(ISNUMBER(SEARCH("Marketing Manager",C1172))+ISNUMBER(SEARCH("Gerente de Marketing",C1172))+ISNUMBER(SEARCH("Growth Manager",C1172))+ISNUMBER(SEARCH("Demand Gen",C1172))+ISNUMBER(SEARCH("Marketing Lead",C1172))&gt;0,'Configuración'!$B$33,IF(ISNUMBER(SEARCH("COO",C1172))+ISNUMBER(SEARCH("CFO",C1172))+ISNUMBER(SEARCH("CTO",C1172))+ISNUMBER(SEARCH("Chief Operating",C1172))+ISNUMBER(SEARCH("Chief Financial",C1172))+ISNUMBER(SEARCH("Gerente General",C1172))+ISNUMBER(SEARCH("General Manager",C1172))&gt;0,'Configuración'!$B$34,'Configuración'!$B$35)))))</f>
        <v>12</v>
      </c>
      <c r="V1172" s="38">
        <f>IF(B1172="","",IF(K1172="Sí",'Configuración'!$B$5,0)+IF(L1172="Semanal",'Configuración'!$B$6,IF(L1172="Mensual",'Configuración'!$B$7,0))+IF(M1172="Sí",'Configuración'!$B$8,0)+IF(N1172="Sí",'Configuración'!$B$9,0)+IF(O1172="Sí",'Configuración'!$B$10,0)+IF(P1172="Sí",'Configuración'!$B$11,0)+IF(Q1172="Sí",'Configuración'!$B$12,0)+S1172+T1172+U1172)</f>
        <v>28</v>
      </c>
      <c r="W1172" s="39" t="str">
        <f>IF(B1172="","",IF(V1172&gt;='Configuración'!$B$19,"A",IF(V1172&gt;='Configuración'!$B$20,"B",IF(V1172&gt;='Configuración'!$B$21,"C","Descarte"))))</f>
        <v>C</v>
      </c>
    </row>
    <row r="1173" ht="15.75" customHeight="1">
      <c r="A1173" s="34">
        <f t="shared" si="1"/>
        <v>1171</v>
      </c>
      <c r="B1173" s="29" t="s">
        <v>466</v>
      </c>
      <c r="C1173" s="29" t="s">
        <v>131</v>
      </c>
      <c r="D1173" s="29" t="s">
        <v>6727</v>
      </c>
      <c r="E1173" s="29" t="s">
        <v>6728</v>
      </c>
      <c r="F1173" s="30" t="s">
        <v>6729</v>
      </c>
      <c r="G1173" s="30" t="s">
        <v>6730</v>
      </c>
      <c r="H1173" s="30" t="s">
        <v>6731</v>
      </c>
      <c r="I1173" s="29" t="s">
        <v>116</v>
      </c>
      <c r="J1173" s="31">
        <v>3.0</v>
      </c>
      <c r="K1173" s="35"/>
      <c r="L1173" s="35"/>
      <c r="M1173" s="35"/>
      <c r="N1173" s="35"/>
      <c r="O1173" s="35"/>
      <c r="P1173" s="35"/>
      <c r="Q1173" s="35"/>
      <c r="R1173" s="35"/>
      <c r="S1173" s="37">
        <f>IF(B1173="","",IF(ISNUMBER(J1173),IF(J1173&lt;=10,'Configuración'!$B$23,IF(J1173&lt;=50,'Configuración'!$B$24,IF(J1173&lt;=200,'Configuración'!$B$25,0))),0))</f>
        <v>12</v>
      </c>
      <c r="T1173" s="37">
        <f>IF(B1173="","",IF(ISNUMBER(SEARCH("information technology",I1173))+ISNUMBER(SEARCH("software",I1173))+ISNUMBER(SEARCH("internet",I1173))+ISNUMBER(SEARCH("computer",I1173))+ISNUMBER(SEARCH("saas",I1173))+ISNUMBER(SEARCH("fintech",I1173))+ISNUMBER(SEARCH("information services",I1173))+ISNUMBER(SEARCH("telecommunications",I1173))&gt;0,'Configuración'!$B$27,'Configuración'!$B$28))</f>
        <v>4</v>
      </c>
      <c r="U1173" s="25">
        <f>IF(B1173="","",IF(ISNUMBER(SEARCH("CEO",C1173))+ISNUMBER(SEARCH("Founder",C1173))+ISNUMBER(SEARCH("Owner",C1173))+ISNUMBER(SEARCH("Dueño",C1173))+ISNUMBER(SEARCH("Director General",C1173))+ISNUMBER(SEARCH("Presidente",C1173))+ISNUMBER(SEARCH("President",C1173))&gt;0,'Configuración'!$B$31,IF(ISNUMBER(SEARCH("CMO",C1173))+ISNUMBER(SEARCH("Chief Marketing",C1173))+ISNUMBER(SEARCH("VP Marketing",C1173))+ISNUMBER(SEARCH("Director de Marketing",C1173))+ISNUMBER(SEARCH("Director Marketing",C1173))+ISNUMBER(SEARCH("Head of Marketing",C1173))+ISNUMBER(SEARCH("Head Marketing",C1173))&gt;0,'Configuración'!$B$32,IF(ISNUMBER(SEARCH("Marketing Manager",C1173))+ISNUMBER(SEARCH("Gerente de Marketing",C1173))+ISNUMBER(SEARCH("Growth Manager",C1173))+ISNUMBER(SEARCH("Demand Gen",C1173))+ISNUMBER(SEARCH("Marketing Lead",C1173))&gt;0,'Configuración'!$B$33,IF(ISNUMBER(SEARCH("COO",C1173))+ISNUMBER(SEARCH("CFO",C1173))+ISNUMBER(SEARCH("CTO",C1173))+ISNUMBER(SEARCH("Chief Operating",C1173))+ISNUMBER(SEARCH("Chief Financial",C1173))+ISNUMBER(SEARCH("Gerente General",C1173))+ISNUMBER(SEARCH("General Manager",C1173))&gt;0,'Configuración'!$B$34,'Configuración'!$B$35)))))</f>
        <v>12</v>
      </c>
      <c r="V1173" s="38">
        <f>IF(B1173="","",IF(K1173="Sí",'Configuración'!$B$5,0)+IF(L1173="Semanal",'Configuración'!$B$6,IF(L1173="Mensual",'Configuración'!$B$7,0))+IF(M1173="Sí",'Configuración'!$B$8,0)+IF(N1173="Sí",'Configuración'!$B$9,0)+IF(O1173="Sí",'Configuración'!$B$10,0)+IF(P1173="Sí",'Configuración'!$B$11,0)+IF(Q1173="Sí",'Configuración'!$B$12,0)+S1173+T1173+U1173)</f>
        <v>28</v>
      </c>
      <c r="W1173" s="39" t="str">
        <f>IF(B1173="","",IF(V1173&gt;='Configuración'!$B$19,"A",IF(V1173&gt;='Configuración'!$B$20,"B",IF(V1173&gt;='Configuración'!$B$21,"C","Descarte"))))</f>
        <v>C</v>
      </c>
    </row>
    <row r="1174" ht="15.75" customHeight="1">
      <c r="A1174" s="34">
        <f t="shared" si="1"/>
        <v>1172</v>
      </c>
      <c r="B1174" s="29" t="s">
        <v>1171</v>
      </c>
      <c r="C1174" s="29" t="s">
        <v>146</v>
      </c>
      <c r="D1174" s="29" t="s">
        <v>6732</v>
      </c>
      <c r="E1174" s="29" t="s">
        <v>6733</v>
      </c>
      <c r="F1174" s="30" t="s">
        <v>6734</v>
      </c>
      <c r="G1174" s="30" t="s">
        <v>6735</v>
      </c>
      <c r="H1174" s="30" t="s">
        <v>6736</v>
      </c>
      <c r="I1174" s="29" t="s">
        <v>2694</v>
      </c>
      <c r="J1174" s="31">
        <v>21.0</v>
      </c>
      <c r="K1174" s="35"/>
      <c r="L1174" s="35"/>
      <c r="M1174" s="35"/>
      <c r="N1174" s="35"/>
      <c r="O1174" s="35"/>
      <c r="P1174" s="35"/>
      <c r="Q1174" s="35"/>
      <c r="R1174" s="35"/>
      <c r="S1174" s="37">
        <f>IF(B1174="","",IF(ISNUMBER(J1174),IF(J1174&lt;=10,'Configuración'!$B$23,IF(J1174&lt;=50,'Configuración'!$B$24,IF(J1174&lt;=200,'Configuración'!$B$25,0))),0))</f>
        <v>4</v>
      </c>
      <c r="T1174" s="37">
        <f>IF(B1174="","",IF(ISNUMBER(SEARCH("information technology",I1174))+ISNUMBER(SEARCH("software",I1174))+ISNUMBER(SEARCH("internet",I1174))+ISNUMBER(SEARCH("computer",I1174))+ISNUMBER(SEARCH("saas",I1174))+ISNUMBER(SEARCH("fintech",I1174))+ISNUMBER(SEARCH("information services",I1174))+ISNUMBER(SEARCH("telecommunications",I1174))&gt;0,'Configuración'!$B$27,'Configuración'!$B$28))</f>
        <v>4</v>
      </c>
      <c r="U1174" s="25">
        <f>IF(B1174="","",IF(ISNUMBER(SEARCH("CEO",C1174))+ISNUMBER(SEARCH("Founder",C1174))+ISNUMBER(SEARCH("Owner",C1174))+ISNUMBER(SEARCH("Dueño",C1174))+ISNUMBER(SEARCH("Director General",C1174))+ISNUMBER(SEARCH("Presidente",C1174))+ISNUMBER(SEARCH("President",C1174))&gt;0,'Configuración'!$B$31,IF(ISNUMBER(SEARCH("CMO",C1174))+ISNUMBER(SEARCH("Chief Marketing",C1174))+ISNUMBER(SEARCH("VP Marketing",C1174))+ISNUMBER(SEARCH("Director de Marketing",C1174))+ISNUMBER(SEARCH("Director Marketing",C1174))+ISNUMBER(SEARCH("Head of Marketing",C1174))+ISNUMBER(SEARCH("Head Marketing",C1174))&gt;0,'Configuración'!$B$32,IF(ISNUMBER(SEARCH("Marketing Manager",C1174))+ISNUMBER(SEARCH("Gerente de Marketing",C1174))+ISNUMBER(SEARCH("Growth Manager",C1174))+ISNUMBER(SEARCH("Demand Gen",C1174))+ISNUMBER(SEARCH("Marketing Lead",C1174))&gt;0,'Configuración'!$B$33,IF(ISNUMBER(SEARCH("COO",C1174))+ISNUMBER(SEARCH("CFO",C1174))+ISNUMBER(SEARCH("CTO",C1174))+ISNUMBER(SEARCH("Chief Operating",C1174))+ISNUMBER(SEARCH("Chief Financial",C1174))+ISNUMBER(SEARCH("Gerente General",C1174))+ISNUMBER(SEARCH("General Manager",C1174))&gt;0,'Configuración'!$B$34,'Configuración'!$B$35)))))</f>
        <v>0</v>
      </c>
      <c r="V1174" s="38">
        <f>IF(B1174="","",IF(K1174="Sí",'Configuración'!$B$5,0)+IF(L1174="Semanal",'Configuración'!$B$6,IF(L1174="Mensual",'Configuración'!$B$7,0))+IF(M1174="Sí",'Configuración'!$B$8,0)+IF(N1174="Sí",'Configuración'!$B$9,0)+IF(O1174="Sí",'Configuración'!$B$10,0)+IF(P1174="Sí",'Configuración'!$B$11,0)+IF(Q1174="Sí",'Configuración'!$B$12,0)+S1174+T1174+U1174)</f>
        <v>8</v>
      </c>
      <c r="W1174" s="39" t="str">
        <f>IF(B1174="","",IF(V1174&gt;='Configuración'!$B$19,"A",IF(V1174&gt;='Configuración'!$B$20,"B",IF(V1174&gt;='Configuración'!$B$21,"C","Descarte"))))</f>
        <v>Descarte</v>
      </c>
    </row>
    <row r="1175" ht="15.75" customHeight="1">
      <c r="A1175" s="34">
        <f t="shared" si="1"/>
        <v>1173</v>
      </c>
      <c r="B1175" s="29" t="s">
        <v>536</v>
      </c>
      <c r="C1175" s="29" t="s">
        <v>146</v>
      </c>
      <c r="D1175" s="29" t="s">
        <v>6737</v>
      </c>
      <c r="E1175" s="29" t="s">
        <v>6738</v>
      </c>
      <c r="F1175" s="30" t="s">
        <v>6739</v>
      </c>
      <c r="G1175" s="30" t="s">
        <v>6740</v>
      </c>
      <c r="H1175" s="30" t="s">
        <v>6741</v>
      </c>
      <c r="I1175" s="29" t="s">
        <v>542</v>
      </c>
      <c r="J1175" s="31">
        <v>6.0</v>
      </c>
      <c r="K1175" s="35"/>
      <c r="L1175" s="35"/>
      <c r="M1175" s="35"/>
      <c r="N1175" s="35"/>
      <c r="O1175" s="35"/>
      <c r="P1175" s="35"/>
      <c r="Q1175" s="35"/>
      <c r="R1175" s="35"/>
      <c r="S1175" s="37">
        <f>IF(B1175="","",IF(ISNUMBER(J1175),IF(J1175&lt;=10,'Configuración'!$B$23,IF(J1175&lt;=50,'Configuración'!$B$24,IF(J1175&lt;=200,'Configuración'!$B$25,0))),0))</f>
        <v>12</v>
      </c>
      <c r="T1175" s="37">
        <f>IF(B1175="","",IF(ISNUMBER(SEARCH("information technology",I1175))+ISNUMBER(SEARCH("software",I1175))+ISNUMBER(SEARCH("internet",I1175))+ISNUMBER(SEARCH("computer",I1175))+ISNUMBER(SEARCH("saas",I1175))+ISNUMBER(SEARCH("fintech",I1175))+ISNUMBER(SEARCH("information services",I1175))+ISNUMBER(SEARCH("telecommunications",I1175))&gt;0,'Configuración'!$B$27,'Configuración'!$B$28))</f>
        <v>4</v>
      </c>
      <c r="U1175" s="25">
        <f>IF(B1175="","",IF(ISNUMBER(SEARCH("CEO",C1175))+ISNUMBER(SEARCH("Founder",C1175))+ISNUMBER(SEARCH("Owner",C1175))+ISNUMBER(SEARCH("Dueño",C1175))+ISNUMBER(SEARCH("Director General",C1175))+ISNUMBER(SEARCH("Presidente",C1175))+ISNUMBER(SEARCH("President",C1175))&gt;0,'Configuración'!$B$31,IF(ISNUMBER(SEARCH("CMO",C1175))+ISNUMBER(SEARCH("Chief Marketing",C1175))+ISNUMBER(SEARCH("VP Marketing",C1175))+ISNUMBER(SEARCH("Director de Marketing",C1175))+ISNUMBER(SEARCH("Director Marketing",C1175))+ISNUMBER(SEARCH("Head of Marketing",C1175))+ISNUMBER(SEARCH("Head Marketing",C1175))&gt;0,'Configuración'!$B$32,IF(ISNUMBER(SEARCH("Marketing Manager",C1175))+ISNUMBER(SEARCH("Gerente de Marketing",C1175))+ISNUMBER(SEARCH("Growth Manager",C1175))+ISNUMBER(SEARCH("Demand Gen",C1175))+ISNUMBER(SEARCH("Marketing Lead",C1175))&gt;0,'Configuración'!$B$33,IF(ISNUMBER(SEARCH("COO",C1175))+ISNUMBER(SEARCH("CFO",C1175))+ISNUMBER(SEARCH("CTO",C1175))+ISNUMBER(SEARCH("Chief Operating",C1175))+ISNUMBER(SEARCH("Chief Financial",C1175))+ISNUMBER(SEARCH("Gerente General",C1175))+ISNUMBER(SEARCH("General Manager",C1175))&gt;0,'Configuración'!$B$34,'Configuración'!$B$35)))))</f>
        <v>0</v>
      </c>
      <c r="V1175" s="38">
        <f>IF(B1175="","",IF(K1175="Sí",'Configuración'!$B$5,0)+IF(L1175="Semanal",'Configuración'!$B$6,IF(L1175="Mensual",'Configuración'!$B$7,0))+IF(M1175="Sí",'Configuración'!$B$8,0)+IF(N1175="Sí",'Configuración'!$B$9,0)+IF(O1175="Sí",'Configuración'!$B$10,0)+IF(P1175="Sí",'Configuración'!$B$11,0)+IF(Q1175="Sí",'Configuración'!$B$12,0)+S1175+T1175+U1175)</f>
        <v>16</v>
      </c>
      <c r="W1175" s="39" t="str">
        <f>IF(B1175="","",IF(V1175&gt;='Configuración'!$B$19,"A",IF(V1175&gt;='Configuración'!$B$20,"B",IF(V1175&gt;='Configuración'!$B$21,"C","Descarte"))))</f>
        <v>Descarte</v>
      </c>
    </row>
    <row r="1176" ht="15.75" customHeight="1">
      <c r="A1176" s="34">
        <f t="shared" si="1"/>
        <v>1174</v>
      </c>
      <c r="B1176" s="29" t="s">
        <v>4525</v>
      </c>
      <c r="C1176" s="29" t="s">
        <v>6742</v>
      </c>
      <c r="D1176" s="29" t="s">
        <v>6743</v>
      </c>
      <c r="E1176" s="29"/>
      <c r="F1176" s="30" t="s">
        <v>6744</v>
      </c>
      <c r="G1176" s="30" t="s">
        <v>6745</v>
      </c>
      <c r="H1176" s="30" t="s">
        <v>6746</v>
      </c>
      <c r="I1176" s="29" t="s">
        <v>188</v>
      </c>
      <c r="J1176" s="31">
        <v>1.0</v>
      </c>
      <c r="K1176" s="35"/>
      <c r="L1176" s="35"/>
      <c r="M1176" s="35"/>
      <c r="N1176" s="35"/>
      <c r="O1176" s="35"/>
      <c r="P1176" s="35"/>
      <c r="Q1176" s="35"/>
      <c r="R1176" s="35"/>
      <c r="S1176" s="37">
        <f>IF(B1176="","",IF(ISNUMBER(J1176),IF(J1176&lt;=10,'Configuración'!$B$23,IF(J1176&lt;=50,'Configuración'!$B$24,IF(J1176&lt;=200,'Configuración'!$B$25,0))),0))</f>
        <v>12</v>
      </c>
      <c r="T1176" s="37">
        <f>IF(B1176="","",IF(ISNUMBER(SEARCH("information technology",I1176))+ISNUMBER(SEARCH("software",I1176))+ISNUMBER(SEARCH("internet",I1176))+ISNUMBER(SEARCH("computer",I1176))+ISNUMBER(SEARCH("saas",I1176))+ISNUMBER(SEARCH("fintech",I1176))+ISNUMBER(SEARCH("information services",I1176))+ISNUMBER(SEARCH("telecommunications",I1176))&gt;0,'Configuración'!$B$27,'Configuración'!$B$28))</f>
        <v>4</v>
      </c>
      <c r="U1176" s="25">
        <f>IF(B1176="","",IF(ISNUMBER(SEARCH("CEO",C1176))+ISNUMBER(SEARCH("Founder",C1176))+ISNUMBER(SEARCH("Owner",C1176))+ISNUMBER(SEARCH("Dueño",C1176))+ISNUMBER(SEARCH("Director General",C1176))+ISNUMBER(SEARCH("Presidente",C1176))+ISNUMBER(SEARCH("President",C1176))&gt;0,'Configuración'!$B$31,IF(ISNUMBER(SEARCH("CMO",C1176))+ISNUMBER(SEARCH("Chief Marketing",C1176))+ISNUMBER(SEARCH("VP Marketing",C1176))+ISNUMBER(SEARCH("Director de Marketing",C1176))+ISNUMBER(SEARCH("Director Marketing",C1176))+ISNUMBER(SEARCH("Head of Marketing",C1176))+ISNUMBER(SEARCH("Head Marketing",C1176))&gt;0,'Configuración'!$B$32,IF(ISNUMBER(SEARCH("Marketing Manager",C1176))+ISNUMBER(SEARCH("Gerente de Marketing",C1176))+ISNUMBER(SEARCH("Growth Manager",C1176))+ISNUMBER(SEARCH("Demand Gen",C1176))+ISNUMBER(SEARCH("Marketing Lead",C1176))&gt;0,'Configuración'!$B$33,IF(ISNUMBER(SEARCH("COO",C1176))+ISNUMBER(SEARCH("CFO",C1176))+ISNUMBER(SEARCH("CTO",C1176))+ISNUMBER(SEARCH("Chief Operating",C1176))+ISNUMBER(SEARCH("Chief Financial",C1176))+ISNUMBER(SEARCH("Gerente General",C1176))+ISNUMBER(SEARCH("General Manager",C1176))&gt;0,'Configuración'!$B$34,'Configuración'!$B$35)))))</f>
        <v>12</v>
      </c>
      <c r="V1176" s="38">
        <f>IF(B1176="","",IF(K1176="Sí",'Configuración'!$B$5,0)+IF(L1176="Semanal",'Configuración'!$B$6,IF(L1176="Mensual",'Configuración'!$B$7,0))+IF(M1176="Sí",'Configuración'!$B$8,0)+IF(N1176="Sí",'Configuración'!$B$9,0)+IF(O1176="Sí",'Configuración'!$B$10,0)+IF(P1176="Sí",'Configuración'!$B$11,0)+IF(Q1176="Sí",'Configuración'!$B$12,0)+S1176+T1176+U1176)</f>
        <v>28</v>
      </c>
      <c r="W1176" s="39" t="str">
        <f>IF(B1176="","",IF(V1176&gt;='Configuración'!$B$19,"A",IF(V1176&gt;='Configuración'!$B$20,"B",IF(V1176&gt;='Configuración'!$B$21,"C","Descarte"))))</f>
        <v>C</v>
      </c>
    </row>
    <row r="1177" ht="15.75" customHeight="1">
      <c r="A1177" s="34">
        <f t="shared" si="1"/>
        <v>1175</v>
      </c>
      <c r="B1177" s="29" t="s">
        <v>2396</v>
      </c>
      <c r="C1177" s="29" t="s">
        <v>6747</v>
      </c>
      <c r="D1177" s="29" t="s">
        <v>6748</v>
      </c>
      <c r="E1177" s="29" t="s">
        <v>6749</v>
      </c>
      <c r="F1177" s="30" t="s">
        <v>6750</v>
      </c>
      <c r="G1177" s="30" t="s">
        <v>6751</v>
      </c>
      <c r="H1177" s="30" t="s">
        <v>6752</v>
      </c>
      <c r="I1177" s="29" t="s">
        <v>137</v>
      </c>
      <c r="J1177" s="31">
        <v>6.0</v>
      </c>
      <c r="K1177" s="35"/>
      <c r="L1177" s="35"/>
      <c r="M1177" s="35"/>
      <c r="N1177" s="35"/>
      <c r="O1177" s="35"/>
      <c r="P1177" s="35"/>
      <c r="Q1177" s="35"/>
      <c r="R1177" s="35"/>
      <c r="S1177" s="37">
        <f>IF(B1177="","",IF(ISNUMBER(J1177),IF(J1177&lt;=10,'Configuración'!$B$23,IF(J1177&lt;=50,'Configuración'!$B$24,IF(J1177&lt;=200,'Configuración'!$B$25,0))),0))</f>
        <v>12</v>
      </c>
      <c r="T1177" s="37">
        <f>IF(B1177="","",IF(ISNUMBER(SEARCH("information technology",I1177))+ISNUMBER(SEARCH("software",I1177))+ISNUMBER(SEARCH("internet",I1177))+ISNUMBER(SEARCH("computer",I1177))+ISNUMBER(SEARCH("saas",I1177))+ISNUMBER(SEARCH("fintech",I1177))+ISNUMBER(SEARCH("information services",I1177))+ISNUMBER(SEARCH("telecommunications",I1177))&gt;0,'Configuración'!$B$27,'Configuración'!$B$28))</f>
        <v>4</v>
      </c>
      <c r="U1177" s="25">
        <f>IF(B1177="","",IF(ISNUMBER(SEARCH("CEO",C1177))+ISNUMBER(SEARCH("Founder",C1177))+ISNUMBER(SEARCH("Owner",C1177))+ISNUMBER(SEARCH("Dueño",C1177))+ISNUMBER(SEARCH("Director General",C1177))+ISNUMBER(SEARCH("Presidente",C1177))+ISNUMBER(SEARCH("President",C1177))&gt;0,'Configuración'!$B$31,IF(ISNUMBER(SEARCH("CMO",C1177))+ISNUMBER(SEARCH("Chief Marketing",C1177))+ISNUMBER(SEARCH("VP Marketing",C1177))+ISNUMBER(SEARCH("Director de Marketing",C1177))+ISNUMBER(SEARCH("Director Marketing",C1177))+ISNUMBER(SEARCH("Head of Marketing",C1177))+ISNUMBER(SEARCH("Head Marketing",C1177))&gt;0,'Configuración'!$B$32,IF(ISNUMBER(SEARCH("Marketing Manager",C1177))+ISNUMBER(SEARCH("Gerente de Marketing",C1177))+ISNUMBER(SEARCH("Growth Manager",C1177))+ISNUMBER(SEARCH("Demand Gen",C1177))+ISNUMBER(SEARCH("Marketing Lead",C1177))&gt;0,'Configuración'!$B$33,IF(ISNUMBER(SEARCH("COO",C1177))+ISNUMBER(SEARCH("CFO",C1177))+ISNUMBER(SEARCH("CTO",C1177))+ISNUMBER(SEARCH("Chief Operating",C1177))+ISNUMBER(SEARCH("Chief Financial",C1177))+ISNUMBER(SEARCH("Gerente General",C1177))+ISNUMBER(SEARCH("General Manager",C1177))&gt;0,'Configuración'!$B$34,'Configuración'!$B$35)))))</f>
        <v>12</v>
      </c>
      <c r="V1177" s="38">
        <f>IF(B1177="","",IF(K1177="Sí",'Configuración'!$B$5,0)+IF(L1177="Semanal",'Configuración'!$B$6,IF(L1177="Mensual",'Configuración'!$B$7,0))+IF(M1177="Sí",'Configuración'!$B$8,0)+IF(N1177="Sí",'Configuración'!$B$9,0)+IF(O1177="Sí",'Configuración'!$B$10,0)+IF(P1177="Sí",'Configuración'!$B$11,0)+IF(Q1177="Sí",'Configuración'!$B$12,0)+S1177+T1177+U1177)</f>
        <v>28</v>
      </c>
      <c r="W1177" s="39" t="str">
        <f>IF(B1177="","",IF(V1177&gt;='Configuración'!$B$19,"A",IF(V1177&gt;='Configuración'!$B$20,"B",IF(V1177&gt;='Configuración'!$B$21,"C","Descarte"))))</f>
        <v>C</v>
      </c>
    </row>
    <row r="1178" ht="15.75" customHeight="1">
      <c r="A1178" s="34">
        <f t="shared" si="1"/>
        <v>1176</v>
      </c>
      <c r="B1178" s="29" t="s">
        <v>138</v>
      </c>
      <c r="C1178" s="29" t="s">
        <v>131</v>
      </c>
      <c r="D1178" s="29" t="s">
        <v>6753</v>
      </c>
      <c r="E1178" s="29" t="s">
        <v>6754</v>
      </c>
      <c r="F1178" s="30" t="s">
        <v>6755</v>
      </c>
      <c r="G1178" s="30" t="s">
        <v>6756</v>
      </c>
      <c r="H1178" s="30" t="s">
        <v>6757</v>
      </c>
      <c r="I1178" s="29" t="s">
        <v>465</v>
      </c>
      <c r="J1178" s="31">
        <v>8.0</v>
      </c>
      <c r="K1178" s="35"/>
      <c r="L1178" s="35"/>
      <c r="M1178" s="35"/>
      <c r="N1178" s="35"/>
      <c r="O1178" s="35"/>
      <c r="P1178" s="35"/>
      <c r="Q1178" s="35"/>
      <c r="R1178" s="35"/>
      <c r="S1178" s="37">
        <f>IF(B1178="","",IF(ISNUMBER(J1178),IF(J1178&lt;=10,'Configuración'!$B$23,IF(J1178&lt;=50,'Configuración'!$B$24,IF(J1178&lt;=200,'Configuración'!$B$25,0))),0))</f>
        <v>12</v>
      </c>
      <c r="T1178" s="37">
        <f>IF(B1178="","",IF(ISNUMBER(SEARCH("information technology",I1178))+ISNUMBER(SEARCH("software",I1178))+ISNUMBER(SEARCH("internet",I1178))+ISNUMBER(SEARCH("computer",I1178))+ISNUMBER(SEARCH("saas",I1178))+ISNUMBER(SEARCH("fintech",I1178))+ISNUMBER(SEARCH("information services",I1178))+ISNUMBER(SEARCH("telecommunications",I1178))&gt;0,'Configuración'!$B$27,'Configuración'!$B$28))</f>
        <v>4</v>
      </c>
      <c r="U1178" s="25">
        <f>IF(B1178="","",IF(ISNUMBER(SEARCH("CEO",C1178))+ISNUMBER(SEARCH("Founder",C1178))+ISNUMBER(SEARCH("Owner",C1178))+ISNUMBER(SEARCH("Dueño",C1178))+ISNUMBER(SEARCH("Director General",C1178))+ISNUMBER(SEARCH("Presidente",C1178))+ISNUMBER(SEARCH("President",C1178))&gt;0,'Configuración'!$B$31,IF(ISNUMBER(SEARCH("CMO",C1178))+ISNUMBER(SEARCH("Chief Marketing",C1178))+ISNUMBER(SEARCH("VP Marketing",C1178))+ISNUMBER(SEARCH("Director de Marketing",C1178))+ISNUMBER(SEARCH("Director Marketing",C1178))+ISNUMBER(SEARCH("Head of Marketing",C1178))+ISNUMBER(SEARCH("Head Marketing",C1178))&gt;0,'Configuración'!$B$32,IF(ISNUMBER(SEARCH("Marketing Manager",C1178))+ISNUMBER(SEARCH("Gerente de Marketing",C1178))+ISNUMBER(SEARCH("Growth Manager",C1178))+ISNUMBER(SEARCH("Demand Gen",C1178))+ISNUMBER(SEARCH("Marketing Lead",C1178))&gt;0,'Configuración'!$B$33,IF(ISNUMBER(SEARCH("COO",C1178))+ISNUMBER(SEARCH("CFO",C1178))+ISNUMBER(SEARCH("CTO",C1178))+ISNUMBER(SEARCH("Chief Operating",C1178))+ISNUMBER(SEARCH("Chief Financial",C1178))+ISNUMBER(SEARCH("Gerente General",C1178))+ISNUMBER(SEARCH("General Manager",C1178))&gt;0,'Configuración'!$B$34,'Configuración'!$B$35)))))</f>
        <v>12</v>
      </c>
      <c r="V1178" s="38">
        <f>IF(B1178="","",IF(K1178="Sí",'Configuración'!$B$5,0)+IF(L1178="Semanal",'Configuración'!$B$6,IF(L1178="Mensual",'Configuración'!$B$7,0))+IF(M1178="Sí",'Configuración'!$B$8,0)+IF(N1178="Sí",'Configuración'!$B$9,0)+IF(O1178="Sí",'Configuración'!$B$10,0)+IF(P1178="Sí",'Configuración'!$B$11,0)+IF(Q1178="Sí",'Configuración'!$B$12,0)+S1178+T1178+U1178)</f>
        <v>28</v>
      </c>
      <c r="W1178" s="39" t="str">
        <f>IF(B1178="","",IF(V1178&gt;='Configuración'!$B$19,"A",IF(V1178&gt;='Configuración'!$B$20,"B",IF(V1178&gt;='Configuración'!$B$21,"C","Descarte"))))</f>
        <v>C</v>
      </c>
    </row>
    <row r="1179" ht="15.75" customHeight="1">
      <c r="A1179" s="34">
        <f t="shared" si="1"/>
        <v>1177</v>
      </c>
      <c r="B1179" s="29" t="s">
        <v>174</v>
      </c>
      <c r="C1179" s="29" t="s">
        <v>202</v>
      </c>
      <c r="D1179" s="29" t="s">
        <v>6758</v>
      </c>
      <c r="E1179" s="29" t="s">
        <v>6759</v>
      </c>
      <c r="F1179" s="30" t="s">
        <v>6760</v>
      </c>
      <c r="G1179" s="30" t="s">
        <v>6761</v>
      </c>
      <c r="H1179" s="30" t="s">
        <v>6762</v>
      </c>
      <c r="I1179" s="29" t="s">
        <v>310</v>
      </c>
      <c r="J1179" s="31">
        <v>46.0</v>
      </c>
      <c r="K1179" s="35"/>
      <c r="L1179" s="35"/>
      <c r="M1179" s="35"/>
      <c r="N1179" s="35"/>
      <c r="O1179" s="35"/>
      <c r="P1179" s="35"/>
      <c r="Q1179" s="35"/>
      <c r="R1179" s="35"/>
      <c r="S1179" s="37">
        <f>IF(B1179="","",IF(ISNUMBER(J1179),IF(J1179&lt;=10,'Configuración'!$B$23,IF(J1179&lt;=50,'Configuración'!$B$24,IF(J1179&lt;=200,'Configuración'!$B$25,0))),0))</f>
        <v>4</v>
      </c>
      <c r="T1179" s="37">
        <f>IF(B1179="","",IF(ISNUMBER(SEARCH("information technology",I1179))+ISNUMBER(SEARCH("software",I1179))+ISNUMBER(SEARCH("internet",I1179))+ISNUMBER(SEARCH("computer",I1179))+ISNUMBER(SEARCH("saas",I1179))+ISNUMBER(SEARCH("fintech",I1179))+ISNUMBER(SEARCH("information services",I1179))+ISNUMBER(SEARCH("telecommunications",I1179))&gt;0,'Configuración'!$B$27,'Configuración'!$B$28))</f>
        <v>4</v>
      </c>
      <c r="U1179" s="25">
        <f>IF(B1179="","",IF(ISNUMBER(SEARCH("CEO",C1179))+ISNUMBER(SEARCH("Founder",C1179))+ISNUMBER(SEARCH("Owner",C1179))+ISNUMBER(SEARCH("Dueño",C1179))+ISNUMBER(SEARCH("Director General",C1179))+ISNUMBER(SEARCH("Presidente",C1179))+ISNUMBER(SEARCH("President",C1179))&gt;0,'Configuración'!$B$31,IF(ISNUMBER(SEARCH("CMO",C1179))+ISNUMBER(SEARCH("Chief Marketing",C1179))+ISNUMBER(SEARCH("VP Marketing",C1179))+ISNUMBER(SEARCH("Director de Marketing",C1179))+ISNUMBER(SEARCH("Director Marketing",C1179))+ISNUMBER(SEARCH("Head of Marketing",C1179))+ISNUMBER(SEARCH("Head Marketing",C1179))&gt;0,'Configuración'!$B$32,IF(ISNUMBER(SEARCH("Marketing Manager",C1179))+ISNUMBER(SEARCH("Gerente de Marketing",C1179))+ISNUMBER(SEARCH("Growth Manager",C1179))+ISNUMBER(SEARCH("Demand Gen",C1179))+ISNUMBER(SEARCH("Marketing Lead",C1179))&gt;0,'Configuración'!$B$33,IF(ISNUMBER(SEARCH("COO",C1179))+ISNUMBER(SEARCH("CFO",C1179))+ISNUMBER(SEARCH("CTO",C1179))+ISNUMBER(SEARCH("Chief Operating",C1179))+ISNUMBER(SEARCH("Chief Financial",C1179))+ISNUMBER(SEARCH("Gerente General",C1179))+ISNUMBER(SEARCH("General Manager",C1179))&gt;0,'Configuración'!$B$34,'Configuración'!$B$35)))))</f>
        <v>12</v>
      </c>
      <c r="V1179" s="38">
        <f>IF(B1179="","",IF(K1179="Sí",'Configuración'!$B$5,0)+IF(L1179="Semanal",'Configuración'!$B$6,IF(L1179="Mensual",'Configuración'!$B$7,0))+IF(M1179="Sí",'Configuración'!$B$8,0)+IF(N1179="Sí",'Configuración'!$B$9,0)+IF(O1179="Sí",'Configuración'!$B$10,0)+IF(P1179="Sí",'Configuración'!$B$11,0)+IF(Q1179="Sí",'Configuración'!$B$12,0)+S1179+T1179+U1179)</f>
        <v>20</v>
      </c>
      <c r="W1179" s="39" t="str">
        <f>IF(B1179="","",IF(V1179&gt;='Configuración'!$B$19,"A",IF(V1179&gt;='Configuración'!$B$20,"B",IF(V1179&gt;='Configuración'!$B$21,"C","Descarte"))))</f>
        <v>Descarte</v>
      </c>
    </row>
    <row r="1180" ht="15.75" customHeight="1">
      <c r="A1180" s="34">
        <f t="shared" si="1"/>
        <v>1178</v>
      </c>
      <c r="B1180" s="29" t="s">
        <v>6763</v>
      </c>
      <c r="C1180" s="29" t="s">
        <v>121</v>
      </c>
      <c r="D1180" s="29" t="s">
        <v>6764</v>
      </c>
      <c r="E1180" s="29" t="s">
        <v>6765</v>
      </c>
      <c r="F1180" s="30" t="s">
        <v>6766</v>
      </c>
      <c r="G1180" s="30" t="s">
        <v>6767</v>
      </c>
      <c r="H1180" s="30" t="s">
        <v>6768</v>
      </c>
      <c r="I1180" s="29" t="s">
        <v>1245</v>
      </c>
      <c r="J1180" s="31">
        <v>5.0</v>
      </c>
      <c r="K1180" s="35"/>
      <c r="L1180" s="35"/>
      <c r="M1180" s="35"/>
      <c r="N1180" s="35"/>
      <c r="O1180" s="35"/>
      <c r="P1180" s="35"/>
      <c r="Q1180" s="35"/>
      <c r="R1180" s="35"/>
      <c r="S1180" s="37">
        <f>IF(B1180="","",IF(ISNUMBER(J1180),IF(J1180&lt;=10,'Configuración'!$B$23,IF(J1180&lt;=50,'Configuración'!$B$24,IF(J1180&lt;=200,'Configuración'!$B$25,0))),0))</f>
        <v>12</v>
      </c>
      <c r="T1180" s="37">
        <f>IF(B1180="","",IF(ISNUMBER(SEARCH("information technology",I1180))+ISNUMBER(SEARCH("software",I1180))+ISNUMBER(SEARCH("internet",I1180))+ISNUMBER(SEARCH("computer",I1180))+ISNUMBER(SEARCH("saas",I1180))+ISNUMBER(SEARCH("fintech",I1180))+ISNUMBER(SEARCH("information services",I1180))+ISNUMBER(SEARCH("telecommunications",I1180))&gt;0,'Configuración'!$B$27,'Configuración'!$B$28))</f>
        <v>4</v>
      </c>
      <c r="U1180" s="25">
        <f>IF(B1180="","",IF(ISNUMBER(SEARCH("CEO",C1180))+ISNUMBER(SEARCH("Founder",C1180))+ISNUMBER(SEARCH("Owner",C1180))+ISNUMBER(SEARCH("Dueño",C1180))+ISNUMBER(SEARCH("Director General",C1180))+ISNUMBER(SEARCH("Presidente",C1180))+ISNUMBER(SEARCH("President",C1180))&gt;0,'Configuración'!$B$31,IF(ISNUMBER(SEARCH("CMO",C1180))+ISNUMBER(SEARCH("Chief Marketing",C1180))+ISNUMBER(SEARCH("VP Marketing",C1180))+ISNUMBER(SEARCH("Director de Marketing",C1180))+ISNUMBER(SEARCH("Director Marketing",C1180))+ISNUMBER(SEARCH("Head of Marketing",C1180))+ISNUMBER(SEARCH("Head Marketing",C1180))&gt;0,'Configuración'!$B$32,IF(ISNUMBER(SEARCH("Marketing Manager",C1180))+ISNUMBER(SEARCH("Gerente de Marketing",C1180))+ISNUMBER(SEARCH("Growth Manager",C1180))+ISNUMBER(SEARCH("Demand Gen",C1180))+ISNUMBER(SEARCH("Marketing Lead",C1180))&gt;0,'Configuración'!$B$33,IF(ISNUMBER(SEARCH("COO",C1180))+ISNUMBER(SEARCH("CFO",C1180))+ISNUMBER(SEARCH("CTO",C1180))+ISNUMBER(SEARCH("Chief Operating",C1180))+ISNUMBER(SEARCH("Chief Financial",C1180))+ISNUMBER(SEARCH("Gerente General",C1180))+ISNUMBER(SEARCH("General Manager",C1180))&gt;0,'Configuración'!$B$34,'Configuración'!$B$35)))))</f>
        <v>12</v>
      </c>
      <c r="V1180" s="38">
        <f>IF(B1180="","",IF(K1180="Sí",'Configuración'!$B$5,0)+IF(L1180="Semanal",'Configuración'!$B$6,IF(L1180="Mensual",'Configuración'!$B$7,0))+IF(M1180="Sí",'Configuración'!$B$8,0)+IF(N1180="Sí",'Configuración'!$B$9,0)+IF(O1180="Sí",'Configuración'!$B$10,0)+IF(P1180="Sí",'Configuración'!$B$11,0)+IF(Q1180="Sí",'Configuración'!$B$12,0)+S1180+T1180+U1180)</f>
        <v>28</v>
      </c>
      <c r="W1180" s="39" t="str">
        <f>IF(B1180="","",IF(V1180&gt;='Configuración'!$B$19,"A",IF(V1180&gt;='Configuración'!$B$20,"B",IF(V1180&gt;='Configuración'!$B$21,"C","Descarte"))))</f>
        <v>C</v>
      </c>
    </row>
    <row r="1181" ht="15.75" customHeight="1">
      <c r="A1181" s="34">
        <f t="shared" si="1"/>
        <v>1179</v>
      </c>
      <c r="B1181" s="29" t="s">
        <v>281</v>
      </c>
      <c r="C1181" s="29" t="s">
        <v>131</v>
      </c>
      <c r="D1181" s="29" t="s">
        <v>6769</v>
      </c>
      <c r="E1181" s="29" t="s">
        <v>6770</v>
      </c>
      <c r="F1181" s="30" t="s">
        <v>6771</v>
      </c>
      <c r="G1181" s="30" t="s">
        <v>6772</v>
      </c>
      <c r="H1181" s="30" t="s">
        <v>6773</v>
      </c>
      <c r="I1181" s="29" t="s">
        <v>2856</v>
      </c>
      <c r="J1181" s="31">
        <v>14.0</v>
      </c>
      <c r="K1181" s="35"/>
      <c r="L1181" s="35"/>
      <c r="M1181" s="35"/>
      <c r="N1181" s="35"/>
      <c r="O1181" s="35"/>
      <c r="P1181" s="35"/>
      <c r="Q1181" s="35"/>
      <c r="R1181" s="35"/>
      <c r="S1181" s="37">
        <f>IF(B1181="","",IF(ISNUMBER(J1181),IF(J1181&lt;=10,'Configuración'!$B$23,IF(J1181&lt;=50,'Configuración'!$B$24,IF(J1181&lt;=200,'Configuración'!$B$25,0))),0))</f>
        <v>4</v>
      </c>
      <c r="T1181" s="37">
        <f>IF(B1181="","",IF(ISNUMBER(SEARCH("information technology",I1181))+ISNUMBER(SEARCH("software",I1181))+ISNUMBER(SEARCH("internet",I1181))+ISNUMBER(SEARCH("computer",I1181))+ISNUMBER(SEARCH("saas",I1181))+ISNUMBER(SEARCH("fintech",I1181))+ISNUMBER(SEARCH("information services",I1181))+ISNUMBER(SEARCH("telecommunications",I1181))&gt;0,'Configuración'!$B$27,'Configuración'!$B$28))</f>
        <v>4</v>
      </c>
      <c r="U1181" s="25">
        <f>IF(B1181="","",IF(ISNUMBER(SEARCH("CEO",C1181))+ISNUMBER(SEARCH("Founder",C1181))+ISNUMBER(SEARCH("Owner",C1181))+ISNUMBER(SEARCH("Dueño",C1181))+ISNUMBER(SEARCH("Director General",C1181))+ISNUMBER(SEARCH("Presidente",C1181))+ISNUMBER(SEARCH("President",C1181))&gt;0,'Configuración'!$B$31,IF(ISNUMBER(SEARCH("CMO",C1181))+ISNUMBER(SEARCH("Chief Marketing",C1181))+ISNUMBER(SEARCH("VP Marketing",C1181))+ISNUMBER(SEARCH("Director de Marketing",C1181))+ISNUMBER(SEARCH("Director Marketing",C1181))+ISNUMBER(SEARCH("Head of Marketing",C1181))+ISNUMBER(SEARCH("Head Marketing",C1181))&gt;0,'Configuración'!$B$32,IF(ISNUMBER(SEARCH("Marketing Manager",C1181))+ISNUMBER(SEARCH("Gerente de Marketing",C1181))+ISNUMBER(SEARCH("Growth Manager",C1181))+ISNUMBER(SEARCH("Demand Gen",C1181))+ISNUMBER(SEARCH("Marketing Lead",C1181))&gt;0,'Configuración'!$B$33,IF(ISNUMBER(SEARCH("COO",C1181))+ISNUMBER(SEARCH("CFO",C1181))+ISNUMBER(SEARCH("CTO",C1181))+ISNUMBER(SEARCH("Chief Operating",C1181))+ISNUMBER(SEARCH("Chief Financial",C1181))+ISNUMBER(SEARCH("Gerente General",C1181))+ISNUMBER(SEARCH("General Manager",C1181))&gt;0,'Configuración'!$B$34,'Configuración'!$B$35)))))</f>
        <v>12</v>
      </c>
      <c r="V1181" s="38">
        <f>IF(B1181="","",IF(K1181="Sí",'Configuración'!$B$5,0)+IF(L1181="Semanal",'Configuración'!$B$6,IF(L1181="Mensual",'Configuración'!$B$7,0))+IF(M1181="Sí",'Configuración'!$B$8,0)+IF(N1181="Sí",'Configuración'!$B$9,0)+IF(O1181="Sí",'Configuración'!$B$10,0)+IF(P1181="Sí",'Configuración'!$B$11,0)+IF(Q1181="Sí",'Configuración'!$B$12,0)+S1181+T1181+U1181)</f>
        <v>20</v>
      </c>
      <c r="W1181" s="39" t="str">
        <f>IF(B1181="","",IF(V1181&gt;='Configuración'!$B$19,"A",IF(V1181&gt;='Configuración'!$B$20,"B",IF(V1181&gt;='Configuración'!$B$21,"C","Descarte"))))</f>
        <v>Descarte</v>
      </c>
    </row>
    <row r="1182" ht="15.75" customHeight="1">
      <c r="A1182" s="34">
        <f t="shared" si="1"/>
        <v>1180</v>
      </c>
      <c r="B1182" s="29" t="s">
        <v>296</v>
      </c>
      <c r="C1182" s="29" t="s">
        <v>175</v>
      </c>
      <c r="D1182" s="29" t="s">
        <v>6774</v>
      </c>
      <c r="E1182" s="29" t="s">
        <v>6775</v>
      </c>
      <c r="F1182" s="30" t="s">
        <v>6776</v>
      </c>
      <c r="G1182" s="30" t="s">
        <v>6777</v>
      </c>
      <c r="H1182" s="30" t="s">
        <v>6778</v>
      </c>
      <c r="I1182" s="29" t="s">
        <v>127</v>
      </c>
      <c r="J1182" s="31">
        <v>2.0</v>
      </c>
      <c r="K1182" s="35"/>
      <c r="L1182" s="35"/>
      <c r="M1182" s="35"/>
      <c r="N1182" s="35"/>
      <c r="O1182" s="35"/>
      <c r="P1182" s="35"/>
      <c r="Q1182" s="35"/>
      <c r="R1182" s="35"/>
      <c r="S1182" s="37">
        <f>IF(B1182="","",IF(ISNUMBER(J1182),IF(J1182&lt;=10,'Configuración'!$B$23,IF(J1182&lt;=50,'Configuración'!$B$24,IF(J1182&lt;=200,'Configuración'!$B$25,0))),0))</f>
        <v>12</v>
      </c>
      <c r="T1182" s="37">
        <f>IF(B1182="","",IF(ISNUMBER(SEARCH("information technology",I1182))+ISNUMBER(SEARCH("software",I1182))+ISNUMBER(SEARCH("internet",I1182))+ISNUMBER(SEARCH("computer",I1182))+ISNUMBER(SEARCH("saas",I1182))+ISNUMBER(SEARCH("fintech",I1182))+ISNUMBER(SEARCH("information services",I1182))+ISNUMBER(SEARCH("telecommunications",I1182))&gt;0,'Configuración'!$B$27,'Configuración'!$B$28))</f>
        <v>12</v>
      </c>
      <c r="U1182" s="25">
        <f>IF(B1182="","",IF(ISNUMBER(SEARCH("CEO",C1182))+ISNUMBER(SEARCH("Founder",C1182))+ISNUMBER(SEARCH("Owner",C1182))+ISNUMBER(SEARCH("Dueño",C1182))+ISNUMBER(SEARCH("Director General",C1182))+ISNUMBER(SEARCH("Presidente",C1182))+ISNUMBER(SEARCH("President",C1182))&gt;0,'Configuración'!$B$31,IF(ISNUMBER(SEARCH("CMO",C1182))+ISNUMBER(SEARCH("Chief Marketing",C1182))+ISNUMBER(SEARCH("VP Marketing",C1182))+ISNUMBER(SEARCH("Director de Marketing",C1182))+ISNUMBER(SEARCH("Director Marketing",C1182))+ISNUMBER(SEARCH("Head of Marketing",C1182))+ISNUMBER(SEARCH("Head Marketing",C1182))&gt;0,'Configuración'!$B$32,IF(ISNUMBER(SEARCH("Marketing Manager",C1182))+ISNUMBER(SEARCH("Gerente de Marketing",C1182))+ISNUMBER(SEARCH("Growth Manager",C1182))+ISNUMBER(SEARCH("Demand Gen",C1182))+ISNUMBER(SEARCH("Marketing Lead",C1182))&gt;0,'Configuración'!$B$33,IF(ISNUMBER(SEARCH("COO",C1182))+ISNUMBER(SEARCH("CFO",C1182))+ISNUMBER(SEARCH("CTO",C1182))+ISNUMBER(SEARCH("Chief Operating",C1182))+ISNUMBER(SEARCH("Chief Financial",C1182))+ISNUMBER(SEARCH("Gerente General",C1182))+ISNUMBER(SEARCH("General Manager",C1182))&gt;0,'Configuración'!$B$34,'Configuración'!$B$35)))))</f>
        <v>12</v>
      </c>
      <c r="V1182" s="38">
        <f>IF(B1182="","",IF(K1182="Sí",'Configuración'!$B$5,0)+IF(L1182="Semanal",'Configuración'!$B$6,IF(L1182="Mensual",'Configuración'!$B$7,0))+IF(M1182="Sí",'Configuración'!$B$8,0)+IF(N1182="Sí",'Configuración'!$B$9,0)+IF(O1182="Sí",'Configuración'!$B$10,0)+IF(P1182="Sí",'Configuración'!$B$11,0)+IF(Q1182="Sí",'Configuración'!$B$12,0)+S1182+T1182+U1182)</f>
        <v>36</v>
      </c>
      <c r="W1182" s="39" t="str">
        <f>IF(B1182="","",IF(V1182&gt;='Configuración'!$B$19,"A",IF(V1182&gt;='Configuración'!$B$20,"B",IF(V1182&gt;='Configuración'!$B$21,"C","Descarte"))))</f>
        <v>C</v>
      </c>
    </row>
    <row r="1183" ht="15.75" customHeight="1">
      <c r="A1183" s="34">
        <f t="shared" si="1"/>
        <v>1181</v>
      </c>
      <c r="B1183" s="29" t="s">
        <v>6779</v>
      </c>
      <c r="C1183" s="29" t="s">
        <v>6780</v>
      </c>
      <c r="D1183" s="29" t="s">
        <v>6781</v>
      </c>
      <c r="E1183" s="29" t="s">
        <v>6782</v>
      </c>
      <c r="F1183" s="30" t="s">
        <v>6783</v>
      </c>
      <c r="G1183" s="30" t="s">
        <v>6784</v>
      </c>
      <c r="H1183" s="30" t="s">
        <v>6785</v>
      </c>
      <c r="I1183" s="29" t="s">
        <v>6786</v>
      </c>
      <c r="J1183" s="31">
        <v>25.0</v>
      </c>
      <c r="K1183" s="35"/>
      <c r="L1183" s="35"/>
      <c r="M1183" s="35"/>
      <c r="N1183" s="35"/>
      <c r="O1183" s="35"/>
      <c r="P1183" s="35"/>
      <c r="Q1183" s="35"/>
      <c r="R1183" s="35"/>
      <c r="S1183" s="37">
        <f>IF(B1183="","",IF(ISNUMBER(J1183),IF(J1183&lt;=10,'Configuración'!$B$23,IF(J1183&lt;=50,'Configuración'!$B$24,IF(J1183&lt;=200,'Configuración'!$B$25,0))),0))</f>
        <v>4</v>
      </c>
      <c r="T1183" s="37">
        <f>IF(B1183="","",IF(ISNUMBER(SEARCH("information technology",I1183))+ISNUMBER(SEARCH("software",I1183))+ISNUMBER(SEARCH("internet",I1183))+ISNUMBER(SEARCH("computer",I1183))+ISNUMBER(SEARCH("saas",I1183))+ISNUMBER(SEARCH("fintech",I1183))+ISNUMBER(SEARCH("information services",I1183))+ISNUMBER(SEARCH("telecommunications",I1183))&gt;0,'Configuración'!$B$27,'Configuración'!$B$28))</f>
        <v>4</v>
      </c>
      <c r="U1183" s="25">
        <f>IF(B1183="","",IF(ISNUMBER(SEARCH("CEO",C1183))+ISNUMBER(SEARCH("Founder",C1183))+ISNUMBER(SEARCH("Owner",C1183))+ISNUMBER(SEARCH("Dueño",C1183))+ISNUMBER(SEARCH("Director General",C1183))+ISNUMBER(SEARCH("Presidente",C1183))+ISNUMBER(SEARCH("President",C1183))&gt;0,'Configuración'!$B$31,IF(ISNUMBER(SEARCH("CMO",C1183))+ISNUMBER(SEARCH("Chief Marketing",C1183))+ISNUMBER(SEARCH("VP Marketing",C1183))+ISNUMBER(SEARCH("Director de Marketing",C1183))+ISNUMBER(SEARCH("Director Marketing",C1183))+ISNUMBER(SEARCH("Head of Marketing",C1183))+ISNUMBER(SEARCH("Head Marketing",C1183))&gt;0,'Configuración'!$B$32,IF(ISNUMBER(SEARCH("Marketing Manager",C1183))+ISNUMBER(SEARCH("Gerente de Marketing",C1183))+ISNUMBER(SEARCH("Growth Manager",C1183))+ISNUMBER(SEARCH("Demand Gen",C1183))+ISNUMBER(SEARCH("Marketing Lead",C1183))&gt;0,'Configuración'!$B$33,IF(ISNUMBER(SEARCH("COO",C1183))+ISNUMBER(SEARCH("CFO",C1183))+ISNUMBER(SEARCH("CTO",C1183))+ISNUMBER(SEARCH("Chief Operating",C1183))+ISNUMBER(SEARCH("Chief Financial",C1183))+ISNUMBER(SEARCH("Gerente General",C1183))+ISNUMBER(SEARCH("General Manager",C1183))&gt;0,'Configuración'!$B$34,'Configuración'!$B$35)))))</f>
        <v>12</v>
      </c>
      <c r="V1183" s="38">
        <f>IF(B1183="","",IF(K1183="Sí",'Configuración'!$B$5,0)+IF(L1183="Semanal",'Configuración'!$B$6,IF(L1183="Mensual",'Configuración'!$B$7,0))+IF(M1183="Sí",'Configuración'!$B$8,0)+IF(N1183="Sí",'Configuración'!$B$9,0)+IF(O1183="Sí",'Configuración'!$B$10,0)+IF(P1183="Sí",'Configuración'!$B$11,0)+IF(Q1183="Sí",'Configuración'!$B$12,0)+S1183+T1183+U1183)</f>
        <v>20</v>
      </c>
      <c r="W1183" s="39" t="str">
        <f>IF(B1183="","",IF(V1183&gt;='Configuración'!$B$19,"A",IF(V1183&gt;='Configuración'!$B$20,"B",IF(V1183&gt;='Configuración'!$B$21,"C","Descarte"))))</f>
        <v>Descarte</v>
      </c>
    </row>
    <row r="1184" ht="15.75" customHeight="1">
      <c r="A1184" s="34">
        <f t="shared" si="1"/>
        <v>1182</v>
      </c>
      <c r="B1184" s="29" t="s">
        <v>6787</v>
      </c>
      <c r="C1184" s="29" t="s">
        <v>175</v>
      </c>
      <c r="D1184" s="40" t="s">
        <v>6788</v>
      </c>
      <c r="E1184" s="29" t="s">
        <v>6789</v>
      </c>
      <c r="F1184" s="30" t="s">
        <v>6790</v>
      </c>
      <c r="G1184" s="30" t="s">
        <v>6791</v>
      </c>
      <c r="H1184" s="30" t="s">
        <v>6792</v>
      </c>
      <c r="I1184" s="29" t="s">
        <v>127</v>
      </c>
      <c r="J1184" s="31">
        <v>5.0</v>
      </c>
      <c r="K1184" s="35"/>
      <c r="L1184" s="35"/>
      <c r="M1184" s="35"/>
      <c r="N1184" s="35"/>
      <c r="O1184" s="35"/>
      <c r="P1184" s="35"/>
      <c r="Q1184" s="35"/>
      <c r="R1184" s="35"/>
      <c r="S1184" s="37">
        <f>IF(B1184="","",IF(ISNUMBER(J1184),IF(J1184&lt;=10,'Configuración'!$B$23,IF(J1184&lt;=50,'Configuración'!$B$24,IF(J1184&lt;=200,'Configuración'!$B$25,0))),0))</f>
        <v>12</v>
      </c>
      <c r="T1184" s="37">
        <f>IF(B1184="","",IF(ISNUMBER(SEARCH("information technology",I1184))+ISNUMBER(SEARCH("software",I1184))+ISNUMBER(SEARCH("internet",I1184))+ISNUMBER(SEARCH("computer",I1184))+ISNUMBER(SEARCH("saas",I1184))+ISNUMBER(SEARCH("fintech",I1184))+ISNUMBER(SEARCH("information services",I1184))+ISNUMBER(SEARCH("telecommunications",I1184))&gt;0,'Configuración'!$B$27,'Configuración'!$B$28))</f>
        <v>12</v>
      </c>
      <c r="U1184" s="25">
        <f>IF(B1184="","",IF(ISNUMBER(SEARCH("CEO",C1184))+ISNUMBER(SEARCH("Founder",C1184))+ISNUMBER(SEARCH("Owner",C1184))+ISNUMBER(SEARCH("Dueño",C1184))+ISNUMBER(SEARCH("Director General",C1184))+ISNUMBER(SEARCH("Presidente",C1184))+ISNUMBER(SEARCH("President",C1184))&gt;0,'Configuración'!$B$31,IF(ISNUMBER(SEARCH("CMO",C1184))+ISNUMBER(SEARCH("Chief Marketing",C1184))+ISNUMBER(SEARCH("VP Marketing",C1184))+ISNUMBER(SEARCH("Director de Marketing",C1184))+ISNUMBER(SEARCH("Director Marketing",C1184))+ISNUMBER(SEARCH("Head of Marketing",C1184))+ISNUMBER(SEARCH("Head Marketing",C1184))&gt;0,'Configuración'!$B$32,IF(ISNUMBER(SEARCH("Marketing Manager",C1184))+ISNUMBER(SEARCH("Gerente de Marketing",C1184))+ISNUMBER(SEARCH("Growth Manager",C1184))+ISNUMBER(SEARCH("Demand Gen",C1184))+ISNUMBER(SEARCH("Marketing Lead",C1184))&gt;0,'Configuración'!$B$33,IF(ISNUMBER(SEARCH("COO",C1184))+ISNUMBER(SEARCH("CFO",C1184))+ISNUMBER(SEARCH("CTO",C1184))+ISNUMBER(SEARCH("Chief Operating",C1184))+ISNUMBER(SEARCH("Chief Financial",C1184))+ISNUMBER(SEARCH("Gerente General",C1184))+ISNUMBER(SEARCH("General Manager",C1184))&gt;0,'Configuración'!$B$34,'Configuración'!$B$35)))))</f>
        <v>12</v>
      </c>
      <c r="V1184" s="38">
        <f>IF(B1184="","",IF(K1184="Sí",'Configuración'!$B$5,0)+IF(L1184="Semanal",'Configuración'!$B$6,IF(L1184="Mensual",'Configuración'!$B$7,0))+IF(M1184="Sí",'Configuración'!$B$8,0)+IF(N1184="Sí",'Configuración'!$B$9,0)+IF(O1184="Sí",'Configuración'!$B$10,0)+IF(P1184="Sí",'Configuración'!$B$11,0)+IF(Q1184="Sí",'Configuración'!$B$12,0)+S1184+T1184+U1184)</f>
        <v>36</v>
      </c>
      <c r="W1184" s="39" t="str">
        <f>IF(B1184="","",IF(V1184&gt;='Configuración'!$B$19,"A",IF(V1184&gt;='Configuración'!$B$20,"B",IF(V1184&gt;='Configuración'!$B$21,"C","Descarte"))))</f>
        <v>C</v>
      </c>
    </row>
    <row r="1185" ht="15.75" customHeight="1">
      <c r="A1185" s="34">
        <f t="shared" si="1"/>
        <v>1183</v>
      </c>
      <c r="B1185" s="29" t="s">
        <v>6793</v>
      </c>
      <c r="C1185" s="29" t="s">
        <v>1549</v>
      </c>
      <c r="D1185" s="30" t="s">
        <v>6794</v>
      </c>
      <c r="E1185" s="29" t="s">
        <v>6795</v>
      </c>
      <c r="F1185" s="30" t="s">
        <v>6796</v>
      </c>
      <c r="G1185" s="30" t="s">
        <v>6797</v>
      </c>
      <c r="H1185" s="30" t="s">
        <v>6798</v>
      </c>
      <c r="I1185" s="29" t="s">
        <v>1785</v>
      </c>
      <c r="J1185" s="31">
        <v>10.0</v>
      </c>
      <c r="K1185" s="35"/>
      <c r="L1185" s="35"/>
      <c r="M1185" s="35"/>
      <c r="N1185" s="35"/>
      <c r="O1185" s="35"/>
      <c r="P1185" s="35"/>
      <c r="Q1185" s="35"/>
      <c r="R1185" s="35"/>
      <c r="S1185" s="37">
        <f>IF(B1185="","",IF(ISNUMBER(J1185),IF(J1185&lt;=10,'Configuración'!$B$23,IF(J1185&lt;=50,'Configuración'!$B$24,IF(J1185&lt;=200,'Configuración'!$B$25,0))),0))</f>
        <v>12</v>
      </c>
      <c r="T1185" s="37">
        <f>IF(B1185="","",IF(ISNUMBER(SEARCH("information technology",I1185))+ISNUMBER(SEARCH("software",I1185))+ISNUMBER(SEARCH("internet",I1185))+ISNUMBER(SEARCH("computer",I1185))+ISNUMBER(SEARCH("saas",I1185))+ISNUMBER(SEARCH("fintech",I1185))+ISNUMBER(SEARCH("information services",I1185))+ISNUMBER(SEARCH("telecommunications",I1185))&gt;0,'Configuración'!$B$27,'Configuración'!$B$28))</f>
        <v>4</v>
      </c>
      <c r="U1185" s="25">
        <f>IF(B1185="","",IF(ISNUMBER(SEARCH("CEO",C1185))+ISNUMBER(SEARCH("Founder",C1185))+ISNUMBER(SEARCH("Owner",C1185))+ISNUMBER(SEARCH("Dueño",C1185))+ISNUMBER(SEARCH("Director General",C1185))+ISNUMBER(SEARCH("Presidente",C1185))+ISNUMBER(SEARCH("President",C1185))&gt;0,'Configuración'!$B$31,IF(ISNUMBER(SEARCH("CMO",C1185))+ISNUMBER(SEARCH("Chief Marketing",C1185))+ISNUMBER(SEARCH("VP Marketing",C1185))+ISNUMBER(SEARCH("Director de Marketing",C1185))+ISNUMBER(SEARCH("Director Marketing",C1185))+ISNUMBER(SEARCH("Head of Marketing",C1185))+ISNUMBER(SEARCH("Head Marketing",C1185))&gt;0,'Configuración'!$B$32,IF(ISNUMBER(SEARCH("Marketing Manager",C1185))+ISNUMBER(SEARCH("Gerente de Marketing",C1185))+ISNUMBER(SEARCH("Growth Manager",C1185))+ISNUMBER(SEARCH("Demand Gen",C1185))+ISNUMBER(SEARCH("Marketing Lead",C1185))&gt;0,'Configuración'!$B$33,IF(ISNUMBER(SEARCH("COO",C1185))+ISNUMBER(SEARCH("CFO",C1185))+ISNUMBER(SEARCH("CTO",C1185))+ISNUMBER(SEARCH("Chief Operating",C1185))+ISNUMBER(SEARCH("Chief Financial",C1185))+ISNUMBER(SEARCH("Gerente General",C1185))+ISNUMBER(SEARCH("General Manager",C1185))&gt;0,'Configuración'!$B$34,'Configuración'!$B$35)))))</f>
        <v>0</v>
      </c>
      <c r="V1185" s="38">
        <f>IF(B1185="","",IF(K1185="Sí",'Configuración'!$B$5,0)+IF(L1185="Semanal",'Configuración'!$B$6,IF(L1185="Mensual",'Configuración'!$B$7,0))+IF(M1185="Sí",'Configuración'!$B$8,0)+IF(N1185="Sí",'Configuración'!$B$9,0)+IF(O1185="Sí",'Configuración'!$B$10,0)+IF(P1185="Sí",'Configuración'!$B$11,0)+IF(Q1185="Sí",'Configuración'!$B$12,0)+S1185+T1185+U1185)</f>
        <v>16</v>
      </c>
      <c r="W1185" s="39" t="str">
        <f>IF(B1185="","",IF(V1185&gt;='Configuración'!$B$19,"A",IF(V1185&gt;='Configuración'!$B$20,"B",IF(V1185&gt;='Configuración'!$B$21,"C","Descarte"))))</f>
        <v>Descarte</v>
      </c>
    </row>
    <row r="1186" ht="15.75" customHeight="1">
      <c r="A1186" s="34">
        <f t="shared" si="1"/>
        <v>1184</v>
      </c>
      <c r="B1186" s="29" t="s">
        <v>181</v>
      </c>
      <c r="C1186" s="29" t="s">
        <v>131</v>
      </c>
      <c r="D1186" s="29" t="s">
        <v>6799</v>
      </c>
      <c r="E1186" s="29" t="s">
        <v>6800</v>
      </c>
      <c r="F1186" s="30" t="s">
        <v>6801</v>
      </c>
      <c r="G1186" s="30" t="s">
        <v>6802</v>
      </c>
      <c r="H1186" s="30" t="s">
        <v>6803</v>
      </c>
      <c r="I1186" s="29" t="s">
        <v>2904</v>
      </c>
      <c r="J1186" s="31">
        <v>24.0</v>
      </c>
      <c r="K1186" s="35"/>
      <c r="L1186" s="35"/>
      <c r="M1186" s="35"/>
      <c r="N1186" s="35"/>
      <c r="O1186" s="35"/>
      <c r="P1186" s="35"/>
      <c r="Q1186" s="35"/>
      <c r="R1186" s="35"/>
      <c r="S1186" s="37">
        <f>IF(B1186="","",IF(ISNUMBER(J1186),IF(J1186&lt;=10,'Configuración'!$B$23,IF(J1186&lt;=50,'Configuración'!$B$24,IF(J1186&lt;=200,'Configuración'!$B$25,0))),0))</f>
        <v>4</v>
      </c>
      <c r="T1186" s="37">
        <f>IF(B1186="","",IF(ISNUMBER(SEARCH("information technology",I1186))+ISNUMBER(SEARCH("software",I1186))+ISNUMBER(SEARCH("internet",I1186))+ISNUMBER(SEARCH("computer",I1186))+ISNUMBER(SEARCH("saas",I1186))+ISNUMBER(SEARCH("fintech",I1186))+ISNUMBER(SEARCH("information services",I1186))+ISNUMBER(SEARCH("telecommunications",I1186))&gt;0,'Configuración'!$B$27,'Configuración'!$B$28))</f>
        <v>4</v>
      </c>
      <c r="U1186" s="25">
        <f>IF(B1186="","",IF(ISNUMBER(SEARCH("CEO",C1186))+ISNUMBER(SEARCH("Founder",C1186))+ISNUMBER(SEARCH("Owner",C1186))+ISNUMBER(SEARCH("Dueño",C1186))+ISNUMBER(SEARCH("Director General",C1186))+ISNUMBER(SEARCH("Presidente",C1186))+ISNUMBER(SEARCH("President",C1186))&gt;0,'Configuración'!$B$31,IF(ISNUMBER(SEARCH("CMO",C1186))+ISNUMBER(SEARCH("Chief Marketing",C1186))+ISNUMBER(SEARCH("VP Marketing",C1186))+ISNUMBER(SEARCH("Director de Marketing",C1186))+ISNUMBER(SEARCH("Director Marketing",C1186))+ISNUMBER(SEARCH("Head of Marketing",C1186))+ISNUMBER(SEARCH("Head Marketing",C1186))&gt;0,'Configuración'!$B$32,IF(ISNUMBER(SEARCH("Marketing Manager",C1186))+ISNUMBER(SEARCH("Gerente de Marketing",C1186))+ISNUMBER(SEARCH("Growth Manager",C1186))+ISNUMBER(SEARCH("Demand Gen",C1186))+ISNUMBER(SEARCH("Marketing Lead",C1186))&gt;0,'Configuración'!$B$33,IF(ISNUMBER(SEARCH("COO",C1186))+ISNUMBER(SEARCH("CFO",C1186))+ISNUMBER(SEARCH("CTO",C1186))+ISNUMBER(SEARCH("Chief Operating",C1186))+ISNUMBER(SEARCH("Chief Financial",C1186))+ISNUMBER(SEARCH("Gerente General",C1186))+ISNUMBER(SEARCH("General Manager",C1186))&gt;0,'Configuración'!$B$34,'Configuración'!$B$35)))))</f>
        <v>12</v>
      </c>
      <c r="V1186" s="38">
        <f>IF(B1186="","",IF(K1186="Sí",'Configuración'!$B$5,0)+IF(L1186="Semanal",'Configuración'!$B$6,IF(L1186="Mensual",'Configuración'!$B$7,0))+IF(M1186="Sí",'Configuración'!$B$8,0)+IF(N1186="Sí",'Configuración'!$B$9,0)+IF(O1186="Sí",'Configuración'!$B$10,0)+IF(P1186="Sí",'Configuración'!$B$11,0)+IF(Q1186="Sí",'Configuración'!$B$12,0)+S1186+T1186+U1186)</f>
        <v>20</v>
      </c>
      <c r="W1186" s="39" t="str">
        <f>IF(B1186="","",IF(V1186&gt;='Configuración'!$B$19,"A",IF(V1186&gt;='Configuración'!$B$20,"B",IF(V1186&gt;='Configuración'!$B$21,"C","Descarte"))))</f>
        <v>Descarte</v>
      </c>
    </row>
    <row r="1187" ht="15.75" customHeight="1">
      <c r="A1187" s="34">
        <f t="shared" si="1"/>
        <v>1185</v>
      </c>
      <c r="B1187" s="29" t="s">
        <v>762</v>
      </c>
      <c r="C1187" s="29" t="s">
        <v>4152</v>
      </c>
      <c r="D1187" s="29" t="s">
        <v>6804</v>
      </c>
      <c r="E1187" s="29" t="s">
        <v>6805</v>
      </c>
      <c r="F1187" s="30" t="s">
        <v>6806</v>
      </c>
      <c r="G1187" s="30" t="s">
        <v>6807</v>
      </c>
      <c r="H1187" s="30" t="s">
        <v>6808</v>
      </c>
      <c r="I1187" s="29" t="s">
        <v>127</v>
      </c>
      <c r="J1187" s="31">
        <v>20.0</v>
      </c>
      <c r="K1187" s="35"/>
      <c r="L1187" s="35"/>
      <c r="M1187" s="35"/>
      <c r="N1187" s="35"/>
      <c r="O1187" s="35"/>
      <c r="P1187" s="35"/>
      <c r="Q1187" s="35"/>
      <c r="R1187" s="35"/>
      <c r="S1187" s="37">
        <f>IF(B1187="","",IF(ISNUMBER(J1187),IF(J1187&lt;=10,'Configuración'!$B$23,IF(J1187&lt;=50,'Configuración'!$B$24,IF(J1187&lt;=200,'Configuración'!$B$25,0))),0))</f>
        <v>4</v>
      </c>
      <c r="T1187" s="37">
        <f>IF(B1187="","",IF(ISNUMBER(SEARCH("information technology",I1187))+ISNUMBER(SEARCH("software",I1187))+ISNUMBER(SEARCH("internet",I1187))+ISNUMBER(SEARCH("computer",I1187))+ISNUMBER(SEARCH("saas",I1187))+ISNUMBER(SEARCH("fintech",I1187))+ISNUMBER(SEARCH("information services",I1187))+ISNUMBER(SEARCH("telecommunications",I1187))&gt;0,'Configuración'!$B$27,'Configuración'!$B$28))</f>
        <v>12</v>
      </c>
      <c r="U1187" s="25">
        <f>IF(B1187="","",IF(ISNUMBER(SEARCH("CEO",C1187))+ISNUMBER(SEARCH("Founder",C1187))+ISNUMBER(SEARCH("Owner",C1187))+ISNUMBER(SEARCH("Dueño",C1187))+ISNUMBER(SEARCH("Director General",C1187))+ISNUMBER(SEARCH("Presidente",C1187))+ISNUMBER(SEARCH("President",C1187))&gt;0,'Configuración'!$B$31,IF(ISNUMBER(SEARCH("CMO",C1187))+ISNUMBER(SEARCH("Chief Marketing",C1187))+ISNUMBER(SEARCH("VP Marketing",C1187))+ISNUMBER(SEARCH("Director de Marketing",C1187))+ISNUMBER(SEARCH("Director Marketing",C1187))+ISNUMBER(SEARCH("Head of Marketing",C1187))+ISNUMBER(SEARCH("Head Marketing",C1187))&gt;0,'Configuración'!$B$32,IF(ISNUMBER(SEARCH("Marketing Manager",C1187))+ISNUMBER(SEARCH("Gerente de Marketing",C1187))+ISNUMBER(SEARCH("Growth Manager",C1187))+ISNUMBER(SEARCH("Demand Gen",C1187))+ISNUMBER(SEARCH("Marketing Lead",C1187))&gt;0,'Configuración'!$B$33,IF(ISNUMBER(SEARCH("COO",C1187))+ISNUMBER(SEARCH("CFO",C1187))+ISNUMBER(SEARCH("CTO",C1187))+ISNUMBER(SEARCH("Chief Operating",C1187))+ISNUMBER(SEARCH("Chief Financial",C1187))+ISNUMBER(SEARCH("Gerente General",C1187))+ISNUMBER(SEARCH("General Manager",C1187))&gt;0,'Configuración'!$B$34,'Configuración'!$B$35)))))</f>
        <v>12</v>
      </c>
      <c r="V1187" s="38">
        <f>IF(B1187="","",IF(K1187="Sí",'Configuración'!$B$5,0)+IF(L1187="Semanal",'Configuración'!$B$6,IF(L1187="Mensual",'Configuración'!$B$7,0))+IF(M1187="Sí",'Configuración'!$B$8,0)+IF(N1187="Sí",'Configuración'!$B$9,0)+IF(O1187="Sí",'Configuración'!$B$10,0)+IF(P1187="Sí",'Configuración'!$B$11,0)+IF(Q1187="Sí",'Configuración'!$B$12,0)+S1187+T1187+U1187)</f>
        <v>28</v>
      </c>
      <c r="W1187" s="39" t="str">
        <f>IF(B1187="","",IF(V1187&gt;='Configuración'!$B$19,"A",IF(V1187&gt;='Configuración'!$B$20,"B",IF(V1187&gt;='Configuración'!$B$21,"C","Descarte"))))</f>
        <v>C</v>
      </c>
    </row>
    <row r="1188" ht="15.75" customHeight="1">
      <c r="A1188" s="34">
        <f t="shared" si="1"/>
        <v>1186</v>
      </c>
      <c r="B1188" s="29" t="s">
        <v>159</v>
      </c>
      <c r="C1188" s="29" t="s">
        <v>6809</v>
      </c>
      <c r="D1188" s="29" t="s">
        <v>6810</v>
      </c>
      <c r="E1188" s="29" t="s">
        <v>6811</v>
      </c>
      <c r="F1188" s="30" t="s">
        <v>6812</v>
      </c>
      <c r="G1188" s="30" t="s">
        <v>6813</v>
      </c>
      <c r="H1188" s="30" t="s">
        <v>6814</v>
      </c>
      <c r="I1188" s="29" t="s">
        <v>4186</v>
      </c>
      <c r="J1188" s="31">
        <v>33.0</v>
      </c>
      <c r="K1188" s="35"/>
      <c r="L1188" s="35"/>
      <c r="M1188" s="35"/>
      <c r="N1188" s="35"/>
      <c r="O1188" s="35"/>
      <c r="P1188" s="35"/>
      <c r="Q1188" s="35"/>
      <c r="R1188" s="35"/>
      <c r="S1188" s="37">
        <f>IF(B1188="","",IF(ISNUMBER(J1188),IF(J1188&lt;=10,'Configuración'!$B$23,IF(J1188&lt;=50,'Configuración'!$B$24,IF(J1188&lt;=200,'Configuración'!$B$25,0))),0))</f>
        <v>4</v>
      </c>
      <c r="T1188" s="37">
        <f>IF(B1188="","",IF(ISNUMBER(SEARCH("information technology",I1188))+ISNUMBER(SEARCH("software",I1188))+ISNUMBER(SEARCH("internet",I1188))+ISNUMBER(SEARCH("computer",I1188))+ISNUMBER(SEARCH("saas",I1188))+ISNUMBER(SEARCH("fintech",I1188))+ISNUMBER(SEARCH("information services",I1188))+ISNUMBER(SEARCH("telecommunications",I1188))&gt;0,'Configuración'!$B$27,'Configuración'!$B$28))</f>
        <v>12</v>
      </c>
      <c r="U1188" s="25">
        <f>IF(B1188="","",IF(ISNUMBER(SEARCH("CEO",C1188))+ISNUMBER(SEARCH("Founder",C1188))+ISNUMBER(SEARCH("Owner",C1188))+ISNUMBER(SEARCH("Dueño",C1188))+ISNUMBER(SEARCH("Director General",C1188))+ISNUMBER(SEARCH("Presidente",C1188))+ISNUMBER(SEARCH("President",C1188))&gt;0,'Configuración'!$B$31,IF(ISNUMBER(SEARCH("CMO",C1188))+ISNUMBER(SEARCH("Chief Marketing",C1188))+ISNUMBER(SEARCH("VP Marketing",C1188))+ISNUMBER(SEARCH("Director de Marketing",C1188))+ISNUMBER(SEARCH("Director Marketing",C1188))+ISNUMBER(SEARCH("Head of Marketing",C1188))+ISNUMBER(SEARCH("Head Marketing",C1188))&gt;0,'Configuración'!$B$32,IF(ISNUMBER(SEARCH("Marketing Manager",C1188))+ISNUMBER(SEARCH("Gerente de Marketing",C1188))+ISNUMBER(SEARCH("Growth Manager",C1188))+ISNUMBER(SEARCH("Demand Gen",C1188))+ISNUMBER(SEARCH("Marketing Lead",C1188))&gt;0,'Configuración'!$B$33,IF(ISNUMBER(SEARCH("COO",C1188))+ISNUMBER(SEARCH("CFO",C1188))+ISNUMBER(SEARCH("CTO",C1188))+ISNUMBER(SEARCH("Chief Operating",C1188))+ISNUMBER(SEARCH("Chief Financial",C1188))+ISNUMBER(SEARCH("Gerente General",C1188))+ISNUMBER(SEARCH("General Manager",C1188))&gt;0,'Configuración'!$B$34,'Configuración'!$B$35)))))</f>
        <v>12</v>
      </c>
      <c r="V1188" s="38">
        <f>IF(B1188="","",IF(K1188="Sí",'Configuración'!$B$5,0)+IF(L1188="Semanal",'Configuración'!$B$6,IF(L1188="Mensual",'Configuración'!$B$7,0))+IF(M1188="Sí",'Configuración'!$B$8,0)+IF(N1188="Sí",'Configuración'!$B$9,0)+IF(O1188="Sí",'Configuración'!$B$10,0)+IF(P1188="Sí",'Configuración'!$B$11,0)+IF(Q1188="Sí",'Configuración'!$B$12,0)+S1188+T1188+U1188)</f>
        <v>28</v>
      </c>
      <c r="W1188" s="39" t="str">
        <f>IF(B1188="","",IF(V1188&gt;='Configuración'!$B$19,"A",IF(V1188&gt;='Configuración'!$B$20,"B",IF(V1188&gt;='Configuración'!$B$21,"C","Descarte"))))</f>
        <v>C</v>
      </c>
    </row>
    <row r="1189" ht="15.75" customHeight="1">
      <c r="A1189" s="34">
        <f t="shared" si="1"/>
        <v>1187</v>
      </c>
      <c r="B1189" s="29" t="s">
        <v>174</v>
      </c>
      <c r="C1189" s="29" t="s">
        <v>175</v>
      </c>
      <c r="D1189" s="29" t="s">
        <v>6815</v>
      </c>
      <c r="E1189" s="29" t="s">
        <v>6816</v>
      </c>
      <c r="F1189" s="30" t="s">
        <v>6817</v>
      </c>
      <c r="G1189" s="30" t="s">
        <v>6818</v>
      </c>
      <c r="H1189" s="30" t="s">
        <v>6819</v>
      </c>
      <c r="I1189" s="29" t="s">
        <v>500</v>
      </c>
      <c r="J1189" s="31">
        <v>1.0</v>
      </c>
      <c r="K1189" s="35"/>
      <c r="L1189" s="35"/>
      <c r="M1189" s="35"/>
      <c r="N1189" s="35"/>
      <c r="O1189" s="35"/>
      <c r="P1189" s="35"/>
      <c r="Q1189" s="35"/>
      <c r="R1189" s="35"/>
      <c r="S1189" s="37">
        <f>IF(B1189="","",IF(ISNUMBER(J1189),IF(J1189&lt;=10,'Configuración'!$B$23,IF(J1189&lt;=50,'Configuración'!$B$24,IF(J1189&lt;=200,'Configuración'!$B$25,0))),0))</f>
        <v>12</v>
      </c>
      <c r="T1189" s="37">
        <f>IF(B1189="","",IF(ISNUMBER(SEARCH("information technology",I1189))+ISNUMBER(SEARCH("software",I1189))+ISNUMBER(SEARCH("internet",I1189))+ISNUMBER(SEARCH("computer",I1189))+ISNUMBER(SEARCH("saas",I1189))+ISNUMBER(SEARCH("fintech",I1189))+ISNUMBER(SEARCH("information services",I1189))+ISNUMBER(SEARCH("telecommunications",I1189))&gt;0,'Configuración'!$B$27,'Configuración'!$B$28))</f>
        <v>4</v>
      </c>
      <c r="U1189" s="25">
        <f>IF(B1189="","",IF(ISNUMBER(SEARCH("CEO",C1189))+ISNUMBER(SEARCH("Founder",C1189))+ISNUMBER(SEARCH("Owner",C1189))+ISNUMBER(SEARCH("Dueño",C1189))+ISNUMBER(SEARCH("Director General",C1189))+ISNUMBER(SEARCH("Presidente",C1189))+ISNUMBER(SEARCH("President",C1189))&gt;0,'Configuración'!$B$31,IF(ISNUMBER(SEARCH("CMO",C1189))+ISNUMBER(SEARCH("Chief Marketing",C1189))+ISNUMBER(SEARCH("VP Marketing",C1189))+ISNUMBER(SEARCH("Director de Marketing",C1189))+ISNUMBER(SEARCH("Director Marketing",C1189))+ISNUMBER(SEARCH("Head of Marketing",C1189))+ISNUMBER(SEARCH("Head Marketing",C1189))&gt;0,'Configuración'!$B$32,IF(ISNUMBER(SEARCH("Marketing Manager",C1189))+ISNUMBER(SEARCH("Gerente de Marketing",C1189))+ISNUMBER(SEARCH("Growth Manager",C1189))+ISNUMBER(SEARCH("Demand Gen",C1189))+ISNUMBER(SEARCH("Marketing Lead",C1189))&gt;0,'Configuración'!$B$33,IF(ISNUMBER(SEARCH("COO",C1189))+ISNUMBER(SEARCH("CFO",C1189))+ISNUMBER(SEARCH("CTO",C1189))+ISNUMBER(SEARCH("Chief Operating",C1189))+ISNUMBER(SEARCH("Chief Financial",C1189))+ISNUMBER(SEARCH("Gerente General",C1189))+ISNUMBER(SEARCH("General Manager",C1189))&gt;0,'Configuración'!$B$34,'Configuración'!$B$35)))))</f>
        <v>12</v>
      </c>
      <c r="V1189" s="38">
        <f>IF(B1189="","",IF(K1189="Sí",'Configuración'!$B$5,0)+IF(L1189="Semanal",'Configuración'!$B$6,IF(L1189="Mensual",'Configuración'!$B$7,0))+IF(M1189="Sí",'Configuración'!$B$8,0)+IF(N1189="Sí",'Configuración'!$B$9,0)+IF(O1189="Sí",'Configuración'!$B$10,0)+IF(P1189="Sí",'Configuración'!$B$11,0)+IF(Q1189="Sí",'Configuración'!$B$12,0)+S1189+T1189+U1189)</f>
        <v>28</v>
      </c>
      <c r="W1189" s="39" t="str">
        <f>IF(B1189="","",IF(V1189&gt;='Configuración'!$B$19,"A",IF(V1189&gt;='Configuración'!$B$20,"B",IF(V1189&gt;='Configuración'!$B$21,"C","Descarte"))))</f>
        <v>C</v>
      </c>
    </row>
    <row r="1190" ht="15.75" customHeight="1">
      <c r="A1190" s="34">
        <f t="shared" si="1"/>
        <v>1188</v>
      </c>
      <c r="B1190" s="29" t="s">
        <v>6820</v>
      </c>
      <c r="C1190" s="29" t="s">
        <v>6821</v>
      </c>
      <c r="D1190" s="29" t="s">
        <v>6822</v>
      </c>
      <c r="E1190" s="29" t="s">
        <v>6823</v>
      </c>
      <c r="F1190" s="30" t="s">
        <v>6824</v>
      </c>
      <c r="G1190" s="30" t="s">
        <v>6825</v>
      </c>
      <c r="H1190" s="30" t="s">
        <v>6826</v>
      </c>
      <c r="I1190" s="29" t="s">
        <v>127</v>
      </c>
      <c r="J1190" s="31">
        <v>17.0</v>
      </c>
      <c r="K1190" s="35"/>
      <c r="L1190" s="35"/>
      <c r="M1190" s="35"/>
      <c r="N1190" s="35"/>
      <c r="O1190" s="35"/>
      <c r="P1190" s="35"/>
      <c r="Q1190" s="35"/>
      <c r="R1190" s="35"/>
      <c r="S1190" s="37">
        <f>IF(B1190="","",IF(ISNUMBER(J1190),IF(J1190&lt;=10,'Configuración'!$B$23,IF(J1190&lt;=50,'Configuración'!$B$24,IF(J1190&lt;=200,'Configuración'!$B$25,0))),0))</f>
        <v>4</v>
      </c>
      <c r="T1190" s="37">
        <f>IF(B1190="","",IF(ISNUMBER(SEARCH("information technology",I1190))+ISNUMBER(SEARCH("software",I1190))+ISNUMBER(SEARCH("internet",I1190))+ISNUMBER(SEARCH("computer",I1190))+ISNUMBER(SEARCH("saas",I1190))+ISNUMBER(SEARCH("fintech",I1190))+ISNUMBER(SEARCH("information services",I1190))+ISNUMBER(SEARCH("telecommunications",I1190))&gt;0,'Configuración'!$B$27,'Configuración'!$B$28))</f>
        <v>12</v>
      </c>
      <c r="U1190" s="25">
        <f>IF(B1190="","",IF(ISNUMBER(SEARCH("CEO",C1190))+ISNUMBER(SEARCH("Founder",C1190))+ISNUMBER(SEARCH("Owner",C1190))+ISNUMBER(SEARCH("Dueño",C1190))+ISNUMBER(SEARCH("Director General",C1190))+ISNUMBER(SEARCH("Presidente",C1190))+ISNUMBER(SEARCH("President",C1190))&gt;0,'Configuración'!$B$31,IF(ISNUMBER(SEARCH("CMO",C1190))+ISNUMBER(SEARCH("Chief Marketing",C1190))+ISNUMBER(SEARCH("VP Marketing",C1190))+ISNUMBER(SEARCH("Director de Marketing",C1190))+ISNUMBER(SEARCH("Director Marketing",C1190))+ISNUMBER(SEARCH("Head of Marketing",C1190))+ISNUMBER(SEARCH("Head Marketing",C1190))&gt;0,'Configuración'!$B$32,IF(ISNUMBER(SEARCH("Marketing Manager",C1190))+ISNUMBER(SEARCH("Gerente de Marketing",C1190))+ISNUMBER(SEARCH("Growth Manager",C1190))+ISNUMBER(SEARCH("Demand Gen",C1190))+ISNUMBER(SEARCH("Marketing Lead",C1190))&gt;0,'Configuración'!$B$33,IF(ISNUMBER(SEARCH("COO",C1190))+ISNUMBER(SEARCH("CFO",C1190))+ISNUMBER(SEARCH("CTO",C1190))+ISNUMBER(SEARCH("Chief Operating",C1190))+ISNUMBER(SEARCH("Chief Financial",C1190))+ISNUMBER(SEARCH("Gerente General",C1190))+ISNUMBER(SEARCH("General Manager",C1190))&gt;0,'Configuración'!$B$34,'Configuración'!$B$35)))))</f>
        <v>12</v>
      </c>
      <c r="V1190" s="38">
        <f>IF(B1190="","",IF(K1190="Sí",'Configuración'!$B$5,0)+IF(L1190="Semanal",'Configuración'!$B$6,IF(L1190="Mensual",'Configuración'!$B$7,0))+IF(M1190="Sí",'Configuración'!$B$8,0)+IF(N1190="Sí",'Configuración'!$B$9,0)+IF(O1190="Sí",'Configuración'!$B$10,0)+IF(P1190="Sí",'Configuración'!$B$11,0)+IF(Q1190="Sí",'Configuración'!$B$12,0)+S1190+T1190+U1190)</f>
        <v>28</v>
      </c>
      <c r="W1190" s="39" t="str">
        <f>IF(B1190="","",IF(V1190&gt;='Configuración'!$B$19,"A",IF(V1190&gt;='Configuración'!$B$20,"B",IF(V1190&gt;='Configuración'!$B$21,"C","Descarte"))))</f>
        <v>C</v>
      </c>
    </row>
    <row r="1191" ht="15.75" customHeight="1">
      <c r="A1191" s="34">
        <f t="shared" si="1"/>
        <v>1189</v>
      </c>
      <c r="B1191" s="29" t="s">
        <v>2948</v>
      </c>
      <c r="C1191" s="29" t="s">
        <v>516</v>
      </c>
      <c r="D1191" s="29" t="s">
        <v>6827</v>
      </c>
      <c r="E1191" s="29" t="s">
        <v>6828</v>
      </c>
      <c r="F1191" s="30" t="s">
        <v>6829</v>
      </c>
      <c r="G1191" s="30" t="s">
        <v>6830</v>
      </c>
      <c r="H1191" s="30" t="s">
        <v>6831</v>
      </c>
      <c r="I1191" s="29" t="s">
        <v>127</v>
      </c>
      <c r="J1191" s="31">
        <v>10.0</v>
      </c>
      <c r="K1191" s="35"/>
      <c r="L1191" s="35"/>
      <c r="M1191" s="35"/>
      <c r="N1191" s="35"/>
      <c r="O1191" s="35"/>
      <c r="P1191" s="35"/>
      <c r="Q1191" s="35"/>
      <c r="R1191" s="35"/>
      <c r="S1191" s="37">
        <f>IF(B1191="","",IF(ISNUMBER(J1191),IF(J1191&lt;=10,'Configuración'!$B$23,IF(J1191&lt;=50,'Configuración'!$B$24,IF(J1191&lt;=200,'Configuración'!$B$25,0))),0))</f>
        <v>12</v>
      </c>
      <c r="T1191" s="37">
        <f>IF(B1191="","",IF(ISNUMBER(SEARCH("information technology",I1191))+ISNUMBER(SEARCH("software",I1191))+ISNUMBER(SEARCH("internet",I1191))+ISNUMBER(SEARCH("computer",I1191))+ISNUMBER(SEARCH("saas",I1191))+ISNUMBER(SEARCH("fintech",I1191))+ISNUMBER(SEARCH("information services",I1191))+ISNUMBER(SEARCH("telecommunications",I1191))&gt;0,'Configuración'!$B$27,'Configuración'!$B$28))</f>
        <v>12</v>
      </c>
      <c r="U1191" s="25">
        <f>IF(B1191="","",IF(ISNUMBER(SEARCH("CEO",C1191))+ISNUMBER(SEARCH("Founder",C1191))+ISNUMBER(SEARCH("Owner",C1191))+ISNUMBER(SEARCH("Dueño",C1191))+ISNUMBER(SEARCH("Director General",C1191))+ISNUMBER(SEARCH("Presidente",C1191))+ISNUMBER(SEARCH("President",C1191))&gt;0,'Configuración'!$B$31,IF(ISNUMBER(SEARCH("CMO",C1191))+ISNUMBER(SEARCH("Chief Marketing",C1191))+ISNUMBER(SEARCH("VP Marketing",C1191))+ISNUMBER(SEARCH("Director de Marketing",C1191))+ISNUMBER(SEARCH("Director Marketing",C1191))+ISNUMBER(SEARCH("Head of Marketing",C1191))+ISNUMBER(SEARCH("Head Marketing",C1191))&gt;0,'Configuración'!$B$32,IF(ISNUMBER(SEARCH("Marketing Manager",C1191))+ISNUMBER(SEARCH("Gerente de Marketing",C1191))+ISNUMBER(SEARCH("Growth Manager",C1191))+ISNUMBER(SEARCH("Demand Gen",C1191))+ISNUMBER(SEARCH("Marketing Lead",C1191))&gt;0,'Configuración'!$B$33,IF(ISNUMBER(SEARCH("COO",C1191))+ISNUMBER(SEARCH("CFO",C1191))+ISNUMBER(SEARCH("CTO",C1191))+ISNUMBER(SEARCH("Chief Operating",C1191))+ISNUMBER(SEARCH("Chief Financial",C1191))+ISNUMBER(SEARCH("Gerente General",C1191))+ISNUMBER(SEARCH("General Manager",C1191))&gt;0,'Configuración'!$B$34,'Configuración'!$B$35)))))</f>
        <v>0</v>
      </c>
      <c r="V1191" s="38">
        <f>IF(B1191="","",IF(K1191="Sí",'Configuración'!$B$5,0)+IF(L1191="Semanal",'Configuración'!$B$6,IF(L1191="Mensual",'Configuración'!$B$7,0))+IF(M1191="Sí",'Configuración'!$B$8,0)+IF(N1191="Sí",'Configuración'!$B$9,0)+IF(O1191="Sí",'Configuración'!$B$10,0)+IF(P1191="Sí",'Configuración'!$B$11,0)+IF(Q1191="Sí",'Configuración'!$B$12,0)+S1191+T1191+U1191)</f>
        <v>24</v>
      </c>
      <c r="W1191" s="39" t="str">
        <f>IF(B1191="","",IF(V1191&gt;='Configuración'!$B$19,"A",IF(V1191&gt;='Configuración'!$B$20,"B",IF(V1191&gt;='Configuración'!$B$21,"C","Descarte"))))</f>
        <v>C</v>
      </c>
    </row>
    <row r="1192" ht="15.75" customHeight="1">
      <c r="A1192" s="34">
        <f t="shared" si="1"/>
        <v>1190</v>
      </c>
      <c r="B1192" s="29" t="s">
        <v>6832</v>
      </c>
      <c r="C1192" s="29" t="s">
        <v>131</v>
      </c>
      <c r="D1192" s="29" t="s">
        <v>6833</v>
      </c>
      <c r="E1192" s="29" t="s">
        <v>6834</v>
      </c>
      <c r="F1192" s="30" t="s">
        <v>6835</v>
      </c>
      <c r="G1192" s="30" t="s">
        <v>6836</v>
      </c>
      <c r="H1192" s="30" t="s">
        <v>6837</v>
      </c>
      <c r="I1192" s="29" t="s">
        <v>127</v>
      </c>
      <c r="J1192" s="31">
        <v>31.0</v>
      </c>
      <c r="K1192" s="35"/>
      <c r="L1192" s="35"/>
      <c r="M1192" s="35"/>
      <c r="N1192" s="35"/>
      <c r="O1192" s="35"/>
      <c r="P1192" s="35"/>
      <c r="Q1192" s="35"/>
      <c r="R1192" s="35"/>
      <c r="S1192" s="37">
        <f>IF(B1192="","",IF(ISNUMBER(J1192),IF(J1192&lt;=10,'Configuración'!$B$23,IF(J1192&lt;=50,'Configuración'!$B$24,IF(J1192&lt;=200,'Configuración'!$B$25,0))),0))</f>
        <v>4</v>
      </c>
      <c r="T1192" s="37">
        <f>IF(B1192="","",IF(ISNUMBER(SEARCH("information technology",I1192))+ISNUMBER(SEARCH("software",I1192))+ISNUMBER(SEARCH("internet",I1192))+ISNUMBER(SEARCH("computer",I1192))+ISNUMBER(SEARCH("saas",I1192))+ISNUMBER(SEARCH("fintech",I1192))+ISNUMBER(SEARCH("information services",I1192))+ISNUMBER(SEARCH("telecommunications",I1192))&gt;0,'Configuración'!$B$27,'Configuración'!$B$28))</f>
        <v>12</v>
      </c>
      <c r="U1192" s="25">
        <f>IF(B1192="","",IF(ISNUMBER(SEARCH("CEO",C1192))+ISNUMBER(SEARCH("Founder",C1192))+ISNUMBER(SEARCH("Owner",C1192))+ISNUMBER(SEARCH("Dueño",C1192))+ISNUMBER(SEARCH("Director General",C1192))+ISNUMBER(SEARCH("Presidente",C1192))+ISNUMBER(SEARCH("President",C1192))&gt;0,'Configuración'!$B$31,IF(ISNUMBER(SEARCH("CMO",C1192))+ISNUMBER(SEARCH("Chief Marketing",C1192))+ISNUMBER(SEARCH("VP Marketing",C1192))+ISNUMBER(SEARCH("Director de Marketing",C1192))+ISNUMBER(SEARCH("Director Marketing",C1192))+ISNUMBER(SEARCH("Head of Marketing",C1192))+ISNUMBER(SEARCH("Head Marketing",C1192))&gt;0,'Configuración'!$B$32,IF(ISNUMBER(SEARCH("Marketing Manager",C1192))+ISNUMBER(SEARCH("Gerente de Marketing",C1192))+ISNUMBER(SEARCH("Growth Manager",C1192))+ISNUMBER(SEARCH("Demand Gen",C1192))+ISNUMBER(SEARCH("Marketing Lead",C1192))&gt;0,'Configuración'!$B$33,IF(ISNUMBER(SEARCH("COO",C1192))+ISNUMBER(SEARCH("CFO",C1192))+ISNUMBER(SEARCH("CTO",C1192))+ISNUMBER(SEARCH("Chief Operating",C1192))+ISNUMBER(SEARCH("Chief Financial",C1192))+ISNUMBER(SEARCH("Gerente General",C1192))+ISNUMBER(SEARCH("General Manager",C1192))&gt;0,'Configuración'!$B$34,'Configuración'!$B$35)))))</f>
        <v>12</v>
      </c>
      <c r="V1192" s="38">
        <f>IF(B1192="","",IF(K1192="Sí",'Configuración'!$B$5,0)+IF(L1192="Semanal",'Configuración'!$B$6,IF(L1192="Mensual",'Configuración'!$B$7,0))+IF(M1192="Sí",'Configuración'!$B$8,0)+IF(N1192="Sí",'Configuración'!$B$9,0)+IF(O1192="Sí",'Configuración'!$B$10,0)+IF(P1192="Sí",'Configuración'!$B$11,0)+IF(Q1192="Sí",'Configuración'!$B$12,0)+S1192+T1192+U1192)</f>
        <v>28</v>
      </c>
      <c r="W1192" s="39" t="str">
        <f>IF(B1192="","",IF(V1192&gt;='Configuración'!$B$19,"A",IF(V1192&gt;='Configuración'!$B$20,"B",IF(V1192&gt;='Configuración'!$B$21,"C","Descarte"))))</f>
        <v>C</v>
      </c>
    </row>
    <row r="1193" ht="15.75" customHeight="1">
      <c r="A1193" s="34">
        <f t="shared" si="1"/>
        <v>1191</v>
      </c>
      <c r="B1193" s="29" t="s">
        <v>6838</v>
      </c>
      <c r="C1193" s="29" t="s">
        <v>6839</v>
      </c>
      <c r="D1193" s="29" t="s">
        <v>5803</v>
      </c>
      <c r="E1193" s="29" t="s">
        <v>6840</v>
      </c>
      <c r="F1193" s="30" t="s">
        <v>6841</v>
      </c>
      <c r="G1193" s="30" t="s">
        <v>5806</v>
      </c>
      <c r="H1193" s="30" t="s">
        <v>5807</v>
      </c>
      <c r="I1193" s="29" t="s">
        <v>847</v>
      </c>
      <c r="J1193" s="31">
        <v>31.0</v>
      </c>
      <c r="K1193" s="35"/>
      <c r="L1193" s="35"/>
      <c r="M1193" s="35"/>
      <c r="N1193" s="35"/>
      <c r="O1193" s="35"/>
      <c r="P1193" s="35"/>
      <c r="Q1193" s="35"/>
      <c r="R1193" s="35"/>
      <c r="S1193" s="37">
        <f>IF(B1193="","",IF(ISNUMBER(J1193),IF(J1193&lt;=10,'Configuración'!$B$23,IF(J1193&lt;=50,'Configuración'!$B$24,IF(J1193&lt;=200,'Configuración'!$B$25,0))),0))</f>
        <v>4</v>
      </c>
      <c r="T1193" s="37">
        <f>IF(B1193="","",IF(ISNUMBER(SEARCH("information technology",I1193))+ISNUMBER(SEARCH("software",I1193))+ISNUMBER(SEARCH("internet",I1193))+ISNUMBER(SEARCH("computer",I1193))+ISNUMBER(SEARCH("saas",I1193))+ISNUMBER(SEARCH("fintech",I1193))+ISNUMBER(SEARCH("information services",I1193))+ISNUMBER(SEARCH("telecommunications",I1193))&gt;0,'Configuración'!$B$27,'Configuración'!$B$28))</f>
        <v>4</v>
      </c>
      <c r="U1193" s="25">
        <f>IF(B1193="","",IF(ISNUMBER(SEARCH("CEO",C1193))+ISNUMBER(SEARCH("Founder",C1193))+ISNUMBER(SEARCH("Owner",C1193))+ISNUMBER(SEARCH("Dueño",C1193))+ISNUMBER(SEARCH("Director General",C1193))+ISNUMBER(SEARCH("Presidente",C1193))+ISNUMBER(SEARCH("President",C1193))&gt;0,'Configuración'!$B$31,IF(ISNUMBER(SEARCH("CMO",C1193))+ISNUMBER(SEARCH("Chief Marketing",C1193))+ISNUMBER(SEARCH("VP Marketing",C1193))+ISNUMBER(SEARCH("Director de Marketing",C1193))+ISNUMBER(SEARCH("Director Marketing",C1193))+ISNUMBER(SEARCH("Head of Marketing",C1193))+ISNUMBER(SEARCH("Head Marketing",C1193))&gt;0,'Configuración'!$B$32,IF(ISNUMBER(SEARCH("Marketing Manager",C1193))+ISNUMBER(SEARCH("Gerente de Marketing",C1193))+ISNUMBER(SEARCH("Growth Manager",C1193))+ISNUMBER(SEARCH("Demand Gen",C1193))+ISNUMBER(SEARCH("Marketing Lead",C1193))&gt;0,'Configuración'!$B$33,IF(ISNUMBER(SEARCH("COO",C1193))+ISNUMBER(SEARCH("CFO",C1193))+ISNUMBER(SEARCH("CTO",C1193))+ISNUMBER(SEARCH("Chief Operating",C1193))+ISNUMBER(SEARCH("Chief Financial",C1193))+ISNUMBER(SEARCH("Gerente General",C1193))+ISNUMBER(SEARCH("General Manager",C1193))&gt;0,'Configuración'!$B$34,'Configuración'!$B$35)))))</f>
        <v>4</v>
      </c>
      <c r="V1193" s="38">
        <f>IF(B1193="","",IF(K1193="Sí",'Configuración'!$B$5,0)+IF(L1193="Semanal",'Configuración'!$B$6,IF(L1193="Mensual",'Configuración'!$B$7,0))+IF(M1193="Sí",'Configuración'!$B$8,0)+IF(N1193="Sí",'Configuración'!$B$9,0)+IF(O1193="Sí",'Configuración'!$B$10,0)+IF(P1193="Sí",'Configuración'!$B$11,0)+IF(Q1193="Sí",'Configuración'!$B$12,0)+S1193+T1193+U1193)</f>
        <v>12</v>
      </c>
      <c r="W1193" s="39" t="str">
        <f>IF(B1193="","",IF(V1193&gt;='Configuración'!$B$19,"A",IF(V1193&gt;='Configuración'!$B$20,"B",IF(V1193&gt;='Configuración'!$B$21,"C","Descarte"))))</f>
        <v>Descarte</v>
      </c>
    </row>
    <row r="1194" ht="15.75" customHeight="1">
      <c r="A1194" s="34">
        <f t="shared" si="1"/>
        <v>1192</v>
      </c>
      <c r="B1194" s="29" t="s">
        <v>897</v>
      </c>
      <c r="C1194" s="29" t="s">
        <v>1375</v>
      </c>
      <c r="D1194" s="29" t="s">
        <v>6842</v>
      </c>
      <c r="E1194" s="29" t="s">
        <v>6843</v>
      </c>
      <c r="F1194" s="30" t="s">
        <v>6844</v>
      </c>
      <c r="G1194" s="30" t="s">
        <v>6845</v>
      </c>
      <c r="H1194" s="30" t="s">
        <v>6846</v>
      </c>
      <c r="I1194" s="29" t="s">
        <v>508</v>
      </c>
      <c r="J1194" s="31">
        <v>2.0</v>
      </c>
      <c r="K1194" s="35"/>
      <c r="L1194" s="35"/>
      <c r="M1194" s="35"/>
      <c r="N1194" s="35"/>
      <c r="O1194" s="35"/>
      <c r="P1194" s="35"/>
      <c r="Q1194" s="35"/>
      <c r="R1194" s="35"/>
      <c r="S1194" s="37">
        <f>IF(B1194="","",IF(ISNUMBER(J1194),IF(J1194&lt;=10,'Configuración'!$B$23,IF(J1194&lt;=50,'Configuración'!$B$24,IF(J1194&lt;=200,'Configuración'!$B$25,0))),0))</f>
        <v>12</v>
      </c>
      <c r="T1194" s="37">
        <f>IF(B1194="","",IF(ISNUMBER(SEARCH("information technology",I1194))+ISNUMBER(SEARCH("software",I1194))+ISNUMBER(SEARCH("internet",I1194))+ISNUMBER(SEARCH("computer",I1194))+ISNUMBER(SEARCH("saas",I1194))+ISNUMBER(SEARCH("fintech",I1194))+ISNUMBER(SEARCH("information services",I1194))+ISNUMBER(SEARCH("telecommunications",I1194))&gt;0,'Configuración'!$B$27,'Configuración'!$B$28))</f>
        <v>4</v>
      </c>
      <c r="U1194" s="25">
        <f>IF(B1194="","",IF(ISNUMBER(SEARCH("CEO",C1194))+ISNUMBER(SEARCH("Founder",C1194))+ISNUMBER(SEARCH("Owner",C1194))+ISNUMBER(SEARCH("Dueño",C1194))+ISNUMBER(SEARCH("Director General",C1194))+ISNUMBER(SEARCH("Presidente",C1194))+ISNUMBER(SEARCH("President",C1194))&gt;0,'Configuración'!$B$31,IF(ISNUMBER(SEARCH("CMO",C1194))+ISNUMBER(SEARCH("Chief Marketing",C1194))+ISNUMBER(SEARCH("VP Marketing",C1194))+ISNUMBER(SEARCH("Director de Marketing",C1194))+ISNUMBER(SEARCH("Director Marketing",C1194))+ISNUMBER(SEARCH("Head of Marketing",C1194))+ISNUMBER(SEARCH("Head Marketing",C1194))&gt;0,'Configuración'!$B$32,IF(ISNUMBER(SEARCH("Marketing Manager",C1194))+ISNUMBER(SEARCH("Gerente de Marketing",C1194))+ISNUMBER(SEARCH("Growth Manager",C1194))+ISNUMBER(SEARCH("Demand Gen",C1194))+ISNUMBER(SEARCH("Marketing Lead",C1194))&gt;0,'Configuración'!$B$33,IF(ISNUMBER(SEARCH("COO",C1194))+ISNUMBER(SEARCH("CFO",C1194))+ISNUMBER(SEARCH("CTO",C1194))+ISNUMBER(SEARCH("Chief Operating",C1194))+ISNUMBER(SEARCH("Chief Financial",C1194))+ISNUMBER(SEARCH("Gerente General",C1194))+ISNUMBER(SEARCH("General Manager",C1194))&gt;0,'Configuración'!$B$34,'Configuración'!$B$35)))))</f>
        <v>4</v>
      </c>
      <c r="V1194" s="38">
        <f>IF(B1194="","",IF(K1194="Sí",'Configuración'!$B$5,0)+IF(L1194="Semanal",'Configuración'!$B$6,IF(L1194="Mensual",'Configuración'!$B$7,0))+IF(M1194="Sí",'Configuración'!$B$8,0)+IF(N1194="Sí",'Configuración'!$B$9,0)+IF(O1194="Sí",'Configuración'!$B$10,0)+IF(P1194="Sí",'Configuración'!$B$11,0)+IF(Q1194="Sí",'Configuración'!$B$12,0)+S1194+T1194+U1194)</f>
        <v>20</v>
      </c>
      <c r="W1194" s="39" t="str">
        <f>IF(B1194="","",IF(V1194&gt;='Configuración'!$B$19,"A",IF(V1194&gt;='Configuración'!$B$20,"B",IF(V1194&gt;='Configuración'!$B$21,"C","Descarte"))))</f>
        <v>Descarte</v>
      </c>
    </row>
    <row r="1195" ht="15.75" customHeight="1">
      <c r="A1195" s="34">
        <f t="shared" si="1"/>
        <v>1193</v>
      </c>
      <c r="B1195" s="29" t="s">
        <v>874</v>
      </c>
      <c r="C1195" s="29" t="s">
        <v>487</v>
      </c>
      <c r="D1195" s="29" t="s">
        <v>6847</v>
      </c>
      <c r="E1195" s="29" t="s">
        <v>6848</v>
      </c>
      <c r="F1195" s="30" t="s">
        <v>6849</v>
      </c>
      <c r="G1195" s="30" t="s">
        <v>6850</v>
      </c>
      <c r="H1195" s="30" t="s">
        <v>6851</v>
      </c>
      <c r="I1195" s="29" t="s">
        <v>2031</v>
      </c>
      <c r="J1195" s="31">
        <v>21.0</v>
      </c>
      <c r="K1195" s="35"/>
      <c r="L1195" s="35"/>
      <c r="M1195" s="35"/>
      <c r="N1195" s="35"/>
      <c r="O1195" s="35"/>
      <c r="P1195" s="35"/>
      <c r="Q1195" s="35"/>
      <c r="R1195" s="35"/>
      <c r="S1195" s="37">
        <f>IF(B1195="","",IF(ISNUMBER(J1195),IF(J1195&lt;=10,'Configuración'!$B$23,IF(J1195&lt;=50,'Configuración'!$B$24,IF(J1195&lt;=200,'Configuración'!$B$25,0))),0))</f>
        <v>4</v>
      </c>
      <c r="T1195" s="37">
        <f>IF(B1195="","",IF(ISNUMBER(SEARCH("information technology",I1195))+ISNUMBER(SEARCH("software",I1195))+ISNUMBER(SEARCH("internet",I1195))+ISNUMBER(SEARCH("computer",I1195))+ISNUMBER(SEARCH("saas",I1195))+ISNUMBER(SEARCH("fintech",I1195))+ISNUMBER(SEARCH("information services",I1195))+ISNUMBER(SEARCH("telecommunications",I1195))&gt;0,'Configuración'!$B$27,'Configuración'!$B$28))</f>
        <v>4</v>
      </c>
      <c r="U1195" s="25">
        <f>IF(B1195="","",IF(ISNUMBER(SEARCH("CEO",C1195))+ISNUMBER(SEARCH("Founder",C1195))+ISNUMBER(SEARCH("Owner",C1195))+ISNUMBER(SEARCH("Dueño",C1195))+ISNUMBER(SEARCH("Director General",C1195))+ISNUMBER(SEARCH("Presidente",C1195))+ISNUMBER(SEARCH("President",C1195))&gt;0,'Configuración'!$B$31,IF(ISNUMBER(SEARCH("CMO",C1195))+ISNUMBER(SEARCH("Chief Marketing",C1195))+ISNUMBER(SEARCH("VP Marketing",C1195))+ISNUMBER(SEARCH("Director de Marketing",C1195))+ISNUMBER(SEARCH("Director Marketing",C1195))+ISNUMBER(SEARCH("Head of Marketing",C1195))+ISNUMBER(SEARCH("Head Marketing",C1195))&gt;0,'Configuración'!$B$32,IF(ISNUMBER(SEARCH("Marketing Manager",C1195))+ISNUMBER(SEARCH("Gerente de Marketing",C1195))+ISNUMBER(SEARCH("Growth Manager",C1195))+ISNUMBER(SEARCH("Demand Gen",C1195))+ISNUMBER(SEARCH("Marketing Lead",C1195))&gt;0,'Configuración'!$B$33,IF(ISNUMBER(SEARCH("COO",C1195))+ISNUMBER(SEARCH("CFO",C1195))+ISNUMBER(SEARCH("CTO",C1195))+ISNUMBER(SEARCH("Chief Operating",C1195))+ISNUMBER(SEARCH("Chief Financial",C1195))+ISNUMBER(SEARCH("Gerente General",C1195))+ISNUMBER(SEARCH("General Manager",C1195))&gt;0,'Configuración'!$B$34,'Configuración'!$B$35)))))</f>
        <v>12</v>
      </c>
      <c r="V1195" s="38">
        <f>IF(B1195="","",IF(K1195="Sí",'Configuración'!$B$5,0)+IF(L1195="Semanal",'Configuración'!$B$6,IF(L1195="Mensual",'Configuración'!$B$7,0))+IF(M1195="Sí",'Configuración'!$B$8,0)+IF(N1195="Sí",'Configuración'!$B$9,0)+IF(O1195="Sí",'Configuración'!$B$10,0)+IF(P1195="Sí",'Configuración'!$B$11,0)+IF(Q1195="Sí",'Configuración'!$B$12,0)+S1195+T1195+U1195)</f>
        <v>20</v>
      </c>
      <c r="W1195" s="39" t="str">
        <f>IF(B1195="","",IF(V1195&gt;='Configuración'!$B$19,"A",IF(V1195&gt;='Configuración'!$B$20,"B",IF(V1195&gt;='Configuración'!$B$21,"C","Descarte"))))</f>
        <v>Descarte</v>
      </c>
    </row>
    <row r="1196" ht="15.75" customHeight="1">
      <c r="A1196" s="34">
        <f t="shared" si="1"/>
        <v>1194</v>
      </c>
      <c r="B1196" s="29" t="s">
        <v>120</v>
      </c>
      <c r="C1196" s="29" t="s">
        <v>3892</v>
      </c>
      <c r="D1196" s="29" t="s">
        <v>6852</v>
      </c>
      <c r="E1196" s="29" t="s">
        <v>6853</v>
      </c>
      <c r="F1196" s="30" t="s">
        <v>6854</v>
      </c>
      <c r="G1196" s="30" t="s">
        <v>6855</v>
      </c>
      <c r="H1196" s="30" t="s">
        <v>6856</v>
      </c>
      <c r="I1196" s="29" t="s">
        <v>127</v>
      </c>
      <c r="J1196" s="31">
        <v>18.0</v>
      </c>
      <c r="K1196" s="35"/>
      <c r="L1196" s="35"/>
      <c r="M1196" s="35"/>
      <c r="N1196" s="35"/>
      <c r="O1196" s="35"/>
      <c r="P1196" s="35"/>
      <c r="Q1196" s="35"/>
      <c r="R1196" s="35"/>
      <c r="S1196" s="37">
        <f>IF(B1196="","",IF(ISNUMBER(J1196),IF(J1196&lt;=10,'Configuración'!$B$23,IF(J1196&lt;=50,'Configuración'!$B$24,IF(J1196&lt;=200,'Configuración'!$B$25,0))),0))</f>
        <v>4</v>
      </c>
      <c r="T1196" s="37">
        <f>IF(B1196="","",IF(ISNUMBER(SEARCH("information technology",I1196))+ISNUMBER(SEARCH("software",I1196))+ISNUMBER(SEARCH("internet",I1196))+ISNUMBER(SEARCH("computer",I1196))+ISNUMBER(SEARCH("saas",I1196))+ISNUMBER(SEARCH("fintech",I1196))+ISNUMBER(SEARCH("information services",I1196))+ISNUMBER(SEARCH("telecommunications",I1196))&gt;0,'Configuración'!$B$27,'Configuración'!$B$28))</f>
        <v>12</v>
      </c>
      <c r="U1196" s="25">
        <f>IF(B1196="","",IF(ISNUMBER(SEARCH("CEO",C1196))+ISNUMBER(SEARCH("Founder",C1196))+ISNUMBER(SEARCH("Owner",C1196))+ISNUMBER(SEARCH("Dueño",C1196))+ISNUMBER(SEARCH("Director General",C1196))+ISNUMBER(SEARCH("Presidente",C1196))+ISNUMBER(SEARCH("President",C1196))&gt;0,'Configuración'!$B$31,IF(ISNUMBER(SEARCH("CMO",C1196))+ISNUMBER(SEARCH("Chief Marketing",C1196))+ISNUMBER(SEARCH("VP Marketing",C1196))+ISNUMBER(SEARCH("Director de Marketing",C1196))+ISNUMBER(SEARCH("Director Marketing",C1196))+ISNUMBER(SEARCH("Head of Marketing",C1196))+ISNUMBER(SEARCH("Head Marketing",C1196))&gt;0,'Configuración'!$B$32,IF(ISNUMBER(SEARCH("Marketing Manager",C1196))+ISNUMBER(SEARCH("Gerente de Marketing",C1196))+ISNUMBER(SEARCH("Growth Manager",C1196))+ISNUMBER(SEARCH("Demand Gen",C1196))+ISNUMBER(SEARCH("Marketing Lead",C1196))&gt;0,'Configuración'!$B$33,IF(ISNUMBER(SEARCH("COO",C1196))+ISNUMBER(SEARCH("CFO",C1196))+ISNUMBER(SEARCH("CTO",C1196))+ISNUMBER(SEARCH("Chief Operating",C1196))+ISNUMBER(SEARCH("Chief Financial",C1196))+ISNUMBER(SEARCH("Gerente General",C1196))+ISNUMBER(SEARCH("General Manager",C1196))&gt;0,'Configuración'!$B$34,'Configuración'!$B$35)))))</f>
        <v>0</v>
      </c>
      <c r="V1196" s="38">
        <f>IF(B1196="","",IF(K1196="Sí",'Configuración'!$B$5,0)+IF(L1196="Semanal",'Configuración'!$B$6,IF(L1196="Mensual",'Configuración'!$B$7,0))+IF(M1196="Sí",'Configuración'!$B$8,0)+IF(N1196="Sí",'Configuración'!$B$9,0)+IF(O1196="Sí",'Configuración'!$B$10,0)+IF(P1196="Sí",'Configuración'!$B$11,0)+IF(Q1196="Sí",'Configuración'!$B$12,0)+S1196+T1196+U1196)</f>
        <v>16</v>
      </c>
      <c r="W1196" s="39" t="str">
        <f>IF(B1196="","",IF(V1196&gt;='Configuración'!$B$19,"A",IF(V1196&gt;='Configuración'!$B$20,"B",IF(V1196&gt;='Configuración'!$B$21,"C","Descarte"))))</f>
        <v>Descarte</v>
      </c>
    </row>
    <row r="1197" ht="15.75" customHeight="1">
      <c r="A1197" s="34">
        <f t="shared" si="1"/>
        <v>1195</v>
      </c>
      <c r="B1197" s="29" t="s">
        <v>174</v>
      </c>
      <c r="C1197" s="29" t="s">
        <v>6857</v>
      </c>
      <c r="D1197" s="29" t="s">
        <v>6858</v>
      </c>
      <c r="E1197" s="29" t="s">
        <v>6859</v>
      </c>
      <c r="F1197" s="30" t="s">
        <v>6860</v>
      </c>
      <c r="G1197" s="30" t="s">
        <v>6861</v>
      </c>
      <c r="H1197" s="30" t="s">
        <v>6862</v>
      </c>
      <c r="I1197" s="29" t="s">
        <v>310</v>
      </c>
      <c r="J1197" s="31">
        <v>50.0</v>
      </c>
      <c r="K1197" s="35"/>
      <c r="L1197" s="35"/>
      <c r="M1197" s="35"/>
      <c r="N1197" s="35"/>
      <c r="O1197" s="35"/>
      <c r="P1197" s="35"/>
      <c r="Q1197" s="35"/>
      <c r="R1197" s="35"/>
      <c r="S1197" s="37">
        <f>IF(B1197="","",IF(ISNUMBER(J1197),IF(J1197&lt;=10,'Configuración'!$B$23,IF(J1197&lt;=50,'Configuración'!$B$24,IF(J1197&lt;=200,'Configuración'!$B$25,0))),0))</f>
        <v>4</v>
      </c>
      <c r="T1197" s="37">
        <f>IF(B1197="","",IF(ISNUMBER(SEARCH("information technology",I1197))+ISNUMBER(SEARCH("software",I1197))+ISNUMBER(SEARCH("internet",I1197))+ISNUMBER(SEARCH("computer",I1197))+ISNUMBER(SEARCH("saas",I1197))+ISNUMBER(SEARCH("fintech",I1197))+ISNUMBER(SEARCH("information services",I1197))+ISNUMBER(SEARCH("telecommunications",I1197))&gt;0,'Configuración'!$B$27,'Configuración'!$B$28))</f>
        <v>4</v>
      </c>
      <c r="U1197" s="25">
        <f>IF(B1197="","",IF(ISNUMBER(SEARCH("CEO",C1197))+ISNUMBER(SEARCH("Founder",C1197))+ISNUMBER(SEARCH("Owner",C1197))+ISNUMBER(SEARCH("Dueño",C1197))+ISNUMBER(SEARCH("Director General",C1197))+ISNUMBER(SEARCH("Presidente",C1197))+ISNUMBER(SEARCH("President",C1197))&gt;0,'Configuración'!$B$31,IF(ISNUMBER(SEARCH("CMO",C1197))+ISNUMBER(SEARCH("Chief Marketing",C1197))+ISNUMBER(SEARCH("VP Marketing",C1197))+ISNUMBER(SEARCH("Director de Marketing",C1197))+ISNUMBER(SEARCH("Director Marketing",C1197))+ISNUMBER(SEARCH("Head of Marketing",C1197))+ISNUMBER(SEARCH("Head Marketing",C1197))&gt;0,'Configuración'!$B$32,IF(ISNUMBER(SEARCH("Marketing Manager",C1197))+ISNUMBER(SEARCH("Gerente de Marketing",C1197))+ISNUMBER(SEARCH("Growth Manager",C1197))+ISNUMBER(SEARCH("Demand Gen",C1197))+ISNUMBER(SEARCH("Marketing Lead",C1197))&gt;0,'Configuración'!$B$33,IF(ISNUMBER(SEARCH("COO",C1197))+ISNUMBER(SEARCH("CFO",C1197))+ISNUMBER(SEARCH("CTO",C1197))+ISNUMBER(SEARCH("Chief Operating",C1197))+ISNUMBER(SEARCH("Chief Financial",C1197))+ISNUMBER(SEARCH("Gerente General",C1197))+ISNUMBER(SEARCH("General Manager",C1197))&gt;0,'Configuración'!$B$34,'Configuración'!$B$35)))))</f>
        <v>4</v>
      </c>
      <c r="V1197" s="38">
        <f>IF(B1197="","",IF(K1197="Sí",'Configuración'!$B$5,0)+IF(L1197="Semanal",'Configuración'!$B$6,IF(L1197="Mensual",'Configuración'!$B$7,0))+IF(M1197="Sí",'Configuración'!$B$8,0)+IF(N1197="Sí",'Configuración'!$B$9,0)+IF(O1197="Sí",'Configuración'!$B$10,0)+IF(P1197="Sí",'Configuración'!$B$11,0)+IF(Q1197="Sí",'Configuración'!$B$12,0)+S1197+T1197+U1197)</f>
        <v>12</v>
      </c>
      <c r="W1197" s="39" t="str">
        <f>IF(B1197="","",IF(V1197&gt;='Configuración'!$B$19,"A",IF(V1197&gt;='Configuración'!$B$20,"B",IF(V1197&gt;='Configuración'!$B$21,"C","Descarte"))))</f>
        <v>Descarte</v>
      </c>
    </row>
    <row r="1198" ht="15.75" customHeight="1">
      <c r="A1198" s="34">
        <f t="shared" si="1"/>
        <v>1196</v>
      </c>
      <c r="B1198" s="29" t="s">
        <v>578</v>
      </c>
      <c r="C1198" s="29" t="s">
        <v>311</v>
      </c>
      <c r="D1198" s="29" t="s">
        <v>6863</v>
      </c>
      <c r="E1198" s="29" t="s">
        <v>6864</v>
      </c>
      <c r="F1198" s="30" t="s">
        <v>6865</v>
      </c>
      <c r="G1198" s="30" t="s">
        <v>6866</v>
      </c>
      <c r="H1198" s="30" t="s">
        <v>6867</v>
      </c>
      <c r="I1198" s="29" t="s">
        <v>3212</v>
      </c>
      <c r="J1198" s="31">
        <v>4.0</v>
      </c>
      <c r="K1198" s="35"/>
      <c r="L1198" s="35"/>
      <c r="M1198" s="35"/>
      <c r="N1198" s="35"/>
      <c r="O1198" s="35"/>
      <c r="P1198" s="35"/>
      <c r="Q1198" s="35"/>
      <c r="R1198" s="35"/>
      <c r="S1198" s="37">
        <f>IF(B1198="","",IF(ISNUMBER(J1198),IF(J1198&lt;=10,'Configuración'!$B$23,IF(J1198&lt;=50,'Configuración'!$B$24,IF(J1198&lt;=200,'Configuración'!$B$25,0))),0))</f>
        <v>12</v>
      </c>
      <c r="T1198" s="37">
        <f>IF(B1198="","",IF(ISNUMBER(SEARCH("information technology",I1198))+ISNUMBER(SEARCH("software",I1198))+ISNUMBER(SEARCH("internet",I1198))+ISNUMBER(SEARCH("computer",I1198))+ISNUMBER(SEARCH("saas",I1198))+ISNUMBER(SEARCH("fintech",I1198))+ISNUMBER(SEARCH("information services",I1198))+ISNUMBER(SEARCH("telecommunications",I1198))&gt;0,'Configuración'!$B$27,'Configuración'!$B$28))</f>
        <v>4</v>
      </c>
      <c r="U1198" s="25">
        <f>IF(B1198="","",IF(ISNUMBER(SEARCH("CEO",C1198))+ISNUMBER(SEARCH("Founder",C1198))+ISNUMBER(SEARCH("Owner",C1198))+ISNUMBER(SEARCH("Dueño",C1198))+ISNUMBER(SEARCH("Director General",C1198))+ISNUMBER(SEARCH("Presidente",C1198))+ISNUMBER(SEARCH("President",C1198))&gt;0,'Configuración'!$B$31,IF(ISNUMBER(SEARCH("CMO",C1198))+ISNUMBER(SEARCH("Chief Marketing",C1198))+ISNUMBER(SEARCH("VP Marketing",C1198))+ISNUMBER(SEARCH("Director de Marketing",C1198))+ISNUMBER(SEARCH("Director Marketing",C1198))+ISNUMBER(SEARCH("Head of Marketing",C1198))+ISNUMBER(SEARCH("Head Marketing",C1198))&gt;0,'Configuración'!$B$32,IF(ISNUMBER(SEARCH("Marketing Manager",C1198))+ISNUMBER(SEARCH("Gerente de Marketing",C1198))+ISNUMBER(SEARCH("Growth Manager",C1198))+ISNUMBER(SEARCH("Demand Gen",C1198))+ISNUMBER(SEARCH("Marketing Lead",C1198))&gt;0,'Configuración'!$B$33,IF(ISNUMBER(SEARCH("COO",C1198))+ISNUMBER(SEARCH("CFO",C1198))+ISNUMBER(SEARCH("CTO",C1198))+ISNUMBER(SEARCH("Chief Operating",C1198))+ISNUMBER(SEARCH("Chief Financial",C1198))+ISNUMBER(SEARCH("Gerente General",C1198))+ISNUMBER(SEARCH("General Manager",C1198))&gt;0,'Configuración'!$B$34,'Configuración'!$B$35)))))</f>
        <v>12</v>
      </c>
      <c r="V1198" s="38">
        <f>IF(B1198="","",IF(K1198="Sí",'Configuración'!$B$5,0)+IF(L1198="Semanal",'Configuración'!$B$6,IF(L1198="Mensual",'Configuración'!$B$7,0))+IF(M1198="Sí",'Configuración'!$B$8,0)+IF(N1198="Sí",'Configuración'!$B$9,0)+IF(O1198="Sí",'Configuración'!$B$10,0)+IF(P1198="Sí",'Configuración'!$B$11,0)+IF(Q1198="Sí",'Configuración'!$B$12,0)+S1198+T1198+U1198)</f>
        <v>28</v>
      </c>
      <c r="W1198" s="39" t="str">
        <f>IF(B1198="","",IF(V1198&gt;='Configuración'!$B$19,"A",IF(V1198&gt;='Configuración'!$B$20,"B",IF(V1198&gt;='Configuración'!$B$21,"C","Descarte"))))</f>
        <v>C</v>
      </c>
    </row>
    <row r="1199" ht="15.75" customHeight="1">
      <c r="A1199" s="34">
        <f t="shared" si="1"/>
        <v>1197</v>
      </c>
      <c r="B1199" s="29" t="s">
        <v>1028</v>
      </c>
      <c r="C1199" s="29" t="s">
        <v>6868</v>
      </c>
      <c r="D1199" s="29" t="s">
        <v>6869</v>
      </c>
      <c r="E1199" s="29" t="s">
        <v>6870</v>
      </c>
      <c r="F1199" s="30" t="s">
        <v>6871</v>
      </c>
      <c r="G1199" s="30" t="s">
        <v>6872</v>
      </c>
      <c r="H1199" s="30" t="s">
        <v>6873</v>
      </c>
      <c r="I1199" s="29" t="s">
        <v>127</v>
      </c>
      <c r="J1199" s="31">
        <v>5.0</v>
      </c>
      <c r="K1199" s="35"/>
      <c r="L1199" s="35"/>
      <c r="M1199" s="35"/>
      <c r="N1199" s="35"/>
      <c r="O1199" s="35"/>
      <c r="P1199" s="35"/>
      <c r="Q1199" s="35"/>
      <c r="R1199" s="35"/>
      <c r="S1199" s="37">
        <f>IF(B1199="","",IF(ISNUMBER(J1199),IF(J1199&lt;=10,'Configuración'!$B$23,IF(J1199&lt;=50,'Configuración'!$B$24,IF(J1199&lt;=200,'Configuración'!$B$25,0))),0))</f>
        <v>12</v>
      </c>
      <c r="T1199" s="37">
        <f>IF(B1199="","",IF(ISNUMBER(SEARCH("information technology",I1199))+ISNUMBER(SEARCH("software",I1199))+ISNUMBER(SEARCH("internet",I1199))+ISNUMBER(SEARCH("computer",I1199))+ISNUMBER(SEARCH("saas",I1199))+ISNUMBER(SEARCH("fintech",I1199))+ISNUMBER(SEARCH("information services",I1199))+ISNUMBER(SEARCH("telecommunications",I1199))&gt;0,'Configuración'!$B$27,'Configuración'!$B$28))</f>
        <v>12</v>
      </c>
      <c r="U1199" s="25">
        <f>IF(B1199="","",IF(ISNUMBER(SEARCH("CEO",C1199))+ISNUMBER(SEARCH("Founder",C1199))+ISNUMBER(SEARCH("Owner",C1199))+ISNUMBER(SEARCH("Dueño",C1199))+ISNUMBER(SEARCH("Director General",C1199))+ISNUMBER(SEARCH("Presidente",C1199))+ISNUMBER(SEARCH("President",C1199))&gt;0,'Configuración'!$B$31,IF(ISNUMBER(SEARCH("CMO",C1199))+ISNUMBER(SEARCH("Chief Marketing",C1199))+ISNUMBER(SEARCH("VP Marketing",C1199))+ISNUMBER(SEARCH("Director de Marketing",C1199))+ISNUMBER(SEARCH("Director Marketing",C1199))+ISNUMBER(SEARCH("Head of Marketing",C1199))+ISNUMBER(SEARCH("Head Marketing",C1199))&gt;0,'Configuración'!$B$32,IF(ISNUMBER(SEARCH("Marketing Manager",C1199))+ISNUMBER(SEARCH("Gerente de Marketing",C1199))+ISNUMBER(SEARCH("Growth Manager",C1199))+ISNUMBER(SEARCH("Demand Gen",C1199))+ISNUMBER(SEARCH("Marketing Lead",C1199))&gt;0,'Configuración'!$B$33,IF(ISNUMBER(SEARCH("COO",C1199))+ISNUMBER(SEARCH("CFO",C1199))+ISNUMBER(SEARCH("CTO",C1199))+ISNUMBER(SEARCH("Chief Operating",C1199))+ISNUMBER(SEARCH("Chief Financial",C1199))+ISNUMBER(SEARCH("Gerente General",C1199))+ISNUMBER(SEARCH("General Manager",C1199))&gt;0,'Configuración'!$B$34,'Configuración'!$B$35)))))</f>
        <v>12</v>
      </c>
      <c r="V1199" s="38">
        <f>IF(B1199="","",IF(K1199="Sí",'Configuración'!$B$5,0)+IF(L1199="Semanal",'Configuración'!$B$6,IF(L1199="Mensual",'Configuración'!$B$7,0))+IF(M1199="Sí",'Configuración'!$B$8,0)+IF(N1199="Sí",'Configuración'!$B$9,0)+IF(O1199="Sí",'Configuración'!$B$10,0)+IF(P1199="Sí",'Configuración'!$B$11,0)+IF(Q1199="Sí",'Configuración'!$B$12,0)+S1199+T1199+U1199)</f>
        <v>36</v>
      </c>
      <c r="W1199" s="39" t="str">
        <f>IF(B1199="","",IF(V1199&gt;='Configuración'!$B$19,"A",IF(V1199&gt;='Configuración'!$B$20,"B",IF(V1199&gt;='Configuración'!$B$21,"C","Descarte"))))</f>
        <v>C</v>
      </c>
    </row>
    <row r="1200" ht="15.75" customHeight="1">
      <c r="A1200" s="34">
        <f t="shared" si="1"/>
        <v>1198</v>
      </c>
      <c r="B1200" s="29" t="s">
        <v>166</v>
      </c>
      <c r="C1200" s="29" t="s">
        <v>146</v>
      </c>
      <c r="D1200" s="29" t="s">
        <v>6874</v>
      </c>
      <c r="E1200" s="29" t="s">
        <v>6875</v>
      </c>
      <c r="F1200" s="30" t="s">
        <v>6876</v>
      </c>
      <c r="G1200" s="30" t="s">
        <v>6877</v>
      </c>
      <c r="H1200" s="30" t="s">
        <v>6878</v>
      </c>
      <c r="I1200" s="29" t="s">
        <v>528</v>
      </c>
      <c r="J1200" s="31">
        <v>4.0</v>
      </c>
      <c r="K1200" s="35"/>
      <c r="L1200" s="35"/>
      <c r="M1200" s="35"/>
      <c r="N1200" s="35"/>
      <c r="O1200" s="35"/>
      <c r="P1200" s="35"/>
      <c r="Q1200" s="35"/>
      <c r="R1200" s="35"/>
      <c r="S1200" s="37">
        <f>IF(B1200="","",IF(ISNUMBER(J1200),IF(J1200&lt;=10,'Configuración'!$B$23,IF(J1200&lt;=50,'Configuración'!$B$24,IF(J1200&lt;=200,'Configuración'!$B$25,0))),0))</f>
        <v>12</v>
      </c>
      <c r="T1200" s="37">
        <f>IF(B1200="","",IF(ISNUMBER(SEARCH("information technology",I1200))+ISNUMBER(SEARCH("software",I1200))+ISNUMBER(SEARCH("internet",I1200))+ISNUMBER(SEARCH("computer",I1200))+ISNUMBER(SEARCH("saas",I1200))+ISNUMBER(SEARCH("fintech",I1200))+ISNUMBER(SEARCH("information services",I1200))+ISNUMBER(SEARCH("telecommunications",I1200))&gt;0,'Configuración'!$B$27,'Configuración'!$B$28))</f>
        <v>4</v>
      </c>
      <c r="U1200" s="25">
        <f>IF(B1200="","",IF(ISNUMBER(SEARCH("CEO",C1200))+ISNUMBER(SEARCH("Founder",C1200))+ISNUMBER(SEARCH("Owner",C1200))+ISNUMBER(SEARCH("Dueño",C1200))+ISNUMBER(SEARCH("Director General",C1200))+ISNUMBER(SEARCH("Presidente",C1200))+ISNUMBER(SEARCH("President",C1200))&gt;0,'Configuración'!$B$31,IF(ISNUMBER(SEARCH("CMO",C1200))+ISNUMBER(SEARCH("Chief Marketing",C1200))+ISNUMBER(SEARCH("VP Marketing",C1200))+ISNUMBER(SEARCH("Director de Marketing",C1200))+ISNUMBER(SEARCH("Director Marketing",C1200))+ISNUMBER(SEARCH("Head of Marketing",C1200))+ISNUMBER(SEARCH("Head Marketing",C1200))&gt;0,'Configuración'!$B$32,IF(ISNUMBER(SEARCH("Marketing Manager",C1200))+ISNUMBER(SEARCH("Gerente de Marketing",C1200))+ISNUMBER(SEARCH("Growth Manager",C1200))+ISNUMBER(SEARCH("Demand Gen",C1200))+ISNUMBER(SEARCH("Marketing Lead",C1200))&gt;0,'Configuración'!$B$33,IF(ISNUMBER(SEARCH("COO",C1200))+ISNUMBER(SEARCH("CFO",C1200))+ISNUMBER(SEARCH("CTO",C1200))+ISNUMBER(SEARCH("Chief Operating",C1200))+ISNUMBER(SEARCH("Chief Financial",C1200))+ISNUMBER(SEARCH("Gerente General",C1200))+ISNUMBER(SEARCH("General Manager",C1200))&gt;0,'Configuración'!$B$34,'Configuración'!$B$35)))))</f>
        <v>0</v>
      </c>
      <c r="V1200" s="38">
        <f>IF(B1200="","",IF(K1200="Sí",'Configuración'!$B$5,0)+IF(L1200="Semanal",'Configuración'!$B$6,IF(L1200="Mensual",'Configuración'!$B$7,0))+IF(M1200="Sí",'Configuración'!$B$8,0)+IF(N1200="Sí",'Configuración'!$B$9,0)+IF(O1200="Sí",'Configuración'!$B$10,0)+IF(P1200="Sí",'Configuración'!$B$11,0)+IF(Q1200="Sí",'Configuración'!$B$12,0)+S1200+T1200+U1200)</f>
        <v>16</v>
      </c>
      <c r="W1200" s="39" t="str">
        <f>IF(B1200="","",IF(V1200&gt;='Configuración'!$B$19,"A",IF(V1200&gt;='Configuración'!$B$20,"B",IF(V1200&gt;='Configuración'!$B$21,"C","Descarte"))))</f>
        <v>Descarte</v>
      </c>
    </row>
    <row r="1201" ht="15.75" customHeight="1">
      <c r="A1201" s="34">
        <f t="shared" si="1"/>
        <v>1199</v>
      </c>
      <c r="B1201" s="29" t="s">
        <v>181</v>
      </c>
      <c r="C1201" s="29" t="s">
        <v>6879</v>
      </c>
      <c r="D1201" s="29" t="s">
        <v>6880</v>
      </c>
      <c r="E1201" s="29" t="s">
        <v>6881</v>
      </c>
      <c r="F1201" s="30" t="s">
        <v>6882</v>
      </c>
      <c r="G1201" s="30" t="s">
        <v>6883</v>
      </c>
      <c r="H1201" s="30" t="s">
        <v>6884</v>
      </c>
      <c r="I1201" s="29" t="s">
        <v>616</v>
      </c>
      <c r="J1201" s="31">
        <v>2.0</v>
      </c>
      <c r="K1201" s="35"/>
      <c r="L1201" s="35"/>
      <c r="M1201" s="35"/>
      <c r="N1201" s="35"/>
      <c r="O1201" s="35"/>
      <c r="P1201" s="35"/>
      <c r="Q1201" s="35"/>
      <c r="R1201" s="35"/>
      <c r="S1201" s="37">
        <f>IF(B1201="","",IF(ISNUMBER(J1201),IF(J1201&lt;=10,'Configuración'!$B$23,IF(J1201&lt;=50,'Configuración'!$B$24,IF(J1201&lt;=200,'Configuración'!$B$25,0))),0))</f>
        <v>12</v>
      </c>
      <c r="T1201" s="37">
        <f>IF(B1201="","",IF(ISNUMBER(SEARCH("information technology",I1201))+ISNUMBER(SEARCH("software",I1201))+ISNUMBER(SEARCH("internet",I1201))+ISNUMBER(SEARCH("computer",I1201))+ISNUMBER(SEARCH("saas",I1201))+ISNUMBER(SEARCH("fintech",I1201))+ISNUMBER(SEARCH("information services",I1201))+ISNUMBER(SEARCH("telecommunications",I1201))&gt;0,'Configuración'!$B$27,'Configuración'!$B$28))</f>
        <v>4</v>
      </c>
      <c r="U1201" s="25">
        <f>IF(B1201="","",IF(ISNUMBER(SEARCH("CEO",C1201))+ISNUMBER(SEARCH("Founder",C1201))+ISNUMBER(SEARCH("Owner",C1201))+ISNUMBER(SEARCH("Dueño",C1201))+ISNUMBER(SEARCH("Director General",C1201))+ISNUMBER(SEARCH("Presidente",C1201))+ISNUMBER(SEARCH("President",C1201))&gt;0,'Configuración'!$B$31,IF(ISNUMBER(SEARCH("CMO",C1201))+ISNUMBER(SEARCH("Chief Marketing",C1201))+ISNUMBER(SEARCH("VP Marketing",C1201))+ISNUMBER(SEARCH("Director de Marketing",C1201))+ISNUMBER(SEARCH("Director Marketing",C1201))+ISNUMBER(SEARCH("Head of Marketing",C1201))+ISNUMBER(SEARCH("Head Marketing",C1201))&gt;0,'Configuración'!$B$32,IF(ISNUMBER(SEARCH("Marketing Manager",C1201))+ISNUMBER(SEARCH("Gerente de Marketing",C1201))+ISNUMBER(SEARCH("Growth Manager",C1201))+ISNUMBER(SEARCH("Demand Gen",C1201))+ISNUMBER(SEARCH("Marketing Lead",C1201))&gt;0,'Configuración'!$B$33,IF(ISNUMBER(SEARCH("COO",C1201))+ISNUMBER(SEARCH("CFO",C1201))+ISNUMBER(SEARCH("CTO",C1201))+ISNUMBER(SEARCH("Chief Operating",C1201))+ISNUMBER(SEARCH("Chief Financial",C1201))+ISNUMBER(SEARCH("Gerente General",C1201))+ISNUMBER(SEARCH("General Manager",C1201))&gt;0,'Configuración'!$B$34,'Configuración'!$B$35)))))</f>
        <v>12</v>
      </c>
      <c r="V1201" s="38">
        <f>IF(B1201="","",IF(K1201="Sí",'Configuración'!$B$5,0)+IF(L1201="Semanal",'Configuración'!$B$6,IF(L1201="Mensual",'Configuración'!$B$7,0))+IF(M1201="Sí",'Configuración'!$B$8,0)+IF(N1201="Sí",'Configuración'!$B$9,0)+IF(O1201="Sí",'Configuración'!$B$10,0)+IF(P1201="Sí",'Configuración'!$B$11,0)+IF(Q1201="Sí",'Configuración'!$B$12,0)+S1201+T1201+U1201)</f>
        <v>28</v>
      </c>
      <c r="W1201" s="39" t="str">
        <f>IF(B1201="","",IF(V1201&gt;='Configuración'!$B$19,"A",IF(V1201&gt;='Configuración'!$B$20,"B",IF(V1201&gt;='Configuración'!$B$21,"C","Descarte"))))</f>
        <v>C</v>
      </c>
    </row>
    <row r="1202" ht="15.75" customHeight="1">
      <c r="A1202" s="34">
        <f t="shared" si="1"/>
        <v>1200</v>
      </c>
      <c r="B1202" s="29" t="s">
        <v>262</v>
      </c>
      <c r="C1202" s="29" t="s">
        <v>2285</v>
      </c>
      <c r="D1202" s="29" t="s">
        <v>6885</v>
      </c>
      <c r="E1202" s="29" t="s">
        <v>6886</v>
      </c>
      <c r="F1202" s="30" t="s">
        <v>6887</v>
      </c>
      <c r="G1202" s="30" t="s">
        <v>6888</v>
      </c>
      <c r="H1202" s="30" t="s">
        <v>6889</v>
      </c>
      <c r="I1202" s="29" t="s">
        <v>188</v>
      </c>
      <c r="J1202" s="31">
        <v>5.0</v>
      </c>
      <c r="K1202" s="35"/>
      <c r="L1202" s="35"/>
      <c r="M1202" s="35"/>
      <c r="N1202" s="35"/>
      <c r="O1202" s="35"/>
      <c r="P1202" s="35"/>
      <c r="Q1202" s="35"/>
      <c r="R1202" s="35"/>
      <c r="S1202" s="37">
        <f>IF(B1202="","",IF(ISNUMBER(J1202),IF(J1202&lt;=10,'Configuración'!$B$23,IF(J1202&lt;=50,'Configuración'!$B$24,IF(J1202&lt;=200,'Configuración'!$B$25,0))),0))</f>
        <v>12</v>
      </c>
      <c r="T1202" s="37">
        <f>IF(B1202="","",IF(ISNUMBER(SEARCH("information technology",I1202))+ISNUMBER(SEARCH("software",I1202))+ISNUMBER(SEARCH("internet",I1202))+ISNUMBER(SEARCH("computer",I1202))+ISNUMBER(SEARCH("saas",I1202))+ISNUMBER(SEARCH("fintech",I1202))+ISNUMBER(SEARCH("information services",I1202))+ISNUMBER(SEARCH("telecommunications",I1202))&gt;0,'Configuración'!$B$27,'Configuración'!$B$28))</f>
        <v>4</v>
      </c>
      <c r="U1202" s="25">
        <f>IF(B1202="","",IF(ISNUMBER(SEARCH("CEO",C1202))+ISNUMBER(SEARCH("Founder",C1202))+ISNUMBER(SEARCH("Owner",C1202))+ISNUMBER(SEARCH("Dueño",C1202))+ISNUMBER(SEARCH("Director General",C1202))+ISNUMBER(SEARCH("Presidente",C1202))+ISNUMBER(SEARCH("President",C1202))&gt;0,'Configuración'!$B$31,IF(ISNUMBER(SEARCH("CMO",C1202))+ISNUMBER(SEARCH("Chief Marketing",C1202))+ISNUMBER(SEARCH("VP Marketing",C1202))+ISNUMBER(SEARCH("Director de Marketing",C1202))+ISNUMBER(SEARCH("Director Marketing",C1202))+ISNUMBER(SEARCH("Head of Marketing",C1202))+ISNUMBER(SEARCH("Head Marketing",C1202))&gt;0,'Configuración'!$B$32,IF(ISNUMBER(SEARCH("Marketing Manager",C1202))+ISNUMBER(SEARCH("Gerente de Marketing",C1202))+ISNUMBER(SEARCH("Growth Manager",C1202))+ISNUMBER(SEARCH("Demand Gen",C1202))+ISNUMBER(SEARCH("Marketing Lead",C1202))&gt;0,'Configuración'!$B$33,IF(ISNUMBER(SEARCH("COO",C1202))+ISNUMBER(SEARCH("CFO",C1202))+ISNUMBER(SEARCH("CTO",C1202))+ISNUMBER(SEARCH("Chief Operating",C1202))+ISNUMBER(SEARCH("Chief Financial",C1202))+ISNUMBER(SEARCH("Gerente General",C1202))+ISNUMBER(SEARCH("General Manager",C1202))&gt;0,'Configuración'!$B$34,'Configuración'!$B$35)))))</f>
        <v>12</v>
      </c>
      <c r="V1202" s="38">
        <f>IF(B1202="","",IF(K1202="Sí",'Configuración'!$B$5,0)+IF(L1202="Semanal",'Configuración'!$B$6,IF(L1202="Mensual",'Configuración'!$B$7,0))+IF(M1202="Sí",'Configuración'!$B$8,0)+IF(N1202="Sí",'Configuración'!$B$9,0)+IF(O1202="Sí",'Configuración'!$B$10,0)+IF(P1202="Sí",'Configuración'!$B$11,0)+IF(Q1202="Sí",'Configuración'!$B$12,0)+S1202+T1202+U1202)</f>
        <v>28</v>
      </c>
      <c r="W1202" s="39" t="str">
        <f>IF(B1202="","",IF(V1202&gt;='Configuración'!$B$19,"A",IF(V1202&gt;='Configuración'!$B$20,"B",IF(V1202&gt;='Configuración'!$B$21,"C","Descarte"))))</f>
        <v>C</v>
      </c>
    </row>
    <row r="1203" ht="15.75" customHeight="1">
      <c r="A1203" s="34">
        <f t="shared" si="1"/>
        <v>1201</v>
      </c>
      <c r="B1203" s="29" t="s">
        <v>6890</v>
      </c>
      <c r="C1203" s="29" t="s">
        <v>146</v>
      </c>
      <c r="D1203" s="29" t="s">
        <v>6891</v>
      </c>
      <c r="E1203" s="29" t="s">
        <v>6892</v>
      </c>
      <c r="F1203" s="30" t="s">
        <v>6893</v>
      </c>
      <c r="G1203" s="30" t="s">
        <v>6894</v>
      </c>
      <c r="H1203" s="30" t="s">
        <v>6895</v>
      </c>
      <c r="I1203" s="29" t="s">
        <v>769</v>
      </c>
      <c r="J1203" s="31">
        <v>12.0</v>
      </c>
      <c r="K1203" s="35"/>
      <c r="L1203" s="35"/>
      <c r="M1203" s="35"/>
      <c r="N1203" s="35"/>
      <c r="O1203" s="35"/>
      <c r="P1203" s="35"/>
      <c r="Q1203" s="35"/>
      <c r="R1203" s="35"/>
      <c r="S1203" s="37">
        <f>IF(B1203="","",IF(ISNUMBER(J1203),IF(J1203&lt;=10,'Configuración'!$B$23,IF(J1203&lt;=50,'Configuración'!$B$24,IF(J1203&lt;=200,'Configuración'!$B$25,0))),0))</f>
        <v>4</v>
      </c>
      <c r="T1203" s="37">
        <f>IF(B1203="","",IF(ISNUMBER(SEARCH("information technology",I1203))+ISNUMBER(SEARCH("software",I1203))+ISNUMBER(SEARCH("internet",I1203))+ISNUMBER(SEARCH("computer",I1203))+ISNUMBER(SEARCH("saas",I1203))+ISNUMBER(SEARCH("fintech",I1203))+ISNUMBER(SEARCH("information services",I1203))+ISNUMBER(SEARCH("telecommunications",I1203))&gt;0,'Configuración'!$B$27,'Configuración'!$B$28))</f>
        <v>4</v>
      </c>
      <c r="U1203" s="25">
        <f>IF(B1203="","",IF(ISNUMBER(SEARCH("CEO",C1203))+ISNUMBER(SEARCH("Founder",C1203))+ISNUMBER(SEARCH("Owner",C1203))+ISNUMBER(SEARCH("Dueño",C1203))+ISNUMBER(SEARCH("Director General",C1203))+ISNUMBER(SEARCH("Presidente",C1203))+ISNUMBER(SEARCH("President",C1203))&gt;0,'Configuración'!$B$31,IF(ISNUMBER(SEARCH("CMO",C1203))+ISNUMBER(SEARCH("Chief Marketing",C1203))+ISNUMBER(SEARCH("VP Marketing",C1203))+ISNUMBER(SEARCH("Director de Marketing",C1203))+ISNUMBER(SEARCH("Director Marketing",C1203))+ISNUMBER(SEARCH("Head of Marketing",C1203))+ISNUMBER(SEARCH("Head Marketing",C1203))&gt;0,'Configuración'!$B$32,IF(ISNUMBER(SEARCH("Marketing Manager",C1203))+ISNUMBER(SEARCH("Gerente de Marketing",C1203))+ISNUMBER(SEARCH("Growth Manager",C1203))+ISNUMBER(SEARCH("Demand Gen",C1203))+ISNUMBER(SEARCH("Marketing Lead",C1203))&gt;0,'Configuración'!$B$33,IF(ISNUMBER(SEARCH("COO",C1203))+ISNUMBER(SEARCH("CFO",C1203))+ISNUMBER(SEARCH("CTO",C1203))+ISNUMBER(SEARCH("Chief Operating",C1203))+ISNUMBER(SEARCH("Chief Financial",C1203))+ISNUMBER(SEARCH("Gerente General",C1203))+ISNUMBER(SEARCH("General Manager",C1203))&gt;0,'Configuración'!$B$34,'Configuración'!$B$35)))))</f>
        <v>0</v>
      </c>
      <c r="V1203" s="38">
        <f>IF(B1203="","",IF(K1203="Sí",'Configuración'!$B$5,0)+IF(L1203="Semanal",'Configuración'!$B$6,IF(L1203="Mensual",'Configuración'!$B$7,0))+IF(M1203="Sí",'Configuración'!$B$8,0)+IF(N1203="Sí",'Configuración'!$B$9,0)+IF(O1203="Sí",'Configuración'!$B$10,0)+IF(P1203="Sí",'Configuración'!$B$11,0)+IF(Q1203="Sí",'Configuración'!$B$12,0)+S1203+T1203+U1203)</f>
        <v>8</v>
      </c>
      <c r="W1203" s="39" t="str">
        <f>IF(B1203="","",IF(V1203&gt;='Configuración'!$B$19,"A",IF(V1203&gt;='Configuración'!$B$20,"B",IF(V1203&gt;='Configuración'!$B$21,"C","Descarte"))))</f>
        <v>Descarte</v>
      </c>
    </row>
    <row r="1204" ht="15.75" customHeight="1">
      <c r="A1204" s="34">
        <f t="shared" si="1"/>
        <v>1202</v>
      </c>
      <c r="B1204" s="29" t="s">
        <v>556</v>
      </c>
      <c r="C1204" s="29" t="s">
        <v>131</v>
      </c>
      <c r="D1204" s="40" t="s">
        <v>6896</v>
      </c>
      <c r="E1204" s="29" t="s">
        <v>6897</v>
      </c>
      <c r="F1204" s="30" t="s">
        <v>6898</v>
      </c>
      <c r="G1204" s="30" t="s">
        <v>6899</v>
      </c>
      <c r="H1204" s="30" t="s">
        <v>6900</v>
      </c>
      <c r="I1204" s="29" t="s">
        <v>127</v>
      </c>
      <c r="J1204" s="31">
        <v>12.0</v>
      </c>
      <c r="K1204" s="35"/>
      <c r="L1204" s="35"/>
      <c r="M1204" s="35"/>
      <c r="N1204" s="35"/>
      <c r="O1204" s="35"/>
      <c r="P1204" s="35"/>
      <c r="Q1204" s="35"/>
      <c r="R1204" s="35"/>
      <c r="S1204" s="37">
        <f>IF(B1204="","",IF(ISNUMBER(J1204),IF(J1204&lt;=10,'Configuración'!$B$23,IF(J1204&lt;=50,'Configuración'!$B$24,IF(J1204&lt;=200,'Configuración'!$B$25,0))),0))</f>
        <v>4</v>
      </c>
      <c r="T1204" s="37">
        <f>IF(B1204="","",IF(ISNUMBER(SEARCH("information technology",I1204))+ISNUMBER(SEARCH("software",I1204))+ISNUMBER(SEARCH("internet",I1204))+ISNUMBER(SEARCH("computer",I1204))+ISNUMBER(SEARCH("saas",I1204))+ISNUMBER(SEARCH("fintech",I1204))+ISNUMBER(SEARCH("information services",I1204))+ISNUMBER(SEARCH("telecommunications",I1204))&gt;0,'Configuración'!$B$27,'Configuración'!$B$28))</f>
        <v>12</v>
      </c>
      <c r="U1204" s="25">
        <f>IF(B1204="","",IF(ISNUMBER(SEARCH("CEO",C1204))+ISNUMBER(SEARCH("Founder",C1204))+ISNUMBER(SEARCH("Owner",C1204))+ISNUMBER(SEARCH("Dueño",C1204))+ISNUMBER(SEARCH("Director General",C1204))+ISNUMBER(SEARCH("Presidente",C1204))+ISNUMBER(SEARCH("President",C1204))&gt;0,'Configuración'!$B$31,IF(ISNUMBER(SEARCH("CMO",C1204))+ISNUMBER(SEARCH("Chief Marketing",C1204))+ISNUMBER(SEARCH("VP Marketing",C1204))+ISNUMBER(SEARCH("Director de Marketing",C1204))+ISNUMBER(SEARCH("Director Marketing",C1204))+ISNUMBER(SEARCH("Head of Marketing",C1204))+ISNUMBER(SEARCH("Head Marketing",C1204))&gt;0,'Configuración'!$B$32,IF(ISNUMBER(SEARCH("Marketing Manager",C1204))+ISNUMBER(SEARCH("Gerente de Marketing",C1204))+ISNUMBER(SEARCH("Growth Manager",C1204))+ISNUMBER(SEARCH("Demand Gen",C1204))+ISNUMBER(SEARCH("Marketing Lead",C1204))&gt;0,'Configuración'!$B$33,IF(ISNUMBER(SEARCH("COO",C1204))+ISNUMBER(SEARCH("CFO",C1204))+ISNUMBER(SEARCH("CTO",C1204))+ISNUMBER(SEARCH("Chief Operating",C1204))+ISNUMBER(SEARCH("Chief Financial",C1204))+ISNUMBER(SEARCH("Gerente General",C1204))+ISNUMBER(SEARCH("General Manager",C1204))&gt;0,'Configuración'!$B$34,'Configuración'!$B$35)))))</f>
        <v>12</v>
      </c>
      <c r="V1204" s="38">
        <f>IF(B1204="","",IF(K1204="Sí",'Configuración'!$B$5,0)+IF(L1204="Semanal",'Configuración'!$B$6,IF(L1204="Mensual",'Configuración'!$B$7,0))+IF(M1204="Sí",'Configuración'!$B$8,0)+IF(N1204="Sí",'Configuración'!$B$9,0)+IF(O1204="Sí",'Configuración'!$B$10,0)+IF(P1204="Sí",'Configuración'!$B$11,0)+IF(Q1204="Sí",'Configuración'!$B$12,0)+S1204+T1204+U1204)</f>
        <v>28</v>
      </c>
      <c r="W1204" s="39" t="str">
        <f>IF(B1204="","",IF(V1204&gt;='Configuración'!$B$19,"A",IF(V1204&gt;='Configuración'!$B$20,"B",IF(V1204&gt;='Configuración'!$B$21,"C","Descarte"))))</f>
        <v>C</v>
      </c>
    </row>
    <row r="1205" ht="15.75" customHeight="1">
      <c r="A1205" s="34">
        <f t="shared" si="1"/>
        <v>1203</v>
      </c>
      <c r="B1205" s="29" t="s">
        <v>120</v>
      </c>
      <c r="C1205" s="29" t="s">
        <v>146</v>
      </c>
      <c r="D1205" s="30" t="s">
        <v>6901</v>
      </c>
      <c r="E1205" s="29" t="s">
        <v>6902</v>
      </c>
      <c r="F1205" s="30" t="s">
        <v>6903</v>
      </c>
      <c r="G1205" s="30" t="s">
        <v>6904</v>
      </c>
      <c r="H1205" s="30" t="s">
        <v>6905</v>
      </c>
      <c r="I1205" s="29" t="s">
        <v>127</v>
      </c>
      <c r="J1205" s="31">
        <v>2.0</v>
      </c>
      <c r="K1205" s="35"/>
      <c r="L1205" s="35"/>
      <c r="M1205" s="35"/>
      <c r="N1205" s="35"/>
      <c r="O1205" s="35"/>
      <c r="P1205" s="35"/>
      <c r="Q1205" s="35"/>
      <c r="R1205" s="35"/>
      <c r="S1205" s="37">
        <f>IF(B1205="","",IF(ISNUMBER(J1205),IF(J1205&lt;=10,'Configuración'!$B$23,IF(J1205&lt;=50,'Configuración'!$B$24,IF(J1205&lt;=200,'Configuración'!$B$25,0))),0))</f>
        <v>12</v>
      </c>
      <c r="T1205" s="37">
        <f>IF(B1205="","",IF(ISNUMBER(SEARCH("information technology",I1205))+ISNUMBER(SEARCH("software",I1205))+ISNUMBER(SEARCH("internet",I1205))+ISNUMBER(SEARCH("computer",I1205))+ISNUMBER(SEARCH("saas",I1205))+ISNUMBER(SEARCH("fintech",I1205))+ISNUMBER(SEARCH("information services",I1205))+ISNUMBER(SEARCH("telecommunications",I1205))&gt;0,'Configuración'!$B$27,'Configuración'!$B$28))</f>
        <v>12</v>
      </c>
      <c r="U1205" s="25">
        <f>IF(B1205="","",IF(ISNUMBER(SEARCH("CEO",C1205))+ISNUMBER(SEARCH("Founder",C1205))+ISNUMBER(SEARCH("Owner",C1205))+ISNUMBER(SEARCH("Dueño",C1205))+ISNUMBER(SEARCH("Director General",C1205))+ISNUMBER(SEARCH("Presidente",C1205))+ISNUMBER(SEARCH("President",C1205))&gt;0,'Configuración'!$B$31,IF(ISNUMBER(SEARCH("CMO",C1205))+ISNUMBER(SEARCH("Chief Marketing",C1205))+ISNUMBER(SEARCH("VP Marketing",C1205))+ISNUMBER(SEARCH("Director de Marketing",C1205))+ISNUMBER(SEARCH("Director Marketing",C1205))+ISNUMBER(SEARCH("Head of Marketing",C1205))+ISNUMBER(SEARCH("Head Marketing",C1205))&gt;0,'Configuración'!$B$32,IF(ISNUMBER(SEARCH("Marketing Manager",C1205))+ISNUMBER(SEARCH("Gerente de Marketing",C1205))+ISNUMBER(SEARCH("Growth Manager",C1205))+ISNUMBER(SEARCH("Demand Gen",C1205))+ISNUMBER(SEARCH("Marketing Lead",C1205))&gt;0,'Configuración'!$B$33,IF(ISNUMBER(SEARCH("COO",C1205))+ISNUMBER(SEARCH("CFO",C1205))+ISNUMBER(SEARCH("CTO",C1205))+ISNUMBER(SEARCH("Chief Operating",C1205))+ISNUMBER(SEARCH("Chief Financial",C1205))+ISNUMBER(SEARCH("Gerente General",C1205))+ISNUMBER(SEARCH("General Manager",C1205))&gt;0,'Configuración'!$B$34,'Configuración'!$B$35)))))</f>
        <v>0</v>
      </c>
      <c r="V1205" s="38">
        <f>IF(B1205="","",IF(K1205="Sí",'Configuración'!$B$5,0)+IF(L1205="Semanal",'Configuración'!$B$6,IF(L1205="Mensual",'Configuración'!$B$7,0))+IF(M1205="Sí",'Configuración'!$B$8,0)+IF(N1205="Sí",'Configuración'!$B$9,0)+IF(O1205="Sí",'Configuración'!$B$10,0)+IF(P1205="Sí",'Configuración'!$B$11,0)+IF(Q1205="Sí",'Configuración'!$B$12,0)+S1205+T1205+U1205)</f>
        <v>24</v>
      </c>
      <c r="W1205" s="39" t="str">
        <f>IF(B1205="","",IF(V1205&gt;='Configuración'!$B$19,"A",IF(V1205&gt;='Configuración'!$B$20,"B",IF(V1205&gt;='Configuración'!$B$21,"C","Descarte"))))</f>
        <v>C</v>
      </c>
    </row>
    <row r="1206" ht="15.75" customHeight="1">
      <c r="A1206" s="34">
        <f t="shared" si="1"/>
        <v>1204</v>
      </c>
      <c r="B1206" s="29" t="s">
        <v>3492</v>
      </c>
      <c r="C1206" s="29" t="s">
        <v>622</v>
      </c>
      <c r="D1206" s="29" t="s">
        <v>6906</v>
      </c>
      <c r="E1206" s="29" t="s">
        <v>6907</v>
      </c>
      <c r="F1206" s="30" t="s">
        <v>6908</v>
      </c>
      <c r="G1206" s="30" t="s">
        <v>6909</v>
      </c>
      <c r="H1206" s="30" t="s">
        <v>6910</v>
      </c>
      <c r="I1206" s="29" t="s">
        <v>542</v>
      </c>
      <c r="J1206" s="31">
        <v>19.0</v>
      </c>
      <c r="K1206" s="35"/>
      <c r="L1206" s="35"/>
      <c r="M1206" s="35"/>
      <c r="N1206" s="35"/>
      <c r="O1206" s="35"/>
      <c r="P1206" s="35"/>
      <c r="Q1206" s="35"/>
      <c r="R1206" s="35"/>
      <c r="S1206" s="37">
        <f>IF(B1206="","",IF(ISNUMBER(J1206),IF(J1206&lt;=10,'Configuración'!$B$23,IF(J1206&lt;=50,'Configuración'!$B$24,IF(J1206&lt;=200,'Configuración'!$B$25,0))),0))</f>
        <v>4</v>
      </c>
      <c r="T1206" s="37">
        <f>IF(B1206="","",IF(ISNUMBER(SEARCH("information technology",I1206))+ISNUMBER(SEARCH("software",I1206))+ISNUMBER(SEARCH("internet",I1206))+ISNUMBER(SEARCH("computer",I1206))+ISNUMBER(SEARCH("saas",I1206))+ISNUMBER(SEARCH("fintech",I1206))+ISNUMBER(SEARCH("information services",I1206))+ISNUMBER(SEARCH("telecommunications",I1206))&gt;0,'Configuración'!$B$27,'Configuración'!$B$28))</f>
        <v>4</v>
      </c>
      <c r="U1206" s="25">
        <f>IF(B1206="","",IF(ISNUMBER(SEARCH("CEO",C1206))+ISNUMBER(SEARCH("Founder",C1206))+ISNUMBER(SEARCH("Owner",C1206))+ISNUMBER(SEARCH("Dueño",C1206))+ISNUMBER(SEARCH("Director General",C1206))+ISNUMBER(SEARCH("Presidente",C1206))+ISNUMBER(SEARCH("President",C1206))&gt;0,'Configuración'!$B$31,IF(ISNUMBER(SEARCH("CMO",C1206))+ISNUMBER(SEARCH("Chief Marketing",C1206))+ISNUMBER(SEARCH("VP Marketing",C1206))+ISNUMBER(SEARCH("Director de Marketing",C1206))+ISNUMBER(SEARCH("Director Marketing",C1206))+ISNUMBER(SEARCH("Head of Marketing",C1206))+ISNUMBER(SEARCH("Head Marketing",C1206))&gt;0,'Configuración'!$B$32,IF(ISNUMBER(SEARCH("Marketing Manager",C1206))+ISNUMBER(SEARCH("Gerente de Marketing",C1206))+ISNUMBER(SEARCH("Growth Manager",C1206))+ISNUMBER(SEARCH("Demand Gen",C1206))+ISNUMBER(SEARCH("Marketing Lead",C1206))&gt;0,'Configuración'!$B$33,IF(ISNUMBER(SEARCH("COO",C1206))+ISNUMBER(SEARCH("CFO",C1206))+ISNUMBER(SEARCH("CTO",C1206))+ISNUMBER(SEARCH("Chief Operating",C1206))+ISNUMBER(SEARCH("Chief Financial",C1206))+ISNUMBER(SEARCH("Gerente General",C1206))+ISNUMBER(SEARCH("General Manager",C1206))&gt;0,'Configuración'!$B$34,'Configuración'!$B$35)))))</f>
        <v>12</v>
      </c>
      <c r="V1206" s="38">
        <f>IF(B1206="","",IF(K1206="Sí",'Configuración'!$B$5,0)+IF(L1206="Semanal",'Configuración'!$B$6,IF(L1206="Mensual",'Configuración'!$B$7,0))+IF(M1206="Sí",'Configuración'!$B$8,0)+IF(N1206="Sí",'Configuración'!$B$9,0)+IF(O1206="Sí",'Configuración'!$B$10,0)+IF(P1206="Sí",'Configuración'!$B$11,0)+IF(Q1206="Sí",'Configuración'!$B$12,0)+S1206+T1206+U1206)</f>
        <v>20</v>
      </c>
      <c r="W1206" s="39" t="str">
        <f>IF(B1206="","",IF(V1206&gt;='Configuración'!$B$19,"A",IF(V1206&gt;='Configuración'!$B$20,"B",IF(V1206&gt;='Configuración'!$B$21,"C","Descarte"))))</f>
        <v>Descarte</v>
      </c>
    </row>
    <row r="1207" ht="15.75" customHeight="1">
      <c r="A1207" s="34">
        <f t="shared" si="1"/>
        <v>1205</v>
      </c>
      <c r="B1207" s="29" t="s">
        <v>6911</v>
      </c>
      <c r="C1207" s="29" t="s">
        <v>224</v>
      </c>
      <c r="D1207" s="29" t="s">
        <v>6912</v>
      </c>
      <c r="E1207" s="29" t="s">
        <v>6913</v>
      </c>
      <c r="F1207" s="30" t="s">
        <v>6914</v>
      </c>
      <c r="G1207" s="30" t="s">
        <v>6915</v>
      </c>
      <c r="H1207" s="30" t="s">
        <v>6916</v>
      </c>
      <c r="I1207" s="29" t="s">
        <v>769</v>
      </c>
      <c r="J1207" s="31">
        <v>11.0</v>
      </c>
      <c r="K1207" s="35"/>
      <c r="L1207" s="35"/>
      <c r="M1207" s="35"/>
      <c r="N1207" s="35"/>
      <c r="O1207" s="35"/>
      <c r="P1207" s="35"/>
      <c r="Q1207" s="35"/>
      <c r="R1207" s="35"/>
      <c r="S1207" s="37">
        <f>IF(B1207="","",IF(ISNUMBER(J1207),IF(J1207&lt;=10,'Configuración'!$B$23,IF(J1207&lt;=50,'Configuración'!$B$24,IF(J1207&lt;=200,'Configuración'!$B$25,0))),0))</f>
        <v>4</v>
      </c>
      <c r="T1207" s="37">
        <f>IF(B1207="","",IF(ISNUMBER(SEARCH("information technology",I1207))+ISNUMBER(SEARCH("software",I1207))+ISNUMBER(SEARCH("internet",I1207))+ISNUMBER(SEARCH("computer",I1207))+ISNUMBER(SEARCH("saas",I1207))+ISNUMBER(SEARCH("fintech",I1207))+ISNUMBER(SEARCH("information services",I1207))+ISNUMBER(SEARCH("telecommunications",I1207))&gt;0,'Configuración'!$B$27,'Configuración'!$B$28))</f>
        <v>4</v>
      </c>
      <c r="U1207" s="25">
        <f>IF(B1207="","",IF(ISNUMBER(SEARCH("CEO",C1207))+ISNUMBER(SEARCH("Founder",C1207))+ISNUMBER(SEARCH("Owner",C1207))+ISNUMBER(SEARCH("Dueño",C1207))+ISNUMBER(SEARCH("Director General",C1207))+ISNUMBER(SEARCH("Presidente",C1207))+ISNUMBER(SEARCH("President",C1207))&gt;0,'Configuración'!$B$31,IF(ISNUMBER(SEARCH("CMO",C1207))+ISNUMBER(SEARCH("Chief Marketing",C1207))+ISNUMBER(SEARCH("VP Marketing",C1207))+ISNUMBER(SEARCH("Director de Marketing",C1207))+ISNUMBER(SEARCH("Director Marketing",C1207))+ISNUMBER(SEARCH("Head of Marketing",C1207))+ISNUMBER(SEARCH("Head Marketing",C1207))&gt;0,'Configuración'!$B$32,IF(ISNUMBER(SEARCH("Marketing Manager",C1207))+ISNUMBER(SEARCH("Gerente de Marketing",C1207))+ISNUMBER(SEARCH("Growth Manager",C1207))+ISNUMBER(SEARCH("Demand Gen",C1207))+ISNUMBER(SEARCH("Marketing Lead",C1207))&gt;0,'Configuración'!$B$33,IF(ISNUMBER(SEARCH("COO",C1207))+ISNUMBER(SEARCH("CFO",C1207))+ISNUMBER(SEARCH("CTO",C1207))+ISNUMBER(SEARCH("Chief Operating",C1207))+ISNUMBER(SEARCH("Chief Financial",C1207))+ISNUMBER(SEARCH("Gerente General",C1207))+ISNUMBER(SEARCH("General Manager",C1207))&gt;0,'Configuración'!$B$34,'Configuración'!$B$35)))))</f>
        <v>12</v>
      </c>
      <c r="V1207" s="38">
        <f>IF(B1207="","",IF(K1207="Sí",'Configuración'!$B$5,0)+IF(L1207="Semanal",'Configuración'!$B$6,IF(L1207="Mensual",'Configuración'!$B$7,0))+IF(M1207="Sí",'Configuración'!$B$8,0)+IF(N1207="Sí",'Configuración'!$B$9,0)+IF(O1207="Sí",'Configuración'!$B$10,0)+IF(P1207="Sí",'Configuración'!$B$11,0)+IF(Q1207="Sí",'Configuración'!$B$12,0)+S1207+T1207+U1207)</f>
        <v>20</v>
      </c>
      <c r="W1207" s="39" t="str">
        <f>IF(B1207="","",IF(V1207&gt;='Configuración'!$B$19,"A",IF(V1207&gt;='Configuración'!$B$20,"B",IF(V1207&gt;='Configuración'!$B$21,"C","Descarte"))))</f>
        <v>Descarte</v>
      </c>
    </row>
    <row r="1208" ht="15.75" customHeight="1">
      <c r="A1208" s="34">
        <f t="shared" si="1"/>
        <v>1206</v>
      </c>
      <c r="B1208" s="29" t="s">
        <v>1686</v>
      </c>
      <c r="C1208" s="29" t="s">
        <v>6917</v>
      </c>
      <c r="D1208" s="29" t="s">
        <v>6918</v>
      </c>
      <c r="E1208" s="29" t="s">
        <v>6919</v>
      </c>
      <c r="F1208" s="30" t="s">
        <v>6920</v>
      </c>
      <c r="G1208" s="30" t="s">
        <v>6921</v>
      </c>
      <c r="H1208" s="30" t="s">
        <v>6922</v>
      </c>
      <c r="I1208" s="29" t="s">
        <v>127</v>
      </c>
      <c r="J1208" s="31">
        <v>5.0</v>
      </c>
      <c r="K1208" s="35"/>
      <c r="L1208" s="35"/>
      <c r="M1208" s="35"/>
      <c r="N1208" s="35"/>
      <c r="O1208" s="35"/>
      <c r="P1208" s="35"/>
      <c r="Q1208" s="35"/>
      <c r="R1208" s="35"/>
      <c r="S1208" s="37">
        <f>IF(B1208="","",IF(ISNUMBER(J1208),IF(J1208&lt;=10,'Configuración'!$B$23,IF(J1208&lt;=50,'Configuración'!$B$24,IF(J1208&lt;=200,'Configuración'!$B$25,0))),0))</f>
        <v>12</v>
      </c>
      <c r="T1208" s="37">
        <f>IF(B1208="","",IF(ISNUMBER(SEARCH("information technology",I1208))+ISNUMBER(SEARCH("software",I1208))+ISNUMBER(SEARCH("internet",I1208))+ISNUMBER(SEARCH("computer",I1208))+ISNUMBER(SEARCH("saas",I1208))+ISNUMBER(SEARCH("fintech",I1208))+ISNUMBER(SEARCH("information services",I1208))+ISNUMBER(SEARCH("telecommunications",I1208))&gt;0,'Configuración'!$B$27,'Configuración'!$B$28))</f>
        <v>12</v>
      </c>
      <c r="U1208" s="25">
        <f>IF(B1208="","",IF(ISNUMBER(SEARCH("CEO",C1208))+ISNUMBER(SEARCH("Founder",C1208))+ISNUMBER(SEARCH("Owner",C1208))+ISNUMBER(SEARCH("Dueño",C1208))+ISNUMBER(SEARCH("Director General",C1208))+ISNUMBER(SEARCH("Presidente",C1208))+ISNUMBER(SEARCH("President",C1208))&gt;0,'Configuración'!$B$31,IF(ISNUMBER(SEARCH("CMO",C1208))+ISNUMBER(SEARCH("Chief Marketing",C1208))+ISNUMBER(SEARCH("VP Marketing",C1208))+ISNUMBER(SEARCH("Director de Marketing",C1208))+ISNUMBER(SEARCH("Director Marketing",C1208))+ISNUMBER(SEARCH("Head of Marketing",C1208))+ISNUMBER(SEARCH("Head Marketing",C1208))&gt;0,'Configuración'!$B$32,IF(ISNUMBER(SEARCH("Marketing Manager",C1208))+ISNUMBER(SEARCH("Gerente de Marketing",C1208))+ISNUMBER(SEARCH("Growth Manager",C1208))+ISNUMBER(SEARCH("Demand Gen",C1208))+ISNUMBER(SEARCH("Marketing Lead",C1208))&gt;0,'Configuración'!$B$33,IF(ISNUMBER(SEARCH("COO",C1208))+ISNUMBER(SEARCH("CFO",C1208))+ISNUMBER(SEARCH("CTO",C1208))+ISNUMBER(SEARCH("Chief Operating",C1208))+ISNUMBER(SEARCH("Chief Financial",C1208))+ISNUMBER(SEARCH("Gerente General",C1208))+ISNUMBER(SEARCH("General Manager",C1208))&gt;0,'Configuración'!$B$34,'Configuración'!$B$35)))))</f>
        <v>12</v>
      </c>
      <c r="V1208" s="38">
        <f>IF(B1208="","",IF(K1208="Sí",'Configuración'!$B$5,0)+IF(L1208="Semanal",'Configuración'!$B$6,IF(L1208="Mensual",'Configuración'!$B$7,0))+IF(M1208="Sí",'Configuración'!$B$8,0)+IF(N1208="Sí",'Configuración'!$B$9,0)+IF(O1208="Sí",'Configuración'!$B$10,0)+IF(P1208="Sí",'Configuración'!$B$11,0)+IF(Q1208="Sí",'Configuración'!$B$12,0)+S1208+T1208+U1208)</f>
        <v>36</v>
      </c>
      <c r="W1208" s="39" t="str">
        <f>IF(B1208="","",IF(V1208&gt;='Configuración'!$B$19,"A",IF(V1208&gt;='Configuración'!$B$20,"B",IF(V1208&gt;='Configuración'!$B$21,"C","Descarte"))))</f>
        <v>C</v>
      </c>
    </row>
    <row r="1209" ht="15.75" customHeight="1">
      <c r="A1209" s="34">
        <f t="shared" si="1"/>
        <v>1207</v>
      </c>
      <c r="B1209" s="29" t="s">
        <v>6923</v>
      </c>
      <c r="C1209" s="29" t="s">
        <v>131</v>
      </c>
      <c r="D1209" s="29" t="s">
        <v>6924</v>
      </c>
      <c r="E1209" s="29" t="s">
        <v>6925</v>
      </c>
      <c r="F1209" s="30" t="s">
        <v>6926</v>
      </c>
      <c r="G1209" s="30" t="s">
        <v>6927</v>
      </c>
      <c r="H1209" s="30" t="s">
        <v>6928</v>
      </c>
      <c r="I1209" s="29" t="s">
        <v>1693</v>
      </c>
      <c r="J1209" s="31">
        <v>12.0</v>
      </c>
      <c r="K1209" s="35"/>
      <c r="L1209" s="35"/>
      <c r="M1209" s="35"/>
      <c r="N1209" s="35"/>
      <c r="O1209" s="35"/>
      <c r="P1209" s="35"/>
      <c r="Q1209" s="35"/>
      <c r="R1209" s="35"/>
      <c r="S1209" s="37">
        <f>IF(B1209="","",IF(ISNUMBER(J1209),IF(J1209&lt;=10,'Configuración'!$B$23,IF(J1209&lt;=50,'Configuración'!$B$24,IF(J1209&lt;=200,'Configuración'!$B$25,0))),0))</f>
        <v>4</v>
      </c>
      <c r="T1209" s="37">
        <f>IF(B1209="","",IF(ISNUMBER(SEARCH("information technology",I1209))+ISNUMBER(SEARCH("software",I1209))+ISNUMBER(SEARCH("internet",I1209))+ISNUMBER(SEARCH("computer",I1209))+ISNUMBER(SEARCH("saas",I1209))+ISNUMBER(SEARCH("fintech",I1209))+ISNUMBER(SEARCH("information services",I1209))+ISNUMBER(SEARCH("telecommunications",I1209))&gt;0,'Configuración'!$B$27,'Configuración'!$B$28))</f>
        <v>4</v>
      </c>
      <c r="U1209" s="25">
        <f>IF(B1209="","",IF(ISNUMBER(SEARCH("CEO",C1209))+ISNUMBER(SEARCH("Founder",C1209))+ISNUMBER(SEARCH("Owner",C1209))+ISNUMBER(SEARCH("Dueño",C1209))+ISNUMBER(SEARCH("Director General",C1209))+ISNUMBER(SEARCH("Presidente",C1209))+ISNUMBER(SEARCH("President",C1209))&gt;0,'Configuración'!$B$31,IF(ISNUMBER(SEARCH("CMO",C1209))+ISNUMBER(SEARCH("Chief Marketing",C1209))+ISNUMBER(SEARCH("VP Marketing",C1209))+ISNUMBER(SEARCH("Director de Marketing",C1209))+ISNUMBER(SEARCH("Director Marketing",C1209))+ISNUMBER(SEARCH("Head of Marketing",C1209))+ISNUMBER(SEARCH("Head Marketing",C1209))&gt;0,'Configuración'!$B$32,IF(ISNUMBER(SEARCH("Marketing Manager",C1209))+ISNUMBER(SEARCH("Gerente de Marketing",C1209))+ISNUMBER(SEARCH("Growth Manager",C1209))+ISNUMBER(SEARCH("Demand Gen",C1209))+ISNUMBER(SEARCH("Marketing Lead",C1209))&gt;0,'Configuración'!$B$33,IF(ISNUMBER(SEARCH("COO",C1209))+ISNUMBER(SEARCH("CFO",C1209))+ISNUMBER(SEARCH("CTO",C1209))+ISNUMBER(SEARCH("Chief Operating",C1209))+ISNUMBER(SEARCH("Chief Financial",C1209))+ISNUMBER(SEARCH("Gerente General",C1209))+ISNUMBER(SEARCH("General Manager",C1209))&gt;0,'Configuración'!$B$34,'Configuración'!$B$35)))))</f>
        <v>12</v>
      </c>
      <c r="V1209" s="38">
        <f>IF(B1209="","",IF(K1209="Sí",'Configuración'!$B$5,0)+IF(L1209="Semanal",'Configuración'!$B$6,IF(L1209="Mensual",'Configuración'!$B$7,0))+IF(M1209="Sí",'Configuración'!$B$8,0)+IF(N1209="Sí",'Configuración'!$B$9,0)+IF(O1209="Sí",'Configuración'!$B$10,0)+IF(P1209="Sí",'Configuración'!$B$11,0)+IF(Q1209="Sí",'Configuración'!$B$12,0)+S1209+T1209+U1209)</f>
        <v>20</v>
      </c>
      <c r="W1209" s="39" t="str">
        <f>IF(B1209="","",IF(V1209&gt;='Configuración'!$B$19,"A",IF(V1209&gt;='Configuración'!$B$20,"B",IF(V1209&gt;='Configuración'!$B$21,"C","Descarte"))))</f>
        <v>Descarte</v>
      </c>
    </row>
    <row r="1210" ht="15.75" customHeight="1">
      <c r="A1210" s="34">
        <f t="shared" si="1"/>
        <v>1208</v>
      </c>
      <c r="B1210" s="29" t="s">
        <v>556</v>
      </c>
      <c r="C1210" s="29" t="s">
        <v>146</v>
      </c>
      <c r="D1210" s="29" t="s">
        <v>6929</v>
      </c>
      <c r="E1210" s="29" t="s">
        <v>6930</v>
      </c>
      <c r="F1210" s="30" t="s">
        <v>6931</v>
      </c>
      <c r="G1210" s="30" t="s">
        <v>6932</v>
      </c>
      <c r="H1210" s="30" t="s">
        <v>6933</v>
      </c>
      <c r="I1210" s="29" t="s">
        <v>2651</v>
      </c>
      <c r="J1210" s="31">
        <v>46.0</v>
      </c>
      <c r="K1210" s="35"/>
      <c r="L1210" s="35"/>
      <c r="M1210" s="35"/>
      <c r="N1210" s="35"/>
      <c r="O1210" s="35"/>
      <c r="P1210" s="35"/>
      <c r="Q1210" s="35"/>
      <c r="R1210" s="35"/>
      <c r="S1210" s="37">
        <f>IF(B1210="","",IF(ISNUMBER(J1210),IF(J1210&lt;=10,'Configuración'!$B$23,IF(J1210&lt;=50,'Configuración'!$B$24,IF(J1210&lt;=200,'Configuración'!$B$25,0))),0))</f>
        <v>4</v>
      </c>
      <c r="T1210" s="37">
        <f>IF(B1210="","",IF(ISNUMBER(SEARCH("information technology",I1210))+ISNUMBER(SEARCH("software",I1210))+ISNUMBER(SEARCH("internet",I1210))+ISNUMBER(SEARCH("computer",I1210))+ISNUMBER(SEARCH("saas",I1210))+ISNUMBER(SEARCH("fintech",I1210))+ISNUMBER(SEARCH("information services",I1210))+ISNUMBER(SEARCH("telecommunications",I1210))&gt;0,'Configuración'!$B$27,'Configuración'!$B$28))</f>
        <v>4</v>
      </c>
      <c r="U1210" s="25">
        <f>IF(B1210="","",IF(ISNUMBER(SEARCH("CEO",C1210))+ISNUMBER(SEARCH("Founder",C1210))+ISNUMBER(SEARCH("Owner",C1210))+ISNUMBER(SEARCH("Dueño",C1210))+ISNUMBER(SEARCH("Director General",C1210))+ISNUMBER(SEARCH("Presidente",C1210))+ISNUMBER(SEARCH("President",C1210))&gt;0,'Configuración'!$B$31,IF(ISNUMBER(SEARCH("CMO",C1210))+ISNUMBER(SEARCH("Chief Marketing",C1210))+ISNUMBER(SEARCH("VP Marketing",C1210))+ISNUMBER(SEARCH("Director de Marketing",C1210))+ISNUMBER(SEARCH("Director Marketing",C1210))+ISNUMBER(SEARCH("Head of Marketing",C1210))+ISNUMBER(SEARCH("Head Marketing",C1210))&gt;0,'Configuración'!$B$32,IF(ISNUMBER(SEARCH("Marketing Manager",C1210))+ISNUMBER(SEARCH("Gerente de Marketing",C1210))+ISNUMBER(SEARCH("Growth Manager",C1210))+ISNUMBER(SEARCH("Demand Gen",C1210))+ISNUMBER(SEARCH("Marketing Lead",C1210))&gt;0,'Configuración'!$B$33,IF(ISNUMBER(SEARCH("COO",C1210))+ISNUMBER(SEARCH("CFO",C1210))+ISNUMBER(SEARCH("CTO",C1210))+ISNUMBER(SEARCH("Chief Operating",C1210))+ISNUMBER(SEARCH("Chief Financial",C1210))+ISNUMBER(SEARCH("Gerente General",C1210))+ISNUMBER(SEARCH("General Manager",C1210))&gt;0,'Configuración'!$B$34,'Configuración'!$B$35)))))</f>
        <v>0</v>
      </c>
      <c r="V1210" s="38">
        <f>IF(B1210="","",IF(K1210="Sí",'Configuración'!$B$5,0)+IF(L1210="Semanal",'Configuración'!$B$6,IF(L1210="Mensual",'Configuración'!$B$7,0))+IF(M1210="Sí",'Configuración'!$B$8,0)+IF(N1210="Sí",'Configuración'!$B$9,0)+IF(O1210="Sí",'Configuración'!$B$10,0)+IF(P1210="Sí",'Configuración'!$B$11,0)+IF(Q1210="Sí",'Configuración'!$B$12,0)+S1210+T1210+U1210)</f>
        <v>8</v>
      </c>
      <c r="W1210" s="39" t="str">
        <f>IF(B1210="","",IF(V1210&gt;='Configuración'!$B$19,"A",IF(V1210&gt;='Configuración'!$B$20,"B",IF(V1210&gt;='Configuración'!$B$21,"C","Descarte"))))</f>
        <v>Descarte</v>
      </c>
    </row>
    <row r="1211" ht="15.75" customHeight="1">
      <c r="A1211" s="34">
        <f t="shared" si="1"/>
        <v>1209</v>
      </c>
      <c r="B1211" s="29" t="s">
        <v>1227</v>
      </c>
      <c r="C1211" s="29" t="s">
        <v>597</v>
      </c>
      <c r="D1211" s="29" t="s">
        <v>6934</v>
      </c>
      <c r="E1211" s="29" t="s">
        <v>6935</v>
      </c>
      <c r="F1211" s="30" t="s">
        <v>6936</v>
      </c>
      <c r="G1211" s="30" t="s">
        <v>6937</v>
      </c>
      <c r="H1211" s="30" t="s">
        <v>6938</v>
      </c>
      <c r="I1211" s="29" t="s">
        <v>116</v>
      </c>
      <c r="J1211" s="31">
        <v>11.0</v>
      </c>
      <c r="K1211" s="35"/>
      <c r="L1211" s="35"/>
      <c r="M1211" s="35"/>
      <c r="N1211" s="35"/>
      <c r="O1211" s="35"/>
      <c r="P1211" s="35"/>
      <c r="Q1211" s="35"/>
      <c r="R1211" s="35"/>
      <c r="S1211" s="37">
        <f>IF(B1211="","",IF(ISNUMBER(J1211),IF(J1211&lt;=10,'Configuración'!$B$23,IF(J1211&lt;=50,'Configuración'!$B$24,IF(J1211&lt;=200,'Configuración'!$B$25,0))),0))</f>
        <v>4</v>
      </c>
      <c r="T1211" s="37">
        <f>IF(B1211="","",IF(ISNUMBER(SEARCH("information technology",I1211))+ISNUMBER(SEARCH("software",I1211))+ISNUMBER(SEARCH("internet",I1211))+ISNUMBER(SEARCH("computer",I1211))+ISNUMBER(SEARCH("saas",I1211))+ISNUMBER(SEARCH("fintech",I1211))+ISNUMBER(SEARCH("information services",I1211))+ISNUMBER(SEARCH("telecommunications",I1211))&gt;0,'Configuración'!$B$27,'Configuración'!$B$28))</f>
        <v>4</v>
      </c>
      <c r="U1211" s="25">
        <f>IF(B1211="","",IF(ISNUMBER(SEARCH("CEO",C1211))+ISNUMBER(SEARCH("Founder",C1211))+ISNUMBER(SEARCH("Owner",C1211))+ISNUMBER(SEARCH("Dueño",C1211))+ISNUMBER(SEARCH("Director General",C1211))+ISNUMBER(SEARCH("Presidente",C1211))+ISNUMBER(SEARCH("President",C1211))&gt;0,'Configuración'!$B$31,IF(ISNUMBER(SEARCH("CMO",C1211))+ISNUMBER(SEARCH("Chief Marketing",C1211))+ISNUMBER(SEARCH("VP Marketing",C1211))+ISNUMBER(SEARCH("Director de Marketing",C1211))+ISNUMBER(SEARCH("Director Marketing",C1211))+ISNUMBER(SEARCH("Head of Marketing",C1211))+ISNUMBER(SEARCH("Head Marketing",C1211))&gt;0,'Configuración'!$B$32,IF(ISNUMBER(SEARCH("Marketing Manager",C1211))+ISNUMBER(SEARCH("Gerente de Marketing",C1211))+ISNUMBER(SEARCH("Growth Manager",C1211))+ISNUMBER(SEARCH("Demand Gen",C1211))+ISNUMBER(SEARCH("Marketing Lead",C1211))&gt;0,'Configuración'!$B$33,IF(ISNUMBER(SEARCH("COO",C1211))+ISNUMBER(SEARCH("CFO",C1211))+ISNUMBER(SEARCH("CTO",C1211))+ISNUMBER(SEARCH("Chief Operating",C1211))+ISNUMBER(SEARCH("Chief Financial",C1211))+ISNUMBER(SEARCH("Gerente General",C1211))+ISNUMBER(SEARCH("General Manager",C1211))&gt;0,'Configuración'!$B$34,'Configuración'!$B$35)))))</f>
        <v>12</v>
      </c>
      <c r="V1211" s="38">
        <f>IF(B1211="","",IF(K1211="Sí",'Configuración'!$B$5,0)+IF(L1211="Semanal",'Configuración'!$B$6,IF(L1211="Mensual",'Configuración'!$B$7,0))+IF(M1211="Sí",'Configuración'!$B$8,0)+IF(N1211="Sí",'Configuración'!$B$9,0)+IF(O1211="Sí",'Configuración'!$B$10,0)+IF(P1211="Sí",'Configuración'!$B$11,0)+IF(Q1211="Sí",'Configuración'!$B$12,0)+S1211+T1211+U1211)</f>
        <v>20</v>
      </c>
      <c r="W1211" s="39" t="str">
        <f>IF(B1211="","",IF(V1211&gt;='Configuración'!$B$19,"A",IF(V1211&gt;='Configuración'!$B$20,"B",IF(V1211&gt;='Configuración'!$B$21,"C","Descarte"))))</f>
        <v>Descarte</v>
      </c>
    </row>
    <row r="1212" ht="15.75" customHeight="1">
      <c r="A1212" s="34">
        <f t="shared" si="1"/>
        <v>1210</v>
      </c>
      <c r="B1212" s="29" t="s">
        <v>166</v>
      </c>
      <c r="C1212" s="29" t="s">
        <v>131</v>
      </c>
      <c r="D1212" s="29" t="s">
        <v>6939</v>
      </c>
      <c r="E1212" s="29" t="s">
        <v>6940</v>
      </c>
      <c r="F1212" s="30" t="s">
        <v>6941</v>
      </c>
      <c r="G1212" s="30" t="s">
        <v>6942</v>
      </c>
      <c r="H1212" s="30" t="s">
        <v>6943</v>
      </c>
      <c r="I1212" s="29" t="s">
        <v>280</v>
      </c>
      <c r="J1212" s="31">
        <v>3.0</v>
      </c>
      <c r="K1212" s="35"/>
      <c r="L1212" s="35"/>
      <c r="M1212" s="35"/>
      <c r="N1212" s="35"/>
      <c r="O1212" s="35"/>
      <c r="P1212" s="35"/>
      <c r="Q1212" s="35"/>
      <c r="R1212" s="35"/>
      <c r="S1212" s="37">
        <f>IF(B1212="","",IF(ISNUMBER(J1212),IF(J1212&lt;=10,'Configuración'!$B$23,IF(J1212&lt;=50,'Configuración'!$B$24,IF(J1212&lt;=200,'Configuración'!$B$25,0))),0))</f>
        <v>12</v>
      </c>
      <c r="T1212" s="37">
        <f>IF(B1212="","",IF(ISNUMBER(SEARCH("information technology",I1212))+ISNUMBER(SEARCH("software",I1212))+ISNUMBER(SEARCH("internet",I1212))+ISNUMBER(SEARCH("computer",I1212))+ISNUMBER(SEARCH("saas",I1212))+ISNUMBER(SEARCH("fintech",I1212))+ISNUMBER(SEARCH("information services",I1212))+ISNUMBER(SEARCH("telecommunications",I1212))&gt;0,'Configuración'!$B$27,'Configuración'!$B$28))</f>
        <v>12</v>
      </c>
      <c r="U1212" s="25">
        <f>IF(B1212="","",IF(ISNUMBER(SEARCH("CEO",C1212))+ISNUMBER(SEARCH("Founder",C1212))+ISNUMBER(SEARCH("Owner",C1212))+ISNUMBER(SEARCH("Dueño",C1212))+ISNUMBER(SEARCH("Director General",C1212))+ISNUMBER(SEARCH("Presidente",C1212))+ISNUMBER(SEARCH("President",C1212))&gt;0,'Configuración'!$B$31,IF(ISNUMBER(SEARCH("CMO",C1212))+ISNUMBER(SEARCH("Chief Marketing",C1212))+ISNUMBER(SEARCH("VP Marketing",C1212))+ISNUMBER(SEARCH("Director de Marketing",C1212))+ISNUMBER(SEARCH("Director Marketing",C1212))+ISNUMBER(SEARCH("Head of Marketing",C1212))+ISNUMBER(SEARCH("Head Marketing",C1212))&gt;0,'Configuración'!$B$32,IF(ISNUMBER(SEARCH("Marketing Manager",C1212))+ISNUMBER(SEARCH("Gerente de Marketing",C1212))+ISNUMBER(SEARCH("Growth Manager",C1212))+ISNUMBER(SEARCH("Demand Gen",C1212))+ISNUMBER(SEARCH("Marketing Lead",C1212))&gt;0,'Configuración'!$B$33,IF(ISNUMBER(SEARCH("COO",C1212))+ISNUMBER(SEARCH("CFO",C1212))+ISNUMBER(SEARCH("CTO",C1212))+ISNUMBER(SEARCH("Chief Operating",C1212))+ISNUMBER(SEARCH("Chief Financial",C1212))+ISNUMBER(SEARCH("Gerente General",C1212))+ISNUMBER(SEARCH("General Manager",C1212))&gt;0,'Configuración'!$B$34,'Configuración'!$B$35)))))</f>
        <v>12</v>
      </c>
      <c r="V1212" s="38">
        <f>IF(B1212="","",IF(K1212="Sí",'Configuración'!$B$5,0)+IF(L1212="Semanal",'Configuración'!$B$6,IF(L1212="Mensual",'Configuración'!$B$7,0))+IF(M1212="Sí",'Configuración'!$B$8,0)+IF(N1212="Sí",'Configuración'!$B$9,0)+IF(O1212="Sí",'Configuración'!$B$10,0)+IF(P1212="Sí",'Configuración'!$B$11,0)+IF(Q1212="Sí",'Configuración'!$B$12,0)+S1212+T1212+U1212)</f>
        <v>36</v>
      </c>
      <c r="W1212" s="39" t="str">
        <f>IF(B1212="","",IF(V1212&gt;='Configuración'!$B$19,"A",IF(V1212&gt;='Configuración'!$B$20,"B",IF(V1212&gt;='Configuración'!$B$21,"C","Descarte"))))</f>
        <v>C</v>
      </c>
    </row>
    <row r="1213" ht="15.75" customHeight="1">
      <c r="A1213" s="34">
        <f t="shared" si="1"/>
        <v>1211</v>
      </c>
      <c r="B1213" s="29" t="s">
        <v>1623</v>
      </c>
      <c r="C1213" s="29" t="s">
        <v>175</v>
      </c>
      <c r="D1213" s="29" t="s">
        <v>2611</v>
      </c>
      <c r="E1213" s="29" t="s">
        <v>6944</v>
      </c>
      <c r="F1213" s="30" t="s">
        <v>6945</v>
      </c>
      <c r="G1213" s="30" t="s">
        <v>2614</v>
      </c>
      <c r="H1213" s="30" t="s">
        <v>2615</v>
      </c>
      <c r="I1213" s="29" t="s">
        <v>280</v>
      </c>
      <c r="J1213" s="31">
        <v>23.0</v>
      </c>
      <c r="K1213" s="35"/>
      <c r="L1213" s="35"/>
      <c r="M1213" s="35"/>
      <c r="N1213" s="35"/>
      <c r="O1213" s="35"/>
      <c r="P1213" s="35"/>
      <c r="Q1213" s="35"/>
      <c r="R1213" s="35"/>
      <c r="S1213" s="37">
        <f>IF(B1213="","",IF(ISNUMBER(J1213),IF(J1213&lt;=10,'Configuración'!$B$23,IF(J1213&lt;=50,'Configuración'!$B$24,IF(J1213&lt;=200,'Configuración'!$B$25,0))),0))</f>
        <v>4</v>
      </c>
      <c r="T1213" s="37">
        <f>IF(B1213="","",IF(ISNUMBER(SEARCH("information technology",I1213))+ISNUMBER(SEARCH("software",I1213))+ISNUMBER(SEARCH("internet",I1213))+ISNUMBER(SEARCH("computer",I1213))+ISNUMBER(SEARCH("saas",I1213))+ISNUMBER(SEARCH("fintech",I1213))+ISNUMBER(SEARCH("information services",I1213))+ISNUMBER(SEARCH("telecommunications",I1213))&gt;0,'Configuración'!$B$27,'Configuración'!$B$28))</f>
        <v>12</v>
      </c>
      <c r="U1213" s="25">
        <f>IF(B1213="","",IF(ISNUMBER(SEARCH("CEO",C1213))+ISNUMBER(SEARCH("Founder",C1213))+ISNUMBER(SEARCH("Owner",C1213))+ISNUMBER(SEARCH("Dueño",C1213))+ISNUMBER(SEARCH("Director General",C1213))+ISNUMBER(SEARCH("Presidente",C1213))+ISNUMBER(SEARCH("President",C1213))&gt;0,'Configuración'!$B$31,IF(ISNUMBER(SEARCH("CMO",C1213))+ISNUMBER(SEARCH("Chief Marketing",C1213))+ISNUMBER(SEARCH("VP Marketing",C1213))+ISNUMBER(SEARCH("Director de Marketing",C1213))+ISNUMBER(SEARCH("Director Marketing",C1213))+ISNUMBER(SEARCH("Head of Marketing",C1213))+ISNUMBER(SEARCH("Head Marketing",C1213))&gt;0,'Configuración'!$B$32,IF(ISNUMBER(SEARCH("Marketing Manager",C1213))+ISNUMBER(SEARCH("Gerente de Marketing",C1213))+ISNUMBER(SEARCH("Growth Manager",C1213))+ISNUMBER(SEARCH("Demand Gen",C1213))+ISNUMBER(SEARCH("Marketing Lead",C1213))&gt;0,'Configuración'!$B$33,IF(ISNUMBER(SEARCH("COO",C1213))+ISNUMBER(SEARCH("CFO",C1213))+ISNUMBER(SEARCH("CTO",C1213))+ISNUMBER(SEARCH("Chief Operating",C1213))+ISNUMBER(SEARCH("Chief Financial",C1213))+ISNUMBER(SEARCH("Gerente General",C1213))+ISNUMBER(SEARCH("General Manager",C1213))&gt;0,'Configuración'!$B$34,'Configuración'!$B$35)))))</f>
        <v>12</v>
      </c>
      <c r="V1213" s="38">
        <f>IF(B1213="","",IF(K1213="Sí",'Configuración'!$B$5,0)+IF(L1213="Semanal",'Configuración'!$B$6,IF(L1213="Mensual",'Configuración'!$B$7,0))+IF(M1213="Sí",'Configuración'!$B$8,0)+IF(N1213="Sí",'Configuración'!$B$9,0)+IF(O1213="Sí",'Configuración'!$B$10,0)+IF(P1213="Sí",'Configuración'!$B$11,0)+IF(Q1213="Sí",'Configuración'!$B$12,0)+S1213+T1213+U1213)</f>
        <v>28</v>
      </c>
      <c r="W1213" s="39" t="str">
        <f>IF(B1213="","",IF(V1213&gt;='Configuración'!$B$19,"A",IF(V1213&gt;='Configuración'!$B$20,"B",IF(V1213&gt;='Configuración'!$B$21,"C","Descarte"))))</f>
        <v>C</v>
      </c>
    </row>
    <row r="1214" ht="15.75" customHeight="1">
      <c r="A1214" s="34">
        <f t="shared" si="1"/>
        <v>1212</v>
      </c>
      <c r="B1214" s="29" t="s">
        <v>138</v>
      </c>
      <c r="C1214" s="29" t="s">
        <v>487</v>
      </c>
      <c r="D1214" s="29" t="s">
        <v>6946</v>
      </c>
      <c r="E1214" s="29" t="s">
        <v>6947</v>
      </c>
      <c r="F1214" s="30" t="s">
        <v>6948</v>
      </c>
      <c r="G1214" s="30" t="s">
        <v>6949</v>
      </c>
      <c r="H1214" s="30" t="s">
        <v>6950</v>
      </c>
      <c r="I1214" s="29" t="s">
        <v>127</v>
      </c>
      <c r="J1214" s="31">
        <v>29.0</v>
      </c>
      <c r="K1214" s="35"/>
      <c r="L1214" s="35"/>
      <c r="M1214" s="35"/>
      <c r="N1214" s="35"/>
      <c r="O1214" s="35"/>
      <c r="P1214" s="35"/>
      <c r="Q1214" s="35"/>
      <c r="R1214" s="35"/>
      <c r="S1214" s="37">
        <f>IF(B1214="","",IF(ISNUMBER(J1214),IF(J1214&lt;=10,'Configuración'!$B$23,IF(J1214&lt;=50,'Configuración'!$B$24,IF(J1214&lt;=200,'Configuración'!$B$25,0))),0))</f>
        <v>4</v>
      </c>
      <c r="T1214" s="37">
        <f>IF(B1214="","",IF(ISNUMBER(SEARCH("information technology",I1214))+ISNUMBER(SEARCH("software",I1214))+ISNUMBER(SEARCH("internet",I1214))+ISNUMBER(SEARCH("computer",I1214))+ISNUMBER(SEARCH("saas",I1214))+ISNUMBER(SEARCH("fintech",I1214))+ISNUMBER(SEARCH("information services",I1214))+ISNUMBER(SEARCH("telecommunications",I1214))&gt;0,'Configuración'!$B$27,'Configuración'!$B$28))</f>
        <v>12</v>
      </c>
      <c r="U1214" s="25">
        <f>IF(B1214="","",IF(ISNUMBER(SEARCH("CEO",C1214))+ISNUMBER(SEARCH("Founder",C1214))+ISNUMBER(SEARCH("Owner",C1214))+ISNUMBER(SEARCH("Dueño",C1214))+ISNUMBER(SEARCH("Director General",C1214))+ISNUMBER(SEARCH("Presidente",C1214))+ISNUMBER(SEARCH("President",C1214))&gt;0,'Configuración'!$B$31,IF(ISNUMBER(SEARCH("CMO",C1214))+ISNUMBER(SEARCH("Chief Marketing",C1214))+ISNUMBER(SEARCH("VP Marketing",C1214))+ISNUMBER(SEARCH("Director de Marketing",C1214))+ISNUMBER(SEARCH("Director Marketing",C1214))+ISNUMBER(SEARCH("Head of Marketing",C1214))+ISNUMBER(SEARCH("Head Marketing",C1214))&gt;0,'Configuración'!$B$32,IF(ISNUMBER(SEARCH("Marketing Manager",C1214))+ISNUMBER(SEARCH("Gerente de Marketing",C1214))+ISNUMBER(SEARCH("Growth Manager",C1214))+ISNUMBER(SEARCH("Demand Gen",C1214))+ISNUMBER(SEARCH("Marketing Lead",C1214))&gt;0,'Configuración'!$B$33,IF(ISNUMBER(SEARCH("COO",C1214))+ISNUMBER(SEARCH("CFO",C1214))+ISNUMBER(SEARCH("CTO",C1214))+ISNUMBER(SEARCH("Chief Operating",C1214))+ISNUMBER(SEARCH("Chief Financial",C1214))+ISNUMBER(SEARCH("Gerente General",C1214))+ISNUMBER(SEARCH("General Manager",C1214))&gt;0,'Configuración'!$B$34,'Configuración'!$B$35)))))</f>
        <v>12</v>
      </c>
      <c r="V1214" s="38">
        <f>IF(B1214="","",IF(K1214="Sí",'Configuración'!$B$5,0)+IF(L1214="Semanal",'Configuración'!$B$6,IF(L1214="Mensual",'Configuración'!$B$7,0))+IF(M1214="Sí",'Configuración'!$B$8,0)+IF(N1214="Sí",'Configuración'!$B$9,0)+IF(O1214="Sí",'Configuración'!$B$10,0)+IF(P1214="Sí",'Configuración'!$B$11,0)+IF(Q1214="Sí",'Configuración'!$B$12,0)+S1214+T1214+U1214)</f>
        <v>28</v>
      </c>
      <c r="W1214" s="39" t="str">
        <f>IF(B1214="","",IF(V1214&gt;='Configuración'!$B$19,"A",IF(V1214&gt;='Configuración'!$B$20,"B",IF(V1214&gt;='Configuración'!$B$21,"C","Descarte"))))</f>
        <v>C</v>
      </c>
    </row>
    <row r="1215" ht="15.75" customHeight="1">
      <c r="A1215" s="34">
        <f t="shared" si="1"/>
        <v>1213</v>
      </c>
      <c r="B1215" s="29" t="s">
        <v>2788</v>
      </c>
      <c r="C1215" s="29" t="s">
        <v>6951</v>
      </c>
      <c r="D1215" s="29" t="s">
        <v>6952</v>
      </c>
      <c r="E1215" s="29" t="s">
        <v>6953</v>
      </c>
      <c r="F1215" s="30" t="s">
        <v>6954</v>
      </c>
      <c r="G1215" s="30" t="s">
        <v>6955</v>
      </c>
      <c r="H1215" s="30" t="s">
        <v>6956</v>
      </c>
      <c r="I1215" s="29" t="s">
        <v>188</v>
      </c>
      <c r="J1215" s="31">
        <v>2.0</v>
      </c>
      <c r="K1215" s="35"/>
      <c r="L1215" s="35"/>
      <c r="M1215" s="35"/>
      <c r="N1215" s="35"/>
      <c r="O1215" s="35"/>
      <c r="P1215" s="35"/>
      <c r="Q1215" s="35"/>
      <c r="R1215" s="35"/>
      <c r="S1215" s="37">
        <f>IF(B1215="","",IF(ISNUMBER(J1215),IF(J1215&lt;=10,'Configuración'!$B$23,IF(J1215&lt;=50,'Configuración'!$B$24,IF(J1215&lt;=200,'Configuración'!$B$25,0))),0))</f>
        <v>12</v>
      </c>
      <c r="T1215" s="37">
        <f>IF(B1215="","",IF(ISNUMBER(SEARCH("information technology",I1215))+ISNUMBER(SEARCH("software",I1215))+ISNUMBER(SEARCH("internet",I1215))+ISNUMBER(SEARCH("computer",I1215))+ISNUMBER(SEARCH("saas",I1215))+ISNUMBER(SEARCH("fintech",I1215))+ISNUMBER(SEARCH("information services",I1215))+ISNUMBER(SEARCH("telecommunications",I1215))&gt;0,'Configuración'!$B$27,'Configuración'!$B$28))</f>
        <v>4</v>
      </c>
      <c r="U1215" s="25">
        <f>IF(B1215="","",IF(ISNUMBER(SEARCH("CEO",C1215))+ISNUMBER(SEARCH("Founder",C1215))+ISNUMBER(SEARCH("Owner",C1215))+ISNUMBER(SEARCH("Dueño",C1215))+ISNUMBER(SEARCH("Director General",C1215))+ISNUMBER(SEARCH("Presidente",C1215))+ISNUMBER(SEARCH("President",C1215))&gt;0,'Configuración'!$B$31,IF(ISNUMBER(SEARCH("CMO",C1215))+ISNUMBER(SEARCH("Chief Marketing",C1215))+ISNUMBER(SEARCH("VP Marketing",C1215))+ISNUMBER(SEARCH("Director de Marketing",C1215))+ISNUMBER(SEARCH("Director Marketing",C1215))+ISNUMBER(SEARCH("Head of Marketing",C1215))+ISNUMBER(SEARCH("Head Marketing",C1215))&gt;0,'Configuración'!$B$32,IF(ISNUMBER(SEARCH("Marketing Manager",C1215))+ISNUMBER(SEARCH("Gerente de Marketing",C1215))+ISNUMBER(SEARCH("Growth Manager",C1215))+ISNUMBER(SEARCH("Demand Gen",C1215))+ISNUMBER(SEARCH("Marketing Lead",C1215))&gt;0,'Configuración'!$B$33,IF(ISNUMBER(SEARCH("COO",C1215))+ISNUMBER(SEARCH("CFO",C1215))+ISNUMBER(SEARCH("CTO",C1215))+ISNUMBER(SEARCH("Chief Operating",C1215))+ISNUMBER(SEARCH("Chief Financial",C1215))+ISNUMBER(SEARCH("Gerente General",C1215))+ISNUMBER(SEARCH("General Manager",C1215))&gt;0,'Configuración'!$B$34,'Configuración'!$B$35)))))</f>
        <v>12</v>
      </c>
      <c r="V1215" s="38">
        <f>IF(B1215="","",IF(K1215="Sí",'Configuración'!$B$5,0)+IF(L1215="Semanal",'Configuración'!$B$6,IF(L1215="Mensual",'Configuración'!$B$7,0))+IF(M1215="Sí",'Configuración'!$B$8,0)+IF(N1215="Sí",'Configuración'!$B$9,0)+IF(O1215="Sí",'Configuración'!$B$10,0)+IF(P1215="Sí",'Configuración'!$B$11,0)+IF(Q1215="Sí",'Configuración'!$B$12,0)+S1215+T1215+U1215)</f>
        <v>28</v>
      </c>
      <c r="W1215" s="39" t="str">
        <f>IF(B1215="","",IF(V1215&gt;='Configuración'!$B$19,"A",IF(V1215&gt;='Configuración'!$B$20,"B",IF(V1215&gt;='Configuración'!$B$21,"C","Descarte"))))</f>
        <v>C</v>
      </c>
    </row>
    <row r="1216" ht="15.75" customHeight="1">
      <c r="A1216" s="34">
        <f t="shared" si="1"/>
        <v>1214</v>
      </c>
      <c r="B1216" s="29" t="s">
        <v>1331</v>
      </c>
      <c r="C1216" s="29" t="s">
        <v>516</v>
      </c>
      <c r="D1216" s="29" t="s">
        <v>6957</v>
      </c>
      <c r="E1216" s="29" t="s">
        <v>6958</v>
      </c>
      <c r="F1216" s="30" t="s">
        <v>6959</v>
      </c>
      <c r="G1216" s="30" t="s">
        <v>6960</v>
      </c>
      <c r="H1216" s="30" t="s">
        <v>6961</v>
      </c>
      <c r="I1216" s="29" t="s">
        <v>508</v>
      </c>
      <c r="J1216" s="31">
        <v>41.0</v>
      </c>
      <c r="K1216" s="35"/>
      <c r="L1216" s="35"/>
      <c r="M1216" s="35"/>
      <c r="N1216" s="35"/>
      <c r="O1216" s="35"/>
      <c r="P1216" s="35"/>
      <c r="Q1216" s="35"/>
      <c r="R1216" s="35"/>
      <c r="S1216" s="37">
        <f>IF(B1216="","",IF(ISNUMBER(J1216),IF(J1216&lt;=10,'Configuración'!$B$23,IF(J1216&lt;=50,'Configuración'!$B$24,IF(J1216&lt;=200,'Configuración'!$B$25,0))),0))</f>
        <v>4</v>
      </c>
      <c r="T1216" s="37">
        <f>IF(B1216="","",IF(ISNUMBER(SEARCH("information technology",I1216))+ISNUMBER(SEARCH("software",I1216))+ISNUMBER(SEARCH("internet",I1216))+ISNUMBER(SEARCH("computer",I1216))+ISNUMBER(SEARCH("saas",I1216))+ISNUMBER(SEARCH("fintech",I1216))+ISNUMBER(SEARCH("information services",I1216))+ISNUMBER(SEARCH("telecommunications",I1216))&gt;0,'Configuración'!$B$27,'Configuración'!$B$28))</f>
        <v>4</v>
      </c>
      <c r="U1216" s="25">
        <f>IF(B1216="","",IF(ISNUMBER(SEARCH("CEO",C1216))+ISNUMBER(SEARCH("Founder",C1216))+ISNUMBER(SEARCH("Owner",C1216))+ISNUMBER(SEARCH("Dueño",C1216))+ISNUMBER(SEARCH("Director General",C1216))+ISNUMBER(SEARCH("Presidente",C1216))+ISNUMBER(SEARCH("President",C1216))&gt;0,'Configuración'!$B$31,IF(ISNUMBER(SEARCH("CMO",C1216))+ISNUMBER(SEARCH("Chief Marketing",C1216))+ISNUMBER(SEARCH("VP Marketing",C1216))+ISNUMBER(SEARCH("Director de Marketing",C1216))+ISNUMBER(SEARCH("Director Marketing",C1216))+ISNUMBER(SEARCH("Head of Marketing",C1216))+ISNUMBER(SEARCH("Head Marketing",C1216))&gt;0,'Configuración'!$B$32,IF(ISNUMBER(SEARCH("Marketing Manager",C1216))+ISNUMBER(SEARCH("Gerente de Marketing",C1216))+ISNUMBER(SEARCH("Growth Manager",C1216))+ISNUMBER(SEARCH("Demand Gen",C1216))+ISNUMBER(SEARCH("Marketing Lead",C1216))&gt;0,'Configuración'!$B$33,IF(ISNUMBER(SEARCH("COO",C1216))+ISNUMBER(SEARCH("CFO",C1216))+ISNUMBER(SEARCH("CTO",C1216))+ISNUMBER(SEARCH("Chief Operating",C1216))+ISNUMBER(SEARCH("Chief Financial",C1216))+ISNUMBER(SEARCH("Gerente General",C1216))+ISNUMBER(SEARCH("General Manager",C1216))&gt;0,'Configuración'!$B$34,'Configuración'!$B$35)))))</f>
        <v>0</v>
      </c>
      <c r="V1216" s="38">
        <f>IF(B1216="","",IF(K1216="Sí",'Configuración'!$B$5,0)+IF(L1216="Semanal",'Configuración'!$B$6,IF(L1216="Mensual",'Configuración'!$B$7,0))+IF(M1216="Sí",'Configuración'!$B$8,0)+IF(N1216="Sí",'Configuración'!$B$9,0)+IF(O1216="Sí",'Configuración'!$B$10,0)+IF(P1216="Sí",'Configuración'!$B$11,0)+IF(Q1216="Sí",'Configuración'!$B$12,0)+S1216+T1216+U1216)</f>
        <v>8</v>
      </c>
      <c r="W1216" s="39" t="str">
        <f>IF(B1216="","",IF(V1216&gt;='Configuración'!$B$19,"A",IF(V1216&gt;='Configuración'!$B$20,"B",IF(V1216&gt;='Configuración'!$B$21,"C","Descarte"))))</f>
        <v>Descarte</v>
      </c>
    </row>
    <row r="1217" ht="15.75" customHeight="1">
      <c r="A1217" s="34">
        <f t="shared" si="1"/>
        <v>1215</v>
      </c>
      <c r="B1217" s="29" t="s">
        <v>578</v>
      </c>
      <c r="C1217" s="29" t="s">
        <v>202</v>
      </c>
      <c r="D1217" s="29" t="s">
        <v>5354</v>
      </c>
      <c r="E1217" s="29" t="s">
        <v>6962</v>
      </c>
      <c r="F1217" s="30" t="s">
        <v>6963</v>
      </c>
      <c r="G1217" s="30" t="s">
        <v>5357</v>
      </c>
      <c r="H1217" s="30" t="s">
        <v>5358</v>
      </c>
      <c r="I1217" s="29" t="s">
        <v>116</v>
      </c>
      <c r="J1217" s="31">
        <v>12.0</v>
      </c>
      <c r="K1217" s="35"/>
      <c r="L1217" s="35"/>
      <c r="M1217" s="35"/>
      <c r="N1217" s="35"/>
      <c r="O1217" s="35"/>
      <c r="P1217" s="35"/>
      <c r="Q1217" s="35"/>
      <c r="R1217" s="35"/>
      <c r="S1217" s="37">
        <f>IF(B1217="","",IF(ISNUMBER(J1217),IF(J1217&lt;=10,'Configuración'!$B$23,IF(J1217&lt;=50,'Configuración'!$B$24,IF(J1217&lt;=200,'Configuración'!$B$25,0))),0))</f>
        <v>4</v>
      </c>
      <c r="T1217" s="37">
        <f>IF(B1217="","",IF(ISNUMBER(SEARCH("information technology",I1217))+ISNUMBER(SEARCH("software",I1217))+ISNUMBER(SEARCH("internet",I1217))+ISNUMBER(SEARCH("computer",I1217))+ISNUMBER(SEARCH("saas",I1217))+ISNUMBER(SEARCH("fintech",I1217))+ISNUMBER(SEARCH("information services",I1217))+ISNUMBER(SEARCH("telecommunications",I1217))&gt;0,'Configuración'!$B$27,'Configuración'!$B$28))</f>
        <v>4</v>
      </c>
      <c r="U1217" s="25">
        <f>IF(B1217="","",IF(ISNUMBER(SEARCH("CEO",C1217))+ISNUMBER(SEARCH("Founder",C1217))+ISNUMBER(SEARCH("Owner",C1217))+ISNUMBER(SEARCH("Dueño",C1217))+ISNUMBER(SEARCH("Director General",C1217))+ISNUMBER(SEARCH("Presidente",C1217))+ISNUMBER(SEARCH("President",C1217))&gt;0,'Configuración'!$B$31,IF(ISNUMBER(SEARCH("CMO",C1217))+ISNUMBER(SEARCH("Chief Marketing",C1217))+ISNUMBER(SEARCH("VP Marketing",C1217))+ISNUMBER(SEARCH("Director de Marketing",C1217))+ISNUMBER(SEARCH("Director Marketing",C1217))+ISNUMBER(SEARCH("Head of Marketing",C1217))+ISNUMBER(SEARCH("Head Marketing",C1217))&gt;0,'Configuración'!$B$32,IF(ISNUMBER(SEARCH("Marketing Manager",C1217))+ISNUMBER(SEARCH("Gerente de Marketing",C1217))+ISNUMBER(SEARCH("Growth Manager",C1217))+ISNUMBER(SEARCH("Demand Gen",C1217))+ISNUMBER(SEARCH("Marketing Lead",C1217))&gt;0,'Configuración'!$B$33,IF(ISNUMBER(SEARCH("COO",C1217))+ISNUMBER(SEARCH("CFO",C1217))+ISNUMBER(SEARCH("CTO",C1217))+ISNUMBER(SEARCH("Chief Operating",C1217))+ISNUMBER(SEARCH("Chief Financial",C1217))+ISNUMBER(SEARCH("Gerente General",C1217))+ISNUMBER(SEARCH("General Manager",C1217))&gt;0,'Configuración'!$B$34,'Configuración'!$B$35)))))</f>
        <v>12</v>
      </c>
      <c r="V1217" s="38">
        <f>IF(B1217="","",IF(K1217="Sí",'Configuración'!$B$5,0)+IF(L1217="Semanal",'Configuración'!$B$6,IF(L1217="Mensual",'Configuración'!$B$7,0))+IF(M1217="Sí",'Configuración'!$B$8,0)+IF(N1217="Sí",'Configuración'!$B$9,0)+IF(O1217="Sí",'Configuración'!$B$10,0)+IF(P1217="Sí",'Configuración'!$B$11,0)+IF(Q1217="Sí",'Configuración'!$B$12,0)+S1217+T1217+U1217)</f>
        <v>20</v>
      </c>
      <c r="W1217" s="39" t="str">
        <f>IF(B1217="","",IF(V1217&gt;='Configuración'!$B$19,"A",IF(V1217&gt;='Configuración'!$B$20,"B",IF(V1217&gt;='Configuración'!$B$21,"C","Descarte"))))</f>
        <v>Descarte</v>
      </c>
    </row>
    <row r="1218" ht="15.75" customHeight="1">
      <c r="A1218" s="34">
        <f t="shared" si="1"/>
        <v>1216</v>
      </c>
      <c r="B1218" s="29" t="s">
        <v>6964</v>
      </c>
      <c r="C1218" s="29" t="s">
        <v>6965</v>
      </c>
      <c r="D1218" s="29" t="s">
        <v>6966</v>
      </c>
      <c r="E1218" s="29" t="s">
        <v>6967</v>
      </c>
      <c r="F1218" s="30" t="s">
        <v>6968</v>
      </c>
      <c r="G1218" s="30" t="s">
        <v>6969</v>
      </c>
      <c r="H1218" s="30" t="s">
        <v>6970</v>
      </c>
      <c r="I1218" s="29" t="s">
        <v>990</v>
      </c>
      <c r="J1218" s="31">
        <v>9.0</v>
      </c>
      <c r="K1218" s="35"/>
      <c r="L1218" s="35"/>
      <c r="M1218" s="35"/>
      <c r="N1218" s="35"/>
      <c r="O1218" s="35"/>
      <c r="P1218" s="35"/>
      <c r="Q1218" s="35"/>
      <c r="R1218" s="35"/>
      <c r="S1218" s="37">
        <f>IF(B1218="","",IF(ISNUMBER(J1218),IF(J1218&lt;=10,'Configuración'!$B$23,IF(J1218&lt;=50,'Configuración'!$B$24,IF(J1218&lt;=200,'Configuración'!$B$25,0))),0))</f>
        <v>12</v>
      </c>
      <c r="T1218" s="37">
        <f>IF(B1218="","",IF(ISNUMBER(SEARCH("information technology",I1218))+ISNUMBER(SEARCH("software",I1218))+ISNUMBER(SEARCH("internet",I1218))+ISNUMBER(SEARCH("computer",I1218))+ISNUMBER(SEARCH("saas",I1218))+ISNUMBER(SEARCH("fintech",I1218))+ISNUMBER(SEARCH("information services",I1218))+ISNUMBER(SEARCH("telecommunications",I1218))&gt;0,'Configuración'!$B$27,'Configuración'!$B$28))</f>
        <v>4</v>
      </c>
      <c r="U1218" s="25">
        <f>IF(B1218="","",IF(ISNUMBER(SEARCH("CEO",C1218))+ISNUMBER(SEARCH("Founder",C1218))+ISNUMBER(SEARCH("Owner",C1218))+ISNUMBER(SEARCH("Dueño",C1218))+ISNUMBER(SEARCH("Director General",C1218))+ISNUMBER(SEARCH("Presidente",C1218))+ISNUMBER(SEARCH("President",C1218))&gt;0,'Configuración'!$B$31,IF(ISNUMBER(SEARCH("CMO",C1218))+ISNUMBER(SEARCH("Chief Marketing",C1218))+ISNUMBER(SEARCH("VP Marketing",C1218))+ISNUMBER(SEARCH("Director de Marketing",C1218))+ISNUMBER(SEARCH("Director Marketing",C1218))+ISNUMBER(SEARCH("Head of Marketing",C1218))+ISNUMBER(SEARCH("Head Marketing",C1218))&gt;0,'Configuración'!$B$32,IF(ISNUMBER(SEARCH("Marketing Manager",C1218))+ISNUMBER(SEARCH("Gerente de Marketing",C1218))+ISNUMBER(SEARCH("Growth Manager",C1218))+ISNUMBER(SEARCH("Demand Gen",C1218))+ISNUMBER(SEARCH("Marketing Lead",C1218))&gt;0,'Configuración'!$B$33,IF(ISNUMBER(SEARCH("COO",C1218))+ISNUMBER(SEARCH("CFO",C1218))+ISNUMBER(SEARCH("CTO",C1218))+ISNUMBER(SEARCH("Chief Operating",C1218))+ISNUMBER(SEARCH("Chief Financial",C1218))+ISNUMBER(SEARCH("Gerente General",C1218))+ISNUMBER(SEARCH("General Manager",C1218))&gt;0,'Configuración'!$B$34,'Configuración'!$B$35)))))</f>
        <v>12</v>
      </c>
      <c r="V1218" s="38">
        <f>IF(B1218="","",IF(K1218="Sí",'Configuración'!$B$5,0)+IF(L1218="Semanal",'Configuración'!$B$6,IF(L1218="Mensual",'Configuración'!$B$7,0))+IF(M1218="Sí",'Configuración'!$B$8,0)+IF(N1218="Sí",'Configuración'!$B$9,0)+IF(O1218="Sí",'Configuración'!$B$10,0)+IF(P1218="Sí",'Configuración'!$B$11,0)+IF(Q1218="Sí",'Configuración'!$B$12,0)+S1218+T1218+U1218)</f>
        <v>28</v>
      </c>
      <c r="W1218" s="39" t="str">
        <f>IF(B1218="","",IF(V1218&gt;='Configuración'!$B$19,"A",IF(V1218&gt;='Configuración'!$B$20,"B",IF(V1218&gt;='Configuración'!$B$21,"C","Descarte"))))</f>
        <v>C</v>
      </c>
    </row>
    <row r="1219" ht="15.75" customHeight="1">
      <c r="A1219" s="34">
        <f t="shared" si="1"/>
        <v>1217</v>
      </c>
      <c r="B1219" s="29" t="s">
        <v>556</v>
      </c>
      <c r="C1219" s="29" t="s">
        <v>131</v>
      </c>
      <c r="D1219" s="29" t="s">
        <v>6971</v>
      </c>
      <c r="E1219" s="29" t="s">
        <v>6972</v>
      </c>
      <c r="F1219" s="30" t="s">
        <v>6973</v>
      </c>
      <c r="G1219" s="30" t="s">
        <v>6974</v>
      </c>
      <c r="H1219" s="30" t="s">
        <v>6975</v>
      </c>
      <c r="I1219" s="29" t="s">
        <v>127</v>
      </c>
      <c r="J1219" s="31">
        <v>20.0</v>
      </c>
      <c r="K1219" s="35"/>
      <c r="L1219" s="35"/>
      <c r="M1219" s="35"/>
      <c r="N1219" s="35"/>
      <c r="O1219" s="35"/>
      <c r="P1219" s="35"/>
      <c r="Q1219" s="35"/>
      <c r="R1219" s="35"/>
      <c r="S1219" s="37">
        <f>IF(B1219="","",IF(ISNUMBER(J1219),IF(J1219&lt;=10,'Configuración'!$B$23,IF(J1219&lt;=50,'Configuración'!$B$24,IF(J1219&lt;=200,'Configuración'!$B$25,0))),0))</f>
        <v>4</v>
      </c>
      <c r="T1219" s="37">
        <f>IF(B1219="","",IF(ISNUMBER(SEARCH("information technology",I1219))+ISNUMBER(SEARCH("software",I1219))+ISNUMBER(SEARCH("internet",I1219))+ISNUMBER(SEARCH("computer",I1219))+ISNUMBER(SEARCH("saas",I1219))+ISNUMBER(SEARCH("fintech",I1219))+ISNUMBER(SEARCH("information services",I1219))+ISNUMBER(SEARCH("telecommunications",I1219))&gt;0,'Configuración'!$B$27,'Configuración'!$B$28))</f>
        <v>12</v>
      </c>
      <c r="U1219" s="25">
        <f>IF(B1219="","",IF(ISNUMBER(SEARCH("CEO",C1219))+ISNUMBER(SEARCH("Founder",C1219))+ISNUMBER(SEARCH("Owner",C1219))+ISNUMBER(SEARCH("Dueño",C1219))+ISNUMBER(SEARCH("Director General",C1219))+ISNUMBER(SEARCH("Presidente",C1219))+ISNUMBER(SEARCH("President",C1219))&gt;0,'Configuración'!$B$31,IF(ISNUMBER(SEARCH("CMO",C1219))+ISNUMBER(SEARCH("Chief Marketing",C1219))+ISNUMBER(SEARCH("VP Marketing",C1219))+ISNUMBER(SEARCH("Director de Marketing",C1219))+ISNUMBER(SEARCH("Director Marketing",C1219))+ISNUMBER(SEARCH("Head of Marketing",C1219))+ISNUMBER(SEARCH("Head Marketing",C1219))&gt;0,'Configuración'!$B$32,IF(ISNUMBER(SEARCH("Marketing Manager",C1219))+ISNUMBER(SEARCH("Gerente de Marketing",C1219))+ISNUMBER(SEARCH("Growth Manager",C1219))+ISNUMBER(SEARCH("Demand Gen",C1219))+ISNUMBER(SEARCH("Marketing Lead",C1219))&gt;0,'Configuración'!$B$33,IF(ISNUMBER(SEARCH("COO",C1219))+ISNUMBER(SEARCH("CFO",C1219))+ISNUMBER(SEARCH("CTO",C1219))+ISNUMBER(SEARCH("Chief Operating",C1219))+ISNUMBER(SEARCH("Chief Financial",C1219))+ISNUMBER(SEARCH("Gerente General",C1219))+ISNUMBER(SEARCH("General Manager",C1219))&gt;0,'Configuración'!$B$34,'Configuración'!$B$35)))))</f>
        <v>12</v>
      </c>
      <c r="V1219" s="38">
        <f>IF(B1219="","",IF(K1219="Sí",'Configuración'!$B$5,0)+IF(L1219="Semanal",'Configuración'!$B$6,IF(L1219="Mensual",'Configuración'!$B$7,0))+IF(M1219="Sí",'Configuración'!$B$8,0)+IF(N1219="Sí",'Configuración'!$B$9,0)+IF(O1219="Sí",'Configuración'!$B$10,0)+IF(P1219="Sí",'Configuración'!$B$11,0)+IF(Q1219="Sí",'Configuración'!$B$12,0)+S1219+T1219+U1219)</f>
        <v>28</v>
      </c>
      <c r="W1219" s="39" t="str">
        <f>IF(B1219="","",IF(V1219&gt;='Configuración'!$B$19,"A",IF(V1219&gt;='Configuración'!$B$20,"B",IF(V1219&gt;='Configuración'!$B$21,"C","Descarte"))))</f>
        <v>C</v>
      </c>
    </row>
    <row r="1220" ht="15.75" customHeight="1">
      <c r="A1220" s="34">
        <f t="shared" si="1"/>
        <v>1218</v>
      </c>
      <c r="B1220" s="29" t="s">
        <v>529</v>
      </c>
      <c r="C1220" s="29" t="s">
        <v>318</v>
      </c>
      <c r="D1220" s="29" t="s">
        <v>6976</v>
      </c>
      <c r="E1220" s="29" t="s">
        <v>6977</v>
      </c>
      <c r="F1220" s="30" t="s">
        <v>6978</v>
      </c>
      <c r="G1220" s="30" t="s">
        <v>6979</v>
      </c>
      <c r="H1220" s="30" t="s">
        <v>6980</v>
      </c>
      <c r="I1220" s="29" t="s">
        <v>528</v>
      </c>
      <c r="J1220" s="31">
        <v>23.0</v>
      </c>
      <c r="K1220" s="35"/>
      <c r="L1220" s="35"/>
      <c r="M1220" s="35"/>
      <c r="N1220" s="35"/>
      <c r="O1220" s="35"/>
      <c r="P1220" s="35"/>
      <c r="Q1220" s="35"/>
      <c r="R1220" s="35"/>
      <c r="S1220" s="37">
        <f>IF(B1220="","",IF(ISNUMBER(J1220),IF(J1220&lt;=10,'Configuración'!$B$23,IF(J1220&lt;=50,'Configuración'!$B$24,IF(J1220&lt;=200,'Configuración'!$B$25,0))),0))</f>
        <v>4</v>
      </c>
      <c r="T1220" s="37">
        <f>IF(B1220="","",IF(ISNUMBER(SEARCH("information technology",I1220))+ISNUMBER(SEARCH("software",I1220))+ISNUMBER(SEARCH("internet",I1220))+ISNUMBER(SEARCH("computer",I1220))+ISNUMBER(SEARCH("saas",I1220))+ISNUMBER(SEARCH("fintech",I1220))+ISNUMBER(SEARCH("information services",I1220))+ISNUMBER(SEARCH("telecommunications",I1220))&gt;0,'Configuración'!$B$27,'Configuración'!$B$28))</f>
        <v>4</v>
      </c>
      <c r="U1220" s="25">
        <f>IF(B1220="","",IF(ISNUMBER(SEARCH("CEO",C1220))+ISNUMBER(SEARCH("Founder",C1220))+ISNUMBER(SEARCH("Owner",C1220))+ISNUMBER(SEARCH("Dueño",C1220))+ISNUMBER(SEARCH("Director General",C1220))+ISNUMBER(SEARCH("Presidente",C1220))+ISNUMBER(SEARCH("President",C1220))&gt;0,'Configuración'!$B$31,IF(ISNUMBER(SEARCH("CMO",C1220))+ISNUMBER(SEARCH("Chief Marketing",C1220))+ISNUMBER(SEARCH("VP Marketing",C1220))+ISNUMBER(SEARCH("Director de Marketing",C1220))+ISNUMBER(SEARCH("Director Marketing",C1220))+ISNUMBER(SEARCH("Head of Marketing",C1220))+ISNUMBER(SEARCH("Head Marketing",C1220))&gt;0,'Configuración'!$B$32,IF(ISNUMBER(SEARCH("Marketing Manager",C1220))+ISNUMBER(SEARCH("Gerente de Marketing",C1220))+ISNUMBER(SEARCH("Growth Manager",C1220))+ISNUMBER(SEARCH("Demand Gen",C1220))+ISNUMBER(SEARCH("Marketing Lead",C1220))&gt;0,'Configuración'!$B$33,IF(ISNUMBER(SEARCH("COO",C1220))+ISNUMBER(SEARCH("CFO",C1220))+ISNUMBER(SEARCH("CTO",C1220))+ISNUMBER(SEARCH("Chief Operating",C1220))+ISNUMBER(SEARCH("Chief Financial",C1220))+ISNUMBER(SEARCH("Gerente General",C1220))+ISNUMBER(SEARCH("General Manager",C1220))&gt;0,'Configuración'!$B$34,'Configuración'!$B$35)))))</f>
        <v>4</v>
      </c>
      <c r="V1220" s="38">
        <f>IF(B1220="","",IF(K1220="Sí",'Configuración'!$B$5,0)+IF(L1220="Semanal",'Configuración'!$B$6,IF(L1220="Mensual",'Configuración'!$B$7,0))+IF(M1220="Sí",'Configuración'!$B$8,0)+IF(N1220="Sí",'Configuración'!$B$9,0)+IF(O1220="Sí",'Configuración'!$B$10,0)+IF(P1220="Sí",'Configuración'!$B$11,0)+IF(Q1220="Sí",'Configuración'!$B$12,0)+S1220+T1220+U1220)</f>
        <v>12</v>
      </c>
      <c r="W1220" s="39" t="str">
        <f>IF(B1220="","",IF(V1220&gt;='Configuración'!$B$19,"A",IF(V1220&gt;='Configuración'!$B$20,"B",IF(V1220&gt;='Configuración'!$B$21,"C","Descarte"))))</f>
        <v>Descarte</v>
      </c>
    </row>
    <row r="1221" ht="15.75" customHeight="1">
      <c r="A1221" s="34">
        <f t="shared" si="1"/>
        <v>1219</v>
      </c>
      <c r="B1221" s="29" t="s">
        <v>6981</v>
      </c>
      <c r="C1221" s="29" t="s">
        <v>2557</v>
      </c>
      <c r="D1221" s="29" t="s">
        <v>6982</v>
      </c>
      <c r="E1221" s="29" t="s">
        <v>6983</v>
      </c>
      <c r="F1221" s="30" t="s">
        <v>6984</v>
      </c>
      <c r="G1221" s="30" t="s">
        <v>6985</v>
      </c>
      <c r="H1221" s="30" t="s">
        <v>6986</v>
      </c>
      <c r="I1221" s="29" t="s">
        <v>542</v>
      </c>
      <c r="J1221" s="31">
        <v>5.0</v>
      </c>
      <c r="K1221" s="35"/>
      <c r="L1221" s="35"/>
      <c r="M1221" s="35"/>
      <c r="N1221" s="35"/>
      <c r="O1221" s="35"/>
      <c r="P1221" s="35"/>
      <c r="Q1221" s="35"/>
      <c r="R1221" s="35"/>
      <c r="S1221" s="37">
        <f>IF(B1221="","",IF(ISNUMBER(J1221),IF(J1221&lt;=10,'Configuración'!$B$23,IF(J1221&lt;=50,'Configuración'!$B$24,IF(J1221&lt;=200,'Configuración'!$B$25,0))),0))</f>
        <v>12</v>
      </c>
      <c r="T1221" s="37">
        <f>IF(B1221="","",IF(ISNUMBER(SEARCH("information technology",I1221))+ISNUMBER(SEARCH("software",I1221))+ISNUMBER(SEARCH("internet",I1221))+ISNUMBER(SEARCH("computer",I1221))+ISNUMBER(SEARCH("saas",I1221))+ISNUMBER(SEARCH("fintech",I1221))+ISNUMBER(SEARCH("information services",I1221))+ISNUMBER(SEARCH("telecommunications",I1221))&gt;0,'Configuración'!$B$27,'Configuración'!$B$28))</f>
        <v>4</v>
      </c>
      <c r="U1221" s="25">
        <f>IF(B1221="","",IF(ISNUMBER(SEARCH("CEO",C1221))+ISNUMBER(SEARCH("Founder",C1221))+ISNUMBER(SEARCH("Owner",C1221))+ISNUMBER(SEARCH("Dueño",C1221))+ISNUMBER(SEARCH("Director General",C1221))+ISNUMBER(SEARCH("Presidente",C1221))+ISNUMBER(SEARCH("President",C1221))&gt;0,'Configuración'!$B$31,IF(ISNUMBER(SEARCH("CMO",C1221))+ISNUMBER(SEARCH("Chief Marketing",C1221))+ISNUMBER(SEARCH("VP Marketing",C1221))+ISNUMBER(SEARCH("Director de Marketing",C1221))+ISNUMBER(SEARCH("Director Marketing",C1221))+ISNUMBER(SEARCH("Head of Marketing",C1221))+ISNUMBER(SEARCH("Head Marketing",C1221))&gt;0,'Configuración'!$B$32,IF(ISNUMBER(SEARCH("Marketing Manager",C1221))+ISNUMBER(SEARCH("Gerente de Marketing",C1221))+ISNUMBER(SEARCH("Growth Manager",C1221))+ISNUMBER(SEARCH("Demand Gen",C1221))+ISNUMBER(SEARCH("Marketing Lead",C1221))&gt;0,'Configuración'!$B$33,IF(ISNUMBER(SEARCH("COO",C1221))+ISNUMBER(SEARCH("CFO",C1221))+ISNUMBER(SEARCH("CTO",C1221))+ISNUMBER(SEARCH("Chief Operating",C1221))+ISNUMBER(SEARCH("Chief Financial",C1221))+ISNUMBER(SEARCH("Gerente General",C1221))+ISNUMBER(SEARCH("General Manager",C1221))&gt;0,'Configuración'!$B$34,'Configuración'!$B$35)))))</f>
        <v>12</v>
      </c>
      <c r="V1221" s="38">
        <f>IF(B1221="","",IF(K1221="Sí",'Configuración'!$B$5,0)+IF(L1221="Semanal",'Configuración'!$B$6,IF(L1221="Mensual",'Configuración'!$B$7,0))+IF(M1221="Sí",'Configuración'!$B$8,0)+IF(N1221="Sí",'Configuración'!$B$9,0)+IF(O1221="Sí",'Configuración'!$B$10,0)+IF(P1221="Sí",'Configuración'!$B$11,0)+IF(Q1221="Sí",'Configuración'!$B$12,0)+S1221+T1221+U1221)</f>
        <v>28</v>
      </c>
      <c r="W1221" s="39" t="str">
        <f>IF(B1221="","",IF(V1221&gt;='Configuración'!$B$19,"A",IF(V1221&gt;='Configuración'!$B$20,"B",IF(V1221&gt;='Configuración'!$B$21,"C","Descarte"))))</f>
        <v>C</v>
      </c>
    </row>
    <row r="1222" ht="15.75" customHeight="1">
      <c r="A1222" s="34">
        <f t="shared" si="1"/>
        <v>1220</v>
      </c>
      <c r="B1222" s="29" t="s">
        <v>174</v>
      </c>
      <c r="C1222" s="29" t="s">
        <v>175</v>
      </c>
      <c r="D1222" s="29" t="s">
        <v>6987</v>
      </c>
      <c r="E1222" s="29" t="s">
        <v>6988</v>
      </c>
      <c r="F1222" s="30" t="s">
        <v>6989</v>
      </c>
      <c r="G1222" s="30" t="s">
        <v>6990</v>
      </c>
      <c r="H1222" s="30" t="s">
        <v>6991</v>
      </c>
      <c r="I1222" s="29" t="s">
        <v>188</v>
      </c>
      <c r="J1222" s="31">
        <v>45.0</v>
      </c>
      <c r="K1222" s="35"/>
      <c r="L1222" s="35"/>
      <c r="M1222" s="35"/>
      <c r="N1222" s="35"/>
      <c r="O1222" s="35"/>
      <c r="P1222" s="35"/>
      <c r="Q1222" s="35"/>
      <c r="R1222" s="35"/>
      <c r="S1222" s="37">
        <f>IF(B1222="","",IF(ISNUMBER(J1222),IF(J1222&lt;=10,'Configuración'!$B$23,IF(J1222&lt;=50,'Configuración'!$B$24,IF(J1222&lt;=200,'Configuración'!$B$25,0))),0))</f>
        <v>4</v>
      </c>
      <c r="T1222" s="37">
        <f>IF(B1222="","",IF(ISNUMBER(SEARCH("information technology",I1222))+ISNUMBER(SEARCH("software",I1222))+ISNUMBER(SEARCH("internet",I1222))+ISNUMBER(SEARCH("computer",I1222))+ISNUMBER(SEARCH("saas",I1222))+ISNUMBER(SEARCH("fintech",I1222))+ISNUMBER(SEARCH("information services",I1222))+ISNUMBER(SEARCH("telecommunications",I1222))&gt;0,'Configuración'!$B$27,'Configuración'!$B$28))</f>
        <v>4</v>
      </c>
      <c r="U1222" s="25">
        <f>IF(B1222="","",IF(ISNUMBER(SEARCH("CEO",C1222))+ISNUMBER(SEARCH("Founder",C1222))+ISNUMBER(SEARCH("Owner",C1222))+ISNUMBER(SEARCH("Dueño",C1222))+ISNUMBER(SEARCH("Director General",C1222))+ISNUMBER(SEARCH("Presidente",C1222))+ISNUMBER(SEARCH("President",C1222))&gt;0,'Configuración'!$B$31,IF(ISNUMBER(SEARCH("CMO",C1222))+ISNUMBER(SEARCH("Chief Marketing",C1222))+ISNUMBER(SEARCH("VP Marketing",C1222))+ISNUMBER(SEARCH("Director de Marketing",C1222))+ISNUMBER(SEARCH("Director Marketing",C1222))+ISNUMBER(SEARCH("Head of Marketing",C1222))+ISNUMBER(SEARCH("Head Marketing",C1222))&gt;0,'Configuración'!$B$32,IF(ISNUMBER(SEARCH("Marketing Manager",C1222))+ISNUMBER(SEARCH("Gerente de Marketing",C1222))+ISNUMBER(SEARCH("Growth Manager",C1222))+ISNUMBER(SEARCH("Demand Gen",C1222))+ISNUMBER(SEARCH("Marketing Lead",C1222))&gt;0,'Configuración'!$B$33,IF(ISNUMBER(SEARCH("COO",C1222))+ISNUMBER(SEARCH("CFO",C1222))+ISNUMBER(SEARCH("CTO",C1222))+ISNUMBER(SEARCH("Chief Operating",C1222))+ISNUMBER(SEARCH("Chief Financial",C1222))+ISNUMBER(SEARCH("Gerente General",C1222))+ISNUMBER(SEARCH("General Manager",C1222))&gt;0,'Configuración'!$B$34,'Configuración'!$B$35)))))</f>
        <v>12</v>
      </c>
      <c r="V1222" s="38">
        <f>IF(B1222="","",IF(K1222="Sí",'Configuración'!$B$5,0)+IF(L1222="Semanal",'Configuración'!$B$6,IF(L1222="Mensual",'Configuración'!$B$7,0))+IF(M1222="Sí",'Configuración'!$B$8,0)+IF(N1222="Sí",'Configuración'!$B$9,0)+IF(O1222="Sí",'Configuración'!$B$10,0)+IF(P1222="Sí",'Configuración'!$B$11,0)+IF(Q1222="Sí",'Configuración'!$B$12,0)+S1222+T1222+U1222)</f>
        <v>20</v>
      </c>
      <c r="W1222" s="39" t="str">
        <f>IF(B1222="","",IF(V1222&gt;='Configuración'!$B$19,"A",IF(V1222&gt;='Configuración'!$B$20,"B",IF(V1222&gt;='Configuración'!$B$21,"C","Descarte"))))</f>
        <v>Descarte</v>
      </c>
    </row>
    <row r="1223" ht="15.75" customHeight="1">
      <c r="A1223" s="34">
        <f t="shared" si="1"/>
        <v>1221</v>
      </c>
      <c r="B1223" s="29" t="s">
        <v>6992</v>
      </c>
      <c r="C1223" s="29" t="s">
        <v>131</v>
      </c>
      <c r="D1223" s="29" t="s">
        <v>6993</v>
      </c>
      <c r="E1223" s="29" t="s">
        <v>6994</v>
      </c>
      <c r="F1223" s="30" t="s">
        <v>6995</v>
      </c>
      <c r="G1223" s="30" t="s">
        <v>6996</v>
      </c>
      <c r="H1223" s="30" t="s">
        <v>6997</v>
      </c>
      <c r="I1223" s="29" t="s">
        <v>127</v>
      </c>
      <c r="J1223" s="31">
        <v>2.0</v>
      </c>
      <c r="K1223" s="35"/>
      <c r="L1223" s="35"/>
      <c r="M1223" s="35"/>
      <c r="N1223" s="35"/>
      <c r="O1223" s="35"/>
      <c r="P1223" s="35"/>
      <c r="Q1223" s="35"/>
      <c r="R1223" s="35"/>
      <c r="S1223" s="37">
        <f>IF(B1223="","",IF(ISNUMBER(J1223),IF(J1223&lt;=10,'Configuración'!$B$23,IF(J1223&lt;=50,'Configuración'!$B$24,IF(J1223&lt;=200,'Configuración'!$B$25,0))),0))</f>
        <v>12</v>
      </c>
      <c r="T1223" s="37">
        <f>IF(B1223="","",IF(ISNUMBER(SEARCH("information technology",I1223))+ISNUMBER(SEARCH("software",I1223))+ISNUMBER(SEARCH("internet",I1223))+ISNUMBER(SEARCH("computer",I1223))+ISNUMBER(SEARCH("saas",I1223))+ISNUMBER(SEARCH("fintech",I1223))+ISNUMBER(SEARCH("information services",I1223))+ISNUMBER(SEARCH("telecommunications",I1223))&gt;0,'Configuración'!$B$27,'Configuración'!$B$28))</f>
        <v>12</v>
      </c>
      <c r="U1223" s="25">
        <f>IF(B1223="","",IF(ISNUMBER(SEARCH("CEO",C1223))+ISNUMBER(SEARCH("Founder",C1223))+ISNUMBER(SEARCH("Owner",C1223))+ISNUMBER(SEARCH("Dueño",C1223))+ISNUMBER(SEARCH("Director General",C1223))+ISNUMBER(SEARCH("Presidente",C1223))+ISNUMBER(SEARCH("President",C1223))&gt;0,'Configuración'!$B$31,IF(ISNUMBER(SEARCH("CMO",C1223))+ISNUMBER(SEARCH("Chief Marketing",C1223))+ISNUMBER(SEARCH("VP Marketing",C1223))+ISNUMBER(SEARCH("Director de Marketing",C1223))+ISNUMBER(SEARCH("Director Marketing",C1223))+ISNUMBER(SEARCH("Head of Marketing",C1223))+ISNUMBER(SEARCH("Head Marketing",C1223))&gt;0,'Configuración'!$B$32,IF(ISNUMBER(SEARCH("Marketing Manager",C1223))+ISNUMBER(SEARCH("Gerente de Marketing",C1223))+ISNUMBER(SEARCH("Growth Manager",C1223))+ISNUMBER(SEARCH("Demand Gen",C1223))+ISNUMBER(SEARCH("Marketing Lead",C1223))&gt;0,'Configuración'!$B$33,IF(ISNUMBER(SEARCH("COO",C1223))+ISNUMBER(SEARCH("CFO",C1223))+ISNUMBER(SEARCH("CTO",C1223))+ISNUMBER(SEARCH("Chief Operating",C1223))+ISNUMBER(SEARCH("Chief Financial",C1223))+ISNUMBER(SEARCH("Gerente General",C1223))+ISNUMBER(SEARCH("General Manager",C1223))&gt;0,'Configuración'!$B$34,'Configuración'!$B$35)))))</f>
        <v>12</v>
      </c>
      <c r="V1223" s="38">
        <f>IF(B1223="","",IF(K1223="Sí",'Configuración'!$B$5,0)+IF(L1223="Semanal",'Configuración'!$B$6,IF(L1223="Mensual",'Configuración'!$B$7,0))+IF(M1223="Sí",'Configuración'!$B$8,0)+IF(N1223="Sí",'Configuración'!$B$9,0)+IF(O1223="Sí",'Configuración'!$B$10,0)+IF(P1223="Sí",'Configuración'!$B$11,0)+IF(Q1223="Sí",'Configuración'!$B$12,0)+S1223+T1223+U1223)</f>
        <v>36</v>
      </c>
      <c r="W1223" s="39" t="str">
        <f>IF(B1223="","",IF(V1223&gt;='Configuración'!$B$19,"A",IF(V1223&gt;='Configuración'!$B$20,"B",IF(V1223&gt;='Configuración'!$B$21,"C","Descarte"))))</f>
        <v>C</v>
      </c>
    </row>
    <row r="1224" ht="15.75" customHeight="1">
      <c r="A1224" s="34">
        <f t="shared" si="1"/>
        <v>1222</v>
      </c>
      <c r="B1224" s="29" t="s">
        <v>3826</v>
      </c>
      <c r="C1224" s="29" t="s">
        <v>487</v>
      </c>
      <c r="D1224" s="29" t="s">
        <v>6998</v>
      </c>
      <c r="E1224" s="29" t="s">
        <v>6999</v>
      </c>
      <c r="F1224" s="30" t="s">
        <v>7000</v>
      </c>
      <c r="G1224" s="30" t="s">
        <v>7001</v>
      </c>
      <c r="H1224" s="30" t="s">
        <v>7002</v>
      </c>
      <c r="I1224" s="29" t="s">
        <v>480</v>
      </c>
      <c r="J1224" s="31">
        <v>7.0</v>
      </c>
      <c r="K1224" s="35"/>
      <c r="L1224" s="35"/>
      <c r="M1224" s="35"/>
      <c r="N1224" s="35"/>
      <c r="O1224" s="35"/>
      <c r="P1224" s="35"/>
      <c r="Q1224" s="35"/>
      <c r="R1224" s="35"/>
      <c r="S1224" s="37">
        <f>IF(B1224="","",IF(ISNUMBER(J1224),IF(J1224&lt;=10,'Configuración'!$B$23,IF(J1224&lt;=50,'Configuración'!$B$24,IF(J1224&lt;=200,'Configuración'!$B$25,0))),0))</f>
        <v>12</v>
      </c>
      <c r="T1224" s="37">
        <f>IF(B1224="","",IF(ISNUMBER(SEARCH("information technology",I1224))+ISNUMBER(SEARCH("software",I1224))+ISNUMBER(SEARCH("internet",I1224))+ISNUMBER(SEARCH("computer",I1224))+ISNUMBER(SEARCH("saas",I1224))+ISNUMBER(SEARCH("fintech",I1224))+ISNUMBER(SEARCH("information services",I1224))+ISNUMBER(SEARCH("telecommunications",I1224))&gt;0,'Configuración'!$B$27,'Configuración'!$B$28))</f>
        <v>4</v>
      </c>
      <c r="U1224" s="25">
        <f>IF(B1224="","",IF(ISNUMBER(SEARCH("CEO",C1224))+ISNUMBER(SEARCH("Founder",C1224))+ISNUMBER(SEARCH("Owner",C1224))+ISNUMBER(SEARCH("Dueño",C1224))+ISNUMBER(SEARCH("Director General",C1224))+ISNUMBER(SEARCH("Presidente",C1224))+ISNUMBER(SEARCH("President",C1224))&gt;0,'Configuración'!$B$31,IF(ISNUMBER(SEARCH("CMO",C1224))+ISNUMBER(SEARCH("Chief Marketing",C1224))+ISNUMBER(SEARCH("VP Marketing",C1224))+ISNUMBER(SEARCH("Director de Marketing",C1224))+ISNUMBER(SEARCH("Director Marketing",C1224))+ISNUMBER(SEARCH("Head of Marketing",C1224))+ISNUMBER(SEARCH("Head Marketing",C1224))&gt;0,'Configuración'!$B$32,IF(ISNUMBER(SEARCH("Marketing Manager",C1224))+ISNUMBER(SEARCH("Gerente de Marketing",C1224))+ISNUMBER(SEARCH("Growth Manager",C1224))+ISNUMBER(SEARCH("Demand Gen",C1224))+ISNUMBER(SEARCH("Marketing Lead",C1224))&gt;0,'Configuración'!$B$33,IF(ISNUMBER(SEARCH("COO",C1224))+ISNUMBER(SEARCH("CFO",C1224))+ISNUMBER(SEARCH("CTO",C1224))+ISNUMBER(SEARCH("Chief Operating",C1224))+ISNUMBER(SEARCH("Chief Financial",C1224))+ISNUMBER(SEARCH("Gerente General",C1224))+ISNUMBER(SEARCH("General Manager",C1224))&gt;0,'Configuración'!$B$34,'Configuración'!$B$35)))))</f>
        <v>12</v>
      </c>
      <c r="V1224" s="38">
        <f>IF(B1224="","",IF(K1224="Sí",'Configuración'!$B$5,0)+IF(L1224="Semanal",'Configuración'!$B$6,IF(L1224="Mensual",'Configuración'!$B$7,0))+IF(M1224="Sí",'Configuración'!$B$8,0)+IF(N1224="Sí",'Configuración'!$B$9,0)+IF(O1224="Sí",'Configuración'!$B$10,0)+IF(P1224="Sí",'Configuración'!$B$11,0)+IF(Q1224="Sí",'Configuración'!$B$12,0)+S1224+T1224+U1224)</f>
        <v>28</v>
      </c>
      <c r="W1224" s="39" t="str">
        <f>IF(B1224="","",IF(V1224&gt;='Configuración'!$B$19,"A",IF(V1224&gt;='Configuración'!$B$20,"B",IF(V1224&gt;='Configuración'!$B$21,"C","Descarte"))))</f>
        <v>C</v>
      </c>
    </row>
    <row r="1225" ht="15.75" customHeight="1">
      <c r="A1225" s="34">
        <f t="shared" si="1"/>
        <v>1223</v>
      </c>
      <c r="B1225" s="29" t="s">
        <v>174</v>
      </c>
      <c r="C1225" s="29" t="s">
        <v>146</v>
      </c>
      <c r="D1225" s="29" t="s">
        <v>7003</v>
      </c>
      <c r="E1225" s="29" t="s">
        <v>7004</v>
      </c>
      <c r="F1225" s="30" t="s">
        <v>7005</v>
      </c>
      <c r="G1225" s="30" t="s">
        <v>7006</v>
      </c>
      <c r="H1225" s="30" t="s">
        <v>7007</v>
      </c>
      <c r="I1225" s="29" t="s">
        <v>769</v>
      </c>
      <c r="J1225" s="31">
        <v>11.0</v>
      </c>
      <c r="K1225" s="35"/>
      <c r="L1225" s="35"/>
      <c r="M1225" s="35"/>
      <c r="N1225" s="35"/>
      <c r="O1225" s="35"/>
      <c r="P1225" s="35"/>
      <c r="Q1225" s="35"/>
      <c r="R1225" s="35"/>
      <c r="S1225" s="37">
        <f>IF(B1225="","",IF(ISNUMBER(J1225),IF(J1225&lt;=10,'Configuración'!$B$23,IF(J1225&lt;=50,'Configuración'!$B$24,IF(J1225&lt;=200,'Configuración'!$B$25,0))),0))</f>
        <v>4</v>
      </c>
      <c r="T1225" s="37">
        <f>IF(B1225="","",IF(ISNUMBER(SEARCH("information technology",I1225))+ISNUMBER(SEARCH("software",I1225))+ISNUMBER(SEARCH("internet",I1225))+ISNUMBER(SEARCH("computer",I1225))+ISNUMBER(SEARCH("saas",I1225))+ISNUMBER(SEARCH("fintech",I1225))+ISNUMBER(SEARCH("information services",I1225))+ISNUMBER(SEARCH("telecommunications",I1225))&gt;0,'Configuración'!$B$27,'Configuración'!$B$28))</f>
        <v>4</v>
      </c>
      <c r="U1225" s="25">
        <f>IF(B1225="","",IF(ISNUMBER(SEARCH("CEO",C1225))+ISNUMBER(SEARCH("Founder",C1225))+ISNUMBER(SEARCH("Owner",C1225))+ISNUMBER(SEARCH("Dueño",C1225))+ISNUMBER(SEARCH("Director General",C1225))+ISNUMBER(SEARCH("Presidente",C1225))+ISNUMBER(SEARCH("President",C1225))&gt;0,'Configuración'!$B$31,IF(ISNUMBER(SEARCH("CMO",C1225))+ISNUMBER(SEARCH("Chief Marketing",C1225))+ISNUMBER(SEARCH("VP Marketing",C1225))+ISNUMBER(SEARCH("Director de Marketing",C1225))+ISNUMBER(SEARCH("Director Marketing",C1225))+ISNUMBER(SEARCH("Head of Marketing",C1225))+ISNUMBER(SEARCH("Head Marketing",C1225))&gt;0,'Configuración'!$B$32,IF(ISNUMBER(SEARCH("Marketing Manager",C1225))+ISNUMBER(SEARCH("Gerente de Marketing",C1225))+ISNUMBER(SEARCH("Growth Manager",C1225))+ISNUMBER(SEARCH("Demand Gen",C1225))+ISNUMBER(SEARCH("Marketing Lead",C1225))&gt;0,'Configuración'!$B$33,IF(ISNUMBER(SEARCH("COO",C1225))+ISNUMBER(SEARCH("CFO",C1225))+ISNUMBER(SEARCH("CTO",C1225))+ISNUMBER(SEARCH("Chief Operating",C1225))+ISNUMBER(SEARCH("Chief Financial",C1225))+ISNUMBER(SEARCH("Gerente General",C1225))+ISNUMBER(SEARCH("General Manager",C1225))&gt;0,'Configuración'!$B$34,'Configuración'!$B$35)))))</f>
        <v>0</v>
      </c>
      <c r="V1225" s="38">
        <f>IF(B1225="","",IF(K1225="Sí",'Configuración'!$B$5,0)+IF(L1225="Semanal",'Configuración'!$B$6,IF(L1225="Mensual",'Configuración'!$B$7,0))+IF(M1225="Sí",'Configuración'!$B$8,0)+IF(N1225="Sí",'Configuración'!$B$9,0)+IF(O1225="Sí",'Configuración'!$B$10,0)+IF(P1225="Sí",'Configuración'!$B$11,0)+IF(Q1225="Sí",'Configuración'!$B$12,0)+S1225+T1225+U1225)</f>
        <v>8</v>
      </c>
      <c r="W1225" s="39" t="str">
        <f>IF(B1225="","",IF(V1225&gt;='Configuración'!$B$19,"A",IF(V1225&gt;='Configuración'!$B$20,"B",IF(V1225&gt;='Configuración'!$B$21,"C","Descarte"))))</f>
        <v>Descarte</v>
      </c>
    </row>
    <row r="1226" ht="15.75" customHeight="1">
      <c r="A1226" s="34">
        <f t="shared" si="1"/>
        <v>1224</v>
      </c>
      <c r="B1226" s="29" t="s">
        <v>181</v>
      </c>
      <c r="C1226" s="29" t="s">
        <v>146</v>
      </c>
      <c r="D1226" s="29" t="s">
        <v>7008</v>
      </c>
      <c r="E1226" s="29" t="s">
        <v>7009</v>
      </c>
      <c r="F1226" s="30" t="s">
        <v>7010</v>
      </c>
      <c r="G1226" s="30" t="s">
        <v>7011</v>
      </c>
      <c r="H1226" s="30" t="s">
        <v>7012</v>
      </c>
      <c r="I1226" s="29" t="s">
        <v>116</v>
      </c>
      <c r="J1226" s="31">
        <v>10.0</v>
      </c>
      <c r="K1226" s="35"/>
      <c r="L1226" s="35"/>
      <c r="M1226" s="35"/>
      <c r="N1226" s="35"/>
      <c r="O1226" s="35"/>
      <c r="P1226" s="35"/>
      <c r="Q1226" s="35"/>
      <c r="R1226" s="35"/>
      <c r="S1226" s="37">
        <f>IF(B1226="","",IF(ISNUMBER(J1226),IF(J1226&lt;=10,'Configuración'!$B$23,IF(J1226&lt;=50,'Configuración'!$B$24,IF(J1226&lt;=200,'Configuración'!$B$25,0))),0))</f>
        <v>12</v>
      </c>
      <c r="T1226" s="37">
        <f>IF(B1226="","",IF(ISNUMBER(SEARCH("information technology",I1226))+ISNUMBER(SEARCH("software",I1226))+ISNUMBER(SEARCH("internet",I1226))+ISNUMBER(SEARCH("computer",I1226))+ISNUMBER(SEARCH("saas",I1226))+ISNUMBER(SEARCH("fintech",I1226))+ISNUMBER(SEARCH("information services",I1226))+ISNUMBER(SEARCH("telecommunications",I1226))&gt;0,'Configuración'!$B$27,'Configuración'!$B$28))</f>
        <v>4</v>
      </c>
      <c r="U1226" s="25">
        <f>IF(B1226="","",IF(ISNUMBER(SEARCH("CEO",C1226))+ISNUMBER(SEARCH("Founder",C1226))+ISNUMBER(SEARCH("Owner",C1226))+ISNUMBER(SEARCH("Dueño",C1226))+ISNUMBER(SEARCH("Director General",C1226))+ISNUMBER(SEARCH("Presidente",C1226))+ISNUMBER(SEARCH("President",C1226))&gt;0,'Configuración'!$B$31,IF(ISNUMBER(SEARCH("CMO",C1226))+ISNUMBER(SEARCH("Chief Marketing",C1226))+ISNUMBER(SEARCH("VP Marketing",C1226))+ISNUMBER(SEARCH("Director de Marketing",C1226))+ISNUMBER(SEARCH("Director Marketing",C1226))+ISNUMBER(SEARCH("Head of Marketing",C1226))+ISNUMBER(SEARCH("Head Marketing",C1226))&gt;0,'Configuración'!$B$32,IF(ISNUMBER(SEARCH("Marketing Manager",C1226))+ISNUMBER(SEARCH("Gerente de Marketing",C1226))+ISNUMBER(SEARCH("Growth Manager",C1226))+ISNUMBER(SEARCH("Demand Gen",C1226))+ISNUMBER(SEARCH("Marketing Lead",C1226))&gt;0,'Configuración'!$B$33,IF(ISNUMBER(SEARCH("COO",C1226))+ISNUMBER(SEARCH("CFO",C1226))+ISNUMBER(SEARCH("CTO",C1226))+ISNUMBER(SEARCH("Chief Operating",C1226))+ISNUMBER(SEARCH("Chief Financial",C1226))+ISNUMBER(SEARCH("Gerente General",C1226))+ISNUMBER(SEARCH("General Manager",C1226))&gt;0,'Configuración'!$B$34,'Configuración'!$B$35)))))</f>
        <v>0</v>
      </c>
      <c r="V1226" s="38">
        <f>IF(B1226="","",IF(K1226="Sí",'Configuración'!$B$5,0)+IF(L1226="Semanal",'Configuración'!$B$6,IF(L1226="Mensual",'Configuración'!$B$7,0))+IF(M1226="Sí",'Configuración'!$B$8,0)+IF(N1226="Sí",'Configuración'!$B$9,0)+IF(O1226="Sí",'Configuración'!$B$10,0)+IF(P1226="Sí",'Configuración'!$B$11,0)+IF(Q1226="Sí",'Configuración'!$B$12,0)+S1226+T1226+U1226)</f>
        <v>16</v>
      </c>
      <c r="W1226" s="39" t="str">
        <f>IF(B1226="","",IF(V1226&gt;='Configuración'!$B$19,"A",IF(V1226&gt;='Configuración'!$B$20,"B",IF(V1226&gt;='Configuración'!$B$21,"C","Descarte"))))</f>
        <v>Descarte</v>
      </c>
    </row>
    <row r="1227" ht="15.75" customHeight="1">
      <c r="A1227" s="34">
        <f t="shared" si="1"/>
        <v>1225</v>
      </c>
      <c r="B1227" s="29" t="s">
        <v>181</v>
      </c>
      <c r="C1227" s="29" t="s">
        <v>7013</v>
      </c>
      <c r="D1227" s="29" t="s">
        <v>7014</v>
      </c>
      <c r="E1227" s="29" t="s">
        <v>7015</v>
      </c>
      <c r="F1227" s="30" t="s">
        <v>7016</v>
      </c>
      <c r="G1227" s="30" t="s">
        <v>7017</v>
      </c>
      <c r="H1227" s="30" t="s">
        <v>7018</v>
      </c>
      <c r="I1227" s="29" t="s">
        <v>127</v>
      </c>
      <c r="J1227" s="31">
        <v>29.0</v>
      </c>
      <c r="K1227" s="35"/>
      <c r="L1227" s="35"/>
      <c r="M1227" s="35"/>
      <c r="N1227" s="35"/>
      <c r="O1227" s="35"/>
      <c r="P1227" s="35"/>
      <c r="Q1227" s="35"/>
      <c r="R1227" s="35"/>
      <c r="S1227" s="37">
        <f>IF(B1227="","",IF(ISNUMBER(J1227),IF(J1227&lt;=10,'Configuración'!$B$23,IF(J1227&lt;=50,'Configuración'!$B$24,IF(J1227&lt;=200,'Configuración'!$B$25,0))),0))</f>
        <v>4</v>
      </c>
      <c r="T1227" s="37">
        <f>IF(B1227="","",IF(ISNUMBER(SEARCH("information technology",I1227))+ISNUMBER(SEARCH("software",I1227))+ISNUMBER(SEARCH("internet",I1227))+ISNUMBER(SEARCH("computer",I1227))+ISNUMBER(SEARCH("saas",I1227))+ISNUMBER(SEARCH("fintech",I1227))+ISNUMBER(SEARCH("information services",I1227))+ISNUMBER(SEARCH("telecommunications",I1227))&gt;0,'Configuración'!$B$27,'Configuración'!$B$28))</f>
        <v>12</v>
      </c>
      <c r="U1227" s="25">
        <f>IF(B1227="","",IF(ISNUMBER(SEARCH("CEO",C1227))+ISNUMBER(SEARCH("Founder",C1227))+ISNUMBER(SEARCH("Owner",C1227))+ISNUMBER(SEARCH("Dueño",C1227))+ISNUMBER(SEARCH("Director General",C1227))+ISNUMBER(SEARCH("Presidente",C1227))+ISNUMBER(SEARCH("President",C1227))&gt;0,'Configuración'!$B$31,IF(ISNUMBER(SEARCH("CMO",C1227))+ISNUMBER(SEARCH("Chief Marketing",C1227))+ISNUMBER(SEARCH("VP Marketing",C1227))+ISNUMBER(SEARCH("Director de Marketing",C1227))+ISNUMBER(SEARCH("Director Marketing",C1227))+ISNUMBER(SEARCH("Head of Marketing",C1227))+ISNUMBER(SEARCH("Head Marketing",C1227))&gt;0,'Configuración'!$B$32,IF(ISNUMBER(SEARCH("Marketing Manager",C1227))+ISNUMBER(SEARCH("Gerente de Marketing",C1227))+ISNUMBER(SEARCH("Growth Manager",C1227))+ISNUMBER(SEARCH("Demand Gen",C1227))+ISNUMBER(SEARCH("Marketing Lead",C1227))&gt;0,'Configuración'!$B$33,IF(ISNUMBER(SEARCH("COO",C1227))+ISNUMBER(SEARCH("CFO",C1227))+ISNUMBER(SEARCH("CTO",C1227))+ISNUMBER(SEARCH("Chief Operating",C1227))+ISNUMBER(SEARCH("Chief Financial",C1227))+ISNUMBER(SEARCH("Gerente General",C1227))+ISNUMBER(SEARCH("General Manager",C1227))&gt;0,'Configuración'!$B$34,'Configuración'!$B$35)))))</f>
        <v>4</v>
      </c>
      <c r="V1227" s="38">
        <f>IF(B1227="","",IF(K1227="Sí",'Configuración'!$B$5,0)+IF(L1227="Semanal",'Configuración'!$B$6,IF(L1227="Mensual",'Configuración'!$B$7,0))+IF(M1227="Sí",'Configuración'!$B$8,0)+IF(N1227="Sí",'Configuración'!$B$9,0)+IF(O1227="Sí",'Configuración'!$B$10,0)+IF(P1227="Sí",'Configuración'!$B$11,0)+IF(Q1227="Sí",'Configuración'!$B$12,0)+S1227+T1227+U1227)</f>
        <v>20</v>
      </c>
      <c r="W1227" s="39" t="str">
        <f>IF(B1227="","",IF(V1227&gt;='Configuración'!$B$19,"A",IF(V1227&gt;='Configuración'!$B$20,"B",IF(V1227&gt;='Configuración'!$B$21,"C","Descarte"))))</f>
        <v>Descarte</v>
      </c>
    </row>
    <row r="1228" ht="15.75" customHeight="1">
      <c r="A1228" s="34">
        <f t="shared" si="1"/>
        <v>1226</v>
      </c>
      <c r="B1228" s="29" t="s">
        <v>501</v>
      </c>
      <c r="C1228" s="29" t="s">
        <v>7019</v>
      </c>
      <c r="D1228" s="29" t="s">
        <v>7020</v>
      </c>
      <c r="E1228" s="29" t="s">
        <v>7021</v>
      </c>
      <c r="F1228" s="30" t="s">
        <v>7022</v>
      </c>
      <c r="G1228" s="30" t="s">
        <v>7023</v>
      </c>
      <c r="H1228" s="30" t="s">
        <v>7024</v>
      </c>
      <c r="I1228" s="29" t="s">
        <v>188</v>
      </c>
      <c r="J1228" s="31">
        <v>50.0</v>
      </c>
      <c r="K1228" s="35"/>
      <c r="L1228" s="35"/>
      <c r="M1228" s="35"/>
      <c r="N1228" s="35"/>
      <c r="O1228" s="35"/>
      <c r="P1228" s="35"/>
      <c r="Q1228" s="35"/>
      <c r="R1228" s="35"/>
      <c r="S1228" s="37">
        <f>IF(B1228="","",IF(ISNUMBER(J1228),IF(J1228&lt;=10,'Configuración'!$B$23,IF(J1228&lt;=50,'Configuración'!$B$24,IF(J1228&lt;=200,'Configuración'!$B$25,0))),0))</f>
        <v>4</v>
      </c>
      <c r="T1228" s="37">
        <f>IF(B1228="","",IF(ISNUMBER(SEARCH("information technology",I1228))+ISNUMBER(SEARCH("software",I1228))+ISNUMBER(SEARCH("internet",I1228))+ISNUMBER(SEARCH("computer",I1228))+ISNUMBER(SEARCH("saas",I1228))+ISNUMBER(SEARCH("fintech",I1228))+ISNUMBER(SEARCH("information services",I1228))+ISNUMBER(SEARCH("telecommunications",I1228))&gt;0,'Configuración'!$B$27,'Configuración'!$B$28))</f>
        <v>4</v>
      </c>
      <c r="U1228" s="25">
        <f>IF(B1228="","",IF(ISNUMBER(SEARCH("CEO",C1228))+ISNUMBER(SEARCH("Founder",C1228))+ISNUMBER(SEARCH("Owner",C1228))+ISNUMBER(SEARCH("Dueño",C1228))+ISNUMBER(SEARCH("Director General",C1228))+ISNUMBER(SEARCH("Presidente",C1228))+ISNUMBER(SEARCH("President",C1228))&gt;0,'Configuración'!$B$31,IF(ISNUMBER(SEARCH("CMO",C1228))+ISNUMBER(SEARCH("Chief Marketing",C1228))+ISNUMBER(SEARCH("VP Marketing",C1228))+ISNUMBER(SEARCH("Director de Marketing",C1228))+ISNUMBER(SEARCH("Director Marketing",C1228))+ISNUMBER(SEARCH("Head of Marketing",C1228))+ISNUMBER(SEARCH("Head Marketing",C1228))&gt;0,'Configuración'!$B$32,IF(ISNUMBER(SEARCH("Marketing Manager",C1228))+ISNUMBER(SEARCH("Gerente de Marketing",C1228))+ISNUMBER(SEARCH("Growth Manager",C1228))+ISNUMBER(SEARCH("Demand Gen",C1228))+ISNUMBER(SEARCH("Marketing Lead",C1228))&gt;0,'Configuración'!$B$33,IF(ISNUMBER(SEARCH("COO",C1228))+ISNUMBER(SEARCH("CFO",C1228))+ISNUMBER(SEARCH("CTO",C1228))+ISNUMBER(SEARCH("Chief Operating",C1228))+ISNUMBER(SEARCH("Chief Financial",C1228))+ISNUMBER(SEARCH("Gerente General",C1228))+ISNUMBER(SEARCH("General Manager",C1228))&gt;0,'Configuración'!$B$34,'Configuración'!$B$35)))))</f>
        <v>12</v>
      </c>
      <c r="V1228" s="38">
        <f>IF(B1228="","",IF(K1228="Sí",'Configuración'!$B$5,0)+IF(L1228="Semanal",'Configuración'!$B$6,IF(L1228="Mensual",'Configuración'!$B$7,0))+IF(M1228="Sí",'Configuración'!$B$8,0)+IF(N1228="Sí",'Configuración'!$B$9,0)+IF(O1228="Sí",'Configuración'!$B$10,0)+IF(P1228="Sí",'Configuración'!$B$11,0)+IF(Q1228="Sí",'Configuración'!$B$12,0)+S1228+T1228+U1228)</f>
        <v>20</v>
      </c>
      <c r="W1228" s="39" t="str">
        <f>IF(B1228="","",IF(V1228&gt;='Configuración'!$B$19,"A",IF(V1228&gt;='Configuración'!$B$20,"B",IF(V1228&gt;='Configuración'!$B$21,"C","Descarte"))))</f>
        <v>Descarte</v>
      </c>
    </row>
    <row r="1229" ht="15.75" customHeight="1">
      <c r="A1229" s="34">
        <f t="shared" si="1"/>
        <v>1227</v>
      </c>
      <c r="B1229" s="29" t="s">
        <v>7025</v>
      </c>
      <c r="C1229" s="29" t="s">
        <v>622</v>
      </c>
      <c r="D1229" s="29" t="s">
        <v>7026</v>
      </c>
      <c r="E1229" s="29" t="s">
        <v>7027</v>
      </c>
      <c r="F1229" s="30" t="s">
        <v>7028</v>
      </c>
      <c r="G1229" s="30" t="s">
        <v>7029</v>
      </c>
      <c r="H1229" s="30" t="s">
        <v>7030</v>
      </c>
      <c r="I1229" s="29" t="s">
        <v>1845</v>
      </c>
      <c r="J1229" s="31">
        <v>3.0</v>
      </c>
      <c r="K1229" s="35"/>
      <c r="L1229" s="35"/>
      <c r="M1229" s="35"/>
      <c r="N1229" s="35"/>
      <c r="O1229" s="35"/>
      <c r="P1229" s="35"/>
      <c r="Q1229" s="35"/>
      <c r="R1229" s="35"/>
      <c r="S1229" s="37">
        <f>IF(B1229="","",IF(ISNUMBER(J1229),IF(J1229&lt;=10,'Configuración'!$B$23,IF(J1229&lt;=50,'Configuración'!$B$24,IF(J1229&lt;=200,'Configuración'!$B$25,0))),0))</f>
        <v>12</v>
      </c>
      <c r="T1229" s="37">
        <f>IF(B1229="","",IF(ISNUMBER(SEARCH("information technology",I1229))+ISNUMBER(SEARCH("software",I1229))+ISNUMBER(SEARCH("internet",I1229))+ISNUMBER(SEARCH("computer",I1229))+ISNUMBER(SEARCH("saas",I1229))+ISNUMBER(SEARCH("fintech",I1229))+ISNUMBER(SEARCH("information services",I1229))+ISNUMBER(SEARCH("telecommunications",I1229))&gt;0,'Configuración'!$B$27,'Configuración'!$B$28))</f>
        <v>4</v>
      </c>
      <c r="U1229" s="25">
        <f>IF(B1229="","",IF(ISNUMBER(SEARCH("CEO",C1229))+ISNUMBER(SEARCH("Founder",C1229))+ISNUMBER(SEARCH("Owner",C1229))+ISNUMBER(SEARCH("Dueño",C1229))+ISNUMBER(SEARCH("Director General",C1229))+ISNUMBER(SEARCH("Presidente",C1229))+ISNUMBER(SEARCH("President",C1229))&gt;0,'Configuración'!$B$31,IF(ISNUMBER(SEARCH("CMO",C1229))+ISNUMBER(SEARCH("Chief Marketing",C1229))+ISNUMBER(SEARCH("VP Marketing",C1229))+ISNUMBER(SEARCH("Director de Marketing",C1229))+ISNUMBER(SEARCH("Director Marketing",C1229))+ISNUMBER(SEARCH("Head of Marketing",C1229))+ISNUMBER(SEARCH("Head Marketing",C1229))&gt;0,'Configuración'!$B$32,IF(ISNUMBER(SEARCH("Marketing Manager",C1229))+ISNUMBER(SEARCH("Gerente de Marketing",C1229))+ISNUMBER(SEARCH("Growth Manager",C1229))+ISNUMBER(SEARCH("Demand Gen",C1229))+ISNUMBER(SEARCH("Marketing Lead",C1229))&gt;0,'Configuración'!$B$33,IF(ISNUMBER(SEARCH("COO",C1229))+ISNUMBER(SEARCH("CFO",C1229))+ISNUMBER(SEARCH("CTO",C1229))+ISNUMBER(SEARCH("Chief Operating",C1229))+ISNUMBER(SEARCH("Chief Financial",C1229))+ISNUMBER(SEARCH("Gerente General",C1229))+ISNUMBER(SEARCH("General Manager",C1229))&gt;0,'Configuración'!$B$34,'Configuración'!$B$35)))))</f>
        <v>12</v>
      </c>
      <c r="V1229" s="38">
        <f>IF(B1229="","",IF(K1229="Sí",'Configuración'!$B$5,0)+IF(L1229="Semanal",'Configuración'!$B$6,IF(L1229="Mensual",'Configuración'!$B$7,0))+IF(M1229="Sí",'Configuración'!$B$8,0)+IF(N1229="Sí",'Configuración'!$B$9,0)+IF(O1229="Sí",'Configuración'!$B$10,0)+IF(P1229="Sí",'Configuración'!$B$11,0)+IF(Q1229="Sí",'Configuración'!$B$12,0)+S1229+T1229+U1229)</f>
        <v>28</v>
      </c>
      <c r="W1229" s="39" t="str">
        <f>IF(B1229="","",IF(V1229&gt;='Configuración'!$B$19,"A",IF(V1229&gt;='Configuración'!$B$20,"B",IF(V1229&gt;='Configuración'!$B$21,"C","Descarte"))))</f>
        <v>C</v>
      </c>
    </row>
    <row r="1230" ht="15.75" customHeight="1">
      <c r="A1230" s="34">
        <f t="shared" si="1"/>
        <v>1228</v>
      </c>
      <c r="B1230" s="29" t="s">
        <v>7031</v>
      </c>
      <c r="C1230" s="29" t="s">
        <v>311</v>
      </c>
      <c r="D1230" s="29" t="s">
        <v>7032</v>
      </c>
      <c r="E1230" s="29" t="s">
        <v>7033</v>
      </c>
      <c r="F1230" s="30" t="s">
        <v>7034</v>
      </c>
      <c r="G1230" s="30" t="s">
        <v>7035</v>
      </c>
      <c r="H1230" s="30" t="s">
        <v>7036</v>
      </c>
      <c r="I1230" s="29" t="s">
        <v>116</v>
      </c>
      <c r="J1230" s="31">
        <v>36.0</v>
      </c>
      <c r="K1230" s="35"/>
      <c r="L1230" s="35"/>
      <c r="M1230" s="35"/>
      <c r="N1230" s="35"/>
      <c r="O1230" s="35"/>
      <c r="P1230" s="35"/>
      <c r="Q1230" s="35"/>
      <c r="R1230" s="35"/>
      <c r="S1230" s="37">
        <f>IF(B1230="","",IF(ISNUMBER(J1230),IF(J1230&lt;=10,'Configuración'!$B$23,IF(J1230&lt;=50,'Configuración'!$B$24,IF(J1230&lt;=200,'Configuración'!$B$25,0))),0))</f>
        <v>4</v>
      </c>
      <c r="T1230" s="37">
        <f>IF(B1230="","",IF(ISNUMBER(SEARCH("information technology",I1230))+ISNUMBER(SEARCH("software",I1230))+ISNUMBER(SEARCH("internet",I1230))+ISNUMBER(SEARCH("computer",I1230))+ISNUMBER(SEARCH("saas",I1230))+ISNUMBER(SEARCH("fintech",I1230))+ISNUMBER(SEARCH("information services",I1230))+ISNUMBER(SEARCH("telecommunications",I1230))&gt;0,'Configuración'!$B$27,'Configuración'!$B$28))</f>
        <v>4</v>
      </c>
      <c r="U1230" s="25">
        <f>IF(B1230="","",IF(ISNUMBER(SEARCH("CEO",C1230))+ISNUMBER(SEARCH("Founder",C1230))+ISNUMBER(SEARCH("Owner",C1230))+ISNUMBER(SEARCH("Dueño",C1230))+ISNUMBER(SEARCH("Director General",C1230))+ISNUMBER(SEARCH("Presidente",C1230))+ISNUMBER(SEARCH("President",C1230))&gt;0,'Configuración'!$B$31,IF(ISNUMBER(SEARCH("CMO",C1230))+ISNUMBER(SEARCH("Chief Marketing",C1230))+ISNUMBER(SEARCH("VP Marketing",C1230))+ISNUMBER(SEARCH("Director de Marketing",C1230))+ISNUMBER(SEARCH("Director Marketing",C1230))+ISNUMBER(SEARCH("Head of Marketing",C1230))+ISNUMBER(SEARCH("Head Marketing",C1230))&gt;0,'Configuración'!$B$32,IF(ISNUMBER(SEARCH("Marketing Manager",C1230))+ISNUMBER(SEARCH("Gerente de Marketing",C1230))+ISNUMBER(SEARCH("Growth Manager",C1230))+ISNUMBER(SEARCH("Demand Gen",C1230))+ISNUMBER(SEARCH("Marketing Lead",C1230))&gt;0,'Configuración'!$B$33,IF(ISNUMBER(SEARCH("COO",C1230))+ISNUMBER(SEARCH("CFO",C1230))+ISNUMBER(SEARCH("CTO",C1230))+ISNUMBER(SEARCH("Chief Operating",C1230))+ISNUMBER(SEARCH("Chief Financial",C1230))+ISNUMBER(SEARCH("Gerente General",C1230))+ISNUMBER(SEARCH("General Manager",C1230))&gt;0,'Configuración'!$B$34,'Configuración'!$B$35)))))</f>
        <v>12</v>
      </c>
      <c r="V1230" s="38">
        <f>IF(B1230="","",IF(K1230="Sí",'Configuración'!$B$5,0)+IF(L1230="Semanal",'Configuración'!$B$6,IF(L1230="Mensual",'Configuración'!$B$7,0))+IF(M1230="Sí",'Configuración'!$B$8,0)+IF(N1230="Sí",'Configuración'!$B$9,0)+IF(O1230="Sí",'Configuración'!$B$10,0)+IF(P1230="Sí",'Configuración'!$B$11,0)+IF(Q1230="Sí",'Configuración'!$B$12,0)+S1230+T1230+U1230)</f>
        <v>20</v>
      </c>
      <c r="W1230" s="39" t="str">
        <f>IF(B1230="","",IF(V1230&gt;='Configuración'!$B$19,"A",IF(V1230&gt;='Configuración'!$B$20,"B",IF(V1230&gt;='Configuración'!$B$21,"C","Descarte"))))</f>
        <v>Descarte</v>
      </c>
    </row>
    <row r="1231" ht="15.75" customHeight="1">
      <c r="A1231" s="34">
        <f t="shared" si="1"/>
        <v>1229</v>
      </c>
      <c r="B1231" s="29" t="s">
        <v>7037</v>
      </c>
      <c r="C1231" s="29" t="s">
        <v>110</v>
      </c>
      <c r="D1231" s="29" t="s">
        <v>7038</v>
      </c>
      <c r="E1231" s="29" t="s">
        <v>7039</v>
      </c>
      <c r="F1231" s="30" t="s">
        <v>7040</v>
      </c>
      <c r="G1231" s="30" t="s">
        <v>7041</v>
      </c>
      <c r="H1231" s="30" t="s">
        <v>7042</v>
      </c>
      <c r="I1231" s="29" t="s">
        <v>127</v>
      </c>
      <c r="J1231" s="31">
        <v>2.0</v>
      </c>
      <c r="K1231" s="35"/>
      <c r="L1231" s="35"/>
      <c r="M1231" s="35"/>
      <c r="N1231" s="35"/>
      <c r="O1231" s="35"/>
      <c r="P1231" s="35"/>
      <c r="Q1231" s="35"/>
      <c r="R1231" s="35"/>
      <c r="S1231" s="37">
        <f>IF(B1231="","",IF(ISNUMBER(J1231),IF(J1231&lt;=10,'Configuración'!$B$23,IF(J1231&lt;=50,'Configuración'!$B$24,IF(J1231&lt;=200,'Configuración'!$B$25,0))),0))</f>
        <v>12</v>
      </c>
      <c r="T1231" s="37">
        <f>IF(B1231="","",IF(ISNUMBER(SEARCH("information technology",I1231))+ISNUMBER(SEARCH("software",I1231))+ISNUMBER(SEARCH("internet",I1231))+ISNUMBER(SEARCH("computer",I1231))+ISNUMBER(SEARCH("saas",I1231))+ISNUMBER(SEARCH("fintech",I1231))+ISNUMBER(SEARCH("information services",I1231))+ISNUMBER(SEARCH("telecommunications",I1231))&gt;0,'Configuración'!$B$27,'Configuración'!$B$28))</f>
        <v>12</v>
      </c>
      <c r="U1231" s="25">
        <f>IF(B1231="","",IF(ISNUMBER(SEARCH("CEO",C1231))+ISNUMBER(SEARCH("Founder",C1231))+ISNUMBER(SEARCH("Owner",C1231))+ISNUMBER(SEARCH("Dueño",C1231))+ISNUMBER(SEARCH("Director General",C1231))+ISNUMBER(SEARCH("Presidente",C1231))+ISNUMBER(SEARCH("President",C1231))&gt;0,'Configuración'!$B$31,IF(ISNUMBER(SEARCH("CMO",C1231))+ISNUMBER(SEARCH("Chief Marketing",C1231))+ISNUMBER(SEARCH("VP Marketing",C1231))+ISNUMBER(SEARCH("Director de Marketing",C1231))+ISNUMBER(SEARCH("Director Marketing",C1231))+ISNUMBER(SEARCH("Head of Marketing",C1231))+ISNUMBER(SEARCH("Head Marketing",C1231))&gt;0,'Configuración'!$B$32,IF(ISNUMBER(SEARCH("Marketing Manager",C1231))+ISNUMBER(SEARCH("Gerente de Marketing",C1231))+ISNUMBER(SEARCH("Growth Manager",C1231))+ISNUMBER(SEARCH("Demand Gen",C1231))+ISNUMBER(SEARCH("Marketing Lead",C1231))&gt;0,'Configuración'!$B$33,IF(ISNUMBER(SEARCH("COO",C1231))+ISNUMBER(SEARCH("CFO",C1231))+ISNUMBER(SEARCH("CTO",C1231))+ISNUMBER(SEARCH("Chief Operating",C1231))+ISNUMBER(SEARCH("Chief Financial",C1231))+ISNUMBER(SEARCH("Gerente General",C1231))+ISNUMBER(SEARCH("General Manager",C1231))&gt;0,'Configuración'!$B$34,'Configuración'!$B$35)))))</f>
        <v>12</v>
      </c>
      <c r="V1231" s="38">
        <f>IF(B1231="","",IF(K1231="Sí",'Configuración'!$B$5,0)+IF(L1231="Semanal",'Configuración'!$B$6,IF(L1231="Mensual",'Configuración'!$B$7,0))+IF(M1231="Sí",'Configuración'!$B$8,0)+IF(N1231="Sí",'Configuración'!$B$9,0)+IF(O1231="Sí",'Configuración'!$B$10,0)+IF(P1231="Sí",'Configuración'!$B$11,0)+IF(Q1231="Sí",'Configuración'!$B$12,0)+S1231+T1231+U1231)</f>
        <v>36</v>
      </c>
      <c r="W1231" s="39" t="str">
        <f>IF(B1231="","",IF(V1231&gt;='Configuración'!$B$19,"A",IF(V1231&gt;='Configuración'!$B$20,"B",IF(V1231&gt;='Configuración'!$B$21,"C","Descarte"))))</f>
        <v>C</v>
      </c>
    </row>
    <row r="1232" ht="15.75" customHeight="1">
      <c r="A1232" s="34">
        <f t="shared" si="1"/>
        <v>1230</v>
      </c>
      <c r="B1232" s="29" t="s">
        <v>2677</v>
      </c>
      <c r="C1232" s="29" t="s">
        <v>7043</v>
      </c>
      <c r="D1232" s="29" t="s">
        <v>7044</v>
      </c>
      <c r="E1232" s="29" t="s">
        <v>7045</v>
      </c>
      <c r="F1232" s="30" t="s">
        <v>7046</v>
      </c>
      <c r="G1232" s="30" t="s">
        <v>7047</v>
      </c>
      <c r="H1232" s="30" t="s">
        <v>7048</v>
      </c>
      <c r="I1232" s="29" t="s">
        <v>1027</v>
      </c>
      <c r="J1232" s="31">
        <v>12.0</v>
      </c>
      <c r="K1232" s="35"/>
      <c r="L1232" s="35"/>
      <c r="M1232" s="35"/>
      <c r="N1232" s="35"/>
      <c r="O1232" s="35"/>
      <c r="P1232" s="35"/>
      <c r="Q1232" s="35"/>
      <c r="R1232" s="35"/>
      <c r="S1232" s="37">
        <f>IF(B1232="","",IF(ISNUMBER(J1232),IF(J1232&lt;=10,'Configuración'!$B$23,IF(J1232&lt;=50,'Configuración'!$B$24,IF(J1232&lt;=200,'Configuración'!$B$25,0))),0))</f>
        <v>4</v>
      </c>
      <c r="T1232" s="37">
        <f>IF(B1232="","",IF(ISNUMBER(SEARCH("information technology",I1232))+ISNUMBER(SEARCH("software",I1232))+ISNUMBER(SEARCH("internet",I1232))+ISNUMBER(SEARCH("computer",I1232))+ISNUMBER(SEARCH("saas",I1232))+ISNUMBER(SEARCH("fintech",I1232))+ISNUMBER(SEARCH("information services",I1232))+ISNUMBER(SEARCH("telecommunications",I1232))&gt;0,'Configuración'!$B$27,'Configuración'!$B$28))</f>
        <v>4</v>
      </c>
      <c r="U1232" s="25">
        <f>IF(B1232="","",IF(ISNUMBER(SEARCH("CEO",C1232))+ISNUMBER(SEARCH("Founder",C1232))+ISNUMBER(SEARCH("Owner",C1232))+ISNUMBER(SEARCH("Dueño",C1232))+ISNUMBER(SEARCH("Director General",C1232))+ISNUMBER(SEARCH("Presidente",C1232))+ISNUMBER(SEARCH("President",C1232))&gt;0,'Configuración'!$B$31,IF(ISNUMBER(SEARCH("CMO",C1232))+ISNUMBER(SEARCH("Chief Marketing",C1232))+ISNUMBER(SEARCH("VP Marketing",C1232))+ISNUMBER(SEARCH("Director de Marketing",C1232))+ISNUMBER(SEARCH("Director Marketing",C1232))+ISNUMBER(SEARCH("Head of Marketing",C1232))+ISNUMBER(SEARCH("Head Marketing",C1232))&gt;0,'Configuración'!$B$32,IF(ISNUMBER(SEARCH("Marketing Manager",C1232))+ISNUMBER(SEARCH("Gerente de Marketing",C1232))+ISNUMBER(SEARCH("Growth Manager",C1232))+ISNUMBER(SEARCH("Demand Gen",C1232))+ISNUMBER(SEARCH("Marketing Lead",C1232))&gt;0,'Configuración'!$B$33,IF(ISNUMBER(SEARCH("COO",C1232))+ISNUMBER(SEARCH("CFO",C1232))+ISNUMBER(SEARCH("CTO",C1232))+ISNUMBER(SEARCH("Chief Operating",C1232))+ISNUMBER(SEARCH("Chief Financial",C1232))+ISNUMBER(SEARCH("Gerente General",C1232))+ISNUMBER(SEARCH("General Manager",C1232))&gt;0,'Configuración'!$B$34,'Configuración'!$B$35)))))</f>
        <v>12</v>
      </c>
      <c r="V1232" s="38">
        <f>IF(B1232="","",IF(K1232="Sí",'Configuración'!$B$5,0)+IF(L1232="Semanal",'Configuración'!$B$6,IF(L1232="Mensual",'Configuración'!$B$7,0))+IF(M1232="Sí",'Configuración'!$B$8,0)+IF(N1232="Sí",'Configuración'!$B$9,0)+IF(O1232="Sí",'Configuración'!$B$10,0)+IF(P1232="Sí",'Configuración'!$B$11,0)+IF(Q1232="Sí",'Configuración'!$B$12,0)+S1232+T1232+U1232)</f>
        <v>20</v>
      </c>
      <c r="W1232" s="39" t="str">
        <f>IF(B1232="","",IF(V1232&gt;='Configuración'!$B$19,"A",IF(V1232&gt;='Configuración'!$B$20,"B",IF(V1232&gt;='Configuración'!$B$21,"C","Descarte"))))</f>
        <v>Descarte</v>
      </c>
    </row>
    <row r="1233" ht="15.75" customHeight="1">
      <c r="A1233" s="34">
        <f t="shared" si="1"/>
        <v>1231</v>
      </c>
      <c r="B1233" s="29" t="s">
        <v>174</v>
      </c>
      <c r="C1233" s="29" t="s">
        <v>1938</v>
      </c>
      <c r="D1233" s="29" t="s">
        <v>7049</v>
      </c>
      <c r="E1233" s="29" t="s">
        <v>7050</v>
      </c>
      <c r="F1233" s="30" t="s">
        <v>7051</v>
      </c>
      <c r="G1233" s="30" t="s">
        <v>7052</v>
      </c>
      <c r="H1233" s="30" t="s">
        <v>7053</v>
      </c>
      <c r="I1233" s="29" t="s">
        <v>127</v>
      </c>
      <c r="J1233" s="31">
        <v>11.0</v>
      </c>
      <c r="K1233" s="35"/>
      <c r="L1233" s="35"/>
      <c r="M1233" s="35"/>
      <c r="N1233" s="35"/>
      <c r="O1233" s="35"/>
      <c r="P1233" s="35"/>
      <c r="Q1233" s="35"/>
      <c r="R1233" s="35"/>
      <c r="S1233" s="37">
        <f>IF(B1233="","",IF(ISNUMBER(J1233),IF(J1233&lt;=10,'Configuración'!$B$23,IF(J1233&lt;=50,'Configuración'!$B$24,IF(J1233&lt;=200,'Configuración'!$B$25,0))),0))</f>
        <v>4</v>
      </c>
      <c r="T1233" s="37">
        <f>IF(B1233="","",IF(ISNUMBER(SEARCH("information technology",I1233))+ISNUMBER(SEARCH("software",I1233))+ISNUMBER(SEARCH("internet",I1233))+ISNUMBER(SEARCH("computer",I1233))+ISNUMBER(SEARCH("saas",I1233))+ISNUMBER(SEARCH("fintech",I1233))+ISNUMBER(SEARCH("information services",I1233))+ISNUMBER(SEARCH("telecommunications",I1233))&gt;0,'Configuración'!$B$27,'Configuración'!$B$28))</f>
        <v>12</v>
      </c>
      <c r="U1233" s="25">
        <f>IF(B1233="","",IF(ISNUMBER(SEARCH("CEO",C1233))+ISNUMBER(SEARCH("Founder",C1233))+ISNUMBER(SEARCH("Owner",C1233))+ISNUMBER(SEARCH("Dueño",C1233))+ISNUMBER(SEARCH("Director General",C1233))+ISNUMBER(SEARCH("Presidente",C1233))+ISNUMBER(SEARCH("President",C1233))&gt;0,'Configuración'!$B$31,IF(ISNUMBER(SEARCH("CMO",C1233))+ISNUMBER(SEARCH("Chief Marketing",C1233))+ISNUMBER(SEARCH("VP Marketing",C1233))+ISNUMBER(SEARCH("Director de Marketing",C1233))+ISNUMBER(SEARCH("Director Marketing",C1233))+ISNUMBER(SEARCH("Head of Marketing",C1233))+ISNUMBER(SEARCH("Head Marketing",C1233))&gt;0,'Configuración'!$B$32,IF(ISNUMBER(SEARCH("Marketing Manager",C1233))+ISNUMBER(SEARCH("Gerente de Marketing",C1233))+ISNUMBER(SEARCH("Growth Manager",C1233))+ISNUMBER(SEARCH("Demand Gen",C1233))+ISNUMBER(SEARCH("Marketing Lead",C1233))&gt;0,'Configuración'!$B$33,IF(ISNUMBER(SEARCH("COO",C1233))+ISNUMBER(SEARCH("CFO",C1233))+ISNUMBER(SEARCH("CTO",C1233))+ISNUMBER(SEARCH("Chief Operating",C1233))+ISNUMBER(SEARCH("Chief Financial",C1233))+ISNUMBER(SEARCH("Gerente General",C1233))+ISNUMBER(SEARCH("General Manager",C1233))&gt;0,'Configuración'!$B$34,'Configuración'!$B$35)))))</f>
        <v>12</v>
      </c>
      <c r="V1233" s="38">
        <f>IF(B1233="","",IF(K1233="Sí",'Configuración'!$B$5,0)+IF(L1233="Semanal",'Configuración'!$B$6,IF(L1233="Mensual",'Configuración'!$B$7,0))+IF(M1233="Sí",'Configuración'!$B$8,0)+IF(N1233="Sí",'Configuración'!$B$9,0)+IF(O1233="Sí",'Configuración'!$B$10,0)+IF(P1233="Sí",'Configuración'!$B$11,0)+IF(Q1233="Sí",'Configuración'!$B$12,0)+S1233+T1233+U1233)</f>
        <v>28</v>
      </c>
      <c r="W1233" s="39" t="str">
        <f>IF(B1233="","",IF(V1233&gt;='Configuración'!$B$19,"A",IF(V1233&gt;='Configuración'!$B$20,"B",IF(V1233&gt;='Configuración'!$B$21,"C","Descarte"))))</f>
        <v>C</v>
      </c>
    </row>
    <row r="1234" ht="15.75" customHeight="1">
      <c r="A1234" s="34">
        <f t="shared" si="1"/>
        <v>1232</v>
      </c>
      <c r="B1234" s="29" t="s">
        <v>2788</v>
      </c>
      <c r="C1234" s="29" t="s">
        <v>7054</v>
      </c>
      <c r="D1234" s="29" t="s">
        <v>7055</v>
      </c>
      <c r="E1234" s="29" t="s">
        <v>7056</v>
      </c>
      <c r="F1234" s="30" t="s">
        <v>7057</v>
      </c>
      <c r="G1234" s="30" t="s">
        <v>7058</v>
      </c>
      <c r="H1234" s="30" t="s">
        <v>7059</v>
      </c>
      <c r="I1234" s="29" t="s">
        <v>127</v>
      </c>
      <c r="J1234" s="31">
        <v>8.0</v>
      </c>
      <c r="K1234" s="35"/>
      <c r="L1234" s="35"/>
      <c r="M1234" s="35"/>
      <c r="N1234" s="35"/>
      <c r="O1234" s="35"/>
      <c r="P1234" s="35"/>
      <c r="Q1234" s="35"/>
      <c r="R1234" s="35"/>
      <c r="S1234" s="37">
        <f>IF(B1234="","",IF(ISNUMBER(J1234),IF(J1234&lt;=10,'Configuración'!$B$23,IF(J1234&lt;=50,'Configuración'!$B$24,IF(J1234&lt;=200,'Configuración'!$B$25,0))),0))</f>
        <v>12</v>
      </c>
      <c r="T1234" s="37">
        <f>IF(B1234="","",IF(ISNUMBER(SEARCH("information technology",I1234))+ISNUMBER(SEARCH("software",I1234))+ISNUMBER(SEARCH("internet",I1234))+ISNUMBER(SEARCH("computer",I1234))+ISNUMBER(SEARCH("saas",I1234))+ISNUMBER(SEARCH("fintech",I1234))+ISNUMBER(SEARCH("information services",I1234))+ISNUMBER(SEARCH("telecommunications",I1234))&gt;0,'Configuración'!$B$27,'Configuración'!$B$28))</f>
        <v>12</v>
      </c>
      <c r="U1234" s="25">
        <f>IF(B1234="","",IF(ISNUMBER(SEARCH("CEO",C1234))+ISNUMBER(SEARCH("Founder",C1234))+ISNUMBER(SEARCH("Owner",C1234))+ISNUMBER(SEARCH("Dueño",C1234))+ISNUMBER(SEARCH("Director General",C1234))+ISNUMBER(SEARCH("Presidente",C1234))+ISNUMBER(SEARCH("President",C1234))&gt;0,'Configuración'!$B$31,IF(ISNUMBER(SEARCH("CMO",C1234))+ISNUMBER(SEARCH("Chief Marketing",C1234))+ISNUMBER(SEARCH("VP Marketing",C1234))+ISNUMBER(SEARCH("Director de Marketing",C1234))+ISNUMBER(SEARCH("Director Marketing",C1234))+ISNUMBER(SEARCH("Head of Marketing",C1234))+ISNUMBER(SEARCH("Head Marketing",C1234))&gt;0,'Configuración'!$B$32,IF(ISNUMBER(SEARCH("Marketing Manager",C1234))+ISNUMBER(SEARCH("Gerente de Marketing",C1234))+ISNUMBER(SEARCH("Growth Manager",C1234))+ISNUMBER(SEARCH("Demand Gen",C1234))+ISNUMBER(SEARCH("Marketing Lead",C1234))&gt;0,'Configuración'!$B$33,IF(ISNUMBER(SEARCH("COO",C1234))+ISNUMBER(SEARCH("CFO",C1234))+ISNUMBER(SEARCH("CTO",C1234))+ISNUMBER(SEARCH("Chief Operating",C1234))+ISNUMBER(SEARCH("Chief Financial",C1234))+ISNUMBER(SEARCH("Gerente General",C1234))+ISNUMBER(SEARCH("General Manager",C1234))&gt;0,'Configuración'!$B$34,'Configuración'!$B$35)))))</f>
        <v>12</v>
      </c>
      <c r="V1234" s="38">
        <f>IF(B1234="","",IF(K1234="Sí",'Configuración'!$B$5,0)+IF(L1234="Semanal",'Configuración'!$B$6,IF(L1234="Mensual",'Configuración'!$B$7,0))+IF(M1234="Sí",'Configuración'!$B$8,0)+IF(N1234="Sí",'Configuración'!$B$9,0)+IF(O1234="Sí",'Configuración'!$B$10,0)+IF(P1234="Sí",'Configuración'!$B$11,0)+IF(Q1234="Sí",'Configuración'!$B$12,0)+S1234+T1234+U1234)</f>
        <v>36</v>
      </c>
      <c r="W1234" s="39" t="str">
        <f>IF(B1234="","",IF(V1234&gt;='Configuración'!$B$19,"A",IF(V1234&gt;='Configuración'!$B$20,"B",IF(V1234&gt;='Configuración'!$B$21,"C","Descarte"))))</f>
        <v>C</v>
      </c>
    </row>
    <row r="1235" ht="15.75" customHeight="1">
      <c r="A1235" s="34">
        <f t="shared" si="1"/>
        <v>1233</v>
      </c>
      <c r="B1235" s="29" t="s">
        <v>536</v>
      </c>
      <c r="C1235" s="29" t="s">
        <v>467</v>
      </c>
      <c r="D1235" s="29" t="s">
        <v>7060</v>
      </c>
      <c r="E1235" s="29" t="s">
        <v>7061</v>
      </c>
      <c r="F1235" s="30" t="s">
        <v>7062</v>
      </c>
      <c r="G1235" s="30" t="s">
        <v>7063</v>
      </c>
      <c r="H1235" s="30" t="s">
        <v>7064</v>
      </c>
      <c r="I1235" s="29" t="s">
        <v>127</v>
      </c>
      <c r="J1235" s="31">
        <v>8.0</v>
      </c>
      <c r="K1235" s="35"/>
      <c r="L1235" s="35"/>
      <c r="M1235" s="35"/>
      <c r="N1235" s="35"/>
      <c r="O1235" s="35"/>
      <c r="P1235" s="35"/>
      <c r="Q1235" s="35"/>
      <c r="R1235" s="35"/>
      <c r="S1235" s="37">
        <f>IF(B1235="","",IF(ISNUMBER(J1235),IF(J1235&lt;=10,'Configuración'!$B$23,IF(J1235&lt;=50,'Configuración'!$B$24,IF(J1235&lt;=200,'Configuración'!$B$25,0))),0))</f>
        <v>12</v>
      </c>
      <c r="T1235" s="37">
        <f>IF(B1235="","",IF(ISNUMBER(SEARCH("information technology",I1235))+ISNUMBER(SEARCH("software",I1235))+ISNUMBER(SEARCH("internet",I1235))+ISNUMBER(SEARCH("computer",I1235))+ISNUMBER(SEARCH("saas",I1235))+ISNUMBER(SEARCH("fintech",I1235))+ISNUMBER(SEARCH("information services",I1235))+ISNUMBER(SEARCH("telecommunications",I1235))&gt;0,'Configuración'!$B$27,'Configuración'!$B$28))</f>
        <v>12</v>
      </c>
      <c r="U1235" s="25">
        <f>IF(B1235="","",IF(ISNUMBER(SEARCH("CEO",C1235))+ISNUMBER(SEARCH("Founder",C1235))+ISNUMBER(SEARCH("Owner",C1235))+ISNUMBER(SEARCH("Dueño",C1235))+ISNUMBER(SEARCH("Director General",C1235))+ISNUMBER(SEARCH("Presidente",C1235))+ISNUMBER(SEARCH("President",C1235))&gt;0,'Configuración'!$B$31,IF(ISNUMBER(SEARCH("CMO",C1235))+ISNUMBER(SEARCH("Chief Marketing",C1235))+ISNUMBER(SEARCH("VP Marketing",C1235))+ISNUMBER(SEARCH("Director de Marketing",C1235))+ISNUMBER(SEARCH("Director Marketing",C1235))+ISNUMBER(SEARCH("Head of Marketing",C1235))+ISNUMBER(SEARCH("Head Marketing",C1235))&gt;0,'Configuración'!$B$32,IF(ISNUMBER(SEARCH("Marketing Manager",C1235))+ISNUMBER(SEARCH("Gerente de Marketing",C1235))+ISNUMBER(SEARCH("Growth Manager",C1235))+ISNUMBER(SEARCH("Demand Gen",C1235))+ISNUMBER(SEARCH("Marketing Lead",C1235))&gt;0,'Configuración'!$B$33,IF(ISNUMBER(SEARCH("COO",C1235))+ISNUMBER(SEARCH("CFO",C1235))+ISNUMBER(SEARCH("CTO",C1235))+ISNUMBER(SEARCH("Chief Operating",C1235))+ISNUMBER(SEARCH("Chief Financial",C1235))+ISNUMBER(SEARCH("Gerente General",C1235))+ISNUMBER(SEARCH("General Manager",C1235))&gt;0,'Configuración'!$B$34,'Configuración'!$B$35)))))</f>
        <v>0</v>
      </c>
      <c r="V1235" s="38">
        <f>IF(B1235="","",IF(K1235="Sí",'Configuración'!$B$5,0)+IF(L1235="Semanal",'Configuración'!$B$6,IF(L1235="Mensual",'Configuración'!$B$7,0))+IF(M1235="Sí",'Configuración'!$B$8,0)+IF(N1235="Sí",'Configuración'!$B$9,0)+IF(O1235="Sí",'Configuración'!$B$10,0)+IF(P1235="Sí",'Configuración'!$B$11,0)+IF(Q1235="Sí",'Configuración'!$B$12,0)+S1235+T1235+U1235)</f>
        <v>24</v>
      </c>
      <c r="W1235" s="39" t="str">
        <f>IF(B1235="","",IF(V1235&gt;='Configuración'!$B$19,"A",IF(V1235&gt;='Configuración'!$B$20,"B",IF(V1235&gt;='Configuración'!$B$21,"C","Descarte"))))</f>
        <v>C</v>
      </c>
    </row>
    <row r="1236" ht="15.75" customHeight="1">
      <c r="A1236" s="34">
        <f t="shared" si="1"/>
        <v>1234</v>
      </c>
      <c r="B1236" s="29" t="s">
        <v>1548</v>
      </c>
      <c r="C1236" s="29" t="s">
        <v>7065</v>
      </c>
      <c r="D1236" s="29" t="s">
        <v>7066</v>
      </c>
      <c r="E1236" s="29" t="s">
        <v>7067</v>
      </c>
      <c r="F1236" s="30" t="s">
        <v>7068</v>
      </c>
      <c r="G1236" s="30" t="s">
        <v>7069</v>
      </c>
      <c r="H1236" s="30" t="s">
        <v>7070</v>
      </c>
      <c r="I1236" s="29" t="s">
        <v>127</v>
      </c>
      <c r="J1236" s="31">
        <v>18.0</v>
      </c>
      <c r="K1236" s="35"/>
      <c r="L1236" s="35"/>
      <c r="M1236" s="35"/>
      <c r="N1236" s="35"/>
      <c r="O1236" s="35"/>
      <c r="P1236" s="35"/>
      <c r="Q1236" s="35"/>
      <c r="R1236" s="35"/>
      <c r="S1236" s="37">
        <f>IF(B1236="","",IF(ISNUMBER(J1236),IF(J1236&lt;=10,'Configuración'!$B$23,IF(J1236&lt;=50,'Configuración'!$B$24,IF(J1236&lt;=200,'Configuración'!$B$25,0))),0))</f>
        <v>4</v>
      </c>
      <c r="T1236" s="37">
        <f>IF(B1236="","",IF(ISNUMBER(SEARCH("information technology",I1236))+ISNUMBER(SEARCH("software",I1236))+ISNUMBER(SEARCH("internet",I1236))+ISNUMBER(SEARCH("computer",I1236))+ISNUMBER(SEARCH("saas",I1236))+ISNUMBER(SEARCH("fintech",I1236))+ISNUMBER(SEARCH("information services",I1236))+ISNUMBER(SEARCH("telecommunications",I1236))&gt;0,'Configuración'!$B$27,'Configuración'!$B$28))</f>
        <v>12</v>
      </c>
      <c r="U1236" s="25">
        <f>IF(B1236="","",IF(ISNUMBER(SEARCH("CEO",C1236))+ISNUMBER(SEARCH("Founder",C1236))+ISNUMBER(SEARCH("Owner",C1236))+ISNUMBER(SEARCH("Dueño",C1236))+ISNUMBER(SEARCH("Director General",C1236))+ISNUMBER(SEARCH("Presidente",C1236))+ISNUMBER(SEARCH("President",C1236))&gt;0,'Configuración'!$B$31,IF(ISNUMBER(SEARCH("CMO",C1236))+ISNUMBER(SEARCH("Chief Marketing",C1236))+ISNUMBER(SEARCH("VP Marketing",C1236))+ISNUMBER(SEARCH("Director de Marketing",C1236))+ISNUMBER(SEARCH("Director Marketing",C1236))+ISNUMBER(SEARCH("Head of Marketing",C1236))+ISNUMBER(SEARCH("Head Marketing",C1236))&gt;0,'Configuración'!$B$32,IF(ISNUMBER(SEARCH("Marketing Manager",C1236))+ISNUMBER(SEARCH("Gerente de Marketing",C1236))+ISNUMBER(SEARCH("Growth Manager",C1236))+ISNUMBER(SEARCH("Demand Gen",C1236))+ISNUMBER(SEARCH("Marketing Lead",C1236))&gt;0,'Configuración'!$B$33,IF(ISNUMBER(SEARCH("COO",C1236))+ISNUMBER(SEARCH("CFO",C1236))+ISNUMBER(SEARCH("CTO",C1236))+ISNUMBER(SEARCH("Chief Operating",C1236))+ISNUMBER(SEARCH("Chief Financial",C1236))+ISNUMBER(SEARCH("Gerente General",C1236))+ISNUMBER(SEARCH("General Manager",C1236))&gt;0,'Configuración'!$B$34,'Configuración'!$B$35)))))</f>
        <v>4</v>
      </c>
      <c r="V1236" s="38">
        <f>IF(B1236="","",IF(K1236="Sí",'Configuración'!$B$5,0)+IF(L1236="Semanal",'Configuración'!$B$6,IF(L1236="Mensual",'Configuración'!$B$7,0))+IF(M1236="Sí",'Configuración'!$B$8,0)+IF(N1236="Sí",'Configuración'!$B$9,0)+IF(O1236="Sí",'Configuración'!$B$10,0)+IF(P1236="Sí",'Configuración'!$B$11,0)+IF(Q1236="Sí",'Configuración'!$B$12,0)+S1236+T1236+U1236)</f>
        <v>20</v>
      </c>
      <c r="W1236" s="39" t="str">
        <f>IF(B1236="","",IF(V1236&gt;='Configuración'!$B$19,"A",IF(V1236&gt;='Configuración'!$B$20,"B",IF(V1236&gt;='Configuración'!$B$21,"C","Descarte"))))</f>
        <v>Descarte</v>
      </c>
    </row>
    <row r="1237" ht="15.75" customHeight="1">
      <c r="A1237" s="34">
        <f t="shared" si="1"/>
        <v>1235</v>
      </c>
      <c r="B1237" s="29" t="s">
        <v>174</v>
      </c>
      <c r="C1237" s="29" t="s">
        <v>7071</v>
      </c>
      <c r="D1237" s="29" t="s">
        <v>7072</v>
      </c>
      <c r="E1237" s="29" t="s">
        <v>7073</v>
      </c>
      <c r="F1237" s="30" t="s">
        <v>7074</v>
      </c>
      <c r="G1237" s="30" t="s">
        <v>7075</v>
      </c>
      <c r="H1237" s="30" t="s">
        <v>7076</v>
      </c>
      <c r="I1237" s="29" t="s">
        <v>480</v>
      </c>
      <c r="J1237" s="31">
        <v>15.0</v>
      </c>
      <c r="K1237" s="35"/>
      <c r="L1237" s="35"/>
      <c r="M1237" s="35"/>
      <c r="N1237" s="35"/>
      <c r="O1237" s="35"/>
      <c r="P1237" s="35"/>
      <c r="Q1237" s="35"/>
      <c r="R1237" s="35"/>
      <c r="S1237" s="37">
        <f>IF(B1237="","",IF(ISNUMBER(J1237),IF(J1237&lt;=10,'Configuración'!$B$23,IF(J1237&lt;=50,'Configuración'!$B$24,IF(J1237&lt;=200,'Configuración'!$B$25,0))),0))</f>
        <v>4</v>
      </c>
      <c r="T1237" s="37">
        <f>IF(B1237="","",IF(ISNUMBER(SEARCH("information technology",I1237))+ISNUMBER(SEARCH("software",I1237))+ISNUMBER(SEARCH("internet",I1237))+ISNUMBER(SEARCH("computer",I1237))+ISNUMBER(SEARCH("saas",I1237))+ISNUMBER(SEARCH("fintech",I1237))+ISNUMBER(SEARCH("information services",I1237))+ISNUMBER(SEARCH("telecommunications",I1237))&gt;0,'Configuración'!$B$27,'Configuración'!$B$28))</f>
        <v>4</v>
      </c>
      <c r="U1237" s="25">
        <f>IF(B1237="","",IF(ISNUMBER(SEARCH("CEO",C1237))+ISNUMBER(SEARCH("Founder",C1237))+ISNUMBER(SEARCH("Owner",C1237))+ISNUMBER(SEARCH("Dueño",C1237))+ISNUMBER(SEARCH("Director General",C1237))+ISNUMBER(SEARCH("Presidente",C1237))+ISNUMBER(SEARCH("President",C1237))&gt;0,'Configuración'!$B$31,IF(ISNUMBER(SEARCH("CMO",C1237))+ISNUMBER(SEARCH("Chief Marketing",C1237))+ISNUMBER(SEARCH("VP Marketing",C1237))+ISNUMBER(SEARCH("Director de Marketing",C1237))+ISNUMBER(SEARCH("Director Marketing",C1237))+ISNUMBER(SEARCH("Head of Marketing",C1237))+ISNUMBER(SEARCH("Head Marketing",C1237))&gt;0,'Configuración'!$B$32,IF(ISNUMBER(SEARCH("Marketing Manager",C1237))+ISNUMBER(SEARCH("Gerente de Marketing",C1237))+ISNUMBER(SEARCH("Growth Manager",C1237))+ISNUMBER(SEARCH("Demand Gen",C1237))+ISNUMBER(SEARCH("Marketing Lead",C1237))&gt;0,'Configuración'!$B$33,IF(ISNUMBER(SEARCH("COO",C1237))+ISNUMBER(SEARCH("CFO",C1237))+ISNUMBER(SEARCH("CTO",C1237))+ISNUMBER(SEARCH("Chief Operating",C1237))+ISNUMBER(SEARCH("Chief Financial",C1237))+ISNUMBER(SEARCH("Gerente General",C1237))+ISNUMBER(SEARCH("General Manager",C1237))&gt;0,'Configuración'!$B$34,'Configuración'!$B$35)))))</f>
        <v>12</v>
      </c>
      <c r="V1237" s="38">
        <f>IF(B1237="","",IF(K1237="Sí",'Configuración'!$B$5,0)+IF(L1237="Semanal",'Configuración'!$B$6,IF(L1237="Mensual",'Configuración'!$B$7,0))+IF(M1237="Sí",'Configuración'!$B$8,0)+IF(N1237="Sí",'Configuración'!$B$9,0)+IF(O1237="Sí",'Configuración'!$B$10,0)+IF(P1237="Sí",'Configuración'!$B$11,0)+IF(Q1237="Sí",'Configuración'!$B$12,0)+S1237+T1237+U1237)</f>
        <v>20</v>
      </c>
      <c r="W1237" s="39" t="str">
        <f>IF(B1237="","",IF(V1237&gt;='Configuración'!$B$19,"A",IF(V1237&gt;='Configuración'!$B$20,"B",IF(V1237&gt;='Configuración'!$B$21,"C","Descarte"))))</f>
        <v>Descarte</v>
      </c>
    </row>
    <row r="1238" ht="15.75" customHeight="1">
      <c r="A1238" s="34">
        <f t="shared" si="1"/>
        <v>1236</v>
      </c>
      <c r="B1238" s="29" t="s">
        <v>3167</v>
      </c>
      <c r="C1238" s="29" t="s">
        <v>121</v>
      </c>
      <c r="D1238" s="29" t="s">
        <v>7077</v>
      </c>
      <c r="E1238" s="29" t="s">
        <v>7078</v>
      </c>
      <c r="F1238" s="30" t="s">
        <v>7079</v>
      </c>
      <c r="G1238" s="30" t="s">
        <v>7080</v>
      </c>
      <c r="H1238" s="30" t="s">
        <v>7081</v>
      </c>
      <c r="I1238" s="29" t="s">
        <v>127</v>
      </c>
      <c r="J1238" s="31">
        <v>2.0</v>
      </c>
      <c r="K1238" s="35"/>
      <c r="L1238" s="35"/>
      <c r="M1238" s="35"/>
      <c r="N1238" s="35"/>
      <c r="O1238" s="35"/>
      <c r="P1238" s="35"/>
      <c r="Q1238" s="35"/>
      <c r="R1238" s="35"/>
      <c r="S1238" s="37">
        <f>IF(B1238="","",IF(ISNUMBER(J1238),IF(J1238&lt;=10,'Configuración'!$B$23,IF(J1238&lt;=50,'Configuración'!$B$24,IF(J1238&lt;=200,'Configuración'!$B$25,0))),0))</f>
        <v>12</v>
      </c>
      <c r="T1238" s="37">
        <f>IF(B1238="","",IF(ISNUMBER(SEARCH("information technology",I1238))+ISNUMBER(SEARCH("software",I1238))+ISNUMBER(SEARCH("internet",I1238))+ISNUMBER(SEARCH("computer",I1238))+ISNUMBER(SEARCH("saas",I1238))+ISNUMBER(SEARCH("fintech",I1238))+ISNUMBER(SEARCH("information services",I1238))+ISNUMBER(SEARCH("telecommunications",I1238))&gt;0,'Configuración'!$B$27,'Configuración'!$B$28))</f>
        <v>12</v>
      </c>
      <c r="U1238" s="25">
        <f>IF(B1238="","",IF(ISNUMBER(SEARCH("CEO",C1238))+ISNUMBER(SEARCH("Founder",C1238))+ISNUMBER(SEARCH("Owner",C1238))+ISNUMBER(SEARCH("Dueño",C1238))+ISNUMBER(SEARCH("Director General",C1238))+ISNUMBER(SEARCH("Presidente",C1238))+ISNUMBER(SEARCH("President",C1238))&gt;0,'Configuración'!$B$31,IF(ISNUMBER(SEARCH("CMO",C1238))+ISNUMBER(SEARCH("Chief Marketing",C1238))+ISNUMBER(SEARCH("VP Marketing",C1238))+ISNUMBER(SEARCH("Director de Marketing",C1238))+ISNUMBER(SEARCH("Director Marketing",C1238))+ISNUMBER(SEARCH("Head of Marketing",C1238))+ISNUMBER(SEARCH("Head Marketing",C1238))&gt;0,'Configuración'!$B$32,IF(ISNUMBER(SEARCH("Marketing Manager",C1238))+ISNUMBER(SEARCH("Gerente de Marketing",C1238))+ISNUMBER(SEARCH("Growth Manager",C1238))+ISNUMBER(SEARCH("Demand Gen",C1238))+ISNUMBER(SEARCH("Marketing Lead",C1238))&gt;0,'Configuración'!$B$33,IF(ISNUMBER(SEARCH("COO",C1238))+ISNUMBER(SEARCH("CFO",C1238))+ISNUMBER(SEARCH("CTO",C1238))+ISNUMBER(SEARCH("Chief Operating",C1238))+ISNUMBER(SEARCH("Chief Financial",C1238))+ISNUMBER(SEARCH("Gerente General",C1238))+ISNUMBER(SEARCH("General Manager",C1238))&gt;0,'Configuración'!$B$34,'Configuración'!$B$35)))))</f>
        <v>12</v>
      </c>
      <c r="V1238" s="38">
        <f>IF(B1238="","",IF(K1238="Sí",'Configuración'!$B$5,0)+IF(L1238="Semanal",'Configuración'!$B$6,IF(L1238="Mensual",'Configuración'!$B$7,0))+IF(M1238="Sí",'Configuración'!$B$8,0)+IF(N1238="Sí",'Configuración'!$B$9,0)+IF(O1238="Sí",'Configuración'!$B$10,0)+IF(P1238="Sí",'Configuración'!$B$11,0)+IF(Q1238="Sí",'Configuración'!$B$12,0)+S1238+T1238+U1238)</f>
        <v>36</v>
      </c>
      <c r="W1238" s="39" t="str">
        <f>IF(B1238="","",IF(V1238&gt;='Configuración'!$B$19,"A",IF(V1238&gt;='Configuración'!$B$20,"B",IF(V1238&gt;='Configuración'!$B$21,"C","Descarte"))))</f>
        <v>C</v>
      </c>
    </row>
    <row r="1239" ht="15.75" customHeight="1">
      <c r="A1239" s="34">
        <f t="shared" si="1"/>
        <v>1237</v>
      </c>
      <c r="B1239" s="29" t="s">
        <v>1028</v>
      </c>
      <c r="C1239" s="29" t="s">
        <v>224</v>
      </c>
      <c r="D1239" s="29" t="s">
        <v>7082</v>
      </c>
      <c r="E1239" s="29" t="s">
        <v>7083</v>
      </c>
      <c r="F1239" s="30" t="s">
        <v>7084</v>
      </c>
      <c r="G1239" s="30" t="s">
        <v>7085</v>
      </c>
      <c r="H1239" s="30" t="s">
        <v>7086</v>
      </c>
      <c r="I1239" s="29" t="s">
        <v>188</v>
      </c>
      <c r="J1239" s="31">
        <v>6.0</v>
      </c>
      <c r="K1239" s="35"/>
      <c r="L1239" s="35"/>
      <c r="M1239" s="35"/>
      <c r="N1239" s="35"/>
      <c r="O1239" s="35"/>
      <c r="P1239" s="35"/>
      <c r="Q1239" s="35"/>
      <c r="R1239" s="35"/>
      <c r="S1239" s="37">
        <f>IF(B1239="","",IF(ISNUMBER(J1239),IF(J1239&lt;=10,'Configuración'!$B$23,IF(J1239&lt;=50,'Configuración'!$B$24,IF(J1239&lt;=200,'Configuración'!$B$25,0))),0))</f>
        <v>12</v>
      </c>
      <c r="T1239" s="37">
        <f>IF(B1239="","",IF(ISNUMBER(SEARCH("information technology",I1239))+ISNUMBER(SEARCH("software",I1239))+ISNUMBER(SEARCH("internet",I1239))+ISNUMBER(SEARCH("computer",I1239))+ISNUMBER(SEARCH("saas",I1239))+ISNUMBER(SEARCH("fintech",I1239))+ISNUMBER(SEARCH("information services",I1239))+ISNUMBER(SEARCH("telecommunications",I1239))&gt;0,'Configuración'!$B$27,'Configuración'!$B$28))</f>
        <v>4</v>
      </c>
      <c r="U1239" s="25">
        <f>IF(B1239="","",IF(ISNUMBER(SEARCH("CEO",C1239))+ISNUMBER(SEARCH("Founder",C1239))+ISNUMBER(SEARCH("Owner",C1239))+ISNUMBER(SEARCH("Dueño",C1239))+ISNUMBER(SEARCH("Director General",C1239))+ISNUMBER(SEARCH("Presidente",C1239))+ISNUMBER(SEARCH("President",C1239))&gt;0,'Configuración'!$B$31,IF(ISNUMBER(SEARCH("CMO",C1239))+ISNUMBER(SEARCH("Chief Marketing",C1239))+ISNUMBER(SEARCH("VP Marketing",C1239))+ISNUMBER(SEARCH("Director de Marketing",C1239))+ISNUMBER(SEARCH("Director Marketing",C1239))+ISNUMBER(SEARCH("Head of Marketing",C1239))+ISNUMBER(SEARCH("Head Marketing",C1239))&gt;0,'Configuración'!$B$32,IF(ISNUMBER(SEARCH("Marketing Manager",C1239))+ISNUMBER(SEARCH("Gerente de Marketing",C1239))+ISNUMBER(SEARCH("Growth Manager",C1239))+ISNUMBER(SEARCH("Demand Gen",C1239))+ISNUMBER(SEARCH("Marketing Lead",C1239))&gt;0,'Configuración'!$B$33,IF(ISNUMBER(SEARCH("COO",C1239))+ISNUMBER(SEARCH("CFO",C1239))+ISNUMBER(SEARCH("CTO",C1239))+ISNUMBER(SEARCH("Chief Operating",C1239))+ISNUMBER(SEARCH("Chief Financial",C1239))+ISNUMBER(SEARCH("Gerente General",C1239))+ISNUMBER(SEARCH("General Manager",C1239))&gt;0,'Configuración'!$B$34,'Configuración'!$B$35)))))</f>
        <v>12</v>
      </c>
      <c r="V1239" s="38">
        <f>IF(B1239="","",IF(K1239="Sí",'Configuración'!$B$5,0)+IF(L1239="Semanal",'Configuración'!$B$6,IF(L1239="Mensual",'Configuración'!$B$7,0))+IF(M1239="Sí",'Configuración'!$B$8,0)+IF(N1239="Sí",'Configuración'!$B$9,0)+IF(O1239="Sí",'Configuración'!$B$10,0)+IF(P1239="Sí",'Configuración'!$B$11,0)+IF(Q1239="Sí",'Configuración'!$B$12,0)+S1239+T1239+U1239)</f>
        <v>28</v>
      </c>
      <c r="W1239" s="39" t="str">
        <f>IF(B1239="","",IF(V1239&gt;='Configuración'!$B$19,"A",IF(V1239&gt;='Configuración'!$B$20,"B",IF(V1239&gt;='Configuración'!$B$21,"C","Descarte"))))</f>
        <v>C</v>
      </c>
    </row>
    <row r="1240" ht="15.75" customHeight="1">
      <c r="A1240" s="34">
        <f t="shared" si="1"/>
        <v>1238</v>
      </c>
      <c r="B1240" s="29" t="s">
        <v>166</v>
      </c>
      <c r="C1240" s="29" t="s">
        <v>131</v>
      </c>
      <c r="D1240" s="40" t="s">
        <v>7087</v>
      </c>
      <c r="E1240" s="29" t="s">
        <v>7088</v>
      </c>
      <c r="F1240" s="30" t="s">
        <v>7089</v>
      </c>
      <c r="G1240" s="30" t="s">
        <v>7090</v>
      </c>
      <c r="H1240" s="30" t="s">
        <v>7091</v>
      </c>
      <c r="I1240" s="29" t="s">
        <v>116</v>
      </c>
      <c r="J1240" s="31">
        <v>1.0</v>
      </c>
      <c r="K1240" s="35"/>
      <c r="L1240" s="35"/>
      <c r="M1240" s="35"/>
      <c r="N1240" s="35"/>
      <c r="O1240" s="35"/>
      <c r="P1240" s="35"/>
      <c r="Q1240" s="35"/>
      <c r="R1240" s="35"/>
      <c r="S1240" s="37">
        <f>IF(B1240="","",IF(ISNUMBER(J1240),IF(J1240&lt;=10,'Configuración'!$B$23,IF(J1240&lt;=50,'Configuración'!$B$24,IF(J1240&lt;=200,'Configuración'!$B$25,0))),0))</f>
        <v>12</v>
      </c>
      <c r="T1240" s="37">
        <f>IF(B1240="","",IF(ISNUMBER(SEARCH("information technology",I1240))+ISNUMBER(SEARCH("software",I1240))+ISNUMBER(SEARCH("internet",I1240))+ISNUMBER(SEARCH("computer",I1240))+ISNUMBER(SEARCH("saas",I1240))+ISNUMBER(SEARCH("fintech",I1240))+ISNUMBER(SEARCH("information services",I1240))+ISNUMBER(SEARCH("telecommunications",I1240))&gt;0,'Configuración'!$B$27,'Configuración'!$B$28))</f>
        <v>4</v>
      </c>
      <c r="U1240" s="25">
        <f>IF(B1240="","",IF(ISNUMBER(SEARCH("CEO",C1240))+ISNUMBER(SEARCH("Founder",C1240))+ISNUMBER(SEARCH("Owner",C1240))+ISNUMBER(SEARCH("Dueño",C1240))+ISNUMBER(SEARCH("Director General",C1240))+ISNUMBER(SEARCH("Presidente",C1240))+ISNUMBER(SEARCH("President",C1240))&gt;0,'Configuración'!$B$31,IF(ISNUMBER(SEARCH("CMO",C1240))+ISNUMBER(SEARCH("Chief Marketing",C1240))+ISNUMBER(SEARCH("VP Marketing",C1240))+ISNUMBER(SEARCH("Director de Marketing",C1240))+ISNUMBER(SEARCH("Director Marketing",C1240))+ISNUMBER(SEARCH("Head of Marketing",C1240))+ISNUMBER(SEARCH("Head Marketing",C1240))&gt;0,'Configuración'!$B$32,IF(ISNUMBER(SEARCH("Marketing Manager",C1240))+ISNUMBER(SEARCH("Gerente de Marketing",C1240))+ISNUMBER(SEARCH("Growth Manager",C1240))+ISNUMBER(SEARCH("Demand Gen",C1240))+ISNUMBER(SEARCH("Marketing Lead",C1240))&gt;0,'Configuración'!$B$33,IF(ISNUMBER(SEARCH("COO",C1240))+ISNUMBER(SEARCH("CFO",C1240))+ISNUMBER(SEARCH("CTO",C1240))+ISNUMBER(SEARCH("Chief Operating",C1240))+ISNUMBER(SEARCH("Chief Financial",C1240))+ISNUMBER(SEARCH("Gerente General",C1240))+ISNUMBER(SEARCH("General Manager",C1240))&gt;0,'Configuración'!$B$34,'Configuración'!$B$35)))))</f>
        <v>12</v>
      </c>
      <c r="V1240" s="38">
        <f>IF(B1240="","",IF(K1240="Sí",'Configuración'!$B$5,0)+IF(L1240="Semanal",'Configuración'!$B$6,IF(L1240="Mensual",'Configuración'!$B$7,0))+IF(M1240="Sí",'Configuración'!$B$8,0)+IF(N1240="Sí",'Configuración'!$B$9,0)+IF(O1240="Sí",'Configuración'!$B$10,0)+IF(P1240="Sí",'Configuración'!$B$11,0)+IF(Q1240="Sí",'Configuración'!$B$12,0)+S1240+T1240+U1240)</f>
        <v>28</v>
      </c>
      <c r="W1240" s="39" t="str">
        <f>IF(B1240="","",IF(V1240&gt;='Configuración'!$B$19,"A",IF(V1240&gt;='Configuración'!$B$20,"B",IF(V1240&gt;='Configuración'!$B$21,"C","Descarte"))))</f>
        <v>C</v>
      </c>
    </row>
    <row r="1241" ht="15.75" customHeight="1">
      <c r="A1241" s="34">
        <f t="shared" si="1"/>
        <v>1239</v>
      </c>
      <c r="B1241" s="29" t="s">
        <v>1137</v>
      </c>
      <c r="C1241" s="29" t="s">
        <v>175</v>
      </c>
      <c r="D1241" s="30" t="s">
        <v>7092</v>
      </c>
      <c r="E1241" s="29" t="s">
        <v>7093</v>
      </c>
      <c r="F1241" s="30" t="s">
        <v>7094</v>
      </c>
      <c r="G1241" s="30" t="s">
        <v>7095</v>
      </c>
      <c r="H1241" s="30" t="s">
        <v>7096</v>
      </c>
      <c r="I1241" s="29" t="s">
        <v>137</v>
      </c>
      <c r="J1241" s="31">
        <v>3.0</v>
      </c>
      <c r="K1241" s="35"/>
      <c r="L1241" s="35"/>
      <c r="M1241" s="35"/>
      <c r="N1241" s="35"/>
      <c r="O1241" s="35"/>
      <c r="P1241" s="35"/>
      <c r="Q1241" s="35"/>
      <c r="R1241" s="35"/>
      <c r="S1241" s="37">
        <f>IF(B1241="","",IF(ISNUMBER(J1241),IF(J1241&lt;=10,'Configuración'!$B$23,IF(J1241&lt;=50,'Configuración'!$B$24,IF(J1241&lt;=200,'Configuración'!$B$25,0))),0))</f>
        <v>12</v>
      </c>
      <c r="T1241" s="37">
        <f>IF(B1241="","",IF(ISNUMBER(SEARCH("information technology",I1241))+ISNUMBER(SEARCH("software",I1241))+ISNUMBER(SEARCH("internet",I1241))+ISNUMBER(SEARCH("computer",I1241))+ISNUMBER(SEARCH("saas",I1241))+ISNUMBER(SEARCH("fintech",I1241))+ISNUMBER(SEARCH("information services",I1241))+ISNUMBER(SEARCH("telecommunications",I1241))&gt;0,'Configuración'!$B$27,'Configuración'!$B$28))</f>
        <v>4</v>
      </c>
      <c r="U1241" s="25">
        <f>IF(B1241="","",IF(ISNUMBER(SEARCH("CEO",C1241))+ISNUMBER(SEARCH("Founder",C1241))+ISNUMBER(SEARCH("Owner",C1241))+ISNUMBER(SEARCH("Dueño",C1241))+ISNUMBER(SEARCH("Director General",C1241))+ISNUMBER(SEARCH("Presidente",C1241))+ISNUMBER(SEARCH("President",C1241))&gt;0,'Configuración'!$B$31,IF(ISNUMBER(SEARCH("CMO",C1241))+ISNUMBER(SEARCH("Chief Marketing",C1241))+ISNUMBER(SEARCH("VP Marketing",C1241))+ISNUMBER(SEARCH("Director de Marketing",C1241))+ISNUMBER(SEARCH("Director Marketing",C1241))+ISNUMBER(SEARCH("Head of Marketing",C1241))+ISNUMBER(SEARCH("Head Marketing",C1241))&gt;0,'Configuración'!$B$32,IF(ISNUMBER(SEARCH("Marketing Manager",C1241))+ISNUMBER(SEARCH("Gerente de Marketing",C1241))+ISNUMBER(SEARCH("Growth Manager",C1241))+ISNUMBER(SEARCH("Demand Gen",C1241))+ISNUMBER(SEARCH("Marketing Lead",C1241))&gt;0,'Configuración'!$B$33,IF(ISNUMBER(SEARCH("COO",C1241))+ISNUMBER(SEARCH("CFO",C1241))+ISNUMBER(SEARCH("CTO",C1241))+ISNUMBER(SEARCH("Chief Operating",C1241))+ISNUMBER(SEARCH("Chief Financial",C1241))+ISNUMBER(SEARCH("Gerente General",C1241))+ISNUMBER(SEARCH("General Manager",C1241))&gt;0,'Configuración'!$B$34,'Configuración'!$B$35)))))</f>
        <v>12</v>
      </c>
      <c r="V1241" s="38">
        <f>IF(B1241="","",IF(K1241="Sí",'Configuración'!$B$5,0)+IF(L1241="Semanal",'Configuración'!$B$6,IF(L1241="Mensual",'Configuración'!$B$7,0))+IF(M1241="Sí",'Configuración'!$B$8,0)+IF(N1241="Sí",'Configuración'!$B$9,0)+IF(O1241="Sí",'Configuración'!$B$10,0)+IF(P1241="Sí",'Configuración'!$B$11,0)+IF(Q1241="Sí",'Configuración'!$B$12,0)+S1241+T1241+U1241)</f>
        <v>28</v>
      </c>
      <c r="W1241" s="39" t="str">
        <f>IF(B1241="","",IF(V1241&gt;='Configuración'!$B$19,"A",IF(V1241&gt;='Configuración'!$B$20,"B",IF(V1241&gt;='Configuración'!$B$21,"C","Descarte"))))</f>
        <v>C</v>
      </c>
    </row>
    <row r="1242" ht="15.75" customHeight="1">
      <c r="A1242" s="34">
        <f t="shared" si="1"/>
        <v>1240</v>
      </c>
      <c r="B1242" s="29" t="s">
        <v>4584</v>
      </c>
      <c r="C1242" s="29" t="s">
        <v>7097</v>
      </c>
      <c r="D1242" s="29" t="s">
        <v>7098</v>
      </c>
      <c r="E1242" s="29" t="s">
        <v>7099</v>
      </c>
      <c r="F1242" s="30" t="s">
        <v>7100</v>
      </c>
      <c r="G1242" s="30" t="s">
        <v>7101</v>
      </c>
      <c r="H1242" s="30" t="s">
        <v>7102</v>
      </c>
      <c r="I1242" s="29" t="s">
        <v>659</v>
      </c>
      <c r="J1242" s="31">
        <v>11.0</v>
      </c>
      <c r="K1242" s="35"/>
      <c r="L1242" s="35"/>
      <c r="M1242" s="35"/>
      <c r="N1242" s="35"/>
      <c r="O1242" s="35"/>
      <c r="P1242" s="35"/>
      <c r="Q1242" s="35"/>
      <c r="R1242" s="35"/>
      <c r="S1242" s="37">
        <f>IF(B1242="","",IF(ISNUMBER(J1242),IF(J1242&lt;=10,'Configuración'!$B$23,IF(J1242&lt;=50,'Configuración'!$B$24,IF(J1242&lt;=200,'Configuración'!$B$25,0))),0))</f>
        <v>4</v>
      </c>
      <c r="T1242" s="37">
        <f>IF(B1242="","",IF(ISNUMBER(SEARCH("information technology",I1242))+ISNUMBER(SEARCH("software",I1242))+ISNUMBER(SEARCH("internet",I1242))+ISNUMBER(SEARCH("computer",I1242))+ISNUMBER(SEARCH("saas",I1242))+ISNUMBER(SEARCH("fintech",I1242))+ISNUMBER(SEARCH("information services",I1242))+ISNUMBER(SEARCH("telecommunications",I1242))&gt;0,'Configuración'!$B$27,'Configuración'!$B$28))</f>
        <v>4</v>
      </c>
      <c r="U1242" s="25">
        <f>IF(B1242="","",IF(ISNUMBER(SEARCH("CEO",C1242))+ISNUMBER(SEARCH("Founder",C1242))+ISNUMBER(SEARCH("Owner",C1242))+ISNUMBER(SEARCH("Dueño",C1242))+ISNUMBER(SEARCH("Director General",C1242))+ISNUMBER(SEARCH("Presidente",C1242))+ISNUMBER(SEARCH("President",C1242))&gt;0,'Configuración'!$B$31,IF(ISNUMBER(SEARCH("CMO",C1242))+ISNUMBER(SEARCH("Chief Marketing",C1242))+ISNUMBER(SEARCH("VP Marketing",C1242))+ISNUMBER(SEARCH("Director de Marketing",C1242))+ISNUMBER(SEARCH("Director Marketing",C1242))+ISNUMBER(SEARCH("Head of Marketing",C1242))+ISNUMBER(SEARCH("Head Marketing",C1242))&gt;0,'Configuración'!$B$32,IF(ISNUMBER(SEARCH("Marketing Manager",C1242))+ISNUMBER(SEARCH("Gerente de Marketing",C1242))+ISNUMBER(SEARCH("Growth Manager",C1242))+ISNUMBER(SEARCH("Demand Gen",C1242))+ISNUMBER(SEARCH("Marketing Lead",C1242))&gt;0,'Configuración'!$B$33,IF(ISNUMBER(SEARCH("COO",C1242))+ISNUMBER(SEARCH("CFO",C1242))+ISNUMBER(SEARCH("CTO",C1242))+ISNUMBER(SEARCH("Chief Operating",C1242))+ISNUMBER(SEARCH("Chief Financial",C1242))+ISNUMBER(SEARCH("Gerente General",C1242))+ISNUMBER(SEARCH("General Manager",C1242))&gt;0,'Configuración'!$B$34,'Configuración'!$B$35)))))</f>
        <v>12</v>
      </c>
      <c r="V1242" s="38">
        <f>IF(B1242="","",IF(K1242="Sí",'Configuración'!$B$5,0)+IF(L1242="Semanal",'Configuración'!$B$6,IF(L1242="Mensual",'Configuración'!$B$7,0))+IF(M1242="Sí",'Configuración'!$B$8,0)+IF(N1242="Sí",'Configuración'!$B$9,0)+IF(O1242="Sí",'Configuración'!$B$10,0)+IF(P1242="Sí",'Configuración'!$B$11,0)+IF(Q1242="Sí",'Configuración'!$B$12,0)+S1242+T1242+U1242)</f>
        <v>20</v>
      </c>
      <c r="W1242" s="39" t="str">
        <f>IF(B1242="","",IF(V1242&gt;='Configuración'!$B$19,"A",IF(V1242&gt;='Configuración'!$B$20,"B",IF(V1242&gt;='Configuración'!$B$21,"C","Descarte"))))</f>
        <v>Descarte</v>
      </c>
    </row>
    <row r="1243" ht="15.75" customHeight="1">
      <c r="A1243" s="34">
        <f t="shared" si="1"/>
        <v>1241</v>
      </c>
      <c r="B1243" s="29" t="s">
        <v>578</v>
      </c>
      <c r="C1243" s="29" t="s">
        <v>175</v>
      </c>
      <c r="D1243" s="29" t="s">
        <v>7103</v>
      </c>
      <c r="E1243" s="29" t="s">
        <v>7104</v>
      </c>
      <c r="F1243" s="30" t="s">
        <v>7105</v>
      </c>
      <c r="G1243" s="30" t="s">
        <v>7106</v>
      </c>
      <c r="H1243" s="30" t="s">
        <v>7107</v>
      </c>
      <c r="I1243" s="29" t="s">
        <v>1429</v>
      </c>
      <c r="J1243" s="31">
        <v>1.0</v>
      </c>
      <c r="K1243" s="35"/>
      <c r="L1243" s="35"/>
      <c r="M1243" s="35"/>
      <c r="N1243" s="35"/>
      <c r="O1243" s="35"/>
      <c r="P1243" s="35"/>
      <c r="Q1243" s="35"/>
      <c r="R1243" s="35"/>
      <c r="S1243" s="37">
        <f>IF(B1243="","",IF(ISNUMBER(J1243),IF(J1243&lt;=10,'Configuración'!$B$23,IF(J1243&lt;=50,'Configuración'!$B$24,IF(J1243&lt;=200,'Configuración'!$B$25,0))),0))</f>
        <v>12</v>
      </c>
      <c r="T1243" s="37">
        <f>IF(B1243="","",IF(ISNUMBER(SEARCH("information technology",I1243))+ISNUMBER(SEARCH("software",I1243))+ISNUMBER(SEARCH("internet",I1243))+ISNUMBER(SEARCH("computer",I1243))+ISNUMBER(SEARCH("saas",I1243))+ISNUMBER(SEARCH("fintech",I1243))+ISNUMBER(SEARCH("information services",I1243))+ISNUMBER(SEARCH("telecommunications",I1243))&gt;0,'Configuración'!$B$27,'Configuración'!$B$28))</f>
        <v>4</v>
      </c>
      <c r="U1243" s="25">
        <f>IF(B1243="","",IF(ISNUMBER(SEARCH("CEO",C1243))+ISNUMBER(SEARCH("Founder",C1243))+ISNUMBER(SEARCH("Owner",C1243))+ISNUMBER(SEARCH("Dueño",C1243))+ISNUMBER(SEARCH("Director General",C1243))+ISNUMBER(SEARCH("Presidente",C1243))+ISNUMBER(SEARCH("President",C1243))&gt;0,'Configuración'!$B$31,IF(ISNUMBER(SEARCH("CMO",C1243))+ISNUMBER(SEARCH("Chief Marketing",C1243))+ISNUMBER(SEARCH("VP Marketing",C1243))+ISNUMBER(SEARCH("Director de Marketing",C1243))+ISNUMBER(SEARCH("Director Marketing",C1243))+ISNUMBER(SEARCH("Head of Marketing",C1243))+ISNUMBER(SEARCH("Head Marketing",C1243))&gt;0,'Configuración'!$B$32,IF(ISNUMBER(SEARCH("Marketing Manager",C1243))+ISNUMBER(SEARCH("Gerente de Marketing",C1243))+ISNUMBER(SEARCH("Growth Manager",C1243))+ISNUMBER(SEARCH("Demand Gen",C1243))+ISNUMBER(SEARCH("Marketing Lead",C1243))&gt;0,'Configuración'!$B$33,IF(ISNUMBER(SEARCH("COO",C1243))+ISNUMBER(SEARCH("CFO",C1243))+ISNUMBER(SEARCH("CTO",C1243))+ISNUMBER(SEARCH("Chief Operating",C1243))+ISNUMBER(SEARCH("Chief Financial",C1243))+ISNUMBER(SEARCH("Gerente General",C1243))+ISNUMBER(SEARCH("General Manager",C1243))&gt;0,'Configuración'!$B$34,'Configuración'!$B$35)))))</f>
        <v>12</v>
      </c>
      <c r="V1243" s="38">
        <f>IF(B1243="","",IF(K1243="Sí",'Configuración'!$B$5,0)+IF(L1243="Semanal",'Configuración'!$B$6,IF(L1243="Mensual",'Configuración'!$B$7,0))+IF(M1243="Sí",'Configuración'!$B$8,0)+IF(N1243="Sí",'Configuración'!$B$9,0)+IF(O1243="Sí",'Configuración'!$B$10,0)+IF(P1243="Sí",'Configuración'!$B$11,0)+IF(Q1243="Sí",'Configuración'!$B$12,0)+S1243+T1243+U1243)</f>
        <v>28</v>
      </c>
      <c r="W1243" s="39" t="str">
        <f>IF(B1243="","",IF(V1243&gt;='Configuración'!$B$19,"A",IF(V1243&gt;='Configuración'!$B$20,"B",IF(V1243&gt;='Configuración'!$B$21,"C","Descarte"))))</f>
        <v>C</v>
      </c>
    </row>
    <row r="1244" ht="15.75" customHeight="1">
      <c r="A1244" s="34">
        <f t="shared" si="1"/>
        <v>1242</v>
      </c>
      <c r="B1244" s="29" t="s">
        <v>7108</v>
      </c>
      <c r="C1244" s="29" t="s">
        <v>146</v>
      </c>
      <c r="D1244" s="29" t="s">
        <v>7109</v>
      </c>
      <c r="E1244" s="29" t="s">
        <v>7110</v>
      </c>
      <c r="F1244" s="30" t="s">
        <v>7111</v>
      </c>
      <c r="G1244" s="30" t="s">
        <v>7112</v>
      </c>
      <c r="H1244" s="30" t="s">
        <v>7113</v>
      </c>
      <c r="I1244" s="29" t="s">
        <v>337</v>
      </c>
      <c r="J1244" s="31">
        <v>9.0</v>
      </c>
      <c r="K1244" s="35"/>
      <c r="L1244" s="35"/>
      <c r="M1244" s="35"/>
      <c r="N1244" s="35"/>
      <c r="O1244" s="35"/>
      <c r="P1244" s="35"/>
      <c r="Q1244" s="35"/>
      <c r="R1244" s="35"/>
      <c r="S1244" s="37">
        <f>IF(B1244="","",IF(ISNUMBER(J1244),IF(J1244&lt;=10,'Configuración'!$B$23,IF(J1244&lt;=50,'Configuración'!$B$24,IF(J1244&lt;=200,'Configuración'!$B$25,0))),0))</f>
        <v>12</v>
      </c>
      <c r="T1244" s="37">
        <f>IF(B1244="","",IF(ISNUMBER(SEARCH("information technology",I1244))+ISNUMBER(SEARCH("software",I1244))+ISNUMBER(SEARCH("internet",I1244))+ISNUMBER(SEARCH("computer",I1244))+ISNUMBER(SEARCH("saas",I1244))+ISNUMBER(SEARCH("fintech",I1244))+ISNUMBER(SEARCH("information services",I1244))+ISNUMBER(SEARCH("telecommunications",I1244))&gt;0,'Configuración'!$B$27,'Configuración'!$B$28))</f>
        <v>4</v>
      </c>
      <c r="U1244" s="25">
        <f>IF(B1244="","",IF(ISNUMBER(SEARCH("CEO",C1244))+ISNUMBER(SEARCH("Founder",C1244))+ISNUMBER(SEARCH("Owner",C1244))+ISNUMBER(SEARCH("Dueño",C1244))+ISNUMBER(SEARCH("Director General",C1244))+ISNUMBER(SEARCH("Presidente",C1244))+ISNUMBER(SEARCH("President",C1244))&gt;0,'Configuración'!$B$31,IF(ISNUMBER(SEARCH("CMO",C1244))+ISNUMBER(SEARCH("Chief Marketing",C1244))+ISNUMBER(SEARCH("VP Marketing",C1244))+ISNUMBER(SEARCH("Director de Marketing",C1244))+ISNUMBER(SEARCH("Director Marketing",C1244))+ISNUMBER(SEARCH("Head of Marketing",C1244))+ISNUMBER(SEARCH("Head Marketing",C1244))&gt;0,'Configuración'!$B$32,IF(ISNUMBER(SEARCH("Marketing Manager",C1244))+ISNUMBER(SEARCH("Gerente de Marketing",C1244))+ISNUMBER(SEARCH("Growth Manager",C1244))+ISNUMBER(SEARCH("Demand Gen",C1244))+ISNUMBER(SEARCH("Marketing Lead",C1244))&gt;0,'Configuración'!$B$33,IF(ISNUMBER(SEARCH("COO",C1244))+ISNUMBER(SEARCH("CFO",C1244))+ISNUMBER(SEARCH("CTO",C1244))+ISNUMBER(SEARCH("Chief Operating",C1244))+ISNUMBER(SEARCH("Chief Financial",C1244))+ISNUMBER(SEARCH("Gerente General",C1244))+ISNUMBER(SEARCH("General Manager",C1244))&gt;0,'Configuración'!$B$34,'Configuración'!$B$35)))))</f>
        <v>0</v>
      </c>
      <c r="V1244" s="38">
        <f>IF(B1244="","",IF(K1244="Sí",'Configuración'!$B$5,0)+IF(L1244="Semanal",'Configuración'!$B$6,IF(L1244="Mensual",'Configuración'!$B$7,0))+IF(M1244="Sí",'Configuración'!$B$8,0)+IF(N1244="Sí",'Configuración'!$B$9,0)+IF(O1244="Sí",'Configuración'!$B$10,0)+IF(P1244="Sí",'Configuración'!$B$11,0)+IF(Q1244="Sí",'Configuración'!$B$12,0)+S1244+T1244+U1244)</f>
        <v>16</v>
      </c>
      <c r="W1244" s="39" t="str">
        <f>IF(B1244="","",IF(V1244&gt;='Configuración'!$B$19,"A",IF(V1244&gt;='Configuración'!$B$20,"B",IF(V1244&gt;='Configuración'!$B$21,"C","Descarte"))))</f>
        <v>Descarte</v>
      </c>
    </row>
    <row r="1245" ht="15.75" customHeight="1">
      <c r="A1245" s="34">
        <f t="shared" si="1"/>
        <v>1243</v>
      </c>
      <c r="B1245" s="29" t="s">
        <v>1548</v>
      </c>
      <c r="C1245" s="29" t="s">
        <v>7114</v>
      </c>
      <c r="D1245" s="29" t="s">
        <v>7115</v>
      </c>
      <c r="E1245" s="29" t="s">
        <v>7116</v>
      </c>
      <c r="F1245" s="30" t="s">
        <v>7117</v>
      </c>
      <c r="G1245" s="30" t="s">
        <v>7118</v>
      </c>
      <c r="H1245" s="30" t="s">
        <v>7119</v>
      </c>
      <c r="I1245" s="29" t="s">
        <v>350</v>
      </c>
      <c r="J1245" s="31">
        <v>15.0</v>
      </c>
      <c r="K1245" s="35"/>
      <c r="L1245" s="35"/>
      <c r="M1245" s="35"/>
      <c r="N1245" s="35"/>
      <c r="O1245" s="35"/>
      <c r="P1245" s="35"/>
      <c r="Q1245" s="35"/>
      <c r="R1245" s="35"/>
      <c r="S1245" s="37">
        <f>IF(B1245="","",IF(ISNUMBER(J1245),IF(J1245&lt;=10,'Configuración'!$B$23,IF(J1245&lt;=50,'Configuración'!$B$24,IF(J1245&lt;=200,'Configuración'!$B$25,0))),0))</f>
        <v>4</v>
      </c>
      <c r="T1245" s="37">
        <f>IF(B1245="","",IF(ISNUMBER(SEARCH("information technology",I1245))+ISNUMBER(SEARCH("software",I1245))+ISNUMBER(SEARCH("internet",I1245))+ISNUMBER(SEARCH("computer",I1245))+ISNUMBER(SEARCH("saas",I1245))+ISNUMBER(SEARCH("fintech",I1245))+ISNUMBER(SEARCH("information services",I1245))+ISNUMBER(SEARCH("telecommunications",I1245))&gt;0,'Configuración'!$B$27,'Configuración'!$B$28))</f>
        <v>4</v>
      </c>
      <c r="U1245" s="25">
        <f>IF(B1245="","",IF(ISNUMBER(SEARCH("CEO",C1245))+ISNUMBER(SEARCH("Founder",C1245))+ISNUMBER(SEARCH("Owner",C1245))+ISNUMBER(SEARCH("Dueño",C1245))+ISNUMBER(SEARCH("Director General",C1245))+ISNUMBER(SEARCH("Presidente",C1245))+ISNUMBER(SEARCH("President",C1245))&gt;0,'Configuración'!$B$31,IF(ISNUMBER(SEARCH("CMO",C1245))+ISNUMBER(SEARCH("Chief Marketing",C1245))+ISNUMBER(SEARCH("VP Marketing",C1245))+ISNUMBER(SEARCH("Director de Marketing",C1245))+ISNUMBER(SEARCH("Director Marketing",C1245))+ISNUMBER(SEARCH("Head of Marketing",C1245))+ISNUMBER(SEARCH("Head Marketing",C1245))&gt;0,'Configuración'!$B$32,IF(ISNUMBER(SEARCH("Marketing Manager",C1245))+ISNUMBER(SEARCH("Gerente de Marketing",C1245))+ISNUMBER(SEARCH("Growth Manager",C1245))+ISNUMBER(SEARCH("Demand Gen",C1245))+ISNUMBER(SEARCH("Marketing Lead",C1245))&gt;0,'Configuración'!$B$33,IF(ISNUMBER(SEARCH("COO",C1245))+ISNUMBER(SEARCH("CFO",C1245))+ISNUMBER(SEARCH("CTO",C1245))+ISNUMBER(SEARCH("Chief Operating",C1245))+ISNUMBER(SEARCH("Chief Financial",C1245))+ISNUMBER(SEARCH("Gerente General",C1245))+ISNUMBER(SEARCH("General Manager",C1245))&gt;0,'Configuración'!$B$34,'Configuración'!$B$35)))))</f>
        <v>12</v>
      </c>
      <c r="V1245" s="38">
        <f>IF(B1245="","",IF(K1245="Sí",'Configuración'!$B$5,0)+IF(L1245="Semanal",'Configuración'!$B$6,IF(L1245="Mensual",'Configuración'!$B$7,0))+IF(M1245="Sí",'Configuración'!$B$8,0)+IF(N1245="Sí",'Configuración'!$B$9,0)+IF(O1245="Sí",'Configuración'!$B$10,0)+IF(P1245="Sí",'Configuración'!$B$11,0)+IF(Q1245="Sí",'Configuración'!$B$12,0)+S1245+T1245+U1245)</f>
        <v>20</v>
      </c>
      <c r="W1245" s="39" t="str">
        <f>IF(B1245="","",IF(V1245&gt;='Configuración'!$B$19,"A",IF(V1245&gt;='Configuración'!$B$20,"B",IF(V1245&gt;='Configuración'!$B$21,"C","Descarte"))))</f>
        <v>Descarte</v>
      </c>
    </row>
    <row r="1246" ht="15.75" customHeight="1">
      <c r="A1246" s="34">
        <f t="shared" si="1"/>
        <v>1244</v>
      </c>
      <c r="B1246" s="29" t="s">
        <v>120</v>
      </c>
      <c r="C1246" s="29" t="s">
        <v>7120</v>
      </c>
      <c r="D1246" s="29" t="s">
        <v>7121</v>
      </c>
      <c r="E1246" s="29" t="s">
        <v>7122</v>
      </c>
      <c r="F1246" s="30" t="s">
        <v>7123</v>
      </c>
      <c r="G1246" s="30" t="s">
        <v>7124</v>
      </c>
      <c r="H1246" s="30" t="s">
        <v>7125</v>
      </c>
      <c r="I1246" s="29" t="s">
        <v>769</v>
      </c>
      <c r="J1246" s="31">
        <v>3.0</v>
      </c>
      <c r="K1246" s="35"/>
      <c r="L1246" s="35"/>
      <c r="M1246" s="35"/>
      <c r="N1246" s="35"/>
      <c r="O1246" s="35"/>
      <c r="P1246" s="35"/>
      <c r="Q1246" s="35"/>
      <c r="R1246" s="35"/>
      <c r="S1246" s="37">
        <f>IF(B1246="","",IF(ISNUMBER(J1246),IF(J1246&lt;=10,'Configuración'!$B$23,IF(J1246&lt;=50,'Configuración'!$B$24,IF(J1246&lt;=200,'Configuración'!$B$25,0))),0))</f>
        <v>12</v>
      </c>
      <c r="T1246" s="37">
        <f>IF(B1246="","",IF(ISNUMBER(SEARCH("information technology",I1246))+ISNUMBER(SEARCH("software",I1246))+ISNUMBER(SEARCH("internet",I1246))+ISNUMBER(SEARCH("computer",I1246))+ISNUMBER(SEARCH("saas",I1246))+ISNUMBER(SEARCH("fintech",I1246))+ISNUMBER(SEARCH("information services",I1246))+ISNUMBER(SEARCH("telecommunications",I1246))&gt;0,'Configuración'!$B$27,'Configuración'!$B$28))</f>
        <v>4</v>
      </c>
      <c r="U1246" s="25">
        <f>IF(B1246="","",IF(ISNUMBER(SEARCH("CEO",C1246))+ISNUMBER(SEARCH("Founder",C1246))+ISNUMBER(SEARCH("Owner",C1246))+ISNUMBER(SEARCH("Dueño",C1246))+ISNUMBER(SEARCH("Director General",C1246))+ISNUMBER(SEARCH("Presidente",C1246))+ISNUMBER(SEARCH("President",C1246))&gt;0,'Configuración'!$B$31,IF(ISNUMBER(SEARCH("CMO",C1246))+ISNUMBER(SEARCH("Chief Marketing",C1246))+ISNUMBER(SEARCH("VP Marketing",C1246))+ISNUMBER(SEARCH("Director de Marketing",C1246))+ISNUMBER(SEARCH("Director Marketing",C1246))+ISNUMBER(SEARCH("Head of Marketing",C1246))+ISNUMBER(SEARCH("Head Marketing",C1246))&gt;0,'Configuración'!$B$32,IF(ISNUMBER(SEARCH("Marketing Manager",C1246))+ISNUMBER(SEARCH("Gerente de Marketing",C1246))+ISNUMBER(SEARCH("Growth Manager",C1246))+ISNUMBER(SEARCH("Demand Gen",C1246))+ISNUMBER(SEARCH("Marketing Lead",C1246))&gt;0,'Configuración'!$B$33,IF(ISNUMBER(SEARCH("COO",C1246))+ISNUMBER(SEARCH("CFO",C1246))+ISNUMBER(SEARCH("CTO",C1246))+ISNUMBER(SEARCH("Chief Operating",C1246))+ISNUMBER(SEARCH("Chief Financial",C1246))+ISNUMBER(SEARCH("Gerente General",C1246))+ISNUMBER(SEARCH("General Manager",C1246))&gt;0,'Configuración'!$B$34,'Configuración'!$B$35)))))</f>
        <v>4</v>
      </c>
      <c r="V1246" s="38">
        <f>IF(B1246="","",IF(K1246="Sí",'Configuración'!$B$5,0)+IF(L1246="Semanal",'Configuración'!$B$6,IF(L1246="Mensual",'Configuración'!$B$7,0))+IF(M1246="Sí",'Configuración'!$B$8,0)+IF(N1246="Sí",'Configuración'!$B$9,0)+IF(O1246="Sí",'Configuración'!$B$10,0)+IF(P1246="Sí",'Configuración'!$B$11,0)+IF(Q1246="Sí",'Configuración'!$B$12,0)+S1246+T1246+U1246)</f>
        <v>20</v>
      </c>
      <c r="W1246" s="39" t="str">
        <f>IF(B1246="","",IF(V1246&gt;='Configuración'!$B$19,"A",IF(V1246&gt;='Configuración'!$B$20,"B",IF(V1246&gt;='Configuración'!$B$21,"C","Descarte"))))</f>
        <v>Descarte</v>
      </c>
    </row>
    <row r="1247" ht="15.75" customHeight="1">
      <c r="A1247" s="34">
        <f t="shared" si="1"/>
        <v>1245</v>
      </c>
      <c r="B1247" s="29" t="s">
        <v>138</v>
      </c>
      <c r="C1247" s="29" t="s">
        <v>7126</v>
      </c>
      <c r="D1247" s="29" t="s">
        <v>3097</v>
      </c>
      <c r="E1247" s="29" t="s">
        <v>7127</v>
      </c>
      <c r="F1247" s="30" t="s">
        <v>7128</v>
      </c>
      <c r="G1247" s="30" t="s">
        <v>3100</v>
      </c>
      <c r="H1247" s="30" t="s">
        <v>3101</v>
      </c>
      <c r="I1247" s="29" t="s">
        <v>127</v>
      </c>
      <c r="J1247" s="31">
        <v>27.0</v>
      </c>
      <c r="K1247" s="35"/>
      <c r="L1247" s="35"/>
      <c r="M1247" s="35"/>
      <c r="N1247" s="35"/>
      <c r="O1247" s="35"/>
      <c r="P1247" s="35"/>
      <c r="Q1247" s="35"/>
      <c r="R1247" s="35"/>
      <c r="S1247" s="37">
        <f>IF(B1247="","",IF(ISNUMBER(J1247),IF(J1247&lt;=10,'Configuración'!$B$23,IF(J1247&lt;=50,'Configuración'!$B$24,IF(J1247&lt;=200,'Configuración'!$B$25,0))),0))</f>
        <v>4</v>
      </c>
      <c r="T1247" s="37">
        <f>IF(B1247="","",IF(ISNUMBER(SEARCH("information technology",I1247))+ISNUMBER(SEARCH("software",I1247))+ISNUMBER(SEARCH("internet",I1247))+ISNUMBER(SEARCH("computer",I1247))+ISNUMBER(SEARCH("saas",I1247))+ISNUMBER(SEARCH("fintech",I1247))+ISNUMBER(SEARCH("information services",I1247))+ISNUMBER(SEARCH("telecommunications",I1247))&gt;0,'Configuración'!$B$27,'Configuración'!$B$28))</f>
        <v>12</v>
      </c>
      <c r="U1247" s="25">
        <f>IF(B1247="","",IF(ISNUMBER(SEARCH("CEO",C1247))+ISNUMBER(SEARCH("Founder",C1247))+ISNUMBER(SEARCH("Owner",C1247))+ISNUMBER(SEARCH("Dueño",C1247))+ISNUMBER(SEARCH("Director General",C1247))+ISNUMBER(SEARCH("Presidente",C1247))+ISNUMBER(SEARCH("President",C1247))&gt;0,'Configuración'!$B$31,IF(ISNUMBER(SEARCH("CMO",C1247))+ISNUMBER(SEARCH("Chief Marketing",C1247))+ISNUMBER(SEARCH("VP Marketing",C1247))+ISNUMBER(SEARCH("Director de Marketing",C1247))+ISNUMBER(SEARCH("Director Marketing",C1247))+ISNUMBER(SEARCH("Head of Marketing",C1247))+ISNUMBER(SEARCH("Head Marketing",C1247))&gt;0,'Configuración'!$B$32,IF(ISNUMBER(SEARCH("Marketing Manager",C1247))+ISNUMBER(SEARCH("Gerente de Marketing",C1247))+ISNUMBER(SEARCH("Growth Manager",C1247))+ISNUMBER(SEARCH("Demand Gen",C1247))+ISNUMBER(SEARCH("Marketing Lead",C1247))&gt;0,'Configuración'!$B$33,IF(ISNUMBER(SEARCH("COO",C1247))+ISNUMBER(SEARCH("CFO",C1247))+ISNUMBER(SEARCH("CTO",C1247))+ISNUMBER(SEARCH("Chief Operating",C1247))+ISNUMBER(SEARCH("Chief Financial",C1247))+ISNUMBER(SEARCH("Gerente General",C1247))+ISNUMBER(SEARCH("General Manager",C1247))&gt;0,'Configuración'!$B$34,'Configuración'!$B$35)))))</f>
        <v>0</v>
      </c>
      <c r="V1247" s="38">
        <f>IF(B1247="","",IF(K1247="Sí",'Configuración'!$B$5,0)+IF(L1247="Semanal",'Configuración'!$B$6,IF(L1247="Mensual",'Configuración'!$B$7,0))+IF(M1247="Sí",'Configuración'!$B$8,0)+IF(N1247="Sí",'Configuración'!$B$9,0)+IF(O1247="Sí",'Configuración'!$B$10,0)+IF(P1247="Sí",'Configuración'!$B$11,0)+IF(Q1247="Sí",'Configuración'!$B$12,0)+S1247+T1247+U1247)</f>
        <v>16</v>
      </c>
      <c r="W1247" s="39" t="str">
        <f>IF(B1247="","",IF(V1247&gt;='Configuración'!$B$19,"A",IF(V1247&gt;='Configuración'!$B$20,"B",IF(V1247&gt;='Configuración'!$B$21,"C","Descarte"))))</f>
        <v>Descarte</v>
      </c>
    </row>
    <row r="1248" ht="15.75" customHeight="1">
      <c r="A1248" s="34">
        <f t="shared" si="1"/>
        <v>1246</v>
      </c>
      <c r="B1248" s="29" t="s">
        <v>138</v>
      </c>
      <c r="C1248" s="29" t="s">
        <v>224</v>
      </c>
      <c r="D1248" s="29" t="s">
        <v>7129</v>
      </c>
      <c r="E1248" s="29" t="s">
        <v>7130</v>
      </c>
      <c r="F1248" s="30" t="s">
        <v>7131</v>
      </c>
      <c r="G1248" s="30" t="s">
        <v>7132</v>
      </c>
      <c r="H1248" s="30" t="s">
        <v>7133</v>
      </c>
      <c r="I1248" s="29" t="s">
        <v>127</v>
      </c>
      <c r="J1248" s="31">
        <v>7.0</v>
      </c>
      <c r="K1248" s="35"/>
      <c r="L1248" s="35"/>
      <c r="M1248" s="35"/>
      <c r="N1248" s="35"/>
      <c r="O1248" s="35"/>
      <c r="P1248" s="35"/>
      <c r="Q1248" s="35"/>
      <c r="R1248" s="35"/>
      <c r="S1248" s="37">
        <f>IF(B1248="","",IF(ISNUMBER(J1248),IF(J1248&lt;=10,'Configuración'!$B$23,IF(J1248&lt;=50,'Configuración'!$B$24,IF(J1248&lt;=200,'Configuración'!$B$25,0))),0))</f>
        <v>12</v>
      </c>
      <c r="T1248" s="37">
        <f>IF(B1248="","",IF(ISNUMBER(SEARCH("information technology",I1248))+ISNUMBER(SEARCH("software",I1248))+ISNUMBER(SEARCH("internet",I1248))+ISNUMBER(SEARCH("computer",I1248))+ISNUMBER(SEARCH("saas",I1248))+ISNUMBER(SEARCH("fintech",I1248))+ISNUMBER(SEARCH("information services",I1248))+ISNUMBER(SEARCH("telecommunications",I1248))&gt;0,'Configuración'!$B$27,'Configuración'!$B$28))</f>
        <v>12</v>
      </c>
      <c r="U1248" s="25">
        <f>IF(B1248="","",IF(ISNUMBER(SEARCH("CEO",C1248))+ISNUMBER(SEARCH("Founder",C1248))+ISNUMBER(SEARCH("Owner",C1248))+ISNUMBER(SEARCH("Dueño",C1248))+ISNUMBER(SEARCH("Director General",C1248))+ISNUMBER(SEARCH("Presidente",C1248))+ISNUMBER(SEARCH("President",C1248))&gt;0,'Configuración'!$B$31,IF(ISNUMBER(SEARCH("CMO",C1248))+ISNUMBER(SEARCH("Chief Marketing",C1248))+ISNUMBER(SEARCH("VP Marketing",C1248))+ISNUMBER(SEARCH("Director de Marketing",C1248))+ISNUMBER(SEARCH("Director Marketing",C1248))+ISNUMBER(SEARCH("Head of Marketing",C1248))+ISNUMBER(SEARCH("Head Marketing",C1248))&gt;0,'Configuración'!$B$32,IF(ISNUMBER(SEARCH("Marketing Manager",C1248))+ISNUMBER(SEARCH("Gerente de Marketing",C1248))+ISNUMBER(SEARCH("Growth Manager",C1248))+ISNUMBER(SEARCH("Demand Gen",C1248))+ISNUMBER(SEARCH("Marketing Lead",C1248))&gt;0,'Configuración'!$B$33,IF(ISNUMBER(SEARCH("COO",C1248))+ISNUMBER(SEARCH("CFO",C1248))+ISNUMBER(SEARCH("CTO",C1248))+ISNUMBER(SEARCH("Chief Operating",C1248))+ISNUMBER(SEARCH("Chief Financial",C1248))+ISNUMBER(SEARCH("Gerente General",C1248))+ISNUMBER(SEARCH("General Manager",C1248))&gt;0,'Configuración'!$B$34,'Configuración'!$B$35)))))</f>
        <v>12</v>
      </c>
      <c r="V1248" s="38">
        <f>IF(B1248="","",IF(K1248="Sí",'Configuración'!$B$5,0)+IF(L1248="Semanal",'Configuración'!$B$6,IF(L1248="Mensual",'Configuración'!$B$7,0))+IF(M1248="Sí",'Configuración'!$B$8,0)+IF(N1248="Sí",'Configuración'!$B$9,0)+IF(O1248="Sí",'Configuración'!$B$10,0)+IF(P1248="Sí",'Configuración'!$B$11,0)+IF(Q1248="Sí",'Configuración'!$B$12,0)+S1248+T1248+U1248)</f>
        <v>36</v>
      </c>
      <c r="W1248" s="39" t="str">
        <f>IF(B1248="","",IF(V1248&gt;='Configuración'!$B$19,"A",IF(V1248&gt;='Configuración'!$B$20,"B",IF(V1248&gt;='Configuración'!$B$21,"C","Descarte"))))</f>
        <v>C</v>
      </c>
    </row>
    <row r="1249" ht="15.75" customHeight="1">
      <c r="A1249" s="34">
        <f t="shared" si="1"/>
        <v>1247</v>
      </c>
      <c r="B1249" s="29" t="s">
        <v>7134</v>
      </c>
      <c r="C1249" s="29" t="s">
        <v>202</v>
      </c>
      <c r="D1249" s="29" t="s">
        <v>7135</v>
      </c>
      <c r="E1249" s="29" t="s">
        <v>7136</v>
      </c>
      <c r="F1249" s="30" t="s">
        <v>7137</v>
      </c>
      <c r="G1249" s="30" t="s">
        <v>7138</v>
      </c>
      <c r="H1249" s="30" t="s">
        <v>7139</v>
      </c>
      <c r="I1249" s="29" t="s">
        <v>337</v>
      </c>
      <c r="J1249" s="31">
        <v>1.0</v>
      </c>
      <c r="K1249" s="35"/>
      <c r="L1249" s="35"/>
      <c r="M1249" s="35"/>
      <c r="N1249" s="35"/>
      <c r="O1249" s="35"/>
      <c r="P1249" s="35"/>
      <c r="Q1249" s="35"/>
      <c r="R1249" s="35"/>
      <c r="S1249" s="37">
        <f>IF(B1249="","",IF(ISNUMBER(J1249),IF(J1249&lt;=10,'Configuración'!$B$23,IF(J1249&lt;=50,'Configuración'!$B$24,IF(J1249&lt;=200,'Configuración'!$B$25,0))),0))</f>
        <v>12</v>
      </c>
      <c r="T1249" s="37">
        <f>IF(B1249="","",IF(ISNUMBER(SEARCH("information technology",I1249))+ISNUMBER(SEARCH("software",I1249))+ISNUMBER(SEARCH("internet",I1249))+ISNUMBER(SEARCH("computer",I1249))+ISNUMBER(SEARCH("saas",I1249))+ISNUMBER(SEARCH("fintech",I1249))+ISNUMBER(SEARCH("information services",I1249))+ISNUMBER(SEARCH("telecommunications",I1249))&gt;0,'Configuración'!$B$27,'Configuración'!$B$28))</f>
        <v>4</v>
      </c>
      <c r="U1249" s="25">
        <f>IF(B1249="","",IF(ISNUMBER(SEARCH("CEO",C1249))+ISNUMBER(SEARCH("Founder",C1249))+ISNUMBER(SEARCH("Owner",C1249))+ISNUMBER(SEARCH("Dueño",C1249))+ISNUMBER(SEARCH("Director General",C1249))+ISNUMBER(SEARCH("Presidente",C1249))+ISNUMBER(SEARCH("President",C1249))&gt;0,'Configuración'!$B$31,IF(ISNUMBER(SEARCH("CMO",C1249))+ISNUMBER(SEARCH("Chief Marketing",C1249))+ISNUMBER(SEARCH("VP Marketing",C1249))+ISNUMBER(SEARCH("Director de Marketing",C1249))+ISNUMBER(SEARCH("Director Marketing",C1249))+ISNUMBER(SEARCH("Head of Marketing",C1249))+ISNUMBER(SEARCH("Head Marketing",C1249))&gt;0,'Configuración'!$B$32,IF(ISNUMBER(SEARCH("Marketing Manager",C1249))+ISNUMBER(SEARCH("Gerente de Marketing",C1249))+ISNUMBER(SEARCH("Growth Manager",C1249))+ISNUMBER(SEARCH("Demand Gen",C1249))+ISNUMBER(SEARCH("Marketing Lead",C1249))&gt;0,'Configuración'!$B$33,IF(ISNUMBER(SEARCH("COO",C1249))+ISNUMBER(SEARCH("CFO",C1249))+ISNUMBER(SEARCH("CTO",C1249))+ISNUMBER(SEARCH("Chief Operating",C1249))+ISNUMBER(SEARCH("Chief Financial",C1249))+ISNUMBER(SEARCH("Gerente General",C1249))+ISNUMBER(SEARCH("General Manager",C1249))&gt;0,'Configuración'!$B$34,'Configuración'!$B$35)))))</f>
        <v>12</v>
      </c>
      <c r="V1249" s="38">
        <f>IF(B1249="","",IF(K1249="Sí",'Configuración'!$B$5,0)+IF(L1249="Semanal",'Configuración'!$B$6,IF(L1249="Mensual",'Configuración'!$B$7,0))+IF(M1249="Sí",'Configuración'!$B$8,0)+IF(N1249="Sí",'Configuración'!$B$9,0)+IF(O1249="Sí",'Configuración'!$B$10,0)+IF(P1249="Sí",'Configuración'!$B$11,0)+IF(Q1249="Sí",'Configuración'!$B$12,0)+S1249+T1249+U1249)</f>
        <v>28</v>
      </c>
      <c r="W1249" s="39" t="str">
        <f>IF(B1249="","",IF(V1249&gt;='Configuración'!$B$19,"A",IF(V1249&gt;='Configuración'!$B$20,"B",IF(V1249&gt;='Configuración'!$B$21,"C","Descarte"))))</f>
        <v>C</v>
      </c>
    </row>
    <row r="1250" ht="15.75" customHeight="1">
      <c r="A1250" s="34">
        <f t="shared" si="1"/>
        <v>1248</v>
      </c>
      <c r="B1250" s="29" t="s">
        <v>109</v>
      </c>
      <c r="C1250" s="29" t="s">
        <v>121</v>
      </c>
      <c r="D1250" s="29" t="s">
        <v>7140</v>
      </c>
      <c r="E1250" s="29" t="s">
        <v>7141</v>
      </c>
      <c r="F1250" s="30" t="s">
        <v>7142</v>
      </c>
      <c r="G1250" s="30" t="s">
        <v>7143</v>
      </c>
      <c r="H1250" s="30" t="s">
        <v>7144</v>
      </c>
      <c r="I1250" s="29" t="s">
        <v>127</v>
      </c>
      <c r="J1250" s="31">
        <v>1.0</v>
      </c>
      <c r="K1250" s="35"/>
      <c r="L1250" s="35"/>
      <c r="M1250" s="35"/>
      <c r="N1250" s="35"/>
      <c r="O1250" s="35"/>
      <c r="P1250" s="35"/>
      <c r="Q1250" s="35"/>
      <c r="R1250" s="35"/>
      <c r="S1250" s="37">
        <f>IF(B1250="","",IF(ISNUMBER(J1250),IF(J1250&lt;=10,'Configuración'!$B$23,IF(J1250&lt;=50,'Configuración'!$B$24,IF(J1250&lt;=200,'Configuración'!$B$25,0))),0))</f>
        <v>12</v>
      </c>
      <c r="T1250" s="37">
        <f>IF(B1250="","",IF(ISNUMBER(SEARCH("information technology",I1250))+ISNUMBER(SEARCH("software",I1250))+ISNUMBER(SEARCH("internet",I1250))+ISNUMBER(SEARCH("computer",I1250))+ISNUMBER(SEARCH("saas",I1250))+ISNUMBER(SEARCH("fintech",I1250))+ISNUMBER(SEARCH("information services",I1250))+ISNUMBER(SEARCH("telecommunications",I1250))&gt;0,'Configuración'!$B$27,'Configuración'!$B$28))</f>
        <v>12</v>
      </c>
      <c r="U1250" s="25">
        <f>IF(B1250="","",IF(ISNUMBER(SEARCH("CEO",C1250))+ISNUMBER(SEARCH("Founder",C1250))+ISNUMBER(SEARCH("Owner",C1250))+ISNUMBER(SEARCH("Dueño",C1250))+ISNUMBER(SEARCH("Director General",C1250))+ISNUMBER(SEARCH("Presidente",C1250))+ISNUMBER(SEARCH("President",C1250))&gt;0,'Configuración'!$B$31,IF(ISNUMBER(SEARCH("CMO",C1250))+ISNUMBER(SEARCH("Chief Marketing",C1250))+ISNUMBER(SEARCH("VP Marketing",C1250))+ISNUMBER(SEARCH("Director de Marketing",C1250))+ISNUMBER(SEARCH("Director Marketing",C1250))+ISNUMBER(SEARCH("Head of Marketing",C1250))+ISNUMBER(SEARCH("Head Marketing",C1250))&gt;0,'Configuración'!$B$32,IF(ISNUMBER(SEARCH("Marketing Manager",C1250))+ISNUMBER(SEARCH("Gerente de Marketing",C1250))+ISNUMBER(SEARCH("Growth Manager",C1250))+ISNUMBER(SEARCH("Demand Gen",C1250))+ISNUMBER(SEARCH("Marketing Lead",C1250))&gt;0,'Configuración'!$B$33,IF(ISNUMBER(SEARCH("COO",C1250))+ISNUMBER(SEARCH("CFO",C1250))+ISNUMBER(SEARCH("CTO",C1250))+ISNUMBER(SEARCH("Chief Operating",C1250))+ISNUMBER(SEARCH("Chief Financial",C1250))+ISNUMBER(SEARCH("Gerente General",C1250))+ISNUMBER(SEARCH("General Manager",C1250))&gt;0,'Configuración'!$B$34,'Configuración'!$B$35)))))</f>
        <v>12</v>
      </c>
      <c r="V1250" s="38">
        <f>IF(B1250="","",IF(K1250="Sí",'Configuración'!$B$5,0)+IF(L1250="Semanal",'Configuración'!$B$6,IF(L1250="Mensual",'Configuración'!$B$7,0))+IF(M1250="Sí",'Configuración'!$B$8,0)+IF(N1250="Sí",'Configuración'!$B$9,0)+IF(O1250="Sí",'Configuración'!$B$10,0)+IF(P1250="Sí",'Configuración'!$B$11,0)+IF(Q1250="Sí",'Configuración'!$B$12,0)+S1250+T1250+U1250)</f>
        <v>36</v>
      </c>
      <c r="W1250" s="39" t="str">
        <f>IF(B1250="","",IF(V1250&gt;='Configuración'!$B$19,"A",IF(V1250&gt;='Configuración'!$B$20,"B",IF(V1250&gt;='Configuración'!$B$21,"C","Descarte"))))</f>
        <v>C</v>
      </c>
    </row>
    <row r="1251" ht="15.75" customHeight="1">
      <c r="A1251" s="34">
        <f t="shared" si="1"/>
        <v>1249</v>
      </c>
      <c r="B1251" s="29" t="s">
        <v>159</v>
      </c>
      <c r="C1251" s="29" t="s">
        <v>7145</v>
      </c>
      <c r="D1251" s="29" t="s">
        <v>7146</v>
      </c>
      <c r="E1251" s="29" t="s">
        <v>7147</v>
      </c>
      <c r="F1251" s="30" t="s">
        <v>7148</v>
      </c>
      <c r="G1251" s="30" t="s">
        <v>7149</v>
      </c>
      <c r="H1251" s="30" t="s">
        <v>7150</v>
      </c>
      <c r="I1251" s="29" t="s">
        <v>946</v>
      </c>
      <c r="J1251" s="31">
        <v>2.0</v>
      </c>
      <c r="K1251" s="35"/>
      <c r="L1251" s="35"/>
      <c r="M1251" s="35"/>
      <c r="N1251" s="35"/>
      <c r="O1251" s="35"/>
      <c r="P1251" s="35"/>
      <c r="Q1251" s="35"/>
      <c r="R1251" s="35"/>
      <c r="S1251" s="37">
        <f>IF(B1251="","",IF(ISNUMBER(J1251),IF(J1251&lt;=10,'Configuración'!$B$23,IF(J1251&lt;=50,'Configuración'!$B$24,IF(J1251&lt;=200,'Configuración'!$B$25,0))),0))</f>
        <v>12</v>
      </c>
      <c r="T1251" s="37">
        <f>IF(B1251="","",IF(ISNUMBER(SEARCH("information technology",I1251))+ISNUMBER(SEARCH("software",I1251))+ISNUMBER(SEARCH("internet",I1251))+ISNUMBER(SEARCH("computer",I1251))+ISNUMBER(SEARCH("saas",I1251))+ISNUMBER(SEARCH("fintech",I1251))+ISNUMBER(SEARCH("information services",I1251))+ISNUMBER(SEARCH("telecommunications",I1251))&gt;0,'Configuración'!$B$27,'Configuración'!$B$28))</f>
        <v>4</v>
      </c>
      <c r="U1251" s="25">
        <f>IF(B1251="","",IF(ISNUMBER(SEARCH("CEO",C1251))+ISNUMBER(SEARCH("Founder",C1251))+ISNUMBER(SEARCH("Owner",C1251))+ISNUMBER(SEARCH("Dueño",C1251))+ISNUMBER(SEARCH("Director General",C1251))+ISNUMBER(SEARCH("Presidente",C1251))+ISNUMBER(SEARCH("President",C1251))&gt;0,'Configuración'!$B$31,IF(ISNUMBER(SEARCH("CMO",C1251))+ISNUMBER(SEARCH("Chief Marketing",C1251))+ISNUMBER(SEARCH("VP Marketing",C1251))+ISNUMBER(SEARCH("Director de Marketing",C1251))+ISNUMBER(SEARCH("Director Marketing",C1251))+ISNUMBER(SEARCH("Head of Marketing",C1251))+ISNUMBER(SEARCH("Head Marketing",C1251))&gt;0,'Configuración'!$B$32,IF(ISNUMBER(SEARCH("Marketing Manager",C1251))+ISNUMBER(SEARCH("Gerente de Marketing",C1251))+ISNUMBER(SEARCH("Growth Manager",C1251))+ISNUMBER(SEARCH("Demand Gen",C1251))+ISNUMBER(SEARCH("Marketing Lead",C1251))&gt;0,'Configuración'!$B$33,IF(ISNUMBER(SEARCH("COO",C1251))+ISNUMBER(SEARCH("CFO",C1251))+ISNUMBER(SEARCH("CTO",C1251))+ISNUMBER(SEARCH("Chief Operating",C1251))+ISNUMBER(SEARCH("Chief Financial",C1251))+ISNUMBER(SEARCH("Gerente General",C1251))+ISNUMBER(SEARCH("General Manager",C1251))&gt;0,'Configuración'!$B$34,'Configuración'!$B$35)))))</f>
        <v>12</v>
      </c>
      <c r="V1251" s="38">
        <f>IF(B1251="","",IF(K1251="Sí",'Configuración'!$B$5,0)+IF(L1251="Semanal",'Configuración'!$B$6,IF(L1251="Mensual",'Configuración'!$B$7,0))+IF(M1251="Sí",'Configuración'!$B$8,0)+IF(N1251="Sí",'Configuración'!$B$9,0)+IF(O1251="Sí",'Configuración'!$B$10,0)+IF(P1251="Sí",'Configuración'!$B$11,0)+IF(Q1251="Sí",'Configuración'!$B$12,0)+S1251+T1251+U1251)</f>
        <v>28</v>
      </c>
      <c r="W1251" s="39" t="str">
        <f>IF(B1251="","",IF(V1251&gt;='Configuración'!$B$19,"A",IF(V1251&gt;='Configuración'!$B$20,"B",IF(V1251&gt;='Configuración'!$B$21,"C","Descarte"))))</f>
        <v>C</v>
      </c>
    </row>
    <row r="1252" ht="15.75" customHeight="1">
      <c r="A1252" s="34">
        <f t="shared" si="1"/>
        <v>1250</v>
      </c>
      <c r="B1252" s="29" t="s">
        <v>3554</v>
      </c>
      <c r="C1252" s="29" t="s">
        <v>7151</v>
      </c>
      <c r="D1252" s="29" t="s">
        <v>7152</v>
      </c>
      <c r="E1252" s="29" t="s">
        <v>7153</v>
      </c>
      <c r="F1252" s="30" t="s">
        <v>7154</v>
      </c>
      <c r="G1252" s="30" t="s">
        <v>7155</v>
      </c>
      <c r="H1252" s="30" t="s">
        <v>7156</v>
      </c>
      <c r="I1252" s="29" t="s">
        <v>776</v>
      </c>
      <c r="J1252" s="31">
        <v>30.0</v>
      </c>
      <c r="K1252" s="35"/>
      <c r="L1252" s="35"/>
      <c r="M1252" s="35"/>
      <c r="N1252" s="35"/>
      <c r="O1252" s="35"/>
      <c r="P1252" s="35"/>
      <c r="Q1252" s="35"/>
      <c r="R1252" s="35"/>
      <c r="S1252" s="37">
        <f>IF(B1252="","",IF(ISNUMBER(J1252),IF(J1252&lt;=10,'Configuración'!$B$23,IF(J1252&lt;=50,'Configuración'!$B$24,IF(J1252&lt;=200,'Configuración'!$B$25,0))),0))</f>
        <v>4</v>
      </c>
      <c r="T1252" s="37">
        <f>IF(B1252="","",IF(ISNUMBER(SEARCH("information technology",I1252))+ISNUMBER(SEARCH("software",I1252))+ISNUMBER(SEARCH("internet",I1252))+ISNUMBER(SEARCH("computer",I1252))+ISNUMBER(SEARCH("saas",I1252))+ISNUMBER(SEARCH("fintech",I1252))+ISNUMBER(SEARCH("information services",I1252))+ISNUMBER(SEARCH("telecommunications",I1252))&gt;0,'Configuración'!$B$27,'Configuración'!$B$28))</f>
        <v>4</v>
      </c>
      <c r="U1252" s="25">
        <f>IF(B1252="","",IF(ISNUMBER(SEARCH("CEO",C1252))+ISNUMBER(SEARCH("Founder",C1252))+ISNUMBER(SEARCH("Owner",C1252))+ISNUMBER(SEARCH("Dueño",C1252))+ISNUMBER(SEARCH("Director General",C1252))+ISNUMBER(SEARCH("Presidente",C1252))+ISNUMBER(SEARCH("President",C1252))&gt;0,'Configuración'!$B$31,IF(ISNUMBER(SEARCH("CMO",C1252))+ISNUMBER(SEARCH("Chief Marketing",C1252))+ISNUMBER(SEARCH("VP Marketing",C1252))+ISNUMBER(SEARCH("Director de Marketing",C1252))+ISNUMBER(SEARCH("Director Marketing",C1252))+ISNUMBER(SEARCH("Head of Marketing",C1252))+ISNUMBER(SEARCH("Head Marketing",C1252))&gt;0,'Configuración'!$B$32,IF(ISNUMBER(SEARCH("Marketing Manager",C1252))+ISNUMBER(SEARCH("Gerente de Marketing",C1252))+ISNUMBER(SEARCH("Growth Manager",C1252))+ISNUMBER(SEARCH("Demand Gen",C1252))+ISNUMBER(SEARCH("Marketing Lead",C1252))&gt;0,'Configuración'!$B$33,IF(ISNUMBER(SEARCH("COO",C1252))+ISNUMBER(SEARCH("CFO",C1252))+ISNUMBER(SEARCH("CTO",C1252))+ISNUMBER(SEARCH("Chief Operating",C1252))+ISNUMBER(SEARCH("Chief Financial",C1252))+ISNUMBER(SEARCH("Gerente General",C1252))+ISNUMBER(SEARCH("General Manager",C1252))&gt;0,'Configuración'!$B$34,'Configuración'!$B$35)))))</f>
        <v>4</v>
      </c>
      <c r="V1252" s="38">
        <f>IF(B1252="","",IF(K1252="Sí",'Configuración'!$B$5,0)+IF(L1252="Semanal",'Configuración'!$B$6,IF(L1252="Mensual",'Configuración'!$B$7,0))+IF(M1252="Sí",'Configuración'!$B$8,0)+IF(N1252="Sí",'Configuración'!$B$9,0)+IF(O1252="Sí",'Configuración'!$B$10,0)+IF(P1252="Sí",'Configuración'!$B$11,0)+IF(Q1252="Sí",'Configuración'!$B$12,0)+S1252+T1252+U1252)</f>
        <v>12</v>
      </c>
      <c r="W1252" s="39" t="str">
        <f>IF(B1252="","",IF(V1252&gt;='Configuración'!$B$19,"A",IF(V1252&gt;='Configuración'!$B$20,"B",IF(V1252&gt;='Configuración'!$B$21,"C","Descarte"))))</f>
        <v>Descarte</v>
      </c>
    </row>
    <row r="1253" ht="15.75" customHeight="1">
      <c r="A1253" s="34">
        <f t="shared" si="1"/>
        <v>1251</v>
      </c>
      <c r="B1253" s="29" t="s">
        <v>262</v>
      </c>
      <c r="C1253" s="29" t="s">
        <v>7157</v>
      </c>
      <c r="D1253" s="29" t="s">
        <v>7158</v>
      </c>
      <c r="E1253" s="29" t="s">
        <v>7159</v>
      </c>
      <c r="F1253" s="30" t="s">
        <v>7160</v>
      </c>
      <c r="G1253" s="30" t="s">
        <v>7161</v>
      </c>
      <c r="H1253" s="30" t="s">
        <v>7162</v>
      </c>
      <c r="I1253" s="29" t="s">
        <v>1343</v>
      </c>
      <c r="J1253" s="31">
        <v>11.0</v>
      </c>
      <c r="K1253" s="35"/>
      <c r="L1253" s="35"/>
      <c r="M1253" s="35"/>
      <c r="N1253" s="35"/>
      <c r="O1253" s="35"/>
      <c r="P1253" s="35"/>
      <c r="Q1253" s="35"/>
      <c r="R1253" s="35"/>
      <c r="S1253" s="37">
        <f>IF(B1253="","",IF(ISNUMBER(J1253),IF(J1253&lt;=10,'Configuración'!$B$23,IF(J1253&lt;=50,'Configuración'!$B$24,IF(J1253&lt;=200,'Configuración'!$B$25,0))),0))</f>
        <v>4</v>
      </c>
      <c r="T1253" s="37">
        <f>IF(B1253="","",IF(ISNUMBER(SEARCH("information technology",I1253))+ISNUMBER(SEARCH("software",I1253))+ISNUMBER(SEARCH("internet",I1253))+ISNUMBER(SEARCH("computer",I1253))+ISNUMBER(SEARCH("saas",I1253))+ISNUMBER(SEARCH("fintech",I1253))+ISNUMBER(SEARCH("information services",I1253))+ISNUMBER(SEARCH("telecommunications",I1253))&gt;0,'Configuración'!$B$27,'Configuración'!$B$28))</f>
        <v>4</v>
      </c>
      <c r="U1253" s="25">
        <f>IF(B1253="","",IF(ISNUMBER(SEARCH("CEO",C1253))+ISNUMBER(SEARCH("Founder",C1253))+ISNUMBER(SEARCH("Owner",C1253))+ISNUMBER(SEARCH("Dueño",C1253))+ISNUMBER(SEARCH("Director General",C1253))+ISNUMBER(SEARCH("Presidente",C1253))+ISNUMBER(SEARCH("President",C1253))&gt;0,'Configuración'!$B$31,IF(ISNUMBER(SEARCH("CMO",C1253))+ISNUMBER(SEARCH("Chief Marketing",C1253))+ISNUMBER(SEARCH("VP Marketing",C1253))+ISNUMBER(SEARCH("Director de Marketing",C1253))+ISNUMBER(SEARCH("Director Marketing",C1253))+ISNUMBER(SEARCH("Head of Marketing",C1253))+ISNUMBER(SEARCH("Head Marketing",C1253))&gt;0,'Configuración'!$B$32,IF(ISNUMBER(SEARCH("Marketing Manager",C1253))+ISNUMBER(SEARCH("Gerente de Marketing",C1253))+ISNUMBER(SEARCH("Growth Manager",C1253))+ISNUMBER(SEARCH("Demand Gen",C1253))+ISNUMBER(SEARCH("Marketing Lead",C1253))&gt;0,'Configuración'!$B$33,IF(ISNUMBER(SEARCH("COO",C1253))+ISNUMBER(SEARCH("CFO",C1253))+ISNUMBER(SEARCH("CTO",C1253))+ISNUMBER(SEARCH("Chief Operating",C1253))+ISNUMBER(SEARCH("Chief Financial",C1253))+ISNUMBER(SEARCH("Gerente General",C1253))+ISNUMBER(SEARCH("General Manager",C1253))&gt;0,'Configuración'!$B$34,'Configuración'!$B$35)))))</f>
        <v>12</v>
      </c>
      <c r="V1253" s="38">
        <f>IF(B1253="","",IF(K1253="Sí",'Configuración'!$B$5,0)+IF(L1253="Semanal",'Configuración'!$B$6,IF(L1253="Mensual",'Configuración'!$B$7,0))+IF(M1253="Sí",'Configuración'!$B$8,0)+IF(N1253="Sí",'Configuración'!$B$9,0)+IF(O1253="Sí",'Configuración'!$B$10,0)+IF(P1253="Sí",'Configuración'!$B$11,0)+IF(Q1253="Sí",'Configuración'!$B$12,0)+S1253+T1253+U1253)</f>
        <v>20</v>
      </c>
      <c r="W1253" s="39" t="str">
        <f>IF(B1253="","",IF(V1253&gt;='Configuración'!$B$19,"A",IF(V1253&gt;='Configuración'!$B$20,"B",IF(V1253&gt;='Configuración'!$B$21,"C","Descarte"))))</f>
        <v>Descarte</v>
      </c>
    </row>
    <row r="1254" ht="15.75" customHeight="1">
      <c r="A1254" s="34">
        <f t="shared" si="1"/>
        <v>1252</v>
      </c>
      <c r="B1254" s="29" t="s">
        <v>7163</v>
      </c>
      <c r="C1254" s="29" t="s">
        <v>311</v>
      </c>
      <c r="D1254" s="29" t="s">
        <v>7164</v>
      </c>
      <c r="E1254" s="29" t="s">
        <v>7165</v>
      </c>
      <c r="F1254" s="30" t="s">
        <v>7166</v>
      </c>
      <c r="G1254" s="30" t="s">
        <v>7167</v>
      </c>
      <c r="H1254" s="30" t="s">
        <v>7168</v>
      </c>
      <c r="I1254" s="29" t="s">
        <v>127</v>
      </c>
      <c r="J1254" s="31">
        <v>2.0</v>
      </c>
      <c r="K1254" s="35"/>
      <c r="L1254" s="35"/>
      <c r="M1254" s="35"/>
      <c r="N1254" s="35"/>
      <c r="O1254" s="35"/>
      <c r="P1254" s="35"/>
      <c r="Q1254" s="35"/>
      <c r="R1254" s="35"/>
      <c r="S1254" s="37">
        <f>IF(B1254="","",IF(ISNUMBER(J1254),IF(J1254&lt;=10,'Configuración'!$B$23,IF(J1254&lt;=50,'Configuración'!$B$24,IF(J1254&lt;=200,'Configuración'!$B$25,0))),0))</f>
        <v>12</v>
      </c>
      <c r="T1254" s="37">
        <f>IF(B1254="","",IF(ISNUMBER(SEARCH("information technology",I1254))+ISNUMBER(SEARCH("software",I1254))+ISNUMBER(SEARCH("internet",I1254))+ISNUMBER(SEARCH("computer",I1254))+ISNUMBER(SEARCH("saas",I1254))+ISNUMBER(SEARCH("fintech",I1254))+ISNUMBER(SEARCH("information services",I1254))+ISNUMBER(SEARCH("telecommunications",I1254))&gt;0,'Configuración'!$B$27,'Configuración'!$B$28))</f>
        <v>12</v>
      </c>
      <c r="U1254" s="25">
        <f>IF(B1254="","",IF(ISNUMBER(SEARCH("CEO",C1254))+ISNUMBER(SEARCH("Founder",C1254))+ISNUMBER(SEARCH("Owner",C1254))+ISNUMBER(SEARCH("Dueño",C1254))+ISNUMBER(SEARCH("Director General",C1254))+ISNUMBER(SEARCH("Presidente",C1254))+ISNUMBER(SEARCH("President",C1254))&gt;0,'Configuración'!$B$31,IF(ISNUMBER(SEARCH("CMO",C1254))+ISNUMBER(SEARCH("Chief Marketing",C1254))+ISNUMBER(SEARCH("VP Marketing",C1254))+ISNUMBER(SEARCH("Director de Marketing",C1254))+ISNUMBER(SEARCH("Director Marketing",C1254))+ISNUMBER(SEARCH("Head of Marketing",C1254))+ISNUMBER(SEARCH("Head Marketing",C1254))&gt;0,'Configuración'!$B$32,IF(ISNUMBER(SEARCH("Marketing Manager",C1254))+ISNUMBER(SEARCH("Gerente de Marketing",C1254))+ISNUMBER(SEARCH("Growth Manager",C1254))+ISNUMBER(SEARCH("Demand Gen",C1254))+ISNUMBER(SEARCH("Marketing Lead",C1254))&gt;0,'Configuración'!$B$33,IF(ISNUMBER(SEARCH("COO",C1254))+ISNUMBER(SEARCH("CFO",C1254))+ISNUMBER(SEARCH("CTO",C1254))+ISNUMBER(SEARCH("Chief Operating",C1254))+ISNUMBER(SEARCH("Chief Financial",C1254))+ISNUMBER(SEARCH("Gerente General",C1254))+ISNUMBER(SEARCH("General Manager",C1254))&gt;0,'Configuración'!$B$34,'Configuración'!$B$35)))))</f>
        <v>12</v>
      </c>
      <c r="V1254" s="38">
        <f>IF(B1254="","",IF(K1254="Sí",'Configuración'!$B$5,0)+IF(L1254="Semanal",'Configuración'!$B$6,IF(L1254="Mensual",'Configuración'!$B$7,0))+IF(M1254="Sí",'Configuración'!$B$8,0)+IF(N1254="Sí",'Configuración'!$B$9,0)+IF(O1254="Sí",'Configuración'!$B$10,0)+IF(P1254="Sí",'Configuración'!$B$11,0)+IF(Q1254="Sí",'Configuración'!$B$12,0)+S1254+T1254+U1254)</f>
        <v>36</v>
      </c>
      <c r="W1254" s="39" t="str">
        <f>IF(B1254="","",IF(V1254&gt;='Configuración'!$B$19,"A",IF(V1254&gt;='Configuración'!$B$20,"B",IF(V1254&gt;='Configuración'!$B$21,"C","Descarte"))))</f>
        <v>C</v>
      </c>
    </row>
    <row r="1255" ht="15.75" customHeight="1">
      <c r="A1255" s="34">
        <f t="shared" si="1"/>
        <v>1253</v>
      </c>
      <c r="B1255" s="29" t="s">
        <v>250</v>
      </c>
      <c r="C1255" s="29" t="s">
        <v>731</v>
      </c>
      <c r="D1255" s="29" t="s">
        <v>7169</v>
      </c>
      <c r="E1255" s="29" t="s">
        <v>7170</v>
      </c>
      <c r="F1255" s="30" t="s">
        <v>7171</v>
      </c>
      <c r="G1255" s="30" t="s">
        <v>7172</v>
      </c>
      <c r="H1255" s="30" t="s">
        <v>7173</v>
      </c>
      <c r="I1255" s="29" t="s">
        <v>116</v>
      </c>
      <c r="J1255" s="31">
        <v>4.0</v>
      </c>
      <c r="K1255" s="35"/>
      <c r="L1255" s="35"/>
      <c r="M1255" s="35"/>
      <c r="N1255" s="35"/>
      <c r="O1255" s="35"/>
      <c r="P1255" s="35"/>
      <c r="Q1255" s="35"/>
      <c r="R1255" s="35"/>
      <c r="S1255" s="37">
        <f>IF(B1255="","",IF(ISNUMBER(J1255),IF(J1255&lt;=10,'Configuración'!$B$23,IF(J1255&lt;=50,'Configuración'!$B$24,IF(J1255&lt;=200,'Configuración'!$B$25,0))),0))</f>
        <v>12</v>
      </c>
      <c r="T1255" s="37">
        <f>IF(B1255="","",IF(ISNUMBER(SEARCH("information technology",I1255))+ISNUMBER(SEARCH("software",I1255))+ISNUMBER(SEARCH("internet",I1255))+ISNUMBER(SEARCH("computer",I1255))+ISNUMBER(SEARCH("saas",I1255))+ISNUMBER(SEARCH("fintech",I1255))+ISNUMBER(SEARCH("information services",I1255))+ISNUMBER(SEARCH("telecommunications",I1255))&gt;0,'Configuración'!$B$27,'Configuración'!$B$28))</f>
        <v>4</v>
      </c>
      <c r="U1255" s="25">
        <f>IF(B1255="","",IF(ISNUMBER(SEARCH("CEO",C1255))+ISNUMBER(SEARCH("Founder",C1255))+ISNUMBER(SEARCH("Owner",C1255))+ISNUMBER(SEARCH("Dueño",C1255))+ISNUMBER(SEARCH("Director General",C1255))+ISNUMBER(SEARCH("Presidente",C1255))+ISNUMBER(SEARCH("President",C1255))&gt;0,'Configuración'!$B$31,IF(ISNUMBER(SEARCH("CMO",C1255))+ISNUMBER(SEARCH("Chief Marketing",C1255))+ISNUMBER(SEARCH("VP Marketing",C1255))+ISNUMBER(SEARCH("Director de Marketing",C1255))+ISNUMBER(SEARCH("Director Marketing",C1255))+ISNUMBER(SEARCH("Head of Marketing",C1255))+ISNUMBER(SEARCH("Head Marketing",C1255))&gt;0,'Configuración'!$B$32,IF(ISNUMBER(SEARCH("Marketing Manager",C1255))+ISNUMBER(SEARCH("Gerente de Marketing",C1255))+ISNUMBER(SEARCH("Growth Manager",C1255))+ISNUMBER(SEARCH("Demand Gen",C1255))+ISNUMBER(SEARCH("Marketing Lead",C1255))&gt;0,'Configuración'!$B$33,IF(ISNUMBER(SEARCH("COO",C1255))+ISNUMBER(SEARCH("CFO",C1255))+ISNUMBER(SEARCH("CTO",C1255))+ISNUMBER(SEARCH("Chief Operating",C1255))+ISNUMBER(SEARCH("Chief Financial",C1255))+ISNUMBER(SEARCH("Gerente General",C1255))+ISNUMBER(SEARCH("General Manager",C1255))&gt;0,'Configuración'!$B$34,'Configuración'!$B$35)))))</f>
        <v>12</v>
      </c>
      <c r="V1255" s="38">
        <f>IF(B1255="","",IF(K1255="Sí",'Configuración'!$B$5,0)+IF(L1255="Semanal",'Configuración'!$B$6,IF(L1255="Mensual",'Configuración'!$B$7,0))+IF(M1255="Sí",'Configuración'!$B$8,0)+IF(N1255="Sí",'Configuración'!$B$9,0)+IF(O1255="Sí",'Configuración'!$B$10,0)+IF(P1255="Sí",'Configuración'!$B$11,0)+IF(Q1255="Sí",'Configuración'!$B$12,0)+S1255+T1255+U1255)</f>
        <v>28</v>
      </c>
      <c r="W1255" s="39" t="str">
        <f>IF(B1255="","",IF(V1255&gt;='Configuración'!$B$19,"A",IF(V1255&gt;='Configuración'!$B$20,"B",IF(V1255&gt;='Configuración'!$B$21,"C","Descarte"))))</f>
        <v>C</v>
      </c>
    </row>
    <row r="1256" ht="15.75" customHeight="1">
      <c r="A1256" s="34">
        <f t="shared" si="1"/>
        <v>1254</v>
      </c>
      <c r="B1256" s="29" t="s">
        <v>6431</v>
      </c>
      <c r="C1256" s="29" t="s">
        <v>202</v>
      </c>
      <c r="D1256" s="29" t="s">
        <v>7174</v>
      </c>
      <c r="E1256" s="29" t="s">
        <v>7175</v>
      </c>
      <c r="F1256" s="30" t="s">
        <v>7176</v>
      </c>
      <c r="G1256" s="30" t="s">
        <v>7177</v>
      </c>
      <c r="H1256" s="30" t="s">
        <v>7178</v>
      </c>
      <c r="I1256" s="29" t="s">
        <v>1785</v>
      </c>
      <c r="J1256" s="31">
        <v>10.0</v>
      </c>
      <c r="K1256" s="35"/>
      <c r="L1256" s="35"/>
      <c r="M1256" s="35"/>
      <c r="N1256" s="35"/>
      <c r="O1256" s="35"/>
      <c r="P1256" s="35"/>
      <c r="Q1256" s="35"/>
      <c r="R1256" s="35"/>
      <c r="S1256" s="37">
        <f>IF(B1256="","",IF(ISNUMBER(J1256),IF(J1256&lt;=10,'Configuración'!$B$23,IF(J1256&lt;=50,'Configuración'!$B$24,IF(J1256&lt;=200,'Configuración'!$B$25,0))),0))</f>
        <v>12</v>
      </c>
      <c r="T1256" s="37">
        <f>IF(B1256="","",IF(ISNUMBER(SEARCH("information technology",I1256))+ISNUMBER(SEARCH("software",I1256))+ISNUMBER(SEARCH("internet",I1256))+ISNUMBER(SEARCH("computer",I1256))+ISNUMBER(SEARCH("saas",I1256))+ISNUMBER(SEARCH("fintech",I1256))+ISNUMBER(SEARCH("information services",I1256))+ISNUMBER(SEARCH("telecommunications",I1256))&gt;0,'Configuración'!$B$27,'Configuración'!$B$28))</f>
        <v>4</v>
      </c>
      <c r="U1256" s="25">
        <f>IF(B1256="","",IF(ISNUMBER(SEARCH("CEO",C1256))+ISNUMBER(SEARCH("Founder",C1256))+ISNUMBER(SEARCH("Owner",C1256))+ISNUMBER(SEARCH("Dueño",C1256))+ISNUMBER(SEARCH("Director General",C1256))+ISNUMBER(SEARCH("Presidente",C1256))+ISNUMBER(SEARCH("President",C1256))&gt;0,'Configuración'!$B$31,IF(ISNUMBER(SEARCH("CMO",C1256))+ISNUMBER(SEARCH("Chief Marketing",C1256))+ISNUMBER(SEARCH("VP Marketing",C1256))+ISNUMBER(SEARCH("Director de Marketing",C1256))+ISNUMBER(SEARCH("Director Marketing",C1256))+ISNUMBER(SEARCH("Head of Marketing",C1256))+ISNUMBER(SEARCH("Head Marketing",C1256))&gt;0,'Configuración'!$B$32,IF(ISNUMBER(SEARCH("Marketing Manager",C1256))+ISNUMBER(SEARCH("Gerente de Marketing",C1256))+ISNUMBER(SEARCH("Growth Manager",C1256))+ISNUMBER(SEARCH("Demand Gen",C1256))+ISNUMBER(SEARCH("Marketing Lead",C1256))&gt;0,'Configuración'!$B$33,IF(ISNUMBER(SEARCH("COO",C1256))+ISNUMBER(SEARCH("CFO",C1256))+ISNUMBER(SEARCH("CTO",C1256))+ISNUMBER(SEARCH("Chief Operating",C1256))+ISNUMBER(SEARCH("Chief Financial",C1256))+ISNUMBER(SEARCH("Gerente General",C1256))+ISNUMBER(SEARCH("General Manager",C1256))&gt;0,'Configuración'!$B$34,'Configuración'!$B$35)))))</f>
        <v>12</v>
      </c>
      <c r="V1256" s="38">
        <f>IF(B1256="","",IF(K1256="Sí",'Configuración'!$B$5,0)+IF(L1256="Semanal",'Configuración'!$B$6,IF(L1256="Mensual",'Configuración'!$B$7,0))+IF(M1256="Sí",'Configuración'!$B$8,0)+IF(N1256="Sí",'Configuración'!$B$9,0)+IF(O1256="Sí",'Configuración'!$B$10,0)+IF(P1256="Sí",'Configuración'!$B$11,0)+IF(Q1256="Sí",'Configuración'!$B$12,0)+S1256+T1256+U1256)</f>
        <v>28</v>
      </c>
      <c r="W1256" s="39" t="str">
        <f>IF(B1256="","",IF(V1256&gt;='Configuración'!$B$19,"A",IF(V1256&gt;='Configuración'!$B$20,"B",IF(V1256&gt;='Configuración'!$B$21,"C","Descarte"))))</f>
        <v>C</v>
      </c>
    </row>
    <row r="1257" ht="15.75" customHeight="1">
      <c r="A1257" s="34">
        <f t="shared" si="1"/>
        <v>1255</v>
      </c>
      <c r="B1257" s="29" t="s">
        <v>536</v>
      </c>
      <c r="C1257" s="29" t="s">
        <v>311</v>
      </c>
      <c r="D1257" s="29" t="s">
        <v>7179</v>
      </c>
      <c r="E1257" s="29" t="s">
        <v>7180</v>
      </c>
      <c r="F1257" s="30" t="s">
        <v>7181</v>
      </c>
      <c r="G1257" s="30" t="s">
        <v>7182</v>
      </c>
      <c r="H1257" s="30" t="s">
        <v>7183</v>
      </c>
      <c r="I1257" s="29" t="s">
        <v>659</v>
      </c>
      <c r="J1257" s="31">
        <v>3.0</v>
      </c>
      <c r="K1257" s="35"/>
      <c r="L1257" s="35"/>
      <c r="M1257" s="35"/>
      <c r="N1257" s="35"/>
      <c r="O1257" s="35"/>
      <c r="P1257" s="35"/>
      <c r="Q1257" s="35"/>
      <c r="R1257" s="35"/>
      <c r="S1257" s="37">
        <f>IF(B1257="","",IF(ISNUMBER(J1257),IF(J1257&lt;=10,'Configuración'!$B$23,IF(J1257&lt;=50,'Configuración'!$B$24,IF(J1257&lt;=200,'Configuración'!$B$25,0))),0))</f>
        <v>12</v>
      </c>
      <c r="T1257" s="37">
        <f>IF(B1257="","",IF(ISNUMBER(SEARCH("information technology",I1257))+ISNUMBER(SEARCH("software",I1257))+ISNUMBER(SEARCH("internet",I1257))+ISNUMBER(SEARCH("computer",I1257))+ISNUMBER(SEARCH("saas",I1257))+ISNUMBER(SEARCH("fintech",I1257))+ISNUMBER(SEARCH("information services",I1257))+ISNUMBER(SEARCH("telecommunications",I1257))&gt;0,'Configuración'!$B$27,'Configuración'!$B$28))</f>
        <v>4</v>
      </c>
      <c r="U1257" s="25">
        <f>IF(B1257="","",IF(ISNUMBER(SEARCH("CEO",C1257))+ISNUMBER(SEARCH("Founder",C1257))+ISNUMBER(SEARCH("Owner",C1257))+ISNUMBER(SEARCH("Dueño",C1257))+ISNUMBER(SEARCH("Director General",C1257))+ISNUMBER(SEARCH("Presidente",C1257))+ISNUMBER(SEARCH("President",C1257))&gt;0,'Configuración'!$B$31,IF(ISNUMBER(SEARCH("CMO",C1257))+ISNUMBER(SEARCH("Chief Marketing",C1257))+ISNUMBER(SEARCH("VP Marketing",C1257))+ISNUMBER(SEARCH("Director de Marketing",C1257))+ISNUMBER(SEARCH("Director Marketing",C1257))+ISNUMBER(SEARCH("Head of Marketing",C1257))+ISNUMBER(SEARCH("Head Marketing",C1257))&gt;0,'Configuración'!$B$32,IF(ISNUMBER(SEARCH("Marketing Manager",C1257))+ISNUMBER(SEARCH("Gerente de Marketing",C1257))+ISNUMBER(SEARCH("Growth Manager",C1257))+ISNUMBER(SEARCH("Demand Gen",C1257))+ISNUMBER(SEARCH("Marketing Lead",C1257))&gt;0,'Configuración'!$B$33,IF(ISNUMBER(SEARCH("COO",C1257))+ISNUMBER(SEARCH("CFO",C1257))+ISNUMBER(SEARCH("CTO",C1257))+ISNUMBER(SEARCH("Chief Operating",C1257))+ISNUMBER(SEARCH("Chief Financial",C1257))+ISNUMBER(SEARCH("Gerente General",C1257))+ISNUMBER(SEARCH("General Manager",C1257))&gt;0,'Configuración'!$B$34,'Configuración'!$B$35)))))</f>
        <v>12</v>
      </c>
      <c r="V1257" s="38">
        <f>IF(B1257="","",IF(K1257="Sí",'Configuración'!$B$5,0)+IF(L1257="Semanal",'Configuración'!$B$6,IF(L1257="Mensual",'Configuración'!$B$7,0))+IF(M1257="Sí",'Configuración'!$B$8,0)+IF(N1257="Sí",'Configuración'!$B$9,0)+IF(O1257="Sí",'Configuración'!$B$10,0)+IF(P1257="Sí",'Configuración'!$B$11,0)+IF(Q1257="Sí",'Configuración'!$B$12,0)+S1257+T1257+U1257)</f>
        <v>28</v>
      </c>
      <c r="W1257" s="39" t="str">
        <f>IF(B1257="","",IF(V1257&gt;='Configuración'!$B$19,"A",IF(V1257&gt;='Configuración'!$B$20,"B",IF(V1257&gt;='Configuración'!$B$21,"C","Descarte"))))</f>
        <v>C</v>
      </c>
    </row>
    <row r="1258" ht="15.75" customHeight="1">
      <c r="A1258" s="34">
        <f t="shared" si="1"/>
        <v>1256</v>
      </c>
      <c r="B1258" s="29" t="s">
        <v>556</v>
      </c>
      <c r="C1258" s="29" t="s">
        <v>796</v>
      </c>
      <c r="D1258" s="29" t="s">
        <v>7184</v>
      </c>
      <c r="E1258" s="29" t="s">
        <v>7185</v>
      </c>
      <c r="F1258" s="30" t="s">
        <v>7186</v>
      </c>
      <c r="G1258" s="30" t="s">
        <v>7187</v>
      </c>
      <c r="H1258" s="30" t="s">
        <v>7188</v>
      </c>
      <c r="I1258" s="29" t="s">
        <v>116</v>
      </c>
      <c r="J1258" s="31">
        <v>12.0</v>
      </c>
      <c r="K1258" s="35"/>
      <c r="L1258" s="35"/>
      <c r="M1258" s="35"/>
      <c r="N1258" s="35"/>
      <c r="O1258" s="35"/>
      <c r="P1258" s="35"/>
      <c r="Q1258" s="35"/>
      <c r="R1258" s="35"/>
      <c r="S1258" s="37">
        <f>IF(B1258="","",IF(ISNUMBER(J1258),IF(J1258&lt;=10,'Configuración'!$B$23,IF(J1258&lt;=50,'Configuración'!$B$24,IF(J1258&lt;=200,'Configuración'!$B$25,0))),0))</f>
        <v>4</v>
      </c>
      <c r="T1258" s="37">
        <f>IF(B1258="","",IF(ISNUMBER(SEARCH("information technology",I1258))+ISNUMBER(SEARCH("software",I1258))+ISNUMBER(SEARCH("internet",I1258))+ISNUMBER(SEARCH("computer",I1258))+ISNUMBER(SEARCH("saas",I1258))+ISNUMBER(SEARCH("fintech",I1258))+ISNUMBER(SEARCH("information services",I1258))+ISNUMBER(SEARCH("telecommunications",I1258))&gt;0,'Configuración'!$B$27,'Configuración'!$B$28))</f>
        <v>4</v>
      </c>
      <c r="U1258" s="25">
        <f>IF(B1258="","",IF(ISNUMBER(SEARCH("CEO",C1258))+ISNUMBER(SEARCH("Founder",C1258))+ISNUMBER(SEARCH("Owner",C1258))+ISNUMBER(SEARCH("Dueño",C1258))+ISNUMBER(SEARCH("Director General",C1258))+ISNUMBER(SEARCH("Presidente",C1258))+ISNUMBER(SEARCH("President",C1258))&gt;0,'Configuración'!$B$31,IF(ISNUMBER(SEARCH("CMO",C1258))+ISNUMBER(SEARCH("Chief Marketing",C1258))+ISNUMBER(SEARCH("VP Marketing",C1258))+ISNUMBER(SEARCH("Director de Marketing",C1258))+ISNUMBER(SEARCH("Director Marketing",C1258))+ISNUMBER(SEARCH("Head of Marketing",C1258))+ISNUMBER(SEARCH("Head Marketing",C1258))&gt;0,'Configuración'!$B$32,IF(ISNUMBER(SEARCH("Marketing Manager",C1258))+ISNUMBER(SEARCH("Gerente de Marketing",C1258))+ISNUMBER(SEARCH("Growth Manager",C1258))+ISNUMBER(SEARCH("Demand Gen",C1258))+ISNUMBER(SEARCH("Marketing Lead",C1258))&gt;0,'Configuración'!$B$33,IF(ISNUMBER(SEARCH("COO",C1258))+ISNUMBER(SEARCH("CFO",C1258))+ISNUMBER(SEARCH("CTO",C1258))+ISNUMBER(SEARCH("Chief Operating",C1258))+ISNUMBER(SEARCH("Chief Financial",C1258))+ISNUMBER(SEARCH("Gerente General",C1258))+ISNUMBER(SEARCH("General Manager",C1258))&gt;0,'Configuración'!$B$34,'Configuración'!$B$35)))))</f>
        <v>12</v>
      </c>
      <c r="V1258" s="38">
        <f>IF(B1258="","",IF(K1258="Sí",'Configuración'!$B$5,0)+IF(L1258="Semanal",'Configuración'!$B$6,IF(L1258="Mensual",'Configuración'!$B$7,0))+IF(M1258="Sí",'Configuración'!$B$8,0)+IF(N1258="Sí",'Configuración'!$B$9,0)+IF(O1258="Sí",'Configuración'!$B$10,0)+IF(P1258="Sí",'Configuración'!$B$11,0)+IF(Q1258="Sí",'Configuración'!$B$12,0)+S1258+T1258+U1258)</f>
        <v>20</v>
      </c>
      <c r="W1258" s="39" t="str">
        <f>IF(B1258="","",IF(V1258&gt;='Configuración'!$B$19,"A",IF(V1258&gt;='Configuración'!$B$20,"B",IF(V1258&gt;='Configuración'!$B$21,"C","Descarte"))))</f>
        <v>Descarte</v>
      </c>
    </row>
    <row r="1259" ht="15.75" customHeight="1">
      <c r="A1259" s="34">
        <f t="shared" si="1"/>
        <v>1257</v>
      </c>
      <c r="B1259" s="29" t="s">
        <v>296</v>
      </c>
      <c r="C1259" s="29" t="s">
        <v>121</v>
      </c>
      <c r="D1259" s="29" t="s">
        <v>7189</v>
      </c>
      <c r="E1259" s="29" t="s">
        <v>7190</v>
      </c>
      <c r="F1259" s="30" t="s">
        <v>7191</v>
      </c>
      <c r="G1259" s="30" t="s">
        <v>7192</v>
      </c>
      <c r="H1259" s="30" t="s">
        <v>7193</v>
      </c>
      <c r="I1259" s="29" t="s">
        <v>616</v>
      </c>
      <c r="J1259" s="31">
        <v>10.0</v>
      </c>
      <c r="K1259" s="35"/>
      <c r="L1259" s="35"/>
      <c r="M1259" s="35"/>
      <c r="N1259" s="35"/>
      <c r="O1259" s="35"/>
      <c r="P1259" s="35"/>
      <c r="Q1259" s="35"/>
      <c r="R1259" s="35"/>
      <c r="S1259" s="37">
        <f>IF(B1259="","",IF(ISNUMBER(J1259),IF(J1259&lt;=10,'Configuración'!$B$23,IF(J1259&lt;=50,'Configuración'!$B$24,IF(J1259&lt;=200,'Configuración'!$B$25,0))),0))</f>
        <v>12</v>
      </c>
      <c r="T1259" s="37">
        <f>IF(B1259="","",IF(ISNUMBER(SEARCH("information technology",I1259))+ISNUMBER(SEARCH("software",I1259))+ISNUMBER(SEARCH("internet",I1259))+ISNUMBER(SEARCH("computer",I1259))+ISNUMBER(SEARCH("saas",I1259))+ISNUMBER(SEARCH("fintech",I1259))+ISNUMBER(SEARCH("information services",I1259))+ISNUMBER(SEARCH("telecommunications",I1259))&gt;0,'Configuración'!$B$27,'Configuración'!$B$28))</f>
        <v>4</v>
      </c>
      <c r="U1259" s="25">
        <f>IF(B1259="","",IF(ISNUMBER(SEARCH("CEO",C1259))+ISNUMBER(SEARCH("Founder",C1259))+ISNUMBER(SEARCH("Owner",C1259))+ISNUMBER(SEARCH("Dueño",C1259))+ISNUMBER(SEARCH("Director General",C1259))+ISNUMBER(SEARCH("Presidente",C1259))+ISNUMBER(SEARCH("President",C1259))&gt;0,'Configuración'!$B$31,IF(ISNUMBER(SEARCH("CMO",C1259))+ISNUMBER(SEARCH("Chief Marketing",C1259))+ISNUMBER(SEARCH("VP Marketing",C1259))+ISNUMBER(SEARCH("Director de Marketing",C1259))+ISNUMBER(SEARCH("Director Marketing",C1259))+ISNUMBER(SEARCH("Head of Marketing",C1259))+ISNUMBER(SEARCH("Head Marketing",C1259))&gt;0,'Configuración'!$B$32,IF(ISNUMBER(SEARCH("Marketing Manager",C1259))+ISNUMBER(SEARCH("Gerente de Marketing",C1259))+ISNUMBER(SEARCH("Growth Manager",C1259))+ISNUMBER(SEARCH("Demand Gen",C1259))+ISNUMBER(SEARCH("Marketing Lead",C1259))&gt;0,'Configuración'!$B$33,IF(ISNUMBER(SEARCH("COO",C1259))+ISNUMBER(SEARCH("CFO",C1259))+ISNUMBER(SEARCH("CTO",C1259))+ISNUMBER(SEARCH("Chief Operating",C1259))+ISNUMBER(SEARCH("Chief Financial",C1259))+ISNUMBER(SEARCH("Gerente General",C1259))+ISNUMBER(SEARCH("General Manager",C1259))&gt;0,'Configuración'!$B$34,'Configuración'!$B$35)))))</f>
        <v>12</v>
      </c>
      <c r="V1259" s="38">
        <f>IF(B1259="","",IF(K1259="Sí",'Configuración'!$B$5,0)+IF(L1259="Semanal",'Configuración'!$B$6,IF(L1259="Mensual",'Configuración'!$B$7,0))+IF(M1259="Sí",'Configuración'!$B$8,0)+IF(N1259="Sí",'Configuración'!$B$9,0)+IF(O1259="Sí",'Configuración'!$B$10,0)+IF(P1259="Sí",'Configuración'!$B$11,0)+IF(Q1259="Sí",'Configuración'!$B$12,0)+S1259+T1259+U1259)</f>
        <v>28</v>
      </c>
      <c r="W1259" s="39" t="str">
        <f>IF(B1259="","",IF(V1259&gt;='Configuración'!$B$19,"A",IF(V1259&gt;='Configuración'!$B$20,"B",IF(V1259&gt;='Configuración'!$B$21,"C","Descarte"))))</f>
        <v>C</v>
      </c>
    </row>
    <row r="1260" ht="15.75" customHeight="1">
      <c r="A1260" s="34">
        <f t="shared" si="1"/>
        <v>1258</v>
      </c>
      <c r="B1260" s="29" t="s">
        <v>223</v>
      </c>
      <c r="C1260" s="29" t="s">
        <v>622</v>
      </c>
      <c r="D1260" s="29" t="s">
        <v>7194</v>
      </c>
      <c r="E1260" s="29" t="s">
        <v>7195</v>
      </c>
      <c r="F1260" s="30" t="s">
        <v>7196</v>
      </c>
      <c r="G1260" s="30" t="s">
        <v>7197</v>
      </c>
      <c r="H1260" s="30" t="s">
        <v>7198</v>
      </c>
      <c r="I1260" s="29" t="s">
        <v>127</v>
      </c>
      <c r="J1260" s="31">
        <v>18.0</v>
      </c>
      <c r="K1260" s="35"/>
      <c r="L1260" s="35"/>
      <c r="M1260" s="35"/>
      <c r="N1260" s="35"/>
      <c r="O1260" s="35"/>
      <c r="P1260" s="35"/>
      <c r="Q1260" s="35"/>
      <c r="R1260" s="35"/>
      <c r="S1260" s="37">
        <f>IF(B1260="","",IF(ISNUMBER(J1260),IF(J1260&lt;=10,'Configuración'!$B$23,IF(J1260&lt;=50,'Configuración'!$B$24,IF(J1260&lt;=200,'Configuración'!$B$25,0))),0))</f>
        <v>4</v>
      </c>
      <c r="T1260" s="37">
        <f>IF(B1260="","",IF(ISNUMBER(SEARCH("information technology",I1260))+ISNUMBER(SEARCH("software",I1260))+ISNUMBER(SEARCH("internet",I1260))+ISNUMBER(SEARCH("computer",I1260))+ISNUMBER(SEARCH("saas",I1260))+ISNUMBER(SEARCH("fintech",I1260))+ISNUMBER(SEARCH("information services",I1260))+ISNUMBER(SEARCH("telecommunications",I1260))&gt;0,'Configuración'!$B$27,'Configuración'!$B$28))</f>
        <v>12</v>
      </c>
      <c r="U1260" s="25">
        <f>IF(B1260="","",IF(ISNUMBER(SEARCH("CEO",C1260))+ISNUMBER(SEARCH("Founder",C1260))+ISNUMBER(SEARCH("Owner",C1260))+ISNUMBER(SEARCH("Dueño",C1260))+ISNUMBER(SEARCH("Director General",C1260))+ISNUMBER(SEARCH("Presidente",C1260))+ISNUMBER(SEARCH("President",C1260))&gt;0,'Configuración'!$B$31,IF(ISNUMBER(SEARCH("CMO",C1260))+ISNUMBER(SEARCH("Chief Marketing",C1260))+ISNUMBER(SEARCH("VP Marketing",C1260))+ISNUMBER(SEARCH("Director de Marketing",C1260))+ISNUMBER(SEARCH("Director Marketing",C1260))+ISNUMBER(SEARCH("Head of Marketing",C1260))+ISNUMBER(SEARCH("Head Marketing",C1260))&gt;0,'Configuración'!$B$32,IF(ISNUMBER(SEARCH("Marketing Manager",C1260))+ISNUMBER(SEARCH("Gerente de Marketing",C1260))+ISNUMBER(SEARCH("Growth Manager",C1260))+ISNUMBER(SEARCH("Demand Gen",C1260))+ISNUMBER(SEARCH("Marketing Lead",C1260))&gt;0,'Configuración'!$B$33,IF(ISNUMBER(SEARCH("COO",C1260))+ISNUMBER(SEARCH("CFO",C1260))+ISNUMBER(SEARCH("CTO",C1260))+ISNUMBER(SEARCH("Chief Operating",C1260))+ISNUMBER(SEARCH("Chief Financial",C1260))+ISNUMBER(SEARCH("Gerente General",C1260))+ISNUMBER(SEARCH("General Manager",C1260))&gt;0,'Configuración'!$B$34,'Configuración'!$B$35)))))</f>
        <v>12</v>
      </c>
      <c r="V1260" s="38">
        <f>IF(B1260="","",IF(K1260="Sí",'Configuración'!$B$5,0)+IF(L1260="Semanal",'Configuración'!$B$6,IF(L1260="Mensual",'Configuración'!$B$7,0))+IF(M1260="Sí",'Configuración'!$B$8,0)+IF(N1260="Sí",'Configuración'!$B$9,0)+IF(O1260="Sí",'Configuración'!$B$10,0)+IF(P1260="Sí",'Configuración'!$B$11,0)+IF(Q1260="Sí",'Configuración'!$B$12,0)+S1260+T1260+U1260)</f>
        <v>28</v>
      </c>
      <c r="W1260" s="39" t="str">
        <f>IF(B1260="","",IF(V1260&gt;='Configuración'!$B$19,"A",IF(V1260&gt;='Configuración'!$B$20,"B",IF(V1260&gt;='Configuración'!$B$21,"C","Descarte"))))</f>
        <v>C</v>
      </c>
    </row>
    <row r="1261" ht="15.75" customHeight="1">
      <c r="A1261" s="34">
        <f t="shared" si="1"/>
        <v>1259</v>
      </c>
      <c r="B1261" s="29" t="s">
        <v>296</v>
      </c>
      <c r="C1261" s="29" t="s">
        <v>7199</v>
      </c>
      <c r="D1261" s="29" t="s">
        <v>7200</v>
      </c>
      <c r="E1261" s="29" t="s">
        <v>7201</v>
      </c>
      <c r="F1261" s="30" t="s">
        <v>7202</v>
      </c>
      <c r="G1261" s="30" t="s">
        <v>7203</v>
      </c>
      <c r="H1261" s="30" t="s">
        <v>7204</v>
      </c>
      <c r="I1261" s="29" t="s">
        <v>847</v>
      </c>
      <c r="J1261" s="31">
        <v>4.0</v>
      </c>
      <c r="K1261" s="35"/>
      <c r="L1261" s="35"/>
      <c r="M1261" s="35"/>
      <c r="N1261" s="35"/>
      <c r="O1261" s="35"/>
      <c r="P1261" s="35"/>
      <c r="Q1261" s="35"/>
      <c r="R1261" s="35"/>
      <c r="S1261" s="37">
        <f>IF(B1261="","",IF(ISNUMBER(J1261),IF(J1261&lt;=10,'Configuración'!$B$23,IF(J1261&lt;=50,'Configuración'!$B$24,IF(J1261&lt;=200,'Configuración'!$B$25,0))),0))</f>
        <v>12</v>
      </c>
      <c r="T1261" s="37">
        <f>IF(B1261="","",IF(ISNUMBER(SEARCH("information technology",I1261))+ISNUMBER(SEARCH("software",I1261))+ISNUMBER(SEARCH("internet",I1261))+ISNUMBER(SEARCH("computer",I1261))+ISNUMBER(SEARCH("saas",I1261))+ISNUMBER(SEARCH("fintech",I1261))+ISNUMBER(SEARCH("information services",I1261))+ISNUMBER(SEARCH("telecommunications",I1261))&gt;0,'Configuración'!$B$27,'Configuración'!$B$28))</f>
        <v>4</v>
      </c>
      <c r="U1261" s="25">
        <f>IF(B1261="","",IF(ISNUMBER(SEARCH("CEO",C1261))+ISNUMBER(SEARCH("Founder",C1261))+ISNUMBER(SEARCH("Owner",C1261))+ISNUMBER(SEARCH("Dueño",C1261))+ISNUMBER(SEARCH("Director General",C1261))+ISNUMBER(SEARCH("Presidente",C1261))+ISNUMBER(SEARCH("President",C1261))&gt;0,'Configuración'!$B$31,IF(ISNUMBER(SEARCH("CMO",C1261))+ISNUMBER(SEARCH("Chief Marketing",C1261))+ISNUMBER(SEARCH("VP Marketing",C1261))+ISNUMBER(SEARCH("Director de Marketing",C1261))+ISNUMBER(SEARCH("Director Marketing",C1261))+ISNUMBER(SEARCH("Head of Marketing",C1261))+ISNUMBER(SEARCH("Head Marketing",C1261))&gt;0,'Configuración'!$B$32,IF(ISNUMBER(SEARCH("Marketing Manager",C1261))+ISNUMBER(SEARCH("Gerente de Marketing",C1261))+ISNUMBER(SEARCH("Growth Manager",C1261))+ISNUMBER(SEARCH("Demand Gen",C1261))+ISNUMBER(SEARCH("Marketing Lead",C1261))&gt;0,'Configuración'!$B$33,IF(ISNUMBER(SEARCH("COO",C1261))+ISNUMBER(SEARCH("CFO",C1261))+ISNUMBER(SEARCH("CTO",C1261))+ISNUMBER(SEARCH("Chief Operating",C1261))+ISNUMBER(SEARCH("Chief Financial",C1261))+ISNUMBER(SEARCH("Gerente General",C1261))+ISNUMBER(SEARCH("General Manager",C1261))&gt;0,'Configuración'!$B$34,'Configuración'!$B$35)))))</f>
        <v>12</v>
      </c>
      <c r="V1261" s="38">
        <f>IF(B1261="","",IF(K1261="Sí",'Configuración'!$B$5,0)+IF(L1261="Semanal",'Configuración'!$B$6,IF(L1261="Mensual",'Configuración'!$B$7,0))+IF(M1261="Sí",'Configuración'!$B$8,0)+IF(N1261="Sí",'Configuración'!$B$9,0)+IF(O1261="Sí",'Configuración'!$B$10,0)+IF(P1261="Sí",'Configuración'!$B$11,0)+IF(Q1261="Sí",'Configuración'!$B$12,0)+S1261+T1261+U1261)</f>
        <v>28</v>
      </c>
      <c r="W1261" s="39" t="str">
        <f>IF(B1261="","",IF(V1261&gt;='Configuración'!$B$19,"A",IF(V1261&gt;='Configuración'!$B$20,"B",IF(V1261&gt;='Configuración'!$B$21,"C","Descarte"))))</f>
        <v>C</v>
      </c>
    </row>
    <row r="1262" ht="15.75" customHeight="1">
      <c r="A1262" s="34">
        <f t="shared" si="1"/>
        <v>1260</v>
      </c>
      <c r="B1262" s="29" t="s">
        <v>181</v>
      </c>
      <c r="C1262" s="29" t="s">
        <v>1465</v>
      </c>
      <c r="D1262" s="29" t="s">
        <v>7205</v>
      </c>
      <c r="E1262" s="29" t="s">
        <v>7206</v>
      </c>
      <c r="F1262" s="30" t="s">
        <v>7207</v>
      </c>
      <c r="G1262" s="30" t="s">
        <v>7208</v>
      </c>
      <c r="H1262" s="30" t="s">
        <v>7209</v>
      </c>
      <c r="I1262" s="29" t="s">
        <v>127</v>
      </c>
      <c r="J1262" s="31">
        <v>6.0</v>
      </c>
      <c r="K1262" s="35"/>
      <c r="L1262" s="35"/>
      <c r="M1262" s="35"/>
      <c r="N1262" s="35"/>
      <c r="O1262" s="35"/>
      <c r="P1262" s="35"/>
      <c r="Q1262" s="35"/>
      <c r="R1262" s="35"/>
      <c r="S1262" s="37">
        <f>IF(B1262="","",IF(ISNUMBER(J1262),IF(J1262&lt;=10,'Configuración'!$B$23,IF(J1262&lt;=50,'Configuración'!$B$24,IF(J1262&lt;=200,'Configuración'!$B$25,0))),0))</f>
        <v>12</v>
      </c>
      <c r="T1262" s="37">
        <f>IF(B1262="","",IF(ISNUMBER(SEARCH("information technology",I1262))+ISNUMBER(SEARCH("software",I1262))+ISNUMBER(SEARCH("internet",I1262))+ISNUMBER(SEARCH("computer",I1262))+ISNUMBER(SEARCH("saas",I1262))+ISNUMBER(SEARCH("fintech",I1262))+ISNUMBER(SEARCH("information services",I1262))+ISNUMBER(SEARCH("telecommunications",I1262))&gt;0,'Configuración'!$B$27,'Configuración'!$B$28))</f>
        <v>12</v>
      </c>
      <c r="U1262" s="25">
        <f>IF(B1262="","",IF(ISNUMBER(SEARCH("CEO",C1262))+ISNUMBER(SEARCH("Founder",C1262))+ISNUMBER(SEARCH("Owner",C1262))+ISNUMBER(SEARCH("Dueño",C1262))+ISNUMBER(SEARCH("Director General",C1262))+ISNUMBER(SEARCH("Presidente",C1262))+ISNUMBER(SEARCH("President",C1262))&gt;0,'Configuración'!$B$31,IF(ISNUMBER(SEARCH("CMO",C1262))+ISNUMBER(SEARCH("Chief Marketing",C1262))+ISNUMBER(SEARCH("VP Marketing",C1262))+ISNUMBER(SEARCH("Director de Marketing",C1262))+ISNUMBER(SEARCH("Director Marketing",C1262))+ISNUMBER(SEARCH("Head of Marketing",C1262))+ISNUMBER(SEARCH("Head Marketing",C1262))&gt;0,'Configuración'!$B$32,IF(ISNUMBER(SEARCH("Marketing Manager",C1262))+ISNUMBER(SEARCH("Gerente de Marketing",C1262))+ISNUMBER(SEARCH("Growth Manager",C1262))+ISNUMBER(SEARCH("Demand Gen",C1262))+ISNUMBER(SEARCH("Marketing Lead",C1262))&gt;0,'Configuración'!$B$33,IF(ISNUMBER(SEARCH("COO",C1262))+ISNUMBER(SEARCH("CFO",C1262))+ISNUMBER(SEARCH("CTO",C1262))+ISNUMBER(SEARCH("Chief Operating",C1262))+ISNUMBER(SEARCH("Chief Financial",C1262))+ISNUMBER(SEARCH("Gerente General",C1262))+ISNUMBER(SEARCH("General Manager",C1262))&gt;0,'Configuración'!$B$34,'Configuración'!$B$35)))))</f>
        <v>4</v>
      </c>
      <c r="V1262" s="38">
        <f>IF(B1262="","",IF(K1262="Sí",'Configuración'!$B$5,0)+IF(L1262="Semanal",'Configuración'!$B$6,IF(L1262="Mensual",'Configuración'!$B$7,0))+IF(M1262="Sí",'Configuración'!$B$8,0)+IF(N1262="Sí",'Configuración'!$B$9,0)+IF(O1262="Sí",'Configuración'!$B$10,0)+IF(P1262="Sí",'Configuración'!$B$11,0)+IF(Q1262="Sí",'Configuración'!$B$12,0)+S1262+T1262+U1262)</f>
        <v>28</v>
      </c>
      <c r="W1262" s="39" t="str">
        <f>IF(B1262="","",IF(V1262&gt;='Configuración'!$B$19,"A",IF(V1262&gt;='Configuración'!$B$20,"B",IF(V1262&gt;='Configuración'!$B$21,"C","Descarte"))))</f>
        <v>C</v>
      </c>
    </row>
    <row r="1263" ht="15.75" customHeight="1">
      <c r="A1263" s="34">
        <f t="shared" si="1"/>
        <v>1261</v>
      </c>
      <c r="B1263" s="29" t="s">
        <v>762</v>
      </c>
      <c r="C1263" s="29" t="s">
        <v>7210</v>
      </c>
      <c r="D1263" s="29" t="s">
        <v>7211</v>
      </c>
      <c r="E1263" s="29" t="s">
        <v>7212</v>
      </c>
      <c r="F1263" s="30" t="s">
        <v>7213</v>
      </c>
      <c r="G1263" s="30" t="s">
        <v>7214</v>
      </c>
      <c r="H1263" s="30" t="s">
        <v>7215</v>
      </c>
      <c r="I1263" s="29" t="s">
        <v>188</v>
      </c>
      <c r="J1263" s="31">
        <v>7.0</v>
      </c>
      <c r="K1263" s="35"/>
      <c r="L1263" s="35"/>
      <c r="M1263" s="35"/>
      <c r="N1263" s="35"/>
      <c r="O1263" s="35"/>
      <c r="P1263" s="35"/>
      <c r="Q1263" s="35"/>
      <c r="R1263" s="35"/>
      <c r="S1263" s="37">
        <f>IF(B1263="","",IF(ISNUMBER(J1263),IF(J1263&lt;=10,'Configuración'!$B$23,IF(J1263&lt;=50,'Configuración'!$B$24,IF(J1263&lt;=200,'Configuración'!$B$25,0))),0))</f>
        <v>12</v>
      </c>
      <c r="T1263" s="37">
        <f>IF(B1263="","",IF(ISNUMBER(SEARCH("information technology",I1263))+ISNUMBER(SEARCH("software",I1263))+ISNUMBER(SEARCH("internet",I1263))+ISNUMBER(SEARCH("computer",I1263))+ISNUMBER(SEARCH("saas",I1263))+ISNUMBER(SEARCH("fintech",I1263))+ISNUMBER(SEARCH("information services",I1263))+ISNUMBER(SEARCH("telecommunications",I1263))&gt;0,'Configuración'!$B$27,'Configuración'!$B$28))</f>
        <v>4</v>
      </c>
      <c r="U1263" s="25">
        <f>IF(B1263="","",IF(ISNUMBER(SEARCH("CEO",C1263))+ISNUMBER(SEARCH("Founder",C1263))+ISNUMBER(SEARCH("Owner",C1263))+ISNUMBER(SEARCH("Dueño",C1263))+ISNUMBER(SEARCH("Director General",C1263))+ISNUMBER(SEARCH("Presidente",C1263))+ISNUMBER(SEARCH("President",C1263))&gt;0,'Configuración'!$B$31,IF(ISNUMBER(SEARCH("CMO",C1263))+ISNUMBER(SEARCH("Chief Marketing",C1263))+ISNUMBER(SEARCH("VP Marketing",C1263))+ISNUMBER(SEARCH("Director de Marketing",C1263))+ISNUMBER(SEARCH("Director Marketing",C1263))+ISNUMBER(SEARCH("Head of Marketing",C1263))+ISNUMBER(SEARCH("Head Marketing",C1263))&gt;0,'Configuración'!$B$32,IF(ISNUMBER(SEARCH("Marketing Manager",C1263))+ISNUMBER(SEARCH("Gerente de Marketing",C1263))+ISNUMBER(SEARCH("Growth Manager",C1263))+ISNUMBER(SEARCH("Demand Gen",C1263))+ISNUMBER(SEARCH("Marketing Lead",C1263))&gt;0,'Configuración'!$B$33,IF(ISNUMBER(SEARCH("COO",C1263))+ISNUMBER(SEARCH("CFO",C1263))+ISNUMBER(SEARCH("CTO",C1263))+ISNUMBER(SEARCH("Chief Operating",C1263))+ISNUMBER(SEARCH("Chief Financial",C1263))+ISNUMBER(SEARCH("Gerente General",C1263))+ISNUMBER(SEARCH("General Manager",C1263))&gt;0,'Configuración'!$B$34,'Configuración'!$B$35)))))</f>
        <v>12</v>
      </c>
      <c r="V1263" s="38">
        <f>IF(B1263="","",IF(K1263="Sí",'Configuración'!$B$5,0)+IF(L1263="Semanal",'Configuración'!$B$6,IF(L1263="Mensual",'Configuración'!$B$7,0))+IF(M1263="Sí",'Configuración'!$B$8,0)+IF(N1263="Sí",'Configuración'!$B$9,0)+IF(O1263="Sí",'Configuración'!$B$10,0)+IF(P1263="Sí",'Configuración'!$B$11,0)+IF(Q1263="Sí",'Configuración'!$B$12,0)+S1263+T1263+U1263)</f>
        <v>28</v>
      </c>
      <c r="W1263" s="39" t="str">
        <f>IF(B1263="","",IF(V1263&gt;='Configuración'!$B$19,"A",IF(V1263&gt;='Configuración'!$B$20,"B",IF(V1263&gt;='Configuración'!$B$21,"C","Descarte"))))</f>
        <v>C</v>
      </c>
    </row>
    <row r="1264" ht="15.75" customHeight="1">
      <c r="A1264" s="34">
        <f t="shared" si="1"/>
        <v>1262</v>
      </c>
      <c r="B1264" s="29" t="s">
        <v>813</v>
      </c>
      <c r="C1264" s="29" t="s">
        <v>131</v>
      </c>
      <c r="D1264" s="29" t="s">
        <v>3064</v>
      </c>
      <c r="E1264" s="29" t="s">
        <v>7216</v>
      </c>
      <c r="F1264" s="30" t="s">
        <v>7217</v>
      </c>
      <c r="G1264" s="30" t="s">
        <v>3067</v>
      </c>
      <c r="H1264" s="30" t="s">
        <v>3068</v>
      </c>
      <c r="I1264" s="29" t="s">
        <v>127</v>
      </c>
      <c r="J1264" s="31">
        <v>22.0</v>
      </c>
      <c r="K1264" s="35"/>
      <c r="L1264" s="35"/>
      <c r="M1264" s="35"/>
      <c r="N1264" s="35"/>
      <c r="O1264" s="35"/>
      <c r="P1264" s="35"/>
      <c r="Q1264" s="35"/>
      <c r="R1264" s="35"/>
      <c r="S1264" s="37">
        <f>IF(B1264="","",IF(ISNUMBER(J1264),IF(J1264&lt;=10,'Configuración'!$B$23,IF(J1264&lt;=50,'Configuración'!$B$24,IF(J1264&lt;=200,'Configuración'!$B$25,0))),0))</f>
        <v>4</v>
      </c>
      <c r="T1264" s="37">
        <f>IF(B1264="","",IF(ISNUMBER(SEARCH("information technology",I1264))+ISNUMBER(SEARCH("software",I1264))+ISNUMBER(SEARCH("internet",I1264))+ISNUMBER(SEARCH("computer",I1264))+ISNUMBER(SEARCH("saas",I1264))+ISNUMBER(SEARCH("fintech",I1264))+ISNUMBER(SEARCH("information services",I1264))+ISNUMBER(SEARCH("telecommunications",I1264))&gt;0,'Configuración'!$B$27,'Configuración'!$B$28))</f>
        <v>12</v>
      </c>
      <c r="U1264" s="25">
        <f>IF(B1264="","",IF(ISNUMBER(SEARCH("CEO",C1264))+ISNUMBER(SEARCH("Founder",C1264))+ISNUMBER(SEARCH("Owner",C1264))+ISNUMBER(SEARCH("Dueño",C1264))+ISNUMBER(SEARCH("Director General",C1264))+ISNUMBER(SEARCH("Presidente",C1264))+ISNUMBER(SEARCH("President",C1264))&gt;0,'Configuración'!$B$31,IF(ISNUMBER(SEARCH("CMO",C1264))+ISNUMBER(SEARCH("Chief Marketing",C1264))+ISNUMBER(SEARCH("VP Marketing",C1264))+ISNUMBER(SEARCH("Director de Marketing",C1264))+ISNUMBER(SEARCH("Director Marketing",C1264))+ISNUMBER(SEARCH("Head of Marketing",C1264))+ISNUMBER(SEARCH("Head Marketing",C1264))&gt;0,'Configuración'!$B$32,IF(ISNUMBER(SEARCH("Marketing Manager",C1264))+ISNUMBER(SEARCH("Gerente de Marketing",C1264))+ISNUMBER(SEARCH("Growth Manager",C1264))+ISNUMBER(SEARCH("Demand Gen",C1264))+ISNUMBER(SEARCH("Marketing Lead",C1264))&gt;0,'Configuración'!$B$33,IF(ISNUMBER(SEARCH("COO",C1264))+ISNUMBER(SEARCH("CFO",C1264))+ISNUMBER(SEARCH("CTO",C1264))+ISNUMBER(SEARCH("Chief Operating",C1264))+ISNUMBER(SEARCH("Chief Financial",C1264))+ISNUMBER(SEARCH("Gerente General",C1264))+ISNUMBER(SEARCH("General Manager",C1264))&gt;0,'Configuración'!$B$34,'Configuración'!$B$35)))))</f>
        <v>12</v>
      </c>
      <c r="V1264" s="38">
        <f>IF(B1264="","",IF(K1264="Sí",'Configuración'!$B$5,0)+IF(L1264="Semanal",'Configuración'!$B$6,IF(L1264="Mensual",'Configuración'!$B$7,0))+IF(M1264="Sí",'Configuración'!$B$8,0)+IF(N1264="Sí",'Configuración'!$B$9,0)+IF(O1264="Sí",'Configuración'!$B$10,0)+IF(P1264="Sí",'Configuración'!$B$11,0)+IF(Q1264="Sí",'Configuración'!$B$12,0)+S1264+T1264+U1264)</f>
        <v>28</v>
      </c>
      <c r="W1264" s="39" t="str">
        <f>IF(B1264="","",IF(V1264&gt;='Configuración'!$B$19,"A",IF(V1264&gt;='Configuración'!$B$20,"B",IF(V1264&gt;='Configuración'!$B$21,"C","Descarte"))))</f>
        <v>C</v>
      </c>
    </row>
    <row r="1265" ht="15.75" customHeight="1">
      <c r="A1265" s="34">
        <f t="shared" si="1"/>
        <v>1263</v>
      </c>
      <c r="B1265" s="29" t="s">
        <v>174</v>
      </c>
      <c r="C1265" s="29" t="s">
        <v>146</v>
      </c>
      <c r="D1265" s="29" t="s">
        <v>7218</v>
      </c>
      <c r="E1265" s="29" t="s">
        <v>7219</v>
      </c>
      <c r="F1265" s="30" t="s">
        <v>7220</v>
      </c>
      <c r="G1265" s="30" t="s">
        <v>7221</v>
      </c>
      <c r="H1265" s="30" t="s">
        <v>7222</v>
      </c>
      <c r="I1265" s="29" t="s">
        <v>3820</v>
      </c>
      <c r="J1265" s="31">
        <v>2.0</v>
      </c>
      <c r="K1265" s="35"/>
      <c r="L1265" s="35"/>
      <c r="M1265" s="35"/>
      <c r="N1265" s="35"/>
      <c r="O1265" s="35"/>
      <c r="P1265" s="35"/>
      <c r="Q1265" s="35"/>
      <c r="R1265" s="35"/>
      <c r="S1265" s="37">
        <f>IF(B1265="","",IF(ISNUMBER(J1265),IF(J1265&lt;=10,'Configuración'!$B$23,IF(J1265&lt;=50,'Configuración'!$B$24,IF(J1265&lt;=200,'Configuración'!$B$25,0))),0))</f>
        <v>12</v>
      </c>
      <c r="T1265" s="37">
        <f>IF(B1265="","",IF(ISNUMBER(SEARCH("information technology",I1265))+ISNUMBER(SEARCH("software",I1265))+ISNUMBER(SEARCH("internet",I1265))+ISNUMBER(SEARCH("computer",I1265))+ISNUMBER(SEARCH("saas",I1265))+ISNUMBER(SEARCH("fintech",I1265))+ISNUMBER(SEARCH("information services",I1265))+ISNUMBER(SEARCH("telecommunications",I1265))&gt;0,'Configuración'!$B$27,'Configuración'!$B$28))</f>
        <v>4</v>
      </c>
      <c r="U1265" s="25">
        <f>IF(B1265="","",IF(ISNUMBER(SEARCH("CEO",C1265))+ISNUMBER(SEARCH("Founder",C1265))+ISNUMBER(SEARCH("Owner",C1265))+ISNUMBER(SEARCH("Dueño",C1265))+ISNUMBER(SEARCH("Director General",C1265))+ISNUMBER(SEARCH("Presidente",C1265))+ISNUMBER(SEARCH("President",C1265))&gt;0,'Configuración'!$B$31,IF(ISNUMBER(SEARCH("CMO",C1265))+ISNUMBER(SEARCH("Chief Marketing",C1265))+ISNUMBER(SEARCH("VP Marketing",C1265))+ISNUMBER(SEARCH("Director de Marketing",C1265))+ISNUMBER(SEARCH("Director Marketing",C1265))+ISNUMBER(SEARCH("Head of Marketing",C1265))+ISNUMBER(SEARCH("Head Marketing",C1265))&gt;0,'Configuración'!$B$32,IF(ISNUMBER(SEARCH("Marketing Manager",C1265))+ISNUMBER(SEARCH("Gerente de Marketing",C1265))+ISNUMBER(SEARCH("Growth Manager",C1265))+ISNUMBER(SEARCH("Demand Gen",C1265))+ISNUMBER(SEARCH("Marketing Lead",C1265))&gt;0,'Configuración'!$B$33,IF(ISNUMBER(SEARCH("COO",C1265))+ISNUMBER(SEARCH("CFO",C1265))+ISNUMBER(SEARCH("CTO",C1265))+ISNUMBER(SEARCH("Chief Operating",C1265))+ISNUMBER(SEARCH("Chief Financial",C1265))+ISNUMBER(SEARCH("Gerente General",C1265))+ISNUMBER(SEARCH("General Manager",C1265))&gt;0,'Configuración'!$B$34,'Configuración'!$B$35)))))</f>
        <v>0</v>
      </c>
      <c r="V1265" s="38">
        <f>IF(B1265="","",IF(K1265="Sí",'Configuración'!$B$5,0)+IF(L1265="Semanal",'Configuración'!$B$6,IF(L1265="Mensual",'Configuración'!$B$7,0))+IF(M1265="Sí",'Configuración'!$B$8,0)+IF(N1265="Sí",'Configuración'!$B$9,0)+IF(O1265="Sí",'Configuración'!$B$10,0)+IF(P1265="Sí",'Configuración'!$B$11,0)+IF(Q1265="Sí",'Configuración'!$B$12,0)+S1265+T1265+U1265)</f>
        <v>16</v>
      </c>
      <c r="W1265" s="39" t="str">
        <f>IF(B1265="","",IF(V1265&gt;='Configuración'!$B$19,"A",IF(V1265&gt;='Configuración'!$B$20,"B",IF(V1265&gt;='Configuración'!$B$21,"C","Descarte"))))</f>
        <v>Descarte</v>
      </c>
    </row>
    <row r="1266" ht="15.75" customHeight="1">
      <c r="A1266" s="34">
        <f t="shared" si="1"/>
        <v>1264</v>
      </c>
      <c r="B1266" s="29" t="s">
        <v>4622</v>
      </c>
      <c r="C1266" s="29" t="s">
        <v>131</v>
      </c>
      <c r="D1266" s="29" t="s">
        <v>7223</v>
      </c>
      <c r="E1266" s="29" t="s">
        <v>7224</v>
      </c>
      <c r="F1266" s="30" t="s">
        <v>7225</v>
      </c>
      <c r="G1266" s="30" t="s">
        <v>7226</v>
      </c>
      <c r="H1266" s="30" t="s">
        <v>7227</v>
      </c>
      <c r="I1266" s="29" t="s">
        <v>2694</v>
      </c>
      <c r="J1266" s="31">
        <v>14.0</v>
      </c>
      <c r="K1266" s="35"/>
      <c r="L1266" s="35"/>
      <c r="M1266" s="35"/>
      <c r="N1266" s="35"/>
      <c r="O1266" s="35"/>
      <c r="P1266" s="35"/>
      <c r="Q1266" s="35"/>
      <c r="R1266" s="35"/>
      <c r="S1266" s="37">
        <f>IF(B1266="","",IF(ISNUMBER(J1266),IF(J1266&lt;=10,'Configuración'!$B$23,IF(J1266&lt;=50,'Configuración'!$B$24,IF(J1266&lt;=200,'Configuración'!$B$25,0))),0))</f>
        <v>4</v>
      </c>
      <c r="T1266" s="37">
        <f>IF(B1266="","",IF(ISNUMBER(SEARCH("information technology",I1266))+ISNUMBER(SEARCH("software",I1266))+ISNUMBER(SEARCH("internet",I1266))+ISNUMBER(SEARCH("computer",I1266))+ISNUMBER(SEARCH("saas",I1266))+ISNUMBER(SEARCH("fintech",I1266))+ISNUMBER(SEARCH("information services",I1266))+ISNUMBER(SEARCH("telecommunications",I1266))&gt;0,'Configuración'!$B$27,'Configuración'!$B$28))</f>
        <v>4</v>
      </c>
      <c r="U1266" s="25">
        <f>IF(B1266="","",IF(ISNUMBER(SEARCH("CEO",C1266))+ISNUMBER(SEARCH("Founder",C1266))+ISNUMBER(SEARCH("Owner",C1266))+ISNUMBER(SEARCH("Dueño",C1266))+ISNUMBER(SEARCH("Director General",C1266))+ISNUMBER(SEARCH("Presidente",C1266))+ISNUMBER(SEARCH("President",C1266))&gt;0,'Configuración'!$B$31,IF(ISNUMBER(SEARCH("CMO",C1266))+ISNUMBER(SEARCH("Chief Marketing",C1266))+ISNUMBER(SEARCH("VP Marketing",C1266))+ISNUMBER(SEARCH("Director de Marketing",C1266))+ISNUMBER(SEARCH("Director Marketing",C1266))+ISNUMBER(SEARCH("Head of Marketing",C1266))+ISNUMBER(SEARCH("Head Marketing",C1266))&gt;0,'Configuración'!$B$32,IF(ISNUMBER(SEARCH("Marketing Manager",C1266))+ISNUMBER(SEARCH("Gerente de Marketing",C1266))+ISNUMBER(SEARCH("Growth Manager",C1266))+ISNUMBER(SEARCH("Demand Gen",C1266))+ISNUMBER(SEARCH("Marketing Lead",C1266))&gt;0,'Configuración'!$B$33,IF(ISNUMBER(SEARCH("COO",C1266))+ISNUMBER(SEARCH("CFO",C1266))+ISNUMBER(SEARCH("CTO",C1266))+ISNUMBER(SEARCH("Chief Operating",C1266))+ISNUMBER(SEARCH("Chief Financial",C1266))+ISNUMBER(SEARCH("Gerente General",C1266))+ISNUMBER(SEARCH("General Manager",C1266))&gt;0,'Configuración'!$B$34,'Configuración'!$B$35)))))</f>
        <v>12</v>
      </c>
      <c r="V1266" s="38">
        <f>IF(B1266="","",IF(K1266="Sí",'Configuración'!$B$5,0)+IF(L1266="Semanal",'Configuración'!$B$6,IF(L1266="Mensual",'Configuración'!$B$7,0))+IF(M1266="Sí",'Configuración'!$B$8,0)+IF(N1266="Sí",'Configuración'!$B$9,0)+IF(O1266="Sí",'Configuración'!$B$10,0)+IF(P1266="Sí",'Configuración'!$B$11,0)+IF(Q1266="Sí",'Configuración'!$B$12,0)+S1266+T1266+U1266)</f>
        <v>20</v>
      </c>
      <c r="W1266" s="39" t="str">
        <f>IF(B1266="","",IF(V1266&gt;='Configuración'!$B$19,"A",IF(V1266&gt;='Configuración'!$B$20,"B",IF(V1266&gt;='Configuración'!$B$21,"C","Descarte"))))</f>
        <v>Descarte</v>
      </c>
    </row>
    <row r="1267" ht="15.75" customHeight="1">
      <c r="A1267" s="34">
        <f t="shared" si="1"/>
        <v>1265</v>
      </c>
      <c r="B1267" s="29" t="s">
        <v>610</v>
      </c>
      <c r="C1267" s="29" t="s">
        <v>7228</v>
      </c>
      <c r="D1267" s="29" t="s">
        <v>7229</v>
      </c>
      <c r="E1267" s="29" t="s">
        <v>7230</v>
      </c>
      <c r="F1267" s="30" t="s">
        <v>7231</v>
      </c>
      <c r="G1267" s="30" t="s">
        <v>7232</v>
      </c>
      <c r="H1267" s="30" t="s">
        <v>7233</v>
      </c>
      <c r="I1267" s="29" t="s">
        <v>188</v>
      </c>
      <c r="J1267" s="31">
        <v>5.0</v>
      </c>
      <c r="K1267" s="35"/>
      <c r="L1267" s="35"/>
      <c r="M1267" s="35"/>
      <c r="N1267" s="35"/>
      <c r="O1267" s="35"/>
      <c r="P1267" s="35"/>
      <c r="Q1267" s="35"/>
      <c r="R1267" s="35"/>
      <c r="S1267" s="37">
        <f>IF(B1267="","",IF(ISNUMBER(J1267),IF(J1267&lt;=10,'Configuración'!$B$23,IF(J1267&lt;=50,'Configuración'!$B$24,IF(J1267&lt;=200,'Configuración'!$B$25,0))),0))</f>
        <v>12</v>
      </c>
      <c r="T1267" s="37">
        <f>IF(B1267="","",IF(ISNUMBER(SEARCH("information technology",I1267))+ISNUMBER(SEARCH("software",I1267))+ISNUMBER(SEARCH("internet",I1267))+ISNUMBER(SEARCH("computer",I1267))+ISNUMBER(SEARCH("saas",I1267))+ISNUMBER(SEARCH("fintech",I1267))+ISNUMBER(SEARCH("information services",I1267))+ISNUMBER(SEARCH("telecommunications",I1267))&gt;0,'Configuración'!$B$27,'Configuración'!$B$28))</f>
        <v>4</v>
      </c>
      <c r="U1267" s="25">
        <f>IF(B1267="","",IF(ISNUMBER(SEARCH("CEO",C1267))+ISNUMBER(SEARCH("Founder",C1267))+ISNUMBER(SEARCH("Owner",C1267))+ISNUMBER(SEARCH("Dueño",C1267))+ISNUMBER(SEARCH("Director General",C1267))+ISNUMBER(SEARCH("Presidente",C1267))+ISNUMBER(SEARCH("President",C1267))&gt;0,'Configuración'!$B$31,IF(ISNUMBER(SEARCH("CMO",C1267))+ISNUMBER(SEARCH("Chief Marketing",C1267))+ISNUMBER(SEARCH("VP Marketing",C1267))+ISNUMBER(SEARCH("Director de Marketing",C1267))+ISNUMBER(SEARCH("Director Marketing",C1267))+ISNUMBER(SEARCH("Head of Marketing",C1267))+ISNUMBER(SEARCH("Head Marketing",C1267))&gt;0,'Configuración'!$B$32,IF(ISNUMBER(SEARCH("Marketing Manager",C1267))+ISNUMBER(SEARCH("Gerente de Marketing",C1267))+ISNUMBER(SEARCH("Growth Manager",C1267))+ISNUMBER(SEARCH("Demand Gen",C1267))+ISNUMBER(SEARCH("Marketing Lead",C1267))&gt;0,'Configuración'!$B$33,IF(ISNUMBER(SEARCH("COO",C1267))+ISNUMBER(SEARCH("CFO",C1267))+ISNUMBER(SEARCH("CTO",C1267))+ISNUMBER(SEARCH("Chief Operating",C1267))+ISNUMBER(SEARCH("Chief Financial",C1267))+ISNUMBER(SEARCH("Gerente General",C1267))+ISNUMBER(SEARCH("General Manager",C1267))&gt;0,'Configuración'!$B$34,'Configuración'!$B$35)))))</f>
        <v>12</v>
      </c>
      <c r="V1267" s="38">
        <f>IF(B1267="","",IF(K1267="Sí",'Configuración'!$B$5,0)+IF(L1267="Semanal",'Configuración'!$B$6,IF(L1267="Mensual",'Configuración'!$B$7,0))+IF(M1267="Sí",'Configuración'!$B$8,0)+IF(N1267="Sí",'Configuración'!$B$9,0)+IF(O1267="Sí",'Configuración'!$B$10,0)+IF(P1267="Sí",'Configuración'!$B$11,0)+IF(Q1267="Sí",'Configuración'!$B$12,0)+S1267+T1267+U1267)</f>
        <v>28</v>
      </c>
      <c r="W1267" s="39" t="str">
        <f>IF(B1267="","",IF(V1267&gt;='Configuración'!$B$19,"A",IF(V1267&gt;='Configuración'!$B$20,"B",IF(V1267&gt;='Configuración'!$B$21,"C","Descarte"))))</f>
        <v>C</v>
      </c>
    </row>
    <row r="1268" ht="15.75" customHeight="1">
      <c r="A1268" s="34">
        <f t="shared" si="1"/>
        <v>1266</v>
      </c>
      <c r="B1268" s="29" t="s">
        <v>174</v>
      </c>
      <c r="C1268" s="29" t="s">
        <v>146</v>
      </c>
      <c r="D1268" s="29" t="s">
        <v>7234</v>
      </c>
      <c r="E1268" s="29" t="s">
        <v>7235</v>
      </c>
      <c r="F1268" s="30" t="s">
        <v>7236</v>
      </c>
      <c r="G1268" s="30" t="s">
        <v>7237</v>
      </c>
      <c r="H1268" s="30" t="s">
        <v>7238</v>
      </c>
      <c r="I1268" s="29" t="s">
        <v>659</v>
      </c>
      <c r="J1268" s="31">
        <v>49.0</v>
      </c>
      <c r="K1268" s="35"/>
      <c r="L1268" s="35"/>
      <c r="M1268" s="35"/>
      <c r="N1268" s="35"/>
      <c r="O1268" s="35"/>
      <c r="P1268" s="35"/>
      <c r="Q1268" s="35"/>
      <c r="R1268" s="35"/>
      <c r="S1268" s="37">
        <f>IF(B1268="","",IF(ISNUMBER(J1268),IF(J1268&lt;=10,'Configuración'!$B$23,IF(J1268&lt;=50,'Configuración'!$B$24,IF(J1268&lt;=200,'Configuración'!$B$25,0))),0))</f>
        <v>4</v>
      </c>
      <c r="T1268" s="37">
        <f>IF(B1268="","",IF(ISNUMBER(SEARCH("information technology",I1268))+ISNUMBER(SEARCH("software",I1268))+ISNUMBER(SEARCH("internet",I1268))+ISNUMBER(SEARCH("computer",I1268))+ISNUMBER(SEARCH("saas",I1268))+ISNUMBER(SEARCH("fintech",I1268))+ISNUMBER(SEARCH("information services",I1268))+ISNUMBER(SEARCH("telecommunications",I1268))&gt;0,'Configuración'!$B$27,'Configuración'!$B$28))</f>
        <v>4</v>
      </c>
      <c r="U1268" s="25">
        <f>IF(B1268="","",IF(ISNUMBER(SEARCH("CEO",C1268))+ISNUMBER(SEARCH("Founder",C1268))+ISNUMBER(SEARCH("Owner",C1268))+ISNUMBER(SEARCH("Dueño",C1268))+ISNUMBER(SEARCH("Director General",C1268))+ISNUMBER(SEARCH("Presidente",C1268))+ISNUMBER(SEARCH("President",C1268))&gt;0,'Configuración'!$B$31,IF(ISNUMBER(SEARCH("CMO",C1268))+ISNUMBER(SEARCH("Chief Marketing",C1268))+ISNUMBER(SEARCH("VP Marketing",C1268))+ISNUMBER(SEARCH("Director de Marketing",C1268))+ISNUMBER(SEARCH("Director Marketing",C1268))+ISNUMBER(SEARCH("Head of Marketing",C1268))+ISNUMBER(SEARCH("Head Marketing",C1268))&gt;0,'Configuración'!$B$32,IF(ISNUMBER(SEARCH("Marketing Manager",C1268))+ISNUMBER(SEARCH("Gerente de Marketing",C1268))+ISNUMBER(SEARCH("Growth Manager",C1268))+ISNUMBER(SEARCH("Demand Gen",C1268))+ISNUMBER(SEARCH("Marketing Lead",C1268))&gt;0,'Configuración'!$B$33,IF(ISNUMBER(SEARCH("COO",C1268))+ISNUMBER(SEARCH("CFO",C1268))+ISNUMBER(SEARCH("CTO",C1268))+ISNUMBER(SEARCH("Chief Operating",C1268))+ISNUMBER(SEARCH("Chief Financial",C1268))+ISNUMBER(SEARCH("Gerente General",C1268))+ISNUMBER(SEARCH("General Manager",C1268))&gt;0,'Configuración'!$B$34,'Configuración'!$B$35)))))</f>
        <v>0</v>
      </c>
      <c r="V1268" s="38">
        <f>IF(B1268="","",IF(K1268="Sí",'Configuración'!$B$5,0)+IF(L1268="Semanal",'Configuración'!$B$6,IF(L1268="Mensual",'Configuración'!$B$7,0))+IF(M1268="Sí",'Configuración'!$B$8,0)+IF(N1268="Sí",'Configuración'!$B$9,0)+IF(O1268="Sí",'Configuración'!$B$10,0)+IF(P1268="Sí",'Configuración'!$B$11,0)+IF(Q1268="Sí",'Configuración'!$B$12,0)+S1268+T1268+U1268)</f>
        <v>8</v>
      </c>
      <c r="W1268" s="39" t="str">
        <f>IF(B1268="","",IF(V1268&gt;='Configuración'!$B$19,"A",IF(V1268&gt;='Configuración'!$B$20,"B",IF(V1268&gt;='Configuración'!$B$21,"C","Descarte"))))</f>
        <v>Descarte</v>
      </c>
    </row>
    <row r="1269" ht="15.75" customHeight="1">
      <c r="A1269" s="34">
        <f t="shared" si="1"/>
        <v>1267</v>
      </c>
      <c r="B1269" s="29" t="s">
        <v>1048</v>
      </c>
      <c r="C1269" s="29" t="s">
        <v>7239</v>
      </c>
      <c r="D1269" s="29" t="s">
        <v>7240</v>
      </c>
      <c r="E1269" s="29" t="s">
        <v>7241</v>
      </c>
      <c r="F1269" s="30" t="s">
        <v>7242</v>
      </c>
      <c r="G1269" s="30" t="s">
        <v>7243</v>
      </c>
      <c r="H1269" s="30" t="s">
        <v>7244</v>
      </c>
      <c r="I1269" s="29" t="s">
        <v>3212</v>
      </c>
      <c r="J1269" s="31">
        <v>33.0</v>
      </c>
      <c r="K1269" s="35"/>
      <c r="L1269" s="35"/>
      <c r="M1269" s="35"/>
      <c r="N1269" s="35"/>
      <c r="O1269" s="35"/>
      <c r="P1269" s="35"/>
      <c r="Q1269" s="35"/>
      <c r="R1269" s="35"/>
      <c r="S1269" s="37">
        <f>IF(B1269="","",IF(ISNUMBER(J1269),IF(J1269&lt;=10,'Configuración'!$B$23,IF(J1269&lt;=50,'Configuración'!$B$24,IF(J1269&lt;=200,'Configuración'!$B$25,0))),0))</f>
        <v>4</v>
      </c>
      <c r="T1269" s="37">
        <f>IF(B1269="","",IF(ISNUMBER(SEARCH("information technology",I1269))+ISNUMBER(SEARCH("software",I1269))+ISNUMBER(SEARCH("internet",I1269))+ISNUMBER(SEARCH("computer",I1269))+ISNUMBER(SEARCH("saas",I1269))+ISNUMBER(SEARCH("fintech",I1269))+ISNUMBER(SEARCH("information services",I1269))+ISNUMBER(SEARCH("telecommunications",I1269))&gt;0,'Configuración'!$B$27,'Configuración'!$B$28))</f>
        <v>4</v>
      </c>
      <c r="U1269" s="25">
        <f>IF(B1269="","",IF(ISNUMBER(SEARCH("CEO",C1269))+ISNUMBER(SEARCH("Founder",C1269))+ISNUMBER(SEARCH("Owner",C1269))+ISNUMBER(SEARCH("Dueño",C1269))+ISNUMBER(SEARCH("Director General",C1269))+ISNUMBER(SEARCH("Presidente",C1269))+ISNUMBER(SEARCH("President",C1269))&gt;0,'Configuración'!$B$31,IF(ISNUMBER(SEARCH("CMO",C1269))+ISNUMBER(SEARCH("Chief Marketing",C1269))+ISNUMBER(SEARCH("VP Marketing",C1269))+ISNUMBER(SEARCH("Director de Marketing",C1269))+ISNUMBER(SEARCH("Director Marketing",C1269))+ISNUMBER(SEARCH("Head of Marketing",C1269))+ISNUMBER(SEARCH("Head Marketing",C1269))&gt;0,'Configuración'!$B$32,IF(ISNUMBER(SEARCH("Marketing Manager",C1269))+ISNUMBER(SEARCH("Gerente de Marketing",C1269))+ISNUMBER(SEARCH("Growth Manager",C1269))+ISNUMBER(SEARCH("Demand Gen",C1269))+ISNUMBER(SEARCH("Marketing Lead",C1269))&gt;0,'Configuración'!$B$33,IF(ISNUMBER(SEARCH("COO",C1269))+ISNUMBER(SEARCH("CFO",C1269))+ISNUMBER(SEARCH("CTO",C1269))+ISNUMBER(SEARCH("Chief Operating",C1269))+ISNUMBER(SEARCH("Chief Financial",C1269))+ISNUMBER(SEARCH("Gerente General",C1269))+ISNUMBER(SEARCH("General Manager",C1269))&gt;0,'Configuración'!$B$34,'Configuración'!$B$35)))))</f>
        <v>12</v>
      </c>
      <c r="V1269" s="38">
        <f>IF(B1269="","",IF(K1269="Sí",'Configuración'!$B$5,0)+IF(L1269="Semanal",'Configuración'!$B$6,IF(L1269="Mensual",'Configuración'!$B$7,0))+IF(M1269="Sí",'Configuración'!$B$8,0)+IF(N1269="Sí",'Configuración'!$B$9,0)+IF(O1269="Sí",'Configuración'!$B$10,0)+IF(P1269="Sí",'Configuración'!$B$11,0)+IF(Q1269="Sí",'Configuración'!$B$12,0)+S1269+T1269+U1269)</f>
        <v>20</v>
      </c>
      <c r="W1269" s="39" t="str">
        <f>IF(B1269="","",IF(V1269&gt;='Configuración'!$B$19,"A",IF(V1269&gt;='Configuración'!$B$20,"B",IF(V1269&gt;='Configuración'!$B$21,"C","Descarte"))))</f>
        <v>Descarte</v>
      </c>
    </row>
    <row r="1270" ht="15.75" customHeight="1">
      <c r="A1270" s="34">
        <f t="shared" si="1"/>
        <v>1268</v>
      </c>
      <c r="B1270" s="29" t="s">
        <v>7245</v>
      </c>
      <c r="C1270" s="29" t="s">
        <v>7246</v>
      </c>
      <c r="D1270" s="29" t="s">
        <v>992</v>
      </c>
      <c r="E1270" s="29" t="s">
        <v>7247</v>
      </c>
      <c r="F1270" s="30" t="s">
        <v>7248</v>
      </c>
      <c r="G1270" s="30" t="s">
        <v>995</v>
      </c>
      <c r="H1270" s="30" t="s">
        <v>996</v>
      </c>
      <c r="I1270" s="29" t="s">
        <v>222</v>
      </c>
      <c r="J1270" s="31">
        <v>7.0</v>
      </c>
      <c r="K1270" s="35"/>
      <c r="L1270" s="35"/>
      <c r="M1270" s="35"/>
      <c r="N1270" s="35"/>
      <c r="O1270" s="35"/>
      <c r="P1270" s="35"/>
      <c r="Q1270" s="35"/>
      <c r="R1270" s="35"/>
      <c r="S1270" s="37">
        <f>IF(B1270="","",IF(ISNUMBER(J1270),IF(J1270&lt;=10,'Configuración'!$B$23,IF(J1270&lt;=50,'Configuración'!$B$24,IF(J1270&lt;=200,'Configuración'!$B$25,0))),0))</f>
        <v>12</v>
      </c>
      <c r="T1270" s="37">
        <f>IF(B1270="","",IF(ISNUMBER(SEARCH("information technology",I1270))+ISNUMBER(SEARCH("software",I1270))+ISNUMBER(SEARCH("internet",I1270))+ISNUMBER(SEARCH("computer",I1270))+ISNUMBER(SEARCH("saas",I1270))+ISNUMBER(SEARCH("fintech",I1270))+ISNUMBER(SEARCH("information services",I1270))+ISNUMBER(SEARCH("telecommunications",I1270))&gt;0,'Configuración'!$B$27,'Configuración'!$B$28))</f>
        <v>4</v>
      </c>
      <c r="U1270" s="25">
        <f>IF(B1270="","",IF(ISNUMBER(SEARCH("CEO",C1270))+ISNUMBER(SEARCH("Founder",C1270))+ISNUMBER(SEARCH("Owner",C1270))+ISNUMBER(SEARCH("Dueño",C1270))+ISNUMBER(SEARCH("Director General",C1270))+ISNUMBER(SEARCH("Presidente",C1270))+ISNUMBER(SEARCH("President",C1270))&gt;0,'Configuración'!$B$31,IF(ISNUMBER(SEARCH("CMO",C1270))+ISNUMBER(SEARCH("Chief Marketing",C1270))+ISNUMBER(SEARCH("VP Marketing",C1270))+ISNUMBER(SEARCH("Director de Marketing",C1270))+ISNUMBER(SEARCH("Director Marketing",C1270))+ISNUMBER(SEARCH("Head of Marketing",C1270))+ISNUMBER(SEARCH("Head Marketing",C1270))&gt;0,'Configuración'!$B$32,IF(ISNUMBER(SEARCH("Marketing Manager",C1270))+ISNUMBER(SEARCH("Gerente de Marketing",C1270))+ISNUMBER(SEARCH("Growth Manager",C1270))+ISNUMBER(SEARCH("Demand Gen",C1270))+ISNUMBER(SEARCH("Marketing Lead",C1270))&gt;0,'Configuración'!$B$33,IF(ISNUMBER(SEARCH("COO",C1270))+ISNUMBER(SEARCH("CFO",C1270))+ISNUMBER(SEARCH("CTO",C1270))+ISNUMBER(SEARCH("Chief Operating",C1270))+ISNUMBER(SEARCH("Chief Financial",C1270))+ISNUMBER(SEARCH("Gerente General",C1270))+ISNUMBER(SEARCH("General Manager",C1270))&gt;0,'Configuración'!$B$34,'Configuración'!$B$35)))))</f>
        <v>12</v>
      </c>
      <c r="V1270" s="38">
        <f>IF(B1270="","",IF(K1270="Sí",'Configuración'!$B$5,0)+IF(L1270="Semanal",'Configuración'!$B$6,IF(L1270="Mensual",'Configuración'!$B$7,0))+IF(M1270="Sí",'Configuración'!$B$8,0)+IF(N1270="Sí",'Configuración'!$B$9,0)+IF(O1270="Sí",'Configuración'!$B$10,0)+IF(P1270="Sí",'Configuración'!$B$11,0)+IF(Q1270="Sí",'Configuración'!$B$12,0)+S1270+T1270+U1270)</f>
        <v>28</v>
      </c>
      <c r="W1270" s="39" t="str">
        <f>IF(B1270="","",IF(V1270&gt;='Configuración'!$B$19,"A",IF(V1270&gt;='Configuración'!$B$20,"B",IF(V1270&gt;='Configuración'!$B$21,"C","Descarte"))))</f>
        <v>C</v>
      </c>
    </row>
    <row r="1271" ht="15.75" customHeight="1">
      <c r="A1271" s="34">
        <f t="shared" si="1"/>
        <v>1269</v>
      </c>
      <c r="B1271" s="29" t="s">
        <v>4901</v>
      </c>
      <c r="C1271" s="29" t="s">
        <v>7249</v>
      </c>
      <c r="D1271" s="29" t="s">
        <v>7250</v>
      </c>
      <c r="E1271" s="29" t="s">
        <v>7251</v>
      </c>
      <c r="F1271" s="30" t="s">
        <v>7252</v>
      </c>
      <c r="G1271" s="30" t="s">
        <v>7253</v>
      </c>
      <c r="H1271" s="30" t="s">
        <v>7254</v>
      </c>
      <c r="I1271" s="29" t="s">
        <v>480</v>
      </c>
      <c r="J1271" s="31">
        <v>1.0</v>
      </c>
      <c r="K1271" s="35"/>
      <c r="L1271" s="35"/>
      <c r="M1271" s="35"/>
      <c r="N1271" s="35"/>
      <c r="O1271" s="35"/>
      <c r="P1271" s="35"/>
      <c r="Q1271" s="35"/>
      <c r="R1271" s="35"/>
      <c r="S1271" s="37">
        <f>IF(B1271="","",IF(ISNUMBER(J1271),IF(J1271&lt;=10,'Configuración'!$B$23,IF(J1271&lt;=50,'Configuración'!$B$24,IF(J1271&lt;=200,'Configuración'!$B$25,0))),0))</f>
        <v>12</v>
      </c>
      <c r="T1271" s="37">
        <f>IF(B1271="","",IF(ISNUMBER(SEARCH("information technology",I1271))+ISNUMBER(SEARCH("software",I1271))+ISNUMBER(SEARCH("internet",I1271))+ISNUMBER(SEARCH("computer",I1271))+ISNUMBER(SEARCH("saas",I1271))+ISNUMBER(SEARCH("fintech",I1271))+ISNUMBER(SEARCH("information services",I1271))+ISNUMBER(SEARCH("telecommunications",I1271))&gt;0,'Configuración'!$B$27,'Configuración'!$B$28))</f>
        <v>4</v>
      </c>
      <c r="U1271" s="25">
        <f>IF(B1271="","",IF(ISNUMBER(SEARCH("CEO",C1271))+ISNUMBER(SEARCH("Founder",C1271))+ISNUMBER(SEARCH("Owner",C1271))+ISNUMBER(SEARCH("Dueño",C1271))+ISNUMBER(SEARCH("Director General",C1271))+ISNUMBER(SEARCH("Presidente",C1271))+ISNUMBER(SEARCH("President",C1271))&gt;0,'Configuración'!$B$31,IF(ISNUMBER(SEARCH("CMO",C1271))+ISNUMBER(SEARCH("Chief Marketing",C1271))+ISNUMBER(SEARCH("VP Marketing",C1271))+ISNUMBER(SEARCH("Director de Marketing",C1271))+ISNUMBER(SEARCH("Director Marketing",C1271))+ISNUMBER(SEARCH("Head of Marketing",C1271))+ISNUMBER(SEARCH("Head Marketing",C1271))&gt;0,'Configuración'!$B$32,IF(ISNUMBER(SEARCH("Marketing Manager",C1271))+ISNUMBER(SEARCH("Gerente de Marketing",C1271))+ISNUMBER(SEARCH("Growth Manager",C1271))+ISNUMBER(SEARCH("Demand Gen",C1271))+ISNUMBER(SEARCH("Marketing Lead",C1271))&gt;0,'Configuración'!$B$33,IF(ISNUMBER(SEARCH("COO",C1271))+ISNUMBER(SEARCH("CFO",C1271))+ISNUMBER(SEARCH("CTO",C1271))+ISNUMBER(SEARCH("Chief Operating",C1271))+ISNUMBER(SEARCH("Chief Financial",C1271))+ISNUMBER(SEARCH("Gerente General",C1271))+ISNUMBER(SEARCH("General Manager",C1271))&gt;0,'Configuración'!$B$34,'Configuración'!$B$35)))))</f>
        <v>12</v>
      </c>
      <c r="V1271" s="38">
        <f>IF(B1271="","",IF(K1271="Sí",'Configuración'!$B$5,0)+IF(L1271="Semanal",'Configuración'!$B$6,IF(L1271="Mensual",'Configuración'!$B$7,0))+IF(M1271="Sí",'Configuración'!$B$8,0)+IF(N1271="Sí",'Configuración'!$B$9,0)+IF(O1271="Sí",'Configuración'!$B$10,0)+IF(P1271="Sí",'Configuración'!$B$11,0)+IF(Q1271="Sí",'Configuración'!$B$12,0)+S1271+T1271+U1271)</f>
        <v>28</v>
      </c>
      <c r="W1271" s="39" t="str">
        <f>IF(B1271="","",IF(V1271&gt;='Configuración'!$B$19,"A",IF(V1271&gt;='Configuración'!$B$20,"B",IF(V1271&gt;='Configuración'!$B$21,"C","Descarte"))))</f>
        <v>C</v>
      </c>
    </row>
    <row r="1272" ht="15.75" customHeight="1">
      <c r="A1272" s="34">
        <f t="shared" si="1"/>
        <v>1270</v>
      </c>
      <c r="B1272" s="29" t="s">
        <v>536</v>
      </c>
      <c r="C1272" s="29" t="s">
        <v>7255</v>
      </c>
      <c r="D1272" s="29" t="s">
        <v>7256</v>
      </c>
      <c r="E1272" s="29" t="s">
        <v>7257</v>
      </c>
      <c r="F1272" s="30" t="s">
        <v>7258</v>
      </c>
      <c r="G1272" s="30" t="s">
        <v>7259</v>
      </c>
      <c r="H1272" s="30" t="s">
        <v>7260</v>
      </c>
      <c r="I1272" s="29" t="s">
        <v>317</v>
      </c>
      <c r="J1272" s="31">
        <v>13.0</v>
      </c>
      <c r="K1272" s="35"/>
      <c r="L1272" s="35"/>
      <c r="M1272" s="35"/>
      <c r="N1272" s="35"/>
      <c r="O1272" s="35"/>
      <c r="P1272" s="35"/>
      <c r="Q1272" s="35"/>
      <c r="R1272" s="35"/>
      <c r="S1272" s="37">
        <f>IF(B1272="","",IF(ISNUMBER(J1272),IF(J1272&lt;=10,'Configuración'!$B$23,IF(J1272&lt;=50,'Configuración'!$B$24,IF(J1272&lt;=200,'Configuración'!$B$25,0))),0))</f>
        <v>4</v>
      </c>
      <c r="T1272" s="37">
        <f>IF(B1272="","",IF(ISNUMBER(SEARCH("information technology",I1272))+ISNUMBER(SEARCH("software",I1272))+ISNUMBER(SEARCH("internet",I1272))+ISNUMBER(SEARCH("computer",I1272))+ISNUMBER(SEARCH("saas",I1272))+ISNUMBER(SEARCH("fintech",I1272))+ISNUMBER(SEARCH("information services",I1272))+ISNUMBER(SEARCH("telecommunications",I1272))&gt;0,'Configuración'!$B$27,'Configuración'!$B$28))</f>
        <v>4</v>
      </c>
      <c r="U1272" s="25">
        <f>IF(B1272="","",IF(ISNUMBER(SEARCH("CEO",C1272))+ISNUMBER(SEARCH("Founder",C1272))+ISNUMBER(SEARCH("Owner",C1272))+ISNUMBER(SEARCH("Dueño",C1272))+ISNUMBER(SEARCH("Director General",C1272))+ISNUMBER(SEARCH("Presidente",C1272))+ISNUMBER(SEARCH("President",C1272))&gt;0,'Configuración'!$B$31,IF(ISNUMBER(SEARCH("CMO",C1272))+ISNUMBER(SEARCH("Chief Marketing",C1272))+ISNUMBER(SEARCH("VP Marketing",C1272))+ISNUMBER(SEARCH("Director de Marketing",C1272))+ISNUMBER(SEARCH("Director Marketing",C1272))+ISNUMBER(SEARCH("Head of Marketing",C1272))+ISNUMBER(SEARCH("Head Marketing",C1272))&gt;0,'Configuración'!$B$32,IF(ISNUMBER(SEARCH("Marketing Manager",C1272))+ISNUMBER(SEARCH("Gerente de Marketing",C1272))+ISNUMBER(SEARCH("Growth Manager",C1272))+ISNUMBER(SEARCH("Demand Gen",C1272))+ISNUMBER(SEARCH("Marketing Lead",C1272))&gt;0,'Configuración'!$B$33,IF(ISNUMBER(SEARCH("COO",C1272))+ISNUMBER(SEARCH("CFO",C1272))+ISNUMBER(SEARCH("CTO",C1272))+ISNUMBER(SEARCH("Chief Operating",C1272))+ISNUMBER(SEARCH("Chief Financial",C1272))+ISNUMBER(SEARCH("Gerente General",C1272))+ISNUMBER(SEARCH("General Manager",C1272))&gt;0,'Configuración'!$B$34,'Configuración'!$B$35)))))</f>
        <v>4</v>
      </c>
      <c r="V1272" s="38">
        <f>IF(B1272="","",IF(K1272="Sí",'Configuración'!$B$5,0)+IF(L1272="Semanal",'Configuración'!$B$6,IF(L1272="Mensual",'Configuración'!$B$7,0))+IF(M1272="Sí",'Configuración'!$B$8,0)+IF(N1272="Sí",'Configuración'!$B$9,0)+IF(O1272="Sí",'Configuración'!$B$10,0)+IF(P1272="Sí",'Configuración'!$B$11,0)+IF(Q1272="Sí",'Configuración'!$B$12,0)+S1272+T1272+U1272)</f>
        <v>12</v>
      </c>
      <c r="W1272" s="39" t="str">
        <f>IF(B1272="","",IF(V1272&gt;='Configuración'!$B$19,"A",IF(V1272&gt;='Configuración'!$B$20,"B",IF(V1272&gt;='Configuración'!$B$21,"C","Descarte"))))</f>
        <v>Descarte</v>
      </c>
    </row>
    <row r="1273" ht="15.75" customHeight="1">
      <c r="A1273" s="34">
        <f t="shared" si="1"/>
        <v>1271</v>
      </c>
      <c r="B1273" s="29" t="s">
        <v>1821</v>
      </c>
      <c r="C1273" s="29" t="s">
        <v>7261</v>
      </c>
      <c r="D1273" s="29" t="s">
        <v>7262</v>
      </c>
      <c r="E1273" s="29" t="s">
        <v>7263</v>
      </c>
      <c r="F1273" s="30" t="s">
        <v>7264</v>
      </c>
      <c r="G1273" s="30" t="s">
        <v>7265</v>
      </c>
      <c r="H1273" s="30" t="s">
        <v>7266</v>
      </c>
      <c r="I1273" s="29" t="s">
        <v>127</v>
      </c>
      <c r="J1273" s="31">
        <v>2.0</v>
      </c>
      <c r="K1273" s="35"/>
      <c r="L1273" s="35"/>
      <c r="M1273" s="35"/>
      <c r="N1273" s="35"/>
      <c r="O1273" s="35"/>
      <c r="P1273" s="35"/>
      <c r="Q1273" s="35"/>
      <c r="R1273" s="35"/>
      <c r="S1273" s="37">
        <f>IF(B1273="","",IF(ISNUMBER(J1273),IF(J1273&lt;=10,'Configuración'!$B$23,IF(J1273&lt;=50,'Configuración'!$B$24,IF(J1273&lt;=200,'Configuración'!$B$25,0))),0))</f>
        <v>12</v>
      </c>
      <c r="T1273" s="37">
        <f>IF(B1273="","",IF(ISNUMBER(SEARCH("information technology",I1273))+ISNUMBER(SEARCH("software",I1273))+ISNUMBER(SEARCH("internet",I1273))+ISNUMBER(SEARCH("computer",I1273))+ISNUMBER(SEARCH("saas",I1273))+ISNUMBER(SEARCH("fintech",I1273))+ISNUMBER(SEARCH("information services",I1273))+ISNUMBER(SEARCH("telecommunications",I1273))&gt;0,'Configuración'!$B$27,'Configuración'!$B$28))</f>
        <v>12</v>
      </c>
      <c r="U1273" s="25">
        <f>IF(B1273="","",IF(ISNUMBER(SEARCH("CEO",C1273))+ISNUMBER(SEARCH("Founder",C1273))+ISNUMBER(SEARCH("Owner",C1273))+ISNUMBER(SEARCH("Dueño",C1273))+ISNUMBER(SEARCH("Director General",C1273))+ISNUMBER(SEARCH("Presidente",C1273))+ISNUMBER(SEARCH("President",C1273))&gt;0,'Configuración'!$B$31,IF(ISNUMBER(SEARCH("CMO",C1273))+ISNUMBER(SEARCH("Chief Marketing",C1273))+ISNUMBER(SEARCH("VP Marketing",C1273))+ISNUMBER(SEARCH("Director de Marketing",C1273))+ISNUMBER(SEARCH("Director Marketing",C1273))+ISNUMBER(SEARCH("Head of Marketing",C1273))+ISNUMBER(SEARCH("Head Marketing",C1273))&gt;0,'Configuración'!$B$32,IF(ISNUMBER(SEARCH("Marketing Manager",C1273))+ISNUMBER(SEARCH("Gerente de Marketing",C1273))+ISNUMBER(SEARCH("Growth Manager",C1273))+ISNUMBER(SEARCH("Demand Gen",C1273))+ISNUMBER(SEARCH("Marketing Lead",C1273))&gt;0,'Configuración'!$B$33,IF(ISNUMBER(SEARCH("COO",C1273))+ISNUMBER(SEARCH("CFO",C1273))+ISNUMBER(SEARCH("CTO",C1273))+ISNUMBER(SEARCH("Chief Operating",C1273))+ISNUMBER(SEARCH("Chief Financial",C1273))+ISNUMBER(SEARCH("Gerente General",C1273))+ISNUMBER(SEARCH("General Manager",C1273))&gt;0,'Configuración'!$B$34,'Configuración'!$B$35)))))</f>
        <v>12</v>
      </c>
      <c r="V1273" s="38">
        <f>IF(B1273="","",IF(K1273="Sí",'Configuración'!$B$5,0)+IF(L1273="Semanal",'Configuración'!$B$6,IF(L1273="Mensual",'Configuración'!$B$7,0))+IF(M1273="Sí",'Configuración'!$B$8,0)+IF(N1273="Sí",'Configuración'!$B$9,0)+IF(O1273="Sí",'Configuración'!$B$10,0)+IF(P1273="Sí",'Configuración'!$B$11,0)+IF(Q1273="Sí",'Configuración'!$B$12,0)+S1273+T1273+U1273)</f>
        <v>36</v>
      </c>
      <c r="W1273" s="39" t="str">
        <f>IF(B1273="","",IF(V1273&gt;='Configuración'!$B$19,"A",IF(V1273&gt;='Configuración'!$B$20,"B",IF(V1273&gt;='Configuración'!$B$21,"C","Descarte"))))</f>
        <v>C</v>
      </c>
    </row>
    <row r="1274" ht="15.75" customHeight="1">
      <c r="A1274" s="34">
        <f t="shared" si="1"/>
        <v>1272</v>
      </c>
      <c r="B1274" s="29" t="s">
        <v>7267</v>
      </c>
      <c r="C1274" s="29" t="s">
        <v>7268</v>
      </c>
      <c r="D1274" s="29" t="s">
        <v>7269</v>
      </c>
      <c r="E1274" s="29" t="s">
        <v>7270</v>
      </c>
      <c r="F1274" s="30" t="s">
        <v>7271</v>
      </c>
      <c r="G1274" s="30" t="s">
        <v>7272</v>
      </c>
      <c r="H1274" s="30" t="s">
        <v>7273</v>
      </c>
      <c r="I1274" s="29" t="s">
        <v>380</v>
      </c>
      <c r="J1274" s="31">
        <v>18.0</v>
      </c>
      <c r="K1274" s="35"/>
      <c r="L1274" s="35"/>
      <c r="M1274" s="35"/>
      <c r="N1274" s="35"/>
      <c r="O1274" s="35"/>
      <c r="P1274" s="35"/>
      <c r="Q1274" s="35"/>
      <c r="R1274" s="35"/>
      <c r="S1274" s="37">
        <f>IF(B1274="","",IF(ISNUMBER(J1274),IF(J1274&lt;=10,'Configuración'!$B$23,IF(J1274&lt;=50,'Configuración'!$B$24,IF(J1274&lt;=200,'Configuración'!$B$25,0))),0))</f>
        <v>4</v>
      </c>
      <c r="T1274" s="37">
        <f>IF(B1274="","",IF(ISNUMBER(SEARCH("information technology",I1274))+ISNUMBER(SEARCH("software",I1274))+ISNUMBER(SEARCH("internet",I1274))+ISNUMBER(SEARCH("computer",I1274))+ISNUMBER(SEARCH("saas",I1274))+ISNUMBER(SEARCH("fintech",I1274))+ISNUMBER(SEARCH("information services",I1274))+ISNUMBER(SEARCH("telecommunications",I1274))&gt;0,'Configuración'!$B$27,'Configuración'!$B$28))</f>
        <v>4</v>
      </c>
      <c r="U1274" s="25">
        <f>IF(B1274="","",IF(ISNUMBER(SEARCH("CEO",C1274))+ISNUMBER(SEARCH("Founder",C1274))+ISNUMBER(SEARCH("Owner",C1274))+ISNUMBER(SEARCH("Dueño",C1274))+ISNUMBER(SEARCH("Director General",C1274))+ISNUMBER(SEARCH("Presidente",C1274))+ISNUMBER(SEARCH("President",C1274))&gt;0,'Configuración'!$B$31,IF(ISNUMBER(SEARCH("CMO",C1274))+ISNUMBER(SEARCH("Chief Marketing",C1274))+ISNUMBER(SEARCH("VP Marketing",C1274))+ISNUMBER(SEARCH("Director de Marketing",C1274))+ISNUMBER(SEARCH("Director Marketing",C1274))+ISNUMBER(SEARCH("Head of Marketing",C1274))+ISNUMBER(SEARCH("Head Marketing",C1274))&gt;0,'Configuración'!$B$32,IF(ISNUMBER(SEARCH("Marketing Manager",C1274))+ISNUMBER(SEARCH("Gerente de Marketing",C1274))+ISNUMBER(SEARCH("Growth Manager",C1274))+ISNUMBER(SEARCH("Demand Gen",C1274))+ISNUMBER(SEARCH("Marketing Lead",C1274))&gt;0,'Configuración'!$B$33,IF(ISNUMBER(SEARCH("COO",C1274))+ISNUMBER(SEARCH("CFO",C1274))+ISNUMBER(SEARCH("CTO",C1274))+ISNUMBER(SEARCH("Chief Operating",C1274))+ISNUMBER(SEARCH("Chief Financial",C1274))+ISNUMBER(SEARCH("Gerente General",C1274))+ISNUMBER(SEARCH("General Manager",C1274))&gt;0,'Configuración'!$B$34,'Configuración'!$B$35)))))</f>
        <v>12</v>
      </c>
      <c r="V1274" s="38">
        <f>IF(B1274="","",IF(K1274="Sí",'Configuración'!$B$5,0)+IF(L1274="Semanal",'Configuración'!$B$6,IF(L1274="Mensual",'Configuración'!$B$7,0))+IF(M1274="Sí",'Configuración'!$B$8,0)+IF(N1274="Sí",'Configuración'!$B$9,0)+IF(O1274="Sí",'Configuración'!$B$10,0)+IF(P1274="Sí",'Configuración'!$B$11,0)+IF(Q1274="Sí",'Configuración'!$B$12,0)+S1274+T1274+U1274)</f>
        <v>20</v>
      </c>
      <c r="W1274" s="39" t="str">
        <f>IF(B1274="","",IF(V1274&gt;='Configuración'!$B$19,"A",IF(V1274&gt;='Configuración'!$B$20,"B",IF(V1274&gt;='Configuración'!$B$21,"C","Descarte"))))</f>
        <v>Descarte</v>
      </c>
    </row>
    <row r="1275" ht="15.75" customHeight="1">
      <c r="A1275" s="34">
        <f t="shared" si="1"/>
        <v>1273</v>
      </c>
      <c r="B1275" s="29" t="s">
        <v>1927</v>
      </c>
      <c r="C1275" s="29" t="s">
        <v>1221</v>
      </c>
      <c r="D1275" s="29" t="s">
        <v>7274</v>
      </c>
      <c r="E1275" s="29" t="s">
        <v>7275</v>
      </c>
      <c r="F1275" s="30" t="s">
        <v>7276</v>
      </c>
      <c r="G1275" s="30" t="s">
        <v>7277</v>
      </c>
      <c r="H1275" s="30" t="s">
        <v>7278</v>
      </c>
      <c r="I1275" s="29" t="s">
        <v>458</v>
      </c>
      <c r="J1275" s="31">
        <v>19.0</v>
      </c>
      <c r="K1275" s="35"/>
      <c r="L1275" s="35"/>
      <c r="M1275" s="35"/>
      <c r="N1275" s="35"/>
      <c r="O1275" s="35"/>
      <c r="P1275" s="35"/>
      <c r="Q1275" s="35"/>
      <c r="R1275" s="35"/>
      <c r="S1275" s="37">
        <f>IF(B1275="","",IF(ISNUMBER(J1275),IF(J1275&lt;=10,'Configuración'!$B$23,IF(J1275&lt;=50,'Configuración'!$B$24,IF(J1275&lt;=200,'Configuración'!$B$25,0))),0))</f>
        <v>4</v>
      </c>
      <c r="T1275" s="37">
        <f>IF(B1275="","",IF(ISNUMBER(SEARCH("information technology",I1275))+ISNUMBER(SEARCH("software",I1275))+ISNUMBER(SEARCH("internet",I1275))+ISNUMBER(SEARCH("computer",I1275))+ISNUMBER(SEARCH("saas",I1275))+ISNUMBER(SEARCH("fintech",I1275))+ISNUMBER(SEARCH("information services",I1275))+ISNUMBER(SEARCH("telecommunications",I1275))&gt;0,'Configuración'!$B$27,'Configuración'!$B$28))</f>
        <v>4</v>
      </c>
      <c r="U1275" s="25">
        <f>IF(B1275="","",IF(ISNUMBER(SEARCH("CEO",C1275))+ISNUMBER(SEARCH("Founder",C1275))+ISNUMBER(SEARCH("Owner",C1275))+ISNUMBER(SEARCH("Dueño",C1275))+ISNUMBER(SEARCH("Director General",C1275))+ISNUMBER(SEARCH("Presidente",C1275))+ISNUMBER(SEARCH("President",C1275))&gt;0,'Configuración'!$B$31,IF(ISNUMBER(SEARCH("CMO",C1275))+ISNUMBER(SEARCH("Chief Marketing",C1275))+ISNUMBER(SEARCH("VP Marketing",C1275))+ISNUMBER(SEARCH("Director de Marketing",C1275))+ISNUMBER(SEARCH("Director Marketing",C1275))+ISNUMBER(SEARCH("Head of Marketing",C1275))+ISNUMBER(SEARCH("Head Marketing",C1275))&gt;0,'Configuración'!$B$32,IF(ISNUMBER(SEARCH("Marketing Manager",C1275))+ISNUMBER(SEARCH("Gerente de Marketing",C1275))+ISNUMBER(SEARCH("Growth Manager",C1275))+ISNUMBER(SEARCH("Demand Gen",C1275))+ISNUMBER(SEARCH("Marketing Lead",C1275))&gt;0,'Configuración'!$B$33,IF(ISNUMBER(SEARCH("COO",C1275))+ISNUMBER(SEARCH("CFO",C1275))+ISNUMBER(SEARCH("CTO",C1275))+ISNUMBER(SEARCH("Chief Operating",C1275))+ISNUMBER(SEARCH("Chief Financial",C1275))+ISNUMBER(SEARCH("Gerente General",C1275))+ISNUMBER(SEARCH("General Manager",C1275))&gt;0,'Configuración'!$B$34,'Configuración'!$B$35)))))</f>
        <v>0</v>
      </c>
      <c r="V1275" s="38">
        <f>IF(B1275="","",IF(K1275="Sí",'Configuración'!$B$5,0)+IF(L1275="Semanal",'Configuración'!$B$6,IF(L1275="Mensual",'Configuración'!$B$7,0))+IF(M1275="Sí",'Configuración'!$B$8,0)+IF(N1275="Sí",'Configuración'!$B$9,0)+IF(O1275="Sí",'Configuración'!$B$10,0)+IF(P1275="Sí",'Configuración'!$B$11,0)+IF(Q1275="Sí",'Configuración'!$B$12,0)+S1275+T1275+U1275)</f>
        <v>8</v>
      </c>
      <c r="W1275" s="39" t="str">
        <f>IF(B1275="","",IF(V1275&gt;='Configuración'!$B$19,"A",IF(V1275&gt;='Configuración'!$B$20,"B",IF(V1275&gt;='Configuración'!$B$21,"C","Descarte"))))</f>
        <v>Descarte</v>
      </c>
    </row>
    <row r="1276" ht="15.75" customHeight="1">
      <c r="A1276" s="34">
        <f t="shared" si="1"/>
        <v>1274</v>
      </c>
      <c r="B1276" s="29" t="s">
        <v>7279</v>
      </c>
      <c r="C1276" s="29" t="s">
        <v>175</v>
      </c>
      <c r="D1276" s="29" t="s">
        <v>7280</v>
      </c>
      <c r="E1276" s="29" t="s">
        <v>7281</v>
      </c>
      <c r="F1276" s="30" t="s">
        <v>7282</v>
      </c>
      <c r="G1276" s="30" t="s">
        <v>7283</v>
      </c>
      <c r="H1276" s="30" t="s">
        <v>7284</v>
      </c>
      <c r="I1276" s="29" t="s">
        <v>127</v>
      </c>
      <c r="J1276" s="31">
        <v>7.0</v>
      </c>
      <c r="K1276" s="35"/>
      <c r="L1276" s="35"/>
      <c r="M1276" s="35"/>
      <c r="N1276" s="35"/>
      <c r="O1276" s="35"/>
      <c r="P1276" s="35"/>
      <c r="Q1276" s="35"/>
      <c r="R1276" s="35"/>
      <c r="S1276" s="37">
        <f>IF(B1276="","",IF(ISNUMBER(J1276),IF(J1276&lt;=10,'Configuración'!$B$23,IF(J1276&lt;=50,'Configuración'!$B$24,IF(J1276&lt;=200,'Configuración'!$B$25,0))),0))</f>
        <v>12</v>
      </c>
      <c r="T1276" s="37">
        <f>IF(B1276="","",IF(ISNUMBER(SEARCH("information technology",I1276))+ISNUMBER(SEARCH("software",I1276))+ISNUMBER(SEARCH("internet",I1276))+ISNUMBER(SEARCH("computer",I1276))+ISNUMBER(SEARCH("saas",I1276))+ISNUMBER(SEARCH("fintech",I1276))+ISNUMBER(SEARCH("information services",I1276))+ISNUMBER(SEARCH("telecommunications",I1276))&gt;0,'Configuración'!$B$27,'Configuración'!$B$28))</f>
        <v>12</v>
      </c>
      <c r="U1276" s="25">
        <f>IF(B1276="","",IF(ISNUMBER(SEARCH("CEO",C1276))+ISNUMBER(SEARCH("Founder",C1276))+ISNUMBER(SEARCH("Owner",C1276))+ISNUMBER(SEARCH("Dueño",C1276))+ISNUMBER(SEARCH("Director General",C1276))+ISNUMBER(SEARCH("Presidente",C1276))+ISNUMBER(SEARCH("President",C1276))&gt;0,'Configuración'!$B$31,IF(ISNUMBER(SEARCH("CMO",C1276))+ISNUMBER(SEARCH("Chief Marketing",C1276))+ISNUMBER(SEARCH("VP Marketing",C1276))+ISNUMBER(SEARCH("Director de Marketing",C1276))+ISNUMBER(SEARCH("Director Marketing",C1276))+ISNUMBER(SEARCH("Head of Marketing",C1276))+ISNUMBER(SEARCH("Head Marketing",C1276))&gt;0,'Configuración'!$B$32,IF(ISNUMBER(SEARCH("Marketing Manager",C1276))+ISNUMBER(SEARCH("Gerente de Marketing",C1276))+ISNUMBER(SEARCH("Growth Manager",C1276))+ISNUMBER(SEARCH("Demand Gen",C1276))+ISNUMBER(SEARCH("Marketing Lead",C1276))&gt;0,'Configuración'!$B$33,IF(ISNUMBER(SEARCH("COO",C1276))+ISNUMBER(SEARCH("CFO",C1276))+ISNUMBER(SEARCH("CTO",C1276))+ISNUMBER(SEARCH("Chief Operating",C1276))+ISNUMBER(SEARCH("Chief Financial",C1276))+ISNUMBER(SEARCH("Gerente General",C1276))+ISNUMBER(SEARCH("General Manager",C1276))&gt;0,'Configuración'!$B$34,'Configuración'!$B$35)))))</f>
        <v>12</v>
      </c>
      <c r="V1276" s="38">
        <f>IF(B1276="","",IF(K1276="Sí",'Configuración'!$B$5,0)+IF(L1276="Semanal",'Configuración'!$B$6,IF(L1276="Mensual",'Configuración'!$B$7,0))+IF(M1276="Sí",'Configuración'!$B$8,0)+IF(N1276="Sí",'Configuración'!$B$9,0)+IF(O1276="Sí",'Configuración'!$B$10,0)+IF(P1276="Sí",'Configuración'!$B$11,0)+IF(Q1276="Sí",'Configuración'!$B$12,0)+S1276+T1276+U1276)</f>
        <v>36</v>
      </c>
      <c r="W1276" s="39" t="str">
        <f>IF(B1276="","",IF(V1276&gt;='Configuración'!$B$19,"A",IF(V1276&gt;='Configuración'!$B$20,"B",IF(V1276&gt;='Configuración'!$B$21,"C","Descarte"))))</f>
        <v>C</v>
      </c>
    </row>
    <row r="1277" ht="15.75" customHeight="1">
      <c r="A1277" s="34">
        <f t="shared" si="1"/>
        <v>1275</v>
      </c>
      <c r="B1277" s="29" t="s">
        <v>1048</v>
      </c>
      <c r="C1277" s="29" t="s">
        <v>7285</v>
      </c>
      <c r="D1277" s="40" t="s">
        <v>7286</v>
      </c>
      <c r="E1277" s="29" t="s">
        <v>7287</v>
      </c>
      <c r="F1277" s="30" t="s">
        <v>7288</v>
      </c>
      <c r="G1277" s="30" t="s">
        <v>7289</v>
      </c>
      <c r="H1277" s="30" t="s">
        <v>7290</v>
      </c>
      <c r="I1277" s="29" t="s">
        <v>337</v>
      </c>
      <c r="J1277" s="31">
        <v>1.0</v>
      </c>
      <c r="K1277" s="35"/>
      <c r="L1277" s="35"/>
      <c r="M1277" s="35"/>
      <c r="N1277" s="35"/>
      <c r="O1277" s="35"/>
      <c r="P1277" s="35"/>
      <c r="Q1277" s="35"/>
      <c r="R1277" s="35"/>
      <c r="S1277" s="37">
        <f>IF(B1277="","",IF(ISNUMBER(J1277),IF(J1277&lt;=10,'Configuración'!$B$23,IF(J1277&lt;=50,'Configuración'!$B$24,IF(J1277&lt;=200,'Configuración'!$B$25,0))),0))</f>
        <v>12</v>
      </c>
      <c r="T1277" s="37">
        <f>IF(B1277="","",IF(ISNUMBER(SEARCH("information technology",I1277))+ISNUMBER(SEARCH("software",I1277))+ISNUMBER(SEARCH("internet",I1277))+ISNUMBER(SEARCH("computer",I1277))+ISNUMBER(SEARCH("saas",I1277))+ISNUMBER(SEARCH("fintech",I1277))+ISNUMBER(SEARCH("information services",I1277))+ISNUMBER(SEARCH("telecommunications",I1277))&gt;0,'Configuración'!$B$27,'Configuración'!$B$28))</f>
        <v>4</v>
      </c>
      <c r="U1277" s="25">
        <f>IF(B1277="","",IF(ISNUMBER(SEARCH("CEO",C1277))+ISNUMBER(SEARCH("Founder",C1277))+ISNUMBER(SEARCH("Owner",C1277))+ISNUMBER(SEARCH("Dueño",C1277))+ISNUMBER(SEARCH("Director General",C1277))+ISNUMBER(SEARCH("Presidente",C1277))+ISNUMBER(SEARCH("President",C1277))&gt;0,'Configuración'!$B$31,IF(ISNUMBER(SEARCH("CMO",C1277))+ISNUMBER(SEARCH("Chief Marketing",C1277))+ISNUMBER(SEARCH("VP Marketing",C1277))+ISNUMBER(SEARCH("Director de Marketing",C1277))+ISNUMBER(SEARCH("Director Marketing",C1277))+ISNUMBER(SEARCH("Head of Marketing",C1277))+ISNUMBER(SEARCH("Head Marketing",C1277))&gt;0,'Configuración'!$B$32,IF(ISNUMBER(SEARCH("Marketing Manager",C1277))+ISNUMBER(SEARCH("Gerente de Marketing",C1277))+ISNUMBER(SEARCH("Growth Manager",C1277))+ISNUMBER(SEARCH("Demand Gen",C1277))+ISNUMBER(SEARCH("Marketing Lead",C1277))&gt;0,'Configuración'!$B$33,IF(ISNUMBER(SEARCH("COO",C1277))+ISNUMBER(SEARCH("CFO",C1277))+ISNUMBER(SEARCH("CTO",C1277))+ISNUMBER(SEARCH("Chief Operating",C1277))+ISNUMBER(SEARCH("Chief Financial",C1277))+ISNUMBER(SEARCH("Gerente General",C1277))+ISNUMBER(SEARCH("General Manager",C1277))&gt;0,'Configuración'!$B$34,'Configuración'!$B$35)))))</f>
        <v>12</v>
      </c>
      <c r="V1277" s="38">
        <f>IF(B1277="","",IF(K1277="Sí",'Configuración'!$B$5,0)+IF(L1277="Semanal",'Configuración'!$B$6,IF(L1277="Mensual",'Configuración'!$B$7,0))+IF(M1277="Sí",'Configuración'!$B$8,0)+IF(N1277="Sí",'Configuración'!$B$9,0)+IF(O1277="Sí",'Configuración'!$B$10,0)+IF(P1277="Sí",'Configuración'!$B$11,0)+IF(Q1277="Sí",'Configuración'!$B$12,0)+S1277+T1277+U1277)</f>
        <v>28</v>
      </c>
      <c r="W1277" s="39" t="str">
        <f>IF(B1277="","",IF(V1277&gt;='Configuración'!$B$19,"A",IF(V1277&gt;='Configuración'!$B$20,"B",IF(V1277&gt;='Configuración'!$B$21,"C","Descarte"))))</f>
        <v>C</v>
      </c>
    </row>
    <row r="1278" ht="15.75" customHeight="1">
      <c r="A1278" s="34">
        <f t="shared" si="1"/>
        <v>1276</v>
      </c>
      <c r="B1278" s="29" t="s">
        <v>6890</v>
      </c>
      <c r="C1278" s="29" t="s">
        <v>131</v>
      </c>
      <c r="D1278" s="30" t="s">
        <v>7291</v>
      </c>
      <c r="E1278" s="29" t="s">
        <v>7292</v>
      </c>
      <c r="F1278" s="30" t="s">
        <v>7293</v>
      </c>
      <c r="G1278" s="30" t="s">
        <v>7294</v>
      </c>
      <c r="H1278" s="30" t="s">
        <v>7295</v>
      </c>
      <c r="I1278" s="29" t="s">
        <v>127</v>
      </c>
      <c r="J1278" s="31">
        <v>18.0</v>
      </c>
      <c r="K1278" s="35"/>
      <c r="L1278" s="35"/>
      <c r="M1278" s="35"/>
      <c r="N1278" s="35"/>
      <c r="O1278" s="35"/>
      <c r="P1278" s="35"/>
      <c r="Q1278" s="35"/>
      <c r="R1278" s="35"/>
      <c r="S1278" s="37">
        <f>IF(B1278="","",IF(ISNUMBER(J1278),IF(J1278&lt;=10,'Configuración'!$B$23,IF(J1278&lt;=50,'Configuración'!$B$24,IF(J1278&lt;=200,'Configuración'!$B$25,0))),0))</f>
        <v>4</v>
      </c>
      <c r="T1278" s="37">
        <f>IF(B1278="","",IF(ISNUMBER(SEARCH("information technology",I1278))+ISNUMBER(SEARCH("software",I1278))+ISNUMBER(SEARCH("internet",I1278))+ISNUMBER(SEARCH("computer",I1278))+ISNUMBER(SEARCH("saas",I1278))+ISNUMBER(SEARCH("fintech",I1278))+ISNUMBER(SEARCH("information services",I1278))+ISNUMBER(SEARCH("telecommunications",I1278))&gt;0,'Configuración'!$B$27,'Configuración'!$B$28))</f>
        <v>12</v>
      </c>
      <c r="U1278" s="25">
        <f>IF(B1278="","",IF(ISNUMBER(SEARCH("CEO",C1278))+ISNUMBER(SEARCH("Founder",C1278))+ISNUMBER(SEARCH("Owner",C1278))+ISNUMBER(SEARCH("Dueño",C1278))+ISNUMBER(SEARCH("Director General",C1278))+ISNUMBER(SEARCH("Presidente",C1278))+ISNUMBER(SEARCH("President",C1278))&gt;0,'Configuración'!$B$31,IF(ISNUMBER(SEARCH("CMO",C1278))+ISNUMBER(SEARCH("Chief Marketing",C1278))+ISNUMBER(SEARCH("VP Marketing",C1278))+ISNUMBER(SEARCH("Director de Marketing",C1278))+ISNUMBER(SEARCH("Director Marketing",C1278))+ISNUMBER(SEARCH("Head of Marketing",C1278))+ISNUMBER(SEARCH("Head Marketing",C1278))&gt;0,'Configuración'!$B$32,IF(ISNUMBER(SEARCH("Marketing Manager",C1278))+ISNUMBER(SEARCH("Gerente de Marketing",C1278))+ISNUMBER(SEARCH("Growth Manager",C1278))+ISNUMBER(SEARCH("Demand Gen",C1278))+ISNUMBER(SEARCH("Marketing Lead",C1278))&gt;0,'Configuración'!$B$33,IF(ISNUMBER(SEARCH("COO",C1278))+ISNUMBER(SEARCH("CFO",C1278))+ISNUMBER(SEARCH("CTO",C1278))+ISNUMBER(SEARCH("Chief Operating",C1278))+ISNUMBER(SEARCH("Chief Financial",C1278))+ISNUMBER(SEARCH("Gerente General",C1278))+ISNUMBER(SEARCH("General Manager",C1278))&gt;0,'Configuración'!$B$34,'Configuración'!$B$35)))))</f>
        <v>12</v>
      </c>
      <c r="V1278" s="38">
        <f>IF(B1278="","",IF(K1278="Sí",'Configuración'!$B$5,0)+IF(L1278="Semanal",'Configuración'!$B$6,IF(L1278="Mensual",'Configuración'!$B$7,0))+IF(M1278="Sí",'Configuración'!$B$8,0)+IF(N1278="Sí",'Configuración'!$B$9,0)+IF(O1278="Sí",'Configuración'!$B$10,0)+IF(P1278="Sí",'Configuración'!$B$11,0)+IF(Q1278="Sí",'Configuración'!$B$12,0)+S1278+T1278+U1278)</f>
        <v>28</v>
      </c>
      <c r="W1278" s="39" t="str">
        <f>IF(B1278="","",IF(V1278&gt;='Configuración'!$B$19,"A",IF(V1278&gt;='Configuración'!$B$20,"B",IF(V1278&gt;='Configuración'!$B$21,"C","Descarte"))))</f>
        <v>C</v>
      </c>
    </row>
    <row r="1279" ht="15.75" customHeight="1">
      <c r="A1279" s="34">
        <f t="shared" si="1"/>
        <v>1277</v>
      </c>
      <c r="B1279" s="29" t="s">
        <v>2740</v>
      </c>
      <c r="C1279" s="29" t="s">
        <v>1221</v>
      </c>
      <c r="D1279" s="29" t="s">
        <v>7296</v>
      </c>
      <c r="E1279" s="29" t="s">
        <v>7297</v>
      </c>
      <c r="F1279" s="30" t="s">
        <v>7298</v>
      </c>
      <c r="G1279" s="30" t="s">
        <v>7299</v>
      </c>
      <c r="H1279" s="30" t="s">
        <v>7300</v>
      </c>
      <c r="I1279" s="29" t="s">
        <v>769</v>
      </c>
      <c r="J1279" s="31">
        <v>3.0</v>
      </c>
      <c r="K1279" s="35"/>
      <c r="L1279" s="35"/>
      <c r="M1279" s="35"/>
      <c r="N1279" s="35"/>
      <c r="O1279" s="35"/>
      <c r="P1279" s="35"/>
      <c r="Q1279" s="35"/>
      <c r="R1279" s="35"/>
      <c r="S1279" s="37">
        <f>IF(B1279="","",IF(ISNUMBER(J1279),IF(J1279&lt;=10,'Configuración'!$B$23,IF(J1279&lt;=50,'Configuración'!$B$24,IF(J1279&lt;=200,'Configuración'!$B$25,0))),0))</f>
        <v>12</v>
      </c>
      <c r="T1279" s="37">
        <f>IF(B1279="","",IF(ISNUMBER(SEARCH("information technology",I1279))+ISNUMBER(SEARCH("software",I1279))+ISNUMBER(SEARCH("internet",I1279))+ISNUMBER(SEARCH("computer",I1279))+ISNUMBER(SEARCH("saas",I1279))+ISNUMBER(SEARCH("fintech",I1279))+ISNUMBER(SEARCH("information services",I1279))+ISNUMBER(SEARCH("telecommunications",I1279))&gt;0,'Configuración'!$B$27,'Configuración'!$B$28))</f>
        <v>4</v>
      </c>
      <c r="U1279" s="25">
        <f>IF(B1279="","",IF(ISNUMBER(SEARCH("CEO",C1279))+ISNUMBER(SEARCH("Founder",C1279))+ISNUMBER(SEARCH("Owner",C1279))+ISNUMBER(SEARCH("Dueño",C1279))+ISNUMBER(SEARCH("Director General",C1279))+ISNUMBER(SEARCH("Presidente",C1279))+ISNUMBER(SEARCH("President",C1279))&gt;0,'Configuración'!$B$31,IF(ISNUMBER(SEARCH("CMO",C1279))+ISNUMBER(SEARCH("Chief Marketing",C1279))+ISNUMBER(SEARCH("VP Marketing",C1279))+ISNUMBER(SEARCH("Director de Marketing",C1279))+ISNUMBER(SEARCH("Director Marketing",C1279))+ISNUMBER(SEARCH("Head of Marketing",C1279))+ISNUMBER(SEARCH("Head Marketing",C1279))&gt;0,'Configuración'!$B$32,IF(ISNUMBER(SEARCH("Marketing Manager",C1279))+ISNUMBER(SEARCH("Gerente de Marketing",C1279))+ISNUMBER(SEARCH("Growth Manager",C1279))+ISNUMBER(SEARCH("Demand Gen",C1279))+ISNUMBER(SEARCH("Marketing Lead",C1279))&gt;0,'Configuración'!$B$33,IF(ISNUMBER(SEARCH("COO",C1279))+ISNUMBER(SEARCH("CFO",C1279))+ISNUMBER(SEARCH("CTO",C1279))+ISNUMBER(SEARCH("Chief Operating",C1279))+ISNUMBER(SEARCH("Chief Financial",C1279))+ISNUMBER(SEARCH("Gerente General",C1279))+ISNUMBER(SEARCH("General Manager",C1279))&gt;0,'Configuración'!$B$34,'Configuración'!$B$35)))))</f>
        <v>0</v>
      </c>
      <c r="V1279" s="38">
        <f>IF(B1279="","",IF(K1279="Sí",'Configuración'!$B$5,0)+IF(L1279="Semanal",'Configuración'!$B$6,IF(L1279="Mensual",'Configuración'!$B$7,0))+IF(M1279="Sí",'Configuración'!$B$8,0)+IF(N1279="Sí",'Configuración'!$B$9,0)+IF(O1279="Sí",'Configuración'!$B$10,0)+IF(P1279="Sí",'Configuración'!$B$11,0)+IF(Q1279="Sí",'Configuración'!$B$12,0)+S1279+T1279+U1279)</f>
        <v>16</v>
      </c>
      <c r="W1279" s="39" t="str">
        <f>IF(B1279="","",IF(V1279&gt;='Configuración'!$B$19,"A",IF(V1279&gt;='Configuración'!$B$20,"B",IF(V1279&gt;='Configuración'!$B$21,"C","Descarte"))))</f>
        <v>Descarte</v>
      </c>
    </row>
    <row r="1280" ht="15.75" customHeight="1">
      <c r="A1280" s="34">
        <f t="shared" si="1"/>
        <v>1278</v>
      </c>
      <c r="B1280" s="29" t="s">
        <v>755</v>
      </c>
      <c r="C1280" s="29" t="s">
        <v>7301</v>
      </c>
      <c r="D1280" s="29" t="s">
        <v>7302</v>
      </c>
      <c r="E1280" s="29" t="s">
        <v>7303</v>
      </c>
      <c r="F1280" s="30" t="s">
        <v>7304</v>
      </c>
      <c r="G1280" s="30" t="s">
        <v>7305</v>
      </c>
      <c r="H1280" s="30" t="s">
        <v>7306</v>
      </c>
      <c r="I1280" s="29" t="s">
        <v>127</v>
      </c>
      <c r="J1280" s="31">
        <v>36.0</v>
      </c>
      <c r="K1280" s="35"/>
      <c r="L1280" s="35"/>
      <c r="M1280" s="35"/>
      <c r="N1280" s="35"/>
      <c r="O1280" s="35"/>
      <c r="P1280" s="35"/>
      <c r="Q1280" s="35"/>
      <c r="R1280" s="35"/>
      <c r="S1280" s="37">
        <f>IF(B1280="","",IF(ISNUMBER(J1280),IF(J1280&lt;=10,'Configuración'!$B$23,IF(J1280&lt;=50,'Configuración'!$B$24,IF(J1280&lt;=200,'Configuración'!$B$25,0))),0))</f>
        <v>4</v>
      </c>
      <c r="T1280" s="37">
        <f>IF(B1280="","",IF(ISNUMBER(SEARCH("information technology",I1280))+ISNUMBER(SEARCH("software",I1280))+ISNUMBER(SEARCH("internet",I1280))+ISNUMBER(SEARCH("computer",I1280))+ISNUMBER(SEARCH("saas",I1280))+ISNUMBER(SEARCH("fintech",I1280))+ISNUMBER(SEARCH("information services",I1280))+ISNUMBER(SEARCH("telecommunications",I1280))&gt;0,'Configuración'!$B$27,'Configuración'!$B$28))</f>
        <v>12</v>
      </c>
      <c r="U1280" s="25">
        <f>IF(B1280="","",IF(ISNUMBER(SEARCH("CEO",C1280))+ISNUMBER(SEARCH("Founder",C1280))+ISNUMBER(SEARCH("Owner",C1280))+ISNUMBER(SEARCH("Dueño",C1280))+ISNUMBER(SEARCH("Director General",C1280))+ISNUMBER(SEARCH("Presidente",C1280))+ISNUMBER(SEARCH("President",C1280))&gt;0,'Configuración'!$B$31,IF(ISNUMBER(SEARCH("CMO",C1280))+ISNUMBER(SEARCH("Chief Marketing",C1280))+ISNUMBER(SEARCH("VP Marketing",C1280))+ISNUMBER(SEARCH("Director de Marketing",C1280))+ISNUMBER(SEARCH("Director Marketing",C1280))+ISNUMBER(SEARCH("Head of Marketing",C1280))+ISNUMBER(SEARCH("Head Marketing",C1280))&gt;0,'Configuración'!$B$32,IF(ISNUMBER(SEARCH("Marketing Manager",C1280))+ISNUMBER(SEARCH("Gerente de Marketing",C1280))+ISNUMBER(SEARCH("Growth Manager",C1280))+ISNUMBER(SEARCH("Demand Gen",C1280))+ISNUMBER(SEARCH("Marketing Lead",C1280))&gt;0,'Configuración'!$B$33,IF(ISNUMBER(SEARCH("COO",C1280))+ISNUMBER(SEARCH("CFO",C1280))+ISNUMBER(SEARCH("CTO",C1280))+ISNUMBER(SEARCH("Chief Operating",C1280))+ISNUMBER(SEARCH("Chief Financial",C1280))+ISNUMBER(SEARCH("Gerente General",C1280))+ISNUMBER(SEARCH("General Manager",C1280))&gt;0,'Configuración'!$B$34,'Configuración'!$B$35)))))</f>
        <v>12</v>
      </c>
      <c r="V1280" s="38">
        <f>IF(B1280="","",IF(K1280="Sí",'Configuración'!$B$5,0)+IF(L1280="Semanal",'Configuración'!$B$6,IF(L1280="Mensual",'Configuración'!$B$7,0))+IF(M1280="Sí",'Configuración'!$B$8,0)+IF(N1280="Sí",'Configuración'!$B$9,0)+IF(O1280="Sí",'Configuración'!$B$10,0)+IF(P1280="Sí",'Configuración'!$B$11,0)+IF(Q1280="Sí",'Configuración'!$B$12,0)+S1280+T1280+U1280)</f>
        <v>28</v>
      </c>
      <c r="W1280" s="39" t="str">
        <f>IF(B1280="","",IF(V1280&gt;='Configuración'!$B$19,"A",IF(V1280&gt;='Configuración'!$B$20,"B",IF(V1280&gt;='Configuración'!$B$21,"C","Descarte"))))</f>
        <v>C</v>
      </c>
    </row>
    <row r="1281" ht="15.75" customHeight="1">
      <c r="A1281" s="34">
        <f t="shared" si="1"/>
        <v>1279</v>
      </c>
      <c r="B1281" s="29" t="s">
        <v>6616</v>
      </c>
      <c r="C1281" s="29" t="s">
        <v>763</v>
      </c>
      <c r="D1281" s="29" t="s">
        <v>7307</v>
      </c>
      <c r="E1281" s="29" t="s">
        <v>7308</v>
      </c>
      <c r="F1281" s="30" t="s">
        <v>7309</v>
      </c>
      <c r="G1281" s="30" t="s">
        <v>7310</v>
      </c>
      <c r="H1281" s="30" t="s">
        <v>7311</v>
      </c>
      <c r="I1281" s="29" t="s">
        <v>188</v>
      </c>
      <c r="J1281" s="31">
        <v>4.0</v>
      </c>
      <c r="K1281" s="35"/>
      <c r="L1281" s="35"/>
      <c r="M1281" s="35"/>
      <c r="N1281" s="35"/>
      <c r="O1281" s="35"/>
      <c r="P1281" s="35"/>
      <c r="Q1281" s="35"/>
      <c r="R1281" s="35"/>
      <c r="S1281" s="37">
        <f>IF(B1281="","",IF(ISNUMBER(J1281),IF(J1281&lt;=10,'Configuración'!$B$23,IF(J1281&lt;=50,'Configuración'!$B$24,IF(J1281&lt;=200,'Configuración'!$B$25,0))),0))</f>
        <v>12</v>
      </c>
      <c r="T1281" s="37">
        <f>IF(B1281="","",IF(ISNUMBER(SEARCH("information technology",I1281))+ISNUMBER(SEARCH("software",I1281))+ISNUMBER(SEARCH("internet",I1281))+ISNUMBER(SEARCH("computer",I1281))+ISNUMBER(SEARCH("saas",I1281))+ISNUMBER(SEARCH("fintech",I1281))+ISNUMBER(SEARCH("information services",I1281))+ISNUMBER(SEARCH("telecommunications",I1281))&gt;0,'Configuración'!$B$27,'Configuración'!$B$28))</f>
        <v>4</v>
      </c>
      <c r="U1281" s="25">
        <f>IF(B1281="","",IF(ISNUMBER(SEARCH("CEO",C1281))+ISNUMBER(SEARCH("Founder",C1281))+ISNUMBER(SEARCH("Owner",C1281))+ISNUMBER(SEARCH("Dueño",C1281))+ISNUMBER(SEARCH("Director General",C1281))+ISNUMBER(SEARCH("Presidente",C1281))+ISNUMBER(SEARCH("President",C1281))&gt;0,'Configuración'!$B$31,IF(ISNUMBER(SEARCH("CMO",C1281))+ISNUMBER(SEARCH("Chief Marketing",C1281))+ISNUMBER(SEARCH("VP Marketing",C1281))+ISNUMBER(SEARCH("Director de Marketing",C1281))+ISNUMBER(SEARCH("Director Marketing",C1281))+ISNUMBER(SEARCH("Head of Marketing",C1281))+ISNUMBER(SEARCH("Head Marketing",C1281))&gt;0,'Configuración'!$B$32,IF(ISNUMBER(SEARCH("Marketing Manager",C1281))+ISNUMBER(SEARCH("Gerente de Marketing",C1281))+ISNUMBER(SEARCH("Growth Manager",C1281))+ISNUMBER(SEARCH("Demand Gen",C1281))+ISNUMBER(SEARCH("Marketing Lead",C1281))&gt;0,'Configuración'!$B$33,IF(ISNUMBER(SEARCH("COO",C1281))+ISNUMBER(SEARCH("CFO",C1281))+ISNUMBER(SEARCH("CTO",C1281))+ISNUMBER(SEARCH("Chief Operating",C1281))+ISNUMBER(SEARCH("Chief Financial",C1281))+ISNUMBER(SEARCH("Gerente General",C1281))+ISNUMBER(SEARCH("General Manager",C1281))&gt;0,'Configuración'!$B$34,'Configuración'!$B$35)))))</f>
        <v>12</v>
      </c>
      <c r="V1281" s="38">
        <f>IF(B1281="","",IF(K1281="Sí",'Configuración'!$B$5,0)+IF(L1281="Semanal",'Configuración'!$B$6,IF(L1281="Mensual",'Configuración'!$B$7,0))+IF(M1281="Sí",'Configuración'!$B$8,0)+IF(N1281="Sí",'Configuración'!$B$9,0)+IF(O1281="Sí",'Configuración'!$B$10,0)+IF(P1281="Sí",'Configuración'!$B$11,0)+IF(Q1281="Sí",'Configuración'!$B$12,0)+S1281+T1281+U1281)</f>
        <v>28</v>
      </c>
      <c r="W1281" s="39" t="str">
        <f>IF(B1281="","",IF(V1281&gt;='Configuración'!$B$19,"A",IF(V1281&gt;='Configuración'!$B$20,"B",IF(V1281&gt;='Configuración'!$B$21,"C","Descarte"))))</f>
        <v>C</v>
      </c>
    </row>
    <row r="1282" ht="15.75" customHeight="1">
      <c r="A1282" s="34">
        <f t="shared" si="1"/>
        <v>1280</v>
      </c>
      <c r="B1282" s="29" t="s">
        <v>867</v>
      </c>
      <c r="C1282" s="29" t="s">
        <v>121</v>
      </c>
      <c r="D1282" s="40" t="s">
        <v>4986</v>
      </c>
      <c r="E1282" s="29" t="s">
        <v>7312</v>
      </c>
      <c r="F1282" s="30" t="s">
        <v>7313</v>
      </c>
      <c r="G1282" s="30" t="s">
        <v>4989</v>
      </c>
      <c r="H1282" s="30" t="s">
        <v>4990</v>
      </c>
      <c r="I1282" s="29" t="s">
        <v>116</v>
      </c>
      <c r="J1282" s="31">
        <v>9.0</v>
      </c>
      <c r="K1282" s="35"/>
      <c r="L1282" s="35"/>
      <c r="M1282" s="35"/>
      <c r="N1282" s="35"/>
      <c r="O1282" s="35"/>
      <c r="P1282" s="35"/>
      <c r="Q1282" s="35"/>
      <c r="R1282" s="35"/>
      <c r="S1282" s="37">
        <f>IF(B1282="","",IF(ISNUMBER(J1282),IF(J1282&lt;=10,'Configuración'!$B$23,IF(J1282&lt;=50,'Configuración'!$B$24,IF(J1282&lt;=200,'Configuración'!$B$25,0))),0))</f>
        <v>12</v>
      </c>
      <c r="T1282" s="37">
        <f>IF(B1282="","",IF(ISNUMBER(SEARCH("information technology",I1282))+ISNUMBER(SEARCH("software",I1282))+ISNUMBER(SEARCH("internet",I1282))+ISNUMBER(SEARCH("computer",I1282))+ISNUMBER(SEARCH("saas",I1282))+ISNUMBER(SEARCH("fintech",I1282))+ISNUMBER(SEARCH("information services",I1282))+ISNUMBER(SEARCH("telecommunications",I1282))&gt;0,'Configuración'!$B$27,'Configuración'!$B$28))</f>
        <v>4</v>
      </c>
      <c r="U1282" s="25">
        <f>IF(B1282="","",IF(ISNUMBER(SEARCH("CEO",C1282))+ISNUMBER(SEARCH("Founder",C1282))+ISNUMBER(SEARCH("Owner",C1282))+ISNUMBER(SEARCH("Dueño",C1282))+ISNUMBER(SEARCH("Director General",C1282))+ISNUMBER(SEARCH("Presidente",C1282))+ISNUMBER(SEARCH("President",C1282))&gt;0,'Configuración'!$B$31,IF(ISNUMBER(SEARCH("CMO",C1282))+ISNUMBER(SEARCH("Chief Marketing",C1282))+ISNUMBER(SEARCH("VP Marketing",C1282))+ISNUMBER(SEARCH("Director de Marketing",C1282))+ISNUMBER(SEARCH("Director Marketing",C1282))+ISNUMBER(SEARCH("Head of Marketing",C1282))+ISNUMBER(SEARCH("Head Marketing",C1282))&gt;0,'Configuración'!$B$32,IF(ISNUMBER(SEARCH("Marketing Manager",C1282))+ISNUMBER(SEARCH("Gerente de Marketing",C1282))+ISNUMBER(SEARCH("Growth Manager",C1282))+ISNUMBER(SEARCH("Demand Gen",C1282))+ISNUMBER(SEARCH("Marketing Lead",C1282))&gt;0,'Configuración'!$B$33,IF(ISNUMBER(SEARCH("COO",C1282))+ISNUMBER(SEARCH("CFO",C1282))+ISNUMBER(SEARCH("CTO",C1282))+ISNUMBER(SEARCH("Chief Operating",C1282))+ISNUMBER(SEARCH("Chief Financial",C1282))+ISNUMBER(SEARCH("Gerente General",C1282))+ISNUMBER(SEARCH("General Manager",C1282))&gt;0,'Configuración'!$B$34,'Configuración'!$B$35)))))</f>
        <v>12</v>
      </c>
      <c r="V1282" s="38">
        <f>IF(B1282="","",IF(K1282="Sí",'Configuración'!$B$5,0)+IF(L1282="Semanal",'Configuración'!$B$6,IF(L1282="Mensual",'Configuración'!$B$7,0))+IF(M1282="Sí",'Configuración'!$B$8,0)+IF(N1282="Sí",'Configuración'!$B$9,0)+IF(O1282="Sí",'Configuración'!$B$10,0)+IF(P1282="Sí",'Configuración'!$B$11,0)+IF(Q1282="Sí",'Configuración'!$B$12,0)+S1282+T1282+U1282)</f>
        <v>28</v>
      </c>
      <c r="W1282" s="39" t="str">
        <f>IF(B1282="","",IF(V1282&gt;='Configuración'!$B$19,"A",IF(V1282&gt;='Configuración'!$B$20,"B",IF(V1282&gt;='Configuración'!$B$21,"C","Descarte"))))</f>
        <v>C</v>
      </c>
    </row>
    <row r="1283" ht="15.75" customHeight="1">
      <c r="A1283" s="34">
        <f t="shared" si="1"/>
        <v>1281</v>
      </c>
      <c r="B1283" s="29" t="s">
        <v>1961</v>
      </c>
      <c r="C1283" s="29" t="s">
        <v>146</v>
      </c>
      <c r="D1283" s="30" t="s">
        <v>7314</v>
      </c>
      <c r="E1283" s="29" t="s">
        <v>7315</v>
      </c>
      <c r="F1283" s="30" t="s">
        <v>7316</v>
      </c>
      <c r="G1283" s="30" t="s">
        <v>7317</v>
      </c>
      <c r="H1283" s="30" t="s">
        <v>7318</v>
      </c>
      <c r="I1283" s="29" t="s">
        <v>127</v>
      </c>
      <c r="J1283" s="31">
        <v>2.0</v>
      </c>
      <c r="K1283" s="35"/>
      <c r="L1283" s="35"/>
      <c r="M1283" s="35"/>
      <c r="N1283" s="35"/>
      <c r="O1283" s="35"/>
      <c r="P1283" s="35"/>
      <c r="Q1283" s="35"/>
      <c r="R1283" s="35"/>
      <c r="S1283" s="37">
        <f>IF(B1283="","",IF(ISNUMBER(J1283),IF(J1283&lt;=10,'Configuración'!$B$23,IF(J1283&lt;=50,'Configuración'!$B$24,IF(J1283&lt;=200,'Configuración'!$B$25,0))),0))</f>
        <v>12</v>
      </c>
      <c r="T1283" s="37">
        <f>IF(B1283="","",IF(ISNUMBER(SEARCH("information technology",I1283))+ISNUMBER(SEARCH("software",I1283))+ISNUMBER(SEARCH("internet",I1283))+ISNUMBER(SEARCH("computer",I1283))+ISNUMBER(SEARCH("saas",I1283))+ISNUMBER(SEARCH("fintech",I1283))+ISNUMBER(SEARCH("information services",I1283))+ISNUMBER(SEARCH("telecommunications",I1283))&gt;0,'Configuración'!$B$27,'Configuración'!$B$28))</f>
        <v>12</v>
      </c>
      <c r="U1283" s="25">
        <f>IF(B1283="","",IF(ISNUMBER(SEARCH("CEO",C1283))+ISNUMBER(SEARCH("Founder",C1283))+ISNUMBER(SEARCH("Owner",C1283))+ISNUMBER(SEARCH("Dueño",C1283))+ISNUMBER(SEARCH("Director General",C1283))+ISNUMBER(SEARCH("Presidente",C1283))+ISNUMBER(SEARCH("President",C1283))&gt;0,'Configuración'!$B$31,IF(ISNUMBER(SEARCH("CMO",C1283))+ISNUMBER(SEARCH("Chief Marketing",C1283))+ISNUMBER(SEARCH("VP Marketing",C1283))+ISNUMBER(SEARCH("Director de Marketing",C1283))+ISNUMBER(SEARCH("Director Marketing",C1283))+ISNUMBER(SEARCH("Head of Marketing",C1283))+ISNUMBER(SEARCH("Head Marketing",C1283))&gt;0,'Configuración'!$B$32,IF(ISNUMBER(SEARCH("Marketing Manager",C1283))+ISNUMBER(SEARCH("Gerente de Marketing",C1283))+ISNUMBER(SEARCH("Growth Manager",C1283))+ISNUMBER(SEARCH("Demand Gen",C1283))+ISNUMBER(SEARCH("Marketing Lead",C1283))&gt;0,'Configuración'!$B$33,IF(ISNUMBER(SEARCH("COO",C1283))+ISNUMBER(SEARCH("CFO",C1283))+ISNUMBER(SEARCH("CTO",C1283))+ISNUMBER(SEARCH("Chief Operating",C1283))+ISNUMBER(SEARCH("Chief Financial",C1283))+ISNUMBER(SEARCH("Gerente General",C1283))+ISNUMBER(SEARCH("General Manager",C1283))&gt;0,'Configuración'!$B$34,'Configuración'!$B$35)))))</f>
        <v>0</v>
      </c>
      <c r="V1283" s="38">
        <f>IF(B1283="","",IF(K1283="Sí",'Configuración'!$B$5,0)+IF(L1283="Semanal",'Configuración'!$B$6,IF(L1283="Mensual",'Configuración'!$B$7,0))+IF(M1283="Sí",'Configuración'!$B$8,0)+IF(N1283="Sí",'Configuración'!$B$9,0)+IF(O1283="Sí",'Configuración'!$B$10,0)+IF(P1283="Sí",'Configuración'!$B$11,0)+IF(Q1283="Sí",'Configuración'!$B$12,0)+S1283+T1283+U1283)</f>
        <v>24</v>
      </c>
      <c r="W1283" s="39" t="str">
        <f>IF(B1283="","",IF(V1283&gt;='Configuración'!$B$19,"A",IF(V1283&gt;='Configuración'!$B$20,"B",IF(V1283&gt;='Configuración'!$B$21,"C","Descarte"))))</f>
        <v>C</v>
      </c>
    </row>
    <row r="1284" ht="15.75" customHeight="1">
      <c r="A1284" s="34">
        <f t="shared" si="1"/>
        <v>1282</v>
      </c>
      <c r="B1284" s="29" t="s">
        <v>529</v>
      </c>
      <c r="C1284" s="29" t="s">
        <v>7319</v>
      </c>
      <c r="D1284" s="29" t="s">
        <v>7320</v>
      </c>
      <c r="E1284" s="29" t="s">
        <v>7321</v>
      </c>
      <c r="F1284" s="30" t="s">
        <v>7322</v>
      </c>
      <c r="G1284" s="30" t="s">
        <v>7323</v>
      </c>
      <c r="H1284" s="30" t="s">
        <v>7324</v>
      </c>
      <c r="I1284" s="29" t="s">
        <v>127</v>
      </c>
      <c r="J1284" s="31">
        <v>35.0</v>
      </c>
      <c r="K1284" s="35"/>
      <c r="L1284" s="35"/>
      <c r="M1284" s="35"/>
      <c r="N1284" s="35"/>
      <c r="O1284" s="35"/>
      <c r="P1284" s="35"/>
      <c r="Q1284" s="35"/>
      <c r="R1284" s="35"/>
      <c r="S1284" s="37">
        <f>IF(B1284="","",IF(ISNUMBER(J1284),IF(J1284&lt;=10,'Configuración'!$B$23,IF(J1284&lt;=50,'Configuración'!$B$24,IF(J1284&lt;=200,'Configuración'!$B$25,0))),0))</f>
        <v>4</v>
      </c>
      <c r="T1284" s="37">
        <f>IF(B1284="","",IF(ISNUMBER(SEARCH("information technology",I1284))+ISNUMBER(SEARCH("software",I1284))+ISNUMBER(SEARCH("internet",I1284))+ISNUMBER(SEARCH("computer",I1284))+ISNUMBER(SEARCH("saas",I1284))+ISNUMBER(SEARCH("fintech",I1284))+ISNUMBER(SEARCH("information services",I1284))+ISNUMBER(SEARCH("telecommunications",I1284))&gt;0,'Configuración'!$B$27,'Configuración'!$B$28))</f>
        <v>12</v>
      </c>
      <c r="U1284" s="25">
        <f>IF(B1284="","",IF(ISNUMBER(SEARCH("CEO",C1284))+ISNUMBER(SEARCH("Founder",C1284))+ISNUMBER(SEARCH("Owner",C1284))+ISNUMBER(SEARCH("Dueño",C1284))+ISNUMBER(SEARCH("Director General",C1284))+ISNUMBER(SEARCH("Presidente",C1284))+ISNUMBER(SEARCH("President",C1284))&gt;0,'Configuración'!$B$31,IF(ISNUMBER(SEARCH("CMO",C1284))+ISNUMBER(SEARCH("Chief Marketing",C1284))+ISNUMBER(SEARCH("VP Marketing",C1284))+ISNUMBER(SEARCH("Director de Marketing",C1284))+ISNUMBER(SEARCH("Director Marketing",C1284))+ISNUMBER(SEARCH("Head of Marketing",C1284))+ISNUMBER(SEARCH("Head Marketing",C1284))&gt;0,'Configuración'!$B$32,IF(ISNUMBER(SEARCH("Marketing Manager",C1284))+ISNUMBER(SEARCH("Gerente de Marketing",C1284))+ISNUMBER(SEARCH("Growth Manager",C1284))+ISNUMBER(SEARCH("Demand Gen",C1284))+ISNUMBER(SEARCH("Marketing Lead",C1284))&gt;0,'Configuración'!$B$33,IF(ISNUMBER(SEARCH("COO",C1284))+ISNUMBER(SEARCH("CFO",C1284))+ISNUMBER(SEARCH("CTO",C1284))+ISNUMBER(SEARCH("Chief Operating",C1284))+ISNUMBER(SEARCH("Chief Financial",C1284))+ISNUMBER(SEARCH("Gerente General",C1284))+ISNUMBER(SEARCH("General Manager",C1284))&gt;0,'Configuración'!$B$34,'Configuración'!$B$35)))))</f>
        <v>0</v>
      </c>
      <c r="V1284" s="38">
        <f>IF(B1284="","",IF(K1284="Sí",'Configuración'!$B$5,0)+IF(L1284="Semanal",'Configuración'!$B$6,IF(L1284="Mensual",'Configuración'!$B$7,0))+IF(M1284="Sí",'Configuración'!$B$8,0)+IF(N1284="Sí",'Configuración'!$B$9,0)+IF(O1284="Sí",'Configuración'!$B$10,0)+IF(P1284="Sí",'Configuración'!$B$11,0)+IF(Q1284="Sí",'Configuración'!$B$12,0)+S1284+T1284+U1284)</f>
        <v>16</v>
      </c>
      <c r="W1284" s="39" t="str">
        <f>IF(B1284="","",IF(V1284&gt;='Configuración'!$B$19,"A",IF(V1284&gt;='Configuración'!$B$20,"B",IF(V1284&gt;='Configuración'!$B$21,"C","Descarte"))))</f>
        <v>Descarte</v>
      </c>
    </row>
    <row r="1285" ht="15.75" customHeight="1">
      <c r="A1285" s="34">
        <f t="shared" si="1"/>
        <v>1283</v>
      </c>
      <c r="B1285" s="29" t="s">
        <v>7325</v>
      </c>
      <c r="C1285" s="29" t="s">
        <v>934</v>
      </c>
      <c r="D1285" s="29" t="s">
        <v>7326</v>
      </c>
      <c r="E1285" s="29" t="s">
        <v>7327</v>
      </c>
      <c r="F1285" s="30" t="s">
        <v>7328</v>
      </c>
      <c r="G1285" s="30" t="s">
        <v>7329</v>
      </c>
      <c r="H1285" s="30" t="s">
        <v>7330</v>
      </c>
      <c r="I1285" s="29" t="s">
        <v>116</v>
      </c>
      <c r="J1285" s="31">
        <v>17.0</v>
      </c>
      <c r="K1285" s="35"/>
      <c r="L1285" s="35"/>
      <c r="M1285" s="35"/>
      <c r="N1285" s="35"/>
      <c r="O1285" s="35"/>
      <c r="P1285" s="35"/>
      <c r="Q1285" s="35"/>
      <c r="R1285" s="35"/>
      <c r="S1285" s="37">
        <f>IF(B1285="","",IF(ISNUMBER(J1285),IF(J1285&lt;=10,'Configuración'!$B$23,IF(J1285&lt;=50,'Configuración'!$B$24,IF(J1285&lt;=200,'Configuración'!$B$25,0))),0))</f>
        <v>4</v>
      </c>
      <c r="T1285" s="37">
        <f>IF(B1285="","",IF(ISNUMBER(SEARCH("information technology",I1285))+ISNUMBER(SEARCH("software",I1285))+ISNUMBER(SEARCH("internet",I1285))+ISNUMBER(SEARCH("computer",I1285))+ISNUMBER(SEARCH("saas",I1285))+ISNUMBER(SEARCH("fintech",I1285))+ISNUMBER(SEARCH("information services",I1285))+ISNUMBER(SEARCH("telecommunications",I1285))&gt;0,'Configuración'!$B$27,'Configuración'!$B$28))</f>
        <v>4</v>
      </c>
      <c r="U1285" s="25">
        <f>IF(B1285="","",IF(ISNUMBER(SEARCH("CEO",C1285))+ISNUMBER(SEARCH("Founder",C1285))+ISNUMBER(SEARCH("Owner",C1285))+ISNUMBER(SEARCH("Dueño",C1285))+ISNUMBER(SEARCH("Director General",C1285))+ISNUMBER(SEARCH("Presidente",C1285))+ISNUMBER(SEARCH("President",C1285))&gt;0,'Configuración'!$B$31,IF(ISNUMBER(SEARCH("CMO",C1285))+ISNUMBER(SEARCH("Chief Marketing",C1285))+ISNUMBER(SEARCH("VP Marketing",C1285))+ISNUMBER(SEARCH("Director de Marketing",C1285))+ISNUMBER(SEARCH("Director Marketing",C1285))+ISNUMBER(SEARCH("Head of Marketing",C1285))+ISNUMBER(SEARCH("Head Marketing",C1285))&gt;0,'Configuración'!$B$32,IF(ISNUMBER(SEARCH("Marketing Manager",C1285))+ISNUMBER(SEARCH("Gerente de Marketing",C1285))+ISNUMBER(SEARCH("Growth Manager",C1285))+ISNUMBER(SEARCH("Demand Gen",C1285))+ISNUMBER(SEARCH("Marketing Lead",C1285))&gt;0,'Configuración'!$B$33,IF(ISNUMBER(SEARCH("COO",C1285))+ISNUMBER(SEARCH("CFO",C1285))+ISNUMBER(SEARCH("CTO",C1285))+ISNUMBER(SEARCH("Chief Operating",C1285))+ISNUMBER(SEARCH("Chief Financial",C1285))+ISNUMBER(SEARCH("Gerente General",C1285))+ISNUMBER(SEARCH("General Manager",C1285))&gt;0,'Configuración'!$B$34,'Configuración'!$B$35)))))</f>
        <v>12</v>
      </c>
      <c r="V1285" s="38">
        <f>IF(B1285="","",IF(K1285="Sí",'Configuración'!$B$5,0)+IF(L1285="Semanal",'Configuración'!$B$6,IF(L1285="Mensual",'Configuración'!$B$7,0))+IF(M1285="Sí",'Configuración'!$B$8,0)+IF(N1285="Sí",'Configuración'!$B$9,0)+IF(O1285="Sí",'Configuración'!$B$10,0)+IF(P1285="Sí",'Configuración'!$B$11,0)+IF(Q1285="Sí",'Configuración'!$B$12,0)+S1285+T1285+U1285)</f>
        <v>20</v>
      </c>
      <c r="W1285" s="39" t="str">
        <f>IF(B1285="","",IF(V1285&gt;='Configuración'!$B$19,"A",IF(V1285&gt;='Configuración'!$B$20,"B",IF(V1285&gt;='Configuración'!$B$21,"C","Descarte"))))</f>
        <v>Descarte</v>
      </c>
    </row>
    <row r="1286" ht="15.75" customHeight="1">
      <c r="A1286" s="34">
        <f t="shared" si="1"/>
        <v>1284</v>
      </c>
      <c r="B1286" s="29" t="s">
        <v>7331</v>
      </c>
      <c r="C1286" s="29" t="s">
        <v>146</v>
      </c>
      <c r="D1286" s="29" t="s">
        <v>7332</v>
      </c>
      <c r="E1286" s="29" t="s">
        <v>7333</v>
      </c>
      <c r="F1286" s="30" t="s">
        <v>7334</v>
      </c>
      <c r="G1286" s="30" t="s">
        <v>7335</v>
      </c>
      <c r="H1286" s="30" t="s">
        <v>7336</v>
      </c>
      <c r="I1286" s="29" t="s">
        <v>337</v>
      </c>
      <c r="J1286" s="31">
        <v>3.0</v>
      </c>
      <c r="K1286" s="35"/>
      <c r="L1286" s="35"/>
      <c r="M1286" s="35"/>
      <c r="N1286" s="35"/>
      <c r="O1286" s="35"/>
      <c r="P1286" s="35"/>
      <c r="Q1286" s="35"/>
      <c r="R1286" s="35"/>
      <c r="S1286" s="37">
        <f>IF(B1286="","",IF(ISNUMBER(J1286),IF(J1286&lt;=10,'Configuración'!$B$23,IF(J1286&lt;=50,'Configuración'!$B$24,IF(J1286&lt;=200,'Configuración'!$B$25,0))),0))</f>
        <v>12</v>
      </c>
      <c r="T1286" s="37">
        <f>IF(B1286="","",IF(ISNUMBER(SEARCH("information technology",I1286))+ISNUMBER(SEARCH("software",I1286))+ISNUMBER(SEARCH("internet",I1286))+ISNUMBER(SEARCH("computer",I1286))+ISNUMBER(SEARCH("saas",I1286))+ISNUMBER(SEARCH("fintech",I1286))+ISNUMBER(SEARCH("information services",I1286))+ISNUMBER(SEARCH("telecommunications",I1286))&gt;0,'Configuración'!$B$27,'Configuración'!$B$28))</f>
        <v>4</v>
      </c>
      <c r="U1286" s="25">
        <f>IF(B1286="","",IF(ISNUMBER(SEARCH("CEO",C1286))+ISNUMBER(SEARCH("Founder",C1286))+ISNUMBER(SEARCH("Owner",C1286))+ISNUMBER(SEARCH("Dueño",C1286))+ISNUMBER(SEARCH("Director General",C1286))+ISNUMBER(SEARCH("Presidente",C1286))+ISNUMBER(SEARCH("President",C1286))&gt;0,'Configuración'!$B$31,IF(ISNUMBER(SEARCH("CMO",C1286))+ISNUMBER(SEARCH("Chief Marketing",C1286))+ISNUMBER(SEARCH("VP Marketing",C1286))+ISNUMBER(SEARCH("Director de Marketing",C1286))+ISNUMBER(SEARCH("Director Marketing",C1286))+ISNUMBER(SEARCH("Head of Marketing",C1286))+ISNUMBER(SEARCH("Head Marketing",C1286))&gt;0,'Configuración'!$B$32,IF(ISNUMBER(SEARCH("Marketing Manager",C1286))+ISNUMBER(SEARCH("Gerente de Marketing",C1286))+ISNUMBER(SEARCH("Growth Manager",C1286))+ISNUMBER(SEARCH("Demand Gen",C1286))+ISNUMBER(SEARCH("Marketing Lead",C1286))&gt;0,'Configuración'!$B$33,IF(ISNUMBER(SEARCH("COO",C1286))+ISNUMBER(SEARCH("CFO",C1286))+ISNUMBER(SEARCH("CTO",C1286))+ISNUMBER(SEARCH("Chief Operating",C1286))+ISNUMBER(SEARCH("Chief Financial",C1286))+ISNUMBER(SEARCH("Gerente General",C1286))+ISNUMBER(SEARCH("General Manager",C1286))&gt;0,'Configuración'!$B$34,'Configuración'!$B$35)))))</f>
        <v>0</v>
      </c>
      <c r="V1286" s="38">
        <f>IF(B1286="","",IF(K1286="Sí",'Configuración'!$B$5,0)+IF(L1286="Semanal",'Configuración'!$B$6,IF(L1286="Mensual",'Configuración'!$B$7,0))+IF(M1286="Sí",'Configuración'!$B$8,0)+IF(N1286="Sí",'Configuración'!$B$9,0)+IF(O1286="Sí",'Configuración'!$B$10,0)+IF(P1286="Sí",'Configuración'!$B$11,0)+IF(Q1286="Sí",'Configuración'!$B$12,0)+S1286+T1286+U1286)</f>
        <v>16</v>
      </c>
      <c r="W1286" s="39" t="str">
        <f>IF(B1286="","",IF(V1286&gt;='Configuración'!$B$19,"A",IF(V1286&gt;='Configuración'!$B$20,"B",IF(V1286&gt;='Configuración'!$B$21,"C","Descarte"))))</f>
        <v>Descarte</v>
      </c>
    </row>
    <row r="1287" ht="15.75" customHeight="1">
      <c r="A1287" s="34">
        <f t="shared" si="1"/>
        <v>1285</v>
      </c>
      <c r="B1287" s="29" t="s">
        <v>529</v>
      </c>
      <c r="C1287" s="29" t="s">
        <v>3230</v>
      </c>
      <c r="D1287" s="29" t="s">
        <v>7337</v>
      </c>
      <c r="E1287" s="29" t="s">
        <v>7338</v>
      </c>
      <c r="F1287" s="30" t="s">
        <v>7339</v>
      </c>
      <c r="G1287" s="30" t="s">
        <v>7340</v>
      </c>
      <c r="H1287" s="30" t="s">
        <v>7341</v>
      </c>
      <c r="I1287" s="29" t="s">
        <v>7342</v>
      </c>
      <c r="J1287" s="31">
        <v>36.0</v>
      </c>
      <c r="K1287" s="35"/>
      <c r="L1287" s="35"/>
      <c r="M1287" s="35"/>
      <c r="N1287" s="35"/>
      <c r="O1287" s="35"/>
      <c r="P1287" s="35"/>
      <c r="Q1287" s="35"/>
      <c r="R1287" s="35"/>
      <c r="S1287" s="37">
        <f>IF(B1287="","",IF(ISNUMBER(J1287),IF(J1287&lt;=10,'Configuración'!$B$23,IF(J1287&lt;=50,'Configuración'!$B$24,IF(J1287&lt;=200,'Configuración'!$B$25,0))),0))</f>
        <v>4</v>
      </c>
      <c r="T1287" s="37">
        <f>IF(B1287="","",IF(ISNUMBER(SEARCH("information technology",I1287))+ISNUMBER(SEARCH("software",I1287))+ISNUMBER(SEARCH("internet",I1287))+ISNUMBER(SEARCH("computer",I1287))+ISNUMBER(SEARCH("saas",I1287))+ISNUMBER(SEARCH("fintech",I1287))+ISNUMBER(SEARCH("information services",I1287))+ISNUMBER(SEARCH("telecommunications",I1287))&gt;0,'Configuración'!$B$27,'Configuración'!$B$28))</f>
        <v>4</v>
      </c>
      <c r="U1287" s="25">
        <f>IF(B1287="","",IF(ISNUMBER(SEARCH("CEO",C1287))+ISNUMBER(SEARCH("Founder",C1287))+ISNUMBER(SEARCH("Owner",C1287))+ISNUMBER(SEARCH("Dueño",C1287))+ISNUMBER(SEARCH("Director General",C1287))+ISNUMBER(SEARCH("Presidente",C1287))+ISNUMBER(SEARCH("President",C1287))&gt;0,'Configuración'!$B$31,IF(ISNUMBER(SEARCH("CMO",C1287))+ISNUMBER(SEARCH("Chief Marketing",C1287))+ISNUMBER(SEARCH("VP Marketing",C1287))+ISNUMBER(SEARCH("Director de Marketing",C1287))+ISNUMBER(SEARCH("Director Marketing",C1287))+ISNUMBER(SEARCH("Head of Marketing",C1287))+ISNUMBER(SEARCH("Head Marketing",C1287))&gt;0,'Configuración'!$B$32,IF(ISNUMBER(SEARCH("Marketing Manager",C1287))+ISNUMBER(SEARCH("Gerente de Marketing",C1287))+ISNUMBER(SEARCH("Growth Manager",C1287))+ISNUMBER(SEARCH("Demand Gen",C1287))+ISNUMBER(SEARCH("Marketing Lead",C1287))&gt;0,'Configuración'!$B$33,IF(ISNUMBER(SEARCH("COO",C1287))+ISNUMBER(SEARCH("CFO",C1287))+ISNUMBER(SEARCH("CTO",C1287))+ISNUMBER(SEARCH("Chief Operating",C1287))+ISNUMBER(SEARCH("Chief Financial",C1287))+ISNUMBER(SEARCH("Gerente General",C1287))+ISNUMBER(SEARCH("General Manager",C1287))&gt;0,'Configuración'!$B$34,'Configuración'!$B$35)))))</f>
        <v>12</v>
      </c>
      <c r="V1287" s="38">
        <f>IF(B1287="","",IF(K1287="Sí",'Configuración'!$B$5,0)+IF(L1287="Semanal",'Configuración'!$B$6,IF(L1287="Mensual",'Configuración'!$B$7,0))+IF(M1287="Sí",'Configuración'!$B$8,0)+IF(N1287="Sí",'Configuración'!$B$9,0)+IF(O1287="Sí",'Configuración'!$B$10,0)+IF(P1287="Sí",'Configuración'!$B$11,0)+IF(Q1287="Sí",'Configuración'!$B$12,0)+S1287+T1287+U1287)</f>
        <v>20</v>
      </c>
      <c r="W1287" s="39" t="str">
        <f>IF(B1287="","",IF(V1287&gt;='Configuración'!$B$19,"A",IF(V1287&gt;='Configuración'!$B$20,"B",IF(V1287&gt;='Configuración'!$B$21,"C","Descarte"))))</f>
        <v>Descarte</v>
      </c>
    </row>
    <row r="1288" ht="15.75" customHeight="1">
      <c r="A1288" s="34">
        <f t="shared" si="1"/>
        <v>1286</v>
      </c>
      <c r="B1288" s="29" t="s">
        <v>174</v>
      </c>
      <c r="C1288" s="29" t="s">
        <v>131</v>
      </c>
      <c r="D1288" s="29" t="s">
        <v>7343</v>
      </c>
      <c r="E1288" s="29" t="s">
        <v>7344</v>
      </c>
      <c r="F1288" s="30" t="s">
        <v>7345</v>
      </c>
      <c r="G1288" s="30" t="s">
        <v>7346</v>
      </c>
      <c r="H1288" s="30" t="s">
        <v>7347</v>
      </c>
      <c r="I1288" s="29" t="s">
        <v>1950</v>
      </c>
      <c r="J1288" s="31">
        <v>12.0</v>
      </c>
      <c r="K1288" s="35"/>
      <c r="L1288" s="35"/>
      <c r="M1288" s="35"/>
      <c r="N1288" s="35"/>
      <c r="O1288" s="35"/>
      <c r="P1288" s="35"/>
      <c r="Q1288" s="35"/>
      <c r="R1288" s="35"/>
      <c r="S1288" s="37">
        <f>IF(B1288="","",IF(ISNUMBER(J1288),IF(J1288&lt;=10,'Configuración'!$B$23,IF(J1288&lt;=50,'Configuración'!$B$24,IF(J1288&lt;=200,'Configuración'!$B$25,0))),0))</f>
        <v>4</v>
      </c>
      <c r="T1288" s="37">
        <f>IF(B1288="","",IF(ISNUMBER(SEARCH("information technology",I1288))+ISNUMBER(SEARCH("software",I1288))+ISNUMBER(SEARCH("internet",I1288))+ISNUMBER(SEARCH("computer",I1288))+ISNUMBER(SEARCH("saas",I1288))+ISNUMBER(SEARCH("fintech",I1288))+ISNUMBER(SEARCH("information services",I1288))+ISNUMBER(SEARCH("telecommunications",I1288))&gt;0,'Configuración'!$B$27,'Configuración'!$B$28))</f>
        <v>4</v>
      </c>
      <c r="U1288" s="25">
        <f>IF(B1288="","",IF(ISNUMBER(SEARCH("CEO",C1288))+ISNUMBER(SEARCH("Founder",C1288))+ISNUMBER(SEARCH("Owner",C1288))+ISNUMBER(SEARCH("Dueño",C1288))+ISNUMBER(SEARCH("Director General",C1288))+ISNUMBER(SEARCH("Presidente",C1288))+ISNUMBER(SEARCH("President",C1288))&gt;0,'Configuración'!$B$31,IF(ISNUMBER(SEARCH("CMO",C1288))+ISNUMBER(SEARCH("Chief Marketing",C1288))+ISNUMBER(SEARCH("VP Marketing",C1288))+ISNUMBER(SEARCH("Director de Marketing",C1288))+ISNUMBER(SEARCH("Director Marketing",C1288))+ISNUMBER(SEARCH("Head of Marketing",C1288))+ISNUMBER(SEARCH("Head Marketing",C1288))&gt;0,'Configuración'!$B$32,IF(ISNUMBER(SEARCH("Marketing Manager",C1288))+ISNUMBER(SEARCH("Gerente de Marketing",C1288))+ISNUMBER(SEARCH("Growth Manager",C1288))+ISNUMBER(SEARCH("Demand Gen",C1288))+ISNUMBER(SEARCH("Marketing Lead",C1288))&gt;0,'Configuración'!$B$33,IF(ISNUMBER(SEARCH("COO",C1288))+ISNUMBER(SEARCH("CFO",C1288))+ISNUMBER(SEARCH("CTO",C1288))+ISNUMBER(SEARCH("Chief Operating",C1288))+ISNUMBER(SEARCH("Chief Financial",C1288))+ISNUMBER(SEARCH("Gerente General",C1288))+ISNUMBER(SEARCH("General Manager",C1288))&gt;0,'Configuración'!$B$34,'Configuración'!$B$35)))))</f>
        <v>12</v>
      </c>
      <c r="V1288" s="38">
        <f>IF(B1288="","",IF(K1288="Sí",'Configuración'!$B$5,0)+IF(L1288="Semanal",'Configuración'!$B$6,IF(L1288="Mensual",'Configuración'!$B$7,0))+IF(M1288="Sí",'Configuración'!$B$8,0)+IF(N1288="Sí",'Configuración'!$B$9,0)+IF(O1288="Sí",'Configuración'!$B$10,0)+IF(P1288="Sí",'Configuración'!$B$11,0)+IF(Q1288="Sí",'Configuración'!$B$12,0)+S1288+T1288+U1288)</f>
        <v>20</v>
      </c>
      <c r="W1288" s="39" t="str">
        <f>IF(B1288="","",IF(V1288&gt;='Configuración'!$B$19,"A",IF(V1288&gt;='Configuración'!$B$20,"B",IF(V1288&gt;='Configuración'!$B$21,"C","Descarte"))))</f>
        <v>Descarte</v>
      </c>
    </row>
    <row r="1289" ht="15.75" customHeight="1">
      <c r="A1289" s="34">
        <f t="shared" si="1"/>
        <v>1287</v>
      </c>
      <c r="B1289" s="29" t="s">
        <v>1814</v>
      </c>
      <c r="C1289" s="29" t="s">
        <v>5944</v>
      </c>
      <c r="D1289" s="29" t="s">
        <v>7348</v>
      </c>
      <c r="E1289" s="29" t="s">
        <v>7349</v>
      </c>
      <c r="F1289" s="30" t="s">
        <v>7350</v>
      </c>
      <c r="G1289" s="30" t="s">
        <v>7351</v>
      </c>
      <c r="H1289" s="30" t="s">
        <v>7352</v>
      </c>
      <c r="I1289" s="29" t="s">
        <v>127</v>
      </c>
      <c r="J1289" s="31">
        <v>22.0</v>
      </c>
      <c r="K1289" s="35"/>
      <c r="L1289" s="35"/>
      <c r="M1289" s="35"/>
      <c r="N1289" s="35"/>
      <c r="O1289" s="35"/>
      <c r="P1289" s="35"/>
      <c r="Q1289" s="35"/>
      <c r="R1289" s="35"/>
      <c r="S1289" s="37">
        <f>IF(B1289="","",IF(ISNUMBER(J1289),IF(J1289&lt;=10,'Configuración'!$B$23,IF(J1289&lt;=50,'Configuración'!$B$24,IF(J1289&lt;=200,'Configuración'!$B$25,0))),0))</f>
        <v>4</v>
      </c>
      <c r="T1289" s="37">
        <f>IF(B1289="","",IF(ISNUMBER(SEARCH("information technology",I1289))+ISNUMBER(SEARCH("software",I1289))+ISNUMBER(SEARCH("internet",I1289))+ISNUMBER(SEARCH("computer",I1289))+ISNUMBER(SEARCH("saas",I1289))+ISNUMBER(SEARCH("fintech",I1289))+ISNUMBER(SEARCH("information services",I1289))+ISNUMBER(SEARCH("telecommunications",I1289))&gt;0,'Configuración'!$B$27,'Configuración'!$B$28))</f>
        <v>12</v>
      </c>
      <c r="U1289" s="25">
        <f>IF(B1289="","",IF(ISNUMBER(SEARCH("CEO",C1289))+ISNUMBER(SEARCH("Founder",C1289))+ISNUMBER(SEARCH("Owner",C1289))+ISNUMBER(SEARCH("Dueño",C1289))+ISNUMBER(SEARCH("Director General",C1289))+ISNUMBER(SEARCH("Presidente",C1289))+ISNUMBER(SEARCH("President",C1289))&gt;0,'Configuración'!$B$31,IF(ISNUMBER(SEARCH("CMO",C1289))+ISNUMBER(SEARCH("Chief Marketing",C1289))+ISNUMBER(SEARCH("VP Marketing",C1289))+ISNUMBER(SEARCH("Director de Marketing",C1289))+ISNUMBER(SEARCH("Director Marketing",C1289))+ISNUMBER(SEARCH("Head of Marketing",C1289))+ISNUMBER(SEARCH("Head Marketing",C1289))&gt;0,'Configuración'!$B$32,IF(ISNUMBER(SEARCH("Marketing Manager",C1289))+ISNUMBER(SEARCH("Gerente de Marketing",C1289))+ISNUMBER(SEARCH("Growth Manager",C1289))+ISNUMBER(SEARCH("Demand Gen",C1289))+ISNUMBER(SEARCH("Marketing Lead",C1289))&gt;0,'Configuración'!$B$33,IF(ISNUMBER(SEARCH("COO",C1289))+ISNUMBER(SEARCH("CFO",C1289))+ISNUMBER(SEARCH("CTO",C1289))+ISNUMBER(SEARCH("Chief Operating",C1289))+ISNUMBER(SEARCH("Chief Financial",C1289))+ISNUMBER(SEARCH("Gerente General",C1289))+ISNUMBER(SEARCH("General Manager",C1289))&gt;0,'Configuración'!$B$34,'Configuración'!$B$35)))))</f>
        <v>12</v>
      </c>
      <c r="V1289" s="38">
        <f>IF(B1289="","",IF(K1289="Sí",'Configuración'!$B$5,0)+IF(L1289="Semanal",'Configuración'!$B$6,IF(L1289="Mensual",'Configuración'!$B$7,0))+IF(M1289="Sí",'Configuración'!$B$8,0)+IF(N1289="Sí",'Configuración'!$B$9,0)+IF(O1289="Sí",'Configuración'!$B$10,0)+IF(P1289="Sí",'Configuración'!$B$11,0)+IF(Q1289="Sí",'Configuración'!$B$12,0)+S1289+T1289+U1289)</f>
        <v>28</v>
      </c>
      <c r="W1289" s="39" t="str">
        <f>IF(B1289="","",IF(V1289&gt;='Configuración'!$B$19,"A",IF(V1289&gt;='Configuración'!$B$20,"B",IF(V1289&gt;='Configuración'!$B$21,"C","Descarte"))))</f>
        <v>C</v>
      </c>
    </row>
    <row r="1290" ht="15.75" customHeight="1">
      <c r="A1290" s="34">
        <f t="shared" si="1"/>
        <v>1288</v>
      </c>
      <c r="B1290" s="29" t="s">
        <v>201</v>
      </c>
      <c r="C1290" s="29" t="s">
        <v>131</v>
      </c>
      <c r="D1290" s="29" t="s">
        <v>7353</v>
      </c>
      <c r="E1290" s="29" t="s">
        <v>7354</v>
      </c>
      <c r="F1290" s="30" t="s">
        <v>7355</v>
      </c>
      <c r="G1290" s="30" t="s">
        <v>7356</v>
      </c>
      <c r="H1290" s="30" t="s">
        <v>7357</v>
      </c>
      <c r="I1290" s="29" t="s">
        <v>116</v>
      </c>
      <c r="J1290" s="31">
        <v>1.0</v>
      </c>
      <c r="K1290" s="35"/>
      <c r="L1290" s="35"/>
      <c r="M1290" s="35"/>
      <c r="N1290" s="35"/>
      <c r="O1290" s="35"/>
      <c r="P1290" s="35"/>
      <c r="Q1290" s="35"/>
      <c r="R1290" s="35"/>
      <c r="S1290" s="37">
        <f>IF(B1290="","",IF(ISNUMBER(J1290),IF(J1290&lt;=10,'Configuración'!$B$23,IF(J1290&lt;=50,'Configuración'!$B$24,IF(J1290&lt;=200,'Configuración'!$B$25,0))),0))</f>
        <v>12</v>
      </c>
      <c r="T1290" s="37">
        <f>IF(B1290="","",IF(ISNUMBER(SEARCH("information technology",I1290))+ISNUMBER(SEARCH("software",I1290))+ISNUMBER(SEARCH("internet",I1290))+ISNUMBER(SEARCH("computer",I1290))+ISNUMBER(SEARCH("saas",I1290))+ISNUMBER(SEARCH("fintech",I1290))+ISNUMBER(SEARCH("information services",I1290))+ISNUMBER(SEARCH("telecommunications",I1290))&gt;0,'Configuración'!$B$27,'Configuración'!$B$28))</f>
        <v>4</v>
      </c>
      <c r="U1290" s="25">
        <f>IF(B1290="","",IF(ISNUMBER(SEARCH("CEO",C1290))+ISNUMBER(SEARCH("Founder",C1290))+ISNUMBER(SEARCH("Owner",C1290))+ISNUMBER(SEARCH("Dueño",C1290))+ISNUMBER(SEARCH("Director General",C1290))+ISNUMBER(SEARCH("Presidente",C1290))+ISNUMBER(SEARCH("President",C1290))&gt;0,'Configuración'!$B$31,IF(ISNUMBER(SEARCH("CMO",C1290))+ISNUMBER(SEARCH("Chief Marketing",C1290))+ISNUMBER(SEARCH("VP Marketing",C1290))+ISNUMBER(SEARCH("Director de Marketing",C1290))+ISNUMBER(SEARCH("Director Marketing",C1290))+ISNUMBER(SEARCH("Head of Marketing",C1290))+ISNUMBER(SEARCH("Head Marketing",C1290))&gt;0,'Configuración'!$B$32,IF(ISNUMBER(SEARCH("Marketing Manager",C1290))+ISNUMBER(SEARCH("Gerente de Marketing",C1290))+ISNUMBER(SEARCH("Growth Manager",C1290))+ISNUMBER(SEARCH("Demand Gen",C1290))+ISNUMBER(SEARCH("Marketing Lead",C1290))&gt;0,'Configuración'!$B$33,IF(ISNUMBER(SEARCH("COO",C1290))+ISNUMBER(SEARCH("CFO",C1290))+ISNUMBER(SEARCH("CTO",C1290))+ISNUMBER(SEARCH("Chief Operating",C1290))+ISNUMBER(SEARCH("Chief Financial",C1290))+ISNUMBER(SEARCH("Gerente General",C1290))+ISNUMBER(SEARCH("General Manager",C1290))&gt;0,'Configuración'!$B$34,'Configuración'!$B$35)))))</f>
        <v>12</v>
      </c>
      <c r="V1290" s="38">
        <f>IF(B1290="","",IF(K1290="Sí",'Configuración'!$B$5,0)+IF(L1290="Semanal",'Configuración'!$B$6,IF(L1290="Mensual",'Configuración'!$B$7,0))+IF(M1290="Sí",'Configuración'!$B$8,0)+IF(N1290="Sí",'Configuración'!$B$9,0)+IF(O1290="Sí",'Configuración'!$B$10,0)+IF(P1290="Sí",'Configuración'!$B$11,0)+IF(Q1290="Sí",'Configuración'!$B$12,0)+S1290+T1290+U1290)</f>
        <v>28</v>
      </c>
      <c r="W1290" s="39" t="str">
        <f>IF(B1290="","",IF(V1290&gt;='Configuración'!$B$19,"A",IF(V1290&gt;='Configuración'!$B$20,"B",IF(V1290&gt;='Configuración'!$B$21,"C","Descarte"))))</f>
        <v>C</v>
      </c>
    </row>
    <row r="1291" ht="15.75" customHeight="1">
      <c r="A1291" s="34">
        <f t="shared" si="1"/>
        <v>1289</v>
      </c>
      <c r="B1291" s="29" t="s">
        <v>784</v>
      </c>
      <c r="C1291" s="29" t="s">
        <v>763</v>
      </c>
      <c r="D1291" s="29" t="s">
        <v>7358</v>
      </c>
      <c r="E1291" s="29" t="s">
        <v>7359</v>
      </c>
      <c r="F1291" s="30" t="s">
        <v>7360</v>
      </c>
      <c r="G1291" s="30" t="s">
        <v>7361</v>
      </c>
      <c r="H1291" s="30" t="s">
        <v>7362</v>
      </c>
      <c r="I1291" s="29" t="s">
        <v>1785</v>
      </c>
      <c r="J1291" s="31">
        <v>7.0</v>
      </c>
      <c r="K1291" s="35"/>
      <c r="L1291" s="35"/>
      <c r="M1291" s="35"/>
      <c r="N1291" s="35"/>
      <c r="O1291" s="35"/>
      <c r="P1291" s="35"/>
      <c r="Q1291" s="35"/>
      <c r="R1291" s="35"/>
      <c r="S1291" s="37">
        <f>IF(B1291="","",IF(ISNUMBER(J1291),IF(J1291&lt;=10,'Configuración'!$B$23,IF(J1291&lt;=50,'Configuración'!$B$24,IF(J1291&lt;=200,'Configuración'!$B$25,0))),0))</f>
        <v>12</v>
      </c>
      <c r="T1291" s="37">
        <f>IF(B1291="","",IF(ISNUMBER(SEARCH("information technology",I1291))+ISNUMBER(SEARCH("software",I1291))+ISNUMBER(SEARCH("internet",I1291))+ISNUMBER(SEARCH("computer",I1291))+ISNUMBER(SEARCH("saas",I1291))+ISNUMBER(SEARCH("fintech",I1291))+ISNUMBER(SEARCH("information services",I1291))+ISNUMBER(SEARCH("telecommunications",I1291))&gt;0,'Configuración'!$B$27,'Configuración'!$B$28))</f>
        <v>4</v>
      </c>
      <c r="U1291" s="25">
        <f>IF(B1291="","",IF(ISNUMBER(SEARCH("CEO",C1291))+ISNUMBER(SEARCH("Founder",C1291))+ISNUMBER(SEARCH("Owner",C1291))+ISNUMBER(SEARCH("Dueño",C1291))+ISNUMBER(SEARCH("Director General",C1291))+ISNUMBER(SEARCH("Presidente",C1291))+ISNUMBER(SEARCH("President",C1291))&gt;0,'Configuración'!$B$31,IF(ISNUMBER(SEARCH("CMO",C1291))+ISNUMBER(SEARCH("Chief Marketing",C1291))+ISNUMBER(SEARCH("VP Marketing",C1291))+ISNUMBER(SEARCH("Director de Marketing",C1291))+ISNUMBER(SEARCH("Director Marketing",C1291))+ISNUMBER(SEARCH("Head of Marketing",C1291))+ISNUMBER(SEARCH("Head Marketing",C1291))&gt;0,'Configuración'!$B$32,IF(ISNUMBER(SEARCH("Marketing Manager",C1291))+ISNUMBER(SEARCH("Gerente de Marketing",C1291))+ISNUMBER(SEARCH("Growth Manager",C1291))+ISNUMBER(SEARCH("Demand Gen",C1291))+ISNUMBER(SEARCH("Marketing Lead",C1291))&gt;0,'Configuración'!$B$33,IF(ISNUMBER(SEARCH("COO",C1291))+ISNUMBER(SEARCH("CFO",C1291))+ISNUMBER(SEARCH("CTO",C1291))+ISNUMBER(SEARCH("Chief Operating",C1291))+ISNUMBER(SEARCH("Chief Financial",C1291))+ISNUMBER(SEARCH("Gerente General",C1291))+ISNUMBER(SEARCH("General Manager",C1291))&gt;0,'Configuración'!$B$34,'Configuración'!$B$35)))))</f>
        <v>12</v>
      </c>
      <c r="V1291" s="38">
        <f>IF(B1291="","",IF(K1291="Sí",'Configuración'!$B$5,0)+IF(L1291="Semanal",'Configuración'!$B$6,IF(L1291="Mensual",'Configuración'!$B$7,0))+IF(M1291="Sí",'Configuración'!$B$8,0)+IF(N1291="Sí",'Configuración'!$B$9,0)+IF(O1291="Sí",'Configuración'!$B$10,0)+IF(P1291="Sí",'Configuración'!$B$11,0)+IF(Q1291="Sí",'Configuración'!$B$12,0)+S1291+T1291+U1291)</f>
        <v>28</v>
      </c>
      <c r="W1291" s="39" t="str">
        <f>IF(B1291="","",IF(V1291&gt;='Configuración'!$B$19,"A",IF(V1291&gt;='Configuración'!$B$20,"B",IF(V1291&gt;='Configuración'!$B$21,"C","Descarte"))))</f>
        <v>C</v>
      </c>
    </row>
    <row r="1292" ht="15.75" customHeight="1">
      <c r="A1292" s="34">
        <f t="shared" si="1"/>
        <v>1290</v>
      </c>
      <c r="B1292" s="29" t="s">
        <v>174</v>
      </c>
      <c r="C1292" s="29"/>
      <c r="D1292" s="29" t="s">
        <v>7363</v>
      </c>
      <c r="E1292" s="29" t="s">
        <v>7364</v>
      </c>
      <c r="F1292" s="30" t="s">
        <v>7365</v>
      </c>
      <c r="G1292" s="30" t="s">
        <v>7366</v>
      </c>
      <c r="H1292" s="30" t="s">
        <v>7367</v>
      </c>
      <c r="I1292" s="29" t="s">
        <v>116</v>
      </c>
      <c r="J1292" s="31">
        <v>19.0</v>
      </c>
      <c r="K1292" s="35"/>
      <c r="L1292" s="35"/>
      <c r="M1292" s="35"/>
      <c r="N1292" s="35"/>
      <c r="O1292" s="35"/>
      <c r="P1292" s="35"/>
      <c r="Q1292" s="35"/>
      <c r="R1292" s="35"/>
      <c r="S1292" s="37">
        <f>IF(B1292="","",IF(ISNUMBER(J1292),IF(J1292&lt;=10,'Configuración'!$B$23,IF(J1292&lt;=50,'Configuración'!$B$24,IF(J1292&lt;=200,'Configuración'!$B$25,0))),0))</f>
        <v>4</v>
      </c>
      <c r="T1292" s="37">
        <f>IF(B1292="","",IF(ISNUMBER(SEARCH("information technology",I1292))+ISNUMBER(SEARCH("software",I1292))+ISNUMBER(SEARCH("internet",I1292))+ISNUMBER(SEARCH("computer",I1292))+ISNUMBER(SEARCH("saas",I1292))+ISNUMBER(SEARCH("fintech",I1292))+ISNUMBER(SEARCH("information services",I1292))+ISNUMBER(SEARCH("telecommunications",I1292))&gt;0,'Configuración'!$B$27,'Configuración'!$B$28))</f>
        <v>4</v>
      </c>
      <c r="U1292" s="25">
        <f>IF(B1292="","",IF(ISNUMBER(SEARCH("CEO",C1292))+ISNUMBER(SEARCH("Founder",C1292))+ISNUMBER(SEARCH("Owner",C1292))+ISNUMBER(SEARCH("Dueño",C1292))+ISNUMBER(SEARCH("Director General",C1292))+ISNUMBER(SEARCH("Presidente",C1292))+ISNUMBER(SEARCH("President",C1292))&gt;0,'Configuración'!$B$31,IF(ISNUMBER(SEARCH("CMO",C1292))+ISNUMBER(SEARCH("Chief Marketing",C1292))+ISNUMBER(SEARCH("VP Marketing",C1292))+ISNUMBER(SEARCH("Director de Marketing",C1292))+ISNUMBER(SEARCH("Director Marketing",C1292))+ISNUMBER(SEARCH("Head of Marketing",C1292))+ISNUMBER(SEARCH("Head Marketing",C1292))&gt;0,'Configuración'!$B$32,IF(ISNUMBER(SEARCH("Marketing Manager",C1292))+ISNUMBER(SEARCH("Gerente de Marketing",C1292))+ISNUMBER(SEARCH("Growth Manager",C1292))+ISNUMBER(SEARCH("Demand Gen",C1292))+ISNUMBER(SEARCH("Marketing Lead",C1292))&gt;0,'Configuración'!$B$33,IF(ISNUMBER(SEARCH("COO",C1292))+ISNUMBER(SEARCH("CFO",C1292))+ISNUMBER(SEARCH("CTO",C1292))+ISNUMBER(SEARCH("Chief Operating",C1292))+ISNUMBER(SEARCH("Chief Financial",C1292))+ISNUMBER(SEARCH("Gerente General",C1292))+ISNUMBER(SEARCH("General Manager",C1292))&gt;0,'Configuración'!$B$34,'Configuración'!$B$35)))))</f>
        <v>0</v>
      </c>
      <c r="V1292" s="38">
        <f>IF(B1292="","",IF(K1292="Sí",'Configuración'!$B$5,0)+IF(L1292="Semanal",'Configuración'!$B$6,IF(L1292="Mensual",'Configuración'!$B$7,0))+IF(M1292="Sí",'Configuración'!$B$8,0)+IF(N1292="Sí",'Configuración'!$B$9,0)+IF(O1292="Sí",'Configuración'!$B$10,0)+IF(P1292="Sí",'Configuración'!$B$11,0)+IF(Q1292="Sí",'Configuración'!$B$12,0)+S1292+T1292+U1292)</f>
        <v>8</v>
      </c>
      <c r="W1292" s="39" t="str">
        <f>IF(B1292="","",IF(V1292&gt;='Configuración'!$B$19,"A",IF(V1292&gt;='Configuración'!$B$20,"B",IF(V1292&gt;='Configuración'!$B$21,"C","Descarte"))))</f>
        <v>Descarte</v>
      </c>
    </row>
    <row r="1293" ht="15.75" customHeight="1">
      <c r="A1293" s="34">
        <f t="shared" si="1"/>
        <v>1291</v>
      </c>
      <c r="B1293" s="29" t="s">
        <v>1048</v>
      </c>
      <c r="C1293" s="29" t="s">
        <v>7368</v>
      </c>
      <c r="D1293" s="29" t="s">
        <v>7369</v>
      </c>
      <c r="E1293" s="29" t="s">
        <v>7370</v>
      </c>
      <c r="F1293" s="30" t="s">
        <v>7371</v>
      </c>
      <c r="G1293" s="30" t="s">
        <v>7372</v>
      </c>
      <c r="H1293" s="30" t="s">
        <v>7373</v>
      </c>
      <c r="I1293" s="29" t="s">
        <v>127</v>
      </c>
      <c r="J1293" s="31">
        <v>21.0</v>
      </c>
      <c r="K1293" s="35"/>
      <c r="L1293" s="35"/>
      <c r="M1293" s="35"/>
      <c r="N1293" s="35"/>
      <c r="O1293" s="35"/>
      <c r="P1293" s="35"/>
      <c r="Q1293" s="35"/>
      <c r="R1293" s="35"/>
      <c r="S1293" s="37">
        <f>IF(B1293="","",IF(ISNUMBER(J1293),IF(J1293&lt;=10,'Configuración'!$B$23,IF(J1293&lt;=50,'Configuración'!$B$24,IF(J1293&lt;=200,'Configuración'!$B$25,0))),0))</f>
        <v>4</v>
      </c>
      <c r="T1293" s="37">
        <f>IF(B1293="","",IF(ISNUMBER(SEARCH("information technology",I1293))+ISNUMBER(SEARCH("software",I1293))+ISNUMBER(SEARCH("internet",I1293))+ISNUMBER(SEARCH("computer",I1293))+ISNUMBER(SEARCH("saas",I1293))+ISNUMBER(SEARCH("fintech",I1293))+ISNUMBER(SEARCH("information services",I1293))+ISNUMBER(SEARCH("telecommunications",I1293))&gt;0,'Configuración'!$B$27,'Configuración'!$B$28))</f>
        <v>12</v>
      </c>
      <c r="U1293" s="25">
        <f>IF(B1293="","",IF(ISNUMBER(SEARCH("CEO",C1293))+ISNUMBER(SEARCH("Founder",C1293))+ISNUMBER(SEARCH("Owner",C1293))+ISNUMBER(SEARCH("Dueño",C1293))+ISNUMBER(SEARCH("Director General",C1293))+ISNUMBER(SEARCH("Presidente",C1293))+ISNUMBER(SEARCH("President",C1293))&gt;0,'Configuración'!$B$31,IF(ISNUMBER(SEARCH("CMO",C1293))+ISNUMBER(SEARCH("Chief Marketing",C1293))+ISNUMBER(SEARCH("VP Marketing",C1293))+ISNUMBER(SEARCH("Director de Marketing",C1293))+ISNUMBER(SEARCH("Director Marketing",C1293))+ISNUMBER(SEARCH("Head of Marketing",C1293))+ISNUMBER(SEARCH("Head Marketing",C1293))&gt;0,'Configuración'!$B$32,IF(ISNUMBER(SEARCH("Marketing Manager",C1293))+ISNUMBER(SEARCH("Gerente de Marketing",C1293))+ISNUMBER(SEARCH("Growth Manager",C1293))+ISNUMBER(SEARCH("Demand Gen",C1293))+ISNUMBER(SEARCH("Marketing Lead",C1293))&gt;0,'Configuración'!$B$33,IF(ISNUMBER(SEARCH("COO",C1293))+ISNUMBER(SEARCH("CFO",C1293))+ISNUMBER(SEARCH("CTO",C1293))+ISNUMBER(SEARCH("Chief Operating",C1293))+ISNUMBER(SEARCH("Chief Financial",C1293))+ISNUMBER(SEARCH("Gerente General",C1293))+ISNUMBER(SEARCH("General Manager",C1293))&gt;0,'Configuración'!$B$34,'Configuración'!$B$35)))))</f>
        <v>12</v>
      </c>
      <c r="V1293" s="38">
        <f>IF(B1293="","",IF(K1293="Sí",'Configuración'!$B$5,0)+IF(L1293="Semanal",'Configuración'!$B$6,IF(L1293="Mensual",'Configuración'!$B$7,0))+IF(M1293="Sí",'Configuración'!$B$8,0)+IF(N1293="Sí",'Configuración'!$B$9,0)+IF(O1293="Sí",'Configuración'!$B$10,0)+IF(P1293="Sí",'Configuración'!$B$11,0)+IF(Q1293="Sí",'Configuración'!$B$12,0)+S1293+T1293+U1293)</f>
        <v>28</v>
      </c>
      <c r="W1293" s="39" t="str">
        <f>IF(B1293="","",IF(V1293&gt;='Configuración'!$B$19,"A",IF(V1293&gt;='Configuración'!$B$20,"B",IF(V1293&gt;='Configuración'!$B$21,"C","Descarte"))))</f>
        <v>C</v>
      </c>
    </row>
    <row r="1294" ht="15.75" customHeight="1">
      <c r="A1294" s="34">
        <f t="shared" si="1"/>
        <v>1292</v>
      </c>
      <c r="B1294" s="29" t="s">
        <v>120</v>
      </c>
      <c r="C1294" s="29" t="s">
        <v>7374</v>
      </c>
      <c r="D1294" s="29" t="s">
        <v>7375</v>
      </c>
      <c r="E1294" s="29" t="s">
        <v>7376</v>
      </c>
      <c r="F1294" s="30" t="s">
        <v>7377</v>
      </c>
      <c r="G1294" s="30" t="s">
        <v>7378</v>
      </c>
      <c r="H1294" s="30" t="s">
        <v>7379</v>
      </c>
      <c r="I1294" s="29" t="s">
        <v>2350</v>
      </c>
      <c r="J1294" s="31">
        <v>42.0</v>
      </c>
      <c r="K1294" s="35"/>
      <c r="L1294" s="35"/>
      <c r="M1294" s="35"/>
      <c r="N1294" s="35"/>
      <c r="O1294" s="35"/>
      <c r="P1294" s="35"/>
      <c r="Q1294" s="35"/>
      <c r="R1294" s="35"/>
      <c r="S1294" s="37">
        <f>IF(B1294="","",IF(ISNUMBER(J1294),IF(J1294&lt;=10,'Configuración'!$B$23,IF(J1294&lt;=50,'Configuración'!$B$24,IF(J1294&lt;=200,'Configuración'!$B$25,0))),0))</f>
        <v>4</v>
      </c>
      <c r="T1294" s="37">
        <f>IF(B1294="","",IF(ISNUMBER(SEARCH("information technology",I1294))+ISNUMBER(SEARCH("software",I1294))+ISNUMBER(SEARCH("internet",I1294))+ISNUMBER(SEARCH("computer",I1294))+ISNUMBER(SEARCH("saas",I1294))+ISNUMBER(SEARCH("fintech",I1294))+ISNUMBER(SEARCH("information services",I1294))+ISNUMBER(SEARCH("telecommunications",I1294))&gt;0,'Configuración'!$B$27,'Configuración'!$B$28))</f>
        <v>4</v>
      </c>
      <c r="U1294" s="25">
        <f>IF(B1294="","",IF(ISNUMBER(SEARCH("CEO",C1294))+ISNUMBER(SEARCH("Founder",C1294))+ISNUMBER(SEARCH("Owner",C1294))+ISNUMBER(SEARCH("Dueño",C1294))+ISNUMBER(SEARCH("Director General",C1294))+ISNUMBER(SEARCH("Presidente",C1294))+ISNUMBER(SEARCH("President",C1294))&gt;0,'Configuración'!$B$31,IF(ISNUMBER(SEARCH("CMO",C1294))+ISNUMBER(SEARCH("Chief Marketing",C1294))+ISNUMBER(SEARCH("VP Marketing",C1294))+ISNUMBER(SEARCH("Director de Marketing",C1294))+ISNUMBER(SEARCH("Director Marketing",C1294))+ISNUMBER(SEARCH("Head of Marketing",C1294))+ISNUMBER(SEARCH("Head Marketing",C1294))&gt;0,'Configuración'!$B$32,IF(ISNUMBER(SEARCH("Marketing Manager",C1294))+ISNUMBER(SEARCH("Gerente de Marketing",C1294))+ISNUMBER(SEARCH("Growth Manager",C1294))+ISNUMBER(SEARCH("Demand Gen",C1294))+ISNUMBER(SEARCH("Marketing Lead",C1294))&gt;0,'Configuración'!$B$33,IF(ISNUMBER(SEARCH("COO",C1294))+ISNUMBER(SEARCH("CFO",C1294))+ISNUMBER(SEARCH("CTO",C1294))+ISNUMBER(SEARCH("Chief Operating",C1294))+ISNUMBER(SEARCH("Chief Financial",C1294))+ISNUMBER(SEARCH("Gerente General",C1294))+ISNUMBER(SEARCH("General Manager",C1294))&gt;0,'Configuración'!$B$34,'Configuración'!$B$35)))))</f>
        <v>12</v>
      </c>
      <c r="V1294" s="38">
        <f>IF(B1294="","",IF(K1294="Sí",'Configuración'!$B$5,0)+IF(L1294="Semanal",'Configuración'!$B$6,IF(L1294="Mensual",'Configuración'!$B$7,0))+IF(M1294="Sí",'Configuración'!$B$8,0)+IF(N1294="Sí",'Configuración'!$B$9,0)+IF(O1294="Sí",'Configuración'!$B$10,0)+IF(P1294="Sí",'Configuración'!$B$11,0)+IF(Q1294="Sí",'Configuración'!$B$12,0)+S1294+T1294+U1294)</f>
        <v>20</v>
      </c>
      <c r="W1294" s="39" t="str">
        <f>IF(B1294="","",IF(V1294&gt;='Configuración'!$B$19,"A",IF(V1294&gt;='Configuración'!$B$20,"B",IF(V1294&gt;='Configuración'!$B$21,"C","Descarte"))))</f>
        <v>Descarte</v>
      </c>
    </row>
    <row r="1295" ht="15.75" customHeight="1">
      <c r="A1295" s="34">
        <f t="shared" si="1"/>
        <v>1293</v>
      </c>
      <c r="B1295" s="29" t="s">
        <v>174</v>
      </c>
      <c r="C1295" s="29" t="s">
        <v>7380</v>
      </c>
      <c r="D1295" s="29" t="s">
        <v>6670</v>
      </c>
      <c r="E1295" s="29" t="s">
        <v>7381</v>
      </c>
      <c r="F1295" s="30" t="s">
        <v>7382</v>
      </c>
      <c r="G1295" s="30" t="s">
        <v>6673</v>
      </c>
      <c r="H1295" s="30" t="s">
        <v>6674</v>
      </c>
      <c r="I1295" s="29" t="s">
        <v>2272</v>
      </c>
      <c r="J1295" s="31">
        <v>3.0</v>
      </c>
      <c r="K1295" s="35"/>
      <c r="L1295" s="35"/>
      <c r="M1295" s="35"/>
      <c r="N1295" s="35"/>
      <c r="O1295" s="35"/>
      <c r="P1295" s="35"/>
      <c r="Q1295" s="35"/>
      <c r="R1295" s="35"/>
      <c r="S1295" s="37">
        <f>IF(B1295="","",IF(ISNUMBER(J1295),IF(J1295&lt;=10,'Configuración'!$B$23,IF(J1295&lt;=50,'Configuración'!$B$24,IF(J1295&lt;=200,'Configuración'!$B$25,0))),0))</f>
        <v>12</v>
      </c>
      <c r="T1295" s="37">
        <f>IF(B1295="","",IF(ISNUMBER(SEARCH("information technology",I1295))+ISNUMBER(SEARCH("software",I1295))+ISNUMBER(SEARCH("internet",I1295))+ISNUMBER(SEARCH("computer",I1295))+ISNUMBER(SEARCH("saas",I1295))+ISNUMBER(SEARCH("fintech",I1295))+ISNUMBER(SEARCH("information services",I1295))+ISNUMBER(SEARCH("telecommunications",I1295))&gt;0,'Configuración'!$B$27,'Configuración'!$B$28))</f>
        <v>4</v>
      </c>
      <c r="U1295" s="25">
        <f>IF(B1295="","",IF(ISNUMBER(SEARCH("CEO",C1295))+ISNUMBER(SEARCH("Founder",C1295))+ISNUMBER(SEARCH("Owner",C1295))+ISNUMBER(SEARCH("Dueño",C1295))+ISNUMBER(SEARCH("Director General",C1295))+ISNUMBER(SEARCH("Presidente",C1295))+ISNUMBER(SEARCH("President",C1295))&gt;0,'Configuración'!$B$31,IF(ISNUMBER(SEARCH("CMO",C1295))+ISNUMBER(SEARCH("Chief Marketing",C1295))+ISNUMBER(SEARCH("VP Marketing",C1295))+ISNUMBER(SEARCH("Director de Marketing",C1295))+ISNUMBER(SEARCH("Director Marketing",C1295))+ISNUMBER(SEARCH("Head of Marketing",C1295))+ISNUMBER(SEARCH("Head Marketing",C1295))&gt;0,'Configuración'!$B$32,IF(ISNUMBER(SEARCH("Marketing Manager",C1295))+ISNUMBER(SEARCH("Gerente de Marketing",C1295))+ISNUMBER(SEARCH("Growth Manager",C1295))+ISNUMBER(SEARCH("Demand Gen",C1295))+ISNUMBER(SEARCH("Marketing Lead",C1295))&gt;0,'Configuración'!$B$33,IF(ISNUMBER(SEARCH("COO",C1295))+ISNUMBER(SEARCH("CFO",C1295))+ISNUMBER(SEARCH("CTO",C1295))+ISNUMBER(SEARCH("Chief Operating",C1295))+ISNUMBER(SEARCH("Chief Financial",C1295))+ISNUMBER(SEARCH("Gerente General",C1295))+ISNUMBER(SEARCH("General Manager",C1295))&gt;0,'Configuración'!$B$34,'Configuración'!$B$35)))))</f>
        <v>12</v>
      </c>
      <c r="V1295" s="38">
        <f>IF(B1295="","",IF(K1295="Sí",'Configuración'!$B$5,0)+IF(L1295="Semanal",'Configuración'!$B$6,IF(L1295="Mensual",'Configuración'!$B$7,0))+IF(M1295="Sí",'Configuración'!$B$8,0)+IF(N1295="Sí",'Configuración'!$B$9,0)+IF(O1295="Sí",'Configuración'!$B$10,0)+IF(P1295="Sí",'Configuración'!$B$11,0)+IF(Q1295="Sí",'Configuración'!$B$12,0)+S1295+T1295+U1295)</f>
        <v>28</v>
      </c>
      <c r="W1295" s="39" t="str">
        <f>IF(B1295="","",IF(V1295&gt;='Configuración'!$B$19,"A",IF(V1295&gt;='Configuración'!$B$20,"B",IF(V1295&gt;='Configuración'!$B$21,"C","Descarte"))))</f>
        <v>C</v>
      </c>
    </row>
    <row r="1296" ht="15.75" customHeight="1">
      <c r="A1296" s="34">
        <f t="shared" si="1"/>
        <v>1294</v>
      </c>
      <c r="B1296" s="29" t="s">
        <v>1686</v>
      </c>
      <c r="C1296" s="29" t="s">
        <v>5671</v>
      </c>
      <c r="D1296" s="29" t="s">
        <v>7383</v>
      </c>
      <c r="E1296" s="29" t="s">
        <v>7384</v>
      </c>
      <c r="F1296" s="30" t="s">
        <v>7385</v>
      </c>
      <c r="G1296" s="30" t="s">
        <v>7386</v>
      </c>
      <c r="H1296" s="30" t="s">
        <v>7387</v>
      </c>
      <c r="I1296" s="29" t="s">
        <v>158</v>
      </c>
      <c r="J1296" s="31">
        <v>10.0</v>
      </c>
      <c r="K1296" s="35"/>
      <c r="L1296" s="35"/>
      <c r="M1296" s="35"/>
      <c r="N1296" s="35"/>
      <c r="O1296" s="35"/>
      <c r="P1296" s="35"/>
      <c r="Q1296" s="35"/>
      <c r="R1296" s="35"/>
      <c r="S1296" s="37">
        <f>IF(B1296="","",IF(ISNUMBER(J1296),IF(J1296&lt;=10,'Configuración'!$B$23,IF(J1296&lt;=50,'Configuración'!$B$24,IF(J1296&lt;=200,'Configuración'!$B$25,0))),0))</f>
        <v>12</v>
      </c>
      <c r="T1296" s="37">
        <f>IF(B1296="","",IF(ISNUMBER(SEARCH("information technology",I1296))+ISNUMBER(SEARCH("software",I1296))+ISNUMBER(SEARCH("internet",I1296))+ISNUMBER(SEARCH("computer",I1296))+ISNUMBER(SEARCH("saas",I1296))+ISNUMBER(SEARCH("fintech",I1296))+ISNUMBER(SEARCH("information services",I1296))+ISNUMBER(SEARCH("telecommunications",I1296))&gt;0,'Configuración'!$B$27,'Configuración'!$B$28))</f>
        <v>4</v>
      </c>
      <c r="U1296" s="25">
        <f>IF(B1296="","",IF(ISNUMBER(SEARCH("CEO",C1296))+ISNUMBER(SEARCH("Founder",C1296))+ISNUMBER(SEARCH("Owner",C1296))+ISNUMBER(SEARCH("Dueño",C1296))+ISNUMBER(SEARCH("Director General",C1296))+ISNUMBER(SEARCH("Presidente",C1296))+ISNUMBER(SEARCH("President",C1296))&gt;0,'Configuración'!$B$31,IF(ISNUMBER(SEARCH("CMO",C1296))+ISNUMBER(SEARCH("Chief Marketing",C1296))+ISNUMBER(SEARCH("VP Marketing",C1296))+ISNUMBER(SEARCH("Director de Marketing",C1296))+ISNUMBER(SEARCH("Director Marketing",C1296))+ISNUMBER(SEARCH("Head of Marketing",C1296))+ISNUMBER(SEARCH("Head Marketing",C1296))&gt;0,'Configuración'!$B$32,IF(ISNUMBER(SEARCH("Marketing Manager",C1296))+ISNUMBER(SEARCH("Gerente de Marketing",C1296))+ISNUMBER(SEARCH("Growth Manager",C1296))+ISNUMBER(SEARCH("Demand Gen",C1296))+ISNUMBER(SEARCH("Marketing Lead",C1296))&gt;0,'Configuración'!$B$33,IF(ISNUMBER(SEARCH("COO",C1296))+ISNUMBER(SEARCH("CFO",C1296))+ISNUMBER(SEARCH("CTO",C1296))+ISNUMBER(SEARCH("Chief Operating",C1296))+ISNUMBER(SEARCH("Chief Financial",C1296))+ISNUMBER(SEARCH("Gerente General",C1296))+ISNUMBER(SEARCH("General Manager",C1296))&gt;0,'Configuración'!$B$34,'Configuración'!$B$35)))))</f>
        <v>12</v>
      </c>
      <c r="V1296" s="38">
        <f>IF(B1296="","",IF(K1296="Sí",'Configuración'!$B$5,0)+IF(L1296="Semanal",'Configuración'!$B$6,IF(L1296="Mensual",'Configuración'!$B$7,0))+IF(M1296="Sí",'Configuración'!$B$8,0)+IF(N1296="Sí",'Configuración'!$B$9,0)+IF(O1296="Sí",'Configuración'!$B$10,0)+IF(P1296="Sí",'Configuración'!$B$11,0)+IF(Q1296="Sí",'Configuración'!$B$12,0)+S1296+T1296+U1296)</f>
        <v>28</v>
      </c>
      <c r="W1296" s="39" t="str">
        <f>IF(B1296="","",IF(V1296&gt;='Configuración'!$B$19,"A",IF(V1296&gt;='Configuración'!$B$20,"B",IF(V1296&gt;='Configuración'!$B$21,"C","Descarte"))))</f>
        <v>C</v>
      </c>
    </row>
    <row r="1297" ht="15.75" customHeight="1">
      <c r="A1297" s="34">
        <f t="shared" si="1"/>
        <v>1295</v>
      </c>
      <c r="B1297" s="29" t="s">
        <v>138</v>
      </c>
      <c r="C1297" s="29" t="s">
        <v>110</v>
      </c>
      <c r="D1297" s="29" t="s">
        <v>7388</v>
      </c>
      <c r="E1297" s="29" t="s">
        <v>7389</v>
      </c>
      <c r="F1297" s="30" t="s">
        <v>7390</v>
      </c>
      <c r="G1297" s="30" t="s">
        <v>7391</v>
      </c>
      <c r="H1297" s="30" t="s">
        <v>7392</v>
      </c>
      <c r="I1297" s="29" t="s">
        <v>188</v>
      </c>
      <c r="J1297" s="31">
        <v>7.0</v>
      </c>
      <c r="K1297" s="35"/>
      <c r="L1297" s="35"/>
      <c r="M1297" s="35"/>
      <c r="N1297" s="35"/>
      <c r="O1297" s="35"/>
      <c r="P1297" s="35"/>
      <c r="Q1297" s="35"/>
      <c r="R1297" s="35"/>
      <c r="S1297" s="37">
        <f>IF(B1297="","",IF(ISNUMBER(J1297),IF(J1297&lt;=10,'Configuración'!$B$23,IF(J1297&lt;=50,'Configuración'!$B$24,IF(J1297&lt;=200,'Configuración'!$B$25,0))),0))</f>
        <v>12</v>
      </c>
      <c r="T1297" s="37">
        <f>IF(B1297="","",IF(ISNUMBER(SEARCH("information technology",I1297))+ISNUMBER(SEARCH("software",I1297))+ISNUMBER(SEARCH("internet",I1297))+ISNUMBER(SEARCH("computer",I1297))+ISNUMBER(SEARCH("saas",I1297))+ISNUMBER(SEARCH("fintech",I1297))+ISNUMBER(SEARCH("information services",I1297))+ISNUMBER(SEARCH("telecommunications",I1297))&gt;0,'Configuración'!$B$27,'Configuración'!$B$28))</f>
        <v>4</v>
      </c>
      <c r="U1297" s="25">
        <f>IF(B1297="","",IF(ISNUMBER(SEARCH("CEO",C1297))+ISNUMBER(SEARCH("Founder",C1297))+ISNUMBER(SEARCH("Owner",C1297))+ISNUMBER(SEARCH("Dueño",C1297))+ISNUMBER(SEARCH("Director General",C1297))+ISNUMBER(SEARCH("Presidente",C1297))+ISNUMBER(SEARCH("President",C1297))&gt;0,'Configuración'!$B$31,IF(ISNUMBER(SEARCH("CMO",C1297))+ISNUMBER(SEARCH("Chief Marketing",C1297))+ISNUMBER(SEARCH("VP Marketing",C1297))+ISNUMBER(SEARCH("Director de Marketing",C1297))+ISNUMBER(SEARCH("Director Marketing",C1297))+ISNUMBER(SEARCH("Head of Marketing",C1297))+ISNUMBER(SEARCH("Head Marketing",C1297))&gt;0,'Configuración'!$B$32,IF(ISNUMBER(SEARCH("Marketing Manager",C1297))+ISNUMBER(SEARCH("Gerente de Marketing",C1297))+ISNUMBER(SEARCH("Growth Manager",C1297))+ISNUMBER(SEARCH("Demand Gen",C1297))+ISNUMBER(SEARCH("Marketing Lead",C1297))&gt;0,'Configuración'!$B$33,IF(ISNUMBER(SEARCH("COO",C1297))+ISNUMBER(SEARCH("CFO",C1297))+ISNUMBER(SEARCH("CTO",C1297))+ISNUMBER(SEARCH("Chief Operating",C1297))+ISNUMBER(SEARCH("Chief Financial",C1297))+ISNUMBER(SEARCH("Gerente General",C1297))+ISNUMBER(SEARCH("General Manager",C1297))&gt;0,'Configuración'!$B$34,'Configuración'!$B$35)))))</f>
        <v>12</v>
      </c>
      <c r="V1297" s="38">
        <f>IF(B1297="","",IF(K1297="Sí",'Configuración'!$B$5,0)+IF(L1297="Semanal",'Configuración'!$B$6,IF(L1297="Mensual",'Configuración'!$B$7,0))+IF(M1297="Sí",'Configuración'!$B$8,0)+IF(N1297="Sí",'Configuración'!$B$9,0)+IF(O1297="Sí",'Configuración'!$B$10,0)+IF(P1297="Sí",'Configuración'!$B$11,0)+IF(Q1297="Sí",'Configuración'!$B$12,0)+S1297+T1297+U1297)</f>
        <v>28</v>
      </c>
      <c r="W1297" s="39" t="str">
        <f>IF(B1297="","",IF(V1297&gt;='Configuración'!$B$19,"A",IF(V1297&gt;='Configuración'!$B$20,"B",IF(V1297&gt;='Configuración'!$B$21,"C","Descarte"))))</f>
        <v>C</v>
      </c>
    </row>
    <row r="1298" ht="15.75" customHeight="1">
      <c r="A1298" s="34">
        <f t="shared" si="1"/>
        <v>1296</v>
      </c>
      <c r="B1298" s="29" t="s">
        <v>7393</v>
      </c>
      <c r="C1298" s="29" t="s">
        <v>1271</v>
      </c>
      <c r="D1298" s="29" t="s">
        <v>7394</v>
      </c>
      <c r="E1298" s="29"/>
      <c r="F1298" s="30" t="s">
        <v>7395</v>
      </c>
      <c r="G1298" s="30" t="s">
        <v>7396</v>
      </c>
      <c r="H1298" s="30" t="s">
        <v>7397</v>
      </c>
      <c r="I1298" s="29" t="s">
        <v>1042</v>
      </c>
      <c r="J1298" s="31">
        <v>13.0</v>
      </c>
      <c r="K1298" s="35"/>
      <c r="L1298" s="35"/>
      <c r="M1298" s="35"/>
      <c r="N1298" s="35"/>
      <c r="O1298" s="35"/>
      <c r="P1298" s="35"/>
      <c r="Q1298" s="35"/>
      <c r="R1298" s="35"/>
      <c r="S1298" s="37">
        <f>IF(B1298="","",IF(ISNUMBER(J1298),IF(J1298&lt;=10,'Configuración'!$B$23,IF(J1298&lt;=50,'Configuración'!$B$24,IF(J1298&lt;=200,'Configuración'!$B$25,0))),0))</f>
        <v>4</v>
      </c>
      <c r="T1298" s="37">
        <f>IF(B1298="","",IF(ISNUMBER(SEARCH("information technology",I1298))+ISNUMBER(SEARCH("software",I1298))+ISNUMBER(SEARCH("internet",I1298))+ISNUMBER(SEARCH("computer",I1298))+ISNUMBER(SEARCH("saas",I1298))+ISNUMBER(SEARCH("fintech",I1298))+ISNUMBER(SEARCH("information services",I1298))+ISNUMBER(SEARCH("telecommunications",I1298))&gt;0,'Configuración'!$B$27,'Configuración'!$B$28))</f>
        <v>4</v>
      </c>
      <c r="U1298" s="25">
        <f>IF(B1298="","",IF(ISNUMBER(SEARCH("CEO",C1298))+ISNUMBER(SEARCH("Founder",C1298))+ISNUMBER(SEARCH("Owner",C1298))+ISNUMBER(SEARCH("Dueño",C1298))+ISNUMBER(SEARCH("Director General",C1298))+ISNUMBER(SEARCH("Presidente",C1298))+ISNUMBER(SEARCH("President",C1298))&gt;0,'Configuración'!$B$31,IF(ISNUMBER(SEARCH("CMO",C1298))+ISNUMBER(SEARCH("Chief Marketing",C1298))+ISNUMBER(SEARCH("VP Marketing",C1298))+ISNUMBER(SEARCH("Director de Marketing",C1298))+ISNUMBER(SEARCH("Director Marketing",C1298))+ISNUMBER(SEARCH("Head of Marketing",C1298))+ISNUMBER(SEARCH("Head Marketing",C1298))&gt;0,'Configuración'!$B$32,IF(ISNUMBER(SEARCH("Marketing Manager",C1298))+ISNUMBER(SEARCH("Gerente de Marketing",C1298))+ISNUMBER(SEARCH("Growth Manager",C1298))+ISNUMBER(SEARCH("Demand Gen",C1298))+ISNUMBER(SEARCH("Marketing Lead",C1298))&gt;0,'Configuración'!$B$33,IF(ISNUMBER(SEARCH("COO",C1298))+ISNUMBER(SEARCH("CFO",C1298))+ISNUMBER(SEARCH("CTO",C1298))+ISNUMBER(SEARCH("Chief Operating",C1298))+ISNUMBER(SEARCH("Chief Financial",C1298))+ISNUMBER(SEARCH("Gerente General",C1298))+ISNUMBER(SEARCH("General Manager",C1298))&gt;0,'Configuración'!$B$34,'Configuración'!$B$35)))))</f>
        <v>12</v>
      </c>
      <c r="V1298" s="38">
        <f>IF(B1298="","",IF(K1298="Sí",'Configuración'!$B$5,0)+IF(L1298="Semanal",'Configuración'!$B$6,IF(L1298="Mensual",'Configuración'!$B$7,0))+IF(M1298="Sí",'Configuración'!$B$8,0)+IF(N1298="Sí",'Configuración'!$B$9,0)+IF(O1298="Sí",'Configuración'!$B$10,0)+IF(P1298="Sí",'Configuración'!$B$11,0)+IF(Q1298="Sí",'Configuración'!$B$12,0)+S1298+T1298+U1298)</f>
        <v>20</v>
      </c>
      <c r="W1298" s="39" t="str">
        <f>IF(B1298="","",IF(V1298&gt;='Configuración'!$B$19,"A",IF(V1298&gt;='Configuración'!$B$20,"B",IF(V1298&gt;='Configuración'!$B$21,"C","Descarte"))))</f>
        <v>Descarte</v>
      </c>
    </row>
    <row r="1299" ht="15.75" customHeight="1">
      <c r="A1299" s="34">
        <f t="shared" si="1"/>
        <v>1297</v>
      </c>
      <c r="B1299" s="29" t="s">
        <v>7398</v>
      </c>
      <c r="C1299" s="29" t="s">
        <v>304</v>
      </c>
      <c r="D1299" s="29" t="s">
        <v>7399</v>
      </c>
      <c r="E1299" s="29" t="s">
        <v>7400</v>
      </c>
      <c r="F1299" s="30" t="s">
        <v>7401</v>
      </c>
      <c r="G1299" s="30" t="s">
        <v>7402</v>
      </c>
      <c r="H1299" s="30" t="s">
        <v>7403</v>
      </c>
      <c r="I1299" s="29" t="s">
        <v>5523</v>
      </c>
      <c r="J1299" s="31">
        <v>10.0</v>
      </c>
      <c r="K1299" s="35"/>
      <c r="L1299" s="35"/>
      <c r="M1299" s="35"/>
      <c r="N1299" s="35"/>
      <c r="O1299" s="35"/>
      <c r="P1299" s="35"/>
      <c r="Q1299" s="35"/>
      <c r="R1299" s="35"/>
      <c r="S1299" s="37">
        <f>IF(B1299="","",IF(ISNUMBER(J1299),IF(J1299&lt;=10,'Configuración'!$B$23,IF(J1299&lt;=50,'Configuración'!$B$24,IF(J1299&lt;=200,'Configuración'!$B$25,0))),0))</f>
        <v>12</v>
      </c>
      <c r="T1299" s="37">
        <f>IF(B1299="","",IF(ISNUMBER(SEARCH("information technology",I1299))+ISNUMBER(SEARCH("software",I1299))+ISNUMBER(SEARCH("internet",I1299))+ISNUMBER(SEARCH("computer",I1299))+ISNUMBER(SEARCH("saas",I1299))+ISNUMBER(SEARCH("fintech",I1299))+ISNUMBER(SEARCH("information services",I1299))+ISNUMBER(SEARCH("telecommunications",I1299))&gt;0,'Configuración'!$B$27,'Configuración'!$B$28))</f>
        <v>4</v>
      </c>
      <c r="U1299" s="25">
        <f>IF(B1299="","",IF(ISNUMBER(SEARCH("CEO",C1299))+ISNUMBER(SEARCH("Founder",C1299))+ISNUMBER(SEARCH("Owner",C1299))+ISNUMBER(SEARCH("Dueño",C1299))+ISNUMBER(SEARCH("Director General",C1299))+ISNUMBER(SEARCH("Presidente",C1299))+ISNUMBER(SEARCH("President",C1299))&gt;0,'Configuración'!$B$31,IF(ISNUMBER(SEARCH("CMO",C1299))+ISNUMBER(SEARCH("Chief Marketing",C1299))+ISNUMBER(SEARCH("VP Marketing",C1299))+ISNUMBER(SEARCH("Director de Marketing",C1299))+ISNUMBER(SEARCH("Director Marketing",C1299))+ISNUMBER(SEARCH("Head of Marketing",C1299))+ISNUMBER(SEARCH("Head Marketing",C1299))&gt;0,'Configuración'!$B$32,IF(ISNUMBER(SEARCH("Marketing Manager",C1299))+ISNUMBER(SEARCH("Gerente de Marketing",C1299))+ISNUMBER(SEARCH("Growth Manager",C1299))+ISNUMBER(SEARCH("Demand Gen",C1299))+ISNUMBER(SEARCH("Marketing Lead",C1299))&gt;0,'Configuración'!$B$33,IF(ISNUMBER(SEARCH("COO",C1299))+ISNUMBER(SEARCH("CFO",C1299))+ISNUMBER(SEARCH("CTO",C1299))+ISNUMBER(SEARCH("Chief Operating",C1299))+ISNUMBER(SEARCH("Chief Financial",C1299))+ISNUMBER(SEARCH("Gerente General",C1299))+ISNUMBER(SEARCH("General Manager",C1299))&gt;0,'Configuración'!$B$34,'Configuración'!$B$35)))))</f>
        <v>4</v>
      </c>
      <c r="V1299" s="38">
        <f>IF(B1299="","",IF(K1299="Sí",'Configuración'!$B$5,0)+IF(L1299="Semanal",'Configuración'!$B$6,IF(L1299="Mensual",'Configuración'!$B$7,0))+IF(M1299="Sí",'Configuración'!$B$8,0)+IF(N1299="Sí",'Configuración'!$B$9,0)+IF(O1299="Sí",'Configuración'!$B$10,0)+IF(P1299="Sí",'Configuración'!$B$11,0)+IF(Q1299="Sí",'Configuración'!$B$12,0)+S1299+T1299+U1299)</f>
        <v>20</v>
      </c>
      <c r="W1299" s="39" t="str">
        <f>IF(B1299="","",IF(V1299&gt;='Configuración'!$B$19,"A",IF(V1299&gt;='Configuración'!$B$20,"B",IF(V1299&gt;='Configuración'!$B$21,"C","Descarte"))))</f>
        <v>Descarte</v>
      </c>
    </row>
    <row r="1300" ht="15.75" customHeight="1">
      <c r="A1300" s="34">
        <f t="shared" si="1"/>
        <v>1298</v>
      </c>
      <c r="B1300" s="29" t="s">
        <v>351</v>
      </c>
      <c r="C1300" s="29" t="s">
        <v>202</v>
      </c>
      <c r="D1300" s="29" t="s">
        <v>7404</v>
      </c>
      <c r="E1300" s="29" t="s">
        <v>7405</v>
      </c>
      <c r="F1300" s="30" t="s">
        <v>7406</v>
      </c>
      <c r="G1300" s="30" t="s">
        <v>7407</v>
      </c>
      <c r="H1300" s="30" t="s">
        <v>7408</v>
      </c>
      <c r="I1300" s="29" t="s">
        <v>769</v>
      </c>
      <c r="J1300" s="31">
        <v>16.0</v>
      </c>
      <c r="K1300" s="35"/>
      <c r="L1300" s="35"/>
      <c r="M1300" s="35"/>
      <c r="N1300" s="35"/>
      <c r="O1300" s="35"/>
      <c r="P1300" s="35"/>
      <c r="Q1300" s="35"/>
      <c r="R1300" s="35"/>
      <c r="S1300" s="37">
        <f>IF(B1300="","",IF(ISNUMBER(J1300),IF(J1300&lt;=10,'Configuración'!$B$23,IF(J1300&lt;=50,'Configuración'!$B$24,IF(J1300&lt;=200,'Configuración'!$B$25,0))),0))</f>
        <v>4</v>
      </c>
      <c r="T1300" s="37">
        <f>IF(B1300="","",IF(ISNUMBER(SEARCH("information technology",I1300))+ISNUMBER(SEARCH("software",I1300))+ISNUMBER(SEARCH("internet",I1300))+ISNUMBER(SEARCH("computer",I1300))+ISNUMBER(SEARCH("saas",I1300))+ISNUMBER(SEARCH("fintech",I1300))+ISNUMBER(SEARCH("information services",I1300))+ISNUMBER(SEARCH("telecommunications",I1300))&gt;0,'Configuración'!$B$27,'Configuración'!$B$28))</f>
        <v>4</v>
      </c>
      <c r="U1300" s="25">
        <f>IF(B1300="","",IF(ISNUMBER(SEARCH("CEO",C1300))+ISNUMBER(SEARCH("Founder",C1300))+ISNUMBER(SEARCH("Owner",C1300))+ISNUMBER(SEARCH("Dueño",C1300))+ISNUMBER(SEARCH("Director General",C1300))+ISNUMBER(SEARCH("Presidente",C1300))+ISNUMBER(SEARCH("President",C1300))&gt;0,'Configuración'!$B$31,IF(ISNUMBER(SEARCH("CMO",C1300))+ISNUMBER(SEARCH("Chief Marketing",C1300))+ISNUMBER(SEARCH("VP Marketing",C1300))+ISNUMBER(SEARCH("Director de Marketing",C1300))+ISNUMBER(SEARCH("Director Marketing",C1300))+ISNUMBER(SEARCH("Head of Marketing",C1300))+ISNUMBER(SEARCH("Head Marketing",C1300))&gt;0,'Configuración'!$B$32,IF(ISNUMBER(SEARCH("Marketing Manager",C1300))+ISNUMBER(SEARCH("Gerente de Marketing",C1300))+ISNUMBER(SEARCH("Growth Manager",C1300))+ISNUMBER(SEARCH("Demand Gen",C1300))+ISNUMBER(SEARCH("Marketing Lead",C1300))&gt;0,'Configuración'!$B$33,IF(ISNUMBER(SEARCH("COO",C1300))+ISNUMBER(SEARCH("CFO",C1300))+ISNUMBER(SEARCH("CTO",C1300))+ISNUMBER(SEARCH("Chief Operating",C1300))+ISNUMBER(SEARCH("Chief Financial",C1300))+ISNUMBER(SEARCH("Gerente General",C1300))+ISNUMBER(SEARCH("General Manager",C1300))&gt;0,'Configuración'!$B$34,'Configuración'!$B$35)))))</f>
        <v>12</v>
      </c>
      <c r="V1300" s="38">
        <f>IF(B1300="","",IF(K1300="Sí",'Configuración'!$B$5,0)+IF(L1300="Semanal",'Configuración'!$B$6,IF(L1300="Mensual",'Configuración'!$B$7,0))+IF(M1300="Sí",'Configuración'!$B$8,0)+IF(N1300="Sí",'Configuración'!$B$9,0)+IF(O1300="Sí",'Configuración'!$B$10,0)+IF(P1300="Sí",'Configuración'!$B$11,0)+IF(Q1300="Sí",'Configuración'!$B$12,0)+S1300+T1300+U1300)</f>
        <v>20</v>
      </c>
      <c r="W1300" s="39" t="str">
        <f>IF(B1300="","",IF(V1300&gt;='Configuración'!$B$19,"A",IF(V1300&gt;='Configuración'!$B$20,"B",IF(V1300&gt;='Configuración'!$B$21,"C","Descarte"))))</f>
        <v>Descarte</v>
      </c>
    </row>
    <row r="1301" ht="15.75" customHeight="1">
      <c r="A1301" s="34">
        <f t="shared" si="1"/>
        <v>1299</v>
      </c>
      <c r="B1301" s="29" t="s">
        <v>897</v>
      </c>
      <c r="C1301" s="29" t="s">
        <v>146</v>
      </c>
      <c r="D1301" s="29" t="s">
        <v>7409</v>
      </c>
      <c r="E1301" s="29" t="s">
        <v>7410</v>
      </c>
      <c r="F1301" s="30" t="s">
        <v>7411</v>
      </c>
      <c r="G1301" s="30" t="s">
        <v>7412</v>
      </c>
      <c r="H1301" s="30" t="s">
        <v>7413</v>
      </c>
      <c r="I1301" s="29" t="s">
        <v>127</v>
      </c>
      <c r="J1301" s="31">
        <v>38.0</v>
      </c>
      <c r="K1301" s="35"/>
      <c r="L1301" s="35"/>
      <c r="M1301" s="35"/>
      <c r="N1301" s="35"/>
      <c r="O1301" s="35"/>
      <c r="P1301" s="35"/>
      <c r="Q1301" s="35"/>
      <c r="R1301" s="35"/>
      <c r="S1301" s="37">
        <f>IF(B1301="","",IF(ISNUMBER(J1301),IF(J1301&lt;=10,'Configuración'!$B$23,IF(J1301&lt;=50,'Configuración'!$B$24,IF(J1301&lt;=200,'Configuración'!$B$25,0))),0))</f>
        <v>4</v>
      </c>
      <c r="T1301" s="37">
        <f>IF(B1301="","",IF(ISNUMBER(SEARCH("information technology",I1301))+ISNUMBER(SEARCH("software",I1301))+ISNUMBER(SEARCH("internet",I1301))+ISNUMBER(SEARCH("computer",I1301))+ISNUMBER(SEARCH("saas",I1301))+ISNUMBER(SEARCH("fintech",I1301))+ISNUMBER(SEARCH("information services",I1301))+ISNUMBER(SEARCH("telecommunications",I1301))&gt;0,'Configuración'!$B$27,'Configuración'!$B$28))</f>
        <v>12</v>
      </c>
      <c r="U1301" s="25">
        <f>IF(B1301="","",IF(ISNUMBER(SEARCH("CEO",C1301))+ISNUMBER(SEARCH("Founder",C1301))+ISNUMBER(SEARCH("Owner",C1301))+ISNUMBER(SEARCH("Dueño",C1301))+ISNUMBER(SEARCH("Director General",C1301))+ISNUMBER(SEARCH("Presidente",C1301))+ISNUMBER(SEARCH("President",C1301))&gt;0,'Configuración'!$B$31,IF(ISNUMBER(SEARCH("CMO",C1301))+ISNUMBER(SEARCH("Chief Marketing",C1301))+ISNUMBER(SEARCH("VP Marketing",C1301))+ISNUMBER(SEARCH("Director de Marketing",C1301))+ISNUMBER(SEARCH("Director Marketing",C1301))+ISNUMBER(SEARCH("Head of Marketing",C1301))+ISNUMBER(SEARCH("Head Marketing",C1301))&gt;0,'Configuración'!$B$32,IF(ISNUMBER(SEARCH("Marketing Manager",C1301))+ISNUMBER(SEARCH("Gerente de Marketing",C1301))+ISNUMBER(SEARCH("Growth Manager",C1301))+ISNUMBER(SEARCH("Demand Gen",C1301))+ISNUMBER(SEARCH("Marketing Lead",C1301))&gt;0,'Configuración'!$B$33,IF(ISNUMBER(SEARCH("COO",C1301))+ISNUMBER(SEARCH("CFO",C1301))+ISNUMBER(SEARCH("CTO",C1301))+ISNUMBER(SEARCH("Chief Operating",C1301))+ISNUMBER(SEARCH("Chief Financial",C1301))+ISNUMBER(SEARCH("Gerente General",C1301))+ISNUMBER(SEARCH("General Manager",C1301))&gt;0,'Configuración'!$B$34,'Configuración'!$B$35)))))</f>
        <v>0</v>
      </c>
      <c r="V1301" s="38">
        <f>IF(B1301="","",IF(K1301="Sí",'Configuración'!$B$5,0)+IF(L1301="Semanal",'Configuración'!$B$6,IF(L1301="Mensual",'Configuración'!$B$7,0))+IF(M1301="Sí",'Configuración'!$B$8,0)+IF(N1301="Sí",'Configuración'!$B$9,0)+IF(O1301="Sí",'Configuración'!$B$10,0)+IF(P1301="Sí",'Configuración'!$B$11,0)+IF(Q1301="Sí",'Configuración'!$B$12,0)+S1301+T1301+U1301)</f>
        <v>16</v>
      </c>
      <c r="W1301" s="39" t="str">
        <f>IF(B1301="","",IF(V1301&gt;='Configuración'!$B$19,"A",IF(V1301&gt;='Configuración'!$B$20,"B",IF(V1301&gt;='Configuración'!$B$21,"C","Descarte"))))</f>
        <v>Descarte</v>
      </c>
    </row>
    <row r="1302" ht="15.75" customHeight="1">
      <c r="A1302" s="34">
        <f t="shared" si="1"/>
        <v>1300</v>
      </c>
      <c r="B1302" s="29" t="s">
        <v>351</v>
      </c>
      <c r="C1302" s="29" t="s">
        <v>2129</v>
      </c>
      <c r="D1302" s="29" t="s">
        <v>7414</v>
      </c>
      <c r="E1302" s="29" t="s">
        <v>7415</v>
      </c>
      <c r="F1302" s="30" t="s">
        <v>7416</v>
      </c>
      <c r="G1302" s="30" t="s">
        <v>7417</v>
      </c>
      <c r="H1302" s="30" t="s">
        <v>7418</v>
      </c>
      <c r="I1302" s="29" t="s">
        <v>127</v>
      </c>
      <c r="J1302" s="31">
        <v>31.0</v>
      </c>
      <c r="K1302" s="35"/>
      <c r="L1302" s="35"/>
      <c r="M1302" s="35"/>
      <c r="N1302" s="35"/>
      <c r="O1302" s="35"/>
      <c r="P1302" s="35"/>
      <c r="Q1302" s="35"/>
      <c r="R1302" s="35"/>
      <c r="S1302" s="37">
        <f>IF(B1302="","",IF(ISNUMBER(J1302),IF(J1302&lt;=10,'Configuración'!$B$23,IF(J1302&lt;=50,'Configuración'!$B$24,IF(J1302&lt;=200,'Configuración'!$B$25,0))),0))</f>
        <v>4</v>
      </c>
      <c r="T1302" s="37">
        <f>IF(B1302="","",IF(ISNUMBER(SEARCH("information technology",I1302))+ISNUMBER(SEARCH("software",I1302))+ISNUMBER(SEARCH("internet",I1302))+ISNUMBER(SEARCH("computer",I1302))+ISNUMBER(SEARCH("saas",I1302))+ISNUMBER(SEARCH("fintech",I1302))+ISNUMBER(SEARCH("information services",I1302))+ISNUMBER(SEARCH("telecommunications",I1302))&gt;0,'Configuración'!$B$27,'Configuración'!$B$28))</f>
        <v>12</v>
      </c>
      <c r="U1302" s="25">
        <f>IF(B1302="","",IF(ISNUMBER(SEARCH("CEO",C1302))+ISNUMBER(SEARCH("Founder",C1302))+ISNUMBER(SEARCH("Owner",C1302))+ISNUMBER(SEARCH("Dueño",C1302))+ISNUMBER(SEARCH("Director General",C1302))+ISNUMBER(SEARCH("Presidente",C1302))+ISNUMBER(SEARCH("President",C1302))&gt;0,'Configuración'!$B$31,IF(ISNUMBER(SEARCH("CMO",C1302))+ISNUMBER(SEARCH("Chief Marketing",C1302))+ISNUMBER(SEARCH("VP Marketing",C1302))+ISNUMBER(SEARCH("Director de Marketing",C1302))+ISNUMBER(SEARCH("Director Marketing",C1302))+ISNUMBER(SEARCH("Head of Marketing",C1302))+ISNUMBER(SEARCH("Head Marketing",C1302))&gt;0,'Configuración'!$B$32,IF(ISNUMBER(SEARCH("Marketing Manager",C1302))+ISNUMBER(SEARCH("Gerente de Marketing",C1302))+ISNUMBER(SEARCH("Growth Manager",C1302))+ISNUMBER(SEARCH("Demand Gen",C1302))+ISNUMBER(SEARCH("Marketing Lead",C1302))&gt;0,'Configuración'!$B$33,IF(ISNUMBER(SEARCH("COO",C1302))+ISNUMBER(SEARCH("CFO",C1302))+ISNUMBER(SEARCH("CTO",C1302))+ISNUMBER(SEARCH("Chief Operating",C1302))+ISNUMBER(SEARCH("Chief Financial",C1302))+ISNUMBER(SEARCH("Gerente General",C1302))+ISNUMBER(SEARCH("General Manager",C1302))&gt;0,'Configuración'!$B$34,'Configuración'!$B$35)))))</f>
        <v>12</v>
      </c>
      <c r="V1302" s="38">
        <f>IF(B1302="","",IF(K1302="Sí",'Configuración'!$B$5,0)+IF(L1302="Semanal",'Configuración'!$B$6,IF(L1302="Mensual",'Configuración'!$B$7,0))+IF(M1302="Sí",'Configuración'!$B$8,0)+IF(N1302="Sí",'Configuración'!$B$9,0)+IF(O1302="Sí",'Configuración'!$B$10,0)+IF(P1302="Sí",'Configuración'!$B$11,0)+IF(Q1302="Sí",'Configuración'!$B$12,0)+S1302+T1302+U1302)</f>
        <v>28</v>
      </c>
      <c r="W1302" s="39" t="str">
        <f>IF(B1302="","",IF(V1302&gt;='Configuración'!$B$19,"A",IF(V1302&gt;='Configuración'!$B$20,"B",IF(V1302&gt;='Configuración'!$B$21,"C","Descarte"))))</f>
        <v>C</v>
      </c>
    </row>
    <row r="1303" ht="15.75" customHeight="1">
      <c r="A1303" s="34">
        <f t="shared" si="1"/>
        <v>1301</v>
      </c>
      <c r="B1303" s="29" t="s">
        <v>7419</v>
      </c>
      <c r="C1303" s="29" t="s">
        <v>175</v>
      </c>
      <c r="D1303" s="29" t="s">
        <v>7420</v>
      </c>
      <c r="E1303" s="29" t="s">
        <v>7421</v>
      </c>
      <c r="F1303" s="30" t="s">
        <v>7422</v>
      </c>
      <c r="G1303" s="30" t="s">
        <v>7423</v>
      </c>
      <c r="H1303" s="30" t="s">
        <v>7424</v>
      </c>
      <c r="I1303" s="29" t="s">
        <v>188</v>
      </c>
      <c r="J1303" s="31">
        <v>1.0</v>
      </c>
      <c r="K1303" s="35"/>
      <c r="L1303" s="35"/>
      <c r="M1303" s="35"/>
      <c r="N1303" s="35"/>
      <c r="O1303" s="35"/>
      <c r="P1303" s="35"/>
      <c r="Q1303" s="35"/>
      <c r="R1303" s="35"/>
      <c r="S1303" s="37">
        <f>IF(B1303="","",IF(ISNUMBER(J1303),IF(J1303&lt;=10,'Configuración'!$B$23,IF(J1303&lt;=50,'Configuración'!$B$24,IF(J1303&lt;=200,'Configuración'!$B$25,0))),0))</f>
        <v>12</v>
      </c>
      <c r="T1303" s="37">
        <f>IF(B1303="","",IF(ISNUMBER(SEARCH("information technology",I1303))+ISNUMBER(SEARCH("software",I1303))+ISNUMBER(SEARCH("internet",I1303))+ISNUMBER(SEARCH("computer",I1303))+ISNUMBER(SEARCH("saas",I1303))+ISNUMBER(SEARCH("fintech",I1303))+ISNUMBER(SEARCH("information services",I1303))+ISNUMBER(SEARCH("telecommunications",I1303))&gt;0,'Configuración'!$B$27,'Configuración'!$B$28))</f>
        <v>4</v>
      </c>
      <c r="U1303" s="25">
        <f>IF(B1303="","",IF(ISNUMBER(SEARCH("CEO",C1303))+ISNUMBER(SEARCH("Founder",C1303))+ISNUMBER(SEARCH("Owner",C1303))+ISNUMBER(SEARCH("Dueño",C1303))+ISNUMBER(SEARCH("Director General",C1303))+ISNUMBER(SEARCH("Presidente",C1303))+ISNUMBER(SEARCH("President",C1303))&gt;0,'Configuración'!$B$31,IF(ISNUMBER(SEARCH("CMO",C1303))+ISNUMBER(SEARCH("Chief Marketing",C1303))+ISNUMBER(SEARCH("VP Marketing",C1303))+ISNUMBER(SEARCH("Director de Marketing",C1303))+ISNUMBER(SEARCH("Director Marketing",C1303))+ISNUMBER(SEARCH("Head of Marketing",C1303))+ISNUMBER(SEARCH("Head Marketing",C1303))&gt;0,'Configuración'!$B$32,IF(ISNUMBER(SEARCH("Marketing Manager",C1303))+ISNUMBER(SEARCH("Gerente de Marketing",C1303))+ISNUMBER(SEARCH("Growth Manager",C1303))+ISNUMBER(SEARCH("Demand Gen",C1303))+ISNUMBER(SEARCH("Marketing Lead",C1303))&gt;0,'Configuración'!$B$33,IF(ISNUMBER(SEARCH("COO",C1303))+ISNUMBER(SEARCH("CFO",C1303))+ISNUMBER(SEARCH("CTO",C1303))+ISNUMBER(SEARCH("Chief Operating",C1303))+ISNUMBER(SEARCH("Chief Financial",C1303))+ISNUMBER(SEARCH("Gerente General",C1303))+ISNUMBER(SEARCH("General Manager",C1303))&gt;0,'Configuración'!$B$34,'Configuración'!$B$35)))))</f>
        <v>12</v>
      </c>
      <c r="V1303" s="38">
        <f>IF(B1303="","",IF(K1303="Sí",'Configuración'!$B$5,0)+IF(L1303="Semanal",'Configuración'!$B$6,IF(L1303="Mensual",'Configuración'!$B$7,0))+IF(M1303="Sí",'Configuración'!$B$8,0)+IF(N1303="Sí",'Configuración'!$B$9,0)+IF(O1303="Sí",'Configuración'!$B$10,0)+IF(P1303="Sí",'Configuración'!$B$11,0)+IF(Q1303="Sí",'Configuración'!$B$12,0)+S1303+T1303+U1303)</f>
        <v>28</v>
      </c>
      <c r="W1303" s="39" t="str">
        <f>IF(B1303="","",IF(V1303&gt;='Configuración'!$B$19,"A",IF(V1303&gt;='Configuración'!$B$20,"B",IF(V1303&gt;='Configuración'!$B$21,"C","Descarte"))))</f>
        <v>C</v>
      </c>
    </row>
    <row r="1304" ht="15.75" customHeight="1">
      <c r="A1304" s="34">
        <f t="shared" si="1"/>
        <v>1302</v>
      </c>
      <c r="B1304" s="29" t="s">
        <v>7425</v>
      </c>
      <c r="C1304" s="29" t="s">
        <v>361</v>
      </c>
      <c r="D1304" s="29" t="s">
        <v>2771</v>
      </c>
      <c r="E1304" s="29" t="s">
        <v>7426</v>
      </c>
      <c r="F1304" s="30" t="s">
        <v>7427</v>
      </c>
      <c r="G1304" s="30" t="s">
        <v>2774</v>
      </c>
      <c r="H1304" s="30" t="s">
        <v>2775</v>
      </c>
      <c r="I1304" s="29" t="s">
        <v>188</v>
      </c>
      <c r="J1304" s="31">
        <v>24.0</v>
      </c>
      <c r="K1304" s="35"/>
      <c r="L1304" s="35"/>
      <c r="M1304" s="35"/>
      <c r="N1304" s="35"/>
      <c r="O1304" s="35"/>
      <c r="P1304" s="35"/>
      <c r="Q1304" s="35"/>
      <c r="R1304" s="35"/>
      <c r="S1304" s="37">
        <f>IF(B1304="","",IF(ISNUMBER(J1304),IF(J1304&lt;=10,'Configuración'!$B$23,IF(J1304&lt;=50,'Configuración'!$B$24,IF(J1304&lt;=200,'Configuración'!$B$25,0))),0))</f>
        <v>4</v>
      </c>
      <c r="T1304" s="37">
        <f>IF(B1304="","",IF(ISNUMBER(SEARCH("information technology",I1304))+ISNUMBER(SEARCH("software",I1304))+ISNUMBER(SEARCH("internet",I1304))+ISNUMBER(SEARCH("computer",I1304))+ISNUMBER(SEARCH("saas",I1304))+ISNUMBER(SEARCH("fintech",I1304))+ISNUMBER(SEARCH("information services",I1304))+ISNUMBER(SEARCH("telecommunications",I1304))&gt;0,'Configuración'!$B$27,'Configuración'!$B$28))</f>
        <v>4</v>
      </c>
      <c r="U1304" s="25">
        <f>IF(B1304="","",IF(ISNUMBER(SEARCH("CEO",C1304))+ISNUMBER(SEARCH("Founder",C1304))+ISNUMBER(SEARCH("Owner",C1304))+ISNUMBER(SEARCH("Dueño",C1304))+ISNUMBER(SEARCH("Director General",C1304))+ISNUMBER(SEARCH("Presidente",C1304))+ISNUMBER(SEARCH("President",C1304))&gt;0,'Configuración'!$B$31,IF(ISNUMBER(SEARCH("CMO",C1304))+ISNUMBER(SEARCH("Chief Marketing",C1304))+ISNUMBER(SEARCH("VP Marketing",C1304))+ISNUMBER(SEARCH("Director de Marketing",C1304))+ISNUMBER(SEARCH("Director Marketing",C1304))+ISNUMBER(SEARCH("Head of Marketing",C1304))+ISNUMBER(SEARCH("Head Marketing",C1304))&gt;0,'Configuración'!$B$32,IF(ISNUMBER(SEARCH("Marketing Manager",C1304))+ISNUMBER(SEARCH("Gerente de Marketing",C1304))+ISNUMBER(SEARCH("Growth Manager",C1304))+ISNUMBER(SEARCH("Demand Gen",C1304))+ISNUMBER(SEARCH("Marketing Lead",C1304))&gt;0,'Configuración'!$B$33,IF(ISNUMBER(SEARCH("COO",C1304))+ISNUMBER(SEARCH("CFO",C1304))+ISNUMBER(SEARCH("CTO",C1304))+ISNUMBER(SEARCH("Chief Operating",C1304))+ISNUMBER(SEARCH("Chief Financial",C1304))+ISNUMBER(SEARCH("Gerente General",C1304))+ISNUMBER(SEARCH("General Manager",C1304))&gt;0,'Configuración'!$B$34,'Configuración'!$B$35)))))</f>
        <v>0</v>
      </c>
      <c r="V1304" s="38">
        <f>IF(B1304="","",IF(K1304="Sí",'Configuración'!$B$5,0)+IF(L1304="Semanal",'Configuración'!$B$6,IF(L1304="Mensual",'Configuración'!$B$7,0))+IF(M1304="Sí",'Configuración'!$B$8,0)+IF(N1304="Sí",'Configuración'!$B$9,0)+IF(O1304="Sí",'Configuración'!$B$10,0)+IF(P1304="Sí",'Configuración'!$B$11,0)+IF(Q1304="Sí",'Configuración'!$B$12,0)+S1304+T1304+U1304)</f>
        <v>8</v>
      </c>
      <c r="W1304" s="39" t="str">
        <f>IF(B1304="","",IF(V1304&gt;='Configuración'!$B$19,"A",IF(V1304&gt;='Configuración'!$B$20,"B",IF(V1304&gt;='Configuración'!$B$21,"C","Descarte"))))</f>
        <v>Descarte</v>
      </c>
    </row>
    <row r="1305" ht="15.75" customHeight="1">
      <c r="A1305" s="34">
        <f t="shared" si="1"/>
        <v>1303</v>
      </c>
      <c r="B1305" s="29" t="s">
        <v>201</v>
      </c>
      <c r="C1305" s="29" t="s">
        <v>622</v>
      </c>
      <c r="D1305" s="29" t="s">
        <v>7428</v>
      </c>
      <c r="E1305" s="29" t="s">
        <v>7429</v>
      </c>
      <c r="F1305" s="30" t="s">
        <v>7430</v>
      </c>
      <c r="G1305" s="30" t="s">
        <v>7431</v>
      </c>
      <c r="H1305" s="30" t="s">
        <v>7432</v>
      </c>
      <c r="I1305" s="29" t="s">
        <v>310</v>
      </c>
      <c r="J1305" s="31">
        <v>10.0</v>
      </c>
      <c r="K1305" s="35"/>
      <c r="L1305" s="35"/>
      <c r="M1305" s="35"/>
      <c r="N1305" s="35"/>
      <c r="O1305" s="35"/>
      <c r="P1305" s="35"/>
      <c r="Q1305" s="35"/>
      <c r="R1305" s="35"/>
      <c r="S1305" s="37">
        <f>IF(B1305="","",IF(ISNUMBER(J1305),IF(J1305&lt;=10,'Configuración'!$B$23,IF(J1305&lt;=50,'Configuración'!$B$24,IF(J1305&lt;=200,'Configuración'!$B$25,0))),0))</f>
        <v>12</v>
      </c>
      <c r="T1305" s="37">
        <f>IF(B1305="","",IF(ISNUMBER(SEARCH("information technology",I1305))+ISNUMBER(SEARCH("software",I1305))+ISNUMBER(SEARCH("internet",I1305))+ISNUMBER(SEARCH("computer",I1305))+ISNUMBER(SEARCH("saas",I1305))+ISNUMBER(SEARCH("fintech",I1305))+ISNUMBER(SEARCH("information services",I1305))+ISNUMBER(SEARCH("telecommunications",I1305))&gt;0,'Configuración'!$B$27,'Configuración'!$B$28))</f>
        <v>4</v>
      </c>
      <c r="U1305" s="25">
        <f>IF(B1305="","",IF(ISNUMBER(SEARCH("CEO",C1305))+ISNUMBER(SEARCH("Founder",C1305))+ISNUMBER(SEARCH("Owner",C1305))+ISNUMBER(SEARCH("Dueño",C1305))+ISNUMBER(SEARCH("Director General",C1305))+ISNUMBER(SEARCH("Presidente",C1305))+ISNUMBER(SEARCH("President",C1305))&gt;0,'Configuración'!$B$31,IF(ISNUMBER(SEARCH("CMO",C1305))+ISNUMBER(SEARCH("Chief Marketing",C1305))+ISNUMBER(SEARCH("VP Marketing",C1305))+ISNUMBER(SEARCH("Director de Marketing",C1305))+ISNUMBER(SEARCH("Director Marketing",C1305))+ISNUMBER(SEARCH("Head of Marketing",C1305))+ISNUMBER(SEARCH("Head Marketing",C1305))&gt;0,'Configuración'!$B$32,IF(ISNUMBER(SEARCH("Marketing Manager",C1305))+ISNUMBER(SEARCH("Gerente de Marketing",C1305))+ISNUMBER(SEARCH("Growth Manager",C1305))+ISNUMBER(SEARCH("Demand Gen",C1305))+ISNUMBER(SEARCH("Marketing Lead",C1305))&gt;0,'Configuración'!$B$33,IF(ISNUMBER(SEARCH("COO",C1305))+ISNUMBER(SEARCH("CFO",C1305))+ISNUMBER(SEARCH("CTO",C1305))+ISNUMBER(SEARCH("Chief Operating",C1305))+ISNUMBER(SEARCH("Chief Financial",C1305))+ISNUMBER(SEARCH("Gerente General",C1305))+ISNUMBER(SEARCH("General Manager",C1305))&gt;0,'Configuración'!$B$34,'Configuración'!$B$35)))))</f>
        <v>12</v>
      </c>
      <c r="V1305" s="38">
        <f>IF(B1305="","",IF(K1305="Sí",'Configuración'!$B$5,0)+IF(L1305="Semanal",'Configuración'!$B$6,IF(L1305="Mensual",'Configuración'!$B$7,0))+IF(M1305="Sí",'Configuración'!$B$8,0)+IF(N1305="Sí",'Configuración'!$B$9,0)+IF(O1305="Sí",'Configuración'!$B$10,0)+IF(P1305="Sí",'Configuración'!$B$11,0)+IF(Q1305="Sí",'Configuración'!$B$12,0)+S1305+T1305+U1305)</f>
        <v>28</v>
      </c>
      <c r="W1305" s="39" t="str">
        <f>IF(B1305="","",IF(V1305&gt;='Configuración'!$B$19,"A",IF(V1305&gt;='Configuración'!$B$20,"B",IF(V1305&gt;='Configuración'!$B$21,"C","Descarte"))))</f>
        <v>C</v>
      </c>
    </row>
    <row r="1306" ht="15.75" customHeight="1">
      <c r="A1306" s="34">
        <f t="shared" si="1"/>
        <v>1304</v>
      </c>
      <c r="B1306" s="29" t="s">
        <v>138</v>
      </c>
      <c r="C1306" s="29" t="s">
        <v>7433</v>
      </c>
      <c r="D1306" s="29" t="s">
        <v>7434</v>
      </c>
      <c r="E1306" s="29" t="s">
        <v>7435</v>
      </c>
      <c r="F1306" s="30" t="s">
        <v>7436</v>
      </c>
      <c r="G1306" s="30" t="s">
        <v>7437</v>
      </c>
      <c r="H1306" s="30" t="s">
        <v>7438</v>
      </c>
      <c r="I1306" s="29" t="s">
        <v>127</v>
      </c>
      <c r="J1306" s="31">
        <v>10.0</v>
      </c>
      <c r="K1306" s="35"/>
      <c r="L1306" s="35"/>
      <c r="M1306" s="35"/>
      <c r="N1306" s="35"/>
      <c r="O1306" s="35"/>
      <c r="P1306" s="35"/>
      <c r="Q1306" s="35"/>
      <c r="R1306" s="35"/>
      <c r="S1306" s="37">
        <f>IF(B1306="","",IF(ISNUMBER(J1306),IF(J1306&lt;=10,'Configuración'!$B$23,IF(J1306&lt;=50,'Configuración'!$B$24,IF(J1306&lt;=200,'Configuración'!$B$25,0))),0))</f>
        <v>12</v>
      </c>
      <c r="T1306" s="37">
        <f>IF(B1306="","",IF(ISNUMBER(SEARCH("information technology",I1306))+ISNUMBER(SEARCH("software",I1306))+ISNUMBER(SEARCH("internet",I1306))+ISNUMBER(SEARCH("computer",I1306))+ISNUMBER(SEARCH("saas",I1306))+ISNUMBER(SEARCH("fintech",I1306))+ISNUMBER(SEARCH("information services",I1306))+ISNUMBER(SEARCH("telecommunications",I1306))&gt;0,'Configuración'!$B$27,'Configuración'!$B$28))</f>
        <v>12</v>
      </c>
      <c r="U1306" s="25">
        <f>IF(B1306="","",IF(ISNUMBER(SEARCH("CEO",C1306))+ISNUMBER(SEARCH("Founder",C1306))+ISNUMBER(SEARCH("Owner",C1306))+ISNUMBER(SEARCH("Dueño",C1306))+ISNUMBER(SEARCH("Director General",C1306))+ISNUMBER(SEARCH("Presidente",C1306))+ISNUMBER(SEARCH("President",C1306))&gt;0,'Configuración'!$B$31,IF(ISNUMBER(SEARCH("CMO",C1306))+ISNUMBER(SEARCH("Chief Marketing",C1306))+ISNUMBER(SEARCH("VP Marketing",C1306))+ISNUMBER(SEARCH("Director de Marketing",C1306))+ISNUMBER(SEARCH("Director Marketing",C1306))+ISNUMBER(SEARCH("Head of Marketing",C1306))+ISNUMBER(SEARCH("Head Marketing",C1306))&gt;0,'Configuración'!$B$32,IF(ISNUMBER(SEARCH("Marketing Manager",C1306))+ISNUMBER(SEARCH("Gerente de Marketing",C1306))+ISNUMBER(SEARCH("Growth Manager",C1306))+ISNUMBER(SEARCH("Demand Gen",C1306))+ISNUMBER(SEARCH("Marketing Lead",C1306))&gt;0,'Configuración'!$B$33,IF(ISNUMBER(SEARCH("COO",C1306))+ISNUMBER(SEARCH("CFO",C1306))+ISNUMBER(SEARCH("CTO",C1306))+ISNUMBER(SEARCH("Chief Operating",C1306))+ISNUMBER(SEARCH("Chief Financial",C1306))+ISNUMBER(SEARCH("Gerente General",C1306))+ISNUMBER(SEARCH("General Manager",C1306))&gt;0,'Configuración'!$B$34,'Configuración'!$B$35)))))</f>
        <v>4</v>
      </c>
      <c r="V1306" s="38">
        <f>IF(B1306="","",IF(K1306="Sí",'Configuración'!$B$5,0)+IF(L1306="Semanal",'Configuración'!$B$6,IF(L1306="Mensual",'Configuración'!$B$7,0))+IF(M1306="Sí",'Configuración'!$B$8,0)+IF(N1306="Sí",'Configuración'!$B$9,0)+IF(O1306="Sí",'Configuración'!$B$10,0)+IF(P1306="Sí",'Configuración'!$B$11,0)+IF(Q1306="Sí",'Configuración'!$B$12,0)+S1306+T1306+U1306)</f>
        <v>28</v>
      </c>
      <c r="W1306" s="39" t="str">
        <f>IF(B1306="","",IF(V1306&gt;='Configuración'!$B$19,"A",IF(V1306&gt;='Configuración'!$B$20,"B",IF(V1306&gt;='Configuración'!$B$21,"C","Descarte"))))</f>
        <v>C</v>
      </c>
    </row>
    <row r="1307" ht="15.75" customHeight="1">
      <c r="A1307" s="34">
        <f t="shared" si="1"/>
        <v>1305</v>
      </c>
      <c r="B1307" s="29" t="s">
        <v>755</v>
      </c>
      <c r="C1307" s="29" t="s">
        <v>110</v>
      </c>
      <c r="D1307" s="29" t="s">
        <v>6377</v>
      </c>
      <c r="E1307" s="29" t="s">
        <v>7439</v>
      </c>
      <c r="F1307" s="30" t="s">
        <v>7440</v>
      </c>
      <c r="G1307" s="30" t="s">
        <v>6380</v>
      </c>
      <c r="H1307" s="30" t="s">
        <v>6381</v>
      </c>
      <c r="I1307" s="29" t="s">
        <v>188</v>
      </c>
      <c r="J1307" s="31">
        <v>2.0</v>
      </c>
      <c r="K1307" s="35"/>
      <c r="L1307" s="35"/>
      <c r="M1307" s="35"/>
      <c r="N1307" s="35"/>
      <c r="O1307" s="35"/>
      <c r="P1307" s="35"/>
      <c r="Q1307" s="35"/>
      <c r="R1307" s="35"/>
      <c r="S1307" s="37">
        <f>IF(B1307="","",IF(ISNUMBER(J1307),IF(J1307&lt;=10,'Configuración'!$B$23,IF(J1307&lt;=50,'Configuración'!$B$24,IF(J1307&lt;=200,'Configuración'!$B$25,0))),0))</f>
        <v>12</v>
      </c>
      <c r="T1307" s="37">
        <f>IF(B1307="","",IF(ISNUMBER(SEARCH("information technology",I1307))+ISNUMBER(SEARCH("software",I1307))+ISNUMBER(SEARCH("internet",I1307))+ISNUMBER(SEARCH("computer",I1307))+ISNUMBER(SEARCH("saas",I1307))+ISNUMBER(SEARCH("fintech",I1307))+ISNUMBER(SEARCH("information services",I1307))+ISNUMBER(SEARCH("telecommunications",I1307))&gt;0,'Configuración'!$B$27,'Configuración'!$B$28))</f>
        <v>4</v>
      </c>
      <c r="U1307" s="25">
        <f>IF(B1307="","",IF(ISNUMBER(SEARCH("CEO",C1307))+ISNUMBER(SEARCH("Founder",C1307))+ISNUMBER(SEARCH("Owner",C1307))+ISNUMBER(SEARCH("Dueño",C1307))+ISNUMBER(SEARCH("Director General",C1307))+ISNUMBER(SEARCH("Presidente",C1307))+ISNUMBER(SEARCH("President",C1307))&gt;0,'Configuración'!$B$31,IF(ISNUMBER(SEARCH("CMO",C1307))+ISNUMBER(SEARCH("Chief Marketing",C1307))+ISNUMBER(SEARCH("VP Marketing",C1307))+ISNUMBER(SEARCH("Director de Marketing",C1307))+ISNUMBER(SEARCH("Director Marketing",C1307))+ISNUMBER(SEARCH("Head of Marketing",C1307))+ISNUMBER(SEARCH("Head Marketing",C1307))&gt;0,'Configuración'!$B$32,IF(ISNUMBER(SEARCH("Marketing Manager",C1307))+ISNUMBER(SEARCH("Gerente de Marketing",C1307))+ISNUMBER(SEARCH("Growth Manager",C1307))+ISNUMBER(SEARCH("Demand Gen",C1307))+ISNUMBER(SEARCH("Marketing Lead",C1307))&gt;0,'Configuración'!$B$33,IF(ISNUMBER(SEARCH("COO",C1307))+ISNUMBER(SEARCH("CFO",C1307))+ISNUMBER(SEARCH("CTO",C1307))+ISNUMBER(SEARCH("Chief Operating",C1307))+ISNUMBER(SEARCH("Chief Financial",C1307))+ISNUMBER(SEARCH("Gerente General",C1307))+ISNUMBER(SEARCH("General Manager",C1307))&gt;0,'Configuración'!$B$34,'Configuración'!$B$35)))))</f>
        <v>12</v>
      </c>
      <c r="V1307" s="38">
        <f>IF(B1307="","",IF(K1307="Sí",'Configuración'!$B$5,0)+IF(L1307="Semanal",'Configuración'!$B$6,IF(L1307="Mensual",'Configuración'!$B$7,0))+IF(M1307="Sí",'Configuración'!$B$8,0)+IF(N1307="Sí",'Configuración'!$B$9,0)+IF(O1307="Sí",'Configuración'!$B$10,0)+IF(P1307="Sí",'Configuración'!$B$11,0)+IF(Q1307="Sí",'Configuración'!$B$12,0)+S1307+T1307+U1307)</f>
        <v>28</v>
      </c>
      <c r="W1307" s="39" t="str">
        <f>IF(B1307="","",IF(V1307&gt;='Configuración'!$B$19,"A",IF(V1307&gt;='Configuración'!$B$20,"B",IF(V1307&gt;='Configuración'!$B$21,"C","Descarte"))))</f>
        <v>C</v>
      </c>
    </row>
    <row r="1308" ht="15.75" customHeight="1">
      <c r="A1308" s="34">
        <f t="shared" si="1"/>
        <v>1306</v>
      </c>
      <c r="B1308" s="29" t="s">
        <v>324</v>
      </c>
      <c r="C1308" s="29" t="s">
        <v>597</v>
      </c>
      <c r="D1308" s="29" t="s">
        <v>5626</v>
      </c>
      <c r="E1308" s="29" t="s">
        <v>7441</v>
      </c>
      <c r="F1308" s="30" t="s">
        <v>7442</v>
      </c>
      <c r="G1308" s="30" t="s">
        <v>5629</v>
      </c>
      <c r="H1308" s="30" t="s">
        <v>5630</v>
      </c>
      <c r="I1308" s="29" t="s">
        <v>116</v>
      </c>
      <c r="J1308" s="31">
        <v>6.0</v>
      </c>
      <c r="K1308" s="35"/>
      <c r="L1308" s="35"/>
      <c r="M1308" s="35"/>
      <c r="N1308" s="35"/>
      <c r="O1308" s="35"/>
      <c r="P1308" s="35"/>
      <c r="Q1308" s="35"/>
      <c r="R1308" s="35"/>
      <c r="S1308" s="37">
        <f>IF(B1308="","",IF(ISNUMBER(J1308),IF(J1308&lt;=10,'Configuración'!$B$23,IF(J1308&lt;=50,'Configuración'!$B$24,IF(J1308&lt;=200,'Configuración'!$B$25,0))),0))</f>
        <v>12</v>
      </c>
      <c r="T1308" s="37">
        <f>IF(B1308="","",IF(ISNUMBER(SEARCH("information technology",I1308))+ISNUMBER(SEARCH("software",I1308))+ISNUMBER(SEARCH("internet",I1308))+ISNUMBER(SEARCH("computer",I1308))+ISNUMBER(SEARCH("saas",I1308))+ISNUMBER(SEARCH("fintech",I1308))+ISNUMBER(SEARCH("information services",I1308))+ISNUMBER(SEARCH("telecommunications",I1308))&gt;0,'Configuración'!$B$27,'Configuración'!$B$28))</f>
        <v>4</v>
      </c>
      <c r="U1308" s="25">
        <f>IF(B1308="","",IF(ISNUMBER(SEARCH("CEO",C1308))+ISNUMBER(SEARCH("Founder",C1308))+ISNUMBER(SEARCH("Owner",C1308))+ISNUMBER(SEARCH("Dueño",C1308))+ISNUMBER(SEARCH("Director General",C1308))+ISNUMBER(SEARCH("Presidente",C1308))+ISNUMBER(SEARCH("President",C1308))&gt;0,'Configuración'!$B$31,IF(ISNUMBER(SEARCH("CMO",C1308))+ISNUMBER(SEARCH("Chief Marketing",C1308))+ISNUMBER(SEARCH("VP Marketing",C1308))+ISNUMBER(SEARCH("Director de Marketing",C1308))+ISNUMBER(SEARCH("Director Marketing",C1308))+ISNUMBER(SEARCH("Head of Marketing",C1308))+ISNUMBER(SEARCH("Head Marketing",C1308))&gt;0,'Configuración'!$B$32,IF(ISNUMBER(SEARCH("Marketing Manager",C1308))+ISNUMBER(SEARCH("Gerente de Marketing",C1308))+ISNUMBER(SEARCH("Growth Manager",C1308))+ISNUMBER(SEARCH("Demand Gen",C1308))+ISNUMBER(SEARCH("Marketing Lead",C1308))&gt;0,'Configuración'!$B$33,IF(ISNUMBER(SEARCH("COO",C1308))+ISNUMBER(SEARCH("CFO",C1308))+ISNUMBER(SEARCH("CTO",C1308))+ISNUMBER(SEARCH("Chief Operating",C1308))+ISNUMBER(SEARCH("Chief Financial",C1308))+ISNUMBER(SEARCH("Gerente General",C1308))+ISNUMBER(SEARCH("General Manager",C1308))&gt;0,'Configuración'!$B$34,'Configuración'!$B$35)))))</f>
        <v>12</v>
      </c>
      <c r="V1308" s="38">
        <f>IF(B1308="","",IF(K1308="Sí",'Configuración'!$B$5,0)+IF(L1308="Semanal",'Configuración'!$B$6,IF(L1308="Mensual",'Configuración'!$B$7,0))+IF(M1308="Sí",'Configuración'!$B$8,0)+IF(N1308="Sí",'Configuración'!$B$9,0)+IF(O1308="Sí",'Configuración'!$B$10,0)+IF(P1308="Sí",'Configuración'!$B$11,0)+IF(Q1308="Sí",'Configuración'!$B$12,0)+S1308+T1308+U1308)</f>
        <v>28</v>
      </c>
      <c r="W1308" s="39" t="str">
        <f>IF(B1308="","",IF(V1308&gt;='Configuración'!$B$19,"A",IF(V1308&gt;='Configuración'!$B$20,"B",IF(V1308&gt;='Configuración'!$B$21,"C","Descarte"))))</f>
        <v>C</v>
      </c>
    </row>
    <row r="1309" ht="15.75" customHeight="1">
      <c r="A1309" s="34">
        <f t="shared" si="1"/>
        <v>1307</v>
      </c>
      <c r="B1309" s="29" t="s">
        <v>7443</v>
      </c>
      <c r="C1309" s="29" t="s">
        <v>7444</v>
      </c>
      <c r="D1309" s="29" t="s">
        <v>3018</v>
      </c>
      <c r="E1309" s="29" t="s">
        <v>7445</v>
      </c>
      <c r="F1309" s="30" t="s">
        <v>7446</v>
      </c>
      <c r="G1309" s="30" t="s">
        <v>3021</v>
      </c>
      <c r="H1309" s="30" t="s">
        <v>3022</v>
      </c>
      <c r="I1309" s="29" t="s">
        <v>127</v>
      </c>
      <c r="J1309" s="31">
        <v>11.0</v>
      </c>
      <c r="K1309" s="35"/>
      <c r="L1309" s="35"/>
      <c r="M1309" s="35"/>
      <c r="N1309" s="35"/>
      <c r="O1309" s="35"/>
      <c r="P1309" s="35"/>
      <c r="Q1309" s="35"/>
      <c r="R1309" s="35"/>
      <c r="S1309" s="37">
        <f>IF(B1309="","",IF(ISNUMBER(J1309),IF(J1309&lt;=10,'Configuración'!$B$23,IF(J1309&lt;=50,'Configuración'!$B$24,IF(J1309&lt;=200,'Configuración'!$B$25,0))),0))</f>
        <v>4</v>
      </c>
      <c r="T1309" s="37">
        <f>IF(B1309="","",IF(ISNUMBER(SEARCH("information technology",I1309))+ISNUMBER(SEARCH("software",I1309))+ISNUMBER(SEARCH("internet",I1309))+ISNUMBER(SEARCH("computer",I1309))+ISNUMBER(SEARCH("saas",I1309))+ISNUMBER(SEARCH("fintech",I1309))+ISNUMBER(SEARCH("information services",I1309))+ISNUMBER(SEARCH("telecommunications",I1309))&gt;0,'Configuración'!$B$27,'Configuración'!$B$28))</f>
        <v>12</v>
      </c>
      <c r="U1309" s="25">
        <f>IF(B1309="","",IF(ISNUMBER(SEARCH("CEO",C1309))+ISNUMBER(SEARCH("Founder",C1309))+ISNUMBER(SEARCH("Owner",C1309))+ISNUMBER(SEARCH("Dueño",C1309))+ISNUMBER(SEARCH("Director General",C1309))+ISNUMBER(SEARCH("Presidente",C1309))+ISNUMBER(SEARCH("President",C1309))&gt;0,'Configuración'!$B$31,IF(ISNUMBER(SEARCH("CMO",C1309))+ISNUMBER(SEARCH("Chief Marketing",C1309))+ISNUMBER(SEARCH("VP Marketing",C1309))+ISNUMBER(SEARCH("Director de Marketing",C1309))+ISNUMBER(SEARCH("Director Marketing",C1309))+ISNUMBER(SEARCH("Head of Marketing",C1309))+ISNUMBER(SEARCH("Head Marketing",C1309))&gt;0,'Configuración'!$B$32,IF(ISNUMBER(SEARCH("Marketing Manager",C1309))+ISNUMBER(SEARCH("Gerente de Marketing",C1309))+ISNUMBER(SEARCH("Growth Manager",C1309))+ISNUMBER(SEARCH("Demand Gen",C1309))+ISNUMBER(SEARCH("Marketing Lead",C1309))&gt;0,'Configuración'!$B$33,IF(ISNUMBER(SEARCH("COO",C1309))+ISNUMBER(SEARCH("CFO",C1309))+ISNUMBER(SEARCH("CTO",C1309))+ISNUMBER(SEARCH("Chief Operating",C1309))+ISNUMBER(SEARCH("Chief Financial",C1309))+ISNUMBER(SEARCH("Gerente General",C1309))+ISNUMBER(SEARCH("General Manager",C1309))&gt;0,'Configuración'!$B$34,'Configuración'!$B$35)))))</f>
        <v>12</v>
      </c>
      <c r="V1309" s="38">
        <f>IF(B1309="","",IF(K1309="Sí",'Configuración'!$B$5,0)+IF(L1309="Semanal",'Configuración'!$B$6,IF(L1309="Mensual",'Configuración'!$B$7,0))+IF(M1309="Sí",'Configuración'!$B$8,0)+IF(N1309="Sí",'Configuración'!$B$9,0)+IF(O1309="Sí",'Configuración'!$B$10,0)+IF(P1309="Sí",'Configuración'!$B$11,0)+IF(Q1309="Sí",'Configuración'!$B$12,0)+S1309+T1309+U1309)</f>
        <v>28</v>
      </c>
      <c r="W1309" s="39" t="str">
        <f>IF(B1309="","",IF(V1309&gt;='Configuración'!$B$19,"A",IF(V1309&gt;='Configuración'!$B$20,"B",IF(V1309&gt;='Configuración'!$B$21,"C","Descarte"))))</f>
        <v>C</v>
      </c>
    </row>
    <row r="1310" ht="15.75" customHeight="1">
      <c r="A1310" s="34">
        <f t="shared" si="1"/>
        <v>1308</v>
      </c>
      <c r="B1310" s="29" t="s">
        <v>564</v>
      </c>
      <c r="C1310" s="29" t="s">
        <v>585</v>
      </c>
      <c r="D1310" s="29" t="s">
        <v>7447</v>
      </c>
      <c r="E1310" s="29" t="s">
        <v>7448</v>
      </c>
      <c r="F1310" s="30" t="s">
        <v>7449</v>
      </c>
      <c r="G1310" s="30" t="s">
        <v>7450</v>
      </c>
      <c r="H1310" s="30" t="s">
        <v>7451</v>
      </c>
      <c r="I1310" s="29" t="s">
        <v>116</v>
      </c>
      <c r="J1310" s="31">
        <v>13.0</v>
      </c>
      <c r="K1310" s="35"/>
      <c r="L1310" s="35"/>
      <c r="M1310" s="35"/>
      <c r="N1310" s="35"/>
      <c r="O1310" s="35"/>
      <c r="P1310" s="35"/>
      <c r="Q1310" s="35"/>
      <c r="R1310" s="35"/>
      <c r="S1310" s="37">
        <f>IF(B1310="","",IF(ISNUMBER(J1310),IF(J1310&lt;=10,'Configuración'!$B$23,IF(J1310&lt;=50,'Configuración'!$B$24,IF(J1310&lt;=200,'Configuración'!$B$25,0))),0))</f>
        <v>4</v>
      </c>
      <c r="T1310" s="37">
        <f>IF(B1310="","",IF(ISNUMBER(SEARCH("information technology",I1310))+ISNUMBER(SEARCH("software",I1310))+ISNUMBER(SEARCH("internet",I1310))+ISNUMBER(SEARCH("computer",I1310))+ISNUMBER(SEARCH("saas",I1310))+ISNUMBER(SEARCH("fintech",I1310))+ISNUMBER(SEARCH("information services",I1310))+ISNUMBER(SEARCH("telecommunications",I1310))&gt;0,'Configuración'!$B$27,'Configuración'!$B$28))</f>
        <v>4</v>
      </c>
      <c r="U1310" s="25">
        <f>IF(B1310="","",IF(ISNUMBER(SEARCH("CEO",C1310))+ISNUMBER(SEARCH("Founder",C1310))+ISNUMBER(SEARCH("Owner",C1310))+ISNUMBER(SEARCH("Dueño",C1310))+ISNUMBER(SEARCH("Director General",C1310))+ISNUMBER(SEARCH("Presidente",C1310))+ISNUMBER(SEARCH("President",C1310))&gt;0,'Configuración'!$B$31,IF(ISNUMBER(SEARCH("CMO",C1310))+ISNUMBER(SEARCH("Chief Marketing",C1310))+ISNUMBER(SEARCH("VP Marketing",C1310))+ISNUMBER(SEARCH("Director de Marketing",C1310))+ISNUMBER(SEARCH("Director Marketing",C1310))+ISNUMBER(SEARCH("Head of Marketing",C1310))+ISNUMBER(SEARCH("Head Marketing",C1310))&gt;0,'Configuración'!$B$32,IF(ISNUMBER(SEARCH("Marketing Manager",C1310))+ISNUMBER(SEARCH("Gerente de Marketing",C1310))+ISNUMBER(SEARCH("Growth Manager",C1310))+ISNUMBER(SEARCH("Demand Gen",C1310))+ISNUMBER(SEARCH("Marketing Lead",C1310))&gt;0,'Configuración'!$B$33,IF(ISNUMBER(SEARCH("COO",C1310))+ISNUMBER(SEARCH("CFO",C1310))+ISNUMBER(SEARCH("CTO",C1310))+ISNUMBER(SEARCH("Chief Operating",C1310))+ISNUMBER(SEARCH("Chief Financial",C1310))+ISNUMBER(SEARCH("Gerente General",C1310))+ISNUMBER(SEARCH("General Manager",C1310))&gt;0,'Configuración'!$B$34,'Configuración'!$B$35)))))</f>
        <v>12</v>
      </c>
      <c r="V1310" s="38">
        <f>IF(B1310="","",IF(K1310="Sí",'Configuración'!$B$5,0)+IF(L1310="Semanal",'Configuración'!$B$6,IF(L1310="Mensual",'Configuración'!$B$7,0))+IF(M1310="Sí",'Configuración'!$B$8,0)+IF(N1310="Sí",'Configuración'!$B$9,0)+IF(O1310="Sí",'Configuración'!$B$10,0)+IF(P1310="Sí",'Configuración'!$B$11,0)+IF(Q1310="Sí",'Configuración'!$B$12,0)+S1310+T1310+U1310)</f>
        <v>20</v>
      </c>
      <c r="W1310" s="39" t="str">
        <f>IF(B1310="","",IF(V1310&gt;='Configuración'!$B$19,"A",IF(V1310&gt;='Configuración'!$B$20,"B",IF(V1310&gt;='Configuración'!$B$21,"C","Descarte"))))</f>
        <v>Descarte</v>
      </c>
    </row>
    <row r="1311" ht="15.75" customHeight="1">
      <c r="A1311" s="34">
        <f t="shared" si="1"/>
        <v>1309</v>
      </c>
      <c r="B1311" s="29" t="s">
        <v>1814</v>
      </c>
      <c r="C1311" s="29" t="s">
        <v>7452</v>
      </c>
      <c r="D1311" s="29" t="s">
        <v>7453</v>
      </c>
      <c r="E1311" s="29" t="s">
        <v>7454</v>
      </c>
      <c r="F1311" s="30" t="s">
        <v>7455</v>
      </c>
      <c r="G1311" s="30" t="s">
        <v>7456</v>
      </c>
      <c r="H1311" s="30" t="s">
        <v>7457</v>
      </c>
      <c r="I1311" s="29" t="s">
        <v>896</v>
      </c>
      <c r="J1311" s="31">
        <v>11.0</v>
      </c>
      <c r="K1311" s="35"/>
      <c r="L1311" s="35"/>
      <c r="M1311" s="35"/>
      <c r="N1311" s="35"/>
      <c r="O1311" s="35"/>
      <c r="P1311" s="35"/>
      <c r="Q1311" s="35"/>
      <c r="R1311" s="35"/>
      <c r="S1311" s="37">
        <f>IF(B1311="","",IF(ISNUMBER(J1311),IF(J1311&lt;=10,'Configuración'!$B$23,IF(J1311&lt;=50,'Configuración'!$B$24,IF(J1311&lt;=200,'Configuración'!$B$25,0))),0))</f>
        <v>4</v>
      </c>
      <c r="T1311" s="37">
        <f>IF(B1311="","",IF(ISNUMBER(SEARCH("information technology",I1311))+ISNUMBER(SEARCH("software",I1311))+ISNUMBER(SEARCH("internet",I1311))+ISNUMBER(SEARCH("computer",I1311))+ISNUMBER(SEARCH("saas",I1311))+ISNUMBER(SEARCH("fintech",I1311))+ISNUMBER(SEARCH("information services",I1311))+ISNUMBER(SEARCH("telecommunications",I1311))&gt;0,'Configuración'!$B$27,'Configuración'!$B$28))</f>
        <v>4</v>
      </c>
      <c r="U1311" s="25">
        <f>IF(B1311="","",IF(ISNUMBER(SEARCH("CEO",C1311))+ISNUMBER(SEARCH("Founder",C1311))+ISNUMBER(SEARCH("Owner",C1311))+ISNUMBER(SEARCH("Dueño",C1311))+ISNUMBER(SEARCH("Director General",C1311))+ISNUMBER(SEARCH("Presidente",C1311))+ISNUMBER(SEARCH("President",C1311))&gt;0,'Configuración'!$B$31,IF(ISNUMBER(SEARCH("CMO",C1311))+ISNUMBER(SEARCH("Chief Marketing",C1311))+ISNUMBER(SEARCH("VP Marketing",C1311))+ISNUMBER(SEARCH("Director de Marketing",C1311))+ISNUMBER(SEARCH("Director Marketing",C1311))+ISNUMBER(SEARCH("Head of Marketing",C1311))+ISNUMBER(SEARCH("Head Marketing",C1311))&gt;0,'Configuración'!$B$32,IF(ISNUMBER(SEARCH("Marketing Manager",C1311))+ISNUMBER(SEARCH("Gerente de Marketing",C1311))+ISNUMBER(SEARCH("Growth Manager",C1311))+ISNUMBER(SEARCH("Demand Gen",C1311))+ISNUMBER(SEARCH("Marketing Lead",C1311))&gt;0,'Configuración'!$B$33,IF(ISNUMBER(SEARCH("COO",C1311))+ISNUMBER(SEARCH("CFO",C1311))+ISNUMBER(SEARCH("CTO",C1311))+ISNUMBER(SEARCH("Chief Operating",C1311))+ISNUMBER(SEARCH("Chief Financial",C1311))+ISNUMBER(SEARCH("Gerente General",C1311))+ISNUMBER(SEARCH("General Manager",C1311))&gt;0,'Configuración'!$B$34,'Configuración'!$B$35)))))</f>
        <v>12</v>
      </c>
      <c r="V1311" s="38">
        <f>IF(B1311="","",IF(K1311="Sí",'Configuración'!$B$5,0)+IF(L1311="Semanal",'Configuración'!$B$6,IF(L1311="Mensual",'Configuración'!$B$7,0))+IF(M1311="Sí",'Configuración'!$B$8,0)+IF(N1311="Sí",'Configuración'!$B$9,0)+IF(O1311="Sí",'Configuración'!$B$10,0)+IF(P1311="Sí",'Configuración'!$B$11,0)+IF(Q1311="Sí",'Configuración'!$B$12,0)+S1311+T1311+U1311)</f>
        <v>20</v>
      </c>
      <c r="W1311" s="39" t="str">
        <f>IF(B1311="","",IF(V1311&gt;='Configuración'!$B$19,"A",IF(V1311&gt;='Configuración'!$B$20,"B",IF(V1311&gt;='Configuración'!$B$21,"C","Descarte"))))</f>
        <v>Descarte</v>
      </c>
    </row>
    <row r="1312" ht="15.75" customHeight="1">
      <c r="A1312" s="34">
        <f t="shared" si="1"/>
        <v>1310</v>
      </c>
      <c r="B1312" s="29" t="s">
        <v>1028</v>
      </c>
      <c r="C1312" s="29" t="s">
        <v>202</v>
      </c>
      <c r="D1312" s="29" t="s">
        <v>7458</v>
      </c>
      <c r="E1312" s="29" t="s">
        <v>7459</v>
      </c>
      <c r="F1312" s="30" t="s">
        <v>7460</v>
      </c>
      <c r="G1312" s="30" t="s">
        <v>7461</v>
      </c>
      <c r="H1312" s="30" t="s">
        <v>7462</v>
      </c>
      <c r="I1312" s="29" t="s">
        <v>295</v>
      </c>
      <c r="J1312" s="31">
        <v>16.0</v>
      </c>
      <c r="K1312" s="35"/>
      <c r="L1312" s="35"/>
      <c r="M1312" s="35"/>
      <c r="N1312" s="35"/>
      <c r="O1312" s="35"/>
      <c r="P1312" s="35"/>
      <c r="Q1312" s="35"/>
      <c r="R1312" s="35"/>
      <c r="S1312" s="37">
        <f>IF(B1312="","",IF(ISNUMBER(J1312),IF(J1312&lt;=10,'Configuración'!$B$23,IF(J1312&lt;=50,'Configuración'!$B$24,IF(J1312&lt;=200,'Configuración'!$B$25,0))),0))</f>
        <v>4</v>
      </c>
      <c r="T1312" s="37">
        <f>IF(B1312="","",IF(ISNUMBER(SEARCH("information technology",I1312))+ISNUMBER(SEARCH("software",I1312))+ISNUMBER(SEARCH("internet",I1312))+ISNUMBER(SEARCH("computer",I1312))+ISNUMBER(SEARCH("saas",I1312))+ISNUMBER(SEARCH("fintech",I1312))+ISNUMBER(SEARCH("information services",I1312))+ISNUMBER(SEARCH("telecommunications",I1312))&gt;0,'Configuración'!$B$27,'Configuración'!$B$28))</f>
        <v>4</v>
      </c>
      <c r="U1312" s="25">
        <f>IF(B1312="","",IF(ISNUMBER(SEARCH("CEO",C1312))+ISNUMBER(SEARCH("Founder",C1312))+ISNUMBER(SEARCH("Owner",C1312))+ISNUMBER(SEARCH("Dueño",C1312))+ISNUMBER(SEARCH("Director General",C1312))+ISNUMBER(SEARCH("Presidente",C1312))+ISNUMBER(SEARCH("President",C1312))&gt;0,'Configuración'!$B$31,IF(ISNUMBER(SEARCH("CMO",C1312))+ISNUMBER(SEARCH("Chief Marketing",C1312))+ISNUMBER(SEARCH("VP Marketing",C1312))+ISNUMBER(SEARCH("Director de Marketing",C1312))+ISNUMBER(SEARCH("Director Marketing",C1312))+ISNUMBER(SEARCH("Head of Marketing",C1312))+ISNUMBER(SEARCH("Head Marketing",C1312))&gt;0,'Configuración'!$B$32,IF(ISNUMBER(SEARCH("Marketing Manager",C1312))+ISNUMBER(SEARCH("Gerente de Marketing",C1312))+ISNUMBER(SEARCH("Growth Manager",C1312))+ISNUMBER(SEARCH("Demand Gen",C1312))+ISNUMBER(SEARCH("Marketing Lead",C1312))&gt;0,'Configuración'!$B$33,IF(ISNUMBER(SEARCH("COO",C1312))+ISNUMBER(SEARCH("CFO",C1312))+ISNUMBER(SEARCH("CTO",C1312))+ISNUMBER(SEARCH("Chief Operating",C1312))+ISNUMBER(SEARCH("Chief Financial",C1312))+ISNUMBER(SEARCH("Gerente General",C1312))+ISNUMBER(SEARCH("General Manager",C1312))&gt;0,'Configuración'!$B$34,'Configuración'!$B$35)))))</f>
        <v>12</v>
      </c>
      <c r="V1312" s="38">
        <f>IF(B1312="","",IF(K1312="Sí",'Configuración'!$B$5,0)+IF(L1312="Semanal",'Configuración'!$B$6,IF(L1312="Mensual",'Configuración'!$B$7,0))+IF(M1312="Sí",'Configuración'!$B$8,0)+IF(N1312="Sí",'Configuración'!$B$9,0)+IF(O1312="Sí",'Configuración'!$B$10,0)+IF(P1312="Sí",'Configuración'!$B$11,0)+IF(Q1312="Sí",'Configuración'!$B$12,0)+S1312+T1312+U1312)</f>
        <v>20</v>
      </c>
      <c r="W1312" s="39" t="str">
        <f>IF(B1312="","",IF(V1312&gt;='Configuración'!$B$19,"A",IF(V1312&gt;='Configuración'!$B$20,"B",IF(V1312&gt;='Configuración'!$B$21,"C","Descarte"))))</f>
        <v>Descarte</v>
      </c>
    </row>
    <row r="1313" ht="15.75" customHeight="1">
      <c r="A1313" s="34">
        <f t="shared" si="1"/>
        <v>1311</v>
      </c>
      <c r="B1313" s="29" t="s">
        <v>897</v>
      </c>
      <c r="C1313" s="29" t="s">
        <v>131</v>
      </c>
      <c r="D1313" s="29" t="s">
        <v>7463</v>
      </c>
      <c r="E1313" s="29" t="s">
        <v>7464</v>
      </c>
      <c r="F1313" s="30" t="s">
        <v>7465</v>
      </c>
      <c r="G1313" s="30" t="s">
        <v>7466</v>
      </c>
      <c r="H1313" s="30" t="s">
        <v>7467</v>
      </c>
      <c r="I1313" s="29" t="s">
        <v>188</v>
      </c>
      <c r="J1313" s="31">
        <v>23.0</v>
      </c>
      <c r="K1313" s="35"/>
      <c r="L1313" s="35"/>
      <c r="M1313" s="35"/>
      <c r="N1313" s="35"/>
      <c r="O1313" s="35"/>
      <c r="P1313" s="35"/>
      <c r="Q1313" s="35"/>
      <c r="R1313" s="35"/>
      <c r="S1313" s="37">
        <f>IF(B1313="","",IF(ISNUMBER(J1313),IF(J1313&lt;=10,'Configuración'!$B$23,IF(J1313&lt;=50,'Configuración'!$B$24,IF(J1313&lt;=200,'Configuración'!$B$25,0))),0))</f>
        <v>4</v>
      </c>
      <c r="T1313" s="37">
        <f>IF(B1313="","",IF(ISNUMBER(SEARCH("information technology",I1313))+ISNUMBER(SEARCH("software",I1313))+ISNUMBER(SEARCH("internet",I1313))+ISNUMBER(SEARCH("computer",I1313))+ISNUMBER(SEARCH("saas",I1313))+ISNUMBER(SEARCH("fintech",I1313))+ISNUMBER(SEARCH("information services",I1313))+ISNUMBER(SEARCH("telecommunications",I1313))&gt;0,'Configuración'!$B$27,'Configuración'!$B$28))</f>
        <v>4</v>
      </c>
      <c r="U1313" s="25">
        <f>IF(B1313="","",IF(ISNUMBER(SEARCH("CEO",C1313))+ISNUMBER(SEARCH("Founder",C1313))+ISNUMBER(SEARCH("Owner",C1313))+ISNUMBER(SEARCH("Dueño",C1313))+ISNUMBER(SEARCH("Director General",C1313))+ISNUMBER(SEARCH("Presidente",C1313))+ISNUMBER(SEARCH("President",C1313))&gt;0,'Configuración'!$B$31,IF(ISNUMBER(SEARCH("CMO",C1313))+ISNUMBER(SEARCH("Chief Marketing",C1313))+ISNUMBER(SEARCH("VP Marketing",C1313))+ISNUMBER(SEARCH("Director de Marketing",C1313))+ISNUMBER(SEARCH("Director Marketing",C1313))+ISNUMBER(SEARCH("Head of Marketing",C1313))+ISNUMBER(SEARCH("Head Marketing",C1313))&gt;0,'Configuración'!$B$32,IF(ISNUMBER(SEARCH("Marketing Manager",C1313))+ISNUMBER(SEARCH("Gerente de Marketing",C1313))+ISNUMBER(SEARCH("Growth Manager",C1313))+ISNUMBER(SEARCH("Demand Gen",C1313))+ISNUMBER(SEARCH("Marketing Lead",C1313))&gt;0,'Configuración'!$B$33,IF(ISNUMBER(SEARCH("COO",C1313))+ISNUMBER(SEARCH("CFO",C1313))+ISNUMBER(SEARCH("CTO",C1313))+ISNUMBER(SEARCH("Chief Operating",C1313))+ISNUMBER(SEARCH("Chief Financial",C1313))+ISNUMBER(SEARCH("Gerente General",C1313))+ISNUMBER(SEARCH("General Manager",C1313))&gt;0,'Configuración'!$B$34,'Configuración'!$B$35)))))</f>
        <v>12</v>
      </c>
      <c r="V1313" s="38">
        <f>IF(B1313="","",IF(K1313="Sí",'Configuración'!$B$5,0)+IF(L1313="Semanal",'Configuración'!$B$6,IF(L1313="Mensual",'Configuración'!$B$7,0))+IF(M1313="Sí",'Configuración'!$B$8,0)+IF(N1313="Sí",'Configuración'!$B$9,0)+IF(O1313="Sí",'Configuración'!$B$10,0)+IF(P1313="Sí",'Configuración'!$B$11,0)+IF(Q1313="Sí",'Configuración'!$B$12,0)+S1313+T1313+U1313)</f>
        <v>20</v>
      </c>
      <c r="W1313" s="39" t="str">
        <f>IF(B1313="","",IF(V1313&gt;='Configuración'!$B$19,"A",IF(V1313&gt;='Configuración'!$B$20,"B",IF(V1313&gt;='Configuración'!$B$21,"C","Descarte"))))</f>
        <v>Descarte</v>
      </c>
    </row>
    <row r="1314" ht="15.75" customHeight="1">
      <c r="A1314" s="34">
        <f t="shared" si="1"/>
        <v>1312</v>
      </c>
      <c r="B1314" s="29" t="s">
        <v>7468</v>
      </c>
      <c r="C1314" s="29" t="s">
        <v>7469</v>
      </c>
      <c r="D1314" s="29" t="s">
        <v>7470</v>
      </c>
      <c r="E1314" s="29" t="s">
        <v>7471</v>
      </c>
      <c r="F1314" s="30" t="s">
        <v>7472</v>
      </c>
      <c r="G1314" s="30" t="s">
        <v>7473</v>
      </c>
      <c r="H1314" s="30" t="s">
        <v>7474</v>
      </c>
      <c r="I1314" s="29" t="s">
        <v>659</v>
      </c>
      <c r="J1314" s="31">
        <v>17.0</v>
      </c>
      <c r="K1314" s="35"/>
      <c r="L1314" s="35"/>
      <c r="M1314" s="35"/>
      <c r="N1314" s="35"/>
      <c r="O1314" s="35"/>
      <c r="P1314" s="35"/>
      <c r="Q1314" s="35"/>
      <c r="R1314" s="35"/>
      <c r="S1314" s="37">
        <f>IF(B1314="","",IF(ISNUMBER(J1314),IF(J1314&lt;=10,'Configuración'!$B$23,IF(J1314&lt;=50,'Configuración'!$B$24,IF(J1314&lt;=200,'Configuración'!$B$25,0))),0))</f>
        <v>4</v>
      </c>
      <c r="T1314" s="37">
        <f>IF(B1314="","",IF(ISNUMBER(SEARCH("information technology",I1314))+ISNUMBER(SEARCH("software",I1314))+ISNUMBER(SEARCH("internet",I1314))+ISNUMBER(SEARCH("computer",I1314))+ISNUMBER(SEARCH("saas",I1314))+ISNUMBER(SEARCH("fintech",I1314))+ISNUMBER(SEARCH("information services",I1314))+ISNUMBER(SEARCH("telecommunications",I1314))&gt;0,'Configuración'!$B$27,'Configuración'!$B$28))</f>
        <v>4</v>
      </c>
      <c r="U1314" s="25">
        <f>IF(B1314="","",IF(ISNUMBER(SEARCH("CEO",C1314))+ISNUMBER(SEARCH("Founder",C1314))+ISNUMBER(SEARCH("Owner",C1314))+ISNUMBER(SEARCH("Dueño",C1314))+ISNUMBER(SEARCH("Director General",C1314))+ISNUMBER(SEARCH("Presidente",C1314))+ISNUMBER(SEARCH("President",C1314))&gt;0,'Configuración'!$B$31,IF(ISNUMBER(SEARCH("CMO",C1314))+ISNUMBER(SEARCH("Chief Marketing",C1314))+ISNUMBER(SEARCH("VP Marketing",C1314))+ISNUMBER(SEARCH("Director de Marketing",C1314))+ISNUMBER(SEARCH("Director Marketing",C1314))+ISNUMBER(SEARCH("Head of Marketing",C1314))+ISNUMBER(SEARCH("Head Marketing",C1314))&gt;0,'Configuración'!$B$32,IF(ISNUMBER(SEARCH("Marketing Manager",C1314))+ISNUMBER(SEARCH("Gerente de Marketing",C1314))+ISNUMBER(SEARCH("Growth Manager",C1314))+ISNUMBER(SEARCH("Demand Gen",C1314))+ISNUMBER(SEARCH("Marketing Lead",C1314))&gt;0,'Configuración'!$B$33,IF(ISNUMBER(SEARCH("COO",C1314))+ISNUMBER(SEARCH("CFO",C1314))+ISNUMBER(SEARCH("CTO",C1314))+ISNUMBER(SEARCH("Chief Operating",C1314))+ISNUMBER(SEARCH("Chief Financial",C1314))+ISNUMBER(SEARCH("Gerente General",C1314))+ISNUMBER(SEARCH("General Manager",C1314))&gt;0,'Configuración'!$B$34,'Configuración'!$B$35)))))</f>
        <v>0</v>
      </c>
      <c r="V1314" s="38">
        <f>IF(B1314="","",IF(K1314="Sí",'Configuración'!$B$5,0)+IF(L1314="Semanal",'Configuración'!$B$6,IF(L1314="Mensual",'Configuración'!$B$7,0))+IF(M1314="Sí",'Configuración'!$B$8,0)+IF(N1314="Sí",'Configuración'!$B$9,0)+IF(O1314="Sí",'Configuración'!$B$10,0)+IF(P1314="Sí",'Configuración'!$B$11,0)+IF(Q1314="Sí",'Configuración'!$B$12,0)+S1314+T1314+U1314)</f>
        <v>8</v>
      </c>
      <c r="W1314" s="39" t="str">
        <f>IF(B1314="","",IF(V1314&gt;='Configuración'!$B$19,"A",IF(V1314&gt;='Configuración'!$B$20,"B",IF(V1314&gt;='Configuración'!$B$21,"C","Descarte"))))</f>
        <v>Descarte</v>
      </c>
    </row>
    <row r="1315" ht="15.75" customHeight="1">
      <c r="A1315" s="34">
        <f t="shared" si="1"/>
        <v>1313</v>
      </c>
      <c r="B1315" s="29" t="s">
        <v>7475</v>
      </c>
      <c r="C1315" s="29" t="s">
        <v>597</v>
      </c>
      <c r="D1315" s="29" t="s">
        <v>7476</v>
      </c>
      <c r="E1315" s="29" t="s">
        <v>7477</v>
      </c>
      <c r="F1315" s="30" t="s">
        <v>7478</v>
      </c>
      <c r="G1315" s="30" t="s">
        <v>7479</v>
      </c>
      <c r="H1315" s="30" t="s">
        <v>7480</v>
      </c>
      <c r="I1315" s="29" t="s">
        <v>1078</v>
      </c>
      <c r="J1315" s="31">
        <v>1.0</v>
      </c>
      <c r="K1315" s="35"/>
      <c r="L1315" s="35"/>
      <c r="M1315" s="35"/>
      <c r="N1315" s="35"/>
      <c r="O1315" s="35"/>
      <c r="P1315" s="35"/>
      <c r="Q1315" s="35"/>
      <c r="R1315" s="35"/>
      <c r="S1315" s="37">
        <f>IF(B1315="","",IF(ISNUMBER(J1315),IF(J1315&lt;=10,'Configuración'!$B$23,IF(J1315&lt;=50,'Configuración'!$B$24,IF(J1315&lt;=200,'Configuración'!$B$25,0))),0))</f>
        <v>12</v>
      </c>
      <c r="T1315" s="37">
        <f>IF(B1315="","",IF(ISNUMBER(SEARCH("information technology",I1315))+ISNUMBER(SEARCH("software",I1315))+ISNUMBER(SEARCH("internet",I1315))+ISNUMBER(SEARCH("computer",I1315))+ISNUMBER(SEARCH("saas",I1315))+ISNUMBER(SEARCH("fintech",I1315))+ISNUMBER(SEARCH("information services",I1315))+ISNUMBER(SEARCH("telecommunications",I1315))&gt;0,'Configuración'!$B$27,'Configuración'!$B$28))</f>
        <v>4</v>
      </c>
      <c r="U1315" s="25">
        <f>IF(B1315="","",IF(ISNUMBER(SEARCH("CEO",C1315))+ISNUMBER(SEARCH("Founder",C1315))+ISNUMBER(SEARCH("Owner",C1315))+ISNUMBER(SEARCH("Dueño",C1315))+ISNUMBER(SEARCH("Director General",C1315))+ISNUMBER(SEARCH("Presidente",C1315))+ISNUMBER(SEARCH("President",C1315))&gt;0,'Configuración'!$B$31,IF(ISNUMBER(SEARCH("CMO",C1315))+ISNUMBER(SEARCH("Chief Marketing",C1315))+ISNUMBER(SEARCH("VP Marketing",C1315))+ISNUMBER(SEARCH("Director de Marketing",C1315))+ISNUMBER(SEARCH("Director Marketing",C1315))+ISNUMBER(SEARCH("Head of Marketing",C1315))+ISNUMBER(SEARCH("Head Marketing",C1315))&gt;0,'Configuración'!$B$32,IF(ISNUMBER(SEARCH("Marketing Manager",C1315))+ISNUMBER(SEARCH("Gerente de Marketing",C1315))+ISNUMBER(SEARCH("Growth Manager",C1315))+ISNUMBER(SEARCH("Demand Gen",C1315))+ISNUMBER(SEARCH("Marketing Lead",C1315))&gt;0,'Configuración'!$B$33,IF(ISNUMBER(SEARCH("COO",C1315))+ISNUMBER(SEARCH("CFO",C1315))+ISNUMBER(SEARCH("CTO",C1315))+ISNUMBER(SEARCH("Chief Operating",C1315))+ISNUMBER(SEARCH("Chief Financial",C1315))+ISNUMBER(SEARCH("Gerente General",C1315))+ISNUMBER(SEARCH("General Manager",C1315))&gt;0,'Configuración'!$B$34,'Configuración'!$B$35)))))</f>
        <v>12</v>
      </c>
      <c r="V1315" s="38">
        <f>IF(B1315="","",IF(K1315="Sí",'Configuración'!$B$5,0)+IF(L1315="Semanal",'Configuración'!$B$6,IF(L1315="Mensual",'Configuración'!$B$7,0))+IF(M1315="Sí",'Configuración'!$B$8,0)+IF(N1315="Sí",'Configuración'!$B$9,0)+IF(O1315="Sí",'Configuración'!$B$10,0)+IF(P1315="Sí",'Configuración'!$B$11,0)+IF(Q1315="Sí",'Configuración'!$B$12,0)+S1315+T1315+U1315)</f>
        <v>28</v>
      </c>
      <c r="W1315" s="39" t="str">
        <f>IF(B1315="","",IF(V1315&gt;='Configuración'!$B$19,"A",IF(V1315&gt;='Configuración'!$B$20,"B",IF(V1315&gt;='Configuración'!$B$21,"C","Descarte"))))</f>
        <v>C</v>
      </c>
    </row>
    <row r="1316" ht="15.75" customHeight="1">
      <c r="A1316" s="34">
        <f t="shared" si="1"/>
        <v>1314</v>
      </c>
      <c r="B1316" s="29" t="s">
        <v>501</v>
      </c>
      <c r="C1316" s="29" t="s">
        <v>7481</v>
      </c>
      <c r="D1316" s="29" t="s">
        <v>1132</v>
      </c>
      <c r="E1316" s="29" t="s">
        <v>7482</v>
      </c>
      <c r="F1316" s="30" t="s">
        <v>7483</v>
      </c>
      <c r="G1316" s="30" t="s">
        <v>1135</v>
      </c>
      <c r="H1316" s="30" t="s">
        <v>1136</v>
      </c>
      <c r="I1316" s="29" t="s">
        <v>127</v>
      </c>
      <c r="J1316" s="31">
        <v>50.0</v>
      </c>
      <c r="K1316" s="35"/>
      <c r="L1316" s="35"/>
      <c r="M1316" s="35"/>
      <c r="N1316" s="35"/>
      <c r="O1316" s="35"/>
      <c r="P1316" s="35"/>
      <c r="Q1316" s="35"/>
      <c r="R1316" s="35"/>
      <c r="S1316" s="37">
        <f>IF(B1316="","",IF(ISNUMBER(J1316),IF(J1316&lt;=10,'Configuración'!$B$23,IF(J1316&lt;=50,'Configuración'!$B$24,IF(J1316&lt;=200,'Configuración'!$B$25,0))),0))</f>
        <v>4</v>
      </c>
      <c r="T1316" s="37">
        <f>IF(B1316="","",IF(ISNUMBER(SEARCH("information technology",I1316))+ISNUMBER(SEARCH("software",I1316))+ISNUMBER(SEARCH("internet",I1316))+ISNUMBER(SEARCH("computer",I1316))+ISNUMBER(SEARCH("saas",I1316))+ISNUMBER(SEARCH("fintech",I1316))+ISNUMBER(SEARCH("information services",I1316))+ISNUMBER(SEARCH("telecommunications",I1316))&gt;0,'Configuración'!$B$27,'Configuración'!$B$28))</f>
        <v>12</v>
      </c>
      <c r="U1316" s="25">
        <f>IF(B1316="","",IF(ISNUMBER(SEARCH("CEO",C1316))+ISNUMBER(SEARCH("Founder",C1316))+ISNUMBER(SEARCH("Owner",C1316))+ISNUMBER(SEARCH("Dueño",C1316))+ISNUMBER(SEARCH("Director General",C1316))+ISNUMBER(SEARCH("Presidente",C1316))+ISNUMBER(SEARCH("President",C1316))&gt;0,'Configuración'!$B$31,IF(ISNUMBER(SEARCH("CMO",C1316))+ISNUMBER(SEARCH("Chief Marketing",C1316))+ISNUMBER(SEARCH("VP Marketing",C1316))+ISNUMBER(SEARCH("Director de Marketing",C1316))+ISNUMBER(SEARCH("Director Marketing",C1316))+ISNUMBER(SEARCH("Head of Marketing",C1316))+ISNUMBER(SEARCH("Head Marketing",C1316))&gt;0,'Configuración'!$B$32,IF(ISNUMBER(SEARCH("Marketing Manager",C1316))+ISNUMBER(SEARCH("Gerente de Marketing",C1316))+ISNUMBER(SEARCH("Growth Manager",C1316))+ISNUMBER(SEARCH("Demand Gen",C1316))+ISNUMBER(SEARCH("Marketing Lead",C1316))&gt;0,'Configuración'!$B$33,IF(ISNUMBER(SEARCH("COO",C1316))+ISNUMBER(SEARCH("CFO",C1316))+ISNUMBER(SEARCH("CTO",C1316))+ISNUMBER(SEARCH("Chief Operating",C1316))+ISNUMBER(SEARCH("Chief Financial",C1316))+ISNUMBER(SEARCH("Gerente General",C1316))+ISNUMBER(SEARCH("General Manager",C1316))&gt;0,'Configuración'!$B$34,'Configuración'!$B$35)))))</f>
        <v>12</v>
      </c>
      <c r="V1316" s="38">
        <f>IF(B1316="","",IF(K1316="Sí",'Configuración'!$B$5,0)+IF(L1316="Semanal",'Configuración'!$B$6,IF(L1316="Mensual",'Configuración'!$B$7,0))+IF(M1316="Sí",'Configuración'!$B$8,0)+IF(N1316="Sí",'Configuración'!$B$9,0)+IF(O1316="Sí",'Configuración'!$B$10,0)+IF(P1316="Sí",'Configuración'!$B$11,0)+IF(Q1316="Sí",'Configuración'!$B$12,0)+S1316+T1316+U1316)</f>
        <v>28</v>
      </c>
      <c r="W1316" s="39" t="str">
        <f>IF(B1316="","",IF(V1316&gt;='Configuración'!$B$19,"A",IF(V1316&gt;='Configuración'!$B$20,"B",IF(V1316&gt;='Configuración'!$B$21,"C","Descarte"))))</f>
        <v>C</v>
      </c>
    </row>
    <row r="1317" ht="15.75" customHeight="1">
      <c r="A1317" s="34">
        <f t="shared" si="1"/>
        <v>1315</v>
      </c>
      <c r="B1317" s="29" t="s">
        <v>1137</v>
      </c>
      <c r="C1317" s="29" t="s">
        <v>7484</v>
      </c>
      <c r="D1317" s="29" t="s">
        <v>7485</v>
      </c>
      <c r="E1317" s="29" t="s">
        <v>7486</v>
      </c>
      <c r="F1317" s="30" t="s">
        <v>7487</v>
      </c>
      <c r="G1317" s="30" t="s">
        <v>7488</v>
      </c>
      <c r="H1317" s="30" t="s">
        <v>7489</v>
      </c>
      <c r="I1317" s="29" t="s">
        <v>1429</v>
      </c>
      <c r="J1317" s="31">
        <v>4.0</v>
      </c>
      <c r="K1317" s="35"/>
      <c r="L1317" s="35"/>
      <c r="M1317" s="35"/>
      <c r="N1317" s="35"/>
      <c r="O1317" s="35"/>
      <c r="P1317" s="35"/>
      <c r="Q1317" s="35"/>
      <c r="R1317" s="35"/>
      <c r="S1317" s="37">
        <f>IF(B1317="","",IF(ISNUMBER(J1317),IF(J1317&lt;=10,'Configuración'!$B$23,IF(J1317&lt;=50,'Configuración'!$B$24,IF(J1317&lt;=200,'Configuración'!$B$25,0))),0))</f>
        <v>12</v>
      </c>
      <c r="T1317" s="37">
        <f>IF(B1317="","",IF(ISNUMBER(SEARCH("information technology",I1317))+ISNUMBER(SEARCH("software",I1317))+ISNUMBER(SEARCH("internet",I1317))+ISNUMBER(SEARCH("computer",I1317))+ISNUMBER(SEARCH("saas",I1317))+ISNUMBER(SEARCH("fintech",I1317))+ISNUMBER(SEARCH("information services",I1317))+ISNUMBER(SEARCH("telecommunications",I1317))&gt;0,'Configuración'!$B$27,'Configuración'!$B$28))</f>
        <v>4</v>
      </c>
      <c r="U1317" s="25">
        <f>IF(B1317="","",IF(ISNUMBER(SEARCH("CEO",C1317))+ISNUMBER(SEARCH("Founder",C1317))+ISNUMBER(SEARCH("Owner",C1317))+ISNUMBER(SEARCH("Dueño",C1317))+ISNUMBER(SEARCH("Director General",C1317))+ISNUMBER(SEARCH("Presidente",C1317))+ISNUMBER(SEARCH("President",C1317))&gt;0,'Configuración'!$B$31,IF(ISNUMBER(SEARCH("CMO",C1317))+ISNUMBER(SEARCH("Chief Marketing",C1317))+ISNUMBER(SEARCH("VP Marketing",C1317))+ISNUMBER(SEARCH("Director de Marketing",C1317))+ISNUMBER(SEARCH("Director Marketing",C1317))+ISNUMBER(SEARCH("Head of Marketing",C1317))+ISNUMBER(SEARCH("Head Marketing",C1317))&gt;0,'Configuración'!$B$32,IF(ISNUMBER(SEARCH("Marketing Manager",C1317))+ISNUMBER(SEARCH("Gerente de Marketing",C1317))+ISNUMBER(SEARCH("Growth Manager",C1317))+ISNUMBER(SEARCH("Demand Gen",C1317))+ISNUMBER(SEARCH("Marketing Lead",C1317))&gt;0,'Configuración'!$B$33,IF(ISNUMBER(SEARCH("COO",C1317))+ISNUMBER(SEARCH("CFO",C1317))+ISNUMBER(SEARCH("CTO",C1317))+ISNUMBER(SEARCH("Chief Operating",C1317))+ISNUMBER(SEARCH("Chief Financial",C1317))+ISNUMBER(SEARCH("Gerente General",C1317))+ISNUMBER(SEARCH("General Manager",C1317))&gt;0,'Configuración'!$B$34,'Configuración'!$B$35)))))</f>
        <v>12</v>
      </c>
      <c r="V1317" s="38">
        <f>IF(B1317="","",IF(K1317="Sí",'Configuración'!$B$5,0)+IF(L1317="Semanal",'Configuración'!$B$6,IF(L1317="Mensual",'Configuración'!$B$7,0))+IF(M1317="Sí",'Configuración'!$B$8,0)+IF(N1317="Sí",'Configuración'!$B$9,0)+IF(O1317="Sí",'Configuración'!$B$10,0)+IF(P1317="Sí",'Configuración'!$B$11,0)+IF(Q1317="Sí",'Configuración'!$B$12,0)+S1317+T1317+U1317)</f>
        <v>28</v>
      </c>
      <c r="W1317" s="39" t="str">
        <f>IF(B1317="","",IF(V1317&gt;='Configuración'!$B$19,"A",IF(V1317&gt;='Configuración'!$B$20,"B",IF(V1317&gt;='Configuración'!$B$21,"C","Descarte"))))</f>
        <v>C</v>
      </c>
    </row>
    <row r="1318" ht="15.75" customHeight="1">
      <c r="A1318" s="34">
        <f t="shared" si="1"/>
        <v>1316</v>
      </c>
      <c r="B1318" s="29" t="s">
        <v>1220</v>
      </c>
      <c r="C1318" s="29" t="s">
        <v>494</v>
      </c>
      <c r="D1318" s="29" t="s">
        <v>7490</v>
      </c>
      <c r="E1318" s="29" t="s">
        <v>7491</v>
      </c>
      <c r="F1318" s="30" t="s">
        <v>7492</v>
      </c>
      <c r="G1318" s="30" t="s">
        <v>7493</v>
      </c>
      <c r="H1318" s="30" t="s">
        <v>7494</v>
      </c>
      <c r="I1318" s="29" t="s">
        <v>337</v>
      </c>
      <c r="J1318" s="31">
        <v>14.0</v>
      </c>
      <c r="K1318" s="35"/>
      <c r="L1318" s="35"/>
      <c r="M1318" s="35"/>
      <c r="N1318" s="35"/>
      <c r="O1318" s="35"/>
      <c r="P1318" s="35"/>
      <c r="Q1318" s="35"/>
      <c r="R1318" s="35"/>
      <c r="S1318" s="37">
        <f>IF(B1318="","",IF(ISNUMBER(J1318),IF(J1318&lt;=10,'Configuración'!$B$23,IF(J1318&lt;=50,'Configuración'!$B$24,IF(J1318&lt;=200,'Configuración'!$B$25,0))),0))</f>
        <v>4</v>
      </c>
      <c r="T1318" s="37">
        <f>IF(B1318="","",IF(ISNUMBER(SEARCH("information technology",I1318))+ISNUMBER(SEARCH("software",I1318))+ISNUMBER(SEARCH("internet",I1318))+ISNUMBER(SEARCH("computer",I1318))+ISNUMBER(SEARCH("saas",I1318))+ISNUMBER(SEARCH("fintech",I1318))+ISNUMBER(SEARCH("information services",I1318))+ISNUMBER(SEARCH("telecommunications",I1318))&gt;0,'Configuración'!$B$27,'Configuración'!$B$28))</f>
        <v>4</v>
      </c>
      <c r="U1318" s="25">
        <f>IF(B1318="","",IF(ISNUMBER(SEARCH("CEO",C1318))+ISNUMBER(SEARCH("Founder",C1318))+ISNUMBER(SEARCH("Owner",C1318))+ISNUMBER(SEARCH("Dueño",C1318))+ISNUMBER(SEARCH("Director General",C1318))+ISNUMBER(SEARCH("Presidente",C1318))+ISNUMBER(SEARCH("President",C1318))&gt;0,'Configuración'!$B$31,IF(ISNUMBER(SEARCH("CMO",C1318))+ISNUMBER(SEARCH("Chief Marketing",C1318))+ISNUMBER(SEARCH("VP Marketing",C1318))+ISNUMBER(SEARCH("Director de Marketing",C1318))+ISNUMBER(SEARCH("Director Marketing",C1318))+ISNUMBER(SEARCH("Head of Marketing",C1318))+ISNUMBER(SEARCH("Head Marketing",C1318))&gt;0,'Configuración'!$B$32,IF(ISNUMBER(SEARCH("Marketing Manager",C1318))+ISNUMBER(SEARCH("Gerente de Marketing",C1318))+ISNUMBER(SEARCH("Growth Manager",C1318))+ISNUMBER(SEARCH("Demand Gen",C1318))+ISNUMBER(SEARCH("Marketing Lead",C1318))&gt;0,'Configuración'!$B$33,IF(ISNUMBER(SEARCH("COO",C1318))+ISNUMBER(SEARCH("CFO",C1318))+ISNUMBER(SEARCH("CTO",C1318))+ISNUMBER(SEARCH("Chief Operating",C1318))+ISNUMBER(SEARCH("Chief Financial",C1318))+ISNUMBER(SEARCH("Gerente General",C1318))+ISNUMBER(SEARCH("General Manager",C1318))&gt;0,'Configuración'!$B$34,'Configuración'!$B$35)))))</f>
        <v>4</v>
      </c>
      <c r="V1318" s="38">
        <f>IF(B1318="","",IF(K1318="Sí",'Configuración'!$B$5,0)+IF(L1318="Semanal",'Configuración'!$B$6,IF(L1318="Mensual",'Configuración'!$B$7,0))+IF(M1318="Sí",'Configuración'!$B$8,0)+IF(N1318="Sí",'Configuración'!$B$9,0)+IF(O1318="Sí",'Configuración'!$B$10,0)+IF(P1318="Sí",'Configuración'!$B$11,0)+IF(Q1318="Sí",'Configuración'!$B$12,0)+S1318+T1318+U1318)</f>
        <v>12</v>
      </c>
      <c r="W1318" s="39" t="str">
        <f>IF(B1318="","",IF(V1318&gt;='Configuración'!$B$19,"A",IF(V1318&gt;='Configuración'!$B$20,"B",IF(V1318&gt;='Configuración'!$B$21,"C","Descarte"))))</f>
        <v>Descarte</v>
      </c>
    </row>
    <row r="1319" ht="15.75" customHeight="1">
      <c r="A1319" s="34">
        <f t="shared" si="1"/>
        <v>1317</v>
      </c>
      <c r="B1319" s="29" t="s">
        <v>2740</v>
      </c>
      <c r="C1319" s="29" t="s">
        <v>175</v>
      </c>
      <c r="D1319" s="29" t="s">
        <v>7495</v>
      </c>
      <c r="E1319" s="29" t="s">
        <v>7496</v>
      </c>
      <c r="F1319" s="30" t="s">
        <v>7497</v>
      </c>
      <c r="G1319" s="30" t="s">
        <v>7498</v>
      </c>
      <c r="H1319" s="30" t="s">
        <v>7499</v>
      </c>
      <c r="I1319" s="29" t="s">
        <v>116</v>
      </c>
      <c r="J1319" s="31">
        <v>1.0</v>
      </c>
      <c r="K1319" s="35"/>
      <c r="L1319" s="35"/>
      <c r="M1319" s="35"/>
      <c r="N1319" s="35"/>
      <c r="O1319" s="35"/>
      <c r="P1319" s="35"/>
      <c r="Q1319" s="35"/>
      <c r="R1319" s="35"/>
      <c r="S1319" s="37">
        <f>IF(B1319="","",IF(ISNUMBER(J1319),IF(J1319&lt;=10,'Configuración'!$B$23,IF(J1319&lt;=50,'Configuración'!$B$24,IF(J1319&lt;=200,'Configuración'!$B$25,0))),0))</f>
        <v>12</v>
      </c>
      <c r="T1319" s="37">
        <f>IF(B1319="","",IF(ISNUMBER(SEARCH("information technology",I1319))+ISNUMBER(SEARCH("software",I1319))+ISNUMBER(SEARCH("internet",I1319))+ISNUMBER(SEARCH("computer",I1319))+ISNUMBER(SEARCH("saas",I1319))+ISNUMBER(SEARCH("fintech",I1319))+ISNUMBER(SEARCH("information services",I1319))+ISNUMBER(SEARCH("telecommunications",I1319))&gt;0,'Configuración'!$B$27,'Configuración'!$B$28))</f>
        <v>4</v>
      </c>
      <c r="U1319" s="25">
        <f>IF(B1319="","",IF(ISNUMBER(SEARCH("CEO",C1319))+ISNUMBER(SEARCH("Founder",C1319))+ISNUMBER(SEARCH("Owner",C1319))+ISNUMBER(SEARCH("Dueño",C1319))+ISNUMBER(SEARCH("Director General",C1319))+ISNUMBER(SEARCH("Presidente",C1319))+ISNUMBER(SEARCH("President",C1319))&gt;0,'Configuración'!$B$31,IF(ISNUMBER(SEARCH("CMO",C1319))+ISNUMBER(SEARCH("Chief Marketing",C1319))+ISNUMBER(SEARCH("VP Marketing",C1319))+ISNUMBER(SEARCH("Director de Marketing",C1319))+ISNUMBER(SEARCH("Director Marketing",C1319))+ISNUMBER(SEARCH("Head of Marketing",C1319))+ISNUMBER(SEARCH("Head Marketing",C1319))&gt;0,'Configuración'!$B$32,IF(ISNUMBER(SEARCH("Marketing Manager",C1319))+ISNUMBER(SEARCH("Gerente de Marketing",C1319))+ISNUMBER(SEARCH("Growth Manager",C1319))+ISNUMBER(SEARCH("Demand Gen",C1319))+ISNUMBER(SEARCH("Marketing Lead",C1319))&gt;0,'Configuración'!$B$33,IF(ISNUMBER(SEARCH("COO",C1319))+ISNUMBER(SEARCH("CFO",C1319))+ISNUMBER(SEARCH("CTO",C1319))+ISNUMBER(SEARCH("Chief Operating",C1319))+ISNUMBER(SEARCH("Chief Financial",C1319))+ISNUMBER(SEARCH("Gerente General",C1319))+ISNUMBER(SEARCH("General Manager",C1319))&gt;0,'Configuración'!$B$34,'Configuración'!$B$35)))))</f>
        <v>12</v>
      </c>
      <c r="V1319" s="38">
        <f>IF(B1319="","",IF(K1319="Sí",'Configuración'!$B$5,0)+IF(L1319="Semanal",'Configuración'!$B$6,IF(L1319="Mensual",'Configuración'!$B$7,0))+IF(M1319="Sí",'Configuración'!$B$8,0)+IF(N1319="Sí",'Configuración'!$B$9,0)+IF(O1319="Sí",'Configuración'!$B$10,0)+IF(P1319="Sí",'Configuración'!$B$11,0)+IF(Q1319="Sí",'Configuración'!$B$12,0)+S1319+T1319+U1319)</f>
        <v>28</v>
      </c>
      <c r="W1319" s="39" t="str">
        <f>IF(B1319="","",IF(V1319&gt;='Configuración'!$B$19,"A",IF(V1319&gt;='Configuración'!$B$20,"B",IF(V1319&gt;='Configuración'!$B$21,"C","Descarte"))))</f>
        <v>C</v>
      </c>
    </row>
    <row r="1320" ht="15.75" customHeight="1">
      <c r="A1320" s="34">
        <f t="shared" si="1"/>
        <v>1318</v>
      </c>
      <c r="B1320" s="29" t="s">
        <v>725</v>
      </c>
      <c r="C1320" s="29" t="s">
        <v>146</v>
      </c>
      <c r="D1320" s="29" t="s">
        <v>7500</v>
      </c>
      <c r="E1320" s="29" t="s">
        <v>7501</v>
      </c>
      <c r="F1320" s="30" t="s">
        <v>7502</v>
      </c>
      <c r="G1320" s="30" t="s">
        <v>7503</v>
      </c>
      <c r="H1320" s="30" t="s">
        <v>7504</v>
      </c>
      <c r="I1320" s="29" t="s">
        <v>380</v>
      </c>
      <c r="J1320" s="31">
        <v>8.0</v>
      </c>
      <c r="K1320" s="35"/>
      <c r="L1320" s="35"/>
      <c r="M1320" s="35"/>
      <c r="N1320" s="35"/>
      <c r="O1320" s="35"/>
      <c r="P1320" s="35"/>
      <c r="Q1320" s="35"/>
      <c r="R1320" s="35"/>
      <c r="S1320" s="37">
        <f>IF(B1320="","",IF(ISNUMBER(J1320),IF(J1320&lt;=10,'Configuración'!$B$23,IF(J1320&lt;=50,'Configuración'!$B$24,IF(J1320&lt;=200,'Configuración'!$B$25,0))),0))</f>
        <v>12</v>
      </c>
      <c r="T1320" s="37">
        <f>IF(B1320="","",IF(ISNUMBER(SEARCH("information technology",I1320))+ISNUMBER(SEARCH("software",I1320))+ISNUMBER(SEARCH("internet",I1320))+ISNUMBER(SEARCH("computer",I1320))+ISNUMBER(SEARCH("saas",I1320))+ISNUMBER(SEARCH("fintech",I1320))+ISNUMBER(SEARCH("information services",I1320))+ISNUMBER(SEARCH("telecommunications",I1320))&gt;0,'Configuración'!$B$27,'Configuración'!$B$28))</f>
        <v>4</v>
      </c>
      <c r="U1320" s="25">
        <f>IF(B1320="","",IF(ISNUMBER(SEARCH("CEO",C1320))+ISNUMBER(SEARCH("Founder",C1320))+ISNUMBER(SEARCH("Owner",C1320))+ISNUMBER(SEARCH("Dueño",C1320))+ISNUMBER(SEARCH("Director General",C1320))+ISNUMBER(SEARCH("Presidente",C1320))+ISNUMBER(SEARCH("President",C1320))&gt;0,'Configuración'!$B$31,IF(ISNUMBER(SEARCH("CMO",C1320))+ISNUMBER(SEARCH("Chief Marketing",C1320))+ISNUMBER(SEARCH("VP Marketing",C1320))+ISNUMBER(SEARCH("Director de Marketing",C1320))+ISNUMBER(SEARCH("Director Marketing",C1320))+ISNUMBER(SEARCH("Head of Marketing",C1320))+ISNUMBER(SEARCH("Head Marketing",C1320))&gt;0,'Configuración'!$B$32,IF(ISNUMBER(SEARCH("Marketing Manager",C1320))+ISNUMBER(SEARCH("Gerente de Marketing",C1320))+ISNUMBER(SEARCH("Growth Manager",C1320))+ISNUMBER(SEARCH("Demand Gen",C1320))+ISNUMBER(SEARCH("Marketing Lead",C1320))&gt;0,'Configuración'!$B$33,IF(ISNUMBER(SEARCH("COO",C1320))+ISNUMBER(SEARCH("CFO",C1320))+ISNUMBER(SEARCH("CTO",C1320))+ISNUMBER(SEARCH("Chief Operating",C1320))+ISNUMBER(SEARCH("Chief Financial",C1320))+ISNUMBER(SEARCH("Gerente General",C1320))+ISNUMBER(SEARCH("General Manager",C1320))&gt;0,'Configuración'!$B$34,'Configuración'!$B$35)))))</f>
        <v>0</v>
      </c>
      <c r="V1320" s="38">
        <f>IF(B1320="","",IF(K1320="Sí",'Configuración'!$B$5,0)+IF(L1320="Semanal",'Configuración'!$B$6,IF(L1320="Mensual",'Configuración'!$B$7,0))+IF(M1320="Sí",'Configuración'!$B$8,0)+IF(N1320="Sí",'Configuración'!$B$9,0)+IF(O1320="Sí",'Configuración'!$B$10,0)+IF(P1320="Sí",'Configuración'!$B$11,0)+IF(Q1320="Sí",'Configuración'!$B$12,0)+S1320+T1320+U1320)</f>
        <v>16</v>
      </c>
      <c r="W1320" s="39" t="str">
        <f>IF(B1320="","",IF(V1320&gt;='Configuración'!$B$19,"A",IF(V1320&gt;='Configuración'!$B$20,"B",IF(V1320&gt;='Configuración'!$B$21,"C","Descarte"))))</f>
        <v>Descarte</v>
      </c>
    </row>
    <row r="1321" ht="15.75" customHeight="1">
      <c r="A1321" s="34">
        <f t="shared" si="1"/>
        <v>1319</v>
      </c>
      <c r="B1321" s="29" t="s">
        <v>556</v>
      </c>
      <c r="C1321" s="29" t="s">
        <v>202</v>
      </c>
      <c r="D1321" s="29" t="s">
        <v>7505</v>
      </c>
      <c r="E1321" s="29" t="s">
        <v>7506</v>
      </c>
      <c r="F1321" s="30" t="s">
        <v>7507</v>
      </c>
      <c r="G1321" s="30" t="s">
        <v>7508</v>
      </c>
      <c r="H1321" s="30" t="s">
        <v>7509</v>
      </c>
      <c r="I1321" s="29" t="s">
        <v>628</v>
      </c>
      <c r="J1321" s="31">
        <v>7.0</v>
      </c>
      <c r="K1321" s="35"/>
      <c r="L1321" s="35"/>
      <c r="M1321" s="35"/>
      <c r="N1321" s="35"/>
      <c r="O1321" s="35"/>
      <c r="P1321" s="35"/>
      <c r="Q1321" s="35"/>
      <c r="R1321" s="35"/>
      <c r="S1321" s="37">
        <f>IF(B1321="","",IF(ISNUMBER(J1321),IF(J1321&lt;=10,'Configuración'!$B$23,IF(J1321&lt;=50,'Configuración'!$B$24,IF(J1321&lt;=200,'Configuración'!$B$25,0))),0))</f>
        <v>12</v>
      </c>
      <c r="T1321" s="37">
        <f>IF(B1321="","",IF(ISNUMBER(SEARCH("information technology",I1321))+ISNUMBER(SEARCH("software",I1321))+ISNUMBER(SEARCH("internet",I1321))+ISNUMBER(SEARCH("computer",I1321))+ISNUMBER(SEARCH("saas",I1321))+ISNUMBER(SEARCH("fintech",I1321))+ISNUMBER(SEARCH("information services",I1321))+ISNUMBER(SEARCH("telecommunications",I1321))&gt;0,'Configuración'!$B$27,'Configuración'!$B$28))</f>
        <v>4</v>
      </c>
      <c r="U1321" s="25">
        <f>IF(B1321="","",IF(ISNUMBER(SEARCH("CEO",C1321))+ISNUMBER(SEARCH("Founder",C1321))+ISNUMBER(SEARCH("Owner",C1321))+ISNUMBER(SEARCH("Dueño",C1321))+ISNUMBER(SEARCH("Director General",C1321))+ISNUMBER(SEARCH("Presidente",C1321))+ISNUMBER(SEARCH("President",C1321))&gt;0,'Configuración'!$B$31,IF(ISNUMBER(SEARCH("CMO",C1321))+ISNUMBER(SEARCH("Chief Marketing",C1321))+ISNUMBER(SEARCH("VP Marketing",C1321))+ISNUMBER(SEARCH("Director de Marketing",C1321))+ISNUMBER(SEARCH("Director Marketing",C1321))+ISNUMBER(SEARCH("Head of Marketing",C1321))+ISNUMBER(SEARCH("Head Marketing",C1321))&gt;0,'Configuración'!$B$32,IF(ISNUMBER(SEARCH("Marketing Manager",C1321))+ISNUMBER(SEARCH("Gerente de Marketing",C1321))+ISNUMBER(SEARCH("Growth Manager",C1321))+ISNUMBER(SEARCH("Demand Gen",C1321))+ISNUMBER(SEARCH("Marketing Lead",C1321))&gt;0,'Configuración'!$B$33,IF(ISNUMBER(SEARCH("COO",C1321))+ISNUMBER(SEARCH("CFO",C1321))+ISNUMBER(SEARCH("CTO",C1321))+ISNUMBER(SEARCH("Chief Operating",C1321))+ISNUMBER(SEARCH("Chief Financial",C1321))+ISNUMBER(SEARCH("Gerente General",C1321))+ISNUMBER(SEARCH("General Manager",C1321))&gt;0,'Configuración'!$B$34,'Configuración'!$B$35)))))</f>
        <v>12</v>
      </c>
      <c r="V1321" s="38">
        <f>IF(B1321="","",IF(K1321="Sí",'Configuración'!$B$5,0)+IF(L1321="Semanal",'Configuración'!$B$6,IF(L1321="Mensual",'Configuración'!$B$7,0))+IF(M1321="Sí",'Configuración'!$B$8,0)+IF(N1321="Sí",'Configuración'!$B$9,0)+IF(O1321="Sí",'Configuración'!$B$10,0)+IF(P1321="Sí",'Configuración'!$B$11,0)+IF(Q1321="Sí",'Configuración'!$B$12,0)+S1321+T1321+U1321)</f>
        <v>28</v>
      </c>
      <c r="W1321" s="39" t="str">
        <f>IF(B1321="","",IF(V1321&gt;='Configuración'!$B$19,"A",IF(V1321&gt;='Configuración'!$B$20,"B",IF(V1321&gt;='Configuración'!$B$21,"C","Descarte"))))</f>
        <v>C</v>
      </c>
    </row>
    <row r="1322" ht="15.75" customHeight="1">
      <c r="A1322" s="34">
        <f t="shared" si="1"/>
        <v>1320</v>
      </c>
      <c r="B1322" s="29" t="s">
        <v>7510</v>
      </c>
      <c r="C1322" s="29" t="s">
        <v>131</v>
      </c>
      <c r="D1322" s="29" t="s">
        <v>7511</v>
      </c>
      <c r="E1322" s="29" t="s">
        <v>7512</v>
      </c>
      <c r="F1322" s="30" t="s">
        <v>7513</v>
      </c>
      <c r="G1322" s="30" t="s">
        <v>7514</v>
      </c>
      <c r="H1322" s="30" t="s">
        <v>7515</v>
      </c>
      <c r="I1322" s="29" t="s">
        <v>380</v>
      </c>
      <c r="J1322" s="31">
        <v>32.0</v>
      </c>
      <c r="K1322" s="35"/>
      <c r="L1322" s="35"/>
      <c r="M1322" s="35"/>
      <c r="N1322" s="35"/>
      <c r="O1322" s="35"/>
      <c r="P1322" s="35"/>
      <c r="Q1322" s="35"/>
      <c r="R1322" s="35"/>
      <c r="S1322" s="37">
        <f>IF(B1322="","",IF(ISNUMBER(J1322),IF(J1322&lt;=10,'Configuración'!$B$23,IF(J1322&lt;=50,'Configuración'!$B$24,IF(J1322&lt;=200,'Configuración'!$B$25,0))),0))</f>
        <v>4</v>
      </c>
      <c r="T1322" s="37">
        <f>IF(B1322="","",IF(ISNUMBER(SEARCH("information technology",I1322))+ISNUMBER(SEARCH("software",I1322))+ISNUMBER(SEARCH("internet",I1322))+ISNUMBER(SEARCH("computer",I1322))+ISNUMBER(SEARCH("saas",I1322))+ISNUMBER(SEARCH("fintech",I1322))+ISNUMBER(SEARCH("information services",I1322))+ISNUMBER(SEARCH("telecommunications",I1322))&gt;0,'Configuración'!$B$27,'Configuración'!$B$28))</f>
        <v>4</v>
      </c>
      <c r="U1322" s="25">
        <f>IF(B1322="","",IF(ISNUMBER(SEARCH("CEO",C1322))+ISNUMBER(SEARCH("Founder",C1322))+ISNUMBER(SEARCH("Owner",C1322))+ISNUMBER(SEARCH("Dueño",C1322))+ISNUMBER(SEARCH("Director General",C1322))+ISNUMBER(SEARCH("Presidente",C1322))+ISNUMBER(SEARCH("President",C1322))&gt;0,'Configuración'!$B$31,IF(ISNUMBER(SEARCH("CMO",C1322))+ISNUMBER(SEARCH("Chief Marketing",C1322))+ISNUMBER(SEARCH("VP Marketing",C1322))+ISNUMBER(SEARCH("Director de Marketing",C1322))+ISNUMBER(SEARCH("Director Marketing",C1322))+ISNUMBER(SEARCH("Head of Marketing",C1322))+ISNUMBER(SEARCH("Head Marketing",C1322))&gt;0,'Configuración'!$B$32,IF(ISNUMBER(SEARCH("Marketing Manager",C1322))+ISNUMBER(SEARCH("Gerente de Marketing",C1322))+ISNUMBER(SEARCH("Growth Manager",C1322))+ISNUMBER(SEARCH("Demand Gen",C1322))+ISNUMBER(SEARCH("Marketing Lead",C1322))&gt;0,'Configuración'!$B$33,IF(ISNUMBER(SEARCH("COO",C1322))+ISNUMBER(SEARCH("CFO",C1322))+ISNUMBER(SEARCH("CTO",C1322))+ISNUMBER(SEARCH("Chief Operating",C1322))+ISNUMBER(SEARCH("Chief Financial",C1322))+ISNUMBER(SEARCH("Gerente General",C1322))+ISNUMBER(SEARCH("General Manager",C1322))&gt;0,'Configuración'!$B$34,'Configuración'!$B$35)))))</f>
        <v>12</v>
      </c>
      <c r="V1322" s="38">
        <f>IF(B1322="","",IF(K1322="Sí",'Configuración'!$B$5,0)+IF(L1322="Semanal",'Configuración'!$B$6,IF(L1322="Mensual",'Configuración'!$B$7,0))+IF(M1322="Sí",'Configuración'!$B$8,0)+IF(N1322="Sí",'Configuración'!$B$9,0)+IF(O1322="Sí",'Configuración'!$B$10,0)+IF(P1322="Sí",'Configuración'!$B$11,0)+IF(Q1322="Sí",'Configuración'!$B$12,0)+S1322+T1322+U1322)</f>
        <v>20</v>
      </c>
      <c r="W1322" s="39" t="str">
        <f>IF(B1322="","",IF(V1322&gt;='Configuración'!$B$19,"A",IF(V1322&gt;='Configuración'!$B$20,"B",IF(V1322&gt;='Configuración'!$B$21,"C","Descarte"))))</f>
        <v>Descarte</v>
      </c>
    </row>
    <row r="1323" ht="15.75" customHeight="1">
      <c r="A1323" s="34">
        <f t="shared" si="1"/>
        <v>1321</v>
      </c>
      <c r="B1323" s="29" t="s">
        <v>2094</v>
      </c>
      <c r="C1323" s="29" t="s">
        <v>7516</v>
      </c>
      <c r="D1323" s="29" t="s">
        <v>7517</v>
      </c>
      <c r="E1323" s="29" t="s">
        <v>7518</v>
      </c>
      <c r="F1323" s="30" t="s">
        <v>7519</v>
      </c>
      <c r="G1323" s="30" t="s">
        <v>7520</v>
      </c>
      <c r="H1323" s="30" t="s">
        <v>7521</v>
      </c>
      <c r="I1323" s="29" t="s">
        <v>127</v>
      </c>
      <c r="J1323" s="31">
        <v>5.0</v>
      </c>
      <c r="K1323" s="35"/>
      <c r="L1323" s="35"/>
      <c r="M1323" s="35"/>
      <c r="N1323" s="35"/>
      <c r="O1323" s="35"/>
      <c r="P1323" s="35"/>
      <c r="Q1323" s="35"/>
      <c r="R1323" s="35"/>
      <c r="S1323" s="37">
        <f>IF(B1323="","",IF(ISNUMBER(J1323),IF(J1323&lt;=10,'Configuración'!$B$23,IF(J1323&lt;=50,'Configuración'!$B$24,IF(J1323&lt;=200,'Configuración'!$B$25,0))),0))</f>
        <v>12</v>
      </c>
      <c r="T1323" s="37">
        <f>IF(B1323="","",IF(ISNUMBER(SEARCH("information technology",I1323))+ISNUMBER(SEARCH("software",I1323))+ISNUMBER(SEARCH("internet",I1323))+ISNUMBER(SEARCH("computer",I1323))+ISNUMBER(SEARCH("saas",I1323))+ISNUMBER(SEARCH("fintech",I1323))+ISNUMBER(SEARCH("information services",I1323))+ISNUMBER(SEARCH("telecommunications",I1323))&gt;0,'Configuración'!$B$27,'Configuración'!$B$28))</f>
        <v>12</v>
      </c>
      <c r="U1323" s="25">
        <f>IF(B1323="","",IF(ISNUMBER(SEARCH("CEO",C1323))+ISNUMBER(SEARCH("Founder",C1323))+ISNUMBER(SEARCH("Owner",C1323))+ISNUMBER(SEARCH("Dueño",C1323))+ISNUMBER(SEARCH("Director General",C1323))+ISNUMBER(SEARCH("Presidente",C1323))+ISNUMBER(SEARCH("President",C1323))&gt;0,'Configuración'!$B$31,IF(ISNUMBER(SEARCH("CMO",C1323))+ISNUMBER(SEARCH("Chief Marketing",C1323))+ISNUMBER(SEARCH("VP Marketing",C1323))+ISNUMBER(SEARCH("Director de Marketing",C1323))+ISNUMBER(SEARCH("Director Marketing",C1323))+ISNUMBER(SEARCH("Head of Marketing",C1323))+ISNUMBER(SEARCH("Head Marketing",C1323))&gt;0,'Configuración'!$B$32,IF(ISNUMBER(SEARCH("Marketing Manager",C1323))+ISNUMBER(SEARCH("Gerente de Marketing",C1323))+ISNUMBER(SEARCH("Growth Manager",C1323))+ISNUMBER(SEARCH("Demand Gen",C1323))+ISNUMBER(SEARCH("Marketing Lead",C1323))&gt;0,'Configuración'!$B$33,IF(ISNUMBER(SEARCH("COO",C1323))+ISNUMBER(SEARCH("CFO",C1323))+ISNUMBER(SEARCH("CTO",C1323))+ISNUMBER(SEARCH("Chief Operating",C1323))+ISNUMBER(SEARCH("Chief Financial",C1323))+ISNUMBER(SEARCH("Gerente General",C1323))+ISNUMBER(SEARCH("General Manager",C1323))&gt;0,'Configuración'!$B$34,'Configuración'!$B$35)))))</f>
        <v>4</v>
      </c>
      <c r="V1323" s="38">
        <f>IF(B1323="","",IF(K1323="Sí",'Configuración'!$B$5,0)+IF(L1323="Semanal",'Configuración'!$B$6,IF(L1323="Mensual",'Configuración'!$B$7,0))+IF(M1323="Sí",'Configuración'!$B$8,0)+IF(N1323="Sí",'Configuración'!$B$9,0)+IF(O1323="Sí",'Configuración'!$B$10,0)+IF(P1323="Sí",'Configuración'!$B$11,0)+IF(Q1323="Sí",'Configuración'!$B$12,0)+S1323+T1323+U1323)</f>
        <v>28</v>
      </c>
      <c r="W1323" s="39" t="str">
        <f>IF(B1323="","",IF(V1323&gt;='Configuración'!$B$19,"A",IF(V1323&gt;='Configuración'!$B$20,"B",IF(V1323&gt;='Configuración'!$B$21,"C","Descarte"))))</f>
        <v>C</v>
      </c>
    </row>
    <row r="1324" ht="15.75" customHeight="1">
      <c r="A1324" s="34">
        <f t="shared" si="1"/>
        <v>1322</v>
      </c>
      <c r="B1324" s="29" t="s">
        <v>7522</v>
      </c>
      <c r="C1324" s="29" t="s">
        <v>7523</v>
      </c>
      <c r="D1324" s="29" t="s">
        <v>7524</v>
      </c>
      <c r="E1324" s="29" t="s">
        <v>7525</v>
      </c>
      <c r="F1324" s="30" t="s">
        <v>7526</v>
      </c>
      <c r="G1324" s="30" t="s">
        <v>7527</v>
      </c>
      <c r="H1324" s="30" t="s">
        <v>7528</v>
      </c>
      <c r="I1324" s="29" t="s">
        <v>847</v>
      </c>
      <c r="J1324" s="31">
        <v>6.0</v>
      </c>
      <c r="K1324" s="35"/>
      <c r="L1324" s="35"/>
      <c r="M1324" s="35"/>
      <c r="N1324" s="35"/>
      <c r="O1324" s="35"/>
      <c r="P1324" s="35"/>
      <c r="Q1324" s="35"/>
      <c r="R1324" s="35"/>
      <c r="S1324" s="37">
        <f>IF(B1324="","",IF(ISNUMBER(J1324),IF(J1324&lt;=10,'Configuración'!$B$23,IF(J1324&lt;=50,'Configuración'!$B$24,IF(J1324&lt;=200,'Configuración'!$B$25,0))),0))</f>
        <v>12</v>
      </c>
      <c r="T1324" s="37">
        <f>IF(B1324="","",IF(ISNUMBER(SEARCH("information technology",I1324))+ISNUMBER(SEARCH("software",I1324))+ISNUMBER(SEARCH("internet",I1324))+ISNUMBER(SEARCH("computer",I1324))+ISNUMBER(SEARCH("saas",I1324))+ISNUMBER(SEARCH("fintech",I1324))+ISNUMBER(SEARCH("information services",I1324))+ISNUMBER(SEARCH("telecommunications",I1324))&gt;0,'Configuración'!$B$27,'Configuración'!$B$28))</f>
        <v>4</v>
      </c>
      <c r="U1324" s="25">
        <f>IF(B1324="","",IF(ISNUMBER(SEARCH("CEO",C1324))+ISNUMBER(SEARCH("Founder",C1324))+ISNUMBER(SEARCH("Owner",C1324))+ISNUMBER(SEARCH("Dueño",C1324))+ISNUMBER(SEARCH("Director General",C1324))+ISNUMBER(SEARCH("Presidente",C1324))+ISNUMBER(SEARCH("President",C1324))&gt;0,'Configuración'!$B$31,IF(ISNUMBER(SEARCH("CMO",C1324))+ISNUMBER(SEARCH("Chief Marketing",C1324))+ISNUMBER(SEARCH("VP Marketing",C1324))+ISNUMBER(SEARCH("Director de Marketing",C1324))+ISNUMBER(SEARCH("Director Marketing",C1324))+ISNUMBER(SEARCH("Head of Marketing",C1324))+ISNUMBER(SEARCH("Head Marketing",C1324))&gt;0,'Configuración'!$B$32,IF(ISNUMBER(SEARCH("Marketing Manager",C1324))+ISNUMBER(SEARCH("Gerente de Marketing",C1324))+ISNUMBER(SEARCH("Growth Manager",C1324))+ISNUMBER(SEARCH("Demand Gen",C1324))+ISNUMBER(SEARCH("Marketing Lead",C1324))&gt;0,'Configuración'!$B$33,IF(ISNUMBER(SEARCH("COO",C1324))+ISNUMBER(SEARCH("CFO",C1324))+ISNUMBER(SEARCH("CTO",C1324))+ISNUMBER(SEARCH("Chief Operating",C1324))+ISNUMBER(SEARCH("Chief Financial",C1324))+ISNUMBER(SEARCH("Gerente General",C1324))+ISNUMBER(SEARCH("General Manager",C1324))&gt;0,'Configuración'!$B$34,'Configuración'!$B$35)))))</f>
        <v>0</v>
      </c>
      <c r="V1324" s="38">
        <f>IF(B1324="","",IF(K1324="Sí",'Configuración'!$B$5,0)+IF(L1324="Semanal",'Configuración'!$B$6,IF(L1324="Mensual",'Configuración'!$B$7,0))+IF(M1324="Sí",'Configuración'!$B$8,0)+IF(N1324="Sí",'Configuración'!$B$9,0)+IF(O1324="Sí",'Configuración'!$B$10,0)+IF(P1324="Sí",'Configuración'!$B$11,0)+IF(Q1324="Sí",'Configuración'!$B$12,0)+S1324+T1324+U1324)</f>
        <v>16</v>
      </c>
      <c r="W1324" s="39" t="str">
        <f>IF(B1324="","",IF(V1324&gt;='Configuración'!$B$19,"A",IF(V1324&gt;='Configuración'!$B$20,"B",IF(V1324&gt;='Configuración'!$B$21,"C","Descarte"))))</f>
        <v>Descarte</v>
      </c>
    </row>
    <row r="1325" ht="15.75" customHeight="1">
      <c r="A1325" s="34">
        <f t="shared" si="1"/>
        <v>1323</v>
      </c>
      <c r="B1325" s="29" t="s">
        <v>1623</v>
      </c>
      <c r="C1325" s="29" t="s">
        <v>131</v>
      </c>
      <c r="D1325" s="29" t="s">
        <v>7529</v>
      </c>
      <c r="E1325" s="29" t="s">
        <v>7530</v>
      </c>
      <c r="F1325" s="30" t="s">
        <v>7531</v>
      </c>
      <c r="G1325" s="30" t="s">
        <v>7532</v>
      </c>
      <c r="H1325" s="30" t="s">
        <v>7533</v>
      </c>
      <c r="I1325" s="29" t="s">
        <v>127</v>
      </c>
      <c r="J1325" s="31">
        <v>2.0</v>
      </c>
      <c r="K1325" s="35"/>
      <c r="L1325" s="35"/>
      <c r="M1325" s="35"/>
      <c r="N1325" s="35"/>
      <c r="O1325" s="35"/>
      <c r="P1325" s="35"/>
      <c r="Q1325" s="35"/>
      <c r="R1325" s="35"/>
      <c r="S1325" s="37">
        <f>IF(B1325="","",IF(ISNUMBER(J1325),IF(J1325&lt;=10,'Configuración'!$B$23,IF(J1325&lt;=50,'Configuración'!$B$24,IF(J1325&lt;=200,'Configuración'!$B$25,0))),0))</f>
        <v>12</v>
      </c>
      <c r="T1325" s="37">
        <f>IF(B1325="","",IF(ISNUMBER(SEARCH("information technology",I1325))+ISNUMBER(SEARCH("software",I1325))+ISNUMBER(SEARCH("internet",I1325))+ISNUMBER(SEARCH("computer",I1325))+ISNUMBER(SEARCH("saas",I1325))+ISNUMBER(SEARCH("fintech",I1325))+ISNUMBER(SEARCH("information services",I1325))+ISNUMBER(SEARCH("telecommunications",I1325))&gt;0,'Configuración'!$B$27,'Configuración'!$B$28))</f>
        <v>12</v>
      </c>
      <c r="U1325" s="25">
        <f>IF(B1325="","",IF(ISNUMBER(SEARCH("CEO",C1325))+ISNUMBER(SEARCH("Founder",C1325))+ISNUMBER(SEARCH("Owner",C1325))+ISNUMBER(SEARCH("Dueño",C1325))+ISNUMBER(SEARCH("Director General",C1325))+ISNUMBER(SEARCH("Presidente",C1325))+ISNUMBER(SEARCH("President",C1325))&gt;0,'Configuración'!$B$31,IF(ISNUMBER(SEARCH("CMO",C1325))+ISNUMBER(SEARCH("Chief Marketing",C1325))+ISNUMBER(SEARCH("VP Marketing",C1325))+ISNUMBER(SEARCH("Director de Marketing",C1325))+ISNUMBER(SEARCH("Director Marketing",C1325))+ISNUMBER(SEARCH("Head of Marketing",C1325))+ISNUMBER(SEARCH("Head Marketing",C1325))&gt;0,'Configuración'!$B$32,IF(ISNUMBER(SEARCH("Marketing Manager",C1325))+ISNUMBER(SEARCH("Gerente de Marketing",C1325))+ISNUMBER(SEARCH("Growth Manager",C1325))+ISNUMBER(SEARCH("Demand Gen",C1325))+ISNUMBER(SEARCH("Marketing Lead",C1325))&gt;0,'Configuración'!$B$33,IF(ISNUMBER(SEARCH("COO",C1325))+ISNUMBER(SEARCH("CFO",C1325))+ISNUMBER(SEARCH("CTO",C1325))+ISNUMBER(SEARCH("Chief Operating",C1325))+ISNUMBER(SEARCH("Chief Financial",C1325))+ISNUMBER(SEARCH("Gerente General",C1325))+ISNUMBER(SEARCH("General Manager",C1325))&gt;0,'Configuración'!$B$34,'Configuración'!$B$35)))))</f>
        <v>12</v>
      </c>
      <c r="V1325" s="38">
        <f>IF(B1325="","",IF(K1325="Sí",'Configuración'!$B$5,0)+IF(L1325="Semanal",'Configuración'!$B$6,IF(L1325="Mensual",'Configuración'!$B$7,0))+IF(M1325="Sí",'Configuración'!$B$8,0)+IF(N1325="Sí",'Configuración'!$B$9,0)+IF(O1325="Sí",'Configuración'!$B$10,0)+IF(P1325="Sí",'Configuración'!$B$11,0)+IF(Q1325="Sí",'Configuración'!$B$12,0)+S1325+T1325+U1325)</f>
        <v>36</v>
      </c>
      <c r="W1325" s="39" t="str">
        <f>IF(B1325="","",IF(V1325&gt;='Configuración'!$B$19,"A",IF(V1325&gt;='Configuración'!$B$20,"B",IF(V1325&gt;='Configuración'!$B$21,"C","Descarte"))))</f>
        <v>C</v>
      </c>
    </row>
    <row r="1326" ht="15.75" customHeight="1">
      <c r="A1326" s="34">
        <f t="shared" si="1"/>
        <v>1324</v>
      </c>
      <c r="B1326" s="29" t="s">
        <v>610</v>
      </c>
      <c r="C1326" s="29" t="s">
        <v>131</v>
      </c>
      <c r="D1326" s="29" t="s">
        <v>7534</v>
      </c>
      <c r="E1326" s="29" t="s">
        <v>7535</v>
      </c>
      <c r="F1326" s="30" t="s">
        <v>7536</v>
      </c>
      <c r="G1326" s="30" t="s">
        <v>7537</v>
      </c>
      <c r="H1326" s="30" t="s">
        <v>7538</v>
      </c>
      <c r="I1326" s="29"/>
      <c r="J1326" s="31">
        <v>14.0</v>
      </c>
      <c r="K1326" s="35"/>
      <c r="L1326" s="35"/>
      <c r="M1326" s="35"/>
      <c r="N1326" s="35"/>
      <c r="O1326" s="35"/>
      <c r="P1326" s="35"/>
      <c r="Q1326" s="35"/>
      <c r="R1326" s="35"/>
      <c r="S1326" s="37">
        <f>IF(B1326="","",IF(ISNUMBER(J1326),IF(J1326&lt;=10,'Configuración'!$B$23,IF(J1326&lt;=50,'Configuración'!$B$24,IF(J1326&lt;=200,'Configuración'!$B$25,0))),0))</f>
        <v>4</v>
      </c>
      <c r="T1326" s="37">
        <f>IF(B1326="","",IF(ISNUMBER(SEARCH("information technology",I1326))+ISNUMBER(SEARCH("software",I1326))+ISNUMBER(SEARCH("internet",I1326))+ISNUMBER(SEARCH("computer",I1326))+ISNUMBER(SEARCH("saas",I1326))+ISNUMBER(SEARCH("fintech",I1326))+ISNUMBER(SEARCH("information services",I1326))+ISNUMBER(SEARCH("telecommunications",I1326))&gt;0,'Configuración'!$B$27,'Configuración'!$B$28))</f>
        <v>4</v>
      </c>
      <c r="U1326" s="25">
        <f>IF(B1326="","",IF(ISNUMBER(SEARCH("CEO",C1326))+ISNUMBER(SEARCH("Founder",C1326))+ISNUMBER(SEARCH("Owner",C1326))+ISNUMBER(SEARCH("Dueño",C1326))+ISNUMBER(SEARCH("Director General",C1326))+ISNUMBER(SEARCH("Presidente",C1326))+ISNUMBER(SEARCH("President",C1326))&gt;0,'Configuración'!$B$31,IF(ISNUMBER(SEARCH("CMO",C1326))+ISNUMBER(SEARCH("Chief Marketing",C1326))+ISNUMBER(SEARCH("VP Marketing",C1326))+ISNUMBER(SEARCH("Director de Marketing",C1326))+ISNUMBER(SEARCH("Director Marketing",C1326))+ISNUMBER(SEARCH("Head of Marketing",C1326))+ISNUMBER(SEARCH("Head Marketing",C1326))&gt;0,'Configuración'!$B$32,IF(ISNUMBER(SEARCH("Marketing Manager",C1326))+ISNUMBER(SEARCH("Gerente de Marketing",C1326))+ISNUMBER(SEARCH("Growth Manager",C1326))+ISNUMBER(SEARCH("Demand Gen",C1326))+ISNUMBER(SEARCH("Marketing Lead",C1326))&gt;0,'Configuración'!$B$33,IF(ISNUMBER(SEARCH("COO",C1326))+ISNUMBER(SEARCH("CFO",C1326))+ISNUMBER(SEARCH("CTO",C1326))+ISNUMBER(SEARCH("Chief Operating",C1326))+ISNUMBER(SEARCH("Chief Financial",C1326))+ISNUMBER(SEARCH("Gerente General",C1326))+ISNUMBER(SEARCH("General Manager",C1326))&gt;0,'Configuración'!$B$34,'Configuración'!$B$35)))))</f>
        <v>12</v>
      </c>
      <c r="V1326" s="38">
        <f>IF(B1326="","",IF(K1326="Sí",'Configuración'!$B$5,0)+IF(L1326="Semanal",'Configuración'!$B$6,IF(L1326="Mensual",'Configuración'!$B$7,0))+IF(M1326="Sí",'Configuración'!$B$8,0)+IF(N1326="Sí",'Configuración'!$B$9,0)+IF(O1326="Sí",'Configuración'!$B$10,0)+IF(P1326="Sí",'Configuración'!$B$11,0)+IF(Q1326="Sí",'Configuración'!$B$12,0)+S1326+T1326+U1326)</f>
        <v>20</v>
      </c>
      <c r="W1326" s="39" t="str">
        <f>IF(B1326="","",IF(V1326&gt;='Configuración'!$B$19,"A",IF(V1326&gt;='Configuración'!$B$20,"B",IF(V1326&gt;='Configuración'!$B$21,"C","Descarte"))))</f>
        <v>Descarte</v>
      </c>
    </row>
    <row r="1327" ht="15.75" customHeight="1">
      <c r="A1327" s="34">
        <f t="shared" si="1"/>
        <v>1325</v>
      </c>
      <c r="B1327" s="29" t="s">
        <v>897</v>
      </c>
      <c r="C1327" s="29" t="s">
        <v>175</v>
      </c>
      <c r="D1327" s="29" t="s">
        <v>7539</v>
      </c>
      <c r="E1327" s="29" t="s">
        <v>7540</v>
      </c>
      <c r="F1327" s="30" t="s">
        <v>7541</v>
      </c>
      <c r="G1327" s="30" t="s">
        <v>7542</v>
      </c>
      <c r="H1327" s="30" t="s">
        <v>7543</v>
      </c>
      <c r="I1327" s="29" t="s">
        <v>127</v>
      </c>
      <c r="J1327" s="31">
        <v>1.0</v>
      </c>
      <c r="K1327" s="35"/>
      <c r="L1327" s="35"/>
      <c r="M1327" s="35"/>
      <c r="N1327" s="35"/>
      <c r="O1327" s="35"/>
      <c r="P1327" s="35"/>
      <c r="Q1327" s="35"/>
      <c r="R1327" s="35"/>
      <c r="S1327" s="37">
        <f>IF(B1327="","",IF(ISNUMBER(J1327),IF(J1327&lt;=10,'Configuración'!$B$23,IF(J1327&lt;=50,'Configuración'!$B$24,IF(J1327&lt;=200,'Configuración'!$B$25,0))),0))</f>
        <v>12</v>
      </c>
      <c r="T1327" s="37">
        <f>IF(B1327="","",IF(ISNUMBER(SEARCH("information technology",I1327))+ISNUMBER(SEARCH("software",I1327))+ISNUMBER(SEARCH("internet",I1327))+ISNUMBER(SEARCH("computer",I1327))+ISNUMBER(SEARCH("saas",I1327))+ISNUMBER(SEARCH("fintech",I1327))+ISNUMBER(SEARCH("information services",I1327))+ISNUMBER(SEARCH("telecommunications",I1327))&gt;0,'Configuración'!$B$27,'Configuración'!$B$28))</f>
        <v>12</v>
      </c>
      <c r="U1327" s="25">
        <f>IF(B1327="","",IF(ISNUMBER(SEARCH("CEO",C1327))+ISNUMBER(SEARCH("Founder",C1327))+ISNUMBER(SEARCH("Owner",C1327))+ISNUMBER(SEARCH("Dueño",C1327))+ISNUMBER(SEARCH("Director General",C1327))+ISNUMBER(SEARCH("Presidente",C1327))+ISNUMBER(SEARCH("President",C1327))&gt;0,'Configuración'!$B$31,IF(ISNUMBER(SEARCH("CMO",C1327))+ISNUMBER(SEARCH("Chief Marketing",C1327))+ISNUMBER(SEARCH("VP Marketing",C1327))+ISNUMBER(SEARCH("Director de Marketing",C1327))+ISNUMBER(SEARCH("Director Marketing",C1327))+ISNUMBER(SEARCH("Head of Marketing",C1327))+ISNUMBER(SEARCH("Head Marketing",C1327))&gt;0,'Configuración'!$B$32,IF(ISNUMBER(SEARCH("Marketing Manager",C1327))+ISNUMBER(SEARCH("Gerente de Marketing",C1327))+ISNUMBER(SEARCH("Growth Manager",C1327))+ISNUMBER(SEARCH("Demand Gen",C1327))+ISNUMBER(SEARCH("Marketing Lead",C1327))&gt;0,'Configuración'!$B$33,IF(ISNUMBER(SEARCH("COO",C1327))+ISNUMBER(SEARCH("CFO",C1327))+ISNUMBER(SEARCH("CTO",C1327))+ISNUMBER(SEARCH("Chief Operating",C1327))+ISNUMBER(SEARCH("Chief Financial",C1327))+ISNUMBER(SEARCH("Gerente General",C1327))+ISNUMBER(SEARCH("General Manager",C1327))&gt;0,'Configuración'!$B$34,'Configuración'!$B$35)))))</f>
        <v>12</v>
      </c>
      <c r="V1327" s="38">
        <f>IF(B1327="","",IF(K1327="Sí",'Configuración'!$B$5,0)+IF(L1327="Semanal",'Configuración'!$B$6,IF(L1327="Mensual",'Configuración'!$B$7,0))+IF(M1327="Sí",'Configuración'!$B$8,0)+IF(N1327="Sí",'Configuración'!$B$9,0)+IF(O1327="Sí",'Configuración'!$B$10,0)+IF(P1327="Sí",'Configuración'!$B$11,0)+IF(Q1327="Sí",'Configuración'!$B$12,0)+S1327+T1327+U1327)</f>
        <v>36</v>
      </c>
      <c r="W1327" s="39" t="str">
        <f>IF(B1327="","",IF(V1327&gt;='Configuración'!$B$19,"A",IF(V1327&gt;='Configuración'!$B$20,"B",IF(V1327&gt;='Configuración'!$B$21,"C","Descarte"))))</f>
        <v>C</v>
      </c>
    </row>
    <row r="1328" ht="15.75" customHeight="1">
      <c r="A1328" s="34">
        <f t="shared" si="1"/>
        <v>1326</v>
      </c>
      <c r="B1328" s="29" t="s">
        <v>6047</v>
      </c>
      <c r="C1328" s="29" t="s">
        <v>131</v>
      </c>
      <c r="D1328" s="29" t="s">
        <v>7544</v>
      </c>
      <c r="E1328" s="29" t="s">
        <v>7545</v>
      </c>
      <c r="F1328" s="30" t="s">
        <v>7546</v>
      </c>
      <c r="G1328" s="30" t="s">
        <v>7547</v>
      </c>
      <c r="H1328" s="30" t="s">
        <v>7548</v>
      </c>
      <c r="I1328" s="29" t="s">
        <v>127</v>
      </c>
      <c r="J1328" s="31">
        <v>8.0</v>
      </c>
      <c r="K1328" s="35"/>
      <c r="L1328" s="35"/>
      <c r="M1328" s="35"/>
      <c r="N1328" s="35"/>
      <c r="O1328" s="35"/>
      <c r="P1328" s="35"/>
      <c r="Q1328" s="35"/>
      <c r="R1328" s="35"/>
      <c r="S1328" s="37">
        <f>IF(B1328="","",IF(ISNUMBER(J1328),IF(J1328&lt;=10,'Configuración'!$B$23,IF(J1328&lt;=50,'Configuración'!$B$24,IF(J1328&lt;=200,'Configuración'!$B$25,0))),0))</f>
        <v>12</v>
      </c>
      <c r="T1328" s="37">
        <f>IF(B1328="","",IF(ISNUMBER(SEARCH("information technology",I1328))+ISNUMBER(SEARCH("software",I1328))+ISNUMBER(SEARCH("internet",I1328))+ISNUMBER(SEARCH("computer",I1328))+ISNUMBER(SEARCH("saas",I1328))+ISNUMBER(SEARCH("fintech",I1328))+ISNUMBER(SEARCH("information services",I1328))+ISNUMBER(SEARCH("telecommunications",I1328))&gt;0,'Configuración'!$B$27,'Configuración'!$B$28))</f>
        <v>12</v>
      </c>
      <c r="U1328" s="25">
        <f>IF(B1328="","",IF(ISNUMBER(SEARCH("CEO",C1328))+ISNUMBER(SEARCH("Founder",C1328))+ISNUMBER(SEARCH("Owner",C1328))+ISNUMBER(SEARCH("Dueño",C1328))+ISNUMBER(SEARCH("Director General",C1328))+ISNUMBER(SEARCH("Presidente",C1328))+ISNUMBER(SEARCH("President",C1328))&gt;0,'Configuración'!$B$31,IF(ISNUMBER(SEARCH("CMO",C1328))+ISNUMBER(SEARCH("Chief Marketing",C1328))+ISNUMBER(SEARCH("VP Marketing",C1328))+ISNUMBER(SEARCH("Director de Marketing",C1328))+ISNUMBER(SEARCH("Director Marketing",C1328))+ISNUMBER(SEARCH("Head of Marketing",C1328))+ISNUMBER(SEARCH("Head Marketing",C1328))&gt;0,'Configuración'!$B$32,IF(ISNUMBER(SEARCH("Marketing Manager",C1328))+ISNUMBER(SEARCH("Gerente de Marketing",C1328))+ISNUMBER(SEARCH("Growth Manager",C1328))+ISNUMBER(SEARCH("Demand Gen",C1328))+ISNUMBER(SEARCH("Marketing Lead",C1328))&gt;0,'Configuración'!$B$33,IF(ISNUMBER(SEARCH("COO",C1328))+ISNUMBER(SEARCH("CFO",C1328))+ISNUMBER(SEARCH("CTO",C1328))+ISNUMBER(SEARCH("Chief Operating",C1328))+ISNUMBER(SEARCH("Chief Financial",C1328))+ISNUMBER(SEARCH("Gerente General",C1328))+ISNUMBER(SEARCH("General Manager",C1328))&gt;0,'Configuración'!$B$34,'Configuración'!$B$35)))))</f>
        <v>12</v>
      </c>
      <c r="V1328" s="38">
        <f>IF(B1328="","",IF(K1328="Sí",'Configuración'!$B$5,0)+IF(L1328="Semanal",'Configuración'!$B$6,IF(L1328="Mensual",'Configuración'!$B$7,0))+IF(M1328="Sí",'Configuración'!$B$8,0)+IF(N1328="Sí",'Configuración'!$B$9,0)+IF(O1328="Sí",'Configuración'!$B$10,0)+IF(P1328="Sí",'Configuración'!$B$11,0)+IF(Q1328="Sí",'Configuración'!$B$12,0)+S1328+T1328+U1328)</f>
        <v>36</v>
      </c>
      <c r="W1328" s="39" t="str">
        <f>IF(B1328="","",IF(V1328&gt;='Configuración'!$B$19,"A",IF(V1328&gt;='Configuración'!$B$20,"B",IF(V1328&gt;='Configuración'!$B$21,"C","Descarte"))))</f>
        <v>C</v>
      </c>
    </row>
    <row r="1329" ht="15.75" customHeight="1">
      <c r="A1329" s="34">
        <f t="shared" si="1"/>
        <v>1327</v>
      </c>
      <c r="B1329" s="29" t="s">
        <v>5437</v>
      </c>
      <c r="C1329" s="29" t="s">
        <v>304</v>
      </c>
      <c r="D1329" s="29" t="s">
        <v>7549</v>
      </c>
      <c r="E1329" s="29" t="s">
        <v>7550</v>
      </c>
      <c r="F1329" s="30" t="s">
        <v>7551</v>
      </c>
      <c r="G1329" s="30" t="s">
        <v>7552</v>
      </c>
      <c r="H1329" s="30" t="s">
        <v>7553</v>
      </c>
      <c r="I1329" s="29" t="s">
        <v>127</v>
      </c>
      <c r="J1329" s="31">
        <v>49.0</v>
      </c>
      <c r="K1329" s="35"/>
      <c r="L1329" s="35"/>
      <c r="M1329" s="35"/>
      <c r="N1329" s="35"/>
      <c r="O1329" s="35"/>
      <c r="P1329" s="35"/>
      <c r="Q1329" s="35"/>
      <c r="R1329" s="35"/>
      <c r="S1329" s="37">
        <f>IF(B1329="","",IF(ISNUMBER(J1329),IF(J1329&lt;=10,'Configuración'!$B$23,IF(J1329&lt;=50,'Configuración'!$B$24,IF(J1329&lt;=200,'Configuración'!$B$25,0))),0))</f>
        <v>4</v>
      </c>
      <c r="T1329" s="37">
        <f>IF(B1329="","",IF(ISNUMBER(SEARCH("information technology",I1329))+ISNUMBER(SEARCH("software",I1329))+ISNUMBER(SEARCH("internet",I1329))+ISNUMBER(SEARCH("computer",I1329))+ISNUMBER(SEARCH("saas",I1329))+ISNUMBER(SEARCH("fintech",I1329))+ISNUMBER(SEARCH("information services",I1329))+ISNUMBER(SEARCH("telecommunications",I1329))&gt;0,'Configuración'!$B$27,'Configuración'!$B$28))</f>
        <v>12</v>
      </c>
      <c r="U1329" s="25">
        <f>IF(B1329="","",IF(ISNUMBER(SEARCH("CEO",C1329))+ISNUMBER(SEARCH("Founder",C1329))+ISNUMBER(SEARCH("Owner",C1329))+ISNUMBER(SEARCH("Dueño",C1329))+ISNUMBER(SEARCH("Director General",C1329))+ISNUMBER(SEARCH("Presidente",C1329))+ISNUMBER(SEARCH("President",C1329))&gt;0,'Configuración'!$B$31,IF(ISNUMBER(SEARCH("CMO",C1329))+ISNUMBER(SEARCH("Chief Marketing",C1329))+ISNUMBER(SEARCH("VP Marketing",C1329))+ISNUMBER(SEARCH("Director de Marketing",C1329))+ISNUMBER(SEARCH("Director Marketing",C1329))+ISNUMBER(SEARCH("Head of Marketing",C1329))+ISNUMBER(SEARCH("Head Marketing",C1329))&gt;0,'Configuración'!$B$32,IF(ISNUMBER(SEARCH("Marketing Manager",C1329))+ISNUMBER(SEARCH("Gerente de Marketing",C1329))+ISNUMBER(SEARCH("Growth Manager",C1329))+ISNUMBER(SEARCH("Demand Gen",C1329))+ISNUMBER(SEARCH("Marketing Lead",C1329))&gt;0,'Configuración'!$B$33,IF(ISNUMBER(SEARCH("COO",C1329))+ISNUMBER(SEARCH("CFO",C1329))+ISNUMBER(SEARCH("CTO",C1329))+ISNUMBER(SEARCH("Chief Operating",C1329))+ISNUMBER(SEARCH("Chief Financial",C1329))+ISNUMBER(SEARCH("Gerente General",C1329))+ISNUMBER(SEARCH("General Manager",C1329))&gt;0,'Configuración'!$B$34,'Configuración'!$B$35)))))</f>
        <v>4</v>
      </c>
      <c r="V1329" s="38">
        <f>IF(B1329="","",IF(K1329="Sí",'Configuración'!$B$5,0)+IF(L1329="Semanal",'Configuración'!$B$6,IF(L1329="Mensual",'Configuración'!$B$7,0))+IF(M1329="Sí",'Configuración'!$B$8,0)+IF(N1329="Sí",'Configuración'!$B$9,0)+IF(O1329="Sí",'Configuración'!$B$10,0)+IF(P1329="Sí",'Configuración'!$B$11,0)+IF(Q1329="Sí",'Configuración'!$B$12,0)+S1329+T1329+U1329)</f>
        <v>20</v>
      </c>
      <c r="W1329" s="39" t="str">
        <f>IF(B1329="","",IF(V1329&gt;='Configuración'!$B$19,"A",IF(V1329&gt;='Configuración'!$B$20,"B",IF(V1329&gt;='Configuración'!$B$21,"C","Descarte"))))</f>
        <v>Descarte</v>
      </c>
    </row>
    <row r="1330" ht="15.75" customHeight="1">
      <c r="A1330" s="34">
        <f t="shared" si="1"/>
        <v>1328</v>
      </c>
      <c r="B1330" s="29" t="s">
        <v>6669</v>
      </c>
      <c r="C1330" s="29" t="s">
        <v>7554</v>
      </c>
      <c r="D1330" s="29" t="s">
        <v>7555</v>
      </c>
      <c r="E1330" s="29" t="s">
        <v>7556</v>
      </c>
      <c r="F1330" s="30" t="s">
        <v>7557</v>
      </c>
      <c r="G1330" s="30" t="s">
        <v>7558</v>
      </c>
      <c r="H1330" s="30" t="s">
        <v>7559</v>
      </c>
      <c r="I1330" s="29" t="s">
        <v>188</v>
      </c>
      <c r="J1330" s="31">
        <v>3.0</v>
      </c>
      <c r="K1330" s="35"/>
      <c r="L1330" s="35"/>
      <c r="M1330" s="35"/>
      <c r="N1330" s="35"/>
      <c r="O1330" s="35"/>
      <c r="P1330" s="35"/>
      <c r="Q1330" s="35"/>
      <c r="R1330" s="35"/>
      <c r="S1330" s="37">
        <f>IF(B1330="","",IF(ISNUMBER(J1330),IF(J1330&lt;=10,'Configuración'!$B$23,IF(J1330&lt;=50,'Configuración'!$B$24,IF(J1330&lt;=200,'Configuración'!$B$25,0))),0))</f>
        <v>12</v>
      </c>
      <c r="T1330" s="37">
        <f>IF(B1330="","",IF(ISNUMBER(SEARCH("information technology",I1330))+ISNUMBER(SEARCH("software",I1330))+ISNUMBER(SEARCH("internet",I1330))+ISNUMBER(SEARCH("computer",I1330))+ISNUMBER(SEARCH("saas",I1330))+ISNUMBER(SEARCH("fintech",I1330))+ISNUMBER(SEARCH("information services",I1330))+ISNUMBER(SEARCH("telecommunications",I1330))&gt;0,'Configuración'!$B$27,'Configuración'!$B$28))</f>
        <v>4</v>
      </c>
      <c r="U1330" s="25">
        <f>IF(B1330="","",IF(ISNUMBER(SEARCH("CEO",C1330))+ISNUMBER(SEARCH("Founder",C1330))+ISNUMBER(SEARCH("Owner",C1330))+ISNUMBER(SEARCH("Dueño",C1330))+ISNUMBER(SEARCH("Director General",C1330))+ISNUMBER(SEARCH("Presidente",C1330))+ISNUMBER(SEARCH("President",C1330))&gt;0,'Configuración'!$B$31,IF(ISNUMBER(SEARCH("CMO",C1330))+ISNUMBER(SEARCH("Chief Marketing",C1330))+ISNUMBER(SEARCH("VP Marketing",C1330))+ISNUMBER(SEARCH("Director de Marketing",C1330))+ISNUMBER(SEARCH("Director Marketing",C1330))+ISNUMBER(SEARCH("Head of Marketing",C1330))+ISNUMBER(SEARCH("Head Marketing",C1330))&gt;0,'Configuración'!$B$32,IF(ISNUMBER(SEARCH("Marketing Manager",C1330))+ISNUMBER(SEARCH("Gerente de Marketing",C1330))+ISNUMBER(SEARCH("Growth Manager",C1330))+ISNUMBER(SEARCH("Demand Gen",C1330))+ISNUMBER(SEARCH("Marketing Lead",C1330))&gt;0,'Configuración'!$B$33,IF(ISNUMBER(SEARCH("COO",C1330))+ISNUMBER(SEARCH("CFO",C1330))+ISNUMBER(SEARCH("CTO",C1330))+ISNUMBER(SEARCH("Chief Operating",C1330))+ISNUMBER(SEARCH("Chief Financial",C1330))+ISNUMBER(SEARCH("Gerente General",C1330))+ISNUMBER(SEARCH("General Manager",C1330))&gt;0,'Configuración'!$B$34,'Configuración'!$B$35)))))</f>
        <v>12</v>
      </c>
      <c r="V1330" s="38">
        <f>IF(B1330="","",IF(K1330="Sí",'Configuración'!$B$5,0)+IF(L1330="Semanal",'Configuración'!$B$6,IF(L1330="Mensual",'Configuración'!$B$7,0))+IF(M1330="Sí",'Configuración'!$B$8,0)+IF(N1330="Sí",'Configuración'!$B$9,0)+IF(O1330="Sí",'Configuración'!$B$10,0)+IF(P1330="Sí",'Configuración'!$B$11,0)+IF(Q1330="Sí",'Configuración'!$B$12,0)+S1330+T1330+U1330)</f>
        <v>28</v>
      </c>
      <c r="W1330" s="39" t="str">
        <f>IF(B1330="","",IF(V1330&gt;='Configuración'!$B$19,"A",IF(V1330&gt;='Configuración'!$B$20,"B",IF(V1330&gt;='Configuración'!$B$21,"C","Descarte"))))</f>
        <v>C</v>
      </c>
    </row>
    <row r="1331" ht="15.75" customHeight="1">
      <c r="A1331" s="34">
        <f t="shared" si="1"/>
        <v>1329</v>
      </c>
      <c r="B1331" s="29" t="s">
        <v>404</v>
      </c>
      <c r="C1331" s="29" t="s">
        <v>487</v>
      </c>
      <c r="D1331" s="29" t="s">
        <v>7560</v>
      </c>
      <c r="E1331" s="29" t="s">
        <v>7561</v>
      </c>
      <c r="F1331" s="30" t="s">
        <v>7562</v>
      </c>
      <c r="G1331" s="30" t="s">
        <v>7563</v>
      </c>
      <c r="H1331" s="30" t="s">
        <v>7564</v>
      </c>
      <c r="I1331" s="29" t="s">
        <v>127</v>
      </c>
      <c r="J1331" s="31">
        <v>11.0</v>
      </c>
      <c r="K1331" s="35"/>
      <c r="L1331" s="35"/>
      <c r="M1331" s="35"/>
      <c r="N1331" s="35"/>
      <c r="O1331" s="35"/>
      <c r="P1331" s="35"/>
      <c r="Q1331" s="35"/>
      <c r="R1331" s="35"/>
      <c r="S1331" s="37">
        <f>IF(B1331="","",IF(ISNUMBER(J1331),IF(J1331&lt;=10,'Configuración'!$B$23,IF(J1331&lt;=50,'Configuración'!$B$24,IF(J1331&lt;=200,'Configuración'!$B$25,0))),0))</f>
        <v>4</v>
      </c>
      <c r="T1331" s="37">
        <f>IF(B1331="","",IF(ISNUMBER(SEARCH("information technology",I1331))+ISNUMBER(SEARCH("software",I1331))+ISNUMBER(SEARCH("internet",I1331))+ISNUMBER(SEARCH("computer",I1331))+ISNUMBER(SEARCH("saas",I1331))+ISNUMBER(SEARCH("fintech",I1331))+ISNUMBER(SEARCH("information services",I1331))+ISNUMBER(SEARCH("telecommunications",I1331))&gt;0,'Configuración'!$B$27,'Configuración'!$B$28))</f>
        <v>12</v>
      </c>
      <c r="U1331" s="25">
        <f>IF(B1331="","",IF(ISNUMBER(SEARCH("CEO",C1331))+ISNUMBER(SEARCH("Founder",C1331))+ISNUMBER(SEARCH("Owner",C1331))+ISNUMBER(SEARCH("Dueño",C1331))+ISNUMBER(SEARCH("Director General",C1331))+ISNUMBER(SEARCH("Presidente",C1331))+ISNUMBER(SEARCH("President",C1331))&gt;0,'Configuración'!$B$31,IF(ISNUMBER(SEARCH("CMO",C1331))+ISNUMBER(SEARCH("Chief Marketing",C1331))+ISNUMBER(SEARCH("VP Marketing",C1331))+ISNUMBER(SEARCH("Director de Marketing",C1331))+ISNUMBER(SEARCH("Director Marketing",C1331))+ISNUMBER(SEARCH("Head of Marketing",C1331))+ISNUMBER(SEARCH("Head Marketing",C1331))&gt;0,'Configuración'!$B$32,IF(ISNUMBER(SEARCH("Marketing Manager",C1331))+ISNUMBER(SEARCH("Gerente de Marketing",C1331))+ISNUMBER(SEARCH("Growth Manager",C1331))+ISNUMBER(SEARCH("Demand Gen",C1331))+ISNUMBER(SEARCH("Marketing Lead",C1331))&gt;0,'Configuración'!$B$33,IF(ISNUMBER(SEARCH("COO",C1331))+ISNUMBER(SEARCH("CFO",C1331))+ISNUMBER(SEARCH("CTO",C1331))+ISNUMBER(SEARCH("Chief Operating",C1331))+ISNUMBER(SEARCH("Chief Financial",C1331))+ISNUMBER(SEARCH("Gerente General",C1331))+ISNUMBER(SEARCH("General Manager",C1331))&gt;0,'Configuración'!$B$34,'Configuración'!$B$35)))))</f>
        <v>12</v>
      </c>
      <c r="V1331" s="38">
        <f>IF(B1331="","",IF(K1331="Sí",'Configuración'!$B$5,0)+IF(L1331="Semanal",'Configuración'!$B$6,IF(L1331="Mensual",'Configuración'!$B$7,0))+IF(M1331="Sí",'Configuración'!$B$8,0)+IF(N1331="Sí",'Configuración'!$B$9,0)+IF(O1331="Sí",'Configuración'!$B$10,0)+IF(P1331="Sí",'Configuración'!$B$11,0)+IF(Q1331="Sí",'Configuración'!$B$12,0)+S1331+T1331+U1331)</f>
        <v>28</v>
      </c>
      <c r="W1331" s="39" t="str">
        <f>IF(B1331="","",IF(V1331&gt;='Configuración'!$B$19,"A",IF(V1331&gt;='Configuración'!$B$20,"B",IF(V1331&gt;='Configuración'!$B$21,"C","Descarte"))))</f>
        <v>C</v>
      </c>
    </row>
    <row r="1332" ht="15.75" customHeight="1">
      <c r="A1332" s="34">
        <f t="shared" si="1"/>
        <v>1330</v>
      </c>
      <c r="B1332" s="29" t="s">
        <v>236</v>
      </c>
      <c r="C1332" s="29" t="s">
        <v>7565</v>
      </c>
      <c r="D1332" s="29" t="s">
        <v>7566</v>
      </c>
      <c r="E1332" s="29" t="s">
        <v>7567</v>
      </c>
      <c r="F1332" s="30" t="s">
        <v>7568</v>
      </c>
      <c r="G1332" s="30" t="s">
        <v>7569</v>
      </c>
      <c r="H1332" s="30" t="s">
        <v>7570</v>
      </c>
      <c r="I1332" s="29" t="s">
        <v>2610</v>
      </c>
      <c r="J1332" s="31">
        <v>45.0</v>
      </c>
      <c r="K1332" s="35"/>
      <c r="L1332" s="35"/>
      <c r="M1332" s="35"/>
      <c r="N1332" s="35"/>
      <c r="O1332" s="35"/>
      <c r="P1332" s="35"/>
      <c r="Q1332" s="35"/>
      <c r="R1332" s="35"/>
      <c r="S1332" s="37">
        <f>IF(B1332="","",IF(ISNUMBER(J1332),IF(J1332&lt;=10,'Configuración'!$B$23,IF(J1332&lt;=50,'Configuración'!$B$24,IF(J1332&lt;=200,'Configuración'!$B$25,0))),0))</f>
        <v>4</v>
      </c>
      <c r="T1332" s="37">
        <f>IF(B1332="","",IF(ISNUMBER(SEARCH("information technology",I1332))+ISNUMBER(SEARCH("software",I1332))+ISNUMBER(SEARCH("internet",I1332))+ISNUMBER(SEARCH("computer",I1332))+ISNUMBER(SEARCH("saas",I1332))+ISNUMBER(SEARCH("fintech",I1332))+ISNUMBER(SEARCH("information services",I1332))+ISNUMBER(SEARCH("telecommunications",I1332))&gt;0,'Configuración'!$B$27,'Configuración'!$B$28))</f>
        <v>4</v>
      </c>
      <c r="U1332" s="25">
        <f>IF(B1332="","",IF(ISNUMBER(SEARCH("CEO",C1332))+ISNUMBER(SEARCH("Founder",C1332))+ISNUMBER(SEARCH("Owner",C1332))+ISNUMBER(SEARCH("Dueño",C1332))+ISNUMBER(SEARCH("Director General",C1332))+ISNUMBER(SEARCH("Presidente",C1332))+ISNUMBER(SEARCH("President",C1332))&gt;0,'Configuración'!$B$31,IF(ISNUMBER(SEARCH("CMO",C1332))+ISNUMBER(SEARCH("Chief Marketing",C1332))+ISNUMBER(SEARCH("VP Marketing",C1332))+ISNUMBER(SEARCH("Director de Marketing",C1332))+ISNUMBER(SEARCH("Director Marketing",C1332))+ISNUMBER(SEARCH("Head of Marketing",C1332))+ISNUMBER(SEARCH("Head Marketing",C1332))&gt;0,'Configuración'!$B$32,IF(ISNUMBER(SEARCH("Marketing Manager",C1332))+ISNUMBER(SEARCH("Gerente de Marketing",C1332))+ISNUMBER(SEARCH("Growth Manager",C1332))+ISNUMBER(SEARCH("Demand Gen",C1332))+ISNUMBER(SEARCH("Marketing Lead",C1332))&gt;0,'Configuración'!$B$33,IF(ISNUMBER(SEARCH("COO",C1332))+ISNUMBER(SEARCH("CFO",C1332))+ISNUMBER(SEARCH("CTO",C1332))+ISNUMBER(SEARCH("Chief Operating",C1332))+ISNUMBER(SEARCH("Chief Financial",C1332))+ISNUMBER(SEARCH("Gerente General",C1332))+ISNUMBER(SEARCH("General Manager",C1332))&gt;0,'Configuración'!$B$34,'Configuración'!$B$35)))))</f>
        <v>4</v>
      </c>
      <c r="V1332" s="38">
        <f>IF(B1332="","",IF(K1332="Sí",'Configuración'!$B$5,0)+IF(L1332="Semanal",'Configuración'!$B$6,IF(L1332="Mensual",'Configuración'!$B$7,0))+IF(M1332="Sí",'Configuración'!$B$8,0)+IF(N1332="Sí",'Configuración'!$B$9,0)+IF(O1332="Sí",'Configuración'!$B$10,0)+IF(P1332="Sí",'Configuración'!$B$11,0)+IF(Q1332="Sí",'Configuración'!$B$12,0)+S1332+T1332+U1332)</f>
        <v>12</v>
      </c>
      <c r="W1332" s="39" t="str">
        <f>IF(B1332="","",IF(V1332&gt;='Configuración'!$B$19,"A",IF(V1332&gt;='Configuración'!$B$20,"B",IF(V1332&gt;='Configuración'!$B$21,"C","Descarte"))))</f>
        <v>Descarte</v>
      </c>
    </row>
    <row r="1333" ht="15.75" customHeight="1">
      <c r="A1333" s="34">
        <f t="shared" si="1"/>
        <v>1331</v>
      </c>
      <c r="B1333" s="29" t="s">
        <v>166</v>
      </c>
      <c r="C1333" s="29" t="s">
        <v>146</v>
      </c>
      <c r="D1333" s="29" t="s">
        <v>7571</v>
      </c>
      <c r="E1333" s="29" t="s">
        <v>7572</v>
      </c>
      <c r="F1333" s="30" t="s">
        <v>7573</v>
      </c>
      <c r="G1333" s="30" t="s">
        <v>7574</v>
      </c>
      <c r="H1333" s="30" t="s">
        <v>7575</v>
      </c>
      <c r="I1333" s="29" t="s">
        <v>1693</v>
      </c>
      <c r="J1333" s="31">
        <v>4.0</v>
      </c>
      <c r="K1333" s="35"/>
      <c r="L1333" s="35"/>
      <c r="M1333" s="35"/>
      <c r="N1333" s="35"/>
      <c r="O1333" s="35"/>
      <c r="P1333" s="35"/>
      <c r="Q1333" s="35"/>
      <c r="R1333" s="35"/>
      <c r="S1333" s="37">
        <f>IF(B1333="","",IF(ISNUMBER(J1333),IF(J1333&lt;=10,'Configuración'!$B$23,IF(J1333&lt;=50,'Configuración'!$B$24,IF(J1333&lt;=200,'Configuración'!$B$25,0))),0))</f>
        <v>12</v>
      </c>
      <c r="T1333" s="37">
        <f>IF(B1333="","",IF(ISNUMBER(SEARCH("information technology",I1333))+ISNUMBER(SEARCH("software",I1333))+ISNUMBER(SEARCH("internet",I1333))+ISNUMBER(SEARCH("computer",I1333))+ISNUMBER(SEARCH("saas",I1333))+ISNUMBER(SEARCH("fintech",I1333))+ISNUMBER(SEARCH("information services",I1333))+ISNUMBER(SEARCH("telecommunications",I1333))&gt;0,'Configuración'!$B$27,'Configuración'!$B$28))</f>
        <v>4</v>
      </c>
      <c r="U1333" s="25">
        <f>IF(B1333="","",IF(ISNUMBER(SEARCH("CEO",C1333))+ISNUMBER(SEARCH("Founder",C1333))+ISNUMBER(SEARCH("Owner",C1333))+ISNUMBER(SEARCH("Dueño",C1333))+ISNUMBER(SEARCH("Director General",C1333))+ISNUMBER(SEARCH("Presidente",C1333))+ISNUMBER(SEARCH("President",C1333))&gt;0,'Configuración'!$B$31,IF(ISNUMBER(SEARCH("CMO",C1333))+ISNUMBER(SEARCH("Chief Marketing",C1333))+ISNUMBER(SEARCH("VP Marketing",C1333))+ISNUMBER(SEARCH("Director de Marketing",C1333))+ISNUMBER(SEARCH("Director Marketing",C1333))+ISNUMBER(SEARCH("Head of Marketing",C1333))+ISNUMBER(SEARCH("Head Marketing",C1333))&gt;0,'Configuración'!$B$32,IF(ISNUMBER(SEARCH("Marketing Manager",C1333))+ISNUMBER(SEARCH("Gerente de Marketing",C1333))+ISNUMBER(SEARCH("Growth Manager",C1333))+ISNUMBER(SEARCH("Demand Gen",C1333))+ISNUMBER(SEARCH("Marketing Lead",C1333))&gt;0,'Configuración'!$B$33,IF(ISNUMBER(SEARCH("COO",C1333))+ISNUMBER(SEARCH("CFO",C1333))+ISNUMBER(SEARCH("CTO",C1333))+ISNUMBER(SEARCH("Chief Operating",C1333))+ISNUMBER(SEARCH("Chief Financial",C1333))+ISNUMBER(SEARCH("Gerente General",C1333))+ISNUMBER(SEARCH("General Manager",C1333))&gt;0,'Configuración'!$B$34,'Configuración'!$B$35)))))</f>
        <v>0</v>
      </c>
      <c r="V1333" s="38">
        <f>IF(B1333="","",IF(K1333="Sí",'Configuración'!$B$5,0)+IF(L1333="Semanal",'Configuración'!$B$6,IF(L1333="Mensual",'Configuración'!$B$7,0))+IF(M1333="Sí",'Configuración'!$B$8,0)+IF(N1333="Sí",'Configuración'!$B$9,0)+IF(O1333="Sí",'Configuración'!$B$10,0)+IF(P1333="Sí",'Configuración'!$B$11,0)+IF(Q1333="Sí",'Configuración'!$B$12,0)+S1333+T1333+U1333)</f>
        <v>16</v>
      </c>
      <c r="W1333" s="39" t="str">
        <f>IF(B1333="","",IF(V1333&gt;='Configuración'!$B$19,"A",IF(V1333&gt;='Configuración'!$B$20,"B",IF(V1333&gt;='Configuración'!$B$21,"C","Descarte"))))</f>
        <v>Descarte</v>
      </c>
    </row>
    <row r="1334" ht="15.75" customHeight="1">
      <c r="A1334" s="34">
        <f t="shared" si="1"/>
        <v>1332</v>
      </c>
      <c r="B1334" s="29" t="s">
        <v>7576</v>
      </c>
      <c r="C1334" s="29" t="s">
        <v>2483</v>
      </c>
      <c r="D1334" s="29" t="s">
        <v>7577</v>
      </c>
      <c r="E1334" s="29" t="s">
        <v>7578</v>
      </c>
      <c r="F1334" s="30" t="s">
        <v>7579</v>
      </c>
      <c r="G1334" s="30" t="s">
        <v>7580</v>
      </c>
      <c r="H1334" s="30" t="s">
        <v>7581</v>
      </c>
      <c r="I1334" s="29" t="s">
        <v>946</v>
      </c>
      <c r="J1334" s="31">
        <v>46.0</v>
      </c>
      <c r="K1334" s="35"/>
      <c r="L1334" s="35"/>
      <c r="M1334" s="35"/>
      <c r="N1334" s="35"/>
      <c r="O1334" s="35"/>
      <c r="P1334" s="35"/>
      <c r="Q1334" s="35"/>
      <c r="R1334" s="35"/>
      <c r="S1334" s="37">
        <f>IF(B1334="","",IF(ISNUMBER(J1334),IF(J1334&lt;=10,'Configuración'!$B$23,IF(J1334&lt;=50,'Configuración'!$B$24,IF(J1334&lt;=200,'Configuración'!$B$25,0))),0))</f>
        <v>4</v>
      </c>
      <c r="T1334" s="37">
        <f>IF(B1334="","",IF(ISNUMBER(SEARCH("information technology",I1334))+ISNUMBER(SEARCH("software",I1334))+ISNUMBER(SEARCH("internet",I1334))+ISNUMBER(SEARCH("computer",I1334))+ISNUMBER(SEARCH("saas",I1334))+ISNUMBER(SEARCH("fintech",I1334))+ISNUMBER(SEARCH("information services",I1334))+ISNUMBER(SEARCH("telecommunications",I1334))&gt;0,'Configuración'!$B$27,'Configuración'!$B$28))</f>
        <v>4</v>
      </c>
      <c r="U1334" s="25">
        <f>IF(B1334="","",IF(ISNUMBER(SEARCH("CEO",C1334))+ISNUMBER(SEARCH("Founder",C1334))+ISNUMBER(SEARCH("Owner",C1334))+ISNUMBER(SEARCH("Dueño",C1334))+ISNUMBER(SEARCH("Director General",C1334))+ISNUMBER(SEARCH("Presidente",C1334))+ISNUMBER(SEARCH("President",C1334))&gt;0,'Configuración'!$B$31,IF(ISNUMBER(SEARCH("CMO",C1334))+ISNUMBER(SEARCH("Chief Marketing",C1334))+ISNUMBER(SEARCH("VP Marketing",C1334))+ISNUMBER(SEARCH("Director de Marketing",C1334))+ISNUMBER(SEARCH("Director Marketing",C1334))+ISNUMBER(SEARCH("Head of Marketing",C1334))+ISNUMBER(SEARCH("Head Marketing",C1334))&gt;0,'Configuración'!$B$32,IF(ISNUMBER(SEARCH("Marketing Manager",C1334))+ISNUMBER(SEARCH("Gerente de Marketing",C1334))+ISNUMBER(SEARCH("Growth Manager",C1334))+ISNUMBER(SEARCH("Demand Gen",C1334))+ISNUMBER(SEARCH("Marketing Lead",C1334))&gt;0,'Configuración'!$B$33,IF(ISNUMBER(SEARCH("COO",C1334))+ISNUMBER(SEARCH("CFO",C1334))+ISNUMBER(SEARCH("CTO",C1334))+ISNUMBER(SEARCH("Chief Operating",C1334))+ISNUMBER(SEARCH("Chief Financial",C1334))+ISNUMBER(SEARCH("Gerente General",C1334))+ISNUMBER(SEARCH("General Manager",C1334))&gt;0,'Configuración'!$B$34,'Configuración'!$B$35)))))</f>
        <v>12</v>
      </c>
      <c r="V1334" s="38">
        <f>IF(B1334="","",IF(K1334="Sí",'Configuración'!$B$5,0)+IF(L1334="Semanal",'Configuración'!$B$6,IF(L1334="Mensual",'Configuración'!$B$7,0))+IF(M1334="Sí",'Configuración'!$B$8,0)+IF(N1334="Sí",'Configuración'!$B$9,0)+IF(O1334="Sí",'Configuración'!$B$10,0)+IF(P1334="Sí",'Configuración'!$B$11,0)+IF(Q1334="Sí",'Configuración'!$B$12,0)+S1334+T1334+U1334)</f>
        <v>20</v>
      </c>
      <c r="W1334" s="39" t="str">
        <f>IF(B1334="","",IF(V1334&gt;='Configuración'!$B$19,"A",IF(V1334&gt;='Configuración'!$B$20,"B",IF(V1334&gt;='Configuración'!$B$21,"C","Descarte"))))</f>
        <v>Descarte</v>
      </c>
    </row>
    <row r="1335" ht="15.75" customHeight="1">
      <c r="A1335" s="34">
        <f t="shared" si="1"/>
        <v>1333</v>
      </c>
      <c r="B1335" s="29" t="s">
        <v>940</v>
      </c>
      <c r="C1335" s="29" t="s">
        <v>7582</v>
      </c>
      <c r="D1335" s="29" t="s">
        <v>7583</v>
      </c>
      <c r="E1335" s="29" t="s">
        <v>7584</v>
      </c>
      <c r="F1335" s="30" t="s">
        <v>7585</v>
      </c>
      <c r="G1335" s="30" t="s">
        <v>7586</v>
      </c>
      <c r="H1335" s="30" t="s">
        <v>7587</v>
      </c>
      <c r="I1335" s="29" t="s">
        <v>542</v>
      </c>
      <c r="J1335" s="31">
        <v>10.0</v>
      </c>
      <c r="K1335" s="35"/>
      <c r="L1335" s="35"/>
      <c r="M1335" s="35"/>
      <c r="N1335" s="35"/>
      <c r="O1335" s="35"/>
      <c r="P1335" s="35"/>
      <c r="Q1335" s="35"/>
      <c r="R1335" s="35"/>
      <c r="S1335" s="37">
        <f>IF(B1335="","",IF(ISNUMBER(J1335),IF(J1335&lt;=10,'Configuración'!$B$23,IF(J1335&lt;=50,'Configuración'!$B$24,IF(J1335&lt;=200,'Configuración'!$B$25,0))),0))</f>
        <v>12</v>
      </c>
      <c r="T1335" s="37">
        <f>IF(B1335="","",IF(ISNUMBER(SEARCH("information technology",I1335))+ISNUMBER(SEARCH("software",I1335))+ISNUMBER(SEARCH("internet",I1335))+ISNUMBER(SEARCH("computer",I1335))+ISNUMBER(SEARCH("saas",I1335))+ISNUMBER(SEARCH("fintech",I1335))+ISNUMBER(SEARCH("information services",I1335))+ISNUMBER(SEARCH("telecommunications",I1335))&gt;0,'Configuración'!$B$27,'Configuración'!$B$28))</f>
        <v>4</v>
      </c>
      <c r="U1335" s="25">
        <f>IF(B1335="","",IF(ISNUMBER(SEARCH("CEO",C1335))+ISNUMBER(SEARCH("Founder",C1335))+ISNUMBER(SEARCH("Owner",C1335))+ISNUMBER(SEARCH("Dueño",C1335))+ISNUMBER(SEARCH("Director General",C1335))+ISNUMBER(SEARCH("Presidente",C1335))+ISNUMBER(SEARCH("President",C1335))&gt;0,'Configuración'!$B$31,IF(ISNUMBER(SEARCH("CMO",C1335))+ISNUMBER(SEARCH("Chief Marketing",C1335))+ISNUMBER(SEARCH("VP Marketing",C1335))+ISNUMBER(SEARCH("Director de Marketing",C1335))+ISNUMBER(SEARCH("Director Marketing",C1335))+ISNUMBER(SEARCH("Head of Marketing",C1335))+ISNUMBER(SEARCH("Head Marketing",C1335))&gt;0,'Configuración'!$B$32,IF(ISNUMBER(SEARCH("Marketing Manager",C1335))+ISNUMBER(SEARCH("Gerente de Marketing",C1335))+ISNUMBER(SEARCH("Growth Manager",C1335))+ISNUMBER(SEARCH("Demand Gen",C1335))+ISNUMBER(SEARCH("Marketing Lead",C1335))&gt;0,'Configuración'!$B$33,IF(ISNUMBER(SEARCH("COO",C1335))+ISNUMBER(SEARCH("CFO",C1335))+ISNUMBER(SEARCH("CTO",C1335))+ISNUMBER(SEARCH("Chief Operating",C1335))+ISNUMBER(SEARCH("Chief Financial",C1335))+ISNUMBER(SEARCH("Gerente General",C1335))+ISNUMBER(SEARCH("General Manager",C1335))&gt;0,'Configuración'!$B$34,'Configuración'!$B$35)))))</f>
        <v>4</v>
      </c>
      <c r="V1335" s="38">
        <f>IF(B1335="","",IF(K1335="Sí",'Configuración'!$B$5,0)+IF(L1335="Semanal",'Configuración'!$B$6,IF(L1335="Mensual",'Configuración'!$B$7,0))+IF(M1335="Sí",'Configuración'!$B$8,0)+IF(N1335="Sí",'Configuración'!$B$9,0)+IF(O1335="Sí",'Configuración'!$B$10,0)+IF(P1335="Sí",'Configuración'!$B$11,0)+IF(Q1335="Sí",'Configuración'!$B$12,0)+S1335+T1335+U1335)</f>
        <v>20</v>
      </c>
      <c r="W1335" s="39" t="str">
        <f>IF(B1335="","",IF(V1335&gt;='Configuración'!$B$19,"A",IF(V1335&gt;='Configuración'!$B$20,"B",IF(V1335&gt;='Configuración'!$B$21,"C","Descarte"))))</f>
        <v>Descarte</v>
      </c>
    </row>
    <row r="1336" ht="15.75" customHeight="1">
      <c r="A1336" s="34">
        <f t="shared" si="1"/>
        <v>1334</v>
      </c>
      <c r="B1336" s="29" t="s">
        <v>7588</v>
      </c>
      <c r="C1336" s="29" t="s">
        <v>7589</v>
      </c>
      <c r="D1336" s="29" t="s">
        <v>7590</v>
      </c>
      <c r="E1336" s="29" t="s">
        <v>7591</v>
      </c>
      <c r="F1336" s="30" t="s">
        <v>7592</v>
      </c>
      <c r="G1336" s="30" t="s">
        <v>7593</v>
      </c>
      <c r="H1336" s="30" t="s">
        <v>7594</v>
      </c>
      <c r="I1336" s="29" t="s">
        <v>847</v>
      </c>
      <c r="J1336" s="31">
        <v>35.0</v>
      </c>
      <c r="K1336" s="35"/>
      <c r="L1336" s="35"/>
      <c r="M1336" s="35"/>
      <c r="N1336" s="35"/>
      <c r="O1336" s="35"/>
      <c r="P1336" s="35"/>
      <c r="Q1336" s="35"/>
      <c r="R1336" s="35"/>
      <c r="S1336" s="37">
        <f>IF(B1336="","",IF(ISNUMBER(J1336),IF(J1336&lt;=10,'Configuración'!$B$23,IF(J1336&lt;=50,'Configuración'!$B$24,IF(J1336&lt;=200,'Configuración'!$B$25,0))),0))</f>
        <v>4</v>
      </c>
      <c r="T1336" s="37">
        <f>IF(B1336="","",IF(ISNUMBER(SEARCH("information technology",I1336))+ISNUMBER(SEARCH("software",I1336))+ISNUMBER(SEARCH("internet",I1336))+ISNUMBER(SEARCH("computer",I1336))+ISNUMBER(SEARCH("saas",I1336))+ISNUMBER(SEARCH("fintech",I1336))+ISNUMBER(SEARCH("information services",I1336))+ISNUMBER(SEARCH("telecommunications",I1336))&gt;0,'Configuración'!$B$27,'Configuración'!$B$28))</f>
        <v>4</v>
      </c>
      <c r="U1336" s="25">
        <f>IF(B1336="","",IF(ISNUMBER(SEARCH("CEO",C1336))+ISNUMBER(SEARCH("Founder",C1336))+ISNUMBER(SEARCH("Owner",C1336))+ISNUMBER(SEARCH("Dueño",C1336))+ISNUMBER(SEARCH("Director General",C1336))+ISNUMBER(SEARCH("Presidente",C1336))+ISNUMBER(SEARCH("President",C1336))&gt;0,'Configuración'!$B$31,IF(ISNUMBER(SEARCH("CMO",C1336))+ISNUMBER(SEARCH("Chief Marketing",C1336))+ISNUMBER(SEARCH("VP Marketing",C1336))+ISNUMBER(SEARCH("Director de Marketing",C1336))+ISNUMBER(SEARCH("Director Marketing",C1336))+ISNUMBER(SEARCH("Head of Marketing",C1336))+ISNUMBER(SEARCH("Head Marketing",C1336))&gt;0,'Configuración'!$B$32,IF(ISNUMBER(SEARCH("Marketing Manager",C1336))+ISNUMBER(SEARCH("Gerente de Marketing",C1336))+ISNUMBER(SEARCH("Growth Manager",C1336))+ISNUMBER(SEARCH("Demand Gen",C1336))+ISNUMBER(SEARCH("Marketing Lead",C1336))&gt;0,'Configuración'!$B$33,IF(ISNUMBER(SEARCH("COO",C1336))+ISNUMBER(SEARCH("CFO",C1336))+ISNUMBER(SEARCH("CTO",C1336))+ISNUMBER(SEARCH("Chief Operating",C1336))+ISNUMBER(SEARCH("Chief Financial",C1336))+ISNUMBER(SEARCH("Gerente General",C1336))+ISNUMBER(SEARCH("General Manager",C1336))&gt;0,'Configuración'!$B$34,'Configuración'!$B$35)))))</f>
        <v>12</v>
      </c>
      <c r="V1336" s="38">
        <f>IF(B1336="","",IF(K1336="Sí",'Configuración'!$B$5,0)+IF(L1336="Semanal",'Configuración'!$B$6,IF(L1336="Mensual",'Configuración'!$B$7,0))+IF(M1336="Sí",'Configuración'!$B$8,0)+IF(N1336="Sí",'Configuración'!$B$9,0)+IF(O1336="Sí",'Configuración'!$B$10,0)+IF(P1336="Sí",'Configuración'!$B$11,0)+IF(Q1336="Sí",'Configuración'!$B$12,0)+S1336+T1336+U1336)</f>
        <v>20</v>
      </c>
      <c r="W1336" s="39" t="str">
        <f>IF(B1336="","",IF(V1336&gt;='Configuración'!$B$19,"A",IF(V1336&gt;='Configuración'!$B$20,"B",IF(V1336&gt;='Configuración'!$B$21,"C","Descarte"))))</f>
        <v>Descarte</v>
      </c>
    </row>
    <row r="1337" ht="15.75" customHeight="1">
      <c r="A1337" s="34">
        <f t="shared" si="1"/>
        <v>1335</v>
      </c>
      <c r="B1337" s="29" t="s">
        <v>3167</v>
      </c>
      <c r="C1337" s="29" t="s">
        <v>7595</v>
      </c>
      <c r="D1337" s="29" t="s">
        <v>7596</v>
      </c>
      <c r="E1337" s="29" t="s">
        <v>7597</v>
      </c>
      <c r="F1337" s="30" t="s">
        <v>7598</v>
      </c>
      <c r="G1337" s="30" t="s">
        <v>7599</v>
      </c>
      <c r="H1337" s="30" t="s">
        <v>7600</v>
      </c>
      <c r="I1337" s="29" t="s">
        <v>188</v>
      </c>
      <c r="J1337" s="31">
        <v>7.0</v>
      </c>
      <c r="K1337" s="35"/>
      <c r="L1337" s="35"/>
      <c r="M1337" s="35"/>
      <c r="N1337" s="35"/>
      <c r="O1337" s="35"/>
      <c r="P1337" s="35"/>
      <c r="Q1337" s="35"/>
      <c r="R1337" s="35"/>
      <c r="S1337" s="37">
        <f>IF(B1337="","",IF(ISNUMBER(J1337),IF(J1337&lt;=10,'Configuración'!$B$23,IF(J1337&lt;=50,'Configuración'!$B$24,IF(J1337&lt;=200,'Configuración'!$B$25,0))),0))</f>
        <v>12</v>
      </c>
      <c r="T1337" s="37">
        <f>IF(B1337="","",IF(ISNUMBER(SEARCH("information technology",I1337))+ISNUMBER(SEARCH("software",I1337))+ISNUMBER(SEARCH("internet",I1337))+ISNUMBER(SEARCH("computer",I1337))+ISNUMBER(SEARCH("saas",I1337))+ISNUMBER(SEARCH("fintech",I1337))+ISNUMBER(SEARCH("information services",I1337))+ISNUMBER(SEARCH("telecommunications",I1337))&gt;0,'Configuración'!$B$27,'Configuración'!$B$28))</f>
        <v>4</v>
      </c>
      <c r="U1337" s="25">
        <f>IF(B1337="","",IF(ISNUMBER(SEARCH("CEO",C1337))+ISNUMBER(SEARCH("Founder",C1337))+ISNUMBER(SEARCH("Owner",C1337))+ISNUMBER(SEARCH("Dueño",C1337))+ISNUMBER(SEARCH("Director General",C1337))+ISNUMBER(SEARCH("Presidente",C1337))+ISNUMBER(SEARCH("President",C1337))&gt;0,'Configuración'!$B$31,IF(ISNUMBER(SEARCH("CMO",C1337))+ISNUMBER(SEARCH("Chief Marketing",C1337))+ISNUMBER(SEARCH("VP Marketing",C1337))+ISNUMBER(SEARCH("Director de Marketing",C1337))+ISNUMBER(SEARCH("Director Marketing",C1337))+ISNUMBER(SEARCH("Head of Marketing",C1337))+ISNUMBER(SEARCH("Head Marketing",C1337))&gt;0,'Configuración'!$B$32,IF(ISNUMBER(SEARCH("Marketing Manager",C1337))+ISNUMBER(SEARCH("Gerente de Marketing",C1337))+ISNUMBER(SEARCH("Growth Manager",C1337))+ISNUMBER(SEARCH("Demand Gen",C1337))+ISNUMBER(SEARCH("Marketing Lead",C1337))&gt;0,'Configuración'!$B$33,IF(ISNUMBER(SEARCH("COO",C1337))+ISNUMBER(SEARCH("CFO",C1337))+ISNUMBER(SEARCH("CTO",C1337))+ISNUMBER(SEARCH("Chief Operating",C1337))+ISNUMBER(SEARCH("Chief Financial",C1337))+ISNUMBER(SEARCH("Gerente General",C1337))+ISNUMBER(SEARCH("General Manager",C1337))&gt;0,'Configuración'!$B$34,'Configuración'!$B$35)))))</f>
        <v>0</v>
      </c>
      <c r="V1337" s="38">
        <f>IF(B1337="","",IF(K1337="Sí",'Configuración'!$B$5,0)+IF(L1337="Semanal",'Configuración'!$B$6,IF(L1337="Mensual",'Configuración'!$B$7,0))+IF(M1337="Sí",'Configuración'!$B$8,0)+IF(N1337="Sí",'Configuración'!$B$9,0)+IF(O1337="Sí",'Configuración'!$B$10,0)+IF(P1337="Sí",'Configuración'!$B$11,0)+IF(Q1337="Sí",'Configuración'!$B$12,0)+S1337+T1337+U1337)</f>
        <v>16</v>
      </c>
      <c r="W1337" s="39" t="str">
        <f>IF(B1337="","",IF(V1337&gt;='Configuración'!$B$19,"A",IF(V1337&gt;='Configuración'!$B$20,"B",IF(V1337&gt;='Configuración'!$B$21,"C","Descarte"))))</f>
        <v>Descarte</v>
      </c>
    </row>
    <row r="1338" ht="15.75" customHeight="1">
      <c r="A1338" s="34">
        <f t="shared" si="1"/>
        <v>1336</v>
      </c>
      <c r="B1338" s="29" t="s">
        <v>181</v>
      </c>
      <c r="C1338" s="29" t="s">
        <v>175</v>
      </c>
      <c r="D1338" s="29" t="s">
        <v>7601</v>
      </c>
      <c r="E1338" s="29" t="s">
        <v>7602</v>
      </c>
      <c r="F1338" s="30" t="s">
        <v>7603</v>
      </c>
      <c r="G1338" s="30" t="s">
        <v>7604</v>
      </c>
      <c r="H1338" s="30" t="s">
        <v>7605</v>
      </c>
      <c r="I1338" s="29" t="s">
        <v>310</v>
      </c>
      <c r="J1338" s="31">
        <v>3.0</v>
      </c>
      <c r="K1338" s="35"/>
      <c r="L1338" s="35"/>
      <c r="M1338" s="35"/>
      <c r="N1338" s="35"/>
      <c r="O1338" s="35"/>
      <c r="P1338" s="35"/>
      <c r="Q1338" s="35"/>
      <c r="R1338" s="35"/>
      <c r="S1338" s="37">
        <f>IF(B1338="","",IF(ISNUMBER(J1338),IF(J1338&lt;=10,'Configuración'!$B$23,IF(J1338&lt;=50,'Configuración'!$B$24,IF(J1338&lt;=200,'Configuración'!$B$25,0))),0))</f>
        <v>12</v>
      </c>
      <c r="T1338" s="37">
        <f>IF(B1338="","",IF(ISNUMBER(SEARCH("information technology",I1338))+ISNUMBER(SEARCH("software",I1338))+ISNUMBER(SEARCH("internet",I1338))+ISNUMBER(SEARCH("computer",I1338))+ISNUMBER(SEARCH("saas",I1338))+ISNUMBER(SEARCH("fintech",I1338))+ISNUMBER(SEARCH("information services",I1338))+ISNUMBER(SEARCH("telecommunications",I1338))&gt;0,'Configuración'!$B$27,'Configuración'!$B$28))</f>
        <v>4</v>
      </c>
      <c r="U1338" s="25">
        <f>IF(B1338="","",IF(ISNUMBER(SEARCH("CEO",C1338))+ISNUMBER(SEARCH("Founder",C1338))+ISNUMBER(SEARCH("Owner",C1338))+ISNUMBER(SEARCH("Dueño",C1338))+ISNUMBER(SEARCH("Director General",C1338))+ISNUMBER(SEARCH("Presidente",C1338))+ISNUMBER(SEARCH("President",C1338))&gt;0,'Configuración'!$B$31,IF(ISNUMBER(SEARCH("CMO",C1338))+ISNUMBER(SEARCH("Chief Marketing",C1338))+ISNUMBER(SEARCH("VP Marketing",C1338))+ISNUMBER(SEARCH("Director de Marketing",C1338))+ISNUMBER(SEARCH("Director Marketing",C1338))+ISNUMBER(SEARCH("Head of Marketing",C1338))+ISNUMBER(SEARCH("Head Marketing",C1338))&gt;0,'Configuración'!$B$32,IF(ISNUMBER(SEARCH("Marketing Manager",C1338))+ISNUMBER(SEARCH("Gerente de Marketing",C1338))+ISNUMBER(SEARCH("Growth Manager",C1338))+ISNUMBER(SEARCH("Demand Gen",C1338))+ISNUMBER(SEARCH("Marketing Lead",C1338))&gt;0,'Configuración'!$B$33,IF(ISNUMBER(SEARCH("COO",C1338))+ISNUMBER(SEARCH("CFO",C1338))+ISNUMBER(SEARCH("CTO",C1338))+ISNUMBER(SEARCH("Chief Operating",C1338))+ISNUMBER(SEARCH("Chief Financial",C1338))+ISNUMBER(SEARCH("Gerente General",C1338))+ISNUMBER(SEARCH("General Manager",C1338))&gt;0,'Configuración'!$B$34,'Configuración'!$B$35)))))</f>
        <v>12</v>
      </c>
      <c r="V1338" s="38">
        <f>IF(B1338="","",IF(K1338="Sí",'Configuración'!$B$5,0)+IF(L1338="Semanal",'Configuración'!$B$6,IF(L1338="Mensual",'Configuración'!$B$7,0))+IF(M1338="Sí",'Configuración'!$B$8,0)+IF(N1338="Sí",'Configuración'!$B$9,0)+IF(O1338="Sí",'Configuración'!$B$10,0)+IF(P1338="Sí",'Configuración'!$B$11,0)+IF(Q1338="Sí",'Configuración'!$B$12,0)+S1338+T1338+U1338)</f>
        <v>28</v>
      </c>
      <c r="W1338" s="39" t="str">
        <f>IF(B1338="","",IF(V1338&gt;='Configuración'!$B$19,"A",IF(V1338&gt;='Configuración'!$B$20,"B",IF(V1338&gt;='Configuración'!$B$21,"C","Descarte"))))</f>
        <v>C</v>
      </c>
    </row>
    <row r="1339" ht="15.75" customHeight="1">
      <c r="A1339" s="34">
        <f t="shared" si="1"/>
        <v>1337</v>
      </c>
      <c r="B1339" s="29" t="s">
        <v>324</v>
      </c>
      <c r="C1339" s="29" t="s">
        <v>7606</v>
      </c>
      <c r="D1339" s="29" t="s">
        <v>7607</v>
      </c>
      <c r="E1339" s="29" t="s">
        <v>7608</v>
      </c>
      <c r="F1339" s="30" t="s">
        <v>7609</v>
      </c>
      <c r="G1339" s="30" t="s">
        <v>7610</v>
      </c>
      <c r="H1339" s="30" t="s">
        <v>7611</v>
      </c>
      <c r="I1339" s="29" t="s">
        <v>116</v>
      </c>
      <c r="J1339" s="31">
        <v>3.0</v>
      </c>
      <c r="K1339" s="35"/>
      <c r="L1339" s="35"/>
      <c r="M1339" s="35"/>
      <c r="N1339" s="35"/>
      <c r="O1339" s="35"/>
      <c r="P1339" s="35"/>
      <c r="Q1339" s="35"/>
      <c r="R1339" s="35"/>
      <c r="S1339" s="37">
        <f>IF(B1339="","",IF(ISNUMBER(J1339),IF(J1339&lt;=10,'Configuración'!$B$23,IF(J1339&lt;=50,'Configuración'!$B$24,IF(J1339&lt;=200,'Configuración'!$B$25,0))),0))</f>
        <v>12</v>
      </c>
      <c r="T1339" s="37">
        <f>IF(B1339="","",IF(ISNUMBER(SEARCH("information technology",I1339))+ISNUMBER(SEARCH("software",I1339))+ISNUMBER(SEARCH("internet",I1339))+ISNUMBER(SEARCH("computer",I1339))+ISNUMBER(SEARCH("saas",I1339))+ISNUMBER(SEARCH("fintech",I1339))+ISNUMBER(SEARCH("information services",I1339))+ISNUMBER(SEARCH("telecommunications",I1339))&gt;0,'Configuración'!$B$27,'Configuración'!$B$28))</f>
        <v>4</v>
      </c>
      <c r="U1339" s="25">
        <f>IF(B1339="","",IF(ISNUMBER(SEARCH("CEO",C1339))+ISNUMBER(SEARCH("Founder",C1339))+ISNUMBER(SEARCH("Owner",C1339))+ISNUMBER(SEARCH("Dueño",C1339))+ISNUMBER(SEARCH("Director General",C1339))+ISNUMBER(SEARCH("Presidente",C1339))+ISNUMBER(SEARCH("President",C1339))&gt;0,'Configuración'!$B$31,IF(ISNUMBER(SEARCH("CMO",C1339))+ISNUMBER(SEARCH("Chief Marketing",C1339))+ISNUMBER(SEARCH("VP Marketing",C1339))+ISNUMBER(SEARCH("Director de Marketing",C1339))+ISNUMBER(SEARCH("Director Marketing",C1339))+ISNUMBER(SEARCH("Head of Marketing",C1339))+ISNUMBER(SEARCH("Head Marketing",C1339))&gt;0,'Configuración'!$B$32,IF(ISNUMBER(SEARCH("Marketing Manager",C1339))+ISNUMBER(SEARCH("Gerente de Marketing",C1339))+ISNUMBER(SEARCH("Growth Manager",C1339))+ISNUMBER(SEARCH("Demand Gen",C1339))+ISNUMBER(SEARCH("Marketing Lead",C1339))&gt;0,'Configuración'!$B$33,IF(ISNUMBER(SEARCH("COO",C1339))+ISNUMBER(SEARCH("CFO",C1339))+ISNUMBER(SEARCH("CTO",C1339))+ISNUMBER(SEARCH("Chief Operating",C1339))+ISNUMBER(SEARCH("Chief Financial",C1339))+ISNUMBER(SEARCH("Gerente General",C1339))+ISNUMBER(SEARCH("General Manager",C1339))&gt;0,'Configuración'!$B$34,'Configuración'!$B$35)))))</f>
        <v>12</v>
      </c>
      <c r="V1339" s="38">
        <f>IF(B1339="","",IF(K1339="Sí",'Configuración'!$B$5,0)+IF(L1339="Semanal",'Configuración'!$B$6,IF(L1339="Mensual",'Configuración'!$B$7,0))+IF(M1339="Sí",'Configuración'!$B$8,0)+IF(N1339="Sí",'Configuración'!$B$9,0)+IF(O1339="Sí",'Configuración'!$B$10,0)+IF(P1339="Sí",'Configuración'!$B$11,0)+IF(Q1339="Sí",'Configuración'!$B$12,0)+S1339+T1339+U1339)</f>
        <v>28</v>
      </c>
      <c r="W1339" s="39" t="str">
        <f>IF(B1339="","",IF(V1339&gt;='Configuración'!$B$19,"A",IF(V1339&gt;='Configuración'!$B$20,"B",IF(V1339&gt;='Configuración'!$B$21,"C","Descarte"))))</f>
        <v>C</v>
      </c>
    </row>
    <row r="1340" ht="15.75" customHeight="1">
      <c r="A1340" s="34">
        <f t="shared" si="1"/>
        <v>1338</v>
      </c>
      <c r="B1340" s="29" t="s">
        <v>7612</v>
      </c>
      <c r="C1340" s="29" t="s">
        <v>487</v>
      </c>
      <c r="D1340" s="29" t="s">
        <v>7613</v>
      </c>
      <c r="E1340" s="29" t="s">
        <v>7614</v>
      </c>
      <c r="F1340" s="30" t="s">
        <v>7615</v>
      </c>
      <c r="G1340" s="30" t="s">
        <v>7616</v>
      </c>
      <c r="H1340" s="30" t="s">
        <v>7617</v>
      </c>
      <c r="I1340" s="29" t="s">
        <v>188</v>
      </c>
      <c r="J1340" s="31">
        <v>3.0</v>
      </c>
      <c r="K1340" s="35"/>
      <c r="L1340" s="35"/>
      <c r="M1340" s="35"/>
      <c r="N1340" s="35"/>
      <c r="O1340" s="35"/>
      <c r="P1340" s="35"/>
      <c r="Q1340" s="35"/>
      <c r="R1340" s="35"/>
      <c r="S1340" s="37">
        <f>IF(B1340="","",IF(ISNUMBER(J1340),IF(J1340&lt;=10,'Configuración'!$B$23,IF(J1340&lt;=50,'Configuración'!$B$24,IF(J1340&lt;=200,'Configuración'!$B$25,0))),0))</f>
        <v>12</v>
      </c>
      <c r="T1340" s="37">
        <f>IF(B1340="","",IF(ISNUMBER(SEARCH("information technology",I1340))+ISNUMBER(SEARCH("software",I1340))+ISNUMBER(SEARCH("internet",I1340))+ISNUMBER(SEARCH("computer",I1340))+ISNUMBER(SEARCH("saas",I1340))+ISNUMBER(SEARCH("fintech",I1340))+ISNUMBER(SEARCH("information services",I1340))+ISNUMBER(SEARCH("telecommunications",I1340))&gt;0,'Configuración'!$B$27,'Configuración'!$B$28))</f>
        <v>4</v>
      </c>
      <c r="U1340" s="25">
        <f>IF(B1340="","",IF(ISNUMBER(SEARCH("CEO",C1340))+ISNUMBER(SEARCH("Founder",C1340))+ISNUMBER(SEARCH("Owner",C1340))+ISNUMBER(SEARCH("Dueño",C1340))+ISNUMBER(SEARCH("Director General",C1340))+ISNUMBER(SEARCH("Presidente",C1340))+ISNUMBER(SEARCH("President",C1340))&gt;0,'Configuración'!$B$31,IF(ISNUMBER(SEARCH("CMO",C1340))+ISNUMBER(SEARCH("Chief Marketing",C1340))+ISNUMBER(SEARCH("VP Marketing",C1340))+ISNUMBER(SEARCH("Director de Marketing",C1340))+ISNUMBER(SEARCH("Director Marketing",C1340))+ISNUMBER(SEARCH("Head of Marketing",C1340))+ISNUMBER(SEARCH("Head Marketing",C1340))&gt;0,'Configuración'!$B$32,IF(ISNUMBER(SEARCH("Marketing Manager",C1340))+ISNUMBER(SEARCH("Gerente de Marketing",C1340))+ISNUMBER(SEARCH("Growth Manager",C1340))+ISNUMBER(SEARCH("Demand Gen",C1340))+ISNUMBER(SEARCH("Marketing Lead",C1340))&gt;0,'Configuración'!$B$33,IF(ISNUMBER(SEARCH("COO",C1340))+ISNUMBER(SEARCH("CFO",C1340))+ISNUMBER(SEARCH("CTO",C1340))+ISNUMBER(SEARCH("Chief Operating",C1340))+ISNUMBER(SEARCH("Chief Financial",C1340))+ISNUMBER(SEARCH("Gerente General",C1340))+ISNUMBER(SEARCH("General Manager",C1340))&gt;0,'Configuración'!$B$34,'Configuración'!$B$35)))))</f>
        <v>12</v>
      </c>
      <c r="V1340" s="38">
        <f>IF(B1340="","",IF(K1340="Sí",'Configuración'!$B$5,0)+IF(L1340="Semanal",'Configuración'!$B$6,IF(L1340="Mensual",'Configuración'!$B$7,0))+IF(M1340="Sí",'Configuración'!$B$8,0)+IF(N1340="Sí",'Configuración'!$B$9,0)+IF(O1340="Sí",'Configuración'!$B$10,0)+IF(P1340="Sí",'Configuración'!$B$11,0)+IF(Q1340="Sí",'Configuración'!$B$12,0)+S1340+T1340+U1340)</f>
        <v>28</v>
      </c>
      <c r="W1340" s="39" t="str">
        <f>IF(B1340="","",IF(V1340&gt;='Configuración'!$B$19,"A",IF(V1340&gt;='Configuración'!$B$20,"B",IF(V1340&gt;='Configuración'!$B$21,"C","Descarte"))))</f>
        <v>C</v>
      </c>
    </row>
    <row r="1341" ht="15.75" customHeight="1">
      <c r="A1341" s="34">
        <f t="shared" si="1"/>
        <v>1339</v>
      </c>
      <c r="B1341" s="29" t="s">
        <v>174</v>
      </c>
      <c r="C1341" s="29" t="s">
        <v>7618</v>
      </c>
      <c r="D1341" s="29" t="s">
        <v>7619</v>
      </c>
      <c r="E1341" s="29" t="s">
        <v>7620</v>
      </c>
      <c r="F1341" s="30" t="s">
        <v>7621</v>
      </c>
      <c r="G1341" s="30" t="s">
        <v>7622</v>
      </c>
      <c r="H1341" s="30" t="s">
        <v>7623</v>
      </c>
      <c r="I1341" s="29" t="s">
        <v>480</v>
      </c>
      <c r="J1341" s="31">
        <v>4.0</v>
      </c>
      <c r="K1341" s="35"/>
      <c r="L1341" s="35"/>
      <c r="M1341" s="35"/>
      <c r="N1341" s="35"/>
      <c r="O1341" s="35"/>
      <c r="P1341" s="35"/>
      <c r="Q1341" s="35"/>
      <c r="R1341" s="35"/>
      <c r="S1341" s="37">
        <f>IF(B1341="","",IF(ISNUMBER(J1341),IF(J1341&lt;=10,'Configuración'!$B$23,IF(J1341&lt;=50,'Configuración'!$B$24,IF(J1341&lt;=200,'Configuración'!$B$25,0))),0))</f>
        <v>12</v>
      </c>
      <c r="T1341" s="37">
        <f>IF(B1341="","",IF(ISNUMBER(SEARCH("information technology",I1341))+ISNUMBER(SEARCH("software",I1341))+ISNUMBER(SEARCH("internet",I1341))+ISNUMBER(SEARCH("computer",I1341))+ISNUMBER(SEARCH("saas",I1341))+ISNUMBER(SEARCH("fintech",I1341))+ISNUMBER(SEARCH("information services",I1341))+ISNUMBER(SEARCH("telecommunications",I1341))&gt;0,'Configuración'!$B$27,'Configuración'!$B$28))</f>
        <v>4</v>
      </c>
      <c r="U1341" s="25">
        <f>IF(B1341="","",IF(ISNUMBER(SEARCH("CEO",C1341))+ISNUMBER(SEARCH("Founder",C1341))+ISNUMBER(SEARCH("Owner",C1341))+ISNUMBER(SEARCH("Dueño",C1341))+ISNUMBER(SEARCH("Director General",C1341))+ISNUMBER(SEARCH("Presidente",C1341))+ISNUMBER(SEARCH("President",C1341))&gt;0,'Configuración'!$B$31,IF(ISNUMBER(SEARCH("CMO",C1341))+ISNUMBER(SEARCH("Chief Marketing",C1341))+ISNUMBER(SEARCH("VP Marketing",C1341))+ISNUMBER(SEARCH("Director de Marketing",C1341))+ISNUMBER(SEARCH("Director Marketing",C1341))+ISNUMBER(SEARCH("Head of Marketing",C1341))+ISNUMBER(SEARCH("Head Marketing",C1341))&gt;0,'Configuración'!$B$32,IF(ISNUMBER(SEARCH("Marketing Manager",C1341))+ISNUMBER(SEARCH("Gerente de Marketing",C1341))+ISNUMBER(SEARCH("Growth Manager",C1341))+ISNUMBER(SEARCH("Demand Gen",C1341))+ISNUMBER(SEARCH("Marketing Lead",C1341))&gt;0,'Configuración'!$B$33,IF(ISNUMBER(SEARCH("COO",C1341))+ISNUMBER(SEARCH("CFO",C1341))+ISNUMBER(SEARCH("CTO",C1341))+ISNUMBER(SEARCH("Chief Operating",C1341))+ISNUMBER(SEARCH("Chief Financial",C1341))+ISNUMBER(SEARCH("Gerente General",C1341))+ISNUMBER(SEARCH("General Manager",C1341))&gt;0,'Configuración'!$B$34,'Configuración'!$B$35)))))</f>
        <v>12</v>
      </c>
      <c r="V1341" s="38">
        <f>IF(B1341="","",IF(K1341="Sí",'Configuración'!$B$5,0)+IF(L1341="Semanal",'Configuración'!$B$6,IF(L1341="Mensual",'Configuración'!$B$7,0))+IF(M1341="Sí",'Configuración'!$B$8,0)+IF(N1341="Sí",'Configuración'!$B$9,0)+IF(O1341="Sí",'Configuración'!$B$10,0)+IF(P1341="Sí",'Configuración'!$B$11,0)+IF(Q1341="Sí",'Configuración'!$B$12,0)+S1341+T1341+U1341)</f>
        <v>28</v>
      </c>
      <c r="W1341" s="39" t="str">
        <f>IF(B1341="","",IF(V1341&gt;='Configuración'!$B$19,"A",IF(V1341&gt;='Configuración'!$B$20,"B",IF(V1341&gt;='Configuración'!$B$21,"C","Descarte"))))</f>
        <v>C</v>
      </c>
    </row>
    <row r="1342" ht="15.75" customHeight="1">
      <c r="A1342" s="34">
        <f t="shared" si="1"/>
        <v>1340</v>
      </c>
      <c r="B1342" s="29" t="s">
        <v>7624</v>
      </c>
      <c r="C1342" s="29" t="s">
        <v>7625</v>
      </c>
      <c r="D1342" s="29" t="s">
        <v>7626</v>
      </c>
      <c r="E1342" s="29" t="s">
        <v>7627</v>
      </c>
      <c r="F1342" s="30" t="s">
        <v>7628</v>
      </c>
      <c r="G1342" s="30" t="s">
        <v>7629</v>
      </c>
      <c r="H1342" s="30" t="s">
        <v>7630</v>
      </c>
      <c r="I1342" s="29" t="s">
        <v>116</v>
      </c>
      <c r="J1342" s="31">
        <v>20.0</v>
      </c>
      <c r="K1342" s="35"/>
      <c r="L1342" s="35"/>
      <c r="M1342" s="35"/>
      <c r="N1342" s="35"/>
      <c r="O1342" s="35"/>
      <c r="P1342" s="35"/>
      <c r="Q1342" s="35"/>
      <c r="R1342" s="35"/>
      <c r="S1342" s="37">
        <f>IF(B1342="","",IF(ISNUMBER(J1342),IF(J1342&lt;=10,'Configuración'!$B$23,IF(J1342&lt;=50,'Configuración'!$B$24,IF(J1342&lt;=200,'Configuración'!$B$25,0))),0))</f>
        <v>4</v>
      </c>
      <c r="T1342" s="37">
        <f>IF(B1342="","",IF(ISNUMBER(SEARCH("information technology",I1342))+ISNUMBER(SEARCH("software",I1342))+ISNUMBER(SEARCH("internet",I1342))+ISNUMBER(SEARCH("computer",I1342))+ISNUMBER(SEARCH("saas",I1342))+ISNUMBER(SEARCH("fintech",I1342))+ISNUMBER(SEARCH("information services",I1342))+ISNUMBER(SEARCH("telecommunications",I1342))&gt;0,'Configuración'!$B$27,'Configuración'!$B$28))</f>
        <v>4</v>
      </c>
      <c r="U1342" s="25">
        <f>IF(B1342="","",IF(ISNUMBER(SEARCH("CEO",C1342))+ISNUMBER(SEARCH("Founder",C1342))+ISNUMBER(SEARCH("Owner",C1342))+ISNUMBER(SEARCH("Dueño",C1342))+ISNUMBER(SEARCH("Director General",C1342))+ISNUMBER(SEARCH("Presidente",C1342))+ISNUMBER(SEARCH("President",C1342))&gt;0,'Configuración'!$B$31,IF(ISNUMBER(SEARCH("CMO",C1342))+ISNUMBER(SEARCH("Chief Marketing",C1342))+ISNUMBER(SEARCH("VP Marketing",C1342))+ISNUMBER(SEARCH("Director de Marketing",C1342))+ISNUMBER(SEARCH("Director Marketing",C1342))+ISNUMBER(SEARCH("Head of Marketing",C1342))+ISNUMBER(SEARCH("Head Marketing",C1342))&gt;0,'Configuración'!$B$32,IF(ISNUMBER(SEARCH("Marketing Manager",C1342))+ISNUMBER(SEARCH("Gerente de Marketing",C1342))+ISNUMBER(SEARCH("Growth Manager",C1342))+ISNUMBER(SEARCH("Demand Gen",C1342))+ISNUMBER(SEARCH("Marketing Lead",C1342))&gt;0,'Configuración'!$B$33,IF(ISNUMBER(SEARCH("COO",C1342))+ISNUMBER(SEARCH("CFO",C1342))+ISNUMBER(SEARCH("CTO",C1342))+ISNUMBER(SEARCH("Chief Operating",C1342))+ISNUMBER(SEARCH("Chief Financial",C1342))+ISNUMBER(SEARCH("Gerente General",C1342))+ISNUMBER(SEARCH("General Manager",C1342))&gt;0,'Configuración'!$B$34,'Configuración'!$B$35)))))</f>
        <v>12</v>
      </c>
      <c r="V1342" s="38">
        <f>IF(B1342="","",IF(K1342="Sí",'Configuración'!$B$5,0)+IF(L1342="Semanal",'Configuración'!$B$6,IF(L1342="Mensual",'Configuración'!$B$7,0))+IF(M1342="Sí",'Configuración'!$B$8,0)+IF(N1342="Sí",'Configuración'!$B$9,0)+IF(O1342="Sí",'Configuración'!$B$10,0)+IF(P1342="Sí",'Configuración'!$B$11,0)+IF(Q1342="Sí",'Configuración'!$B$12,0)+S1342+T1342+U1342)</f>
        <v>20</v>
      </c>
      <c r="W1342" s="39" t="str">
        <f>IF(B1342="","",IF(V1342&gt;='Configuración'!$B$19,"A",IF(V1342&gt;='Configuración'!$B$20,"B",IF(V1342&gt;='Configuración'!$B$21,"C","Descarte"))))</f>
        <v>Descarte</v>
      </c>
    </row>
    <row r="1343" ht="15.75" customHeight="1">
      <c r="A1343" s="34">
        <f t="shared" si="1"/>
        <v>1341</v>
      </c>
      <c r="B1343" s="29" t="s">
        <v>7631</v>
      </c>
      <c r="C1343" s="29" t="s">
        <v>4152</v>
      </c>
      <c r="D1343" s="29" t="s">
        <v>7632</v>
      </c>
      <c r="E1343" s="29" t="s">
        <v>7633</v>
      </c>
      <c r="F1343" s="30" t="s">
        <v>7634</v>
      </c>
      <c r="G1343" s="30" t="s">
        <v>7635</v>
      </c>
      <c r="H1343" s="30" t="s">
        <v>7636</v>
      </c>
      <c r="I1343" s="29" t="s">
        <v>188</v>
      </c>
      <c r="J1343" s="31">
        <v>3.0</v>
      </c>
      <c r="K1343" s="35"/>
      <c r="L1343" s="35"/>
      <c r="M1343" s="35"/>
      <c r="N1343" s="35"/>
      <c r="O1343" s="35"/>
      <c r="P1343" s="35"/>
      <c r="Q1343" s="35"/>
      <c r="R1343" s="35"/>
      <c r="S1343" s="37">
        <f>IF(B1343="","",IF(ISNUMBER(J1343),IF(J1343&lt;=10,'Configuración'!$B$23,IF(J1343&lt;=50,'Configuración'!$B$24,IF(J1343&lt;=200,'Configuración'!$B$25,0))),0))</f>
        <v>12</v>
      </c>
      <c r="T1343" s="37">
        <f>IF(B1343="","",IF(ISNUMBER(SEARCH("information technology",I1343))+ISNUMBER(SEARCH("software",I1343))+ISNUMBER(SEARCH("internet",I1343))+ISNUMBER(SEARCH("computer",I1343))+ISNUMBER(SEARCH("saas",I1343))+ISNUMBER(SEARCH("fintech",I1343))+ISNUMBER(SEARCH("information services",I1343))+ISNUMBER(SEARCH("telecommunications",I1343))&gt;0,'Configuración'!$B$27,'Configuración'!$B$28))</f>
        <v>4</v>
      </c>
      <c r="U1343" s="25">
        <f>IF(B1343="","",IF(ISNUMBER(SEARCH("CEO",C1343))+ISNUMBER(SEARCH("Founder",C1343))+ISNUMBER(SEARCH("Owner",C1343))+ISNUMBER(SEARCH("Dueño",C1343))+ISNUMBER(SEARCH("Director General",C1343))+ISNUMBER(SEARCH("Presidente",C1343))+ISNUMBER(SEARCH("President",C1343))&gt;0,'Configuración'!$B$31,IF(ISNUMBER(SEARCH("CMO",C1343))+ISNUMBER(SEARCH("Chief Marketing",C1343))+ISNUMBER(SEARCH("VP Marketing",C1343))+ISNUMBER(SEARCH("Director de Marketing",C1343))+ISNUMBER(SEARCH("Director Marketing",C1343))+ISNUMBER(SEARCH("Head of Marketing",C1343))+ISNUMBER(SEARCH("Head Marketing",C1343))&gt;0,'Configuración'!$B$32,IF(ISNUMBER(SEARCH("Marketing Manager",C1343))+ISNUMBER(SEARCH("Gerente de Marketing",C1343))+ISNUMBER(SEARCH("Growth Manager",C1343))+ISNUMBER(SEARCH("Demand Gen",C1343))+ISNUMBER(SEARCH("Marketing Lead",C1343))&gt;0,'Configuración'!$B$33,IF(ISNUMBER(SEARCH("COO",C1343))+ISNUMBER(SEARCH("CFO",C1343))+ISNUMBER(SEARCH("CTO",C1343))+ISNUMBER(SEARCH("Chief Operating",C1343))+ISNUMBER(SEARCH("Chief Financial",C1343))+ISNUMBER(SEARCH("Gerente General",C1343))+ISNUMBER(SEARCH("General Manager",C1343))&gt;0,'Configuración'!$B$34,'Configuración'!$B$35)))))</f>
        <v>12</v>
      </c>
      <c r="V1343" s="38">
        <f>IF(B1343="","",IF(K1343="Sí",'Configuración'!$B$5,0)+IF(L1343="Semanal",'Configuración'!$B$6,IF(L1343="Mensual",'Configuración'!$B$7,0))+IF(M1343="Sí",'Configuración'!$B$8,0)+IF(N1343="Sí",'Configuración'!$B$9,0)+IF(O1343="Sí",'Configuración'!$B$10,0)+IF(P1343="Sí",'Configuración'!$B$11,0)+IF(Q1343="Sí",'Configuración'!$B$12,0)+S1343+T1343+U1343)</f>
        <v>28</v>
      </c>
      <c r="W1343" s="39" t="str">
        <f>IF(B1343="","",IF(V1343&gt;='Configuración'!$B$19,"A",IF(V1343&gt;='Configuración'!$B$20,"B",IF(V1343&gt;='Configuración'!$B$21,"C","Descarte"))))</f>
        <v>C</v>
      </c>
    </row>
    <row r="1344" ht="15.75" customHeight="1">
      <c r="A1344" s="34">
        <f t="shared" si="1"/>
        <v>1342</v>
      </c>
      <c r="B1344" s="29" t="s">
        <v>7637</v>
      </c>
      <c r="C1344" s="29" t="s">
        <v>7638</v>
      </c>
      <c r="D1344" s="29" t="s">
        <v>2932</v>
      </c>
      <c r="E1344" s="29" t="s">
        <v>7639</v>
      </c>
      <c r="F1344" s="30" t="s">
        <v>7640</v>
      </c>
      <c r="G1344" s="30" t="s">
        <v>2935</v>
      </c>
      <c r="H1344" s="30" t="s">
        <v>2936</v>
      </c>
      <c r="I1344" s="29" t="s">
        <v>1429</v>
      </c>
      <c r="J1344" s="31">
        <v>25.0</v>
      </c>
      <c r="K1344" s="35"/>
      <c r="L1344" s="35"/>
      <c r="M1344" s="35"/>
      <c r="N1344" s="35"/>
      <c r="O1344" s="35"/>
      <c r="P1344" s="35"/>
      <c r="Q1344" s="35"/>
      <c r="R1344" s="35"/>
      <c r="S1344" s="37">
        <f>IF(B1344="","",IF(ISNUMBER(J1344),IF(J1344&lt;=10,'Configuración'!$B$23,IF(J1344&lt;=50,'Configuración'!$B$24,IF(J1344&lt;=200,'Configuración'!$B$25,0))),0))</f>
        <v>4</v>
      </c>
      <c r="T1344" s="37">
        <f>IF(B1344="","",IF(ISNUMBER(SEARCH("information technology",I1344))+ISNUMBER(SEARCH("software",I1344))+ISNUMBER(SEARCH("internet",I1344))+ISNUMBER(SEARCH("computer",I1344))+ISNUMBER(SEARCH("saas",I1344))+ISNUMBER(SEARCH("fintech",I1344))+ISNUMBER(SEARCH("information services",I1344))+ISNUMBER(SEARCH("telecommunications",I1344))&gt;0,'Configuración'!$B$27,'Configuración'!$B$28))</f>
        <v>4</v>
      </c>
      <c r="U1344" s="25">
        <f>IF(B1344="","",IF(ISNUMBER(SEARCH("CEO",C1344))+ISNUMBER(SEARCH("Founder",C1344))+ISNUMBER(SEARCH("Owner",C1344))+ISNUMBER(SEARCH("Dueño",C1344))+ISNUMBER(SEARCH("Director General",C1344))+ISNUMBER(SEARCH("Presidente",C1344))+ISNUMBER(SEARCH("President",C1344))&gt;0,'Configuración'!$B$31,IF(ISNUMBER(SEARCH("CMO",C1344))+ISNUMBER(SEARCH("Chief Marketing",C1344))+ISNUMBER(SEARCH("VP Marketing",C1344))+ISNUMBER(SEARCH("Director de Marketing",C1344))+ISNUMBER(SEARCH("Director Marketing",C1344))+ISNUMBER(SEARCH("Head of Marketing",C1344))+ISNUMBER(SEARCH("Head Marketing",C1344))&gt;0,'Configuración'!$B$32,IF(ISNUMBER(SEARCH("Marketing Manager",C1344))+ISNUMBER(SEARCH("Gerente de Marketing",C1344))+ISNUMBER(SEARCH("Growth Manager",C1344))+ISNUMBER(SEARCH("Demand Gen",C1344))+ISNUMBER(SEARCH("Marketing Lead",C1344))&gt;0,'Configuración'!$B$33,IF(ISNUMBER(SEARCH("COO",C1344))+ISNUMBER(SEARCH("CFO",C1344))+ISNUMBER(SEARCH("CTO",C1344))+ISNUMBER(SEARCH("Chief Operating",C1344))+ISNUMBER(SEARCH("Chief Financial",C1344))+ISNUMBER(SEARCH("Gerente General",C1344))+ISNUMBER(SEARCH("General Manager",C1344))&gt;0,'Configuración'!$B$34,'Configuración'!$B$35)))))</f>
        <v>12</v>
      </c>
      <c r="V1344" s="38">
        <f>IF(B1344="","",IF(K1344="Sí",'Configuración'!$B$5,0)+IF(L1344="Semanal",'Configuración'!$B$6,IF(L1344="Mensual",'Configuración'!$B$7,0))+IF(M1344="Sí",'Configuración'!$B$8,0)+IF(N1344="Sí",'Configuración'!$B$9,0)+IF(O1344="Sí",'Configuración'!$B$10,0)+IF(P1344="Sí",'Configuración'!$B$11,0)+IF(Q1344="Sí",'Configuración'!$B$12,0)+S1344+T1344+U1344)</f>
        <v>20</v>
      </c>
      <c r="W1344" s="39" t="str">
        <f>IF(B1344="","",IF(V1344&gt;='Configuración'!$B$19,"A",IF(V1344&gt;='Configuración'!$B$20,"B",IF(V1344&gt;='Configuración'!$B$21,"C","Descarte"))))</f>
        <v>Descarte</v>
      </c>
    </row>
    <row r="1345" ht="15.75" customHeight="1">
      <c r="A1345" s="34">
        <f t="shared" si="1"/>
        <v>1343</v>
      </c>
      <c r="B1345" s="29" t="s">
        <v>7641</v>
      </c>
      <c r="C1345" s="29" t="s">
        <v>7642</v>
      </c>
      <c r="D1345" s="29" t="s">
        <v>7643</v>
      </c>
      <c r="E1345" s="29" t="s">
        <v>7644</v>
      </c>
      <c r="F1345" s="30" t="s">
        <v>7645</v>
      </c>
      <c r="G1345" s="30" t="s">
        <v>7646</v>
      </c>
      <c r="H1345" s="30" t="s">
        <v>7647</v>
      </c>
      <c r="I1345" s="29" t="s">
        <v>137</v>
      </c>
      <c r="J1345" s="31">
        <v>1.0</v>
      </c>
      <c r="K1345" s="35"/>
      <c r="L1345" s="35"/>
      <c r="M1345" s="35"/>
      <c r="N1345" s="35"/>
      <c r="O1345" s="35"/>
      <c r="P1345" s="35"/>
      <c r="Q1345" s="35"/>
      <c r="R1345" s="35"/>
      <c r="S1345" s="37">
        <f>IF(B1345="","",IF(ISNUMBER(J1345),IF(J1345&lt;=10,'Configuración'!$B$23,IF(J1345&lt;=50,'Configuración'!$B$24,IF(J1345&lt;=200,'Configuración'!$B$25,0))),0))</f>
        <v>12</v>
      </c>
      <c r="T1345" s="37">
        <f>IF(B1345="","",IF(ISNUMBER(SEARCH("information technology",I1345))+ISNUMBER(SEARCH("software",I1345))+ISNUMBER(SEARCH("internet",I1345))+ISNUMBER(SEARCH("computer",I1345))+ISNUMBER(SEARCH("saas",I1345))+ISNUMBER(SEARCH("fintech",I1345))+ISNUMBER(SEARCH("information services",I1345))+ISNUMBER(SEARCH("telecommunications",I1345))&gt;0,'Configuración'!$B$27,'Configuración'!$B$28))</f>
        <v>4</v>
      </c>
      <c r="U1345" s="25">
        <f>IF(B1345="","",IF(ISNUMBER(SEARCH("CEO",C1345))+ISNUMBER(SEARCH("Founder",C1345))+ISNUMBER(SEARCH("Owner",C1345))+ISNUMBER(SEARCH("Dueño",C1345))+ISNUMBER(SEARCH("Director General",C1345))+ISNUMBER(SEARCH("Presidente",C1345))+ISNUMBER(SEARCH("President",C1345))&gt;0,'Configuración'!$B$31,IF(ISNUMBER(SEARCH("CMO",C1345))+ISNUMBER(SEARCH("Chief Marketing",C1345))+ISNUMBER(SEARCH("VP Marketing",C1345))+ISNUMBER(SEARCH("Director de Marketing",C1345))+ISNUMBER(SEARCH("Director Marketing",C1345))+ISNUMBER(SEARCH("Head of Marketing",C1345))+ISNUMBER(SEARCH("Head Marketing",C1345))&gt;0,'Configuración'!$B$32,IF(ISNUMBER(SEARCH("Marketing Manager",C1345))+ISNUMBER(SEARCH("Gerente de Marketing",C1345))+ISNUMBER(SEARCH("Growth Manager",C1345))+ISNUMBER(SEARCH("Demand Gen",C1345))+ISNUMBER(SEARCH("Marketing Lead",C1345))&gt;0,'Configuración'!$B$33,IF(ISNUMBER(SEARCH("COO",C1345))+ISNUMBER(SEARCH("CFO",C1345))+ISNUMBER(SEARCH("CTO",C1345))+ISNUMBER(SEARCH("Chief Operating",C1345))+ISNUMBER(SEARCH("Chief Financial",C1345))+ISNUMBER(SEARCH("Gerente General",C1345))+ISNUMBER(SEARCH("General Manager",C1345))&gt;0,'Configuración'!$B$34,'Configuración'!$B$35)))))</f>
        <v>12</v>
      </c>
      <c r="V1345" s="38">
        <f>IF(B1345="","",IF(K1345="Sí",'Configuración'!$B$5,0)+IF(L1345="Semanal",'Configuración'!$B$6,IF(L1345="Mensual",'Configuración'!$B$7,0))+IF(M1345="Sí",'Configuración'!$B$8,0)+IF(N1345="Sí",'Configuración'!$B$9,0)+IF(O1345="Sí",'Configuración'!$B$10,0)+IF(P1345="Sí",'Configuración'!$B$11,0)+IF(Q1345="Sí",'Configuración'!$B$12,0)+S1345+T1345+U1345)</f>
        <v>28</v>
      </c>
      <c r="W1345" s="39" t="str">
        <f>IF(B1345="","",IF(V1345&gt;='Configuración'!$B$19,"A",IF(V1345&gt;='Configuración'!$B$20,"B",IF(V1345&gt;='Configuración'!$B$21,"C","Descarte"))))</f>
        <v>C</v>
      </c>
    </row>
    <row r="1346" ht="15.75" customHeight="1">
      <c r="A1346" s="34">
        <f t="shared" si="1"/>
        <v>1344</v>
      </c>
      <c r="B1346" s="29" t="s">
        <v>2182</v>
      </c>
      <c r="C1346" s="29" t="s">
        <v>604</v>
      </c>
      <c r="D1346" s="29" t="s">
        <v>7648</v>
      </c>
      <c r="E1346" s="29" t="s">
        <v>7649</v>
      </c>
      <c r="F1346" s="30" t="s">
        <v>7650</v>
      </c>
      <c r="G1346" s="30" t="s">
        <v>7651</v>
      </c>
      <c r="H1346" s="30" t="s">
        <v>7652</v>
      </c>
      <c r="I1346" s="29" t="s">
        <v>116</v>
      </c>
      <c r="J1346" s="31">
        <v>14.0</v>
      </c>
      <c r="K1346" s="35"/>
      <c r="L1346" s="35"/>
      <c r="M1346" s="35"/>
      <c r="N1346" s="35"/>
      <c r="O1346" s="35"/>
      <c r="P1346" s="35"/>
      <c r="Q1346" s="35"/>
      <c r="R1346" s="35"/>
      <c r="S1346" s="37">
        <f>IF(B1346="","",IF(ISNUMBER(J1346),IF(J1346&lt;=10,'Configuración'!$B$23,IF(J1346&lt;=50,'Configuración'!$B$24,IF(J1346&lt;=200,'Configuración'!$B$25,0))),0))</f>
        <v>4</v>
      </c>
      <c r="T1346" s="37">
        <f>IF(B1346="","",IF(ISNUMBER(SEARCH("information technology",I1346))+ISNUMBER(SEARCH("software",I1346))+ISNUMBER(SEARCH("internet",I1346))+ISNUMBER(SEARCH("computer",I1346))+ISNUMBER(SEARCH("saas",I1346))+ISNUMBER(SEARCH("fintech",I1346))+ISNUMBER(SEARCH("information services",I1346))+ISNUMBER(SEARCH("telecommunications",I1346))&gt;0,'Configuración'!$B$27,'Configuración'!$B$28))</f>
        <v>4</v>
      </c>
      <c r="U1346" s="25">
        <f>IF(B1346="","",IF(ISNUMBER(SEARCH("CEO",C1346))+ISNUMBER(SEARCH("Founder",C1346))+ISNUMBER(SEARCH("Owner",C1346))+ISNUMBER(SEARCH("Dueño",C1346))+ISNUMBER(SEARCH("Director General",C1346))+ISNUMBER(SEARCH("Presidente",C1346))+ISNUMBER(SEARCH("President",C1346))&gt;0,'Configuración'!$B$31,IF(ISNUMBER(SEARCH("CMO",C1346))+ISNUMBER(SEARCH("Chief Marketing",C1346))+ISNUMBER(SEARCH("VP Marketing",C1346))+ISNUMBER(SEARCH("Director de Marketing",C1346))+ISNUMBER(SEARCH("Director Marketing",C1346))+ISNUMBER(SEARCH("Head of Marketing",C1346))+ISNUMBER(SEARCH("Head Marketing",C1346))&gt;0,'Configuración'!$B$32,IF(ISNUMBER(SEARCH("Marketing Manager",C1346))+ISNUMBER(SEARCH("Gerente de Marketing",C1346))+ISNUMBER(SEARCH("Growth Manager",C1346))+ISNUMBER(SEARCH("Demand Gen",C1346))+ISNUMBER(SEARCH("Marketing Lead",C1346))&gt;0,'Configuración'!$B$33,IF(ISNUMBER(SEARCH("COO",C1346))+ISNUMBER(SEARCH("CFO",C1346))+ISNUMBER(SEARCH("CTO",C1346))+ISNUMBER(SEARCH("Chief Operating",C1346))+ISNUMBER(SEARCH("Chief Financial",C1346))+ISNUMBER(SEARCH("Gerente General",C1346))+ISNUMBER(SEARCH("General Manager",C1346))&gt;0,'Configuración'!$B$34,'Configuración'!$B$35)))))</f>
        <v>12</v>
      </c>
      <c r="V1346" s="38">
        <f>IF(B1346="","",IF(K1346="Sí",'Configuración'!$B$5,0)+IF(L1346="Semanal",'Configuración'!$B$6,IF(L1346="Mensual",'Configuración'!$B$7,0))+IF(M1346="Sí",'Configuración'!$B$8,0)+IF(N1346="Sí",'Configuración'!$B$9,0)+IF(O1346="Sí",'Configuración'!$B$10,0)+IF(P1346="Sí",'Configuración'!$B$11,0)+IF(Q1346="Sí",'Configuración'!$B$12,0)+S1346+T1346+U1346)</f>
        <v>20</v>
      </c>
      <c r="W1346" s="39" t="str">
        <f>IF(B1346="","",IF(V1346&gt;='Configuración'!$B$19,"A",IF(V1346&gt;='Configuración'!$B$20,"B",IF(V1346&gt;='Configuración'!$B$21,"C","Descarte"))))</f>
        <v>Descarte</v>
      </c>
    </row>
    <row r="1347" ht="15.75" customHeight="1">
      <c r="A1347" s="34">
        <f t="shared" si="1"/>
        <v>1345</v>
      </c>
      <c r="B1347" s="29" t="s">
        <v>7653</v>
      </c>
      <c r="C1347" s="29" t="s">
        <v>311</v>
      </c>
      <c r="D1347" s="29" t="s">
        <v>7654</v>
      </c>
      <c r="E1347" s="29" t="s">
        <v>7655</v>
      </c>
      <c r="F1347" s="30" t="s">
        <v>7656</v>
      </c>
      <c r="G1347" s="30" t="s">
        <v>7657</v>
      </c>
      <c r="H1347" s="30" t="s">
        <v>7658</v>
      </c>
      <c r="I1347" s="29" t="s">
        <v>127</v>
      </c>
      <c r="J1347" s="31">
        <v>36.0</v>
      </c>
      <c r="K1347" s="35"/>
      <c r="L1347" s="35"/>
      <c r="M1347" s="35"/>
      <c r="N1347" s="35"/>
      <c r="O1347" s="35"/>
      <c r="P1347" s="35"/>
      <c r="Q1347" s="35"/>
      <c r="R1347" s="35"/>
      <c r="S1347" s="37">
        <f>IF(B1347="","",IF(ISNUMBER(J1347),IF(J1347&lt;=10,'Configuración'!$B$23,IF(J1347&lt;=50,'Configuración'!$B$24,IF(J1347&lt;=200,'Configuración'!$B$25,0))),0))</f>
        <v>4</v>
      </c>
      <c r="T1347" s="37">
        <f>IF(B1347="","",IF(ISNUMBER(SEARCH("information technology",I1347))+ISNUMBER(SEARCH("software",I1347))+ISNUMBER(SEARCH("internet",I1347))+ISNUMBER(SEARCH("computer",I1347))+ISNUMBER(SEARCH("saas",I1347))+ISNUMBER(SEARCH("fintech",I1347))+ISNUMBER(SEARCH("information services",I1347))+ISNUMBER(SEARCH("telecommunications",I1347))&gt;0,'Configuración'!$B$27,'Configuración'!$B$28))</f>
        <v>12</v>
      </c>
      <c r="U1347" s="25">
        <f>IF(B1347="","",IF(ISNUMBER(SEARCH("CEO",C1347))+ISNUMBER(SEARCH("Founder",C1347))+ISNUMBER(SEARCH("Owner",C1347))+ISNUMBER(SEARCH("Dueño",C1347))+ISNUMBER(SEARCH("Director General",C1347))+ISNUMBER(SEARCH("Presidente",C1347))+ISNUMBER(SEARCH("President",C1347))&gt;0,'Configuración'!$B$31,IF(ISNUMBER(SEARCH("CMO",C1347))+ISNUMBER(SEARCH("Chief Marketing",C1347))+ISNUMBER(SEARCH("VP Marketing",C1347))+ISNUMBER(SEARCH("Director de Marketing",C1347))+ISNUMBER(SEARCH("Director Marketing",C1347))+ISNUMBER(SEARCH("Head of Marketing",C1347))+ISNUMBER(SEARCH("Head Marketing",C1347))&gt;0,'Configuración'!$B$32,IF(ISNUMBER(SEARCH("Marketing Manager",C1347))+ISNUMBER(SEARCH("Gerente de Marketing",C1347))+ISNUMBER(SEARCH("Growth Manager",C1347))+ISNUMBER(SEARCH("Demand Gen",C1347))+ISNUMBER(SEARCH("Marketing Lead",C1347))&gt;0,'Configuración'!$B$33,IF(ISNUMBER(SEARCH("COO",C1347))+ISNUMBER(SEARCH("CFO",C1347))+ISNUMBER(SEARCH("CTO",C1347))+ISNUMBER(SEARCH("Chief Operating",C1347))+ISNUMBER(SEARCH("Chief Financial",C1347))+ISNUMBER(SEARCH("Gerente General",C1347))+ISNUMBER(SEARCH("General Manager",C1347))&gt;0,'Configuración'!$B$34,'Configuración'!$B$35)))))</f>
        <v>12</v>
      </c>
      <c r="V1347" s="38">
        <f>IF(B1347="","",IF(K1347="Sí",'Configuración'!$B$5,0)+IF(L1347="Semanal",'Configuración'!$B$6,IF(L1347="Mensual",'Configuración'!$B$7,0))+IF(M1347="Sí",'Configuración'!$B$8,0)+IF(N1347="Sí",'Configuración'!$B$9,0)+IF(O1347="Sí",'Configuración'!$B$10,0)+IF(P1347="Sí",'Configuración'!$B$11,0)+IF(Q1347="Sí",'Configuración'!$B$12,0)+S1347+T1347+U1347)</f>
        <v>28</v>
      </c>
      <c r="W1347" s="39" t="str">
        <f>IF(B1347="","",IF(V1347&gt;='Configuración'!$B$19,"A",IF(V1347&gt;='Configuración'!$B$20,"B",IF(V1347&gt;='Configuración'!$B$21,"C","Descarte"))))</f>
        <v>C</v>
      </c>
    </row>
    <row r="1348" ht="15.75" customHeight="1">
      <c r="A1348" s="34">
        <f t="shared" si="1"/>
        <v>1346</v>
      </c>
      <c r="B1348" s="29" t="s">
        <v>138</v>
      </c>
      <c r="C1348" s="29" t="s">
        <v>7659</v>
      </c>
      <c r="D1348" s="29" t="s">
        <v>7660</v>
      </c>
      <c r="E1348" s="29" t="s">
        <v>7661</v>
      </c>
      <c r="F1348" s="30" t="s">
        <v>7662</v>
      </c>
      <c r="G1348" s="30" t="s">
        <v>7663</v>
      </c>
      <c r="H1348" s="30" t="s">
        <v>7664</v>
      </c>
      <c r="I1348" s="29" t="s">
        <v>188</v>
      </c>
      <c r="J1348" s="31">
        <v>5.0</v>
      </c>
      <c r="K1348" s="35"/>
      <c r="L1348" s="35"/>
      <c r="M1348" s="35"/>
      <c r="N1348" s="35"/>
      <c r="O1348" s="35"/>
      <c r="P1348" s="35"/>
      <c r="Q1348" s="35"/>
      <c r="R1348" s="35"/>
      <c r="S1348" s="37">
        <f>IF(B1348="","",IF(ISNUMBER(J1348),IF(J1348&lt;=10,'Configuración'!$B$23,IF(J1348&lt;=50,'Configuración'!$B$24,IF(J1348&lt;=200,'Configuración'!$B$25,0))),0))</f>
        <v>12</v>
      </c>
      <c r="T1348" s="37">
        <f>IF(B1348="","",IF(ISNUMBER(SEARCH("information technology",I1348))+ISNUMBER(SEARCH("software",I1348))+ISNUMBER(SEARCH("internet",I1348))+ISNUMBER(SEARCH("computer",I1348))+ISNUMBER(SEARCH("saas",I1348))+ISNUMBER(SEARCH("fintech",I1348))+ISNUMBER(SEARCH("information services",I1348))+ISNUMBER(SEARCH("telecommunications",I1348))&gt;0,'Configuración'!$B$27,'Configuración'!$B$28))</f>
        <v>4</v>
      </c>
      <c r="U1348" s="25">
        <f>IF(B1348="","",IF(ISNUMBER(SEARCH("CEO",C1348))+ISNUMBER(SEARCH("Founder",C1348))+ISNUMBER(SEARCH("Owner",C1348))+ISNUMBER(SEARCH("Dueño",C1348))+ISNUMBER(SEARCH("Director General",C1348))+ISNUMBER(SEARCH("Presidente",C1348))+ISNUMBER(SEARCH("President",C1348))&gt;0,'Configuración'!$B$31,IF(ISNUMBER(SEARCH("CMO",C1348))+ISNUMBER(SEARCH("Chief Marketing",C1348))+ISNUMBER(SEARCH("VP Marketing",C1348))+ISNUMBER(SEARCH("Director de Marketing",C1348))+ISNUMBER(SEARCH("Director Marketing",C1348))+ISNUMBER(SEARCH("Head of Marketing",C1348))+ISNUMBER(SEARCH("Head Marketing",C1348))&gt;0,'Configuración'!$B$32,IF(ISNUMBER(SEARCH("Marketing Manager",C1348))+ISNUMBER(SEARCH("Gerente de Marketing",C1348))+ISNUMBER(SEARCH("Growth Manager",C1348))+ISNUMBER(SEARCH("Demand Gen",C1348))+ISNUMBER(SEARCH("Marketing Lead",C1348))&gt;0,'Configuración'!$B$33,IF(ISNUMBER(SEARCH("COO",C1348))+ISNUMBER(SEARCH("CFO",C1348))+ISNUMBER(SEARCH("CTO",C1348))+ISNUMBER(SEARCH("Chief Operating",C1348))+ISNUMBER(SEARCH("Chief Financial",C1348))+ISNUMBER(SEARCH("Gerente General",C1348))+ISNUMBER(SEARCH("General Manager",C1348))&gt;0,'Configuración'!$B$34,'Configuración'!$B$35)))))</f>
        <v>12</v>
      </c>
      <c r="V1348" s="38">
        <f>IF(B1348="","",IF(K1348="Sí",'Configuración'!$B$5,0)+IF(L1348="Semanal",'Configuración'!$B$6,IF(L1348="Mensual",'Configuración'!$B$7,0))+IF(M1348="Sí",'Configuración'!$B$8,0)+IF(N1348="Sí",'Configuración'!$B$9,0)+IF(O1348="Sí",'Configuración'!$B$10,0)+IF(P1348="Sí",'Configuración'!$B$11,0)+IF(Q1348="Sí",'Configuración'!$B$12,0)+S1348+T1348+U1348)</f>
        <v>28</v>
      </c>
      <c r="W1348" s="39" t="str">
        <f>IF(B1348="","",IF(V1348&gt;='Configuración'!$B$19,"A",IF(V1348&gt;='Configuración'!$B$20,"B",IF(V1348&gt;='Configuración'!$B$21,"C","Descarte"))))</f>
        <v>C</v>
      </c>
    </row>
    <row r="1349" ht="15.75" customHeight="1">
      <c r="A1349" s="34">
        <f t="shared" si="1"/>
        <v>1347</v>
      </c>
      <c r="B1349" s="29" t="s">
        <v>174</v>
      </c>
      <c r="C1349" s="29" t="s">
        <v>175</v>
      </c>
      <c r="D1349" s="29" t="s">
        <v>7665</v>
      </c>
      <c r="E1349" s="29" t="s">
        <v>7666</v>
      </c>
      <c r="F1349" s="30" t="s">
        <v>7667</v>
      </c>
      <c r="G1349" s="30" t="s">
        <v>7668</v>
      </c>
      <c r="H1349" s="30" t="s">
        <v>7669</v>
      </c>
      <c r="I1349" s="29" t="s">
        <v>659</v>
      </c>
      <c r="J1349" s="31">
        <v>3.0</v>
      </c>
      <c r="K1349" s="35"/>
      <c r="L1349" s="35"/>
      <c r="M1349" s="35"/>
      <c r="N1349" s="35"/>
      <c r="O1349" s="35"/>
      <c r="P1349" s="35"/>
      <c r="Q1349" s="35"/>
      <c r="R1349" s="35"/>
      <c r="S1349" s="37">
        <f>IF(B1349="","",IF(ISNUMBER(J1349),IF(J1349&lt;=10,'Configuración'!$B$23,IF(J1349&lt;=50,'Configuración'!$B$24,IF(J1349&lt;=200,'Configuración'!$B$25,0))),0))</f>
        <v>12</v>
      </c>
      <c r="T1349" s="37">
        <f>IF(B1349="","",IF(ISNUMBER(SEARCH("information technology",I1349))+ISNUMBER(SEARCH("software",I1349))+ISNUMBER(SEARCH("internet",I1349))+ISNUMBER(SEARCH("computer",I1349))+ISNUMBER(SEARCH("saas",I1349))+ISNUMBER(SEARCH("fintech",I1349))+ISNUMBER(SEARCH("information services",I1349))+ISNUMBER(SEARCH("telecommunications",I1349))&gt;0,'Configuración'!$B$27,'Configuración'!$B$28))</f>
        <v>4</v>
      </c>
      <c r="U1349" s="25">
        <f>IF(B1349="","",IF(ISNUMBER(SEARCH("CEO",C1349))+ISNUMBER(SEARCH("Founder",C1349))+ISNUMBER(SEARCH("Owner",C1349))+ISNUMBER(SEARCH("Dueño",C1349))+ISNUMBER(SEARCH("Director General",C1349))+ISNUMBER(SEARCH("Presidente",C1349))+ISNUMBER(SEARCH("President",C1349))&gt;0,'Configuración'!$B$31,IF(ISNUMBER(SEARCH("CMO",C1349))+ISNUMBER(SEARCH("Chief Marketing",C1349))+ISNUMBER(SEARCH("VP Marketing",C1349))+ISNUMBER(SEARCH("Director de Marketing",C1349))+ISNUMBER(SEARCH("Director Marketing",C1349))+ISNUMBER(SEARCH("Head of Marketing",C1349))+ISNUMBER(SEARCH("Head Marketing",C1349))&gt;0,'Configuración'!$B$32,IF(ISNUMBER(SEARCH("Marketing Manager",C1349))+ISNUMBER(SEARCH("Gerente de Marketing",C1349))+ISNUMBER(SEARCH("Growth Manager",C1349))+ISNUMBER(SEARCH("Demand Gen",C1349))+ISNUMBER(SEARCH("Marketing Lead",C1349))&gt;0,'Configuración'!$B$33,IF(ISNUMBER(SEARCH("COO",C1349))+ISNUMBER(SEARCH("CFO",C1349))+ISNUMBER(SEARCH("CTO",C1349))+ISNUMBER(SEARCH("Chief Operating",C1349))+ISNUMBER(SEARCH("Chief Financial",C1349))+ISNUMBER(SEARCH("Gerente General",C1349))+ISNUMBER(SEARCH("General Manager",C1349))&gt;0,'Configuración'!$B$34,'Configuración'!$B$35)))))</f>
        <v>12</v>
      </c>
      <c r="V1349" s="38">
        <f>IF(B1349="","",IF(K1349="Sí",'Configuración'!$B$5,0)+IF(L1349="Semanal",'Configuración'!$B$6,IF(L1349="Mensual",'Configuración'!$B$7,0))+IF(M1349="Sí",'Configuración'!$B$8,0)+IF(N1349="Sí",'Configuración'!$B$9,0)+IF(O1349="Sí",'Configuración'!$B$10,0)+IF(P1349="Sí",'Configuración'!$B$11,0)+IF(Q1349="Sí",'Configuración'!$B$12,0)+S1349+T1349+U1349)</f>
        <v>28</v>
      </c>
      <c r="W1349" s="39" t="str">
        <f>IF(B1349="","",IF(V1349&gt;='Configuración'!$B$19,"A",IF(V1349&gt;='Configuración'!$B$20,"B",IF(V1349&gt;='Configuración'!$B$21,"C","Descarte"))))</f>
        <v>C</v>
      </c>
    </row>
    <row r="1350" ht="15.75" customHeight="1">
      <c r="A1350" s="34">
        <f t="shared" si="1"/>
        <v>1348</v>
      </c>
      <c r="B1350" s="29" t="s">
        <v>7670</v>
      </c>
      <c r="C1350" s="29" t="s">
        <v>131</v>
      </c>
      <c r="D1350" s="29" t="s">
        <v>7671</v>
      </c>
      <c r="E1350" s="29" t="s">
        <v>7672</v>
      </c>
      <c r="F1350" s="30" t="s">
        <v>7673</v>
      </c>
      <c r="G1350" s="30" t="s">
        <v>7674</v>
      </c>
      <c r="H1350" s="30" t="s">
        <v>7675</v>
      </c>
      <c r="I1350" s="29" t="s">
        <v>127</v>
      </c>
      <c r="J1350" s="31">
        <v>11.0</v>
      </c>
      <c r="K1350" s="35"/>
      <c r="L1350" s="35"/>
      <c r="M1350" s="35"/>
      <c r="N1350" s="35"/>
      <c r="O1350" s="35"/>
      <c r="P1350" s="35"/>
      <c r="Q1350" s="35"/>
      <c r="R1350" s="35"/>
      <c r="S1350" s="37">
        <f>IF(B1350="","",IF(ISNUMBER(J1350),IF(J1350&lt;=10,'Configuración'!$B$23,IF(J1350&lt;=50,'Configuración'!$B$24,IF(J1350&lt;=200,'Configuración'!$B$25,0))),0))</f>
        <v>4</v>
      </c>
      <c r="T1350" s="37">
        <f>IF(B1350="","",IF(ISNUMBER(SEARCH("information technology",I1350))+ISNUMBER(SEARCH("software",I1350))+ISNUMBER(SEARCH("internet",I1350))+ISNUMBER(SEARCH("computer",I1350))+ISNUMBER(SEARCH("saas",I1350))+ISNUMBER(SEARCH("fintech",I1350))+ISNUMBER(SEARCH("information services",I1350))+ISNUMBER(SEARCH("telecommunications",I1350))&gt;0,'Configuración'!$B$27,'Configuración'!$B$28))</f>
        <v>12</v>
      </c>
      <c r="U1350" s="25">
        <f>IF(B1350="","",IF(ISNUMBER(SEARCH("CEO",C1350))+ISNUMBER(SEARCH("Founder",C1350))+ISNUMBER(SEARCH("Owner",C1350))+ISNUMBER(SEARCH("Dueño",C1350))+ISNUMBER(SEARCH("Director General",C1350))+ISNUMBER(SEARCH("Presidente",C1350))+ISNUMBER(SEARCH("President",C1350))&gt;0,'Configuración'!$B$31,IF(ISNUMBER(SEARCH("CMO",C1350))+ISNUMBER(SEARCH("Chief Marketing",C1350))+ISNUMBER(SEARCH("VP Marketing",C1350))+ISNUMBER(SEARCH("Director de Marketing",C1350))+ISNUMBER(SEARCH("Director Marketing",C1350))+ISNUMBER(SEARCH("Head of Marketing",C1350))+ISNUMBER(SEARCH("Head Marketing",C1350))&gt;0,'Configuración'!$B$32,IF(ISNUMBER(SEARCH("Marketing Manager",C1350))+ISNUMBER(SEARCH("Gerente de Marketing",C1350))+ISNUMBER(SEARCH("Growth Manager",C1350))+ISNUMBER(SEARCH("Demand Gen",C1350))+ISNUMBER(SEARCH("Marketing Lead",C1350))&gt;0,'Configuración'!$B$33,IF(ISNUMBER(SEARCH("COO",C1350))+ISNUMBER(SEARCH("CFO",C1350))+ISNUMBER(SEARCH("CTO",C1350))+ISNUMBER(SEARCH("Chief Operating",C1350))+ISNUMBER(SEARCH("Chief Financial",C1350))+ISNUMBER(SEARCH("Gerente General",C1350))+ISNUMBER(SEARCH("General Manager",C1350))&gt;0,'Configuración'!$B$34,'Configuración'!$B$35)))))</f>
        <v>12</v>
      </c>
      <c r="V1350" s="38">
        <f>IF(B1350="","",IF(K1350="Sí",'Configuración'!$B$5,0)+IF(L1350="Semanal",'Configuración'!$B$6,IF(L1350="Mensual",'Configuración'!$B$7,0))+IF(M1350="Sí",'Configuración'!$B$8,0)+IF(N1350="Sí",'Configuración'!$B$9,0)+IF(O1350="Sí",'Configuración'!$B$10,0)+IF(P1350="Sí",'Configuración'!$B$11,0)+IF(Q1350="Sí",'Configuración'!$B$12,0)+S1350+T1350+U1350)</f>
        <v>28</v>
      </c>
      <c r="W1350" s="39" t="str">
        <f>IF(B1350="","",IF(V1350&gt;='Configuración'!$B$19,"A",IF(V1350&gt;='Configuración'!$B$20,"B",IF(V1350&gt;='Configuración'!$B$21,"C","Descarte"))))</f>
        <v>C</v>
      </c>
    </row>
    <row r="1351" ht="15.75" customHeight="1">
      <c r="A1351" s="34">
        <f t="shared" si="1"/>
        <v>1349</v>
      </c>
      <c r="B1351" s="29" t="s">
        <v>1227</v>
      </c>
      <c r="C1351" s="29" t="s">
        <v>7676</v>
      </c>
      <c r="D1351" s="29" t="s">
        <v>7677</v>
      </c>
      <c r="E1351" s="29"/>
      <c r="F1351" s="30" t="s">
        <v>7678</v>
      </c>
      <c r="G1351" s="30" t="s">
        <v>7679</v>
      </c>
      <c r="H1351" s="30" t="s">
        <v>7680</v>
      </c>
      <c r="I1351" s="29" t="s">
        <v>116</v>
      </c>
      <c r="J1351" s="31">
        <v>1.0</v>
      </c>
      <c r="K1351" s="35"/>
      <c r="L1351" s="35"/>
      <c r="M1351" s="35"/>
      <c r="N1351" s="35"/>
      <c r="O1351" s="35"/>
      <c r="P1351" s="35"/>
      <c r="Q1351" s="35"/>
      <c r="R1351" s="35"/>
      <c r="S1351" s="37">
        <f>IF(B1351="","",IF(ISNUMBER(J1351),IF(J1351&lt;=10,'Configuración'!$B$23,IF(J1351&lt;=50,'Configuración'!$B$24,IF(J1351&lt;=200,'Configuración'!$B$25,0))),0))</f>
        <v>12</v>
      </c>
      <c r="T1351" s="37">
        <f>IF(B1351="","",IF(ISNUMBER(SEARCH("information technology",I1351))+ISNUMBER(SEARCH("software",I1351))+ISNUMBER(SEARCH("internet",I1351))+ISNUMBER(SEARCH("computer",I1351))+ISNUMBER(SEARCH("saas",I1351))+ISNUMBER(SEARCH("fintech",I1351))+ISNUMBER(SEARCH("information services",I1351))+ISNUMBER(SEARCH("telecommunications",I1351))&gt;0,'Configuración'!$B$27,'Configuración'!$B$28))</f>
        <v>4</v>
      </c>
      <c r="U1351" s="25">
        <f>IF(B1351="","",IF(ISNUMBER(SEARCH("CEO",C1351))+ISNUMBER(SEARCH("Founder",C1351))+ISNUMBER(SEARCH("Owner",C1351))+ISNUMBER(SEARCH("Dueño",C1351))+ISNUMBER(SEARCH("Director General",C1351))+ISNUMBER(SEARCH("Presidente",C1351))+ISNUMBER(SEARCH("President",C1351))&gt;0,'Configuración'!$B$31,IF(ISNUMBER(SEARCH("CMO",C1351))+ISNUMBER(SEARCH("Chief Marketing",C1351))+ISNUMBER(SEARCH("VP Marketing",C1351))+ISNUMBER(SEARCH("Director de Marketing",C1351))+ISNUMBER(SEARCH("Director Marketing",C1351))+ISNUMBER(SEARCH("Head of Marketing",C1351))+ISNUMBER(SEARCH("Head Marketing",C1351))&gt;0,'Configuración'!$B$32,IF(ISNUMBER(SEARCH("Marketing Manager",C1351))+ISNUMBER(SEARCH("Gerente de Marketing",C1351))+ISNUMBER(SEARCH("Growth Manager",C1351))+ISNUMBER(SEARCH("Demand Gen",C1351))+ISNUMBER(SEARCH("Marketing Lead",C1351))&gt;0,'Configuración'!$B$33,IF(ISNUMBER(SEARCH("COO",C1351))+ISNUMBER(SEARCH("CFO",C1351))+ISNUMBER(SEARCH("CTO",C1351))+ISNUMBER(SEARCH("Chief Operating",C1351))+ISNUMBER(SEARCH("Chief Financial",C1351))+ISNUMBER(SEARCH("Gerente General",C1351))+ISNUMBER(SEARCH("General Manager",C1351))&gt;0,'Configuración'!$B$34,'Configuración'!$B$35)))))</f>
        <v>12</v>
      </c>
      <c r="V1351" s="38">
        <f>IF(B1351="","",IF(K1351="Sí",'Configuración'!$B$5,0)+IF(L1351="Semanal",'Configuración'!$B$6,IF(L1351="Mensual",'Configuración'!$B$7,0))+IF(M1351="Sí",'Configuración'!$B$8,0)+IF(N1351="Sí",'Configuración'!$B$9,0)+IF(O1351="Sí",'Configuración'!$B$10,0)+IF(P1351="Sí",'Configuración'!$B$11,0)+IF(Q1351="Sí",'Configuración'!$B$12,0)+S1351+T1351+U1351)</f>
        <v>28</v>
      </c>
      <c r="W1351" s="39" t="str">
        <f>IF(B1351="","",IF(V1351&gt;='Configuración'!$B$19,"A",IF(V1351&gt;='Configuración'!$B$20,"B",IF(V1351&gt;='Configuración'!$B$21,"C","Descarte"))))</f>
        <v>C</v>
      </c>
    </row>
    <row r="1352" ht="15.75" customHeight="1">
      <c r="A1352" s="34">
        <f t="shared" si="1"/>
        <v>1350</v>
      </c>
      <c r="B1352" s="29" t="s">
        <v>7681</v>
      </c>
      <c r="C1352" s="29" t="s">
        <v>7682</v>
      </c>
      <c r="D1352" s="29" t="s">
        <v>7683</v>
      </c>
      <c r="E1352" s="29" t="s">
        <v>7684</v>
      </c>
      <c r="F1352" s="30" t="s">
        <v>7685</v>
      </c>
      <c r="G1352" s="30" t="s">
        <v>7686</v>
      </c>
      <c r="H1352" s="30" t="s">
        <v>7687</v>
      </c>
      <c r="I1352" s="29" t="s">
        <v>127</v>
      </c>
      <c r="J1352" s="31">
        <v>5.0</v>
      </c>
      <c r="K1352" s="35"/>
      <c r="L1352" s="35"/>
      <c r="M1352" s="35"/>
      <c r="N1352" s="35"/>
      <c r="O1352" s="35"/>
      <c r="P1352" s="35"/>
      <c r="Q1352" s="35"/>
      <c r="R1352" s="35"/>
      <c r="S1352" s="37">
        <f>IF(B1352="","",IF(ISNUMBER(J1352),IF(J1352&lt;=10,'Configuración'!$B$23,IF(J1352&lt;=50,'Configuración'!$B$24,IF(J1352&lt;=200,'Configuración'!$B$25,0))),0))</f>
        <v>12</v>
      </c>
      <c r="T1352" s="37">
        <f>IF(B1352="","",IF(ISNUMBER(SEARCH("information technology",I1352))+ISNUMBER(SEARCH("software",I1352))+ISNUMBER(SEARCH("internet",I1352))+ISNUMBER(SEARCH("computer",I1352))+ISNUMBER(SEARCH("saas",I1352))+ISNUMBER(SEARCH("fintech",I1352))+ISNUMBER(SEARCH("information services",I1352))+ISNUMBER(SEARCH("telecommunications",I1352))&gt;0,'Configuración'!$B$27,'Configuración'!$B$28))</f>
        <v>12</v>
      </c>
      <c r="U1352" s="25">
        <f>IF(B1352="","",IF(ISNUMBER(SEARCH("CEO",C1352))+ISNUMBER(SEARCH("Founder",C1352))+ISNUMBER(SEARCH("Owner",C1352))+ISNUMBER(SEARCH("Dueño",C1352))+ISNUMBER(SEARCH("Director General",C1352))+ISNUMBER(SEARCH("Presidente",C1352))+ISNUMBER(SEARCH("President",C1352))&gt;0,'Configuración'!$B$31,IF(ISNUMBER(SEARCH("CMO",C1352))+ISNUMBER(SEARCH("Chief Marketing",C1352))+ISNUMBER(SEARCH("VP Marketing",C1352))+ISNUMBER(SEARCH("Director de Marketing",C1352))+ISNUMBER(SEARCH("Director Marketing",C1352))+ISNUMBER(SEARCH("Head of Marketing",C1352))+ISNUMBER(SEARCH("Head Marketing",C1352))&gt;0,'Configuración'!$B$32,IF(ISNUMBER(SEARCH("Marketing Manager",C1352))+ISNUMBER(SEARCH("Gerente de Marketing",C1352))+ISNUMBER(SEARCH("Growth Manager",C1352))+ISNUMBER(SEARCH("Demand Gen",C1352))+ISNUMBER(SEARCH("Marketing Lead",C1352))&gt;0,'Configuración'!$B$33,IF(ISNUMBER(SEARCH("COO",C1352))+ISNUMBER(SEARCH("CFO",C1352))+ISNUMBER(SEARCH("CTO",C1352))+ISNUMBER(SEARCH("Chief Operating",C1352))+ISNUMBER(SEARCH("Chief Financial",C1352))+ISNUMBER(SEARCH("Gerente General",C1352))+ISNUMBER(SEARCH("General Manager",C1352))&gt;0,'Configuración'!$B$34,'Configuración'!$B$35)))))</f>
        <v>12</v>
      </c>
      <c r="V1352" s="38">
        <f>IF(B1352="","",IF(K1352="Sí",'Configuración'!$B$5,0)+IF(L1352="Semanal",'Configuración'!$B$6,IF(L1352="Mensual",'Configuración'!$B$7,0))+IF(M1352="Sí",'Configuración'!$B$8,0)+IF(N1352="Sí",'Configuración'!$B$9,0)+IF(O1352="Sí",'Configuración'!$B$10,0)+IF(P1352="Sí",'Configuración'!$B$11,0)+IF(Q1352="Sí",'Configuración'!$B$12,0)+S1352+T1352+U1352)</f>
        <v>36</v>
      </c>
      <c r="W1352" s="39" t="str">
        <f>IF(B1352="","",IF(V1352&gt;='Configuración'!$B$19,"A",IF(V1352&gt;='Configuración'!$B$20,"B",IF(V1352&gt;='Configuración'!$B$21,"C","Descarte"))))</f>
        <v>C</v>
      </c>
    </row>
    <row r="1353" ht="15.75" customHeight="1">
      <c r="A1353" s="34">
        <f t="shared" si="1"/>
        <v>1351</v>
      </c>
      <c r="B1353" s="29" t="s">
        <v>7688</v>
      </c>
      <c r="C1353" s="29" t="s">
        <v>7689</v>
      </c>
      <c r="D1353" s="29" t="s">
        <v>7690</v>
      </c>
      <c r="E1353" s="29" t="s">
        <v>7691</v>
      </c>
      <c r="F1353" s="30" t="s">
        <v>7692</v>
      </c>
      <c r="G1353" s="30" t="s">
        <v>7693</v>
      </c>
      <c r="H1353" s="30" t="s">
        <v>7694</v>
      </c>
      <c r="I1353" s="29" t="s">
        <v>116</v>
      </c>
      <c r="J1353" s="31">
        <v>6.0</v>
      </c>
      <c r="K1353" s="35"/>
      <c r="L1353" s="35"/>
      <c r="M1353" s="35"/>
      <c r="N1353" s="35"/>
      <c r="O1353" s="35"/>
      <c r="P1353" s="35"/>
      <c r="Q1353" s="35"/>
      <c r="R1353" s="35"/>
      <c r="S1353" s="37">
        <f>IF(B1353="","",IF(ISNUMBER(J1353),IF(J1353&lt;=10,'Configuración'!$B$23,IF(J1353&lt;=50,'Configuración'!$B$24,IF(J1353&lt;=200,'Configuración'!$B$25,0))),0))</f>
        <v>12</v>
      </c>
      <c r="T1353" s="37">
        <f>IF(B1353="","",IF(ISNUMBER(SEARCH("information technology",I1353))+ISNUMBER(SEARCH("software",I1353))+ISNUMBER(SEARCH("internet",I1353))+ISNUMBER(SEARCH("computer",I1353))+ISNUMBER(SEARCH("saas",I1353))+ISNUMBER(SEARCH("fintech",I1353))+ISNUMBER(SEARCH("information services",I1353))+ISNUMBER(SEARCH("telecommunications",I1353))&gt;0,'Configuración'!$B$27,'Configuración'!$B$28))</f>
        <v>4</v>
      </c>
      <c r="U1353" s="25">
        <f>IF(B1353="","",IF(ISNUMBER(SEARCH("CEO",C1353))+ISNUMBER(SEARCH("Founder",C1353))+ISNUMBER(SEARCH("Owner",C1353))+ISNUMBER(SEARCH("Dueño",C1353))+ISNUMBER(SEARCH("Director General",C1353))+ISNUMBER(SEARCH("Presidente",C1353))+ISNUMBER(SEARCH("President",C1353))&gt;0,'Configuración'!$B$31,IF(ISNUMBER(SEARCH("CMO",C1353))+ISNUMBER(SEARCH("Chief Marketing",C1353))+ISNUMBER(SEARCH("VP Marketing",C1353))+ISNUMBER(SEARCH("Director de Marketing",C1353))+ISNUMBER(SEARCH("Director Marketing",C1353))+ISNUMBER(SEARCH("Head of Marketing",C1353))+ISNUMBER(SEARCH("Head Marketing",C1353))&gt;0,'Configuración'!$B$32,IF(ISNUMBER(SEARCH("Marketing Manager",C1353))+ISNUMBER(SEARCH("Gerente de Marketing",C1353))+ISNUMBER(SEARCH("Growth Manager",C1353))+ISNUMBER(SEARCH("Demand Gen",C1353))+ISNUMBER(SEARCH("Marketing Lead",C1353))&gt;0,'Configuración'!$B$33,IF(ISNUMBER(SEARCH("COO",C1353))+ISNUMBER(SEARCH("CFO",C1353))+ISNUMBER(SEARCH("CTO",C1353))+ISNUMBER(SEARCH("Chief Operating",C1353))+ISNUMBER(SEARCH("Chief Financial",C1353))+ISNUMBER(SEARCH("Gerente General",C1353))+ISNUMBER(SEARCH("General Manager",C1353))&gt;0,'Configuración'!$B$34,'Configuración'!$B$35)))))</f>
        <v>12</v>
      </c>
      <c r="V1353" s="38">
        <f>IF(B1353="","",IF(K1353="Sí",'Configuración'!$B$5,0)+IF(L1353="Semanal",'Configuración'!$B$6,IF(L1353="Mensual",'Configuración'!$B$7,0))+IF(M1353="Sí",'Configuración'!$B$8,0)+IF(N1353="Sí",'Configuración'!$B$9,0)+IF(O1353="Sí",'Configuración'!$B$10,0)+IF(P1353="Sí",'Configuración'!$B$11,0)+IF(Q1353="Sí",'Configuración'!$B$12,0)+S1353+T1353+U1353)</f>
        <v>28</v>
      </c>
      <c r="W1353" s="39" t="str">
        <f>IF(B1353="","",IF(V1353&gt;='Configuración'!$B$19,"A",IF(V1353&gt;='Configuración'!$B$20,"B",IF(V1353&gt;='Configuración'!$B$21,"C","Descarte"))))</f>
        <v>C</v>
      </c>
    </row>
    <row r="1354" ht="15.75" customHeight="1">
      <c r="A1354" s="34">
        <f t="shared" si="1"/>
        <v>1352</v>
      </c>
      <c r="B1354" s="29" t="s">
        <v>473</v>
      </c>
      <c r="C1354" s="29" t="s">
        <v>224</v>
      </c>
      <c r="D1354" s="29" t="s">
        <v>7695</v>
      </c>
      <c r="E1354" s="29" t="s">
        <v>7696</v>
      </c>
      <c r="F1354" s="30" t="s">
        <v>7697</v>
      </c>
      <c r="G1354" s="30" t="s">
        <v>7698</v>
      </c>
      <c r="H1354" s="30" t="s">
        <v>7699</v>
      </c>
      <c r="I1354" s="29" t="s">
        <v>2651</v>
      </c>
      <c r="J1354" s="31">
        <v>6.0</v>
      </c>
      <c r="K1354" s="35"/>
      <c r="L1354" s="35"/>
      <c r="M1354" s="35"/>
      <c r="N1354" s="35"/>
      <c r="O1354" s="35"/>
      <c r="P1354" s="35"/>
      <c r="Q1354" s="35"/>
      <c r="R1354" s="35"/>
      <c r="S1354" s="37">
        <f>IF(B1354="","",IF(ISNUMBER(J1354),IF(J1354&lt;=10,'Configuración'!$B$23,IF(J1354&lt;=50,'Configuración'!$B$24,IF(J1354&lt;=200,'Configuración'!$B$25,0))),0))</f>
        <v>12</v>
      </c>
      <c r="T1354" s="37">
        <f>IF(B1354="","",IF(ISNUMBER(SEARCH("information technology",I1354))+ISNUMBER(SEARCH("software",I1354))+ISNUMBER(SEARCH("internet",I1354))+ISNUMBER(SEARCH("computer",I1354))+ISNUMBER(SEARCH("saas",I1354))+ISNUMBER(SEARCH("fintech",I1354))+ISNUMBER(SEARCH("information services",I1354))+ISNUMBER(SEARCH("telecommunications",I1354))&gt;0,'Configuración'!$B$27,'Configuración'!$B$28))</f>
        <v>4</v>
      </c>
      <c r="U1354" s="25">
        <f>IF(B1354="","",IF(ISNUMBER(SEARCH("CEO",C1354))+ISNUMBER(SEARCH("Founder",C1354))+ISNUMBER(SEARCH("Owner",C1354))+ISNUMBER(SEARCH("Dueño",C1354))+ISNUMBER(SEARCH("Director General",C1354))+ISNUMBER(SEARCH("Presidente",C1354))+ISNUMBER(SEARCH("President",C1354))&gt;0,'Configuración'!$B$31,IF(ISNUMBER(SEARCH("CMO",C1354))+ISNUMBER(SEARCH("Chief Marketing",C1354))+ISNUMBER(SEARCH("VP Marketing",C1354))+ISNUMBER(SEARCH("Director de Marketing",C1354))+ISNUMBER(SEARCH("Director Marketing",C1354))+ISNUMBER(SEARCH("Head of Marketing",C1354))+ISNUMBER(SEARCH("Head Marketing",C1354))&gt;0,'Configuración'!$B$32,IF(ISNUMBER(SEARCH("Marketing Manager",C1354))+ISNUMBER(SEARCH("Gerente de Marketing",C1354))+ISNUMBER(SEARCH("Growth Manager",C1354))+ISNUMBER(SEARCH("Demand Gen",C1354))+ISNUMBER(SEARCH("Marketing Lead",C1354))&gt;0,'Configuración'!$B$33,IF(ISNUMBER(SEARCH("COO",C1354))+ISNUMBER(SEARCH("CFO",C1354))+ISNUMBER(SEARCH("CTO",C1354))+ISNUMBER(SEARCH("Chief Operating",C1354))+ISNUMBER(SEARCH("Chief Financial",C1354))+ISNUMBER(SEARCH("Gerente General",C1354))+ISNUMBER(SEARCH("General Manager",C1354))&gt;0,'Configuración'!$B$34,'Configuración'!$B$35)))))</f>
        <v>12</v>
      </c>
      <c r="V1354" s="38">
        <f>IF(B1354="","",IF(K1354="Sí",'Configuración'!$B$5,0)+IF(L1354="Semanal",'Configuración'!$B$6,IF(L1354="Mensual",'Configuración'!$B$7,0))+IF(M1354="Sí",'Configuración'!$B$8,0)+IF(N1354="Sí",'Configuración'!$B$9,0)+IF(O1354="Sí",'Configuración'!$B$10,0)+IF(P1354="Sí",'Configuración'!$B$11,0)+IF(Q1354="Sí",'Configuración'!$B$12,0)+S1354+T1354+U1354)</f>
        <v>28</v>
      </c>
      <c r="W1354" s="39" t="str">
        <f>IF(B1354="","",IF(V1354&gt;='Configuración'!$B$19,"A",IF(V1354&gt;='Configuración'!$B$20,"B",IF(V1354&gt;='Configuración'!$B$21,"C","Descarte"))))</f>
        <v>C</v>
      </c>
    </row>
    <row r="1355" ht="15.75" customHeight="1">
      <c r="A1355" s="34">
        <f t="shared" si="1"/>
        <v>1353</v>
      </c>
      <c r="B1355" s="29" t="s">
        <v>181</v>
      </c>
      <c r="C1355" s="29" t="s">
        <v>131</v>
      </c>
      <c r="D1355" s="29" t="s">
        <v>7700</v>
      </c>
      <c r="E1355" s="29" t="s">
        <v>7701</v>
      </c>
      <c r="F1355" s="30" t="s">
        <v>7702</v>
      </c>
      <c r="G1355" s="30" t="s">
        <v>7703</v>
      </c>
      <c r="H1355" s="30" t="s">
        <v>7704</v>
      </c>
      <c r="I1355" s="29" t="s">
        <v>116</v>
      </c>
      <c r="J1355" s="31">
        <v>13.0</v>
      </c>
      <c r="K1355" s="35"/>
      <c r="L1355" s="35"/>
      <c r="M1355" s="35"/>
      <c r="N1355" s="35"/>
      <c r="O1355" s="35"/>
      <c r="P1355" s="35"/>
      <c r="Q1355" s="35"/>
      <c r="R1355" s="35"/>
      <c r="S1355" s="37">
        <f>IF(B1355="","",IF(ISNUMBER(J1355),IF(J1355&lt;=10,'Configuración'!$B$23,IF(J1355&lt;=50,'Configuración'!$B$24,IF(J1355&lt;=200,'Configuración'!$B$25,0))),0))</f>
        <v>4</v>
      </c>
      <c r="T1355" s="37">
        <f>IF(B1355="","",IF(ISNUMBER(SEARCH("information technology",I1355))+ISNUMBER(SEARCH("software",I1355))+ISNUMBER(SEARCH("internet",I1355))+ISNUMBER(SEARCH("computer",I1355))+ISNUMBER(SEARCH("saas",I1355))+ISNUMBER(SEARCH("fintech",I1355))+ISNUMBER(SEARCH("information services",I1355))+ISNUMBER(SEARCH("telecommunications",I1355))&gt;0,'Configuración'!$B$27,'Configuración'!$B$28))</f>
        <v>4</v>
      </c>
      <c r="U1355" s="25">
        <f>IF(B1355="","",IF(ISNUMBER(SEARCH("CEO",C1355))+ISNUMBER(SEARCH("Founder",C1355))+ISNUMBER(SEARCH("Owner",C1355))+ISNUMBER(SEARCH("Dueño",C1355))+ISNUMBER(SEARCH("Director General",C1355))+ISNUMBER(SEARCH("Presidente",C1355))+ISNUMBER(SEARCH("President",C1355))&gt;0,'Configuración'!$B$31,IF(ISNUMBER(SEARCH("CMO",C1355))+ISNUMBER(SEARCH("Chief Marketing",C1355))+ISNUMBER(SEARCH("VP Marketing",C1355))+ISNUMBER(SEARCH("Director de Marketing",C1355))+ISNUMBER(SEARCH("Director Marketing",C1355))+ISNUMBER(SEARCH("Head of Marketing",C1355))+ISNUMBER(SEARCH("Head Marketing",C1355))&gt;0,'Configuración'!$B$32,IF(ISNUMBER(SEARCH("Marketing Manager",C1355))+ISNUMBER(SEARCH("Gerente de Marketing",C1355))+ISNUMBER(SEARCH("Growth Manager",C1355))+ISNUMBER(SEARCH("Demand Gen",C1355))+ISNUMBER(SEARCH("Marketing Lead",C1355))&gt;0,'Configuración'!$B$33,IF(ISNUMBER(SEARCH("COO",C1355))+ISNUMBER(SEARCH("CFO",C1355))+ISNUMBER(SEARCH("CTO",C1355))+ISNUMBER(SEARCH("Chief Operating",C1355))+ISNUMBER(SEARCH("Chief Financial",C1355))+ISNUMBER(SEARCH("Gerente General",C1355))+ISNUMBER(SEARCH("General Manager",C1355))&gt;0,'Configuración'!$B$34,'Configuración'!$B$35)))))</f>
        <v>12</v>
      </c>
      <c r="V1355" s="38">
        <f>IF(B1355="","",IF(K1355="Sí",'Configuración'!$B$5,0)+IF(L1355="Semanal",'Configuración'!$B$6,IF(L1355="Mensual",'Configuración'!$B$7,0))+IF(M1355="Sí",'Configuración'!$B$8,0)+IF(N1355="Sí",'Configuración'!$B$9,0)+IF(O1355="Sí",'Configuración'!$B$10,0)+IF(P1355="Sí",'Configuración'!$B$11,0)+IF(Q1355="Sí",'Configuración'!$B$12,0)+S1355+T1355+U1355)</f>
        <v>20</v>
      </c>
      <c r="W1355" s="39" t="str">
        <f>IF(B1355="","",IF(V1355&gt;='Configuración'!$B$19,"A",IF(V1355&gt;='Configuración'!$B$20,"B",IF(V1355&gt;='Configuración'!$B$21,"C","Descarte"))))</f>
        <v>Descarte</v>
      </c>
    </row>
    <row r="1356" ht="15.75" customHeight="1">
      <c r="A1356" s="34">
        <f t="shared" si="1"/>
        <v>1354</v>
      </c>
      <c r="B1356" s="29" t="s">
        <v>181</v>
      </c>
      <c r="C1356" s="29" t="s">
        <v>7705</v>
      </c>
      <c r="D1356" s="29" t="s">
        <v>7706</v>
      </c>
      <c r="E1356" s="29" t="s">
        <v>7707</v>
      </c>
      <c r="F1356" s="30" t="s">
        <v>7708</v>
      </c>
      <c r="G1356" s="30" t="s">
        <v>7709</v>
      </c>
      <c r="H1356" s="30" t="s">
        <v>7710</v>
      </c>
      <c r="I1356" s="29" t="s">
        <v>964</v>
      </c>
      <c r="J1356" s="31">
        <v>46.0</v>
      </c>
      <c r="K1356" s="35"/>
      <c r="L1356" s="35"/>
      <c r="M1356" s="35"/>
      <c r="N1356" s="35"/>
      <c r="O1356" s="35"/>
      <c r="P1356" s="35"/>
      <c r="Q1356" s="35"/>
      <c r="R1356" s="35"/>
      <c r="S1356" s="37">
        <f>IF(B1356="","",IF(ISNUMBER(J1356),IF(J1356&lt;=10,'Configuración'!$B$23,IF(J1356&lt;=50,'Configuración'!$B$24,IF(J1356&lt;=200,'Configuración'!$B$25,0))),0))</f>
        <v>4</v>
      </c>
      <c r="T1356" s="37">
        <f>IF(B1356="","",IF(ISNUMBER(SEARCH("information technology",I1356))+ISNUMBER(SEARCH("software",I1356))+ISNUMBER(SEARCH("internet",I1356))+ISNUMBER(SEARCH("computer",I1356))+ISNUMBER(SEARCH("saas",I1356))+ISNUMBER(SEARCH("fintech",I1356))+ISNUMBER(SEARCH("information services",I1356))+ISNUMBER(SEARCH("telecommunications",I1356))&gt;0,'Configuración'!$B$27,'Configuración'!$B$28))</f>
        <v>4</v>
      </c>
      <c r="U1356" s="25">
        <f>IF(B1356="","",IF(ISNUMBER(SEARCH("CEO",C1356))+ISNUMBER(SEARCH("Founder",C1356))+ISNUMBER(SEARCH("Owner",C1356))+ISNUMBER(SEARCH("Dueño",C1356))+ISNUMBER(SEARCH("Director General",C1356))+ISNUMBER(SEARCH("Presidente",C1356))+ISNUMBER(SEARCH("President",C1356))&gt;0,'Configuración'!$B$31,IF(ISNUMBER(SEARCH("CMO",C1356))+ISNUMBER(SEARCH("Chief Marketing",C1356))+ISNUMBER(SEARCH("VP Marketing",C1356))+ISNUMBER(SEARCH("Director de Marketing",C1356))+ISNUMBER(SEARCH("Director Marketing",C1356))+ISNUMBER(SEARCH("Head of Marketing",C1356))+ISNUMBER(SEARCH("Head Marketing",C1356))&gt;0,'Configuración'!$B$32,IF(ISNUMBER(SEARCH("Marketing Manager",C1356))+ISNUMBER(SEARCH("Gerente de Marketing",C1356))+ISNUMBER(SEARCH("Growth Manager",C1356))+ISNUMBER(SEARCH("Demand Gen",C1356))+ISNUMBER(SEARCH("Marketing Lead",C1356))&gt;0,'Configuración'!$B$33,IF(ISNUMBER(SEARCH("COO",C1356))+ISNUMBER(SEARCH("CFO",C1356))+ISNUMBER(SEARCH("CTO",C1356))+ISNUMBER(SEARCH("Chief Operating",C1356))+ISNUMBER(SEARCH("Chief Financial",C1356))+ISNUMBER(SEARCH("Gerente General",C1356))+ISNUMBER(SEARCH("General Manager",C1356))&gt;0,'Configuración'!$B$34,'Configuración'!$B$35)))))</f>
        <v>12</v>
      </c>
      <c r="V1356" s="38">
        <f>IF(B1356="","",IF(K1356="Sí",'Configuración'!$B$5,0)+IF(L1356="Semanal",'Configuración'!$B$6,IF(L1356="Mensual",'Configuración'!$B$7,0))+IF(M1356="Sí",'Configuración'!$B$8,0)+IF(N1356="Sí",'Configuración'!$B$9,0)+IF(O1356="Sí",'Configuración'!$B$10,0)+IF(P1356="Sí",'Configuración'!$B$11,0)+IF(Q1356="Sí",'Configuración'!$B$12,0)+S1356+T1356+U1356)</f>
        <v>20</v>
      </c>
      <c r="W1356" s="39" t="str">
        <f>IF(B1356="","",IF(V1356&gt;='Configuración'!$B$19,"A",IF(V1356&gt;='Configuración'!$B$20,"B",IF(V1356&gt;='Configuración'!$B$21,"C","Descarte"))))</f>
        <v>Descarte</v>
      </c>
    </row>
    <row r="1357" ht="15.75" customHeight="1">
      <c r="A1357" s="34">
        <f t="shared" si="1"/>
        <v>1355</v>
      </c>
      <c r="B1357" s="29" t="s">
        <v>7711</v>
      </c>
      <c r="C1357" s="29" t="s">
        <v>7712</v>
      </c>
      <c r="D1357" s="29" t="s">
        <v>7713</v>
      </c>
      <c r="E1357" s="29" t="s">
        <v>7714</v>
      </c>
      <c r="F1357" s="30" t="s">
        <v>7715</v>
      </c>
      <c r="G1357" s="30" t="s">
        <v>7716</v>
      </c>
      <c r="H1357" s="30" t="s">
        <v>7717</v>
      </c>
      <c r="I1357" s="29" t="s">
        <v>127</v>
      </c>
      <c r="J1357" s="31">
        <v>3.0</v>
      </c>
      <c r="K1357" s="35"/>
      <c r="L1357" s="35"/>
      <c r="M1357" s="35"/>
      <c r="N1357" s="35"/>
      <c r="O1357" s="35"/>
      <c r="P1357" s="35"/>
      <c r="Q1357" s="35"/>
      <c r="R1357" s="35"/>
      <c r="S1357" s="37">
        <f>IF(B1357="","",IF(ISNUMBER(J1357),IF(J1357&lt;=10,'Configuración'!$B$23,IF(J1357&lt;=50,'Configuración'!$B$24,IF(J1357&lt;=200,'Configuración'!$B$25,0))),0))</f>
        <v>12</v>
      </c>
      <c r="T1357" s="37">
        <f>IF(B1357="","",IF(ISNUMBER(SEARCH("information technology",I1357))+ISNUMBER(SEARCH("software",I1357))+ISNUMBER(SEARCH("internet",I1357))+ISNUMBER(SEARCH("computer",I1357))+ISNUMBER(SEARCH("saas",I1357))+ISNUMBER(SEARCH("fintech",I1357))+ISNUMBER(SEARCH("information services",I1357))+ISNUMBER(SEARCH("telecommunications",I1357))&gt;0,'Configuración'!$B$27,'Configuración'!$B$28))</f>
        <v>12</v>
      </c>
      <c r="U1357" s="25">
        <f>IF(B1357="","",IF(ISNUMBER(SEARCH("CEO",C1357))+ISNUMBER(SEARCH("Founder",C1357))+ISNUMBER(SEARCH("Owner",C1357))+ISNUMBER(SEARCH("Dueño",C1357))+ISNUMBER(SEARCH("Director General",C1357))+ISNUMBER(SEARCH("Presidente",C1357))+ISNUMBER(SEARCH("President",C1357))&gt;0,'Configuración'!$B$31,IF(ISNUMBER(SEARCH("CMO",C1357))+ISNUMBER(SEARCH("Chief Marketing",C1357))+ISNUMBER(SEARCH("VP Marketing",C1357))+ISNUMBER(SEARCH("Director de Marketing",C1357))+ISNUMBER(SEARCH("Director Marketing",C1357))+ISNUMBER(SEARCH("Head of Marketing",C1357))+ISNUMBER(SEARCH("Head Marketing",C1357))&gt;0,'Configuración'!$B$32,IF(ISNUMBER(SEARCH("Marketing Manager",C1357))+ISNUMBER(SEARCH("Gerente de Marketing",C1357))+ISNUMBER(SEARCH("Growth Manager",C1357))+ISNUMBER(SEARCH("Demand Gen",C1357))+ISNUMBER(SEARCH("Marketing Lead",C1357))&gt;0,'Configuración'!$B$33,IF(ISNUMBER(SEARCH("COO",C1357))+ISNUMBER(SEARCH("CFO",C1357))+ISNUMBER(SEARCH("CTO",C1357))+ISNUMBER(SEARCH("Chief Operating",C1357))+ISNUMBER(SEARCH("Chief Financial",C1357))+ISNUMBER(SEARCH("Gerente General",C1357))+ISNUMBER(SEARCH("General Manager",C1357))&gt;0,'Configuración'!$B$34,'Configuración'!$B$35)))))</f>
        <v>12</v>
      </c>
      <c r="V1357" s="38">
        <f>IF(B1357="","",IF(K1357="Sí",'Configuración'!$B$5,0)+IF(L1357="Semanal",'Configuración'!$B$6,IF(L1357="Mensual",'Configuración'!$B$7,0))+IF(M1357="Sí",'Configuración'!$B$8,0)+IF(N1357="Sí",'Configuración'!$B$9,0)+IF(O1357="Sí",'Configuración'!$B$10,0)+IF(P1357="Sí",'Configuración'!$B$11,0)+IF(Q1357="Sí",'Configuración'!$B$12,0)+S1357+T1357+U1357)</f>
        <v>36</v>
      </c>
      <c r="W1357" s="39" t="str">
        <f>IF(B1357="","",IF(V1357&gt;='Configuración'!$B$19,"A",IF(V1357&gt;='Configuración'!$B$20,"B",IF(V1357&gt;='Configuración'!$B$21,"C","Descarte"))))</f>
        <v>C</v>
      </c>
    </row>
    <row r="1358" ht="15.75" customHeight="1">
      <c r="A1358" s="34">
        <f t="shared" si="1"/>
        <v>1356</v>
      </c>
      <c r="B1358" s="29" t="s">
        <v>209</v>
      </c>
      <c r="C1358" s="29" t="s">
        <v>2551</v>
      </c>
      <c r="D1358" s="29" t="s">
        <v>7718</v>
      </c>
      <c r="E1358" s="29" t="s">
        <v>7719</v>
      </c>
      <c r="F1358" s="30" t="s">
        <v>7720</v>
      </c>
      <c r="G1358" s="30" t="s">
        <v>7721</v>
      </c>
      <c r="H1358" s="30" t="s">
        <v>7722</v>
      </c>
      <c r="I1358" s="29" t="s">
        <v>188</v>
      </c>
      <c r="J1358" s="31">
        <v>10.0</v>
      </c>
      <c r="K1358" s="35"/>
      <c r="L1358" s="35"/>
      <c r="M1358" s="35"/>
      <c r="N1358" s="35"/>
      <c r="O1358" s="35"/>
      <c r="P1358" s="35"/>
      <c r="Q1358" s="35"/>
      <c r="R1358" s="35"/>
      <c r="S1358" s="37">
        <f>IF(B1358="","",IF(ISNUMBER(J1358),IF(J1358&lt;=10,'Configuración'!$B$23,IF(J1358&lt;=50,'Configuración'!$B$24,IF(J1358&lt;=200,'Configuración'!$B$25,0))),0))</f>
        <v>12</v>
      </c>
      <c r="T1358" s="37">
        <f>IF(B1358="","",IF(ISNUMBER(SEARCH("information technology",I1358))+ISNUMBER(SEARCH("software",I1358))+ISNUMBER(SEARCH("internet",I1358))+ISNUMBER(SEARCH("computer",I1358))+ISNUMBER(SEARCH("saas",I1358))+ISNUMBER(SEARCH("fintech",I1358))+ISNUMBER(SEARCH("information services",I1358))+ISNUMBER(SEARCH("telecommunications",I1358))&gt;0,'Configuración'!$B$27,'Configuración'!$B$28))</f>
        <v>4</v>
      </c>
      <c r="U1358" s="25">
        <f>IF(B1358="","",IF(ISNUMBER(SEARCH("CEO",C1358))+ISNUMBER(SEARCH("Founder",C1358))+ISNUMBER(SEARCH("Owner",C1358))+ISNUMBER(SEARCH("Dueño",C1358))+ISNUMBER(SEARCH("Director General",C1358))+ISNUMBER(SEARCH("Presidente",C1358))+ISNUMBER(SEARCH("President",C1358))&gt;0,'Configuración'!$B$31,IF(ISNUMBER(SEARCH("CMO",C1358))+ISNUMBER(SEARCH("Chief Marketing",C1358))+ISNUMBER(SEARCH("VP Marketing",C1358))+ISNUMBER(SEARCH("Director de Marketing",C1358))+ISNUMBER(SEARCH("Director Marketing",C1358))+ISNUMBER(SEARCH("Head of Marketing",C1358))+ISNUMBER(SEARCH("Head Marketing",C1358))&gt;0,'Configuración'!$B$32,IF(ISNUMBER(SEARCH("Marketing Manager",C1358))+ISNUMBER(SEARCH("Gerente de Marketing",C1358))+ISNUMBER(SEARCH("Growth Manager",C1358))+ISNUMBER(SEARCH("Demand Gen",C1358))+ISNUMBER(SEARCH("Marketing Lead",C1358))&gt;0,'Configuración'!$B$33,IF(ISNUMBER(SEARCH("COO",C1358))+ISNUMBER(SEARCH("CFO",C1358))+ISNUMBER(SEARCH("CTO",C1358))+ISNUMBER(SEARCH("Chief Operating",C1358))+ISNUMBER(SEARCH("Chief Financial",C1358))+ISNUMBER(SEARCH("Gerente General",C1358))+ISNUMBER(SEARCH("General Manager",C1358))&gt;0,'Configuración'!$B$34,'Configuración'!$B$35)))))</f>
        <v>12</v>
      </c>
      <c r="V1358" s="38">
        <f>IF(B1358="","",IF(K1358="Sí",'Configuración'!$B$5,0)+IF(L1358="Semanal",'Configuración'!$B$6,IF(L1358="Mensual",'Configuración'!$B$7,0))+IF(M1358="Sí",'Configuración'!$B$8,0)+IF(N1358="Sí",'Configuración'!$B$9,0)+IF(O1358="Sí",'Configuración'!$B$10,0)+IF(P1358="Sí",'Configuración'!$B$11,0)+IF(Q1358="Sí",'Configuración'!$B$12,0)+S1358+T1358+U1358)</f>
        <v>28</v>
      </c>
      <c r="W1358" s="39" t="str">
        <f>IF(B1358="","",IF(V1358&gt;='Configuración'!$B$19,"A",IF(V1358&gt;='Configuración'!$B$20,"B",IF(V1358&gt;='Configuración'!$B$21,"C","Descarte"))))</f>
        <v>C</v>
      </c>
    </row>
    <row r="1359" ht="15.75" customHeight="1">
      <c r="A1359" s="34">
        <f t="shared" si="1"/>
        <v>1357</v>
      </c>
      <c r="B1359" s="29" t="s">
        <v>7723</v>
      </c>
      <c r="C1359" s="29" t="s">
        <v>202</v>
      </c>
      <c r="D1359" s="29" t="s">
        <v>7724</v>
      </c>
      <c r="E1359" s="29" t="s">
        <v>7725</v>
      </c>
      <c r="F1359" s="30" t="s">
        <v>7726</v>
      </c>
      <c r="G1359" s="30" t="s">
        <v>7727</v>
      </c>
      <c r="H1359" s="30" t="s">
        <v>7728</v>
      </c>
      <c r="I1359" s="29" t="s">
        <v>116</v>
      </c>
      <c r="J1359" s="31">
        <v>1.0</v>
      </c>
      <c r="K1359" s="35"/>
      <c r="L1359" s="35"/>
      <c r="M1359" s="35"/>
      <c r="N1359" s="35"/>
      <c r="O1359" s="35"/>
      <c r="P1359" s="35"/>
      <c r="Q1359" s="35"/>
      <c r="R1359" s="35"/>
      <c r="S1359" s="37">
        <f>IF(B1359="","",IF(ISNUMBER(J1359),IF(J1359&lt;=10,'Configuración'!$B$23,IF(J1359&lt;=50,'Configuración'!$B$24,IF(J1359&lt;=200,'Configuración'!$B$25,0))),0))</f>
        <v>12</v>
      </c>
      <c r="T1359" s="37">
        <f>IF(B1359="","",IF(ISNUMBER(SEARCH("information technology",I1359))+ISNUMBER(SEARCH("software",I1359))+ISNUMBER(SEARCH("internet",I1359))+ISNUMBER(SEARCH("computer",I1359))+ISNUMBER(SEARCH("saas",I1359))+ISNUMBER(SEARCH("fintech",I1359))+ISNUMBER(SEARCH("information services",I1359))+ISNUMBER(SEARCH("telecommunications",I1359))&gt;0,'Configuración'!$B$27,'Configuración'!$B$28))</f>
        <v>4</v>
      </c>
      <c r="U1359" s="25">
        <f>IF(B1359="","",IF(ISNUMBER(SEARCH("CEO",C1359))+ISNUMBER(SEARCH("Founder",C1359))+ISNUMBER(SEARCH("Owner",C1359))+ISNUMBER(SEARCH("Dueño",C1359))+ISNUMBER(SEARCH("Director General",C1359))+ISNUMBER(SEARCH("Presidente",C1359))+ISNUMBER(SEARCH("President",C1359))&gt;0,'Configuración'!$B$31,IF(ISNUMBER(SEARCH("CMO",C1359))+ISNUMBER(SEARCH("Chief Marketing",C1359))+ISNUMBER(SEARCH("VP Marketing",C1359))+ISNUMBER(SEARCH("Director de Marketing",C1359))+ISNUMBER(SEARCH("Director Marketing",C1359))+ISNUMBER(SEARCH("Head of Marketing",C1359))+ISNUMBER(SEARCH("Head Marketing",C1359))&gt;0,'Configuración'!$B$32,IF(ISNUMBER(SEARCH("Marketing Manager",C1359))+ISNUMBER(SEARCH("Gerente de Marketing",C1359))+ISNUMBER(SEARCH("Growth Manager",C1359))+ISNUMBER(SEARCH("Demand Gen",C1359))+ISNUMBER(SEARCH("Marketing Lead",C1359))&gt;0,'Configuración'!$B$33,IF(ISNUMBER(SEARCH("COO",C1359))+ISNUMBER(SEARCH("CFO",C1359))+ISNUMBER(SEARCH("CTO",C1359))+ISNUMBER(SEARCH("Chief Operating",C1359))+ISNUMBER(SEARCH("Chief Financial",C1359))+ISNUMBER(SEARCH("Gerente General",C1359))+ISNUMBER(SEARCH("General Manager",C1359))&gt;0,'Configuración'!$B$34,'Configuración'!$B$35)))))</f>
        <v>12</v>
      </c>
      <c r="V1359" s="38">
        <f>IF(B1359="","",IF(K1359="Sí",'Configuración'!$B$5,0)+IF(L1359="Semanal",'Configuración'!$B$6,IF(L1359="Mensual",'Configuración'!$B$7,0))+IF(M1359="Sí",'Configuración'!$B$8,0)+IF(N1359="Sí",'Configuración'!$B$9,0)+IF(O1359="Sí",'Configuración'!$B$10,0)+IF(P1359="Sí",'Configuración'!$B$11,0)+IF(Q1359="Sí",'Configuración'!$B$12,0)+S1359+T1359+U1359)</f>
        <v>28</v>
      </c>
      <c r="W1359" s="39" t="str">
        <f>IF(B1359="","",IF(V1359&gt;='Configuración'!$B$19,"A",IF(V1359&gt;='Configuración'!$B$20,"B",IF(V1359&gt;='Configuración'!$B$21,"C","Descarte"))))</f>
        <v>C</v>
      </c>
    </row>
    <row r="1360" ht="15.75" customHeight="1">
      <c r="A1360" s="34">
        <f t="shared" si="1"/>
        <v>1358</v>
      </c>
      <c r="B1360" s="29" t="s">
        <v>762</v>
      </c>
      <c r="C1360" s="29" t="s">
        <v>7729</v>
      </c>
      <c r="D1360" s="29" t="s">
        <v>7730</v>
      </c>
      <c r="E1360" s="29" t="s">
        <v>7731</v>
      </c>
      <c r="F1360" s="30" t="s">
        <v>7732</v>
      </c>
      <c r="G1360" s="30" t="s">
        <v>7733</v>
      </c>
      <c r="H1360" s="30" t="s">
        <v>7734</v>
      </c>
      <c r="I1360" s="29" t="s">
        <v>295</v>
      </c>
      <c r="J1360" s="31">
        <v>4.0</v>
      </c>
      <c r="K1360" s="35"/>
      <c r="L1360" s="35"/>
      <c r="M1360" s="35"/>
      <c r="N1360" s="35"/>
      <c r="O1360" s="35"/>
      <c r="P1360" s="35"/>
      <c r="Q1360" s="35"/>
      <c r="R1360" s="35"/>
      <c r="S1360" s="37">
        <f>IF(B1360="","",IF(ISNUMBER(J1360),IF(J1360&lt;=10,'Configuración'!$B$23,IF(J1360&lt;=50,'Configuración'!$B$24,IF(J1360&lt;=200,'Configuración'!$B$25,0))),0))</f>
        <v>12</v>
      </c>
      <c r="T1360" s="37">
        <f>IF(B1360="","",IF(ISNUMBER(SEARCH("information technology",I1360))+ISNUMBER(SEARCH("software",I1360))+ISNUMBER(SEARCH("internet",I1360))+ISNUMBER(SEARCH("computer",I1360))+ISNUMBER(SEARCH("saas",I1360))+ISNUMBER(SEARCH("fintech",I1360))+ISNUMBER(SEARCH("information services",I1360))+ISNUMBER(SEARCH("telecommunications",I1360))&gt;0,'Configuración'!$B$27,'Configuración'!$B$28))</f>
        <v>4</v>
      </c>
      <c r="U1360" s="25">
        <f>IF(B1360="","",IF(ISNUMBER(SEARCH("CEO",C1360))+ISNUMBER(SEARCH("Founder",C1360))+ISNUMBER(SEARCH("Owner",C1360))+ISNUMBER(SEARCH("Dueño",C1360))+ISNUMBER(SEARCH("Director General",C1360))+ISNUMBER(SEARCH("Presidente",C1360))+ISNUMBER(SEARCH("President",C1360))&gt;0,'Configuración'!$B$31,IF(ISNUMBER(SEARCH("CMO",C1360))+ISNUMBER(SEARCH("Chief Marketing",C1360))+ISNUMBER(SEARCH("VP Marketing",C1360))+ISNUMBER(SEARCH("Director de Marketing",C1360))+ISNUMBER(SEARCH("Director Marketing",C1360))+ISNUMBER(SEARCH("Head of Marketing",C1360))+ISNUMBER(SEARCH("Head Marketing",C1360))&gt;0,'Configuración'!$B$32,IF(ISNUMBER(SEARCH("Marketing Manager",C1360))+ISNUMBER(SEARCH("Gerente de Marketing",C1360))+ISNUMBER(SEARCH("Growth Manager",C1360))+ISNUMBER(SEARCH("Demand Gen",C1360))+ISNUMBER(SEARCH("Marketing Lead",C1360))&gt;0,'Configuración'!$B$33,IF(ISNUMBER(SEARCH("COO",C1360))+ISNUMBER(SEARCH("CFO",C1360))+ISNUMBER(SEARCH("CTO",C1360))+ISNUMBER(SEARCH("Chief Operating",C1360))+ISNUMBER(SEARCH("Chief Financial",C1360))+ISNUMBER(SEARCH("Gerente General",C1360))+ISNUMBER(SEARCH("General Manager",C1360))&gt;0,'Configuración'!$B$34,'Configuración'!$B$35)))))</f>
        <v>12</v>
      </c>
      <c r="V1360" s="38">
        <f>IF(B1360="","",IF(K1360="Sí",'Configuración'!$B$5,0)+IF(L1360="Semanal",'Configuración'!$B$6,IF(L1360="Mensual",'Configuración'!$B$7,0))+IF(M1360="Sí",'Configuración'!$B$8,0)+IF(N1360="Sí",'Configuración'!$B$9,0)+IF(O1360="Sí",'Configuración'!$B$10,0)+IF(P1360="Sí",'Configuración'!$B$11,0)+IF(Q1360="Sí",'Configuración'!$B$12,0)+S1360+T1360+U1360)</f>
        <v>28</v>
      </c>
      <c r="W1360" s="39" t="str">
        <f>IF(B1360="","",IF(V1360&gt;='Configuración'!$B$19,"A",IF(V1360&gt;='Configuración'!$B$20,"B",IF(V1360&gt;='Configuración'!$B$21,"C","Descarte"))))</f>
        <v>C</v>
      </c>
    </row>
    <row r="1361" ht="15.75" customHeight="1">
      <c r="A1361" s="34">
        <f t="shared" si="1"/>
        <v>1359</v>
      </c>
      <c r="B1361" s="29" t="s">
        <v>7735</v>
      </c>
      <c r="C1361" s="29" t="s">
        <v>622</v>
      </c>
      <c r="D1361" s="29" t="s">
        <v>7736</v>
      </c>
      <c r="E1361" s="29" t="s">
        <v>7737</v>
      </c>
      <c r="F1361" s="30" t="s">
        <v>7738</v>
      </c>
      <c r="G1361" s="30" t="s">
        <v>7739</v>
      </c>
      <c r="H1361" s="30" t="s">
        <v>7740</v>
      </c>
      <c r="I1361" s="29" t="s">
        <v>127</v>
      </c>
      <c r="J1361" s="31">
        <v>14.0</v>
      </c>
      <c r="K1361" s="35"/>
      <c r="L1361" s="35"/>
      <c r="M1361" s="35"/>
      <c r="N1361" s="35"/>
      <c r="O1361" s="35"/>
      <c r="P1361" s="35"/>
      <c r="Q1361" s="35"/>
      <c r="R1361" s="35"/>
      <c r="S1361" s="37">
        <f>IF(B1361="","",IF(ISNUMBER(J1361),IF(J1361&lt;=10,'Configuración'!$B$23,IF(J1361&lt;=50,'Configuración'!$B$24,IF(J1361&lt;=200,'Configuración'!$B$25,0))),0))</f>
        <v>4</v>
      </c>
      <c r="T1361" s="37">
        <f>IF(B1361="","",IF(ISNUMBER(SEARCH("information technology",I1361))+ISNUMBER(SEARCH("software",I1361))+ISNUMBER(SEARCH("internet",I1361))+ISNUMBER(SEARCH("computer",I1361))+ISNUMBER(SEARCH("saas",I1361))+ISNUMBER(SEARCH("fintech",I1361))+ISNUMBER(SEARCH("information services",I1361))+ISNUMBER(SEARCH("telecommunications",I1361))&gt;0,'Configuración'!$B$27,'Configuración'!$B$28))</f>
        <v>12</v>
      </c>
      <c r="U1361" s="25">
        <f>IF(B1361="","",IF(ISNUMBER(SEARCH("CEO",C1361))+ISNUMBER(SEARCH("Founder",C1361))+ISNUMBER(SEARCH("Owner",C1361))+ISNUMBER(SEARCH("Dueño",C1361))+ISNUMBER(SEARCH("Director General",C1361))+ISNUMBER(SEARCH("Presidente",C1361))+ISNUMBER(SEARCH("President",C1361))&gt;0,'Configuración'!$B$31,IF(ISNUMBER(SEARCH("CMO",C1361))+ISNUMBER(SEARCH("Chief Marketing",C1361))+ISNUMBER(SEARCH("VP Marketing",C1361))+ISNUMBER(SEARCH("Director de Marketing",C1361))+ISNUMBER(SEARCH("Director Marketing",C1361))+ISNUMBER(SEARCH("Head of Marketing",C1361))+ISNUMBER(SEARCH("Head Marketing",C1361))&gt;0,'Configuración'!$B$32,IF(ISNUMBER(SEARCH("Marketing Manager",C1361))+ISNUMBER(SEARCH("Gerente de Marketing",C1361))+ISNUMBER(SEARCH("Growth Manager",C1361))+ISNUMBER(SEARCH("Demand Gen",C1361))+ISNUMBER(SEARCH("Marketing Lead",C1361))&gt;0,'Configuración'!$B$33,IF(ISNUMBER(SEARCH("COO",C1361))+ISNUMBER(SEARCH("CFO",C1361))+ISNUMBER(SEARCH("CTO",C1361))+ISNUMBER(SEARCH("Chief Operating",C1361))+ISNUMBER(SEARCH("Chief Financial",C1361))+ISNUMBER(SEARCH("Gerente General",C1361))+ISNUMBER(SEARCH("General Manager",C1361))&gt;0,'Configuración'!$B$34,'Configuración'!$B$35)))))</f>
        <v>12</v>
      </c>
      <c r="V1361" s="38">
        <f>IF(B1361="","",IF(K1361="Sí",'Configuración'!$B$5,0)+IF(L1361="Semanal",'Configuración'!$B$6,IF(L1361="Mensual",'Configuración'!$B$7,0))+IF(M1361="Sí",'Configuración'!$B$8,0)+IF(N1361="Sí",'Configuración'!$B$9,0)+IF(O1361="Sí",'Configuración'!$B$10,0)+IF(P1361="Sí",'Configuración'!$B$11,0)+IF(Q1361="Sí",'Configuración'!$B$12,0)+S1361+T1361+U1361)</f>
        <v>28</v>
      </c>
      <c r="W1361" s="39" t="str">
        <f>IF(B1361="","",IF(V1361&gt;='Configuración'!$B$19,"A",IF(V1361&gt;='Configuración'!$B$20,"B",IF(V1361&gt;='Configuración'!$B$21,"C","Descarte"))))</f>
        <v>C</v>
      </c>
    </row>
    <row r="1362" ht="15.75" customHeight="1">
      <c r="A1362" s="34">
        <f t="shared" si="1"/>
        <v>1360</v>
      </c>
      <c r="B1362" s="29" t="s">
        <v>4391</v>
      </c>
      <c r="C1362" s="29" t="s">
        <v>7741</v>
      </c>
      <c r="D1362" s="40" t="s">
        <v>7742</v>
      </c>
      <c r="E1362" s="29" t="s">
        <v>7743</v>
      </c>
      <c r="F1362" s="30" t="s">
        <v>7744</v>
      </c>
      <c r="G1362" s="30" t="s">
        <v>7745</v>
      </c>
      <c r="H1362" s="30" t="s">
        <v>7746</v>
      </c>
      <c r="I1362" s="29" t="s">
        <v>2980</v>
      </c>
      <c r="J1362" s="31">
        <v>45.0</v>
      </c>
      <c r="K1362" s="35"/>
      <c r="L1362" s="35"/>
      <c r="M1362" s="35"/>
      <c r="N1362" s="35"/>
      <c r="O1362" s="35"/>
      <c r="P1362" s="35"/>
      <c r="Q1362" s="35"/>
      <c r="R1362" s="35"/>
      <c r="S1362" s="37">
        <f>IF(B1362="","",IF(ISNUMBER(J1362),IF(J1362&lt;=10,'Configuración'!$B$23,IF(J1362&lt;=50,'Configuración'!$B$24,IF(J1362&lt;=200,'Configuración'!$B$25,0))),0))</f>
        <v>4</v>
      </c>
      <c r="T1362" s="37">
        <f>IF(B1362="","",IF(ISNUMBER(SEARCH("information technology",I1362))+ISNUMBER(SEARCH("software",I1362))+ISNUMBER(SEARCH("internet",I1362))+ISNUMBER(SEARCH("computer",I1362))+ISNUMBER(SEARCH("saas",I1362))+ISNUMBER(SEARCH("fintech",I1362))+ISNUMBER(SEARCH("information services",I1362))+ISNUMBER(SEARCH("telecommunications",I1362))&gt;0,'Configuración'!$B$27,'Configuración'!$B$28))</f>
        <v>4</v>
      </c>
      <c r="U1362" s="25">
        <f>IF(B1362="","",IF(ISNUMBER(SEARCH("CEO",C1362))+ISNUMBER(SEARCH("Founder",C1362))+ISNUMBER(SEARCH("Owner",C1362))+ISNUMBER(SEARCH("Dueño",C1362))+ISNUMBER(SEARCH("Director General",C1362))+ISNUMBER(SEARCH("Presidente",C1362))+ISNUMBER(SEARCH("President",C1362))&gt;0,'Configuración'!$B$31,IF(ISNUMBER(SEARCH("CMO",C1362))+ISNUMBER(SEARCH("Chief Marketing",C1362))+ISNUMBER(SEARCH("VP Marketing",C1362))+ISNUMBER(SEARCH("Director de Marketing",C1362))+ISNUMBER(SEARCH("Director Marketing",C1362))+ISNUMBER(SEARCH("Head of Marketing",C1362))+ISNUMBER(SEARCH("Head Marketing",C1362))&gt;0,'Configuración'!$B$32,IF(ISNUMBER(SEARCH("Marketing Manager",C1362))+ISNUMBER(SEARCH("Gerente de Marketing",C1362))+ISNUMBER(SEARCH("Growth Manager",C1362))+ISNUMBER(SEARCH("Demand Gen",C1362))+ISNUMBER(SEARCH("Marketing Lead",C1362))&gt;0,'Configuración'!$B$33,IF(ISNUMBER(SEARCH("COO",C1362))+ISNUMBER(SEARCH("CFO",C1362))+ISNUMBER(SEARCH("CTO",C1362))+ISNUMBER(SEARCH("Chief Operating",C1362))+ISNUMBER(SEARCH("Chief Financial",C1362))+ISNUMBER(SEARCH("Gerente General",C1362))+ISNUMBER(SEARCH("General Manager",C1362))&gt;0,'Configuración'!$B$34,'Configuración'!$B$35)))))</f>
        <v>0</v>
      </c>
      <c r="V1362" s="38">
        <f>IF(B1362="","",IF(K1362="Sí",'Configuración'!$B$5,0)+IF(L1362="Semanal",'Configuración'!$B$6,IF(L1362="Mensual",'Configuración'!$B$7,0))+IF(M1362="Sí",'Configuración'!$B$8,0)+IF(N1362="Sí",'Configuración'!$B$9,0)+IF(O1362="Sí",'Configuración'!$B$10,0)+IF(P1362="Sí",'Configuración'!$B$11,0)+IF(Q1362="Sí",'Configuración'!$B$12,0)+S1362+T1362+U1362)</f>
        <v>8</v>
      </c>
      <c r="W1362" s="39" t="str">
        <f>IF(B1362="","",IF(V1362&gt;='Configuración'!$B$19,"A",IF(V1362&gt;='Configuración'!$B$20,"B",IF(V1362&gt;='Configuración'!$B$21,"C","Descarte"))))</f>
        <v>Descarte</v>
      </c>
    </row>
    <row r="1363" ht="15.75" customHeight="1">
      <c r="A1363" s="34">
        <f t="shared" si="1"/>
        <v>1361</v>
      </c>
      <c r="B1363" s="29" t="s">
        <v>1510</v>
      </c>
      <c r="C1363" s="29" t="s">
        <v>934</v>
      </c>
      <c r="D1363" s="30" t="s">
        <v>1172</v>
      </c>
      <c r="E1363" s="29" t="s">
        <v>7747</v>
      </c>
      <c r="F1363" s="30" t="s">
        <v>7748</v>
      </c>
      <c r="G1363" s="30" t="s">
        <v>1175</v>
      </c>
      <c r="H1363" s="30" t="s">
        <v>1176</v>
      </c>
      <c r="I1363" s="29" t="s">
        <v>769</v>
      </c>
      <c r="J1363" s="31">
        <v>31.0</v>
      </c>
      <c r="K1363" s="35"/>
      <c r="L1363" s="35"/>
      <c r="M1363" s="35"/>
      <c r="N1363" s="35"/>
      <c r="O1363" s="35"/>
      <c r="P1363" s="35"/>
      <c r="Q1363" s="35"/>
      <c r="R1363" s="35"/>
      <c r="S1363" s="37">
        <f>IF(B1363="","",IF(ISNUMBER(J1363),IF(J1363&lt;=10,'Configuración'!$B$23,IF(J1363&lt;=50,'Configuración'!$B$24,IF(J1363&lt;=200,'Configuración'!$B$25,0))),0))</f>
        <v>4</v>
      </c>
      <c r="T1363" s="37">
        <f>IF(B1363="","",IF(ISNUMBER(SEARCH("information technology",I1363))+ISNUMBER(SEARCH("software",I1363))+ISNUMBER(SEARCH("internet",I1363))+ISNUMBER(SEARCH("computer",I1363))+ISNUMBER(SEARCH("saas",I1363))+ISNUMBER(SEARCH("fintech",I1363))+ISNUMBER(SEARCH("information services",I1363))+ISNUMBER(SEARCH("telecommunications",I1363))&gt;0,'Configuración'!$B$27,'Configuración'!$B$28))</f>
        <v>4</v>
      </c>
      <c r="U1363" s="25">
        <f>IF(B1363="","",IF(ISNUMBER(SEARCH("CEO",C1363))+ISNUMBER(SEARCH("Founder",C1363))+ISNUMBER(SEARCH("Owner",C1363))+ISNUMBER(SEARCH("Dueño",C1363))+ISNUMBER(SEARCH("Director General",C1363))+ISNUMBER(SEARCH("Presidente",C1363))+ISNUMBER(SEARCH("President",C1363))&gt;0,'Configuración'!$B$31,IF(ISNUMBER(SEARCH("CMO",C1363))+ISNUMBER(SEARCH("Chief Marketing",C1363))+ISNUMBER(SEARCH("VP Marketing",C1363))+ISNUMBER(SEARCH("Director de Marketing",C1363))+ISNUMBER(SEARCH("Director Marketing",C1363))+ISNUMBER(SEARCH("Head of Marketing",C1363))+ISNUMBER(SEARCH("Head Marketing",C1363))&gt;0,'Configuración'!$B$32,IF(ISNUMBER(SEARCH("Marketing Manager",C1363))+ISNUMBER(SEARCH("Gerente de Marketing",C1363))+ISNUMBER(SEARCH("Growth Manager",C1363))+ISNUMBER(SEARCH("Demand Gen",C1363))+ISNUMBER(SEARCH("Marketing Lead",C1363))&gt;0,'Configuración'!$B$33,IF(ISNUMBER(SEARCH("COO",C1363))+ISNUMBER(SEARCH("CFO",C1363))+ISNUMBER(SEARCH("CTO",C1363))+ISNUMBER(SEARCH("Chief Operating",C1363))+ISNUMBER(SEARCH("Chief Financial",C1363))+ISNUMBER(SEARCH("Gerente General",C1363))+ISNUMBER(SEARCH("General Manager",C1363))&gt;0,'Configuración'!$B$34,'Configuración'!$B$35)))))</f>
        <v>12</v>
      </c>
      <c r="V1363" s="38">
        <f>IF(B1363="","",IF(K1363="Sí",'Configuración'!$B$5,0)+IF(L1363="Semanal",'Configuración'!$B$6,IF(L1363="Mensual",'Configuración'!$B$7,0))+IF(M1363="Sí",'Configuración'!$B$8,0)+IF(N1363="Sí",'Configuración'!$B$9,0)+IF(O1363="Sí",'Configuración'!$B$10,0)+IF(P1363="Sí",'Configuración'!$B$11,0)+IF(Q1363="Sí",'Configuración'!$B$12,0)+S1363+T1363+U1363)</f>
        <v>20</v>
      </c>
      <c r="W1363" s="39" t="str">
        <f>IF(B1363="","",IF(V1363&gt;='Configuración'!$B$19,"A",IF(V1363&gt;='Configuración'!$B$20,"B",IF(V1363&gt;='Configuración'!$B$21,"C","Descarte"))))</f>
        <v>Descarte</v>
      </c>
    </row>
    <row r="1364" ht="15.75" customHeight="1">
      <c r="A1364" s="34">
        <f t="shared" si="1"/>
        <v>1362</v>
      </c>
      <c r="B1364" s="29" t="s">
        <v>223</v>
      </c>
      <c r="C1364" s="29" t="s">
        <v>1221</v>
      </c>
      <c r="D1364" s="29" t="s">
        <v>7749</v>
      </c>
      <c r="E1364" s="29" t="s">
        <v>7750</v>
      </c>
      <c r="F1364" s="30" t="s">
        <v>7751</v>
      </c>
      <c r="G1364" s="30" t="s">
        <v>7752</v>
      </c>
      <c r="H1364" s="30" t="s">
        <v>7753</v>
      </c>
      <c r="I1364" s="29" t="s">
        <v>873</v>
      </c>
      <c r="J1364" s="31">
        <v>10.0</v>
      </c>
      <c r="K1364" s="35"/>
      <c r="L1364" s="35"/>
      <c r="M1364" s="35"/>
      <c r="N1364" s="35"/>
      <c r="O1364" s="35"/>
      <c r="P1364" s="35"/>
      <c r="Q1364" s="35"/>
      <c r="R1364" s="35"/>
      <c r="S1364" s="37">
        <f>IF(B1364="","",IF(ISNUMBER(J1364),IF(J1364&lt;=10,'Configuración'!$B$23,IF(J1364&lt;=50,'Configuración'!$B$24,IF(J1364&lt;=200,'Configuración'!$B$25,0))),0))</f>
        <v>12</v>
      </c>
      <c r="T1364" s="37">
        <f>IF(B1364="","",IF(ISNUMBER(SEARCH("information technology",I1364))+ISNUMBER(SEARCH("software",I1364))+ISNUMBER(SEARCH("internet",I1364))+ISNUMBER(SEARCH("computer",I1364))+ISNUMBER(SEARCH("saas",I1364))+ISNUMBER(SEARCH("fintech",I1364))+ISNUMBER(SEARCH("information services",I1364))+ISNUMBER(SEARCH("telecommunications",I1364))&gt;0,'Configuración'!$B$27,'Configuración'!$B$28))</f>
        <v>4</v>
      </c>
      <c r="U1364" s="25">
        <f>IF(B1364="","",IF(ISNUMBER(SEARCH("CEO",C1364))+ISNUMBER(SEARCH("Founder",C1364))+ISNUMBER(SEARCH("Owner",C1364))+ISNUMBER(SEARCH("Dueño",C1364))+ISNUMBER(SEARCH("Director General",C1364))+ISNUMBER(SEARCH("Presidente",C1364))+ISNUMBER(SEARCH("President",C1364))&gt;0,'Configuración'!$B$31,IF(ISNUMBER(SEARCH("CMO",C1364))+ISNUMBER(SEARCH("Chief Marketing",C1364))+ISNUMBER(SEARCH("VP Marketing",C1364))+ISNUMBER(SEARCH("Director de Marketing",C1364))+ISNUMBER(SEARCH("Director Marketing",C1364))+ISNUMBER(SEARCH("Head of Marketing",C1364))+ISNUMBER(SEARCH("Head Marketing",C1364))&gt;0,'Configuración'!$B$32,IF(ISNUMBER(SEARCH("Marketing Manager",C1364))+ISNUMBER(SEARCH("Gerente de Marketing",C1364))+ISNUMBER(SEARCH("Growth Manager",C1364))+ISNUMBER(SEARCH("Demand Gen",C1364))+ISNUMBER(SEARCH("Marketing Lead",C1364))&gt;0,'Configuración'!$B$33,IF(ISNUMBER(SEARCH("COO",C1364))+ISNUMBER(SEARCH("CFO",C1364))+ISNUMBER(SEARCH("CTO",C1364))+ISNUMBER(SEARCH("Chief Operating",C1364))+ISNUMBER(SEARCH("Chief Financial",C1364))+ISNUMBER(SEARCH("Gerente General",C1364))+ISNUMBER(SEARCH("General Manager",C1364))&gt;0,'Configuración'!$B$34,'Configuración'!$B$35)))))</f>
        <v>0</v>
      </c>
      <c r="V1364" s="38">
        <f>IF(B1364="","",IF(K1364="Sí",'Configuración'!$B$5,0)+IF(L1364="Semanal",'Configuración'!$B$6,IF(L1364="Mensual",'Configuración'!$B$7,0))+IF(M1364="Sí",'Configuración'!$B$8,0)+IF(N1364="Sí",'Configuración'!$B$9,0)+IF(O1364="Sí",'Configuración'!$B$10,0)+IF(P1364="Sí",'Configuración'!$B$11,0)+IF(Q1364="Sí",'Configuración'!$B$12,0)+S1364+T1364+U1364)</f>
        <v>16</v>
      </c>
      <c r="W1364" s="39" t="str">
        <f>IF(B1364="","",IF(V1364&gt;='Configuración'!$B$19,"A",IF(V1364&gt;='Configuración'!$B$20,"B",IF(V1364&gt;='Configuración'!$B$21,"C","Descarte"))))</f>
        <v>Descarte</v>
      </c>
    </row>
    <row r="1365" ht="15.75" customHeight="1">
      <c r="A1365" s="34">
        <f t="shared" si="1"/>
        <v>1363</v>
      </c>
      <c r="B1365" s="29" t="s">
        <v>556</v>
      </c>
      <c r="C1365" s="29" t="s">
        <v>202</v>
      </c>
      <c r="D1365" s="29" t="s">
        <v>7754</v>
      </c>
      <c r="E1365" s="29" t="s">
        <v>7755</v>
      </c>
      <c r="F1365" s="30" t="s">
        <v>7756</v>
      </c>
      <c r="G1365" s="30" t="s">
        <v>7757</v>
      </c>
      <c r="H1365" s="30" t="s">
        <v>7758</v>
      </c>
      <c r="I1365" s="29" t="s">
        <v>337</v>
      </c>
      <c r="J1365" s="31">
        <v>4.0</v>
      </c>
      <c r="K1365" s="35"/>
      <c r="L1365" s="35"/>
      <c r="M1365" s="35"/>
      <c r="N1365" s="35"/>
      <c r="O1365" s="35"/>
      <c r="P1365" s="35"/>
      <c r="Q1365" s="35"/>
      <c r="R1365" s="35"/>
      <c r="S1365" s="37">
        <f>IF(B1365="","",IF(ISNUMBER(J1365),IF(J1365&lt;=10,'Configuración'!$B$23,IF(J1365&lt;=50,'Configuración'!$B$24,IF(J1365&lt;=200,'Configuración'!$B$25,0))),0))</f>
        <v>12</v>
      </c>
      <c r="T1365" s="37">
        <f>IF(B1365="","",IF(ISNUMBER(SEARCH("information technology",I1365))+ISNUMBER(SEARCH("software",I1365))+ISNUMBER(SEARCH("internet",I1365))+ISNUMBER(SEARCH("computer",I1365))+ISNUMBER(SEARCH("saas",I1365))+ISNUMBER(SEARCH("fintech",I1365))+ISNUMBER(SEARCH("information services",I1365))+ISNUMBER(SEARCH("telecommunications",I1365))&gt;0,'Configuración'!$B$27,'Configuración'!$B$28))</f>
        <v>4</v>
      </c>
      <c r="U1365" s="25">
        <f>IF(B1365="","",IF(ISNUMBER(SEARCH("CEO",C1365))+ISNUMBER(SEARCH("Founder",C1365))+ISNUMBER(SEARCH("Owner",C1365))+ISNUMBER(SEARCH("Dueño",C1365))+ISNUMBER(SEARCH("Director General",C1365))+ISNUMBER(SEARCH("Presidente",C1365))+ISNUMBER(SEARCH("President",C1365))&gt;0,'Configuración'!$B$31,IF(ISNUMBER(SEARCH("CMO",C1365))+ISNUMBER(SEARCH("Chief Marketing",C1365))+ISNUMBER(SEARCH("VP Marketing",C1365))+ISNUMBER(SEARCH("Director de Marketing",C1365))+ISNUMBER(SEARCH("Director Marketing",C1365))+ISNUMBER(SEARCH("Head of Marketing",C1365))+ISNUMBER(SEARCH("Head Marketing",C1365))&gt;0,'Configuración'!$B$32,IF(ISNUMBER(SEARCH("Marketing Manager",C1365))+ISNUMBER(SEARCH("Gerente de Marketing",C1365))+ISNUMBER(SEARCH("Growth Manager",C1365))+ISNUMBER(SEARCH("Demand Gen",C1365))+ISNUMBER(SEARCH("Marketing Lead",C1365))&gt;0,'Configuración'!$B$33,IF(ISNUMBER(SEARCH("COO",C1365))+ISNUMBER(SEARCH("CFO",C1365))+ISNUMBER(SEARCH("CTO",C1365))+ISNUMBER(SEARCH("Chief Operating",C1365))+ISNUMBER(SEARCH("Chief Financial",C1365))+ISNUMBER(SEARCH("Gerente General",C1365))+ISNUMBER(SEARCH("General Manager",C1365))&gt;0,'Configuración'!$B$34,'Configuración'!$B$35)))))</f>
        <v>12</v>
      </c>
      <c r="V1365" s="38">
        <f>IF(B1365="","",IF(K1365="Sí",'Configuración'!$B$5,0)+IF(L1365="Semanal",'Configuración'!$B$6,IF(L1365="Mensual",'Configuración'!$B$7,0))+IF(M1365="Sí",'Configuración'!$B$8,0)+IF(N1365="Sí",'Configuración'!$B$9,0)+IF(O1365="Sí",'Configuración'!$B$10,0)+IF(P1365="Sí",'Configuración'!$B$11,0)+IF(Q1365="Sí",'Configuración'!$B$12,0)+S1365+T1365+U1365)</f>
        <v>28</v>
      </c>
      <c r="W1365" s="39" t="str">
        <f>IF(B1365="","",IF(V1365&gt;='Configuración'!$B$19,"A",IF(V1365&gt;='Configuración'!$B$20,"B",IF(V1365&gt;='Configuración'!$B$21,"C","Descarte"))))</f>
        <v>C</v>
      </c>
    </row>
    <row r="1366" ht="15.75" customHeight="1">
      <c r="A1366" s="34">
        <f t="shared" si="1"/>
        <v>1364</v>
      </c>
      <c r="B1366" s="29" t="s">
        <v>7759</v>
      </c>
      <c r="C1366" s="29" t="s">
        <v>7760</v>
      </c>
      <c r="D1366" s="29" t="s">
        <v>7761</v>
      </c>
      <c r="E1366" s="29" t="s">
        <v>7762</v>
      </c>
      <c r="F1366" s="30" t="s">
        <v>7763</v>
      </c>
      <c r="G1366" s="30" t="s">
        <v>7764</v>
      </c>
      <c r="H1366" s="30" t="s">
        <v>7765</v>
      </c>
      <c r="I1366" s="29" t="s">
        <v>127</v>
      </c>
      <c r="J1366" s="31">
        <v>7.0</v>
      </c>
      <c r="K1366" s="35"/>
      <c r="L1366" s="35"/>
      <c r="M1366" s="35"/>
      <c r="N1366" s="35"/>
      <c r="O1366" s="35"/>
      <c r="P1366" s="35"/>
      <c r="Q1366" s="35"/>
      <c r="R1366" s="35"/>
      <c r="S1366" s="37">
        <f>IF(B1366="","",IF(ISNUMBER(J1366),IF(J1366&lt;=10,'Configuración'!$B$23,IF(J1366&lt;=50,'Configuración'!$B$24,IF(J1366&lt;=200,'Configuración'!$B$25,0))),0))</f>
        <v>12</v>
      </c>
      <c r="T1366" s="37">
        <f>IF(B1366="","",IF(ISNUMBER(SEARCH("information technology",I1366))+ISNUMBER(SEARCH("software",I1366))+ISNUMBER(SEARCH("internet",I1366))+ISNUMBER(SEARCH("computer",I1366))+ISNUMBER(SEARCH("saas",I1366))+ISNUMBER(SEARCH("fintech",I1366))+ISNUMBER(SEARCH("information services",I1366))+ISNUMBER(SEARCH("telecommunications",I1366))&gt;0,'Configuración'!$B$27,'Configuración'!$B$28))</f>
        <v>12</v>
      </c>
      <c r="U1366" s="25">
        <f>IF(B1366="","",IF(ISNUMBER(SEARCH("CEO",C1366))+ISNUMBER(SEARCH("Founder",C1366))+ISNUMBER(SEARCH("Owner",C1366))+ISNUMBER(SEARCH("Dueño",C1366))+ISNUMBER(SEARCH("Director General",C1366))+ISNUMBER(SEARCH("Presidente",C1366))+ISNUMBER(SEARCH("President",C1366))&gt;0,'Configuración'!$B$31,IF(ISNUMBER(SEARCH("CMO",C1366))+ISNUMBER(SEARCH("Chief Marketing",C1366))+ISNUMBER(SEARCH("VP Marketing",C1366))+ISNUMBER(SEARCH("Director de Marketing",C1366))+ISNUMBER(SEARCH("Director Marketing",C1366))+ISNUMBER(SEARCH("Head of Marketing",C1366))+ISNUMBER(SEARCH("Head Marketing",C1366))&gt;0,'Configuración'!$B$32,IF(ISNUMBER(SEARCH("Marketing Manager",C1366))+ISNUMBER(SEARCH("Gerente de Marketing",C1366))+ISNUMBER(SEARCH("Growth Manager",C1366))+ISNUMBER(SEARCH("Demand Gen",C1366))+ISNUMBER(SEARCH("Marketing Lead",C1366))&gt;0,'Configuración'!$B$33,IF(ISNUMBER(SEARCH("COO",C1366))+ISNUMBER(SEARCH("CFO",C1366))+ISNUMBER(SEARCH("CTO",C1366))+ISNUMBER(SEARCH("Chief Operating",C1366))+ISNUMBER(SEARCH("Chief Financial",C1366))+ISNUMBER(SEARCH("Gerente General",C1366))+ISNUMBER(SEARCH("General Manager",C1366))&gt;0,'Configuración'!$B$34,'Configuración'!$B$35)))))</f>
        <v>4</v>
      </c>
      <c r="V1366" s="38">
        <f>IF(B1366="","",IF(K1366="Sí",'Configuración'!$B$5,0)+IF(L1366="Semanal",'Configuración'!$B$6,IF(L1366="Mensual",'Configuración'!$B$7,0))+IF(M1366="Sí",'Configuración'!$B$8,0)+IF(N1366="Sí",'Configuración'!$B$9,0)+IF(O1366="Sí",'Configuración'!$B$10,0)+IF(P1366="Sí",'Configuración'!$B$11,0)+IF(Q1366="Sí",'Configuración'!$B$12,0)+S1366+T1366+U1366)</f>
        <v>28</v>
      </c>
      <c r="W1366" s="39" t="str">
        <f>IF(B1366="","",IF(V1366&gt;='Configuración'!$B$19,"A",IF(V1366&gt;='Configuración'!$B$20,"B",IF(V1366&gt;='Configuración'!$B$21,"C","Descarte"))))</f>
        <v>C</v>
      </c>
    </row>
    <row r="1367" ht="15.75" customHeight="1">
      <c r="A1367" s="34">
        <f t="shared" si="1"/>
        <v>1365</v>
      </c>
      <c r="B1367" s="29" t="s">
        <v>351</v>
      </c>
      <c r="C1367" s="29" t="s">
        <v>7766</v>
      </c>
      <c r="D1367" s="29" t="s">
        <v>7767</v>
      </c>
      <c r="E1367" s="29" t="s">
        <v>7768</v>
      </c>
      <c r="F1367" s="30" t="s">
        <v>7769</v>
      </c>
      <c r="G1367" s="30" t="s">
        <v>7770</v>
      </c>
      <c r="H1367" s="30" t="s">
        <v>7771</v>
      </c>
      <c r="I1367" s="29" t="s">
        <v>127</v>
      </c>
      <c r="J1367" s="31">
        <v>17.0</v>
      </c>
      <c r="K1367" s="35"/>
      <c r="L1367" s="35"/>
      <c r="M1367" s="35"/>
      <c r="N1367" s="35"/>
      <c r="O1367" s="35"/>
      <c r="P1367" s="35"/>
      <c r="Q1367" s="35"/>
      <c r="R1367" s="35"/>
      <c r="S1367" s="37">
        <f>IF(B1367="","",IF(ISNUMBER(J1367),IF(J1367&lt;=10,'Configuración'!$B$23,IF(J1367&lt;=50,'Configuración'!$B$24,IF(J1367&lt;=200,'Configuración'!$B$25,0))),0))</f>
        <v>4</v>
      </c>
      <c r="T1367" s="37">
        <f>IF(B1367="","",IF(ISNUMBER(SEARCH("information technology",I1367))+ISNUMBER(SEARCH("software",I1367))+ISNUMBER(SEARCH("internet",I1367))+ISNUMBER(SEARCH("computer",I1367))+ISNUMBER(SEARCH("saas",I1367))+ISNUMBER(SEARCH("fintech",I1367))+ISNUMBER(SEARCH("information services",I1367))+ISNUMBER(SEARCH("telecommunications",I1367))&gt;0,'Configuración'!$B$27,'Configuración'!$B$28))</f>
        <v>12</v>
      </c>
      <c r="U1367" s="25">
        <f>IF(B1367="","",IF(ISNUMBER(SEARCH("CEO",C1367))+ISNUMBER(SEARCH("Founder",C1367))+ISNUMBER(SEARCH("Owner",C1367))+ISNUMBER(SEARCH("Dueño",C1367))+ISNUMBER(SEARCH("Director General",C1367))+ISNUMBER(SEARCH("Presidente",C1367))+ISNUMBER(SEARCH("President",C1367))&gt;0,'Configuración'!$B$31,IF(ISNUMBER(SEARCH("CMO",C1367))+ISNUMBER(SEARCH("Chief Marketing",C1367))+ISNUMBER(SEARCH("VP Marketing",C1367))+ISNUMBER(SEARCH("Director de Marketing",C1367))+ISNUMBER(SEARCH("Director Marketing",C1367))+ISNUMBER(SEARCH("Head of Marketing",C1367))+ISNUMBER(SEARCH("Head Marketing",C1367))&gt;0,'Configuración'!$B$32,IF(ISNUMBER(SEARCH("Marketing Manager",C1367))+ISNUMBER(SEARCH("Gerente de Marketing",C1367))+ISNUMBER(SEARCH("Growth Manager",C1367))+ISNUMBER(SEARCH("Demand Gen",C1367))+ISNUMBER(SEARCH("Marketing Lead",C1367))&gt;0,'Configuración'!$B$33,IF(ISNUMBER(SEARCH("COO",C1367))+ISNUMBER(SEARCH("CFO",C1367))+ISNUMBER(SEARCH("CTO",C1367))+ISNUMBER(SEARCH("Chief Operating",C1367))+ISNUMBER(SEARCH("Chief Financial",C1367))+ISNUMBER(SEARCH("Gerente General",C1367))+ISNUMBER(SEARCH("General Manager",C1367))&gt;0,'Configuración'!$B$34,'Configuración'!$B$35)))))</f>
        <v>12</v>
      </c>
      <c r="V1367" s="38">
        <f>IF(B1367="","",IF(K1367="Sí",'Configuración'!$B$5,0)+IF(L1367="Semanal",'Configuración'!$B$6,IF(L1367="Mensual",'Configuración'!$B$7,0))+IF(M1367="Sí",'Configuración'!$B$8,0)+IF(N1367="Sí",'Configuración'!$B$9,0)+IF(O1367="Sí",'Configuración'!$B$10,0)+IF(P1367="Sí",'Configuración'!$B$11,0)+IF(Q1367="Sí",'Configuración'!$B$12,0)+S1367+T1367+U1367)</f>
        <v>28</v>
      </c>
      <c r="W1367" s="39" t="str">
        <f>IF(B1367="","",IF(V1367&gt;='Configuración'!$B$19,"A",IF(V1367&gt;='Configuración'!$B$20,"B",IF(V1367&gt;='Configuración'!$B$21,"C","Descarte"))))</f>
        <v>C</v>
      </c>
    </row>
    <row r="1368" ht="15.75" customHeight="1">
      <c r="A1368" s="34">
        <f t="shared" si="1"/>
        <v>1366</v>
      </c>
      <c r="B1368" s="29" t="s">
        <v>1927</v>
      </c>
      <c r="C1368" s="29" t="s">
        <v>2297</v>
      </c>
      <c r="D1368" s="29" t="s">
        <v>7772</v>
      </c>
      <c r="E1368" s="29" t="s">
        <v>7773</v>
      </c>
      <c r="F1368" s="30" t="s">
        <v>7774</v>
      </c>
      <c r="G1368" s="30" t="s">
        <v>7775</v>
      </c>
      <c r="H1368" s="30" t="s">
        <v>7776</v>
      </c>
      <c r="I1368" s="29" t="s">
        <v>337</v>
      </c>
      <c r="J1368" s="31">
        <v>4.0</v>
      </c>
      <c r="K1368" s="35"/>
      <c r="L1368" s="35"/>
      <c r="M1368" s="35"/>
      <c r="N1368" s="35"/>
      <c r="O1368" s="35"/>
      <c r="P1368" s="35"/>
      <c r="Q1368" s="35"/>
      <c r="R1368" s="35"/>
      <c r="S1368" s="37">
        <f>IF(B1368="","",IF(ISNUMBER(J1368),IF(J1368&lt;=10,'Configuración'!$B$23,IF(J1368&lt;=50,'Configuración'!$B$24,IF(J1368&lt;=200,'Configuración'!$B$25,0))),0))</f>
        <v>12</v>
      </c>
      <c r="T1368" s="37">
        <f>IF(B1368="","",IF(ISNUMBER(SEARCH("information technology",I1368))+ISNUMBER(SEARCH("software",I1368))+ISNUMBER(SEARCH("internet",I1368))+ISNUMBER(SEARCH("computer",I1368))+ISNUMBER(SEARCH("saas",I1368))+ISNUMBER(SEARCH("fintech",I1368))+ISNUMBER(SEARCH("information services",I1368))+ISNUMBER(SEARCH("telecommunications",I1368))&gt;0,'Configuración'!$B$27,'Configuración'!$B$28))</f>
        <v>4</v>
      </c>
      <c r="U1368" s="25">
        <f>IF(B1368="","",IF(ISNUMBER(SEARCH("CEO",C1368))+ISNUMBER(SEARCH("Founder",C1368))+ISNUMBER(SEARCH("Owner",C1368))+ISNUMBER(SEARCH("Dueño",C1368))+ISNUMBER(SEARCH("Director General",C1368))+ISNUMBER(SEARCH("Presidente",C1368))+ISNUMBER(SEARCH("President",C1368))&gt;0,'Configuración'!$B$31,IF(ISNUMBER(SEARCH("CMO",C1368))+ISNUMBER(SEARCH("Chief Marketing",C1368))+ISNUMBER(SEARCH("VP Marketing",C1368))+ISNUMBER(SEARCH("Director de Marketing",C1368))+ISNUMBER(SEARCH("Director Marketing",C1368))+ISNUMBER(SEARCH("Head of Marketing",C1368))+ISNUMBER(SEARCH("Head Marketing",C1368))&gt;0,'Configuración'!$B$32,IF(ISNUMBER(SEARCH("Marketing Manager",C1368))+ISNUMBER(SEARCH("Gerente de Marketing",C1368))+ISNUMBER(SEARCH("Growth Manager",C1368))+ISNUMBER(SEARCH("Demand Gen",C1368))+ISNUMBER(SEARCH("Marketing Lead",C1368))&gt;0,'Configuración'!$B$33,IF(ISNUMBER(SEARCH("COO",C1368))+ISNUMBER(SEARCH("CFO",C1368))+ISNUMBER(SEARCH("CTO",C1368))+ISNUMBER(SEARCH("Chief Operating",C1368))+ISNUMBER(SEARCH("Chief Financial",C1368))+ISNUMBER(SEARCH("Gerente General",C1368))+ISNUMBER(SEARCH("General Manager",C1368))&gt;0,'Configuración'!$B$34,'Configuración'!$B$35)))))</f>
        <v>12</v>
      </c>
      <c r="V1368" s="38">
        <f>IF(B1368="","",IF(K1368="Sí",'Configuración'!$B$5,0)+IF(L1368="Semanal",'Configuración'!$B$6,IF(L1368="Mensual",'Configuración'!$B$7,0))+IF(M1368="Sí",'Configuración'!$B$8,0)+IF(N1368="Sí",'Configuración'!$B$9,0)+IF(O1368="Sí",'Configuración'!$B$10,0)+IF(P1368="Sí",'Configuración'!$B$11,0)+IF(Q1368="Sí",'Configuración'!$B$12,0)+S1368+T1368+U1368)</f>
        <v>28</v>
      </c>
      <c r="W1368" s="39" t="str">
        <f>IF(B1368="","",IF(V1368&gt;='Configuración'!$B$19,"A",IF(V1368&gt;='Configuración'!$B$20,"B",IF(V1368&gt;='Configuración'!$B$21,"C","Descarte"))))</f>
        <v>C</v>
      </c>
    </row>
    <row r="1369" ht="15.75" customHeight="1">
      <c r="A1369" s="34">
        <f t="shared" si="1"/>
        <v>1367</v>
      </c>
      <c r="B1369" s="29" t="s">
        <v>159</v>
      </c>
      <c r="C1369" s="29" t="s">
        <v>131</v>
      </c>
      <c r="D1369" s="29" t="s">
        <v>1248</v>
      </c>
      <c r="E1369" s="29" t="s">
        <v>7777</v>
      </c>
      <c r="F1369" s="30" t="s">
        <v>7778</v>
      </c>
      <c r="G1369" s="30" t="s">
        <v>1251</v>
      </c>
      <c r="H1369" s="30" t="s">
        <v>1252</v>
      </c>
      <c r="I1369" s="29" t="s">
        <v>188</v>
      </c>
      <c r="J1369" s="31">
        <v>39.0</v>
      </c>
      <c r="K1369" s="35"/>
      <c r="L1369" s="35"/>
      <c r="M1369" s="35"/>
      <c r="N1369" s="35"/>
      <c r="O1369" s="35"/>
      <c r="P1369" s="35"/>
      <c r="Q1369" s="35"/>
      <c r="R1369" s="35"/>
      <c r="S1369" s="37">
        <f>IF(B1369="","",IF(ISNUMBER(J1369),IF(J1369&lt;=10,'Configuración'!$B$23,IF(J1369&lt;=50,'Configuración'!$B$24,IF(J1369&lt;=200,'Configuración'!$B$25,0))),0))</f>
        <v>4</v>
      </c>
      <c r="T1369" s="37">
        <f>IF(B1369="","",IF(ISNUMBER(SEARCH("information technology",I1369))+ISNUMBER(SEARCH("software",I1369))+ISNUMBER(SEARCH("internet",I1369))+ISNUMBER(SEARCH("computer",I1369))+ISNUMBER(SEARCH("saas",I1369))+ISNUMBER(SEARCH("fintech",I1369))+ISNUMBER(SEARCH("information services",I1369))+ISNUMBER(SEARCH("telecommunications",I1369))&gt;0,'Configuración'!$B$27,'Configuración'!$B$28))</f>
        <v>4</v>
      </c>
      <c r="U1369" s="25">
        <f>IF(B1369="","",IF(ISNUMBER(SEARCH("CEO",C1369))+ISNUMBER(SEARCH("Founder",C1369))+ISNUMBER(SEARCH("Owner",C1369))+ISNUMBER(SEARCH("Dueño",C1369))+ISNUMBER(SEARCH("Director General",C1369))+ISNUMBER(SEARCH("Presidente",C1369))+ISNUMBER(SEARCH("President",C1369))&gt;0,'Configuración'!$B$31,IF(ISNUMBER(SEARCH("CMO",C1369))+ISNUMBER(SEARCH("Chief Marketing",C1369))+ISNUMBER(SEARCH("VP Marketing",C1369))+ISNUMBER(SEARCH("Director de Marketing",C1369))+ISNUMBER(SEARCH("Director Marketing",C1369))+ISNUMBER(SEARCH("Head of Marketing",C1369))+ISNUMBER(SEARCH("Head Marketing",C1369))&gt;0,'Configuración'!$B$32,IF(ISNUMBER(SEARCH("Marketing Manager",C1369))+ISNUMBER(SEARCH("Gerente de Marketing",C1369))+ISNUMBER(SEARCH("Growth Manager",C1369))+ISNUMBER(SEARCH("Demand Gen",C1369))+ISNUMBER(SEARCH("Marketing Lead",C1369))&gt;0,'Configuración'!$B$33,IF(ISNUMBER(SEARCH("COO",C1369))+ISNUMBER(SEARCH("CFO",C1369))+ISNUMBER(SEARCH("CTO",C1369))+ISNUMBER(SEARCH("Chief Operating",C1369))+ISNUMBER(SEARCH("Chief Financial",C1369))+ISNUMBER(SEARCH("Gerente General",C1369))+ISNUMBER(SEARCH("General Manager",C1369))&gt;0,'Configuración'!$B$34,'Configuración'!$B$35)))))</f>
        <v>12</v>
      </c>
      <c r="V1369" s="38">
        <f>IF(B1369="","",IF(K1369="Sí",'Configuración'!$B$5,0)+IF(L1369="Semanal",'Configuración'!$B$6,IF(L1369="Mensual",'Configuración'!$B$7,0))+IF(M1369="Sí",'Configuración'!$B$8,0)+IF(N1369="Sí",'Configuración'!$B$9,0)+IF(O1369="Sí",'Configuración'!$B$10,0)+IF(P1369="Sí",'Configuración'!$B$11,0)+IF(Q1369="Sí",'Configuración'!$B$12,0)+S1369+T1369+U1369)</f>
        <v>20</v>
      </c>
      <c r="W1369" s="39" t="str">
        <f>IF(B1369="","",IF(V1369&gt;='Configuración'!$B$19,"A",IF(V1369&gt;='Configuración'!$B$20,"B",IF(V1369&gt;='Configuración'!$B$21,"C","Descarte"))))</f>
        <v>Descarte</v>
      </c>
    </row>
    <row r="1370" ht="15.75" customHeight="1">
      <c r="A1370" s="34">
        <f t="shared" si="1"/>
        <v>1368</v>
      </c>
      <c r="B1370" s="29" t="s">
        <v>181</v>
      </c>
      <c r="C1370" s="29" t="s">
        <v>224</v>
      </c>
      <c r="D1370" s="29" t="s">
        <v>7779</v>
      </c>
      <c r="E1370" s="29" t="s">
        <v>7780</v>
      </c>
      <c r="F1370" s="30" t="s">
        <v>7781</v>
      </c>
      <c r="G1370" s="30" t="s">
        <v>7782</v>
      </c>
      <c r="H1370" s="30" t="s">
        <v>7783</v>
      </c>
      <c r="I1370" s="29" t="s">
        <v>873</v>
      </c>
      <c r="J1370" s="31">
        <v>1.0</v>
      </c>
      <c r="K1370" s="35"/>
      <c r="L1370" s="35"/>
      <c r="M1370" s="35"/>
      <c r="N1370" s="35"/>
      <c r="O1370" s="35"/>
      <c r="P1370" s="35"/>
      <c r="Q1370" s="35"/>
      <c r="R1370" s="35"/>
      <c r="S1370" s="37">
        <f>IF(B1370="","",IF(ISNUMBER(J1370),IF(J1370&lt;=10,'Configuración'!$B$23,IF(J1370&lt;=50,'Configuración'!$B$24,IF(J1370&lt;=200,'Configuración'!$B$25,0))),0))</f>
        <v>12</v>
      </c>
      <c r="T1370" s="37">
        <f>IF(B1370="","",IF(ISNUMBER(SEARCH("information technology",I1370))+ISNUMBER(SEARCH("software",I1370))+ISNUMBER(SEARCH("internet",I1370))+ISNUMBER(SEARCH("computer",I1370))+ISNUMBER(SEARCH("saas",I1370))+ISNUMBER(SEARCH("fintech",I1370))+ISNUMBER(SEARCH("information services",I1370))+ISNUMBER(SEARCH("telecommunications",I1370))&gt;0,'Configuración'!$B$27,'Configuración'!$B$28))</f>
        <v>4</v>
      </c>
      <c r="U1370" s="25">
        <f>IF(B1370="","",IF(ISNUMBER(SEARCH("CEO",C1370))+ISNUMBER(SEARCH("Founder",C1370))+ISNUMBER(SEARCH("Owner",C1370))+ISNUMBER(SEARCH("Dueño",C1370))+ISNUMBER(SEARCH("Director General",C1370))+ISNUMBER(SEARCH("Presidente",C1370))+ISNUMBER(SEARCH("President",C1370))&gt;0,'Configuración'!$B$31,IF(ISNUMBER(SEARCH("CMO",C1370))+ISNUMBER(SEARCH("Chief Marketing",C1370))+ISNUMBER(SEARCH("VP Marketing",C1370))+ISNUMBER(SEARCH("Director de Marketing",C1370))+ISNUMBER(SEARCH("Director Marketing",C1370))+ISNUMBER(SEARCH("Head of Marketing",C1370))+ISNUMBER(SEARCH("Head Marketing",C1370))&gt;0,'Configuración'!$B$32,IF(ISNUMBER(SEARCH("Marketing Manager",C1370))+ISNUMBER(SEARCH("Gerente de Marketing",C1370))+ISNUMBER(SEARCH("Growth Manager",C1370))+ISNUMBER(SEARCH("Demand Gen",C1370))+ISNUMBER(SEARCH("Marketing Lead",C1370))&gt;0,'Configuración'!$B$33,IF(ISNUMBER(SEARCH("COO",C1370))+ISNUMBER(SEARCH("CFO",C1370))+ISNUMBER(SEARCH("CTO",C1370))+ISNUMBER(SEARCH("Chief Operating",C1370))+ISNUMBER(SEARCH("Chief Financial",C1370))+ISNUMBER(SEARCH("Gerente General",C1370))+ISNUMBER(SEARCH("General Manager",C1370))&gt;0,'Configuración'!$B$34,'Configuración'!$B$35)))))</f>
        <v>12</v>
      </c>
      <c r="V1370" s="38">
        <f>IF(B1370="","",IF(K1370="Sí",'Configuración'!$B$5,0)+IF(L1370="Semanal",'Configuración'!$B$6,IF(L1370="Mensual",'Configuración'!$B$7,0))+IF(M1370="Sí",'Configuración'!$B$8,0)+IF(N1370="Sí",'Configuración'!$B$9,0)+IF(O1370="Sí",'Configuración'!$B$10,0)+IF(P1370="Sí",'Configuración'!$B$11,0)+IF(Q1370="Sí",'Configuración'!$B$12,0)+S1370+T1370+U1370)</f>
        <v>28</v>
      </c>
      <c r="W1370" s="39" t="str">
        <f>IF(B1370="","",IF(V1370&gt;='Configuración'!$B$19,"A",IF(V1370&gt;='Configuración'!$B$20,"B",IF(V1370&gt;='Configuración'!$B$21,"C","Descarte"))))</f>
        <v>C</v>
      </c>
    </row>
    <row r="1371" ht="15.75" customHeight="1">
      <c r="A1371" s="34">
        <f t="shared" si="1"/>
        <v>1369</v>
      </c>
      <c r="B1371" s="29" t="s">
        <v>3492</v>
      </c>
      <c r="C1371" s="29" t="s">
        <v>131</v>
      </c>
      <c r="D1371" s="29" t="s">
        <v>7784</v>
      </c>
      <c r="E1371" s="29" t="s">
        <v>7785</v>
      </c>
      <c r="F1371" s="30" t="s">
        <v>7786</v>
      </c>
      <c r="G1371" s="30" t="s">
        <v>7787</v>
      </c>
      <c r="H1371" s="30" t="s">
        <v>7788</v>
      </c>
      <c r="I1371" s="29" t="s">
        <v>127</v>
      </c>
      <c r="J1371" s="31">
        <v>9.0</v>
      </c>
      <c r="K1371" s="35"/>
      <c r="L1371" s="35"/>
      <c r="M1371" s="35"/>
      <c r="N1371" s="35"/>
      <c r="O1371" s="35"/>
      <c r="P1371" s="35"/>
      <c r="Q1371" s="35"/>
      <c r="R1371" s="35"/>
      <c r="S1371" s="37">
        <f>IF(B1371="","",IF(ISNUMBER(J1371),IF(J1371&lt;=10,'Configuración'!$B$23,IF(J1371&lt;=50,'Configuración'!$B$24,IF(J1371&lt;=200,'Configuración'!$B$25,0))),0))</f>
        <v>12</v>
      </c>
      <c r="T1371" s="37">
        <f>IF(B1371="","",IF(ISNUMBER(SEARCH("information technology",I1371))+ISNUMBER(SEARCH("software",I1371))+ISNUMBER(SEARCH("internet",I1371))+ISNUMBER(SEARCH("computer",I1371))+ISNUMBER(SEARCH("saas",I1371))+ISNUMBER(SEARCH("fintech",I1371))+ISNUMBER(SEARCH("information services",I1371))+ISNUMBER(SEARCH("telecommunications",I1371))&gt;0,'Configuración'!$B$27,'Configuración'!$B$28))</f>
        <v>12</v>
      </c>
      <c r="U1371" s="25">
        <f>IF(B1371="","",IF(ISNUMBER(SEARCH("CEO",C1371))+ISNUMBER(SEARCH("Founder",C1371))+ISNUMBER(SEARCH("Owner",C1371))+ISNUMBER(SEARCH("Dueño",C1371))+ISNUMBER(SEARCH("Director General",C1371))+ISNUMBER(SEARCH("Presidente",C1371))+ISNUMBER(SEARCH("President",C1371))&gt;0,'Configuración'!$B$31,IF(ISNUMBER(SEARCH("CMO",C1371))+ISNUMBER(SEARCH("Chief Marketing",C1371))+ISNUMBER(SEARCH("VP Marketing",C1371))+ISNUMBER(SEARCH("Director de Marketing",C1371))+ISNUMBER(SEARCH("Director Marketing",C1371))+ISNUMBER(SEARCH("Head of Marketing",C1371))+ISNUMBER(SEARCH("Head Marketing",C1371))&gt;0,'Configuración'!$B$32,IF(ISNUMBER(SEARCH("Marketing Manager",C1371))+ISNUMBER(SEARCH("Gerente de Marketing",C1371))+ISNUMBER(SEARCH("Growth Manager",C1371))+ISNUMBER(SEARCH("Demand Gen",C1371))+ISNUMBER(SEARCH("Marketing Lead",C1371))&gt;0,'Configuración'!$B$33,IF(ISNUMBER(SEARCH("COO",C1371))+ISNUMBER(SEARCH("CFO",C1371))+ISNUMBER(SEARCH("CTO",C1371))+ISNUMBER(SEARCH("Chief Operating",C1371))+ISNUMBER(SEARCH("Chief Financial",C1371))+ISNUMBER(SEARCH("Gerente General",C1371))+ISNUMBER(SEARCH("General Manager",C1371))&gt;0,'Configuración'!$B$34,'Configuración'!$B$35)))))</f>
        <v>12</v>
      </c>
      <c r="V1371" s="38">
        <f>IF(B1371="","",IF(K1371="Sí",'Configuración'!$B$5,0)+IF(L1371="Semanal",'Configuración'!$B$6,IF(L1371="Mensual",'Configuración'!$B$7,0))+IF(M1371="Sí",'Configuración'!$B$8,0)+IF(N1371="Sí",'Configuración'!$B$9,0)+IF(O1371="Sí",'Configuración'!$B$10,0)+IF(P1371="Sí",'Configuración'!$B$11,0)+IF(Q1371="Sí",'Configuración'!$B$12,0)+S1371+T1371+U1371)</f>
        <v>36</v>
      </c>
      <c r="W1371" s="39" t="str">
        <f>IF(B1371="","",IF(V1371&gt;='Configuración'!$B$19,"A",IF(V1371&gt;='Configuración'!$B$20,"B",IF(V1371&gt;='Configuración'!$B$21,"C","Descarte"))))</f>
        <v>C</v>
      </c>
    </row>
    <row r="1372" ht="15.75" customHeight="1">
      <c r="A1372" s="34">
        <f t="shared" si="1"/>
        <v>1370</v>
      </c>
      <c r="B1372" s="29" t="s">
        <v>3492</v>
      </c>
      <c r="C1372" s="29" t="s">
        <v>146</v>
      </c>
      <c r="D1372" s="29" t="s">
        <v>7789</v>
      </c>
      <c r="E1372" s="29" t="s">
        <v>7790</v>
      </c>
      <c r="F1372" s="30" t="s">
        <v>7791</v>
      </c>
      <c r="G1372" s="30" t="s">
        <v>7792</v>
      </c>
      <c r="H1372" s="30" t="s">
        <v>7793</v>
      </c>
      <c r="I1372" s="29" t="s">
        <v>563</v>
      </c>
      <c r="J1372" s="31">
        <v>1.0</v>
      </c>
      <c r="K1372" s="35"/>
      <c r="L1372" s="35"/>
      <c r="M1372" s="35"/>
      <c r="N1372" s="35"/>
      <c r="O1372" s="35"/>
      <c r="P1372" s="35"/>
      <c r="Q1372" s="35"/>
      <c r="R1372" s="35"/>
      <c r="S1372" s="37">
        <f>IF(B1372="","",IF(ISNUMBER(J1372),IF(J1372&lt;=10,'Configuración'!$B$23,IF(J1372&lt;=50,'Configuración'!$B$24,IF(J1372&lt;=200,'Configuración'!$B$25,0))),0))</f>
        <v>12</v>
      </c>
      <c r="T1372" s="37">
        <f>IF(B1372="","",IF(ISNUMBER(SEARCH("information technology",I1372))+ISNUMBER(SEARCH("software",I1372))+ISNUMBER(SEARCH("internet",I1372))+ISNUMBER(SEARCH("computer",I1372))+ISNUMBER(SEARCH("saas",I1372))+ISNUMBER(SEARCH("fintech",I1372))+ISNUMBER(SEARCH("information services",I1372))+ISNUMBER(SEARCH("telecommunications",I1372))&gt;0,'Configuración'!$B$27,'Configuración'!$B$28))</f>
        <v>4</v>
      </c>
      <c r="U1372" s="25">
        <f>IF(B1372="","",IF(ISNUMBER(SEARCH("CEO",C1372))+ISNUMBER(SEARCH("Founder",C1372))+ISNUMBER(SEARCH("Owner",C1372))+ISNUMBER(SEARCH("Dueño",C1372))+ISNUMBER(SEARCH("Director General",C1372))+ISNUMBER(SEARCH("Presidente",C1372))+ISNUMBER(SEARCH("President",C1372))&gt;0,'Configuración'!$B$31,IF(ISNUMBER(SEARCH("CMO",C1372))+ISNUMBER(SEARCH("Chief Marketing",C1372))+ISNUMBER(SEARCH("VP Marketing",C1372))+ISNUMBER(SEARCH("Director de Marketing",C1372))+ISNUMBER(SEARCH("Director Marketing",C1372))+ISNUMBER(SEARCH("Head of Marketing",C1372))+ISNUMBER(SEARCH("Head Marketing",C1372))&gt;0,'Configuración'!$B$32,IF(ISNUMBER(SEARCH("Marketing Manager",C1372))+ISNUMBER(SEARCH("Gerente de Marketing",C1372))+ISNUMBER(SEARCH("Growth Manager",C1372))+ISNUMBER(SEARCH("Demand Gen",C1372))+ISNUMBER(SEARCH("Marketing Lead",C1372))&gt;0,'Configuración'!$B$33,IF(ISNUMBER(SEARCH("COO",C1372))+ISNUMBER(SEARCH("CFO",C1372))+ISNUMBER(SEARCH("CTO",C1372))+ISNUMBER(SEARCH("Chief Operating",C1372))+ISNUMBER(SEARCH("Chief Financial",C1372))+ISNUMBER(SEARCH("Gerente General",C1372))+ISNUMBER(SEARCH("General Manager",C1372))&gt;0,'Configuración'!$B$34,'Configuración'!$B$35)))))</f>
        <v>0</v>
      </c>
      <c r="V1372" s="38">
        <f>IF(B1372="","",IF(K1372="Sí",'Configuración'!$B$5,0)+IF(L1372="Semanal",'Configuración'!$B$6,IF(L1372="Mensual",'Configuración'!$B$7,0))+IF(M1372="Sí",'Configuración'!$B$8,0)+IF(N1372="Sí",'Configuración'!$B$9,0)+IF(O1372="Sí",'Configuración'!$B$10,0)+IF(P1372="Sí",'Configuración'!$B$11,0)+IF(Q1372="Sí",'Configuración'!$B$12,0)+S1372+T1372+U1372)</f>
        <v>16</v>
      </c>
      <c r="W1372" s="39" t="str">
        <f>IF(B1372="","",IF(V1372&gt;='Configuración'!$B$19,"A",IF(V1372&gt;='Configuración'!$B$20,"B",IF(V1372&gt;='Configuración'!$B$21,"C","Descarte"))))</f>
        <v>Descarte</v>
      </c>
    </row>
    <row r="1373" ht="15.75" customHeight="1">
      <c r="A1373" s="34">
        <f t="shared" si="1"/>
        <v>1371</v>
      </c>
      <c r="B1373" s="29" t="s">
        <v>236</v>
      </c>
      <c r="C1373" s="29" t="s">
        <v>202</v>
      </c>
      <c r="D1373" s="29" t="s">
        <v>5928</v>
      </c>
      <c r="E1373" s="29" t="s">
        <v>7794</v>
      </c>
      <c r="F1373" s="30" t="s">
        <v>7795</v>
      </c>
      <c r="G1373" s="30" t="s">
        <v>5931</v>
      </c>
      <c r="H1373" s="30" t="s">
        <v>5932</v>
      </c>
      <c r="I1373" s="29" t="s">
        <v>127</v>
      </c>
      <c r="J1373" s="31">
        <v>23.0</v>
      </c>
      <c r="K1373" s="35"/>
      <c r="L1373" s="35"/>
      <c r="M1373" s="35"/>
      <c r="N1373" s="35"/>
      <c r="O1373" s="35"/>
      <c r="P1373" s="35"/>
      <c r="Q1373" s="35"/>
      <c r="R1373" s="35"/>
      <c r="S1373" s="37">
        <f>IF(B1373="","",IF(ISNUMBER(J1373),IF(J1373&lt;=10,'Configuración'!$B$23,IF(J1373&lt;=50,'Configuración'!$B$24,IF(J1373&lt;=200,'Configuración'!$B$25,0))),0))</f>
        <v>4</v>
      </c>
      <c r="T1373" s="37">
        <f>IF(B1373="","",IF(ISNUMBER(SEARCH("information technology",I1373))+ISNUMBER(SEARCH("software",I1373))+ISNUMBER(SEARCH("internet",I1373))+ISNUMBER(SEARCH("computer",I1373))+ISNUMBER(SEARCH("saas",I1373))+ISNUMBER(SEARCH("fintech",I1373))+ISNUMBER(SEARCH("information services",I1373))+ISNUMBER(SEARCH("telecommunications",I1373))&gt;0,'Configuración'!$B$27,'Configuración'!$B$28))</f>
        <v>12</v>
      </c>
      <c r="U1373" s="25">
        <f>IF(B1373="","",IF(ISNUMBER(SEARCH("CEO",C1373))+ISNUMBER(SEARCH("Founder",C1373))+ISNUMBER(SEARCH("Owner",C1373))+ISNUMBER(SEARCH("Dueño",C1373))+ISNUMBER(SEARCH("Director General",C1373))+ISNUMBER(SEARCH("Presidente",C1373))+ISNUMBER(SEARCH("President",C1373))&gt;0,'Configuración'!$B$31,IF(ISNUMBER(SEARCH("CMO",C1373))+ISNUMBER(SEARCH("Chief Marketing",C1373))+ISNUMBER(SEARCH("VP Marketing",C1373))+ISNUMBER(SEARCH("Director de Marketing",C1373))+ISNUMBER(SEARCH("Director Marketing",C1373))+ISNUMBER(SEARCH("Head of Marketing",C1373))+ISNUMBER(SEARCH("Head Marketing",C1373))&gt;0,'Configuración'!$B$32,IF(ISNUMBER(SEARCH("Marketing Manager",C1373))+ISNUMBER(SEARCH("Gerente de Marketing",C1373))+ISNUMBER(SEARCH("Growth Manager",C1373))+ISNUMBER(SEARCH("Demand Gen",C1373))+ISNUMBER(SEARCH("Marketing Lead",C1373))&gt;0,'Configuración'!$B$33,IF(ISNUMBER(SEARCH("COO",C1373))+ISNUMBER(SEARCH("CFO",C1373))+ISNUMBER(SEARCH("CTO",C1373))+ISNUMBER(SEARCH("Chief Operating",C1373))+ISNUMBER(SEARCH("Chief Financial",C1373))+ISNUMBER(SEARCH("Gerente General",C1373))+ISNUMBER(SEARCH("General Manager",C1373))&gt;0,'Configuración'!$B$34,'Configuración'!$B$35)))))</f>
        <v>12</v>
      </c>
      <c r="V1373" s="38">
        <f>IF(B1373="","",IF(K1373="Sí",'Configuración'!$B$5,0)+IF(L1373="Semanal",'Configuración'!$B$6,IF(L1373="Mensual",'Configuración'!$B$7,0))+IF(M1373="Sí",'Configuración'!$B$8,0)+IF(N1373="Sí",'Configuración'!$B$9,0)+IF(O1373="Sí",'Configuración'!$B$10,0)+IF(P1373="Sí",'Configuración'!$B$11,0)+IF(Q1373="Sí",'Configuración'!$B$12,0)+S1373+T1373+U1373)</f>
        <v>28</v>
      </c>
      <c r="W1373" s="39" t="str">
        <f>IF(B1373="","",IF(V1373&gt;='Configuración'!$B$19,"A",IF(V1373&gt;='Configuración'!$B$20,"B",IF(V1373&gt;='Configuración'!$B$21,"C","Descarte"))))</f>
        <v>C</v>
      </c>
    </row>
    <row r="1374" ht="15.75" customHeight="1">
      <c r="A1374" s="34">
        <f t="shared" si="1"/>
        <v>1372</v>
      </c>
      <c r="B1374" s="29" t="s">
        <v>473</v>
      </c>
      <c r="C1374" s="29" t="s">
        <v>175</v>
      </c>
      <c r="D1374" s="29" t="s">
        <v>7796</v>
      </c>
      <c r="E1374" s="29" t="s">
        <v>7797</v>
      </c>
      <c r="F1374" s="30" t="s">
        <v>7798</v>
      </c>
      <c r="G1374" s="30" t="s">
        <v>7799</v>
      </c>
      <c r="H1374" s="30" t="s">
        <v>7800</v>
      </c>
      <c r="I1374" s="29" t="s">
        <v>127</v>
      </c>
      <c r="J1374" s="31">
        <v>1.0</v>
      </c>
      <c r="K1374" s="35"/>
      <c r="L1374" s="35"/>
      <c r="M1374" s="35"/>
      <c r="N1374" s="35"/>
      <c r="O1374" s="35"/>
      <c r="P1374" s="35"/>
      <c r="Q1374" s="35"/>
      <c r="R1374" s="35"/>
      <c r="S1374" s="37">
        <f>IF(B1374="","",IF(ISNUMBER(J1374),IF(J1374&lt;=10,'Configuración'!$B$23,IF(J1374&lt;=50,'Configuración'!$B$24,IF(J1374&lt;=200,'Configuración'!$B$25,0))),0))</f>
        <v>12</v>
      </c>
      <c r="T1374" s="37">
        <f>IF(B1374="","",IF(ISNUMBER(SEARCH("information technology",I1374))+ISNUMBER(SEARCH("software",I1374))+ISNUMBER(SEARCH("internet",I1374))+ISNUMBER(SEARCH("computer",I1374))+ISNUMBER(SEARCH("saas",I1374))+ISNUMBER(SEARCH("fintech",I1374))+ISNUMBER(SEARCH("information services",I1374))+ISNUMBER(SEARCH("telecommunications",I1374))&gt;0,'Configuración'!$B$27,'Configuración'!$B$28))</f>
        <v>12</v>
      </c>
      <c r="U1374" s="25">
        <f>IF(B1374="","",IF(ISNUMBER(SEARCH("CEO",C1374))+ISNUMBER(SEARCH("Founder",C1374))+ISNUMBER(SEARCH("Owner",C1374))+ISNUMBER(SEARCH("Dueño",C1374))+ISNUMBER(SEARCH("Director General",C1374))+ISNUMBER(SEARCH("Presidente",C1374))+ISNUMBER(SEARCH("President",C1374))&gt;0,'Configuración'!$B$31,IF(ISNUMBER(SEARCH("CMO",C1374))+ISNUMBER(SEARCH("Chief Marketing",C1374))+ISNUMBER(SEARCH("VP Marketing",C1374))+ISNUMBER(SEARCH("Director de Marketing",C1374))+ISNUMBER(SEARCH("Director Marketing",C1374))+ISNUMBER(SEARCH("Head of Marketing",C1374))+ISNUMBER(SEARCH("Head Marketing",C1374))&gt;0,'Configuración'!$B$32,IF(ISNUMBER(SEARCH("Marketing Manager",C1374))+ISNUMBER(SEARCH("Gerente de Marketing",C1374))+ISNUMBER(SEARCH("Growth Manager",C1374))+ISNUMBER(SEARCH("Demand Gen",C1374))+ISNUMBER(SEARCH("Marketing Lead",C1374))&gt;0,'Configuración'!$B$33,IF(ISNUMBER(SEARCH("COO",C1374))+ISNUMBER(SEARCH("CFO",C1374))+ISNUMBER(SEARCH("CTO",C1374))+ISNUMBER(SEARCH("Chief Operating",C1374))+ISNUMBER(SEARCH("Chief Financial",C1374))+ISNUMBER(SEARCH("Gerente General",C1374))+ISNUMBER(SEARCH("General Manager",C1374))&gt;0,'Configuración'!$B$34,'Configuración'!$B$35)))))</f>
        <v>12</v>
      </c>
      <c r="V1374" s="38">
        <f>IF(B1374="","",IF(K1374="Sí",'Configuración'!$B$5,0)+IF(L1374="Semanal",'Configuración'!$B$6,IF(L1374="Mensual",'Configuración'!$B$7,0))+IF(M1374="Sí",'Configuración'!$B$8,0)+IF(N1374="Sí",'Configuración'!$B$9,0)+IF(O1374="Sí",'Configuración'!$B$10,0)+IF(P1374="Sí",'Configuración'!$B$11,0)+IF(Q1374="Sí",'Configuración'!$B$12,0)+S1374+T1374+U1374)</f>
        <v>36</v>
      </c>
      <c r="W1374" s="39" t="str">
        <f>IF(B1374="","",IF(V1374&gt;='Configuración'!$B$19,"A",IF(V1374&gt;='Configuración'!$B$20,"B",IF(V1374&gt;='Configuración'!$B$21,"C","Descarte"))))</f>
        <v>C</v>
      </c>
    </row>
    <row r="1375" ht="15.75" customHeight="1">
      <c r="A1375" s="34">
        <f t="shared" si="1"/>
        <v>1373</v>
      </c>
      <c r="B1375" s="29" t="s">
        <v>874</v>
      </c>
      <c r="C1375" s="29" t="s">
        <v>934</v>
      </c>
      <c r="D1375" s="29" t="s">
        <v>7801</v>
      </c>
      <c r="E1375" s="29"/>
      <c r="F1375" s="30" t="s">
        <v>7802</v>
      </c>
      <c r="G1375" s="30" t="s">
        <v>7803</v>
      </c>
      <c r="H1375" s="42" t="s">
        <v>7804</v>
      </c>
      <c r="I1375" s="29" t="s">
        <v>188</v>
      </c>
      <c r="J1375" s="31">
        <v>1.0</v>
      </c>
      <c r="K1375" s="35"/>
      <c r="L1375" s="35"/>
      <c r="M1375" s="35"/>
      <c r="N1375" s="35"/>
      <c r="O1375" s="35"/>
      <c r="P1375" s="35"/>
      <c r="Q1375" s="35"/>
      <c r="R1375" s="35"/>
      <c r="S1375" s="37">
        <f>IF(B1375="","",IF(ISNUMBER(J1375),IF(J1375&lt;=10,'Configuración'!$B$23,IF(J1375&lt;=50,'Configuración'!$B$24,IF(J1375&lt;=200,'Configuración'!$B$25,0))),0))</f>
        <v>12</v>
      </c>
      <c r="T1375" s="37">
        <f>IF(B1375="","",IF(ISNUMBER(SEARCH("information technology",I1375))+ISNUMBER(SEARCH("software",I1375))+ISNUMBER(SEARCH("internet",I1375))+ISNUMBER(SEARCH("computer",I1375))+ISNUMBER(SEARCH("saas",I1375))+ISNUMBER(SEARCH("fintech",I1375))+ISNUMBER(SEARCH("information services",I1375))+ISNUMBER(SEARCH("telecommunications",I1375))&gt;0,'Configuración'!$B$27,'Configuración'!$B$28))</f>
        <v>4</v>
      </c>
      <c r="U1375" s="25">
        <f>IF(B1375="","",IF(ISNUMBER(SEARCH("CEO",C1375))+ISNUMBER(SEARCH("Founder",C1375))+ISNUMBER(SEARCH("Owner",C1375))+ISNUMBER(SEARCH("Dueño",C1375))+ISNUMBER(SEARCH("Director General",C1375))+ISNUMBER(SEARCH("Presidente",C1375))+ISNUMBER(SEARCH("President",C1375))&gt;0,'Configuración'!$B$31,IF(ISNUMBER(SEARCH("CMO",C1375))+ISNUMBER(SEARCH("Chief Marketing",C1375))+ISNUMBER(SEARCH("VP Marketing",C1375))+ISNUMBER(SEARCH("Director de Marketing",C1375))+ISNUMBER(SEARCH("Director Marketing",C1375))+ISNUMBER(SEARCH("Head of Marketing",C1375))+ISNUMBER(SEARCH("Head Marketing",C1375))&gt;0,'Configuración'!$B$32,IF(ISNUMBER(SEARCH("Marketing Manager",C1375))+ISNUMBER(SEARCH("Gerente de Marketing",C1375))+ISNUMBER(SEARCH("Growth Manager",C1375))+ISNUMBER(SEARCH("Demand Gen",C1375))+ISNUMBER(SEARCH("Marketing Lead",C1375))&gt;0,'Configuración'!$B$33,IF(ISNUMBER(SEARCH("COO",C1375))+ISNUMBER(SEARCH("CFO",C1375))+ISNUMBER(SEARCH("CTO",C1375))+ISNUMBER(SEARCH("Chief Operating",C1375))+ISNUMBER(SEARCH("Chief Financial",C1375))+ISNUMBER(SEARCH("Gerente General",C1375))+ISNUMBER(SEARCH("General Manager",C1375))&gt;0,'Configuración'!$B$34,'Configuración'!$B$35)))))</f>
        <v>12</v>
      </c>
      <c r="V1375" s="38">
        <f>IF(B1375="","",IF(K1375="Sí",'Configuración'!$B$5,0)+IF(L1375="Semanal",'Configuración'!$B$6,IF(L1375="Mensual",'Configuración'!$B$7,0))+IF(M1375="Sí",'Configuración'!$B$8,0)+IF(N1375="Sí",'Configuración'!$B$9,0)+IF(O1375="Sí",'Configuración'!$B$10,0)+IF(P1375="Sí",'Configuración'!$B$11,0)+IF(Q1375="Sí",'Configuración'!$B$12,0)+S1375+T1375+U1375)</f>
        <v>28</v>
      </c>
      <c r="W1375" s="39" t="str">
        <f>IF(B1375="","",IF(V1375&gt;='Configuración'!$B$19,"A",IF(V1375&gt;='Configuración'!$B$20,"B",IF(V1375&gt;='Configuración'!$B$21,"C","Descarte"))))</f>
        <v>C</v>
      </c>
    </row>
    <row r="1376" ht="15.75" customHeight="1">
      <c r="A1376" s="34">
        <f t="shared" si="1"/>
        <v>1374</v>
      </c>
      <c r="B1376" s="29" t="s">
        <v>6890</v>
      </c>
      <c r="C1376" s="29" t="s">
        <v>131</v>
      </c>
      <c r="D1376" s="29" t="s">
        <v>7805</v>
      </c>
      <c r="E1376" s="29" t="s">
        <v>7806</v>
      </c>
      <c r="F1376" s="30" t="s">
        <v>7807</v>
      </c>
      <c r="G1376" s="30" t="s">
        <v>7808</v>
      </c>
      <c r="H1376" s="42" t="s">
        <v>7809</v>
      </c>
      <c r="I1376" s="29" t="s">
        <v>127</v>
      </c>
      <c r="J1376" s="31">
        <v>29.0</v>
      </c>
      <c r="K1376" s="35"/>
      <c r="L1376" s="35"/>
      <c r="M1376" s="35"/>
      <c r="N1376" s="35"/>
      <c r="O1376" s="35"/>
      <c r="P1376" s="35"/>
      <c r="Q1376" s="35"/>
      <c r="R1376" s="35"/>
      <c r="S1376" s="37">
        <f>IF(B1376="","",IF(ISNUMBER(J1376),IF(J1376&lt;=10,'Configuración'!$B$23,IF(J1376&lt;=50,'Configuración'!$B$24,IF(J1376&lt;=200,'Configuración'!$B$25,0))),0))</f>
        <v>4</v>
      </c>
      <c r="T1376" s="37">
        <f>IF(B1376="","",IF(ISNUMBER(SEARCH("information technology",I1376))+ISNUMBER(SEARCH("software",I1376))+ISNUMBER(SEARCH("internet",I1376))+ISNUMBER(SEARCH("computer",I1376))+ISNUMBER(SEARCH("saas",I1376))+ISNUMBER(SEARCH("fintech",I1376))+ISNUMBER(SEARCH("information services",I1376))+ISNUMBER(SEARCH("telecommunications",I1376))&gt;0,'Configuración'!$B$27,'Configuración'!$B$28))</f>
        <v>12</v>
      </c>
      <c r="U1376" s="25">
        <f>IF(B1376="","",IF(ISNUMBER(SEARCH("CEO",C1376))+ISNUMBER(SEARCH("Founder",C1376))+ISNUMBER(SEARCH("Owner",C1376))+ISNUMBER(SEARCH("Dueño",C1376))+ISNUMBER(SEARCH("Director General",C1376))+ISNUMBER(SEARCH("Presidente",C1376))+ISNUMBER(SEARCH("President",C1376))&gt;0,'Configuración'!$B$31,IF(ISNUMBER(SEARCH("CMO",C1376))+ISNUMBER(SEARCH("Chief Marketing",C1376))+ISNUMBER(SEARCH("VP Marketing",C1376))+ISNUMBER(SEARCH("Director de Marketing",C1376))+ISNUMBER(SEARCH("Director Marketing",C1376))+ISNUMBER(SEARCH("Head of Marketing",C1376))+ISNUMBER(SEARCH("Head Marketing",C1376))&gt;0,'Configuración'!$B$32,IF(ISNUMBER(SEARCH("Marketing Manager",C1376))+ISNUMBER(SEARCH("Gerente de Marketing",C1376))+ISNUMBER(SEARCH("Growth Manager",C1376))+ISNUMBER(SEARCH("Demand Gen",C1376))+ISNUMBER(SEARCH("Marketing Lead",C1376))&gt;0,'Configuración'!$B$33,IF(ISNUMBER(SEARCH("COO",C1376))+ISNUMBER(SEARCH("CFO",C1376))+ISNUMBER(SEARCH("CTO",C1376))+ISNUMBER(SEARCH("Chief Operating",C1376))+ISNUMBER(SEARCH("Chief Financial",C1376))+ISNUMBER(SEARCH("Gerente General",C1376))+ISNUMBER(SEARCH("General Manager",C1376))&gt;0,'Configuración'!$B$34,'Configuración'!$B$35)))))</f>
        <v>12</v>
      </c>
      <c r="V1376" s="38">
        <f>IF(B1376="","",IF(K1376="Sí",'Configuración'!$B$5,0)+IF(L1376="Semanal",'Configuración'!$B$6,IF(L1376="Mensual",'Configuración'!$B$7,0))+IF(M1376="Sí",'Configuración'!$B$8,0)+IF(N1376="Sí",'Configuración'!$B$9,0)+IF(O1376="Sí",'Configuración'!$B$10,0)+IF(P1376="Sí",'Configuración'!$B$11,0)+IF(Q1376="Sí",'Configuración'!$B$12,0)+S1376+T1376+U1376)</f>
        <v>28</v>
      </c>
      <c r="W1376" s="39" t="str">
        <f>IF(B1376="","",IF(V1376&gt;='Configuración'!$B$19,"A",IF(V1376&gt;='Configuración'!$B$20,"B",IF(V1376&gt;='Configuración'!$B$21,"C","Descarte"))))</f>
        <v>C</v>
      </c>
    </row>
    <row r="1377" ht="15.75" customHeight="1">
      <c r="A1377" s="34">
        <f t="shared" si="1"/>
        <v>1375</v>
      </c>
      <c r="B1377" s="29" t="s">
        <v>7810</v>
      </c>
      <c r="C1377" s="29" t="s">
        <v>304</v>
      </c>
      <c r="D1377" s="29" t="s">
        <v>7811</v>
      </c>
      <c r="E1377" s="29" t="s">
        <v>7812</v>
      </c>
      <c r="F1377" s="30" t="s">
        <v>7813</v>
      </c>
      <c r="G1377" s="30" t="s">
        <v>7814</v>
      </c>
      <c r="H1377" s="42" t="s">
        <v>7815</v>
      </c>
      <c r="I1377" s="29" t="s">
        <v>127</v>
      </c>
      <c r="J1377" s="31">
        <v>21.0</v>
      </c>
      <c r="K1377" s="35"/>
      <c r="L1377" s="35"/>
      <c r="M1377" s="35"/>
      <c r="N1377" s="35"/>
      <c r="O1377" s="35"/>
      <c r="P1377" s="35"/>
      <c r="Q1377" s="35"/>
      <c r="R1377" s="35"/>
      <c r="S1377" s="37">
        <f>IF(B1377="","",IF(ISNUMBER(J1377),IF(J1377&lt;=10,'Configuración'!$B$23,IF(J1377&lt;=50,'Configuración'!$B$24,IF(J1377&lt;=200,'Configuración'!$B$25,0))),0))</f>
        <v>4</v>
      </c>
      <c r="T1377" s="37">
        <f>IF(B1377="","",IF(ISNUMBER(SEARCH("information technology",I1377))+ISNUMBER(SEARCH("software",I1377))+ISNUMBER(SEARCH("internet",I1377))+ISNUMBER(SEARCH("computer",I1377))+ISNUMBER(SEARCH("saas",I1377))+ISNUMBER(SEARCH("fintech",I1377))+ISNUMBER(SEARCH("information services",I1377))+ISNUMBER(SEARCH("telecommunications",I1377))&gt;0,'Configuración'!$B$27,'Configuración'!$B$28))</f>
        <v>12</v>
      </c>
      <c r="U1377" s="25">
        <f>IF(B1377="","",IF(ISNUMBER(SEARCH("CEO",C1377))+ISNUMBER(SEARCH("Founder",C1377))+ISNUMBER(SEARCH("Owner",C1377))+ISNUMBER(SEARCH("Dueño",C1377))+ISNUMBER(SEARCH("Director General",C1377))+ISNUMBER(SEARCH("Presidente",C1377))+ISNUMBER(SEARCH("President",C1377))&gt;0,'Configuración'!$B$31,IF(ISNUMBER(SEARCH("CMO",C1377))+ISNUMBER(SEARCH("Chief Marketing",C1377))+ISNUMBER(SEARCH("VP Marketing",C1377))+ISNUMBER(SEARCH("Director de Marketing",C1377))+ISNUMBER(SEARCH("Director Marketing",C1377))+ISNUMBER(SEARCH("Head of Marketing",C1377))+ISNUMBER(SEARCH("Head Marketing",C1377))&gt;0,'Configuración'!$B$32,IF(ISNUMBER(SEARCH("Marketing Manager",C1377))+ISNUMBER(SEARCH("Gerente de Marketing",C1377))+ISNUMBER(SEARCH("Growth Manager",C1377))+ISNUMBER(SEARCH("Demand Gen",C1377))+ISNUMBER(SEARCH("Marketing Lead",C1377))&gt;0,'Configuración'!$B$33,IF(ISNUMBER(SEARCH("COO",C1377))+ISNUMBER(SEARCH("CFO",C1377))+ISNUMBER(SEARCH("CTO",C1377))+ISNUMBER(SEARCH("Chief Operating",C1377))+ISNUMBER(SEARCH("Chief Financial",C1377))+ISNUMBER(SEARCH("Gerente General",C1377))+ISNUMBER(SEARCH("General Manager",C1377))&gt;0,'Configuración'!$B$34,'Configuración'!$B$35)))))</f>
        <v>4</v>
      </c>
      <c r="V1377" s="38">
        <f>IF(B1377="","",IF(K1377="Sí",'Configuración'!$B$5,0)+IF(L1377="Semanal",'Configuración'!$B$6,IF(L1377="Mensual",'Configuración'!$B$7,0))+IF(M1377="Sí",'Configuración'!$B$8,0)+IF(N1377="Sí",'Configuración'!$B$9,0)+IF(O1377="Sí",'Configuración'!$B$10,0)+IF(P1377="Sí",'Configuración'!$B$11,0)+IF(Q1377="Sí",'Configuración'!$B$12,0)+S1377+T1377+U1377)</f>
        <v>20</v>
      </c>
      <c r="W1377" s="39" t="str">
        <f>IF(B1377="","",IF(V1377&gt;='Configuración'!$B$19,"A",IF(V1377&gt;='Configuración'!$B$20,"B",IF(V1377&gt;='Configuración'!$B$21,"C","Descarte"))))</f>
        <v>Descarte</v>
      </c>
    </row>
    <row r="1378" ht="15.75" customHeight="1">
      <c r="A1378" s="34">
        <f t="shared" si="1"/>
        <v>1376</v>
      </c>
      <c r="B1378" s="29" t="s">
        <v>324</v>
      </c>
      <c r="C1378" s="29" t="s">
        <v>121</v>
      </c>
      <c r="D1378" s="29" t="s">
        <v>7816</v>
      </c>
      <c r="E1378" s="29" t="s">
        <v>7817</v>
      </c>
      <c r="F1378" s="30" t="s">
        <v>7818</v>
      </c>
      <c r="G1378" s="30" t="s">
        <v>7819</v>
      </c>
      <c r="H1378" s="42" t="s">
        <v>7820</v>
      </c>
      <c r="I1378" s="29" t="s">
        <v>508</v>
      </c>
      <c r="J1378" s="31">
        <v>11.0</v>
      </c>
      <c r="K1378" s="35"/>
      <c r="L1378" s="35"/>
      <c r="M1378" s="35"/>
      <c r="N1378" s="35"/>
      <c r="O1378" s="35"/>
      <c r="P1378" s="35"/>
      <c r="Q1378" s="35"/>
      <c r="R1378" s="35"/>
      <c r="S1378" s="37">
        <f>IF(B1378="","",IF(ISNUMBER(J1378),IF(J1378&lt;=10,'Configuración'!$B$23,IF(J1378&lt;=50,'Configuración'!$B$24,IF(J1378&lt;=200,'Configuración'!$B$25,0))),0))</f>
        <v>4</v>
      </c>
      <c r="T1378" s="37">
        <f>IF(B1378="","",IF(ISNUMBER(SEARCH("information technology",I1378))+ISNUMBER(SEARCH("software",I1378))+ISNUMBER(SEARCH("internet",I1378))+ISNUMBER(SEARCH("computer",I1378))+ISNUMBER(SEARCH("saas",I1378))+ISNUMBER(SEARCH("fintech",I1378))+ISNUMBER(SEARCH("information services",I1378))+ISNUMBER(SEARCH("telecommunications",I1378))&gt;0,'Configuración'!$B$27,'Configuración'!$B$28))</f>
        <v>4</v>
      </c>
      <c r="U1378" s="25">
        <f>IF(B1378="","",IF(ISNUMBER(SEARCH("CEO",C1378))+ISNUMBER(SEARCH("Founder",C1378))+ISNUMBER(SEARCH("Owner",C1378))+ISNUMBER(SEARCH("Dueño",C1378))+ISNUMBER(SEARCH("Director General",C1378))+ISNUMBER(SEARCH("Presidente",C1378))+ISNUMBER(SEARCH("President",C1378))&gt;0,'Configuración'!$B$31,IF(ISNUMBER(SEARCH("CMO",C1378))+ISNUMBER(SEARCH("Chief Marketing",C1378))+ISNUMBER(SEARCH("VP Marketing",C1378))+ISNUMBER(SEARCH("Director de Marketing",C1378))+ISNUMBER(SEARCH("Director Marketing",C1378))+ISNUMBER(SEARCH("Head of Marketing",C1378))+ISNUMBER(SEARCH("Head Marketing",C1378))&gt;0,'Configuración'!$B$32,IF(ISNUMBER(SEARCH("Marketing Manager",C1378))+ISNUMBER(SEARCH("Gerente de Marketing",C1378))+ISNUMBER(SEARCH("Growth Manager",C1378))+ISNUMBER(SEARCH("Demand Gen",C1378))+ISNUMBER(SEARCH("Marketing Lead",C1378))&gt;0,'Configuración'!$B$33,IF(ISNUMBER(SEARCH("COO",C1378))+ISNUMBER(SEARCH("CFO",C1378))+ISNUMBER(SEARCH("CTO",C1378))+ISNUMBER(SEARCH("Chief Operating",C1378))+ISNUMBER(SEARCH("Chief Financial",C1378))+ISNUMBER(SEARCH("Gerente General",C1378))+ISNUMBER(SEARCH("General Manager",C1378))&gt;0,'Configuración'!$B$34,'Configuración'!$B$35)))))</f>
        <v>12</v>
      </c>
      <c r="V1378" s="38">
        <f>IF(B1378="","",IF(K1378="Sí",'Configuración'!$B$5,0)+IF(L1378="Semanal",'Configuración'!$B$6,IF(L1378="Mensual",'Configuración'!$B$7,0))+IF(M1378="Sí",'Configuración'!$B$8,0)+IF(N1378="Sí",'Configuración'!$B$9,0)+IF(O1378="Sí",'Configuración'!$B$10,0)+IF(P1378="Sí",'Configuración'!$B$11,0)+IF(Q1378="Sí",'Configuración'!$B$12,0)+S1378+T1378+U1378)</f>
        <v>20</v>
      </c>
      <c r="W1378" s="39" t="str">
        <f>IF(B1378="","",IF(V1378&gt;='Configuración'!$B$19,"A",IF(V1378&gt;='Configuración'!$B$20,"B",IF(V1378&gt;='Configuración'!$B$21,"C","Descarte"))))</f>
        <v>Descarte</v>
      </c>
    </row>
    <row r="1379" ht="15.75" customHeight="1">
      <c r="A1379" s="34">
        <f t="shared" si="1"/>
        <v>1377</v>
      </c>
      <c r="B1379" s="29" t="s">
        <v>2429</v>
      </c>
      <c r="C1379" s="29" t="s">
        <v>7821</v>
      </c>
      <c r="D1379" s="29" t="s">
        <v>7822</v>
      </c>
      <c r="E1379" s="29" t="s">
        <v>7823</v>
      </c>
      <c r="F1379" s="30" t="s">
        <v>7824</v>
      </c>
      <c r="G1379" s="30" t="s">
        <v>7825</v>
      </c>
      <c r="H1379" s="42" t="s">
        <v>7826</v>
      </c>
      <c r="I1379" s="29" t="s">
        <v>508</v>
      </c>
      <c r="J1379" s="31">
        <v>2.0</v>
      </c>
      <c r="K1379" s="35"/>
      <c r="L1379" s="35"/>
      <c r="M1379" s="35"/>
      <c r="N1379" s="35"/>
      <c r="O1379" s="35"/>
      <c r="P1379" s="35"/>
      <c r="Q1379" s="35"/>
      <c r="R1379" s="35"/>
      <c r="S1379" s="37">
        <f>IF(B1379="","",IF(ISNUMBER(J1379),IF(J1379&lt;=10,'Configuración'!$B$23,IF(J1379&lt;=50,'Configuración'!$B$24,IF(J1379&lt;=200,'Configuración'!$B$25,0))),0))</f>
        <v>12</v>
      </c>
      <c r="T1379" s="37">
        <f>IF(B1379="","",IF(ISNUMBER(SEARCH("information technology",I1379))+ISNUMBER(SEARCH("software",I1379))+ISNUMBER(SEARCH("internet",I1379))+ISNUMBER(SEARCH("computer",I1379))+ISNUMBER(SEARCH("saas",I1379))+ISNUMBER(SEARCH("fintech",I1379))+ISNUMBER(SEARCH("information services",I1379))+ISNUMBER(SEARCH("telecommunications",I1379))&gt;0,'Configuración'!$B$27,'Configuración'!$B$28))</f>
        <v>4</v>
      </c>
      <c r="U1379" s="25">
        <f>IF(B1379="","",IF(ISNUMBER(SEARCH("CEO",C1379))+ISNUMBER(SEARCH("Founder",C1379))+ISNUMBER(SEARCH("Owner",C1379))+ISNUMBER(SEARCH("Dueño",C1379))+ISNUMBER(SEARCH("Director General",C1379))+ISNUMBER(SEARCH("Presidente",C1379))+ISNUMBER(SEARCH("President",C1379))&gt;0,'Configuración'!$B$31,IF(ISNUMBER(SEARCH("CMO",C1379))+ISNUMBER(SEARCH("Chief Marketing",C1379))+ISNUMBER(SEARCH("VP Marketing",C1379))+ISNUMBER(SEARCH("Director de Marketing",C1379))+ISNUMBER(SEARCH("Director Marketing",C1379))+ISNUMBER(SEARCH("Head of Marketing",C1379))+ISNUMBER(SEARCH("Head Marketing",C1379))&gt;0,'Configuración'!$B$32,IF(ISNUMBER(SEARCH("Marketing Manager",C1379))+ISNUMBER(SEARCH("Gerente de Marketing",C1379))+ISNUMBER(SEARCH("Growth Manager",C1379))+ISNUMBER(SEARCH("Demand Gen",C1379))+ISNUMBER(SEARCH("Marketing Lead",C1379))&gt;0,'Configuración'!$B$33,IF(ISNUMBER(SEARCH("COO",C1379))+ISNUMBER(SEARCH("CFO",C1379))+ISNUMBER(SEARCH("CTO",C1379))+ISNUMBER(SEARCH("Chief Operating",C1379))+ISNUMBER(SEARCH("Chief Financial",C1379))+ISNUMBER(SEARCH("Gerente General",C1379))+ISNUMBER(SEARCH("General Manager",C1379))&gt;0,'Configuración'!$B$34,'Configuración'!$B$35)))))</f>
        <v>12</v>
      </c>
      <c r="V1379" s="38">
        <f>IF(B1379="","",IF(K1379="Sí",'Configuración'!$B$5,0)+IF(L1379="Semanal",'Configuración'!$B$6,IF(L1379="Mensual",'Configuración'!$B$7,0))+IF(M1379="Sí",'Configuración'!$B$8,0)+IF(N1379="Sí",'Configuración'!$B$9,0)+IF(O1379="Sí",'Configuración'!$B$10,0)+IF(P1379="Sí",'Configuración'!$B$11,0)+IF(Q1379="Sí",'Configuración'!$B$12,0)+S1379+T1379+U1379)</f>
        <v>28</v>
      </c>
      <c r="W1379" s="39" t="str">
        <f>IF(B1379="","",IF(V1379&gt;='Configuración'!$B$19,"A",IF(V1379&gt;='Configuración'!$B$20,"B",IF(V1379&gt;='Configuración'!$B$21,"C","Descarte"))))</f>
        <v>C</v>
      </c>
    </row>
    <row r="1380" ht="15.75" customHeight="1">
      <c r="A1380" s="34">
        <f t="shared" si="1"/>
        <v>1378</v>
      </c>
      <c r="B1380" s="29" t="s">
        <v>1171</v>
      </c>
      <c r="C1380" s="29" t="s">
        <v>597</v>
      </c>
      <c r="D1380" s="29" t="s">
        <v>7827</v>
      </c>
      <c r="E1380" s="29" t="s">
        <v>7828</v>
      </c>
      <c r="F1380" s="30" t="s">
        <v>7829</v>
      </c>
      <c r="G1380" s="30" t="s">
        <v>7830</v>
      </c>
      <c r="H1380" s="42" t="s">
        <v>7831</v>
      </c>
      <c r="I1380" s="29" t="s">
        <v>127</v>
      </c>
      <c r="J1380" s="31">
        <v>44.0</v>
      </c>
      <c r="K1380" s="35"/>
      <c r="L1380" s="35"/>
      <c r="M1380" s="35"/>
      <c r="N1380" s="35"/>
      <c r="O1380" s="35"/>
      <c r="P1380" s="35"/>
      <c r="Q1380" s="35"/>
      <c r="R1380" s="35"/>
      <c r="S1380" s="37">
        <f>IF(B1380="","",IF(ISNUMBER(J1380),IF(J1380&lt;=10,'Configuración'!$B$23,IF(J1380&lt;=50,'Configuración'!$B$24,IF(J1380&lt;=200,'Configuración'!$B$25,0))),0))</f>
        <v>4</v>
      </c>
      <c r="T1380" s="37">
        <f>IF(B1380="","",IF(ISNUMBER(SEARCH("information technology",I1380))+ISNUMBER(SEARCH("software",I1380))+ISNUMBER(SEARCH("internet",I1380))+ISNUMBER(SEARCH("computer",I1380))+ISNUMBER(SEARCH("saas",I1380))+ISNUMBER(SEARCH("fintech",I1380))+ISNUMBER(SEARCH("information services",I1380))+ISNUMBER(SEARCH("telecommunications",I1380))&gt;0,'Configuración'!$B$27,'Configuración'!$B$28))</f>
        <v>12</v>
      </c>
      <c r="U1380" s="25">
        <f>IF(B1380="","",IF(ISNUMBER(SEARCH("CEO",C1380))+ISNUMBER(SEARCH("Founder",C1380))+ISNUMBER(SEARCH("Owner",C1380))+ISNUMBER(SEARCH("Dueño",C1380))+ISNUMBER(SEARCH("Director General",C1380))+ISNUMBER(SEARCH("Presidente",C1380))+ISNUMBER(SEARCH("President",C1380))&gt;0,'Configuración'!$B$31,IF(ISNUMBER(SEARCH("CMO",C1380))+ISNUMBER(SEARCH("Chief Marketing",C1380))+ISNUMBER(SEARCH("VP Marketing",C1380))+ISNUMBER(SEARCH("Director de Marketing",C1380))+ISNUMBER(SEARCH("Director Marketing",C1380))+ISNUMBER(SEARCH("Head of Marketing",C1380))+ISNUMBER(SEARCH("Head Marketing",C1380))&gt;0,'Configuración'!$B$32,IF(ISNUMBER(SEARCH("Marketing Manager",C1380))+ISNUMBER(SEARCH("Gerente de Marketing",C1380))+ISNUMBER(SEARCH("Growth Manager",C1380))+ISNUMBER(SEARCH("Demand Gen",C1380))+ISNUMBER(SEARCH("Marketing Lead",C1380))&gt;0,'Configuración'!$B$33,IF(ISNUMBER(SEARCH("COO",C1380))+ISNUMBER(SEARCH("CFO",C1380))+ISNUMBER(SEARCH("CTO",C1380))+ISNUMBER(SEARCH("Chief Operating",C1380))+ISNUMBER(SEARCH("Chief Financial",C1380))+ISNUMBER(SEARCH("Gerente General",C1380))+ISNUMBER(SEARCH("General Manager",C1380))&gt;0,'Configuración'!$B$34,'Configuración'!$B$35)))))</f>
        <v>12</v>
      </c>
      <c r="V1380" s="38">
        <f>IF(B1380="","",IF(K1380="Sí",'Configuración'!$B$5,0)+IF(L1380="Semanal",'Configuración'!$B$6,IF(L1380="Mensual",'Configuración'!$B$7,0))+IF(M1380="Sí",'Configuración'!$B$8,0)+IF(N1380="Sí",'Configuración'!$B$9,0)+IF(O1380="Sí",'Configuración'!$B$10,0)+IF(P1380="Sí",'Configuración'!$B$11,0)+IF(Q1380="Sí",'Configuración'!$B$12,0)+S1380+T1380+U1380)</f>
        <v>28</v>
      </c>
      <c r="W1380" s="39" t="str">
        <f>IF(B1380="","",IF(V1380&gt;='Configuración'!$B$19,"A",IF(V1380&gt;='Configuración'!$B$20,"B",IF(V1380&gt;='Configuración'!$B$21,"C","Descarte"))))</f>
        <v>C</v>
      </c>
    </row>
    <row r="1381" ht="15.75" customHeight="1">
      <c r="A1381" s="34">
        <f t="shared" si="1"/>
        <v>1379</v>
      </c>
      <c r="B1381" s="29" t="s">
        <v>120</v>
      </c>
      <c r="C1381" s="29" t="s">
        <v>5981</v>
      </c>
      <c r="D1381" s="29" t="s">
        <v>7832</v>
      </c>
      <c r="E1381" s="29" t="s">
        <v>7833</v>
      </c>
      <c r="F1381" s="30" t="s">
        <v>7834</v>
      </c>
      <c r="G1381" s="30" t="s">
        <v>7835</v>
      </c>
      <c r="H1381" s="42" t="s">
        <v>7836</v>
      </c>
      <c r="I1381" s="29" t="s">
        <v>127</v>
      </c>
      <c r="J1381" s="31">
        <v>7.0</v>
      </c>
      <c r="K1381" s="35"/>
      <c r="L1381" s="35"/>
      <c r="M1381" s="35"/>
      <c r="N1381" s="35"/>
      <c r="O1381" s="35"/>
      <c r="P1381" s="35"/>
      <c r="Q1381" s="35"/>
      <c r="R1381" s="35"/>
      <c r="S1381" s="37">
        <f>IF(B1381="","",IF(ISNUMBER(J1381),IF(J1381&lt;=10,'Configuración'!$B$23,IF(J1381&lt;=50,'Configuración'!$B$24,IF(J1381&lt;=200,'Configuración'!$B$25,0))),0))</f>
        <v>12</v>
      </c>
      <c r="T1381" s="37">
        <f>IF(B1381="","",IF(ISNUMBER(SEARCH("information technology",I1381))+ISNUMBER(SEARCH("software",I1381))+ISNUMBER(SEARCH("internet",I1381))+ISNUMBER(SEARCH("computer",I1381))+ISNUMBER(SEARCH("saas",I1381))+ISNUMBER(SEARCH("fintech",I1381))+ISNUMBER(SEARCH("information services",I1381))+ISNUMBER(SEARCH("telecommunications",I1381))&gt;0,'Configuración'!$B$27,'Configuración'!$B$28))</f>
        <v>12</v>
      </c>
      <c r="U1381" s="25">
        <f>IF(B1381="","",IF(ISNUMBER(SEARCH("CEO",C1381))+ISNUMBER(SEARCH("Founder",C1381))+ISNUMBER(SEARCH("Owner",C1381))+ISNUMBER(SEARCH("Dueño",C1381))+ISNUMBER(SEARCH("Director General",C1381))+ISNUMBER(SEARCH("Presidente",C1381))+ISNUMBER(SEARCH("President",C1381))&gt;0,'Configuración'!$B$31,IF(ISNUMBER(SEARCH("CMO",C1381))+ISNUMBER(SEARCH("Chief Marketing",C1381))+ISNUMBER(SEARCH("VP Marketing",C1381))+ISNUMBER(SEARCH("Director de Marketing",C1381))+ISNUMBER(SEARCH("Director Marketing",C1381))+ISNUMBER(SEARCH("Head of Marketing",C1381))+ISNUMBER(SEARCH("Head Marketing",C1381))&gt;0,'Configuración'!$B$32,IF(ISNUMBER(SEARCH("Marketing Manager",C1381))+ISNUMBER(SEARCH("Gerente de Marketing",C1381))+ISNUMBER(SEARCH("Growth Manager",C1381))+ISNUMBER(SEARCH("Demand Gen",C1381))+ISNUMBER(SEARCH("Marketing Lead",C1381))&gt;0,'Configuración'!$B$33,IF(ISNUMBER(SEARCH("COO",C1381))+ISNUMBER(SEARCH("CFO",C1381))+ISNUMBER(SEARCH("CTO",C1381))+ISNUMBER(SEARCH("Chief Operating",C1381))+ISNUMBER(SEARCH("Chief Financial",C1381))+ISNUMBER(SEARCH("Gerente General",C1381))+ISNUMBER(SEARCH("General Manager",C1381))&gt;0,'Configuración'!$B$34,'Configuración'!$B$35)))))</f>
        <v>12</v>
      </c>
      <c r="V1381" s="38">
        <f>IF(B1381="","",IF(K1381="Sí",'Configuración'!$B$5,0)+IF(L1381="Semanal",'Configuración'!$B$6,IF(L1381="Mensual",'Configuración'!$B$7,0))+IF(M1381="Sí",'Configuración'!$B$8,0)+IF(N1381="Sí",'Configuración'!$B$9,0)+IF(O1381="Sí",'Configuración'!$B$10,0)+IF(P1381="Sí",'Configuración'!$B$11,0)+IF(Q1381="Sí",'Configuración'!$B$12,0)+S1381+T1381+U1381)</f>
        <v>36</v>
      </c>
      <c r="W1381" s="39" t="str">
        <f>IF(B1381="","",IF(V1381&gt;='Configuración'!$B$19,"A",IF(V1381&gt;='Configuración'!$B$20,"B",IF(V1381&gt;='Configuración'!$B$21,"C","Descarte"))))</f>
        <v>C</v>
      </c>
    </row>
    <row r="1382" ht="15.75" customHeight="1">
      <c r="A1382" s="34">
        <f t="shared" si="1"/>
        <v>1380</v>
      </c>
      <c r="B1382" s="29" t="s">
        <v>1048</v>
      </c>
      <c r="C1382" s="29" t="s">
        <v>387</v>
      </c>
      <c r="D1382" s="29" t="s">
        <v>7837</v>
      </c>
      <c r="E1382" s="29" t="s">
        <v>7838</v>
      </c>
      <c r="F1382" s="30" t="s">
        <v>7839</v>
      </c>
      <c r="G1382" s="30" t="s">
        <v>7840</v>
      </c>
      <c r="H1382" s="42" t="s">
        <v>7841</v>
      </c>
      <c r="I1382" s="29" t="s">
        <v>443</v>
      </c>
      <c r="J1382" s="31">
        <v>2.0</v>
      </c>
      <c r="K1382" s="35"/>
      <c r="L1382" s="35"/>
      <c r="M1382" s="35"/>
      <c r="N1382" s="35"/>
      <c r="O1382" s="35"/>
      <c r="P1382" s="35"/>
      <c r="Q1382" s="35"/>
      <c r="R1382" s="35"/>
      <c r="S1382" s="37">
        <f>IF(B1382="","",IF(ISNUMBER(J1382),IF(J1382&lt;=10,'Configuración'!$B$23,IF(J1382&lt;=50,'Configuración'!$B$24,IF(J1382&lt;=200,'Configuración'!$B$25,0))),0))</f>
        <v>12</v>
      </c>
      <c r="T1382" s="37">
        <f>IF(B1382="","",IF(ISNUMBER(SEARCH("information technology",I1382))+ISNUMBER(SEARCH("software",I1382))+ISNUMBER(SEARCH("internet",I1382))+ISNUMBER(SEARCH("computer",I1382))+ISNUMBER(SEARCH("saas",I1382))+ISNUMBER(SEARCH("fintech",I1382))+ISNUMBER(SEARCH("information services",I1382))+ISNUMBER(SEARCH("telecommunications",I1382))&gt;0,'Configuración'!$B$27,'Configuración'!$B$28))</f>
        <v>4</v>
      </c>
      <c r="U1382" s="25">
        <f>IF(B1382="","",IF(ISNUMBER(SEARCH("CEO",C1382))+ISNUMBER(SEARCH("Founder",C1382))+ISNUMBER(SEARCH("Owner",C1382))+ISNUMBER(SEARCH("Dueño",C1382))+ISNUMBER(SEARCH("Director General",C1382))+ISNUMBER(SEARCH("Presidente",C1382))+ISNUMBER(SEARCH("President",C1382))&gt;0,'Configuración'!$B$31,IF(ISNUMBER(SEARCH("CMO",C1382))+ISNUMBER(SEARCH("Chief Marketing",C1382))+ISNUMBER(SEARCH("VP Marketing",C1382))+ISNUMBER(SEARCH("Director de Marketing",C1382))+ISNUMBER(SEARCH("Director Marketing",C1382))+ISNUMBER(SEARCH("Head of Marketing",C1382))+ISNUMBER(SEARCH("Head Marketing",C1382))&gt;0,'Configuración'!$B$32,IF(ISNUMBER(SEARCH("Marketing Manager",C1382))+ISNUMBER(SEARCH("Gerente de Marketing",C1382))+ISNUMBER(SEARCH("Growth Manager",C1382))+ISNUMBER(SEARCH("Demand Gen",C1382))+ISNUMBER(SEARCH("Marketing Lead",C1382))&gt;0,'Configuración'!$B$33,IF(ISNUMBER(SEARCH("COO",C1382))+ISNUMBER(SEARCH("CFO",C1382))+ISNUMBER(SEARCH("CTO",C1382))+ISNUMBER(SEARCH("Chief Operating",C1382))+ISNUMBER(SEARCH("Chief Financial",C1382))+ISNUMBER(SEARCH("Gerente General",C1382))+ISNUMBER(SEARCH("General Manager",C1382))&gt;0,'Configuración'!$B$34,'Configuración'!$B$35)))))</f>
        <v>12</v>
      </c>
      <c r="V1382" s="38">
        <f>IF(B1382="","",IF(K1382="Sí",'Configuración'!$B$5,0)+IF(L1382="Semanal",'Configuración'!$B$6,IF(L1382="Mensual",'Configuración'!$B$7,0))+IF(M1382="Sí",'Configuración'!$B$8,0)+IF(N1382="Sí",'Configuración'!$B$9,0)+IF(O1382="Sí",'Configuración'!$B$10,0)+IF(P1382="Sí",'Configuración'!$B$11,0)+IF(Q1382="Sí",'Configuración'!$B$12,0)+S1382+T1382+U1382)</f>
        <v>28</v>
      </c>
      <c r="W1382" s="39" t="str">
        <f>IF(B1382="","",IF(V1382&gt;='Configuración'!$B$19,"A",IF(V1382&gt;='Configuración'!$B$20,"B",IF(V1382&gt;='Configuración'!$B$21,"C","Descarte"))))</f>
        <v>C</v>
      </c>
    </row>
    <row r="1383" ht="15.75" customHeight="1">
      <c r="A1383" s="34">
        <f t="shared" si="1"/>
        <v>1381</v>
      </c>
      <c r="B1383" s="29" t="s">
        <v>1331</v>
      </c>
      <c r="C1383" s="29" t="s">
        <v>121</v>
      </c>
      <c r="D1383" s="29" t="s">
        <v>7842</v>
      </c>
      <c r="E1383" s="29" t="s">
        <v>7843</v>
      </c>
      <c r="F1383" s="30" t="s">
        <v>7844</v>
      </c>
      <c r="G1383" s="30" t="s">
        <v>7845</v>
      </c>
      <c r="H1383" s="42" t="s">
        <v>7846</v>
      </c>
      <c r="I1383" s="29" t="s">
        <v>1245</v>
      </c>
      <c r="J1383" s="31">
        <v>10.0</v>
      </c>
      <c r="K1383" s="35"/>
      <c r="L1383" s="35"/>
      <c r="M1383" s="35"/>
      <c r="N1383" s="35"/>
      <c r="O1383" s="35"/>
      <c r="P1383" s="35"/>
      <c r="Q1383" s="35"/>
      <c r="R1383" s="35"/>
      <c r="S1383" s="37">
        <f>IF(B1383="","",IF(ISNUMBER(J1383),IF(J1383&lt;=10,'Configuración'!$B$23,IF(J1383&lt;=50,'Configuración'!$B$24,IF(J1383&lt;=200,'Configuración'!$B$25,0))),0))</f>
        <v>12</v>
      </c>
      <c r="T1383" s="37">
        <f>IF(B1383="","",IF(ISNUMBER(SEARCH("information technology",I1383))+ISNUMBER(SEARCH("software",I1383))+ISNUMBER(SEARCH("internet",I1383))+ISNUMBER(SEARCH("computer",I1383))+ISNUMBER(SEARCH("saas",I1383))+ISNUMBER(SEARCH("fintech",I1383))+ISNUMBER(SEARCH("information services",I1383))+ISNUMBER(SEARCH("telecommunications",I1383))&gt;0,'Configuración'!$B$27,'Configuración'!$B$28))</f>
        <v>4</v>
      </c>
      <c r="U1383" s="25">
        <f>IF(B1383="","",IF(ISNUMBER(SEARCH("CEO",C1383))+ISNUMBER(SEARCH("Founder",C1383))+ISNUMBER(SEARCH("Owner",C1383))+ISNUMBER(SEARCH("Dueño",C1383))+ISNUMBER(SEARCH("Director General",C1383))+ISNUMBER(SEARCH("Presidente",C1383))+ISNUMBER(SEARCH("President",C1383))&gt;0,'Configuración'!$B$31,IF(ISNUMBER(SEARCH("CMO",C1383))+ISNUMBER(SEARCH("Chief Marketing",C1383))+ISNUMBER(SEARCH("VP Marketing",C1383))+ISNUMBER(SEARCH("Director de Marketing",C1383))+ISNUMBER(SEARCH("Director Marketing",C1383))+ISNUMBER(SEARCH("Head of Marketing",C1383))+ISNUMBER(SEARCH("Head Marketing",C1383))&gt;0,'Configuración'!$B$32,IF(ISNUMBER(SEARCH("Marketing Manager",C1383))+ISNUMBER(SEARCH("Gerente de Marketing",C1383))+ISNUMBER(SEARCH("Growth Manager",C1383))+ISNUMBER(SEARCH("Demand Gen",C1383))+ISNUMBER(SEARCH("Marketing Lead",C1383))&gt;0,'Configuración'!$B$33,IF(ISNUMBER(SEARCH("COO",C1383))+ISNUMBER(SEARCH("CFO",C1383))+ISNUMBER(SEARCH("CTO",C1383))+ISNUMBER(SEARCH("Chief Operating",C1383))+ISNUMBER(SEARCH("Chief Financial",C1383))+ISNUMBER(SEARCH("Gerente General",C1383))+ISNUMBER(SEARCH("General Manager",C1383))&gt;0,'Configuración'!$B$34,'Configuración'!$B$35)))))</f>
        <v>12</v>
      </c>
      <c r="V1383" s="38">
        <f>IF(B1383="","",IF(K1383="Sí",'Configuración'!$B$5,0)+IF(L1383="Semanal",'Configuración'!$B$6,IF(L1383="Mensual",'Configuración'!$B$7,0))+IF(M1383="Sí",'Configuración'!$B$8,0)+IF(N1383="Sí",'Configuración'!$B$9,0)+IF(O1383="Sí",'Configuración'!$B$10,0)+IF(P1383="Sí",'Configuración'!$B$11,0)+IF(Q1383="Sí",'Configuración'!$B$12,0)+S1383+T1383+U1383)</f>
        <v>28</v>
      </c>
      <c r="W1383" s="39" t="str">
        <f>IF(B1383="","",IF(V1383&gt;='Configuración'!$B$19,"A",IF(V1383&gt;='Configuración'!$B$20,"B",IF(V1383&gt;='Configuración'!$B$21,"C","Descarte"))))</f>
        <v>C</v>
      </c>
    </row>
    <row r="1384" ht="15.75" customHeight="1">
      <c r="A1384" s="34">
        <f t="shared" si="1"/>
        <v>1382</v>
      </c>
      <c r="B1384" s="29" t="s">
        <v>7847</v>
      </c>
      <c r="C1384" s="29" t="s">
        <v>121</v>
      </c>
      <c r="D1384" s="29" t="s">
        <v>7848</v>
      </c>
      <c r="E1384" s="29" t="s">
        <v>7849</v>
      </c>
      <c r="F1384" s="30" t="s">
        <v>7850</v>
      </c>
      <c r="G1384" s="30" t="s">
        <v>7851</v>
      </c>
      <c r="H1384" s="42" t="s">
        <v>7852</v>
      </c>
      <c r="I1384" s="29" t="s">
        <v>188</v>
      </c>
      <c r="J1384" s="31">
        <v>2.0</v>
      </c>
      <c r="K1384" s="35"/>
      <c r="L1384" s="35"/>
      <c r="M1384" s="35"/>
      <c r="N1384" s="35"/>
      <c r="O1384" s="35"/>
      <c r="P1384" s="35"/>
      <c r="Q1384" s="35"/>
      <c r="R1384" s="35"/>
      <c r="S1384" s="37">
        <f>IF(B1384="","",IF(ISNUMBER(J1384),IF(J1384&lt;=10,'Configuración'!$B$23,IF(J1384&lt;=50,'Configuración'!$B$24,IF(J1384&lt;=200,'Configuración'!$B$25,0))),0))</f>
        <v>12</v>
      </c>
      <c r="T1384" s="37">
        <f>IF(B1384="","",IF(ISNUMBER(SEARCH("information technology",I1384))+ISNUMBER(SEARCH("software",I1384))+ISNUMBER(SEARCH("internet",I1384))+ISNUMBER(SEARCH("computer",I1384))+ISNUMBER(SEARCH("saas",I1384))+ISNUMBER(SEARCH("fintech",I1384))+ISNUMBER(SEARCH("information services",I1384))+ISNUMBER(SEARCH("telecommunications",I1384))&gt;0,'Configuración'!$B$27,'Configuración'!$B$28))</f>
        <v>4</v>
      </c>
      <c r="U1384" s="25">
        <f>IF(B1384="","",IF(ISNUMBER(SEARCH("CEO",C1384))+ISNUMBER(SEARCH("Founder",C1384))+ISNUMBER(SEARCH("Owner",C1384))+ISNUMBER(SEARCH("Dueño",C1384))+ISNUMBER(SEARCH("Director General",C1384))+ISNUMBER(SEARCH("Presidente",C1384))+ISNUMBER(SEARCH("President",C1384))&gt;0,'Configuración'!$B$31,IF(ISNUMBER(SEARCH("CMO",C1384))+ISNUMBER(SEARCH("Chief Marketing",C1384))+ISNUMBER(SEARCH("VP Marketing",C1384))+ISNUMBER(SEARCH("Director de Marketing",C1384))+ISNUMBER(SEARCH("Director Marketing",C1384))+ISNUMBER(SEARCH("Head of Marketing",C1384))+ISNUMBER(SEARCH("Head Marketing",C1384))&gt;0,'Configuración'!$B$32,IF(ISNUMBER(SEARCH("Marketing Manager",C1384))+ISNUMBER(SEARCH("Gerente de Marketing",C1384))+ISNUMBER(SEARCH("Growth Manager",C1384))+ISNUMBER(SEARCH("Demand Gen",C1384))+ISNUMBER(SEARCH("Marketing Lead",C1384))&gt;0,'Configuración'!$B$33,IF(ISNUMBER(SEARCH("COO",C1384))+ISNUMBER(SEARCH("CFO",C1384))+ISNUMBER(SEARCH("CTO",C1384))+ISNUMBER(SEARCH("Chief Operating",C1384))+ISNUMBER(SEARCH("Chief Financial",C1384))+ISNUMBER(SEARCH("Gerente General",C1384))+ISNUMBER(SEARCH("General Manager",C1384))&gt;0,'Configuración'!$B$34,'Configuración'!$B$35)))))</f>
        <v>12</v>
      </c>
      <c r="V1384" s="38">
        <f>IF(B1384="","",IF(K1384="Sí",'Configuración'!$B$5,0)+IF(L1384="Semanal",'Configuración'!$B$6,IF(L1384="Mensual",'Configuración'!$B$7,0))+IF(M1384="Sí",'Configuración'!$B$8,0)+IF(N1384="Sí",'Configuración'!$B$9,0)+IF(O1384="Sí",'Configuración'!$B$10,0)+IF(P1384="Sí",'Configuración'!$B$11,0)+IF(Q1384="Sí",'Configuración'!$B$12,0)+S1384+T1384+U1384)</f>
        <v>28</v>
      </c>
      <c r="W1384" s="39" t="str">
        <f>IF(B1384="","",IF(V1384&gt;='Configuración'!$B$19,"A",IF(V1384&gt;='Configuración'!$B$20,"B",IF(V1384&gt;='Configuración'!$B$21,"C","Descarte"))))</f>
        <v>C</v>
      </c>
    </row>
    <row r="1385" ht="15.75" customHeight="1">
      <c r="A1385" s="34">
        <f t="shared" si="1"/>
        <v>1383</v>
      </c>
      <c r="B1385" s="29" t="s">
        <v>7853</v>
      </c>
      <c r="C1385" s="29" t="s">
        <v>1214</v>
      </c>
      <c r="D1385" s="29" t="s">
        <v>7854</v>
      </c>
      <c r="E1385" s="29" t="s">
        <v>7855</v>
      </c>
      <c r="F1385" s="30" t="s">
        <v>7856</v>
      </c>
      <c r="G1385" s="30" t="s">
        <v>7857</v>
      </c>
      <c r="H1385" s="42" t="s">
        <v>7858</v>
      </c>
      <c r="I1385" s="29" t="s">
        <v>116</v>
      </c>
      <c r="J1385" s="31">
        <v>9.0</v>
      </c>
      <c r="K1385" s="35"/>
      <c r="L1385" s="35"/>
      <c r="M1385" s="35"/>
      <c r="N1385" s="35"/>
      <c r="O1385" s="35"/>
      <c r="P1385" s="35"/>
      <c r="Q1385" s="35"/>
      <c r="R1385" s="35"/>
      <c r="S1385" s="37">
        <f>IF(B1385="","",IF(ISNUMBER(J1385),IF(J1385&lt;=10,'Configuración'!$B$23,IF(J1385&lt;=50,'Configuración'!$B$24,IF(J1385&lt;=200,'Configuración'!$B$25,0))),0))</f>
        <v>12</v>
      </c>
      <c r="T1385" s="37">
        <f>IF(B1385="","",IF(ISNUMBER(SEARCH("information technology",I1385))+ISNUMBER(SEARCH("software",I1385))+ISNUMBER(SEARCH("internet",I1385))+ISNUMBER(SEARCH("computer",I1385))+ISNUMBER(SEARCH("saas",I1385))+ISNUMBER(SEARCH("fintech",I1385))+ISNUMBER(SEARCH("information services",I1385))+ISNUMBER(SEARCH("telecommunications",I1385))&gt;0,'Configuración'!$B$27,'Configuración'!$B$28))</f>
        <v>4</v>
      </c>
      <c r="U1385" s="25">
        <f>IF(B1385="","",IF(ISNUMBER(SEARCH("CEO",C1385))+ISNUMBER(SEARCH("Founder",C1385))+ISNUMBER(SEARCH("Owner",C1385))+ISNUMBER(SEARCH("Dueño",C1385))+ISNUMBER(SEARCH("Director General",C1385))+ISNUMBER(SEARCH("Presidente",C1385))+ISNUMBER(SEARCH("President",C1385))&gt;0,'Configuración'!$B$31,IF(ISNUMBER(SEARCH("CMO",C1385))+ISNUMBER(SEARCH("Chief Marketing",C1385))+ISNUMBER(SEARCH("VP Marketing",C1385))+ISNUMBER(SEARCH("Director de Marketing",C1385))+ISNUMBER(SEARCH("Director Marketing",C1385))+ISNUMBER(SEARCH("Head of Marketing",C1385))+ISNUMBER(SEARCH("Head Marketing",C1385))&gt;0,'Configuración'!$B$32,IF(ISNUMBER(SEARCH("Marketing Manager",C1385))+ISNUMBER(SEARCH("Gerente de Marketing",C1385))+ISNUMBER(SEARCH("Growth Manager",C1385))+ISNUMBER(SEARCH("Demand Gen",C1385))+ISNUMBER(SEARCH("Marketing Lead",C1385))&gt;0,'Configuración'!$B$33,IF(ISNUMBER(SEARCH("COO",C1385))+ISNUMBER(SEARCH("CFO",C1385))+ISNUMBER(SEARCH("CTO",C1385))+ISNUMBER(SEARCH("Chief Operating",C1385))+ISNUMBER(SEARCH("Chief Financial",C1385))+ISNUMBER(SEARCH("Gerente General",C1385))+ISNUMBER(SEARCH("General Manager",C1385))&gt;0,'Configuración'!$B$34,'Configuración'!$B$35)))))</f>
        <v>12</v>
      </c>
      <c r="V1385" s="38">
        <f>IF(B1385="","",IF(K1385="Sí",'Configuración'!$B$5,0)+IF(L1385="Semanal",'Configuración'!$B$6,IF(L1385="Mensual",'Configuración'!$B$7,0))+IF(M1385="Sí",'Configuración'!$B$8,0)+IF(N1385="Sí",'Configuración'!$B$9,0)+IF(O1385="Sí",'Configuración'!$B$10,0)+IF(P1385="Sí",'Configuración'!$B$11,0)+IF(Q1385="Sí",'Configuración'!$B$12,0)+S1385+T1385+U1385)</f>
        <v>28</v>
      </c>
      <c r="W1385" s="39" t="str">
        <f>IF(B1385="","",IF(V1385&gt;='Configuración'!$B$19,"A",IF(V1385&gt;='Configuración'!$B$20,"B",IF(V1385&gt;='Configuración'!$B$21,"C","Descarte"))))</f>
        <v>C</v>
      </c>
    </row>
    <row r="1386" ht="15.75" customHeight="1">
      <c r="A1386" s="34">
        <f t="shared" si="1"/>
        <v>1384</v>
      </c>
      <c r="B1386" s="29" t="s">
        <v>324</v>
      </c>
      <c r="C1386" s="29" t="s">
        <v>7859</v>
      </c>
      <c r="D1386" s="29" t="s">
        <v>7860</v>
      </c>
      <c r="E1386" s="29" t="s">
        <v>7861</v>
      </c>
      <c r="F1386" s="30" t="s">
        <v>7862</v>
      </c>
      <c r="G1386" s="30" t="s">
        <v>7863</v>
      </c>
      <c r="H1386" s="42" t="s">
        <v>7864</v>
      </c>
      <c r="I1386" s="29" t="s">
        <v>127</v>
      </c>
      <c r="J1386" s="31">
        <v>6.0</v>
      </c>
      <c r="K1386" s="35"/>
      <c r="L1386" s="35"/>
      <c r="M1386" s="35"/>
      <c r="N1386" s="35"/>
      <c r="O1386" s="35"/>
      <c r="P1386" s="35"/>
      <c r="Q1386" s="35"/>
      <c r="R1386" s="35"/>
      <c r="S1386" s="37">
        <f>IF(B1386="","",IF(ISNUMBER(J1386),IF(J1386&lt;=10,'Configuración'!$B$23,IF(J1386&lt;=50,'Configuración'!$B$24,IF(J1386&lt;=200,'Configuración'!$B$25,0))),0))</f>
        <v>12</v>
      </c>
      <c r="T1386" s="37">
        <f>IF(B1386="","",IF(ISNUMBER(SEARCH("information technology",I1386))+ISNUMBER(SEARCH("software",I1386))+ISNUMBER(SEARCH("internet",I1386))+ISNUMBER(SEARCH("computer",I1386))+ISNUMBER(SEARCH("saas",I1386))+ISNUMBER(SEARCH("fintech",I1386))+ISNUMBER(SEARCH("information services",I1386))+ISNUMBER(SEARCH("telecommunications",I1386))&gt;0,'Configuración'!$B$27,'Configuración'!$B$28))</f>
        <v>12</v>
      </c>
      <c r="U1386" s="25">
        <f>IF(B1386="","",IF(ISNUMBER(SEARCH("CEO",C1386))+ISNUMBER(SEARCH("Founder",C1386))+ISNUMBER(SEARCH("Owner",C1386))+ISNUMBER(SEARCH("Dueño",C1386))+ISNUMBER(SEARCH("Director General",C1386))+ISNUMBER(SEARCH("Presidente",C1386))+ISNUMBER(SEARCH("President",C1386))&gt;0,'Configuración'!$B$31,IF(ISNUMBER(SEARCH("CMO",C1386))+ISNUMBER(SEARCH("Chief Marketing",C1386))+ISNUMBER(SEARCH("VP Marketing",C1386))+ISNUMBER(SEARCH("Director de Marketing",C1386))+ISNUMBER(SEARCH("Director Marketing",C1386))+ISNUMBER(SEARCH("Head of Marketing",C1386))+ISNUMBER(SEARCH("Head Marketing",C1386))&gt;0,'Configuración'!$B$32,IF(ISNUMBER(SEARCH("Marketing Manager",C1386))+ISNUMBER(SEARCH("Gerente de Marketing",C1386))+ISNUMBER(SEARCH("Growth Manager",C1386))+ISNUMBER(SEARCH("Demand Gen",C1386))+ISNUMBER(SEARCH("Marketing Lead",C1386))&gt;0,'Configuración'!$B$33,IF(ISNUMBER(SEARCH("COO",C1386))+ISNUMBER(SEARCH("CFO",C1386))+ISNUMBER(SEARCH("CTO",C1386))+ISNUMBER(SEARCH("Chief Operating",C1386))+ISNUMBER(SEARCH("Chief Financial",C1386))+ISNUMBER(SEARCH("Gerente General",C1386))+ISNUMBER(SEARCH("General Manager",C1386))&gt;0,'Configuración'!$B$34,'Configuración'!$B$35)))))</f>
        <v>12</v>
      </c>
      <c r="V1386" s="38">
        <f>IF(B1386="","",IF(K1386="Sí",'Configuración'!$B$5,0)+IF(L1386="Semanal",'Configuración'!$B$6,IF(L1386="Mensual",'Configuración'!$B$7,0))+IF(M1386="Sí",'Configuración'!$B$8,0)+IF(N1386="Sí",'Configuración'!$B$9,0)+IF(O1386="Sí",'Configuración'!$B$10,0)+IF(P1386="Sí",'Configuración'!$B$11,0)+IF(Q1386="Sí",'Configuración'!$B$12,0)+S1386+T1386+U1386)</f>
        <v>36</v>
      </c>
      <c r="W1386" s="39" t="str">
        <f>IF(B1386="","",IF(V1386&gt;='Configuración'!$B$19,"A",IF(V1386&gt;='Configuración'!$B$20,"B",IF(V1386&gt;='Configuración'!$B$21,"C","Descarte"))))</f>
        <v>C</v>
      </c>
    </row>
    <row r="1387" ht="15.75" customHeight="1">
      <c r="A1387" s="34">
        <f t="shared" si="1"/>
        <v>1385</v>
      </c>
      <c r="B1387" s="29" t="s">
        <v>813</v>
      </c>
      <c r="C1387" s="29" t="s">
        <v>7865</v>
      </c>
      <c r="D1387" s="29" t="s">
        <v>5282</v>
      </c>
      <c r="E1387" s="29" t="s">
        <v>7866</v>
      </c>
      <c r="F1387" s="30" t="s">
        <v>7867</v>
      </c>
      <c r="G1387" s="30" t="s">
        <v>5285</v>
      </c>
      <c r="H1387" s="42" t="s">
        <v>5286</v>
      </c>
      <c r="I1387" s="29" t="s">
        <v>116</v>
      </c>
      <c r="J1387" s="31">
        <v>50.0</v>
      </c>
      <c r="K1387" s="35"/>
      <c r="L1387" s="35"/>
      <c r="M1387" s="35"/>
      <c r="N1387" s="35"/>
      <c r="O1387" s="35"/>
      <c r="P1387" s="35"/>
      <c r="Q1387" s="35"/>
      <c r="R1387" s="35"/>
      <c r="S1387" s="37">
        <f>IF(B1387="","",IF(ISNUMBER(J1387),IF(J1387&lt;=10,'Configuración'!$B$23,IF(J1387&lt;=50,'Configuración'!$B$24,IF(J1387&lt;=200,'Configuración'!$B$25,0))),0))</f>
        <v>4</v>
      </c>
      <c r="T1387" s="37">
        <f>IF(B1387="","",IF(ISNUMBER(SEARCH("information technology",I1387))+ISNUMBER(SEARCH("software",I1387))+ISNUMBER(SEARCH("internet",I1387))+ISNUMBER(SEARCH("computer",I1387))+ISNUMBER(SEARCH("saas",I1387))+ISNUMBER(SEARCH("fintech",I1387))+ISNUMBER(SEARCH("information services",I1387))+ISNUMBER(SEARCH("telecommunications",I1387))&gt;0,'Configuración'!$B$27,'Configuración'!$B$28))</f>
        <v>4</v>
      </c>
      <c r="U1387" s="25">
        <f>IF(B1387="","",IF(ISNUMBER(SEARCH("CEO",C1387))+ISNUMBER(SEARCH("Founder",C1387))+ISNUMBER(SEARCH("Owner",C1387))+ISNUMBER(SEARCH("Dueño",C1387))+ISNUMBER(SEARCH("Director General",C1387))+ISNUMBER(SEARCH("Presidente",C1387))+ISNUMBER(SEARCH("President",C1387))&gt;0,'Configuración'!$B$31,IF(ISNUMBER(SEARCH("CMO",C1387))+ISNUMBER(SEARCH("Chief Marketing",C1387))+ISNUMBER(SEARCH("VP Marketing",C1387))+ISNUMBER(SEARCH("Director de Marketing",C1387))+ISNUMBER(SEARCH("Director Marketing",C1387))+ISNUMBER(SEARCH("Head of Marketing",C1387))+ISNUMBER(SEARCH("Head Marketing",C1387))&gt;0,'Configuración'!$B$32,IF(ISNUMBER(SEARCH("Marketing Manager",C1387))+ISNUMBER(SEARCH("Gerente de Marketing",C1387))+ISNUMBER(SEARCH("Growth Manager",C1387))+ISNUMBER(SEARCH("Demand Gen",C1387))+ISNUMBER(SEARCH("Marketing Lead",C1387))&gt;0,'Configuración'!$B$33,IF(ISNUMBER(SEARCH("COO",C1387))+ISNUMBER(SEARCH("CFO",C1387))+ISNUMBER(SEARCH("CTO",C1387))+ISNUMBER(SEARCH("Chief Operating",C1387))+ISNUMBER(SEARCH("Chief Financial",C1387))+ISNUMBER(SEARCH("Gerente General",C1387))+ISNUMBER(SEARCH("General Manager",C1387))&gt;0,'Configuración'!$B$34,'Configuración'!$B$35)))))</f>
        <v>12</v>
      </c>
      <c r="V1387" s="38">
        <f>IF(B1387="","",IF(K1387="Sí",'Configuración'!$B$5,0)+IF(L1387="Semanal",'Configuración'!$B$6,IF(L1387="Mensual",'Configuración'!$B$7,0))+IF(M1387="Sí",'Configuración'!$B$8,0)+IF(N1387="Sí",'Configuración'!$B$9,0)+IF(O1387="Sí",'Configuración'!$B$10,0)+IF(P1387="Sí",'Configuración'!$B$11,0)+IF(Q1387="Sí",'Configuración'!$B$12,0)+S1387+T1387+U1387)</f>
        <v>20</v>
      </c>
      <c r="W1387" s="39" t="str">
        <f>IF(B1387="","",IF(V1387&gt;='Configuración'!$B$19,"A",IF(V1387&gt;='Configuración'!$B$20,"B",IF(V1387&gt;='Configuración'!$B$21,"C","Descarte"))))</f>
        <v>Descarte</v>
      </c>
    </row>
    <row r="1388" ht="15.75" customHeight="1">
      <c r="A1388" s="34">
        <f t="shared" si="1"/>
        <v>1386</v>
      </c>
      <c r="B1388" s="29" t="s">
        <v>174</v>
      </c>
      <c r="C1388" s="29" t="s">
        <v>763</v>
      </c>
      <c r="D1388" s="29" t="s">
        <v>7868</v>
      </c>
      <c r="E1388" s="29" t="s">
        <v>7869</v>
      </c>
      <c r="F1388" s="30" t="s">
        <v>7870</v>
      </c>
      <c r="G1388" s="30" t="s">
        <v>7871</v>
      </c>
      <c r="H1388" s="42" t="s">
        <v>7872</v>
      </c>
      <c r="I1388" s="29" t="s">
        <v>428</v>
      </c>
      <c r="J1388" s="31">
        <v>16.0</v>
      </c>
      <c r="K1388" s="35"/>
      <c r="L1388" s="35"/>
      <c r="M1388" s="35"/>
      <c r="N1388" s="35"/>
      <c r="O1388" s="35"/>
      <c r="P1388" s="35"/>
      <c r="Q1388" s="35"/>
      <c r="R1388" s="35"/>
      <c r="S1388" s="37">
        <f>IF(B1388="","",IF(ISNUMBER(J1388),IF(J1388&lt;=10,'Configuración'!$B$23,IF(J1388&lt;=50,'Configuración'!$B$24,IF(J1388&lt;=200,'Configuración'!$B$25,0))),0))</f>
        <v>4</v>
      </c>
      <c r="T1388" s="37">
        <f>IF(B1388="","",IF(ISNUMBER(SEARCH("information technology",I1388))+ISNUMBER(SEARCH("software",I1388))+ISNUMBER(SEARCH("internet",I1388))+ISNUMBER(SEARCH("computer",I1388))+ISNUMBER(SEARCH("saas",I1388))+ISNUMBER(SEARCH("fintech",I1388))+ISNUMBER(SEARCH("information services",I1388))+ISNUMBER(SEARCH("telecommunications",I1388))&gt;0,'Configuración'!$B$27,'Configuración'!$B$28))</f>
        <v>12</v>
      </c>
      <c r="U1388" s="25">
        <f>IF(B1388="","",IF(ISNUMBER(SEARCH("CEO",C1388))+ISNUMBER(SEARCH("Founder",C1388))+ISNUMBER(SEARCH("Owner",C1388))+ISNUMBER(SEARCH("Dueño",C1388))+ISNUMBER(SEARCH("Director General",C1388))+ISNUMBER(SEARCH("Presidente",C1388))+ISNUMBER(SEARCH("President",C1388))&gt;0,'Configuración'!$B$31,IF(ISNUMBER(SEARCH("CMO",C1388))+ISNUMBER(SEARCH("Chief Marketing",C1388))+ISNUMBER(SEARCH("VP Marketing",C1388))+ISNUMBER(SEARCH("Director de Marketing",C1388))+ISNUMBER(SEARCH("Director Marketing",C1388))+ISNUMBER(SEARCH("Head of Marketing",C1388))+ISNUMBER(SEARCH("Head Marketing",C1388))&gt;0,'Configuración'!$B$32,IF(ISNUMBER(SEARCH("Marketing Manager",C1388))+ISNUMBER(SEARCH("Gerente de Marketing",C1388))+ISNUMBER(SEARCH("Growth Manager",C1388))+ISNUMBER(SEARCH("Demand Gen",C1388))+ISNUMBER(SEARCH("Marketing Lead",C1388))&gt;0,'Configuración'!$B$33,IF(ISNUMBER(SEARCH("COO",C1388))+ISNUMBER(SEARCH("CFO",C1388))+ISNUMBER(SEARCH("CTO",C1388))+ISNUMBER(SEARCH("Chief Operating",C1388))+ISNUMBER(SEARCH("Chief Financial",C1388))+ISNUMBER(SEARCH("Gerente General",C1388))+ISNUMBER(SEARCH("General Manager",C1388))&gt;0,'Configuración'!$B$34,'Configuración'!$B$35)))))</f>
        <v>12</v>
      </c>
      <c r="V1388" s="38">
        <f>IF(B1388="","",IF(K1388="Sí",'Configuración'!$B$5,0)+IF(L1388="Semanal",'Configuración'!$B$6,IF(L1388="Mensual",'Configuración'!$B$7,0))+IF(M1388="Sí",'Configuración'!$B$8,0)+IF(N1388="Sí",'Configuración'!$B$9,0)+IF(O1388="Sí",'Configuración'!$B$10,0)+IF(P1388="Sí",'Configuración'!$B$11,0)+IF(Q1388="Sí",'Configuración'!$B$12,0)+S1388+T1388+U1388)</f>
        <v>28</v>
      </c>
      <c r="W1388" s="39" t="str">
        <f>IF(B1388="","",IF(V1388&gt;='Configuración'!$B$19,"A",IF(V1388&gt;='Configuración'!$B$20,"B",IF(V1388&gt;='Configuración'!$B$21,"C","Descarte"))))</f>
        <v>C</v>
      </c>
    </row>
    <row r="1389" ht="15.75" customHeight="1">
      <c r="A1389" s="34">
        <f t="shared" si="1"/>
        <v>1387</v>
      </c>
      <c r="B1389" s="29" t="s">
        <v>181</v>
      </c>
      <c r="C1389" s="29" t="s">
        <v>3045</v>
      </c>
      <c r="D1389" s="29" t="s">
        <v>7873</v>
      </c>
      <c r="E1389" s="29" t="s">
        <v>7874</v>
      </c>
      <c r="F1389" s="30" t="s">
        <v>7875</v>
      </c>
      <c r="G1389" s="30" t="s">
        <v>7876</v>
      </c>
      <c r="H1389" s="42" t="s">
        <v>7877</v>
      </c>
      <c r="I1389" s="29" t="s">
        <v>127</v>
      </c>
      <c r="J1389" s="31">
        <v>14.0</v>
      </c>
      <c r="K1389" s="35"/>
      <c r="L1389" s="35"/>
      <c r="M1389" s="35"/>
      <c r="N1389" s="35"/>
      <c r="O1389" s="35"/>
      <c r="P1389" s="35"/>
      <c r="Q1389" s="35"/>
      <c r="R1389" s="35"/>
      <c r="S1389" s="37">
        <f>IF(B1389="","",IF(ISNUMBER(J1389),IF(J1389&lt;=10,'Configuración'!$B$23,IF(J1389&lt;=50,'Configuración'!$B$24,IF(J1389&lt;=200,'Configuración'!$B$25,0))),0))</f>
        <v>4</v>
      </c>
      <c r="T1389" s="37">
        <f>IF(B1389="","",IF(ISNUMBER(SEARCH("information technology",I1389))+ISNUMBER(SEARCH("software",I1389))+ISNUMBER(SEARCH("internet",I1389))+ISNUMBER(SEARCH("computer",I1389))+ISNUMBER(SEARCH("saas",I1389))+ISNUMBER(SEARCH("fintech",I1389))+ISNUMBER(SEARCH("information services",I1389))+ISNUMBER(SEARCH("telecommunications",I1389))&gt;0,'Configuración'!$B$27,'Configuración'!$B$28))</f>
        <v>12</v>
      </c>
      <c r="U1389" s="25">
        <f>IF(B1389="","",IF(ISNUMBER(SEARCH("CEO",C1389))+ISNUMBER(SEARCH("Founder",C1389))+ISNUMBER(SEARCH("Owner",C1389))+ISNUMBER(SEARCH("Dueño",C1389))+ISNUMBER(SEARCH("Director General",C1389))+ISNUMBER(SEARCH("Presidente",C1389))+ISNUMBER(SEARCH("President",C1389))&gt;0,'Configuración'!$B$31,IF(ISNUMBER(SEARCH("CMO",C1389))+ISNUMBER(SEARCH("Chief Marketing",C1389))+ISNUMBER(SEARCH("VP Marketing",C1389))+ISNUMBER(SEARCH("Director de Marketing",C1389))+ISNUMBER(SEARCH("Director Marketing",C1389))+ISNUMBER(SEARCH("Head of Marketing",C1389))+ISNUMBER(SEARCH("Head Marketing",C1389))&gt;0,'Configuración'!$B$32,IF(ISNUMBER(SEARCH("Marketing Manager",C1389))+ISNUMBER(SEARCH("Gerente de Marketing",C1389))+ISNUMBER(SEARCH("Growth Manager",C1389))+ISNUMBER(SEARCH("Demand Gen",C1389))+ISNUMBER(SEARCH("Marketing Lead",C1389))&gt;0,'Configuración'!$B$33,IF(ISNUMBER(SEARCH("COO",C1389))+ISNUMBER(SEARCH("CFO",C1389))+ISNUMBER(SEARCH("CTO",C1389))+ISNUMBER(SEARCH("Chief Operating",C1389))+ISNUMBER(SEARCH("Chief Financial",C1389))+ISNUMBER(SEARCH("Gerente General",C1389))+ISNUMBER(SEARCH("General Manager",C1389))&gt;0,'Configuración'!$B$34,'Configuración'!$B$35)))))</f>
        <v>12</v>
      </c>
      <c r="V1389" s="38">
        <f>IF(B1389="","",IF(K1389="Sí",'Configuración'!$B$5,0)+IF(L1389="Semanal",'Configuración'!$B$6,IF(L1389="Mensual",'Configuración'!$B$7,0))+IF(M1389="Sí",'Configuración'!$B$8,0)+IF(N1389="Sí",'Configuración'!$B$9,0)+IF(O1389="Sí",'Configuración'!$B$10,0)+IF(P1389="Sí",'Configuración'!$B$11,0)+IF(Q1389="Sí",'Configuración'!$B$12,0)+S1389+T1389+U1389)</f>
        <v>28</v>
      </c>
      <c r="W1389" s="39" t="str">
        <f>IF(B1389="","",IF(V1389&gt;='Configuración'!$B$19,"A",IF(V1389&gt;='Configuración'!$B$20,"B",IF(V1389&gt;='Configuración'!$B$21,"C","Descarte"))))</f>
        <v>C</v>
      </c>
    </row>
    <row r="1390" ht="15.75" customHeight="1">
      <c r="A1390" s="34">
        <f t="shared" si="1"/>
        <v>1388</v>
      </c>
      <c r="B1390" s="29" t="s">
        <v>1814</v>
      </c>
      <c r="C1390" s="29" t="s">
        <v>146</v>
      </c>
      <c r="D1390" s="29" t="s">
        <v>7878</v>
      </c>
      <c r="E1390" s="29" t="s">
        <v>7879</v>
      </c>
      <c r="F1390" s="30" t="s">
        <v>7880</v>
      </c>
      <c r="G1390" s="30" t="s">
        <v>7881</v>
      </c>
      <c r="H1390" s="42" t="s">
        <v>7882</v>
      </c>
      <c r="I1390" s="29" t="s">
        <v>380</v>
      </c>
      <c r="J1390" s="31">
        <v>12.0</v>
      </c>
      <c r="K1390" s="35"/>
      <c r="L1390" s="35"/>
      <c r="M1390" s="35"/>
      <c r="N1390" s="35"/>
      <c r="O1390" s="35"/>
      <c r="P1390" s="35"/>
      <c r="Q1390" s="35"/>
      <c r="R1390" s="35"/>
      <c r="S1390" s="37">
        <f>IF(B1390="","",IF(ISNUMBER(J1390),IF(J1390&lt;=10,'Configuración'!$B$23,IF(J1390&lt;=50,'Configuración'!$B$24,IF(J1390&lt;=200,'Configuración'!$B$25,0))),0))</f>
        <v>4</v>
      </c>
      <c r="T1390" s="37">
        <f>IF(B1390="","",IF(ISNUMBER(SEARCH("information technology",I1390))+ISNUMBER(SEARCH("software",I1390))+ISNUMBER(SEARCH("internet",I1390))+ISNUMBER(SEARCH("computer",I1390))+ISNUMBER(SEARCH("saas",I1390))+ISNUMBER(SEARCH("fintech",I1390))+ISNUMBER(SEARCH("information services",I1390))+ISNUMBER(SEARCH("telecommunications",I1390))&gt;0,'Configuración'!$B$27,'Configuración'!$B$28))</f>
        <v>4</v>
      </c>
      <c r="U1390" s="25">
        <f>IF(B1390="","",IF(ISNUMBER(SEARCH("CEO",C1390))+ISNUMBER(SEARCH("Founder",C1390))+ISNUMBER(SEARCH("Owner",C1390))+ISNUMBER(SEARCH("Dueño",C1390))+ISNUMBER(SEARCH("Director General",C1390))+ISNUMBER(SEARCH("Presidente",C1390))+ISNUMBER(SEARCH("President",C1390))&gt;0,'Configuración'!$B$31,IF(ISNUMBER(SEARCH("CMO",C1390))+ISNUMBER(SEARCH("Chief Marketing",C1390))+ISNUMBER(SEARCH("VP Marketing",C1390))+ISNUMBER(SEARCH("Director de Marketing",C1390))+ISNUMBER(SEARCH("Director Marketing",C1390))+ISNUMBER(SEARCH("Head of Marketing",C1390))+ISNUMBER(SEARCH("Head Marketing",C1390))&gt;0,'Configuración'!$B$32,IF(ISNUMBER(SEARCH("Marketing Manager",C1390))+ISNUMBER(SEARCH("Gerente de Marketing",C1390))+ISNUMBER(SEARCH("Growth Manager",C1390))+ISNUMBER(SEARCH("Demand Gen",C1390))+ISNUMBER(SEARCH("Marketing Lead",C1390))&gt;0,'Configuración'!$B$33,IF(ISNUMBER(SEARCH("COO",C1390))+ISNUMBER(SEARCH("CFO",C1390))+ISNUMBER(SEARCH("CTO",C1390))+ISNUMBER(SEARCH("Chief Operating",C1390))+ISNUMBER(SEARCH("Chief Financial",C1390))+ISNUMBER(SEARCH("Gerente General",C1390))+ISNUMBER(SEARCH("General Manager",C1390))&gt;0,'Configuración'!$B$34,'Configuración'!$B$35)))))</f>
        <v>0</v>
      </c>
      <c r="V1390" s="38">
        <f>IF(B1390="","",IF(K1390="Sí",'Configuración'!$B$5,0)+IF(L1390="Semanal",'Configuración'!$B$6,IF(L1390="Mensual",'Configuración'!$B$7,0))+IF(M1390="Sí",'Configuración'!$B$8,0)+IF(N1390="Sí",'Configuración'!$B$9,0)+IF(O1390="Sí",'Configuración'!$B$10,0)+IF(P1390="Sí",'Configuración'!$B$11,0)+IF(Q1390="Sí",'Configuración'!$B$12,0)+S1390+T1390+U1390)</f>
        <v>8</v>
      </c>
      <c r="W1390" s="39" t="str">
        <f>IF(B1390="","",IF(V1390&gt;='Configuración'!$B$19,"A",IF(V1390&gt;='Configuración'!$B$20,"B",IF(V1390&gt;='Configuración'!$B$21,"C","Descarte"))))</f>
        <v>Descarte</v>
      </c>
    </row>
    <row r="1391" ht="15.75" customHeight="1">
      <c r="A1391" s="34">
        <f t="shared" si="1"/>
        <v>1389</v>
      </c>
      <c r="B1391" s="29" t="s">
        <v>7883</v>
      </c>
      <c r="C1391" s="29" t="s">
        <v>7884</v>
      </c>
      <c r="D1391" s="29" t="s">
        <v>7885</v>
      </c>
      <c r="E1391" s="29" t="s">
        <v>7886</v>
      </c>
      <c r="F1391" s="30" t="s">
        <v>7887</v>
      </c>
      <c r="G1391" s="30" t="s">
        <v>7888</v>
      </c>
      <c r="H1391" s="42" t="s">
        <v>7889</v>
      </c>
      <c r="I1391" s="29" t="s">
        <v>458</v>
      </c>
      <c r="J1391" s="31">
        <v>2.0</v>
      </c>
      <c r="K1391" s="35"/>
      <c r="L1391" s="35"/>
      <c r="M1391" s="35"/>
      <c r="N1391" s="35"/>
      <c r="O1391" s="35"/>
      <c r="P1391" s="35"/>
      <c r="Q1391" s="35"/>
      <c r="R1391" s="35"/>
      <c r="S1391" s="37">
        <f>IF(B1391="","",IF(ISNUMBER(J1391),IF(J1391&lt;=10,'Configuración'!$B$23,IF(J1391&lt;=50,'Configuración'!$B$24,IF(J1391&lt;=200,'Configuración'!$B$25,0))),0))</f>
        <v>12</v>
      </c>
      <c r="T1391" s="37">
        <f>IF(B1391="","",IF(ISNUMBER(SEARCH("information technology",I1391))+ISNUMBER(SEARCH("software",I1391))+ISNUMBER(SEARCH("internet",I1391))+ISNUMBER(SEARCH("computer",I1391))+ISNUMBER(SEARCH("saas",I1391))+ISNUMBER(SEARCH("fintech",I1391))+ISNUMBER(SEARCH("information services",I1391))+ISNUMBER(SEARCH("telecommunications",I1391))&gt;0,'Configuración'!$B$27,'Configuración'!$B$28))</f>
        <v>4</v>
      </c>
      <c r="U1391" s="25">
        <f>IF(B1391="","",IF(ISNUMBER(SEARCH("CEO",C1391))+ISNUMBER(SEARCH("Founder",C1391))+ISNUMBER(SEARCH("Owner",C1391))+ISNUMBER(SEARCH("Dueño",C1391))+ISNUMBER(SEARCH("Director General",C1391))+ISNUMBER(SEARCH("Presidente",C1391))+ISNUMBER(SEARCH("President",C1391))&gt;0,'Configuración'!$B$31,IF(ISNUMBER(SEARCH("CMO",C1391))+ISNUMBER(SEARCH("Chief Marketing",C1391))+ISNUMBER(SEARCH("VP Marketing",C1391))+ISNUMBER(SEARCH("Director de Marketing",C1391))+ISNUMBER(SEARCH("Director Marketing",C1391))+ISNUMBER(SEARCH("Head of Marketing",C1391))+ISNUMBER(SEARCH("Head Marketing",C1391))&gt;0,'Configuración'!$B$32,IF(ISNUMBER(SEARCH("Marketing Manager",C1391))+ISNUMBER(SEARCH("Gerente de Marketing",C1391))+ISNUMBER(SEARCH("Growth Manager",C1391))+ISNUMBER(SEARCH("Demand Gen",C1391))+ISNUMBER(SEARCH("Marketing Lead",C1391))&gt;0,'Configuración'!$B$33,IF(ISNUMBER(SEARCH("COO",C1391))+ISNUMBER(SEARCH("CFO",C1391))+ISNUMBER(SEARCH("CTO",C1391))+ISNUMBER(SEARCH("Chief Operating",C1391))+ISNUMBER(SEARCH("Chief Financial",C1391))+ISNUMBER(SEARCH("Gerente General",C1391))+ISNUMBER(SEARCH("General Manager",C1391))&gt;0,'Configuración'!$B$34,'Configuración'!$B$35)))))</f>
        <v>4</v>
      </c>
      <c r="V1391" s="38">
        <f>IF(B1391="","",IF(K1391="Sí",'Configuración'!$B$5,0)+IF(L1391="Semanal",'Configuración'!$B$6,IF(L1391="Mensual",'Configuración'!$B$7,0))+IF(M1391="Sí",'Configuración'!$B$8,0)+IF(N1391="Sí",'Configuración'!$B$9,0)+IF(O1391="Sí",'Configuración'!$B$10,0)+IF(P1391="Sí",'Configuración'!$B$11,0)+IF(Q1391="Sí",'Configuración'!$B$12,0)+S1391+T1391+U1391)</f>
        <v>20</v>
      </c>
      <c r="W1391" s="39" t="str">
        <f>IF(B1391="","",IF(V1391&gt;='Configuración'!$B$19,"A",IF(V1391&gt;='Configuración'!$B$20,"B",IF(V1391&gt;='Configuración'!$B$21,"C","Descarte"))))</f>
        <v>Descarte</v>
      </c>
    </row>
    <row r="1392" ht="15.75" customHeight="1">
      <c r="A1392" s="34">
        <f t="shared" si="1"/>
        <v>1390</v>
      </c>
      <c r="B1392" s="29" t="s">
        <v>159</v>
      </c>
      <c r="C1392" s="29" t="s">
        <v>131</v>
      </c>
      <c r="D1392" s="29" t="s">
        <v>7890</v>
      </c>
      <c r="E1392" s="29" t="s">
        <v>7891</v>
      </c>
      <c r="F1392" s="30" t="s">
        <v>7892</v>
      </c>
      <c r="G1392" s="30" t="s">
        <v>7893</v>
      </c>
      <c r="H1392" s="42" t="s">
        <v>7894</v>
      </c>
      <c r="I1392" s="29" t="s">
        <v>4621</v>
      </c>
      <c r="J1392" s="31">
        <v>40.0</v>
      </c>
      <c r="K1392" s="35"/>
      <c r="L1392" s="35"/>
      <c r="M1392" s="35"/>
      <c r="N1392" s="35"/>
      <c r="O1392" s="35"/>
      <c r="P1392" s="35"/>
      <c r="Q1392" s="35"/>
      <c r="R1392" s="35"/>
      <c r="S1392" s="37">
        <f>IF(B1392="","",IF(ISNUMBER(J1392),IF(J1392&lt;=10,'Configuración'!$B$23,IF(J1392&lt;=50,'Configuración'!$B$24,IF(J1392&lt;=200,'Configuración'!$B$25,0))),0))</f>
        <v>4</v>
      </c>
      <c r="T1392" s="37">
        <f>IF(B1392="","",IF(ISNUMBER(SEARCH("information technology",I1392))+ISNUMBER(SEARCH("software",I1392))+ISNUMBER(SEARCH("internet",I1392))+ISNUMBER(SEARCH("computer",I1392))+ISNUMBER(SEARCH("saas",I1392))+ISNUMBER(SEARCH("fintech",I1392))+ISNUMBER(SEARCH("information services",I1392))+ISNUMBER(SEARCH("telecommunications",I1392))&gt;0,'Configuración'!$B$27,'Configuración'!$B$28))</f>
        <v>4</v>
      </c>
      <c r="U1392" s="25">
        <f>IF(B1392="","",IF(ISNUMBER(SEARCH("CEO",C1392))+ISNUMBER(SEARCH("Founder",C1392))+ISNUMBER(SEARCH("Owner",C1392))+ISNUMBER(SEARCH("Dueño",C1392))+ISNUMBER(SEARCH("Director General",C1392))+ISNUMBER(SEARCH("Presidente",C1392))+ISNUMBER(SEARCH("President",C1392))&gt;0,'Configuración'!$B$31,IF(ISNUMBER(SEARCH("CMO",C1392))+ISNUMBER(SEARCH("Chief Marketing",C1392))+ISNUMBER(SEARCH("VP Marketing",C1392))+ISNUMBER(SEARCH("Director de Marketing",C1392))+ISNUMBER(SEARCH("Director Marketing",C1392))+ISNUMBER(SEARCH("Head of Marketing",C1392))+ISNUMBER(SEARCH("Head Marketing",C1392))&gt;0,'Configuración'!$B$32,IF(ISNUMBER(SEARCH("Marketing Manager",C1392))+ISNUMBER(SEARCH("Gerente de Marketing",C1392))+ISNUMBER(SEARCH("Growth Manager",C1392))+ISNUMBER(SEARCH("Demand Gen",C1392))+ISNUMBER(SEARCH("Marketing Lead",C1392))&gt;0,'Configuración'!$B$33,IF(ISNUMBER(SEARCH("COO",C1392))+ISNUMBER(SEARCH("CFO",C1392))+ISNUMBER(SEARCH("CTO",C1392))+ISNUMBER(SEARCH("Chief Operating",C1392))+ISNUMBER(SEARCH("Chief Financial",C1392))+ISNUMBER(SEARCH("Gerente General",C1392))+ISNUMBER(SEARCH("General Manager",C1392))&gt;0,'Configuración'!$B$34,'Configuración'!$B$35)))))</f>
        <v>12</v>
      </c>
      <c r="V1392" s="38">
        <f>IF(B1392="","",IF(K1392="Sí",'Configuración'!$B$5,0)+IF(L1392="Semanal",'Configuración'!$B$6,IF(L1392="Mensual",'Configuración'!$B$7,0))+IF(M1392="Sí",'Configuración'!$B$8,0)+IF(N1392="Sí",'Configuración'!$B$9,0)+IF(O1392="Sí",'Configuración'!$B$10,0)+IF(P1392="Sí",'Configuración'!$B$11,0)+IF(Q1392="Sí",'Configuración'!$B$12,0)+S1392+T1392+U1392)</f>
        <v>20</v>
      </c>
      <c r="W1392" s="39" t="str">
        <f>IF(B1392="","",IF(V1392&gt;='Configuración'!$B$19,"A",IF(V1392&gt;='Configuración'!$B$20,"B",IF(V1392&gt;='Configuración'!$B$21,"C","Descarte"))))</f>
        <v>Descarte</v>
      </c>
    </row>
    <row r="1393" ht="15.75" customHeight="1">
      <c r="A1393" s="34">
        <f t="shared" si="1"/>
        <v>1391</v>
      </c>
      <c r="B1393" s="29" t="s">
        <v>201</v>
      </c>
      <c r="C1393" s="29" t="s">
        <v>121</v>
      </c>
      <c r="D1393" s="29" t="s">
        <v>7895</v>
      </c>
      <c r="E1393" s="29" t="s">
        <v>7896</v>
      </c>
      <c r="F1393" s="30" t="s">
        <v>7897</v>
      </c>
      <c r="G1393" s="30" t="s">
        <v>7898</v>
      </c>
      <c r="H1393" s="42" t="s">
        <v>7899</v>
      </c>
      <c r="I1393" s="29" t="s">
        <v>508</v>
      </c>
      <c r="J1393" s="31">
        <v>7.0</v>
      </c>
      <c r="K1393" s="35"/>
      <c r="L1393" s="35"/>
      <c r="M1393" s="35"/>
      <c r="N1393" s="35"/>
      <c r="O1393" s="35"/>
      <c r="P1393" s="35"/>
      <c r="Q1393" s="35"/>
      <c r="R1393" s="35"/>
      <c r="S1393" s="37">
        <f>IF(B1393="","",IF(ISNUMBER(J1393),IF(J1393&lt;=10,'Configuración'!$B$23,IF(J1393&lt;=50,'Configuración'!$B$24,IF(J1393&lt;=200,'Configuración'!$B$25,0))),0))</f>
        <v>12</v>
      </c>
      <c r="T1393" s="37">
        <f>IF(B1393="","",IF(ISNUMBER(SEARCH("information technology",I1393))+ISNUMBER(SEARCH("software",I1393))+ISNUMBER(SEARCH("internet",I1393))+ISNUMBER(SEARCH("computer",I1393))+ISNUMBER(SEARCH("saas",I1393))+ISNUMBER(SEARCH("fintech",I1393))+ISNUMBER(SEARCH("information services",I1393))+ISNUMBER(SEARCH("telecommunications",I1393))&gt;0,'Configuración'!$B$27,'Configuración'!$B$28))</f>
        <v>4</v>
      </c>
      <c r="U1393" s="25">
        <f>IF(B1393="","",IF(ISNUMBER(SEARCH("CEO",C1393))+ISNUMBER(SEARCH("Founder",C1393))+ISNUMBER(SEARCH("Owner",C1393))+ISNUMBER(SEARCH("Dueño",C1393))+ISNUMBER(SEARCH("Director General",C1393))+ISNUMBER(SEARCH("Presidente",C1393))+ISNUMBER(SEARCH("President",C1393))&gt;0,'Configuración'!$B$31,IF(ISNUMBER(SEARCH("CMO",C1393))+ISNUMBER(SEARCH("Chief Marketing",C1393))+ISNUMBER(SEARCH("VP Marketing",C1393))+ISNUMBER(SEARCH("Director de Marketing",C1393))+ISNUMBER(SEARCH("Director Marketing",C1393))+ISNUMBER(SEARCH("Head of Marketing",C1393))+ISNUMBER(SEARCH("Head Marketing",C1393))&gt;0,'Configuración'!$B$32,IF(ISNUMBER(SEARCH("Marketing Manager",C1393))+ISNUMBER(SEARCH("Gerente de Marketing",C1393))+ISNUMBER(SEARCH("Growth Manager",C1393))+ISNUMBER(SEARCH("Demand Gen",C1393))+ISNUMBER(SEARCH("Marketing Lead",C1393))&gt;0,'Configuración'!$B$33,IF(ISNUMBER(SEARCH("COO",C1393))+ISNUMBER(SEARCH("CFO",C1393))+ISNUMBER(SEARCH("CTO",C1393))+ISNUMBER(SEARCH("Chief Operating",C1393))+ISNUMBER(SEARCH("Chief Financial",C1393))+ISNUMBER(SEARCH("Gerente General",C1393))+ISNUMBER(SEARCH("General Manager",C1393))&gt;0,'Configuración'!$B$34,'Configuración'!$B$35)))))</f>
        <v>12</v>
      </c>
      <c r="V1393" s="38">
        <f>IF(B1393="","",IF(K1393="Sí",'Configuración'!$B$5,0)+IF(L1393="Semanal",'Configuración'!$B$6,IF(L1393="Mensual",'Configuración'!$B$7,0))+IF(M1393="Sí",'Configuración'!$B$8,0)+IF(N1393="Sí",'Configuración'!$B$9,0)+IF(O1393="Sí",'Configuración'!$B$10,0)+IF(P1393="Sí",'Configuración'!$B$11,0)+IF(Q1393="Sí",'Configuración'!$B$12,0)+S1393+T1393+U1393)</f>
        <v>28</v>
      </c>
      <c r="W1393" s="39" t="str">
        <f>IF(B1393="","",IF(V1393&gt;='Configuración'!$B$19,"A",IF(V1393&gt;='Configuración'!$B$20,"B",IF(V1393&gt;='Configuración'!$B$21,"C","Descarte"))))</f>
        <v>C</v>
      </c>
    </row>
    <row r="1394" ht="15.75" customHeight="1">
      <c r="A1394" s="34">
        <f t="shared" si="1"/>
        <v>1392</v>
      </c>
      <c r="B1394" s="29" t="s">
        <v>324</v>
      </c>
      <c r="C1394" s="29" t="s">
        <v>1953</v>
      </c>
      <c r="D1394" s="29" t="s">
        <v>7900</v>
      </c>
      <c r="E1394" s="29" t="s">
        <v>7901</v>
      </c>
      <c r="F1394" s="30" t="s">
        <v>7902</v>
      </c>
      <c r="G1394" s="30" t="s">
        <v>7903</v>
      </c>
      <c r="H1394" s="42" t="s">
        <v>7904</v>
      </c>
      <c r="I1394" s="29" t="s">
        <v>188</v>
      </c>
      <c r="J1394" s="31">
        <v>19.0</v>
      </c>
      <c r="K1394" s="35"/>
      <c r="L1394" s="35"/>
      <c r="M1394" s="35"/>
      <c r="N1394" s="35"/>
      <c r="O1394" s="35"/>
      <c r="P1394" s="35"/>
      <c r="Q1394" s="35"/>
      <c r="R1394" s="35"/>
      <c r="S1394" s="37">
        <f>IF(B1394="","",IF(ISNUMBER(J1394),IF(J1394&lt;=10,'Configuración'!$B$23,IF(J1394&lt;=50,'Configuración'!$B$24,IF(J1394&lt;=200,'Configuración'!$B$25,0))),0))</f>
        <v>4</v>
      </c>
      <c r="T1394" s="37">
        <f>IF(B1394="","",IF(ISNUMBER(SEARCH("information technology",I1394))+ISNUMBER(SEARCH("software",I1394))+ISNUMBER(SEARCH("internet",I1394))+ISNUMBER(SEARCH("computer",I1394))+ISNUMBER(SEARCH("saas",I1394))+ISNUMBER(SEARCH("fintech",I1394))+ISNUMBER(SEARCH("information services",I1394))+ISNUMBER(SEARCH("telecommunications",I1394))&gt;0,'Configuración'!$B$27,'Configuración'!$B$28))</f>
        <v>4</v>
      </c>
      <c r="U1394" s="25">
        <f>IF(B1394="","",IF(ISNUMBER(SEARCH("CEO",C1394))+ISNUMBER(SEARCH("Founder",C1394))+ISNUMBER(SEARCH("Owner",C1394))+ISNUMBER(SEARCH("Dueño",C1394))+ISNUMBER(SEARCH("Director General",C1394))+ISNUMBER(SEARCH("Presidente",C1394))+ISNUMBER(SEARCH("President",C1394))&gt;0,'Configuración'!$B$31,IF(ISNUMBER(SEARCH("CMO",C1394))+ISNUMBER(SEARCH("Chief Marketing",C1394))+ISNUMBER(SEARCH("VP Marketing",C1394))+ISNUMBER(SEARCH("Director de Marketing",C1394))+ISNUMBER(SEARCH("Director Marketing",C1394))+ISNUMBER(SEARCH("Head of Marketing",C1394))+ISNUMBER(SEARCH("Head Marketing",C1394))&gt;0,'Configuración'!$B$32,IF(ISNUMBER(SEARCH("Marketing Manager",C1394))+ISNUMBER(SEARCH("Gerente de Marketing",C1394))+ISNUMBER(SEARCH("Growth Manager",C1394))+ISNUMBER(SEARCH("Demand Gen",C1394))+ISNUMBER(SEARCH("Marketing Lead",C1394))&gt;0,'Configuración'!$B$33,IF(ISNUMBER(SEARCH("COO",C1394))+ISNUMBER(SEARCH("CFO",C1394))+ISNUMBER(SEARCH("CTO",C1394))+ISNUMBER(SEARCH("Chief Operating",C1394))+ISNUMBER(SEARCH("Chief Financial",C1394))+ISNUMBER(SEARCH("Gerente General",C1394))+ISNUMBER(SEARCH("General Manager",C1394))&gt;0,'Configuración'!$B$34,'Configuración'!$B$35)))))</f>
        <v>12</v>
      </c>
      <c r="V1394" s="38">
        <f>IF(B1394="","",IF(K1394="Sí",'Configuración'!$B$5,0)+IF(L1394="Semanal",'Configuración'!$B$6,IF(L1394="Mensual",'Configuración'!$B$7,0))+IF(M1394="Sí",'Configuración'!$B$8,0)+IF(N1394="Sí",'Configuración'!$B$9,0)+IF(O1394="Sí",'Configuración'!$B$10,0)+IF(P1394="Sí",'Configuración'!$B$11,0)+IF(Q1394="Sí",'Configuración'!$B$12,0)+S1394+T1394+U1394)</f>
        <v>20</v>
      </c>
      <c r="W1394" s="39" t="str">
        <f>IF(B1394="","",IF(V1394&gt;='Configuración'!$B$19,"A",IF(V1394&gt;='Configuración'!$B$20,"B",IF(V1394&gt;='Configuración'!$B$21,"C","Descarte"))))</f>
        <v>Descarte</v>
      </c>
    </row>
    <row r="1395" ht="15.75" customHeight="1">
      <c r="A1395" s="34">
        <f t="shared" si="1"/>
        <v>1393</v>
      </c>
      <c r="B1395" s="29" t="s">
        <v>529</v>
      </c>
      <c r="C1395" s="29" t="s">
        <v>487</v>
      </c>
      <c r="D1395" s="29" t="s">
        <v>7905</v>
      </c>
      <c r="E1395" s="29" t="s">
        <v>7906</v>
      </c>
      <c r="F1395" s="30" t="s">
        <v>7907</v>
      </c>
      <c r="G1395" s="30" t="s">
        <v>7908</v>
      </c>
      <c r="H1395" s="42" t="s">
        <v>7909</v>
      </c>
      <c r="I1395" s="29" t="s">
        <v>3843</v>
      </c>
      <c r="J1395" s="31">
        <v>3.0</v>
      </c>
      <c r="K1395" s="35"/>
      <c r="L1395" s="35"/>
      <c r="M1395" s="35"/>
      <c r="N1395" s="35"/>
      <c r="O1395" s="35"/>
      <c r="P1395" s="35"/>
      <c r="Q1395" s="35"/>
      <c r="R1395" s="35"/>
      <c r="S1395" s="37">
        <f>IF(B1395="","",IF(ISNUMBER(J1395),IF(J1395&lt;=10,'Configuración'!$B$23,IF(J1395&lt;=50,'Configuración'!$B$24,IF(J1395&lt;=200,'Configuración'!$B$25,0))),0))</f>
        <v>12</v>
      </c>
      <c r="T1395" s="37">
        <f>IF(B1395="","",IF(ISNUMBER(SEARCH("information technology",I1395))+ISNUMBER(SEARCH("software",I1395))+ISNUMBER(SEARCH("internet",I1395))+ISNUMBER(SEARCH("computer",I1395))+ISNUMBER(SEARCH("saas",I1395))+ISNUMBER(SEARCH("fintech",I1395))+ISNUMBER(SEARCH("information services",I1395))+ISNUMBER(SEARCH("telecommunications",I1395))&gt;0,'Configuración'!$B$27,'Configuración'!$B$28))</f>
        <v>4</v>
      </c>
      <c r="U1395" s="25">
        <f>IF(B1395="","",IF(ISNUMBER(SEARCH("CEO",C1395))+ISNUMBER(SEARCH("Founder",C1395))+ISNUMBER(SEARCH("Owner",C1395))+ISNUMBER(SEARCH("Dueño",C1395))+ISNUMBER(SEARCH("Director General",C1395))+ISNUMBER(SEARCH("Presidente",C1395))+ISNUMBER(SEARCH("President",C1395))&gt;0,'Configuración'!$B$31,IF(ISNUMBER(SEARCH("CMO",C1395))+ISNUMBER(SEARCH("Chief Marketing",C1395))+ISNUMBER(SEARCH("VP Marketing",C1395))+ISNUMBER(SEARCH("Director de Marketing",C1395))+ISNUMBER(SEARCH("Director Marketing",C1395))+ISNUMBER(SEARCH("Head of Marketing",C1395))+ISNUMBER(SEARCH("Head Marketing",C1395))&gt;0,'Configuración'!$B$32,IF(ISNUMBER(SEARCH("Marketing Manager",C1395))+ISNUMBER(SEARCH("Gerente de Marketing",C1395))+ISNUMBER(SEARCH("Growth Manager",C1395))+ISNUMBER(SEARCH("Demand Gen",C1395))+ISNUMBER(SEARCH("Marketing Lead",C1395))&gt;0,'Configuración'!$B$33,IF(ISNUMBER(SEARCH("COO",C1395))+ISNUMBER(SEARCH("CFO",C1395))+ISNUMBER(SEARCH("CTO",C1395))+ISNUMBER(SEARCH("Chief Operating",C1395))+ISNUMBER(SEARCH("Chief Financial",C1395))+ISNUMBER(SEARCH("Gerente General",C1395))+ISNUMBER(SEARCH("General Manager",C1395))&gt;0,'Configuración'!$B$34,'Configuración'!$B$35)))))</f>
        <v>12</v>
      </c>
      <c r="V1395" s="38">
        <f>IF(B1395="","",IF(K1395="Sí",'Configuración'!$B$5,0)+IF(L1395="Semanal",'Configuración'!$B$6,IF(L1395="Mensual",'Configuración'!$B$7,0))+IF(M1395="Sí",'Configuración'!$B$8,0)+IF(N1395="Sí",'Configuración'!$B$9,0)+IF(O1395="Sí",'Configuración'!$B$10,0)+IF(P1395="Sí",'Configuración'!$B$11,0)+IF(Q1395="Sí",'Configuración'!$B$12,0)+S1395+T1395+U1395)</f>
        <v>28</v>
      </c>
      <c r="W1395" s="39" t="str">
        <f>IF(B1395="","",IF(V1395&gt;='Configuración'!$B$19,"A",IF(V1395&gt;='Configuración'!$B$20,"B",IF(V1395&gt;='Configuración'!$B$21,"C","Descarte"))))</f>
        <v>C</v>
      </c>
    </row>
    <row r="1396" ht="15.75" customHeight="1">
      <c r="A1396" s="34">
        <f t="shared" si="1"/>
        <v>1394</v>
      </c>
      <c r="B1396" s="29" t="s">
        <v>174</v>
      </c>
      <c r="C1396" s="29" t="s">
        <v>121</v>
      </c>
      <c r="D1396" s="29" t="s">
        <v>7910</v>
      </c>
      <c r="E1396" s="29" t="s">
        <v>7911</v>
      </c>
      <c r="F1396" s="30" t="s">
        <v>7912</v>
      </c>
      <c r="G1396" s="30" t="s">
        <v>7913</v>
      </c>
      <c r="H1396" s="42" t="s">
        <v>7914</v>
      </c>
      <c r="I1396" s="29" t="s">
        <v>116</v>
      </c>
      <c r="J1396" s="31">
        <v>8.0</v>
      </c>
      <c r="K1396" s="35"/>
      <c r="L1396" s="35"/>
      <c r="M1396" s="35"/>
      <c r="N1396" s="35"/>
      <c r="O1396" s="35"/>
      <c r="P1396" s="35"/>
      <c r="Q1396" s="35"/>
      <c r="R1396" s="35"/>
      <c r="S1396" s="37">
        <f>IF(B1396="","",IF(ISNUMBER(J1396),IF(J1396&lt;=10,'Configuración'!$B$23,IF(J1396&lt;=50,'Configuración'!$B$24,IF(J1396&lt;=200,'Configuración'!$B$25,0))),0))</f>
        <v>12</v>
      </c>
      <c r="T1396" s="37">
        <f>IF(B1396="","",IF(ISNUMBER(SEARCH("information technology",I1396))+ISNUMBER(SEARCH("software",I1396))+ISNUMBER(SEARCH("internet",I1396))+ISNUMBER(SEARCH("computer",I1396))+ISNUMBER(SEARCH("saas",I1396))+ISNUMBER(SEARCH("fintech",I1396))+ISNUMBER(SEARCH("information services",I1396))+ISNUMBER(SEARCH("telecommunications",I1396))&gt;0,'Configuración'!$B$27,'Configuración'!$B$28))</f>
        <v>4</v>
      </c>
      <c r="U1396" s="25">
        <f>IF(B1396="","",IF(ISNUMBER(SEARCH("CEO",C1396))+ISNUMBER(SEARCH("Founder",C1396))+ISNUMBER(SEARCH("Owner",C1396))+ISNUMBER(SEARCH("Dueño",C1396))+ISNUMBER(SEARCH("Director General",C1396))+ISNUMBER(SEARCH("Presidente",C1396))+ISNUMBER(SEARCH("President",C1396))&gt;0,'Configuración'!$B$31,IF(ISNUMBER(SEARCH("CMO",C1396))+ISNUMBER(SEARCH("Chief Marketing",C1396))+ISNUMBER(SEARCH("VP Marketing",C1396))+ISNUMBER(SEARCH("Director de Marketing",C1396))+ISNUMBER(SEARCH("Director Marketing",C1396))+ISNUMBER(SEARCH("Head of Marketing",C1396))+ISNUMBER(SEARCH("Head Marketing",C1396))&gt;0,'Configuración'!$B$32,IF(ISNUMBER(SEARCH("Marketing Manager",C1396))+ISNUMBER(SEARCH("Gerente de Marketing",C1396))+ISNUMBER(SEARCH("Growth Manager",C1396))+ISNUMBER(SEARCH("Demand Gen",C1396))+ISNUMBER(SEARCH("Marketing Lead",C1396))&gt;0,'Configuración'!$B$33,IF(ISNUMBER(SEARCH("COO",C1396))+ISNUMBER(SEARCH("CFO",C1396))+ISNUMBER(SEARCH("CTO",C1396))+ISNUMBER(SEARCH("Chief Operating",C1396))+ISNUMBER(SEARCH("Chief Financial",C1396))+ISNUMBER(SEARCH("Gerente General",C1396))+ISNUMBER(SEARCH("General Manager",C1396))&gt;0,'Configuración'!$B$34,'Configuración'!$B$35)))))</f>
        <v>12</v>
      </c>
      <c r="V1396" s="38">
        <f>IF(B1396="","",IF(K1396="Sí",'Configuración'!$B$5,0)+IF(L1396="Semanal",'Configuración'!$B$6,IF(L1396="Mensual",'Configuración'!$B$7,0))+IF(M1396="Sí",'Configuración'!$B$8,0)+IF(N1396="Sí",'Configuración'!$B$9,0)+IF(O1396="Sí",'Configuración'!$B$10,0)+IF(P1396="Sí",'Configuración'!$B$11,0)+IF(Q1396="Sí",'Configuración'!$B$12,0)+S1396+T1396+U1396)</f>
        <v>28</v>
      </c>
      <c r="W1396" s="39" t="str">
        <f>IF(B1396="","",IF(V1396&gt;='Configuración'!$B$19,"A",IF(V1396&gt;='Configuración'!$B$20,"B",IF(V1396&gt;='Configuración'!$B$21,"C","Descarte"))))</f>
        <v>C</v>
      </c>
    </row>
    <row r="1397" ht="15.75" customHeight="1">
      <c r="A1397" s="34">
        <f t="shared" si="1"/>
        <v>1395</v>
      </c>
      <c r="B1397" s="29" t="s">
        <v>1814</v>
      </c>
      <c r="C1397" s="29" t="s">
        <v>3230</v>
      </c>
      <c r="D1397" s="29" t="s">
        <v>7915</v>
      </c>
      <c r="E1397" s="29" t="s">
        <v>7916</v>
      </c>
      <c r="F1397" s="30" t="s">
        <v>7917</v>
      </c>
      <c r="G1397" s="30" t="s">
        <v>7918</v>
      </c>
      <c r="H1397" s="42" t="s">
        <v>7919</v>
      </c>
      <c r="I1397" s="29" t="s">
        <v>769</v>
      </c>
      <c r="J1397" s="31">
        <v>31.0</v>
      </c>
      <c r="K1397" s="35"/>
      <c r="L1397" s="35"/>
      <c r="M1397" s="35"/>
      <c r="N1397" s="35"/>
      <c r="O1397" s="35"/>
      <c r="P1397" s="35"/>
      <c r="Q1397" s="35"/>
      <c r="R1397" s="35"/>
      <c r="S1397" s="37">
        <f>IF(B1397="","",IF(ISNUMBER(J1397),IF(J1397&lt;=10,'Configuración'!$B$23,IF(J1397&lt;=50,'Configuración'!$B$24,IF(J1397&lt;=200,'Configuración'!$B$25,0))),0))</f>
        <v>4</v>
      </c>
      <c r="T1397" s="37">
        <f>IF(B1397="","",IF(ISNUMBER(SEARCH("information technology",I1397))+ISNUMBER(SEARCH("software",I1397))+ISNUMBER(SEARCH("internet",I1397))+ISNUMBER(SEARCH("computer",I1397))+ISNUMBER(SEARCH("saas",I1397))+ISNUMBER(SEARCH("fintech",I1397))+ISNUMBER(SEARCH("information services",I1397))+ISNUMBER(SEARCH("telecommunications",I1397))&gt;0,'Configuración'!$B$27,'Configuración'!$B$28))</f>
        <v>4</v>
      </c>
      <c r="U1397" s="25">
        <f>IF(B1397="","",IF(ISNUMBER(SEARCH("CEO",C1397))+ISNUMBER(SEARCH("Founder",C1397))+ISNUMBER(SEARCH("Owner",C1397))+ISNUMBER(SEARCH("Dueño",C1397))+ISNUMBER(SEARCH("Director General",C1397))+ISNUMBER(SEARCH("Presidente",C1397))+ISNUMBER(SEARCH("President",C1397))&gt;0,'Configuración'!$B$31,IF(ISNUMBER(SEARCH("CMO",C1397))+ISNUMBER(SEARCH("Chief Marketing",C1397))+ISNUMBER(SEARCH("VP Marketing",C1397))+ISNUMBER(SEARCH("Director de Marketing",C1397))+ISNUMBER(SEARCH("Director Marketing",C1397))+ISNUMBER(SEARCH("Head of Marketing",C1397))+ISNUMBER(SEARCH("Head Marketing",C1397))&gt;0,'Configuración'!$B$32,IF(ISNUMBER(SEARCH("Marketing Manager",C1397))+ISNUMBER(SEARCH("Gerente de Marketing",C1397))+ISNUMBER(SEARCH("Growth Manager",C1397))+ISNUMBER(SEARCH("Demand Gen",C1397))+ISNUMBER(SEARCH("Marketing Lead",C1397))&gt;0,'Configuración'!$B$33,IF(ISNUMBER(SEARCH("COO",C1397))+ISNUMBER(SEARCH("CFO",C1397))+ISNUMBER(SEARCH("CTO",C1397))+ISNUMBER(SEARCH("Chief Operating",C1397))+ISNUMBER(SEARCH("Chief Financial",C1397))+ISNUMBER(SEARCH("Gerente General",C1397))+ISNUMBER(SEARCH("General Manager",C1397))&gt;0,'Configuración'!$B$34,'Configuración'!$B$35)))))</f>
        <v>12</v>
      </c>
      <c r="V1397" s="38">
        <f>IF(B1397="","",IF(K1397="Sí",'Configuración'!$B$5,0)+IF(L1397="Semanal",'Configuración'!$B$6,IF(L1397="Mensual",'Configuración'!$B$7,0))+IF(M1397="Sí",'Configuración'!$B$8,0)+IF(N1397="Sí",'Configuración'!$B$9,0)+IF(O1397="Sí",'Configuración'!$B$10,0)+IF(P1397="Sí",'Configuración'!$B$11,0)+IF(Q1397="Sí",'Configuración'!$B$12,0)+S1397+T1397+U1397)</f>
        <v>20</v>
      </c>
      <c r="W1397" s="39" t="str">
        <f>IF(B1397="","",IF(V1397&gt;='Configuración'!$B$19,"A",IF(V1397&gt;='Configuración'!$B$20,"B",IF(V1397&gt;='Configuración'!$B$21,"C","Descarte"))))</f>
        <v>Descarte</v>
      </c>
    </row>
    <row r="1398" ht="15.75" customHeight="1">
      <c r="A1398" s="34">
        <f t="shared" si="1"/>
        <v>1396</v>
      </c>
      <c r="B1398" s="29" t="s">
        <v>7920</v>
      </c>
      <c r="C1398" s="29" t="s">
        <v>7380</v>
      </c>
      <c r="D1398" s="29" t="s">
        <v>7921</v>
      </c>
      <c r="E1398" s="29" t="s">
        <v>7922</v>
      </c>
      <c r="F1398" s="30" t="s">
        <v>7923</v>
      </c>
      <c r="G1398" s="30" t="s">
        <v>7924</v>
      </c>
      <c r="H1398" s="42" t="s">
        <v>7925</v>
      </c>
      <c r="I1398" s="29" t="s">
        <v>946</v>
      </c>
      <c r="J1398" s="31">
        <v>24.0</v>
      </c>
      <c r="K1398" s="35"/>
      <c r="L1398" s="35"/>
      <c r="M1398" s="35"/>
      <c r="N1398" s="35"/>
      <c r="O1398" s="35"/>
      <c r="P1398" s="35"/>
      <c r="Q1398" s="35"/>
      <c r="R1398" s="35"/>
      <c r="S1398" s="37">
        <f>IF(B1398="","",IF(ISNUMBER(J1398),IF(J1398&lt;=10,'Configuración'!$B$23,IF(J1398&lt;=50,'Configuración'!$B$24,IF(J1398&lt;=200,'Configuración'!$B$25,0))),0))</f>
        <v>4</v>
      </c>
      <c r="T1398" s="37">
        <f>IF(B1398="","",IF(ISNUMBER(SEARCH("information technology",I1398))+ISNUMBER(SEARCH("software",I1398))+ISNUMBER(SEARCH("internet",I1398))+ISNUMBER(SEARCH("computer",I1398))+ISNUMBER(SEARCH("saas",I1398))+ISNUMBER(SEARCH("fintech",I1398))+ISNUMBER(SEARCH("information services",I1398))+ISNUMBER(SEARCH("telecommunications",I1398))&gt;0,'Configuración'!$B$27,'Configuración'!$B$28))</f>
        <v>4</v>
      </c>
      <c r="U1398" s="25">
        <f>IF(B1398="","",IF(ISNUMBER(SEARCH("CEO",C1398))+ISNUMBER(SEARCH("Founder",C1398))+ISNUMBER(SEARCH("Owner",C1398))+ISNUMBER(SEARCH("Dueño",C1398))+ISNUMBER(SEARCH("Director General",C1398))+ISNUMBER(SEARCH("Presidente",C1398))+ISNUMBER(SEARCH("President",C1398))&gt;0,'Configuración'!$B$31,IF(ISNUMBER(SEARCH("CMO",C1398))+ISNUMBER(SEARCH("Chief Marketing",C1398))+ISNUMBER(SEARCH("VP Marketing",C1398))+ISNUMBER(SEARCH("Director de Marketing",C1398))+ISNUMBER(SEARCH("Director Marketing",C1398))+ISNUMBER(SEARCH("Head of Marketing",C1398))+ISNUMBER(SEARCH("Head Marketing",C1398))&gt;0,'Configuración'!$B$32,IF(ISNUMBER(SEARCH("Marketing Manager",C1398))+ISNUMBER(SEARCH("Gerente de Marketing",C1398))+ISNUMBER(SEARCH("Growth Manager",C1398))+ISNUMBER(SEARCH("Demand Gen",C1398))+ISNUMBER(SEARCH("Marketing Lead",C1398))&gt;0,'Configuración'!$B$33,IF(ISNUMBER(SEARCH("COO",C1398))+ISNUMBER(SEARCH("CFO",C1398))+ISNUMBER(SEARCH("CTO",C1398))+ISNUMBER(SEARCH("Chief Operating",C1398))+ISNUMBER(SEARCH("Chief Financial",C1398))+ISNUMBER(SEARCH("Gerente General",C1398))+ISNUMBER(SEARCH("General Manager",C1398))&gt;0,'Configuración'!$B$34,'Configuración'!$B$35)))))</f>
        <v>12</v>
      </c>
      <c r="V1398" s="38">
        <f>IF(B1398="","",IF(K1398="Sí",'Configuración'!$B$5,0)+IF(L1398="Semanal",'Configuración'!$B$6,IF(L1398="Mensual",'Configuración'!$B$7,0))+IF(M1398="Sí",'Configuración'!$B$8,0)+IF(N1398="Sí",'Configuración'!$B$9,0)+IF(O1398="Sí",'Configuración'!$B$10,0)+IF(P1398="Sí",'Configuración'!$B$11,0)+IF(Q1398="Sí",'Configuración'!$B$12,0)+S1398+T1398+U1398)</f>
        <v>20</v>
      </c>
      <c r="W1398" s="39" t="str">
        <f>IF(B1398="","",IF(V1398&gt;='Configuración'!$B$19,"A",IF(V1398&gt;='Configuración'!$B$20,"B",IF(V1398&gt;='Configuración'!$B$21,"C","Descarte"))))</f>
        <v>Descarte</v>
      </c>
    </row>
    <row r="1399" ht="15.75" customHeight="1">
      <c r="A1399" s="34">
        <f t="shared" si="1"/>
        <v>1397</v>
      </c>
      <c r="B1399" s="29" t="s">
        <v>940</v>
      </c>
      <c r="C1399" s="29" t="s">
        <v>5969</v>
      </c>
      <c r="D1399" s="29" t="s">
        <v>7926</v>
      </c>
      <c r="E1399" s="29" t="s">
        <v>7927</v>
      </c>
      <c r="F1399" s="30" t="s">
        <v>7928</v>
      </c>
      <c r="G1399" s="30" t="s">
        <v>7929</v>
      </c>
      <c r="H1399" s="42" t="s">
        <v>7930</v>
      </c>
      <c r="I1399" s="29" t="s">
        <v>1845</v>
      </c>
      <c r="J1399" s="31">
        <v>5.0</v>
      </c>
      <c r="K1399" s="35"/>
      <c r="L1399" s="35"/>
      <c r="M1399" s="35"/>
      <c r="N1399" s="35"/>
      <c r="O1399" s="35"/>
      <c r="P1399" s="35"/>
      <c r="Q1399" s="35"/>
      <c r="R1399" s="35"/>
      <c r="S1399" s="37">
        <f>IF(B1399="","",IF(ISNUMBER(J1399),IF(J1399&lt;=10,'Configuración'!$B$23,IF(J1399&lt;=50,'Configuración'!$B$24,IF(J1399&lt;=200,'Configuración'!$B$25,0))),0))</f>
        <v>12</v>
      </c>
      <c r="T1399" s="37">
        <f>IF(B1399="","",IF(ISNUMBER(SEARCH("information technology",I1399))+ISNUMBER(SEARCH("software",I1399))+ISNUMBER(SEARCH("internet",I1399))+ISNUMBER(SEARCH("computer",I1399))+ISNUMBER(SEARCH("saas",I1399))+ISNUMBER(SEARCH("fintech",I1399))+ISNUMBER(SEARCH("information services",I1399))+ISNUMBER(SEARCH("telecommunications",I1399))&gt;0,'Configuración'!$B$27,'Configuración'!$B$28))</f>
        <v>4</v>
      </c>
      <c r="U1399" s="25">
        <f>IF(B1399="","",IF(ISNUMBER(SEARCH("CEO",C1399))+ISNUMBER(SEARCH("Founder",C1399))+ISNUMBER(SEARCH("Owner",C1399))+ISNUMBER(SEARCH("Dueño",C1399))+ISNUMBER(SEARCH("Director General",C1399))+ISNUMBER(SEARCH("Presidente",C1399))+ISNUMBER(SEARCH("President",C1399))&gt;0,'Configuración'!$B$31,IF(ISNUMBER(SEARCH("CMO",C1399))+ISNUMBER(SEARCH("Chief Marketing",C1399))+ISNUMBER(SEARCH("VP Marketing",C1399))+ISNUMBER(SEARCH("Director de Marketing",C1399))+ISNUMBER(SEARCH("Director Marketing",C1399))+ISNUMBER(SEARCH("Head of Marketing",C1399))+ISNUMBER(SEARCH("Head Marketing",C1399))&gt;0,'Configuración'!$B$32,IF(ISNUMBER(SEARCH("Marketing Manager",C1399))+ISNUMBER(SEARCH("Gerente de Marketing",C1399))+ISNUMBER(SEARCH("Growth Manager",C1399))+ISNUMBER(SEARCH("Demand Gen",C1399))+ISNUMBER(SEARCH("Marketing Lead",C1399))&gt;0,'Configuración'!$B$33,IF(ISNUMBER(SEARCH("COO",C1399))+ISNUMBER(SEARCH("CFO",C1399))+ISNUMBER(SEARCH("CTO",C1399))+ISNUMBER(SEARCH("Chief Operating",C1399))+ISNUMBER(SEARCH("Chief Financial",C1399))+ISNUMBER(SEARCH("Gerente General",C1399))+ISNUMBER(SEARCH("General Manager",C1399))&gt;0,'Configuración'!$B$34,'Configuración'!$B$35)))))</f>
        <v>12</v>
      </c>
      <c r="V1399" s="38">
        <f>IF(B1399="","",IF(K1399="Sí",'Configuración'!$B$5,0)+IF(L1399="Semanal",'Configuración'!$B$6,IF(L1399="Mensual",'Configuración'!$B$7,0))+IF(M1399="Sí",'Configuración'!$B$8,0)+IF(N1399="Sí",'Configuración'!$B$9,0)+IF(O1399="Sí",'Configuración'!$B$10,0)+IF(P1399="Sí",'Configuración'!$B$11,0)+IF(Q1399="Sí",'Configuración'!$B$12,0)+S1399+T1399+U1399)</f>
        <v>28</v>
      </c>
      <c r="W1399" s="39" t="str">
        <f>IF(B1399="","",IF(V1399&gt;='Configuración'!$B$19,"A",IF(V1399&gt;='Configuración'!$B$20,"B",IF(V1399&gt;='Configuración'!$B$21,"C","Descarte"))))</f>
        <v>C</v>
      </c>
    </row>
    <row r="1400" ht="15.75" customHeight="1">
      <c r="A1400" s="34">
        <f t="shared" si="1"/>
        <v>1398</v>
      </c>
      <c r="B1400" s="29" t="s">
        <v>5999</v>
      </c>
      <c r="C1400" s="29" t="s">
        <v>146</v>
      </c>
      <c r="D1400" s="29" t="s">
        <v>7931</v>
      </c>
      <c r="E1400" s="29" t="s">
        <v>7932</v>
      </c>
      <c r="F1400" s="30" t="s">
        <v>7933</v>
      </c>
      <c r="G1400" s="30" t="s">
        <v>7934</v>
      </c>
      <c r="H1400" s="42" t="s">
        <v>7935</v>
      </c>
      <c r="I1400" s="29" t="s">
        <v>5523</v>
      </c>
      <c r="J1400" s="31">
        <v>48.0</v>
      </c>
      <c r="K1400" s="35"/>
      <c r="L1400" s="35"/>
      <c r="M1400" s="35"/>
      <c r="N1400" s="35"/>
      <c r="O1400" s="35"/>
      <c r="P1400" s="35"/>
      <c r="Q1400" s="35"/>
      <c r="R1400" s="35"/>
      <c r="S1400" s="37">
        <f>IF(B1400="","",IF(ISNUMBER(J1400),IF(J1400&lt;=10,'Configuración'!$B$23,IF(J1400&lt;=50,'Configuración'!$B$24,IF(J1400&lt;=200,'Configuración'!$B$25,0))),0))</f>
        <v>4</v>
      </c>
      <c r="T1400" s="37">
        <f>IF(B1400="","",IF(ISNUMBER(SEARCH("information technology",I1400))+ISNUMBER(SEARCH("software",I1400))+ISNUMBER(SEARCH("internet",I1400))+ISNUMBER(SEARCH("computer",I1400))+ISNUMBER(SEARCH("saas",I1400))+ISNUMBER(SEARCH("fintech",I1400))+ISNUMBER(SEARCH("information services",I1400))+ISNUMBER(SEARCH("telecommunications",I1400))&gt;0,'Configuración'!$B$27,'Configuración'!$B$28))</f>
        <v>4</v>
      </c>
      <c r="U1400" s="25">
        <f>IF(B1400="","",IF(ISNUMBER(SEARCH("CEO",C1400))+ISNUMBER(SEARCH("Founder",C1400))+ISNUMBER(SEARCH("Owner",C1400))+ISNUMBER(SEARCH("Dueño",C1400))+ISNUMBER(SEARCH("Director General",C1400))+ISNUMBER(SEARCH("Presidente",C1400))+ISNUMBER(SEARCH("President",C1400))&gt;0,'Configuración'!$B$31,IF(ISNUMBER(SEARCH("CMO",C1400))+ISNUMBER(SEARCH("Chief Marketing",C1400))+ISNUMBER(SEARCH("VP Marketing",C1400))+ISNUMBER(SEARCH("Director de Marketing",C1400))+ISNUMBER(SEARCH("Director Marketing",C1400))+ISNUMBER(SEARCH("Head of Marketing",C1400))+ISNUMBER(SEARCH("Head Marketing",C1400))&gt;0,'Configuración'!$B$32,IF(ISNUMBER(SEARCH("Marketing Manager",C1400))+ISNUMBER(SEARCH("Gerente de Marketing",C1400))+ISNUMBER(SEARCH("Growth Manager",C1400))+ISNUMBER(SEARCH("Demand Gen",C1400))+ISNUMBER(SEARCH("Marketing Lead",C1400))&gt;0,'Configuración'!$B$33,IF(ISNUMBER(SEARCH("COO",C1400))+ISNUMBER(SEARCH("CFO",C1400))+ISNUMBER(SEARCH("CTO",C1400))+ISNUMBER(SEARCH("Chief Operating",C1400))+ISNUMBER(SEARCH("Chief Financial",C1400))+ISNUMBER(SEARCH("Gerente General",C1400))+ISNUMBER(SEARCH("General Manager",C1400))&gt;0,'Configuración'!$B$34,'Configuración'!$B$35)))))</f>
        <v>0</v>
      </c>
      <c r="V1400" s="38">
        <f>IF(B1400="","",IF(K1400="Sí",'Configuración'!$B$5,0)+IF(L1400="Semanal",'Configuración'!$B$6,IF(L1400="Mensual",'Configuración'!$B$7,0))+IF(M1400="Sí",'Configuración'!$B$8,0)+IF(N1400="Sí",'Configuración'!$B$9,0)+IF(O1400="Sí",'Configuración'!$B$10,0)+IF(P1400="Sí",'Configuración'!$B$11,0)+IF(Q1400="Sí",'Configuración'!$B$12,0)+S1400+T1400+U1400)</f>
        <v>8</v>
      </c>
      <c r="W1400" s="39" t="str">
        <f>IF(B1400="","",IF(V1400&gt;='Configuración'!$B$19,"A",IF(V1400&gt;='Configuración'!$B$20,"B",IF(V1400&gt;='Configuración'!$B$21,"C","Descarte"))))</f>
        <v>Descarte</v>
      </c>
    </row>
    <row r="1401" ht="15.75" customHeight="1">
      <c r="A1401" s="34">
        <f t="shared" si="1"/>
        <v>1399</v>
      </c>
      <c r="B1401" s="29" t="s">
        <v>1103</v>
      </c>
      <c r="C1401" s="29" t="s">
        <v>7936</v>
      </c>
      <c r="D1401" s="29" t="s">
        <v>7937</v>
      </c>
      <c r="E1401" s="29" t="s">
        <v>7938</v>
      </c>
      <c r="F1401" s="30" t="s">
        <v>7939</v>
      </c>
      <c r="G1401" s="30" t="s">
        <v>7940</v>
      </c>
      <c r="H1401" s="42" t="s">
        <v>7941</v>
      </c>
      <c r="I1401" s="29" t="s">
        <v>127</v>
      </c>
      <c r="J1401" s="31">
        <v>19.0</v>
      </c>
      <c r="K1401" s="35"/>
      <c r="L1401" s="35"/>
      <c r="M1401" s="35"/>
      <c r="N1401" s="35"/>
      <c r="O1401" s="35"/>
      <c r="P1401" s="35"/>
      <c r="Q1401" s="35"/>
      <c r="R1401" s="35"/>
      <c r="S1401" s="37">
        <f>IF(B1401="","",IF(ISNUMBER(J1401),IF(J1401&lt;=10,'Configuración'!$B$23,IF(J1401&lt;=50,'Configuración'!$B$24,IF(J1401&lt;=200,'Configuración'!$B$25,0))),0))</f>
        <v>4</v>
      </c>
      <c r="T1401" s="37">
        <f>IF(B1401="","",IF(ISNUMBER(SEARCH("information technology",I1401))+ISNUMBER(SEARCH("software",I1401))+ISNUMBER(SEARCH("internet",I1401))+ISNUMBER(SEARCH("computer",I1401))+ISNUMBER(SEARCH("saas",I1401))+ISNUMBER(SEARCH("fintech",I1401))+ISNUMBER(SEARCH("information services",I1401))+ISNUMBER(SEARCH("telecommunications",I1401))&gt;0,'Configuración'!$B$27,'Configuración'!$B$28))</f>
        <v>12</v>
      </c>
      <c r="U1401" s="25">
        <f>IF(B1401="","",IF(ISNUMBER(SEARCH("CEO",C1401))+ISNUMBER(SEARCH("Founder",C1401))+ISNUMBER(SEARCH("Owner",C1401))+ISNUMBER(SEARCH("Dueño",C1401))+ISNUMBER(SEARCH("Director General",C1401))+ISNUMBER(SEARCH("Presidente",C1401))+ISNUMBER(SEARCH("President",C1401))&gt;0,'Configuración'!$B$31,IF(ISNUMBER(SEARCH("CMO",C1401))+ISNUMBER(SEARCH("Chief Marketing",C1401))+ISNUMBER(SEARCH("VP Marketing",C1401))+ISNUMBER(SEARCH("Director de Marketing",C1401))+ISNUMBER(SEARCH("Director Marketing",C1401))+ISNUMBER(SEARCH("Head of Marketing",C1401))+ISNUMBER(SEARCH("Head Marketing",C1401))&gt;0,'Configuración'!$B$32,IF(ISNUMBER(SEARCH("Marketing Manager",C1401))+ISNUMBER(SEARCH("Gerente de Marketing",C1401))+ISNUMBER(SEARCH("Growth Manager",C1401))+ISNUMBER(SEARCH("Demand Gen",C1401))+ISNUMBER(SEARCH("Marketing Lead",C1401))&gt;0,'Configuración'!$B$33,IF(ISNUMBER(SEARCH("COO",C1401))+ISNUMBER(SEARCH("CFO",C1401))+ISNUMBER(SEARCH("CTO",C1401))+ISNUMBER(SEARCH("Chief Operating",C1401))+ISNUMBER(SEARCH("Chief Financial",C1401))+ISNUMBER(SEARCH("Gerente General",C1401))+ISNUMBER(SEARCH("General Manager",C1401))&gt;0,'Configuración'!$B$34,'Configuración'!$B$35)))))</f>
        <v>12</v>
      </c>
      <c r="V1401" s="38">
        <f>IF(B1401="","",IF(K1401="Sí",'Configuración'!$B$5,0)+IF(L1401="Semanal",'Configuración'!$B$6,IF(L1401="Mensual",'Configuración'!$B$7,0))+IF(M1401="Sí",'Configuración'!$B$8,0)+IF(N1401="Sí",'Configuración'!$B$9,0)+IF(O1401="Sí",'Configuración'!$B$10,0)+IF(P1401="Sí",'Configuración'!$B$11,0)+IF(Q1401="Sí",'Configuración'!$B$12,0)+S1401+T1401+U1401)</f>
        <v>28</v>
      </c>
      <c r="W1401" s="39" t="str">
        <f>IF(B1401="","",IF(V1401&gt;='Configuración'!$B$19,"A",IF(V1401&gt;='Configuración'!$B$20,"B",IF(V1401&gt;='Configuración'!$B$21,"C","Descarte"))))</f>
        <v>C</v>
      </c>
    </row>
    <row r="1402" ht="15.75" customHeight="1">
      <c r="A1402" s="34">
        <f t="shared" si="1"/>
        <v>1400</v>
      </c>
      <c r="B1402" s="29" t="s">
        <v>813</v>
      </c>
      <c r="C1402" s="29" t="s">
        <v>7942</v>
      </c>
      <c r="D1402" s="29" t="s">
        <v>7943</v>
      </c>
      <c r="E1402" s="29" t="s">
        <v>7944</v>
      </c>
      <c r="F1402" s="30" t="s">
        <v>7945</v>
      </c>
      <c r="G1402" s="30" t="s">
        <v>7946</v>
      </c>
      <c r="H1402" s="42" t="s">
        <v>7947</v>
      </c>
      <c r="I1402" s="29" t="s">
        <v>2651</v>
      </c>
      <c r="J1402" s="31">
        <v>3.0</v>
      </c>
      <c r="K1402" s="35"/>
      <c r="L1402" s="35"/>
      <c r="M1402" s="35"/>
      <c r="N1402" s="35"/>
      <c r="O1402" s="35"/>
      <c r="P1402" s="35"/>
      <c r="Q1402" s="35"/>
      <c r="R1402" s="35"/>
      <c r="S1402" s="37">
        <f>IF(B1402="","",IF(ISNUMBER(J1402),IF(J1402&lt;=10,'Configuración'!$B$23,IF(J1402&lt;=50,'Configuración'!$B$24,IF(J1402&lt;=200,'Configuración'!$B$25,0))),0))</f>
        <v>12</v>
      </c>
      <c r="T1402" s="37">
        <f>IF(B1402="","",IF(ISNUMBER(SEARCH("information technology",I1402))+ISNUMBER(SEARCH("software",I1402))+ISNUMBER(SEARCH("internet",I1402))+ISNUMBER(SEARCH("computer",I1402))+ISNUMBER(SEARCH("saas",I1402))+ISNUMBER(SEARCH("fintech",I1402))+ISNUMBER(SEARCH("information services",I1402))+ISNUMBER(SEARCH("telecommunications",I1402))&gt;0,'Configuración'!$B$27,'Configuración'!$B$28))</f>
        <v>4</v>
      </c>
      <c r="U1402" s="25">
        <f>IF(B1402="","",IF(ISNUMBER(SEARCH("CEO",C1402))+ISNUMBER(SEARCH("Founder",C1402))+ISNUMBER(SEARCH("Owner",C1402))+ISNUMBER(SEARCH("Dueño",C1402))+ISNUMBER(SEARCH("Director General",C1402))+ISNUMBER(SEARCH("Presidente",C1402))+ISNUMBER(SEARCH("President",C1402))&gt;0,'Configuración'!$B$31,IF(ISNUMBER(SEARCH("CMO",C1402))+ISNUMBER(SEARCH("Chief Marketing",C1402))+ISNUMBER(SEARCH("VP Marketing",C1402))+ISNUMBER(SEARCH("Director de Marketing",C1402))+ISNUMBER(SEARCH("Director Marketing",C1402))+ISNUMBER(SEARCH("Head of Marketing",C1402))+ISNUMBER(SEARCH("Head Marketing",C1402))&gt;0,'Configuración'!$B$32,IF(ISNUMBER(SEARCH("Marketing Manager",C1402))+ISNUMBER(SEARCH("Gerente de Marketing",C1402))+ISNUMBER(SEARCH("Growth Manager",C1402))+ISNUMBER(SEARCH("Demand Gen",C1402))+ISNUMBER(SEARCH("Marketing Lead",C1402))&gt;0,'Configuración'!$B$33,IF(ISNUMBER(SEARCH("COO",C1402))+ISNUMBER(SEARCH("CFO",C1402))+ISNUMBER(SEARCH("CTO",C1402))+ISNUMBER(SEARCH("Chief Operating",C1402))+ISNUMBER(SEARCH("Chief Financial",C1402))+ISNUMBER(SEARCH("Gerente General",C1402))+ISNUMBER(SEARCH("General Manager",C1402))&gt;0,'Configuración'!$B$34,'Configuración'!$B$35)))))</f>
        <v>12</v>
      </c>
      <c r="V1402" s="38">
        <f>IF(B1402="","",IF(K1402="Sí",'Configuración'!$B$5,0)+IF(L1402="Semanal",'Configuración'!$B$6,IF(L1402="Mensual",'Configuración'!$B$7,0))+IF(M1402="Sí",'Configuración'!$B$8,0)+IF(N1402="Sí",'Configuración'!$B$9,0)+IF(O1402="Sí",'Configuración'!$B$10,0)+IF(P1402="Sí",'Configuración'!$B$11,0)+IF(Q1402="Sí",'Configuración'!$B$12,0)+S1402+T1402+U1402)</f>
        <v>28</v>
      </c>
      <c r="W1402" s="39" t="str">
        <f>IF(B1402="","",IF(V1402&gt;='Configuración'!$B$19,"A",IF(V1402&gt;='Configuración'!$B$20,"B",IF(V1402&gt;='Configuración'!$B$21,"C","Descarte"))))</f>
        <v>C</v>
      </c>
    </row>
    <row r="1403" ht="15.75" customHeight="1">
      <c r="A1403" s="34">
        <f t="shared" si="1"/>
        <v>1401</v>
      </c>
      <c r="B1403" s="29" t="s">
        <v>174</v>
      </c>
      <c r="C1403" s="29" t="s">
        <v>487</v>
      </c>
      <c r="D1403" s="29" t="s">
        <v>7948</v>
      </c>
      <c r="E1403" s="29" t="s">
        <v>7949</v>
      </c>
      <c r="F1403" s="30" t="s">
        <v>7950</v>
      </c>
      <c r="G1403" s="30" t="s">
        <v>7951</v>
      </c>
      <c r="H1403" s="42" t="s">
        <v>7952</v>
      </c>
      <c r="I1403" s="29" t="s">
        <v>337</v>
      </c>
      <c r="J1403" s="31">
        <v>1.0</v>
      </c>
      <c r="K1403" s="35"/>
      <c r="L1403" s="35"/>
      <c r="M1403" s="35"/>
      <c r="N1403" s="35"/>
      <c r="O1403" s="35"/>
      <c r="P1403" s="35"/>
      <c r="Q1403" s="35"/>
      <c r="R1403" s="35"/>
      <c r="S1403" s="37">
        <f>IF(B1403="","",IF(ISNUMBER(J1403),IF(J1403&lt;=10,'Configuración'!$B$23,IF(J1403&lt;=50,'Configuración'!$B$24,IF(J1403&lt;=200,'Configuración'!$B$25,0))),0))</f>
        <v>12</v>
      </c>
      <c r="T1403" s="37">
        <f>IF(B1403="","",IF(ISNUMBER(SEARCH("information technology",I1403))+ISNUMBER(SEARCH("software",I1403))+ISNUMBER(SEARCH("internet",I1403))+ISNUMBER(SEARCH("computer",I1403))+ISNUMBER(SEARCH("saas",I1403))+ISNUMBER(SEARCH("fintech",I1403))+ISNUMBER(SEARCH("information services",I1403))+ISNUMBER(SEARCH("telecommunications",I1403))&gt;0,'Configuración'!$B$27,'Configuración'!$B$28))</f>
        <v>4</v>
      </c>
      <c r="U1403" s="25">
        <f>IF(B1403="","",IF(ISNUMBER(SEARCH("CEO",C1403))+ISNUMBER(SEARCH("Founder",C1403))+ISNUMBER(SEARCH("Owner",C1403))+ISNUMBER(SEARCH("Dueño",C1403))+ISNUMBER(SEARCH("Director General",C1403))+ISNUMBER(SEARCH("Presidente",C1403))+ISNUMBER(SEARCH("President",C1403))&gt;0,'Configuración'!$B$31,IF(ISNUMBER(SEARCH("CMO",C1403))+ISNUMBER(SEARCH("Chief Marketing",C1403))+ISNUMBER(SEARCH("VP Marketing",C1403))+ISNUMBER(SEARCH("Director de Marketing",C1403))+ISNUMBER(SEARCH("Director Marketing",C1403))+ISNUMBER(SEARCH("Head of Marketing",C1403))+ISNUMBER(SEARCH("Head Marketing",C1403))&gt;0,'Configuración'!$B$32,IF(ISNUMBER(SEARCH("Marketing Manager",C1403))+ISNUMBER(SEARCH("Gerente de Marketing",C1403))+ISNUMBER(SEARCH("Growth Manager",C1403))+ISNUMBER(SEARCH("Demand Gen",C1403))+ISNUMBER(SEARCH("Marketing Lead",C1403))&gt;0,'Configuración'!$B$33,IF(ISNUMBER(SEARCH("COO",C1403))+ISNUMBER(SEARCH("CFO",C1403))+ISNUMBER(SEARCH("CTO",C1403))+ISNUMBER(SEARCH("Chief Operating",C1403))+ISNUMBER(SEARCH("Chief Financial",C1403))+ISNUMBER(SEARCH("Gerente General",C1403))+ISNUMBER(SEARCH("General Manager",C1403))&gt;0,'Configuración'!$B$34,'Configuración'!$B$35)))))</f>
        <v>12</v>
      </c>
      <c r="V1403" s="38">
        <f>IF(B1403="","",IF(K1403="Sí",'Configuración'!$B$5,0)+IF(L1403="Semanal",'Configuración'!$B$6,IF(L1403="Mensual",'Configuración'!$B$7,0))+IF(M1403="Sí",'Configuración'!$B$8,0)+IF(N1403="Sí",'Configuración'!$B$9,0)+IF(O1403="Sí",'Configuración'!$B$10,0)+IF(P1403="Sí",'Configuración'!$B$11,0)+IF(Q1403="Sí",'Configuración'!$B$12,0)+S1403+T1403+U1403)</f>
        <v>28</v>
      </c>
      <c r="W1403" s="39" t="str">
        <f>IF(B1403="","",IF(V1403&gt;='Configuración'!$B$19,"A",IF(V1403&gt;='Configuración'!$B$20,"B",IF(V1403&gt;='Configuración'!$B$21,"C","Descarte"))))</f>
        <v>C</v>
      </c>
    </row>
    <row r="1404" ht="15.75" customHeight="1">
      <c r="A1404" s="34">
        <f t="shared" si="1"/>
        <v>1402</v>
      </c>
      <c r="B1404" s="29" t="s">
        <v>174</v>
      </c>
      <c r="C1404" s="29" t="s">
        <v>131</v>
      </c>
      <c r="D1404" s="29" t="s">
        <v>7953</v>
      </c>
      <c r="E1404" s="29" t="s">
        <v>7954</v>
      </c>
      <c r="F1404" s="30" t="s">
        <v>7955</v>
      </c>
      <c r="G1404" s="30" t="s">
        <v>7956</v>
      </c>
      <c r="H1404" s="42" t="s">
        <v>7957</v>
      </c>
      <c r="I1404" s="29" t="s">
        <v>127</v>
      </c>
      <c r="J1404" s="31">
        <v>22.0</v>
      </c>
      <c r="K1404" s="35"/>
      <c r="L1404" s="35"/>
      <c r="M1404" s="35"/>
      <c r="N1404" s="35"/>
      <c r="O1404" s="35"/>
      <c r="P1404" s="35"/>
      <c r="Q1404" s="35"/>
      <c r="R1404" s="35"/>
      <c r="S1404" s="37">
        <f>IF(B1404="","",IF(ISNUMBER(J1404),IF(J1404&lt;=10,'Configuración'!$B$23,IF(J1404&lt;=50,'Configuración'!$B$24,IF(J1404&lt;=200,'Configuración'!$B$25,0))),0))</f>
        <v>4</v>
      </c>
      <c r="T1404" s="37">
        <f>IF(B1404="","",IF(ISNUMBER(SEARCH("information technology",I1404))+ISNUMBER(SEARCH("software",I1404))+ISNUMBER(SEARCH("internet",I1404))+ISNUMBER(SEARCH("computer",I1404))+ISNUMBER(SEARCH("saas",I1404))+ISNUMBER(SEARCH("fintech",I1404))+ISNUMBER(SEARCH("information services",I1404))+ISNUMBER(SEARCH("telecommunications",I1404))&gt;0,'Configuración'!$B$27,'Configuración'!$B$28))</f>
        <v>12</v>
      </c>
      <c r="U1404" s="25">
        <f>IF(B1404="","",IF(ISNUMBER(SEARCH("CEO",C1404))+ISNUMBER(SEARCH("Founder",C1404))+ISNUMBER(SEARCH("Owner",C1404))+ISNUMBER(SEARCH("Dueño",C1404))+ISNUMBER(SEARCH("Director General",C1404))+ISNUMBER(SEARCH("Presidente",C1404))+ISNUMBER(SEARCH("President",C1404))&gt;0,'Configuración'!$B$31,IF(ISNUMBER(SEARCH("CMO",C1404))+ISNUMBER(SEARCH("Chief Marketing",C1404))+ISNUMBER(SEARCH("VP Marketing",C1404))+ISNUMBER(SEARCH("Director de Marketing",C1404))+ISNUMBER(SEARCH("Director Marketing",C1404))+ISNUMBER(SEARCH("Head of Marketing",C1404))+ISNUMBER(SEARCH("Head Marketing",C1404))&gt;0,'Configuración'!$B$32,IF(ISNUMBER(SEARCH("Marketing Manager",C1404))+ISNUMBER(SEARCH("Gerente de Marketing",C1404))+ISNUMBER(SEARCH("Growth Manager",C1404))+ISNUMBER(SEARCH("Demand Gen",C1404))+ISNUMBER(SEARCH("Marketing Lead",C1404))&gt;0,'Configuración'!$B$33,IF(ISNUMBER(SEARCH("COO",C1404))+ISNUMBER(SEARCH("CFO",C1404))+ISNUMBER(SEARCH("CTO",C1404))+ISNUMBER(SEARCH("Chief Operating",C1404))+ISNUMBER(SEARCH("Chief Financial",C1404))+ISNUMBER(SEARCH("Gerente General",C1404))+ISNUMBER(SEARCH("General Manager",C1404))&gt;0,'Configuración'!$B$34,'Configuración'!$B$35)))))</f>
        <v>12</v>
      </c>
      <c r="V1404" s="38">
        <f>IF(B1404="","",IF(K1404="Sí",'Configuración'!$B$5,0)+IF(L1404="Semanal",'Configuración'!$B$6,IF(L1404="Mensual",'Configuración'!$B$7,0))+IF(M1404="Sí",'Configuración'!$B$8,0)+IF(N1404="Sí",'Configuración'!$B$9,0)+IF(O1404="Sí",'Configuración'!$B$10,0)+IF(P1404="Sí",'Configuración'!$B$11,0)+IF(Q1404="Sí",'Configuración'!$B$12,0)+S1404+T1404+U1404)</f>
        <v>28</v>
      </c>
      <c r="W1404" s="39" t="str">
        <f>IF(B1404="","",IF(V1404&gt;='Configuración'!$B$19,"A",IF(V1404&gt;='Configuración'!$B$20,"B",IF(V1404&gt;='Configuración'!$B$21,"C","Descarte"))))</f>
        <v>C</v>
      </c>
    </row>
    <row r="1405" ht="15.75" customHeight="1">
      <c r="A1405" s="34">
        <f t="shared" si="1"/>
        <v>1403</v>
      </c>
      <c r="B1405" s="29" t="s">
        <v>610</v>
      </c>
      <c r="C1405" s="29" t="s">
        <v>131</v>
      </c>
      <c r="D1405" s="29" t="s">
        <v>7958</v>
      </c>
      <c r="E1405" s="29" t="s">
        <v>7959</v>
      </c>
      <c r="F1405" s="30" t="s">
        <v>7960</v>
      </c>
      <c r="G1405" s="30" t="s">
        <v>7961</v>
      </c>
      <c r="H1405" s="42" t="s">
        <v>7962</v>
      </c>
      <c r="I1405" s="29" t="s">
        <v>1277</v>
      </c>
      <c r="J1405" s="31">
        <v>33.0</v>
      </c>
      <c r="K1405" s="35"/>
      <c r="L1405" s="35"/>
      <c r="M1405" s="35"/>
      <c r="N1405" s="35"/>
      <c r="O1405" s="35"/>
      <c r="P1405" s="35"/>
      <c r="Q1405" s="35"/>
      <c r="R1405" s="35"/>
      <c r="S1405" s="37">
        <f>IF(B1405="","",IF(ISNUMBER(J1405),IF(J1405&lt;=10,'Configuración'!$B$23,IF(J1405&lt;=50,'Configuración'!$B$24,IF(J1405&lt;=200,'Configuración'!$B$25,0))),0))</f>
        <v>4</v>
      </c>
      <c r="T1405" s="37">
        <f>IF(B1405="","",IF(ISNUMBER(SEARCH("information technology",I1405))+ISNUMBER(SEARCH("software",I1405))+ISNUMBER(SEARCH("internet",I1405))+ISNUMBER(SEARCH("computer",I1405))+ISNUMBER(SEARCH("saas",I1405))+ISNUMBER(SEARCH("fintech",I1405))+ISNUMBER(SEARCH("information services",I1405))+ISNUMBER(SEARCH("telecommunications",I1405))&gt;0,'Configuración'!$B$27,'Configuración'!$B$28))</f>
        <v>4</v>
      </c>
      <c r="U1405" s="25">
        <f>IF(B1405="","",IF(ISNUMBER(SEARCH("CEO",C1405))+ISNUMBER(SEARCH("Founder",C1405))+ISNUMBER(SEARCH("Owner",C1405))+ISNUMBER(SEARCH("Dueño",C1405))+ISNUMBER(SEARCH("Director General",C1405))+ISNUMBER(SEARCH("Presidente",C1405))+ISNUMBER(SEARCH("President",C1405))&gt;0,'Configuración'!$B$31,IF(ISNUMBER(SEARCH("CMO",C1405))+ISNUMBER(SEARCH("Chief Marketing",C1405))+ISNUMBER(SEARCH("VP Marketing",C1405))+ISNUMBER(SEARCH("Director de Marketing",C1405))+ISNUMBER(SEARCH("Director Marketing",C1405))+ISNUMBER(SEARCH("Head of Marketing",C1405))+ISNUMBER(SEARCH("Head Marketing",C1405))&gt;0,'Configuración'!$B$32,IF(ISNUMBER(SEARCH("Marketing Manager",C1405))+ISNUMBER(SEARCH("Gerente de Marketing",C1405))+ISNUMBER(SEARCH("Growth Manager",C1405))+ISNUMBER(SEARCH("Demand Gen",C1405))+ISNUMBER(SEARCH("Marketing Lead",C1405))&gt;0,'Configuración'!$B$33,IF(ISNUMBER(SEARCH("COO",C1405))+ISNUMBER(SEARCH("CFO",C1405))+ISNUMBER(SEARCH("CTO",C1405))+ISNUMBER(SEARCH("Chief Operating",C1405))+ISNUMBER(SEARCH("Chief Financial",C1405))+ISNUMBER(SEARCH("Gerente General",C1405))+ISNUMBER(SEARCH("General Manager",C1405))&gt;0,'Configuración'!$B$34,'Configuración'!$B$35)))))</f>
        <v>12</v>
      </c>
      <c r="V1405" s="38">
        <f>IF(B1405="","",IF(K1405="Sí",'Configuración'!$B$5,0)+IF(L1405="Semanal",'Configuración'!$B$6,IF(L1405="Mensual",'Configuración'!$B$7,0))+IF(M1405="Sí",'Configuración'!$B$8,0)+IF(N1405="Sí",'Configuración'!$B$9,0)+IF(O1405="Sí",'Configuración'!$B$10,0)+IF(P1405="Sí",'Configuración'!$B$11,0)+IF(Q1405="Sí",'Configuración'!$B$12,0)+S1405+T1405+U1405)</f>
        <v>20</v>
      </c>
      <c r="W1405" s="39" t="str">
        <f>IF(B1405="","",IF(V1405&gt;='Configuración'!$B$19,"A",IF(V1405&gt;='Configuración'!$B$20,"B",IF(V1405&gt;='Configuración'!$B$21,"C","Descarte"))))</f>
        <v>Descarte</v>
      </c>
    </row>
    <row r="1406" ht="15.75" customHeight="1">
      <c r="A1406" s="34">
        <f t="shared" si="1"/>
        <v>1404</v>
      </c>
      <c r="B1406" s="29" t="s">
        <v>1137</v>
      </c>
      <c r="C1406" s="29" t="s">
        <v>2806</v>
      </c>
      <c r="D1406" s="29" t="s">
        <v>7963</v>
      </c>
      <c r="E1406" s="29" t="s">
        <v>7964</v>
      </c>
      <c r="F1406" s="30" t="s">
        <v>7965</v>
      </c>
      <c r="G1406" s="30" t="s">
        <v>7966</v>
      </c>
      <c r="H1406" s="42" t="s">
        <v>7967</v>
      </c>
      <c r="I1406" s="29" t="s">
        <v>127</v>
      </c>
      <c r="J1406" s="31">
        <v>4.0</v>
      </c>
      <c r="K1406" s="35"/>
      <c r="L1406" s="35"/>
      <c r="M1406" s="35"/>
      <c r="N1406" s="35"/>
      <c r="O1406" s="35"/>
      <c r="P1406" s="35"/>
      <c r="Q1406" s="35"/>
      <c r="R1406" s="35"/>
      <c r="S1406" s="37">
        <f>IF(B1406="","",IF(ISNUMBER(J1406),IF(J1406&lt;=10,'Configuración'!$B$23,IF(J1406&lt;=50,'Configuración'!$B$24,IF(J1406&lt;=200,'Configuración'!$B$25,0))),0))</f>
        <v>12</v>
      </c>
      <c r="T1406" s="37">
        <f>IF(B1406="","",IF(ISNUMBER(SEARCH("information technology",I1406))+ISNUMBER(SEARCH("software",I1406))+ISNUMBER(SEARCH("internet",I1406))+ISNUMBER(SEARCH("computer",I1406))+ISNUMBER(SEARCH("saas",I1406))+ISNUMBER(SEARCH("fintech",I1406))+ISNUMBER(SEARCH("information services",I1406))+ISNUMBER(SEARCH("telecommunications",I1406))&gt;0,'Configuración'!$B$27,'Configuración'!$B$28))</f>
        <v>12</v>
      </c>
      <c r="U1406" s="25">
        <f>IF(B1406="","",IF(ISNUMBER(SEARCH("CEO",C1406))+ISNUMBER(SEARCH("Founder",C1406))+ISNUMBER(SEARCH("Owner",C1406))+ISNUMBER(SEARCH("Dueño",C1406))+ISNUMBER(SEARCH("Director General",C1406))+ISNUMBER(SEARCH("Presidente",C1406))+ISNUMBER(SEARCH("President",C1406))&gt;0,'Configuración'!$B$31,IF(ISNUMBER(SEARCH("CMO",C1406))+ISNUMBER(SEARCH("Chief Marketing",C1406))+ISNUMBER(SEARCH("VP Marketing",C1406))+ISNUMBER(SEARCH("Director de Marketing",C1406))+ISNUMBER(SEARCH("Director Marketing",C1406))+ISNUMBER(SEARCH("Head of Marketing",C1406))+ISNUMBER(SEARCH("Head Marketing",C1406))&gt;0,'Configuración'!$B$32,IF(ISNUMBER(SEARCH("Marketing Manager",C1406))+ISNUMBER(SEARCH("Gerente de Marketing",C1406))+ISNUMBER(SEARCH("Growth Manager",C1406))+ISNUMBER(SEARCH("Demand Gen",C1406))+ISNUMBER(SEARCH("Marketing Lead",C1406))&gt;0,'Configuración'!$B$33,IF(ISNUMBER(SEARCH("COO",C1406))+ISNUMBER(SEARCH("CFO",C1406))+ISNUMBER(SEARCH("CTO",C1406))+ISNUMBER(SEARCH("Chief Operating",C1406))+ISNUMBER(SEARCH("Chief Financial",C1406))+ISNUMBER(SEARCH("Gerente General",C1406))+ISNUMBER(SEARCH("General Manager",C1406))&gt;0,'Configuración'!$B$34,'Configuración'!$B$35)))))</f>
        <v>12</v>
      </c>
      <c r="V1406" s="38">
        <f>IF(B1406="","",IF(K1406="Sí",'Configuración'!$B$5,0)+IF(L1406="Semanal",'Configuración'!$B$6,IF(L1406="Mensual",'Configuración'!$B$7,0))+IF(M1406="Sí",'Configuración'!$B$8,0)+IF(N1406="Sí",'Configuración'!$B$9,0)+IF(O1406="Sí",'Configuración'!$B$10,0)+IF(P1406="Sí",'Configuración'!$B$11,0)+IF(Q1406="Sí",'Configuración'!$B$12,0)+S1406+T1406+U1406)</f>
        <v>36</v>
      </c>
      <c r="W1406" s="39" t="str">
        <f>IF(B1406="","",IF(V1406&gt;='Configuración'!$B$19,"A",IF(V1406&gt;='Configuración'!$B$20,"B",IF(V1406&gt;='Configuración'!$B$21,"C","Descarte"))))</f>
        <v>C</v>
      </c>
    </row>
    <row r="1407" ht="15.75" customHeight="1">
      <c r="A1407" s="34">
        <f t="shared" si="1"/>
        <v>1405</v>
      </c>
      <c r="B1407" s="29" t="s">
        <v>138</v>
      </c>
      <c r="C1407" s="29" t="s">
        <v>304</v>
      </c>
      <c r="D1407" s="29" t="s">
        <v>7968</v>
      </c>
      <c r="E1407" s="29" t="s">
        <v>7969</v>
      </c>
      <c r="F1407" s="30" t="s">
        <v>7970</v>
      </c>
      <c r="G1407" s="30" t="s">
        <v>7971</v>
      </c>
      <c r="H1407" s="42" t="s">
        <v>7972</v>
      </c>
      <c r="I1407" s="29" t="s">
        <v>127</v>
      </c>
      <c r="J1407" s="31">
        <v>43.0</v>
      </c>
      <c r="K1407" s="35"/>
      <c r="L1407" s="35"/>
      <c r="M1407" s="35"/>
      <c r="N1407" s="35"/>
      <c r="O1407" s="35"/>
      <c r="P1407" s="35"/>
      <c r="Q1407" s="35"/>
      <c r="R1407" s="35"/>
      <c r="S1407" s="37">
        <f>IF(B1407="","",IF(ISNUMBER(J1407),IF(J1407&lt;=10,'Configuración'!$B$23,IF(J1407&lt;=50,'Configuración'!$B$24,IF(J1407&lt;=200,'Configuración'!$B$25,0))),0))</f>
        <v>4</v>
      </c>
      <c r="T1407" s="37">
        <f>IF(B1407="","",IF(ISNUMBER(SEARCH("information technology",I1407))+ISNUMBER(SEARCH("software",I1407))+ISNUMBER(SEARCH("internet",I1407))+ISNUMBER(SEARCH("computer",I1407))+ISNUMBER(SEARCH("saas",I1407))+ISNUMBER(SEARCH("fintech",I1407))+ISNUMBER(SEARCH("information services",I1407))+ISNUMBER(SEARCH("telecommunications",I1407))&gt;0,'Configuración'!$B$27,'Configuración'!$B$28))</f>
        <v>12</v>
      </c>
      <c r="U1407" s="25">
        <f>IF(B1407="","",IF(ISNUMBER(SEARCH("CEO",C1407))+ISNUMBER(SEARCH("Founder",C1407))+ISNUMBER(SEARCH("Owner",C1407))+ISNUMBER(SEARCH("Dueño",C1407))+ISNUMBER(SEARCH("Director General",C1407))+ISNUMBER(SEARCH("Presidente",C1407))+ISNUMBER(SEARCH("President",C1407))&gt;0,'Configuración'!$B$31,IF(ISNUMBER(SEARCH("CMO",C1407))+ISNUMBER(SEARCH("Chief Marketing",C1407))+ISNUMBER(SEARCH("VP Marketing",C1407))+ISNUMBER(SEARCH("Director de Marketing",C1407))+ISNUMBER(SEARCH("Director Marketing",C1407))+ISNUMBER(SEARCH("Head of Marketing",C1407))+ISNUMBER(SEARCH("Head Marketing",C1407))&gt;0,'Configuración'!$B$32,IF(ISNUMBER(SEARCH("Marketing Manager",C1407))+ISNUMBER(SEARCH("Gerente de Marketing",C1407))+ISNUMBER(SEARCH("Growth Manager",C1407))+ISNUMBER(SEARCH("Demand Gen",C1407))+ISNUMBER(SEARCH("Marketing Lead",C1407))&gt;0,'Configuración'!$B$33,IF(ISNUMBER(SEARCH("COO",C1407))+ISNUMBER(SEARCH("CFO",C1407))+ISNUMBER(SEARCH("CTO",C1407))+ISNUMBER(SEARCH("Chief Operating",C1407))+ISNUMBER(SEARCH("Chief Financial",C1407))+ISNUMBER(SEARCH("Gerente General",C1407))+ISNUMBER(SEARCH("General Manager",C1407))&gt;0,'Configuración'!$B$34,'Configuración'!$B$35)))))</f>
        <v>4</v>
      </c>
      <c r="V1407" s="38">
        <f>IF(B1407="","",IF(K1407="Sí",'Configuración'!$B$5,0)+IF(L1407="Semanal",'Configuración'!$B$6,IF(L1407="Mensual",'Configuración'!$B$7,0))+IF(M1407="Sí",'Configuración'!$B$8,0)+IF(N1407="Sí",'Configuración'!$B$9,0)+IF(O1407="Sí",'Configuración'!$B$10,0)+IF(P1407="Sí",'Configuración'!$B$11,0)+IF(Q1407="Sí",'Configuración'!$B$12,0)+S1407+T1407+U1407)</f>
        <v>20</v>
      </c>
      <c r="W1407" s="39" t="str">
        <f>IF(B1407="","",IF(V1407&gt;='Configuración'!$B$19,"A",IF(V1407&gt;='Configuración'!$B$20,"B",IF(V1407&gt;='Configuración'!$B$21,"C","Descarte"))))</f>
        <v>Descarte</v>
      </c>
    </row>
    <row r="1408" ht="15.75" customHeight="1">
      <c r="A1408" s="34">
        <f t="shared" si="1"/>
        <v>1406</v>
      </c>
      <c r="B1408" s="29" t="s">
        <v>1674</v>
      </c>
      <c r="C1408" s="29" t="s">
        <v>7973</v>
      </c>
      <c r="D1408" s="29" t="s">
        <v>7974</v>
      </c>
      <c r="E1408" s="29" t="s">
        <v>7975</v>
      </c>
      <c r="F1408" s="30" t="s">
        <v>7976</v>
      </c>
      <c r="G1408" s="30" t="s">
        <v>7977</v>
      </c>
      <c r="H1408" s="42" t="s">
        <v>7978</v>
      </c>
      <c r="I1408" s="29" t="s">
        <v>127</v>
      </c>
      <c r="J1408" s="31">
        <v>6.0</v>
      </c>
      <c r="K1408" s="35"/>
      <c r="L1408" s="35"/>
      <c r="M1408" s="35"/>
      <c r="N1408" s="35"/>
      <c r="O1408" s="35"/>
      <c r="P1408" s="35"/>
      <c r="Q1408" s="35"/>
      <c r="R1408" s="35"/>
      <c r="S1408" s="37">
        <f>IF(B1408="","",IF(ISNUMBER(J1408),IF(J1408&lt;=10,'Configuración'!$B$23,IF(J1408&lt;=50,'Configuración'!$B$24,IF(J1408&lt;=200,'Configuración'!$B$25,0))),0))</f>
        <v>12</v>
      </c>
      <c r="T1408" s="37">
        <f>IF(B1408="","",IF(ISNUMBER(SEARCH("information technology",I1408))+ISNUMBER(SEARCH("software",I1408))+ISNUMBER(SEARCH("internet",I1408))+ISNUMBER(SEARCH("computer",I1408))+ISNUMBER(SEARCH("saas",I1408))+ISNUMBER(SEARCH("fintech",I1408))+ISNUMBER(SEARCH("information services",I1408))+ISNUMBER(SEARCH("telecommunications",I1408))&gt;0,'Configuración'!$B$27,'Configuración'!$B$28))</f>
        <v>12</v>
      </c>
      <c r="U1408" s="25">
        <f>IF(B1408="","",IF(ISNUMBER(SEARCH("CEO",C1408))+ISNUMBER(SEARCH("Founder",C1408))+ISNUMBER(SEARCH("Owner",C1408))+ISNUMBER(SEARCH("Dueño",C1408))+ISNUMBER(SEARCH("Director General",C1408))+ISNUMBER(SEARCH("Presidente",C1408))+ISNUMBER(SEARCH("President",C1408))&gt;0,'Configuración'!$B$31,IF(ISNUMBER(SEARCH("CMO",C1408))+ISNUMBER(SEARCH("Chief Marketing",C1408))+ISNUMBER(SEARCH("VP Marketing",C1408))+ISNUMBER(SEARCH("Director de Marketing",C1408))+ISNUMBER(SEARCH("Director Marketing",C1408))+ISNUMBER(SEARCH("Head of Marketing",C1408))+ISNUMBER(SEARCH("Head Marketing",C1408))&gt;0,'Configuración'!$B$32,IF(ISNUMBER(SEARCH("Marketing Manager",C1408))+ISNUMBER(SEARCH("Gerente de Marketing",C1408))+ISNUMBER(SEARCH("Growth Manager",C1408))+ISNUMBER(SEARCH("Demand Gen",C1408))+ISNUMBER(SEARCH("Marketing Lead",C1408))&gt;0,'Configuración'!$B$33,IF(ISNUMBER(SEARCH("COO",C1408))+ISNUMBER(SEARCH("CFO",C1408))+ISNUMBER(SEARCH("CTO",C1408))+ISNUMBER(SEARCH("Chief Operating",C1408))+ISNUMBER(SEARCH("Chief Financial",C1408))+ISNUMBER(SEARCH("Gerente General",C1408))+ISNUMBER(SEARCH("General Manager",C1408))&gt;0,'Configuración'!$B$34,'Configuración'!$B$35)))))</f>
        <v>12</v>
      </c>
      <c r="V1408" s="38">
        <f>IF(B1408="","",IF(K1408="Sí",'Configuración'!$B$5,0)+IF(L1408="Semanal",'Configuración'!$B$6,IF(L1408="Mensual",'Configuración'!$B$7,0))+IF(M1408="Sí",'Configuración'!$B$8,0)+IF(N1408="Sí",'Configuración'!$B$9,0)+IF(O1408="Sí",'Configuración'!$B$10,0)+IF(P1408="Sí",'Configuración'!$B$11,0)+IF(Q1408="Sí",'Configuración'!$B$12,0)+S1408+T1408+U1408)</f>
        <v>36</v>
      </c>
      <c r="W1408" s="39" t="str">
        <f>IF(B1408="","",IF(V1408&gt;='Configuración'!$B$19,"A",IF(V1408&gt;='Configuración'!$B$20,"B",IF(V1408&gt;='Configuración'!$B$21,"C","Descarte"))))</f>
        <v>C</v>
      </c>
    </row>
    <row r="1409" ht="15.75" customHeight="1">
      <c r="A1409" s="34">
        <f t="shared" si="1"/>
        <v>1407</v>
      </c>
      <c r="B1409" s="29" t="s">
        <v>610</v>
      </c>
      <c r="C1409" s="29" t="s">
        <v>175</v>
      </c>
      <c r="D1409" s="29" t="s">
        <v>5875</v>
      </c>
      <c r="E1409" s="29" t="s">
        <v>7979</v>
      </c>
      <c r="F1409" s="30" t="s">
        <v>7980</v>
      </c>
      <c r="G1409" s="30" t="s">
        <v>5878</v>
      </c>
      <c r="H1409" s="42" t="s">
        <v>5879</v>
      </c>
      <c r="I1409" s="29" t="s">
        <v>127</v>
      </c>
      <c r="J1409" s="31">
        <v>3.0</v>
      </c>
      <c r="K1409" s="35"/>
      <c r="L1409" s="35"/>
      <c r="M1409" s="35"/>
      <c r="N1409" s="35"/>
      <c r="O1409" s="35"/>
      <c r="P1409" s="35"/>
      <c r="Q1409" s="35"/>
      <c r="R1409" s="35"/>
      <c r="S1409" s="37">
        <f>IF(B1409="","",IF(ISNUMBER(J1409),IF(J1409&lt;=10,'Configuración'!$B$23,IF(J1409&lt;=50,'Configuración'!$B$24,IF(J1409&lt;=200,'Configuración'!$B$25,0))),0))</f>
        <v>12</v>
      </c>
      <c r="T1409" s="37">
        <f>IF(B1409="","",IF(ISNUMBER(SEARCH("information technology",I1409))+ISNUMBER(SEARCH("software",I1409))+ISNUMBER(SEARCH("internet",I1409))+ISNUMBER(SEARCH("computer",I1409))+ISNUMBER(SEARCH("saas",I1409))+ISNUMBER(SEARCH("fintech",I1409))+ISNUMBER(SEARCH("information services",I1409))+ISNUMBER(SEARCH("telecommunications",I1409))&gt;0,'Configuración'!$B$27,'Configuración'!$B$28))</f>
        <v>12</v>
      </c>
      <c r="U1409" s="25">
        <f>IF(B1409="","",IF(ISNUMBER(SEARCH("CEO",C1409))+ISNUMBER(SEARCH("Founder",C1409))+ISNUMBER(SEARCH("Owner",C1409))+ISNUMBER(SEARCH("Dueño",C1409))+ISNUMBER(SEARCH("Director General",C1409))+ISNUMBER(SEARCH("Presidente",C1409))+ISNUMBER(SEARCH("President",C1409))&gt;0,'Configuración'!$B$31,IF(ISNUMBER(SEARCH("CMO",C1409))+ISNUMBER(SEARCH("Chief Marketing",C1409))+ISNUMBER(SEARCH("VP Marketing",C1409))+ISNUMBER(SEARCH("Director de Marketing",C1409))+ISNUMBER(SEARCH("Director Marketing",C1409))+ISNUMBER(SEARCH("Head of Marketing",C1409))+ISNUMBER(SEARCH("Head Marketing",C1409))&gt;0,'Configuración'!$B$32,IF(ISNUMBER(SEARCH("Marketing Manager",C1409))+ISNUMBER(SEARCH("Gerente de Marketing",C1409))+ISNUMBER(SEARCH("Growth Manager",C1409))+ISNUMBER(SEARCH("Demand Gen",C1409))+ISNUMBER(SEARCH("Marketing Lead",C1409))&gt;0,'Configuración'!$B$33,IF(ISNUMBER(SEARCH("COO",C1409))+ISNUMBER(SEARCH("CFO",C1409))+ISNUMBER(SEARCH("CTO",C1409))+ISNUMBER(SEARCH("Chief Operating",C1409))+ISNUMBER(SEARCH("Chief Financial",C1409))+ISNUMBER(SEARCH("Gerente General",C1409))+ISNUMBER(SEARCH("General Manager",C1409))&gt;0,'Configuración'!$B$34,'Configuración'!$B$35)))))</f>
        <v>12</v>
      </c>
      <c r="V1409" s="38">
        <f>IF(B1409="","",IF(K1409="Sí",'Configuración'!$B$5,0)+IF(L1409="Semanal",'Configuración'!$B$6,IF(L1409="Mensual",'Configuración'!$B$7,0))+IF(M1409="Sí",'Configuración'!$B$8,0)+IF(N1409="Sí",'Configuración'!$B$9,0)+IF(O1409="Sí",'Configuración'!$B$10,0)+IF(P1409="Sí",'Configuración'!$B$11,0)+IF(Q1409="Sí",'Configuración'!$B$12,0)+S1409+T1409+U1409)</f>
        <v>36</v>
      </c>
      <c r="W1409" s="39" t="str">
        <f>IF(B1409="","",IF(V1409&gt;='Configuración'!$B$19,"A",IF(V1409&gt;='Configuración'!$B$20,"B",IF(V1409&gt;='Configuración'!$B$21,"C","Descarte"))))</f>
        <v>C</v>
      </c>
    </row>
    <row r="1410" ht="15.75" customHeight="1">
      <c r="A1410" s="34">
        <f t="shared" si="1"/>
        <v>1408</v>
      </c>
      <c r="B1410" s="29" t="s">
        <v>236</v>
      </c>
      <c r="C1410" s="29" t="s">
        <v>202</v>
      </c>
      <c r="D1410" s="29" t="s">
        <v>7981</v>
      </c>
      <c r="E1410" s="29" t="s">
        <v>7982</v>
      </c>
      <c r="F1410" s="30" t="s">
        <v>7983</v>
      </c>
      <c r="G1410" s="30" t="s">
        <v>7984</v>
      </c>
      <c r="H1410" s="42" t="s">
        <v>7985</v>
      </c>
      <c r="I1410" s="29" t="s">
        <v>127</v>
      </c>
      <c r="J1410" s="31">
        <v>12.0</v>
      </c>
      <c r="K1410" s="35"/>
      <c r="L1410" s="35"/>
      <c r="M1410" s="35"/>
      <c r="N1410" s="35"/>
      <c r="O1410" s="35"/>
      <c r="P1410" s="35"/>
      <c r="Q1410" s="35"/>
      <c r="R1410" s="35"/>
      <c r="S1410" s="37">
        <f>IF(B1410="","",IF(ISNUMBER(J1410),IF(J1410&lt;=10,'Configuración'!$B$23,IF(J1410&lt;=50,'Configuración'!$B$24,IF(J1410&lt;=200,'Configuración'!$B$25,0))),0))</f>
        <v>4</v>
      </c>
      <c r="T1410" s="37">
        <f>IF(B1410="","",IF(ISNUMBER(SEARCH("information technology",I1410))+ISNUMBER(SEARCH("software",I1410))+ISNUMBER(SEARCH("internet",I1410))+ISNUMBER(SEARCH("computer",I1410))+ISNUMBER(SEARCH("saas",I1410))+ISNUMBER(SEARCH("fintech",I1410))+ISNUMBER(SEARCH("information services",I1410))+ISNUMBER(SEARCH("telecommunications",I1410))&gt;0,'Configuración'!$B$27,'Configuración'!$B$28))</f>
        <v>12</v>
      </c>
      <c r="U1410" s="25">
        <f>IF(B1410="","",IF(ISNUMBER(SEARCH("CEO",C1410))+ISNUMBER(SEARCH("Founder",C1410))+ISNUMBER(SEARCH("Owner",C1410))+ISNUMBER(SEARCH("Dueño",C1410))+ISNUMBER(SEARCH("Director General",C1410))+ISNUMBER(SEARCH("Presidente",C1410))+ISNUMBER(SEARCH("President",C1410))&gt;0,'Configuración'!$B$31,IF(ISNUMBER(SEARCH("CMO",C1410))+ISNUMBER(SEARCH("Chief Marketing",C1410))+ISNUMBER(SEARCH("VP Marketing",C1410))+ISNUMBER(SEARCH("Director de Marketing",C1410))+ISNUMBER(SEARCH("Director Marketing",C1410))+ISNUMBER(SEARCH("Head of Marketing",C1410))+ISNUMBER(SEARCH("Head Marketing",C1410))&gt;0,'Configuración'!$B$32,IF(ISNUMBER(SEARCH("Marketing Manager",C1410))+ISNUMBER(SEARCH("Gerente de Marketing",C1410))+ISNUMBER(SEARCH("Growth Manager",C1410))+ISNUMBER(SEARCH("Demand Gen",C1410))+ISNUMBER(SEARCH("Marketing Lead",C1410))&gt;0,'Configuración'!$B$33,IF(ISNUMBER(SEARCH("COO",C1410))+ISNUMBER(SEARCH("CFO",C1410))+ISNUMBER(SEARCH("CTO",C1410))+ISNUMBER(SEARCH("Chief Operating",C1410))+ISNUMBER(SEARCH("Chief Financial",C1410))+ISNUMBER(SEARCH("Gerente General",C1410))+ISNUMBER(SEARCH("General Manager",C1410))&gt;0,'Configuración'!$B$34,'Configuración'!$B$35)))))</f>
        <v>12</v>
      </c>
      <c r="V1410" s="38">
        <f>IF(B1410="","",IF(K1410="Sí",'Configuración'!$B$5,0)+IF(L1410="Semanal",'Configuración'!$B$6,IF(L1410="Mensual",'Configuración'!$B$7,0))+IF(M1410="Sí",'Configuración'!$B$8,0)+IF(N1410="Sí",'Configuración'!$B$9,0)+IF(O1410="Sí",'Configuración'!$B$10,0)+IF(P1410="Sí",'Configuración'!$B$11,0)+IF(Q1410="Sí",'Configuración'!$B$12,0)+S1410+T1410+U1410)</f>
        <v>28</v>
      </c>
      <c r="W1410" s="39" t="str">
        <f>IF(B1410="","",IF(V1410&gt;='Configuración'!$B$19,"A",IF(V1410&gt;='Configuración'!$B$20,"B",IF(V1410&gt;='Configuración'!$B$21,"C","Descarte"))))</f>
        <v>C</v>
      </c>
    </row>
    <row r="1411" ht="15.75" customHeight="1">
      <c r="A1411" s="34">
        <f t="shared" si="1"/>
        <v>1409</v>
      </c>
      <c r="B1411" s="29" t="s">
        <v>493</v>
      </c>
      <c r="C1411" s="29" t="s">
        <v>3034</v>
      </c>
      <c r="D1411" s="29" t="s">
        <v>7986</v>
      </c>
      <c r="E1411" s="29" t="s">
        <v>7987</v>
      </c>
      <c r="F1411" s="30" t="s">
        <v>7988</v>
      </c>
      <c r="G1411" s="30" t="s">
        <v>7989</v>
      </c>
      <c r="H1411" s="42" t="s">
        <v>7990</v>
      </c>
      <c r="I1411" s="29" t="s">
        <v>500</v>
      </c>
      <c r="J1411" s="31">
        <v>6.0</v>
      </c>
      <c r="K1411" s="35"/>
      <c r="L1411" s="35"/>
      <c r="M1411" s="35"/>
      <c r="N1411" s="35"/>
      <c r="O1411" s="35"/>
      <c r="P1411" s="35"/>
      <c r="Q1411" s="35"/>
      <c r="R1411" s="35"/>
      <c r="S1411" s="37">
        <f>IF(B1411="","",IF(ISNUMBER(J1411),IF(J1411&lt;=10,'Configuración'!$B$23,IF(J1411&lt;=50,'Configuración'!$B$24,IF(J1411&lt;=200,'Configuración'!$B$25,0))),0))</f>
        <v>12</v>
      </c>
      <c r="T1411" s="37">
        <f>IF(B1411="","",IF(ISNUMBER(SEARCH("information technology",I1411))+ISNUMBER(SEARCH("software",I1411))+ISNUMBER(SEARCH("internet",I1411))+ISNUMBER(SEARCH("computer",I1411))+ISNUMBER(SEARCH("saas",I1411))+ISNUMBER(SEARCH("fintech",I1411))+ISNUMBER(SEARCH("information services",I1411))+ISNUMBER(SEARCH("telecommunications",I1411))&gt;0,'Configuración'!$B$27,'Configuración'!$B$28))</f>
        <v>4</v>
      </c>
      <c r="U1411" s="25">
        <f>IF(B1411="","",IF(ISNUMBER(SEARCH("CEO",C1411))+ISNUMBER(SEARCH("Founder",C1411))+ISNUMBER(SEARCH("Owner",C1411))+ISNUMBER(SEARCH("Dueño",C1411))+ISNUMBER(SEARCH("Director General",C1411))+ISNUMBER(SEARCH("Presidente",C1411))+ISNUMBER(SEARCH("President",C1411))&gt;0,'Configuración'!$B$31,IF(ISNUMBER(SEARCH("CMO",C1411))+ISNUMBER(SEARCH("Chief Marketing",C1411))+ISNUMBER(SEARCH("VP Marketing",C1411))+ISNUMBER(SEARCH("Director de Marketing",C1411))+ISNUMBER(SEARCH("Director Marketing",C1411))+ISNUMBER(SEARCH("Head of Marketing",C1411))+ISNUMBER(SEARCH("Head Marketing",C1411))&gt;0,'Configuración'!$B$32,IF(ISNUMBER(SEARCH("Marketing Manager",C1411))+ISNUMBER(SEARCH("Gerente de Marketing",C1411))+ISNUMBER(SEARCH("Growth Manager",C1411))+ISNUMBER(SEARCH("Demand Gen",C1411))+ISNUMBER(SEARCH("Marketing Lead",C1411))&gt;0,'Configuración'!$B$33,IF(ISNUMBER(SEARCH("COO",C1411))+ISNUMBER(SEARCH("CFO",C1411))+ISNUMBER(SEARCH("CTO",C1411))+ISNUMBER(SEARCH("Chief Operating",C1411))+ISNUMBER(SEARCH("Chief Financial",C1411))+ISNUMBER(SEARCH("Gerente General",C1411))+ISNUMBER(SEARCH("General Manager",C1411))&gt;0,'Configuración'!$B$34,'Configuración'!$B$35)))))</f>
        <v>0</v>
      </c>
      <c r="V1411" s="38">
        <f>IF(B1411="","",IF(K1411="Sí",'Configuración'!$B$5,0)+IF(L1411="Semanal",'Configuración'!$B$6,IF(L1411="Mensual",'Configuración'!$B$7,0))+IF(M1411="Sí",'Configuración'!$B$8,0)+IF(N1411="Sí",'Configuración'!$B$9,0)+IF(O1411="Sí",'Configuración'!$B$10,0)+IF(P1411="Sí",'Configuración'!$B$11,0)+IF(Q1411="Sí",'Configuración'!$B$12,0)+S1411+T1411+U1411)</f>
        <v>16</v>
      </c>
      <c r="W1411" s="39" t="str">
        <f>IF(B1411="","",IF(V1411&gt;='Configuración'!$B$19,"A",IF(V1411&gt;='Configuración'!$B$20,"B",IF(V1411&gt;='Configuración'!$B$21,"C","Descarte"))))</f>
        <v>Descarte</v>
      </c>
    </row>
    <row r="1412" ht="15.75" customHeight="1">
      <c r="A1412" s="34">
        <f t="shared" si="1"/>
        <v>1410</v>
      </c>
      <c r="B1412" s="29" t="s">
        <v>324</v>
      </c>
      <c r="C1412" s="29" t="s">
        <v>1871</v>
      </c>
      <c r="D1412" s="29" t="s">
        <v>7991</v>
      </c>
      <c r="E1412" s="29" t="s">
        <v>7992</v>
      </c>
      <c r="F1412" s="30" t="s">
        <v>7993</v>
      </c>
      <c r="G1412" s="30" t="s">
        <v>7994</v>
      </c>
      <c r="H1412" s="42" t="s">
        <v>7995</v>
      </c>
      <c r="I1412" s="29" t="s">
        <v>1245</v>
      </c>
      <c r="J1412" s="31">
        <v>31.0</v>
      </c>
      <c r="K1412" s="35"/>
      <c r="L1412" s="35"/>
      <c r="M1412" s="35"/>
      <c r="N1412" s="35"/>
      <c r="O1412" s="35"/>
      <c r="P1412" s="35"/>
      <c r="Q1412" s="35"/>
      <c r="R1412" s="35"/>
      <c r="S1412" s="37">
        <f>IF(B1412="","",IF(ISNUMBER(J1412),IF(J1412&lt;=10,'Configuración'!$B$23,IF(J1412&lt;=50,'Configuración'!$B$24,IF(J1412&lt;=200,'Configuración'!$B$25,0))),0))</f>
        <v>4</v>
      </c>
      <c r="T1412" s="37">
        <f>IF(B1412="","",IF(ISNUMBER(SEARCH("information technology",I1412))+ISNUMBER(SEARCH("software",I1412))+ISNUMBER(SEARCH("internet",I1412))+ISNUMBER(SEARCH("computer",I1412))+ISNUMBER(SEARCH("saas",I1412))+ISNUMBER(SEARCH("fintech",I1412))+ISNUMBER(SEARCH("information services",I1412))+ISNUMBER(SEARCH("telecommunications",I1412))&gt;0,'Configuración'!$B$27,'Configuración'!$B$28))</f>
        <v>4</v>
      </c>
      <c r="U1412" s="25">
        <f>IF(B1412="","",IF(ISNUMBER(SEARCH("CEO",C1412))+ISNUMBER(SEARCH("Founder",C1412))+ISNUMBER(SEARCH("Owner",C1412))+ISNUMBER(SEARCH("Dueño",C1412))+ISNUMBER(SEARCH("Director General",C1412))+ISNUMBER(SEARCH("Presidente",C1412))+ISNUMBER(SEARCH("President",C1412))&gt;0,'Configuración'!$B$31,IF(ISNUMBER(SEARCH("CMO",C1412))+ISNUMBER(SEARCH("Chief Marketing",C1412))+ISNUMBER(SEARCH("VP Marketing",C1412))+ISNUMBER(SEARCH("Director de Marketing",C1412))+ISNUMBER(SEARCH("Director Marketing",C1412))+ISNUMBER(SEARCH("Head of Marketing",C1412))+ISNUMBER(SEARCH("Head Marketing",C1412))&gt;0,'Configuración'!$B$32,IF(ISNUMBER(SEARCH("Marketing Manager",C1412))+ISNUMBER(SEARCH("Gerente de Marketing",C1412))+ISNUMBER(SEARCH("Growth Manager",C1412))+ISNUMBER(SEARCH("Demand Gen",C1412))+ISNUMBER(SEARCH("Marketing Lead",C1412))&gt;0,'Configuración'!$B$33,IF(ISNUMBER(SEARCH("COO",C1412))+ISNUMBER(SEARCH("CFO",C1412))+ISNUMBER(SEARCH("CTO",C1412))+ISNUMBER(SEARCH("Chief Operating",C1412))+ISNUMBER(SEARCH("Chief Financial",C1412))+ISNUMBER(SEARCH("Gerente General",C1412))+ISNUMBER(SEARCH("General Manager",C1412))&gt;0,'Configuración'!$B$34,'Configuración'!$B$35)))))</f>
        <v>12</v>
      </c>
      <c r="V1412" s="38">
        <f>IF(B1412="","",IF(K1412="Sí",'Configuración'!$B$5,0)+IF(L1412="Semanal",'Configuración'!$B$6,IF(L1412="Mensual",'Configuración'!$B$7,0))+IF(M1412="Sí",'Configuración'!$B$8,0)+IF(N1412="Sí",'Configuración'!$B$9,0)+IF(O1412="Sí",'Configuración'!$B$10,0)+IF(P1412="Sí",'Configuración'!$B$11,0)+IF(Q1412="Sí",'Configuración'!$B$12,0)+S1412+T1412+U1412)</f>
        <v>20</v>
      </c>
      <c r="W1412" s="39" t="str">
        <f>IF(B1412="","",IF(V1412&gt;='Configuración'!$B$19,"A",IF(V1412&gt;='Configuración'!$B$20,"B",IF(V1412&gt;='Configuración'!$B$21,"C","Descarte"))))</f>
        <v>Descarte</v>
      </c>
    </row>
    <row r="1413" ht="15.75" customHeight="1">
      <c r="A1413" s="34">
        <f t="shared" si="1"/>
        <v>1411</v>
      </c>
      <c r="B1413" s="29" t="s">
        <v>174</v>
      </c>
      <c r="C1413" s="29" t="s">
        <v>7996</v>
      </c>
      <c r="D1413" s="29" t="s">
        <v>7997</v>
      </c>
      <c r="E1413" s="29" t="s">
        <v>7998</v>
      </c>
      <c r="F1413" s="30" t="s">
        <v>7999</v>
      </c>
      <c r="G1413" s="30" t="s">
        <v>8000</v>
      </c>
      <c r="H1413" s="42" t="s">
        <v>8001</v>
      </c>
      <c r="I1413" s="29" t="s">
        <v>1034</v>
      </c>
      <c r="J1413" s="31">
        <v>11.0</v>
      </c>
      <c r="K1413" s="35"/>
      <c r="L1413" s="35"/>
      <c r="M1413" s="35"/>
      <c r="N1413" s="35"/>
      <c r="O1413" s="35"/>
      <c r="P1413" s="35"/>
      <c r="Q1413" s="35"/>
      <c r="R1413" s="35"/>
      <c r="S1413" s="37">
        <f>IF(B1413="","",IF(ISNUMBER(J1413),IF(J1413&lt;=10,'Configuración'!$B$23,IF(J1413&lt;=50,'Configuración'!$B$24,IF(J1413&lt;=200,'Configuración'!$B$25,0))),0))</f>
        <v>4</v>
      </c>
      <c r="T1413" s="37">
        <f>IF(B1413="","",IF(ISNUMBER(SEARCH("information technology",I1413))+ISNUMBER(SEARCH("software",I1413))+ISNUMBER(SEARCH("internet",I1413))+ISNUMBER(SEARCH("computer",I1413))+ISNUMBER(SEARCH("saas",I1413))+ISNUMBER(SEARCH("fintech",I1413))+ISNUMBER(SEARCH("information services",I1413))+ISNUMBER(SEARCH("telecommunications",I1413))&gt;0,'Configuración'!$B$27,'Configuración'!$B$28))</f>
        <v>4</v>
      </c>
      <c r="U1413" s="25">
        <f>IF(B1413="","",IF(ISNUMBER(SEARCH("CEO",C1413))+ISNUMBER(SEARCH("Founder",C1413))+ISNUMBER(SEARCH("Owner",C1413))+ISNUMBER(SEARCH("Dueño",C1413))+ISNUMBER(SEARCH("Director General",C1413))+ISNUMBER(SEARCH("Presidente",C1413))+ISNUMBER(SEARCH("President",C1413))&gt;0,'Configuración'!$B$31,IF(ISNUMBER(SEARCH("CMO",C1413))+ISNUMBER(SEARCH("Chief Marketing",C1413))+ISNUMBER(SEARCH("VP Marketing",C1413))+ISNUMBER(SEARCH("Director de Marketing",C1413))+ISNUMBER(SEARCH("Director Marketing",C1413))+ISNUMBER(SEARCH("Head of Marketing",C1413))+ISNUMBER(SEARCH("Head Marketing",C1413))&gt;0,'Configuración'!$B$32,IF(ISNUMBER(SEARCH("Marketing Manager",C1413))+ISNUMBER(SEARCH("Gerente de Marketing",C1413))+ISNUMBER(SEARCH("Growth Manager",C1413))+ISNUMBER(SEARCH("Demand Gen",C1413))+ISNUMBER(SEARCH("Marketing Lead",C1413))&gt;0,'Configuración'!$B$33,IF(ISNUMBER(SEARCH("COO",C1413))+ISNUMBER(SEARCH("CFO",C1413))+ISNUMBER(SEARCH("CTO",C1413))+ISNUMBER(SEARCH("Chief Operating",C1413))+ISNUMBER(SEARCH("Chief Financial",C1413))+ISNUMBER(SEARCH("Gerente General",C1413))+ISNUMBER(SEARCH("General Manager",C1413))&gt;0,'Configuración'!$B$34,'Configuración'!$B$35)))))</f>
        <v>12</v>
      </c>
      <c r="V1413" s="38">
        <f>IF(B1413="","",IF(K1413="Sí",'Configuración'!$B$5,0)+IF(L1413="Semanal",'Configuración'!$B$6,IF(L1413="Mensual",'Configuración'!$B$7,0))+IF(M1413="Sí",'Configuración'!$B$8,0)+IF(N1413="Sí",'Configuración'!$B$9,0)+IF(O1413="Sí",'Configuración'!$B$10,0)+IF(P1413="Sí",'Configuración'!$B$11,0)+IF(Q1413="Sí",'Configuración'!$B$12,0)+S1413+T1413+U1413)</f>
        <v>20</v>
      </c>
      <c r="W1413" s="39" t="str">
        <f>IF(B1413="","",IF(V1413&gt;='Configuración'!$B$19,"A",IF(V1413&gt;='Configuración'!$B$20,"B",IF(V1413&gt;='Configuración'!$B$21,"C","Descarte"))))</f>
        <v>Descarte</v>
      </c>
    </row>
    <row r="1414" ht="15.75" customHeight="1">
      <c r="A1414" s="34">
        <f t="shared" si="1"/>
        <v>1412</v>
      </c>
      <c r="B1414" s="29" t="s">
        <v>250</v>
      </c>
      <c r="C1414" s="29" t="s">
        <v>224</v>
      </c>
      <c r="D1414" s="29" t="s">
        <v>8002</v>
      </c>
      <c r="E1414" s="29"/>
      <c r="F1414" s="30" t="s">
        <v>8003</v>
      </c>
      <c r="G1414" s="30" t="s">
        <v>8004</v>
      </c>
      <c r="H1414" s="42" t="s">
        <v>7804</v>
      </c>
      <c r="I1414" s="29" t="s">
        <v>188</v>
      </c>
      <c r="J1414" s="31">
        <v>2.0</v>
      </c>
      <c r="K1414" s="35"/>
      <c r="L1414" s="35"/>
      <c r="M1414" s="35"/>
      <c r="N1414" s="35"/>
      <c r="O1414" s="35"/>
      <c r="P1414" s="35"/>
      <c r="Q1414" s="35"/>
      <c r="R1414" s="35"/>
      <c r="S1414" s="37">
        <f>IF(B1414="","",IF(ISNUMBER(J1414),IF(J1414&lt;=10,'Configuración'!$B$23,IF(J1414&lt;=50,'Configuración'!$B$24,IF(J1414&lt;=200,'Configuración'!$B$25,0))),0))</f>
        <v>12</v>
      </c>
      <c r="T1414" s="37">
        <f>IF(B1414="","",IF(ISNUMBER(SEARCH("information technology",I1414))+ISNUMBER(SEARCH("software",I1414))+ISNUMBER(SEARCH("internet",I1414))+ISNUMBER(SEARCH("computer",I1414))+ISNUMBER(SEARCH("saas",I1414))+ISNUMBER(SEARCH("fintech",I1414))+ISNUMBER(SEARCH("information services",I1414))+ISNUMBER(SEARCH("telecommunications",I1414))&gt;0,'Configuración'!$B$27,'Configuración'!$B$28))</f>
        <v>4</v>
      </c>
      <c r="U1414" s="25">
        <f>IF(B1414="","",IF(ISNUMBER(SEARCH("CEO",C1414))+ISNUMBER(SEARCH("Founder",C1414))+ISNUMBER(SEARCH("Owner",C1414))+ISNUMBER(SEARCH("Dueño",C1414))+ISNUMBER(SEARCH("Director General",C1414))+ISNUMBER(SEARCH("Presidente",C1414))+ISNUMBER(SEARCH("President",C1414))&gt;0,'Configuración'!$B$31,IF(ISNUMBER(SEARCH("CMO",C1414))+ISNUMBER(SEARCH("Chief Marketing",C1414))+ISNUMBER(SEARCH("VP Marketing",C1414))+ISNUMBER(SEARCH("Director de Marketing",C1414))+ISNUMBER(SEARCH("Director Marketing",C1414))+ISNUMBER(SEARCH("Head of Marketing",C1414))+ISNUMBER(SEARCH("Head Marketing",C1414))&gt;0,'Configuración'!$B$32,IF(ISNUMBER(SEARCH("Marketing Manager",C1414))+ISNUMBER(SEARCH("Gerente de Marketing",C1414))+ISNUMBER(SEARCH("Growth Manager",C1414))+ISNUMBER(SEARCH("Demand Gen",C1414))+ISNUMBER(SEARCH("Marketing Lead",C1414))&gt;0,'Configuración'!$B$33,IF(ISNUMBER(SEARCH("COO",C1414))+ISNUMBER(SEARCH("CFO",C1414))+ISNUMBER(SEARCH("CTO",C1414))+ISNUMBER(SEARCH("Chief Operating",C1414))+ISNUMBER(SEARCH("Chief Financial",C1414))+ISNUMBER(SEARCH("Gerente General",C1414))+ISNUMBER(SEARCH("General Manager",C1414))&gt;0,'Configuración'!$B$34,'Configuración'!$B$35)))))</f>
        <v>12</v>
      </c>
      <c r="V1414" s="38">
        <f>IF(B1414="","",IF(K1414="Sí",'Configuración'!$B$5,0)+IF(L1414="Semanal",'Configuración'!$B$6,IF(L1414="Mensual",'Configuración'!$B$7,0))+IF(M1414="Sí",'Configuración'!$B$8,0)+IF(N1414="Sí",'Configuración'!$B$9,0)+IF(O1414="Sí",'Configuración'!$B$10,0)+IF(P1414="Sí",'Configuración'!$B$11,0)+IF(Q1414="Sí",'Configuración'!$B$12,0)+S1414+T1414+U1414)</f>
        <v>28</v>
      </c>
      <c r="W1414" s="39" t="str">
        <f>IF(B1414="","",IF(V1414&gt;='Configuración'!$B$19,"A",IF(V1414&gt;='Configuración'!$B$20,"B",IF(V1414&gt;='Configuración'!$B$21,"C","Descarte"))))</f>
        <v>C</v>
      </c>
    </row>
    <row r="1415" ht="15.75" customHeight="1">
      <c r="A1415" s="34">
        <f t="shared" si="1"/>
        <v>1413</v>
      </c>
      <c r="B1415" s="29" t="s">
        <v>8005</v>
      </c>
      <c r="C1415" s="29" t="s">
        <v>8006</v>
      </c>
      <c r="D1415" s="29" t="s">
        <v>8007</v>
      </c>
      <c r="E1415" s="29" t="s">
        <v>8008</v>
      </c>
      <c r="F1415" s="30" t="s">
        <v>8009</v>
      </c>
      <c r="G1415" s="30" t="s">
        <v>8010</v>
      </c>
      <c r="H1415" s="42" t="s">
        <v>8011</v>
      </c>
      <c r="I1415" s="29" t="s">
        <v>288</v>
      </c>
      <c r="J1415" s="31">
        <v>5.0</v>
      </c>
      <c r="K1415" s="35"/>
      <c r="L1415" s="35"/>
      <c r="M1415" s="35"/>
      <c r="N1415" s="35"/>
      <c r="O1415" s="35"/>
      <c r="P1415" s="35"/>
      <c r="Q1415" s="35"/>
      <c r="R1415" s="35"/>
      <c r="S1415" s="37">
        <f>IF(B1415="","",IF(ISNUMBER(J1415),IF(J1415&lt;=10,'Configuración'!$B$23,IF(J1415&lt;=50,'Configuración'!$B$24,IF(J1415&lt;=200,'Configuración'!$B$25,0))),0))</f>
        <v>12</v>
      </c>
      <c r="T1415" s="37">
        <f>IF(B1415="","",IF(ISNUMBER(SEARCH("information technology",I1415))+ISNUMBER(SEARCH("software",I1415))+ISNUMBER(SEARCH("internet",I1415))+ISNUMBER(SEARCH("computer",I1415))+ISNUMBER(SEARCH("saas",I1415))+ISNUMBER(SEARCH("fintech",I1415))+ISNUMBER(SEARCH("information services",I1415))+ISNUMBER(SEARCH("telecommunications",I1415))&gt;0,'Configuración'!$B$27,'Configuración'!$B$28))</f>
        <v>4</v>
      </c>
      <c r="U1415" s="25">
        <f>IF(B1415="","",IF(ISNUMBER(SEARCH("CEO",C1415))+ISNUMBER(SEARCH("Founder",C1415))+ISNUMBER(SEARCH("Owner",C1415))+ISNUMBER(SEARCH("Dueño",C1415))+ISNUMBER(SEARCH("Director General",C1415))+ISNUMBER(SEARCH("Presidente",C1415))+ISNUMBER(SEARCH("President",C1415))&gt;0,'Configuración'!$B$31,IF(ISNUMBER(SEARCH("CMO",C1415))+ISNUMBER(SEARCH("Chief Marketing",C1415))+ISNUMBER(SEARCH("VP Marketing",C1415))+ISNUMBER(SEARCH("Director de Marketing",C1415))+ISNUMBER(SEARCH("Director Marketing",C1415))+ISNUMBER(SEARCH("Head of Marketing",C1415))+ISNUMBER(SEARCH("Head Marketing",C1415))&gt;0,'Configuración'!$B$32,IF(ISNUMBER(SEARCH("Marketing Manager",C1415))+ISNUMBER(SEARCH("Gerente de Marketing",C1415))+ISNUMBER(SEARCH("Growth Manager",C1415))+ISNUMBER(SEARCH("Demand Gen",C1415))+ISNUMBER(SEARCH("Marketing Lead",C1415))&gt;0,'Configuración'!$B$33,IF(ISNUMBER(SEARCH("COO",C1415))+ISNUMBER(SEARCH("CFO",C1415))+ISNUMBER(SEARCH("CTO",C1415))+ISNUMBER(SEARCH("Chief Operating",C1415))+ISNUMBER(SEARCH("Chief Financial",C1415))+ISNUMBER(SEARCH("Gerente General",C1415))+ISNUMBER(SEARCH("General Manager",C1415))&gt;0,'Configuración'!$B$34,'Configuración'!$B$35)))))</f>
        <v>12</v>
      </c>
      <c r="V1415" s="38">
        <f>IF(B1415="","",IF(K1415="Sí",'Configuración'!$B$5,0)+IF(L1415="Semanal",'Configuración'!$B$6,IF(L1415="Mensual",'Configuración'!$B$7,0))+IF(M1415="Sí",'Configuración'!$B$8,0)+IF(N1415="Sí",'Configuración'!$B$9,0)+IF(O1415="Sí",'Configuración'!$B$10,0)+IF(P1415="Sí",'Configuración'!$B$11,0)+IF(Q1415="Sí",'Configuración'!$B$12,0)+S1415+T1415+U1415)</f>
        <v>28</v>
      </c>
      <c r="W1415" s="39" t="str">
        <f>IF(B1415="","",IF(V1415&gt;='Configuración'!$B$19,"A",IF(V1415&gt;='Configuración'!$B$20,"B",IF(V1415&gt;='Configuración'!$B$21,"C","Descarte"))))</f>
        <v>C</v>
      </c>
    </row>
    <row r="1416" ht="15.75" customHeight="1">
      <c r="A1416" s="34">
        <f t="shared" si="1"/>
        <v>1414</v>
      </c>
      <c r="B1416" s="29" t="s">
        <v>8012</v>
      </c>
      <c r="C1416" s="29" t="s">
        <v>494</v>
      </c>
      <c r="D1416" s="29" t="s">
        <v>8013</v>
      </c>
      <c r="E1416" s="29" t="s">
        <v>8014</v>
      </c>
      <c r="F1416" s="30" t="s">
        <v>8015</v>
      </c>
      <c r="G1416" s="30" t="s">
        <v>8016</v>
      </c>
      <c r="H1416" s="42" t="s">
        <v>8017</v>
      </c>
      <c r="I1416" s="29" t="s">
        <v>337</v>
      </c>
      <c r="J1416" s="31">
        <v>35.0</v>
      </c>
      <c r="K1416" s="35"/>
      <c r="L1416" s="35"/>
      <c r="M1416" s="35"/>
      <c r="N1416" s="35"/>
      <c r="O1416" s="35"/>
      <c r="P1416" s="35"/>
      <c r="Q1416" s="35"/>
      <c r="R1416" s="35"/>
      <c r="S1416" s="37">
        <f>IF(B1416="","",IF(ISNUMBER(J1416),IF(J1416&lt;=10,'Configuración'!$B$23,IF(J1416&lt;=50,'Configuración'!$B$24,IF(J1416&lt;=200,'Configuración'!$B$25,0))),0))</f>
        <v>4</v>
      </c>
      <c r="T1416" s="37">
        <f>IF(B1416="","",IF(ISNUMBER(SEARCH("information technology",I1416))+ISNUMBER(SEARCH("software",I1416))+ISNUMBER(SEARCH("internet",I1416))+ISNUMBER(SEARCH("computer",I1416))+ISNUMBER(SEARCH("saas",I1416))+ISNUMBER(SEARCH("fintech",I1416))+ISNUMBER(SEARCH("information services",I1416))+ISNUMBER(SEARCH("telecommunications",I1416))&gt;0,'Configuración'!$B$27,'Configuración'!$B$28))</f>
        <v>4</v>
      </c>
      <c r="U1416" s="25">
        <f>IF(B1416="","",IF(ISNUMBER(SEARCH("CEO",C1416))+ISNUMBER(SEARCH("Founder",C1416))+ISNUMBER(SEARCH("Owner",C1416))+ISNUMBER(SEARCH("Dueño",C1416))+ISNUMBER(SEARCH("Director General",C1416))+ISNUMBER(SEARCH("Presidente",C1416))+ISNUMBER(SEARCH("President",C1416))&gt;0,'Configuración'!$B$31,IF(ISNUMBER(SEARCH("CMO",C1416))+ISNUMBER(SEARCH("Chief Marketing",C1416))+ISNUMBER(SEARCH("VP Marketing",C1416))+ISNUMBER(SEARCH("Director de Marketing",C1416))+ISNUMBER(SEARCH("Director Marketing",C1416))+ISNUMBER(SEARCH("Head of Marketing",C1416))+ISNUMBER(SEARCH("Head Marketing",C1416))&gt;0,'Configuración'!$B$32,IF(ISNUMBER(SEARCH("Marketing Manager",C1416))+ISNUMBER(SEARCH("Gerente de Marketing",C1416))+ISNUMBER(SEARCH("Growth Manager",C1416))+ISNUMBER(SEARCH("Demand Gen",C1416))+ISNUMBER(SEARCH("Marketing Lead",C1416))&gt;0,'Configuración'!$B$33,IF(ISNUMBER(SEARCH("COO",C1416))+ISNUMBER(SEARCH("CFO",C1416))+ISNUMBER(SEARCH("CTO",C1416))+ISNUMBER(SEARCH("Chief Operating",C1416))+ISNUMBER(SEARCH("Chief Financial",C1416))+ISNUMBER(SEARCH("Gerente General",C1416))+ISNUMBER(SEARCH("General Manager",C1416))&gt;0,'Configuración'!$B$34,'Configuración'!$B$35)))))</f>
        <v>4</v>
      </c>
      <c r="V1416" s="38">
        <f>IF(B1416="","",IF(K1416="Sí",'Configuración'!$B$5,0)+IF(L1416="Semanal",'Configuración'!$B$6,IF(L1416="Mensual",'Configuración'!$B$7,0))+IF(M1416="Sí",'Configuración'!$B$8,0)+IF(N1416="Sí",'Configuración'!$B$9,0)+IF(O1416="Sí",'Configuración'!$B$10,0)+IF(P1416="Sí",'Configuración'!$B$11,0)+IF(Q1416="Sí",'Configuración'!$B$12,0)+S1416+T1416+U1416)</f>
        <v>12</v>
      </c>
      <c r="W1416" s="39" t="str">
        <f>IF(B1416="","",IF(V1416&gt;='Configuración'!$B$19,"A",IF(V1416&gt;='Configuración'!$B$20,"B",IF(V1416&gt;='Configuración'!$B$21,"C","Descarte"))))</f>
        <v>Descarte</v>
      </c>
    </row>
    <row r="1417" ht="15.75" customHeight="1">
      <c r="A1417" s="34">
        <f t="shared" si="1"/>
        <v>1415</v>
      </c>
      <c r="B1417" s="29" t="s">
        <v>8018</v>
      </c>
      <c r="C1417" s="29" t="s">
        <v>8019</v>
      </c>
      <c r="D1417" s="29" t="s">
        <v>8020</v>
      </c>
      <c r="E1417" s="29" t="s">
        <v>8021</v>
      </c>
      <c r="F1417" s="30" t="s">
        <v>8022</v>
      </c>
      <c r="G1417" s="30" t="s">
        <v>8023</v>
      </c>
      <c r="H1417" s="42" t="s">
        <v>8024</v>
      </c>
      <c r="I1417" s="29" t="s">
        <v>2170</v>
      </c>
      <c r="J1417" s="31">
        <v>34.0</v>
      </c>
      <c r="K1417" s="35"/>
      <c r="L1417" s="35"/>
      <c r="M1417" s="35"/>
      <c r="N1417" s="35"/>
      <c r="O1417" s="35"/>
      <c r="P1417" s="35"/>
      <c r="Q1417" s="35"/>
      <c r="R1417" s="35"/>
      <c r="S1417" s="37">
        <f>IF(B1417="","",IF(ISNUMBER(J1417),IF(J1417&lt;=10,'Configuración'!$B$23,IF(J1417&lt;=50,'Configuración'!$B$24,IF(J1417&lt;=200,'Configuración'!$B$25,0))),0))</f>
        <v>4</v>
      </c>
      <c r="T1417" s="37">
        <f>IF(B1417="","",IF(ISNUMBER(SEARCH("information technology",I1417))+ISNUMBER(SEARCH("software",I1417))+ISNUMBER(SEARCH("internet",I1417))+ISNUMBER(SEARCH("computer",I1417))+ISNUMBER(SEARCH("saas",I1417))+ISNUMBER(SEARCH("fintech",I1417))+ISNUMBER(SEARCH("information services",I1417))+ISNUMBER(SEARCH("telecommunications",I1417))&gt;0,'Configuración'!$B$27,'Configuración'!$B$28))</f>
        <v>12</v>
      </c>
      <c r="U1417" s="25">
        <f>IF(B1417="","",IF(ISNUMBER(SEARCH("CEO",C1417))+ISNUMBER(SEARCH("Founder",C1417))+ISNUMBER(SEARCH("Owner",C1417))+ISNUMBER(SEARCH("Dueño",C1417))+ISNUMBER(SEARCH("Director General",C1417))+ISNUMBER(SEARCH("Presidente",C1417))+ISNUMBER(SEARCH("President",C1417))&gt;0,'Configuración'!$B$31,IF(ISNUMBER(SEARCH("CMO",C1417))+ISNUMBER(SEARCH("Chief Marketing",C1417))+ISNUMBER(SEARCH("VP Marketing",C1417))+ISNUMBER(SEARCH("Director de Marketing",C1417))+ISNUMBER(SEARCH("Director Marketing",C1417))+ISNUMBER(SEARCH("Head of Marketing",C1417))+ISNUMBER(SEARCH("Head Marketing",C1417))&gt;0,'Configuración'!$B$32,IF(ISNUMBER(SEARCH("Marketing Manager",C1417))+ISNUMBER(SEARCH("Gerente de Marketing",C1417))+ISNUMBER(SEARCH("Growth Manager",C1417))+ISNUMBER(SEARCH("Demand Gen",C1417))+ISNUMBER(SEARCH("Marketing Lead",C1417))&gt;0,'Configuración'!$B$33,IF(ISNUMBER(SEARCH("COO",C1417))+ISNUMBER(SEARCH("CFO",C1417))+ISNUMBER(SEARCH("CTO",C1417))+ISNUMBER(SEARCH("Chief Operating",C1417))+ISNUMBER(SEARCH("Chief Financial",C1417))+ISNUMBER(SEARCH("Gerente General",C1417))+ISNUMBER(SEARCH("General Manager",C1417))&gt;0,'Configuración'!$B$34,'Configuración'!$B$35)))))</f>
        <v>4</v>
      </c>
      <c r="V1417" s="38">
        <f>IF(B1417="","",IF(K1417="Sí",'Configuración'!$B$5,0)+IF(L1417="Semanal",'Configuración'!$B$6,IF(L1417="Mensual",'Configuración'!$B$7,0))+IF(M1417="Sí",'Configuración'!$B$8,0)+IF(N1417="Sí",'Configuración'!$B$9,0)+IF(O1417="Sí",'Configuración'!$B$10,0)+IF(P1417="Sí",'Configuración'!$B$11,0)+IF(Q1417="Sí",'Configuración'!$B$12,0)+S1417+T1417+U1417)</f>
        <v>20</v>
      </c>
      <c r="W1417" s="39" t="str">
        <f>IF(B1417="","",IF(V1417&gt;='Configuración'!$B$19,"A",IF(V1417&gt;='Configuración'!$B$20,"B",IF(V1417&gt;='Configuración'!$B$21,"C","Descarte"))))</f>
        <v>Descarte</v>
      </c>
    </row>
    <row r="1418" ht="15.75" customHeight="1">
      <c r="A1418" s="34">
        <f t="shared" si="1"/>
        <v>1416</v>
      </c>
      <c r="B1418" s="29" t="s">
        <v>174</v>
      </c>
      <c r="C1418" s="29" t="s">
        <v>719</v>
      </c>
      <c r="D1418" s="29" t="s">
        <v>8025</v>
      </c>
      <c r="E1418" s="29" t="s">
        <v>8026</v>
      </c>
      <c r="F1418" s="30" t="s">
        <v>8027</v>
      </c>
      <c r="G1418" s="30" t="s">
        <v>8028</v>
      </c>
      <c r="H1418" s="42" t="s">
        <v>8029</v>
      </c>
      <c r="I1418" s="29" t="s">
        <v>847</v>
      </c>
      <c r="J1418" s="31">
        <v>3.0</v>
      </c>
      <c r="K1418" s="35"/>
      <c r="L1418" s="35"/>
      <c r="M1418" s="35"/>
      <c r="N1418" s="35"/>
      <c r="O1418" s="35"/>
      <c r="P1418" s="35"/>
      <c r="Q1418" s="35"/>
      <c r="R1418" s="35"/>
      <c r="S1418" s="37">
        <f>IF(B1418="","",IF(ISNUMBER(J1418),IF(J1418&lt;=10,'Configuración'!$B$23,IF(J1418&lt;=50,'Configuración'!$B$24,IF(J1418&lt;=200,'Configuración'!$B$25,0))),0))</f>
        <v>12</v>
      </c>
      <c r="T1418" s="37">
        <f>IF(B1418="","",IF(ISNUMBER(SEARCH("information technology",I1418))+ISNUMBER(SEARCH("software",I1418))+ISNUMBER(SEARCH("internet",I1418))+ISNUMBER(SEARCH("computer",I1418))+ISNUMBER(SEARCH("saas",I1418))+ISNUMBER(SEARCH("fintech",I1418))+ISNUMBER(SEARCH("information services",I1418))+ISNUMBER(SEARCH("telecommunications",I1418))&gt;0,'Configuración'!$B$27,'Configuración'!$B$28))</f>
        <v>4</v>
      </c>
      <c r="U1418" s="25">
        <f>IF(B1418="","",IF(ISNUMBER(SEARCH("CEO",C1418))+ISNUMBER(SEARCH("Founder",C1418))+ISNUMBER(SEARCH("Owner",C1418))+ISNUMBER(SEARCH("Dueño",C1418))+ISNUMBER(SEARCH("Director General",C1418))+ISNUMBER(SEARCH("Presidente",C1418))+ISNUMBER(SEARCH("President",C1418))&gt;0,'Configuración'!$B$31,IF(ISNUMBER(SEARCH("CMO",C1418))+ISNUMBER(SEARCH("Chief Marketing",C1418))+ISNUMBER(SEARCH("VP Marketing",C1418))+ISNUMBER(SEARCH("Director de Marketing",C1418))+ISNUMBER(SEARCH("Director Marketing",C1418))+ISNUMBER(SEARCH("Head of Marketing",C1418))+ISNUMBER(SEARCH("Head Marketing",C1418))&gt;0,'Configuración'!$B$32,IF(ISNUMBER(SEARCH("Marketing Manager",C1418))+ISNUMBER(SEARCH("Gerente de Marketing",C1418))+ISNUMBER(SEARCH("Growth Manager",C1418))+ISNUMBER(SEARCH("Demand Gen",C1418))+ISNUMBER(SEARCH("Marketing Lead",C1418))&gt;0,'Configuración'!$B$33,IF(ISNUMBER(SEARCH("COO",C1418))+ISNUMBER(SEARCH("CFO",C1418))+ISNUMBER(SEARCH("CTO",C1418))+ISNUMBER(SEARCH("Chief Operating",C1418))+ISNUMBER(SEARCH("Chief Financial",C1418))+ISNUMBER(SEARCH("Gerente General",C1418))+ISNUMBER(SEARCH("General Manager",C1418))&gt;0,'Configuración'!$B$34,'Configuración'!$B$35)))))</f>
        <v>12</v>
      </c>
      <c r="V1418" s="38">
        <f>IF(B1418="","",IF(K1418="Sí",'Configuración'!$B$5,0)+IF(L1418="Semanal",'Configuración'!$B$6,IF(L1418="Mensual",'Configuración'!$B$7,0))+IF(M1418="Sí",'Configuración'!$B$8,0)+IF(N1418="Sí",'Configuración'!$B$9,0)+IF(O1418="Sí",'Configuración'!$B$10,0)+IF(P1418="Sí",'Configuración'!$B$11,0)+IF(Q1418="Sí",'Configuración'!$B$12,0)+S1418+T1418+U1418)</f>
        <v>28</v>
      </c>
      <c r="W1418" s="39" t="str">
        <f>IF(B1418="","",IF(V1418&gt;='Configuración'!$B$19,"A",IF(V1418&gt;='Configuración'!$B$20,"B",IF(V1418&gt;='Configuración'!$B$21,"C","Descarte"))))</f>
        <v>C</v>
      </c>
    </row>
    <row r="1419" ht="15.75" customHeight="1">
      <c r="A1419" s="34">
        <f t="shared" si="1"/>
        <v>1417</v>
      </c>
      <c r="B1419" s="29" t="s">
        <v>641</v>
      </c>
      <c r="C1419" s="29" t="s">
        <v>202</v>
      </c>
      <c r="D1419" s="29" t="s">
        <v>8030</v>
      </c>
      <c r="E1419" s="29" t="s">
        <v>8031</v>
      </c>
      <c r="F1419" s="30" t="s">
        <v>8032</v>
      </c>
      <c r="G1419" s="30" t="s">
        <v>8033</v>
      </c>
      <c r="H1419" s="42" t="s">
        <v>8034</v>
      </c>
      <c r="I1419" s="29" t="s">
        <v>127</v>
      </c>
      <c r="J1419" s="31">
        <v>5.0</v>
      </c>
      <c r="K1419" s="35"/>
      <c r="L1419" s="35"/>
      <c r="M1419" s="35"/>
      <c r="N1419" s="35"/>
      <c r="O1419" s="35"/>
      <c r="P1419" s="35"/>
      <c r="Q1419" s="35"/>
      <c r="R1419" s="35"/>
      <c r="S1419" s="37">
        <f>IF(B1419="","",IF(ISNUMBER(J1419),IF(J1419&lt;=10,'Configuración'!$B$23,IF(J1419&lt;=50,'Configuración'!$B$24,IF(J1419&lt;=200,'Configuración'!$B$25,0))),0))</f>
        <v>12</v>
      </c>
      <c r="T1419" s="37">
        <f>IF(B1419="","",IF(ISNUMBER(SEARCH("information technology",I1419))+ISNUMBER(SEARCH("software",I1419))+ISNUMBER(SEARCH("internet",I1419))+ISNUMBER(SEARCH("computer",I1419))+ISNUMBER(SEARCH("saas",I1419))+ISNUMBER(SEARCH("fintech",I1419))+ISNUMBER(SEARCH("information services",I1419))+ISNUMBER(SEARCH("telecommunications",I1419))&gt;0,'Configuración'!$B$27,'Configuración'!$B$28))</f>
        <v>12</v>
      </c>
      <c r="U1419" s="25">
        <f>IF(B1419="","",IF(ISNUMBER(SEARCH("CEO",C1419))+ISNUMBER(SEARCH("Founder",C1419))+ISNUMBER(SEARCH("Owner",C1419))+ISNUMBER(SEARCH("Dueño",C1419))+ISNUMBER(SEARCH("Director General",C1419))+ISNUMBER(SEARCH("Presidente",C1419))+ISNUMBER(SEARCH("President",C1419))&gt;0,'Configuración'!$B$31,IF(ISNUMBER(SEARCH("CMO",C1419))+ISNUMBER(SEARCH("Chief Marketing",C1419))+ISNUMBER(SEARCH("VP Marketing",C1419))+ISNUMBER(SEARCH("Director de Marketing",C1419))+ISNUMBER(SEARCH("Director Marketing",C1419))+ISNUMBER(SEARCH("Head of Marketing",C1419))+ISNUMBER(SEARCH("Head Marketing",C1419))&gt;0,'Configuración'!$B$32,IF(ISNUMBER(SEARCH("Marketing Manager",C1419))+ISNUMBER(SEARCH("Gerente de Marketing",C1419))+ISNUMBER(SEARCH("Growth Manager",C1419))+ISNUMBER(SEARCH("Demand Gen",C1419))+ISNUMBER(SEARCH("Marketing Lead",C1419))&gt;0,'Configuración'!$B$33,IF(ISNUMBER(SEARCH("COO",C1419))+ISNUMBER(SEARCH("CFO",C1419))+ISNUMBER(SEARCH("CTO",C1419))+ISNUMBER(SEARCH("Chief Operating",C1419))+ISNUMBER(SEARCH("Chief Financial",C1419))+ISNUMBER(SEARCH("Gerente General",C1419))+ISNUMBER(SEARCH("General Manager",C1419))&gt;0,'Configuración'!$B$34,'Configuración'!$B$35)))))</f>
        <v>12</v>
      </c>
      <c r="V1419" s="38">
        <f>IF(B1419="","",IF(K1419="Sí",'Configuración'!$B$5,0)+IF(L1419="Semanal",'Configuración'!$B$6,IF(L1419="Mensual",'Configuración'!$B$7,0))+IF(M1419="Sí",'Configuración'!$B$8,0)+IF(N1419="Sí",'Configuración'!$B$9,0)+IF(O1419="Sí",'Configuración'!$B$10,0)+IF(P1419="Sí",'Configuración'!$B$11,0)+IF(Q1419="Sí",'Configuración'!$B$12,0)+S1419+T1419+U1419)</f>
        <v>36</v>
      </c>
      <c r="W1419" s="39" t="str">
        <f>IF(B1419="","",IF(V1419&gt;='Configuración'!$B$19,"A",IF(V1419&gt;='Configuración'!$B$20,"B",IF(V1419&gt;='Configuración'!$B$21,"C","Descarte"))))</f>
        <v>C</v>
      </c>
    </row>
    <row r="1420" ht="15.75" customHeight="1">
      <c r="A1420" s="34">
        <f t="shared" si="1"/>
        <v>1418</v>
      </c>
      <c r="B1420" s="29" t="s">
        <v>201</v>
      </c>
      <c r="C1420" s="29" t="s">
        <v>1381</v>
      </c>
      <c r="D1420" s="29" t="s">
        <v>8035</v>
      </c>
      <c r="E1420" s="29" t="s">
        <v>8036</v>
      </c>
      <c r="F1420" s="30" t="s">
        <v>8037</v>
      </c>
      <c r="G1420" s="30" t="s">
        <v>8038</v>
      </c>
      <c r="H1420" s="42" t="s">
        <v>8039</v>
      </c>
      <c r="I1420" s="29" t="s">
        <v>769</v>
      </c>
      <c r="J1420" s="31">
        <v>6.0</v>
      </c>
      <c r="K1420" s="35"/>
      <c r="L1420" s="35"/>
      <c r="M1420" s="35"/>
      <c r="N1420" s="35"/>
      <c r="O1420" s="35"/>
      <c r="P1420" s="35"/>
      <c r="Q1420" s="35"/>
      <c r="R1420" s="35"/>
      <c r="S1420" s="37">
        <f>IF(B1420="","",IF(ISNUMBER(J1420),IF(J1420&lt;=10,'Configuración'!$B$23,IF(J1420&lt;=50,'Configuración'!$B$24,IF(J1420&lt;=200,'Configuración'!$B$25,0))),0))</f>
        <v>12</v>
      </c>
      <c r="T1420" s="37">
        <f>IF(B1420="","",IF(ISNUMBER(SEARCH("information technology",I1420))+ISNUMBER(SEARCH("software",I1420))+ISNUMBER(SEARCH("internet",I1420))+ISNUMBER(SEARCH("computer",I1420))+ISNUMBER(SEARCH("saas",I1420))+ISNUMBER(SEARCH("fintech",I1420))+ISNUMBER(SEARCH("information services",I1420))+ISNUMBER(SEARCH("telecommunications",I1420))&gt;0,'Configuración'!$B$27,'Configuración'!$B$28))</f>
        <v>4</v>
      </c>
      <c r="U1420" s="25">
        <f>IF(B1420="","",IF(ISNUMBER(SEARCH("CEO",C1420))+ISNUMBER(SEARCH("Founder",C1420))+ISNUMBER(SEARCH("Owner",C1420))+ISNUMBER(SEARCH("Dueño",C1420))+ISNUMBER(SEARCH("Director General",C1420))+ISNUMBER(SEARCH("Presidente",C1420))+ISNUMBER(SEARCH("President",C1420))&gt;0,'Configuración'!$B$31,IF(ISNUMBER(SEARCH("CMO",C1420))+ISNUMBER(SEARCH("Chief Marketing",C1420))+ISNUMBER(SEARCH("VP Marketing",C1420))+ISNUMBER(SEARCH("Director de Marketing",C1420))+ISNUMBER(SEARCH("Director Marketing",C1420))+ISNUMBER(SEARCH("Head of Marketing",C1420))+ISNUMBER(SEARCH("Head Marketing",C1420))&gt;0,'Configuración'!$B$32,IF(ISNUMBER(SEARCH("Marketing Manager",C1420))+ISNUMBER(SEARCH("Gerente de Marketing",C1420))+ISNUMBER(SEARCH("Growth Manager",C1420))+ISNUMBER(SEARCH("Demand Gen",C1420))+ISNUMBER(SEARCH("Marketing Lead",C1420))&gt;0,'Configuración'!$B$33,IF(ISNUMBER(SEARCH("COO",C1420))+ISNUMBER(SEARCH("CFO",C1420))+ISNUMBER(SEARCH("CTO",C1420))+ISNUMBER(SEARCH("Chief Operating",C1420))+ISNUMBER(SEARCH("Chief Financial",C1420))+ISNUMBER(SEARCH("Gerente General",C1420))+ISNUMBER(SEARCH("General Manager",C1420))&gt;0,'Configuración'!$B$34,'Configuración'!$B$35)))))</f>
        <v>12</v>
      </c>
      <c r="V1420" s="38">
        <f>IF(B1420="","",IF(K1420="Sí",'Configuración'!$B$5,0)+IF(L1420="Semanal",'Configuración'!$B$6,IF(L1420="Mensual",'Configuración'!$B$7,0))+IF(M1420="Sí",'Configuración'!$B$8,0)+IF(N1420="Sí",'Configuración'!$B$9,0)+IF(O1420="Sí",'Configuración'!$B$10,0)+IF(P1420="Sí",'Configuración'!$B$11,0)+IF(Q1420="Sí",'Configuración'!$B$12,0)+S1420+T1420+U1420)</f>
        <v>28</v>
      </c>
      <c r="W1420" s="39" t="str">
        <f>IF(B1420="","",IF(V1420&gt;='Configuración'!$B$19,"A",IF(V1420&gt;='Configuración'!$B$20,"B",IF(V1420&gt;='Configuración'!$B$21,"C","Descarte"))))</f>
        <v>C</v>
      </c>
    </row>
    <row r="1421" ht="15.75" customHeight="1">
      <c r="A1421" s="34">
        <f t="shared" si="1"/>
        <v>1419</v>
      </c>
      <c r="B1421" s="29" t="s">
        <v>296</v>
      </c>
      <c r="C1421" s="29" t="s">
        <v>622</v>
      </c>
      <c r="D1421" s="29" t="s">
        <v>8040</v>
      </c>
      <c r="E1421" s="29" t="s">
        <v>8041</v>
      </c>
      <c r="F1421" s="30" t="s">
        <v>8042</v>
      </c>
      <c r="G1421" s="30" t="s">
        <v>8043</v>
      </c>
      <c r="H1421" s="42" t="s">
        <v>8044</v>
      </c>
      <c r="I1421" s="29" t="s">
        <v>116</v>
      </c>
      <c r="J1421" s="31">
        <v>17.0</v>
      </c>
      <c r="K1421" s="35"/>
      <c r="L1421" s="35"/>
      <c r="M1421" s="35"/>
      <c r="N1421" s="35"/>
      <c r="O1421" s="35"/>
      <c r="P1421" s="35"/>
      <c r="Q1421" s="35"/>
      <c r="R1421" s="35"/>
      <c r="S1421" s="37">
        <f>IF(B1421="","",IF(ISNUMBER(J1421),IF(J1421&lt;=10,'Configuración'!$B$23,IF(J1421&lt;=50,'Configuración'!$B$24,IF(J1421&lt;=200,'Configuración'!$B$25,0))),0))</f>
        <v>4</v>
      </c>
      <c r="T1421" s="37">
        <f>IF(B1421="","",IF(ISNUMBER(SEARCH("information technology",I1421))+ISNUMBER(SEARCH("software",I1421))+ISNUMBER(SEARCH("internet",I1421))+ISNUMBER(SEARCH("computer",I1421))+ISNUMBER(SEARCH("saas",I1421))+ISNUMBER(SEARCH("fintech",I1421))+ISNUMBER(SEARCH("information services",I1421))+ISNUMBER(SEARCH("telecommunications",I1421))&gt;0,'Configuración'!$B$27,'Configuración'!$B$28))</f>
        <v>4</v>
      </c>
      <c r="U1421" s="25">
        <f>IF(B1421="","",IF(ISNUMBER(SEARCH("CEO",C1421))+ISNUMBER(SEARCH("Founder",C1421))+ISNUMBER(SEARCH("Owner",C1421))+ISNUMBER(SEARCH("Dueño",C1421))+ISNUMBER(SEARCH("Director General",C1421))+ISNUMBER(SEARCH("Presidente",C1421))+ISNUMBER(SEARCH("President",C1421))&gt;0,'Configuración'!$B$31,IF(ISNUMBER(SEARCH("CMO",C1421))+ISNUMBER(SEARCH("Chief Marketing",C1421))+ISNUMBER(SEARCH("VP Marketing",C1421))+ISNUMBER(SEARCH("Director de Marketing",C1421))+ISNUMBER(SEARCH("Director Marketing",C1421))+ISNUMBER(SEARCH("Head of Marketing",C1421))+ISNUMBER(SEARCH("Head Marketing",C1421))&gt;0,'Configuración'!$B$32,IF(ISNUMBER(SEARCH("Marketing Manager",C1421))+ISNUMBER(SEARCH("Gerente de Marketing",C1421))+ISNUMBER(SEARCH("Growth Manager",C1421))+ISNUMBER(SEARCH("Demand Gen",C1421))+ISNUMBER(SEARCH("Marketing Lead",C1421))&gt;0,'Configuración'!$B$33,IF(ISNUMBER(SEARCH("COO",C1421))+ISNUMBER(SEARCH("CFO",C1421))+ISNUMBER(SEARCH("CTO",C1421))+ISNUMBER(SEARCH("Chief Operating",C1421))+ISNUMBER(SEARCH("Chief Financial",C1421))+ISNUMBER(SEARCH("Gerente General",C1421))+ISNUMBER(SEARCH("General Manager",C1421))&gt;0,'Configuración'!$B$34,'Configuración'!$B$35)))))</f>
        <v>12</v>
      </c>
      <c r="V1421" s="38">
        <f>IF(B1421="","",IF(K1421="Sí",'Configuración'!$B$5,0)+IF(L1421="Semanal",'Configuración'!$B$6,IF(L1421="Mensual",'Configuración'!$B$7,0))+IF(M1421="Sí",'Configuración'!$B$8,0)+IF(N1421="Sí",'Configuración'!$B$9,0)+IF(O1421="Sí",'Configuración'!$B$10,0)+IF(P1421="Sí",'Configuración'!$B$11,0)+IF(Q1421="Sí",'Configuración'!$B$12,0)+S1421+T1421+U1421)</f>
        <v>20</v>
      </c>
      <c r="W1421" s="39" t="str">
        <f>IF(B1421="","",IF(V1421&gt;='Configuración'!$B$19,"A",IF(V1421&gt;='Configuración'!$B$20,"B",IF(V1421&gt;='Configuración'!$B$21,"C","Descarte"))))</f>
        <v>Descarte</v>
      </c>
    </row>
    <row r="1422" ht="15.75" customHeight="1">
      <c r="A1422" s="34">
        <f t="shared" si="1"/>
        <v>1420</v>
      </c>
      <c r="B1422" s="29" t="s">
        <v>1686</v>
      </c>
      <c r="C1422" s="29" t="s">
        <v>8045</v>
      </c>
      <c r="D1422" s="29" t="s">
        <v>8046</v>
      </c>
      <c r="E1422" s="29" t="s">
        <v>8047</v>
      </c>
      <c r="F1422" s="30" t="s">
        <v>8048</v>
      </c>
      <c r="G1422" s="30" t="s">
        <v>8049</v>
      </c>
      <c r="H1422" s="42" t="s">
        <v>8050</v>
      </c>
      <c r="I1422" s="29"/>
      <c r="J1422" s="31">
        <v>10.0</v>
      </c>
      <c r="K1422" s="35"/>
      <c r="L1422" s="35"/>
      <c r="M1422" s="35"/>
      <c r="N1422" s="35"/>
      <c r="O1422" s="35"/>
      <c r="P1422" s="35"/>
      <c r="Q1422" s="35"/>
      <c r="R1422" s="35"/>
      <c r="S1422" s="37">
        <f>IF(B1422="","",IF(ISNUMBER(J1422),IF(J1422&lt;=10,'Configuración'!$B$23,IF(J1422&lt;=50,'Configuración'!$B$24,IF(J1422&lt;=200,'Configuración'!$B$25,0))),0))</f>
        <v>12</v>
      </c>
      <c r="T1422" s="37">
        <f>IF(B1422="","",IF(ISNUMBER(SEARCH("information technology",I1422))+ISNUMBER(SEARCH("software",I1422))+ISNUMBER(SEARCH("internet",I1422))+ISNUMBER(SEARCH("computer",I1422))+ISNUMBER(SEARCH("saas",I1422))+ISNUMBER(SEARCH("fintech",I1422))+ISNUMBER(SEARCH("information services",I1422))+ISNUMBER(SEARCH("telecommunications",I1422))&gt;0,'Configuración'!$B$27,'Configuración'!$B$28))</f>
        <v>4</v>
      </c>
      <c r="U1422" s="25">
        <f>IF(B1422="","",IF(ISNUMBER(SEARCH("CEO",C1422))+ISNUMBER(SEARCH("Founder",C1422))+ISNUMBER(SEARCH("Owner",C1422))+ISNUMBER(SEARCH("Dueño",C1422))+ISNUMBER(SEARCH("Director General",C1422))+ISNUMBER(SEARCH("Presidente",C1422))+ISNUMBER(SEARCH("President",C1422))&gt;0,'Configuración'!$B$31,IF(ISNUMBER(SEARCH("CMO",C1422))+ISNUMBER(SEARCH("Chief Marketing",C1422))+ISNUMBER(SEARCH("VP Marketing",C1422))+ISNUMBER(SEARCH("Director de Marketing",C1422))+ISNUMBER(SEARCH("Director Marketing",C1422))+ISNUMBER(SEARCH("Head of Marketing",C1422))+ISNUMBER(SEARCH("Head Marketing",C1422))&gt;0,'Configuración'!$B$32,IF(ISNUMBER(SEARCH("Marketing Manager",C1422))+ISNUMBER(SEARCH("Gerente de Marketing",C1422))+ISNUMBER(SEARCH("Growth Manager",C1422))+ISNUMBER(SEARCH("Demand Gen",C1422))+ISNUMBER(SEARCH("Marketing Lead",C1422))&gt;0,'Configuración'!$B$33,IF(ISNUMBER(SEARCH("COO",C1422))+ISNUMBER(SEARCH("CFO",C1422))+ISNUMBER(SEARCH("CTO",C1422))+ISNUMBER(SEARCH("Chief Operating",C1422))+ISNUMBER(SEARCH("Chief Financial",C1422))+ISNUMBER(SEARCH("Gerente General",C1422))+ISNUMBER(SEARCH("General Manager",C1422))&gt;0,'Configuración'!$B$34,'Configuración'!$B$35)))))</f>
        <v>4</v>
      </c>
      <c r="V1422" s="38">
        <f>IF(B1422="","",IF(K1422="Sí",'Configuración'!$B$5,0)+IF(L1422="Semanal",'Configuración'!$B$6,IF(L1422="Mensual",'Configuración'!$B$7,0))+IF(M1422="Sí",'Configuración'!$B$8,0)+IF(N1422="Sí",'Configuración'!$B$9,0)+IF(O1422="Sí",'Configuración'!$B$10,0)+IF(P1422="Sí",'Configuración'!$B$11,0)+IF(Q1422="Sí",'Configuración'!$B$12,0)+S1422+T1422+U1422)</f>
        <v>20</v>
      </c>
      <c r="W1422" s="39" t="str">
        <f>IF(B1422="","",IF(V1422&gt;='Configuración'!$B$19,"A",IF(V1422&gt;='Configuración'!$B$20,"B",IF(V1422&gt;='Configuración'!$B$21,"C","Descarte"))))</f>
        <v>Descarte</v>
      </c>
    </row>
    <row r="1423" ht="15.75" customHeight="1">
      <c r="A1423" s="34">
        <f t="shared" si="1"/>
        <v>1421</v>
      </c>
      <c r="B1423" s="29" t="s">
        <v>8051</v>
      </c>
      <c r="C1423" s="29" t="s">
        <v>202</v>
      </c>
      <c r="D1423" s="29" t="s">
        <v>5320</v>
      </c>
      <c r="E1423" s="29" t="s">
        <v>8052</v>
      </c>
      <c r="F1423" s="30" t="s">
        <v>8053</v>
      </c>
      <c r="G1423" s="30" t="s">
        <v>5323</v>
      </c>
      <c r="H1423" s="42" t="s">
        <v>5324</v>
      </c>
      <c r="I1423" s="29" t="s">
        <v>932</v>
      </c>
      <c r="J1423" s="31">
        <v>5.0</v>
      </c>
      <c r="K1423" s="35"/>
      <c r="L1423" s="35"/>
      <c r="M1423" s="35"/>
      <c r="N1423" s="35"/>
      <c r="O1423" s="35"/>
      <c r="P1423" s="35"/>
      <c r="Q1423" s="35"/>
      <c r="R1423" s="35"/>
      <c r="S1423" s="37">
        <f>IF(B1423="","",IF(ISNUMBER(J1423),IF(J1423&lt;=10,'Configuración'!$B$23,IF(J1423&lt;=50,'Configuración'!$B$24,IF(J1423&lt;=200,'Configuración'!$B$25,0))),0))</f>
        <v>12</v>
      </c>
      <c r="T1423" s="37">
        <f>IF(B1423="","",IF(ISNUMBER(SEARCH("information technology",I1423))+ISNUMBER(SEARCH("software",I1423))+ISNUMBER(SEARCH("internet",I1423))+ISNUMBER(SEARCH("computer",I1423))+ISNUMBER(SEARCH("saas",I1423))+ISNUMBER(SEARCH("fintech",I1423))+ISNUMBER(SEARCH("information services",I1423))+ISNUMBER(SEARCH("telecommunications",I1423))&gt;0,'Configuración'!$B$27,'Configuración'!$B$28))</f>
        <v>4</v>
      </c>
      <c r="U1423" s="25">
        <f>IF(B1423="","",IF(ISNUMBER(SEARCH("CEO",C1423))+ISNUMBER(SEARCH("Founder",C1423))+ISNUMBER(SEARCH("Owner",C1423))+ISNUMBER(SEARCH("Dueño",C1423))+ISNUMBER(SEARCH("Director General",C1423))+ISNUMBER(SEARCH("Presidente",C1423))+ISNUMBER(SEARCH("President",C1423))&gt;0,'Configuración'!$B$31,IF(ISNUMBER(SEARCH("CMO",C1423))+ISNUMBER(SEARCH("Chief Marketing",C1423))+ISNUMBER(SEARCH("VP Marketing",C1423))+ISNUMBER(SEARCH("Director de Marketing",C1423))+ISNUMBER(SEARCH("Director Marketing",C1423))+ISNUMBER(SEARCH("Head of Marketing",C1423))+ISNUMBER(SEARCH("Head Marketing",C1423))&gt;0,'Configuración'!$B$32,IF(ISNUMBER(SEARCH("Marketing Manager",C1423))+ISNUMBER(SEARCH("Gerente de Marketing",C1423))+ISNUMBER(SEARCH("Growth Manager",C1423))+ISNUMBER(SEARCH("Demand Gen",C1423))+ISNUMBER(SEARCH("Marketing Lead",C1423))&gt;0,'Configuración'!$B$33,IF(ISNUMBER(SEARCH("COO",C1423))+ISNUMBER(SEARCH("CFO",C1423))+ISNUMBER(SEARCH("CTO",C1423))+ISNUMBER(SEARCH("Chief Operating",C1423))+ISNUMBER(SEARCH("Chief Financial",C1423))+ISNUMBER(SEARCH("Gerente General",C1423))+ISNUMBER(SEARCH("General Manager",C1423))&gt;0,'Configuración'!$B$34,'Configuración'!$B$35)))))</f>
        <v>12</v>
      </c>
      <c r="V1423" s="38">
        <f>IF(B1423="","",IF(K1423="Sí",'Configuración'!$B$5,0)+IF(L1423="Semanal",'Configuración'!$B$6,IF(L1423="Mensual",'Configuración'!$B$7,0))+IF(M1423="Sí",'Configuración'!$B$8,0)+IF(N1423="Sí",'Configuración'!$B$9,0)+IF(O1423="Sí",'Configuración'!$B$10,0)+IF(P1423="Sí",'Configuración'!$B$11,0)+IF(Q1423="Sí",'Configuración'!$B$12,0)+S1423+T1423+U1423)</f>
        <v>28</v>
      </c>
      <c r="W1423" s="39" t="str">
        <f>IF(B1423="","",IF(V1423&gt;='Configuración'!$B$19,"A",IF(V1423&gt;='Configuración'!$B$20,"B",IF(V1423&gt;='Configuración'!$B$21,"C","Descarte"))))</f>
        <v>C</v>
      </c>
    </row>
    <row r="1424" ht="15.75" customHeight="1">
      <c r="A1424" s="34">
        <f t="shared" si="1"/>
        <v>1422</v>
      </c>
      <c r="B1424" s="29" t="s">
        <v>138</v>
      </c>
      <c r="C1424" s="29" t="s">
        <v>8054</v>
      </c>
      <c r="D1424" s="29" t="s">
        <v>8055</v>
      </c>
      <c r="E1424" s="29" t="s">
        <v>8056</v>
      </c>
      <c r="F1424" s="30" t="s">
        <v>8057</v>
      </c>
      <c r="G1424" s="30" t="s">
        <v>8058</v>
      </c>
      <c r="H1424" s="42" t="s">
        <v>8059</v>
      </c>
      <c r="I1424" s="29" t="s">
        <v>188</v>
      </c>
      <c r="J1424" s="31">
        <v>5.0</v>
      </c>
      <c r="K1424" s="35"/>
      <c r="L1424" s="35"/>
      <c r="M1424" s="35"/>
      <c r="N1424" s="35"/>
      <c r="O1424" s="35"/>
      <c r="P1424" s="35"/>
      <c r="Q1424" s="35"/>
      <c r="R1424" s="35"/>
      <c r="S1424" s="37">
        <f>IF(B1424="","",IF(ISNUMBER(J1424),IF(J1424&lt;=10,'Configuración'!$B$23,IF(J1424&lt;=50,'Configuración'!$B$24,IF(J1424&lt;=200,'Configuración'!$B$25,0))),0))</f>
        <v>12</v>
      </c>
      <c r="T1424" s="37">
        <f>IF(B1424="","",IF(ISNUMBER(SEARCH("information technology",I1424))+ISNUMBER(SEARCH("software",I1424))+ISNUMBER(SEARCH("internet",I1424))+ISNUMBER(SEARCH("computer",I1424))+ISNUMBER(SEARCH("saas",I1424))+ISNUMBER(SEARCH("fintech",I1424))+ISNUMBER(SEARCH("information services",I1424))+ISNUMBER(SEARCH("telecommunications",I1424))&gt;0,'Configuración'!$B$27,'Configuración'!$B$28))</f>
        <v>4</v>
      </c>
      <c r="U1424" s="25">
        <f>IF(B1424="","",IF(ISNUMBER(SEARCH("CEO",C1424))+ISNUMBER(SEARCH("Founder",C1424))+ISNUMBER(SEARCH("Owner",C1424))+ISNUMBER(SEARCH("Dueño",C1424))+ISNUMBER(SEARCH("Director General",C1424))+ISNUMBER(SEARCH("Presidente",C1424))+ISNUMBER(SEARCH("President",C1424))&gt;0,'Configuración'!$B$31,IF(ISNUMBER(SEARCH("CMO",C1424))+ISNUMBER(SEARCH("Chief Marketing",C1424))+ISNUMBER(SEARCH("VP Marketing",C1424))+ISNUMBER(SEARCH("Director de Marketing",C1424))+ISNUMBER(SEARCH("Director Marketing",C1424))+ISNUMBER(SEARCH("Head of Marketing",C1424))+ISNUMBER(SEARCH("Head Marketing",C1424))&gt;0,'Configuración'!$B$32,IF(ISNUMBER(SEARCH("Marketing Manager",C1424))+ISNUMBER(SEARCH("Gerente de Marketing",C1424))+ISNUMBER(SEARCH("Growth Manager",C1424))+ISNUMBER(SEARCH("Demand Gen",C1424))+ISNUMBER(SEARCH("Marketing Lead",C1424))&gt;0,'Configuración'!$B$33,IF(ISNUMBER(SEARCH("COO",C1424))+ISNUMBER(SEARCH("CFO",C1424))+ISNUMBER(SEARCH("CTO",C1424))+ISNUMBER(SEARCH("Chief Operating",C1424))+ISNUMBER(SEARCH("Chief Financial",C1424))+ISNUMBER(SEARCH("Gerente General",C1424))+ISNUMBER(SEARCH("General Manager",C1424))&gt;0,'Configuración'!$B$34,'Configuración'!$B$35)))))</f>
        <v>12</v>
      </c>
      <c r="V1424" s="38">
        <f>IF(B1424="","",IF(K1424="Sí",'Configuración'!$B$5,0)+IF(L1424="Semanal",'Configuración'!$B$6,IF(L1424="Mensual",'Configuración'!$B$7,0))+IF(M1424="Sí",'Configuración'!$B$8,0)+IF(N1424="Sí",'Configuración'!$B$9,0)+IF(O1424="Sí",'Configuración'!$B$10,0)+IF(P1424="Sí",'Configuración'!$B$11,0)+IF(Q1424="Sí",'Configuración'!$B$12,0)+S1424+T1424+U1424)</f>
        <v>28</v>
      </c>
      <c r="W1424" s="39" t="str">
        <f>IF(B1424="","",IF(V1424&gt;='Configuración'!$B$19,"A",IF(V1424&gt;='Configuración'!$B$20,"B",IF(V1424&gt;='Configuración'!$B$21,"C","Descarte"))))</f>
        <v>C</v>
      </c>
    </row>
    <row r="1425" ht="15.75" customHeight="1">
      <c r="A1425" s="34">
        <f t="shared" si="1"/>
        <v>1423</v>
      </c>
      <c r="B1425" s="29" t="s">
        <v>2677</v>
      </c>
      <c r="C1425" s="29" t="s">
        <v>8060</v>
      </c>
      <c r="D1425" s="29" t="s">
        <v>8061</v>
      </c>
      <c r="E1425" s="29" t="s">
        <v>8062</v>
      </c>
      <c r="F1425" s="30" t="s">
        <v>8063</v>
      </c>
      <c r="G1425" s="30" t="s">
        <v>8064</v>
      </c>
      <c r="H1425" s="42" t="s">
        <v>8065</v>
      </c>
      <c r="I1425" s="29" t="s">
        <v>1922</v>
      </c>
      <c r="J1425" s="31">
        <v>13.0</v>
      </c>
      <c r="K1425" s="35"/>
      <c r="L1425" s="35"/>
      <c r="M1425" s="35"/>
      <c r="N1425" s="35"/>
      <c r="O1425" s="35"/>
      <c r="P1425" s="35"/>
      <c r="Q1425" s="35"/>
      <c r="R1425" s="35"/>
      <c r="S1425" s="37">
        <f>IF(B1425="","",IF(ISNUMBER(J1425),IF(J1425&lt;=10,'Configuración'!$B$23,IF(J1425&lt;=50,'Configuración'!$B$24,IF(J1425&lt;=200,'Configuración'!$B$25,0))),0))</f>
        <v>4</v>
      </c>
      <c r="T1425" s="37">
        <f>IF(B1425="","",IF(ISNUMBER(SEARCH("information technology",I1425))+ISNUMBER(SEARCH("software",I1425))+ISNUMBER(SEARCH("internet",I1425))+ISNUMBER(SEARCH("computer",I1425))+ISNUMBER(SEARCH("saas",I1425))+ISNUMBER(SEARCH("fintech",I1425))+ISNUMBER(SEARCH("information services",I1425))+ISNUMBER(SEARCH("telecommunications",I1425))&gt;0,'Configuración'!$B$27,'Configuración'!$B$28))</f>
        <v>4</v>
      </c>
      <c r="U1425" s="25">
        <f>IF(B1425="","",IF(ISNUMBER(SEARCH("CEO",C1425))+ISNUMBER(SEARCH("Founder",C1425))+ISNUMBER(SEARCH("Owner",C1425))+ISNUMBER(SEARCH("Dueño",C1425))+ISNUMBER(SEARCH("Director General",C1425))+ISNUMBER(SEARCH("Presidente",C1425))+ISNUMBER(SEARCH("President",C1425))&gt;0,'Configuración'!$B$31,IF(ISNUMBER(SEARCH("CMO",C1425))+ISNUMBER(SEARCH("Chief Marketing",C1425))+ISNUMBER(SEARCH("VP Marketing",C1425))+ISNUMBER(SEARCH("Director de Marketing",C1425))+ISNUMBER(SEARCH("Director Marketing",C1425))+ISNUMBER(SEARCH("Head of Marketing",C1425))+ISNUMBER(SEARCH("Head Marketing",C1425))&gt;0,'Configuración'!$B$32,IF(ISNUMBER(SEARCH("Marketing Manager",C1425))+ISNUMBER(SEARCH("Gerente de Marketing",C1425))+ISNUMBER(SEARCH("Growth Manager",C1425))+ISNUMBER(SEARCH("Demand Gen",C1425))+ISNUMBER(SEARCH("Marketing Lead",C1425))&gt;0,'Configuración'!$B$33,IF(ISNUMBER(SEARCH("COO",C1425))+ISNUMBER(SEARCH("CFO",C1425))+ISNUMBER(SEARCH("CTO",C1425))+ISNUMBER(SEARCH("Chief Operating",C1425))+ISNUMBER(SEARCH("Chief Financial",C1425))+ISNUMBER(SEARCH("Gerente General",C1425))+ISNUMBER(SEARCH("General Manager",C1425))&gt;0,'Configuración'!$B$34,'Configuración'!$B$35)))))</f>
        <v>12</v>
      </c>
      <c r="V1425" s="38">
        <f>IF(B1425="","",IF(K1425="Sí",'Configuración'!$B$5,0)+IF(L1425="Semanal",'Configuración'!$B$6,IF(L1425="Mensual",'Configuración'!$B$7,0))+IF(M1425="Sí",'Configuración'!$B$8,0)+IF(N1425="Sí",'Configuración'!$B$9,0)+IF(O1425="Sí",'Configuración'!$B$10,0)+IF(P1425="Sí",'Configuración'!$B$11,0)+IF(Q1425="Sí",'Configuración'!$B$12,0)+S1425+T1425+U1425)</f>
        <v>20</v>
      </c>
      <c r="W1425" s="39" t="str">
        <f>IF(B1425="","",IF(V1425&gt;='Configuración'!$B$19,"A",IF(V1425&gt;='Configuración'!$B$20,"B",IF(V1425&gt;='Configuración'!$B$21,"C","Descarte"))))</f>
        <v>Descarte</v>
      </c>
    </row>
    <row r="1426" ht="15.75" customHeight="1">
      <c r="A1426" s="34">
        <f t="shared" si="1"/>
        <v>1424</v>
      </c>
      <c r="B1426" s="29" t="s">
        <v>1778</v>
      </c>
      <c r="C1426" s="29" t="s">
        <v>622</v>
      </c>
      <c r="D1426" s="29" t="s">
        <v>8066</v>
      </c>
      <c r="E1426" s="29" t="s">
        <v>8067</v>
      </c>
      <c r="F1426" s="30" t="s">
        <v>8068</v>
      </c>
      <c r="G1426" s="30" t="s">
        <v>8069</v>
      </c>
      <c r="H1426" s="42" t="s">
        <v>8070</v>
      </c>
      <c r="I1426" s="29" t="s">
        <v>222</v>
      </c>
      <c r="J1426" s="31">
        <v>4.0</v>
      </c>
      <c r="K1426" s="35"/>
      <c r="L1426" s="35"/>
      <c r="M1426" s="35"/>
      <c r="N1426" s="35"/>
      <c r="O1426" s="35"/>
      <c r="P1426" s="35"/>
      <c r="Q1426" s="35"/>
      <c r="R1426" s="35"/>
      <c r="S1426" s="37">
        <f>IF(B1426="","",IF(ISNUMBER(J1426),IF(J1426&lt;=10,'Configuración'!$B$23,IF(J1426&lt;=50,'Configuración'!$B$24,IF(J1426&lt;=200,'Configuración'!$B$25,0))),0))</f>
        <v>12</v>
      </c>
      <c r="T1426" s="37">
        <f>IF(B1426="","",IF(ISNUMBER(SEARCH("information technology",I1426))+ISNUMBER(SEARCH("software",I1426))+ISNUMBER(SEARCH("internet",I1426))+ISNUMBER(SEARCH("computer",I1426))+ISNUMBER(SEARCH("saas",I1426))+ISNUMBER(SEARCH("fintech",I1426))+ISNUMBER(SEARCH("information services",I1426))+ISNUMBER(SEARCH("telecommunications",I1426))&gt;0,'Configuración'!$B$27,'Configuración'!$B$28))</f>
        <v>4</v>
      </c>
      <c r="U1426" s="25">
        <f>IF(B1426="","",IF(ISNUMBER(SEARCH("CEO",C1426))+ISNUMBER(SEARCH("Founder",C1426))+ISNUMBER(SEARCH("Owner",C1426))+ISNUMBER(SEARCH("Dueño",C1426))+ISNUMBER(SEARCH("Director General",C1426))+ISNUMBER(SEARCH("Presidente",C1426))+ISNUMBER(SEARCH("President",C1426))&gt;0,'Configuración'!$B$31,IF(ISNUMBER(SEARCH("CMO",C1426))+ISNUMBER(SEARCH("Chief Marketing",C1426))+ISNUMBER(SEARCH("VP Marketing",C1426))+ISNUMBER(SEARCH("Director de Marketing",C1426))+ISNUMBER(SEARCH("Director Marketing",C1426))+ISNUMBER(SEARCH("Head of Marketing",C1426))+ISNUMBER(SEARCH("Head Marketing",C1426))&gt;0,'Configuración'!$B$32,IF(ISNUMBER(SEARCH("Marketing Manager",C1426))+ISNUMBER(SEARCH("Gerente de Marketing",C1426))+ISNUMBER(SEARCH("Growth Manager",C1426))+ISNUMBER(SEARCH("Demand Gen",C1426))+ISNUMBER(SEARCH("Marketing Lead",C1426))&gt;0,'Configuración'!$B$33,IF(ISNUMBER(SEARCH("COO",C1426))+ISNUMBER(SEARCH("CFO",C1426))+ISNUMBER(SEARCH("CTO",C1426))+ISNUMBER(SEARCH("Chief Operating",C1426))+ISNUMBER(SEARCH("Chief Financial",C1426))+ISNUMBER(SEARCH("Gerente General",C1426))+ISNUMBER(SEARCH("General Manager",C1426))&gt;0,'Configuración'!$B$34,'Configuración'!$B$35)))))</f>
        <v>12</v>
      </c>
      <c r="V1426" s="38">
        <f>IF(B1426="","",IF(K1426="Sí",'Configuración'!$B$5,0)+IF(L1426="Semanal",'Configuración'!$B$6,IF(L1426="Mensual",'Configuración'!$B$7,0))+IF(M1426="Sí",'Configuración'!$B$8,0)+IF(N1426="Sí",'Configuración'!$B$9,0)+IF(O1426="Sí",'Configuración'!$B$10,0)+IF(P1426="Sí",'Configuración'!$B$11,0)+IF(Q1426="Sí",'Configuración'!$B$12,0)+S1426+T1426+U1426)</f>
        <v>28</v>
      </c>
      <c r="W1426" s="39" t="str">
        <f>IF(B1426="","",IF(V1426&gt;='Configuración'!$B$19,"A",IF(V1426&gt;='Configuración'!$B$20,"B",IF(V1426&gt;='Configuración'!$B$21,"C","Descarte"))))</f>
        <v>C</v>
      </c>
    </row>
    <row r="1427" ht="15.75" customHeight="1">
      <c r="A1427" s="34">
        <f t="shared" si="1"/>
        <v>1425</v>
      </c>
      <c r="B1427" s="29" t="s">
        <v>8071</v>
      </c>
      <c r="C1427" s="29" t="s">
        <v>146</v>
      </c>
      <c r="D1427" s="29" t="s">
        <v>8072</v>
      </c>
      <c r="E1427" s="29" t="s">
        <v>8073</v>
      </c>
      <c r="F1427" s="30" t="s">
        <v>8074</v>
      </c>
      <c r="G1427" s="30" t="s">
        <v>8075</v>
      </c>
      <c r="H1427" s="42" t="s">
        <v>8076</v>
      </c>
      <c r="I1427" s="29" t="s">
        <v>222</v>
      </c>
      <c r="J1427" s="31">
        <v>34.0</v>
      </c>
      <c r="K1427" s="35"/>
      <c r="L1427" s="35"/>
      <c r="M1427" s="35"/>
      <c r="N1427" s="35"/>
      <c r="O1427" s="35"/>
      <c r="P1427" s="35"/>
      <c r="Q1427" s="35"/>
      <c r="R1427" s="35"/>
      <c r="S1427" s="37">
        <f>IF(B1427="","",IF(ISNUMBER(J1427),IF(J1427&lt;=10,'Configuración'!$B$23,IF(J1427&lt;=50,'Configuración'!$B$24,IF(J1427&lt;=200,'Configuración'!$B$25,0))),0))</f>
        <v>4</v>
      </c>
      <c r="T1427" s="37">
        <f>IF(B1427="","",IF(ISNUMBER(SEARCH("information technology",I1427))+ISNUMBER(SEARCH("software",I1427))+ISNUMBER(SEARCH("internet",I1427))+ISNUMBER(SEARCH("computer",I1427))+ISNUMBER(SEARCH("saas",I1427))+ISNUMBER(SEARCH("fintech",I1427))+ISNUMBER(SEARCH("information services",I1427))+ISNUMBER(SEARCH("telecommunications",I1427))&gt;0,'Configuración'!$B$27,'Configuración'!$B$28))</f>
        <v>4</v>
      </c>
      <c r="U1427" s="25">
        <f>IF(B1427="","",IF(ISNUMBER(SEARCH("CEO",C1427))+ISNUMBER(SEARCH("Founder",C1427))+ISNUMBER(SEARCH("Owner",C1427))+ISNUMBER(SEARCH("Dueño",C1427))+ISNUMBER(SEARCH("Director General",C1427))+ISNUMBER(SEARCH("Presidente",C1427))+ISNUMBER(SEARCH("President",C1427))&gt;0,'Configuración'!$B$31,IF(ISNUMBER(SEARCH("CMO",C1427))+ISNUMBER(SEARCH("Chief Marketing",C1427))+ISNUMBER(SEARCH("VP Marketing",C1427))+ISNUMBER(SEARCH("Director de Marketing",C1427))+ISNUMBER(SEARCH("Director Marketing",C1427))+ISNUMBER(SEARCH("Head of Marketing",C1427))+ISNUMBER(SEARCH("Head Marketing",C1427))&gt;0,'Configuración'!$B$32,IF(ISNUMBER(SEARCH("Marketing Manager",C1427))+ISNUMBER(SEARCH("Gerente de Marketing",C1427))+ISNUMBER(SEARCH("Growth Manager",C1427))+ISNUMBER(SEARCH("Demand Gen",C1427))+ISNUMBER(SEARCH("Marketing Lead",C1427))&gt;0,'Configuración'!$B$33,IF(ISNUMBER(SEARCH("COO",C1427))+ISNUMBER(SEARCH("CFO",C1427))+ISNUMBER(SEARCH("CTO",C1427))+ISNUMBER(SEARCH("Chief Operating",C1427))+ISNUMBER(SEARCH("Chief Financial",C1427))+ISNUMBER(SEARCH("Gerente General",C1427))+ISNUMBER(SEARCH("General Manager",C1427))&gt;0,'Configuración'!$B$34,'Configuración'!$B$35)))))</f>
        <v>0</v>
      </c>
      <c r="V1427" s="38">
        <f>IF(B1427="","",IF(K1427="Sí",'Configuración'!$B$5,0)+IF(L1427="Semanal",'Configuración'!$B$6,IF(L1427="Mensual",'Configuración'!$B$7,0))+IF(M1427="Sí",'Configuración'!$B$8,0)+IF(N1427="Sí",'Configuración'!$B$9,0)+IF(O1427="Sí",'Configuración'!$B$10,0)+IF(P1427="Sí",'Configuración'!$B$11,0)+IF(Q1427="Sí",'Configuración'!$B$12,0)+S1427+T1427+U1427)</f>
        <v>8</v>
      </c>
      <c r="W1427" s="39" t="str">
        <f>IF(B1427="","",IF(V1427&gt;='Configuración'!$B$19,"A",IF(V1427&gt;='Configuración'!$B$20,"B",IF(V1427&gt;='Configuración'!$B$21,"C","Descarte"))))</f>
        <v>Descarte</v>
      </c>
    </row>
    <row r="1428" ht="15.75" customHeight="1">
      <c r="A1428" s="34">
        <f t="shared" si="1"/>
        <v>1426</v>
      </c>
      <c r="B1428" s="29" t="s">
        <v>501</v>
      </c>
      <c r="C1428" s="29" t="s">
        <v>131</v>
      </c>
      <c r="D1428" s="29" t="s">
        <v>8077</v>
      </c>
      <c r="E1428" s="29" t="s">
        <v>8078</v>
      </c>
      <c r="F1428" s="30" t="s">
        <v>8079</v>
      </c>
      <c r="G1428" s="30" t="s">
        <v>8080</v>
      </c>
      <c r="H1428" s="42" t="s">
        <v>8081</v>
      </c>
      <c r="I1428" s="29" t="s">
        <v>127</v>
      </c>
      <c r="J1428" s="31">
        <v>16.0</v>
      </c>
      <c r="K1428" s="35"/>
      <c r="L1428" s="35"/>
      <c r="M1428" s="35"/>
      <c r="N1428" s="35"/>
      <c r="O1428" s="35"/>
      <c r="P1428" s="35"/>
      <c r="Q1428" s="35"/>
      <c r="R1428" s="35"/>
      <c r="S1428" s="37">
        <f>IF(B1428="","",IF(ISNUMBER(J1428),IF(J1428&lt;=10,'Configuración'!$B$23,IF(J1428&lt;=50,'Configuración'!$B$24,IF(J1428&lt;=200,'Configuración'!$B$25,0))),0))</f>
        <v>4</v>
      </c>
      <c r="T1428" s="37">
        <f>IF(B1428="","",IF(ISNUMBER(SEARCH("information technology",I1428))+ISNUMBER(SEARCH("software",I1428))+ISNUMBER(SEARCH("internet",I1428))+ISNUMBER(SEARCH("computer",I1428))+ISNUMBER(SEARCH("saas",I1428))+ISNUMBER(SEARCH("fintech",I1428))+ISNUMBER(SEARCH("information services",I1428))+ISNUMBER(SEARCH("telecommunications",I1428))&gt;0,'Configuración'!$B$27,'Configuración'!$B$28))</f>
        <v>12</v>
      </c>
      <c r="U1428" s="25">
        <f>IF(B1428="","",IF(ISNUMBER(SEARCH("CEO",C1428))+ISNUMBER(SEARCH("Founder",C1428))+ISNUMBER(SEARCH("Owner",C1428))+ISNUMBER(SEARCH("Dueño",C1428))+ISNUMBER(SEARCH("Director General",C1428))+ISNUMBER(SEARCH("Presidente",C1428))+ISNUMBER(SEARCH("President",C1428))&gt;0,'Configuración'!$B$31,IF(ISNUMBER(SEARCH("CMO",C1428))+ISNUMBER(SEARCH("Chief Marketing",C1428))+ISNUMBER(SEARCH("VP Marketing",C1428))+ISNUMBER(SEARCH("Director de Marketing",C1428))+ISNUMBER(SEARCH("Director Marketing",C1428))+ISNUMBER(SEARCH("Head of Marketing",C1428))+ISNUMBER(SEARCH("Head Marketing",C1428))&gt;0,'Configuración'!$B$32,IF(ISNUMBER(SEARCH("Marketing Manager",C1428))+ISNUMBER(SEARCH("Gerente de Marketing",C1428))+ISNUMBER(SEARCH("Growth Manager",C1428))+ISNUMBER(SEARCH("Demand Gen",C1428))+ISNUMBER(SEARCH("Marketing Lead",C1428))&gt;0,'Configuración'!$B$33,IF(ISNUMBER(SEARCH("COO",C1428))+ISNUMBER(SEARCH("CFO",C1428))+ISNUMBER(SEARCH("CTO",C1428))+ISNUMBER(SEARCH("Chief Operating",C1428))+ISNUMBER(SEARCH("Chief Financial",C1428))+ISNUMBER(SEARCH("Gerente General",C1428))+ISNUMBER(SEARCH("General Manager",C1428))&gt;0,'Configuración'!$B$34,'Configuración'!$B$35)))))</f>
        <v>12</v>
      </c>
      <c r="V1428" s="38">
        <f>IF(B1428="","",IF(K1428="Sí",'Configuración'!$B$5,0)+IF(L1428="Semanal",'Configuración'!$B$6,IF(L1428="Mensual",'Configuración'!$B$7,0))+IF(M1428="Sí",'Configuración'!$B$8,0)+IF(N1428="Sí",'Configuración'!$B$9,0)+IF(O1428="Sí",'Configuración'!$B$10,0)+IF(P1428="Sí",'Configuración'!$B$11,0)+IF(Q1428="Sí",'Configuración'!$B$12,0)+S1428+T1428+U1428)</f>
        <v>28</v>
      </c>
      <c r="W1428" s="39" t="str">
        <f>IF(B1428="","",IF(V1428&gt;='Configuración'!$B$19,"A",IF(V1428&gt;='Configuración'!$B$20,"B",IF(V1428&gt;='Configuración'!$B$21,"C","Descarte"))))</f>
        <v>C</v>
      </c>
    </row>
    <row r="1429" ht="15.75" customHeight="1">
      <c r="A1429" s="34">
        <f t="shared" si="1"/>
        <v>1427</v>
      </c>
      <c r="B1429" s="29" t="s">
        <v>236</v>
      </c>
      <c r="C1429" s="29" t="s">
        <v>131</v>
      </c>
      <c r="D1429" s="29" t="s">
        <v>8082</v>
      </c>
      <c r="E1429" s="29" t="s">
        <v>8083</v>
      </c>
      <c r="F1429" s="30" t="s">
        <v>8084</v>
      </c>
      <c r="G1429" s="30" t="s">
        <v>8085</v>
      </c>
      <c r="H1429" s="42" t="s">
        <v>8086</v>
      </c>
      <c r="I1429" s="29" t="s">
        <v>127</v>
      </c>
      <c r="J1429" s="31">
        <v>3.0</v>
      </c>
      <c r="K1429" s="35"/>
      <c r="L1429" s="35"/>
      <c r="M1429" s="35"/>
      <c r="N1429" s="35"/>
      <c r="O1429" s="35"/>
      <c r="P1429" s="35"/>
      <c r="Q1429" s="35"/>
      <c r="R1429" s="35"/>
      <c r="S1429" s="37">
        <f>IF(B1429="","",IF(ISNUMBER(J1429),IF(J1429&lt;=10,'Configuración'!$B$23,IF(J1429&lt;=50,'Configuración'!$B$24,IF(J1429&lt;=200,'Configuración'!$B$25,0))),0))</f>
        <v>12</v>
      </c>
      <c r="T1429" s="37">
        <f>IF(B1429="","",IF(ISNUMBER(SEARCH("information technology",I1429))+ISNUMBER(SEARCH("software",I1429))+ISNUMBER(SEARCH("internet",I1429))+ISNUMBER(SEARCH("computer",I1429))+ISNUMBER(SEARCH("saas",I1429))+ISNUMBER(SEARCH("fintech",I1429))+ISNUMBER(SEARCH("information services",I1429))+ISNUMBER(SEARCH("telecommunications",I1429))&gt;0,'Configuración'!$B$27,'Configuración'!$B$28))</f>
        <v>12</v>
      </c>
      <c r="U1429" s="25">
        <f>IF(B1429="","",IF(ISNUMBER(SEARCH("CEO",C1429))+ISNUMBER(SEARCH("Founder",C1429))+ISNUMBER(SEARCH("Owner",C1429))+ISNUMBER(SEARCH("Dueño",C1429))+ISNUMBER(SEARCH("Director General",C1429))+ISNUMBER(SEARCH("Presidente",C1429))+ISNUMBER(SEARCH("President",C1429))&gt;0,'Configuración'!$B$31,IF(ISNUMBER(SEARCH("CMO",C1429))+ISNUMBER(SEARCH("Chief Marketing",C1429))+ISNUMBER(SEARCH("VP Marketing",C1429))+ISNUMBER(SEARCH("Director de Marketing",C1429))+ISNUMBER(SEARCH("Director Marketing",C1429))+ISNUMBER(SEARCH("Head of Marketing",C1429))+ISNUMBER(SEARCH("Head Marketing",C1429))&gt;0,'Configuración'!$B$32,IF(ISNUMBER(SEARCH("Marketing Manager",C1429))+ISNUMBER(SEARCH("Gerente de Marketing",C1429))+ISNUMBER(SEARCH("Growth Manager",C1429))+ISNUMBER(SEARCH("Demand Gen",C1429))+ISNUMBER(SEARCH("Marketing Lead",C1429))&gt;0,'Configuración'!$B$33,IF(ISNUMBER(SEARCH("COO",C1429))+ISNUMBER(SEARCH("CFO",C1429))+ISNUMBER(SEARCH("CTO",C1429))+ISNUMBER(SEARCH("Chief Operating",C1429))+ISNUMBER(SEARCH("Chief Financial",C1429))+ISNUMBER(SEARCH("Gerente General",C1429))+ISNUMBER(SEARCH("General Manager",C1429))&gt;0,'Configuración'!$B$34,'Configuración'!$B$35)))))</f>
        <v>12</v>
      </c>
      <c r="V1429" s="38">
        <f>IF(B1429="","",IF(K1429="Sí",'Configuración'!$B$5,0)+IF(L1429="Semanal",'Configuración'!$B$6,IF(L1429="Mensual",'Configuración'!$B$7,0))+IF(M1429="Sí",'Configuración'!$B$8,0)+IF(N1429="Sí",'Configuración'!$B$9,0)+IF(O1429="Sí",'Configuración'!$B$10,0)+IF(P1429="Sí",'Configuración'!$B$11,0)+IF(Q1429="Sí",'Configuración'!$B$12,0)+S1429+T1429+U1429)</f>
        <v>36</v>
      </c>
      <c r="W1429" s="39" t="str">
        <f>IF(B1429="","",IF(V1429&gt;='Configuración'!$B$19,"A",IF(V1429&gt;='Configuración'!$B$20,"B",IF(V1429&gt;='Configuración'!$B$21,"C","Descarte"))))</f>
        <v>C</v>
      </c>
    </row>
    <row r="1430" ht="15.75" customHeight="1">
      <c r="A1430" s="34">
        <f t="shared" si="1"/>
        <v>1428</v>
      </c>
      <c r="B1430" s="29" t="s">
        <v>466</v>
      </c>
      <c r="C1430" s="29" t="s">
        <v>146</v>
      </c>
      <c r="D1430" s="29" t="s">
        <v>8087</v>
      </c>
      <c r="E1430" s="29" t="s">
        <v>8088</v>
      </c>
      <c r="F1430" s="30" t="s">
        <v>8089</v>
      </c>
      <c r="G1430" s="30" t="s">
        <v>8090</v>
      </c>
      <c r="H1430" s="42" t="s">
        <v>8091</v>
      </c>
      <c r="I1430" s="29" t="s">
        <v>1245</v>
      </c>
      <c r="J1430" s="31">
        <v>5.0</v>
      </c>
      <c r="K1430" s="35"/>
      <c r="L1430" s="35"/>
      <c r="M1430" s="35"/>
      <c r="N1430" s="35"/>
      <c r="O1430" s="35"/>
      <c r="P1430" s="35"/>
      <c r="Q1430" s="35"/>
      <c r="R1430" s="35"/>
      <c r="S1430" s="37">
        <f>IF(B1430="","",IF(ISNUMBER(J1430),IF(J1430&lt;=10,'Configuración'!$B$23,IF(J1430&lt;=50,'Configuración'!$B$24,IF(J1430&lt;=200,'Configuración'!$B$25,0))),0))</f>
        <v>12</v>
      </c>
      <c r="T1430" s="37">
        <f>IF(B1430="","",IF(ISNUMBER(SEARCH("information technology",I1430))+ISNUMBER(SEARCH("software",I1430))+ISNUMBER(SEARCH("internet",I1430))+ISNUMBER(SEARCH("computer",I1430))+ISNUMBER(SEARCH("saas",I1430))+ISNUMBER(SEARCH("fintech",I1430))+ISNUMBER(SEARCH("information services",I1430))+ISNUMBER(SEARCH("telecommunications",I1430))&gt;0,'Configuración'!$B$27,'Configuración'!$B$28))</f>
        <v>4</v>
      </c>
      <c r="U1430" s="25">
        <f>IF(B1430="","",IF(ISNUMBER(SEARCH("CEO",C1430))+ISNUMBER(SEARCH("Founder",C1430))+ISNUMBER(SEARCH("Owner",C1430))+ISNUMBER(SEARCH("Dueño",C1430))+ISNUMBER(SEARCH("Director General",C1430))+ISNUMBER(SEARCH("Presidente",C1430))+ISNUMBER(SEARCH("President",C1430))&gt;0,'Configuración'!$B$31,IF(ISNUMBER(SEARCH("CMO",C1430))+ISNUMBER(SEARCH("Chief Marketing",C1430))+ISNUMBER(SEARCH("VP Marketing",C1430))+ISNUMBER(SEARCH("Director de Marketing",C1430))+ISNUMBER(SEARCH("Director Marketing",C1430))+ISNUMBER(SEARCH("Head of Marketing",C1430))+ISNUMBER(SEARCH("Head Marketing",C1430))&gt;0,'Configuración'!$B$32,IF(ISNUMBER(SEARCH("Marketing Manager",C1430))+ISNUMBER(SEARCH("Gerente de Marketing",C1430))+ISNUMBER(SEARCH("Growth Manager",C1430))+ISNUMBER(SEARCH("Demand Gen",C1430))+ISNUMBER(SEARCH("Marketing Lead",C1430))&gt;0,'Configuración'!$B$33,IF(ISNUMBER(SEARCH("COO",C1430))+ISNUMBER(SEARCH("CFO",C1430))+ISNUMBER(SEARCH("CTO",C1430))+ISNUMBER(SEARCH("Chief Operating",C1430))+ISNUMBER(SEARCH("Chief Financial",C1430))+ISNUMBER(SEARCH("Gerente General",C1430))+ISNUMBER(SEARCH("General Manager",C1430))&gt;0,'Configuración'!$B$34,'Configuración'!$B$35)))))</f>
        <v>0</v>
      </c>
      <c r="V1430" s="38">
        <f>IF(B1430="","",IF(K1430="Sí",'Configuración'!$B$5,0)+IF(L1430="Semanal",'Configuración'!$B$6,IF(L1430="Mensual",'Configuración'!$B$7,0))+IF(M1430="Sí",'Configuración'!$B$8,0)+IF(N1430="Sí",'Configuración'!$B$9,0)+IF(O1430="Sí",'Configuración'!$B$10,0)+IF(P1430="Sí",'Configuración'!$B$11,0)+IF(Q1430="Sí",'Configuración'!$B$12,0)+S1430+T1430+U1430)</f>
        <v>16</v>
      </c>
      <c r="W1430" s="39" t="str">
        <f>IF(B1430="","",IF(V1430&gt;='Configuración'!$B$19,"A",IF(V1430&gt;='Configuración'!$B$20,"B",IF(V1430&gt;='Configuración'!$B$21,"C","Descarte"))))</f>
        <v>Descarte</v>
      </c>
    </row>
    <row r="1431" ht="15.75" customHeight="1">
      <c r="A1431" s="34">
        <f t="shared" si="1"/>
        <v>1429</v>
      </c>
      <c r="B1431" s="29" t="s">
        <v>610</v>
      </c>
      <c r="C1431" s="29" t="s">
        <v>8092</v>
      </c>
      <c r="D1431" s="29" t="s">
        <v>8093</v>
      </c>
      <c r="E1431" s="29" t="s">
        <v>8094</v>
      </c>
      <c r="F1431" s="30" t="s">
        <v>8095</v>
      </c>
      <c r="G1431" s="30" t="s">
        <v>8096</v>
      </c>
      <c r="H1431" s="42" t="s">
        <v>8097</v>
      </c>
      <c r="I1431" s="29" t="s">
        <v>127</v>
      </c>
      <c r="J1431" s="31">
        <v>1.0</v>
      </c>
      <c r="K1431" s="35"/>
      <c r="L1431" s="35"/>
      <c r="M1431" s="35"/>
      <c r="N1431" s="35"/>
      <c r="O1431" s="35"/>
      <c r="P1431" s="35"/>
      <c r="Q1431" s="35"/>
      <c r="R1431" s="35"/>
      <c r="S1431" s="37">
        <f>IF(B1431="","",IF(ISNUMBER(J1431),IF(J1431&lt;=10,'Configuración'!$B$23,IF(J1431&lt;=50,'Configuración'!$B$24,IF(J1431&lt;=200,'Configuración'!$B$25,0))),0))</f>
        <v>12</v>
      </c>
      <c r="T1431" s="37">
        <f>IF(B1431="","",IF(ISNUMBER(SEARCH("information technology",I1431))+ISNUMBER(SEARCH("software",I1431))+ISNUMBER(SEARCH("internet",I1431))+ISNUMBER(SEARCH("computer",I1431))+ISNUMBER(SEARCH("saas",I1431))+ISNUMBER(SEARCH("fintech",I1431))+ISNUMBER(SEARCH("information services",I1431))+ISNUMBER(SEARCH("telecommunications",I1431))&gt;0,'Configuración'!$B$27,'Configuración'!$B$28))</f>
        <v>12</v>
      </c>
      <c r="U1431" s="25">
        <f>IF(B1431="","",IF(ISNUMBER(SEARCH("CEO",C1431))+ISNUMBER(SEARCH("Founder",C1431))+ISNUMBER(SEARCH("Owner",C1431))+ISNUMBER(SEARCH("Dueño",C1431))+ISNUMBER(SEARCH("Director General",C1431))+ISNUMBER(SEARCH("Presidente",C1431))+ISNUMBER(SEARCH("President",C1431))&gt;0,'Configuración'!$B$31,IF(ISNUMBER(SEARCH("CMO",C1431))+ISNUMBER(SEARCH("Chief Marketing",C1431))+ISNUMBER(SEARCH("VP Marketing",C1431))+ISNUMBER(SEARCH("Director de Marketing",C1431))+ISNUMBER(SEARCH("Director Marketing",C1431))+ISNUMBER(SEARCH("Head of Marketing",C1431))+ISNUMBER(SEARCH("Head Marketing",C1431))&gt;0,'Configuración'!$B$32,IF(ISNUMBER(SEARCH("Marketing Manager",C1431))+ISNUMBER(SEARCH("Gerente de Marketing",C1431))+ISNUMBER(SEARCH("Growth Manager",C1431))+ISNUMBER(SEARCH("Demand Gen",C1431))+ISNUMBER(SEARCH("Marketing Lead",C1431))&gt;0,'Configuración'!$B$33,IF(ISNUMBER(SEARCH("COO",C1431))+ISNUMBER(SEARCH("CFO",C1431))+ISNUMBER(SEARCH("CTO",C1431))+ISNUMBER(SEARCH("Chief Operating",C1431))+ISNUMBER(SEARCH("Chief Financial",C1431))+ISNUMBER(SEARCH("Gerente General",C1431))+ISNUMBER(SEARCH("General Manager",C1431))&gt;0,'Configuración'!$B$34,'Configuración'!$B$35)))))</f>
        <v>12</v>
      </c>
      <c r="V1431" s="38">
        <f>IF(B1431="","",IF(K1431="Sí",'Configuración'!$B$5,0)+IF(L1431="Semanal",'Configuración'!$B$6,IF(L1431="Mensual",'Configuración'!$B$7,0))+IF(M1431="Sí",'Configuración'!$B$8,0)+IF(N1431="Sí",'Configuración'!$B$9,0)+IF(O1431="Sí",'Configuración'!$B$10,0)+IF(P1431="Sí",'Configuración'!$B$11,0)+IF(Q1431="Sí",'Configuración'!$B$12,0)+S1431+T1431+U1431)</f>
        <v>36</v>
      </c>
      <c r="W1431" s="39" t="str">
        <f>IF(B1431="","",IF(V1431&gt;='Configuración'!$B$19,"A",IF(V1431&gt;='Configuración'!$B$20,"B",IF(V1431&gt;='Configuración'!$B$21,"C","Descarte"))))</f>
        <v>C</v>
      </c>
    </row>
    <row r="1432" ht="15.75" customHeight="1">
      <c r="A1432" s="34">
        <f t="shared" si="1"/>
        <v>1430</v>
      </c>
      <c r="B1432" s="29" t="s">
        <v>536</v>
      </c>
      <c r="C1432" s="29" t="s">
        <v>1535</v>
      </c>
      <c r="D1432" s="29" t="s">
        <v>8098</v>
      </c>
      <c r="E1432" s="29" t="s">
        <v>8099</v>
      </c>
      <c r="F1432" s="30" t="s">
        <v>8100</v>
      </c>
      <c r="G1432" s="30" t="s">
        <v>8101</v>
      </c>
      <c r="H1432" s="42" t="s">
        <v>8102</v>
      </c>
      <c r="I1432" s="29" t="s">
        <v>188</v>
      </c>
      <c r="J1432" s="31">
        <v>3.0</v>
      </c>
      <c r="K1432" s="35"/>
      <c r="L1432" s="35"/>
      <c r="M1432" s="35"/>
      <c r="N1432" s="35"/>
      <c r="O1432" s="35"/>
      <c r="P1432" s="35"/>
      <c r="Q1432" s="35"/>
      <c r="R1432" s="35"/>
      <c r="S1432" s="37">
        <f>IF(B1432="","",IF(ISNUMBER(J1432),IF(J1432&lt;=10,'Configuración'!$B$23,IF(J1432&lt;=50,'Configuración'!$B$24,IF(J1432&lt;=200,'Configuración'!$B$25,0))),0))</f>
        <v>12</v>
      </c>
      <c r="T1432" s="37">
        <f>IF(B1432="","",IF(ISNUMBER(SEARCH("information technology",I1432))+ISNUMBER(SEARCH("software",I1432))+ISNUMBER(SEARCH("internet",I1432))+ISNUMBER(SEARCH("computer",I1432))+ISNUMBER(SEARCH("saas",I1432))+ISNUMBER(SEARCH("fintech",I1432))+ISNUMBER(SEARCH("information services",I1432))+ISNUMBER(SEARCH("telecommunications",I1432))&gt;0,'Configuración'!$B$27,'Configuración'!$B$28))</f>
        <v>4</v>
      </c>
      <c r="U1432" s="25">
        <f>IF(B1432="","",IF(ISNUMBER(SEARCH("CEO",C1432))+ISNUMBER(SEARCH("Founder",C1432))+ISNUMBER(SEARCH("Owner",C1432))+ISNUMBER(SEARCH("Dueño",C1432))+ISNUMBER(SEARCH("Director General",C1432))+ISNUMBER(SEARCH("Presidente",C1432))+ISNUMBER(SEARCH("President",C1432))&gt;0,'Configuración'!$B$31,IF(ISNUMBER(SEARCH("CMO",C1432))+ISNUMBER(SEARCH("Chief Marketing",C1432))+ISNUMBER(SEARCH("VP Marketing",C1432))+ISNUMBER(SEARCH("Director de Marketing",C1432))+ISNUMBER(SEARCH("Director Marketing",C1432))+ISNUMBER(SEARCH("Head of Marketing",C1432))+ISNUMBER(SEARCH("Head Marketing",C1432))&gt;0,'Configuración'!$B$32,IF(ISNUMBER(SEARCH("Marketing Manager",C1432))+ISNUMBER(SEARCH("Gerente de Marketing",C1432))+ISNUMBER(SEARCH("Growth Manager",C1432))+ISNUMBER(SEARCH("Demand Gen",C1432))+ISNUMBER(SEARCH("Marketing Lead",C1432))&gt;0,'Configuración'!$B$33,IF(ISNUMBER(SEARCH("COO",C1432))+ISNUMBER(SEARCH("CFO",C1432))+ISNUMBER(SEARCH("CTO",C1432))+ISNUMBER(SEARCH("Chief Operating",C1432))+ISNUMBER(SEARCH("Chief Financial",C1432))+ISNUMBER(SEARCH("Gerente General",C1432))+ISNUMBER(SEARCH("General Manager",C1432))&gt;0,'Configuración'!$B$34,'Configuración'!$B$35)))))</f>
        <v>12</v>
      </c>
      <c r="V1432" s="38">
        <f>IF(B1432="","",IF(K1432="Sí",'Configuración'!$B$5,0)+IF(L1432="Semanal",'Configuración'!$B$6,IF(L1432="Mensual",'Configuración'!$B$7,0))+IF(M1432="Sí",'Configuración'!$B$8,0)+IF(N1432="Sí",'Configuración'!$B$9,0)+IF(O1432="Sí",'Configuración'!$B$10,0)+IF(P1432="Sí",'Configuración'!$B$11,0)+IF(Q1432="Sí",'Configuración'!$B$12,0)+S1432+T1432+U1432)</f>
        <v>28</v>
      </c>
      <c r="W1432" s="39" t="str">
        <f>IF(B1432="","",IF(V1432&gt;='Configuración'!$B$19,"A",IF(V1432&gt;='Configuración'!$B$20,"B",IF(V1432&gt;='Configuración'!$B$21,"C","Descarte"))))</f>
        <v>C</v>
      </c>
    </row>
    <row r="1433" ht="15.75" customHeight="1">
      <c r="A1433" s="34">
        <f t="shared" si="1"/>
        <v>1431</v>
      </c>
      <c r="B1433" s="29" t="s">
        <v>351</v>
      </c>
      <c r="C1433" s="29" t="s">
        <v>8103</v>
      </c>
      <c r="D1433" s="29" t="s">
        <v>8104</v>
      </c>
      <c r="E1433" s="29" t="s">
        <v>8105</v>
      </c>
      <c r="F1433" s="30" t="s">
        <v>8106</v>
      </c>
      <c r="G1433" s="30" t="s">
        <v>8107</v>
      </c>
      <c r="H1433" s="42" t="s">
        <v>8108</v>
      </c>
      <c r="I1433" s="29" t="s">
        <v>1245</v>
      </c>
      <c r="J1433" s="31">
        <v>40.0</v>
      </c>
      <c r="K1433" s="35"/>
      <c r="L1433" s="35"/>
      <c r="M1433" s="35"/>
      <c r="N1433" s="35"/>
      <c r="O1433" s="35"/>
      <c r="P1433" s="35"/>
      <c r="Q1433" s="35"/>
      <c r="R1433" s="35"/>
      <c r="S1433" s="37">
        <f>IF(B1433="","",IF(ISNUMBER(J1433),IF(J1433&lt;=10,'Configuración'!$B$23,IF(J1433&lt;=50,'Configuración'!$B$24,IF(J1433&lt;=200,'Configuración'!$B$25,0))),0))</f>
        <v>4</v>
      </c>
      <c r="T1433" s="37">
        <f>IF(B1433="","",IF(ISNUMBER(SEARCH("information technology",I1433))+ISNUMBER(SEARCH("software",I1433))+ISNUMBER(SEARCH("internet",I1433))+ISNUMBER(SEARCH("computer",I1433))+ISNUMBER(SEARCH("saas",I1433))+ISNUMBER(SEARCH("fintech",I1433))+ISNUMBER(SEARCH("information services",I1433))+ISNUMBER(SEARCH("telecommunications",I1433))&gt;0,'Configuración'!$B$27,'Configuración'!$B$28))</f>
        <v>4</v>
      </c>
      <c r="U1433" s="25">
        <f>IF(B1433="","",IF(ISNUMBER(SEARCH("CEO",C1433))+ISNUMBER(SEARCH("Founder",C1433))+ISNUMBER(SEARCH("Owner",C1433))+ISNUMBER(SEARCH("Dueño",C1433))+ISNUMBER(SEARCH("Director General",C1433))+ISNUMBER(SEARCH("Presidente",C1433))+ISNUMBER(SEARCH("President",C1433))&gt;0,'Configuración'!$B$31,IF(ISNUMBER(SEARCH("CMO",C1433))+ISNUMBER(SEARCH("Chief Marketing",C1433))+ISNUMBER(SEARCH("VP Marketing",C1433))+ISNUMBER(SEARCH("Director de Marketing",C1433))+ISNUMBER(SEARCH("Director Marketing",C1433))+ISNUMBER(SEARCH("Head of Marketing",C1433))+ISNUMBER(SEARCH("Head Marketing",C1433))&gt;0,'Configuración'!$B$32,IF(ISNUMBER(SEARCH("Marketing Manager",C1433))+ISNUMBER(SEARCH("Gerente de Marketing",C1433))+ISNUMBER(SEARCH("Growth Manager",C1433))+ISNUMBER(SEARCH("Demand Gen",C1433))+ISNUMBER(SEARCH("Marketing Lead",C1433))&gt;0,'Configuración'!$B$33,IF(ISNUMBER(SEARCH("COO",C1433))+ISNUMBER(SEARCH("CFO",C1433))+ISNUMBER(SEARCH("CTO",C1433))+ISNUMBER(SEARCH("Chief Operating",C1433))+ISNUMBER(SEARCH("Chief Financial",C1433))+ISNUMBER(SEARCH("Gerente General",C1433))+ISNUMBER(SEARCH("General Manager",C1433))&gt;0,'Configuración'!$B$34,'Configuración'!$B$35)))))</f>
        <v>12</v>
      </c>
      <c r="V1433" s="38">
        <f>IF(B1433="","",IF(K1433="Sí",'Configuración'!$B$5,0)+IF(L1433="Semanal",'Configuración'!$B$6,IF(L1433="Mensual",'Configuración'!$B$7,0))+IF(M1433="Sí",'Configuración'!$B$8,0)+IF(N1433="Sí",'Configuración'!$B$9,0)+IF(O1433="Sí",'Configuración'!$B$10,0)+IF(P1433="Sí",'Configuración'!$B$11,0)+IF(Q1433="Sí",'Configuración'!$B$12,0)+S1433+T1433+U1433)</f>
        <v>20</v>
      </c>
      <c r="W1433" s="39" t="str">
        <f>IF(B1433="","",IF(V1433&gt;='Configuración'!$B$19,"A",IF(V1433&gt;='Configuración'!$B$20,"B",IF(V1433&gt;='Configuración'!$B$21,"C","Descarte"))))</f>
        <v>Descarte</v>
      </c>
    </row>
    <row r="1434" ht="15.75" customHeight="1">
      <c r="A1434" s="34">
        <f t="shared" si="1"/>
        <v>1432</v>
      </c>
      <c r="B1434" s="29" t="s">
        <v>536</v>
      </c>
      <c r="C1434" s="29" t="s">
        <v>2334</v>
      </c>
      <c r="D1434" s="29" t="s">
        <v>8109</v>
      </c>
      <c r="E1434" s="29" t="s">
        <v>8110</v>
      </c>
      <c r="F1434" s="30" t="s">
        <v>8111</v>
      </c>
      <c r="G1434" s="30" t="s">
        <v>8112</v>
      </c>
      <c r="H1434" s="42" t="s">
        <v>8113</v>
      </c>
      <c r="I1434" s="29" t="s">
        <v>127</v>
      </c>
      <c r="J1434" s="31">
        <v>13.0</v>
      </c>
      <c r="K1434" s="35"/>
      <c r="L1434" s="35"/>
      <c r="M1434" s="35"/>
      <c r="N1434" s="35"/>
      <c r="O1434" s="35"/>
      <c r="P1434" s="35"/>
      <c r="Q1434" s="35"/>
      <c r="R1434" s="35"/>
      <c r="S1434" s="37">
        <f>IF(B1434="","",IF(ISNUMBER(J1434),IF(J1434&lt;=10,'Configuración'!$B$23,IF(J1434&lt;=50,'Configuración'!$B$24,IF(J1434&lt;=200,'Configuración'!$B$25,0))),0))</f>
        <v>4</v>
      </c>
      <c r="T1434" s="37">
        <f>IF(B1434="","",IF(ISNUMBER(SEARCH("information technology",I1434))+ISNUMBER(SEARCH("software",I1434))+ISNUMBER(SEARCH("internet",I1434))+ISNUMBER(SEARCH("computer",I1434))+ISNUMBER(SEARCH("saas",I1434))+ISNUMBER(SEARCH("fintech",I1434))+ISNUMBER(SEARCH("information services",I1434))+ISNUMBER(SEARCH("telecommunications",I1434))&gt;0,'Configuración'!$B$27,'Configuración'!$B$28))</f>
        <v>12</v>
      </c>
      <c r="U1434" s="25">
        <f>IF(B1434="","",IF(ISNUMBER(SEARCH("CEO",C1434))+ISNUMBER(SEARCH("Founder",C1434))+ISNUMBER(SEARCH("Owner",C1434))+ISNUMBER(SEARCH("Dueño",C1434))+ISNUMBER(SEARCH("Director General",C1434))+ISNUMBER(SEARCH("Presidente",C1434))+ISNUMBER(SEARCH("President",C1434))&gt;0,'Configuración'!$B$31,IF(ISNUMBER(SEARCH("CMO",C1434))+ISNUMBER(SEARCH("Chief Marketing",C1434))+ISNUMBER(SEARCH("VP Marketing",C1434))+ISNUMBER(SEARCH("Director de Marketing",C1434))+ISNUMBER(SEARCH("Director Marketing",C1434))+ISNUMBER(SEARCH("Head of Marketing",C1434))+ISNUMBER(SEARCH("Head Marketing",C1434))&gt;0,'Configuración'!$B$32,IF(ISNUMBER(SEARCH("Marketing Manager",C1434))+ISNUMBER(SEARCH("Gerente de Marketing",C1434))+ISNUMBER(SEARCH("Growth Manager",C1434))+ISNUMBER(SEARCH("Demand Gen",C1434))+ISNUMBER(SEARCH("Marketing Lead",C1434))&gt;0,'Configuración'!$B$33,IF(ISNUMBER(SEARCH("COO",C1434))+ISNUMBER(SEARCH("CFO",C1434))+ISNUMBER(SEARCH("CTO",C1434))+ISNUMBER(SEARCH("Chief Operating",C1434))+ISNUMBER(SEARCH("Chief Financial",C1434))+ISNUMBER(SEARCH("Gerente General",C1434))+ISNUMBER(SEARCH("General Manager",C1434))&gt;0,'Configuración'!$B$34,'Configuración'!$B$35)))))</f>
        <v>12</v>
      </c>
      <c r="V1434" s="38">
        <f>IF(B1434="","",IF(K1434="Sí",'Configuración'!$B$5,0)+IF(L1434="Semanal",'Configuración'!$B$6,IF(L1434="Mensual",'Configuración'!$B$7,0))+IF(M1434="Sí",'Configuración'!$B$8,0)+IF(N1434="Sí",'Configuración'!$B$9,0)+IF(O1434="Sí",'Configuración'!$B$10,0)+IF(P1434="Sí",'Configuración'!$B$11,0)+IF(Q1434="Sí",'Configuración'!$B$12,0)+S1434+T1434+U1434)</f>
        <v>28</v>
      </c>
      <c r="W1434" s="39" t="str">
        <f>IF(B1434="","",IF(V1434&gt;='Configuración'!$B$19,"A",IF(V1434&gt;='Configuración'!$B$20,"B",IF(V1434&gt;='Configuración'!$B$21,"C","Descarte"))))</f>
        <v>C</v>
      </c>
    </row>
    <row r="1435" ht="15.75" customHeight="1">
      <c r="A1435" s="34">
        <f t="shared" si="1"/>
        <v>1433</v>
      </c>
      <c r="B1435" s="29" t="s">
        <v>610</v>
      </c>
      <c r="C1435" s="29" t="s">
        <v>131</v>
      </c>
      <c r="D1435" s="29" t="s">
        <v>8114</v>
      </c>
      <c r="E1435" s="29" t="s">
        <v>8115</v>
      </c>
      <c r="F1435" s="30" t="s">
        <v>8116</v>
      </c>
      <c r="G1435" s="30" t="s">
        <v>8117</v>
      </c>
      <c r="H1435" s="42" t="s">
        <v>8118</v>
      </c>
      <c r="I1435" s="29" t="s">
        <v>116</v>
      </c>
      <c r="J1435" s="31">
        <v>11.0</v>
      </c>
      <c r="K1435" s="35"/>
      <c r="L1435" s="35"/>
      <c r="M1435" s="35"/>
      <c r="N1435" s="35"/>
      <c r="O1435" s="35"/>
      <c r="P1435" s="35"/>
      <c r="Q1435" s="35"/>
      <c r="R1435" s="35"/>
      <c r="S1435" s="37">
        <f>IF(B1435="","",IF(ISNUMBER(J1435),IF(J1435&lt;=10,'Configuración'!$B$23,IF(J1435&lt;=50,'Configuración'!$B$24,IF(J1435&lt;=200,'Configuración'!$B$25,0))),0))</f>
        <v>4</v>
      </c>
      <c r="T1435" s="37">
        <f>IF(B1435="","",IF(ISNUMBER(SEARCH("information technology",I1435))+ISNUMBER(SEARCH("software",I1435))+ISNUMBER(SEARCH("internet",I1435))+ISNUMBER(SEARCH("computer",I1435))+ISNUMBER(SEARCH("saas",I1435))+ISNUMBER(SEARCH("fintech",I1435))+ISNUMBER(SEARCH("information services",I1435))+ISNUMBER(SEARCH("telecommunications",I1435))&gt;0,'Configuración'!$B$27,'Configuración'!$B$28))</f>
        <v>4</v>
      </c>
      <c r="U1435" s="25">
        <f>IF(B1435="","",IF(ISNUMBER(SEARCH("CEO",C1435))+ISNUMBER(SEARCH("Founder",C1435))+ISNUMBER(SEARCH("Owner",C1435))+ISNUMBER(SEARCH("Dueño",C1435))+ISNUMBER(SEARCH("Director General",C1435))+ISNUMBER(SEARCH("Presidente",C1435))+ISNUMBER(SEARCH("President",C1435))&gt;0,'Configuración'!$B$31,IF(ISNUMBER(SEARCH("CMO",C1435))+ISNUMBER(SEARCH("Chief Marketing",C1435))+ISNUMBER(SEARCH("VP Marketing",C1435))+ISNUMBER(SEARCH("Director de Marketing",C1435))+ISNUMBER(SEARCH("Director Marketing",C1435))+ISNUMBER(SEARCH("Head of Marketing",C1435))+ISNUMBER(SEARCH("Head Marketing",C1435))&gt;0,'Configuración'!$B$32,IF(ISNUMBER(SEARCH("Marketing Manager",C1435))+ISNUMBER(SEARCH("Gerente de Marketing",C1435))+ISNUMBER(SEARCH("Growth Manager",C1435))+ISNUMBER(SEARCH("Demand Gen",C1435))+ISNUMBER(SEARCH("Marketing Lead",C1435))&gt;0,'Configuración'!$B$33,IF(ISNUMBER(SEARCH("COO",C1435))+ISNUMBER(SEARCH("CFO",C1435))+ISNUMBER(SEARCH("CTO",C1435))+ISNUMBER(SEARCH("Chief Operating",C1435))+ISNUMBER(SEARCH("Chief Financial",C1435))+ISNUMBER(SEARCH("Gerente General",C1435))+ISNUMBER(SEARCH("General Manager",C1435))&gt;0,'Configuración'!$B$34,'Configuración'!$B$35)))))</f>
        <v>12</v>
      </c>
      <c r="V1435" s="38">
        <f>IF(B1435="","",IF(K1435="Sí",'Configuración'!$B$5,0)+IF(L1435="Semanal",'Configuración'!$B$6,IF(L1435="Mensual",'Configuración'!$B$7,0))+IF(M1435="Sí",'Configuración'!$B$8,0)+IF(N1435="Sí",'Configuración'!$B$9,0)+IF(O1435="Sí",'Configuración'!$B$10,0)+IF(P1435="Sí",'Configuración'!$B$11,0)+IF(Q1435="Sí",'Configuración'!$B$12,0)+S1435+T1435+U1435)</f>
        <v>20</v>
      </c>
      <c r="W1435" s="39" t="str">
        <f>IF(B1435="","",IF(V1435&gt;='Configuración'!$B$19,"A",IF(V1435&gt;='Configuración'!$B$20,"B",IF(V1435&gt;='Configuración'!$B$21,"C","Descarte"))))</f>
        <v>Descarte</v>
      </c>
    </row>
    <row r="1436" ht="15.75" customHeight="1">
      <c r="A1436" s="34">
        <f t="shared" si="1"/>
        <v>1434</v>
      </c>
      <c r="B1436" s="29" t="s">
        <v>120</v>
      </c>
      <c r="C1436" s="29" t="s">
        <v>1953</v>
      </c>
      <c r="D1436" s="29" t="s">
        <v>8119</v>
      </c>
      <c r="E1436" s="29" t="s">
        <v>8120</v>
      </c>
      <c r="F1436" s="30" t="s">
        <v>8121</v>
      </c>
      <c r="G1436" s="30" t="s">
        <v>8122</v>
      </c>
      <c r="H1436" s="42" t="s">
        <v>8123</v>
      </c>
      <c r="I1436" s="29" t="s">
        <v>127</v>
      </c>
      <c r="J1436" s="31">
        <v>17.0</v>
      </c>
      <c r="K1436" s="35"/>
      <c r="L1436" s="35"/>
      <c r="M1436" s="35"/>
      <c r="N1436" s="35"/>
      <c r="O1436" s="35"/>
      <c r="P1436" s="35"/>
      <c r="Q1436" s="35"/>
      <c r="R1436" s="35"/>
      <c r="S1436" s="37">
        <f>IF(B1436="","",IF(ISNUMBER(J1436),IF(J1436&lt;=10,'Configuración'!$B$23,IF(J1436&lt;=50,'Configuración'!$B$24,IF(J1436&lt;=200,'Configuración'!$B$25,0))),0))</f>
        <v>4</v>
      </c>
      <c r="T1436" s="37">
        <f>IF(B1436="","",IF(ISNUMBER(SEARCH("information technology",I1436))+ISNUMBER(SEARCH("software",I1436))+ISNUMBER(SEARCH("internet",I1436))+ISNUMBER(SEARCH("computer",I1436))+ISNUMBER(SEARCH("saas",I1436))+ISNUMBER(SEARCH("fintech",I1436))+ISNUMBER(SEARCH("information services",I1436))+ISNUMBER(SEARCH("telecommunications",I1436))&gt;0,'Configuración'!$B$27,'Configuración'!$B$28))</f>
        <v>12</v>
      </c>
      <c r="U1436" s="25">
        <f>IF(B1436="","",IF(ISNUMBER(SEARCH("CEO",C1436))+ISNUMBER(SEARCH("Founder",C1436))+ISNUMBER(SEARCH("Owner",C1436))+ISNUMBER(SEARCH("Dueño",C1436))+ISNUMBER(SEARCH("Director General",C1436))+ISNUMBER(SEARCH("Presidente",C1436))+ISNUMBER(SEARCH("President",C1436))&gt;0,'Configuración'!$B$31,IF(ISNUMBER(SEARCH("CMO",C1436))+ISNUMBER(SEARCH("Chief Marketing",C1436))+ISNUMBER(SEARCH("VP Marketing",C1436))+ISNUMBER(SEARCH("Director de Marketing",C1436))+ISNUMBER(SEARCH("Director Marketing",C1436))+ISNUMBER(SEARCH("Head of Marketing",C1436))+ISNUMBER(SEARCH("Head Marketing",C1436))&gt;0,'Configuración'!$B$32,IF(ISNUMBER(SEARCH("Marketing Manager",C1436))+ISNUMBER(SEARCH("Gerente de Marketing",C1436))+ISNUMBER(SEARCH("Growth Manager",C1436))+ISNUMBER(SEARCH("Demand Gen",C1436))+ISNUMBER(SEARCH("Marketing Lead",C1436))&gt;0,'Configuración'!$B$33,IF(ISNUMBER(SEARCH("COO",C1436))+ISNUMBER(SEARCH("CFO",C1436))+ISNUMBER(SEARCH("CTO",C1436))+ISNUMBER(SEARCH("Chief Operating",C1436))+ISNUMBER(SEARCH("Chief Financial",C1436))+ISNUMBER(SEARCH("Gerente General",C1436))+ISNUMBER(SEARCH("General Manager",C1436))&gt;0,'Configuración'!$B$34,'Configuración'!$B$35)))))</f>
        <v>12</v>
      </c>
      <c r="V1436" s="38">
        <f>IF(B1436="","",IF(K1436="Sí",'Configuración'!$B$5,0)+IF(L1436="Semanal",'Configuración'!$B$6,IF(L1436="Mensual",'Configuración'!$B$7,0))+IF(M1436="Sí",'Configuración'!$B$8,0)+IF(N1436="Sí",'Configuración'!$B$9,0)+IF(O1436="Sí",'Configuración'!$B$10,0)+IF(P1436="Sí",'Configuración'!$B$11,0)+IF(Q1436="Sí",'Configuración'!$B$12,0)+S1436+T1436+U1436)</f>
        <v>28</v>
      </c>
      <c r="W1436" s="39" t="str">
        <f>IF(B1436="","",IF(V1436&gt;='Configuración'!$B$19,"A",IF(V1436&gt;='Configuración'!$B$20,"B",IF(V1436&gt;='Configuración'!$B$21,"C","Descarte"))))</f>
        <v>C</v>
      </c>
    </row>
    <row r="1437" ht="15.75" customHeight="1">
      <c r="A1437" s="34">
        <f t="shared" si="1"/>
        <v>1435</v>
      </c>
      <c r="B1437" s="29" t="s">
        <v>762</v>
      </c>
      <c r="C1437" s="29" t="s">
        <v>131</v>
      </c>
      <c r="D1437" s="29" t="s">
        <v>8124</v>
      </c>
      <c r="E1437" s="29" t="s">
        <v>8125</v>
      </c>
      <c r="F1437" s="30" t="s">
        <v>8126</v>
      </c>
      <c r="G1437" s="30" t="s">
        <v>8127</v>
      </c>
      <c r="H1437" s="42" t="s">
        <v>8128</v>
      </c>
      <c r="I1437" s="29" t="s">
        <v>450</v>
      </c>
      <c r="J1437" s="31">
        <v>4.0</v>
      </c>
      <c r="K1437" s="35"/>
      <c r="L1437" s="35"/>
      <c r="M1437" s="35"/>
      <c r="N1437" s="35"/>
      <c r="O1437" s="35"/>
      <c r="P1437" s="35"/>
      <c r="Q1437" s="35"/>
      <c r="R1437" s="35"/>
      <c r="S1437" s="37">
        <f>IF(B1437="","",IF(ISNUMBER(J1437),IF(J1437&lt;=10,'Configuración'!$B$23,IF(J1437&lt;=50,'Configuración'!$B$24,IF(J1437&lt;=200,'Configuración'!$B$25,0))),0))</f>
        <v>12</v>
      </c>
      <c r="T1437" s="37">
        <f>IF(B1437="","",IF(ISNUMBER(SEARCH("information technology",I1437))+ISNUMBER(SEARCH("software",I1437))+ISNUMBER(SEARCH("internet",I1437))+ISNUMBER(SEARCH("computer",I1437))+ISNUMBER(SEARCH("saas",I1437))+ISNUMBER(SEARCH("fintech",I1437))+ISNUMBER(SEARCH("information services",I1437))+ISNUMBER(SEARCH("telecommunications",I1437))&gt;0,'Configuración'!$B$27,'Configuración'!$B$28))</f>
        <v>12</v>
      </c>
      <c r="U1437" s="25">
        <f>IF(B1437="","",IF(ISNUMBER(SEARCH("CEO",C1437))+ISNUMBER(SEARCH("Founder",C1437))+ISNUMBER(SEARCH("Owner",C1437))+ISNUMBER(SEARCH("Dueño",C1437))+ISNUMBER(SEARCH("Director General",C1437))+ISNUMBER(SEARCH("Presidente",C1437))+ISNUMBER(SEARCH("President",C1437))&gt;0,'Configuración'!$B$31,IF(ISNUMBER(SEARCH("CMO",C1437))+ISNUMBER(SEARCH("Chief Marketing",C1437))+ISNUMBER(SEARCH("VP Marketing",C1437))+ISNUMBER(SEARCH("Director de Marketing",C1437))+ISNUMBER(SEARCH("Director Marketing",C1437))+ISNUMBER(SEARCH("Head of Marketing",C1437))+ISNUMBER(SEARCH("Head Marketing",C1437))&gt;0,'Configuración'!$B$32,IF(ISNUMBER(SEARCH("Marketing Manager",C1437))+ISNUMBER(SEARCH("Gerente de Marketing",C1437))+ISNUMBER(SEARCH("Growth Manager",C1437))+ISNUMBER(SEARCH("Demand Gen",C1437))+ISNUMBER(SEARCH("Marketing Lead",C1437))&gt;0,'Configuración'!$B$33,IF(ISNUMBER(SEARCH("COO",C1437))+ISNUMBER(SEARCH("CFO",C1437))+ISNUMBER(SEARCH("CTO",C1437))+ISNUMBER(SEARCH("Chief Operating",C1437))+ISNUMBER(SEARCH("Chief Financial",C1437))+ISNUMBER(SEARCH("Gerente General",C1437))+ISNUMBER(SEARCH("General Manager",C1437))&gt;0,'Configuración'!$B$34,'Configuración'!$B$35)))))</f>
        <v>12</v>
      </c>
      <c r="V1437" s="38">
        <f>IF(B1437="","",IF(K1437="Sí",'Configuración'!$B$5,0)+IF(L1437="Semanal",'Configuración'!$B$6,IF(L1437="Mensual",'Configuración'!$B$7,0))+IF(M1437="Sí",'Configuración'!$B$8,0)+IF(N1437="Sí",'Configuración'!$B$9,0)+IF(O1437="Sí",'Configuración'!$B$10,0)+IF(P1437="Sí",'Configuración'!$B$11,0)+IF(Q1437="Sí",'Configuración'!$B$12,0)+S1437+T1437+U1437)</f>
        <v>36</v>
      </c>
      <c r="W1437" s="39" t="str">
        <f>IF(B1437="","",IF(V1437&gt;='Configuración'!$B$19,"A",IF(V1437&gt;='Configuración'!$B$20,"B",IF(V1437&gt;='Configuración'!$B$21,"C","Descarte"))))</f>
        <v>C</v>
      </c>
    </row>
    <row r="1438" ht="15.75" customHeight="1">
      <c r="A1438" s="34">
        <f t="shared" si="1"/>
        <v>1436</v>
      </c>
      <c r="B1438" s="29" t="s">
        <v>6397</v>
      </c>
      <c r="C1438" s="29" t="s">
        <v>8129</v>
      </c>
      <c r="D1438" s="29" t="s">
        <v>8130</v>
      </c>
      <c r="E1438" s="29" t="s">
        <v>8131</v>
      </c>
      <c r="F1438" s="30" t="s">
        <v>8132</v>
      </c>
      <c r="G1438" s="30" t="s">
        <v>8133</v>
      </c>
      <c r="H1438" s="42" t="s">
        <v>8134</v>
      </c>
      <c r="I1438" s="29" t="s">
        <v>116</v>
      </c>
      <c r="J1438" s="31">
        <v>22.0</v>
      </c>
      <c r="K1438" s="35"/>
      <c r="L1438" s="35"/>
      <c r="M1438" s="35"/>
      <c r="N1438" s="35"/>
      <c r="O1438" s="35"/>
      <c r="P1438" s="35"/>
      <c r="Q1438" s="35"/>
      <c r="R1438" s="35"/>
      <c r="S1438" s="37">
        <f>IF(B1438="","",IF(ISNUMBER(J1438),IF(J1438&lt;=10,'Configuración'!$B$23,IF(J1438&lt;=50,'Configuración'!$B$24,IF(J1438&lt;=200,'Configuración'!$B$25,0))),0))</f>
        <v>4</v>
      </c>
      <c r="T1438" s="37">
        <f>IF(B1438="","",IF(ISNUMBER(SEARCH("information technology",I1438))+ISNUMBER(SEARCH("software",I1438))+ISNUMBER(SEARCH("internet",I1438))+ISNUMBER(SEARCH("computer",I1438))+ISNUMBER(SEARCH("saas",I1438))+ISNUMBER(SEARCH("fintech",I1438))+ISNUMBER(SEARCH("information services",I1438))+ISNUMBER(SEARCH("telecommunications",I1438))&gt;0,'Configuración'!$B$27,'Configuración'!$B$28))</f>
        <v>4</v>
      </c>
      <c r="U1438" s="25">
        <f>IF(B1438="","",IF(ISNUMBER(SEARCH("CEO",C1438))+ISNUMBER(SEARCH("Founder",C1438))+ISNUMBER(SEARCH("Owner",C1438))+ISNUMBER(SEARCH("Dueño",C1438))+ISNUMBER(SEARCH("Director General",C1438))+ISNUMBER(SEARCH("Presidente",C1438))+ISNUMBER(SEARCH("President",C1438))&gt;0,'Configuración'!$B$31,IF(ISNUMBER(SEARCH("CMO",C1438))+ISNUMBER(SEARCH("Chief Marketing",C1438))+ISNUMBER(SEARCH("VP Marketing",C1438))+ISNUMBER(SEARCH("Director de Marketing",C1438))+ISNUMBER(SEARCH("Director Marketing",C1438))+ISNUMBER(SEARCH("Head of Marketing",C1438))+ISNUMBER(SEARCH("Head Marketing",C1438))&gt;0,'Configuración'!$B$32,IF(ISNUMBER(SEARCH("Marketing Manager",C1438))+ISNUMBER(SEARCH("Gerente de Marketing",C1438))+ISNUMBER(SEARCH("Growth Manager",C1438))+ISNUMBER(SEARCH("Demand Gen",C1438))+ISNUMBER(SEARCH("Marketing Lead",C1438))&gt;0,'Configuración'!$B$33,IF(ISNUMBER(SEARCH("COO",C1438))+ISNUMBER(SEARCH("CFO",C1438))+ISNUMBER(SEARCH("CTO",C1438))+ISNUMBER(SEARCH("Chief Operating",C1438))+ISNUMBER(SEARCH("Chief Financial",C1438))+ISNUMBER(SEARCH("Gerente General",C1438))+ISNUMBER(SEARCH("General Manager",C1438))&gt;0,'Configuración'!$B$34,'Configuración'!$B$35)))))</f>
        <v>4</v>
      </c>
      <c r="V1438" s="38">
        <f>IF(B1438="","",IF(K1438="Sí",'Configuración'!$B$5,0)+IF(L1438="Semanal",'Configuración'!$B$6,IF(L1438="Mensual",'Configuración'!$B$7,0))+IF(M1438="Sí",'Configuración'!$B$8,0)+IF(N1438="Sí",'Configuración'!$B$9,0)+IF(O1438="Sí",'Configuración'!$B$10,0)+IF(P1438="Sí",'Configuración'!$B$11,0)+IF(Q1438="Sí",'Configuración'!$B$12,0)+S1438+T1438+U1438)</f>
        <v>12</v>
      </c>
      <c r="W1438" s="39" t="str">
        <f>IF(B1438="","",IF(V1438&gt;='Configuración'!$B$19,"A",IF(V1438&gt;='Configuración'!$B$20,"B",IF(V1438&gt;='Configuración'!$B$21,"C","Descarte"))))</f>
        <v>Descarte</v>
      </c>
    </row>
    <row r="1439" ht="15.75" customHeight="1">
      <c r="A1439" s="34">
        <f t="shared" si="1"/>
        <v>1437</v>
      </c>
      <c r="B1439" s="29" t="s">
        <v>174</v>
      </c>
      <c r="C1439" s="29" t="s">
        <v>8135</v>
      </c>
      <c r="D1439" s="29" t="s">
        <v>8136</v>
      </c>
      <c r="E1439" s="29" t="s">
        <v>8137</v>
      </c>
      <c r="F1439" s="30" t="s">
        <v>8138</v>
      </c>
      <c r="G1439" s="30" t="s">
        <v>8139</v>
      </c>
      <c r="H1439" s="42" t="s">
        <v>8140</v>
      </c>
      <c r="I1439" s="29" t="s">
        <v>310</v>
      </c>
      <c r="J1439" s="31">
        <v>3.0</v>
      </c>
      <c r="K1439" s="35"/>
      <c r="L1439" s="35"/>
      <c r="M1439" s="35"/>
      <c r="N1439" s="35"/>
      <c r="O1439" s="35"/>
      <c r="P1439" s="35"/>
      <c r="Q1439" s="35"/>
      <c r="R1439" s="35"/>
      <c r="S1439" s="37">
        <f>IF(B1439="","",IF(ISNUMBER(J1439),IF(J1439&lt;=10,'Configuración'!$B$23,IF(J1439&lt;=50,'Configuración'!$B$24,IF(J1439&lt;=200,'Configuración'!$B$25,0))),0))</f>
        <v>12</v>
      </c>
      <c r="T1439" s="37">
        <f>IF(B1439="","",IF(ISNUMBER(SEARCH("information technology",I1439))+ISNUMBER(SEARCH("software",I1439))+ISNUMBER(SEARCH("internet",I1439))+ISNUMBER(SEARCH("computer",I1439))+ISNUMBER(SEARCH("saas",I1439))+ISNUMBER(SEARCH("fintech",I1439))+ISNUMBER(SEARCH("information services",I1439))+ISNUMBER(SEARCH("telecommunications",I1439))&gt;0,'Configuración'!$B$27,'Configuración'!$B$28))</f>
        <v>4</v>
      </c>
      <c r="U1439" s="25">
        <f>IF(B1439="","",IF(ISNUMBER(SEARCH("CEO",C1439))+ISNUMBER(SEARCH("Founder",C1439))+ISNUMBER(SEARCH("Owner",C1439))+ISNUMBER(SEARCH("Dueño",C1439))+ISNUMBER(SEARCH("Director General",C1439))+ISNUMBER(SEARCH("Presidente",C1439))+ISNUMBER(SEARCH("President",C1439))&gt;0,'Configuración'!$B$31,IF(ISNUMBER(SEARCH("CMO",C1439))+ISNUMBER(SEARCH("Chief Marketing",C1439))+ISNUMBER(SEARCH("VP Marketing",C1439))+ISNUMBER(SEARCH("Director de Marketing",C1439))+ISNUMBER(SEARCH("Director Marketing",C1439))+ISNUMBER(SEARCH("Head of Marketing",C1439))+ISNUMBER(SEARCH("Head Marketing",C1439))&gt;0,'Configuración'!$B$32,IF(ISNUMBER(SEARCH("Marketing Manager",C1439))+ISNUMBER(SEARCH("Gerente de Marketing",C1439))+ISNUMBER(SEARCH("Growth Manager",C1439))+ISNUMBER(SEARCH("Demand Gen",C1439))+ISNUMBER(SEARCH("Marketing Lead",C1439))&gt;0,'Configuración'!$B$33,IF(ISNUMBER(SEARCH("COO",C1439))+ISNUMBER(SEARCH("CFO",C1439))+ISNUMBER(SEARCH("CTO",C1439))+ISNUMBER(SEARCH("Chief Operating",C1439))+ISNUMBER(SEARCH("Chief Financial",C1439))+ISNUMBER(SEARCH("Gerente General",C1439))+ISNUMBER(SEARCH("General Manager",C1439))&gt;0,'Configuración'!$B$34,'Configuración'!$B$35)))))</f>
        <v>12</v>
      </c>
      <c r="V1439" s="38">
        <f>IF(B1439="","",IF(K1439="Sí",'Configuración'!$B$5,0)+IF(L1439="Semanal",'Configuración'!$B$6,IF(L1439="Mensual",'Configuración'!$B$7,0))+IF(M1439="Sí",'Configuración'!$B$8,0)+IF(N1439="Sí",'Configuración'!$B$9,0)+IF(O1439="Sí",'Configuración'!$B$10,0)+IF(P1439="Sí",'Configuración'!$B$11,0)+IF(Q1439="Sí",'Configuración'!$B$12,0)+S1439+T1439+U1439)</f>
        <v>28</v>
      </c>
      <c r="W1439" s="39" t="str">
        <f>IF(B1439="","",IF(V1439&gt;='Configuración'!$B$19,"A",IF(V1439&gt;='Configuración'!$B$20,"B",IF(V1439&gt;='Configuración'!$B$21,"C","Descarte"))))</f>
        <v>C</v>
      </c>
    </row>
    <row r="1440" ht="15.75" customHeight="1">
      <c r="A1440" s="34">
        <f t="shared" si="1"/>
        <v>1438</v>
      </c>
      <c r="B1440" s="29" t="s">
        <v>1927</v>
      </c>
      <c r="C1440" s="29" t="s">
        <v>146</v>
      </c>
      <c r="D1440" s="29" t="s">
        <v>8141</v>
      </c>
      <c r="E1440" s="29" t="s">
        <v>8142</v>
      </c>
      <c r="F1440" s="30" t="s">
        <v>8143</v>
      </c>
      <c r="G1440" s="30" t="s">
        <v>8144</v>
      </c>
      <c r="H1440" s="42" t="s">
        <v>8145</v>
      </c>
      <c r="I1440" s="29" t="s">
        <v>628</v>
      </c>
      <c r="J1440" s="31">
        <v>26.0</v>
      </c>
      <c r="K1440" s="35"/>
      <c r="L1440" s="35"/>
      <c r="M1440" s="35"/>
      <c r="N1440" s="35"/>
      <c r="O1440" s="35"/>
      <c r="P1440" s="35"/>
      <c r="Q1440" s="35"/>
      <c r="R1440" s="35"/>
      <c r="S1440" s="37">
        <f>IF(B1440="","",IF(ISNUMBER(J1440),IF(J1440&lt;=10,'Configuración'!$B$23,IF(J1440&lt;=50,'Configuración'!$B$24,IF(J1440&lt;=200,'Configuración'!$B$25,0))),0))</f>
        <v>4</v>
      </c>
      <c r="T1440" s="37">
        <f>IF(B1440="","",IF(ISNUMBER(SEARCH("information technology",I1440))+ISNUMBER(SEARCH("software",I1440))+ISNUMBER(SEARCH("internet",I1440))+ISNUMBER(SEARCH("computer",I1440))+ISNUMBER(SEARCH("saas",I1440))+ISNUMBER(SEARCH("fintech",I1440))+ISNUMBER(SEARCH("information services",I1440))+ISNUMBER(SEARCH("telecommunications",I1440))&gt;0,'Configuración'!$B$27,'Configuración'!$B$28))</f>
        <v>4</v>
      </c>
      <c r="U1440" s="25">
        <f>IF(B1440="","",IF(ISNUMBER(SEARCH("CEO",C1440))+ISNUMBER(SEARCH("Founder",C1440))+ISNUMBER(SEARCH("Owner",C1440))+ISNUMBER(SEARCH("Dueño",C1440))+ISNUMBER(SEARCH("Director General",C1440))+ISNUMBER(SEARCH("Presidente",C1440))+ISNUMBER(SEARCH("President",C1440))&gt;0,'Configuración'!$B$31,IF(ISNUMBER(SEARCH("CMO",C1440))+ISNUMBER(SEARCH("Chief Marketing",C1440))+ISNUMBER(SEARCH("VP Marketing",C1440))+ISNUMBER(SEARCH("Director de Marketing",C1440))+ISNUMBER(SEARCH("Director Marketing",C1440))+ISNUMBER(SEARCH("Head of Marketing",C1440))+ISNUMBER(SEARCH("Head Marketing",C1440))&gt;0,'Configuración'!$B$32,IF(ISNUMBER(SEARCH("Marketing Manager",C1440))+ISNUMBER(SEARCH("Gerente de Marketing",C1440))+ISNUMBER(SEARCH("Growth Manager",C1440))+ISNUMBER(SEARCH("Demand Gen",C1440))+ISNUMBER(SEARCH("Marketing Lead",C1440))&gt;0,'Configuración'!$B$33,IF(ISNUMBER(SEARCH("COO",C1440))+ISNUMBER(SEARCH("CFO",C1440))+ISNUMBER(SEARCH("CTO",C1440))+ISNUMBER(SEARCH("Chief Operating",C1440))+ISNUMBER(SEARCH("Chief Financial",C1440))+ISNUMBER(SEARCH("Gerente General",C1440))+ISNUMBER(SEARCH("General Manager",C1440))&gt;0,'Configuración'!$B$34,'Configuración'!$B$35)))))</f>
        <v>0</v>
      </c>
      <c r="V1440" s="38">
        <f>IF(B1440="","",IF(K1440="Sí",'Configuración'!$B$5,0)+IF(L1440="Semanal",'Configuración'!$B$6,IF(L1440="Mensual",'Configuración'!$B$7,0))+IF(M1440="Sí",'Configuración'!$B$8,0)+IF(N1440="Sí",'Configuración'!$B$9,0)+IF(O1440="Sí",'Configuración'!$B$10,0)+IF(P1440="Sí",'Configuración'!$B$11,0)+IF(Q1440="Sí",'Configuración'!$B$12,0)+S1440+T1440+U1440)</f>
        <v>8</v>
      </c>
      <c r="W1440" s="39" t="str">
        <f>IF(B1440="","",IF(V1440&gt;='Configuración'!$B$19,"A",IF(V1440&gt;='Configuración'!$B$20,"B",IF(V1440&gt;='Configuración'!$B$21,"C","Descarte"))))</f>
        <v>Descarte</v>
      </c>
    </row>
    <row r="1441" ht="15.75" customHeight="1">
      <c r="A1441" s="34">
        <f t="shared" si="1"/>
        <v>1439</v>
      </c>
      <c r="B1441" s="29" t="s">
        <v>8146</v>
      </c>
      <c r="C1441" s="29" t="s">
        <v>131</v>
      </c>
      <c r="D1441" s="29" t="s">
        <v>8147</v>
      </c>
      <c r="E1441" s="29" t="s">
        <v>8148</v>
      </c>
      <c r="F1441" s="30" t="s">
        <v>8149</v>
      </c>
      <c r="G1441" s="30" t="s">
        <v>8150</v>
      </c>
      <c r="H1441" s="42" t="s">
        <v>8151</v>
      </c>
      <c r="I1441" s="29" t="s">
        <v>847</v>
      </c>
      <c r="J1441" s="31">
        <v>10.0</v>
      </c>
      <c r="K1441" s="35"/>
      <c r="L1441" s="35"/>
      <c r="M1441" s="35"/>
      <c r="N1441" s="35"/>
      <c r="O1441" s="35"/>
      <c r="P1441" s="35"/>
      <c r="Q1441" s="35"/>
      <c r="R1441" s="35"/>
      <c r="S1441" s="37">
        <f>IF(B1441="","",IF(ISNUMBER(J1441),IF(J1441&lt;=10,'Configuración'!$B$23,IF(J1441&lt;=50,'Configuración'!$B$24,IF(J1441&lt;=200,'Configuración'!$B$25,0))),0))</f>
        <v>12</v>
      </c>
      <c r="T1441" s="37">
        <f>IF(B1441="","",IF(ISNUMBER(SEARCH("information technology",I1441))+ISNUMBER(SEARCH("software",I1441))+ISNUMBER(SEARCH("internet",I1441))+ISNUMBER(SEARCH("computer",I1441))+ISNUMBER(SEARCH("saas",I1441))+ISNUMBER(SEARCH("fintech",I1441))+ISNUMBER(SEARCH("information services",I1441))+ISNUMBER(SEARCH("telecommunications",I1441))&gt;0,'Configuración'!$B$27,'Configuración'!$B$28))</f>
        <v>4</v>
      </c>
      <c r="U1441" s="25">
        <f>IF(B1441="","",IF(ISNUMBER(SEARCH("CEO",C1441))+ISNUMBER(SEARCH("Founder",C1441))+ISNUMBER(SEARCH("Owner",C1441))+ISNUMBER(SEARCH("Dueño",C1441))+ISNUMBER(SEARCH("Director General",C1441))+ISNUMBER(SEARCH("Presidente",C1441))+ISNUMBER(SEARCH("President",C1441))&gt;0,'Configuración'!$B$31,IF(ISNUMBER(SEARCH("CMO",C1441))+ISNUMBER(SEARCH("Chief Marketing",C1441))+ISNUMBER(SEARCH("VP Marketing",C1441))+ISNUMBER(SEARCH("Director de Marketing",C1441))+ISNUMBER(SEARCH("Director Marketing",C1441))+ISNUMBER(SEARCH("Head of Marketing",C1441))+ISNUMBER(SEARCH("Head Marketing",C1441))&gt;0,'Configuración'!$B$32,IF(ISNUMBER(SEARCH("Marketing Manager",C1441))+ISNUMBER(SEARCH("Gerente de Marketing",C1441))+ISNUMBER(SEARCH("Growth Manager",C1441))+ISNUMBER(SEARCH("Demand Gen",C1441))+ISNUMBER(SEARCH("Marketing Lead",C1441))&gt;0,'Configuración'!$B$33,IF(ISNUMBER(SEARCH("COO",C1441))+ISNUMBER(SEARCH("CFO",C1441))+ISNUMBER(SEARCH("CTO",C1441))+ISNUMBER(SEARCH("Chief Operating",C1441))+ISNUMBER(SEARCH("Chief Financial",C1441))+ISNUMBER(SEARCH("Gerente General",C1441))+ISNUMBER(SEARCH("General Manager",C1441))&gt;0,'Configuración'!$B$34,'Configuración'!$B$35)))))</f>
        <v>12</v>
      </c>
      <c r="V1441" s="38">
        <f>IF(B1441="","",IF(K1441="Sí",'Configuración'!$B$5,0)+IF(L1441="Semanal",'Configuración'!$B$6,IF(L1441="Mensual",'Configuración'!$B$7,0))+IF(M1441="Sí",'Configuración'!$B$8,0)+IF(N1441="Sí",'Configuración'!$B$9,0)+IF(O1441="Sí",'Configuración'!$B$10,0)+IF(P1441="Sí",'Configuración'!$B$11,0)+IF(Q1441="Sí",'Configuración'!$B$12,0)+S1441+T1441+U1441)</f>
        <v>28</v>
      </c>
      <c r="W1441" s="39" t="str">
        <f>IF(B1441="","",IF(V1441&gt;='Configuración'!$B$19,"A",IF(V1441&gt;='Configuración'!$B$20,"B",IF(V1441&gt;='Configuración'!$B$21,"C","Descarte"))))</f>
        <v>C</v>
      </c>
    </row>
    <row r="1442" ht="15.75" customHeight="1">
      <c r="A1442" s="34">
        <f t="shared" si="1"/>
        <v>1440</v>
      </c>
      <c r="B1442" s="29" t="s">
        <v>174</v>
      </c>
      <c r="C1442" s="29" t="s">
        <v>146</v>
      </c>
      <c r="D1442" s="29" t="s">
        <v>8152</v>
      </c>
      <c r="E1442" s="29" t="s">
        <v>8153</v>
      </c>
      <c r="F1442" s="30" t="s">
        <v>8154</v>
      </c>
      <c r="G1442" s="30" t="s">
        <v>8155</v>
      </c>
      <c r="H1442" s="42" t="s">
        <v>8156</v>
      </c>
      <c r="I1442" s="29" t="s">
        <v>4621</v>
      </c>
      <c r="J1442" s="31">
        <v>33.0</v>
      </c>
      <c r="K1442" s="35"/>
      <c r="L1442" s="35"/>
      <c r="M1442" s="35"/>
      <c r="N1442" s="35"/>
      <c r="O1442" s="35"/>
      <c r="P1442" s="35"/>
      <c r="Q1442" s="35"/>
      <c r="R1442" s="35"/>
      <c r="S1442" s="37">
        <f>IF(B1442="","",IF(ISNUMBER(J1442),IF(J1442&lt;=10,'Configuración'!$B$23,IF(J1442&lt;=50,'Configuración'!$B$24,IF(J1442&lt;=200,'Configuración'!$B$25,0))),0))</f>
        <v>4</v>
      </c>
      <c r="T1442" s="37">
        <f>IF(B1442="","",IF(ISNUMBER(SEARCH("information technology",I1442))+ISNUMBER(SEARCH("software",I1442))+ISNUMBER(SEARCH("internet",I1442))+ISNUMBER(SEARCH("computer",I1442))+ISNUMBER(SEARCH("saas",I1442))+ISNUMBER(SEARCH("fintech",I1442))+ISNUMBER(SEARCH("information services",I1442))+ISNUMBER(SEARCH("telecommunications",I1442))&gt;0,'Configuración'!$B$27,'Configuración'!$B$28))</f>
        <v>4</v>
      </c>
      <c r="U1442" s="25">
        <f>IF(B1442="","",IF(ISNUMBER(SEARCH("CEO",C1442))+ISNUMBER(SEARCH("Founder",C1442))+ISNUMBER(SEARCH("Owner",C1442))+ISNUMBER(SEARCH("Dueño",C1442))+ISNUMBER(SEARCH("Director General",C1442))+ISNUMBER(SEARCH("Presidente",C1442))+ISNUMBER(SEARCH("President",C1442))&gt;0,'Configuración'!$B$31,IF(ISNUMBER(SEARCH("CMO",C1442))+ISNUMBER(SEARCH("Chief Marketing",C1442))+ISNUMBER(SEARCH("VP Marketing",C1442))+ISNUMBER(SEARCH("Director de Marketing",C1442))+ISNUMBER(SEARCH("Director Marketing",C1442))+ISNUMBER(SEARCH("Head of Marketing",C1442))+ISNUMBER(SEARCH("Head Marketing",C1442))&gt;0,'Configuración'!$B$32,IF(ISNUMBER(SEARCH("Marketing Manager",C1442))+ISNUMBER(SEARCH("Gerente de Marketing",C1442))+ISNUMBER(SEARCH("Growth Manager",C1442))+ISNUMBER(SEARCH("Demand Gen",C1442))+ISNUMBER(SEARCH("Marketing Lead",C1442))&gt;0,'Configuración'!$B$33,IF(ISNUMBER(SEARCH("COO",C1442))+ISNUMBER(SEARCH("CFO",C1442))+ISNUMBER(SEARCH("CTO",C1442))+ISNUMBER(SEARCH("Chief Operating",C1442))+ISNUMBER(SEARCH("Chief Financial",C1442))+ISNUMBER(SEARCH("Gerente General",C1442))+ISNUMBER(SEARCH("General Manager",C1442))&gt;0,'Configuración'!$B$34,'Configuración'!$B$35)))))</f>
        <v>0</v>
      </c>
      <c r="V1442" s="38">
        <f>IF(B1442="","",IF(K1442="Sí",'Configuración'!$B$5,0)+IF(L1442="Semanal",'Configuración'!$B$6,IF(L1442="Mensual",'Configuración'!$B$7,0))+IF(M1442="Sí",'Configuración'!$B$8,0)+IF(N1442="Sí",'Configuración'!$B$9,0)+IF(O1442="Sí",'Configuración'!$B$10,0)+IF(P1442="Sí",'Configuración'!$B$11,0)+IF(Q1442="Sí",'Configuración'!$B$12,0)+S1442+T1442+U1442)</f>
        <v>8</v>
      </c>
      <c r="W1442" s="39" t="str">
        <f>IF(B1442="","",IF(V1442&gt;='Configuración'!$B$19,"A",IF(V1442&gt;='Configuración'!$B$20,"B",IF(V1442&gt;='Configuración'!$B$21,"C","Descarte"))))</f>
        <v>Descarte</v>
      </c>
    </row>
    <row r="1443" ht="15.75" customHeight="1">
      <c r="A1443" s="34">
        <f t="shared" si="1"/>
        <v>1441</v>
      </c>
      <c r="B1443" s="29" t="s">
        <v>1927</v>
      </c>
      <c r="C1443" s="29" t="s">
        <v>8157</v>
      </c>
      <c r="D1443" s="29" t="s">
        <v>8158</v>
      </c>
      <c r="E1443" s="29" t="s">
        <v>8159</v>
      </c>
      <c r="F1443" s="30" t="s">
        <v>8160</v>
      </c>
      <c r="G1443" s="30" t="s">
        <v>8161</v>
      </c>
      <c r="H1443" s="42" t="s">
        <v>8162</v>
      </c>
      <c r="I1443" s="29" t="s">
        <v>127</v>
      </c>
      <c r="J1443" s="31">
        <v>14.0</v>
      </c>
      <c r="K1443" s="35"/>
      <c r="L1443" s="35"/>
      <c r="M1443" s="35"/>
      <c r="N1443" s="35"/>
      <c r="O1443" s="35"/>
      <c r="P1443" s="35"/>
      <c r="Q1443" s="35"/>
      <c r="R1443" s="35"/>
      <c r="S1443" s="37">
        <f>IF(B1443="","",IF(ISNUMBER(J1443),IF(J1443&lt;=10,'Configuración'!$B$23,IF(J1443&lt;=50,'Configuración'!$B$24,IF(J1443&lt;=200,'Configuración'!$B$25,0))),0))</f>
        <v>4</v>
      </c>
      <c r="T1443" s="37">
        <f>IF(B1443="","",IF(ISNUMBER(SEARCH("information technology",I1443))+ISNUMBER(SEARCH("software",I1443))+ISNUMBER(SEARCH("internet",I1443))+ISNUMBER(SEARCH("computer",I1443))+ISNUMBER(SEARCH("saas",I1443))+ISNUMBER(SEARCH("fintech",I1443))+ISNUMBER(SEARCH("information services",I1443))+ISNUMBER(SEARCH("telecommunications",I1443))&gt;0,'Configuración'!$B$27,'Configuración'!$B$28))</f>
        <v>12</v>
      </c>
      <c r="U1443" s="25">
        <f>IF(B1443="","",IF(ISNUMBER(SEARCH("CEO",C1443))+ISNUMBER(SEARCH("Founder",C1443))+ISNUMBER(SEARCH("Owner",C1443))+ISNUMBER(SEARCH("Dueño",C1443))+ISNUMBER(SEARCH("Director General",C1443))+ISNUMBER(SEARCH("Presidente",C1443))+ISNUMBER(SEARCH("President",C1443))&gt;0,'Configuración'!$B$31,IF(ISNUMBER(SEARCH("CMO",C1443))+ISNUMBER(SEARCH("Chief Marketing",C1443))+ISNUMBER(SEARCH("VP Marketing",C1443))+ISNUMBER(SEARCH("Director de Marketing",C1443))+ISNUMBER(SEARCH("Director Marketing",C1443))+ISNUMBER(SEARCH("Head of Marketing",C1443))+ISNUMBER(SEARCH("Head Marketing",C1443))&gt;0,'Configuración'!$B$32,IF(ISNUMBER(SEARCH("Marketing Manager",C1443))+ISNUMBER(SEARCH("Gerente de Marketing",C1443))+ISNUMBER(SEARCH("Growth Manager",C1443))+ISNUMBER(SEARCH("Demand Gen",C1443))+ISNUMBER(SEARCH("Marketing Lead",C1443))&gt;0,'Configuración'!$B$33,IF(ISNUMBER(SEARCH("COO",C1443))+ISNUMBER(SEARCH("CFO",C1443))+ISNUMBER(SEARCH("CTO",C1443))+ISNUMBER(SEARCH("Chief Operating",C1443))+ISNUMBER(SEARCH("Chief Financial",C1443))+ISNUMBER(SEARCH("Gerente General",C1443))+ISNUMBER(SEARCH("General Manager",C1443))&gt;0,'Configuración'!$B$34,'Configuración'!$B$35)))))</f>
        <v>12</v>
      </c>
      <c r="V1443" s="38">
        <f>IF(B1443="","",IF(K1443="Sí",'Configuración'!$B$5,0)+IF(L1443="Semanal",'Configuración'!$B$6,IF(L1443="Mensual",'Configuración'!$B$7,0))+IF(M1443="Sí",'Configuración'!$B$8,0)+IF(N1443="Sí",'Configuración'!$B$9,0)+IF(O1443="Sí",'Configuración'!$B$10,0)+IF(P1443="Sí",'Configuración'!$B$11,0)+IF(Q1443="Sí",'Configuración'!$B$12,0)+S1443+T1443+U1443)</f>
        <v>28</v>
      </c>
      <c r="W1443" s="39" t="str">
        <f>IF(B1443="","",IF(V1443&gt;='Configuración'!$B$19,"A",IF(V1443&gt;='Configuración'!$B$20,"B",IF(V1443&gt;='Configuración'!$B$21,"C","Descarte"))))</f>
        <v>C</v>
      </c>
    </row>
    <row r="1444" ht="15.75" customHeight="1">
      <c r="A1444" s="34">
        <f t="shared" si="1"/>
        <v>1442</v>
      </c>
      <c r="B1444" s="29" t="s">
        <v>159</v>
      </c>
      <c r="C1444" s="29" t="s">
        <v>8163</v>
      </c>
      <c r="D1444" s="29" t="s">
        <v>8164</v>
      </c>
      <c r="E1444" s="29" t="s">
        <v>8165</v>
      </c>
      <c r="F1444" s="30" t="s">
        <v>8166</v>
      </c>
      <c r="G1444" s="30" t="s">
        <v>8167</v>
      </c>
      <c r="H1444" s="42" t="s">
        <v>8168</v>
      </c>
      <c r="I1444" s="29" t="s">
        <v>1429</v>
      </c>
      <c r="J1444" s="31">
        <v>20.0</v>
      </c>
      <c r="K1444" s="35"/>
      <c r="L1444" s="35"/>
      <c r="M1444" s="35"/>
      <c r="N1444" s="35"/>
      <c r="O1444" s="35"/>
      <c r="P1444" s="35"/>
      <c r="Q1444" s="35"/>
      <c r="R1444" s="35"/>
      <c r="S1444" s="37">
        <f>IF(B1444="","",IF(ISNUMBER(J1444),IF(J1444&lt;=10,'Configuración'!$B$23,IF(J1444&lt;=50,'Configuración'!$B$24,IF(J1444&lt;=200,'Configuración'!$B$25,0))),0))</f>
        <v>4</v>
      </c>
      <c r="T1444" s="37">
        <f>IF(B1444="","",IF(ISNUMBER(SEARCH("information technology",I1444))+ISNUMBER(SEARCH("software",I1444))+ISNUMBER(SEARCH("internet",I1444))+ISNUMBER(SEARCH("computer",I1444))+ISNUMBER(SEARCH("saas",I1444))+ISNUMBER(SEARCH("fintech",I1444))+ISNUMBER(SEARCH("information services",I1444))+ISNUMBER(SEARCH("telecommunications",I1444))&gt;0,'Configuración'!$B$27,'Configuración'!$B$28))</f>
        <v>4</v>
      </c>
      <c r="U1444" s="25">
        <f>IF(B1444="","",IF(ISNUMBER(SEARCH("CEO",C1444))+ISNUMBER(SEARCH("Founder",C1444))+ISNUMBER(SEARCH("Owner",C1444))+ISNUMBER(SEARCH("Dueño",C1444))+ISNUMBER(SEARCH("Director General",C1444))+ISNUMBER(SEARCH("Presidente",C1444))+ISNUMBER(SEARCH("President",C1444))&gt;0,'Configuración'!$B$31,IF(ISNUMBER(SEARCH("CMO",C1444))+ISNUMBER(SEARCH("Chief Marketing",C1444))+ISNUMBER(SEARCH("VP Marketing",C1444))+ISNUMBER(SEARCH("Director de Marketing",C1444))+ISNUMBER(SEARCH("Director Marketing",C1444))+ISNUMBER(SEARCH("Head of Marketing",C1444))+ISNUMBER(SEARCH("Head Marketing",C1444))&gt;0,'Configuración'!$B$32,IF(ISNUMBER(SEARCH("Marketing Manager",C1444))+ISNUMBER(SEARCH("Gerente de Marketing",C1444))+ISNUMBER(SEARCH("Growth Manager",C1444))+ISNUMBER(SEARCH("Demand Gen",C1444))+ISNUMBER(SEARCH("Marketing Lead",C1444))&gt;0,'Configuración'!$B$33,IF(ISNUMBER(SEARCH("COO",C1444))+ISNUMBER(SEARCH("CFO",C1444))+ISNUMBER(SEARCH("CTO",C1444))+ISNUMBER(SEARCH("Chief Operating",C1444))+ISNUMBER(SEARCH("Chief Financial",C1444))+ISNUMBER(SEARCH("Gerente General",C1444))+ISNUMBER(SEARCH("General Manager",C1444))&gt;0,'Configuración'!$B$34,'Configuración'!$B$35)))))</f>
        <v>12</v>
      </c>
      <c r="V1444" s="38">
        <f>IF(B1444="","",IF(K1444="Sí",'Configuración'!$B$5,0)+IF(L1444="Semanal",'Configuración'!$B$6,IF(L1444="Mensual",'Configuración'!$B$7,0))+IF(M1444="Sí",'Configuración'!$B$8,0)+IF(N1444="Sí",'Configuración'!$B$9,0)+IF(O1444="Sí",'Configuración'!$B$10,0)+IF(P1444="Sí",'Configuración'!$B$11,0)+IF(Q1444="Sí",'Configuración'!$B$12,0)+S1444+T1444+U1444)</f>
        <v>20</v>
      </c>
      <c r="W1444" s="39" t="str">
        <f>IF(B1444="","",IF(V1444&gt;='Configuración'!$B$19,"A",IF(V1444&gt;='Configuración'!$B$20,"B",IF(V1444&gt;='Configuración'!$B$21,"C","Descarte"))))</f>
        <v>Descarte</v>
      </c>
    </row>
    <row r="1445" ht="15.75" customHeight="1">
      <c r="A1445" s="34">
        <f t="shared" si="1"/>
        <v>1443</v>
      </c>
      <c r="B1445" s="29" t="s">
        <v>174</v>
      </c>
      <c r="C1445" s="29" t="s">
        <v>175</v>
      </c>
      <c r="D1445" s="29" t="s">
        <v>8169</v>
      </c>
      <c r="E1445" s="29" t="s">
        <v>8170</v>
      </c>
      <c r="F1445" s="30" t="s">
        <v>8171</v>
      </c>
      <c r="G1445" s="30" t="s">
        <v>8172</v>
      </c>
      <c r="H1445" s="42" t="s">
        <v>8173</v>
      </c>
      <c r="I1445" s="29" t="s">
        <v>127</v>
      </c>
      <c r="J1445" s="31">
        <v>1.0</v>
      </c>
      <c r="K1445" s="35"/>
      <c r="L1445" s="35"/>
      <c r="M1445" s="35"/>
      <c r="N1445" s="35"/>
      <c r="O1445" s="35"/>
      <c r="P1445" s="35"/>
      <c r="Q1445" s="35"/>
      <c r="R1445" s="35"/>
      <c r="S1445" s="37">
        <f>IF(B1445="","",IF(ISNUMBER(J1445),IF(J1445&lt;=10,'Configuración'!$B$23,IF(J1445&lt;=50,'Configuración'!$B$24,IF(J1445&lt;=200,'Configuración'!$B$25,0))),0))</f>
        <v>12</v>
      </c>
      <c r="T1445" s="37">
        <f>IF(B1445="","",IF(ISNUMBER(SEARCH("information technology",I1445))+ISNUMBER(SEARCH("software",I1445))+ISNUMBER(SEARCH("internet",I1445))+ISNUMBER(SEARCH("computer",I1445))+ISNUMBER(SEARCH("saas",I1445))+ISNUMBER(SEARCH("fintech",I1445))+ISNUMBER(SEARCH("information services",I1445))+ISNUMBER(SEARCH("telecommunications",I1445))&gt;0,'Configuración'!$B$27,'Configuración'!$B$28))</f>
        <v>12</v>
      </c>
      <c r="U1445" s="25">
        <f>IF(B1445="","",IF(ISNUMBER(SEARCH("CEO",C1445))+ISNUMBER(SEARCH("Founder",C1445))+ISNUMBER(SEARCH("Owner",C1445))+ISNUMBER(SEARCH("Dueño",C1445))+ISNUMBER(SEARCH("Director General",C1445))+ISNUMBER(SEARCH("Presidente",C1445))+ISNUMBER(SEARCH("President",C1445))&gt;0,'Configuración'!$B$31,IF(ISNUMBER(SEARCH("CMO",C1445))+ISNUMBER(SEARCH("Chief Marketing",C1445))+ISNUMBER(SEARCH("VP Marketing",C1445))+ISNUMBER(SEARCH("Director de Marketing",C1445))+ISNUMBER(SEARCH("Director Marketing",C1445))+ISNUMBER(SEARCH("Head of Marketing",C1445))+ISNUMBER(SEARCH("Head Marketing",C1445))&gt;0,'Configuración'!$B$32,IF(ISNUMBER(SEARCH("Marketing Manager",C1445))+ISNUMBER(SEARCH("Gerente de Marketing",C1445))+ISNUMBER(SEARCH("Growth Manager",C1445))+ISNUMBER(SEARCH("Demand Gen",C1445))+ISNUMBER(SEARCH("Marketing Lead",C1445))&gt;0,'Configuración'!$B$33,IF(ISNUMBER(SEARCH("COO",C1445))+ISNUMBER(SEARCH("CFO",C1445))+ISNUMBER(SEARCH("CTO",C1445))+ISNUMBER(SEARCH("Chief Operating",C1445))+ISNUMBER(SEARCH("Chief Financial",C1445))+ISNUMBER(SEARCH("Gerente General",C1445))+ISNUMBER(SEARCH("General Manager",C1445))&gt;0,'Configuración'!$B$34,'Configuración'!$B$35)))))</f>
        <v>12</v>
      </c>
      <c r="V1445" s="38">
        <f>IF(B1445="","",IF(K1445="Sí",'Configuración'!$B$5,0)+IF(L1445="Semanal",'Configuración'!$B$6,IF(L1445="Mensual",'Configuración'!$B$7,0))+IF(M1445="Sí",'Configuración'!$B$8,0)+IF(N1445="Sí",'Configuración'!$B$9,0)+IF(O1445="Sí",'Configuración'!$B$10,0)+IF(P1445="Sí",'Configuración'!$B$11,0)+IF(Q1445="Sí",'Configuración'!$B$12,0)+S1445+T1445+U1445)</f>
        <v>36</v>
      </c>
      <c r="W1445" s="39" t="str">
        <f>IF(B1445="","",IF(V1445&gt;='Configuración'!$B$19,"A",IF(V1445&gt;='Configuración'!$B$20,"B",IF(V1445&gt;='Configuración'!$B$21,"C","Descarte"))))</f>
        <v>C</v>
      </c>
    </row>
    <row r="1446" ht="15.75" customHeight="1">
      <c r="A1446" s="34">
        <f t="shared" si="1"/>
        <v>1444</v>
      </c>
      <c r="B1446" s="29" t="s">
        <v>610</v>
      </c>
      <c r="C1446" s="29" t="s">
        <v>8174</v>
      </c>
      <c r="D1446" s="29" t="s">
        <v>8175</v>
      </c>
      <c r="E1446" s="29" t="s">
        <v>8176</v>
      </c>
      <c r="F1446" s="30" t="s">
        <v>8177</v>
      </c>
      <c r="G1446" s="30" t="s">
        <v>8178</v>
      </c>
      <c r="H1446" s="42" t="s">
        <v>8179</v>
      </c>
      <c r="I1446" s="29" t="s">
        <v>4583</v>
      </c>
      <c r="J1446" s="31">
        <v>2.0</v>
      </c>
      <c r="K1446" s="35"/>
      <c r="L1446" s="35"/>
      <c r="M1446" s="35"/>
      <c r="N1446" s="35"/>
      <c r="O1446" s="35"/>
      <c r="P1446" s="35"/>
      <c r="Q1446" s="35"/>
      <c r="R1446" s="35"/>
      <c r="S1446" s="37">
        <f>IF(B1446="","",IF(ISNUMBER(J1446),IF(J1446&lt;=10,'Configuración'!$B$23,IF(J1446&lt;=50,'Configuración'!$B$24,IF(J1446&lt;=200,'Configuración'!$B$25,0))),0))</f>
        <v>12</v>
      </c>
      <c r="T1446" s="37">
        <f>IF(B1446="","",IF(ISNUMBER(SEARCH("information technology",I1446))+ISNUMBER(SEARCH("software",I1446))+ISNUMBER(SEARCH("internet",I1446))+ISNUMBER(SEARCH("computer",I1446))+ISNUMBER(SEARCH("saas",I1446))+ISNUMBER(SEARCH("fintech",I1446))+ISNUMBER(SEARCH("information services",I1446))+ISNUMBER(SEARCH("telecommunications",I1446))&gt;0,'Configuración'!$B$27,'Configuración'!$B$28))</f>
        <v>4</v>
      </c>
      <c r="U1446" s="25">
        <f>IF(B1446="","",IF(ISNUMBER(SEARCH("CEO",C1446))+ISNUMBER(SEARCH("Founder",C1446))+ISNUMBER(SEARCH("Owner",C1446))+ISNUMBER(SEARCH("Dueño",C1446))+ISNUMBER(SEARCH("Director General",C1446))+ISNUMBER(SEARCH("Presidente",C1446))+ISNUMBER(SEARCH("President",C1446))&gt;0,'Configuración'!$B$31,IF(ISNUMBER(SEARCH("CMO",C1446))+ISNUMBER(SEARCH("Chief Marketing",C1446))+ISNUMBER(SEARCH("VP Marketing",C1446))+ISNUMBER(SEARCH("Director de Marketing",C1446))+ISNUMBER(SEARCH("Director Marketing",C1446))+ISNUMBER(SEARCH("Head of Marketing",C1446))+ISNUMBER(SEARCH("Head Marketing",C1446))&gt;0,'Configuración'!$B$32,IF(ISNUMBER(SEARCH("Marketing Manager",C1446))+ISNUMBER(SEARCH("Gerente de Marketing",C1446))+ISNUMBER(SEARCH("Growth Manager",C1446))+ISNUMBER(SEARCH("Demand Gen",C1446))+ISNUMBER(SEARCH("Marketing Lead",C1446))&gt;0,'Configuración'!$B$33,IF(ISNUMBER(SEARCH("COO",C1446))+ISNUMBER(SEARCH("CFO",C1446))+ISNUMBER(SEARCH("CTO",C1446))+ISNUMBER(SEARCH("Chief Operating",C1446))+ISNUMBER(SEARCH("Chief Financial",C1446))+ISNUMBER(SEARCH("Gerente General",C1446))+ISNUMBER(SEARCH("General Manager",C1446))&gt;0,'Configuración'!$B$34,'Configuración'!$B$35)))))</f>
        <v>0</v>
      </c>
      <c r="V1446" s="38">
        <f>IF(B1446="","",IF(K1446="Sí",'Configuración'!$B$5,0)+IF(L1446="Semanal",'Configuración'!$B$6,IF(L1446="Mensual",'Configuración'!$B$7,0))+IF(M1446="Sí",'Configuración'!$B$8,0)+IF(N1446="Sí",'Configuración'!$B$9,0)+IF(O1446="Sí",'Configuración'!$B$10,0)+IF(P1446="Sí",'Configuración'!$B$11,0)+IF(Q1446="Sí",'Configuración'!$B$12,0)+S1446+T1446+U1446)</f>
        <v>16</v>
      </c>
      <c r="W1446" s="39" t="str">
        <f>IF(B1446="","",IF(V1446&gt;='Configuración'!$B$19,"A",IF(V1446&gt;='Configuración'!$B$20,"B",IF(V1446&gt;='Configuración'!$B$21,"C","Descarte"))))</f>
        <v>Descarte</v>
      </c>
    </row>
    <row r="1447" ht="15.75" customHeight="1">
      <c r="A1447" s="34">
        <f t="shared" si="1"/>
        <v>1445</v>
      </c>
      <c r="B1447" s="29" t="s">
        <v>2396</v>
      </c>
      <c r="C1447" s="29" t="s">
        <v>467</v>
      </c>
      <c r="D1447" s="29" t="s">
        <v>8180</v>
      </c>
      <c r="E1447" s="29" t="s">
        <v>8181</v>
      </c>
      <c r="F1447" s="30" t="s">
        <v>8182</v>
      </c>
      <c r="G1447" s="30" t="s">
        <v>8183</v>
      </c>
      <c r="H1447" s="42" t="s">
        <v>8184</v>
      </c>
      <c r="I1447" s="29" t="s">
        <v>137</v>
      </c>
      <c r="J1447" s="31">
        <v>33.0</v>
      </c>
      <c r="K1447" s="35"/>
      <c r="L1447" s="35"/>
      <c r="M1447" s="35"/>
      <c r="N1447" s="35"/>
      <c r="O1447" s="35"/>
      <c r="P1447" s="35"/>
      <c r="Q1447" s="35"/>
      <c r="R1447" s="35"/>
      <c r="S1447" s="37">
        <f>IF(B1447="","",IF(ISNUMBER(J1447),IF(J1447&lt;=10,'Configuración'!$B$23,IF(J1447&lt;=50,'Configuración'!$B$24,IF(J1447&lt;=200,'Configuración'!$B$25,0))),0))</f>
        <v>4</v>
      </c>
      <c r="T1447" s="37">
        <f>IF(B1447="","",IF(ISNUMBER(SEARCH("information technology",I1447))+ISNUMBER(SEARCH("software",I1447))+ISNUMBER(SEARCH("internet",I1447))+ISNUMBER(SEARCH("computer",I1447))+ISNUMBER(SEARCH("saas",I1447))+ISNUMBER(SEARCH("fintech",I1447))+ISNUMBER(SEARCH("information services",I1447))+ISNUMBER(SEARCH("telecommunications",I1447))&gt;0,'Configuración'!$B$27,'Configuración'!$B$28))</f>
        <v>4</v>
      </c>
      <c r="U1447" s="25">
        <f>IF(B1447="","",IF(ISNUMBER(SEARCH("CEO",C1447))+ISNUMBER(SEARCH("Founder",C1447))+ISNUMBER(SEARCH("Owner",C1447))+ISNUMBER(SEARCH("Dueño",C1447))+ISNUMBER(SEARCH("Director General",C1447))+ISNUMBER(SEARCH("Presidente",C1447))+ISNUMBER(SEARCH("President",C1447))&gt;0,'Configuración'!$B$31,IF(ISNUMBER(SEARCH("CMO",C1447))+ISNUMBER(SEARCH("Chief Marketing",C1447))+ISNUMBER(SEARCH("VP Marketing",C1447))+ISNUMBER(SEARCH("Director de Marketing",C1447))+ISNUMBER(SEARCH("Director Marketing",C1447))+ISNUMBER(SEARCH("Head of Marketing",C1447))+ISNUMBER(SEARCH("Head Marketing",C1447))&gt;0,'Configuración'!$B$32,IF(ISNUMBER(SEARCH("Marketing Manager",C1447))+ISNUMBER(SEARCH("Gerente de Marketing",C1447))+ISNUMBER(SEARCH("Growth Manager",C1447))+ISNUMBER(SEARCH("Demand Gen",C1447))+ISNUMBER(SEARCH("Marketing Lead",C1447))&gt;0,'Configuración'!$B$33,IF(ISNUMBER(SEARCH("COO",C1447))+ISNUMBER(SEARCH("CFO",C1447))+ISNUMBER(SEARCH("CTO",C1447))+ISNUMBER(SEARCH("Chief Operating",C1447))+ISNUMBER(SEARCH("Chief Financial",C1447))+ISNUMBER(SEARCH("Gerente General",C1447))+ISNUMBER(SEARCH("General Manager",C1447))&gt;0,'Configuración'!$B$34,'Configuración'!$B$35)))))</f>
        <v>0</v>
      </c>
      <c r="V1447" s="38">
        <f>IF(B1447="","",IF(K1447="Sí",'Configuración'!$B$5,0)+IF(L1447="Semanal",'Configuración'!$B$6,IF(L1447="Mensual",'Configuración'!$B$7,0))+IF(M1447="Sí",'Configuración'!$B$8,0)+IF(N1447="Sí",'Configuración'!$B$9,0)+IF(O1447="Sí",'Configuración'!$B$10,0)+IF(P1447="Sí",'Configuración'!$B$11,0)+IF(Q1447="Sí",'Configuración'!$B$12,0)+S1447+T1447+U1447)</f>
        <v>8</v>
      </c>
      <c r="W1447" s="39" t="str">
        <f>IF(B1447="","",IF(V1447&gt;='Configuración'!$B$19,"A",IF(V1447&gt;='Configuración'!$B$20,"B",IF(V1447&gt;='Configuración'!$B$21,"C","Descarte"))))</f>
        <v>Descarte</v>
      </c>
    </row>
    <row r="1448" ht="15.75" customHeight="1">
      <c r="A1448" s="34">
        <f t="shared" si="1"/>
        <v>1446</v>
      </c>
      <c r="B1448" s="29" t="s">
        <v>181</v>
      </c>
      <c r="C1448" s="29" t="s">
        <v>8185</v>
      </c>
      <c r="D1448" s="29" t="s">
        <v>8186</v>
      </c>
      <c r="E1448" s="29" t="s">
        <v>8187</v>
      </c>
      <c r="F1448" s="30" t="s">
        <v>8188</v>
      </c>
      <c r="G1448" s="30" t="s">
        <v>8189</v>
      </c>
      <c r="H1448" s="42" t="s">
        <v>8190</v>
      </c>
      <c r="I1448" s="29" t="s">
        <v>4697</v>
      </c>
      <c r="J1448" s="31">
        <v>1.0</v>
      </c>
      <c r="K1448" s="35"/>
      <c r="L1448" s="35"/>
      <c r="M1448" s="35"/>
      <c r="N1448" s="35"/>
      <c r="O1448" s="35"/>
      <c r="P1448" s="35"/>
      <c r="Q1448" s="35"/>
      <c r="R1448" s="35"/>
      <c r="S1448" s="37">
        <f>IF(B1448="","",IF(ISNUMBER(J1448),IF(J1448&lt;=10,'Configuración'!$B$23,IF(J1448&lt;=50,'Configuración'!$B$24,IF(J1448&lt;=200,'Configuración'!$B$25,0))),0))</f>
        <v>12</v>
      </c>
      <c r="T1448" s="37">
        <f>IF(B1448="","",IF(ISNUMBER(SEARCH("information technology",I1448))+ISNUMBER(SEARCH("software",I1448))+ISNUMBER(SEARCH("internet",I1448))+ISNUMBER(SEARCH("computer",I1448))+ISNUMBER(SEARCH("saas",I1448))+ISNUMBER(SEARCH("fintech",I1448))+ISNUMBER(SEARCH("information services",I1448))+ISNUMBER(SEARCH("telecommunications",I1448))&gt;0,'Configuración'!$B$27,'Configuración'!$B$28))</f>
        <v>4</v>
      </c>
      <c r="U1448" s="25">
        <f>IF(B1448="","",IF(ISNUMBER(SEARCH("CEO",C1448))+ISNUMBER(SEARCH("Founder",C1448))+ISNUMBER(SEARCH("Owner",C1448))+ISNUMBER(SEARCH("Dueño",C1448))+ISNUMBER(SEARCH("Director General",C1448))+ISNUMBER(SEARCH("Presidente",C1448))+ISNUMBER(SEARCH("President",C1448))&gt;0,'Configuración'!$B$31,IF(ISNUMBER(SEARCH("CMO",C1448))+ISNUMBER(SEARCH("Chief Marketing",C1448))+ISNUMBER(SEARCH("VP Marketing",C1448))+ISNUMBER(SEARCH("Director de Marketing",C1448))+ISNUMBER(SEARCH("Director Marketing",C1448))+ISNUMBER(SEARCH("Head of Marketing",C1448))+ISNUMBER(SEARCH("Head Marketing",C1448))&gt;0,'Configuración'!$B$32,IF(ISNUMBER(SEARCH("Marketing Manager",C1448))+ISNUMBER(SEARCH("Gerente de Marketing",C1448))+ISNUMBER(SEARCH("Growth Manager",C1448))+ISNUMBER(SEARCH("Demand Gen",C1448))+ISNUMBER(SEARCH("Marketing Lead",C1448))&gt;0,'Configuración'!$B$33,IF(ISNUMBER(SEARCH("COO",C1448))+ISNUMBER(SEARCH("CFO",C1448))+ISNUMBER(SEARCH("CTO",C1448))+ISNUMBER(SEARCH("Chief Operating",C1448))+ISNUMBER(SEARCH("Chief Financial",C1448))+ISNUMBER(SEARCH("Gerente General",C1448))+ISNUMBER(SEARCH("General Manager",C1448))&gt;0,'Configuración'!$B$34,'Configuración'!$B$35)))))</f>
        <v>12</v>
      </c>
      <c r="V1448" s="38">
        <f>IF(B1448="","",IF(K1448="Sí",'Configuración'!$B$5,0)+IF(L1448="Semanal",'Configuración'!$B$6,IF(L1448="Mensual",'Configuración'!$B$7,0))+IF(M1448="Sí",'Configuración'!$B$8,0)+IF(N1448="Sí",'Configuración'!$B$9,0)+IF(O1448="Sí",'Configuración'!$B$10,0)+IF(P1448="Sí",'Configuración'!$B$11,0)+IF(Q1448="Sí",'Configuración'!$B$12,0)+S1448+T1448+U1448)</f>
        <v>28</v>
      </c>
      <c r="W1448" s="39" t="str">
        <f>IF(B1448="","",IF(V1448&gt;='Configuración'!$B$19,"A",IF(V1448&gt;='Configuración'!$B$20,"B",IF(V1448&gt;='Configuración'!$B$21,"C","Descarte"))))</f>
        <v>C</v>
      </c>
    </row>
    <row r="1449" ht="15.75" customHeight="1">
      <c r="A1449" s="34">
        <f t="shared" si="1"/>
        <v>1447</v>
      </c>
      <c r="B1449" s="29" t="s">
        <v>138</v>
      </c>
      <c r="C1449" s="29" t="s">
        <v>175</v>
      </c>
      <c r="D1449" s="29" t="s">
        <v>8191</v>
      </c>
      <c r="E1449" s="29" t="s">
        <v>8192</v>
      </c>
      <c r="F1449" s="30" t="s">
        <v>8193</v>
      </c>
      <c r="G1449" s="30" t="s">
        <v>8194</v>
      </c>
      <c r="H1449" s="42" t="s">
        <v>8195</v>
      </c>
      <c r="I1449" s="29" t="s">
        <v>5523</v>
      </c>
      <c r="J1449" s="31">
        <v>2.0</v>
      </c>
      <c r="K1449" s="35"/>
      <c r="L1449" s="35"/>
      <c r="M1449" s="35"/>
      <c r="N1449" s="35"/>
      <c r="O1449" s="35"/>
      <c r="P1449" s="35"/>
      <c r="Q1449" s="35"/>
      <c r="R1449" s="35"/>
      <c r="S1449" s="37">
        <f>IF(B1449="","",IF(ISNUMBER(J1449),IF(J1449&lt;=10,'Configuración'!$B$23,IF(J1449&lt;=50,'Configuración'!$B$24,IF(J1449&lt;=200,'Configuración'!$B$25,0))),0))</f>
        <v>12</v>
      </c>
      <c r="T1449" s="37">
        <f>IF(B1449="","",IF(ISNUMBER(SEARCH("information technology",I1449))+ISNUMBER(SEARCH("software",I1449))+ISNUMBER(SEARCH("internet",I1449))+ISNUMBER(SEARCH("computer",I1449))+ISNUMBER(SEARCH("saas",I1449))+ISNUMBER(SEARCH("fintech",I1449))+ISNUMBER(SEARCH("information services",I1449))+ISNUMBER(SEARCH("telecommunications",I1449))&gt;0,'Configuración'!$B$27,'Configuración'!$B$28))</f>
        <v>4</v>
      </c>
      <c r="U1449" s="25">
        <f>IF(B1449="","",IF(ISNUMBER(SEARCH("CEO",C1449))+ISNUMBER(SEARCH("Founder",C1449))+ISNUMBER(SEARCH("Owner",C1449))+ISNUMBER(SEARCH("Dueño",C1449))+ISNUMBER(SEARCH("Director General",C1449))+ISNUMBER(SEARCH("Presidente",C1449))+ISNUMBER(SEARCH("President",C1449))&gt;0,'Configuración'!$B$31,IF(ISNUMBER(SEARCH("CMO",C1449))+ISNUMBER(SEARCH("Chief Marketing",C1449))+ISNUMBER(SEARCH("VP Marketing",C1449))+ISNUMBER(SEARCH("Director de Marketing",C1449))+ISNUMBER(SEARCH("Director Marketing",C1449))+ISNUMBER(SEARCH("Head of Marketing",C1449))+ISNUMBER(SEARCH("Head Marketing",C1449))&gt;0,'Configuración'!$B$32,IF(ISNUMBER(SEARCH("Marketing Manager",C1449))+ISNUMBER(SEARCH("Gerente de Marketing",C1449))+ISNUMBER(SEARCH("Growth Manager",C1449))+ISNUMBER(SEARCH("Demand Gen",C1449))+ISNUMBER(SEARCH("Marketing Lead",C1449))&gt;0,'Configuración'!$B$33,IF(ISNUMBER(SEARCH("COO",C1449))+ISNUMBER(SEARCH("CFO",C1449))+ISNUMBER(SEARCH("CTO",C1449))+ISNUMBER(SEARCH("Chief Operating",C1449))+ISNUMBER(SEARCH("Chief Financial",C1449))+ISNUMBER(SEARCH("Gerente General",C1449))+ISNUMBER(SEARCH("General Manager",C1449))&gt;0,'Configuración'!$B$34,'Configuración'!$B$35)))))</f>
        <v>12</v>
      </c>
      <c r="V1449" s="38">
        <f>IF(B1449="","",IF(K1449="Sí",'Configuración'!$B$5,0)+IF(L1449="Semanal",'Configuración'!$B$6,IF(L1449="Mensual",'Configuración'!$B$7,0))+IF(M1449="Sí",'Configuración'!$B$8,0)+IF(N1449="Sí",'Configuración'!$B$9,0)+IF(O1449="Sí",'Configuración'!$B$10,0)+IF(P1449="Sí",'Configuración'!$B$11,0)+IF(Q1449="Sí",'Configuración'!$B$12,0)+S1449+T1449+U1449)</f>
        <v>28</v>
      </c>
      <c r="W1449" s="39" t="str">
        <f>IF(B1449="","",IF(V1449&gt;='Configuración'!$B$19,"A",IF(V1449&gt;='Configuración'!$B$20,"B",IF(V1449&gt;='Configuración'!$B$21,"C","Descarte"))))</f>
        <v>C</v>
      </c>
    </row>
    <row r="1450" ht="15.75" customHeight="1">
      <c r="A1450" s="34">
        <f t="shared" si="1"/>
        <v>1448</v>
      </c>
      <c r="B1450" s="29" t="s">
        <v>501</v>
      </c>
      <c r="C1450" s="29" t="s">
        <v>597</v>
      </c>
      <c r="D1450" s="29" t="s">
        <v>8196</v>
      </c>
      <c r="E1450" s="29" t="s">
        <v>8197</v>
      </c>
      <c r="F1450" s="30" t="s">
        <v>8198</v>
      </c>
      <c r="G1450" s="30" t="s">
        <v>8199</v>
      </c>
      <c r="H1450" s="42" t="s">
        <v>8200</v>
      </c>
      <c r="I1450" s="29" t="s">
        <v>116</v>
      </c>
      <c r="J1450" s="31">
        <v>11.0</v>
      </c>
      <c r="K1450" s="35"/>
      <c r="L1450" s="35"/>
      <c r="M1450" s="35"/>
      <c r="N1450" s="35"/>
      <c r="O1450" s="35"/>
      <c r="P1450" s="35"/>
      <c r="Q1450" s="35"/>
      <c r="R1450" s="35"/>
      <c r="S1450" s="37">
        <f>IF(B1450="","",IF(ISNUMBER(J1450),IF(J1450&lt;=10,'Configuración'!$B$23,IF(J1450&lt;=50,'Configuración'!$B$24,IF(J1450&lt;=200,'Configuración'!$B$25,0))),0))</f>
        <v>4</v>
      </c>
      <c r="T1450" s="37">
        <f>IF(B1450="","",IF(ISNUMBER(SEARCH("information technology",I1450))+ISNUMBER(SEARCH("software",I1450))+ISNUMBER(SEARCH("internet",I1450))+ISNUMBER(SEARCH("computer",I1450))+ISNUMBER(SEARCH("saas",I1450))+ISNUMBER(SEARCH("fintech",I1450))+ISNUMBER(SEARCH("information services",I1450))+ISNUMBER(SEARCH("telecommunications",I1450))&gt;0,'Configuración'!$B$27,'Configuración'!$B$28))</f>
        <v>4</v>
      </c>
      <c r="U1450" s="25">
        <f>IF(B1450="","",IF(ISNUMBER(SEARCH("CEO",C1450))+ISNUMBER(SEARCH("Founder",C1450))+ISNUMBER(SEARCH("Owner",C1450))+ISNUMBER(SEARCH("Dueño",C1450))+ISNUMBER(SEARCH("Director General",C1450))+ISNUMBER(SEARCH("Presidente",C1450))+ISNUMBER(SEARCH("President",C1450))&gt;0,'Configuración'!$B$31,IF(ISNUMBER(SEARCH("CMO",C1450))+ISNUMBER(SEARCH("Chief Marketing",C1450))+ISNUMBER(SEARCH("VP Marketing",C1450))+ISNUMBER(SEARCH("Director de Marketing",C1450))+ISNUMBER(SEARCH("Director Marketing",C1450))+ISNUMBER(SEARCH("Head of Marketing",C1450))+ISNUMBER(SEARCH("Head Marketing",C1450))&gt;0,'Configuración'!$B$32,IF(ISNUMBER(SEARCH("Marketing Manager",C1450))+ISNUMBER(SEARCH("Gerente de Marketing",C1450))+ISNUMBER(SEARCH("Growth Manager",C1450))+ISNUMBER(SEARCH("Demand Gen",C1450))+ISNUMBER(SEARCH("Marketing Lead",C1450))&gt;0,'Configuración'!$B$33,IF(ISNUMBER(SEARCH("COO",C1450))+ISNUMBER(SEARCH("CFO",C1450))+ISNUMBER(SEARCH("CTO",C1450))+ISNUMBER(SEARCH("Chief Operating",C1450))+ISNUMBER(SEARCH("Chief Financial",C1450))+ISNUMBER(SEARCH("Gerente General",C1450))+ISNUMBER(SEARCH("General Manager",C1450))&gt;0,'Configuración'!$B$34,'Configuración'!$B$35)))))</f>
        <v>12</v>
      </c>
      <c r="V1450" s="38">
        <f>IF(B1450="","",IF(K1450="Sí",'Configuración'!$B$5,0)+IF(L1450="Semanal",'Configuración'!$B$6,IF(L1450="Mensual",'Configuración'!$B$7,0))+IF(M1450="Sí",'Configuración'!$B$8,0)+IF(N1450="Sí",'Configuración'!$B$9,0)+IF(O1450="Sí",'Configuración'!$B$10,0)+IF(P1450="Sí",'Configuración'!$B$11,0)+IF(Q1450="Sí",'Configuración'!$B$12,0)+S1450+T1450+U1450)</f>
        <v>20</v>
      </c>
      <c r="W1450" s="39" t="str">
        <f>IF(B1450="","",IF(V1450&gt;='Configuración'!$B$19,"A",IF(V1450&gt;='Configuración'!$B$20,"B",IF(V1450&gt;='Configuración'!$B$21,"C","Descarte"))))</f>
        <v>Descarte</v>
      </c>
    </row>
    <row r="1451" ht="15.75" customHeight="1">
      <c r="A1451" s="34">
        <f t="shared" si="1"/>
        <v>1449</v>
      </c>
      <c r="B1451" s="29" t="s">
        <v>8201</v>
      </c>
      <c r="C1451" s="29" t="s">
        <v>131</v>
      </c>
      <c r="D1451" s="29" t="s">
        <v>8202</v>
      </c>
      <c r="E1451" s="29" t="s">
        <v>8203</v>
      </c>
      <c r="F1451" s="30" t="s">
        <v>8204</v>
      </c>
      <c r="G1451" s="30" t="s">
        <v>8205</v>
      </c>
      <c r="H1451" s="42" t="s">
        <v>8206</v>
      </c>
      <c r="I1451" s="29" t="s">
        <v>350</v>
      </c>
      <c r="J1451" s="31">
        <v>21.0</v>
      </c>
      <c r="K1451" s="35"/>
      <c r="L1451" s="35"/>
      <c r="M1451" s="35"/>
      <c r="N1451" s="35"/>
      <c r="O1451" s="35"/>
      <c r="P1451" s="35"/>
      <c r="Q1451" s="35"/>
      <c r="R1451" s="35"/>
      <c r="S1451" s="37">
        <f>IF(B1451="","",IF(ISNUMBER(J1451),IF(J1451&lt;=10,'Configuración'!$B$23,IF(J1451&lt;=50,'Configuración'!$B$24,IF(J1451&lt;=200,'Configuración'!$B$25,0))),0))</f>
        <v>4</v>
      </c>
      <c r="T1451" s="37">
        <f>IF(B1451="","",IF(ISNUMBER(SEARCH("information technology",I1451))+ISNUMBER(SEARCH("software",I1451))+ISNUMBER(SEARCH("internet",I1451))+ISNUMBER(SEARCH("computer",I1451))+ISNUMBER(SEARCH("saas",I1451))+ISNUMBER(SEARCH("fintech",I1451))+ISNUMBER(SEARCH("information services",I1451))+ISNUMBER(SEARCH("telecommunications",I1451))&gt;0,'Configuración'!$B$27,'Configuración'!$B$28))</f>
        <v>4</v>
      </c>
      <c r="U1451" s="25">
        <f>IF(B1451="","",IF(ISNUMBER(SEARCH("CEO",C1451))+ISNUMBER(SEARCH("Founder",C1451))+ISNUMBER(SEARCH("Owner",C1451))+ISNUMBER(SEARCH("Dueño",C1451))+ISNUMBER(SEARCH("Director General",C1451))+ISNUMBER(SEARCH("Presidente",C1451))+ISNUMBER(SEARCH("President",C1451))&gt;0,'Configuración'!$B$31,IF(ISNUMBER(SEARCH("CMO",C1451))+ISNUMBER(SEARCH("Chief Marketing",C1451))+ISNUMBER(SEARCH("VP Marketing",C1451))+ISNUMBER(SEARCH("Director de Marketing",C1451))+ISNUMBER(SEARCH("Director Marketing",C1451))+ISNUMBER(SEARCH("Head of Marketing",C1451))+ISNUMBER(SEARCH("Head Marketing",C1451))&gt;0,'Configuración'!$B$32,IF(ISNUMBER(SEARCH("Marketing Manager",C1451))+ISNUMBER(SEARCH("Gerente de Marketing",C1451))+ISNUMBER(SEARCH("Growth Manager",C1451))+ISNUMBER(SEARCH("Demand Gen",C1451))+ISNUMBER(SEARCH("Marketing Lead",C1451))&gt;0,'Configuración'!$B$33,IF(ISNUMBER(SEARCH("COO",C1451))+ISNUMBER(SEARCH("CFO",C1451))+ISNUMBER(SEARCH("CTO",C1451))+ISNUMBER(SEARCH("Chief Operating",C1451))+ISNUMBER(SEARCH("Chief Financial",C1451))+ISNUMBER(SEARCH("Gerente General",C1451))+ISNUMBER(SEARCH("General Manager",C1451))&gt;0,'Configuración'!$B$34,'Configuración'!$B$35)))))</f>
        <v>12</v>
      </c>
      <c r="V1451" s="38">
        <f>IF(B1451="","",IF(K1451="Sí",'Configuración'!$B$5,0)+IF(L1451="Semanal",'Configuración'!$B$6,IF(L1451="Mensual",'Configuración'!$B$7,0))+IF(M1451="Sí",'Configuración'!$B$8,0)+IF(N1451="Sí",'Configuración'!$B$9,0)+IF(O1451="Sí",'Configuración'!$B$10,0)+IF(P1451="Sí",'Configuración'!$B$11,0)+IF(Q1451="Sí",'Configuración'!$B$12,0)+S1451+T1451+U1451)</f>
        <v>20</v>
      </c>
      <c r="W1451" s="39" t="str">
        <f>IF(B1451="","",IF(V1451&gt;='Configuración'!$B$19,"A",IF(V1451&gt;='Configuración'!$B$20,"B",IF(V1451&gt;='Configuración'!$B$21,"C","Descarte"))))</f>
        <v>Descarte</v>
      </c>
    </row>
    <row r="1452" ht="15.75" customHeight="1">
      <c r="A1452" s="34">
        <f t="shared" si="1"/>
        <v>1450</v>
      </c>
      <c r="B1452" s="29" t="s">
        <v>8207</v>
      </c>
      <c r="C1452" s="29" t="s">
        <v>131</v>
      </c>
      <c r="D1452" s="29" t="s">
        <v>8208</v>
      </c>
      <c r="E1452" s="29" t="s">
        <v>8209</v>
      </c>
      <c r="F1452" s="30" t="s">
        <v>8210</v>
      </c>
      <c r="G1452" s="30" t="s">
        <v>8211</v>
      </c>
      <c r="H1452" s="42" t="s">
        <v>8212</v>
      </c>
      <c r="I1452" s="29" t="s">
        <v>127</v>
      </c>
      <c r="J1452" s="31">
        <v>12.0</v>
      </c>
      <c r="K1452" s="35"/>
      <c r="L1452" s="35"/>
      <c r="M1452" s="35"/>
      <c r="N1452" s="35"/>
      <c r="O1452" s="35"/>
      <c r="P1452" s="35"/>
      <c r="Q1452" s="35"/>
      <c r="R1452" s="35"/>
      <c r="S1452" s="37">
        <f>IF(B1452="","",IF(ISNUMBER(J1452),IF(J1452&lt;=10,'Configuración'!$B$23,IF(J1452&lt;=50,'Configuración'!$B$24,IF(J1452&lt;=200,'Configuración'!$B$25,0))),0))</f>
        <v>4</v>
      </c>
      <c r="T1452" s="37">
        <f>IF(B1452="","",IF(ISNUMBER(SEARCH("information technology",I1452))+ISNUMBER(SEARCH("software",I1452))+ISNUMBER(SEARCH("internet",I1452))+ISNUMBER(SEARCH("computer",I1452))+ISNUMBER(SEARCH("saas",I1452))+ISNUMBER(SEARCH("fintech",I1452))+ISNUMBER(SEARCH("information services",I1452))+ISNUMBER(SEARCH("telecommunications",I1452))&gt;0,'Configuración'!$B$27,'Configuración'!$B$28))</f>
        <v>12</v>
      </c>
      <c r="U1452" s="25">
        <f>IF(B1452="","",IF(ISNUMBER(SEARCH("CEO",C1452))+ISNUMBER(SEARCH("Founder",C1452))+ISNUMBER(SEARCH("Owner",C1452))+ISNUMBER(SEARCH("Dueño",C1452))+ISNUMBER(SEARCH("Director General",C1452))+ISNUMBER(SEARCH("Presidente",C1452))+ISNUMBER(SEARCH("President",C1452))&gt;0,'Configuración'!$B$31,IF(ISNUMBER(SEARCH("CMO",C1452))+ISNUMBER(SEARCH("Chief Marketing",C1452))+ISNUMBER(SEARCH("VP Marketing",C1452))+ISNUMBER(SEARCH("Director de Marketing",C1452))+ISNUMBER(SEARCH("Director Marketing",C1452))+ISNUMBER(SEARCH("Head of Marketing",C1452))+ISNUMBER(SEARCH("Head Marketing",C1452))&gt;0,'Configuración'!$B$32,IF(ISNUMBER(SEARCH("Marketing Manager",C1452))+ISNUMBER(SEARCH("Gerente de Marketing",C1452))+ISNUMBER(SEARCH("Growth Manager",C1452))+ISNUMBER(SEARCH("Demand Gen",C1452))+ISNUMBER(SEARCH("Marketing Lead",C1452))&gt;0,'Configuración'!$B$33,IF(ISNUMBER(SEARCH("COO",C1452))+ISNUMBER(SEARCH("CFO",C1452))+ISNUMBER(SEARCH("CTO",C1452))+ISNUMBER(SEARCH("Chief Operating",C1452))+ISNUMBER(SEARCH("Chief Financial",C1452))+ISNUMBER(SEARCH("Gerente General",C1452))+ISNUMBER(SEARCH("General Manager",C1452))&gt;0,'Configuración'!$B$34,'Configuración'!$B$35)))))</f>
        <v>12</v>
      </c>
      <c r="V1452" s="38">
        <f>IF(B1452="","",IF(K1452="Sí",'Configuración'!$B$5,0)+IF(L1452="Semanal",'Configuración'!$B$6,IF(L1452="Mensual",'Configuración'!$B$7,0))+IF(M1452="Sí",'Configuración'!$B$8,0)+IF(N1452="Sí",'Configuración'!$B$9,0)+IF(O1452="Sí",'Configuración'!$B$10,0)+IF(P1452="Sí",'Configuración'!$B$11,0)+IF(Q1452="Sí",'Configuración'!$B$12,0)+S1452+T1452+U1452)</f>
        <v>28</v>
      </c>
      <c r="W1452" s="39" t="str">
        <f>IF(B1452="","",IF(V1452&gt;='Configuración'!$B$19,"A",IF(V1452&gt;='Configuración'!$B$20,"B",IF(V1452&gt;='Configuración'!$B$21,"C","Descarte"))))</f>
        <v>C</v>
      </c>
    </row>
    <row r="1453" ht="15.75" customHeight="1">
      <c r="A1453" s="34">
        <f t="shared" si="1"/>
        <v>1451</v>
      </c>
      <c r="B1453" s="29" t="s">
        <v>201</v>
      </c>
      <c r="C1453" s="29" t="s">
        <v>131</v>
      </c>
      <c r="D1453" s="29" t="s">
        <v>8213</v>
      </c>
      <c r="E1453" s="29" t="s">
        <v>8214</v>
      </c>
      <c r="F1453" s="30" t="s">
        <v>8215</v>
      </c>
      <c r="G1453" s="30" t="s">
        <v>8216</v>
      </c>
      <c r="H1453" s="42" t="s">
        <v>8217</v>
      </c>
      <c r="I1453" s="29" t="s">
        <v>508</v>
      </c>
      <c r="J1453" s="31">
        <v>13.0</v>
      </c>
      <c r="K1453" s="35"/>
      <c r="L1453" s="35"/>
      <c r="M1453" s="35"/>
      <c r="N1453" s="35"/>
      <c r="O1453" s="35"/>
      <c r="P1453" s="35"/>
      <c r="Q1453" s="35"/>
      <c r="R1453" s="35"/>
      <c r="S1453" s="37">
        <f>IF(B1453="","",IF(ISNUMBER(J1453),IF(J1453&lt;=10,'Configuración'!$B$23,IF(J1453&lt;=50,'Configuración'!$B$24,IF(J1453&lt;=200,'Configuración'!$B$25,0))),0))</f>
        <v>4</v>
      </c>
      <c r="T1453" s="37">
        <f>IF(B1453="","",IF(ISNUMBER(SEARCH("information technology",I1453))+ISNUMBER(SEARCH("software",I1453))+ISNUMBER(SEARCH("internet",I1453))+ISNUMBER(SEARCH("computer",I1453))+ISNUMBER(SEARCH("saas",I1453))+ISNUMBER(SEARCH("fintech",I1453))+ISNUMBER(SEARCH("information services",I1453))+ISNUMBER(SEARCH("telecommunications",I1453))&gt;0,'Configuración'!$B$27,'Configuración'!$B$28))</f>
        <v>4</v>
      </c>
      <c r="U1453" s="25">
        <f>IF(B1453="","",IF(ISNUMBER(SEARCH("CEO",C1453))+ISNUMBER(SEARCH("Founder",C1453))+ISNUMBER(SEARCH("Owner",C1453))+ISNUMBER(SEARCH("Dueño",C1453))+ISNUMBER(SEARCH("Director General",C1453))+ISNUMBER(SEARCH("Presidente",C1453))+ISNUMBER(SEARCH("President",C1453))&gt;0,'Configuración'!$B$31,IF(ISNUMBER(SEARCH("CMO",C1453))+ISNUMBER(SEARCH("Chief Marketing",C1453))+ISNUMBER(SEARCH("VP Marketing",C1453))+ISNUMBER(SEARCH("Director de Marketing",C1453))+ISNUMBER(SEARCH("Director Marketing",C1453))+ISNUMBER(SEARCH("Head of Marketing",C1453))+ISNUMBER(SEARCH("Head Marketing",C1453))&gt;0,'Configuración'!$B$32,IF(ISNUMBER(SEARCH("Marketing Manager",C1453))+ISNUMBER(SEARCH("Gerente de Marketing",C1453))+ISNUMBER(SEARCH("Growth Manager",C1453))+ISNUMBER(SEARCH("Demand Gen",C1453))+ISNUMBER(SEARCH("Marketing Lead",C1453))&gt;0,'Configuración'!$B$33,IF(ISNUMBER(SEARCH("COO",C1453))+ISNUMBER(SEARCH("CFO",C1453))+ISNUMBER(SEARCH("CTO",C1453))+ISNUMBER(SEARCH("Chief Operating",C1453))+ISNUMBER(SEARCH("Chief Financial",C1453))+ISNUMBER(SEARCH("Gerente General",C1453))+ISNUMBER(SEARCH("General Manager",C1453))&gt;0,'Configuración'!$B$34,'Configuración'!$B$35)))))</f>
        <v>12</v>
      </c>
      <c r="V1453" s="38">
        <f>IF(B1453="","",IF(K1453="Sí",'Configuración'!$B$5,0)+IF(L1453="Semanal",'Configuración'!$B$6,IF(L1453="Mensual",'Configuración'!$B$7,0))+IF(M1453="Sí",'Configuración'!$B$8,0)+IF(N1453="Sí",'Configuración'!$B$9,0)+IF(O1453="Sí",'Configuración'!$B$10,0)+IF(P1453="Sí",'Configuración'!$B$11,0)+IF(Q1453="Sí",'Configuración'!$B$12,0)+S1453+T1453+U1453)</f>
        <v>20</v>
      </c>
      <c r="W1453" s="39" t="str">
        <f>IF(B1453="","",IF(V1453&gt;='Configuración'!$B$19,"A",IF(V1453&gt;='Configuración'!$B$20,"B",IF(V1453&gt;='Configuración'!$B$21,"C","Descarte"))))</f>
        <v>Descarte</v>
      </c>
    </row>
    <row r="1454" ht="15.75" customHeight="1">
      <c r="A1454" s="34">
        <f t="shared" si="1"/>
        <v>1452</v>
      </c>
      <c r="B1454" s="29" t="s">
        <v>2199</v>
      </c>
      <c r="C1454" s="29" t="s">
        <v>8218</v>
      </c>
      <c r="D1454" s="29" t="s">
        <v>8219</v>
      </c>
      <c r="E1454" s="29" t="s">
        <v>8220</v>
      </c>
      <c r="F1454" s="30" t="s">
        <v>8221</v>
      </c>
      <c r="G1454" s="30" t="s">
        <v>8222</v>
      </c>
      <c r="H1454" s="42" t="s">
        <v>8223</v>
      </c>
      <c r="I1454" s="29" t="s">
        <v>127</v>
      </c>
      <c r="J1454" s="31">
        <v>27.0</v>
      </c>
      <c r="K1454" s="35"/>
      <c r="L1454" s="35"/>
      <c r="M1454" s="35"/>
      <c r="N1454" s="35"/>
      <c r="O1454" s="35"/>
      <c r="P1454" s="35"/>
      <c r="Q1454" s="35"/>
      <c r="R1454" s="35"/>
      <c r="S1454" s="37">
        <f>IF(B1454="","",IF(ISNUMBER(J1454),IF(J1454&lt;=10,'Configuración'!$B$23,IF(J1454&lt;=50,'Configuración'!$B$24,IF(J1454&lt;=200,'Configuración'!$B$25,0))),0))</f>
        <v>4</v>
      </c>
      <c r="T1454" s="37">
        <f>IF(B1454="","",IF(ISNUMBER(SEARCH("information technology",I1454))+ISNUMBER(SEARCH("software",I1454))+ISNUMBER(SEARCH("internet",I1454))+ISNUMBER(SEARCH("computer",I1454))+ISNUMBER(SEARCH("saas",I1454))+ISNUMBER(SEARCH("fintech",I1454))+ISNUMBER(SEARCH("information services",I1454))+ISNUMBER(SEARCH("telecommunications",I1454))&gt;0,'Configuración'!$B$27,'Configuración'!$B$28))</f>
        <v>12</v>
      </c>
      <c r="U1454" s="25">
        <f>IF(B1454="","",IF(ISNUMBER(SEARCH("CEO",C1454))+ISNUMBER(SEARCH("Founder",C1454))+ISNUMBER(SEARCH("Owner",C1454))+ISNUMBER(SEARCH("Dueño",C1454))+ISNUMBER(SEARCH("Director General",C1454))+ISNUMBER(SEARCH("Presidente",C1454))+ISNUMBER(SEARCH("President",C1454))&gt;0,'Configuración'!$B$31,IF(ISNUMBER(SEARCH("CMO",C1454))+ISNUMBER(SEARCH("Chief Marketing",C1454))+ISNUMBER(SEARCH("VP Marketing",C1454))+ISNUMBER(SEARCH("Director de Marketing",C1454))+ISNUMBER(SEARCH("Director Marketing",C1454))+ISNUMBER(SEARCH("Head of Marketing",C1454))+ISNUMBER(SEARCH("Head Marketing",C1454))&gt;0,'Configuración'!$B$32,IF(ISNUMBER(SEARCH("Marketing Manager",C1454))+ISNUMBER(SEARCH("Gerente de Marketing",C1454))+ISNUMBER(SEARCH("Growth Manager",C1454))+ISNUMBER(SEARCH("Demand Gen",C1454))+ISNUMBER(SEARCH("Marketing Lead",C1454))&gt;0,'Configuración'!$B$33,IF(ISNUMBER(SEARCH("COO",C1454))+ISNUMBER(SEARCH("CFO",C1454))+ISNUMBER(SEARCH("CTO",C1454))+ISNUMBER(SEARCH("Chief Operating",C1454))+ISNUMBER(SEARCH("Chief Financial",C1454))+ISNUMBER(SEARCH("Gerente General",C1454))+ISNUMBER(SEARCH("General Manager",C1454))&gt;0,'Configuración'!$B$34,'Configuración'!$B$35)))))</f>
        <v>12</v>
      </c>
      <c r="V1454" s="38">
        <f>IF(B1454="","",IF(K1454="Sí",'Configuración'!$B$5,0)+IF(L1454="Semanal",'Configuración'!$B$6,IF(L1454="Mensual",'Configuración'!$B$7,0))+IF(M1454="Sí",'Configuración'!$B$8,0)+IF(N1454="Sí",'Configuración'!$B$9,0)+IF(O1454="Sí",'Configuración'!$B$10,0)+IF(P1454="Sí",'Configuración'!$B$11,0)+IF(Q1454="Sí",'Configuración'!$B$12,0)+S1454+T1454+U1454)</f>
        <v>28</v>
      </c>
      <c r="W1454" s="39" t="str">
        <f>IF(B1454="","",IF(V1454&gt;='Configuración'!$B$19,"A",IF(V1454&gt;='Configuración'!$B$20,"B",IF(V1454&gt;='Configuración'!$B$21,"C","Descarte"))))</f>
        <v>C</v>
      </c>
    </row>
    <row r="1455" ht="15.75" customHeight="1">
      <c r="A1455" s="34">
        <f t="shared" si="1"/>
        <v>1453</v>
      </c>
      <c r="B1455" s="29" t="s">
        <v>181</v>
      </c>
      <c r="C1455" s="29" t="s">
        <v>202</v>
      </c>
      <c r="D1455" s="29" t="s">
        <v>8224</v>
      </c>
      <c r="E1455" s="29" t="s">
        <v>8225</v>
      </c>
      <c r="F1455" s="30" t="s">
        <v>8226</v>
      </c>
      <c r="G1455" s="30" t="s">
        <v>8227</v>
      </c>
      <c r="H1455" s="42" t="s">
        <v>8228</v>
      </c>
      <c r="I1455" s="29" t="s">
        <v>946</v>
      </c>
      <c r="J1455" s="31">
        <v>14.0</v>
      </c>
      <c r="K1455" s="35"/>
      <c r="L1455" s="35"/>
      <c r="M1455" s="35"/>
      <c r="N1455" s="35"/>
      <c r="O1455" s="35"/>
      <c r="P1455" s="35"/>
      <c r="Q1455" s="35"/>
      <c r="R1455" s="35"/>
      <c r="S1455" s="37">
        <f>IF(B1455="","",IF(ISNUMBER(J1455),IF(J1455&lt;=10,'Configuración'!$B$23,IF(J1455&lt;=50,'Configuración'!$B$24,IF(J1455&lt;=200,'Configuración'!$B$25,0))),0))</f>
        <v>4</v>
      </c>
      <c r="T1455" s="37">
        <f>IF(B1455="","",IF(ISNUMBER(SEARCH("information technology",I1455))+ISNUMBER(SEARCH("software",I1455))+ISNUMBER(SEARCH("internet",I1455))+ISNUMBER(SEARCH("computer",I1455))+ISNUMBER(SEARCH("saas",I1455))+ISNUMBER(SEARCH("fintech",I1455))+ISNUMBER(SEARCH("information services",I1455))+ISNUMBER(SEARCH("telecommunications",I1455))&gt;0,'Configuración'!$B$27,'Configuración'!$B$28))</f>
        <v>4</v>
      </c>
      <c r="U1455" s="25">
        <f>IF(B1455="","",IF(ISNUMBER(SEARCH("CEO",C1455))+ISNUMBER(SEARCH("Founder",C1455))+ISNUMBER(SEARCH("Owner",C1455))+ISNUMBER(SEARCH("Dueño",C1455))+ISNUMBER(SEARCH("Director General",C1455))+ISNUMBER(SEARCH("Presidente",C1455))+ISNUMBER(SEARCH("President",C1455))&gt;0,'Configuración'!$B$31,IF(ISNUMBER(SEARCH("CMO",C1455))+ISNUMBER(SEARCH("Chief Marketing",C1455))+ISNUMBER(SEARCH("VP Marketing",C1455))+ISNUMBER(SEARCH("Director de Marketing",C1455))+ISNUMBER(SEARCH("Director Marketing",C1455))+ISNUMBER(SEARCH("Head of Marketing",C1455))+ISNUMBER(SEARCH("Head Marketing",C1455))&gt;0,'Configuración'!$B$32,IF(ISNUMBER(SEARCH("Marketing Manager",C1455))+ISNUMBER(SEARCH("Gerente de Marketing",C1455))+ISNUMBER(SEARCH("Growth Manager",C1455))+ISNUMBER(SEARCH("Demand Gen",C1455))+ISNUMBER(SEARCH("Marketing Lead",C1455))&gt;0,'Configuración'!$B$33,IF(ISNUMBER(SEARCH("COO",C1455))+ISNUMBER(SEARCH("CFO",C1455))+ISNUMBER(SEARCH("CTO",C1455))+ISNUMBER(SEARCH("Chief Operating",C1455))+ISNUMBER(SEARCH("Chief Financial",C1455))+ISNUMBER(SEARCH("Gerente General",C1455))+ISNUMBER(SEARCH("General Manager",C1455))&gt;0,'Configuración'!$B$34,'Configuración'!$B$35)))))</f>
        <v>12</v>
      </c>
      <c r="V1455" s="38">
        <f>IF(B1455="","",IF(K1455="Sí",'Configuración'!$B$5,0)+IF(L1455="Semanal",'Configuración'!$B$6,IF(L1455="Mensual",'Configuración'!$B$7,0))+IF(M1455="Sí",'Configuración'!$B$8,0)+IF(N1455="Sí",'Configuración'!$B$9,0)+IF(O1455="Sí",'Configuración'!$B$10,0)+IF(P1455="Sí",'Configuración'!$B$11,0)+IF(Q1455="Sí",'Configuración'!$B$12,0)+S1455+T1455+U1455)</f>
        <v>20</v>
      </c>
      <c r="W1455" s="39" t="str">
        <f>IF(B1455="","",IF(V1455&gt;='Configuración'!$B$19,"A",IF(V1455&gt;='Configuración'!$B$20,"B",IF(V1455&gt;='Configuración'!$B$21,"C","Descarte"))))</f>
        <v>Descarte</v>
      </c>
    </row>
    <row r="1456" ht="15.75" customHeight="1">
      <c r="A1456" s="34">
        <f t="shared" si="1"/>
        <v>1454</v>
      </c>
      <c r="B1456" s="29" t="s">
        <v>1028</v>
      </c>
      <c r="C1456" s="29" t="s">
        <v>8229</v>
      </c>
      <c r="D1456" s="29" t="s">
        <v>8230</v>
      </c>
      <c r="E1456" s="29" t="s">
        <v>8231</v>
      </c>
      <c r="F1456" s="30" t="s">
        <v>8232</v>
      </c>
      <c r="G1456" s="30" t="s">
        <v>8233</v>
      </c>
      <c r="H1456" s="42" t="s">
        <v>8234</v>
      </c>
      <c r="I1456" s="29" t="s">
        <v>946</v>
      </c>
      <c r="J1456" s="31">
        <v>8.0</v>
      </c>
      <c r="K1456" s="35"/>
      <c r="L1456" s="35"/>
      <c r="M1456" s="35"/>
      <c r="N1456" s="35"/>
      <c r="O1456" s="35"/>
      <c r="P1456" s="35"/>
      <c r="Q1456" s="35"/>
      <c r="R1456" s="35"/>
      <c r="S1456" s="37">
        <f>IF(B1456="","",IF(ISNUMBER(J1456),IF(J1456&lt;=10,'Configuración'!$B$23,IF(J1456&lt;=50,'Configuración'!$B$24,IF(J1456&lt;=200,'Configuración'!$B$25,0))),0))</f>
        <v>12</v>
      </c>
      <c r="T1456" s="37">
        <f>IF(B1456="","",IF(ISNUMBER(SEARCH("information technology",I1456))+ISNUMBER(SEARCH("software",I1456))+ISNUMBER(SEARCH("internet",I1456))+ISNUMBER(SEARCH("computer",I1456))+ISNUMBER(SEARCH("saas",I1456))+ISNUMBER(SEARCH("fintech",I1456))+ISNUMBER(SEARCH("information services",I1456))+ISNUMBER(SEARCH("telecommunications",I1456))&gt;0,'Configuración'!$B$27,'Configuración'!$B$28))</f>
        <v>4</v>
      </c>
      <c r="U1456" s="25">
        <f>IF(B1456="","",IF(ISNUMBER(SEARCH("CEO",C1456))+ISNUMBER(SEARCH("Founder",C1456))+ISNUMBER(SEARCH("Owner",C1456))+ISNUMBER(SEARCH("Dueño",C1456))+ISNUMBER(SEARCH("Director General",C1456))+ISNUMBER(SEARCH("Presidente",C1456))+ISNUMBER(SEARCH("President",C1456))&gt;0,'Configuración'!$B$31,IF(ISNUMBER(SEARCH("CMO",C1456))+ISNUMBER(SEARCH("Chief Marketing",C1456))+ISNUMBER(SEARCH("VP Marketing",C1456))+ISNUMBER(SEARCH("Director de Marketing",C1456))+ISNUMBER(SEARCH("Director Marketing",C1456))+ISNUMBER(SEARCH("Head of Marketing",C1456))+ISNUMBER(SEARCH("Head Marketing",C1456))&gt;0,'Configuración'!$B$32,IF(ISNUMBER(SEARCH("Marketing Manager",C1456))+ISNUMBER(SEARCH("Gerente de Marketing",C1456))+ISNUMBER(SEARCH("Growth Manager",C1456))+ISNUMBER(SEARCH("Demand Gen",C1456))+ISNUMBER(SEARCH("Marketing Lead",C1456))&gt;0,'Configuración'!$B$33,IF(ISNUMBER(SEARCH("COO",C1456))+ISNUMBER(SEARCH("CFO",C1456))+ISNUMBER(SEARCH("CTO",C1456))+ISNUMBER(SEARCH("Chief Operating",C1456))+ISNUMBER(SEARCH("Chief Financial",C1456))+ISNUMBER(SEARCH("Gerente General",C1456))+ISNUMBER(SEARCH("General Manager",C1456))&gt;0,'Configuración'!$B$34,'Configuración'!$B$35)))))</f>
        <v>12</v>
      </c>
      <c r="V1456" s="38">
        <f>IF(B1456="","",IF(K1456="Sí",'Configuración'!$B$5,0)+IF(L1456="Semanal",'Configuración'!$B$6,IF(L1456="Mensual",'Configuración'!$B$7,0))+IF(M1456="Sí",'Configuración'!$B$8,0)+IF(N1456="Sí",'Configuración'!$B$9,0)+IF(O1456="Sí",'Configuración'!$B$10,0)+IF(P1456="Sí",'Configuración'!$B$11,0)+IF(Q1456="Sí",'Configuración'!$B$12,0)+S1456+T1456+U1456)</f>
        <v>28</v>
      </c>
      <c r="W1456" s="39" t="str">
        <f>IF(B1456="","",IF(V1456&gt;='Configuración'!$B$19,"A",IF(V1456&gt;='Configuración'!$B$20,"B",IF(V1456&gt;='Configuración'!$B$21,"C","Descarte"))))</f>
        <v>C</v>
      </c>
    </row>
    <row r="1457" ht="15.75" customHeight="1">
      <c r="A1457" s="34">
        <f t="shared" si="1"/>
        <v>1455</v>
      </c>
      <c r="B1457" s="29" t="s">
        <v>2603</v>
      </c>
      <c r="C1457" s="29" t="s">
        <v>318</v>
      </c>
      <c r="D1457" s="29" t="s">
        <v>1284</v>
      </c>
      <c r="E1457" s="29" t="s">
        <v>8235</v>
      </c>
      <c r="F1457" s="30" t="s">
        <v>8236</v>
      </c>
      <c r="G1457" s="30" t="s">
        <v>1287</v>
      </c>
      <c r="H1457" s="42" t="s">
        <v>1288</v>
      </c>
      <c r="I1457" s="29" t="s">
        <v>873</v>
      </c>
      <c r="J1457" s="31">
        <v>3.0</v>
      </c>
      <c r="K1457" s="35"/>
      <c r="L1457" s="35"/>
      <c r="M1457" s="35"/>
      <c r="N1457" s="35"/>
      <c r="O1457" s="35"/>
      <c r="P1457" s="35"/>
      <c r="Q1457" s="35"/>
      <c r="R1457" s="35"/>
      <c r="S1457" s="37">
        <f>IF(B1457="","",IF(ISNUMBER(J1457),IF(J1457&lt;=10,'Configuración'!$B$23,IF(J1457&lt;=50,'Configuración'!$B$24,IF(J1457&lt;=200,'Configuración'!$B$25,0))),0))</f>
        <v>12</v>
      </c>
      <c r="T1457" s="37">
        <f>IF(B1457="","",IF(ISNUMBER(SEARCH("information technology",I1457))+ISNUMBER(SEARCH("software",I1457))+ISNUMBER(SEARCH("internet",I1457))+ISNUMBER(SEARCH("computer",I1457))+ISNUMBER(SEARCH("saas",I1457))+ISNUMBER(SEARCH("fintech",I1457))+ISNUMBER(SEARCH("information services",I1457))+ISNUMBER(SEARCH("telecommunications",I1457))&gt;0,'Configuración'!$B$27,'Configuración'!$B$28))</f>
        <v>4</v>
      </c>
      <c r="U1457" s="25">
        <f>IF(B1457="","",IF(ISNUMBER(SEARCH("CEO",C1457))+ISNUMBER(SEARCH("Founder",C1457))+ISNUMBER(SEARCH("Owner",C1457))+ISNUMBER(SEARCH("Dueño",C1457))+ISNUMBER(SEARCH("Director General",C1457))+ISNUMBER(SEARCH("Presidente",C1457))+ISNUMBER(SEARCH("President",C1457))&gt;0,'Configuración'!$B$31,IF(ISNUMBER(SEARCH("CMO",C1457))+ISNUMBER(SEARCH("Chief Marketing",C1457))+ISNUMBER(SEARCH("VP Marketing",C1457))+ISNUMBER(SEARCH("Director de Marketing",C1457))+ISNUMBER(SEARCH("Director Marketing",C1457))+ISNUMBER(SEARCH("Head of Marketing",C1457))+ISNUMBER(SEARCH("Head Marketing",C1457))&gt;0,'Configuración'!$B$32,IF(ISNUMBER(SEARCH("Marketing Manager",C1457))+ISNUMBER(SEARCH("Gerente de Marketing",C1457))+ISNUMBER(SEARCH("Growth Manager",C1457))+ISNUMBER(SEARCH("Demand Gen",C1457))+ISNUMBER(SEARCH("Marketing Lead",C1457))&gt;0,'Configuración'!$B$33,IF(ISNUMBER(SEARCH("COO",C1457))+ISNUMBER(SEARCH("CFO",C1457))+ISNUMBER(SEARCH("CTO",C1457))+ISNUMBER(SEARCH("Chief Operating",C1457))+ISNUMBER(SEARCH("Chief Financial",C1457))+ISNUMBER(SEARCH("Gerente General",C1457))+ISNUMBER(SEARCH("General Manager",C1457))&gt;0,'Configuración'!$B$34,'Configuración'!$B$35)))))</f>
        <v>4</v>
      </c>
      <c r="V1457" s="38">
        <f>IF(B1457="","",IF(K1457="Sí",'Configuración'!$B$5,0)+IF(L1457="Semanal",'Configuración'!$B$6,IF(L1457="Mensual",'Configuración'!$B$7,0))+IF(M1457="Sí",'Configuración'!$B$8,0)+IF(N1457="Sí",'Configuración'!$B$9,0)+IF(O1457="Sí",'Configuración'!$B$10,0)+IF(P1457="Sí",'Configuración'!$B$11,0)+IF(Q1457="Sí",'Configuración'!$B$12,0)+S1457+T1457+U1457)</f>
        <v>20</v>
      </c>
      <c r="W1457" s="39" t="str">
        <f>IF(B1457="","",IF(V1457&gt;='Configuración'!$B$19,"A",IF(V1457&gt;='Configuración'!$B$20,"B",IF(V1457&gt;='Configuración'!$B$21,"C","Descarte"))))</f>
        <v>Descarte</v>
      </c>
    </row>
    <row r="1458" ht="15.75" customHeight="1">
      <c r="A1458" s="34">
        <f t="shared" si="1"/>
        <v>1456</v>
      </c>
      <c r="B1458" s="29" t="s">
        <v>8237</v>
      </c>
      <c r="C1458" s="29" t="s">
        <v>8238</v>
      </c>
      <c r="D1458" s="29" t="s">
        <v>8239</v>
      </c>
      <c r="E1458" s="29" t="s">
        <v>8240</v>
      </c>
      <c r="F1458" s="30" t="s">
        <v>8241</v>
      </c>
      <c r="G1458" s="30" t="s">
        <v>8242</v>
      </c>
      <c r="H1458" s="42" t="s">
        <v>8243</v>
      </c>
      <c r="I1458" s="29" t="s">
        <v>127</v>
      </c>
      <c r="J1458" s="31">
        <v>12.0</v>
      </c>
      <c r="K1458" s="35"/>
      <c r="L1458" s="35"/>
      <c r="M1458" s="35"/>
      <c r="N1458" s="35"/>
      <c r="O1458" s="35"/>
      <c r="P1458" s="35"/>
      <c r="Q1458" s="35"/>
      <c r="R1458" s="35"/>
      <c r="S1458" s="37">
        <f>IF(B1458="","",IF(ISNUMBER(J1458),IF(J1458&lt;=10,'Configuración'!$B$23,IF(J1458&lt;=50,'Configuración'!$B$24,IF(J1458&lt;=200,'Configuración'!$B$25,0))),0))</f>
        <v>4</v>
      </c>
      <c r="T1458" s="37">
        <f>IF(B1458="","",IF(ISNUMBER(SEARCH("information technology",I1458))+ISNUMBER(SEARCH("software",I1458))+ISNUMBER(SEARCH("internet",I1458))+ISNUMBER(SEARCH("computer",I1458))+ISNUMBER(SEARCH("saas",I1458))+ISNUMBER(SEARCH("fintech",I1458))+ISNUMBER(SEARCH("information services",I1458))+ISNUMBER(SEARCH("telecommunications",I1458))&gt;0,'Configuración'!$B$27,'Configuración'!$B$28))</f>
        <v>12</v>
      </c>
      <c r="U1458" s="25">
        <f>IF(B1458="","",IF(ISNUMBER(SEARCH("CEO",C1458))+ISNUMBER(SEARCH("Founder",C1458))+ISNUMBER(SEARCH("Owner",C1458))+ISNUMBER(SEARCH("Dueño",C1458))+ISNUMBER(SEARCH("Director General",C1458))+ISNUMBER(SEARCH("Presidente",C1458))+ISNUMBER(SEARCH("President",C1458))&gt;0,'Configuración'!$B$31,IF(ISNUMBER(SEARCH("CMO",C1458))+ISNUMBER(SEARCH("Chief Marketing",C1458))+ISNUMBER(SEARCH("VP Marketing",C1458))+ISNUMBER(SEARCH("Director de Marketing",C1458))+ISNUMBER(SEARCH("Director Marketing",C1458))+ISNUMBER(SEARCH("Head of Marketing",C1458))+ISNUMBER(SEARCH("Head Marketing",C1458))&gt;0,'Configuración'!$B$32,IF(ISNUMBER(SEARCH("Marketing Manager",C1458))+ISNUMBER(SEARCH("Gerente de Marketing",C1458))+ISNUMBER(SEARCH("Growth Manager",C1458))+ISNUMBER(SEARCH("Demand Gen",C1458))+ISNUMBER(SEARCH("Marketing Lead",C1458))&gt;0,'Configuración'!$B$33,IF(ISNUMBER(SEARCH("COO",C1458))+ISNUMBER(SEARCH("CFO",C1458))+ISNUMBER(SEARCH("CTO",C1458))+ISNUMBER(SEARCH("Chief Operating",C1458))+ISNUMBER(SEARCH("Chief Financial",C1458))+ISNUMBER(SEARCH("Gerente General",C1458))+ISNUMBER(SEARCH("General Manager",C1458))&gt;0,'Configuración'!$B$34,'Configuración'!$B$35)))))</f>
        <v>12</v>
      </c>
      <c r="V1458" s="38">
        <f>IF(B1458="","",IF(K1458="Sí",'Configuración'!$B$5,0)+IF(L1458="Semanal",'Configuración'!$B$6,IF(L1458="Mensual",'Configuración'!$B$7,0))+IF(M1458="Sí",'Configuración'!$B$8,0)+IF(N1458="Sí",'Configuración'!$B$9,0)+IF(O1458="Sí",'Configuración'!$B$10,0)+IF(P1458="Sí",'Configuración'!$B$11,0)+IF(Q1458="Sí",'Configuración'!$B$12,0)+S1458+T1458+U1458)</f>
        <v>28</v>
      </c>
      <c r="W1458" s="39" t="str">
        <f>IF(B1458="","",IF(V1458&gt;='Configuración'!$B$19,"A",IF(V1458&gt;='Configuración'!$B$20,"B",IF(V1458&gt;='Configuración'!$B$21,"C","Descarte"))))</f>
        <v>C</v>
      </c>
    </row>
    <row r="1459" ht="15.75" customHeight="1">
      <c r="A1459" s="34">
        <f t="shared" si="1"/>
        <v>1457</v>
      </c>
      <c r="B1459" s="29" t="s">
        <v>8244</v>
      </c>
      <c r="C1459" s="29" t="s">
        <v>2706</v>
      </c>
      <c r="D1459" s="29" t="s">
        <v>8245</v>
      </c>
      <c r="E1459" s="29" t="s">
        <v>8246</v>
      </c>
      <c r="F1459" s="30" t="s">
        <v>8247</v>
      </c>
      <c r="G1459" s="30" t="s">
        <v>8248</v>
      </c>
      <c r="H1459" s="42" t="s">
        <v>8249</v>
      </c>
      <c r="I1459" s="29" t="s">
        <v>127</v>
      </c>
      <c r="J1459" s="31">
        <v>50.0</v>
      </c>
      <c r="K1459" s="35"/>
      <c r="L1459" s="35"/>
      <c r="M1459" s="35"/>
      <c r="N1459" s="35"/>
      <c r="O1459" s="35"/>
      <c r="P1459" s="35"/>
      <c r="Q1459" s="35"/>
      <c r="R1459" s="35"/>
      <c r="S1459" s="37">
        <f>IF(B1459="","",IF(ISNUMBER(J1459),IF(J1459&lt;=10,'Configuración'!$B$23,IF(J1459&lt;=50,'Configuración'!$B$24,IF(J1459&lt;=200,'Configuración'!$B$25,0))),0))</f>
        <v>4</v>
      </c>
      <c r="T1459" s="37">
        <f>IF(B1459="","",IF(ISNUMBER(SEARCH("information technology",I1459))+ISNUMBER(SEARCH("software",I1459))+ISNUMBER(SEARCH("internet",I1459))+ISNUMBER(SEARCH("computer",I1459))+ISNUMBER(SEARCH("saas",I1459))+ISNUMBER(SEARCH("fintech",I1459))+ISNUMBER(SEARCH("information services",I1459))+ISNUMBER(SEARCH("telecommunications",I1459))&gt;0,'Configuración'!$B$27,'Configuración'!$B$28))</f>
        <v>12</v>
      </c>
      <c r="U1459" s="25">
        <f>IF(B1459="","",IF(ISNUMBER(SEARCH("CEO",C1459))+ISNUMBER(SEARCH("Founder",C1459))+ISNUMBER(SEARCH("Owner",C1459))+ISNUMBER(SEARCH("Dueño",C1459))+ISNUMBER(SEARCH("Director General",C1459))+ISNUMBER(SEARCH("Presidente",C1459))+ISNUMBER(SEARCH("President",C1459))&gt;0,'Configuración'!$B$31,IF(ISNUMBER(SEARCH("CMO",C1459))+ISNUMBER(SEARCH("Chief Marketing",C1459))+ISNUMBER(SEARCH("VP Marketing",C1459))+ISNUMBER(SEARCH("Director de Marketing",C1459))+ISNUMBER(SEARCH("Director Marketing",C1459))+ISNUMBER(SEARCH("Head of Marketing",C1459))+ISNUMBER(SEARCH("Head Marketing",C1459))&gt;0,'Configuración'!$B$32,IF(ISNUMBER(SEARCH("Marketing Manager",C1459))+ISNUMBER(SEARCH("Gerente de Marketing",C1459))+ISNUMBER(SEARCH("Growth Manager",C1459))+ISNUMBER(SEARCH("Demand Gen",C1459))+ISNUMBER(SEARCH("Marketing Lead",C1459))&gt;0,'Configuración'!$B$33,IF(ISNUMBER(SEARCH("COO",C1459))+ISNUMBER(SEARCH("CFO",C1459))+ISNUMBER(SEARCH("CTO",C1459))+ISNUMBER(SEARCH("Chief Operating",C1459))+ISNUMBER(SEARCH("Chief Financial",C1459))+ISNUMBER(SEARCH("Gerente General",C1459))+ISNUMBER(SEARCH("General Manager",C1459))&gt;0,'Configuración'!$B$34,'Configuración'!$B$35)))))</f>
        <v>0</v>
      </c>
      <c r="V1459" s="38">
        <f>IF(B1459="","",IF(K1459="Sí",'Configuración'!$B$5,0)+IF(L1459="Semanal",'Configuración'!$B$6,IF(L1459="Mensual",'Configuración'!$B$7,0))+IF(M1459="Sí",'Configuración'!$B$8,0)+IF(N1459="Sí",'Configuración'!$B$9,0)+IF(O1459="Sí",'Configuración'!$B$10,0)+IF(P1459="Sí",'Configuración'!$B$11,0)+IF(Q1459="Sí",'Configuración'!$B$12,0)+S1459+T1459+U1459)</f>
        <v>16</v>
      </c>
      <c r="W1459" s="39" t="str">
        <f>IF(B1459="","",IF(V1459&gt;='Configuración'!$B$19,"A",IF(V1459&gt;='Configuración'!$B$20,"B",IF(V1459&gt;='Configuración'!$B$21,"C","Descarte"))))</f>
        <v>Descarte</v>
      </c>
    </row>
    <row r="1460" ht="15.75" customHeight="1">
      <c r="A1460" s="34">
        <f t="shared" si="1"/>
        <v>1458</v>
      </c>
      <c r="B1460" s="29" t="s">
        <v>296</v>
      </c>
      <c r="C1460" s="29" t="s">
        <v>2129</v>
      </c>
      <c r="D1460" s="29" t="s">
        <v>8250</v>
      </c>
      <c r="E1460" s="29" t="s">
        <v>8251</v>
      </c>
      <c r="F1460" s="30" t="s">
        <v>8252</v>
      </c>
      <c r="G1460" s="30" t="s">
        <v>8253</v>
      </c>
      <c r="H1460" s="42" t="s">
        <v>8254</v>
      </c>
      <c r="I1460" s="29" t="s">
        <v>158</v>
      </c>
      <c r="J1460" s="31">
        <v>2.0</v>
      </c>
      <c r="K1460" s="35"/>
      <c r="L1460" s="35"/>
      <c r="M1460" s="35"/>
      <c r="N1460" s="35"/>
      <c r="O1460" s="35"/>
      <c r="P1460" s="35"/>
      <c r="Q1460" s="35"/>
      <c r="R1460" s="35"/>
      <c r="S1460" s="37">
        <f>IF(B1460="","",IF(ISNUMBER(J1460),IF(J1460&lt;=10,'Configuración'!$B$23,IF(J1460&lt;=50,'Configuración'!$B$24,IF(J1460&lt;=200,'Configuración'!$B$25,0))),0))</f>
        <v>12</v>
      </c>
      <c r="T1460" s="37">
        <f>IF(B1460="","",IF(ISNUMBER(SEARCH("information technology",I1460))+ISNUMBER(SEARCH("software",I1460))+ISNUMBER(SEARCH("internet",I1460))+ISNUMBER(SEARCH("computer",I1460))+ISNUMBER(SEARCH("saas",I1460))+ISNUMBER(SEARCH("fintech",I1460))+ISNUMBER(SEARCH("information services",I1460))+ISNUMBER(SEARCH("telecommunications",I1460))&gt;0,'Configuración'!$B$27,'Configuración'!$B$28))</f>
        <v>4</v>
      </c>
      <c r="U1460" s="25">
        <f>IF(B1460="","",IF(ISNUMBER(SEARCH("CEO",C1460))+ISNUMBER(SEARCH("Founder",C1460))+ISNUMBER(SEARCH("Owner",C1460))+ISNUMBER(SEARCH("Dueño",C1460))+ISNUMBER(SEARCH("Director General",C1460))+ISNUMBER(SEARCH("Presidente",C1460))+ISNUMBER(SEARCH("President",C1460))&gt;0,'Configuración'!$B$31,IF(ISNUMBER(SEARCH("CMO",C1460))+ISNUMBER(SEARCH("Chief Marketing",C1460))+ISNUMBER(SEARCH("VP Marketing",C1460))+ISNUMBER(SEARCH("Director de Marketing",C1460))+ISNUMBER(SEARCH("Director Marketing",C1460))+ISNUMBER(SEARCH("Head of Marketing",C1460))+ISNUMBER(SEARCH("Head Marketing",C1460))&gt;0,'Configuración'!$B$32,IF(ISNUMBER(SEARCH("Marketing Manager",C1460))+ISNUMBER(SEARCH("Gerente de Marketing",C1460))+ISNUMBER(SEARCH("Growth Manager",C1460))+ISNUMBER(SEARCH("Demand Gen",C1460))+ISNUMBER(SEARCH("Marketing Lead",C1460))&gt;0,'Configuración'!$B$33,IF(ISNUMBER(SEARCH("COO",C1460))+ISNUMBER(SEARCH("CFO",C1460))+ISNUMBER(SEARCH("CTO",C1460))+ISNUMBER(SEARCH("Chief Operating",C1460))+ISNUMBER(SEARCH("Chief Financial",C1460))+ISNUMBER(SEARCH("Gerente General",C1460))+ISNUMBER(SEARCH("General Manager",C1460))&gt;0,'Configuración'!$B$34,'Configuración'!$B$35)))))</f>
        <v>12</v>
      </c>
      <c r="V1460" s="38">
        <f>IF(B1460="","",IF(K1460="Sí",'Configuración'!$B$5,0)+IF(L1460="Semanal",'Configuración'!$B$6,IF(L1460="Mensual",'Configuración'!$B$7,0))+IF(M1460="Sí",'Configuración'!$B$8,0)+IF(N1460="Sí",'Configuración'!$B$9,0)+IF(O1460="Sí",'Configuración'!$B$10,0)+IF(P1460="Sí",'Configuración'!$B$11,0)+IF(Q1460="Sí",'Configuración'!$B$12,0)+S1460+T1460+U1460)</f>
        <v>28</v>
      </c>
      <c r="W1460" s="39" t="str">
        <f>IF(B1460="","",IF(V1460&gt;='Configuración'!$B$19,"A",IF(V1460&gt;='Configuración'!$B$20,"B",IF(V1460&gt;='Configuración'!$B$21,"C","Descarte"))))</f>
        <v>C</v>
      </c>
    </row>
    <row r="1461" ht="15.75" customHeight="1">
      <c r="A1461" s="34">
        <f t="shared" si="1"/>
        <v>1459</v>
      </c>
      <c r="B1461" s="29" t="s">
        <v>556</v>
      </c>
      <c r="C1461" s="29" t="s">
        <v>8255</v>
      </c>
      <c r="D1461" s="29" t="s">
        <v>5513</v>
      </c>
      <c r="E1461" s="29" t="s">
        <v>8256</v>
      </c>
      <c r="F1461" s="30" t="s">
        <v>8257</v>
      </c>
      <c r="G1461" s="30" t="s">
        <v>5516</v>
      </c>
      <c r="H1461" s="42" t="s">
        <v>5517</v>
      </c>
      <c r="I1461" s="29" t="s">
        <v>337</v>
      </c>
      <c r="J1461" s="31">
        <v>13.0</v>
      </c>
      <c r="K1461" s="35"/>
      <c r="L1461" s="35"/>
      <c r="M1461" s="35"/>
      <c r="N1461" s="35"/>
      <c r="O1461" s="35"/>
      <c r="P1461" s="35"/>
      <c r="Q1461" s="35"/>
      <c r="R1461" s="35"/>
      <c r="S1461" s="37">
        <f>IF(B1461="","",IF(ISNUMBER(J1461),IF(J1461&lt;=10,'Configuración'!$B$23,IF(J1461&lt;=50,'Configuración'!$B$24,IF(J1461&lt;=200,'Configuración'!$B$25,0))),0))</f>
        <v>4</v>
      </c>
      <c r="T1461" s="37">
        <f>IF(B1461="","",IF(ISNUMBER(SEARCH("information technology",I1461))+ISNUMBER(SEARCH("software",I1461))+ISNUMBER(SEARCH("internet",I1461))+ISNUMBER(SEARCH("computer",I1461))+ISNUMBER(SEARCH("saas",I1461))+ISNUMBER(SEARCH("fintech",I1461))+ISNUMBER(SEARCH("information services",I1461))+ISNUMBER(SEARCH("telecommunications",I1461))&gt;0,'Configuración'!$B$27,'Configuración'!$B$28))</f>
        <v>4</v>
      </c>
      <c r="U1461" s="25">
        <f>IF(B1461="","",IF(ISNUMBER(SEARCH("CEO",C1461))+ISNUMBER(SEARCH("Founder",C1461))+ISNUMBER(SEARCH("Owner",C1461))+ISNUMBER(SEARCH("Dueño",C1461))+ISNUMBER(SEARCH("Director General",C1461))+ISNUMBER(SEARCH("Presidente",C1461))+ISNUMBER(SEARCH("President",C1461))&gt;0,'Configuración'!$B$31,IF(ISNUMBER(SEARCH("CMO",C1461))+ISNUMBER(SEARCH("Chief Marketing",C1461))+ISNUMBER(SEARCH("VP Marketing",C1461))+ISNUMBER(SEARCH("Director de Marketing",C1461))+ISNUMBER(SEARCH("Director Marketing",C1461))+ISNUMBER(SEARCH("Head of Marketing",C1461))+ISNUMBER(SEARCH("Head Marketing",C1461))&gt;0,'Configuración'!$B$32,IF(ISNUMBER(SEARCH("Marketing Manager",C1461))+ISNUMBER(SEARCH("Gerente de Marketing",C1461))+ISNUMBER(SEARCH("Growth Manager",C1461))+ISNUMBER(SEARCH("Demand Gen",C1461))+ISNUMBER(SEARCH("Marketing Lead",C1461))&gt;0,'Configuración'!$B$33,IF(ISNUMBER(SEARCH("COO",C1461))+ISNUMBER(SEARCH("CFO",C1461))+ISNUMBER(SEARCH("CTO",C1461))+ISNUMBER(SEARCH("Chief Operating",C1461))+ISNUMBER(SEARCH("Chief Financial",C1461))+ISNUMBER(SEARCH("Gerente General",C1461))+ISNUMBER(SEARCH("General Manager",C1461))&gt;0,'Configuración'!$B$34,'Configuración'!$B$35)))))</f>
        <v>12</v>
      </c>
      <c r="V1461" s="38">
        <f>IF(B1461="","",IF(K1461="Sí",'Configuración'!$B$5,0)+IF(L1461="Semanal",'Configuración'!$B$6,IF(L1461="Mensual",'Configuración'!$B$7,0))+IF(M1461="Sí",'Configuración'!$B$8,0)+IF(N1461="Sí",'Configuración'!$B$9,0)+IF(O1461="Sí",'Configuración'!$B$10,0)+IF(P1461="Sí",'Configuración'!$B$11,0)+IF(Q1461="Sí",'Configuración'!$B$12,0)+S1461+T1461+U1461)</f>
        <v>20</v>
      </c>
      <c r="W1461" s="39" t="str">
        <f>IF(B1461="","",IF(V1461&gt;='Configuración'!$B$19,"A",IF(V1461&gt;='Configuración'!$B$20,"B",IF(V1461&gt;='Configuración'!$B$21,"C","Descarte"))))</f>
        <v>Descarte</v>
      </c>
    </row>
    <row r="1462" ht="15.75" customHeight="1">
      <c r="A1462" s="34">
        <f t="shared" si="1"/>
        <v>1460</v>
      </c>
      <c r="B1462" s="29" t="s">
        <v>8258</v>
      </c>
      <c r="C1462" s="29" t="s">
        <v>8259</v>
      </c>
      <c r="D1462" s="29" t="s">
        <v>1928</v>
      </c>
      <c r="E1462" s="29" t="s">
        <v>8260</v>
      </c>
      <c r="F1462" s="30" t="s">
        <v>8261</v>
      </c>
      <c r="G1462" s="30" t="s">
        <v>1931</v>
      </c>
      <c r="H1462" s="42" t="s">
        <v>1932</v>
      </c>
      <c r="I1462" s="29" t="s">
        <v>288</v>
      </c>
      <c r="J1462" s="31">
        <v>43.0</v>
      </c>
      <c r="K1462" s="35"/>
      <c r="L1462" s="35"/>
      <c r="M1462" s="35"/>
      <c r="N1462" s="35"/>
      <c r="O1462" s="35"/>
      <c r="P1462" s="35"/>
      <c r="Q1462" s="35"/>
      <c r="R1462" s="35"/>
      <c r="S1462" s="37">
        <f>IF(B1462="","",IF(ISNUMBER(J1462),IF(J1462&lt;=10,'Configuración'!$B$23,IF(J1462&lt;=50,'Configuración'!$B$24,IF(J1462&lt;=200,'Configuración'!$B$25,0))),0))</f>
        <v>4</v>
      </c>
      <c r="T1462" s="37">
        <f>IF(B1462="","",IF(ISNUMBER(SEARCH("information technology",I1462))+ISNUMBER(SEARCH("software",I1462))+ISNUMBER(SEARCH("internet",I1462))+ISNUMBER(SEARCH("computer",I1462))+ISNUMBER(SEARCH("saas",I1462))+ISNUMBER(SEARCH("fintech",I1462))+ISNUMBER(SEARCH("information services",I1462))+ISNUMBER(SEARCH("telecommunications",I1462))&gt;0,'Configuración'!$B$27,'Configuración'!$B$28))</f>
        <v>4</v>
      </c>
      <c r="U1462" s="25">
        <f>IF(B1462="","",IF(ISNUMBER(SEARCH("CEO",C1462))+ISNUMBER(SEARCH("Founder",C1462))+ISNUMBER(SEARCH("Owner",C1462))+ISNUMBER(SEARCH("Dueño",C1462))+ISNUMBER(SEARCH("Director General",C1462))+ISNUMBER(SEARCH("Presidente",C1462))+ISNUMBER(SEARCH("President",C1462))&gt;0,'Configuración'!$B$31,IF(ISNUMBER(SEARCH("CMO",C1462))+ISNUMBER(SEARCH("Chief Marketing",C1462))+ISNUMBER(SEARCH("VP Marketing",C1462))+ISNUMBER(SEARCH("Director de Marketing",C1462))+ISNUMBER(SEARCH("Director Marketing",C1462))+ISNUMBER(SEARCH("Head of Marketing",C1462))+ISNUMBER(SEARCH("Head Marketing",C1462))&gt;0,'Configuración'!$B$32,IF(ISNUMBER(SEARCH("Marketing Manager",C1462))+ISNUMBER(SEARCH("Gerente de Marketing",C1462))+ISNUMBER(SEARCH("Growth Manager",C1462))+ISNUMBER(SEARCH("Demand Gen",C1462))+ISNUMBER(SEARCH("Marketing Lead",C1462))&gt;0,'Configuración'!$B$33,IF(ISNUMBER(SEARCH("COO",C1462))+ISNUMBER(SEARCH("CFO",C1462))+ISNUMBER(SEARCH("CTO",C1462))+ISNUMBER(SEARCH("Chief Operating",C1462))+ISNUMBER(SEARCH("Chief Financial",C1462))+ISNUMBER(SEARCH("Gerente General",C1462))+ISNUMBER(SEARCH("General Manager",C1462))&gt;0,'Configuración'!$B$34,'Configuración'!$B$35)))))</f>
        <v>12</v>
      </c>
      <c r="V1462" s="38">
        <f>IF(B1462="","",IF(K1462="Sí",'Configuración'!$B$5,0)+IF(L1462="Semanal",'Configuración'!$B$6,IF(L1462="Mensual",'Configuración'!$B$7,0))+IF(M1462="Sí",'Configuración'!$B$8,0)+IF(N1462="Sí",'Configuración'!$B$9,0)+IF(O1462="Sí",'Configuración'!$B$10,0)+IF(P1462="Sí",'Configuración'!$B$11,0)+IF(Q1462="Sí",'Configuración'!$B$12,0)+S1462+T1462+U1462)</f>
        <v>20</v>
      </c>
      <c r="W1462" s="39" t="str">
        <f>IF(B1462="","",IF(V1462&gt;='Configuración'!$B$19,"A",IF(V1462&gt;='Configuración'!$B$20,"B",IF(V1462&gt;='Configuración'!$B$21,"C","Descarte"))))</f>
        <v>Descarte</v>
      </c>
    </row>
    <row r="1463" ht="15.75" customHeight="1">
      <c r="A1463" s="34">
        <f t="shared" si="1"/>
        <v>1461</v>
      </c>
      <c r="B1463" s="29" t="s">
        <v>262</v>
      </c>
      <c r="C1463" s="29" t="s">
        <v>8262</v>
      </c>
      <c r="D1463" s="29" t="s">
        <v>8263</v>
      </c>
      <c r="E1463" s="29" t="s">
        <v>8264</v>
      </c>
      <c r="F1463" s="30" t="s">
        <v>8265</v>
      </c>
      <c r="G1463" s="30" t="s">
        <v>8266</v>
      </c>
      <c r="H1463" s="42" t="s">
        <v>8267</v>
      </c>
      <c r="I1463" s="29" t="s">
        <v>127</v>
      </c>
      <c r="J1463" s="31">
        <v>18.0</v>
      </c>
      <c r="K1463" s="35"/>
      <c r="L1463" s="35"/>
      <c r="M1463" s="35"/>
      <c r="N1463" s="35"/>
      <c r="O1463" s="35"/>
      <c r="P1463" s="35"/>
      <c r="Q1463" s="35"/>
      <c r="R1463" s="35"/>
      <c r="S1463" s="37">
        <f>IF(B1463="","",IF(ISNUMBER(J1463),IF(J1463&lt;=10,'Configuración'!$B$23,IF(J1463&lt;=50,'Configuración'!$B$24,IF(J1463&lt;=200,'Configuración'!$B$25,0))),0))</f>
        <v>4</v>
      </c>
      <c r="T1463" s="37">
        <f>IF(B1463="","",IF(ISNUMBER(SEARCH("information technology",I1463))+ISNUMBER(SEARCH("software",I1463))+ISNUMBER(SEARCH("internet",I1463))+ISNUMBER(SEARCH("computer",I1463))+ISNUMBER(SEARCH("saas",I1463))+ISNUMBER(SEARCH("fintech",I1463))+ISNUMBER(SEARCH("information services",I1463))+ISNUMBER(SEARCH("telecommunications",I1463))&gt;0,'Configuración'!$B$27,'Configuración'!$B$28))</f>
        <v>12</v>
      </c>
      <c r="U1463" s="25">
        <f>IF(B1463="","",IF(ISNUMBER(SEARCH("CEO",C1463))+ISNUMBER(SEARCH("Founder",C1463))+ISNUMBER(SEARCH("Owner",C1463))+ISNUMBER(SEARCH("Dueño",C1463))+ISNUMBER(SEARCH("Director General",C1463))+ISNUMBER(SEARCH("Presidente",C1463))+ISNUMBER(SEARCH("President",C1463))&gt;0,'Configuración'!$B$31,IF(ISNUMBER(SEARCH("CMO",C1463))+ISNUMBER(SEARCH("Chief Marketing",C1463))+ISNUMBER(SEARCH("VP Marketing",C1463))+ISNUMBER(SEARCH("Director de Marketing",C1463))+ISNUMBER(SEARCH("Director Marketing",C1463))+ISNUMBER(SEARCH("Head of Marketing",C1463))+ISNUMBER(SEARCH("Head Marketing",C1463))&gt;0,'Configuración'!$B$32,IF(ISNUMBER(SEARCH("Marketing Manager",C1463))+ISNUMBER(SEARCH("Gerente de Marketing",C1463))+ISNUMBER(SEARCH("Growth Manager",C1463))+ISNUMBER(SEARCH("Demand Gen",C1463))+ISNUMBER(SEARCH("Marketing Lead",C1463))&gt;0,'Configuración'!$B$33,IF(ISNUMBER(SEARCH("COO",C1463))+ISNUMBER(SEARCH("CFO",C1463))+ISNUMBER(SEARCH("CTO",C1463))+ISNUMBER(SEARCH("Chief Operating",C1463))+ISNUMBER(SEARCH("Chief Financial",C1463))+ISNUMBER(SEARCH("Gerente General",C1463))+ISNUMBER(SEARCH("General Manager",C1463))&gt;0,'Configuración'!$B$34,'Configuración'!$B$35)))))</f>
        <v>12</v>
      </c>
      <c r="V1463" s="38">
        <f>IF(B1463="","",IF(K1463="Sí",'Configuración'!$B$5,0)+IF(L1463="Semanal",'Configuración'!$B$6,IF(L1463="Mensual",'Configuración'!$B$7,0))+IF(M1463="Sí",'Configuración'!$B$8,0)+IF(N1463="Sí",'Configuración'!$B$9,0)+IF(O1463="Sí",'Configuración'!$B$10,0)+IF(P1463="Sí",'Configuración'!$B$11,0)+IF(Q1463="Sí",'Configuración'!$B$12,0)+S1463+T1463+U1463)</f>
        <v>28</v>
      </c>
      <c r="W1463" s="39" t="str">
        <f>IF(B1463="","",IF(V1463&gt;='Configuración'!$B$19,"A",IF(V1463&gt;='Configuración'!$B$20,"B",IF(V1463&gt;='Configuración'!$B$21,"C","Descarte"))))</f>
        <v>C</v>
      </c>
    </row>
    <row r="1464" ht="15.75" customHeight="1">
      <c r="A1464" s="34">
        <f t="shared" si="1"/>
        <v>1462</v>
      </c>
      <c r="B1464" s="29" t="s">
        <v>166</v>
      </c>
      <c r="C1464" s="29" t="s">
        <v>131</v>
      </c>
      <c r="D1464" s="29" t="s">
        <v>8268</v>
      </c>
      <c r="E1464" s="29" t="s">
        <v>8269</v>
      </c>
      <c r="F1464" s="30" t="s">
        <v>8270</v>
      </c>
      <c r="G1464" s="30" t="s">
        <v>8271</v>
      </c>
      <c r="H1464" s="42" t="s">
        <v>8272</v>
      </c>
      <c r="I1464" s="29" t="s">
        <v>428</v>
      </c>
      <c r="J1464" s="31">
        <v>50.0</v>
      </c>
      <c r="K1464" s="35"/>
      <c r="L1464" s="35"/>
      <c r="M1464" s="35"/>
      <c r="N1464" s="35"/>
      <c r="O1464" s="35"/>
      <c r="P1464" s="35"/>
      <c r="Q1464" s="35"/>
      <c r="R1464" s="35"/>
      <c r="S1464" s="37">
        <f>IF(B1464="","",IF(ISNUMBER(J1464),IF(J1464&lt;=10,'Configuración'!$B$23,IF(J1464&lt;=50,'Configuración'!$B$24,IF(J1464&lt;=200,'Configuración'!$B$25,0))),0))</f>
        <v>4</v>
      </c>
      <c r="T1464" s="37">
        <f>IF(B1464="","",IF(ISNUMBER(SEARCH("information technology",I1464))+ISNUMBER(SEARCH("software",I1464))+ISNUMBER(SEARCH("internet",I1464))+ISNUMBER(SEARCH("computer",I1464))+ISNUMBER(SEARCH("saas",I1464))+ISNUMBER(SEARCH("fintech",I1464))+ISNUMBER(SEARCH("information services",I1464))+ISNUMBER(SEARCH("telecommunications",I1464))&gt;0,'Configuración'!$B$27,'Configuración'!$B$28))</f>
        <v>12</v>
      </c>
      <c r="U1464" s="25">
        <f>IF(B1464="","",IF(ISNUMBER(SEARCH("CEO",C1464))+ISNUMBER(SEARCH("Founder",C1464))+ISNUMBER(SEARCH("Owner",C1464))+ISNUMBER(SEARCH("Dueño",C1464))+ISNUMBER(SEARCH("Director General",C1464))+ISNUMBER(SEARCH("Presidente",C1464))+ISNUMBER(SEARCH("President",C1464))&gt;0,'Configuración'!$B$31,IF(ISNUMBER(SEARCH("CMO",C1464))+ISNUMBER(SEARCH("Chief Marketing",C1464))+ISNUMBER(SEARCH("VP Marketing",C1464))+ISNUMBER(SEARCH("Director de Marketing",C1464))+ISNUMBER(SEARCH("Director Marketing",C1464))+ISNUMBER(SEARCH("Head of Marketing",C1464))+ISNUMBER(SEARCH("Head Marketing",C1464))&gt;0,'Configuración'!$B$32,IF(ISNUMBER(SEARCH("Marketing Manager",C1464))+ISNUMBER(SEARCH("Gerente de Marketing",C1464))+ISNUMBER(SEARCH("Growth Manager",C1464))+ISNUMBER(SEARCH("Demand Gen",C1464))+ISNUMBER(SEARCH("Marketing Lead",C1464))&gt;0,'Configuración'!$B$33,IF(ISNUMBER(SEARCH("COO",C1464))+ISNUMBER(SEARCH("CFO",C1464))+ISNUMBER(SEARCH("CTO",C1464))+ISNUMBER(SEARCH("Chief Operating",C1464))+ISNUMBER(SEARCH("Chief Financial",C1464))+ISNUMBER(SEARCH("Gerente General",C1464))+ISNUMBER(SEARCH("General Manager",C1464))&gt;0,'Configuración'!$B$34,'Configuración'!$B$35)))))</f>
        <v>12</v>
      </c>
      <c r="V1464" s="38">
        <f>IF(B1464="","",IF(K1464="Sí",'Configuración'!$B$5,0)+IF(L1464="Semanal",'Configuración'!$B$6,IF(L1464="Mensual",'Configuración'!$B$7,0))+IF(M1464="Sí",'Configuración'!$B$8,0)+IF(N1464="Sí",'Configuración'!$B$9,0)+IF(O1464="Sí",'Configuración'!$B$10,0)+IF(P1464="Sí",'Configuración'!$B$11,0)+IF(Q1464="Sí",'Configuración'!$B$12,0)+S1464+T1464+U1464)</f>
        <v>28</v>
      </c>
      <c r="W1464" s="39" t="str">
        <f>IF(B1464="","",IF(V1464&gt;='Configuración'!$B$19,"A",IF(V1464&gt;='Configuración'!$B$20,"B",IF(V1464&gt;='Configuración'!$B$21,"C","Descarte"))))</f>
        <v>C</v>
      </c>
    </row>
    <row r="1465" ht="15.75" customHeight="1">
      <c r="A1465" s="34">
        <f t="shared" si="1"/>
        <v>1463</v>
      </c>
      <c r="B1465" s="29" t="s">
        <v>6358</v>
      </c>
      <c r="C1465" s="29" t="s">
        <v>487</v>
      </c>
      <c r="D1465" s="29" t="s">
        <v>8273</v>
      </c>
      <c r="E1465" s="29" t="s">
        <v>8274</v>
      </c>
      <c r="F1465" s="30" t="s">
        <v>8275</v>
      </c>
      <c r="G1465" s="30" t="s">
        <v>8276</v>
      </c>
      <c r="H1465" s="42" t="s">
        <v>8277</v>
      </c>
      <c r="I1465" s="29" t="s">
        <v>188</v>
      </c>
      <c r="J1465" s="31">
        <v>3.0</v>
      </c>
      <c r="K1465" s="35"/>
      <c r="L1465" s="35"/>
      <c r="M1465" s="35"/>
      <c r="N1465" s="35"/>
      <c r="O1465" s="35"/>
      <c r="P1465" s="35"/>
      <c r="Q1465" s="35"/>
      <c r="R1465" s="35"/>
      <c r="S1465" s="37">
        <f>IF(B1465="","",IF(ISNUMBER(J1465),IF(J1465&lt;=10,'Configuración'!$B$23,IF(J1465&lt;=50,'Configuración'!$B$24,IF(J1465&lt;=200,'Configuración'!$B$25,0))),0))</f>
        <v>12</v>
      </c>
      <c r="T1465" s="37">
        <f>IF(B1465="","",IF(ISNUMBER(SEARCH("information technology",I1465))+ISNUMBER(SEARCH("software",I1465))+ISNUMBER(SEARCH("internet",I1465))+ISNUMBER(SEARCH("computer",I1465))+ISNUMBER(SEARCH("saas",I1465))+ISNUMBER(SEARCH("fintech",I1465))+ISNUMBER(SEARCH("information services",I1465))+ISNUMBER(SEARCH("telecommunications",I1465))&gt;0,'Configuración'!$B$27,'Configuración'!$B$28))</f>
        <v>4</v>
      </c>
      <c r="U1465" s="25">
        <f>IF(B1465="","",IF(ISNUMBER(SEARCH("CEO",C1465))+ISNUMBER(SEARCH("Founder",C1465))+ISNUMBER(SEARCH("Owner",C1465))+ISNUMBER(SEARCH("Dueño",C1465))+ISNUMBER(SEARCH("Director General",C1465))+ISNUMBER(SEARCH("Presidente",C1465))+ISNUMBER(SEARCH("President",C1465))&gt;0,'Configuración'!$B$31,IF(ISNUMBER(SEARCH("CMO",C1465))+ISNUMBER(SEARCH("Chief Marketing",C1465))+ISNUMBER(SEARCH("VP Marketing",C1465))+ISNUMBER(SEARCH("Director de Marketing",C1465))+ISNUMBER(SEARCH("Director Marketing",C1465))+ISNUMBER(SEARCH("Head of Marketing",C1465))+ISNUMBER(SEARCH("Head Marketing",C1465))&gt;0,'Configuración'!$B$32,IF(ISNUMBER(SEARCH("Marketing Manager",C1465))+ISNUMBER(SEARCH("Gerente de Marketing",C1465))+ISNUMBER(SEARCH("Growth Manager",C1465))+ISNUMBER(SEARCH("Demand Gen",C1465))+ISNUMBER(SEARCH("Marketing Lead",C1465))&gt;0,'Configuración'!$B$33,IF(ISNUMBER(SEARCH("COO",C1465))+ISNUMBER(SEARCH("CFO",C1465))+ISNUMBER(SEARCH("CTO",C1465))+ISNUMBER(SEARCH("Chief Operating",C1465))+ISNUMBER(SEARCH("Chief Financial",C1465))+ISNUMBER(SEARCH("Gerente General",C1465))+ISNUMBER(SEARCH("General Manager",C1465))&gt;0,'Configuración'!$B$34,'Configuración'!$B$35)))))</f>
        <v>12</v>
      </c>
      <c r="V1465" s="38">
        <f>IF(B1465="","",IF(K1465="Sí",'Configuración'!$B$5,0)+IF(L1465="Semanal",'Configuración'!$B$6,IF(L1465="Mensual",'Configuración'!$B$7,0))+IF(M1465="Sí",'Configuración'!$B$8,0)+IF(N1465="Sí",'Configuración'!$B$9,0)+IF(O1465="Sí",'Configuración'!$B$10,0)+IF(P1465="Sí",'Configuración'!$B$11,0)+IF(Q1465="Sí",'Configuración'!$B$12,0)+S1465+T1465+U1465)</f>
        <v>28</v>
      </c>
      <c r="W1465" s="39" t="str">
        <f>IF(B1465="","",IF(V1465&gt;='Configuración'!$B$19,"A",IF(V1465&gt;='Configuración'!$B$20,"B",IF(V1465&gt;='Configuración'!$B$21,"C","Descarte"))))</f>
        <v>C</v>
      </c>
    </row>
    <row r="1466" ht="15.75" customHeight="1">
      <c r="A1466" s="34">
        <f t="shared" si="1"/>
        <v>1464</v>
      </c>
      <c r="B1466" s="29" t="s">
        <v>1814</v>
      </c>
      <c r="C1466" s="29" t="s">
        <v>131</v>
      </c>
      <c r="D1466" s="29" t="s">
        <v>8278</v>
      </c>
      <c r="E1466" s="29" t="s">
        <v>8279</v>
      </c>
      <c r="F1466" s="30" t="s">
        <v>8280</v>
      </c>
      <c r="G1466" s="30" t="s">
        <v>8281</v>
      </c>
      <c r="H1466" s="42" t="s">
        <v>8282</v>
      </c>
      <c r="I1466" s="29" t="s">
        <v>137</v>
      </c>
      <c r="J1466" s="31">
        <v>12.0</v>
      </c>
      <c r="K1466" s="35"/>
      <c r="L1466" s="35"/>
      <c r="M1466" s="35"/>
      <c r="N1466" s="35"/>
      <c r="O1466" s="35"/>
      <c r="P1466" s="35"/>
      <c r="Q1466" s="35"/>
      <c r="R1466" s="35"/>
      <c r="S1466" s="37">
        <f>IF(B1466="","",IF(ISNUMBER(J1466),IF(J1466&lt;=10,'Configuración'!$B$23,IF(J1466&lt;=50,'Configuración'!$B$24,IF(J1466&lt;=200,'Configuración'!$B$25,0))),0))</f>
        <v>4</v>
      </c>
      <c r="T1466" s="37">
        <f>IF(B1466="","",IF(ISNUMBER(SEARCH("information technology",I1466))+ISNUMBER(SEARCH("software",I1466))+ISNUMBER(SEARCH("internet",I1466))+ISNUMBER(SEARCH("computer",I1466))+ISNUMBER(SEARCH("saas",I1466))+ISNUMBER(SEARCH("fintech",I1466))+ISNUMBER(SEARCH("information services",I1466))+ISNUMBER(SEARCH("telecommunications",I1466))&gt;0,'Configuración'!$B$27,'Configuración'!$B$28))</f>
        <v>4</v>
      </c>
      <c r="U1466" s="25">
        <f>IF(B1466="","",IF(ISNUMBER(SEARCH("CEO",C1466))+ISNUMBER(SEARCH("Founder",C1466))+ISNUMBER(SEARCH("Owner",C1466))+ISNUMBER(SEARCH("Dueño",C1466))+ISNUMBER(SEARCH("Director General",C1466))+ISNUMBER(SEARCH("Presidente",C1466))+ISNUMBER(SEARCH("President",C1466))&gt;0,'Configuración'!$B$31,IF(ISNUMBER(SEARCH("CMO",C1466))+ISNUMBER(SEARCH("Chief Marketing",C1466))+ISNUMBER(SEARCH("VP Marketing",C1466))+ISNUMBER(SEARCH("Director de Marketing",C1466))+ISNUMBER(SEARCH("Director Marketing",C1466))+ISNUMBER(SEARCH("Head of Marketing",C1466))+ISNUMBER(SEARCH("Head Marketing",C1466))&gt;0,'Configuración'!$B$32,IF(ISNUMBER(SEARCH("Marketing Manager",C1466))+ISNUMBER(SEARCH("Gerente de Marketing",C1466))+ISNUMBER(SEARCH("Growth Manager",C1466))+ISNUMBER(SEARCH("Demand Gen",C1466))+ISNUMBER(SEARCH("Marketing Lead",C1466))&gt;0,'Configuración'!$B$33,IF(ISNUMBER(SEARCH("COO",C1466))+ISNUMBER(SEARCH("CFO",C1466))+ISNUMBER(SEARCH("CTO",C1466))+ISNUMBER(SEARCH("Chief Operating",C1466))+ISNUMBER(SEARCH("Chief Financial",C1466))+ISNUMBER(SEARCH("Gerente General",C1466))+ISNUMBER(SEARCH("General Manager",C1466))&gt;0,'Configuración'!$B$34,'Configuración'!$B$35)))))</f>
        <v>12</v>
      </c>
      <c r="V1466" s="38">
        <f>IF(B1466="","",IF(K1466="Sí",'Configuración'!$B$5,0)+IF(L1466="Semanal",'Configuración'!$B$6,IF(L1466="Mensual",'Configuración'!$B$7,0))+IF(M1466="Sí",'Configuración'!$B$8,0)+IF(N1466="Sí",'Configuración'!$B$9,0)+IF(O1466="Sí",'Configuración'!$B$10,0)+IF(P1466="Sí",'Configuración'!$B$11,0)+IF(Q1466="Sí",'Configuración'!$B$12,0)+S1466+T1466+U1466)</f>
        <v>20</v>
      </c>
      <c r="W1466" s="39" t="str">
        <f>IF(B1466="","",IF(V1466&gt;='Configuración'!$B$19,"A",IF(V1466&gt;='Configuración'!$B$20,"B",IF(V1466&gt;='Configuración'!$B$21,"C","Descarte"))))</f>
        <v>Descarte</v>
      </c>
    </row>
    <row r="1467" ht="15.75" customHeight="1">
      <c r="A1467" s="34">
        <f t="shared" si="1"/>
        <v>1465</v>
      </c>
      <c r="B1467" s="29" t="s">
        <v>610</v>
      </c>
      <c r="C1467" s="29" t="s">
        <v>8283</v>
      </c>
      <c r="D1467" s="29" t="s">
        <v>8284</v>
      </c>
      <c r="E1467" s="29" t="s">
        <v>8285</v>
      </c>
      <c r="F1467" s="30" t="s">
        <v>8286</v>
      </c>
      <c r="G1467" s="30" t="s">
        <v>8287</v>
      </c>
      <c r="H1467" s="42" t="s">
        <v>8288</v>
      </c>
      <c r="I1467" s="29" t="s">
        <v>1785</v>
      </c>
      <c r="J1467" s="31">
        <v>30.0</v>
      </c>
      <c r="K1467" s="35"/>
      <c r="L1467" s="35"/>
      <c r="M1467" s="35"/>
      <c r="N1467" s="35"/>
      <c r="O1467" s="35"/>
      <c r="P1467" s="35"/>
      <c r="Q1467" s="35"/>
      <c r="R1467" s="35"/>
      <c r="S1467" s="37">
        <f>IF(B1467="","",IF(ISNUMBER(J1467),IF(J1467&lt;=10,'Configuración'!$B$23,IF(J1467&lt;=50,'Configuración'!$B$24,IF(J1467&lt;=200,'Configuración'!$B$25,0))),0))</f>
        <v>4</v>
      </c>
      <c r="T1467" s="37">
        <f>IF(B1467="","",IF(ISNUMBER(SEARCH("information technology",I1467))+ISNUMBER(SEARCH("software",I1467))+ISNUMBER(SEARCH("internet",I1467))+ISNUMBER(SEARCH("computer",I1467))+ISNUMBER(SEARCH("saas",I1467))+ISNUMBER(SEARCH("fintech",I1467))+ISNUMBER(SEARCH("information services",I1467))+ISNUMBER(SEARCH("telecommunications",I1467))&gt;0,'Configuración'!$B$27,'Configuración'!$B$28))</f>
        <v>4</v>
      </c>
      <c r="U1467" s="25">
        <f>IF(B1467="","",IF(ISNUMBER(SEARCH("CEO",C1467))+ISNUMBER(SEARCH("Founder",C1467))+ISNUMBER(SEARCH("Owner",C1467))+ISNUMBER(SEARCH("Dueño",C1467))+ISNUMBER(SEARCH("Director General",C1467))+ISNUMBER(SEARCH("Presidente",C1467))+ISNUMBER(SEARCH("President",C1467))&gt;0,'Configuración'!$B$31,IF(ISNUMBER(SEARCH("CMO",C1467))+ISNUMBER(SEARCH("Chief Marketing",C1467))+ISNUMBER(SEARCH("VP Marketing",C1467))+ISNUMBER(SEARCH("Director de Marketing",C1467))+ISNUMBER(SEARCH("Director Marketing",C1467))+ISNUMBER(SEARCH("Head of Marketing",C1467))+ISNUMBER(SEARCH("Head Marketing",C1467))&gt;0,'Configuración'!$B$32,IF(ISNUMBER(SEARCH("Marketing Manager",C1467))+ISNUMBER(SEARCH("Gerente de Marketing",C1467))+ISNUMBER(SEARCH("Growth Manager",C1467))+ISNUMBER(SEARCH("Demand Gen",C1467))+ISNUMBER(SEARCH("Marketing Lead",C1467))&gt;0,'Configuración'!$B$33,IF(ISNUMBER(SEARCH("COO",C1467))+ISNUMBER(SEARCH("CFO",C1467))+ISNUMBER(SEARCH("CTO",C1467))+ISNUMBER(SEARCH("Chief Operating",C1467))+ISNUMBER(SEARCH("Chief Financial",C1467))+ISNUMBER(SEARCH("Gerente General",C1467))+ISNUMBER(SEARCH("General Manager",C1467))&gt;0,'Configuración'!$B$34,'Configuración'!$B$35)))))</f>
        <v>12</v>
      </c>
      <c r="V1467" s="38">
        <f>IF(B1467="","",IF(K1467="Sí",'Configuración'!$B$5,0)+IF(L1467="Semanal",'Configuración'!$B$6,IF(L1467="Mensual",'Configuración'!$B$7,0))+IF(M1467="Sí",'Configuración'!$B$8,0)+IF(N1467="Sí",'Configuración'!$B$9,0)+IF(O1467="Sí",'Configuración'!$B$10,0)+IF(P1467="Sí",'Configuración'!$B$11,0)+IF(Q1467="Sí",'Configuración'!$B$12,0)+S1467+T1467+U1467)</f>
        <v>20</v>
      </c>
      <c r="W1467" s="39" t="str">
        <f>IF(B1467="","",IF(V1467&gt;='Configuración'!$B$19,"A",IF(V1467&gt;='Configuración'!$B$20,"B",IF(V1467&gt;='Configuración'!$B$21,"C","Descarte"))))</f>
        <v>Descarte</v>
      </c>
    </row>
    <row r="1468" ht="15.75" customHeight="1">
      <c r="A1468" s="34">
        <f t="shared" si="1"/>
        <v>1466</v>
      </c>
      <c r="B1468" s="29" t="s">
        <v>529</v>
      </c>
      <c r="C1468" s="29" t="s">
        <v>8092</v>
      </c>
      <c r="D1468" s="29" t="s">
        <v>8289</v>
      </c>
      <c r="E1468" s="29"/>
      <c r="F1468" s="30" t="s">
        <v>8290</v>
      </c>
      <c r="G1468" s="30" t="s">
        <v>8291</v>
      </c>
      <c r="H1468" s="42" t="s">
        <v>7804</v>
      </c>
      <c r="I1468" s="29" t="s">
        <v>188</v>
      </c>
      <c r="J1468" s="31">
        <v>11.0</v>
      </c>
      <c r="K1468" s="35"/>
      <c r="L1468" s="35"/>
      <c r="M1468" s="35"/>
      <c r="N1468" s="35"/>
      <c r="O1468" s="35"/>
      <c r="P1468" s="35"/>
      <c r="Q1468" s="35"/>
      <c r="R1468" s="35"/>
      <c r="S1468" s="37">
        <f>IF(B1468="","",IF(ISNUMBER(J1468),IF(J1468&lt;=10,'Configuración'!$B$23,IF(J1468&lt;=50,'Configuración'!$B$24,IF(J1468&lt;=200,'Configuración'!$B$25,0))),0))</f>
        <v>4</v>
      </c>
      <c r="T1468" s="37">
        <f>IF(B1468="","",IF(ISNUMBER(SEARCH("information technology",I1468))+ISNUMBER(SEARCH("software",I1468))+ISNUMBER(SEARCH("internet",I1468))+ISNUMBER(SEARCH("computer",I1468))+ISNUMBER(SEARCH("saas",I1468))+ISNUMBER(SEARCH("fintech",I1468))+ISNUMBER(SEARCH("information services",I1468))+ISNUMBER(SEARCH("telecommunications",I1468))&gt;0,'Configuración'!$B$27,'Configuración'!$B$28))</f>
        <v>4</v>
      </c>
      <c r="U1468" s="25">
        <f>IF(B1468="","",IF(ISNUMBER(SEARCH("CEO",C1468))+ISNUMBER(SEARCH("Founder",C1468))+ISNUMBER(SEARCH("Owner",C1468))+ISNUMBER(SEARCH("Dueño",C1468))+ISNUMBER(SEARCH("Director General",C1468))+ISNUMBER(SEARCH("Presidente",C1468))+ISNUMBER(SEARCH("President",C1468))&gt;0,'Configuración'!$B$31,IF(ISNUMBER(SEARCH("CMO",C1468))+ISNUMBER(SEARCH("Chief Marketing",C1468))+ISNUMBER(SEARCH("VP Marketing",C1468))+ISNUMBER(SEARCH("Director de Marketing",C1468))+ISNUMBER(SEARCH("Director Marketing",C1468))+ISNUMBER(SEARCH("Head of Marketing",C1468))+ISNUMBER(SEARCH("Head Marketing",C1468))&gt;0,'Configuración'!$B$32,IF(ISNUMBER(SEARCH("Marketing Manager",C1468))+ISNUMBER(SEARCH("Gerente de Marketing",C1468))+ISNUMBER(SEARCH("Growth Manager",C1468))+ISNUMBER(SEARCH("Demand Gen",C1468))+ISNUMBER(SEARCH("Marketing Lead",C1468))&gt;0,'Configuración'!$B$33,IF(ISNUMBER(SEARCH("COO",C1468))+ISNUMBER(SEARCH("CFO",C1468))+ISNUMBER(SEARCH("CTO",C1468))+ISNUMBER(SEARCH("Chief Operating",C1468))+ISNUMBER(SEARCH("Chief Financial",C1468))+ISNUMBER(SEARCH("Gerente General",C1468))+ISNUMBER(SEARCH("General Manager",C1468))&gt;0,'Configuración'!$B$34,'Configuración'!$B$35)))))</f>
        <v>12</v>
      </c>
      <c r="V1468" s="38">
        <f>IF(B1468="","",IF(K1468="Sí",'Configuración'!$B$5,0)+IF(L1468="Semanal",'Configuración'!$B$6,IF(L1468="Mensual",'Configuración'!$B$7,0))+IF(M1468="Sí",'Configuración'!$B$8,0)+IF(N1468="Sí",'Configuración'!$B$9,0)+IF(O1468="Sí",'Configuración'!$B$10,0)+IF(P1468="Sí",'Configuración'!$B$11,0)+IF(Q1468="Sí",'Configuración'!$B$12,0)+S1468+T1468+U1468)</f>
        <v>20</v>
      </c>
      <c r="W1468" s="39" t="str">
        <f>IF(B1468="","",IF(V1468&gt;='Configuración'!$B$19,"A",IF(V1468&gt;='Configuración'!$B$20,"B",IF(V1468&gt;='Configuración'!$B$21,"C","Descarte"))))</f>
        <v>Descarte</v>
      </c>
    </row>
    <row r="1469" ht="15.75" customHeight="1">
      <c r="A1469" s="34">
        <f t="shared" si="1"/>
        <v>1467</v>
      </c>
      <c r="B1469" s="29" t="s">
        <v>2065</v>
      </c>
      <c r="C1469" s="29" t="s">
        <v>131</v>
      </c>
      <c r="D1469" s="29" t="s">
        <v>8292</v>
      </c>
      <c r="E1469" s="29" t="s">
        <v>8293</v>
      </c>
      <c r="F1469" s="30" t="s">
        <v>8294</v>
      </c>
      <c r="G1469" s="30" t="s">
        <v>8295</v>
      </c>
      <c r="H1469" s="42" t="s">
        <v>8296</v>
      </c>
      <c r="I1469" s="29" t="s">
        <v>659</v>
      </c>
      <c r="J1469" s="31">
        <v>12.0</v>
      </c>
      <c r="K1469" s="35"/>
      <c r="L1469" s="35"/>
      <c r="M1469" s="35"/>
      <c r="N1469" s="35"/>
      <c r="O1469" s="35"/>
      <c r="P1469" s="35"/>
      <c r="Q1469" s="35"/>
      <c r="R1469" s="35"/>
      <c r="S1469" s="37">
        <f>IF(B1469="","",IF(ISNUMBER(J1469),IF(J1469&lt;=10,'Configuración'!$B$23,IF(J1469&lt;=50,'Configuración'!$B$24,IF(J1469&lt;=200,'Configuración'!$B$25,0))),0))</f>
        <v>4</v>
      </c>
      <c r="T1469" s="37">
        <f>IF(B1469="","",IF(ISNUMBER(SEARCH("information technology",I1469))+ISNUMBER(SEARCH("software",I1469))+ISNUMBER(SEARCH("internet",I1469))+ISNUMBER(SEARCH("computer",I1469))+ISNUMBER(SEARCH("saas",I1469))+ISNUMBER(SEARCH("fintech",I1469))+ISNUMBER(SEARCH("information services",I1469))+ISNUMBER(SEARCH("telecommunications",I1469))&gt;0,'Configuración'!$B$27,'Configuración'!$B$28))</f>
        <v>4</v>
      </c>
      <c r="U1469" s="25">
        <f>IF(B1469="","",IF(ISNUMBER(SEARCH("CEO",C1469))+ISNUMBER(SEARCH("Founder",C1469))+ISNUMBER(SEARCH("Owner",C1469))+ISNUMBER(SEARCH("Dueño",C1469))+ISNUMBER(SEARCH("Director General",C1469))+ISNUMBER(SEARCH("Presidente",C1469))+ISNUMBER(SEARCH("President",C1469))&gt;0,'Configuración'!$B$31,IF(ISNUMBER(SEARCH("CMO",C1469))+ISNUMBER(SEARCH("Chief Marketing",C1469))+ISNUMBER(SEARCH("VP Marketing",C1469))+ISNUMBER(SEARCH("Director de Marketing",C1469))+ISNUMBER(SEARCH("Director Marketing",C1469))+ISNUMBER(SEARCH("Head of Marketing",C1469))+ISNUMBER(SEARCH("Head Marketing",C1469))&gt;0,'Configuración'!$B$32,IF(ISNUMBER(SEARCH("Marketing Manager",C1469))+ISNUMBER(SEARCH("Gerente de Marketing",C1469))+ISNUMBER(SEARCH("Growth Manager",C1469))+ISNUMBER(SEARCH("Demand Gen",C1469))+ISNUMBER(SEARCH("Marketing Lead",C1469))&gt;0,'Configuración'!$B$33,IF(ISNUMBER(SEARCH("COO",C1469))+ISNUMBER(SEARCH("CFO",C1469))+ISNUMBER(SEARCH("CTO",C1469))+ISNUMBER(SEARCH("Chief Operating",C1469))+ISNUMBER(SEARCH("Chief Financial",C1469))+ISNUMBER(SEARCH("Gerente General",C1469))+ISNUMBER(SEARCH("General Manager",C1469))&gt;0,'Configuración'!$B$34,'Configuración'!$B$35)))))</f>
        <v>12</v>
      </c>
      <c r="V1469" s="38">
        <f>IF(B1469="","",IF(K1469="Sí",'Configuración'!$B$5,0)+IF(L1469="Semanal",'Configuración'!$B$6,IF(L1469="Mensual",'Configuración'!$B$7,0))+IF(M1469="Sí",'Configuración'!$B$8,0)+IF(N1469="Sí",'Configuración'!$B$9,0)+IF(O1469="Sí",'Configuración'!$B$10,0)+IF(P1469="Sí",'Configuración'!$B$11,0)+IF(Q1469="Sí",'Configuración'!$B$12,0)+S1469+T1469+U1469)</f>
        <v>20</v>
      </c>
      <c r="W1469" s="39" t="str">
        <f>IF(B1469="","",IF(V1469&gt;='Configuración'!$B$19,"A",IF(V1469&gt;='Configuración'!$B$20,"B",IF(V1469&gt;='Configuración'!$B$21,"C","Descarte"))))</f>
        <v>Descarte</v>
      </c>
    </row>
    <row r="1470" ht="15.75" customHeight="1">
      <c r="A1470" s="34">
        <f t="shared" si="1"/>
        <v>1468</v>
      </c>
      <c r="B1470" s="29" t="s">
        <v>1821</v>
      </c>
      <c r="C1470" s="29" t="s">
        <v>202</v>
      </c>
      <c r="D1470" s="29" t="s">
        <v>8297</v>
      </c>
      <c r="E1470" s="29" t="s">
        <v>8298</v>
      </c>
      <c r="F1470" s="30" t="s">
        <v>8299</v>
      </c>
      <c r="G1470" s="30" t="s">
        <v>8300</v>
      </c>
      <c r="H1470" s="42" t="s">
        <v>8301</v>
      </c>
      <c r="I1470" s="29" t="s">
        <v>127</v>
      </c>
      <c r="J1470" s="31">
        <v>2.0</v>
      </c>
      <c r="K1470" s="35"/>
      <c r="L1470" s="35"/>
      <c r="M1470" s="35"/>
      <c r="N1470" s="35"/>
      <c r="O1470" s="35"/>
      <c r="P1470" s="35"/>
      <c r="Q1470" s="35"/>
      <c r="R1470" s="35"/>
      <c r="S1470" s="37">
        <f>IF(B1470="","",IF(ISNUMBER(J1470),IF(J1470&lt;=10,'Configuración'!$B$23,IF(J1470&lt;=50,'Configuración'!$B$24,IF(J1470&lt;=200,'Configuración'!$B$25,0))),0))</f>
        <v>12</v>
      </c>
      <c r="T1470" s="37">
        <f>IF(B1470="","",IF(ISNUMBER(SEARCH("information technology",I1470))+ISNUMBER(SEARCH("software",I1470))+ISNUMBER(SEARCH("internet",I1470))+ISNUMBER(SEARCH("computer",I1470))+ISNUMBER(SEARCH("saas",I1470))+ISNUMBER(SEARCH("fintech",I1470))+ISNUMBER(SEARCH("information services",I1470))+ISNUMBER(SEARCH("telecommunications",I1470))&gt;0,'Configuración'!$B$27,'Configuración'!$B$28))</f>
        <v>12</v>
      </c>
      <c r="U1470" s="25">
        <f>IF(B1470="","",IF(ISNUMBER(SEARCH("CEO",C1470))+ISNUMBER(SEARCH("Founder",C1470))+ISNUMBER(SEARCH("Owner",C1470))+ISNUMBER(SEARCH("Dueño",C1470))+ISNUMBER(SEARCH("Director General",C1470))+ISNUMBER(SEARCH("Presidente",C1470))+ISNUMBER(SEARCH("President",C1470))&gt;0,'Configuración'!$B$31,IF(ISNUMBER(SEARCH("CMO",C1470))+ISNUMBER(SEARCH("Chief Marketing",C1470))+ISNUMBER(SEARCH("VP Marketing",C1470))+ISNUMBER(SEARCH("Director de Marketing",C1470))+ISNUMBER(SEARCH("Director Marketing",C1470))+ISNUMBER(SEARCH("Head of Marketing",C1470))+ISNUMBER(SEARCH("Head Marketing",C1470))&gt;0,'Configuración'!$B$32,IF(ISNUMBER(SEARCH("Marketing Manager",C1470))+ISNUMBER(SEARCH("Gerente de Marketing",C1470))+ISNUMBER(SEARCH("Growth Manager",C1470))+ISNUMBER(SEARCH("Demand Gen",C1470))+ISNUMBER(SEARCH("Marketing Lead",C1470))&gt;0,'Configuración'!$B$33,IF(ISNUMBER(SEARCH("COO",C1470))+ISNUMBER(SEARCH("CFO",C1470))+ISNUMBER(SEARCH("CTO",C1470))+ISNUMBER(SEARCH("Chief Operating",C1470))+ISNUMBER(SEARCH("Chief Financial",C1470))+ISNUMBER(SEARCH("Gerente General",C1470))+ISNUMBER(SEARCH("General Manager",C1470))&gt;0,'Configuración'!$B$34,'Configuración'!$B$35)))))</f>
        <v>12</v>
      </c>
      <c r="V1470" s="38">
        <f>IF(B1470="","",IF(K1470="Sí",'Configuración'!$B$5,0)+IF(L1470="Semanal",'Configuración'!$B$6,IF(L1470="Mensual",'Configuración'!$B$7,0))+IF(M1470="Sí",'Configuración'!$B$8,0)+IF(N1470="Sí",'Configuración'!$B$9,0)+IF(O1470="Sí",'Configuración'!$B$10,0)+IF(P1470="Sí",'Configuración'!$B$11,0)+IF(Q1470="Sí",'Configuración'!$B$12,0)+S1470+T1470+U1470)</f>
        <v>36</v>
      </c>
      <c r="W1470" s="39" t="str">
        <f>IF(B1470="","",IF(V1470&gt;='Configuración'!$B$19,"A",IF(V1470&gt;='Configuración'!$B$20,"B",IF(V1470&gt;='Configuración'!$B$21,"C","Descarte"))))</f>
        <v>C</v>
      </c>
    </row>
    <row r="1471" ht="15.75" customHeight="1">
      <c r="A1471" s="34">
        <f t="shared" si="1"/>
        <v>1469</v>
      </c>
      <c r="B1471" s="29" t="s">
        <v>8302</v>
      </c>
      <c r="C1471" s="29" t="s">
        <v>8303</v>
      </c>
      <c r="D1471" s="29" t="s">
        <v>8304</v>
      </c>
      <c r="E1471" s="29" t="s">
        <v>8305</v>
      </c>
      <c r="F1471" s="30" t="s">
        <v>8306</v>
      </c>
      <c r="G1471" s="30" t="s">
        <v>8307</v>
      </c>
      <c r="H1471" s="42" t="s">
        <v>8308</v>
      </c>
      <c r="I1471" s="29" t="s">
        <v>127</v>
      </c>
      <c r="J1471" s="31">
        <v>2.0</v>
      </c>
      <c r="K1471" s="35"/>
      <c r="L1471" s="35"/>
      <c r="M1471" s="35"/>
      <c r="N1471" s="35"/>
      <c r="O1471" s="35"/>
      <c r="P1471" s="35"/>
      <c r="Q1471" s="35"/>
      <c r="R1471" s="35"/>
      <c r="S1471" s="37">
        <f>IF(B1471="","",IF(ISNUMBER(J1471),IF(J1471&lt;=10,'Configuración'!$B$23,IF(J1471&lt;=50,'Configuración'!$B$24,IF(J1471&lt;=200,'Configuración'!$B$25,0))),0))</f>
        <v>12</v>
      </c>
      <c r="T1471" s="37">
        <f>IF(B1471="","",IF(ISNUMBER(SEARCH("information technology",I1471))+ISNUMBER(SEARCH("software",I1471))+ISNUMBER(SEARCH("internet",I1471))+ISNUMBER(SEARCH("computer",I1471))+ISNUMBER(SEARCH("saas",I1471))+ISNUMBER(SEARCH("fintech",I1471))+ISNUMBER(SEARCH("information services",I1471))+ISNUMBER(SEARCH("telecommunications",I1471))&gt;0,'Configuración'!$B$27,'Configuración'!$B$28))</f>
        <v>12</v>
      </c>
      <c r="U1471" s="25">
        <f>IF(B1471="","",IF(ISNUMBER(SEARCH("CEO",C1471))+ISNUMBER(SEARCH("Founder",C1471))+ISNUMBER(SEARCH("Owner",C1471))+ISNUMBER(SEARCH("Dueño",C1471))+ISNUMBER(SEARCH("Director General",C1471))+ISNUMBER(SEARCH("Presidente",C1471))+ISNUMBER(SEARCH("President",C1471))&gt;0,'Configuración'!$B$31,IF(ISNUMBER(SEARCH("CMO",C1471))+ISNUMBER(SEARCH("Chief Marketing",C1471))+ISNUMBER(SEARCH("VP Marketing",C1471))+ISNUMBER(SEARCH("Director de Marketing",C1471))+ISNUMBER(SEARCH("Director Marketing",C1471))+ISNUMBER(SEARCH("Head of Marketing",C1471))+ISNUMBER(SEARCH("Head Marketing",C1471))&gt;0,'Configuración'!$B$32,IF(ISNUMBER(SEARCH("Marketing Manager",C1471))+ISNUMBER(SEARCH("Gerente de Marketing",C1471))+ISNUMBER(SEARCH("Growth Manager",C1471))+ISNUMBER(SEARCH("Demand Gen",C1471))+ISNUMBER(SEARCH("Marketing Lead",C1471))&gt;0,'Configuración'!$B$33,IF(ISNUMBER(SEARCH("COO",C1471))+ISNUMBER(SEARCH("CFO",C1471))+ISNUMBER(SEARCH("CTO",C1471))+ISNUMBER(SEARCH("Chief Operating",C1471))+ISNUMBER(SEARCH("Chief Financial",C1471))+ISNUMBER(SEARCH("Gerente General",C1471))+ISNUMBER(SEARCH("General Manager",C1471))&gt;0,'Configuración'!$B$34,'Configuración'!$B$35)))))</f>
        <v>12</v>
      </c>
      <c r="V1471" s="38">
        <f>IF(B1471="","",IF(K1471="Sí",'Configuración'!$B$5,0)+IF(L1471="Semanal",'Configuración'!$B$6,IF(L1471="Mensual",'Configuración'!$B$7,0))+IF(M1471="Sí",'Configuración'!$B$8,0)+IF(N1471="Sí",'Configuración'!$B$9,0)+IF(O1471="Sí",'Configuración'!$B$10,0)+IF(P1471="Sí",'Configuración'!$B$11,0)+IF(Q1471="Sí",'Configuración'!$B$12,0)+S1471+T1471+U1471)</f>
        <v>36</v>
      </c>
      <c r="W1471" s="39" t="str">
        <f>IF(B1471="","",IF(V1471&gt;='Configuración'!$B$19,"A",IF(V1471&gt;='Configuración'!$B$20,"B",IF(V1471&gt;='Configuración'!$B$21,"C","Descarte"))))</f>
        <v>C</v>
      </c>
    </row>
    <row r="1472" ht="15.75" customHeight="1">
      <c r="A1472" s="34">
        <f t="shared" si="1"/>
        <v>1470</v>
      </c>
      <c r="B1472" s="29" t="s">
        <v>174</v>
      </c>
      <c r="C1472" s="29" t="s">
        <v>131</v>
      </c>
      <c r="D1472" s="29" t="s">
        <v>8309</v>
      </c>
      <c r="E1472" s="29" t="s">
        <v>8310</v>
      </c>
      <c r="F1472" s="30" t="s">
        <v>8311</v>
      </c>
      <c r="G1472" s="30" t="s">
        <v>8312</v>
      </c>
      <c r="H1472" s="42" t="s">
        <v>8313</v>
      </c>
      <c r="I1472" s="29" t="s">
        <v>127</v>
      </c>
      <c r="J1472" s="31">
        <v>35.0</v>
      </c>
      <c r="K1472" s="35"/>
      <c r="L1472" s="35"/>
      <c r="M1472" s="35"/>
      <c r="N1472" s="35"/>
      <c r="O1472" s="35"/>
      <c r="P1472" s="35"/>
      <c r="Q1472" s="35"/>
      <c r="R1472" s="35"/>
      <c r="S1472" s="37">
        <f>IF(B1472="","",IF(ISNUMBER(J1472),IF(J1472&lt;=10,'Configuración'!$B$23,IF(J1472&lt;=50,'Configuración'!$B$24,IF(J1472&lt;=200,'Configuración'!$B$25,0))),0))</f>
        <v>4</v>
      </c>
      <c r="T1472" s="37">
        <f>IF(B1472="","",IF(ISNUMBER(SEARCH("information technology",I1472))+ISNUMBER(SEARCH("software",I1472))+ISNUMBER(SEARCH("internet",I1472))+ISNUMBER(SEARCH("computer",I1472))+ISNUMBER(SEARCH("saas",I1472))+ISNUMBER(SEARCH("fintech",I1472))+ISNUMBER(SEARCH("information services",I1472))+ISNUMBER(SEARCH("telecommunications",I1472))&gt;0,'Configuración'!$B$27,'Configuración'!$B$28))</f>
        <v>12</v>
      </c>
      <c r="U1472" s="25">
        <f>IF(B1472="","",IF(ISNUMBER(SEARCH("CEO",C1472))+ISNUMBER(SEARCH("Founder",C1472))+ISNUMBER(SEARCH("Owner",C1472))+ISNUMBER(SEARCH("Dueño",C1472))+ISNUMBER(SEARCH("Director General",C1472))+ISNUMBER(SEARCH("Presidente",C1472))+ISNUMBER(SEARCH("President",C1472))&gt;0,'Configuración'!$B$31,IF(ISNUMBER(SEARCH("CMO",C1472))+ISNUMBER(SEARCH("Chief Marketing",C1472))+ISNUMBER(SEARCH("VP Marketing",C1472))+ISNUMBER(SEARCH("Director de Marketing",C1472))+ISNUMBER(SEARCH("Director Marketing",C1472))+ISNUMBER(SEARCH("Head of Marketing",C1472))+ISNUMBER(SEARCH("Head Marketing",C1472))&gt;0,'Configuración'!$B$32,IF(ISNUMBER(SEARCH("Marketing Manager",C1472))+ISNUMBER(SEARCH("Gerente de Marketing",C1472))+ISNUMBER(SEARCH("Growth Manager",C1472))+ISNUMBER(SEARCH("Demand Gen",C1472))+ISNUMBER(SEARCH("Marketing Lead",C1472))&gt;0,'Configuración'!$B$33,IF(ISNUMBER(SEARCH("COO",C1472))+ISNUMBER(SEARCH("CFO",C1472))+ISNUMBER(SEARCH("CTO",C1472))+ISNUMBER(SEARCH("Chief Operating",C1472))+ISNUMBER(SEARCH("Chief Financial",C1472))+ISNUMBER(SEARCH("Gerente General",C1472))+ISNUMBER(SEARCH("General Manager",C1472))&gt;0,'Configuración'!$B$34,'Configuración'!$B$35)))))</f>
        <v>12</v>
      </c>
      <c r="V1472" s="38">
        <f>IF(B1472="","",IF(K1472="Sí",'Configuración'!$B$5,0)+IF(L1472="Semanal",'Configuración'!$B$6,IF(L1472="Mensual",'Configuración'!$B$7,0))+IF(M1472="Sí",'Configuración'!$B$8,0)+IF(N1472="Sí",'Configuración'!$B$9,0)+IF(O1472="Sí",'Configuración'!$B$10,0)+IF(P1472="Sí",'Configuración'!$B$11,0)+IF(Q1472="Sí",'Configuración'!$B$12,0)+S1472+T1472+U1472)</f>
        <v>28</v>
      </c>
      <c r="W1472" s="39" t="str">
        <f>IF(B1472="","",IF(V1472&gt;='Configuración'!$B$19,"A",IF(V1472&gt;='Configuración'!$B$20,"B",IF(V1472&gt;='Configuración'!$B$21,"C","Descarte"))))</f>
        <v>C</v>
      </c>
    </row>
    <row r="1473" ht="15.75" customHeight="1">
      <c r="A1473" s="34">
        <f t="shared" si="1"/>
        <v>1471</v>
      </c>
      <c r="B1473" s="29" t="s">
        <v>1048</v>
      </c>
      <c r="C1473" s="29" t="s">
        <v>131</v>
      </c>
      <c r="D1473" s="29" t="s">
        <v>8314</v>
      </c>
      <c r="E1473" s="29" t="s">
        <v>8315</v>
      </c>
      <c r="F1473" s="30" t="s">
        <v>8316</v>
      </c>
      <c r="G1473" s="30" t="s">
        <v>8317</v>
      </c>
      <c r="H1473" s="42" t="s">
        <v>8318</v>
      </c>
      <c r="I1473" s="29" t="s">
        <v>659</v>
      </c>
      <c r="J1473" s="31">
        <v>13.0</v>
      </c>
      <c r="K1473" s="35"/>
      <c r="L1473" s="35"/>
      <c r="M1473" s="35"/>
      <c r="N1473" s="35"/>
      <c r="O1473" s="35"/>
      <c r="P1473" s="35"/>
      <c r="Q1473" s="35"/>
      <c r="R1473" s="35"/>
      <c r="S1473" s="37">
        <f>IF(B1473="","",IF(ISNUMBER(J1473),IF(J1473&lt;=10,'Configuración'!$B$23,IF(J1473&lt;=50,'Configuración'!$B$24,IF(J1473&lt;=200,'Configuración'!$B$25,0))),0))</f>
        <v>4</v>
      </c>
      <c r="T1473" s="37">
        <f>IF(B1473="","",IF(ISNUMBER(SEARCH("information technology",I1473))+ISNUMBER(SEARCH("software",I1473))+ISNUMBER(SEARCH("internet",I1473))+ISNUMBER(SEARCH("computer",I1473))+ISNUMBER(SEARCH("saas",I1473))+ISNUMBER(SEARCH("fintech",I1473))+ISNUMBER(SEARCH("information services",I1473))+ISNUMBER(SEARCH("telecommunications",I1473))&gt;0,'Configuración'!$B$27,'Configuración'!$B$28))</f>
        <v>4</v>
      </c>
      <c r="U1473" s="25">
        <f>IF(B1473="","",IF(ISNUMBER(SEARCH("CEO",C1473))+ISNUMBER(SEARCH("Founder",C1473))+ISNUMBER(SEARCH("Owner",C1473))+ISNUMBER(SEARCH("Dueño",C1473))+ISNUMBER(SEARCH("Director General",C1473))+ISNUMBER(SEARCH("Presidente",C1473))+ISNUMBER(SEARCH("President",C1473))&gt;0,'Configuración'!$B$31,IF(ISNUMBER(SEARCH("CMO",C1473))+ISNUMBER(SEARCH("Chief Marketing",C1473))+ISNUMBER(SEARCH("VP Marketing",C1473))+ISNUMBER(SEARCH("Director de Marketing",C1473))+ISNUMBER(SEARCH("Director Marketing",C1473))+ISNUMBER(SEARCH("Head of Marketing",C1473))+ISNUMBER(SEARCH("Head Marketing",C1473))&gt;0,'Configuración'!$B$32,IF(ISNUMBER(SEARCH("Marketing Manager",C1473))+ISNUMBER(SEARCH("Gerente de Marketing",C1473))+ISNUMBER(SEARCH("Growth Manager",C1473))+ISNUMBER(SEARCH("Demand Gen",C1473))+ISNUMBER(SEARCH("Marketing Lead",C1473))&gt;0,'Configuración'!$B$33,IF(ISNUMBER(SEARCH("COO",C1473))+ISNUMBER(SEARCH("CFO",C1473))+ISNUMBER(SEARCH("CTO",C1473))+ISNUMBER(SEARCH("Chief Operating",C1473))+ISNUMBER(SEARCH("Chief Financial",C1473))+ISNUMBER(SEARCH("Gerente General",C1473))+ISNUMBER(SEARCH("General Manager",C1473))&gt;0,'Configuración'!$B$34,'Configuración'!$B$35)))))</f>
        <v>12</v>
      </c>
      <c r="V1473" s="38">
        <f>IF(B1473="","",IF(K1473="Sí",'Configuración'!$B$5,0)+IF(L1473="Semanal",'Configuración'!$B$6,IF(L1473="Mensual",'Configuración'!$B$7,0))+IF(M1473="Sí",'Configuración'!$B$8,0)+IF(N1473="Sí",'Configuración'!$B$9,0)+IF(O1473="Sí",'Configuración'!$B$10,0)+IF(P1473="Sí",'Configuración'!$B$11,0)+IF(Q1473="Sí",'Configuración'!$B$12,0)+S1473+T1473+U1473)</f>
        <v>20</v>
      </c>
      <c r="W1473" s="39" t="str">
        <f>IF(B1473="","",IF(V1473&gt;='Configuración'!$B$19,"A",IF(V1473&gt;='Configuración'!$B$20,"B",IF(V1473&gt;='Configuración'!$B$21,"C","Descarte"))))</f>
        <v>Descarte</v>
      </c>
    </row>
    <row r="1474" ht="15.75" customHeight="1">
      <c r="A1474" s="34">
        <f t="shared" si="1"/>
        <v>1472</v>
      </c>
      <c r="B1474" s="29" t="s">
        <v>166</v>
      </c>
      <c r="C1474" s="29" t="s">
        <v>146</v>
      </c>
      <c r="D1474" s="29" t="s">
        <v>8319</v>
      </c>
      <c r="E1474" s="29" t="s">
        <v>8320</v>
      </c>
      <c r="F1474" s="30" t="s">
        <v>8321</v>
      </c>
      <c r="G1474" s="30" t="s">
        <v>8322</v>
      </c>
      <c r="H1474" s="42" t="s">
        <v>8323</v>
      </c>
      <c r="I1474" s="29" t="s">
        <v>1034</v>
      </c>
      <c r="J1474" s="31">
        <v>32.0</v>
      </c>
      <c r="K1474" s="35"/>
      <c r="L1474" s="35"/>
      <c r="M1474" s="35"/>
      <c r="N1474" s="35"/>
      <c r="O1474" s="35"/>
      <c r="P1474" s="35"/>
      <c r="Q1474" s="35"/>
      <c r="R1474" s="35"/>
      <c r="S1474" s="37">
        <f>IF(B1474="","",IF(ISNUMBER(J1474),IF(J1474&lt;=10,'Configuración'!$B$23,IF(J1474&lt;=50,'Configuración'!$B$24,IF(J1474&lt;=200,'Configuración'!$B$25,0))),0))</f>
        <v>4</v>
      </c>
      <c r="T1474" s="37">
        <f>IF(B1474="","",IF(ISNUMBER(SEARCH("information technology",I1474))+ISNUMBER(SEARCH("software",I1474))+ISNUMBER(SEARCH("internet",I1474))+ISNUMBER(SEARCH("computer",I1474))+ISNUMBER(SEARCH("saas",I1474))+ISNUMBER(SEARCH("fintech",I1474))+ISNUMBER(SEARCH("information services",I1474))+ISNUMBER(SEARCH("telecommunications",I1474))&gt;0,'Configuración'!$B$27,'Configuración'!$B$28))</f>
        <v>4</v>
      </c>
      <c r="U1474" s="25">
        <f>IF(B1474="","",IF(ISNUMBER(SEARCH("CEO",C1474))+ISNUMBER(SEARCH("Founder",C1474))+ISNUMBER(SEARCH("Owner",C1474))+ISNUMBER(SEARCH("Dueño",C1474))+ISNUMBER(SEARCH("Director General",C1474))+ISNUMBER(SEARCH("Presidente",C1474))+ISNUMBER(SEARCH("President",C1474))&gt;0,'Configuración'!$B$31,IF(ISNUMBER(SEARCH("CMO",C1474))+ISNUMBER(SEARCH("Chief Marketing",C1474))+ISNUMBER(SEARCH("VP Marketing",C1474))+ISNUMBER(SEARCH("Director de Marketing",C1474))+ISNUMBER(SEARCH("Director Marketing",C1474))+ISNUMBER(SEARCH("Head of Marketing",C1474))+ISNUMBER(SEARCH("Head Marketing",C1474))&gt;0,'Configuración'!$B$32,IF(ISNUMBER(SEARCH("Marketing Manager",C1474))+ISNUMBER(SEARCH("Gerente de Marketing",C1474))+ISNUMBER(SEARCH("Growth Manager",C1474))+ISNUMBER(SEARCH("Demand Gen",C1474))+ISNUMBER(SEARCH("Marketing Lead",C1474))&gt;0,'Configuración'!$B$33,IF(ISNUMBER(SEARCH("COO",C1474))+ISNUMBER(SEARCH("CFO",C1474))+ISNUMBER(SEARCH("CTO",C1474))+ISNUMBER(SEARCH("Chief Operating",C1474))+ISNUMBER(SEARCH("Chief Financial",C1474))+ISNUMBER(SEARCH("Gerente General",C1474))+ISNUMBER(SEARCH("General Manager",C1474))&gt;0,'Configuración'!$B$34,'Configuración'!$B$35)))))</f>
        <v>0</v>
      </c>
      <c r="V1474" s="38">
        <f>IF(B1474="","",IF(K1474="Sí",'Configuración'!$B$5,0)+IF(L1474="Semanal",'Configuración'!$B$6,IF(L1474="Mensual",'Configuración'!$B$7,0))+IF(M1474="Sí",'Configuración'!$B$8,0)+IF(N1474="Sí",'Configuración'!$B$9,0)+IF(O1474="Sí",'Configuración'!$B$10,0)+IF(P1474="Sí",'Configuración'!$B$11,0)+IF(Q1474="Sí",'Configuración'!$B$12,0)+S1474+T1474+U1474)</f>
        <v>8</v>
      </c>
      <c r="W1474" s="39" t="str">
        <f>IF(B1474="","",IF(V1474&gt;='Configuración'!$B$19,"A",IF(V1474&gt;='Configuración'!$B$20,"B",IF(V1474&gt;='Configuración'!$B$21,"C","Descarte"))))</f>
        <v>Descarte</v>
      </c>
    </row>
    <row r="1475" ht="15.75" customHeight="1">
      <c r="A1475" s="34">
        <f t="shared" si="1"/>
        <v>1473</v>
      </c>
      <c r="B1475" s="29" t="s">
        <v>1306</v>
      </c>
      <c r="C1475" s="29" t="s">
        <v>8324</v>
      </c>
      <c r="D1475" s="29" t="s">
        <v>8325</v>
      </c>
      <c r="E1475" s="29" t="s">
        <v>8326</v>
      </c>
      <c r="F1475" s="30" t="s">
        <v>8327</v>
      </c>
      <c r="G1475" s="30" t="s">
        <v>8328</v>
      </c>
      <c r="H1475" s="42" t="s">
        <v>8329</v>
      </c>
      <c r="I1475" s="29" t="s">
        <v>188</v>
      </c>
      <c r="J1475" s="31">
        <v>3.0</v>
      </c>
      <c r="K1475" s="35"/>
      <c r="L1475" s="35"/>
      <c r="M1475" s="35"/>
      <c r="N1475" s="35"/>
      <c r="O1475" s="35"/>
      <c r="P1475" s="35"/>
      <c r="Q1475" s="35"/>
      <c r="R1475" s="35"/>
      <c r="S1475" s="37">
        <f>IF(B1475="","",IF(ISNUMBER(J1475),IF(J1475&lt;=10,'Configuración'!$B$23,IF(J1475&lt;=50,'Configuración'!$B$24,IF(J1475&lt;=200,'Configuración'!$B$25,0))),0))</f>
        <v>12</v>
      </c>
      <c r="T1475" s="37">
        <f>IF(B1475="","",IF(ISNUMBER(SEARCH("information technology",I1475))+ISNUMBER(SEARCH("software",I1475))+ISNUMBER(SEARCH("internet",I1475))+ISNUMBER(SEARCH("computer",I1475))+ISNUMBER(SEARCH("saas",I1475))+ISNUMBER(SEARCH("fintech",I1475))+ISNUMBER(SEARCH("information services",I1475))+ISNUMBER(SEARCH("telecommunications",I1475))&gt;0,'Configuración'!$B$27,'Configuración'!$B$28))</f>
        <v>4</v>
      </c>
      <c r="U1475" s="25">
        <f>IF(B1475="","",IF(ISNUMBER(SEARCH("CEO",C1475))+ISNUMBER(SEARCH("Founder",C1475))+ISNUMBER(SEARCH("Owner",C1475))+ISNUMBER(SEARCH("Dueño",C1475))+ISNUMBER(SEARCH("Director General",C1475))+ISNUMBER(SEARCH("Presidente",C1475))+ISNUMBER(SEARCH("President",C1475))&gt;0,'Configuración'!$B$31,IF(ISNUMBER(SEARCH("CMO",C1475))+ISNUMBER(SEARCH("Chief Marketing",C1475))+ISNUMBER(SEARCH("VP Marketing",C1475))+ISNUMBER(SEARCH("Director de Marketing",C1475))+ISNUMBER(SEARCH("Director Marketing",C1475))+ISNUMBER(SEARCH("Head of Marketing",C1475))+ISNUMBER(SEARCH("Head Marketing",C1475))&gt;0,'Configuración'!$B$32,IF(ISNUMBER(SEARCH("Marketing Manager",C1475))+ISNUMBER(SEARCH("Gerente de Marketing",C1475))+ISNUMBER(SEARCH("Growth Manager",C1475))+ISNUMBER(SEARCH("Demand Gen",C1475))+ISNUMBER(SEARCH("Marketing Lead",C1475))&gt;0,'Configuración'!$B$33,IF(ISNUMBER(SEARCH("COO",C1475))+ISNUMBER(SEARCH("CFO",C1475))+ISNUMBER(SEARCH("CTO",C1475))+ISNUMBER(SEARCH("Chief Operating",C1475))+ISNUMBER(SEARCH("Chief Financial",C1475))+ISNUMBER(SEARCH("Gerente General",C1475))+ISNUMBER(SEARCH("General Manager",C1475))&gt;0,'Configuración'!$B$34,'Configuración'!$B$35)))))</f>
        <v>12</v>
      </c>
      <c r="V1475" s="38">
        <f>IF(B1475="","",IF(K1475="Sí",'Configuración'!$B$5,0)+IF(L1475="Semanal",'Configuración'!$B$6,IF(L1475="Mensual",'Configuración'!$B$7,0))+IF(M1475="Sí",'Configuración'!$B$8,0)+IF(N1475="Sí",'Configuración'!$B$9,0)+IF(O1475="Sí",'Configuración'!$B$10,0)+IF(P1475="Sí",'Configuración'!$B$11,0)+IF(Q1475="Sí",'Configuración'!$B$12,0)+S1475+T1475+U1475)</f>
        <v>28</v>
      </c>
      <c r="W1475" s="39" t="str">
        <f>IF(B1475="","",IF(V1475&gt;='Configuración'!$B$19,"A",IF(V1475&gt;='Configuración'!$B$20,"B",IF(V1475&gt;='Configuración'!$B$21,"C","Descarte"))))</f>
        <v>C</v>
      </c>
    </row>
    <row r="1476" ht="15.75" customHeight="1">
      <c r="A1476" s="34">
        <f t="shared" si="1"/>
        <v>1474</v>
      </c>
      <c r="B1476" s="29" t="s">
        <v>2199</v>
      </c>
      <c r="C1476" s="29" t="s">
        <v>2112</v>
      </c>
      <c r="D1476" s="29" t="s">
        <v>8330</v>
      </c>
      <c r="E1476" s="29" t="s">
        <v>8331</v>
      </c>
      <c r="F1476" s="30" t="s">
        <v>8332</v>
      </c>
      <c r="G1476" s="30" t="s">
        <v>8333</v>
      </c>
      <c r="H1476" s="42" t="s">
        <v>8334</v>
      </c>
      <c r="I1476" s="29" t="s">
        <v>127</v>
      </c>
      <c r="J1476" s="31">
        <v>19.0</v>
      </c>
      <c r="K1476" s="35"/>
      <c r="L1476" s="35"/>
      <c r="M1476" s="35"/>
      <c r="N1476" s="35"/>
      <c r="O1476" s="35"/>
      <c r="P1476" s="35"/>
      <c r="Q1476" s="35"/>
      <c r="R1476" s="35"/>
      <c r="S1476" s="37">
        <f>IF(B1476="","",IF(ISNUMBER(J1476),IF(J1476&lt;=10,'Configuración'!$B$23,IF(J1476&lt;=50,'Configuración'!$B$24,IF(J1476&lt;=200,'Configuración'!$B$25,0))),0))</f>
        <v>4</v>
      </c>
      <c r="T1476" s="37">
        <f>IF(B1476="","",IF(ISNUMBER(SEARCH("information technology",I1476))+ISNUMBER(SEARCH("software",I1476))+ISNUMBER(SEARCH("internet",I1476))+ISNUMBER(SEARCH("computer",I1476))+ISNUMBER(SEARCH("saas",I1476))+ISNUMBER(SEARCH("fintech",I1476))+ISNUMBER(SEARCH("information services",I1476))+ISNUMBER(SEARCH("telecommunications",I1476))&gt;0,'Configuración'!$B$27,'Configuración'!$B$28))</f>
        <v>12</v>
      </c>
      <c r="U1476" s="25">
        <f>IF(B1476="","",IF(ISNUMBER(SEARCH("CEO",C1476))+ISNUMBER(SEARCH("Founder",C1476))+ISNUMBER(SEARCH("Owner",C1476))+ISNUMBER(SEARCH("Dueño",C1476))+ISNUMBER(SEARCH("Director General",C1476))+ISNUMBER(SEARCH("Presidente",C1476))+ISNUMBER(SEARCH("President",C1476))&gt;0,'Configuración'!$B$31,IF(ISNUMBER(SEARCH("CMO",C1476))+ISNUMBER(SEARCH("Chief Marketing",C1476))+ISNUMBER(SEARCH("VP Marketing",C1476))+ISNUMBER(SEARCH("Director de Marketing",C1476))+ISNUMBER(SEARCH("Director Marketing",C1476))+ISNUMBER(SEARCH("Head of Marketing",C1476))+ISNUMBER(SEARCH("Head Marketing",C1476))&gt;0,'Configuración'!$B$32,IF(ISNUMBER(SEARCH("Marketing Manager",C1476))+ISNUMBER(SEARCH("Gerente de Marketing",C1476))+ISNUMBER(SEARCH("Growth Manager",C1476))+ISNUMBER(SEARCH("Demand Gen",C1476))+ISNUMBER(SEARCH("Marketing Lead",C1476))&gt;0,'Configuración'!$B$33,IF(ISNUMBER(SEARCH("COO",C1476))+ISNUMBER(SEARCH("CFO",C1476))+ISNUMBER(SEARCH("CTO",C1476))+ISNUMBER(SEARCH("Chief Operating",C1476))+ISNUMBER(SEARCH("Chief Financial",C1476))+ISNUMBER(SEARCH("Gerente General",C1476))+ISNUMBER(SEARCH("General Manager",C1476))&gt;0,'Configuración'!$B$34,'Configuración'!$B$35)))))</f>
        <v>12</v>
      </c>
      <c r="V1476" s="38">
        <f>IF(B1476="","",IF(K1476="Sí",'Configuración'!$B$5,0)+IF(L1476="Semanal",'Configuración'!$B$6,IF(L1476="Mensual",'Configuración'!$B$7,0))+IF(M1476="Sí",'Configuración'!$B$8,0)+IF(N1476="Sí",'Configuración'!$B$9,0)+IF(O1476="Sí",'Configuración'!$B$10,0)+IF(P1476="Sí",'Configuración'!$B$11,0)+IF(Q1476="Sí",'Configuración'!$B$12,0)+S1476+T1476+U1476)</f>
        <v>28</v>
      </c>
      <c r="W1476" s="39" t="str">
        <f>IF(B1476="","",IF(V1476&gt;='Configuración'!$B$19,"A",IF(V1476&gt;='Configuración'!$B$20,"B",IF(V1476&gt;='Configuración'!$B$21,"C","Descarte"))))</f>
        <v>C</v>
      </c>
    </row>
    <row r="1477" ht="15.75" customHeight="1">
      <c r="A1477" s="34">
        <f t="shared" si="1"/>
        <v>1475</v>
      </c>
      <c r="B1477" s="29" t="s">
        <v>8335</v>
      </c>
      <c r="C1477" s="29" t="s">
        <v>8336</v>
      </c>
      <c r="D1477" s="29" t="s">
        <v>8337</v>
      </c>
      <c r="E1477" s="29" t="s">
        <v>8338</v>
      </c>
      <c r="F1477" s="30" t="s">
        <v>8339</v>
      </c>
      <c r="G1477" s="30" t="s">
        <v>8340</v>
      </c>
      <c r="H1477" s="42" t="s">
        <v>8341</v>
      </c>
      <c r="I1477" s="29" t="s">
        <v>249</v>
      </c>
      <c r="J1477" s="31">
        <v>3.0</v>
      </c>
      <c r="K1477" s="35"/>
      <c r="L1477" s="35"/>
      <c r="M1477" s="35"/>
      <c r="N1477" s="35"/>
      <c r="O1477" s="35"/>
      <c r="P1477" s="35"/>
      <c r="Q1477" s="35"/>
      <c r="R1477" s="35"/>
      <c r="S1477" s="37">
        <f>IF(B1477="","",IF(ISNUMBER(J1477),IF(J1477&lt;=10,'Configuración'!$B$23,IF(J1477&lt;=50,'Configuración'!$B$24,IF(J1477&lt;=200,'Configuración'!$B$25,0))),0))</f>
        <v>12</v>
      </c>
      <c r="T1477" s="37">
        <f>IF(B1477="","",IF(ISNUMBER(SEARCH("information technology",I1477))+ISNUMBER(SEARCH("software",I1477))+ISNUMBER(SEARCH("internet",I1477))+ISNUMBER(SEARCH("computer",I1477))+ISNUMBER(SEARCH("saas",I1477))+ISNUMBER(SEARCH("fintech",I1477))+ISNUMBER(SEARCH("information services",I1477))+ISNUMBER(SEARCH("telecommunications",I1477))&gt;0,'Configuración'!$B$27,'Configuración'!$B$28))</f>
        <v>4</v>
      </c>
      <c r="U1477" s="25">
        <f>IF(B1477="","",IF(ISNUMBER(SEARCH("CEO",C1477))+ISNUMBER(SEARCH("Founder",C1477))+ISNUMBER(SEARCH("Owner",C1477))+ISNUMBER(SEARCH("Dueño",C1477))+ISNUMBER(SEARCH("Director General",C1477))+ISNUMBER(SEARCH("Presidente",C1477))+ISNUMBER(SEARCH("President",C1477))&gt;0,'Configuración'!$B$31,IF(ISNUMBER(SEARCH("CMO",C1477))+ISNUMBER(SEARCH("Chief Marketing",C1477))+ISNUMBER(SEARCH("VP Marketing",C1477))+ISNUMBER(SEARCH("Director de Marketing",C1477))+ISNUMBER(SEARCH("Director Marketing",C1477))+ISNUMBER(SEARCH("Head of Marketing",C1477))+ISNUMBER(SEARCH("Head Marketing",C1477))&gt;0,'Configuración'!$B$32,IF(ISNUMBER(SEARCH("Marketing Manager",C1477))+ISNUMBER(SEARCH("Gerente de Marketing",C1477))+ISNUMBER(SEARCH("Growth Manager",C1477))+ISNUMBER(SEARCH("Demand Gen",C1477))+ISNUMBER(SEARCH("Marketing Lead",C1477))&gt;0,'Configuración'!$B$33,IF(ISNUMBER(SEARCH("COO",C1477))+ISNUMBER(SEARCH("CFO",C1477))+ISNUMBER(SEARCH("CTO",C1477))+ISNUMBER(SEARCH("Chief Operating",C1477))+ISNUMBER(SEARCH("Chief Financial",C1477))+ISNUMBER(SEARCH("Gerente General",C1477))+ISNUMBER(SEARCH("General Manager",C1477))&gt;0,'Configuración'!$B$34,'Configuración'!$B$35)))))</f>
        <v>12</v>
      </c>
      <c r="V1477" s="38">
        <f>IF(B1477="","",IF(K1477="Sí",'Configuración'!$B$5,0)+IF(L1477="Semanal",'Configuración'!$B$6,IF(L1477="Mensual",'Configuración'!$B$7,0))+IF(M1477="Sí",'Configuración'!$B$8,0)+IF(N1477="Sí",'Configuración'!$B$9,0)+IF(O1477="Sí",'Configuración'!$B$10,0)+IF(P1477="Sí",'Configuración'!$B$11,0)+IF(Q1477="Sí",'Configuración'!$B$12,0)+S1477+T1477+U1477)</f>
        <v>28</v>
      </c>
      <c r="W1477" s="39" t="str">
        <f>IF(B1477="","",IF(V1477&gt;='Configuración'!$B$19,"A",IF(V1477&gt;='Configuración'!$B$20,"B",IF(V1477&gt;='Configuración'!$B$21,"C","Descarte"))))</f>
        <v>C</v>
      </c>
    </row>
    <row r="1478" ht="15.75" customHeight="1">
      <c r="A1478" s="34">
        <f t="shared" si="1"/>
        <v>1476</v>
      </c>
      <c r="B1478" s="29" t="s">
        <v>209</v>
      </c>
      <c r="C1478" s="29" t="s">
        <v>8342</v>
      </c>
      <c r="D1478" s="29" t="s">
        <v>8343</v>
      </c>
      <c r="E1478" s="29" t="s">
        <v>8344</v>
      </c>
      <c r="F1478" s="30" t="s">
        <v>8345</v>
      </c>
      <c r="G1478" s="30" t="s">
        <v>8346</v>
      </c>
      <c r="H1478" s="42" t="s">
        <v>8347</v>
      </c>
      <c r="I1478" s="29" t="s">
        <v>3212</v>
      </c>
      <c r="J1478" s="31">
        <v>13.0</v>
      </c>
      <c r="K1478" s="35"/>
      <c r="L1478" s="35"/>
      <c r="M1478" s="35"/>
      <c r="N1478" s="35"/>
      <c r="O1478" s="35"/>
      <c r="P1478" s="35"/>
      <c r="Q1478" s="35"/>
      <c r="R1478" s="35"/>
      <c r="S1478" s="37">
        <f>IF(B1478="","",IF(ISNUMBER(J1478),IF(J1478&lt;=10,'Configuración'!$B$23,IF(J1478&lt;=50,'Configuración'!$B$24,IF(J1478&lt;=200,'Configuración'!$B$25,0))),0))</f>
        <v>4</v>
      </c>
      <c r="T1478" s="37">
        <f>IF(B1478="","",IF(ISNUMBER(SEARCH("information technology",I1478))+ISNUMBER(SEARCH("software",I1478))+ISNUMBER(SEARCH("internet",I1478))+ISNUMBER(SEARCH("computer",I1478))+ISNUMBER(SEARCH("saas",I1478))+ISNUMBER(SEARCH("fintech",I1478))+ISNUMBER(SEARCH("information services",I1478))+ISNUMBER(SEARCH("telecommunications",I1478))&gt;0,'Configuración'!$B$27,'Configuración'!$B$28))</f>
        <v>4</v>
      </c>
      <c r="U1478" s="25">
        <f>IF(B1478="","",IF(ISNUMBER(SEARCH("CEO",C1478))+ISNUMBER(SEARCH("Founder",C1478))+ISNUMBER(SEARCH("Owner",C1478))+ISNUMBER(SEARCH("Dueño",C1478))+ISNUMBER(SEARCH("Director General",C1478))+ISNUMBER(SEARCH("Presidente",C1478))+ISNUMBER(SEARCH("President",C1478))&gt;0,'Configuración'!$B$31,IF(ISNUMBER(SEARCH("CMO",C1478))+ISNUMBER(SEARCH("Chief Marketing",C1478))+ISNUMBER(SEARCH("VP Marketing",C1478))+ISNUMBER(SEARCH("Director de Marketing",C1478))+ISNUMBER(SEARCH("Director Marketing",C1478))+ISNUMBER(SEARCH("Head of Marketing",C1478))+ISNUMBER(SEARCH("Head Marketing",C1478))&gt;0,'Configuración'!$B$32,IF(ISNUMBER(SEARCH("Marketing Manager",C1478))+ISNUMBER(SEARCH("Gerente de Marketing",C1478))+ISNUMBER(SEARCH("Growth Manager",C1478))+ISNUMBER(SEARCH("Demand Gen",C1478))+ISNUMBER(SEARCH("Marketing Lead",C1478))&gt;0,'Configuración'!$B$33,IF(ISNUMBER(SEARCH("COO",C1478))+ISNUMBER(SEARCH("CFO",C1478))+ISNUMBER(SEARCH("CTO",C1478))+ISNUMBER(SEARCH("Chief Operating",C1478))+ISNUMBER(SEARCH("Chief Financial",C1478))+ISNUMBER(SEARCH("Gerente General",C1478))+ISNUMBER(SEARCH("General Manager",C1478))&gt;0,'Configuración'!$B$34,'Configuración'!$B$35)))))</f>
        <v>12</v>
      </c>
      <c r="V1478" s="38">
        <f>IF(B1478="","",IF(K1478="Sí",'Configuración'!$B$5,0)+IF(L1478="Semanal",'Configuración'!$B$6,IF(L1478="Mensual",'Configuración'!$B$7,0))+IF(M1478="Sí",'Configuración'!$B$8,0)+IF(N1478="Sí",'Configuración'!$B$9,0)+IF(O1478="Sí",'Configuración'!$B$10,0)+IF(P1478="Sí",'Configuración'!$B$11,0)+IF(Q1478="Sí",'Configuración'!$B$12,0)+S1478+T1478+U1478)</f>
        <v>20</v>
      </c>
      <c r="W1478" s="39" t="str">
        <f>IF(B1478="","",IF(V1478&gt;='Configuración'!$B$19,"A",IF(V1478&gt;='Configuración'!$B$20,"B",IF(V1478&gt;='Configuración'!$B$21,"C","Descarte"))))</f>
        <v>Descarte</v>
      </c>
    </row>
    <row r="1479" ht="15.75" customHeight="1">
      <c r="A1479" s="34">
        <f t="shared" si="1"/>
        <v>1477</v>
      </c>
      <c r="B1479" s="29" t="s">
        <v>174</v>
      </c>
      <c r="C1479" s="29" t="s">
        <v>8348</v>
      </c>
      <c r="D1479" s="29" t="s">
        <v>8349</v>
      </c>
      <c r="E1479" s="29" t="s">
        <v>8350</v>
      </c>
      <c r="F1479" s="30" t="s">
        <v>8351</v>
      </c>
      <c r="G1479" s="30" t="s">
        <v>8352</v>
      </c>
      <c r="H1479" s="42" t="s">
        <v>8353</v>
      </c>
      <c r="I1479" s="29" t="s">
        <v>127</v>
      </c>
      <c r="J1479" s="31">
        <v>22.0</v>
      </c>
      <c r="K1479" s="35"/>
      <c r="L1479" s="35"/>
      <c r="M1479" s="35"/>
      <c r="N1479" s="35"/>
      <c r="O1479" s="35"/>
      <c r="P1479" s="35"/>
      <c r="Q1479" s="35"/>
      <c r="R1479" s="35"/>
      <c r="S1479" s="37">
        <f>IF(B1479="","",IF(ISNUMBER(J1479),IF(J1479&lt;=10,'Configuración'!$B$23,IF(J1479&lt;=50,'Configuración'!$B$24,IF(J1479&lt;=200,'Configuración'!$B$25,0))),0))</f>
        <v>4</v>
      </c>
      <c r="T1479" s="37">
        <f>IF(B1479="","",IF(ISNUMBER(SEARCH("information technology",I1479))+ISNUMBER(SEARCH("software",I1479))+ISNUMBER(SEARCH("internet",I1479))+ISNUMBER(SEARCH("computer",I1479))+ISNUMBER(SEARCH("saas",I1479))+ISNUMBER(SEARCH("fintech",I1479))+ISNUMBER(SEARCH("information services",I1479))+ISNUMBER(SEARCH("telecommunications",I1479))&gt;0,'Configuración'!$B$27,'Configuración'!$B$28))</f>
        <v>12</v>
      </c>
      <c r="U1479" s="25">
        <f>IF(B1479="","",IF(ISNUMBER(SEARCH("CEO",C1479))+ISNUMBER(SEARCH("Founder",C1479))+ISNUMBER(SEARCH("Owner",C1479))+ISNUMBER(SEARCH("Dueño",C1479))+ISNUMBER(SEARCH("Director General",C1479))+ISNUMBER(SEARCH("Presidente",C1479))+ISNUMBER(SEARCH("President",C1479))&gt;0,'Configuración'!$B$31,IF(ISNUMBER(SEARCH("CMO",C1479))+ISNUMBER(SEARCH("Chief Marketing",C1479))+ISNUMBER(SEARCH("VP Marketing",C1479))+ISNUMBER(SEARCH("Director de Marketing",C1479))+ISNUMBER(SEARCH("Director Marketing",C1479))+ISNUMBER(SEARCH("Head of Marketing",C1479))+ISNUMBER(SEARCH("Head Marketing",C1479))&gt;0,'Configuración'!$B$32,IF(ISNUMBER(SEARCH("Marketing Manager",C1479))+ISNUMBER(SEARCH("Gerente de Marketing",C1479))+ISNUMBER(SEARCH("Growth Manager",C1479))+ISNUMBER(SEARCH("Demand Gen",C1479))+ISNUMBER(SEARCH("Marketing Lead",C1479))&gt;0,'Configuración'!$B$33,IF(ISNUMBER(SEARCH("COO",C1479))+ISNUMBER(SEARCH("CFO",C1479))+ISNUMBER(SEARCH("CTO",C1479))+ISNUMBER(SEARCH("Chief Operating",C1479))+ISNUMBER(SEARCH("Chief Financial",C1479))+ISNUMBER(SEARCH("Gerente General",C1479))+ISNUMBER(SEARCH("General Manager",C1479))&gt;0,'Configuración'!$B$34,'Configuración'!$B$35)))))</f>
        <v>12</v>
      </c>
      <c r="V1479" s="38">
        <f>IF(B1479="","",IF(K1479="Sí",'Configuración'!$B$5,0)+IF(L1479="Semanal",'Configuración'!$B$6,IF(L1479="Mensual",'Configuración'!$B$7,0))+IF(M1479="Sí",'Configuración'!$B$8,0)+IF(N1479="Sí",'Configuración'!$B$9,0)+IF(O1479="Sí",'Configuración'!$B$10,0)+IF(P1479="Sí",'Configuración'!$B$11,0)+IF(Q1479="Sí",'Configuración'!$B$12,0)+S1479+T1479+U1479)</f>
        <v>28</v>
      </c>
      <c r="W1479" s="39" t="str">
        <f>IF(B1479="","",IF(V1479&gt;='Configuración'!$B$19,"A",IF(V1479&gt;='Configuración'!$B$20,"B",IF(V1479&gt;='Configuración'!$B$21,"C","Descarte"))))</f>
        <v>C</v>
      </c>
    </row>
    <row r="1480" ht="15.75" customHeight="1">
      <c r="A1480" s="34">
        <f t="shared" si="1"/>
        <v>1478</v>
      </c>
      <c r="B1480" s="29" t="s">
        <v>174</v>
      </c>
      <c r="C1480" s="29" t="s">
        <v>131</v>
      </c>
      <c r="D1480" s="29" t="s">
        <v>8354</v>
      </c>
      <c r="E1480" s="29" t="s">
        <v>8355</v>
      </c>
      <c r="F1480" s="30" t="s">
        <v>8356</v>
      </c>
      <c r="G1480" s="30" t="s">
        <v>8357</v>
      </c>
      <c r="H1480" s="42" t="s">
        <v>8358</v>
      </c>
      <c r="I1480" s="29" t="s">
        <v>932</v>
      </c>
      <c r="J1480" s="31">
        <v>26.0</v>
      </c>
      <c r="K1480" s="35"/>
      <c r="L1480" s="35"/>
      <c r="M1480" s="35"/>
      <c r="N1480" s="35"/>
      <c r="O1480" s="35"/>
      <c r="P1480" s="35"/>
      <c r="Q1480" s="35"/>
      <c r="R1480" s="35"/>
      <c r="S1480" s="37">
        <f>IF(B1480="","",IF(ISNUMBER(J1480),IF(J1480&lt;=10,'Configuración'!$B$23,IF(J1480&lt;=50,'Configuración'!$B$24,IF(J1480&lt;=200,'Configuración'!$B$25,0))),0))</f>
        <v>4</v>
      </c>
      <c r="T1480" s="37">
        <f>IF(B1480="","",IF(ISNUMBER(SEARCH("information technology",I1480))+ISNUMBER(SEARCH("software",I1480))+ISNUMBER(SEARCH("internet",I1480))+ISNUMBER(SEARCH("computer",I1480))+ISNUMBER(SEARCH("saas",I1480))+ISNUMBER(SEARCH("fintech",I1480))+ISNUMBER(SEARCH("information services",I1480))+ISNUMBER(SEARCH("telecommunications",I1480))&gt;0,'Configuración'!$B$27,'Configuración'!$B$28))</f>
        <v>4</v>
      </c>
      <c r="U1480" s="25">
        <f>IF(B1480="","",IF(ISNUMBER(SEARCH("CEO",C1480))+ISNUMBER(SEARCH("Founder",C1480))+ISNUMBER(SEARCH("Owner",C1480))+ISNUMBER(SEARCH("Dueño",C1480))+ISNUMBER(SEARCH("Director General",C1480))+ISNUMBER(SEARCH("Presidente",C1480))+ISNUMBER(SEARCH("President",C1480))&gt;0,'Configuración'!$B$31,IF(ISNUMBER(SEARCH("CMO",C1480))+ISNUMBER(SEARCH("Chief Marketing",C1480))+ISNUMBER(SEARCH("VP Marketing",C1480))+ISNUMBER(SEARCH("Director de Marketing",C1480))+ISNUMBER(SEARCH("Director Marketing",C1480))+ISNUMBER(SEARCH("Head of Marketing",C1480))+ISNUMBER(SEARCH("Head Marketing",C1480))&gt;0,'Configuración'!$B$32,IF(ISNUMBER(SEARCH("Marketing Manager",C1480))+ISNUMBER(SEARCH("Gerente de Marketing",C1480))+ISNUMBER(SEARCH("Growth Manager",C1480))+ISNUMBER(SEARCH("Demand Gen",C1480))+ISNUMBER(SEARCH("Marketing Lead",C1480))&gt;0,'Configuración'!$B$33,IF(ISNUMBER(SEARCH("COO",C1480))+ISNUMBER(SEARCH("CFO",C1480))+ISNUMBER(SEARCH("CTO",C1480))+ISNUMBER(SEARCH("Chief Operating",C1480))+ISNUMBER(SEARCH("Chief Financial",C1480))+ISNUMBER(SEARCH("Gerente General",C1480))+ISNUMBER(SEARCH("General Manager",C1480))&gt;0,'Configuración'!$B$34,'Configuración'!$B$35)))))</f>
        <v>12</v>
      </c>
      <c r="V1480" s="38">
        <f>IF(B1480="","",IF(K1480="Sí",'Configuración'!$B$5,0)+IF(L1480="Semanal",'Configuración'!$B$6,IF(L1480="Mensual",'Configuración'!$B$7,0))+IF(M1480="Sí",'Configuración'!$B$8,0)+IF(N1480="Sí",'Configuración'!$B$9,0)+IF(O1480="Sí",'Configuración'!$B$10,0)+IF(P1480="Sí",'Configuración'!$B$11,0)+IF(Q1480="Sí",'Configuración'!$B$12,0)+S1480+T1480+U1480)</f>
        <v>20</v>
      </c>
      <c r="W1480" s="39" t="str">
        <f>IF(B1480="","",IF(V1480&gt;='Configuración'!$B$19,"A",IF(V1480&gt;='Configuración'!$B$20,"B",IF(V1480&gt;='Configuración'!$B$21,"C","Descarte"))))</f>
        <v>Descarte</v>
      </c>
    </row>
    <row r="1481" ht="15.75" customHeight="1">
      <c r="A1481" s="34">
        <f t="shared" si="1"/>
        <v>1479</v>
      </c>
      <c r="B1481" s="29" t="s">
        <v>174</v>
      </c>
      <c r="C1481" s="29" t="s">
        <v>8359</v>
      </c>
      <c r="D1481" s="29" t="s">
        <v>8360</v>
      </c>
      <c r="E1481" s="29" t="s">
        <v>8361</v>
      </c>
      <c r="F1481" s="30" t="s">
        <v>8362</v>
      </c>
      <c r="G1481" s="30" t="s">
        <v>8363</v>
      </c>
      <c r="H1481" s="42" t="s">
        <v>8364</v>
      </c>
      <c r="I1481" s="29" t="s">
        <v>188</v>
      </c>
      <c r="J1481" s="31">
        <v>17.0</v>
      </c>
      <c r="K1481" s="35"/>
      <c r="L1481" s="35"/>
      <c r="M1481" s="35"/>
      <c r="N1481" s="35"/>
      <c r="O1481" s="35"/>
      <c r="P1481" s="35"/>
      <c r="Q1481" s="35"/>
      <c r="R1481" s="35"/>
      <c r="S1481" s="37">
        <f>IF(B1481="","",IF(ISNUMBER(J1481),IF(J1481&lt;=10,'Configuración'!$B$23,IF(J1481&lt;=50,'Configuración'!$B$24,IF(J1481&lt;=200,'Configuración'!$B$25,0))),0))</f>
        <v>4</v>
      </c>
      <c r="T1481" s="37">
        <f>IF(B1481="","",IF(ISNUMBER(SEARCH("information technology",I1481))+ISNUMBER(SEARCH("software",I1481))+ISNUMBER(SEARCH("internet",I1481))+ISNUMBER(SEARCH("computer",I1481))+ISNUMBER(SEARCH("saas",I1481))+ISNUMBER(SEARCH("fintech",I1481))+ISNUMBER(SEARCH("information services",I1481))+ISNUMBER(SEARCH("telecommunications",I1481))&gt;0,'Configuración'!$B$27,'Configuración'!$B$28))</f>
        <v>4</v>
      </c>
      <c r="U1481" s="25">
        <f>IF(B1481="","",IF(ISNUMBER(SEARCH("CEO",C1481))+ISNUMBER(SEARCH("Founder",C1481))+ISNUMBER(SEARCH("Owner",C1481))+ISNUMBER(SEARCH("Dueño",C1481))+ISNUMBER(SEARCH("Director General",C1481))+ISNUMBER(SEARCH("Presidente",C1481))+ISNUMBER(SEARCH("President",C1481))&gt;0,'Configuración'!$B$31,IF(ISNUMBER(SEARCH("CMO",C1481))+ISNUMBER(SEARCH("Chief Marketing",C1481))+ISNUMBER(SEARCH("VP Marketing",C1481))+ISNUMBER(SEARCH("Director de Marketing",C1481))+ISNUMBER(SEARCH("Director Marketing",C1481))+ISNUMBER(SEARCH("Head of Marketing",C1481))+ISNUMBER(SEARCH("Head Marketing",C1481))&gt;0,'Configuración'!$B$32,IF(ISNUMBER(SEARCH("Marketing Manager",C1481))+ISNUMBER(SEARCH("Gerente de Marketing",C1481))+ISNUMBER(SEARCH("Growth Manager",C1481))+ISNUMBER(SEARCH("Demand Gen",C1481))+ISNUMBER(SEARCH("Marketing Lead",C1481))&gt;0,'Configuración'!$B$33,IF(ISNUMBER(SEARCH("COO",C1481))+ISNUMBER(SEARCH("CFO",C1481))+ISNUMBER(SEARCH("CTO",C1481))+ISNUMBER(SEARCH("Chief Operating",C1481))+ISNUMBER(SEARCH("Chief Financial",C1481))+ISNUMBER(SEARCH("Gerente General",C1481))+ISNUMBER(SEARCH("General Manager",C1481))&gt;0,'Configuración'!$B$34,'Configuración'!$B$35)))))</f>
        <v>12</v>
      </c>
      <c r="V1481" s="38">
        <f>IF(B1481="","",IF(K1481="Sí",'Configuración'!$B$5,0)+IF(L1481="Semanal",'Configuración'!$B$6,IF(L1481="Mensual",'Configuración'!$B$7,0))+IF(M1481="Sí",'Configuración'!$B$8,0)+IF(N1481="Sí",'Configuración'!$B$9,0)+IF(O1481="Sí",'Configuración'!$B$10,0)+IF(P1481="Sí",'Configuración'!$B$11,0)+IF(Q1481="Sí",'Configuración'!$B$12,0)+S1481+T1481+U1481)</f>
        <v>20</v>
      </c>
      <c r="W1481" s="39" t="str">
        <f>IF(B1481="","",IF(V1481&gt;='Configuración'!$B$19,"A",IF(V1481&gt;='Configuración'!$B$20,"B",IF(V1481&gt;='Configuración'!$B$21,"C","Descarte"))))</f>
        <v>Descarte</v>
      </c>
    </row>
    <row r="1482" ht="15.75" customHeight="1">
      <c r="A1482" s="34">
        <f t="shared" si="1"/>
        <v>1480</v>
      </c>
      <c r="B1482" s="29" t="s">
        <v>201</v>
      </c>
      <c r="C1482" s="29" t="s">
        <v>622</v>
      </c>
      <c r="D1482" s="29" t="s">
        <v>8365</v>
      </c>
      <c r="E1482" s="29" t="s">
        <v>8366</v>
      </c>
      <c r="F1482" s="30" t="s">
        <v>8367</v>
      </c>
      <c r="G1482" s="30" t="s">
        <v>8368</v>
      </c>
      <c r="H1482" s="42" t="s">
        <v>8369</v>
      </c>
      <c r="I1482" s="29" t="s">
        <v>222</v>
      </c>
      <c r="J1482" s="31">
        <v>2.0</v>
      </c>
      <c r="K1482" s="35"/>
      <c r="L1482" s="35"/>
      <c r="M1482" s="35"/>
      <c r="N1482" s="35"/>
      <c r="O1482" s="35"/>
      <c r="P1482" s="35"/>
      <c r="Q1482" s="35"/>
      <c r="R1482" s="35"/>
      <c r="S1482" s="37">
        <f>IF(B1482="","",IF(ISNUMBER(J1482),IF(J1482&lt;=10,'Configuración'!$B$23,IF(J1482&lt;=50,'Configuración'!$B$24,IF(J1482&lt;=200,'Configuración'!$B$25,0))),0))</f>
        <v>12</v>
      </c>
      <c r="T1482" s="37">
        <f>IF(B1482="","",IF(ISNUMBER(SEARCH("information technology",I1482))+ISNUMBER(SEARCH("software",I1482))+ISNUMBER(SEARCH("internet",I1482))+ISNUMBER(SEARCH("computer",I1482))+ISNUMBER(SEARCH("saas",I1482))+ISNUMBER(SEARCH("fintech",I1482))+ISNUMBER(SEARCH("information services",I1482))+ISNUMBER(SEARCH("telecommunications",I1482))&gt;0,'Configuración'!$B$27,'Configuración'!$B$28))</f>
        <v>4</v>
      </c>
      <c r="U1482" s="25">
        <f>IF(B1482="","",IF(ISNUMBER(SEARCH("CEO",C1482))+ISNUMBER(SEARCH("Founder",C1482))+ISNUMBER(SEARCH("Owner",C1482))+ISNUMBER(SEARCH("Dueño",C1482))+ISNUMBER(SEARCH("Director General",C1482))+ISNUMBER(SEARCH("Presidente",C1482))+ISNUMBER(SEARCH("President",C1482))&gt;0,'Configuración'!$B$31,IF(ISNUMBER(SEARCH("CMO",C1482))+ISNUMBER(SEARCH("Chief Marketing",C1482))+ISNUMBER(SEARCH("VP Marketing",C1482))+ISNUMBER(SEARCH("Director de Marketing",C1482))+ISNUMBER(SEARCH("Director Marketing",C1482))+ISNUMBER(SEARCH("Head of Marketing",C1482))+ISNUMBER(SEARCH("Head Marketing",C1482))&gt;0,'Configuración'!$B$32,IF(ISNUMBER(SEARCH("Marketing Manager",C1482))+ISNUMBER(SEARCH("Gerente de Marketing",C1482))+ISNUMBER(SEARCH("Growth Manager",C1482))+ISNUMBER(SEARCH("Demand Gen",C1482))+ISNUMBER(SEARCH("Marketing Lead",C1482))&gt;0,'Configuración'!$B$33,IF(ISNUMBER(SEARCH("COO",C1482))+ISNUMBER(SEARCH("CFO",C1482))+ISNUMBER(SEARCH("CTO",C1482))+ISNUMBER(SEARCH("Chief Operating",C1482))+ISNUMBER(SEARCH("Chief Financial",C1482))+ISNUMBER(SEARCH("Gerente General",C1482))+ISNUMBER(SEARCH("General Manager",C1482))&gt;0,'Configuración'!$B$34,'Configuración'!$B$35)))))</f>
        <v>12</v>
      </c>
      <c r="V1482" s="38">
        <f>IF(B1482="","",IF(K1482="Sí",'Configuración'!$B$5,0)+IF(L1482="Semanal",'Configuración'!$B$6,IF(L1482="Mensual",'Configuración'!$B$7,0))+IF(M1482="Sí",'Configuración'!$B$8,0)+IF(N1482="Sí",'Configuración'!$B$9,0)+IF(O1482="Sí",'Configuración'!$B$10,0)+IF(P1482="Sí",'Configuración'!$B$11,0)+IF(Q1482="Sí",'Configuración'!$B$12,0)+S1482+T1482+U1482)</f>
        <v>28</v>
      </c>
      <c r="W1482" s="39" t="str">
        <f>IF(B1482="","",IF(V1482&gt;='Configuración'!$B$19,"A",IF(V1482&gt;='Configuración'!$B$20,"B",IF(V1482&gt;='Configuración'!$B$21,"C","Descarte"))))</f>
        <v>C</v>
      </c>
    </row>
    <row r="1483" ht="15.75" customHeight="1">
      <c r="A1483" s="34">
        <f t="shared" si="1"/>
        <v>1481</v>
      </c>
      <c r="B1483" s="29" t="s">
        <v>181</v>
      </c>
      <c r="C1483" s="29" t="s">
        <v>131</v>
      </c>
      <c r="D1483" s="29" t="s">
        <v>411</v>
      </c>
      <c r="E1483" s="29" t="s">
        <v>8370</v>
      </c>
      <c r="F1483" s="30" t="s">
        <v>8371</v>
      </c>
      <c r="G1483" s="30" t="s">
        <v>414</v>
      </c>
      <c r="H1483" s="42" t="s">
        <v>415</v>
      </c>
      <c r="I1483" s="29" t="s">
        <v>127</v>
      </c>
      <c r="J1483" s="31">
        <v>17.0</v>
      </c>
      <c r="K1483" s="35"/>
      <c r="L1483" s="35"/>
      <c r="M1483" s="35"/>
      <c r="N1483" s="35"/>
      <c r="O1483" s="35"/>
      <c r="P1483" s="35"/>
      <c r="Q1483" s="35"/>
      <c r="R1483" s="35"/>
      <c r="S1483" s="37">
        <f>IF(B1483="","",IF(ISNUMBER(J1483),IF(J1483&lt;=10,'Configuración'!$B$23,IF(J1483&lt;=50,'Configuración'!$B$24,IF(J1483&lt;=200,'Configuración'!$B$25,0))),0))</f>
        <v>4</v>
      </c>
      <c r="T1483" s="37">
        <f>IF(B1483="","",IF(ISNUMBER(SEARCH("information technology",I1483))+ISNUMBER(SEARCH("software",I1483))+ISNUMBER(SEARCH("internet",I1483))+ISNUMBER(SEARCH("computer",I1483))+ISNUMBER(SEARCH("saas",I1483))+ISNUMBER(SEARCH("fintech",I1483))+ISNUMBER(SEARCH("information services",I1483))+ISNUMBER(SEARCH("telecommunications",I1483))&gt;0,'Configuración'!$B$27,'Configuración'!$B$28))</f>
        <v>12</v>
      </c>
      <c r="U1483" s="25">
        <f>IF(B1483="","",IF(ISNUMBER(SEARCH("CEO",C1483))+ISNUMBER(SEARCH("Founder",C1483))+ISNUMBER(SEARCH("Owner",C1483))+ISNUMBER(SEARCH("Dueño",C1483))+ISNUMBER(SEARCH("Director General",C1483))+ISNUMBER(SEARCH("Presidente",C1483))+ISNUMBER(SEARCH("President",C1483))&gt;0,'Configuración'!$B$31,IF(ISNUMBER(SEARCH("CMO",C1483))+ISNUMBER(SEARCH("Chief Marketing",C1483))+ISNUMBER(SEARCH("VP Marketing",C1483))+ISNUMBER(SEARCH("Director de Marketing",C1483))+ISNUMBER(SEARCH("Director Marketing",C1483))+ISNUMBER(SEARCH("Head of Marketing",C1483))+ISNUMBER(SEARCH("Head Marketing",C1483))&gt;0,'Configuración'!$B$32,IF(ISNUMBER(SEARCH("Marketing Manager",C1483))+ISNUMBER(SEARCH("Gerente de Marketing",C1483))+ISNUMBER(SEARCH("Growth Manager",C1483))+ISNUMBER(SEARCH("Demand Gen",C1483))+ISNUMBER(SEARCH("Marketing Lead",C1483))&gt;0,'Configuración'!$B$33,IF(ISNUMBER(SEARCH("COO",C1483))+ISNUMBER(SEARCH("CFO",C1483))+ISNUMBER(SEARCH("CTO",C1483))+ISNUMBER(SEARCH("Chief Operating",C1483))+ISNUMBER(SEARCH("Chief Financial",C1483))+ISNUMBER(SEARCH("Gerente General",C1483))+ISNUMBER(SEARCH("General Manager",C1483))&gt;0,'Configuración'!$B$34,'Configuración'!$B$35)))))</f>
        <v>12</v>
      </c>
      <c r="V1483" s="38">
        <f>IF(B1483="","",IF(K1483="Sí",'Configuración'!$B$5,0)+IF(L1483="Semanal",'Configuración'!$B$6,IF(L1483="Mensual",'Configuración'!$B$7,0))+IF(M1483="Sí",'Configuración'!$B$8,0)+IF(N1483="Sí",'Configuración'!$B$9,0)+IF(O1483="Sí",'Configuración'!$B$10,0)+IF(P1483="Sí",'Configuración'!$B$11,0)+IF(Q1483="Sí",'Configuración'!$B$12,0)+S1483+T1483+U1483)</f>
        <v>28</v>
      </c>
      <c r="W1483" s="39" t="str">
        <f>IF(B1483="","",IF(V1483&gt;='Configuración'!$B$19,"A",IF(V1483&gt;='Configuración'!$B$20,"B",IF(V1483&gt;='Configuración'!$B$21,"C","Descarte"))))</f>
        <v>C</v>
      </c>
    </row>
    <row r="1484" ht="15.75" customHeight="1">
      <c r="A1484" s="34">
        <f t="shared" si="1"/>
        <v>1482</v>
      </c>
      <c r="B1484" s="29" t="s">
        <v>324</v>
      </c>
      <c r="C1484" s="29" t="s">
        <v>8372</v>
      </c>
      <c r="D1484" s="29" t="s">
        <v>8373</v>
      </c>
      <c r="E1484" s="29" t="s">
        <v>8374</v>
      </c>
      <c r="F1484" s="30" t="s">
        <v>8375</v>
      </c>
      <c r="G1484" s="30" t="s">
        <v>8376</v>
      </c>
      <c r="H1484" s="42" t="s">
        <v>8377</v>
      </c>
      <c r="I1484" s="29" t="s">
        <v>769</v>
      </c>
      <c r="J1484" s="31">
        <v>16.0</v>
      </c>
      <c r="K1484" s="35"/>
      <c r="L1484" s="35"/>
      <c r="M1484" s="35"/>
      <c r="N1484" s="35"/>
      <c r="O1484" s="35"/>
      <c r="P1484" s="35"/>
      <c r="Q1484" s="35"/>
      <c r="R1484" s="35"/>
      <c r="S1484" s="37">
        <f>IF(B1484="","",IF(ISNUMBER(J1484),IF(J1484&lt;=10,'Configuración'!$B$23,IF(J1484&lt;=50,'Configuración'!$B$24,IF(J1484&lt;=200,'Configuración'!$B$25,0))),0))</f>
        <v>4</v>
      </c>
      <c r="T1484" s="37">
        <f>IF(B1484="","",IF(ISNUMBER(SEARCH("information technology",I1484))+ISNUMBER(SEARCH("software",I1484))+ISNUMBER(SEARCH("internet",I1484))+ISNUMBER(SEARCH("computer",I1484))+ISNUMBER(SEARCH("saas",I1484))+ISNUMBER(SEARCH("fintech",I1484))+ISNUMBER(SEARCH("information services",I1484))+ISNUMBER(SEARCH("telecommunications",I1484))&gt;0,'Configuración'!$B$27,'Configuración'!$B$28))</f>
        <v>4</v>
      </c>
      <c r="U1484" s="25">
        <f>IF(B1484="","",IF(ISNUMBER(SEARCH("CEO",C1484))+ISNUMBER(SEARCH("Founder",C1484))+ISNUMBER(SEARCH("Owner",C1484))+ISNUMBER(SEARCH("Dueño",C1484))+ISNUMBER(SEARCH("Director General",C1484))+ISNUMBER(SEARCH("Presidente",C1484))+ISNUMBER(SEARCH("President",C1484))&gt;0,'Configuración'!$B$31,IF(ISNUMBER(SEARCH("CMO",C1484))+ISNUMBER(SEARCH("Chief Marketing",C1484))+ISNUMBER(SEARCH("VP Marketing",C1484))+ISNUMBER(SEARCH("Director de Marketing",C1484))+ISNUMBER(SEARCH("Director Marketing",C1484))+ISNUMBER(SEARCH("Head of Marketing",C1484))+ISNUMBER(SEARCH("Head Marketing",C1484))&gt;0,'Configuración'!$B$32,IF(ISNUMBER(SEARCH("Marketing Manager",C1484))+ISNUMBER(SEARCH("Gerente de Marketing",C1484))+ISNUMBER(SEARCH("Growth Manager",C1484))+ISNUMBER(SEARCH("Demand Gen",C1484))+ISNUMBER(SEARCH("Marketing Lead",C1484))&gt;0,'Configuración'!$B$33,IF(ISNUMBER(SEARCH("COO",C1484))+ISNUMBER(SEARCH("CFO",C1484))+ISNUMBER(SEARCH("CTO",C1484))+ISNUMBER(SEARCH("Chief Operating",C1484))+ISNUMBER(SEARCH("Chief Financial",C1484))+ISNUMBER(SEARCH("Gerente General",C1484))+ISNUMBER(SEARCH("General Manager",C1484))&gt;0,'Configuración'!$B$34,'Configuración'!$B$35)))))</f>
        <v>12</v>
      </c>
      <c r="V1484" s="38">
        <f>IF(B1484="","",IF(K1484="Sí",'Configuración'!$B$5,0)+IF(L1484="Semanal",'Configuración'!$B$6,IF(L1484="Mensual",'Configuración'!$B$7,0))+IF(M1484="Sí",'Configuración'!$B$8,0)+IF(N1484="Sí",'Configuración'!$B$9,0)+IF(O1484="Sí",'Configuración'!$B$10,0)+IF(P1484="Sí",'Configuración'!$B$11,0)+IF(Q1484="Sí",'Configuración'!$B$12,0)+S1484+T1484+U1484)</f>
        <v>20</v>
      </c>
      <c r="W1484" s="39" t="str">
        <f>IF(B1484="","",IF(V1484&gt;='Configuración'!$B$19,"A",IF(V1484&gt;='Configuración'!$B$20,"B",IF(V1484&gt;='Configuración'!$B$21,"C","Descarte"))))</f>
        <v>Descarte</v>
      </c>
    </row>
    <row r="1485" ht="15.75" customHeight="1">
      <c r="A1485" s="34">
        <f t="shared" si="1"/>
        <v>1483</v>
      </c>
      <c r="B1485" s="29" t="s">
        <v>564</v>
      </c>
      <c r="C1485" s="29" t="s">
        <v>5604</v>
      </c>
      <c r="D1485" s="29" t="s">
        <v>8378</v>
      </c>
      <c r="E1485" s="29" t="s">
        <v>8379</v>
      </c>
      <c r="F1485" s="30" t="s">
        <v>8380</v>
      </c>
      <c r="G1485" s="30" t="s">
        <v>8381</v>
      </c>
      <c r="H1485" s="42" t="s">
        <v>8382</v>
      </c>
      <c r="I1485" s="29" t="s">
        <v>3843</v>
      </c>
      <c r="J1485" s="31">
        <v>45.0</v>
      </c>
      <c r="K1485" s="35"/>
      <c r="L1485" s="35"/>
      <c r="M1485" s="35"/>
      <c r="N1485" s="35"/>
      <c r="O1485" s="35"/>
      <c r="P1485" s="35"/>
      <c r="Q1485" s="35"/>
      <c r="R1485" s="35"/>
      <c r="S1485" s="37">
        <f>IF(B1485="","",IF(ISNUMBER(J1485),IF(J1485&lt;=10,'Configuración'!$B$23,IF(J1485&lt;=50,'Configuración'!$B$24,IF(J1485&lt;=200,'Configuración'!$B$25,0))),0))</f>
        <v>4</v>
      </c>
      <c r="T1485" s="37">
        <f>IF(B1485="","",IF(ISNUMBER(SEARCH("information technology",I1485))+ISNUMBER(SEARCH("software",I1485))+ISNUMBER(SEARCH("internet",I1485))+ISNUMBER(SEARCH("computer",I1485))+ISNUMBER(SEARCH("saas",I1485))+ISNUMBER(SEARCH("fintech",I1485))+ISNUMBER(SEARCH("information services",I1485))+ISNUMBER(SEARCH("telecommunications",I1485))&gt;0,'Configuración'!$B$27,'Configuración'!$B$28))</f>
        <v>4</v>
      </c>
      <c r="U1485" s="25">
        <f>IF(B1485="","",IF(ISNUMBER(SEARCH("CEO",C1485))+ISNUMBER(SEARCH("Founder",C1485))+ISNUMBER(SEARCH("Owner",C1485))+ISNUMBER(SEARCH("Dueño",C1485))+ISNUMBER(SEARCH("Director General",C1485))+ISNUMBER(SEARCH("Presidente",C1485))+ISNUMBER(SEARCH("President",C1485))&gt;0,'Configuración'!$B$31,IF(ISNUMBER(SEARCH("CMO",C1485))+ISNUMBER(SEARCH("Chief Marketing",C1485))+ISNUMBER(SEARCH("VP Marketing",C1485))+ISNUMBER(SEARCH("Director de Marketing",C1485))+ISNUMBER(SEARCH("Director Marketing",C1485))+ISNUMBER(SEARCH("Head of Marketing",C1485))+ISNUMBER(SEARCH("Head Marketing",C1485))&gt;0,'Configuración'!$B$32,IF(ISNUMBER(SEARCH("Marketing Manager",C1485))+ISNUMBER(SEARCH("Gerente de Marketing",C1485))+ISNUMBER(SEARCH("Growth Manager",C1485))+ISNUMBER(SEARCH("Demand Gen",C1485))+ISNUMBER(SEARCH("Marketing Lead",C1485))&gt;0,'Configuración'!$B$33,IF(ISNUMBER(SEARCH("COO",C1485))+ISNUMBER(SEARCH("CFO",C1485))+ISNUMBER(SEARCH("CTO",C1485))+ISNUMBER(SEARCH("Chief Operating",C1485))+ISNUMBER(SEARCH("Chief Financial",C1485))+ISNUMBER(SEARCH("Gerente General",C1485))+ISNUMBER(SEARCH("General Manager",C1485))&gt;0,'Configuración'!$B$34,'Configuración'!$B$35)))))</f>
        <v>4</v>
      </c>
      <c r="V1485" s="38">
        <f>IF(B1485="","",IF(K1485="Sí",'Configuración'!$B$5,0)+IF(L1485="Semanal",'Configuración'!$B$6,IF(L1485="Mensual",'Configuración'!$B$7,0))+IF(M1485="Sí",'Configuración'!$B$8,0)+IF(N1485="Sí",'Configuración'!$B$9,0)+IF(O1485="Sí",'Configuración'!$B$10,0)+IF(P1485="Sí",'Configuración'!$B$11,0)+IF(Q1485="Sí",'Configuración'!$B$12,0)+S1485+T1485+U1485)</f>
        <v>12</v>
      </c>
      <c r="W1485" s="39" t="str">
        <f>IF(B1485="","",IF(V1485&gt;='Configuración'!$B$19,"A",IF(V1485&gt;='Configuración'!$B$20,"B",IF(V1485&gt;='Configuración'!$B$21,"C","Descarte"))))</f>
        <v>Descarte</v>
      </c>
    </row>
    <row r="1486" ht="15.75" customHeight="1">
      <c r="A1486" s="34">
        <f t="shared" si="1"/>
        <v>1484</v>
      </c>
      <c r="B1486" s="29" t="s">
        <v>8383</v>
      </c>
      <c r="C1486" s="29" t="s">
        <v>224</v>
      </c>
      <c r="D1486" s="29" t="s">
        <v>8384</v>
      </c>
      <c r="E1486" s="29" t="s">
        <v>8385</v>
      </c>
      <c r="F1486" s="30" t="s">
        <v>8386</v>
      </c>
      <c r="G1486" s="30" t="s">
        <v>8387</v>
      </c>
      <c r="H1486" s="42" t="s">
        <v>8388</v>
      </c>
      <c r="I1486" s="29" t="s">
        <v>188</v>
      </c>
      <c r="J1486" s="31">
        <v>7.0</v>
      </c>
      <c r="K1486" s="35"/>
      <c r="L1486" s="35"/>
      <c r="M1486" s="35"/>
      <c r="N1486" s="35"/>
      <c r="O1486" s="35"/>
      <c r="P1486" s="35"/>
      <c r="Q1486" s="35"/>
      <c r="R1486" s="35"/>
      <c r="S1486" s="37">
        <f>IF(B1486="","",IF(ISNUMBER(J1486),IF(J1486&lt;=10,'Configuración'!$B$23,IF(J1486&lt;=50,'Configuración'!$B$24,IF(J1486&lt;=200,'Configuración'!$B$25,0))),0))</f>
        <v>12</v>
      </c>
      <c r="T1486" s="37">
        <f>IF(B1486="","",IF(ISNUMBER(SEARCH("information technology",I1486))+ISNUMBER(SEARCH("software",I1486))+ISNUMBER(SEARCH("internet",I1486))+ISNUMBER(SEARCH("computer",I1486))+ISNUMBER(SEARCH("saas",I1486))+ISNUMBER(SEARCH("fintech",I1486))+ISNUMBER(SEARCH("information services",I1486))+ISNUMBER(SEARCH("telecommunications",I1486))&gt;0,'Configuración'!$B$27,'Configuración'!$B$28))</f>
        <v>4</v>
      </c>
      <c r="U1486" s="25">
        <f>IF(B1486="","",IF(ISNUMBER(SEARCH("CEO",C1486))+ISNUMBER(SEARCH("Founder",C1486))+ISNUMBER(SEARCH("Owner",C1486))+ISNUMBER(SEARCH("Dueño",C1486))+ISNUMBER(SEARCH("Director General",C1486))+ISNUMBER(SEARCH("Presidente",C1486))+ISNUMBER(SEARCH("President",C1486))&gt;0,'Configuración'!$B$31,IF(ISNUMBER(SEARCH("CMO",C1486))+ISNUMBER(SEARCH("Chief Marketing",C1486))+ISNUMBER(SEARCH("VP Marketing",C1486))+ISNUMBER(SEARCH("Director de Marketing",C1486))+ISNUMBER(SEARCH("Director Marketing",C1486))+ISNUMBER(SEARCH("Head of Marketing",C1486))+ISNUMBER(SEARCH("Head Marketing",C1486))&gt;0,'Configuración'!$B$32,IF(ISNUMBER(SEARCH("Marketing Manager",C1486))+ISNUMBER(SEARCH("Gerente de Marketing",C1486))+ISNUMBER(SEARCH("Growth Manager",C1486))+ISNUMBER(SEARCH("Demand Gen",C1486))+ISNUMBER(SEARCH("Marketing Lead",C1486))&gt;0,'Configuración'!$B$33,IF(ISNUMBER(SEARCH("COO",C1486))+ISNUMBER(SEARCH("CFO",C1486))+ISNUMBER(SEARCH("CTO",C1486))+ISNUMBER(SEARCH("Chief Operating",C1486))+ISNUMBER(SEARCH("Chief Financial",C1486))+ISNUMBER(SEARCH("Gerente General",C1486))+ISNUMBER(SEARCH("General Manager",C1486))&gt;0,'Configuración'!$B$34,'Configuración'!$B$35)))))</f>
        <v>12</v>
      </c>
      <c r="V1486" s="38">
        <f>IF(B1486="","",IF(K1486="Sí",'Configuración'!$B$5,0)+IF(L1486="Semanal",'Configuración'!$B$6,IF(L1486="Mensual",'Configuración'!$B$7,0))+IF(M1486="Sí",'Configuración'!$B$8,0)+IF(N1486="Sí",'Configuración'!$B$9,0)+IF(O1486="Sí",'Configuración'!$B$10,0)+IF(P1486="Sí",'Configuración'!$B$11,0)+IF(Q1486="Sí",'Configuración'!$B$12,0)+S1486+T1486+U1486)</f>
        <v>28</v>
      </c>
      <c r="W1486" s="39" t="str">
        <f>IF(B1486="","",IF(V1486&gt;='Configuración'!$B$19,"A",IF(V1486&gt;='Configuración'!$B$20,"B",IF(V1486&gt;='Configuración'!$B$21,"C","Descarte"))))</f>
        <v>C</v>
      </c>
    </row>
    <row r="1487" ht="15.75" customHeight="1">
      <c r="A1487" s="34">
        <f t="shared" si="1"/>
        <v>1485</v>
      </c>
      <c r="B1487" s="29" t="s">
        <v>331</v>
      </c>
      <c r="C1487" s="29" t="s">
        <v>591</v>
      </c>
      <c r="D1487" s="29" t="s">
        <v>8389</v>
      </c>
      <c r="E1487" s="29" t="s">
        <v>8390</v>
      </c>
      <c r="F1487" s="30" t="s">
        <v>8391</v>
      </c>
      <c r="G1487" s="30" t="s">
        <v>8392</v>
      </c>
      <c r="H1487" s="42" t="s">
        <v>8393</v>
      </c>
      <c r="I1487" s="29" t="s">
        <v>127</v>
      </c>
      <c r="J1487" s="31">
        <v>12.0</v>
      </c>
      <c r="K1487" s="35"/>
      <c r="L1487" s="35"/>
      <c r="M1487" s="35"/>
      <c r="N1487" s="35"/>
      <c r="O1487" s="35"/>
      <c r="P1487" s="35"/>
      <c r="Q1487" s="35"/>
      <c r="R1487" s="35"/>
      <c r="S1487" s="37">
        <f>IF(B1487="","",IF(ISNUMBER(J1487),IF(J1487&lt;=10,'Configuración'!$B$23,IF(J1487&lt;=50,'Configuración'!$B$24,IF(J1487&lt;=200,'Configuración'!$B$25,0))),0))</f>
        <v>4</v>
      </c>
      <c r="T1487" s="37">
        <f>IF(B1487="","",IF(ISNUMBER(SEARCH("information technology",I1487))+ISNUMBER(SEARCH("software",I1487))+ISNUMBER(SEARCH("internet",I1487))+ISNUMBER(SEARCH("computer",I1487))+ISNUMBER(SEARCH("saas",I1487))+ISNUMBER(SEARCH("fintech",I1487))+ISNUMBER(SEARCH("information services",I1487))+ISNUMBER(SEARCH("telecommunications",I1487))&gt;0,'Configuración'!$B$27,'Configuración'!$B$28))</f>
        <v>12</v>
      </c>
      <c r="U1487" s="25">
        <f>IF(B1487="","",IF(ISNUMBER(SEARCH("CEO",C1487))+ISNUMBER(SEARCH("Founder",C1487))+ISNUMBER(SEARCH("Owner",C1487))+ISNUMBER(SEARCH("Dueño",C1487))+ISNUMBER(SEARCH("Director General",C1487))+ISNUMBER(SEARCH("Presidente",C1487))+ISNUMBER(SEARCH("President",C1487))&gt;0,'Configuración'!$B$31,IF(ISNUMBER(SEARCH("CMO",C1487))+ISNUMBER(SEARCH("Chief Marketing",C1487))+ISNUMBER(SEARCH("VP Marketing",C1487))+ISNUMBER(SEARCH("Director de Marketing",C1487))+ISNUMBER(SEARCH("Director Marketing",C1487))+ISNUMBER(SEARCH("Head of Marketing",C1487))+ISNUMBER(SEARCH("Head Marketing",C1487))&gt;0,'Configuración'!$B$32,IF(ISNUMBER(SEARCH("Marketing Manager",C1487))+ISNUMBER(SEARCH("Gerente de Marketing",C1487))+ISNUMBER(SEARCH("Growth Manager",C1487))+ISNUMBER(SEARCH("Demand Gen",C1487))+ISNUMBER(SEARCH("Marketing Lead",C1487))&gt;0,'Configuración'!$B$33,IF(ISNUMBER(SEARCH("COO",C1487))+ISNUMBER(SEARCH("CFO",C1487))+ISNUMBER(SEARCH("CTO",C1487))+ISNUMBER(SEARCH("Chief Operating",C1487))+ISNUMBER(SEARCH("Chief Financial",C1487))+ISNUMBER(SEARCH("Gerente General",C1487))+ISNUMBER(SEARCH("General Manager",C1487))&gt;0,'Configuración'!$B$34,'Configuración'!$B$35)))))</f>
        <v>12</v>
      </c>
      <c r="V1487" s="38">
        <f>IF(B1487="","",IF(K1487="Sí",'Configuración'!$B$5,0)+IF(L1487="Semanal",'Configuración'!$B$6,IF(L1487="Mensual",'Configuración'!$B$7,0))+IF(M1487="Sí",'Configuración'!$B$8,0)+IF(N1487="Sí",'Configuración'!$B$9,0)+IF(O1487="Sí",'Configuración'!$B$10,0)+IF(P1487="Sí",'Configuración'!$B$11,0)+IF(Q1487="Sí",'Configuración'!$B$12,0)+S1487+T1487+U1487)</f>
        <v>28</v>
      </c>
      <c r="W1487" s="39" t="str">
        <f>IF(B1487="","",IF(V1487&gt;='Configuración'!$B$19,"A",IF(V1487&gt;='Configuración'!$B$20,"B",IF(V1487&gt;='Configuración'!$B$21,"C","Descarte"))))</f>
        <v>C</v>
      </c>
    </row>
    <row r="1488" ht="15.75" customHeight="1">
      <c r="A1488" s="34">
        <f t="shared" si="1"/>
        <v>1486</v>
      </c>
      <c r="B1488" s="29" t="s">
        <v>610</v>
      </c>
      <c r="C1488" s="29" t="s">
        <v>8394</v>
      </c>
      <c r="D1488" s="29" t="s">
        <v>8395</v>
      </c>
      <c r="E1488" s="29" t="s">
        <v>8396</v>
      </c>
      <c r="F1488" s="30" t="s">
        <v>8397</v>
      </c>
      <c r="G1488" s="30" t="s">
        <v>8398</v>
      </c>
      <c r="H1488" s="42" t="s">
        <v>8399</v>
      </c>
      <c r="I1488" s="29" t="s">
        <v>188</v>
      </c>
      <c r="J1488" s="31">
        <v>3.0</v>
      </c>
      <c r="K1488" s="35"/>
      <c r="L1488" s="35"/>
      <c r="M1488" s="35"/>
      <c r="N1488" s="35"/>
      <c r="O1488" s="35"/>
      <c r="P1488" s="35"/>
      <c r="Q1488" s="35"/>
      <c r="R1488" s="35"/>
      <c r="S1488" s="37">
        <f>IF(B1488="","",IF(ISNUMBER(J1488),IF(J1488&lt;=10,'Configuración'!$B$23,IF(J1488&lt;=50,'Configuración'!$B$24,IF(J1488&lt;=200,'Configuración'!$B$25,0))),0))</f>
        <v>12</v>
      </c>
      <c r="T1488" s="37">
        <f>IF(B1488="","",IF(ISNUMBER(SEARCH("information technology",I1488))+ISNUMBER(SEARCH("software",I1488))+ISNUMBER(SEARCH("internet",I1488))+ISNUMBER(SEARCH("computer",I1488))+ISNUMBER(SEARCH("saas",I1488))+ISNUMBER(SEARCH("fintech",I1488))+ISNUMBER(SEARCH("information services",I1488))+ISNUMBER(SEARCH("telecommunications",I1488))&gt;0,'Configuración'!$B$27,'Configuración'!$B$28))</f>
        <v>4</v>
      </c>
      <c r="U1488" s="25">
        <f>IF(B1488="","",IF(ISNUMBER(SEARCH("CEO",C1488))+ISNUMBER(SEARCH("Founder",C1488))+ISNUMBER(SEARCH("Owner",C1488))+ISNUMBER(SEARCH("Dueño",C1488))+ISNUMBER(SEARCH("Director General",C1488))+ISNUMBER(SEARCH("Presidente",C1488))+ISNUMBER(SEARCH("President",C1488))&gt;0,'Configuración'!$B$31,IF(ISNUMBER(SEARCH("CMO",C1488))+ISNUMBER(SEARCH("Chief Marketing",C1488))+ISNUMBER(SEARCH("VP Marketing",C1488))+ISNUMBER(SEARCH("Director de Marketing",C1488))+ISNUMBER(SEARCH("Director Marketing",C1488))+ISNUMBER(SEARCH("Head of Marketing",C1488))+ISNUMBER(SEARCH("Head Marketing",C1488))&gt;0,'Configuración'!$B$32,IF(ISNUMBER(SEARCH("Marketing Manager",C1488))+ISNUMBER(SEARCH("Gerente de Marketing",C1488))+ISNUMBER(SEARCH("Growth Manager",C1488))+ISNUMBER(SEARCH("Demand Gen",C1488))+ISNUMBER(SEARCH("Marketing Lead",C1488))&gt;0,'Configuración'!$B$33,IF(ISNUMBER(SEARCH("COO",C1488))+ISNUMBER(SEARCH("CFO",C1488))+ISNUMBER(SEARCH("CTO",C1488))+ISNUMBER(SEARCH("Chief Operating",C1488))+ISNUMBER(SEARCH("Chief Financial",C1488))+ISNUMBER(SEARCH("Gerente General",C1488))+ISNUMBER(SEARCH("General Manager",C1488))&gt;0,'Configuración'!$B$34,'Configuración'!$B$35)))))</f>
        <v>12</v>
      </c>
      <c r="V1488" s="38">
        <f>IF(B1488="","",IF(K1488="Sí",'Configuración'!$B$5,0)+IF(L1488="Semanal",'Configuración'!$B$6,IF(L1488="Mensual",'Configuración'!$B$7,0))+IF(M1488="Sí",'Configuración'!$B$8,0)+IF(N1488="Sí",'Configuración'!$B$9,0)+IF(O1488="Sí",'Configuración'!$B$10,0)+IF(P1488="Sí",'Configuración'!$B$11,0)+IF(Q1488="Sí",'Configuración'!$B$12,0)+S1488+T1488+U1488)</f>
        <v>28</v>
      </c>
      <c r="W1488" s="39" t="str">
        <f>IF(B1488="","",IF(V1488&gt;='Configuración'!$B$19,"A",IF(V1488&gt;='Configuración'!$B$20,"B",IF(V1488&gt;='Configuración'!$B$21,"C","Descarte"))))</f>
        <v>C</v>
      </c>
    </row>
    <row r="1489" ht="15.75" customHeight="1">
      <c r="A1489" s="34">
        <f t="shared" si="1"/>
        <v>1487</v>
      </c>
      <c r="B1489" s="29" t="s">
        <v>209</v>
      </c>
      <c r="C1489" s="29" t="s">
        <v>1978</v>
      </c>
      <c r="D1489" s="29" t="s">
        <v>8400</v>
      </c>
      <c r="E1489" s="29" t="s">
        <v>8401</v>
      </c>
      <c r="F1489" s="30" t="s">
        <v>8402</v>
      </c>
      <c r="G1489" s="30" t="s">
        <v>8403</v>
      </c>
      <c r="H1489" s="42" t="s">
        <v>8404</v>
      </c>
      <c r="I1489" s="29" t="s">
        <v>428</v>
      </c>
      <c r="J1489" s="31">
        <v>25.0</v>
      </c>
      <c r="K1489" s="35"/>
      <c r="L1489" s="35"/>
      <c r="M1489" s="35"/>
      <c r="N1489" s="35"/>
      <c r="O1489" s="35"/>
      <c r="P1489" s="35"/>
      <c r="Q1489" s="35"/>
      <c r="R1489" s="35"/>
      <c r="S1489" s="37">
        <f>IF(B1489="","",IF(ISNUMBER(J1489),IF(J1489&lt;=10,'Configuración'!$B$23,IF(J1489&lt;=50,'Configuración'!$B$24,IF(J1489&lt;=200,'Configuración'!$B$25,0))),0))</f>
        <v>4</v>
      </c>
      <c r="T1489" s="37">
        <f>IF(B1489="","",IF(ISNUMBER(SEARCH("information technology",I1489))+ISNUMBER(SEARCH("software",I1489))+ISNUMBER(SEARCH("internet",I1489))+ISNUMBER(SEARCH("computer",I1489))+ISNUMBER(SEARCH("saas",I1489))+ISNUMBER(SEARCH("fintech",I1489))+ISNUMBER(SEARCH("information services",I1489))+ISNUMBER(SEARCH("telecommunications",I1489))&gt;0,'Configuración'!$B$27,'Configuración'!$B$28))</f>
        <v>12</v>
      </c>
      <c r="U1489" s="25">
        <f>IF(B1489="","",IF(ISNUMBER(SEARCH("CEO",C1489))+ISNUMBER(SEARCH("Founder",C1489))+ISNUMBER(SEARCH("Owner",C1489))+ISNUMBER(SEARCH("Dueño",C1489))+ISNUMBER(SEARCH("Director General",C1489))+ISNUMBER(SEARCH("Presidente",C1489))+ISNUMBER(SEARCH("President",C1489))&gt;0,'Configuración'!$B$31,IF(ISNUMBER(SEARCH("CMO",C1489))+ISNUMBER(SEARCH("Chief Marketing",C1489))+ISNUMBER(SEARCH("VP Marketing",C1489))+ISNUMBER(SEARCH("Director de Marketing",C1489))+ISNUMBER(SEARCH("Director Marketing",C1489))+ISNUMBER(SEARCH("Head of Marketing",C1489))+ISNUMBER(SEARCH("Head Marketing",C1489))&gt;0,'Configuración'!$B$32,IF(ISNUMBER(SEARCH("Marketing Manager",C1489))+ISNUMBER(SEARCH("Gerente de Marketing",C1489))+ISNUMBER(SEARCH("Growth Manager",C1489))+ISNUMBER(SEARCH("Demand Gen",C1489))+ISNUMBER(SEARCH("Marketing Lead",C1489))&gt;0,'Configuración'!$B$33,IF(ISNUMBER(SEARCH("COO",C1489))+ISNUMBER(SEARCH("CFO",C1489))+ISNUMBER(SEARCH("CTO",C1489))+ISNUMBER(SEARCH("Chief Operating",C1489))+ISNUMBER(SEARCH("Chief Financial",C1489))+ISNUMBER(SEARCH("Gerente General",C1489))+ISNUMBER(SEARCH("General Manager",C1489))&gt;0,'Configuración'!$B$34,'Configuración'!$B$35)))))</f>
        <v>12</v>
      </c>
      <c r="V1489" s="38">
        <f>IF(B1489="","",IF(K1489="Sí",'Configuración'!$B$5,0)+IF(L1489="Semanal",'Configuración'!$B$6,IF(L1489="Mensual",'Configuración'!$B$7,0))+IF(M1489="Sí",'Configuración'!$B$8,0)+IF(N1489="Sí",'Configuración'!$B$9,0)+IF(O1489="Sí",'Configuración'!$B$10,0)+IF(P1489="Sí",'Configuración'!$B$11,0)+IF(Q1489="Sí",'Configuración'!$B$12,0)+S1489+T1489+U1489)</f>
        <v>28</v>
      </c>
      <c r="W1489" s="39" t="str">
        <f>IF(B1489="","",IF(V1489&gt;='Configuración'!$B$19,"A",IF(V1489&gt;='Configuración'!$B$20,"B",IF(V1489&gt;='Configuración'!$B$21,"C","Descarte"))))</f>
        <v>C</v>
      </c>
    </row>
    <row r="1490" ht="15.75" customHeight="1">
      <c r="A1490" s="34">
        <f t="shared" si="1"/>
        <v>1488</v>
      </c>
      <c r="B1490" s="29" t="s">
        <v>529</v>
      </c>
      <c r="C1490" s="29" t="s">
        <v>224</v>
      </c>
      <c r="D1490" s="29" t="s">
        <v>8405</v>
      </c>
      <c r="E1490" s="29" t="s">
        <v>8406</v>
      </c>
      <c r="F1490" s="30" t="s">
        <v>8407</v>
      </c>
      <c r="G1490" s="30" t="s">
        <v>8408</v>
      </c>
      <c r="H1490" s="42" t="s">
        <v>8409</v>
      </c>
      <c r="I1490" s="29" t="s">
        <v>873</v>
      </c>
      <c r="J1490" s="31">
        <v>5.0</v>
      </c>
      <c r="K1490" s="35"/>
      <c r="L1490" s="35"/>
      <c r="M1490" s="35"/>
      <c r="N1490" s="35"/>
      <c r="O1490" s="35"/>
      <c r="P1490" s="35"/>
      <c r="Q1490" s="35"/>
      <c r="R1490" s="35"/>
      <c r="S1490" s="37">
        <f>IF(B1490="","",IF(ISNUMBER(J1490),IF(J1490&lt;=10,'Configuración'!$B$23,IF(J1490&lt;=50,'Configuración'!$B$24,IF(J1490&lt;=200,'Configuración'!$B$25,0))),0))</f>
        <v>12</v>
      </c>
      <c r="T1490" s="37">
        <f>IF(B1490="","",IF(ISNUMBER(SEARCH("information technology",I1490))+ISNUMBER(SEARCH("software",I1490))+ISNUMBER(SEARCH("internet",I1490))+ISNUMBER(SEARCH("computer",I1490))+ISNUMBER(SEARCH("saas",I1490))+ISNUMBER(SEARCH("fintech",I1490))+ISNUMBER(SEARCH("information services",I1490))+ISNUMBER(SEARCH("telecommunications",I1490))&gt;0,'Configuración'!$B$27,'Configuración'!$B$28))</f>
        <v>4</v>
      </c>
      <c r="U1490" s="25">
        <f>IF(B1490="","",IF(ISNUMBER(SEARCH("CEO",C1490))+ISNUMBER(SEARCH("Founder",C1490))+ISNUMBER(SEARCH("Owner",C1490))+ISNUMBER(SEARCH("Dueño",C1490))+ISNUMBER(SEARCH("Director General",C1490))+ISNUMBER(SEARCH("Presidente",C1490))+ISNUMBER(SEARCH("President",C1490))&gt;0,'Configuración'!$B$31,IF(ISNUMBER(SEARCH("CMO",C1490))+ISNUMBER(SEARCH("Chief Marketing",C1490))+ISNUMBER(SEARCH("VP Marketing",C1490))+ISNUMBER(SEARCH("Director de Marketing",C1490))+ISNUMBER(SEARCH("Director Marketing",C1490))+ISNUMBER(SEARCH("Head of Marketing",C1490))+ISNUMBER(SEARCH("Head Marketing",C1490))&gt;0,'Configuración'!$B$32,IF(ISNUMBER(SEARCH("Marketing Manager",C1490))+ISNUMBER(SEARCH("Gerente de Marketing",C1490))+ISNUMBER(SEARCH("Growth Manager",C1490))+ISNUMBER(SEARCH("Demand Gen",C1490))+ISNUMBER(SEARCH("Marketing Lead",C1490))&gt;0,'Configuración'!$B$33,IF(ISNUMBER(SEARCH("COO",C1490))+ISNUMBER(SEARCH("CFO",C1490))+ISNUMBER(SEARCH("CTO",C1490))+ISNUMBER(SEARCH("Chief Operating",C1490))+ISNUMBER(SEARCH("Chief Financial",C1490))+ISNUMBER(SEARCH("Gerente General",C1490))+ISNUMBER(SEARCH("General Manager",C1490))&gt;0,'Configuración'!$B$34,'Configuración'!$B$35)))))</f>
        <v>12</v>
      </c>
      <c r="V1490" s="38">
        <f>IF(B1490="","",IF(K1490="Sí",'Configuración'!$B$5,0)+IF(L1490="Semanal",'Configuración'!$B$6,IF(L1490="Mensual",'Configuración'!$B$7,0))+IF(M1490="Sí",'Configuración'!$B$8,0)+IF(N1490="Sí",'Configuración'!$B$9,0)+IF(O1490="Sí",'Configuración'!$B$10,0)+IF(P1490="Sí",'Configuración'!$B$11,0)+IF(Q1490="Sí",'Configuración'!$B$12,0)+S1490+T1490+U1490)</f>
        <v>28</v>
      </c>
      <c r="W1490" s="39" t="str">
        <f>IF(B1490="","",IF(V1490&gt;='Configuración'!$B$19,"A",IF(V1490&gt;='Configuración'!$B$20,"B",IF(V1490&gt;='Configuración'!$B$21,"C","Descarte"))))</f>
        <v>C</v>
      </c>
    </row>
    <row r="1491" ht="15.75" customHeight="1">
      <c r="A1491" s="34">
        <f t="shared" si="1"/>
        <v>1489</v>
      </c>
      <c r="B1491" s="29" t="s">
        <v>529</v>
      </c>
      <c r="C1491" s="29" t="s">
        <v>719</v>
      </c>
      <c r="D1491" s="29" t="s">
        <v>8410</v>
      </c>
      <c r="E1491" s="29" t="s">
        <v>8411</v>
      </c>
      <c r="F1491" s="30" t="s">
        <v>8412</v>
      </c>
      <c r="G1491" s="30" t="s">
        <v>8413</v>
      </c>
      <c r="H1491" s="42" t="s">
        <v>8414</v>
      </c>
      <c r="I1491" s="29" t="s">
        <v>4186</v>
      </c>
      <c r="J1491" s="31">
        <v>22.0</v>
      </c>
      <c r="K1491" s="35"/>
      <c r="L1491" s="35"/>
      <c r="M1491" s="35"/>
      <c r="N1491" s="35"/>
      <c r="O1491" s="35"/>
      <c r="P1491" s="35"/>
      <c r="Q1491" s="35"/>
      <c r="R1491" s="35"/>
      <c r="S1491" s="37">
        <f>IF(B1491="","",IF(ISNUMBER(J1491),IF(J1491&lt;=10,'Configuración'!$B$23,IF(J1491&lt;=50,'Configuración'!$B$24,IF(J1491&lt;=200,'Configuración'!$B$25,0))),0))</f>
        <v>4</v>
      </c>
      <c r="T1491" s="37">
        <f>IF(B1491="","",IF(ISNUMBER(SEARCH("information technology",I1491))+ISNUMBER(SEARCH("software",I1491))+ISNUMBER(SEARCH("internet",I1491))+ISNUMBER(SEARCH("computer",I1491))+ISNUMBER(SEARCH("saas",I1491))+ISNUMBER(SEARCH("fintech",I1491))+ISNUMBER(SEARCH("information services",I1491))+ISNUMBER(SEARCH("telecommunications",I1491))&gt;0,'Configuración'!$B$27,'Configuración'!$B$28))</f>
        <v>12</v>
      </c>
      <c r="U1491" s="25">
        <f>IF(B1491="","",IF(ISNUMBER(SEARCH("CEO",C1491))+ISNUMBER(SEARCH("Founder",C1491))+ISNUMBER(SEARCH("Owner",C1491))+ISNUMBER(SEARCH("Dueño",C1491))+ISNUMBER(SEARCH("Director General",C1491))+ISNUMBER(SEARCH("Presidente",C1491))+ISNUMBER(SEARCH("President",C1491))&gt;0,'Configuración'!$B$31,IF(ISNUMBER(SEARCH("CMO",C1491))+ISNUMBER(SEARCH("Chief Marketing",C1491))+ISNUMBER(SEARCH("VP Marketing",C1491))+ISNUMBER(SEARCH("Director de Marketing",C1491))+ISNUMBER(SEARCH("Director Marketing",C1491))+ISNUMBER(SEARCH("Head of Marketing",C1491))+ISNUMBER(SEARCH("Head Marketing",C1491))&gt;0,'Configuración'!$B$32,IF(ISNUMBER(SEARCH("Marketing Manager",C1491))+ISNUMBER(SEARCH("Gerente de Marketing",C1491))+ISNUMBER(SEARCH("Growth Manager",C1491))+ISNUMBER(SEARCH("Demand Gen",C1491))+ISNUMBER(SEARCH("Marketing Lead",C1491))&gt;0,'Configuración'!$B$33,IF(ISNUMBER(SEARCH("COO",C1491))+ISNUMBER(SEARCH("CFO",C1491))+ISNUMBER(SEARCH("CTO",C1491))+ISNUMBER(SEARCH("Chief Operating",C1491))+ISNUMBER(SEARCH("Chief Financial",C1491))+ISNUMBER(SEARCH("Gerente General",C1491))+ISNUMBER(SEARCH("General Manager",C1491))&gt;0,'Configuración'!$B$34,'Configuración'!$B$35)))))</f>
        <v>12</v>
      </c>
      <c r="V1491" s="38">
        <f>IF(B1491="","",IF(K1491="Sí",'Configuración'!$B$5,0)+IF(L1491="Semanal",'Configuración'!$B$6,IF(L1491="Mensual",'Configuración'!$B$7,0))+IF(M1491="Sí",'Configuración'!$B$8,0)+IF(N1491="Sí",'Configuración'!$B$9,0)+IF(O1491="Sí",'Configuración'!$B$10,0)+IF(P1491="Sí",'Configuración'!$B$11,0)+IF(Q1491="Sí",'Configuración'!$B$12,0)+S1491+T1491+U1491)</f>
        <v>28</v>
      </c>
      <c r="W1491" s="39" t="str">
        <f>IF(B1491="","",IF(V1491&gt;='Configuración'!$B$19,"A",IF(V1491&gt;='Configuración'!$B$20,"B",IF(V1491&gt;='Configuración'!$B$21,"C","Descarte"))))</f>
        <v>C</v>
      </c>
    </row>
    <row r="1492" ht="15.75" customHeight="1">
      <c r="A1492" s="34">
        <f t="shared" si="1"/>
        <v>1490</v>
      </c>
      <c r="B1492" s="29" t="s">
        <v>138</v>
      </c>
      <c r="C1492" s="29" t="s">
        <v>8415</v>
      </c>
      <c r="D1492" s="29" t="s">
        <v>8416</v>
      </c>
      <c r="E1492" s="29" t="s">
        <v>8417</v>
      </c>
      <c r="F1492" s="30" t="s">
        <v>8418</v>
      </c>
      <c r="G1492" s="30" t="s">
        <v>8419</v>
      </c>
      <c r="H1492" s="42" t="s">
        <v>8420</v>
      </c>
      <c r="I1492" s="29" t="s">
        <v>3843</v>
      </c>
      <c r="J1492" s="31">
        <v>10.0</v>
      </c>
      <c r="K1492" s="35"/>
      <c r="L1492" s="35"/>
      <c r="M1492" s="35"/>
      <c r="N1492" s="35"/>
      <c r="O1492" s="35"/>
      <c r="P1492" s="35"/>
      <c r="Q1492" s="35"/>
      <c r="R1492" s="35"/>
      <c r="S1492" s="37">
        <f>IF(B1492="","",IF(ISNUMBER(J1492),IF(J1492&lt;=10,'Configuración'!$B$23,IF(J1492&lt;=50,'Configuración'!$B$24,IF(J1492&lt;=200,'Configuración'!$B$25,0))),0))</f>
        <v>12</v>
      </c>
      <c r="T1492" s="37">
        <f>IF(B1492="","",IF(ISNUMBER(SEARCH("information technology",I1492))+ISNUMBER(SEARCH("software",I1492))+ISNUMBER(SEARCH("internet",I1492))+ISNUMBER(SEARCH("computer",I1492))+ISNUMBER(SEARCH("saas",I1492))+ISNUMBER(SEARCH("fintech",I1492))+ISNUMBER(SEARCH("information services",I1492))+ISNUMBER(SEARCH("telecommunications",I1492))&gt;0,'Configuración'!$B$27,'Configuración'!$B$28))</f>
        <v>4</v>
      </c>
      <c r="U1492" s="25">
        <f>IF(B1492="","",IF(ISNUMBER(SEARCH("CEO",C1492))+ISNUMBER(SEARCH("Founder",C1492))+ISNUMBER(SEARCH("Owner",C1492))+ISNUMBER(SEARCH("Dueño",C1492))+ISNUMBER(SEARCH("Director General",C1492))+ISNUMBER(SEARCH("Presidente",C1492))+ISNUMBER(SEARCH("President",C1492))&gt;0,'Configuración'!$B$31,IF(ISNUMBER(SEARCH("CMO",C1492))+ISNUMBER(SEARCH("Chief Marketing",C1492))+ISNUMBER(SEARCH("VP Marketing",C1492))+ISNUMBER(SEARCH("Director de Marketing",C1492))+ISNUMBER(SEARCH("Director Marketing",C1492))+ISNUMBER(SEARCH("Head of Marketing",C1492))+ISNUMBER(SEARCH("Head Marketing",C1492))&gt;0,'Configuración'!$B$32,IF(ISNUMBER(SEARCH("Marketing Manager",C1492))+ISNUMBER(SEARCH("Gerente de Marketing",C1492))+ISNUMBER(SEARCH("Growth Manager",C1492))+ISNUMBER(SEARCH("Demand Gen",C1492))+ISNUMBER(SEARCH("Marketing Lead",C1492))&gt;0,'Configuración'!$B$33,IF(ISNUMBER(SEARCH("COO",C1492))+ISNUMBER(SEARCH("CFO",C1492))+ISNUMBER(SEARCH("CTO",C1492))+ISNUMBER(SEARCH("Chief Operating",C1492))+ISNUMBER(SEARCH("Chief Financial",C1492))+ISNUMBER(SEARCH("Gerente General",C1492))+ISNUMBER(SEARCH("General Manager",C1492))&gt;0,'Configuración'!$B$34,'Configuración'!$B$35)))))</f>
        <v>12</v>
      </c>
      <c r="V1492" s="38">
        <f>IF(B1492="","",IF(K1492="Sí",'Configuración'!$B$5,0)+IF(L1492="Semanal",'Configuración'!$B$6,IF(L1492="Mensual",'Configuración'!$B$7,0))+IF(M1492="Sí",'Configuración'!$B$8,0)+IF(N1492="Sí",'Configuración'!$B$9,0)+IF(O1492="Sí",'Configuración'!$B$10,0)+IF(P1492="Sí",'Configuración'!$B$11,0)+IF(Q1492="Sí",'Configuración'!$B$12,0)+S1492+T1492+U1492)</f>
        <v>28</v>
      </c>
      <c r="W1492" s="39" t="str">
        <f>IF(B1492="","",IF(V1492&gt;='Configuración'!$B$19,"A",IF(V1492&gt;='Configuración'!$B$20,"B",IF(V1492&gt;='Configuración'!$B$21,"C","Descarte"))))</f>
        <v>C</v>
      </c>
    </row>
    <row r="1493" ht="15.75" customHeight="1">
      <c r="A1493" s="34">
        <f t="shared" si="1"/>
        <v>1491</v>
      </c>
      <c r="B1493" s="29" t="s">
        <v>3826</v>
      </c>
      <c r="C1493" s="29" t="s">
        <v>8421</v>
      </c>
      <c r="D1493" s="29" t="s">
        <v>8422</v>
      </c>
      <c r="E1493" s="29" t="s">
        <v>8423</v>
      </c>
      <c r="F1493" s="30" t="s">
        <v>8424</v>
      </c>
      <c r="G1493" s="30" t="s">
        <v>8425</v>
      </c>
      <c r="H1493" s="42" t="s">
        <v>8426</v>
      </c>
      <c r="I1493" s="29" t="s">
        <v>188</v>
      </c>
      <c r="J1493" s="31">
        <v>15.0</v>
      </c>
      <c r="K1493" s="35"/>
      <c r="L1493" s="35"/>
      <c r="M1493" s="35"/>
      <c r="N1493" s="35"/>
      <c r="O1493" s="35"/>
      <c r="P1493" s="35"/>
      <c r="Q1493" s="35"/>
      <c r="R1493" s="35"/>
      <c r="S1493" s="37">
        <f>IF(B1493="","",IF(ISNUMBER(J1493),IF(J1493&lt;=10,'Configuración'!$B$23,IF(J1493&lt;=50,'Configuración'!$B$24,IF(J1493&lt;=200,'Configuración'!$B$25,0))),0))</f>
        <v>4</v>
      </c>
      <c r="T1493" s="37">
        <f>IF(B1493="","",IF(ISNUMBER(SEARCH("information technology",I1493))+ISNUMBER(SEARCH("software",I1493))+ISNUMBER(SEARCH("internet",I1493))+ISNUMBER(SEARCH("computer",I1493))+ISNUMBER(SEARCH("saas",I1493))+ISNUMBER(SEARCH("fintech",I1493))+ISNUMBER(SEARCH("information services",I1493))+ISNUMBER(SEARCH("telecommunications",I1493))&gt;0,'Configuración'!$B$27,'Configuración'!$B$28))</f>
        <v>4</v>
      </c>
      <c r="U1493" s="25">
        <f>IF(B1493="","",IF(ISNUMBER(SEARCH("CEO",C1493))+ISNUMBER(SEARCH("Founder",C1493))+ISNUMBER(SEARCH("Owner",C1493))+ISNUMBER(SEARCH("Dueño",C1493))+ISNUMBER(SEARCH("Director General",C1493))+ISNUMBER(SEARCH("Presidente",C1493))+ISNUMBER(SEARCH("President",C1493))&gt;0,'Configuración'!$B$31,IF(ISNUMBER(SEARCH("CMO",C1493))+ISNUMBER(SEARCH("Chief Marketing",C1493))+ISNUMBER(SEARCH("VP Marketing",C1493))+ISNUMBER(SEARCH("Director de Marketing",C1493))+ISNUMBER(SEARCH("Director Marketing",C1493))+ISNUMBER(SEARCH("Head of Marketing",C1493))+ISNUMBER(SEARCH("Head Marketing",C1493))&gt;0,'Configuración'!$B$32,IF(ISNUMBER(SEARCH("Marketing Manager",C1493))+ISNUMBER(SEARCH("Gerente de Marketing",C1493))+ISNUMBER(SEARCH("Growth Manager",C1493))+ISNUMBER(SEARCH("Demand Gen",C1493))+ISNUMBER(SEARCH("Marketing Lead",C1493))&gt;0,'Configuración'!$B$33,IF(ISNUMBER(SEARCH("COO",C1493))+ISNUMBER(SEARCH("CFO",C1493))+ISNUMBER(SEARCH("CTO",C1493))+ISNUMBER(SEARCH("Chief Operating",C1493))+ISNUMBER(SEARCH("Chief Financial",C1493))+ISNUMBER(SEARCH("Gerente General",C1493))+ISNUMBER(SEARCH("General Manager",C1493))&gt;0,'Configuración'!$B$34,'Configuración'!$B$35)))))</f>
        <v>12</v>
      </c>
      <c r="V1493" s="38">
        <f>IF(B1493="","",IF(K1493="Sí",'Configuración'!$B$5,0)+IF(L1493="Semanal",'Configuración'!$B$6,IF(L1493="Mensual",'Configuración'!$B$7,0))+IF(M1493="Sí",'Configuración'!$B$8,0)+IF(N1493="Sí",'Configuración'!$B$9,0)+IF(O1493="Sí",'Configuración'!$B$10,0)+IF(P1493="Sí",'Configuración'!$B$11,0)+IF(Q1493="Sí",'Configuración'!$B$12,0)+S1493+T1493+U1493)</f>
        <v>20</v>
      </c>
      <c r="W1493" s="39" t="str">
        <f>IF(B1493="","",IF(V1493&gt;='Configuración'!$B$19,"A",IF(V1493&gt;='Configuración'!$B$20,"B",IF(V1493&gt;='Configuración'!$B$21,"C","Descarte"))))</f>
        <v>Descarte</v>
      </c>
    </row>
    <row r="1494" ht="15.75" customHeight="1">
      <c r="A1494" s="34">
        <f t="shared" si="1"/>
        <v>1492</v>
      </c>
      <c r="B1494" s="29" t="s">
        <v>324</v>
      </c>
      <c r="C1494" s="29" t="s">
        <v>487</v>
      </c>
      <c r="D1494" s="29" t="s">
        <v>8427</v>
      </c>
      <c r="E1494" s="29" t="s">
        <v>8428</v>
      </c>
      <c r="F1494" s="30" t="s">
        <v>8429</v>
      </c>
      <c r="G1494" s="30" t="s">
        <v>8430</v>
      </c>
      <c r="H1494" s="42" t="s">
        <v>8431</v>
      </c>
      <c r="I1494" s="29" t="s">
        <v>659</v>
      </c>
      <c r="J1494" s="31">
        <v>42.0</v>
      </c>
      <c r="K1494" s="35"/>
      <c r="L1494" s="35"/>
      <c r="M1494" s="35"/>
      <c r="N1494" s="35"/>
      <c r="O1494" s="35"/>
      <c r="P1494" s="35"/>
      <c r="Q1494" s="35"/>
      <c r="R1494" s="35"/>
      <c r="S1494" s="37">
        <f>IF(B1494="","",IF(ISNUMBER(J1494),IF(J1494&lt;=10,'Configuración'!$B$23,IF(J1494&lt;=50,'Configuración'!$B$24,IF(J1494&lt;=200,'Configuración'!$B$25,0))),0))</f>
        <v>4</v>
      </c>
      <c r="T1494" s="37">
        <f>IF(B1494="","",IF(ISNUMBER(SEARCH("information technology",I1494))+ISNUMBER(SEARCH("software",I1494))+ISNUMBER(SEARCH("internet",I1494))+ISNUMBER(SEARCH("computer",I1494))+ISNUMBER(SEARCH("saas",I1494))+ISNUMBER(SEARCH("fintech",I1494))+ISNUMBER(SEARCH("information services",I1494))+ISNUMBER(SEARCH("telecommunications",I1494))&gt;0,'Configuración'!$B$27,'Configuración'!$B$28))</f>
        <v>4</v>
      </c>
      <c r="U1494" s="25">
        <f>IF(B1494="","",IF(ISNUMBER(SEARCH("CEO",C1494))+ISNUMBER(SEARCH("Founder",C1494))+ISNUMBER(SEARCH("Owner",C1494))+ISNUMBER(SEARCH("Dueño",C1494))+ISNUMBER(SEARCH("Director General",C1494))+ISNUMBER(SEARCH("Presidente",C1494))+ISNUMBER(SEARCH("President",C1494))&gt;0,'Configuración'!$B$31,IF(ISNUMBER(SEARCH("CMO",C1494))+ISNUMBER(SEARCH("Chief Marketing",C1494))+ISNUMBER(SEARCH("VP Marketing",C1494))+ISNUMBER(SEARCH("Director de Marketing",C1494))+ISNUMBER(SEARCH("Director Marketing",C1494))+ISNUMBER(SEARCH("Head of Marketing",C1494))+ISNUMBER(SEARCH("Head Marketing",C1494))&gt;0,'Configuración'!$B$32,IF(ISNUMBER(SEARCH("Marketing Manager",C1494))+ISNUMBER(SEARCH("Gerente de Marketing",C1494))+ISNUMBER(SEARCH("Growth Manager",C1494))+ISNUMBER(SEARCH("Demand Gen",C1494))+ISNUMBER(SEARCH("Marketing Lead",C1494))&gt;0,'Configuración'!$B$33,IF(ISNUMBER(SEARCH("COO",C1494))+ISNUMBER(SEARCH("CFO",C1494))+ISNUMBER(SEARCH("CTO",C1494))+ISNUMBER(SEARCH("Chief Operating",C1494))+ISNUMBER(SEARCH("Chief Financial",C1494))+ISNUMBER(SEARCH("Gerente General",C1494))+ISNUMBER(SEARCH("General Manager",C1494))&gt;0,'Configuración'!$B$34,'Configuración'!$B$35)))))</f>
        <v>12</v>
      </c>
      <c r="V1494" s="38">
        <f>IF(B1494="","",IF(K1494="Sí",'Configuración'!$B$5,0)+IF(L1494="Semanal",'Configuración'!$B$6,IF(L1494="Mensual",'Configuración'!$B$7,0))+IF(M1494="Sí",'Configuración'!$B$8,0)+IF(N1494="Sí",'Configuración'!$B$9,0)+IF(O1494="Sí",'Configuración'!$B$10,0)+IF(P1494="Sí",'Configuración'!$B$11,0)+IF(Q1494="Sí",'Configuración'!$B$12,0)+S1494+T1494+U1494)</f>
        <v>20</v>
      </c>
      <c r="W1494" s="39" t="str">
        <f>IF(B1494="","",IF(V1494&gt;='Configuración'!$B$19,"A",IF(V1494&gt;='Configuración'!$B$20,"B",IF(V1494&gt;='Configuración'!$B$21,"C","Descarte"))))</f>
        <v>Descarte</v>
      </c>
    </row>
    <row r="1495" ht="15.75" customHeight="1">
      <c r="A1495" s="34">
        <f t="shared" si="1"/>
        <v>1493</v>
      </c>
      <c r="B1495" s="29" t="s">
        <v>8432</v>
      </c>
      <c r="C1495" s="29" t="s">
        <v>8433</v>
      </c>
      <c r="D1495" s="29" t="s">
        <v>8434</v>
      </c>
      <c r="E1495" s="29" t="s">
        <v>8435</v>
      </c>
      <c r="F1495" s="30" t="s">
        <v>8436</v>
      </c>
      <c r="G1495" s="30" t="s">
        <v>8437</v>
      </c>
      <c r="H1495" s="42" t="s">
        <v>8438</v>
      </c>
      <c r="I1495" s="29" t="s">
        <v>137</v>
      </c>
      <c r="J1495" s="31">
        <v>5.0</v>
      </c>
      <c r="K1495" s="35"/>
      <c r="L1495" s="35"/>
      <c r="M1495" s="35"/>
      <c r="N1495" s="35"/>
      <c r="O1495" s="35"/>
      <c r="P1495" s="35"/>
      <c r="Q1495" s="35"/>
      <c r="R1495" s="35"/>
      <c r="S1495" s="37">
        <f>IF(B1495="","",IF(ISNUMBER(J1495),IF(J1495&lt;=10,'Configuración'!$B$23,IF(J1495&lt;=50,'Configuración'!$B$24,IF(J1495&lt;=200,'Configuración'!$B$25,0))),0))</f>
        <v>12</v>
      </c>
      <c r="T1495" s="37">
        <f>IF(B1495="","",IF(ISNUMBER(SEARCH("information technology",I1495))+ISNUMBER(SEARCH("software",I1495))+ISNUMBER(SEARCH("internet",I1495))+ISNUMBER(SEARCH("computer",I1495))+ISNUMBER(SEARCH("saas",I1495))+ISNUMBER(SEARCH("fintech",I1495))+ISNUMBER(SEARCH("information services",I1495))+ISNUMBER(SEARCH("telecommunications",I1495))&gt;0,'Configuración'!$B$27,'Configuración'!$B$28))</f>
        <v>4</v>
      </c>
      <c r="U1495" s="25">
        <f>IF(B1495="","",IF(ISNUMBER(SEARCH("CEO",C1495))+ISNUMBER(SEARCH("Founder",C1495))+ISNUMBER(SEARCH("Owner",C1495))+ISNUMBER(SEARCH("Dueño",C1495))+ISNUMBER(SEARCH("Director General",C1495))+ISNUMBER(SEARCH("Presidente",C1495))+ISNUMBER(SEARCH("President",C1495))&gt;0,'Configuración'!$B$31,IF(ISNUMBER(SEARCH("CMO",C1495))+ISNUMBER(SEARCH("Chief Marketing",C1495))+ISNUMBER(SEARCH("VP Marketing",C1495))+ISNUMBER(SEARCH("Director de Marketing",C1495))+ISNUMBER(SEARCH("Director Marketing",C1495))+ISNUMBER(SEARCH("Head of Marketing",C1495))+ISNUMBER(SEARCH("Head Marketing",C1495))&gt;0,'Configuración'!$B$32,IF(ISNUMBER(SEARCH("Marketing Manager",C1495))+ISNUMBER(SEARCH("Gerente de Marketing",C1495))+ISNUMBER(SEARCH("Growth Manager",C1495))+ISNUMBER(SEARCH("Demand Gen",C1495))+ISNUMBER(SEARCH("Marketing Lead",C1495))&gt;0,'Configuración'!$B$33,IF(ISNUMBER(SEARCH("COO",C1495))+ISNUMBER(SEARCH("CFO",C1495))+ISNUMBER(SEARCH("CTO",C1495))+ISNUMBER(SEARCH("Chief Operating",C1495))+ISNUMBER(SEARCH("Chief Financial",C1495))+ISNUMBER(SEARCH("Gerente General",C1495))+ISNUMBER(SEARCH("General Manager",C1495))&gt;0,'Configuración'!$B$34,'Configuración'!$B$35)))))</f>
        <v>12</v>
      </c>
      <c r="V1495" s="38">
        <f>IF(B1495="","",IF(K1495="Sí",'Configuración'!$B$5,0)+IF(L1495="Semanal",'Configuración'!$B$6,IF(L1495="Mensual",'Configuración'!$B$7,0))+IF(M1495="Sí",'Configuración'!$B$8,0)+IF(N1495="Sí",'Configuración'!$B$9,0)+IF(O1495="Sí",'Configuración'!$B$10,0)+IF(P1495="Sí",'Configuración'!$B$11,0)+IF(Q1495="Sí",'Configuración'!$B$12,0)+S1495+T1495+U1495)</f>
        <v>28</v>
      </c>
      <c r="W1495" s="39" t="str">
        <f>IF(B1495="","",IF(V1495&gt;='Configuración'!$B$19,"A",IF(V1495&gt;='Configuración'!$B$20,"B",IF(V1495&gt;='Configuración'!$B$21,"C","Descarte"))))</f>
        <v>C</v>
      </c>
    </row>
    <row r="1496" ht="15.75" customHeight="1">
      <c r="A1496" s="34">
        <f t="shared" si="1"/>
        <v>1494</v>
      </c>
      <c r="B1496" s="29" t="s">
        <v>1814</v>
      </c>
      <c r="C1496" s="29" t="s">
        <v>8439</v>
      </c>
      <c r="D1496" s="29" t="s">
        <v>8440</v>
      </c>
      <c r="E1496" s="29" t="s">
        <v>8441</v>
      </c>
      <c r="F1496" s="30" t="s">
        <v>8442</v>
      </c>
      <c r="G1496" s="30" t="s">
        <v>8443</v>
      </c>
      <c r="H1496" s="42" t="s">
        <v>8444</v>
      </c>
      <c r="I1496" s="29" t="s">
        <v>188</v>
      </c>
      <c r="J1496" s="31">
        <v>2.0</v>
      </c>
      <c r="K1496" s="35"/>
      <c r="L1496" s="35"/>
      <c r="M1496" s="35"/>
      <c r="N1496" s="35"/>
      <c r="O1496" s="35"/>
      <c r="P1496" s="35"/>
      <c r="Q1496" s="35"/>
      <c r="R1496" s="35"/>
      <c r="S1496" s="37">
        <f>IF(B1496="","",IF(ISNUMBER(J1496),IF(J1496&lt;=10,'Configuración'!$B$23,IF(J1496&lt;=50,'Configuración'!$B$24,IF(J1496&lt;=200,'Configuración'!$B$25,0))),0))</f>
        <v>12</v>
      </c>
      <c r="T1496" s="37">
        <f>IF(B1496="","",IF(ISNUMBER(SEARCH("information technology",I1496))+ISNUMBER(SEARCH("software",I1496))+ISNUMBER(SEARCH("internet",I1496))+ISNUMBER(SEARCH("computer",I1496))+ISNUMBER(SEARCH("saas",I1496))+ISNUMBER(SEARCH("fintech",I1496))+ISNUMBER(SEARCH("information services",I1496))+ISNUMBER(SEARCH("telecommunications",I1496))&gt;0,'Configuración'!$B$27,'Configuración'!$B$28))</f>
        <v>4</v>
      </c>
      <c r="U1496" s="25">
        <f>IF(B1496="","",IF(ISNUMBER(SEARCH("CEO",C1496))+ISNUMBER(SEARCH("Founder",C1496))+ISNUMBER(SEARCH("Owner",C1496))+ISNUMBER(SEARCH("Dueño",C1496))+ISNUMBER(SEARCH("Director General",C1496))+ISNUMBER(SEARCH("Presidente",C1496))+ISNUMBER(SEARCH("President",C1496))&gt;0,'Configuración'!$B$31,IF(ISNUMBER(SEARCH("CMO",C1496))+ISNUMBER(SEARCH("Chief Marketing",C1496))+ISNUMBER(SEARCH("VP Marketing",C1496))+ISNUMBER(SEARCH("Director de Marketing",C1496))+ISNUMBER(SEARCH("Director Marketing",C1496))+ISNUMBER(SEARCH("Head of Marketing",C1496))+ISNUMBER(SEARCH("Head Marketing",C1496))&gt;0,'Configuración'!$B$32,IF(ISNUMBER(SEARCH("Marketing Manager",C1496))+ISNUMBER(SEARCH("Gerente de Marketing",C1496))+ISNUMBER(SEARCH("Growth Manager",C1496))+ISNUMBER(SEARCH("Demand Gen",C1496))+ISNUMBER(SEARCH("Marketing Lead",C1496))&gt;0,'Configuración'!$B$33,IF(ISNUMBER(SEARCH("COO",C1496))+ISNUMBER(SEARCH("CFO",C1496))+ISNUMBER(SEARCH("CTO",C1496))+ISNUMBER(SEARCH("Chief Operating",C1496))+ISNUMBER(SEARCH("Chief Financial",C1496))+ISNUMBER(SEARCH("Gerente General",C1496))+ISNUMBER(SEARCH("General Manager",C1496))&gt;0,'Configuración'!$B$34,'Configuración'!$B$35)))))</f>
        <v>4</v>
      </c>
      <c r="V1496" s="38">
        <f>IF(B1496="","",IF(K1496="Sí",'Configuración'!$B$5,0)+IF(L1496="Semanal",'Configuración'!$B$6,IF(L1496="Mensual",'Configuración'!$B$7,0))+IF(M1496="Sí",'Configuración'!$B$8,0)+IF(N1496="Sí",'Configuración'!$B$9,0)+IF(O1496="Sí",'Configuración'!$B$10,0)+IF(P1496="Sí",'Configuración'!$B$11,0)+IF(Q1496="Sí",'Configuración'!$B$12,0)+S1496+T1496+U1496)</f>
        <v>20</v>
      </c>
      <c r="W1496" s="39" t="str">
        <f>IF(B1496="","",IF(V1496&gt;='Configuración'!$B$19,"A",IF(V1496&gt;='Configuración'!$B$20,"B",IF(V1496&gt;='Configuración'!$B$21,"C","Descarte"))))</f>
        <v>Descarte</v>
      </c>
    </row>
    <row r="1497" ht="15.75" customHeight="1">
      <c r="A1497" s="34">
        <f t="shared" si="1"/>
        <v>1495</v>
      </c>
      <c r="B1497" s="29" t="s">
        <v>3167</v>
      </c>
      <c r="C1497" s="29" t="s">
        <v>4399</v>
      </c>
      <c r="D1497" s="29" t="s">
        <v>8445</v>
      </c>
      <c r="E1497" s="29" t="s">
        <v>8446</v>
      </c>
      <c r="F1497" s="30" t="s">
        <v>8447</v>
      </c>
      <c r="G1497" s="30" t="s">
        <v>8448</v>
      </c>
      <c r="H1497" s="42" t="s">
        <v>8449</v>
      </c>
      <c r="I1497" s="29" t="s">
        <v>127</v>
      </c>
      <c r="J1497" s="31">
        <v>9.0</v>
      </c>
      <c r="K1497" s="35"/>
      <c r="L1497" s="35"/>
      <c r="M1497" s="35"/>
      <c r="N1497" s="35"/>
      <c r="O1497" s="35"/>
      <c r="P1497" s="35"/>
      <c r="Q1497" s="35"/>
      <c r="R1497" s="35"/>
      <c r="S1497" s="37">
        <f>IF(B1497="","",IF(ISNUMBER(J1497),IF(J1497&lt;=10,'Configuración'!$B$23,IF(J1497&lt;=50,'Configuración'!$B$24,IF(J1497&lt;=200,'Configuración'!$B$25,0))),0))</f>
        <v>12</v>
      </c>
      <c r="T1497" s="37">
        <f>IF(B1497="","",IF(ISNUMBER(SEARCH("information technology",I1497))+ISNUMBER(SEARCH("software",I1497))+ISNUMBER(SEARCH("internet",I1497))+ISNUMBER(SEARCH("computer",I1497))+ISNUMBER(SEARCH("saas",I1497))+ISNUMBER(SEARCH("fintech",I1497))+ISNUMBER(SEARCH("information services",I1497))+ISNUMBER(SEARCH("telecommunications",I1497))&gt;0,'Configuración'!$B$27,'Configuración'!$B$28))</f>
        <v>12</v>
      </c>
      <c r="U1497" s="25">
        <f>IF(B1497="","",IF(ISNUMBER(SEARCH("CEO",C1497))+ISNUMBER(SEARCH("Founder",C1497))+ISNUMBER(SEARCH("Owner",C1497))+ISNUMBER(SEARCH("Dueño",C1497))+ISNUMBER(SEARCH("Director General",C1497))+ISNUMBER(SEARCH("Presidente",C1497))+ISNUMBER(SEARCH("President",C1497))&gt;0,'Configuración'!$B$31,IF(ISNUMBER(SEARCH("CMO",C1497))+ISNUMBER(SEARCH("Chief Marketing",C1497))+ISNUMBER(SEARCH("VP Marketing",C1497))+ISNUMBER(SEARCH("Director de Marketing",C1497))+ISNUMBER(SEARCH("Director Marketing",C1497))+ISNUMBER(SEARCH("Head of Marketing",C1497))+ISNUMBER(SEARCH("Head Marketing",C1497))&gt;0,'Configuración'!$B$32,IF(ISNUMBER(SEARCH("Marketing Manager",C1497))+ISNUMBER(SEARCH("Gerente de Marketing",C1497))+ISNUMBER(SEARCH("Growth Manager",C1497))+ISNUMBER(SEARCH("Demand Gen",C1497))+ISNUMBER(SEARCH("Marketing Lead",C1497))&gt;0,'Configuración'!$B$33,IF(ISNUMBER(SEARCH("COO",C1497))+ISNUMBER(SEARCH("CFO",C1497))+ISNUMBER(SEARCH("CTO",C1497))+ISNUMBER(SEARCH("Chief Operating",C1497))+ISNUMBER(SEARCH("Chief Financial",C1497))+ISNUMBER(SEARCH("Gerente General",C1497))+ISNUMBER(SEARCH("General Manager",C1497))&gt;0,'Configuración'!$B$34,'Configuración'!$B$35)))))</f>
        <v>12</v>
      </c>
      <c r="V1497" s="38">
        <f>IF(B1497="","",IF(K1497="Sí",'Configuración'!$B$5,0)+IF(L1497="Semanal",'Configuración'!$B$6,IF(L1497="Mensual",'Configuración'!$B$7,0))+IF(M1497="Sí",'Configuración'!$B$8,0)+IF(N1497="Sí",'Configuración'!$B$9,0)+IF(O1497="Sí",'Configuración'!$B$10,0)+IF(P1497="Sí",'Configuración'!$B$11,0)+IF(Q1497="Sí",'Configuración'!$B$12,0)+S1497+T1497+U1497)</f>
        <v>36</v>
      </c>
      <c r="W1497" s="39" t="str">
        <f>IF(B1497="","",IF(V1497&gt;='Configuración'!$B$19,"A",IF(V1497&gt;='Configuración'!$B$20,"B",IF(V1497&gt;='Configuración'!$B$21,"C","Descarte"))))</f>
        <v>C</v>
      </c>
    </row>
    <row r="1498" ht="15.75" customHeight="1">
      <c r="A1498" s="34">
        <f t="shared" si="1"/>
        <v>1496</v>
      </c>
      <c r="B1498" s="29" t="s">
        <v>1882</v>
      </c>
      <c r="C1498" s="29" t="s">
        <v>8450</v>
      </c>
      <c r="D1498" s="29" t="s">
        <v>8451</v>
      </c>
      <c r="E1498" s="29" t="s">
        <v>8452</v>
      </c>
      <c r="F1498" s="30" t="s">
        <v>8453</v>
      </c>
      <c r="G1498" s="30" t="s">
        <v>8454</v>
      </c>
      <c r="H1498" s="42" t="s">
        <v>8455</v>
      </c>
      <c r="I1498" s="29" t="s">
        <v>188</v>
      </c>
      <c r="J1498" s="31">
        <v>11.0</v>
      </c>
      <c r="K1498" s="35"/>
      <c r="L1498" s="35"/>
      <c r="M1498" s="35"/>
      <c r="N1498" s="35"/>
      <c r="O1498" s="35"/>
      <c r="P1498" s="35"/>
      <c r="Q1498" s="35"/>
      <c r="R1498" s="35"/>
      <c r="S1498" s="37">
        <f>IF(B1498="","",IF(ISNUMBER(J1498),IF(J1498&lt;=10,'Configuración'!$B$23,IF(J1498&lt;=50,'Configuración'!$B$24,IF(J1498&lt;=200,'Configuración'!$B$25,0))),0))</f>
        <v>4</v>
      </c>
      <c r="T1498" s="37">
        <f>IF(B1498="","",IF(ISNUMBER(SEARCH("information technology",I1498))+ISNUMBER(SEARCH("software",I1498))+ISNUMBER(SEARCH("internet",I1498))+ISNUMBER(SEARCH("computer",I1498))+ISNUMBER(SEARCH("saas",I1498))+ISNUMBER(SEARCH("fintech",I1498))+ISNUMBER(SEARCH("information services",I1498))+ISNUMBER(SEARCH("telecommunications",I1498))&gt;0,'Configuración'!$B$27,'Configuración'!$B$28))</f>
        <v>4</v>
      </c>
      <c r="U1498" s="25">
        <f>IF(B1498="","",IF(ISNUMBER(SEARCH("CEO",C1498))+ISNUMBER(SEARCH("Founder",C1498))+ISNUMBER(SEARCH("Owner",C1498))+ISNUMBER(SEARCH("Dueño",C1498))+ISNUMBER(SEARCH("Director General",C1498))+ISNUMBER(SEARCH("Presidente",C1498))+ISNUMBER(SEARCH("President",C1498))&gt;0,'Configuración'!$B$31,IF(ISNUMBER(SEARCH("CMO",C1498))+ISNUMBER(SEARCH("Chief Marketing",C1498))+ISNUMBER(SEARCH("VP Marketing",C1498))+ISNUMBER(SEARCH("Director de Marketing",C1498))+ISNUMBER(SEARCH("Director Marketing",C1498))+ISNUMBER(SEARCH("Head of Marketing",C1498))+ISNUMBER(SEARCH("Head Marketing",C1498))&gt;0,'Configuración'!$B$32,IF(ISNUMBER(SEARCH("Marketing Manager",C1498))+ISNUMBER(SEARCH("Gerente de Marketing",C1498))+ISNUMBER(SEARCH("Growth Manager",C1498))+ISNUMBER(SEARCH("Demand Gen",C1498))+ISNUMBER(SEARCH("Marketing Lead",C1498))&gt;0,'Configuración'!$B$33,IF(ISNUMBER(SEARCH("COO",C1498))+ISNUMBER(SEARCH("CFO",C1498))+ISNUMBER(SEARCH("CTO",C1498))+ISNUMBER(SEARCH("Chief Operating",C1498))+ISNUMBER(SEARCH("Chief Financial",C1498))+ISNUMBER(SEARCH("Gerente General",C1498))+ISNUMBER(SEARCH("General Manager",C1498))&gt;0,'Configuración'!$B$34,'Configuración'!$B$35)))))</f>
        <v>12</v>
      </c>
      <c r="V1498" s="38">
        <f>IF(B1498="","",IF(K1498="Sí",'Configuración'!$B$5,0)+IF(L1498="Semanal",'Configuración'!$B$6,IF(L1498="Mensual",'Configuración'!$B$7,0))+IF(M1498="Sí",'Configuración'!$B$8,0)+IF(N1498="Sí",'Configuración'!$B$9,0)+IF(O1498="Sí",'Configuración'!$B$10,0)+IF(P1498="Sí",'Configuración'!$B$11,0)+IF(Q1498="Sí",'Configuración'!$B$12,0)+S1498+T1498+U1498)</f>
        <v>20</v>
      </c>
      <c r="W1498" s="39" t="str">
        <f>IF(B1498="","",IF(V1498&gt;='Configuración'!$B$19,"A",IF(V1498&gt;='Configuración'!$B$20,"B",IF(V1498&gt;='Configuración'!$B$21,"C","Descarte"))))</f>
        <v>Descarte</v>
      </c>
    </row>
    <row r="1499" ht="15.75" customHeight="1">
      <c r="A1499" s="34">
        <f t="shared" si="1"/>
        <v>1497</v>
      </c>
      <c r="B1499" s="29" t="s">
        <v>1510</v>
      </c>
      <c r="C1499" s="29" t="s">
        <v>8456</v>
      </c>
      <c r="D1499" s="40" t="s">
        <v>8457</v>
      </c>
      <c r="E1499" s="29" t="s">
        <v>8458</v>
      </c>
      <c r="F1499" s="30" t="s">
        <v>8459</v>
      </c>
      <c r="G1499" s="30" t="s">
        <v>8460</v>
      </c>
      <c r="H1499" s="42" t="s">
        <v>8461</v>
      </c>
      <c r="I1499" s="29" t="s">
        <v>4697</v>
      </c>
      <c r="J1499" s="31">
        <v>2.0</v>
      </c>
      <c r="K1499" s="35"/>
      <c r="L1499" s="35"/>
      <c r="M1499" s="35"/>
      <c r="N1499" s="35"/>
      <c r="O1499" s="35"/>
      <c r="P1499" s="35"/>
      <c r="Q1499" s="35"/>
      <c r="R1499" s="35"/>
      <c r="S1499" s="37">
        <f>IF(B1499="","",IF(ISNUMBER(J1499),IF(J1499&lt;=10,'Configuración'!$B$23,IF(J1499&lt;=50,'Configuración'!$B$24,IF(J1499&lt;=200,'Configuración'!$B$25,0))),0))</f>
        <v>12</v>
      </c>
      <c r="T1499" s="37">
        <f>IF(B1499="","",IF(ISNUMBER(SEARCH("information technology",I1499))+ISNUMBER(SEARCH("software",I1499))+ISNUMBER(SEARCH("internet",I1499))+ISNUMBER(SEARCH("computer",I1499))+ISNUMBER(SEARCH("saas",I1499))+ISNUMBER(SEARCH("fintech",I1499))+ISNUMBER(SEARCH("information services",I1499))+ISNUMBER(SEARCH("telecommunications",I1499))&gt;0,'Configuración'!$B$27,'Configuración'!$B$28))</f>
        <v>4</v>
      </c>
      <c r="U1499" s="25">
        <f>IF(B1499="","",IF(ISNUMBER(SEARCH("CEO",C1499))+ISNUMBER(SEARCH("Founder",C1499))+ISNUMBER(SEARCH("Owner",C1499))+ISNUMBER(SEARCH("Dueño",C1499))+ISNUMBER(SEARCH("Director General",C1499))+ISNUMBER(SEARCH("Presidente",C1499))+ISNUMBER(SEARCH("President",C1499))&gt;0,'Configuración'!$B$31,IF(ISNUMBER(SEARCH("CMO",C1499))+ISNUMBER(SEARCH("Chief Marketing",C1499))+ISNUMBER(SEARCH("VP Marketing",C1499))+ISNUMBER(SEARCH("Director de Marketing",C1499))+ISNUMBER(SEARCH("Director Marketing",C1499))+ISNUMBER(SEARCH("Head of Marketing",C1499))+ISNUMBER(SEARCH("Head Marketing",C1499))&gt;0,'Configuración'!$B$32,IF(ISNUMBER(SEARCH("Marketing Manager",C1499))+ISNUMBER(SEARCH("Gerente de Marketing",C1499))+ISNUMBER(SEARCH("Growth Manager",C1499))+ISNUMBER(SEARCH("Demand Gen",C1499))+ISNUMBER(SEARCH("Marketing Lead",C1499))&gt;0,'Configuración'!$B$33,IF(ISNUMBER(SEARCH("COO",C1499))+ISNUMBER(SEARCH("CFO",C1499))+ISNUMBER(SEARCH("CTO",C1499))+ISNUMBER(SEARCH("Chief Operating",C1499))+ISNUMBER(SEARCH("Chief Financial",C1499))+ISNUMBER(SEARCH("Gerente General",C1499))+ISNUMBER(SEARCH("General Manager",C1499))&gt;0,'Configuración'!$B$34,'Configuración'!$B$35)))))</f>
        <v>12</v>
      </c>
      <c r="V1499" s="38">
        <f>IF(B1499="","",IF(K1499="Sí",'Configuración'!$B$5,0)+IF(L1499="Semanal",'Configuración'!$B$6,IF(L1499="Mensual",'Configuración'!$B$7,0))+IF(M1499="Sí",'Configuración'!$B$8,0)+IF(N1499="Sí",'Configuración'!$B$9,0)+IF(O1499="Sí",'Configuración'!$B$10,0)+IF(P1499="Sí",'Configuración'!$B$11,0)+IF(Q1499="Sí",'Configuración'!$B$12,0)+S1499+T1499+U1499)</f>
        <v>28</v>
      </c>
      <c r="W1499" s="39" t="str">
        <f>IF(B1499="","",IF(V1499&gt;='Configuración'!$B$19,"A",IF(V1499&gt;='Configuración'!$B$20,"B",IF(V1499&gt;='Configuración'!$B$21,"C","Descarte"))))</f>
        <v>C</v>
      </c>
    </row>
    <row r="1500" ht="15.75" customHeight="1">
      <c r="A1500" s="34">
        <f t="shared" si="1"/>
        <v>1498</v>
      </c>
      <c r="B1500" s="29" t="s">
        <v>3658</v>
      </c>
      <c r="C1500" s="29" t="s">
        <v>131</v>
      </c>
      <c r="D1500" s="30" t="s">
        <v>8462</v>
      </c>
      <c r="E1500" s="29" t="s">
        <v>8463</v>
      </c>
      <c r="F1500" s="30" t="s">
        <v>8464</v>
      </c>
      <c r="G1500" s="30" t="s">
        <v>8465</v>
      </c>
      <c r="H1500" s="42" t="s">
        <v>8466</v>
      </c>
      <c r="I1500" s="29" t="s">
        <v>127</v>
      </c>
      <c r="J1500" s="31">
        <v>1.0</v>
      </c>
      <c r="K1500" s="35"/>
      <c r="L1500" s="35"/>
      <c r="M1500" s="35"/>
      <c r="N1500" s="35"/>
      <c r="O1500" s="35"/>
      <c r="P1500" s="35"/>
      <c r="Q1500" s="35"/>
      <c r="R1500" s="35"/>
      <c r="S1500" s="37">
        <f>IF(B1500="","",IF(ISNUMBER(J1500),IF(J1500&lt;=10,'Configuración'!$B$23,IF(J1500&lt;=50,'Configuración'!$B$24,IF(J1500&lt;=200,'Configuración'!$B$25,0))),0))</f>
        <v>12</v>
      </c>
      <c r="T1500" s="37">
        <f>IF(B1500="","",IF(ISNUMBER(SEARCH("information technology",I1500))+ISNUMBER(SEARCH("software",I1500))+ISNUMBER(SEARCH("internet",I1500))+ISNUMBER(SEARCH("computer",I1500))+ISNUMBER(SEARCH("saas",I1500))+ISNUMBER(SEARCH("fintech",I1500))+ISNUMBER(SEARCH("information services",I1500))+ISNUMBER(SEARCH("telecommunications",I1500))&gt;0,'Configuración'!$B$27,'Configuración'!$B$28))</f>
        <v>12</v>
      </c>
      <c r="U1500" s="25">
        <f>IF(B1500="","",IF(ISNUMBER(SEARCH("CEO",C1500))+ISNUMBER(SEARCH("Founder",C1500))+ISNUMBER(SEARCH("Owner",C1500))+ISNUMBER(SEARCH("Dueño",C1500))+ISNUMBER(SEARCH("Director General",C1500))+ISNUMBER(SEARCH("Presidente",C1500))+ISNUMBER(SEARCH("President",C1500))&gt;0,'Configuración'!$B$31,IF(ISNUMBER(SEARCH("CMO",C1500))+ISNUMBER(SEARCH("Chief Marketing",C1500))+ISNUMBER(SEARCH("VP Marketing",C1500))+ISNUMBER(SEARCH("Director de Marketing",C1500))+ISNUMBER(SEARCH("Director Marketing",C1500))+ISNUMBER(SEARCH("Head of Marketing",C1500))+ISNUMBER(SEARCH("Head Marketing",C1500))&gt;0,'Configuración'!$B$32,IF(ISNUMBER(SEARCH("Marketing Manager",C1500))+ISNUMBER(SEARCH("Gerente de Marketing",C1500))+ISNUMBER(SEARCH("Growth Manager",C1500))+ISNUMBER(SEARCH("Demand Gen",C1500))+ISNUMBER(SEARCH("Marketing Lead",C1500))&gt;0,'Configuración'!$B$33,IF(ISNUMBER(SEARCH("COO",C1500))+ISNUMBER(SEARCH("CFO",C1500))+ISNUMBER(SEARCH("CTO",C1500))+ISNUMBER(SEARCH("Chief Operating",C1500))+ISNUMBER(SEARCH("Chief Financial",C1500))+ISNUMBER(SEARCH("Gerente General",C1500))+ISNUMBER(SEARCH("General Manager",C1500))&gt;0,'Configuración'!$B$34,'Configuración'!$B$35)))))</f>
        <v>12</v>
      </c>
      <c r="V1500" s="38">
        <f>IF(B1500="","",IF(K1500="Sí",'Configuración'!$B$5,0)+IF(L1500="Semanal",'Configuración'!$B$6,IF(L1500="Mensual",'Configuración'!$B$7,0))+IF(M1500="Sí",'Configuración'!$B$8,0)+IF(N1500="Sí",'Configuración'!$B$9,0)+IF(O1500="Sí",'Configuración'!$B$10,0)+IF(P1500="Sí",'Configuración'!$B$11,0)+IF(Q1500="Sí",'Configuración'!$B$12,0)+S1500+T1500+U1500)</f>
        <v>36</v>
      </c>
      <c r="W1500" s="39" t="str">
        <f>IF(B1500="","",IF(V1500&gt;='Configuración'!$B$19,"A",IF(V1500&gt;='Configuración'!$B$20,"B",IF(V1500&gt;='Configuración'!$B$21,"C","Descarte"))))</f>
        <v>C</v>
      </c>
    </row>
    <row r="1501" ht="15.75" customHeight="1">
      <c r="A1501" s="34">
        <f t="shared" si="1"/>
        <v>1499</v>
      </c>
      <c r="B1501" s="29" t="s">
        <v>8467</v>
      </c>
      <c r="C1501" s="29" t="s">
        <v>622</v>
      </c>
      <c r="D1501" s="29" t="s">
        <v>8468</v>
      </c>
      <c r="E1501" s="29" t="s">
        <v>8469</v>
      </c>
      <c r="F1501" s="30" t="s">
        <v>8470</v>
      </c>
      <c r="G1501" s="30" t="s">
        <v>8471</v>
      </c>
      <c r="H1501" s="42" t="s">
        <v>8472</v>
      </c>
      <c r="I1501" s="29" t="s">
        <v>127</v>
      </c>
      <c r="J1501" s="31">
        <v>1.0</v>
      </c>
      <c r="K1501" s="35"/>
      <c r="L1501" s="35"/>
      <c r="M1501" s="35"/>
      <c r="N1501" s="35"/>
      <c r="O1501" s="35"/>
      <c r="P1501" s="35"/>
      <c r="Q1501" s="35"/>
      <c r="R1501" s="35"/>
      <c r="S1501" s="37">
        <f>IF(B1501="","",IF(ISNUMBER(J1501),IF(J1501&lt;=10,'Configuración'!$B$23,IF(J1501&lt;=50,'Configuración'!$B$24,IF(J1501&lt;=200,'Configuración'!$B$25,0))),0))</f>
        <v>12</v>
      </c>
      <c r="T1501" s="37">
        <f>IF(B1501="","",IF(ISNUMBER(SEARCH("information technology",I1501))+ISNUMBER(SEARCH("software",I1501))+ISNUMBER(SEARCH("internet",I1501))+ISNUMBER(SEARCH("computer",I1501))+ISNUMBER(SEARCH("saas",I1501))+ISNUMBER(SEARCH("fintech",I1501))+ISNUMBER(SEARCH("information services",I1501))+ISNUMBER(SEARCH("telecommunications",I1501))&gt;0,'Configuración'!$B$27,'Configuración'!$B$28))</f>
        <v>12</v>
      </c>
      <c r="U1501" s="25">
        <f>IF(B1501="","",IF(ISNUMBER(SEARCH("CEO",C1501))+ISNUMBER(SEARCH("Founder",C1501))+ISNUMBER(SEARCH("Owner",C1501))+ISNUMBER(SEARCH("Dueño",C1501))+ISNUMBER(SEARCH("Director General",C1501))+ISNUMBER(SEARCH("Presidente",C1501))+ISNUMBER(SEARCH("President",C1501))&gt;0,'Configuración'!$B$31,IF(ISNUMBER(SEARCH("CMO",C1501))+ISNUMBER(SEARCH("Chief Marketing",C1501))+ISNUMBER(SEARCH("VP Marketing",C1501))+ISNUMBER(SEARCH("Director de Marketing",C1501))+ISNUMBER(SEARCH("Director Marketing",C1501))+ISNUMBER(SEARCH("Head of Marketing",C1501))+ISNUMBER(SEARCH("Head Marketing",C1501))&gt;0,'Configuración'!$B$32,IF(ISNUMBER(SEARCH("Marketing Manager",C1501))+ISNUMBER(SEARCH("Gerente de Marketing",C1501))+ISNUMBER(SEARCH("Growth Manager",C1501))+ISNUMBER(SEARCH("Demand Gen",C1501))+ISNUMBER(SEARCH("Marketing Lead",C1501))&gt;0,'Configuración'!$B$33,IF(ISNUMBER(SEARCH("COO",C1501))+ISNUMBER(SEARCH("CFO",C1501))+ISNUMBER(SEARCH("CTO",C1501))+ISNUMBER(SEARCH("Chief Operating",C1501))+ISNUMBER(SEARCH("Chief Financial",C1501))+ISNUMBER(SEARCH("Gerente General",C1501))+ISNUMBER(SEARCH("General Manager",C1501))&gt;0,'Configuración'!$B$34,'Configuración'!$B$35)))))</f>
        <v>12</v>
      </c>
      <c r="V1501" s="38">
        <f>IF(B1501="","",IF(K1501="Sí",'Configuración'!$B$5,0)+IF(L1501="Semanal",'Configuración'!$B$6,IF(L1501="Mensual",'Configuración'!$B$7,0))+IF(M1501="Sí",'Configuración'!$B$8,0)+IF(N1501="Sí",'Configuración'!$B$9,0)+IF(O1501="Sí",'Configuración'!$B$10,0)+IF(P1501="Sí",'Configuración'!$B$11,0)+IF(Q1501="Sí",'Configuración'!$B$12,0)+S1501+T1501+U1501)</f>
        <v>36</v>
      </c>
      <c r="W1501" s="39" t="str">
        <f>IF(B1501="","",IF(V1501&gt;='Configuración'!$B$19,"A",IF(V1501&gt;='Configuración'!$B$20,"B",IF(V1501&gt;='Configuración'!$B$21,"C","Descarte"))))</f>
        <v>C</v>
      </c>
    </row>
    <row r="1502" ht="15.75" customHeight="1">
      <c r="A1502" s="34">
        <f t="shared" si="1"/>
        <v>1500</v>
      </c>
      <c r="B1502" s="29" t="s">
        <v>8473</v>
      </c>
      <c r="C1502" s="29" t="s">
        <v>8474</v>
      </c>
      <c r="D1502" s="29" t="s">
        <v>8475</v>
      </c>
      <c r="E1502" s="29" t="s">
        <v>8476</v>
      </c>
      <c r="F1502" s="30" t="s">
        <v>8477</v>
      </c>
      <c r="G1502" s="30" t="s">
        <v>8478</v>
      </c>
      <c r="H1502" s="42" t="s">
        <v>8479</v>
      </c>
      <c r="I1502" s="29" t="s">
        <v>127</v>
      </c>
      <c r="J1502" s="31">
        <v>6.0</v>
      </c>
      <c r="K1502" s="35"/>
      <c r="L1502" s="35"/>
      <c r="M1502" s="35"/>
      <c r="N1502" s="35"/>
      <c r="O1502" s="35"/>
      <c r="P1502" s="35"/>
      <c r="Q1502" s="35"/>
      <c r="R1502" s="35"/>
      <c r="S1502" s="37">
        <f>IF(B1502="","",IF(ISNUMBER(J1502),IF(J1502&lt;=10,'Configuración'!$B$23,IF(J1502&lt;=50,'Configuración'!$B$24,IF(J1502&lt;=200,'Configuración'!$B$25,0))),0))</f>
        <v>12</v>
      </c>
      <c r="T1502" s="37">
        <f>IF(B1502="","",IF(ISNUMBER(SEARCH("information technology",I1502))+ISNUMBER(SEARCH("software",I1502))+ISNUMBER(SEARCH("internet",I1502))+ISNUMBER(SEARCH("computer",I1502))+ISNUMBER(SEARCH("saas",I1502))+ISNUMBER(SEARCH("fintech",I1502))+ISNUMBER(SEARCH("information services",I1502))+ISNUMBER(SEARCH("telecommunications",I1502))&gt;0,'Configuración'!$B$27,'Configuración'!$B$28))</f>
        <v>12</v>
      </c>
      <c r="U1502" s="25">
        <f>IF(B1502="","",IF(ISNUMBER(SEARCH("CEO",C1502))+ISNUMBER(SEARCH("Founder",C1502))+ISNUMBER(SEARCH("Owner",C1502))+ISNUMBER(SEARCH("Dueño",C1502))+ISNUMBER(SEARCH("Director General",C1502))+ISNUMBER(SEARCH("Presidente",C1502))+ISNUMBER(SEARCH("President",C1502))&gt;0,'Configuración'!$B$31,IF(ISNUMBER(SEARCH("CMO",C1502))+ISNUMBER(SEARCH("Chief Marketing",C1502))+ISNUMBER(SEARCH("VP Marketing",C1502))+ISNUMBER(SEARCH("Director de Marketing",C1502))+ISNUMBER(SEARCH("Director Marketing",C1502))+ISNUMBER(SEARCH("Head of Marketing",C1502))+ISNUMBER(SEARCH("Head Marketing",C1502))&gt;0,'Configuración'!$B$32,IF(ISNUMBER(SEARCH("Marketing Manager",C1502))+ISNUMBER(SEARCH("Gerente de Marketing",C1502))+ISNUMBER(SEARCH("Growth Manager",C1502))+ISNUMBER(SEARCH("Demand Gen",C1502))+ISNUMBER(SEARCH("Marketing Lead",C1502))&gt;0,'Configuración'!$B$33,IF(ISNUMBER(SEARCH("COO",C1502))+ISNUMBER(SEARCH("CFO",C1502))+ISNUMBER(SEARCH("CTO",C1502))+ISNUMBER(SEARCH("Chief Operating",C1502))+ISNUMBER(SEARCH("Chief Financial",C1502))+ISNUMBER(SEARCH("Gerente General",C1502))+ISNUMBER(SEARCH("General Manager",C1502))&gt;0,'Configuración'!$B$34,'Configuración'!$B$35)))))</f>
        <v>4</v>
      </c>
      <c r="V1502" s="38">
        <f>IF(B1502="","",IF(K1502="Sí",'Configuración'!$B$5,0)+IF(L1502="Semanal",'Configuración'!$B$6,IF(L1502="Mensual",'Configuración'!$B$7,0))+IF(M1502="Sí",'Configuración'!$B$8,0)+IF(N1502="Sí",'Configuración'!$B$9,0)+IF(O1502="Sí",'Configuración'!$B$10,0)+IF(P1502="Sí",'Configuración'!$B$11,0)+IF(Q1502="Sí",'Configuración'!$B$12,0)+S1502+T1502+U1502)</f>
        <v>28</v>
      </c>
      <c r="W1502" s="39" t="str">
        <f>IF(B1502="","",IF(V1502&gt;='Configuración'!$B$19,"A",IF(V1502&gt;='Configuración'!$B$20,"B",IF(V1502&gt;='Configuración'!$B$21,"C","Descarte"))))</f>
        <v>C</v>
      </c>
    </row>
    <row r="1503" ht="15.75" customHeight="1">
      <c r="A1503" s="34">
        <f t="shared" si="1"/>
        <v>1501</v>
      </c>
      <c r="B1503" s="29" t="s">
        <v>8480</v>
      </c>
      <c r="C1503" s="29" t="s">
        <v>146</v>
      </c>
      <c r="D1503" s="29" t="s">
        <v>8481</v>
      </c>
      <c r="E1503" s="29" t="s">
        <v>8482</v>
      </c>
      <c r="F1503" s="30" t="s">
        <v>8483</v>
      </c>
      <c r="G1503" s="30" t="s">
        <v>8484</v>
      </c>
      <c r="H1503" s="42" t="s">
        <v>8485</v>
      </c>
      <c r="I1503" s="29" t="s">
        <v>2651</v>
      </c>
      <c r="J1503" s="31">
        <v>1.0</v>
      </c>
      <c r="K1503" s="35"/>
      <c r="L1503" s="35"/>
      <c r="M1503" s="35"/>
      <c r="N1503" s="35"/>
      <c r="O1503" s="35"/>
      <c r="P1503" s="35"/>
      <c r="Q1503" s="35"/>
      <c r="R1503" s="35"/>
      <c r="S1503" s="37">
        <f>IF(B1503="","",IF(ISNUMBER(J1503),IF(J1503&lt;=10,'Configuración'!$B$23,IF(J1503&lt;=50,'Configuración'!$B$24,IF(J1503&lt;=200,'Configuración'!$B$25,0))),0))</f>
        <v>12</v>
      </c>
      <c r="T1503" s="37">
        <f>IF(B1503="","",IF(ISNUMBER(SEARCH("information technology",I1503))+ISNUMBER(SEARCH("software",I1503))+ISNUMBER(SEARCH("internet",I1503))+ISNUMBER(SEARCH("computer",I1503))+ISNUMBER(SEARCH("saas",I1503))+ISNUMBER(SEARCH("fintech",I1503))+ISNUMBER(SEARCH("information services",I1503))+ISNUMBER(SEARCH("telecommunications",I1503))&gt;0,'Configuración'!$B$27,'Configuración'!$B$28))</f>
        <v>4</v>
      </c>
      <c r="U1503" s="25">
        <f>IF(B1503="","",IF(ISNUMBER(SEARCH("CEO",C1503))+ISNUMBER(SEARCH("Founder",C1503))+ISNUMBER(SEARCH("Owner",C1503))+ISNUMBER(SEARCH("Dueño",C1503))+ISNUMBER(SEARCH("Director General",C1503))+ISNUMBER(SEARCH("Presidente",C1503))+ISNUMBER(SEARCH("President",C1503))&gt;0,'Configuración'!$B$31,IF(ISNUMBER(SEARCH("CMO",C1503))+ISNUMBER(SEARCH("Chief Marketing",C1503))+ISNUMBER(SEARCH("VP Marketing",C1503))+ISNUMBER(SEARCH("Director de Marketing",C1503))+ISNUMBER(SEARCH("Director Marketing",C1503))+ISNUMBER(SEARCH("Head of Marketing",C1503))+ISNUMBER(SEARCH("Head Marketing",C1503))&gt;0,'Configuración'!$B$32,IF(ISNUMBER(SEARCH("Marketing Manager",C1503))+ISNUMBER(SEARCH("Gerente de Marketing",C1503))+ISNUMBER(SEARCH("Growth Manager",C1503))+ISNUMBER(SEARCH("Demand Gen",C1503))+ISNUMBER(SEARCH("Marketing Lead",C1503))&gt;0,'Configuración'!$B$33,IF(ISNUMBER(SEARCH("COO",C1503))+ISNUMBER(SEARCH("CFO",C1503))+ISNUMBER(SEARCH("CTO",C1503))+ISNUMBER(SEARCH("Chief Operating",C1503))+ISNUMBER(SEARCH("Chief Financial",C1503))+ISNUMBER(SEARCH("Gerente General",C1503))+ISNUMBER(SEARCH("General Manager",C1503))&gt;0,'Configuración'!$B$34,'Configuración'!$B$35)))))</f>
        <v>0</v>
      </c>
      <c r="V1503" s="38">
        <f>IF(B1503="","",IF(K1503="Sí",'Configuración'!$B$5,0)+IF(L1503="Semanal",'Configuración'!$B$6,IF(L1503="Mensual",'Configuración'!$B$7,0))+IF(M1503="Sí",'Configuración'!$B$8,0)+IF(N1503="Sí",'Configuración'!$B$9,0)+IF(O1503="Sí",'Configuración'!$B$10,0)+IF(P1503="Sí",'Configuración'!$B$11,0)+IF(Q1503="Sí",'Configuración'!$B$12,0)+S1503+T1503+U1503)</f>
        <v>16</v>
      </c>
      <c r="W1503" s="39" t="str">
        <f>IF(B1503="","",IF(V1503&gt;='Configuración'!$B$19,"A",IF(V1503&gt;='Configuración'!$B$20,"B",IF(V1503&gt;='Configuración'!$B$21,"C","Descarte"))))</f>
        <v>Descarte</v>
      </c>
    </row>
    <row r="1504" ht="15.75" customHeight="1">
      <c r="A1504" s="34">
        <f t="shared" si="1"/>
        <v>1502</v>
      </c>
      <c r="B1504" s="29" t="s">
        <v>629</v>
      </c>
      <c r="C1504" s="29" t="s">
        <v>304</v>
      </c>
      <c r="D1504" s="29" t="s">
        <v>8486</v>
      </c>
      <c r="E1504" s="29" t="s">
        <v>8487</v>
      </c>
      <c r="F1504" s="30" t="s">
        <v>8488</v>
      </c>
      <c r="G1504" s="30" t="s">
        <v>8489</v>
      </c>
      <c r="H1504" s="42" t="s">
        <v>8490</v>
      </c>
      <c r="I1504" s="29" t="s">
        <v>127</v>
      </c>
      <c r="J1504" s="31">
        <v>49.0</v>
      </c>
      <c r="K1504" s="35"/>
      <c r="L1504" s="35"/>
      <c r="M1504" s="35"/>
      <c r="N1504" s="35"/>
      <c r="O1504" s="35"/>
      <c r="P1504" s="35"/>
      <c r="Q1504" s="35"/>
      <c r="R1504" s="35"/>
      <c r="S1504" s="37">
        <f>IF(B1504="","",IF(ISNUMBER(J1504),IF(J1504&lt;=10,'Configuración'!$B$23,IF(J1504&lt;=50,'Configuración'!$B$24,IF(J1504&lt;=200,'Configuración'!$B$25,0))),0))</f>
        <v>4</v>
      </c>
      <c r="T1504" s="37">
        <f>IF(B1504="","",IF(ISNUMBER(SEARCH("information technology",I1504))+ISNUMBER(SEARCH("software",I1504))+ISNUMBER(SEARCH("internet",I1504))+ISNUMBER(SEARCH("computer",I1504))+ISNUMBER(SEARCH("saas",I1504))+ISNUMBER(SEARCH("fintech",I1504))+ISNUMBER(SEARCH("information services",I1504))+ISNUMBER(SEARCH("telecommunications",I1504))&gt;0,'Configuración'!$B$27,'Configuración'!$B$28))</f>
        <v>12</v>
      </c>
      <c r="U1504" s="25">
        <f>IF(B1504="","",IF(ISNUMBER(SEARCH("CEO",C1504))+ISNUMBER(SEARCH("Founder",C1504))+ISNUMBER(SEARCH("Owner",C1504))+ISNUMBER(SEARCH("Dueño",C1504))+ISNUMBER(SEARCH("Director General",C1504))+ISNUMBER(SEARCH("Presidente",C1504))+ISNUMBER(SEARCH("President",C1504))&gt;0,'Configuración'!$B$31,IF(ISNUMBER(SEARCH("CMO",C1504))+ISNUMBER(SEARCH("Chief Marketing",C1504))+ISNUMBER(SEARCH("VP Marketing",C1504))+ISNUMBER(SEARCH("Director de Marketing",C1504))+ISNUMBER(SEARCH("Director Marketing",C1504))+ISNUMBER(SEARCH("Head of Marketing",C1504))+ISNUMBER(SEARCH("Head Marketing",C1504))&gt;0,'Configuración'!$B$32,IF(ISNUMBER(SEARCH("Marketing Manager",C1504))+ISNUMBER(SEARCH("Gerente de Marketing",C1504))+ISNUMBER(SEARCH("Growth Manager",C1504))+ISNUMBER(SEARCH("Demand Gen",C1504))+ISNUMBER(SEARCH("Marketing Lead",C1504))&gt;0,'Configuración'!$B$33,IF(ISNUMBER(SEARCH("COO",C1504))+ISNUMBER(SEARCH("CFO",C1504))+ISNUMBER(SEARCH("CTO",C1504))+ISNUMBER(SEARCH("Chief Operating",C1504))+ISNUMBER(SEARCH("Chief Financial",C1504))+ISNUMBER(SEARCH("Gerente General",C1504))+ISNUMBER(SEARCH("General Manager",C1504))&gt;0,'Configuración'!$B$34,'Configuración'!$B$35)))))</f>
        <v>4</v>
      </c>
      <c r="V1504" s="38">
        <f>IF(B1504="","",IF(K1504="Sí",'Configuración'!$B$5,0)+IF(L1504="Semanal",'Configuración'!$B$6,IF(L1504="Mensual",'Configuración'!$B$7,0))+IF(M1504="Sí",'Configuración'!$B$8,0)+IF(N1504="Sí",'Configuración'!$B$9,0)+IF(O1504="Sí",'Configuración'!$B$10,0)+IF(P1504="Sí",'Configuración'!$B$11,0)+IF(Q1504="Sí",'Configuración'!$B$12,0)+S1504+T1504+U1504)</f>
        <v>20</v>
      </c>
      <c r="W1504" s="39" t="str">
        <f>IF(B1504="","",IF(V1504&gt;='Configuración'!$B$19,"A",IF(V1504&gt;='Configuración'!$B$20,"B",IF(V1504&gt;='Configuración'!$B$21,"C","Descarte"))))</f>
        <v>Descarte</v>
      </c>
    </row>
    <row r="1505" ht="15.75" customHeight="1">
      <c r="A1505" s="34">
        <f t="shared" si="1"/>
        <v>1503</v>
      </c>
      <c r="B1505" s="29" t="s">
        <v>4884</v>
      </c>
      <c r="C1505" s="29" t="s">
        <v>8491</v>
      </c>
      <c r="D1505" s="29" t="s">
        <v>8492</v>
      </c>
      <c r="E1505" s="29" t="s">
        <v>8493</v>
      </c>
      <c r="F1505" s="30" t="s">
        <v>8494</v>
      </c>
      <c r="G1505" s="30" t="s">
        <v>8495</v>
      </c>
      <c r="H1505" s="42" t="s">
        <v>8496</v>
      </c>
      <c r="I1505" s="29" t="s">
        <v>127</v>
      </c>
      <c r="J1505" s="31">
        <v>15.0</v>
      </c>
      <c r="K1505" s="35"/>
      <c r="L1505" s="35"/>
      <c r="M1505" s="35"/>
      <c r="N1505" s="35"/>
      <c r="O1505" s="35"/>
      <c r="P1505" s="35"/>
      <c r="Q1505" s="35"/>
      <c r="R1505" s="35"/>
      <c r="S1505" s="37">
        <f>IF(B1505="","",IF(ISNUMBER(J1505),IF(J1505&lt;=10,'Configuración'!$B$23,IF(J1505&lt;=50,'Configuración'!$B$24,IF(J1505&lt;=200,'Configuración'!$B$25,0))),0))</f>
        <v>4</v>
      </c>
      <c r="T1505" s="37">
        <f>IF(B1505="","",IF(ISNUMBER(SEARCH("information technology",I1505))+ISNUMBER(SEARCH("software",I1505))+ISNUMBER(SEARCH("internet",I1505))+ISNUMBER(SEARCH("computer",I1505))+ISNUMBER(SEARCH("saas",I1505))+ISNUMBER(SEARCH("fintech",I1505))+ISNUMBER(SEARCH("information services",I1505))+ISNUMBER(SEARCH("telecommunications",I1505))&gt;0,'Configuración'!$B$27,'Configuración'!$B$28))</f>
        <v>12</v>
      </c>
      <c r="U1505" s="25">
        <f>IF(B1505="","",IF(ISNUMBER(SEARCH("CEO",C1505))+ISNUMBER(SEARCH("Founder",C1505))+ISNUMBER(SEARCH("Owner",C1505))+ISNUMBER(SEARCH("Dueño",C1505))+ISNUMBER(SEARCH("Director General",C1505))+ISNUMBER(SEARCH("Presidente",C1505))+ISNUMBER(SEARCH("President",C1505))&gt;0,'Configuración'!$B$31,IF(ISNUMBER(SEARCH("CMO",C1505))+ISNUMBER(SEARCH("Chief Marketing",C1505))+ISNUMBER(SEARCH("VP Marketing",C1505))+ISNUMBER(SEARCH("Director de Marketing",C1505))+ISNUMBER(SEARCH("Director Marketing",C1505))+ISNUMBER(SEARCH("Head of Marketing",C1505))+ISNUMBER(SEARCH("Head Marketing",C1505))&gt;0,'Configuración'!$B$32,IF(ISNUMBER(SEARCH("Marketing Manager",C1505))+ISNUMBER(SEARCH("Gerente de Marketing",C1505))+ISNUMBER(SEARCH("Growth Manager",C1505))+ISNUMBER(SEARCH("Demand Gen",C1505))+ISNUMBER(SEARCH("Marketing Lead",C1505))&gt;0,'Configuración'!$B$33,IF(ISNUMBER(SEARCH("COO",C1505))+ISNUMBER(SEARCH("CFO",C1505))+ISNUMBER(SEARCH("CTO",C1505))+ISNUMBER(SEARCH("Chief Operating",C1505))+ISNUMBER(SEARCH("Chief Financial",C1505))+ISNUMBER(SEARCH("Gerente General",C1505))+ISNUMBER(SEARCH("General Manager",C1505))&gt;0,'Configuración'!$B$34,'Configuración'!$B$35)))))</f>
        <v>12</v>
      </c>
      <c r="V1505" s="38">
        <f>IF(B1505="","",IF(K1505="Sí",'Configuración'!$B$5,0)+IF(L1505="Semanal",'Configuración'!$B$6,IF(L1505="Mensual",'Configuración'!$B$7,0))+IF(M1505="Sí",'Configuración'!$B$8,0)+IF(N1505="Sí",'Configuración'!$B$9,0)+IF(O1505="Sí",'Configuración'!$B$10,0)+IF(P1505="Sí",'Configuración'!$B$11,0)+IF(Q1505="Sí",'Configuración'!$B$12,0)+S1505+T1505+U1505)</f>
        <v>28</v>
      </c>
      <c r="W1505" s="39" t="str">
        <f>IF(B1505="","",IF(V1505&gt;='Configuración'!$B$19,"A",IF(V1505&gt;='Configuración'!$B$20,"B",IF(V1505&gt;='Configuración'!$B$21,"C","Descarte"))))</f>
        <v>C</v>
      </c>
    </row>
    <row r="1506" ht="15.75" customHeight="1">
      <c r="A1506" s="34">
        <f t="shared" si="1"/>
        <v>1504</v>
      </c>
      <c r="B1506" s="29" t="s">
        <v>629</v>
      </c>
      <c r="C1506" s="29" t="s">
        <v>8497</v>
      </c>
      <c r="D1506" s="29" t="s">
        <v>8498</v>
      </c>
      <c r="E1506" s="29" t="s">
        <v>8499</v>
      </c>
      <c r="F1506" s="30" t="s">
        <v>8500</v>
      </c>
      <c r="G1506" s="30" t="s">
        <v>8501</v>
      </c>
      <c r="H1506" s="42" t="s">
        <v>8502</v>
      </c>
      <c r="I1506" s="29" t="s">
        <v>769</v>
      </c>
      <c r="J1506" s="31">
        <v>14.0</v>
      </c>
      <c r="K1506" s="35"/>
      <c r="L1506" s="35"/>
      <c r="M1506" s="35"/>
      <c r="N1506" s="35"/>
      <c r="O1506" s="35"/>
      <c r="P1506" s="35"/>
      <c r="Q1506" s="35"/>
      <c r="R1506" s="35"/>
      <c r="S1506" s="37">
        <f>IF(B1506="","",IF(ISNUMBER(J1506),IF(J1506&lt;=10,'Configuración'!$B$23,IF(J1506&lt;=50,'Configuración'!$B$24,IF(J1506&lt;=200,'Configuración'!$B$25,0))),0))</f>
        <v>4</v>
      </c>
      <c r="T1506" s="37">
        <f>IF(B1506="","",IF(ISNUMBER(SEARCH("information technology",I1506))+ISNUMBER(SEARCH("software",I1506))+ISNUMBER(SEARCH("internet",I1506))+ISNUMBER(SEARCH("computer",I1506))+ISNUMBER(SEARCH("saas",I1506))+ISNUMBER(SEARCH("fintech",I1506))+ISNUMBER(SEARCH("information services",I1506))+ISNUMBER(SEARCH("telecommunications",I1506))&gt;0,'Configuración'!$B$27,'Configuración'!$B$28))</f>
        <v>4</v>
      </c>
      <c r="U1506" s="25">
        <f>IF(B1506="","",IF(ISNUMBER(SEARCH("CEO",C1506))+ISNUMBER(SEARCH("Founder",C1506))+ISNUMBER(SEARCH("Owner",C1506))+ISNUMBER(SEARCH("Dueño",C1506))+ISNUMBER(SEARCH("Director General",C1506))+ISNUMBER(SEARCH("Presidente",C1506))+ISNUMBER(SEARCH("President",C1506))&gt;0,'Configuración'!$B$31,IF(ISNUMBER(SEARCH("CMO",C1506))+ISNUMBER(SEARCH("Chief Marketing",C1506))+ISNUMBER(SEARCH("VP Marketing",C1506))+ISNUMBER(SEARCH("Director de Marketing",C1506))+ISNUMBER(SEARCH("Director Marketing",C1506))+ISNUMBER(SEARCH("Head of Marketing",C1506))+ISNUMBER(SEARCH("Head Marketing",C1506))&gt;0,'Configuración'!$B$32,IF(ISNUMBER(SEARCH("Marketing Manager",C1506))+ISNUMBER(SEARCH("Gerente de Marketing",C1506))+ISNUMBER(SEARCH("Growth Manager",C1506))+ISNUMBER(SEARCH("Demand Gen",C1506))+ISNUMBER(SEARCH("Marketing Lead",C1506))&gt;0,'Configuración'!$B$33,IF(ISNUMBER(SEARCH("COO",C1506))+ISNUMBER(SEARCH("CFO",C1506))+ISNUMBER(SEARCH("CTO",C1506))+ISNUMBER(SEARCH("Chief Operating",C1506))+ISNUMBER(SEARCH("Chief Financial",C1506))+ISNUMBER(SEARCH("Gerente General",C1506))+ISNUMBER(SEARCH("General Manager",C1506))&gt;0,'Configuración'!$B$34,'Configuración'!$B$35)))))</f>
        <v>4</v>
      </c>
      <c r="V1506" s="38">
        <f>IF(B1506="","",IF(K1506="Sí",'Configuración'!$B$5,0)+IF(L1506="Semanal",'Configuración'!$B$6,IF(L1506="Mensual",'Configuración'!$B$7,0))+IF(M1506="Sí",'Configuración'!$B$8,0)+IF(N1506="Sí",'Configuración'!$B$9,0)+IF(O1506="Sí",'Configuración'!$B$10,0)+IF(P1506="Sí",'Configuración'!$B$11,0)+IF(Q1506="Sí",'Configuración'!$B$12,0)+S1506+T1506+U1506)</f>
        <v>12</v>
      </c>
      <c r="W1506" s="39" t="str">
        <f>IF(B1506="","",IF(V1506&gt;='Configuración'!$B$19,"A",IF(V1506&gt;='Configuración'!$B$20,"B",IF(V1506&gt;='Configuración'!$B$21,"C","Descarte"))))</f>
        <v>Descarte</v>
      </c>
    </row>
    <row r="1507" ht="15.75" customHeight="1">
      <c r="A1507" s="34">
        <f t="shared" si="1"/>
        <v>1505</v>
      </c>
      <c r="B1507" s="29" t="s">
        <v>8503</v>
      </c>
      <c r="C1507" s="29" t="s">
        <v>202</v>
      </c>
      <c r="D1507" s="29" t="s">
        <v>8504</v>
      </c>
      <c r="E1507" s="29" t="s">
        <v>8505</v>
      </c>
      <c r="F1507" s="30" t="s">
        <v>8506</v>
      </c>
      <c r="G1507" s="30" t="s">
        <v>8507</v>
      </c>
      <c r="H1507" s="42" t="s">
        <v>8508</v>
      </c>
      <c r="I1507" s="29" t="s">
        <v>1277</v>
      </c>
      <c r="J1507" s="31">
        <v>2.0</v>
      </c>
      <c r="K1507" s="35"/>
      <c r="L1507" s="35"/>
      <c r="M1507" s="35"/>
      <c r="N1507" s="35"/>
      <c r="O1507" s="35"/>
      <c r="P1507" s="35"/>
      <c r="Q1507" s="35"/>
      <c r="R1507" s="35"/>
      <c r="S1507" s="37">
        <f>IF(B1507="","",IF(ISNUMBER(J1507),IF(J1507&lt;=10,'Configuración'!$B$23,IF(J1507&lt;=50,'Configuración'!$B$24,IF(J1507&lt;=200,'Configuración'!$B$25,0))),0))</f>
        <v>12</v>
      </c>
      <c r="T1507" s="37">
        <f>IF(B1507="","",IF(ISNUMBER(SEARCH("information technology",I1507))+ISNUMBER(SEARCH("software",I1507))+ISNUMBER(SEARCH("internet",I1507))+ISNUMBER(SEARCH("computer",I1507))+ISNUMBER(SEARCH("saas",I1507))+ISNUMBER(SEARCH("fintech",I1507))+ISNUMBER(SEARCH("information services",I1507))+ISNUMBER(SEARCH("telecommunications",I1507))&gt;0,'Configuración'!$B$27,'Configuración'!$B$28))</f>
        <v>4</v>
      </c>
      <c r="U1507" s="25">
        <f>IF(B1507="","",IF(ISNUMBER(SEARCH("CEO",C1507))+ISNUMBER(SEARCH("Founder",C1507))+ISNUMBER(SEARCH("Owner",C1507))+ISNUMBER(SEARCH("Dueño",C1507))+ISNUMBER(SEARCH("Director General",C1507))+ISNUMBER(SEARCH("Presidente",C1507))+ISNUMBER(SEARCH("President",C1507))&gt;0,'Configuración'!$B$31,IF(ISNUMBER(SEARCH("CMO",C1507))+ISNUMBER(SEARCH("Chief Marketing",C1507))+ISNUMBER(SEARCH("VP Marketing",C1507))+ISNUMBER(SEARCH("Director de Marketing",C1507))+ISNUMBER(SEARCH("Director Marketing",C1507))+ISNUMBER(SEARCH("Head of Marketing",C1507))+ISNUMBER(SEARCH("Head Marketing",C1507))&gt;0,'Configuración'!$B$32,IF(ISNUMBER(SEARCH("Marketing Manager",C1507))+ISNUMBER(SEARCH("Gerente de Marketing",C1507))+ISNUMBER(SEARCH("Growth Manager",C1507))+ISNUMBER(SEARCH("Demand Gen",C1507))+ISNUMBER(SEARCH("Marketing Lead",C1507))&gt;0,'Configuración'!$B$33,IF(ISNUMBER(SEARCH("COO",C1507))+ISNUMBER(SEARCH("CFO",C1507))+ISNUMBER(SEARCH("CTO",C1507))+ISNUMBER(SEARCH("Chief Operating",C1507))+ISNUMBER(SEARCH("Chief Financial",C1507))+ISNUMBER(SEARCH("Gerente General",C1507))+ISNUMBER(SEARCH("General Manager",C1507))&gt;0,'Configuración'!$B$34,'Configuración'!$B$35)))))</f>
        <v>12</v>
      </c>
      <c r="V1507" s="38">
        <f>IF(B1507="","",IF(K1507="Sí",'Configuración'!$B$5,0)+IF(L1507="Semanal",'Configuración'!$B$6,IF(L1507="Mensual",'Configuración'!$B$7,0))+IF(M1507="Sí",'Configuración'!$B$8,0)+IF(N1507="Sí",'Configuración'!$B$9,0)+IF(O1507="Sí",'Configuración'!$B$10,0)+IF(P1507="Sí",'Configuración'!$B$11,0)+IF(Q1507="Sí",'Configuración'!$B$12,0)+S1507+T1507+U1507)</f>
        <v>28</v>
      </c>
      <c r="W1507" s="39" t="str">
        <f>IF(B1507="","",IF(V1507&gt;='Configuración'!$B$19,"A",IF(V1507&gt;='Configuración'!$B$20,"B",IF(V1507&gt;='Configuración'!$B$21,"C","Descarte"))))</f>
        <v>C</v>
      </c>
    </row>
    <row r="1508" ht="15.75" customHeight="1">
      <c r="A1508" s="34">
        <f t="shared" si="1"/>
        <v>1506</v>
      </c>
      <c r="B1508" s="29" t="s">
        <v>181</v>
      </c>
      <c r="C1508" s="29" t="s">
        <v>1815</v>
      </c>
      <c r="D1508" s="29" t="s">
        <v>8509</v>
      </c>
      <c r="E1508" s="29" t="s">
        <v>8510</v>
      </c>
      <c r="F1508" s="30" t="s">
        <v>8511</v>
      </c>
      <c r="G1508" s="30" t="s">
        <v>8512</v>
      </c>
      <c r="H1508" s="42" t="s">
        <v>8513</v>
      </c>
      <c r="I1508" s="29" t="s">
        <v>145</v>
      </c>
      <c r="J1508" s="31">
        <v>14.0</v>
      </c>
      <c r="K1508" s="35"/>
      <c r="L1508" s="35"/>
      <c r="M1508" s="35"/>
      <c r="N1508" s="35"/>
      <c r="O1508" s="35"/>
      <c r="P1508" s="35"/>
      <c r="Q1508" s="35"/>
      <c r="R1508" s="35"/>
      <c r="S1508" s="37">
        <f>IF(B1508="","",IF(ISNUMBER(J1508),IF(J1508&lt;=10,'Configuración'!$B$23,IF(J1508&lt;=50,'Configuración'!$B$24,IF(J1508&lt;=200,'Configuración'!$B$25,0))),0))</f>
        <v>4</v>
      </c>
      <c r="T1508" s="37">
        <f>IF(B1508="","",IF(ISNUMBER(SEARCH("information technology",I1508))+ISNUMBER(SEARCH("software",I1508))+ISNUMBER(SEARCH("internet",I1508))+ISNUMBER(SEARCH("computer",I1508))+ISNUMBER(SEARCH("saas",I1508))+ISNUMBER(SEARCH("fintech",I1508))+ISNUMBER(SEARCH("information services",I1508))+ISNUMBER(SEARCH("telecommunications",I1508))&gt;0,'Configuración'!$B$27,'Configuración'!$B$28))</f>
        <v>4</v>
      </c>
      <c r="U1508" s="25">
        <f>IF(B1508="","",IF(ISNUMBER(SEARCH("CEO",C1508))+ISNUMBER(SEARCH("Founder",C1508))+ISNUMBER(SEARCH("Owner",C1508))+ISNUMBER(SEARCH("Dueño",C1508))+ISNUMBER(SEARCH("Director General",C1508))+ISNUMBER(SEARCH("Presidente",C1508))+ISNUMBER(SEARCH("President",C1508))&gt;0,'Configuración'!$B$31,IF(ISNUMBER(SEARCH("CMO",C1508))+ISNUMBER(SEARCH("Chief Marketing",C1508))+ISNUMBER(SEARCH("VP Marketing",C1508))+ISNUMBER(SEARCH("Director de Marketing",C1508))+ISNUMBER(SEARCH("Director Marketing",C1508))+ISNUMBER(SEARCH("Head of Marketing",C1508))+ISNUMBER(SEARCH("Head Marketing",C1508))&gt;0,'Configuración'!$B$32,IF(ISNUMBER(SEARCH("Marketing Manager",C1508))+ISNUMBER(SEARCH("Gerente de Marketing",C1508))+ISNUMBER(SEARCH("Growth Manager",C1508))+ISNUMBER(SEARCH("Demand Gen",C1508))+ISNUMBER(SEARCH("Marketing Lead",C1508))&gt;0,'Configuración'!$B$33,IF(ISNUMBER(SEARCH("COO",C1508))+ISNUMBER(SEARCH("CFO",C1508))+ISNUMBER(SEARCH("CTO",C1508))+ISNUMBER(SEARCH("Chief Operating",C1508))+ISNUMBER(SEARCH("Chief Financial",C1508))+ISNUMBER(SEARCH("Gerente General",C1508))+ISNUMBER(SEARCH("General Manager",C1508))&gt;0,'Configuración'!$B$34,'Configuración'!$B$35)))))</f>
        <v>12</v>
      </c>
      <c r="V1508" s="38">
        <f>IF(B1508="","",IF(K1508="Sí",'Configuración'!$B$5,0)+IF(L1508="Semanal",'Configuración'!$B$6,IF(L1508="Mensual",'Configuración'!$B$7,0))+IF(M1508="Sí",'Configuración'!$B$8,0)+IF(N1508="Sí",'Configuración'!$B$9,0)+IF(O1508="Sí",'Configuración'!$B$10,0)+IF(P1508="Sí",'Configuración'!$B$11,0)+IF(Q1508="Sí",'Configuración'!$B$12,0)+S1508+T1508+U1508)</f>
        <v>20</v>
      </c>
      <c r="W1508" s="39" t="str">
        <f>IF(B1508="","",IF(V1508&gt;='Configuración'!$B$19,"A",IF(V1508&gt;='Configuración'!$B$20,"B",IF(V1508&gt;='Configuración'!$B$21,"C","Descarte"))))</f>
        <v>Descarte</v>
      </c>
    </row>
    <row r="1509" ht="15.75" customHeight="1">
      <c r="A1509" s="34">
        <f t="shared" si="1"/>
        <v>1507</v>
      </c>
      <c r="B1509" s="29" t="s">
        <v>223</v>
      </c>
      <c r="C1509" s="29" t="s">
        <v>202</v>
      </c>
      <c r="D1509" s="29" t="s">
        <v>8514</v>
      </c>
      <c r="E1509" s="29" t="s">
        <v>8515</v>
      </c>
      <c r="F1509" s="30" t="s">
        <v>8516</v>
      </c>
      <c r="G1509" s="30" t="s">
        <v>8517</v>
      </c>
      <c r="H1509" s="42" t="s">
        <v>8518</v>
      </c>
      <c r="I1509" s="29" t="s">
        <v>1785</v>
      </c>
      <c r="J1509" s="31">
        <v>32.0</v>
      </c>
      <c r="K1509" s="35"/>
      <c r="L1509" s="35"/>
      <c r="M1509" s="35"/>
      <c r="N1509" s="35"/>
      <c r="O1509" s="35"/>
      <c r="P1509" s="35"/>
      <c r="Q1509" s="35"/>
      <c r="R1509" s="35"/>
      <c r="S1509" s="37">
        <f>IF(B1509="","",IF(ISNUMBER(J1509),IF(J1509&lt;=10,'Configuración'!$B$23,IF(J1509&lt;=50,'Configuración'!$B$24,IF(J1509&lt;=200,'Configuración'!$B$25,0))),0))</f>
        <v>4</v>
      </c>
      <c r="T1509" s="37">
        <f>IF(B1509="","",IF(ISNUMBER(SEARCH("information technology",I1509))+ISNUMBER(SEARCH("software",I1509))+ISNUMBER(SEARCH("internet",I1509))+ISNUMBER(SEARCH("computer",I1509))+ISNUMBER(SEARCH("saas",I1509))+ISNUMBER(SEARCH("fintech",I1509))+ISNUMBER(SEARCH("information services",I1509))+ISNUMBER(SEARCH("telecommunications",I1509))&gt;0,'Configuración'!$B$27,'Configuración'!$B$28))</f>
        <v>4</v>
      </c>
      <c r="U1509" s="25">
        <f>IF(B1509="","",IF(ISNUMBER(SEARCH("CEO",C1509))+ISNUMBER(SEARCH("Founder",C1509))+ISNUMBER(SEARCH("Owner",C1509))+ISNUMBER(SEARCH("Dueño",C1509))+ISNUMBER(SEARCH("Director General",C1509))+ISNUMBER(SEARCH("Presidente",C1509))+ISNUMBER(SEARCH("President",C1509))&gt;0,'Configuración'!$B$31,IF(ISNUMBER(SEARCH("CMO",C1509))+ISNUMBER(SEARCH("Chief Marketing",C1509))+ISNUMBER(SEARCH("VP Marketing",C1509))+ISNUMBER(SEARCH("Director de Marketing",C1509))+ISNUMBER(SEARCH("Director Marketing",C1509))+ISNUMBER(SEARCH("Head of Marketing",C1509))+ISNUMBER(SEARCH("Head Marketing",C1509))&gt;0,'Configuración'!$B$32,IF(ISNUMBER(SEARCH("Marketing Manager",C1509))+ISNUMBER(SEARCH("Gerente de Marketing",C1509))+ISNUMBER(SEARCH("Growth Manager",C1509))+ISNUMBER(SEARCH("Demand Gen",C1509))+ISNUMBER(SEARCH("Marketing Lead",C1509))&gt;0,'Configuración'!$B$33,IF(ISNUMBER(SEARCH("COO",C1509))+ISNUMBER(SEARCH("CFO",C1509))+ISNUMBER(SEARCH("CTO",C1509))+ISNUMBER(SEARCH("Chief Operating",C1509))+ISNUMBER(SEARCH("Chief Financial",C1509))+ISNUMBER(SEARCH("Gerente General",C1509))+ISNUMBER(SEARCH("General Manager",C1509))&gt;0,'Configuración'!$B$34,'Configuración'!$B$35)))))</f>
        <v>12</v>
      </c>
      <c r="V1509" s="38">
        <f>IF(B1509="","",IF(K1509="Sí",'Configuración'!$B$5,0)+IF(L1509="Semanal",'Configuración'!$B$6,IF(L1509="Mensual",'Configuración'!$B$7,0))+IF(M1509="Sí",'Configuración'!$B$8,0)+IF(N1509="Sí",'Configuración'!$B$9,0)+IF(O1509="Sí",'Configuración'!$B$10,0)+IF(P1509="Sí",'Configuración'!$B$11,0)+IF(Q1509="Sí",'Configuración'!$B$12,0)+S1509+T1509+U1509)</f>
        <v>20</v>
      </c>
      <c r="W1509" s="39" t="str">
        <f>IF(B1509="","",IF(V1509&gt;='Configuración'!$B$19,"A",IF(V1509&gt;='Configuración'!$B$20,"B",IF(V1509&gt;='Configuración'!$B$21,"C","Descarte"))))</f>
        <v>Descarte</v>
      </c>
    </row>
    <row r="1510" ht="15.75" customHeight="1">
      <c r="A1510" s="34">
        <f t="shared" si="1"/>
        <v>1508</v>
      </c>
      <c r="B1510" s="29" t="s">
        <v>8519</v>
      </c>
      <c r="C1510" s="29" t="s">
        <v>304</v>
      </c>
      <c r="D1510" s="29" t="s">
        <v>8520</v>
      </c>
      <c r="E1510" s="29" t="s">
        <v>8521</v>
      </c>
      <c r="F1510" s="30" t="s">
        <v>8522</v>
      </c>
      <c r="G1510" s="30" t="s">
        <v>8523</v>
      </c>
      <c r="H1510" s="42" t="s">
        <v>8524</v>
      </c>
      <c r="I1510" s="29" t="s">
        <v>8525</v>
      </c>
      <c r="J1510" s="31">
        <v>33.0</v>
      </c>
      <c r="K1510" s="35"/>
      <c r="L1510" s="35"/>
      <c r="M1510" s="35"/>
      <c r="N1510" s="35"/>
      <c r="O1510" s="35"/>
      <c r="P1510" s="35"/>
      <c r="Q1510" s="35"/>
      <c r="R1510" s="35"/>
      <c r="S1510" s="37">
        <f>IF(B1510="","",IF(ISNUMBER(J1510),IF(J1510&lt;=10,'Configuración'!$B$23,IF(J1510&lt;=50,'Configuración'!$B$24,IF(J1510&lt;=200,'Configuración'!$B$25,0))),0))</f>
        <v>4</v>
      </c>
      <c r="T1510" s="37">
        <f>IF(B1510="","",IF(ISNUMBER(SEARCH("information technology",I1510))+ISNUMBER(SEARCH("software",I1510))+ISNUMBER(SEARCH("internet",I1510))+ISNUMBER(SEARCH("computer",I1510))+ISNUMBER(SEARCH("saas",I1510))+ISNUMBER(SEARCH("fintech",I1510))+ISNUMBER(SEARCH("information services",I1510))+ISNUMBER(SEARCH("telecommunications",I1510))&gt;0,'Configuración'!$B$27,'Configuración'!$B$28))</f>
        <v>4</v>
      </c>
      <c r="U1510" s="25">
        <f>IF(B1510="","",IF(ISNUMBER(SEARCH("CEO",C1510))+ISNUMBER(SEARCH("Founder",C1510))+ISNUMBER(SEARCH("Owner",C1510))+ISNUMBER(SEARCH("Dueño",C1510))+ISNUMBER(SEARCH("Director General",C1510))+ISNUMBER(SEARCH("Presidente",C1510))+ISNUMBER(SEARCH("President",C1510))&gt;0,'Configuración'!$B$31,IF(ISNUMBER(SEARCH("CMO",C1510))+ISNUMBER(SEARCH("Chief Marketing",C1510))+ISNUMBER(SEARCH("VP Marketing",C1510))+ISNUMBER(SEARCH("Director de Marketing",C1510))+ISNUMBER(SEARCH("Director Marketing",C1510))+ISNUMBER(SEARCH("Head of Marketing",C1510))+ISNUMBER(SEARCH("Head Marketing",C1510))&gt;0,'Configuración'!$B$32,IF(ISNUMBER(SEARCH("Marketing Manager",C1510))+ISNUMBER(SEARCH("Gerente de Marketing",C1510))+ISNUMBER(SEARCH("Growth Manager",C1510))+ISNUMBER(SEARCH("Demand Gen",C1510))+ISNUMBER(SEARCH("Marketing Lead",C1510))&gt;0,'Configuración'!$B$33,IF(ISNUMBER(SEARCH("COO",C1510))+ISNUMBER(SEARCH("CFO",C1510))+ISNUMBER(SEARCH("CTO",C1510))+ISNUMBER(SEARCH("Chief Operating",C1510))+ISNUMBER(SEARCH("Chief Financial",C1510))+ISNUMBER(SEARCH("Gerente General",C1510))+ISNUMBER(SEARCH("General Manager",C1510))&gt;0,'Configuración'!$B$34,'Configuración'!$B$35)))))</f>
        <v>4</v>
      </c>
      <c r="V1510" s="38">
        <f>IF(B1510="","",IF(K1510="Sí",'Configuración'!$B$5,0)+IF(L1510="Semanal",'Configuración'!$B$6,IF(L1510="Mensual",'Configuración'!$B$7,0))+IF(M1510="Sí",'Configuración'!$B$8,0)+IF(N1510="Sí",'Configuración'!$B$9,0)+IF(O1510="Sí",'Configuración'!$B$10,0)+IF(P1510="Sí",'Configuración'!$B$11,0)+IF(Q1510="Sí",'Configuración'!$B$12,0)+S1510+T1510+U1510)</f>
        <v>12</v>
      </c>
      <c r="W1510" s="39" t="str">
        <f>IF(B1510="","",IF(V1510&gt;='Configuración'!$B$19,"A",IF(V1510&gt;='Configuración'!$B$20,"B",IF(V1510&gt;='Configuración'!$B$21,"C","Descarte"))))</f>
        <v>Descarte</v>
      </c>
    </row>
    <row r="1511" ht="15.75" customHeight="1">
      <c r="A1511" s="34">
        <f t="shared" si="1"/>
        <v>1509</v>
      </c>
      <c r="B1511" s="29" t="s">
        <v>6397</v>
      </c>
      <c r="C1511" s="29" t="s">
        <v>467</v>
      </c>
      <c r="D1511" s="29" t="s">
        <v>8526</v>
      </c>
      <c r="E1511" s="29" t="s">
        <v>8527</v>
      </c>
      <c r="F1511" s="30" t="s">
        <v>8528</v>
      </c>
      <c r="G1511" s="30" t="s">
        <v>8529</v>
      </c>
      <c r="H1511" s="42" t="s">
        <v>8530</v>
      </c>
      <c r="I1511" s="29" t="s">
        <v>116</v>
      </c>
      <c r="J1511" s="31">
        <v>1.0</v>
      </c>
      <c r="K1511" s="35"/>
      <c r="L1511" s="35"/>
      <c r="M1511" s="35"/>
      <c r="N1511" s="35"/>
      <c r="O1511" s="35"/>
      <c r="P1511" s="35"/>
      <c r="Q1511" s="35"/>
      <c r="R1511" s="35"/>
      <c r="S1511" s="37">
        <f>IF(B1511="","",IF(ISNUMBER(J1511),IF(J1511&lt;=10,'Configuración'!$B$23,IF(J1511&lt;=50,'Configuración'!$B$24,IF(J1511&lt;=200,'Configuración'!$B$25,0))),0))</f>
        <v>12</v>
      </c>
      <c r="T1511" s="37">
        <f>IF(B1511="","",IF(ISNUMBER(SEARCH("information technology",I1511))+ISNUMBER(SEARCH("software",I1511))+ISNUMBER(SEARCH("internet",I1511))+ISNUMBER(SEARCH("computer",I1511))+ISNUMBER(SEARCH("saas",I1511))+ISNUMBER(SEARCH("fintech",I1511))+ISNUMBER(SEARCH("information services",I1511))+ISNUMBER(SEARCH("telecommunications",I1511))&gt;0,'Configuración'!$B$27,'Configuración'!$B$28))</f>
        <v>4</v>
      </c>
      <c r="U1511" s="25">
        <f>IF(B1511="","",IF(ISNUMBER(SEARCH("CEO",C1511))+ISNUMBER(SEARCH("Founder",C1511))+ISNUMBER(SEARCH("Owner",C1511))+ISNUMBER(SEARCH("Dueño",C1511))+ISNUMBER(SEARCH("Director General",C1511))+ISNUMBER(SEARCH("Presidente",C1511))+ISNUMBER(SEARCH("President",C1511))&gt;0,'Configuración'!$B$31,IF(ISNUMBER(SEARCH("CMO",C1511))+ISNUMBER(SEARCH("Chief Marketing",C1511))+ISNUMBER(SEARCH("VP Marketing",C1511))+ISNUMBER(SEARCH("Director de Marketing",C1511))+ISNUMBER(SEARCH("Director Marketing",C1511))+ISNUMBER(SEARCH("Head of Marketing",C1511))+ISNUMBER(SEARCH("Head Marketing",C1511))&gt;0,'Configuración'!$B$32,IF(ISNUMBER(SEARCH("Marketing Manager",C1511))+ISNUMBER(SEARCH("Gerente de Marketing",C1511))+ISNUMBER(SEARCH("Growth Manager",C1511))+ISNUMBER(SEARCH("Demand Gen",C1511))+ISNUMBER(SEARCH("Marketing Lead",C1511))&gt;0,'Configuración'!$B$33,IF(ISNUMBER(SEARCH("COO",C1511))+ISNUMBER(SEARCH("CFO",C1511))+ISNUMBER(SEARCH("CTO",C1511))+ISNUMBER(SEARCH("Chief Operating",C1511))+ISNUMBER(SEARCH("Chief Financial",C1511))+ISNUMBER(SEARCH("Gerente General",C1511))+ISNUMBER(SEARCH("General Manager",C1511))&gt;0,'Configuración'!$B$34,'Configuración'!$B$35)))))</f>
        <v>0</v>
      </c>
      <c r="V1511" s="38">
        <f>IF(B1511="","",IF(K1511="Sí",'Configuración'!$B$5,0)+IF(L1511="Semanal",'Configuración'!$B$6,IF(L1511="Mensual",'Configuración'!$B$7,0))+IF(M1511="Sí",'Configuración'!$B$8,0)+IF(N1511="Sí",'Configuración'!$B$9,0)+IF(O1511="Sí",'Configuración'!$B$10,0)+IF(P1511="Sí",'Configuración'!$B$11,0)+IF(Q1511="Sí",'Configuración'!$B$12,0)+S1511+T1511+U1511)</f>
        <v>16</v>
      </c>
      <c r="W1511" s="39" t="str">
        <f>IF(B1511="","",IF(V1511&gt;='Configuración'!$B$19,"A",IF(V1511&gt;='Configuración'!$B$20,"B",IF(V1511&gt;='Configuración'!$B$21,"C","Descarte"))))</f>
        <v>Descarte</v>
      </c>
    </row>
    <row r="1512" ht="15.75" customHeight="1">
      <c r="A1512" s="34">
        <f t="shared" si="1"/>
        <v>1510</v>
      </c>
      <c r="B1512" s="29" t="s">
        <v>2897</v>
      </c>
      <c r="C1512" s="29" t="s">
        <v>487</v>
      </c>
      <c r="D1512" s="29" t="s">
        <v>1364</v>
      </c>
      <c r="E1512" s="29" t="s">
        <v>8531</v>
      </c>
      <c r="F1512" s="30" t="s">
        <v>8532</v>
      </c>
      <c r="G1512" s="30" t="s">
        <v>1367</v>
      </c>
      <c r="H1512" s="42" t="s">
        <v>1368</v>
      </c>
      <c r="I1512" s="29" t="s">
        <v>1245</v>
      </c>
      <c r="J1512" s="31">
        <v>12.0</v>
      </c>
      <c r="K1512" s="35"/>
      <c r="L1512" s="35"/>
      <c r="M1512" s="35"/>
      <c r="N1512" s="35"/>
      <c r="O1512" s="35"/>
      <c r="P1512" s="35"/>
      <c r="Q1512" s="35"/>
      <c r="R1512" s="35"/>
      <c r="S1512" s="37">
        <f>IF(B1512="","",IF(ISNUMBER(J1512),IF(J1512&lt;=10,'Configuración'!$B$23,IF(J1512&lt;=50,'Configuración'!$B$24,IF(J1512&lt;=200,'Configuración'!$B$25,0))),0))</f>
        <v>4</v>
      </c>
      <c r="T1512" s="37">
        <f>IF(B1512="","",IF(ISNUMBER(SEARCH("information technology",I1512))+ISNUMBER(SEARCH("software",I1512))+ISNUMBER(SEARCH("internet",I1512))+ISNUMBER(SEARCH("computer",I1512))+ISNUMBER(SEARCH("saas",I1512))+ISNUMBER(SEARCH("fintech",I1512))+ISNUMBER(SEARCH("information services",I1512))+ISNUMBER(SEARCH("telecommunications",I1512))&gt;0,'Configuración'!$B$27,'Configuración'!$B$28))</f>
        <v>4</v>
      </c>
      <c r="U1512" s="25">
        <f>IF(B1512="","",IF(ISNUMBER(SEARCH("CEO",C1512))+ISNUMBER(SEARCH("Founder",C1512))+ISNUMBER(SEARCH("Owner",C1512))+ISNUMBER(SEARCH("Dueño",C1512))+ISNUMBER(SEARCH("Director General",C1512))+ISNUMBER(SEARCH("Presidente",C1512))+ISNUMBER(SEARCH("President",C1512))&gt;0,'Configuración'!$B$31,IF(ISNUMBER(SEARCH("CMO",C1512))+ISNUMBER(SEARCH("Chief Marketing",C1512))+ISNUMBER(SEARCH("VP Marketing",C1512))+ISNUMBER(SEARCH("Director de Marketing",C1512))+ISNUMBER(SEARCH("Director Marketing",C1512))+ISNUMBER(SEARCH("Head of Marketing",C1512))+ISNUMBER(SEARCH("Head Marketing",C1512))&gt;0,'Configuración'!$B$32,IF(ISNUMBER(SEARCH("Marketing Manager",C1512))+ISNUMBER(SEARCH("Gerente de Marketing",C1512))+ISNUMBER(SEARCH("Growth Manager",C1512))+ISNUMBER(SEARCH("Demand Gen",C1512))+ISNUMBER(SEARCH("Marketing Lead",C1512))&gt;0,'Configuración'!$B$33,IF(ISNUMBER(SEARCH("COO",C1512))+ISNUMBER(SEARCH("CFO",C1512))+ISNUMBER(SEARCH("CTO",C1512))+ISNUMBER(SEARCH("Chief Operating",C1512))+ISNUMBER(SEARCH("Chief Financial",C1512))+ISNUMBER(SEARCH("Gerente General",C1512))+ISNUMBER(SEARCH("General Manager",C1512))&gt;0,'Configuración'!$B$34,'Configuración'!$B$35)))))</f>
        <v>12</v>
      </c>
      <c r="V1512" s="38">
        <f>IF(B1512="","",IF(K1512="Sí",'Configuración'!$B$5,0)+IF(L1512="Semanal",'Configuración'!$B$6,IF(L1512="Mensual",'Configuración'!$B$7,0))+IF(M1512="Sí",'Configuración'!$B$8,0)+IF(N1512="Sí",'Configuración'!$B$9,0)+IF(O1512="Sí",'Configuración'!$B$10,0)+IF(P1512="Sí",'Configuración'!$B$11,0)+IF(Q1512="Sí",'Configuración'!$B$12,0)+S1512+T1512+U1512)</f>
        <v>20</v>
      </c>
      <c r="W1512" s="39" t="str">
        <f>IF(B1512="","",IF(V1512&gt;='Configuración'!$B$19,"A",IF(V1512&gt;='Configuración'!$B$20,"B",IF(V1512&gt;='Configuración'!$B$21,"C","Descarte"))))</f>
        <v>Descarte</v>
      </c>
    </row>
    <row r="1513" ht="15.75" customHeight="1">
      <c r="A1513" s="34">
        <f t="shared" si="1"/>
        <v>1511</v>
      </c>
      <c r="B1513" s="29" t="s">
        <v>351</v>
      </c>
      <c r="C1513" s="29" t="s">
        <v>131</v>
      </c>
      <c r="D1513" s="29" t="s">
        <v>8533</v>
      </c>
      <c r="E1513" s="29" t="s">
        <v>8534</v>
      </c>
      <c r="F1513" s="30" t="s">
        <v>8535</v>
      </c>
      <c r="G1513" s="30" t="s">
        <v>8536</v>
      </c>
      <c r="H1513" s="42" t="s">
        <v>8537</v>
      </c>
      <c r="I1513" s="29" t="s">
        <v>1245</v>
      </c>
      <c r="J1513" s="31">
        <v>5.0</v>
      </c>
      <c r="K1513" s="35"/>
      <c r="L1513" s="35"/>
      <c r="M1513" s="35"/>
      <c r="N1513" s="35"/>
      <c r="O1513" s="35"/>
      <c r="P1513" s="35"/>
      <c r="Q1513" s="35"/>
      <c r="R1513" s="35"/>
      <c r="S1513" s="37">
        <f>IF(B1513="","",IF(ISNUMBER(J1513),IF(J1513&lt;=10,'Configuración'!$B$23,IF(J1513&lt;=50,'Configuración'!$B$24,IF(J1513&lt;=200,'Configuración'!$B$25,0))),0))</f>
        <v>12</v>
      </c>
      <c r="T1513" s="37">
        <f>IF(B1513="","",IF(ISNUMBER(SEARCH("information technology",I1513))+ISNUMBER(SEARCH("software",I1513))+ISNUMBER(SEARCH("internet",I1513))+ISNUMBER(SEARCH("computer",I1513))+ISNUMBER(SEARCH("saas",I1513))+ISNUMBER(SEARCH("fintech",I1513))+ISNUMBER(SEARCH("information services",I1513))+ISNUMBER(SEARCH("telecommunications",I1513))&gt;0,'Configuración'!$B$27,'Configuración'!$B$28))</f>
        <v>4</v>
      </c>
      <c r="U1513" s="25">
        <f>IF(B1513="","",IF(ISNUMBER(SEARCH("CEO",C1513))+ISNUMBER(SEARCH("Founder",C1513))+ISNUMBER(SEARCH("Owner",C1513))+ISNUMBER(SEARCH("Dueño",C1513))+ISNUMBER(SEARCH("Director General",C1513))+ISNUMBER(SEARCH("Presidente",C1513))+ISNUMBER(SEARCH("President",C1513))&gt;0,'Configuración'!$B$31,IF(ISNUMBER(SEARCH("CMO",C1513))+ISNUMBER(SEARCH("Chief Marketing",C1513))+ISNUMBER(SEARCH("VP Marketing",C1513))+ISNUMBER(SEARCH("Director de Marketing",C1513))+ISNUMBER(SEARCH("Director Marketing",C1513))+ISNUMBER(SEARCH("Head of Marketing",C1513))+ISNUMBER(SEARCH("Head Marketing",C1513))&gt;0,'Configuración'!$B$32,IF(ISNUMBER(SEARCH("Marketing Manager",C1513))+ISNUMBER(SEARCH("Gerente de Marketing",C1513))+ISNUMBER(SEARCH("Growth Manager",C1513))+ISNUMBER(SEARCH("Demand Gen",C1513))+ISNUMBER(SEARCH("Marketing Lead",C1513))&gt;0,'Configuración'!$B$33,IF(ISNUMBER(SEARCH("COO",C1513))+ISNUMBER(SEARCH("CFO",C1513))+ISNUMBER(SEARCH("CTO",C1513))+ISNUMBER(SEARCH("Chief Operating",C1513))+ISNUMBER(SEARCH("Chief Financial",C1513))+ISNUMBER(SEARCH("Gerente General",C1513))+ISNUMBER(SEARCH("General Manager",C1513))&gt;0,'Configuración'!$B$34,'Configuración'!$B$35)))))</f>
        <v>12</v>
      </c>
      <c r="V1513" s="38">
        <f>IF(B1513="","",IF(K1513="Sí",'Configuración'!$B$5,0)+IF(L1513="Semanal",'Configuración'!$B$6,IF(L1513="Mensual",'Configuración'!$B$7,0))+IF(M1513="Sí",'Configuración'!$B$8,0)+IF(N1513="Sí",'Configuración'!$B$9,0)+IF(O1513="Sí",'Configuración'!$B$10,0)+IF(P1513="Sí",'Configuración'!$B$11,0)+IF(Q1513="Sí",'Configuración'!$B$12,0)+S1513+T1513+U1513)</f>
        <v>28</v>
      </c>
      <c r="W1513" s="39" t="str">
        <f>IF(B1513="","",IF(V1513&gt;='Configuración'!$B$19,"A",IF(V1513&gt;='Configuración'!$B$20,"B",IF(V1513&gt;='Configuración'!$B$21,"C","Descarte"))))</f>
        <v>C</v>
      </c>
    </row>
    <row r="1514" ht="15.75" customHeight="1">
      <c r="A1514" s="34">
        <f t="shared" si="1"/>
        <v>1512</v>
      </c>
      <c r="B1514" s="29" t="s">
        <v>166</v>
      </c>
      <c r="C1514" s="29" t="s">
        <v>297</v>
      </c>
      <c r="D1514" s="29" t="s">
        <v>8538</v>
      </c>
      <c r="E1514" s="29" t="s">
        <v>8539</v>
      </c>
      <c r="F1514" s="30" t="s">
        <v>8540</v>
      </c>
      <c r="G1514" s="30" t="s">
        <v>8541</v>
      </c>
      <c r="H1514" s="42" t="s">
        <v>8542</v>
      </c>
      <c r="I1514" s="29"/>
      <c r="J1514" s="31">
        <v>15.0</v>
      </c>
      <c r="K1514" s="35"/>
      <c r="L1514" s="35"/>
      <c r="M1514" s="35"/>
      <c r="N1514" s="35"/>
      <c r="O1514" s="35"/>
      <c r="P1514" s="35"/>
      <c r="Q1514" s="35"/>
      <c r="R1514" s="35"/>
      <c r="S1514" s="37">
        <f>IF(B1514="","",IF(ISNUMBER(J1514),IF(J1514&lt;=10,'Configuración'!$B$23,IF(J1514&lt;=50,'Configuración'!$B$24,IF(J1514&lt;=200,'Configuración'!$B$25,0))),0))</f>
        <v>4</v>
      </c>
      <c r="T1514" s="37">
        <f>IF(B1514="","",IF(ISNUMBER(SEARCH("information technology",I1514))+ISNUMBER(SEARCH("software",I1514))+ISNUMBER(SEARCH("internet",I1514))+ISNUMBER(SEARCH("computer",I1514))+ISNUMBER(SEARCH("saas",I1514))+ISNUMBER(SEARCH("fintech",I1514))+ISNUMBER(SEARCH("information services",I1514))+ISNUMBER(SEARCH("telecommunications",I1514))&gt;0,'Configuración'!$B$27,'Configuración'!$B$28))</f>
        <v>4</v>
      </c>
      <c r="U1514" s="25">
        <f>IF(B1514="","",IF(ISNUMBER(SEARCH("CEO",C1514))+ISNUMBER(SEARCH("Founder",C1514))+ISNUMBER(SEARCH("Owner",C1514))+ISNUMBER(SEARCH("Dueño",C1514))+ISNUMBER(SEARCH("Director General",C1514))+ISNUMBER(SEARCH("Presidente",C1514))+ISNUMBER(SEARCH("President",C1514))&gt;0,'Configuración'!$B$31,IF(ISNUMBER(SEARCH("CMO",C1514))+ISNUMBER(SEARCH("Chief Marketing",C1514))+ISNUMBER(SEARCH("VP Marketing",C1514))+ISNUMBER(SEARCH("Director de Marketing",C1514))+ISNUMBER(SEARCH("Director Marketing",C1514))+ISNUMBER(SEARCH("Head of Marketing",C1514))+ISNUMBER(SEARCH("Head Marketing",C1514))&gt;0,'Configuración'!$B$32,IF(ISNUMBER(SEARCH("Marketing Manager",C1514))+ISNUMBER(SEARCH("Gerente de Marketing",C1514))+ISNUMBER(SEARCH("Growth Manager",C1514))+ISNUMBER(SEARCH("Demand Gen",C1514))+ISNUMBER(SEARCH("Marketing Lead",C1514))&gt;0,'Configuración'!$B$33,IF(ISNUMBER(SEARCH("COO",C1514))+ISNUMBER(SEARCH("CFO",C1514))+ISNUMBER(SEARCH("CTO",C1514))+ISNUMBER(SEARCH("Chief Operating",C1514))+ISNUMBER(SEARCH("Chief Financial",C1514))+ISNUMBER(SEARCH("Gerente General",C1514))+ISNUMBER(SEARCH("General Manager",C1514))&gt;0,'Configuración'!$B$34,'Configuración'!$B$35)))))</f>
        <v>0</v>
      </c>
      <c r="V1514" s="38">
        <f>IF(B1514="","",IF(K1514="Sí",'Configuración'!$B$5,0)+IF(L1514="Semanal",'Configuración'!$B$6,IF(L1514="Mensual",'Configuración'!$B$7,0))+IF(M1514="Sí",'Configuración'!$B$8,0)+IF(N1514="Sí",'Configuración'!$B$9,0)+IF(O1514="Sí",'Configuración'!$B$10,0)+IF(P1514="Sí",'Configuración'!$B$11,0)+IF(Q1514="Sí",'Configuración'!$B$12,0)+S1514+T1514+U1514)</f>
        <v>8</v>
      </c>
      <c r="W1514" s="39" t="str">
        <f>IF(B1514="","",IF(V1514&gt;='Configuración'!$B$19,"A",IF(V1514&gt;='Configuración'!$B$20,"B",IF(V1514&gt;='Configuración'!$B$21,"C","Descarte"))))</f>
        <v>Descarte</v>
      </c>
    </row>
    <row r="1515" ht="15.75" customHeight="1">
      <c r="A1515" s="34">
        <f t="shared" si="1"/>
        <v>1513</v>
      </c>
      <c r="B1515" s="29" t="s">
        <v>138</v>
      </c>
      <c r="C1515" s="29" t="s">
        <v>8543</v>
      </c>
      <c r="D1515" s="29" t="s">
        <v>8544</v>
      </c>
      <c r="E1515" s="29" t="s">
        <v>8545</v>
      </c>
      <c r="F1515" s="30" t="s">
        <v>8546</v>
      </c>
      <c r="G1515" s="30" t="s">
        <v>8547</v>
      </c>
      <c r="H1515" s="42" t="s">
        <v>8548</v>
      </c>
      <c r="I1515" s="29" t="s">
        <v>288</v>
      </c>
      <c r="J1515" s="31">
        <v>18.0</v>
      </c>
      <c r="K1515" s="35"/>
      <c r="L1515" s="35"/>
      <c r="M1515" s="35"/>
      <c r="N1515" s="35"/>
      <c r="O1515" s="35"/>
      <c r="P1515" s="35"/>
      <c r="Q1515" s="35"/>
      <c r="R1515" s="35"/>
      <c r="S1515" s="37">
        <f>IF(B1515="","",IF(ISNUMBER(J1515),IF(J1515&lt;=10,'Configuración'!$B$23,IF(J1515&lt;=50,'Configuración'!$B$24,IF(J1515&lt;=200,'Configuración'!$B$25,0))),0))</f>
        <v>4</v>
      </c>
      <c r="T1515" s="37">
        <f>IF(B1515="","",IF(ISNUMBER(SEARCH("information technology",I1515))+ISNUMBER(SEARCH("software",I1515))+ISNUMBER(SEARCH("internet",I1515))+ISNUMBER(SEARCH("computer",I1515))+ISNUMBER(SEARCH("saas",I1515))+ISNUMBER(SEARCH("fintech",I1515))+ISNUMBER(SEARCH("information services",I1515))+ISNUMBER(SEARCH("telecommunications",I1515))&gt;0,'Configuración'!$B$27,'Configuración'!$B$28))</f>
        <v>4</v>
      </c>
      <c r="U1515" s="25">
        <f>IF(B1515="","",IF(ISNUMBER(SEARCH("CEO",C1515))+ISNUMBER(SEARCH("Founder",C1515))+ISNUMBER(SEARCH("Owner",C1515))+ISNUMBER(SEARCH("Dueño",C1515))+ISNUMBER(SEARCH("Director General",C1515))+ISNUMBER(SEARCH("Presidente",C1515))+ISNUMBER(SEARCH("President",C1515))&gt;0,'Configuración'!$B$31,IF(ISNUMBER(SEARCH("CMO",C1515))+ISNUMBER(SEARCH("Chief Marketing",C1515))+ISNUMBER(SEARCH("VP Marketing",C1515))+ISNUMBER(SEARCH("Director de Marketing",C1515))+ISNUMBER(SEARCH("Director Marketing",C1515))+ISNUMBER(SEARCH("Head of Marketing",C1515))+ISNUMBER(SEARCH("Head Marketing",C1515))&gt;0,'Configuración'!$B$32,IF(ISNUMBER(SEARCH("Marketing Manager",C1515))+ISNUMBER(SEARCH("Gerente de Marketing",C1515))+ISNUMBER(SEARCH("Growth Manager",C1515))+ISNUMBER(SEARCH("Demand Gen",C1515))+ISNUMBER(SEARCH("Marketing Lead",C1515))&gt;0,'Configuración'!$B$33,IF(ISNUMBER(SEARCH("COO",C1515))+ISNUMBER(SEARCH("CFO",C1515))+ISNUMBER(SEARCH("CTO",C1515))+ISNUMBER(SEARCH("Chief Operating",C1515))+ISNUMBER(SEARCH("Chief Financial",C1515))+ISNUMBER(SEARCH("Gerente General",C1515))+ISNUMBER(SEARCH("General Manager",C1515))&gt;0,'Configuración'!$B$34,'Configuración'!$B$35)))))</f>
        <v>4</v>
      </c>
      <c r="V1515" s="38">
        <f>IF(B1515="","",IF(K1515="Sí",'Configuración'!$B$5,0)+IF(L1515="Semanal",'Configuración'!$B$6,IF(L1515="Mensual",'Configuración'!$B$7,0))+IF(M1515="Sí",'Configuración'!$B$8,0)+IF(N1515="Sí",'Configuración'!$B$9,0)+IF(O1515="Sí",'Configuración'!$B$10,0)+IF(P1515="Sí",'Configuración'!$B$11,0)+IF(Q1515="Sí",'Configuración'!$B$12,0)+S1515+T1515+U1515)</f>
        <v>12</v>
      </c>
      <c r="W1515" s="39" t="str">
        <f>IF(B1515="","",IF(V1515&gt;='Configuración'!$B$19,"A",IF(V1515&gt;='Configuración'!$B$20,"B",IF(V1515&gt;='Configuración'!$B$21,"C","Descarte"))))</f>
        <v>Descarte</v>
      </c>
    </row>
    <row r="1516" ht="15.75" customHeight="1">
      <c r="A1516" s="34">
        <f t="shared" si="1"/>
        <v>1514</v>
      </c>
      <c r="B1516" s="29" t="s">
        <v>8549</v>
      </c>
      <c r="C1516" s="29" t="s">
        <v>487</v>
      </c>
      <c r="D1516" s="29" t="s">
        <v>8550</v>
      </c>
      <c r="E1516" s="29" t="s">
        <v>8551</v>
      </c>
      <c r="F1516" s="30" t="s">
        <v>8552</v>
      </c>
      <c r="G1516" s="30" t="s">
        <v>8553</v>
      </c>
      <c r="H1516" s="42" t="s">
        <v>8554</v>
      </c>
      <c r="I1516" s="29" t="s">
        <v>1042</v>
      </c>
      <c r="J1516" s="31">
        <v>47.0</v>
      </c>
      <c r="K1516" s="35"/>
      <c r="L1516" s="35"/>
      <c r="M1516" s="35"/>
      <c r="N1516" s="35"/>
      <c r="O1516" s="35"/>
      <c r="P1516" s="35"/>
      <c r="Q1516" s="35"/>
      <c r="R1516" s="35"/>
      <c r="S1516" s="37">
        <f>IF(B1516="","",IF(ISNUMBER(J1516),IF(J1516&lt;=10,'Configuración'!$B$23,IF(J1516&lt;=50,'Configuración'!$B$24,IF(J1516&lt;=200,'Configuración'!$B$25,0))),0))</f>
        <v>4</v>
      </c>
      <c r="T1516" s="37">
        <f>IF(B1516="","",IF(ISNUMBER(SEARCH("information technology",I1516))+ISNUMBER(SEARCH("software",I1516))+ISNUMBER(SEARCH("internet",I1516))+ISNUMBER(SEARCH("computer",I1516))+ISNUMBER(SEARCH("saas",I1516))+ISNUMBER(SEARCH("fintech",I1516))+ISNUMBER(SEARCH("information services",I1516))+ISNUMBER(SEARCH("telecommunications",I1516))&gt;0,'Configuración'!$B$27,'Configuración'!$B$28))</f>
        <v>4</v>
      </c>
      <c r="U1516" s="25">
        <f>IF(B1516="","",IF(ISNUMBER(SEARCH("CEO",C1516))+ISNUMBER(SEARCH("Founder",C1516))+ISNUMBER(SEARCH("Owner",C1516))+ISNUMBER(SEARCH("Dueño",C1516))+ISNUMBER(SEARCH("Director General",C1516))+ISNUMBER(SEARCH("Presidente",C1516))+ISNUMBER(SEARCH("President",C1516))&gt;0,'Configuración'!$B$31,IF(ISNUMBER(SEARCH("CMO",C1516))+ISNUMBER(SEARCH("Chief Marketing",C1516))+ISNUMBER(SEARCH("VP Marketing",C1516))+ISNUMBER(SEARCH("Director de Marketing",C1516))+ISNUMBER(SEARCH("Director Marketing",C1516))+ISNUMBER(SEARCH("Head of Marketing",C1516))+ISNUMBER(SEARCH("Head Marketing",C1516))&gt;0,'Configuración'!$B$32,IF(ISNUMBER(SEARCH("Marketing Manager",C1516))+ISNUMBER(SEARCH("Gerente de Marketing",C1516))+ISNUMBER(SEARCH("Growth Manager",C1516))+ISNUMBER(SEARCH("Demand Gen",C1516))+ISNUMBER(SEARCH("Marketing Lead",C1516))&gt;0,'Configuración'!$B$33,IF(ISNUMBER(SEARCH("COO",C1516))+ISNUMBER(SEARCH("CFO",C1516))+ISNUMBER(SEARCH("CTO",C1516))+ISNUMBER(SEARCH("Chief Operating",C1516))+ISNUMBER(SEARCH("Chief Financial",C1516))+ISNUMBER(SEARCH("Gerente General",C1516))+ISNUMBER(SEARCH("General Manager",C1516))&gt;0,'Configuración'!$B$34,'Configuración'!$B$35)))))</f>
        <v>12</v>
      </c>
      <c r="V1516" s="38">
        <f>IF(B1516="","",IF(K1516="Sí",'Configuración'!$B$5,0)+IF(L1516="Semanal",'Configuración'!$B$6,IF(L1516="Mensual",'Configuración'!$B$7,0))+IF(M1516="Sí",'Configuración'!$B$8,0)+IF(N1516="Sí",'Configuración'!$B$9,0)+IF(O1516="Sí",'Configuración'!$B$10,0)+IF(P1516="Sí",'Configuración'!$B$11,0)+IF(Q1516="Sí",'Configuración'!$B$12,0)+S1516+T1516+U1516)</f>
        <v>20</v>
      </c>
      <c r="W1516" s="39" t="str">
        <f>IF(B1516="","",IF(V1516&gt;='Configuración'!$B$19,"A",IF(V1516&gt;='Configuración'!$B$20,"B",IF(V1516&gt;='Configuración'!$B$21,"C","Descarte"))))</f>
        <v>Descarte</v>
      </c>
    </row>
    <row r="1517" ht="15.75" customHeight="1">
      <c r="A1517" s="34">
        <f t="shared" si="1"/>
        <v>1515</v>
      </c>
      <c r="B1517" s="29" t="s">
        <v>2065</v>
      </c>
      <c r="C1517" s="29" t="s">
        <v>202</v>
      </c>
      <c r="D1517" s="29" t="s">
        <v>8555</v>
      </c>
      <c r="E1517" s="29" t="s">
        <v>8556</v>
      </c>
      <c r="F1517" s="30" t="s">
        <v>8557</v>
      </c>
      <c r="G1517" s="30" t="s">
        <v>8558</v>
      </c>
      <c r="H1517" s="42" t="s">
        <v>8559</v>
      </c>
      <c r="I1517" s="29" t="s">
        <v>1404</v>
      </c>
      <c r="J1517" s="31">
        <v>3.0</v>
      </c>
      <c r="K1517" s="35"/>
      <c r="L1517" s="35"/>
      <c r="M1517" s="35"/>
      <c r="N1517" s="35"/>
      <c r="O1517" s="35"/>
      <c r="P1517" s="35"/>
      <c r="Q1517" s="35"/>
      <c r="R1517" s="35"/>
      <c r="S1517" s="37">
        <f>IF(B1517="","",IF(ISNUMBER(J1517),IF(J1517&lt;=10,'Configuración'!$B$23,IF(J1517&lt;=50,'Configuración'!$B$24,IF(J1517&lt;=200,'Configuración'!$B$25,0))),0))</f>
        <v>12</v>
      </c>
      <c r="T1517" s="37">
        <f>IF(B1517="","",IF(ISNUMBER(SEARCH("information technology",I1517))+ISNUMBER(SEARCH("software",I1517))+ISNUMBER(SEARCH("internet",I1517))+ISNUMBER(SEARCH("computer",I1517))+ISNUMBER(SEARCH("saas",I1517))+ISNUMBER(SEARCH("fintech",I1517))+ISNUMBER(SEARCH("information services",I1517))+ISNUMBER(SEARCH("telecommunications",I1517))&gt;0,'Configuración'!$B$27,'Configuración'!$B$28))</f>
        <v>4</v>
      </c>
      <c r="U1517" s="25">
        <f>IF(B1517="","",IF(ISNUMBER(SEARCH("CEO",C1517))+ISNUMBER(SEARCH("Founder",C1517))+ISNUMBER(SEARCH("Owner",C1517))+ISNUMBER(SEARCH("Dueño",C1517))+ISNUMBER(SEARCH("Director General",C1517))+ISNUMBER(SEARCH("Presidente",C1517))+ISNUMBER(SEARCH("President",C1517))&gt;0,'Configuración'!$B$31,IF(ISNUMBER(SEARCH("CMO",C1517))+ISNUMBER(SEARCH("Chief Marketing",C1517))+ISNUMBER(SEARCH("VP Marketing",C1517))+ISNUMBER(SEARCH("Director de Marketing",C1517))+ISNUMBER(SEARCH("Director Marketing",C1517))+ISNUMBER(SEARCH("Head of Marketing",C1517))+ISNUMBER(SEARCH("Head Marketing",C1517))&gt;0,'Configuración'!$B$32,IF(ISNUMBER(SEARCH("Marketing Manager",C1517))+ISNUMBER(SEARCH("Gerente de Marketing",C1517))+ISNUMBER(SEARCH("Growth Manager",C1517))+ISNUMBER(SEARCH("Demand Gen",C1517))+ISNUMBER(SEARCH("Marketing Lead",C1517))&gt;0,'Configuración'!$B$33,IF(ISNUMBER(SEARCH("COO",C1517))+ISNUMBER(SEARCH("CFO",C1517))+ISNUMBER(SEARCH("CTO",C1517))+ISNUMBER(SEARCH("Chief Operating",C1517))+ISNUMBER(SEARCH("Chief Financial",C1517))+ISNUMBER(SEARCH("Gerente General",C1517))+ISNUMBER(SEARCH("General Manager",C1517))&gt;0,'Configuración'!$B$34,'Configuración'!$B$35)))))</f>
        <v>12</v>
      </c>
      <c r="V1517" s="38">
        <f>IF(B1517="","",IF(K1517="Sí",'Configuración'!$B$5,0)+IF(L1517="Semanal",'Configuración'!$B$6,IF(L1517="Mensual",'Configuración'!$B$7,0))+IF(M1517="Sí",'Configuración'!$B$8,0)+IF(N1517="Sí",'Configuración'!$B$9,0)+IF(O1517="Sí",'Configuración'!$B$10,0)+IF(P1517="Sí",'Configuración'!$B$11,0)+IF(Q1517="Sí",'Configuración'!$B$12,0)+S1517+T1517+U1517)</f>
        <v>28</v>
      </c>
      <c r="W1517" s="39" t="str">
        <f>IF(B1517="","",IF(V1517&gt;='Configuración'!$B$19,"A",IF(V1517&gt;='Configuración'!$B$20,"B",IF(V1517&gt;='Configuración'!$B$21,"C","Descarte"))))</f>
        <v>C</v>
      </c>
    </row>
    <row r="1518" ht="15.75" customHeight="1">
      <c r="A1518" s="34">
        <f t="shared" si="1"/>
        <v>1516</v>
      </c>
      <c r="B1518" s="29" t="s">
        <v>4827</v>
      </c>
      <c r="C1518" s="29" t="s">
        <v>146</v>
      </c>
      <c r="D1518" s="29" t="s">
        <v>8560</v>
      </c>
      <c r="E1518" s="29" t="s">
        <v>8561</v>
      </c>
      <c r="F1518" s="30" t="s">
        <v>8562</v>
      </c>
      <c r="G1518" s="30" t="s">
        <v>8563</v>
      </c>
      <c r="H1518" s="42" t="s">
        <v>8564</v>
      </c>
      <c r="I1518" s="29" t="s">
        <v>127</v>
      </c>
      <c r="J1518" s="31">
        <v>50.0</v>
      </c>
      <c r="K1518" s="35"/>
      <c r="L1518" s="35"/>
      <c r="M1518" s="35"/>
      <c r="N1518" s="35"/>
      <c r="O1518" s="35"/>
      <c r="P1518" s="35"/>
      <c r="Q1518" s="35"/>
      <c r="R1518" s="35"/>
      <c r="S1518" s="37">
        <f>IF(B1518="","",IF(ISNUMBER(J1518),IF(J1518&lt;=10,'Configuración'!$B$23,IF(J1518&lt;=50,'Configuración'!$B$24,IF(J1518&lt;=200,'Configuración'!$B$25,0))),0))</f>
        <v>4</v>
      </c>
      <c r="T1518" s="37">
        <f>IF(B1518="","",IF(ISNUMBER(SEARCH("information technology",I1518))+ISNUMBER(SEARCH("software",I1518))+ISNUMBER(SEARCH("internet",I1518))+ISNUMBER(SEARCH("computer",I1518))+ISNUMBER(SEARCH("saas",I1518))+ISNUMBER(SEARCH("fintech",I1518))+ISNUMBER(SEARCH("information services",I1518))+ISNUMBER(SEARCH("telecommunications",I1518))&gt;0,'Configuración'!$B$27,'Configuración'!$B$28))</f>
        <v>12</v>
      </c>
      <c r="U1518" s="25">
        <f>IF(B1518="","",IF(ISNUMBER(SEARCH("CEO",C1518))+ISNUMBER(SEARCH("Founder",C1518))+ISNUMBER(SEARCH("Owner",C1518))+ISNUMBER(SEARCH("Dueño",C1518))+ISNUMBER(SEARCH("Director General",C1518))+ISNUMBER(SEARCH("Presidente",C1518))+ISNUMBER(SEARCH("President",C1518))&gt;0,'Configuración'!$B$31,IF(ISNUMBER(SEARCH("CMO",C1518))+ISNUMBER(SEARCH("Chief Marketing",C1518))+ISNUMBER(SEARCH("VP Marketing",C1518))+ISNUMBER(SEARCH("Director de Marketing",C1518))+ISNUMBER(SEARCH("Director Marketing",C1518))+ISNUMBER(SEARCH("Head of Marketing",C1518))+ISNUMBER(SEARCH("Head Marketing",C1518))&gt;0,'Configuración'!$B$32,IF(ISNUMBER(SEARCH("Marketing Manager",C1518))+ISNUMBER(SEARCH("Gerente de Marketing",C1518))+ISNUMBER(SEARCH("Growth Manager",C1518))+ISNUMBER(SEARCH("Demand Gen",C1518))+ISNUMBER(SEARCH("Marketing Lead",C1518))&gt;0,'Configuración'!$B$33,IF(ISNUMBER(SEARCH("COO",C1518))+ISNUMBER(SEARCH("CFO",C1518))+ISNUMBER(SEARCH("CTO",C1518))+ISNUMBER(SEARCH("Chief Operating",C1518))+ISNUMBER(SEARCH("Chief Financial",C1518))+ISNUMBER(SEARCH("Gerente General",C1518))+ISNUMBER(SEARCH("General Manager",C1518))&gt;0,'Configuración'!$B$34,'Configuración'!$B$35)))))</f>
        <v>0</v>
      </c>
      <c r="V1518" s="38">
        <f>IF(B1518="","",IF(K1518="Sí",'Configuración'!$B$5,0)+IF(L1518="Semanal",'Configuración'!$B$6,IF(L1518="Mensual",'Configuración'!$B$7,0))+IF(M1518="Sí",'Configuración'!$B$8,0)+IF(N1518="Sí",'Configuración'!$B$9,0)+IF(O1518="Sí",'Configuración'!$B$10,0)+IF(P1518="Sí",'Configuración'!$B$11,0)+IF(Q1518="Sí",'Configuración'!$B$12,0)+S1518+T1518+U1518)</f>
        <v>16</v>
      </c>
      <c r="W1518" s="39" t="str">
        <f>IF(B1518="","",IF(V1518&gt;='Configuración'!$B$19,"A",IF(V1518&gt;='Configuración'!$B$20,"B",IF(V1518&gt;='Configuración'!$B$21,"C","Descarte"))))</f>
        <v>Descarte</v>
      </c>
    </row>
    <row r="1519" ht="15.75" customHeight="1">
      <c r="A1519" s="34">
        <f t="shared" si="1"/>
        <v>1517</v>
      </c>
      <c r="B1519" s="29" t="s">
        <v>3051</v>
      </c>
      <c r="C1519" s="29" t="s">
        <v>1815</v>
      </c>
      <c r="D1519" s="29" t="s">
        <v>8565</v>
      </c>
      <c r="E1519" s="29" t="s">
        <v>8566</v>
      </c>
      <c r="F1519" s="30" t="s">
        <v>8567</v>
      </c>
      <c r="G1519" s="30" t="s">
        <v>8568</v>
      </c>
      <c r="H1519" s="42" t="s">
        <v>8569</v>
      </c>
      <c r="I1519" s="29" t="s">
        <v>127</v>
      </c>
      <c r="J1519" s="31">
        <v>2.0</v>
      </c>
      <c r="K1519" s="35"/>
      <c r="L1519" s="35"/>
      <c r="M1519" s="35"/>
      <c r="N1519" s="35"/>
      <c r="O1519" s="35"/>
      <c r="P1519" s="35"/>
      <c r="Q1519" s="35"/>
      <c r="R1519" s="35"/>
      <c r="S1519" s="37">
        <f>IF(B1519="","",IF(ISNUMBER(J1519),IF(J1519&lt;=10,'Configuración'!$B$23,IF(J1519&lt;=50,'Configuración'!$B$24,IF(J1519&lt;=200,'Configuración'!$B$25,0))),0))</f>
        <v>12</v>
      </c>
      <c r="T1519" s="37">
        <f>IF(B1519="","",IF(ISNUMBER(SEARCH("information technology",I1519))+ISNUMBER(SEARCH("software",I1519))+ISNUMBER(SEARCH("internet",I1519))+ISNUMBER(SEARCH("computer",I1519))+ISNUMBER(SEARCH("saas",I1519))+ISNUMBER(SEARCH("fintech",I1519))+ISNUMBER(SEARCH("information services",I1519))+ISNUMBER(SEARCH("telecommunications",I1519))&gt;0,'Configuración'!$B$27,'Configuración'!$B$28))</f>
        <v>12</v>
      </c>
      <c r="U1519" s="25">
        <f>IF(B1519="","",IF(ISNUMBER(SEARCH("CEO",C1519))+ISNUMBER(SEARCH("Founder",C1519))+ISNUMBER(SEARCH("Owner",C1519))+ISNUMBER(SEARCH("Dueño",C1519))+ISNUMBER(SEARCH("Director General",C1519))+ISNUMBER(SEARCH("Presidente",C1519))+ISNUMBER(SEARCH("President",C1519))&gt;0,'Configuración'!$B$31,IF(ISNUMBER(SEARCH("CMO",C1519))+ISNUMBER(SEARCH("Chief Marketing",C1519))+ISNUMBER(SEARCH("VP Marketing",C1519))+ISNUMBER(SEARCH("Director de Marketing",C1519))+ISNUMBER(SEARCH("Director Marketing",C1519))+ISNUMBER(SEARCH("Head of Marketing",C1519))+ISNUMBER(SEARCH("Head Marketing",C1519))&gt;0,'Configuración'!$B$32,IF(ISNUMBER(SEARCH("Marketing Manager",C1519))+ISNUMBER(SEARCH("Gerente de Marketing",C1519))+ISNUMBER(SEARCH("Growth Manager",C1519))+ISNUMBER(SEARCH("Demand Gen",C1519))+ISNUMBER(SEARCH("Marketing Lead",C1519))&gt;0,'Configuración'!$B$33,IF(ISNUMBER(SEARCH("COO",C1519))+ISNUMBER(SEARCH("CFO",C1519))+ISNUMBER(SEARCH("CTO",C1519))+ISNUMBER(SEARCH("Chief Operating",C1519))+ISNUMBER(SEARCH("Chief Financial",C1519))+ISNUMBER(SEARCH("Gerente General",C1519))+ISNUMBER(SEARCH("General Manager",C1519))&gt;0,'Configuración'!$B$34,'Configuración'!$B$35)))))</f>
        <v>12</v>
      </c>
      <c r="V1519" s="38">
        <f>IF(B1519="","",IF(K1519="Sí",'Configuración'!$B$5,0)+IF(L1519="Semanal",'Configuración'!$B$6,IF(L1519="Mensual",'Configuración'!$B$7,0))+IF(M1519="Sí",'Configuración'!$B$8,0)+IF(N1519="Sí",'Configuración'!$B$9,0)+IF(O1519="Sí",'Configuración'!$B$10,0)+IF(P1519="Sí",'Configuración'!$B$11,0)+IF(Q1519="Sí",'Configuración'!$B$12,0)+S1519+T1519+U1519)</f>
        <v>36</v>
      </c>
      <c r="W1519" s="39" t="str">
        <f>IF(B1519="","",IF(V1519&gt;='Configuración'!$B$19,"A",IF(V1519&gt;='Configuración'!$B$20,"B",IF(V1519&gt;='Configuración'!$B$21,"C","Descarte"))))</f>
        <v>C</v>
      </c>
    </row>
    <row r="1520" ht="15.75" customHeight="1">
      <c r="A1520" s="34">
        <f t="shared" si="1"/>
        <v>1518</v>
      </c>
      <c r="B1520" s="29" t="s">
        <v>174</v>
      </c>
      <c r="C1520" s="29" t="s">
        <v>131</v>
      </c>
      <c r="D1520" s="29" t="s">
        <v>8570</v>
      </c>
      <c r="E1520" s="29" t="s">
        <v>8571</v>
      </c>
      <c r="F1520" s="30" t="s">
        <v>8572</v>
      </c>
      <c r="G1520" s="30" t="s">
        <v>8573</v>
      </c>
      <c r="H1520" s="42" t="s">
        <v>8574</v>
      </c>
      <c r="I1520" s="29" t="s">
        <v>659</v>
      </c>
      <c r="J1520" s="31">
        <v>3.0</v>
      </c>
      <c r="K1520" s="35"/>
      <c r="L1520" s="35"/>
      <c r="M1520" s="35"/>
      <c r="N1520" s="35"/>
      <c r="O1520" s="35"/>
      <c r="P1520" s="35"/>
      <c r="Q1520" s="35"/>
      <c r="R1520" s="35"/>
      <c r="S1520" s="37">
        <f>IF(B1520="","",IF(ISNUMBER(J1520),IF(J1520&lt;=10,'Configuración'!$B$23,IF(J1520&lt;=50,'Configuración'!$B$24,IF(J1520&lt;=200,'Configuración'!$B$25,0))),0))</f>
        <v>12</v>
      </c>
      <c r="T1520" s="37">
        <f>IF(B1520="","",IF(ISNUMBER(SEARCH("information technology",I1520))+ISNUMBER(SEARCH("software",I1520))+ISNUMBER(SEARCH("internet",I1520))+ISNUMBER(SEARCH("computer",I1520))+ISNUMBER(SEARCH("saas",I1520))+ISNUMBER(SEARCH("fintech",I1520))+ISNUMBER(SEARCH("information services",I1520))+ISNUMBER(SEARCH("telecommunications",I1520))&gt;0,'Configuración'!$B$27,'Configuración'!$B$28))</f>
        <v>4</v>
      </c>
      <c r="U1520" s="25">
        <f>IF(B1520="","",IF(ISNUMBER(SEARCH("CEO",C1520))+ISNUMBER(SEARCH("Founder",C1520))+ISNUMBER(SEARCH("Owner",C1520))+ISNUMBER(SEARCH("Dueño",C1520))+ISNUMBER(SEARCH("Director General",C1520))+ISNUMBER(SEARCH("Presidente",C1520))+ISNUMBER(SEARCH("President",C1520))&gt;0,'Configuración'!$B$31,IF(ISNUMBER(SEARCH("CMO",C1520))+ISNUMBER(SEARCH("Chief Marketing",C1520))+ISNUMBER(SEARCH("VP Marketing",C1520))+ISNUMBER(SEARCH("Director de Marketing",C1520))+ISNUMBER(SEARCH("Director Marketing",C1520))+ISNUMBER(SEARCH("Head of Marketing",C1520))+ISNUMBER(SEARCH("Head Marketing",C1520))&gt;0,'Configuración'!$B$32,IF(ISNUMBER(SEARCH("Marketing Manager",C1520))+ISNUMBER(SEARCH("Gerente de Marketing",C1520))+ISNUMBER(SEARCH("Growth Manager",C1520))+ISNUMBER(SEARCH("Demand Gen",C1520))+ISNUMBER(SEARCH("Marketing Lead",C1520))&gt;0,'Configuración'!$B$33,IF(ISNUMBER(SEARCH("COO",C1520))+ISNUMBER(SEARCH("CFO",C1520))+ISNUMBER(SEARCH("CTO",C1520))+ISNUMBER(SEARCH("Chief Operating",C1520))+ISNUMBER(SEARCH("Chief Financial",C1520))+ISNUMBER(SEARCH("Gerente General",C1520))+ISNUMBER(SEARCH("General Manager",C1520))&gt;0,'Configuración'!$B$34,'Configuración'!$B$35)))))</f>
        <v>12</v>
      </c>
      <c r="V1520" s="38">
        <f>IF(B1520="","",IF(K1520="Sí",'Configuración'!$B$5,0)+IF(L1520="Semanal",'Configuración'!$B$6,IF(L1520="Mensual",'Configuración'!$B$7,0))+IF(M1520="Sí",'Configuración'!$B$8,0)+IF(N1520="Sí",'Configuración'!$B$9,0)+IF(O1520="Sí",'Configuración'!$B$10,0)+IF(P1520="Sí",'Configuración'!$B$11,0)+IF(Q1520="Sí",'Configuración'!$B$12,0)+S1520+T1520+U1520)</f>
        <v>28</v>
      </c>
      <c r="W1520" s="39" t="str">
        <f>IF(B1520="","",IF(V1520&gt;='Configuración'!$B$19,"A",IF(V1520&gt;='Configuración'!$B$20,"B",IF(V1520&gt;='Configuración'!$B$21,"C","Descarte"))))</f>
        <v>C</v>
      </c>
    </row>
    <row r="1521" ht="15.75" customHeight="1">
      <c r="A1521" s="34">
        <f t="shared" si="1"/>
        <v>1519</v>
      </c>
      <c r="B1521" s="29" t="s">
        <v>2740</v>
      </c>
      <c r="C1521" s="29" t="s">
        <v>8575</v>
      </c>
      <c r="D1521" s="29" t="s">
        <v>8576</v>
      </c>
      <c r="E1521" s="29" t="s">
        <v>8577</v>
      </c>
      <c r="F1521" s="30" t="s">
        <v>8578</v>
      </c>
      <c r="G1521" s="30" t="s">
        <v>8579</v>
      </c>
      <c r="H1521" s="42" t="s">
        <v>8580</v>
      </c>
      <c r="I1521" s="29" t="s">
        <v>337</v>
      </c>
      <c r="J1521" s="31">
        <v>14.0</v>
      </c>
      <c r="K1521" s="35"/>
      <c r="L1521" s="35"/>
      <c r="M1521" s="35"/>
      <c r="N1521" s="35"/>
      <c r="O1521" s="35"/>
      <c r="P1521" s="35"/>
      <c r="Q1521" s="35"/>
      <c r="R1521" s="35"/>
      <c r="S1521" s="37">
        <f>IF(B1521="","",IF(ISNUMBER(J1521),IF(J1521&lt;=10,'Configuración'!$B$23,IF(J1521&lt;=50,'Configuración'!$B$24,IF(J1521&lt;=200,'Configuración'!$B$25,0))),0))</f>
        <v>4</v>
      </c>
      <c r="T1521" s="37">
        <f>IF(B1521="","",IF(ISNUMBER(SEARCH("information technology",I1521))+ISNUMBER(SEARCH("software",I1521))+ISNUMBER(SEARCH("internet",I1521))+ISNUMBER(SEARCH("computer",I1521))+ISNUMBER(SEARCH("saas",I1521))+ISNUMBER(SEARCH("fintech",I1521))+ISNUMBER(SEARCH("information services",I1521))+ISNUMBER(SEARCH("telecommunications",I1521))&gt;0,'Configuración'!$B$27,'Configuración'!$B$28))</f>
        <v>4</v>
      </c>
      <c r="U1521" s="25">
        <f>IF(B1521="","",IF(ISNUMBER(SEARCH("CEO",C1521))+ISNUMBER(SEARCH("Founder",C1521))+ISNUMBER(SEARCH("Owner",C1521))+ISNUMBER(SEARCH("Dueño",C1521))+ISNUMBER(SEARCH("Director General",C1521))+ISNUMBER(SEARCH("Presidente",C1521))+ISNUMBER(SEARCH("President",C1521))&gt;0,'Configuración'!$B$31,IF(ISNUMBER(SEARCH("CMO",C1521))+ISNUMBER(SEARCH("Chief Marketing",C1521))+ISNUMBER(SEARCH("VP Marketing",C1521))+ISNUMBER(SEARCH("Director de Marketing",C1521))+ISNUMBER(SEARCH("Director Marketing",C1521))+ISNUMBER(SEARCH("Head of Marketing",C1521))+ISNUMBER(SEARCH("Head Marketing",C1521))&gt;0,'Configuración'!$B$32,IF(ISNUMBER(SEARCH("Marketing Manager",C1521))+ISNUMBER(SEARCH("Gerente de Marketing",C1521))+ISNUMBER(SEARCH("Growth Manager",C1521))+ISNUMBER(SEARCH("Demand Gen",C1521))+ISNUMBER(SEARCH("Marketing Lead",C1521))&gt;0,'Configuración'!$B$33,IF(ISNUMBER(SEARCH("COO",C1521))+ISNUMBER(SEARCH("CFO",C1521))+ISNUMBER(SEARCH("CTO",C1521))+ISNUMBER(SEARCH("Chief Operating",C1521))+ISNUMBER(SEARCH("Chief Financial",C1521))+ISNUMBER(SEARCH("Gerente General",C1521))+ISNUMBER(SEARCH("General Manager",C1521))&gt;0,'Configuración'!$B$34,'Configuración'!$B$35)))))</f>
        <v>12</v>
      </c>
      <c r="V1521" s="38">
        <f>IF(B1521="","",IF(K1521="Sí",'Configuración'!$B$5,0)+IF(L1521="Semanal",'Configuración'!$B$6,IF(L1521="Mensual",'Configuración'!$B$7,0))+IF(M1521="Sí",'Configuración'!$B$8,0)+IF(N1521="Sí",'Configuración'!$B$9,0)+IF(O1521="Sí",'Configuración'!$B$10,0)+IF(P1521="Sí",'Configuración'!$B$11,0)+IF(Q1521="Sí",'Configuración'!$B$12,0)+S1521+T1521+U1521)</f>
        <v>20</v>
      </c>
      <c r="W1521" s="39" t="str">
        <f>IF(B1521="","",IF(V1521&gt;='Configuración'!$B$19,"A",IF(V1521&gt;='Configuración'!$B$20,"B",IF(V1521&gt;='Configuración'!$B$21,"C","Descarte"))))</f>
        <v>Descarte</v>
      </c>
    </row>
    <row r="1522" ht="15.75" customHeight="1">
      <c r="A1522" s="34">
        <f t="shared" si="1"/>
        <v>1520</v>
      </c>
      <c r="B1522" s="29" t="s">
        <v>159</v>
      </c>
      <c r="C1522" s="29" t="s">
        <v>8581</v>
      </c>
      <c r="D1522" s="29" t="s">
        <v>8582</v>
      </c>
      <c r="E1522" s="29" t="s">
        <v>8583</v>
      </c>
      <c r="F1522" s="30" t="s">
        <v>8584</v>
      </c>
      <c r="G1522" s="30" t="s">
        <v>8585</v>
      </c>
      <c r="H1522" s="42" t="s">
        <v>8586</v>
      </c>
      <c r="I1522" s="29" t="s">
        <v>337</v>
      </c>
      <c r="J1522" s="31">
        <v>8.0</v>
      </c>
      <c r="K1522" s="35"/>
      <c r="L1522" s="35"/>
      <c r="M1522" s="35"/>
      <c r="N1522" s="35"/>
      <c r="O1522" s="35"/>
      <c r="P1522" s="35"/>
      <c r="Q1522" s="35"/>
      <c r="R1522" s="35"/>
      <c r="S1522" s="37">
        <f>IF(B1522="","",IF(ISNUMBER(J1522),IF(J1522&lt;=10,'Configuración'!$B$23,IF(J1522&lt;=50,'Configuración'!$B$24,IF(J1522&lt;=200,'Configuración'!$B$25,0))),0))</f>
        <v>12</v>
      </c>
      <c r="T1522" s="37">
        <f>IF(B1522="","",IF(ISNUMBER(SEARCH("information technology",I1522))+ISNUMBER(SEARCH("software",I1522))+ISNUMBER(SEARCH("internet",I1522))+ISNUMBER(SEARCH("computer",I1522))+ISNUMBER(SEARCH("saas",I1522))+ISNUMBER(SEARCH("fintech",I1522))+ISNUMBER(SEARCH("information services",I1522))+ISNUMBER(SEARCH("telecommunications",I1522))&gt;0,'Configuración'!$B$27,'Configuración'!$B$28))</f>
        <v>4</v>
      </c>
      <c r="U1522" s="25">
        <f>IF(B1522="","",IF(ISNUMBER(SEARCH("CEO",C1522))+ISNUMBER(SEARCH("Founder",C1522))+ISNUMBER(SEARCH("Owner",C1522))+ISNUMBER(SEARCH("Dueño",C1522))+ISNUMBER(SEARCH("Director General",C1522))+ISNUMBER(SEARCH("Presidente",C1522))+ISNUMBER(SEARCH("President",C1522))&gt;0,'Configuración'!$B$31,IF(ISNUMBER(SEARCH("CMO",C1522))+ISNUMBER(SEARCH("Chief Marketing",C1522))+ISNUMBER(SEARCH("VP Marketing",C1522))+ISNUMBER(SEARCH("Director de Marketing",C1522))+ISNUMBER(SEARCH("Director Marketing",C1522))+ISNUMBER(SEARCH("Head of Marketing",C1522))+ISNUMBER(SEARCH("Head Marketing",C1522))&gt;0,'Configuración'!$B$32,IF(ISNUMBER(SEARCH("Marketing Manager",C1522))+ISNUMBER(SEARCH("Gerente de Marketing",C1522))+ISNUMBER(SEARCH("Growth Manager",C1522))+ISNUMBER(SEARCH("Demand Gen",C1522))+ISNUMBER(SEARCH("Marketing Lead",C1522))&gt;0,'Configuración'!$B$33,IF(ISNUMBER(SEARCH("COO",C1522))+ISNUMBER(SEARCH("CFO",C1522))+ISNUMBER(SEARCH("CTO",C1522))+ISNUMBER(SEARCH("Chief Operating",C1522))+ISNUMBER(SEARCH("Chief Financial",C1522))+ISNUMBER(SEARCH("Gerente General",C1522))+ISNUMBER(SEARCH("General Manager",C1522))&gt;0,'Configuración'!$B$34,'Configuración'!$B$35)))))</f>
        <v>12</v>
      </c>
      <c r="V1522" s="38">
        <f>IF(B1522="","",IF(K1522="Sí",'Configuración'!$B$5,0)+IF(L1522="Semanal",'Configuración'!$B$6,IF(L1522="Mensual",'Configuración'!$B$7,0))+IF(M1522="Sí",'Configuración'!$B$8,0)+IF(N1522="Sí",'Configuración'!$B$9,0)+IF(O1522="Sí",'Configuración'!$B$10,0)+IF(P1522="Sí",'Configuración'!$B$11,0)+IF(Q1522="Sí",'Configuración'!$B$12,0)+S1522+T1522+U1522)</f>
        <v>28</v>
      </c>
      <c r="W1522" s="39" t="str">
        <f>IF(B1522="","",IF(V1522&gt;='Configuración'!$B$19,"A",IF(V1522&gt;='Configuración'!$B$20,"B",IF(V1522&gt;='Configuración'!$B$21,"C","Descarte"))))</f>
        <v>C</v>
      </c>
    </row>
    <row r="1523" ht="15.75" customHeight="1">
      <c r="A1523" s="34">
        <f t="shared" si="1"/>
        <v>1521</v>
      </c>
      <c r="B1523" s="29" t="s">
        <v>1109</v>
      </c>
      <c r="C1523" s="29" t="s">
        <v>202</v>
      </c>
      <c r="D1523" s="29" t="s">
        <v>8587</v>
      </c>
      <c r="E1523" s="29" t="s">
        <v>8588</v>
      </c>
      <c r="F1523" s="30" t="s">
        <v>8589</v>
      </c>
      <c r="G1523" s="30" t="s">
        <v>8590</v>
      </c>
      <c r="H1523" s="42" t="s">
        <v>8591</v>
      </c>
      <c r="I1523" s="29" t="s">
        <v>542</v>
      </c>
      <c r="J1523" s="31">
        <v>4.0</v>
      </c>
      <c r="K1523" s="35"/>
      <c r="L1523" s="35"/>
      <c r="M1523" s="35"/>
      <c r="N1523" s="35"/>
      <c r="O1523" s="35"/>
      <c r="P1523" s="35"/>
      <c r="Q1523" s="35"/>
      <c r="R1523" s="35"/>
      <c r="S1523" s="37">
        <f>IF(B1523="","",IF(ISNUMBER(J1523),IF(J1523&lt;=10,'Configuración'!$B$23,IF(J1523&lt;=50,'Configuración'!$B$24,IF(J1523&lt;=200,'Configuración'!$B$25,0))),0))</f>
        <v>12</v>
      </c>
      <c r="T1523" s="37">
        <f>IF(B1523="","",IF(ISNUMBER(SEARCH("information technology",I1523))+ISNUMBER(SEARCH("software",I1523))+ISNUMBER(SEARCH("internet",I1523))+ISNUMBER(SEARCH("computer",I1523))+ISNUMBER(SEARCH("saas",I1523))+ISNUMBER(SEARCH("fintech",I1523))+ISNUMBER(SEARCH("information services",I1523))+ISNUMBER(SEARCH("telecommunications",I1523))&gt;0,'Configuración'!$B$27,'Configuración'!$B$28))</f>
        <v>4</v>
      </c>
      <c r="U1523" s="25">
        <f>IF(B1523="","",IF(ISNUMBER(SEARCH("CEO",C1523))+ISNUMBER(SEARCH("Founder",C1523))+ISNUMBER(SEARCH("Owner",C1523))+ISNUMBER(SEARCH("Dueño",C1523))+ISNUMBER(SEARCH("Director General",C1523))+ISNUMBER(SEARCH("Presidente",C1523))+ISNUMBER(SEARCH("President",C1523))&gt;0,'Configuración'!$B$31,IF(ISNUMBER(SEARCH("CMO",C1523))+ISNUMBER(SEARCH("Chief Marketing",C1523))+ISNUMBER(SEARCH("VP Marketing",C1523))+ISNUMBER(SEARCH("Director de Marketing",C1523))+ISNUMBER(SEARCH("Director Marketing",C1523))+ISNUMBER(SEARCH("Head of Marketing",C1523))+ISNUMBER(SEARCH("Head Marketing",C1523))&gt;0,'Configuración'!$B$32,IF(ISNUMBER(SEARCH("Marketing Manager",C1523))+ISNUMBER(SEARCH("Gerente de Marketing",C1523))+ISNUMBER(SEARCH("Growth Manager",C1523))+ISNUMBER(SEARCH("Demand Gen",C1523))+ISNUMBER(SEARCH("Marketing Lead",C1523))&gt;0,'Configuración'!$B$33,IF(ISNUMBER(SEARCH("COO",C1523))+ISNUMBER(SEARCH("CFO",C1523))+ISNUMBER(SEARCH("CTO",C1523))+ISNUMBER(SEARCH("Chief Operating",C1523))+ISNUMBER(SEARCH("Chief Financial",C1523))+ISNUMBER(SEARCH("Gerente General",C1523))+ISNUMBER(SEARCH("General Manager",C1523))&gt;0,'Configuración'!$B$34,'Configuración'!$B$35)))))</f>
        <v>12</v>
      </c>
      <c r="V1523" s="38">
        <f>IF(B1523="","",IF(K1523="Sí",'Configuración'!$B$5,0)+IF(L1523="Semanal",'Configuración'!$B$6,IF(L1523="Mensual",'Configuración'!$B$7,0))+IF(M1523="Sí",'Configuración'!$B$8,0)+IF(N1523="Sí",'Configuración'!$B$9,0)+IF(O1523="Sí",'Configuración'!$B$10,0)+IF(P1523="Sí",'Configuración'!$B$11,0)+IF(Q1523="Sí",'Configuración'!$B$12,0)+S1523+T1523+U1523)</f>
        <v>28</v>
      </c>
      <c r="W1523" s="39" t="str">
        <f>IF(B1523="","",IF(V1523&gt;='Configuración'!$B$19,"A",IF(V1523&gt;='Configuración'!$B$20,"B",IF(V1523&gt;='Configuración'!$B$21,"C","Descarte"))))</f>
        <v>C</v>
      </c>
    </row>
    <row r="1524" ht="15.75" customHeight="1">
      <c r="A1524" s="34">
        <f t="shared" si="1"/>
        <v>1522</v>
      </c>
      <c r="B1524" s="29" t="s">
        <v>8592</v>
      </c>
      <c r="C1524" s="29" t="s">
        <v>8593</v>
      </c>
      <c r="D1524" s="29" t="s">
        <v>8594</v>
      </c>
      <c r="E1524" s="29" t="s">
        <v>8595</v>
      </c>
      <c r="F1524" s="30" t="s">
        <v>8596</v>
      </c>
      <c r="G1524" s="30" t="s">
        <v>8597</v>
      </c>
      <c r="H1524" s="42" t="s">
        <v>8598</v>
      </c>
      <c r="I1524" s="29" t="s">
        <v>2170</v>
      </c>
      <c r="J1524" s="31">
        <v>13.0</v>
      </c>
      <c r="K1524" s="35"/>
      <c r="L1524" s="35"/>
      <c r="M1524" s="35"/>
      <c r="N1524" s="35"/>
      <c r="O1524" s="35"/>
      <c r="P1524" s="35"/>
      <c r="Q1524" s="35"/>
      <c r="R1524" s="35"/>
      <c r="S1524" s="37">
        <f>IF(B1524="","",IF(ISNUMBER(J1524),IF(J1524&lt;=10,'Configuración'!$B$23,IF(J1524&lt;=50,'Configuración'!$B$24,IF(J1524&lt;=200,'Configuración'!$B$25,0))),0))</f>
        <v>4</v>
      </c>
      <c r="T1524" s="37">
        <f>IF(B1524="","",IF(ISNUMBER(SEARCH("information technology",I1524))+ISNUMBER(SEARCH("software",I1524))+ISNUMBER(SEARCH("internet",I1524))+ISNUMBER(SEARCH("computer",I1524))+ISNUMBER(SEARCH("saas",I1524))+ISNUMBER(SEARCH("fintech",I1524))+ISNUMBER(SEARCH("information services",I1524))+ISNUMBER(SEARCH("telecommunications",I1524))&gt;0,'Configuración'!$B$27,'Configuración'!$B$28))</f>
        <v>12</v>
      </c>
      <c r="U1524" s="25">
        <f>IF(B1524="","",IF(ISNUMBER(SEARCH("CEO",C1524))+ISNUMBER(SEARCH("Founder",C1524))+ISNUMBER(SEARCH("Owner",C1524))+ISNUMBER(SEARCH("Dueño",C1524))+ISNUMBER(SEARCH("Director General",C1524))+ISNUMBER(SEARCH("Presidente",C1524))+ISNUMBER(SEARCH("President",C1524))&gt;0,'Configuración'!$B$31,IF(ISNUMBER(SEARCH("CMO",C1524))+ISNUMBER(SEARCH("Chief Marketing",C1524))+ISNUMBER(SEARCH("VP Marketing",C1524))+ISNUMBER(SEARCH("Director de Marketing",C1524))+ISNUMBER(SEARCH("Director Marketing",C1524))+ISNUMBER(SEARCH("Head of Marketing",C1524))+ISNUMBER(SEARCH("Head Marketing",C1524))&gt;0,'Configuración'!$B$32,IF(ISNUMBER(SEARCH("Marketing Manager",C1524))+ISNUMBER(SEARCH("Gerente de Marketing",C1524))+ISNUMBER(SEARCH("Growth Manager",C1524))+ISNUMBER(SEARCH("Demand Gen",C1524))+ISNUMBER(SEARCH("Marketing Lead",C1524))&gt;0,'Configuración'!$B$33,IF(ISNUMBER(SEARCH("COO",C1524))+ISNUMBER(SEARCH("CFO",C1524))+ISNUMBER(SEARCH("CTO",C1524))+ISNUMBER(SEARCH("Chief Operating",C1524))+ISNUMBER(SEARCH("Chief Financial",C1524))+ISNUMBER(SEARCH("Gerente General",C1524))+ISNUMBER(SEARCH("General Manager",C1524))&gt;0,'Configuración'!$B$34,'Configuración'!$B$35)))))</f>
        <v>4</v>
      </c>
      <c r="V1524" s="38">
        <f>IF(B1524="","",IF(K1524="Sí",'Configuración'!$B$5,0)+IF(L1524="Semanal",'Configuración'!$B$6,IF(L1524="Mensual",'Configuración'!$B$7,0))+IF(M1524="Sí",'Configuración'!$B$8,0)+IF(N1524="Sí",'Configuración'!$B$9,0)+IF(O1524="Sí",'Configuración'!$B$10,0)+IF(P1524="Sí",'Configuración'!$B$11,0)+IF(Q1524="Sí",'Configuración'!$B$12,0)+S1524+T1524+U1524)</f>
        <v>20</v>
      </c>
      <c r="W1524" s="39" t="str">
        <f>IF(B1524="","",IF(V1524&gt;='Configuración'!$B$19,"A",IF(V1524&gt;='Configuración'!$B$20,"B",IF(V1524&gt;='Configuración'!$B$21,"C","Descarte"))))</f>
        <v>Descarte</v>
      </c>
    </row>
    <row r="1525" ht="15.75" customHeight="1">
      <c r="A1525" s="34">
        <f t="shared" si="1"/>
        <v>1523</v>
      </c>
      <c r="B1525" s="29" t="s">
        <v>343</v>
      </c>
      <c r="C1525" s="29" t="s">
        <v>8599</v>
      </c>
      <c r="D1525" s="29" t="s">
        <v>8600</v>
      </c>
      <c r="E1525" s="29" t="s">
        <v>8601</v>
      </c>
      <c r="F1525" s="30" t="s">
        <v>8602</v>
      </c>
      <c r="G1525" s="30" t="s">
        <v>8603</v>
      </c>
      <c r="H1525" s="42" t="s">
        <v>8604</v>
      </c>
      <c r="I1525" s="29" t="s">
        <v>1429</v>
      </c>
      <c r="J1525" s="31">
        <v>5.0</v>
      </c>
      <c r="K1525" s="35"/>
      <c r="L1525" s="35"/>
      <c r="M1525" s="35"/>
      <c r="N1525" s="35"/>
      <c r="O1525" s="35"/>
      <c r="P1525" s="35"/>
      <c r="Q1525" s="35"/>
      <c r="R1525" s="35"/>
      <c r="S1525" s="37">
        <f>IF(B1525="","",IF(ISNUMBER(J1525),IF(J1525&lt;=10,'Configuración'!$B$23,IF(J1525&lt;=50,'Configuración'!$B$24,IF(J1525&lt;=200,'Configuración'!$B$25,0))),0))</f>
        <v>12</v>
      </c>
      <c r="T1525" s="37">
        <f>IF(B1525="","",IF(ISNUMBER(SEARCH("information technology",I1525))+ISNUMBER(SEARCH("software",I1525))+ISNUMBER(SEARCH("internet",I1525))+ISNUMBER(SEARCH("computer",I1525))+ISNUMBER(SEARCH("saas",I1525))+ISNUMBER(SEARCH("fintech",I1525))+ISNUMBER(SEARCH("information services",I1525))+ISNUMBER(SEARCH("telecommunications",I1525))&gt;0,'Configuración'!$B$27,'Configuración'!$B$28))</f>
        <v>4</v>
      </c>
      <c r="U1525" s="25">
        <f>IF(B1525="","",IF(ISNUMBER(SEARCH("CEO",C1525))+ISNUMBER(SEARCH("Founder",C1525))+ISNUMBER(SEARCH("Owner",C1525))+ISNUMBER(SEARCH("Dueño",C1525))+ISNUMBER(SEARCH("Director General",C1525))+ISNUMBER(SEARCH("Presidente",C1525))+ISNUMBER(SEARCH("President",C1525))&gt;0,'Configuración'!$B$31,IF(ISNUMBER(SEARCH("CMO",C1525))+ISNUMBER(SEARCH("Chief Marketing",C1525))+ISNUMBER(SEARCH("VP Marketing",C1525))+ISNUMBER(SEARCH("Director de Marketing",C1525))+ISNUMBER(SEARCH("Director Marketing",C1525))+ISNUMBER(SEARCH("Head of Marketing",C1525))+ISNUMBER(SEARCH("Head Marketing",C1525))&gt;0,'Configuración'!$B$32,IF(ISNUMBER(SEARCH("Marketing Manager",C1525))+ISNUMBER(SEARCH("Gerente de Marketing",C1525))+ISNUMBER(SEARCH("Growth Manager",C1525))+ISNUMBER(SEARCH("Demand Gen",C1525))+ISNUMBER(SEARCH("Marketing Lead",C1525))&gt;0,'Configuración'!$B$33,IF(ISNUMBER(SEARCH("COO",C1525))+ISNUMBER(SEARCH("CFO",C1525))+ISNUMBER(SEARCH("CTO",C1525))+ISNUMBER(SEARCH("Chief Operating",C1525))+ISNUMBER(SEARCH("Chief Financial",C1525))+ISNUMBER(SEARCH("Gerente General",C1525))+ISNUMBER(SEARCH("General Manager",C1525))&gt;0,'Configuración'!$B$34,'Configuración'!$B$35)))))</f>
        <v>4</v>
      </c>
      <c r="V1525" s="38">
        <f>IF(B1525="","",IF(K1525="Sí",'Configuración'!$B$5,0)+IF(L1525="Semanal",'Configuración'!$B$6,IF(L1525="Mensual",'Configuración'!$B$7,0))+IF(M1525="Sí",'Configuración'!$B$8,0)+IF(N1525="Sí",'Configuración'!$B$9,0)+IF(O1525="Sí",'Configuración'!$B$10,0)+IF(P1525="Sí",'Configuración'!$B$11,0)+IF(Q1525="Sí",'Configuración'!$B$12,0)+S1525+T1525+U1525)</f>
        <v>20</v>
      </c>
      <c r="W1525" s="39" t="str">
        <f>IF(B1525="","",IF(V1525&gt;='Configuración'!$B$19,"A",IF(V1525&gt;='Configuración'!$B$20,"B",IF(V1525&gt;='Configuración'!$B$21,"C","Descarte"))))</f>
        <v>Descarte</v>
      </c>
    </row>
    <row r="1526" ht="15.75" customHeight="1">
      <c r="A1526" s="34">
        <f t="shared" si="1"/>
        <v>1524</v>
      </c>
      <c r="B1526" s="29" t="s">
        <v>749</v>
      </c>
      <c r="C1526" s="29" t="s">
        <v>1465</v>
      </c>
      <c r="D1526" s="29" t="s">
        <v>8605</v>
      </c>
      <c r="E1526" s="29" t="s">
        <v>8606</v>
      </c>
      <c r="F1526" s="30" t="s">
        <v>8607</v>
      </c>
      <c r="G1526" s="30" t="s">
        <v>8608</v>
      </c>
      <c r="H1526" s="42" t="s">
        <v>8609</v>
      </c>
      <c r="I1526" s="29" t="s">
        <v>127</v>
      </c>
      <c r="J1526" s="31">
        <v>10.0</v>
      </c>
      <c r="K1526" s="35"/>
      <c r="L1526" s="35"/>
      <c r="M1526" s="35"/>
      <c r="N1526" s="35"/>
      <c r="O1526" s="35"/>
      <c r="P1526" s="35"/>
      <c r="Q1526" s="35"/>
      <c r="R1526" s="35"/>
      <c r="S1526" s="37">
        <f>IF(B1526="","",IF(ISNUMBER(J1526),IF(J1526&lt;=10,'Configuración'!$B$23,IF(J1526&lt;=50,'Configuración'!$B$24,IF(J1526&lt;=200,'Configuración'!$B$25,0))),0))</f>
        <v>12</v>
      </c>
      <c r="T1526" s="37">
        <f>IF(B1526="","",IF(ISNUMBER(SEARCH("information technology",I1526))+ISNUMBER(SEARCH("software",I1526))+ISNUMBER(SEARCH("internet",I1526))+ISNUMBER(SEARCH("computer",I1526))+ISNUMBER(SEARCH("saas",I1526))+ISNUMBER(SEARCH("fintech",I1526))+ISNUMBER(SEARCH("information services",I1526))+ISNUMBER(SEARCH("telecommunications",I1526))&gt;0,'Configuración'!$B$27,'Configuración'!$B$28))</f>
        <v>12</v>
      </c>
      <c r="U1526" s="25">
        <f>IF(B1526="","",IF(ISNUMBER(SEARCH("CEO",C1526))+ISNUMBER(SEARCH("Founder",C1526))+ISNUMBER(SEARCH("Owner",C1526))+ISNUMBER(SEARCH("Dueño",C1526))+ISNUMBER(SEARCH("Director General",C1526))+ISNUMBER(SEARCH("Presidente",C1526))+ISNUMBER(SEARCH("President",C1526))&gt;0,'Configuración'!$B$31,IF(ISNUMBER(SEARCH("CMO",C1526))+ISNUMBER(SEARCH("Chief Marketing",C1526))+ISNUMBER(SEARCH("VP Marketing",C1526))+ISNUMBER(SEARCH("Director de Marketing",C1526))+ISNUMBER(SEARCH("Director Marketing",C1526))+ISNUMBER(SEARCH("Head of Marketing",C1526))+ISNUMBER(SEARCH("Head Marketing",C1526))&gt;0,'Configuración'!$B$32,IF(ISNUMBER(SEARCH("Marketing Manager",C1526))+ISNUMBER(SEARCH("Gerente de Marketing",C1526))+ISNUMBER(SEARCH("Growth Manager",C1526))+ISNUMBER(SEARCH("Demand Gen",C1526))+ISNUMBER(SEARCH("Marketing Lead",C1526))&gt;0,'Configuración'!$B$33,IF(ISNUMBER(SEARCH("COO",C1526))+ISNUMBER(SEARCH("CFO",C1526))+ISNUMBER(SEARCH("CTO",C1526))+ISNUMBER(SEARCH("Chief Operating",C1526))+ISNUMBER(SEARCH("Chief Financial",C1526))+ISNUMBER(SEARCH("Gerente General",C1526))+ISNUMBER(SEARCH("General Manager",C1526))&gt;0,'Configuración'!$B$34,'Configuración'!$B$35)))))</f>
        <v>4</v>
      </c>
      <c r="V1526" s="38">
        <f>IF(B1526="","",IF(K1526="Sí",'Configuración'!$B$5,0)+IF(L1526="Semanal",'Configuración'!$B$6,IF(L1526="Mensual",'Configuración'!$B$7,0))+IF(M1526="Sí",'Configuración'!$B$8,0)+IF(N1526="Sí",'Configuración'!$B$9,0)+IF(O1526="Sí",'Configuración'!$B$10,0)+IF(P1526="Sí",'Configuración'!$B$11,0)+IF(Q1526="Sí",'Configuración'!$B$12,0)+S1526+T1526+U1526)</f>
        <v>28</v>
      </c>
      <c r="W1526" s="39" t="str">
        <f>IF(B1526="","",IF(V1526&gt;='Configuración'!$B$19,"A",IF(V1526&gt;='Configuración'!$B$20,"B",IF(V1526&gt;='Configuración'!$B$21,"C","Descarte"))))</f>
        <v>C</v>
      </c>
    </row>
    <row r="1527" ht="15.75" customHeight="1">
      <c r="A1527" s="34">
        <f t="shared" si="1"/>
        <v>1525</v>
      </c>
      <c r="B1527" s="29" t="s">
        <v>584</v>
      </c>
      <c r="C1527" s="29" t="s">
        <v>297</v>
      </c>
      <c r="D1527" s="29" t="s">
        <v>8610</v>
      </c>
      <c r="E1527" s="29" t="s">
        <v>8611</v>
      </c>
      <c r="F1527" s="30" t="s">
        <v>8612</v>
      </c>
      <c r="G1527" s="30" t="s">
        <v>8613</v>
      </c>
      <c r="H1527" s="42" t="s">
        <v>8614</v>
      </c>
      <c r="I1527" s="29" t="s">
        <v>127</v>
      </c>
      <c r="J1527" s="31">
        <v>4.0</v>
      </c>
      <c r="K1527" s="35"/>
      <c r="L1527" s="35"/>
      <c r="M1527" s="35"/>
      <c r="N1527" s="35"/>
      <c r="O1527" s="35"/>
      <c r="P1527" s="35"/>
      <c r="Q1527" s="35"/>
      <c r="R1527" s="35"/>
      <c r="S1527" s="37">
        <f>IF(B1527="","",IF(ISNUMBER(J1527),IF(J1527&lt;=10,'Configuración'!$B$23,IF(J1527&lt;=50,'Configuración'!$B$24,IF(J1527&lt;=200,'Configuración'!$B$25,0))),0))</f>
        <v>12</v>
      </c>
      <c r="T1527" s="37">
        <f>IF(B1527="","",IF(ISNUMBER(SEARCH("information technology",I1527))+ISNUMBER(SEARCH("software",I1527))+ISNUMBER(SEARCH("internet",I1527))+ISNUMBER(SEARCH("computer",I1527))+ISNUMBER(SEARCH("saas",I1527))+ISNUMBER(SEARCH("fintech",I1527))+ISNUMBER(SEARCH("information services",I1527))+ISNUMBER(SEARCH("telecommunications",I1527))&gt;0,'Configuración'!$B$27,'Configuración'!$B$28))</f>
        <v>12</v>
      </c>
      <c r="U1527" s="25">
        <f>IF(B1527="","",IF(ISNUMBER(SEARCH("CEO",C1527))+ISNUMBER(SEARCH("Founder",C1527))+ISNUMBER(SEARCH("Owner",C1527))+ISNUMBER(SEARCH("Dueño",C1527))+ISNUMBER(SEARCH("Director General",C1527))+ISNUMBER(SEARCH("Presidente",C1527))+ISNUMBER(SEARCH("President",C1527))&gt;0,'Configuración'!$B$31,IF(ISNUMBER(SEARCH("CMO",C1527))+ISNUMBER(SEARCH("Chief Marketing",C1527))+ISNUMBER(SEARCH("VP Marketing",C1527))+ISNUMBER(SEARCH("Director de Marketing",C1527))+ISNUMBER(SEARCH("Director Marketing",C1527))+ISNUMBER(SEARCH("Head of Marketing",C1527))+ISNUMBER(SEARCH("Head Marketing",C1527))&gt;0,'Configuración'!$B$32,IF(ISNUMBER(SEARCH("Marketing Manager",C1527))+ISNUMBER(SEARCH("Gerente de Marketing",C1527))+ISNUMBER(SEARCH("Growth Manager",C1527))+ISNUMBER(SEARCH("Demand Gen",C1527))+ISNUMBER(SEARCH("Marketing Lead",C1527))&gt;0,'Configuración'!$B$33,IF(ISNUMBER(SEARCH("COO",C1527))+ISNUMBER(SEARCH("CFO",C1527))+ISNUMBER(SEARCH("CTO",C1527))+ISNUMBER(SEARCH("Chief Operating",C1527))+ISNUMBER(SEARCH("Chief Financial",C1527))+ISNUMBER(SEARCH("Gerente General",C1527))+ISNUMBER(SEARCH("General Manager",C1527))&gt;0,'Configuración'!$B$34,'Configuración'!$B$35)))))</f>
        <v>0</v>
      </c>
      <c r="V1527" s="38">
        <f>IF(B1527="","",IF(K1527="Sí",'Configuración'!$B$5,0)+IF(L1527="Semanal",'Configuración'!$B$6,IF(L1527="Mensual",'Configuración'!$B$7,0))+IF(M1527="Sí",'Configuración'!$B$8,0)+IF(N1527="Sí",'Configuración'!$B$9,0)+IF(O1527="Sí",'Configuración'!$B$10,0)+IF(P1527="Sí",'Configuración'!$B$11,0)+IF(Q1527="Sí",'Configuración'!$B$12,0)+S1527+T1527+U1527)</f>
        <v>24</v>
      </c>
      <c r="W1527" s="39" t="str">
        <f>IF(B1527="","",IF(V1527&gt;='Configuración'!$B$19,"A",IF(V1527&gt;='Configuración'!$B$20,"B",IF(V1527&gt;='Configuración'!$B$21,"C","Descarte"))))</f>
        <v>C</v>
      </c>
    </row>
    <row r="1528" ht="15.75" customHeight="1">
      <c r="A1528" s="34">
        <f t="shared" si="1"/>
        <v>1526</v>
      </c>
      <c r="B1528" s="29" t="s">
        <v>138</v>
      </c>
      <c r="C1528" s="29" t="s">
        <v>121</v>
      </c>
      <c r="D1528" s="29" t="s">
        <v>8615</v>
      </c>
      <c r="E1528" s="29" t="s">
        <v>8616</v>
      </c>
      <c r="F1528" s="30" t="s">
        <v>8617</v>
      </c>
      <c r="G1528" s="30" t="s">
        <v>8618</v>
      </c>
      <c r="H1528" s="42" t="s">
        <v>8619</v>
      </c>
      <c r="I1528" s="29" t="s">
        <v>127</v>
      </c>
      <c r="J1528" s="31">
        <v>10.0</v>
      </c>
      <c r="K1528" s="35"/>
      <c r="L1528" s="35"/>
      <c r="M1528" s="35"/>
      <c r="N1528" s="35"/>
      <c r="O1528" s="35"/>
      <c r="P1528" s="35"/>
      <c r="Q1528" s="35"/>
      <c r="R1528" s="35"/>
      <c r="S1528" s="37">
        <f>IF(B1528="","",IF(ISNUMBER(J1528),IF(J1528&lt;=10,'Configuración'!$B$23,IF(J1528&lt;=50,'Configuración'!$B$24,IF(J1528&lt;=200,'Configuración'!$B$25,0))),0))</f>
        <v>12</v>
      </c>
      <c r="T1528" s="37">
        <f>IF(B1528="","",IF(ISNUMBER(SEARCH("information technology",I1528))+ISNUMBER(SEARCH("software",I1528))+ISNUMBER(SEARCH("internet",I1528))+ISNUMBER(SEARCH("computer",I1528))+ISNUMBER(SEARCH("saas",I1528))+ISNUMBER(SEARCH("fintech",I1528))+ISNUMBER(SEARCH("information services",I1528))+ISNUMBER(SEARCH("telecommunications",I1528))&gt;0,'Configuración'!$B$27,'Configuración'!$B$28))</f>
        <v>12</v>
      </c>
      <c r="U1528" s="25">
        <f>IF(B1528="","",IF(ISNUMBER(SEARCH("CEO",C1528))+ISNUMBER(SEARCH("Founder",C1528))+ISNUMBER(SEARCH("Owner",C1528))+ISNUMBER(SEARCH("Dueño",C1528))+ISNUMBER(SEARCH("Director General",C1528))+ISNUMBER(SEARCH("Presidente",C1528))+ISNUMBER(SEARCH("President",C1528))&gt;0,'Configuración'!$B$31,IF(ISNUMBER(SEARCH("CMO",C1528))+ISNUMBER(SEARCH("Chief Marketing",C1528))+ISNUMBER(SEARCH("VP Marketing",C1528))+ISNUMBER(SEARCH("Director de Marketing",C1528))+ISNUMBER(SEARCH("Director Marketing",C1528))+ISNUMBER(SEARCH("Head of Marketing",C1528))+ISNUMBER(SEARCH("Head Marketing",C1528))&gt;0,'Configuración'!$B$32,IF(ISNUMBER(SEARCH("Marketing Manager",C1528))+ISNUMBER(SEARCH("Gerente de Marketing",C1528))+ISNUMBER(SEARCH("Growth Manager",C1528))+ISNUMBER(SEARCH("Demand Gen",C1528))+ISNUMBER(SEARCH("Marketing Lead",C1528))&gt;0,'Configuración'!$B$33,IF(ISNUMBER(SEARCH("COO",C1528))+ISNUMBER(SEARCH("CFO",C1528))+ISNUMBER(SEARCH("CTO",C1528))+ISNUMBER(SEARCH("Chief Operating",C1528))+ISNUMBER(SEARCH("Chief Financial",C1528))+ISNUMBER(SEARCH("Gerente General",C1528))+ISNUMBER(SEARCH("General Manager",C1528))&gt;0,'Configuración'!$B$34,'Configuración'!$B$35)))))</f>
        <v>12</v>
      </c>
      <c r="V1528" s="38">
        <f>IF(B1528="","",IF(K1528="Sí",'Configuración'!$B$5,0)+IF(L1528="Semanal",'Configuración'!$B$6,IF(L1528="Mensual",'Configuración'!$B$7,0))+IF(M1528="Sí",'Configuración'!$B$8,0)+IF(N1528="Sí",'Configuración'!$B$9,0)+IF(O1528="Sí",'Configuración'!$B$10,0)+IF(P1528="Sí",'Configuración'!$B$11,0)+IF(Q1528="Sí",'Configuración'!$B$12,0)+S1528+T1528+U1528)</f>
        <v>36</v>
      </c>
      <c r="W1528" s="39" t="str">
        <f>IF(B1528="","",IF(V1528&gt;='Configuración'!$B$19,"A",IF(V1528&gt;='Configuración'!$B$20,"B",IF(V1528&gt;='Configuración'!$B$21,"C","Descarte"))))</f>
        <v>C</v>
      </c>
    </row>
    <row r="1529" ht="15.75" customHeight="1">
      <c r="A1529" s="34">
        <f t="shared" si="1"/>
        <v>1527</v>
      </c>
      <c r="B1529" s="29" t="s">
        <v>201</v>
      </c>
      <c r="C1529" s="29" t="s">
        <v>202</v>
      </c>
      <c r="D1529" s="29" t="s">
        <v>8620</v>
      </c>
      <c r="E1529" s="29" t="s">
        <v>8621</v>
      </c>
      <c r="F1529" s="30" t="s">
        <v>8622</v>
      </c>
      <c r="G1529" s="30" t="s">
        <v>8623</v>
      </c>
      <c r="H1529" s="42" t="s">
        <v>8624</v>
      </c>
      <c r="I1529" s="29" t="s">
        <v>127</v>
      </c>
      <c r="J1529" s="31">
        <v>1.0</v>
      </c>
      <c r="K1529" s="35"/>
      <c r="L1529" s="35"/>
      <c r="M1529" s="35"/>
      <c r="N1529" s="35"/>
      <c r="O1529" s="35"/>
      <c r="P1529" s="35"/>
      <c r="Q1529" s="35"/>
      <c r="R1529" s="35"/>
      <c r="S1529" s="37">
        <f>IF(B1529="","",IF(ISNUMBER(J1529),IF(J1529&lt;=10,'Configuración'!$B$23,IF(J1529&lt;=50,'Configuración'!$B$24,IF(J1529&lt;=200,'Configuración'!$B$25,0))),0))</f>
        <v>12</v>
      </c>
      <c r="T1529" s="37">
        <f>IF(B1529="","",IF(ISNUMBER(SEARCH("information technology",I1529))+ISNUMBER(SEARCH("software",I1529))+ISNUMBER(SEARCH("internet",I1529))+ISNUMBER(SEARCH("computer",I1529))+ISNUMBER(SEARCH("saas",I1529))+ISNUMBER(SEARCH("fintech",I1529))+ISNUMBER(SEARCH("information services",I1529))+ISNUMBER(SEARCH("telecommunications",I1529))&gt;0,'Configuración'!$B$27,'Configuración'!$B$28))</f>
        <v>12</v>
      </c>
      <c r="U1529" s="25">
        <f>IF(B1529="","",IF(ISNUMBER(SEARCH("CEO",C1529))+ISNUMBER(SEARCH("Founder",C1529))+ISNUMBER(SEARCH("Owner",C1529))+ISNUMBER(SEARCH("Dueño",C1529))+ISNUMBER(SEARCH("Director General",C1529))+ISNUMBER(SEARCH("Presidente",C1529))+ISNUMBER(SEARCH("President",C1529))&gt;0,'Configuración'!$B$31,IF(ISNUMBER(SEARCH("CMO",C1529))+ISNUMBER(SEARCH("Chief Marketing",C1529))+ISNUMBER(SEARCH("VP Marketing",C1529))+ISNUMBER(SEARCH("Director de Marketing",C1529))+ISNUMBER(SEARCH("Director Marketing",C1529))+ISNUMBER(SEARCH("Head of Marketing",C1529))+ISNUMBER(SEARCH("Head Marketing",C1529))&gt;0,'Configuración'!$B$32,IF(ISNUMBER(SEARCH("Marketing Manager",C1529))+ISNUMBER(SEARCH("Gerente de Marketing",C1529))+ISNUMBER(SEARCH("Growth Manager",C1529))+ISNUMBER(SEARCH("Demand Gen",C1529))+ISNUMBER(SEARCH("Marketing Lead",C1529))&gt;0,'Configuración'!$B$33,IF(ISNUMBER(SEARCH("COO",C1529))+ISNUMBER(SEARCH("CFO",C1529))+ISNUMBER(SEARCH("CTO",C1529))+ISNUMBER(SEARCH("Chief Operating",C1529))+ISNUMBER(SEARCH("Chief Financial",C1529))+ISNUMBER(SEARCH("Gerente General",C1529))+ISNUMBER(SEARCH("General Manager",C1529))&gt;0,'Configuración'!$B$34,'Configuración'!$B$35)))))</f>
        <v>12</v>
      </c>
      <c r="V1529" s="38">
        <f>IF(B1529="","",IF(K1529="Sí",'Configuración'!$B$5,0)+IF(L1529="Semanal",'Configuración'!$B$6,IF(L1529="Mensual",'Configuración'!$B$7,0))+IF(M1529="Sí",'Configuración'!$B$8,0)+IF(N1529="Sí",'Configuración'!$B$9,0)+IF(O1529="Sí",'Configuración'!$B$10,0)+IF(P1529="Sí",'Configuración'!$B$11,0)+IF(Q1529="Sí",'Configuración'!$B$12,0)+S1529+T1529+U1529)</f>
        <v>36</v>
      </c>
      <c r="W1529" s="39" t="str">
        <f>IF(B1529="","",IF(V1529&gt;='Configuración'!$B$19,"A",IF(V1529&gt;='Configuración'!$B$20,"B",IF(V1529&gt;='Configuración'!$B$21,"C","Descarte"))))</f>
        <v>C</v>
      </c>
    </row>
    <row r="1530" ht="15.75" customHeight="1">
      <c r="A1530" s="34">
        <f t="shared" si="1"/>
        <v>1528</v>
      </c>
      <c r="B1530" s="29" t="s">
        <v>8625</v>
      </c>
      <c r="C1530" s="29" t="s">
        <v>494</v>
      </c>
      <c r="D1530" s="29" t="s">
        <v>8626</v>
      </c>
      <c r="E1530" s="29" t="s">
        <v>8627</v>
      </c>
      <c r="F1530" s="30" t="s">
        <v>8628</v>
      </c>
      <c r="G1530" s="30" t="s">
        <v>8629</v>
      </c>
      <c r="H1530" s="42" t="s">
        <v>8630</v>
      </c>
      <c r="I1530" s="29" t="s">
        <v>6786</v>
      </c>
      <c r="J1530" s="31">
        <v>40.0</v>
      </c>
      <c r="K1530" s="35"/>
      <c r="L1530" s="35"/>
      <c r="M1530" s="35"/>
      <c r="N1530" s="35"/>
      <c r="O1530" s="35"/>
      <c r="P1530" s="35"/>
      <c r="Q1530" s="35"/>
      <c r="R1530" s="35"/>
      <c r="S1530" s="37">
        <f>IF(B1530="","",IF(ISNUMBER(J1530),IF(J1530&lt;=10,'Configuración'!$B$23,IF(J1530&lt;=50,'Configuración'!$B$24,IF(J1530&lt;=200,'Configuración'!$B$25,0))),0))</f>
        <v>4</v>
      </c>
      <c r="T1530" s="37">
        <f>IF(B1530="","",IF(ISNUMBER(SEARCH("information technology",I1530))+ISNUMBER(SEARCH("software",I1530))+ISNUMBER(SEARCH("internet",I1530))+ISNUMBER(SEARCH("computer",I1530))+ISNUMBER(SEARCH("saas",I1530))+ISNUMBER(SEARCH("fintech",I1530))+ISNUMBER(SEARCH("information services",I1530))+ISNUMBER(SEARCH("telecommunications",I1530))&gt;0,'Configuración'!$B$27,'Configuración'!$B$28))</f>
        <v>4</v>
      </c>
      <c r="U1530" s="25">
        <f>IF(B1530="","",IF(ISNUMBER(SEARCH("CEO",C1530))+ISNUMBER(SEARCH("Founder",C1530))+ISNUMBER(SEARCH("Owner",C1530))+ISNUMBER(SEARCH("Dueño",C1530))+ISNUMBER(SEARCH("Director General",C1530))+ISNUMBER(SEARCH("Presidente",C1530))+ISNUMBER(SEARCH("President",C1530))&gt;0,'Configuración'!$B$31,IF(ISNUMBER(SEARCH("CMO",C1530))+ISNUMBER(SEARCH("Chief Marketing",C1530))+ISNUMBER(SEARCH("VP Marketing",C1530))+ISNUMBER(SEARCH("Director de Marketing",C1530))+ISNUMBER(SEARCH("Director Marketing",C1530))+ISNUMBER(SEARCH("Head of Marketing",C1530))+ISNUMBER(SEARCH("Head Marketing",C1530))&gt;0,'Configuración'!$B$32,IF(ISNUMBER(SEARCH("Marketing Manager",C1530))+ISNUMBER(SEARCH("Gerente de Marketing",C1530))+ISNUMBER(SEARCH("Growth Manager",C1530))+ISNUMBER(SEARCH("Demand Gen",C1530))+ISNUMBER(SEARCH("Marketing Lead",C1530))&gt;0,'Configuración'!$B$33,IF(ISNUMBER(SEARCH("COO",C1530))+ISNUMBER(SEARCH("CFO",C1530))+ISNUMBER(SEARCH("CTO",C1530))+ISNUMBER(SEARCH("Chief Operating",C1530))+ISNUMBER(SEARCH("Chief Financial",C1530))+ISNUMBER(SEARCH("Gerente General",C1530))+ISNUMBER(SEARCH("General Manager",C1530))&gt;0,'Configuración'!$B$34,'Configuración'!$B$35)))))</f>
        <v>4</v>
      </c>
      <c r="V1530" s="38">
        <f>IF(B1530="","",IF(K1530="Sí",'Configuración'!$B$5,0)+IF(L1530="Semanal",'Configuración'!$B$6,IF(L1530="Mensual",'Configuración'!$B$7,0))+IF(M1530="Sí",'Configuración'!$B$8,0)+IF(N1530="Sí",'Configuración'!$B$9,0)+IF(O1530="Sí",'Configuración'!$B$10,0)+IF(P1530="Sí",'Configuración'!$B$11,0)+IF(Q1530="Sí",'Configuración'!$B$12,0)+S1530+T1530+U1530)</f>
        <v>12</v>
      </c>
      <c r="W1530" s="39" t="str">
        <f>IF(B1530="","",IF(V1530&gt;='Configuración'!$B$19,"A",IF(V1530&gt;='Configuración'!$B$20,"B",IF(V1530&gt;='Configuración'!$B$21,"C","Descarte"))))</f>
        <v>Descarte</v>
      </c>
    </row>
    <row r="1531" ht="15.75" customHeight="1">
      <c r="A1531" s="34">
        <f t="shared" si="1"/>
        <v>1529</v>
      </c>
      <c r="B1531" s="29" t="s">
        <v>174</v>
      </c>
      <c r="C1531" s="29" t="s">
        <v>1617</v>
      </c>
      <c r="D1531" s="29" t="s">
        <v>8631</v>
      </c>
      <c r="E1531" s="29" t="s">
        <v>8632</v>
      </c>
      <c r="F1531" s="30" t="s">
        <v>8633</v>
      </c>
      <c r="G1531" s="30" t="s">
        <v>8634</v>
      </c>
      <c r="H1531" s="42" t="s">
        <v>8635</v>
      </c>
      <c r="I1531" s="29" t="s">
        <v>946</v>
      </c>
      <c r="J1531" s="31">
        <v>8.0</v>
      </c>
      <c r="K1531" s="35"/>
      <c r="L1531" s="35"/>
      <c r="M1531" s="35"/>
      <c r="N1531" s="35"/>
      <c r="O1531" s="35"/>
      <c r="P1531" s="35"/>
      <c r="Q1531" s="35"/>
      <c r="R1531" s="35"/>
      <c r="S1531" s="37">
        <f>IF(B1531="","",IF(ISNUMBER(J1531),IF(J1531&lt;=10,'Configuración'!$B$23,IF(J1531&lt;=50,'Configuración'!$B$24,IF(J1531&lt;=200,'Configuración'!$B$25,0))),0))</f>
        <v>12</v>
      </c>
      <c r="T1531" s="37">
        <f>IF(B1531="","",IF(ISNUMBER(SEARCH("information technology",I1531))+ISNUMBER(SEARCH("software",I1531))+ISNUMBER(SEARCH("internet",I1531))+ISNUMBER(SEARCH("computer",I1531))+ISNUMBER(SEARCH("saas",I1531))+ISNUMBER(SEARCH("fintech",I1531))+ISNUMBER(SEARCH("information services",I1531))+ISNUMBER(SEARCH("telecommunications",I1531))&gt;0,'Configuración'!$B$27,'Configuración'!$B$28))</f>
        <v>4</v>
      </c>
      <c r="U1531" s="25">
        <f>IF(B1531="","",IF(ISNUMBER(SEARCH("CEO",C1531))+ISNUMBER(SEARCH("Founder",C1531))+ISNUMBER(SEARCH("Owner",C1531))+ISNUMBER(SEARCH("Dueño",C1531))+ISNUMBER(SEARCH("Director General",C1531))+ISNUMBER(SEARCH("Presidente",C1531))+ISNUMBER(SEARCH("President",C1531))&gt;0,'Configuración'!$B$31,IF(ISNUMBER(SEARCH("CMO",C1531))+ISNUMBER(SEARCH("Chief Marketing",C1531))+ISNUMBER(SEARCH("VP Marketing",C1531))+ISNUMBER(SEARCH("Director de Marketing",C1531))+ISNUMBER(SEARCH("Director Marketing",C1531))+ISNUMBER(SEARCH("Head of Marketing",C1531))+ISNUMBER(SEARCH("Head Marketing",C1531))&gt;0,'Configuración'!$B$32,IF(ISNUMBER(SEARCH("Marketing Manager",C1531))+ISNUMBER(SEARCH("Gerente de Marketing",C1531))+ISNUMBER(SEARCH("Growth Manager",C1531))+ISNUMBER(SEARCH("Demand Gen",C1531))+ISNUMBER(SEARCH("Marketing Lead",C1531))&gt;0,'Configuración'!$B$33,IF(ISNUMBER(SEARCH("COO",C1531))+ISNUMBER(SEARCH("CFO",C1531))+ISNUMBER(SEARCH("CTO",C1531))+ISNUMBER(SEARCH("Chief Operating",C1531))+ISNUMBER(SEARCH("Chief Financial",C1531))+ISNUMBER(SEARCH("Gerente General",C1531))+ISNUMBER(SEARCH("General Manager",C1531))&gt;0,'Configuración'!$B$34,'Configuración'!$B$35)))))</f>
        <v>12</v>
      </c>
      <c r="V1531" s="38">
        <f>IF(B1531="","",IF(K1531="Sí",'Configuración'!$B$5,0)+IF(L1531="Semanal",'Configuración'!$B$6,IF(L1531="Mensual",'Configuración'!$B$7,0))+IF(M1531="Sí",'Configuración'!$B$8,0)+IF(N1531="Sí",'Configuración'!$B$9,0)+IF(O1531="Sí",'Configuración'!$B$10,0)+IF(P1531="Sí",'Configuración'!$B$11,0)+IF(Q1531="Sí",'Configuración'!$B$12,0)+S1531+T1531+U1531)</f>
        <v>28</v>
      </c>
      <c r="W1531" s="39" t="str">
        <f>IF(B1531="","",IF(V1531&gt;='Configuración'!$B$19,"A",IF(V1531&gt;='Configuración'!$B$20,"B",IF(V1531&gt;='Configuración'!$B$21,"C","Descarte"))))</f>
        <v>C</v>
      </c>
    </row>
    <row r="1532" ht="15.75" customHeight="1">
      <c r="A1532" s="34">
        <f t="shared" si="1"/>
        <v>1530</v>
      </c>
      <c r="B1532" s="29" t="s">
        <v>8636</v>
      </c>
      <c r="C1532" s="29" t="s">
        <v>1953</v>
      </c>
      <c r="D1532" s="29" t="s">
        <v>8637</v>
      </c>
      <c r="E1532" s="29" t="s">
        <v>8638</v>
      </c>
      <c r="F1532" s="30" t="s">
        <v>8639</v>
      </c>
      <c r="G1532" s="30" t="s">
        <v>8640</v>
      </c>
      <c r="H1532" s="42" t="s">
        <v>8641</v>
      </c>
      <c r="I1532" s="29" t="s">
        <v>116</v>
      </c>
      <c r="J1532" s="31">
        <v>14.0</v>
      </c>
      <c r="K1532" s="35"/>
      <c r="L1532" s="35"/>
      <c r="M1532" s="35"/>
      <c r="N1532" s="35"/>
      <c r="O1532" s="35"/>
      <c r="P1532" s="35"/>
      <c r="Q1532" s="35"/>
      <c r="R1532" s="35"/>
      <c r="S1532" s="37">
        <f>IF(B1532="","",IF(ISNUMBER(J1532),IF(J1532&lt;=10,'Configuración'!$B$23,IF(J1532&lt;=50,'Configuración'!$B$24,IF(J1532&lt;=200,'Configuración'!$B$25,0))),0))</f>
        <v>4</v>
      </c>
      <c r="T1532" s="37">
        <f>IF(B1532="","",IF(ISNUMBER(SEARCH("information technology",I1532))+ISNUMBER(SEARCH("software",I1532))+ISNUMBER(SEARCH("internet",I1532))+ISNUMBER(SEARCH("computer",I1532))+ISNUMBER(SEARCH("saas",I1532))+ISNUMBER(SEARCH("fintech",I1532))+ISNUMBER(SEARCH("information services",I1532))+ISNUMBER(SEARCH("telecommunications",I1532))&gt;0,'Configuración'!$B$27,'Configuración'!$B$28))</f>
        <v>4</v>
      </c>
      <c r="U1532" s="25">
        <f>IF(B1532="","",IF(ISNUMBER(SEARCH("CEO",C1532))+ISNUMBER(SEARCH("Founder",C1532))+ISNUMBER(SEARCH("Owner",C1532))+ISNUMBER(SEARCH("Dueño",C1532))+ISNUMBER(SEARCH("Director General",C1532))+ISNUMBER(SEARCH("Presidente",C1532))+ISNUMBER(SEARCH("President",C1532))&gt;0,'Configuración'!$B$31,IF(ISNUMBER(SEARCH("CMO",C1532))+ISNUMBER(SEARCH("Chief Marketing",C1532))+ISNUMBER(SEARCH("VP Marketing",C1532))+ISNUMBER(SEARCH("Director de Marketing",C1532))+ISNUMBER(SEARCH("Director Marketing",C1532))+ISNUMBER(SEARCH("Head of Marketing",C1532))+ISNUMBER(SEARCH("Head Marketing",C1532))&gt;0,'Configuración'!$B$32,IF(ISNUMBER(SEARCH("Marketing Manager",C1532))+ISNUMBER(SEARCH("Gerente de Marketing",C1532))+ISNUMBER(SEARCH("Growth Manager",C1532))+ISNUMBER(SEARCH("Demand Gen",C1532))+ISNUMBER(SEARCH("Marketing Lead",C1532))&gt;0,'Configuración'!$B$33,IF(ISNUMBER(SEARCH("COO",C1532))+ISNUMBER(SEARCH("CFO",C1532))+ISNUMBER(SEARCH("CTO",C1532))+ISNUMBER(SEARCH("Chief Operating",C1532))+ISNUMBER(SEARCH("Chief Financial",C1532))+ISNUMBER(SEARCH("Gerente General",C1532))+ISNUMBER(SEARCH("General Manager",C1532))&gt;0,'Configuración'!$B$34,'Configuración'!$B$35)))))</f>
        <v>12</v>
      </c>
      <c r="V1532" s="38">
        <f>IF(B1532="","",IF(K1532="Sí",'Configuración'!$B$5,0)+IF(L1532="Semanal",'Configuración'!$B$6,IF(L1532="Mensual",'Configuración'!$B$7,0))+IF(M1532="Sí",'Configuración'!$B$8,0)+IF(N1532="Sí",'Configuración'!$B$9,0)+IF(O1532="Sí",'Configuración'!$B$10,0)+IF(P1532="Sí",'Configuración'!$B$11,0)+IF(Q1532="Sí",'Configuración'!$B$12,0)+S1532+T1532+U1532)</f>
        <v>20</v>
      </c>
      <c r="W1532" s="39" t="str">
        <f>IF(B1532="","",IF(V1532&gt;='Configuración'!$B$19,"A",IF(V1532&gt;='Configuración'!$B$20,"B",IF(V1532&gt;='Configuración'!$B$21,"C","Descarte"))))</f>
        <v>Descarte</v>
      </c>
    </row>
    <row r="1533" ht="15.75" customHeight="1">
      <c r="A1533" s="34">
        <f t="shared" si="1"/>
        <v>1531</v>
      </c>
      <c r="B1533" s="29" t="s">
        <v>181</v>
      </c>
      <c r="C1533" s="29" t="s">
        <v>1190</v>
      </c>
      <c r="D1533" s="29" t="s">
        <v>8642</v>
      </c>
      <c r="E1533" s="29" t="s">
        <v>8643</v>
      </c>
      <c r="F1533" s="30" t="s">
        <v>8644</v>
      </c>
      <c r="G1533" s="30" t="s">
        <v>8645</v>
      </c>
      <c r="H1533" s="42" t="s">
        <v>8646</v>
      </c>
      <c r="I1533" s="29" t="s">
        <v>1785</v>
      </c>
      <c r="J1533" s="31">
        <v>2.0</v>
      </c>
      <c r="K1533" s="35"/>
      <c r="L1533" s="35"/>
      <c r="M1533" s="35"/>
      <c r="N1533" s="35"/>
      <c r="O1533" s="35"/>
      <c r="P1533" s="35"/>
      <c r="Q1533" s="35"/>
      <c r="R1533" s="35"/>
      <c r="S1533" s="37">
        <f>IF(B1533="","",IF(ISNUMBER(J1533),IF(J1533&lt;=10,'Configuración'!$B$23,IF(J1533&lt;=50,'Configuración'!$B$24,IF(J1533&lt;=200,'Configuración'!$B$25,0))),0))</f>
        <v>12</v>
      </c>
      <c r="T1533" s="37">
        <f>IF(B1533="","",IF(ISNUMBER(SEARCH("information technology",I1533))+ISNUMBER(SEARCH("software",I1533))+ISNUMBER(SEARCH("internet",I1533))+ISNUMBER(SEARCH("computer",I1533))+ISNUMBER(SEARCH("saas",I1533))+ISNUMBER(SEARCH("fintech",I1533))+ISNUMBER(SEARCH("information services",I1533))+ISNUMBER(SEARCH("telecommunications",I1533))&gt;0,'Configuración'!$B$27,'Configuración'!$B$28))</f>
        <v>4</v>
      </c>
      <c r="U1533" s="25">
        <f>IF(B1533="","",IF(ISNUMBER(SEARCH("CEO",C1533))+ISNUMBER(SEARCH("Founder",C1533))+ISNUMBER(SEARCH("Owner",C1533))+ISNUMBER(SEARCH("Dueño",C1533))+ISNUMBER(SEARCH("Director General",C1533))+ISNUMBER(SEARCH("Presidente",C1533))+ISNUMBER(SEARCH("President",C1533))&gt;0,'Configuración'!$B$31,IF(ISNUMBER(SEARCH("CMO",C1533))+ISNUMBER(SEARCH("Chief Marketing",C1533))+ISNUMBER(SEARCH("VP Marketing",C1533))+ISNUMBER(SEARCH("Director de Marketing",C1533))+ISNUMBER(SEARCH("Director Marketing",C1533))+ISNUMBER(SEARCH("Head of Marketing",C1533))+ISNUMBER(SEARCH("Head Marketing",C1533))&gt;0,'Configuración'!$B$32,IF(ISNUMBER(SEARCH("Marketing Manager",C1533))+ISNUMBER(SEARCH("Gerente de Marketing",C1533))+ISNUMBER(SEARCH("Growth Manager",C1533))+ISNUMBER(SEARCH("Demand Gen",C1533))+ISNUMBER(SEARCH("Marketing Lead",C1533))&gt;0,'Configuración'!$B$33,IF(ISNUMBER(SEARCH("COO",C1533))+ISNUMBER(SEARCH("CFO",C1533))+ISNUMBER(SEARCH("CTO",C1533))+ISNUMBER(SEARCH("Chief Operating",C1533))+ISNUMBER(SEARCH("Chief Financial",C1533))+ISNUMBER(SEARCH("Gerente General",C1533))+ISNUMBER(SEARCH("General Manager",C1533))&gt;0,'Configuración'!$B$34,'Configuración'!$B$35)))))</f>
        <v>4</v>
      </c>
      <c r="V1533" s="38">
        <f>IF(B1533="","",IF(K1533="Sí",'Configuración'!$B$5,0)+IF(L1533="Semanal",'Configuración'!$B$6,IF(L1533="Mensual",'Configuración'!$B$7,0))+IF(M1533="Sí",'Configuración'!$B$8,0)+IF(N1533="Sí",'Configuración'!$B$9,0)+IF(O1533="Sí",'Configuración'!$B$10,0)+IF(P1533="Sí",'Configuración'!$B$11,0)+IF(Q1533="Sí",'Configuración'!$B$12,0)+S1533+T1533+U1533)</f>
        <v>20</v>
      </c>
      <c r="W1533" s="39" t="str">
        <f>IF(B1533="","",IF(V1533&gt;='Configuración'!$B$19,"A",IF(V1533&gt;='Configuración'!$B$20,"B",IF(V1533&gt;='Configuración'!$B$21,"C","Descarte"))))</f>
        <v>Descarte</v>
      </c>
    </row>
    <row r="1534" ht="15.75" customHeight="1">
      <c r="A1534" s="34">
        <f t="shared" si="1"/>
        <v>1532</v>
      </c>
      <c r="B1534" s="29" t="s">
        <v>481</v>
      </c>
      <c r="C1534" s="29" t="s">
        <v>131</v>
      </c>
      <c r="D1534" s="29" t="s">
        <v>8647</v>
      </c>
      <c r="E1534" s="29" t="s">
        <v>8648</v>
      </c>
      <c r="F1534" s="30" t="s">
        <v>8649</v>
      </c>
      <c r="G1534" s="30" t="s">
        <v>8650</v>
      </c>
      <c r="H1534" s="42" t="s">
        <v>8651</v>
      </c>
      <c r="I1534" s="29" t="s">
        <v>127</v>
      </c>
      <c r="J1534" s="31">
        <v>4.0</v>
      </c>
      <c r="K1534" s="35"/>
      <c r="L1534" s="35"/>
      <c r="M1534" s="35"/>
      <c r="N1534" s="35"/>
      <c r="O1534" s="35"/>
      <c r="P1534" s="35"/>
      <c r="Q1534" s="35"/>
      <c r="R1534" s="35"/>
      <c r="S1534" s="37">
        <f>IF(B1534="","",IF(ISNUMBER(J1534),IF(J1534&lt;=10,'Configuración'!$B$23,IF(J1534&lt;=50,'Configuración'!$B$24,IF(J1534&lt;=200,'Configuración'!$B$25,0))),0))</f>
        <v>12</v>
      </c>
      <c r="T1534" s="37">
        <f>IF(B1534="","",IF(ISNUMBER(SEARCH("information technology",I1534))+ISNUMBER(SEARCH("software",I1534))+ISNUMBER(SEARCH("internet",I1534))+ISNUMBER(SEARCH("computer",I1534))+ISNUMBER(SEARCH("saas",I1534))+ISNUMBER(SEARCH("fintech",I1534))+ISNUMBER(SEARCH("information services",I1534))+ISNUMBER(SEARCH("telecommunications",I1534))&gt;0,'Configuración'!$B$27,'Configuración'!$B$28))</f>
        <v>12</v>
      </c>
      <c r="U1534" s="25">
        <f>IF(B1534="","",IF(ISNUMBER(SEARCH("CEO",C1534))+ISNUMBER(SEARCH("Founder",C1534))+ISNUMBER(SEARCH("Owner",C1534))+ISNUMBER(SEARCH("Dueño",C1534))+ISNUMBER(SEARCH("Director General",C1534))+ISNUMBER(SEARCH("Presidente",C1534))+ISNUMBER(SEARCH("President",C1534))&gt;0,'Configuración'!$B$31,IF(ISNUMBER(SEARCH("CMO",C1534))+ISNUMBER(SEARCH("Chief Marketing",C1534))+ISNUMBER(SEARCH("VP Marketing",C1534))+ISNUMBER(SEARCH("Director de Marketing",C1534))+ISNUMBER(SEARCH("Director Marketing",C1534))+ISNUMBER(SEARCH("Head of Marketing",C1534))+ISNUMBER(SEARCH("Head Marketing",C1534))&gt;0,'Configuración'!$B$32,IF(ISNUMBER(SEARCH("Marketing Manager",C1534))+ISNUMBER(SEARCH("Gerente de Marketing",C1534))+ISNUMBER(SEARCH("Growth Manager",C1534))+ISNUMBER(SEARCH("Demand Gen",C1534))+ISNUMBER(SEARCH("Marketing Lead",C1534))&gt;0,'Configuración'!$B$33,IF(ISNUMBER(SEARCH("COO",C1534))+ISNUMBER(SEARCH("CFO",C1534))+ISNUMBER(SEARCH("CTO",C1534))+ISNUMBER(SEARCH("Chief Operating",C1534))+ISNUMBER(SEARCH("Chief Financial",C1534))+ISNUMBER(SEARCH("Gerente General",C1534))+ISNUMBER(SEARCH("General Manager",C1534))&gt;0,'Configuración'!$B$34,'Configuración'!$B$35)))))</f>
        <v>12</v>
      </c>
      <c r="V1534" s="38">
        <f>IF(B1534="","",IF(K1534="Sí",'Configuración'!$B$5,0)+IF(L1534="Semanal",'Configuración'!$B$6,IF(L1534="Mensual",'Configuración'!$B$7,0))+IF(M1534="Sí",'Configuración'!$B$8,0)+IF(N1534="Sí",'Configuración'!$B$9,0)+IF(O1534="Sí",'Configuración'!$B$10,0)+IF(P1534="Sí",'Configuración'!$B$11,0)+IF(Q1534="Sí",'Configuración'!$B$12,0)+S1534+T1534+U1534)</f>
        <v>36</v>
      </c>
      <c r="W1534" s="39" t="str">
        <f>IF(B1534="","",IF(V1534&gt;='Configuración'!$B$19,"A",IF(V1534&gt;='Configuración'!$B$20,"B",IF(V1534&gt;='Configuración'!$B$21,"C","Descarte"))))</f>
        <v>C</v>
      </c>
    </row>
    <row r="1535" ht="15.75" customHeight="1">
      <c r="A1535" s="34">
        <f t="shared" si="1"/>
        <v>1533</v>
      </c>
      <c r="B1535" s="29" t="s">
        <v>324</v>
      </c>
      <c r="C1535" s="29" t="s">
        <v>8652</v>
      </c>
      <c r="D1535" s="29" t="s">
        <v>8653</v>
      </c>
      <c r="E1535" s="29" t="s">
        <v>8654</v>
      </c>
      <c r="F1535" s="30" t="s">
        <v>8655</v>
      </c>
      <c r="G1535" s="30" t="s">
        <v>8656</v>
      </c>
      <c r="H1535" s="42" t="s">
        <v>8657</v>
      </c>
      <c r="I1535" s="29" t="s">
        <v>127</v>
      </c>
      <c r="J1535" s="31">
        <v>28.0</v>
      </c>
      <c r="K1535" s="35"/>
      <c r="L1535" s="35"/>
      <c r="M1535" s="35"/>
      <c r="N1535" s="35"/>
      <c r="O1535" s="35"/>
      <c r="P1535" s="35"/>
      <c r="Q1535" s="35"/>
      <c r="R1535" s="35"/>
      <c r="S1535" s="37">
        <f>IF(B1535="","",IF(ISNUMBER(J1535),IF(J1535&lt;=10,'Configuración'!$B$23,IF(J1535&lt;=50,'Configuración'!$B$24,IF(J1535&lt;=200,'Configuración'!$B$25,0))),0))</f>
        <v>4</v>
      </c>
      <c r="T1535" s="37">
        <f>IF(B1535="","",IF(ISNUMBER(SEARCH("information technology",I1535))+ISNUMBER(SEARCH("software",I1535))+ISNUMBER(SEARCH("internet",I1535))+ISNUMBER(SEARCH("computer",I1535))+ISNUMBER(SEARCH("saas",I1535))+ISNUMBER(SEARCH("fintech",I1535))+ISNUMBER(SEARCH("information services",I1535))+ISNUMBER(SEARCH("telecommunications",I1535))&gt;0,'Configuración'!$B$27,'Configuración'!$B$28))</f>
        <v>12</v>
      </c>
      <c r="U1535" s="25">
        <f>IF(B1535="","",IF(ISNUMBER(SEARCH("CEO",C1535))+ISNUMBER(SEARCH("Founder",C1535))+ISNUMBER(SEARCH("Owner",C1535))+ISNUMBER(SEARCH("Dueño",C1535))+ISNUMBER(SEARCH("Director General",C1535))+ISNUMBER(SEARCH("Presidente",C1535))+ISNUMBER(SEARCH("President",C1535))&gt;0,'Configuración'!$B$31,IF(ISNUMBER(SEARCH("CMO",C1535))+ISNUMBER(SEARCH("Chief Marketing",C1535))+ISNUMBER(SEARCH("VP Marketing",C1535))+ISNUMBER(SEARCH("Director de Marketing",C1535))+ISNUMBER(SEARCH("Director Marketing",C1535))+ISNUMBER(SEARCH("Head of Marketing",C1535))+ISNUMBER(SEARCH("Head Marketing",C1535))&gt;0,'Configuración'!$B$32,IF(ISNUMBER(SEARCH("Marketing Manager",C1535))+ISNUMBER(SEARCH("Gerente de Marketing",C1535))+ISNUMBER(SEARCH("Growth Manager",C1535))+ISNUMBER(SEARCH("Demand Gen",C1535))+ISNUMBER(SEARCH("Marketing Lead",C1535))&gt;0,'Configuración'!$B$33,IF(ISNUMBER(SEARCH("COO",C1535))+ISNUMBER(SEARCH("CFO",C1535))+ISNUMBER(SEARCH("CTO",C1535))+ISNUMBER(SEARCH("Chief Operating",C1535))+ISNUMBER(SEARCH("Chief Financial",C1535))+ISNUMBER(SEARCH("Gerente General",C1535))+ISNUMBER(SEARCH("General Manager",C1535))&gt;0,'Configuración'!$B$34,'Configuración'!$B$35)))))</f>
        <v>12</v>
      </c>
      <c r="V1535" s="38">
        <f>IF(B1535="","",IF(K1535="Sí",'Configuración'!$B$5,0)+IF(L1535="Semanal",'Configuración'!$B$6,IF(L1535="Mensual",'Configuración'!$B$7,0))+IF(M1535="Sí",'Configuración'!$B$8,0)+IF(N1535="Sí",'Configuración'!$B$9,0)+IF(O1535="Sí",'Configuración'!$B$10,0)+IF(P1535="Sí",'Configuración'!$B$11,0)+IF(Q1535="Sí",'Configuración'!$B$12,0)+S1535+T1535+U1535)</f>
        <v>28</v>
      </c>
      <c r="W1535" s="39" t="str">
        <f>IF(B1535="","",IF(V1535&gt;='Configuración'!$B$19,"A",IF(V1535&gt;='Configuración'!$B$20,"B",IF(V1535&gt;='Configuración'!$B$21,"C","Descarte"))))</f>
        <v>C</v>
      </c>
    </row>
    <row r="1536" ht="15.75" customHeight="1">
      <c r="A1536" s="34">
        <f t="shared" si="1"/>
        <v>1534</v>
      </c>
      <c r="B1536" s="29" t="s">
        <v>174</v>
      </c>
      <c r="C1536" s="29" t="s">
        <v>444</v>
      </c>
      <c r="D1536" s="29" t="s">
        <v>8658</v>
      </c>
      <c r="E1536" s="29" t="s">
        <v>8659</v>
      </c>
      <c r="F1536" s="30" t="s">
        <v>8660</v>
      </c>
      <c r="G1536" s="30" t="s">
        <v>8661</v>
      </c>
      <c r="H1536" s="42" t="s">
        <v>8662</v>
      </c>
      <c r="I1536" s="29" t="s">
        <v>116</v>
      </c>
      <c r="J1536" s="31">
        <v>32.0</v>
      </c>
      <c r="K1536" s="35"/>
      <c r="L1536" s="35"/>
      <c r="M1536" s="35"/>
      <c r="N1536" s="35"/>
      <c r="O1536" s="35"/>
      <c r="P1536" s="35"/>
      <c r="Q1536" s="35"/>
      <c r="R1536" s="35"/>
      <c r="S1536" s="37">
        <f>IF(B1536="","",IF(ISNUMBER(J1536),IF(J1536&lt;=10,'Configuración'!$B$23,IF(J1536&lt;=50,'Configuración'!$B$24,IF(J1536&lt;=200,'Configuración'!$B$25,0))),0))</f>
        <v>4</v>
      </c>
      <c r="T1536" s="37">
        <f>IF(B1536="","",IF(ISNUMBER(SEARCH("information technology",I1536))+ISNUMBER(SEARCH("software",I1536))+ISNUMBER(SEARCH("internet",I1536))+ISNUMBER(SEARCH("computer",I1536))+ISNUMBER(SEARCH("saas",I1536))+ISNUMBER(SEARCH("fintech",I1536))+ISNUMBER(SEARCH("information services",I1536))+ISNUMBER(SEARCH("telecommunications",I1536))&gt;0,'Configuración'!$B$27,'Configuración'!$B$28))</f>
        <v>4</v>
      </c>
      <c r="U1536" s="25">
        <f>IF(B1536="","",IF(ISNUMBER(SEARCH("CEO",C1536))+ISNUMBER(SEARCH("Founder",C1536))+ISNUMBER(SEARCH("Owner",C1536))+ISNUMBER(SEARCH("Dueño",C1536))+ISNUMBER(SEARCH("Director General",C1536))+ISNUMBER(SEARCH("Presidente",C1536))+ISNUMBER(SEARCH("President",C1536))&gt;0,'Configuración'!$B$31,IF(ISNUMBER(SEARCH("CMO",C1536))+ISNUMBER(SEARCH("Chief Marketing",C1536))+ISNUMBER(SEARCH("VP Marketing",C1536))+ISNUMBER(SEARCH("Director de Marketing",C1536))+ISNUMBER(SEARCH("Director Marketing",C1536))+ISNUMBER(SEARCH("Head of Marketing",C1536))+ISNUMBER(SEARCH("Head Marketing",C1536))&gt;0,'Configuración'!$B$32,IF(ISNUMBER(SEARCH("Marketing Manager",C1536))+ISNUMBER(SEARCH("Gerente de Marketing",C1536))+ISNUMBER(SEARCH("Growth Manager",C1536))+ISNUMBER(SEARCH("Demand Gen",C1536))+ISNUMBER(SEARCH("Marketing Lead",C1536))&gt;0,'Configuración'!$B$33,IF(ISNUMBER(SEARCH("COO",C1536))+ISNUMBER(SEARCH("CFO",C1536))+ISNUMBER(SEARCH("CTO",C1536))+ISNUMBER(SEARCH("Chief Operating",C1536))+ISNUMBER(SEARCH("Chief Financial",C1536))+ISNUMBER(SEARCH("Gerente General",C1536))+ISNUMBER(SEARCH("General Manager",C1536))&gt;0,'Configuración'!$B$34,'Configuración'!$B$35)))))</f>
        <v>12</v>
      </c>
      <c r="V1536" s="38">
        <f>IF(B1536="","",IF(K1536="Sí",'Configuración'!$B$5,0)+IF(L1536="Semanal",'Configuración'!$B$6,IF(L1536="Mensual",'Configuración'!$B$7,0))+IF(M1536="Sí",'Configuración'!$B$8,0)+IF(N1536="Sí",'Configuración'!$B$9,0)+IF(O1536="Sí",'Configuración'!$B$10,0)+IF(P1536="Sí",'Configuración'!$B$11,0)+IF(Q1536="Sí",'Configuración'!$B$12,0)+S1536+T1536+U1536)</f>
        <v>20</v>
      </c>
      <c r="W1536" s="39" t="str">
        <f>IF(B1536="","",IF(V1536&gt;='Configuración'!$B$19,"A",IF(V1536&gt;='Configuración'!$B$20,"B",IF(V1536&gt;='Configuración'!$B$21,"C","Descarte"))))</f>
        <v>Descarte</v>
      </c>
    </row>
    <row r="1537" ht="15.75" customHeight="1">
      <c r="A1537" s="34">
        <f t="shared" si="1"/>
        <v>1535</v>
      </c>
      <c r="B1537" s="29" t="s">
        <v>2544</v>
      </c>
      <c r="C1537" s="29" t="s">
        <v>361</v>
      </c>
      <c r="D1537" s="29" t="s">
        <v>1086</v>
      </c>
      <c r="E1537" s="29" t="s">
        <v>8663</v>
      </c>
      <c r="F1537" s="30" t="s">
        <v>8664</v>
      </c>
      <c r="G1537" s="30" t="s">
        <v>1089</v>
      </c>
      <c r="H1537" s="42" t="s">
        <v>1090</v>
      </c>
      <c r="I1537" s="29" t="s">
        <v>116</v>
      </c>
      <c r="J1537" s="31">
        <v>38.0</v>
      </c>
      <c r="K1537" s="35"/>
      <c r="L1537" s="35"/>
      <c r="M1537" s="35"/>
      <c r="N1537" s="35"/>
      <c r="O1537" s="35"/>
      <c r="P1537" s="35"/>
      <c r="Q1537" s="35"/>
      <c r="R1537" s="35"/>
      <c r="S1537" s="37">
        <f>IF(B1537="","",IF(ISNUMBER(J1537),IF(J1537&lt;=10,'Configuración'!$B$23,IF(J1537&lt;=50,'Configuración'!$B$24,IF(J1537&lt;=200,'Configuración'!$B$25,0))),0))</f>
        <v>4</v>
      </c>
      <c r="T1537" s="37">
        <f>IF(B1537="","",IF(ISNUMBER(SEARCH("information technology",I1537))+ISNUMBER(SEARCH("software",I1537))+ISNUMBER(SEARCH("internet",I1537))+ISNUMBER(SEARCH("computer",I1537))+ISNUMBER(SEARCH("saas",I1537))+ISNUMBER(SEARCH("fintech",I1537))+ISNUMBER(SEARCH("information services",I1537))+ISNUMBER(SEARCH("telecommunications",I1537))&gt;0,'Configuración'!$B$27,'Configuración'!$B$28))</f>
        <v>4</v>
      </c>
      <c r="U1537" s="25">
        <f>IF(B1537="","",IF(ISNUMBER(SEARCH("CEO",C1537))+ISNUMBER(SEARCH("Founder",C1537))+ISNUMBER(SEARCH("Owner",C1537))+ISNUMBER(SEARCH("Dueño",C1537))+ISNUMBER(SEARCH("Director General",C1537))+ISNUMBER(SEARCH("Presidente",C1537))+ISNUMBER(SEARCH("President",C1537))&gt;0,'Configuración'!$B$31,IF(ISNUMBER(SEARCH("CMO",C1537))+ISNUMBER(SEARCH("Chief Marketing",C1537))+ISNUMBER(SEARCH("VP Marketing",C1537))+ISNUMBER(SEARCH("Director de Marketing",C1537))+ISNUMBER(SEARCH("Director Marketing",C1537))+ISNUMBER(SEARCH("Head of Marketing",C1537))+ISNUMBER(SEARCH("Head Marketing",C1537))&gt;0,'Configuración'!$B$32,IF(ISNUMBER(SEARCH("Marketing Manager",C1537))+ISNUMBER(SEARCH("Gerente de Marketing",C1537))+ISNUMBER(SEARCH("Growth Manager",C1537))+ISNUMBER(SEARCH("Demand Gen",C1537))+ISNUMBER(SEARCH("Marketing Lead",C1537))&gt;0,'Configuración'!$B$33,IF(ISNUMBER(SEARCH("COO",C1537))+ISNUMBER(SEARCH("CFO",C1537))+ISNUMBER(SEARCH("CTO",C1537))+ISNUMBER(SEARCH("Chief Operating",C1537))+ISNUMBER(SEARCH("Chief Financial",C1537))+ISNUMBER(SEARCH("Gerente General",C1537))+ISNUMBER(SEARCH("General Manager",C1537))&gt;0,'Configuración'!$B$34,'Configuración'!$B$35)))))</f>
        <v>0</v>
      </c>
      <c r="V1537" s="38">
        <f>IF(B1537="","",IF(K1537="Sí",'Configuración'!$B$5,0)+IF(L1537="Semanal",'Configuración'!$B$6,IF(L1537="Mensual",'Configuración'!$B$7,0))+IF(M1537="Sí",'Configuración'!$B$8,0)+IF(N1537="Sí",'Configuración'!$B$9,0)+IF(O1537="Sí",'Configuración'!$B$10,0)+IF(P1537="Sí",'Configuración'!$B$11,0)+IF(Q1537="Sí",'Configuración'!$B$12,0)+S1537+T1537+U1537)</f>
        <v>8</v>
      </c>
      <c r="W1537" s="39" t="str">
        <f>IF(B1537="","",IF(V1537&gt;='Configuración'!$B$19,"A",IF(V1537&gt;='Configuración'!$B$20,"B",IF(V1537&gt;='Configuración'!$B$21,"C","Descarte"))))</f>
        <v>Descarte</v>
      </c>
    </row>
    <row r="1538" ht="15.75" customHeight="1">
      <c r="A1538" s="34">
        <f t="shared" si="1"/>
        <v>1536</v>
      </c>
      <c r="B1538" s="29" t="s">
        <v>3167</v>
      </c>
      <c r="C1538" s="29" t="s">
        <v>121</v>
      </c>
      <c r="D1538" s="29" t="s">
        <v>8665</v>
      </c>
      <c r="E1538" s="29" t="s">
        <v>8666</v>
      </c>
      <c r="F1538" s="30" t="s">
        <v>8667</v>
      </c>
      <c r="G1538" s="30" t="s">
        <v>8668</v>
      </c>
      <c r="H1538" s="42" t="s">
        <v>8669</v>
      </c>
      <c r="I1538" s="29" t="s">
        <v>337</v>
      </c>
      <c r="J1538" s="31">
        <v>34.0</v>
      </c>
      <c r="K1538" s="35"/>
      <c r="L1538" s="35"/>
      <c r="M1538" s="35"/>
      <c r="N1538" s="35"/>
      <c r="O1538" s="35"/>
      <c r="P1538" s="35"/>
      <c r="Q1538" s="35"/>
      <c r="R1538" s="35"/>
      <c r="S1538" s="37">
        <f>IF(B1538="","",IF(ISNUMBER(J1538),IF(J1538&lt;=10,'Configuración'!$B$23,IF(J1538&lt;=50,'Configuración'!$B$24,IF(J1538&lt;=200,'Configuración'!$B$25,0))),0))</f>
        <v>4</v>
      </c>
      <c r="T1538" s="37">
        <f>IF(B1538="","",IF(ISNUMBER(SEARCH("information technology",I1538))+ISNUMBER(SEARCH("software",I1538))+ISNUMBER(SEARCH("internet",I1538))+ISNUMBER(SEARCH("computer",I1538))+ISNUMBER(SEARCH("saas",I1538))+ISNUMBER(SEARCH("fintech",I1538))+ISNUMBER(SEARCH("information services",I1538))+ISNUMBER(SEARCH("telecommunications",I1538))&gt;0,'Configuración'!$B$27,'Configuración'!$B$28))</f>
        <v>4</v>
      </c>
      <c r="U1538" s="25">
        <f>IF(B1538="","",IF(ISNUMBER(SEARCH("CEO",C1538))+ISNUMBER(SEARCH("Founder",C1538))+ISNUMBER(SEARCH("Owner",C1538))+ISNUMBER(SEARCH("Dueño",C1538))+ISNUMBER(SEARCH("Director General",C1538))+ISNUMBER(SEARCH("Presidente",C1538))+ISNUMBER(SEARCH("President",C1538))&gt;0,'Configuración'!$B$31,IF(ISNUMBER(SEARCH("CMO",C1538))+ISNUMBER(SEARCH("Chief Marketing",C1538))+ISNUMBER(SEARCH("VP Marketing",C1538))+ISNUMBER(SEARCH("Director de Marketing",C1538))+ISNUMBER(SEARCH("Director Marketing",C1538))+ISNUMBER(SEARCH("Head of Marketing",C1538))+ISNUMBER(SEARCH("Head Marketing",C1538))&gt;0,'Configuración'!$B$32,IF(ISNUMBER(SEARCH("Marketing Manager",C1538))+ISNUMBER(SEARCH("Gerente de Marketing",C1538))+ISNUMBER(SEARCH("Growth Manager",C1538))+ISNUMBER(SEARCH("Demand Gen",C1538))+ISNUMBER(SEARCH("Marketing Lead",C1538))&gt;0,'Configuración'!$B$33,IF(ISNUMBER(SEARCH("COO",C1538))+ISNUMBER(SEARCH("CFO",C1538))+ISNUMBER(SEARCH("CTO",C1538))+ISNUMBER(SEARCH("Chief Operating",C1538))+ISNUMBER(SEARCH("Chief Financial",C1538))+ISNUMBER(SEARCH("Gerente General",C1538))+ISNUMBER(SEARCH("General Manager",C1538))&gt;0,'Configuración'!$B$34,'Configuración'!$B$35)))))</f>
        <v>12</v>
      </c>
      <c r="V1538" s="38">
        <f>IF(B1538="","",IF(K1538="Sí",'Configuración'!$B$5,0)+IF(L1538="Semanal",'Configuración'!$B$6,IF(L1538="Mensual",'Configuración'!$B$7,0))+IF(M1538="Sí",'Configuración'!$B$8,0)+IF(N1538="Sí",'Configuración'!$B$9,0)+IF(O1538="Sí",'Configuración'!$B$10,0)+IF(P1538="Sí",'Configuración'!$B$11,0)+IF(Q1538="Sí",'Configuración'!$B$12,0)+S1538+T1538+U1538)</f>
        <v>20</v>
      </c>
      <c r="W1538" s="39" t="str">
        <f>IF(B1538="","",IF(V1538&gt;='Configuración'!$B$19,"A",IF(V1538&gt;='Configuración'!$B$20,"B",IF(V1538&gt;='Configuración'!$B$21,"C","Descarte"))))</f>
        <v>Descarte</v>
      </c>
    </row>
    <row r="1539" ht="15.75" customHeight="1">
      <c r="A1539" s="34">
        <f t="shared" si="1"/>
        <v>1537</v>
      </c>
      <c r="B1539" s="29" t="s">
        <v>236</v>
      </c>
      <c r="C1539" s="29" t="s">
        <v>131</v>
      </c>
      <c r="D1539" s="29" t="s">
        <v>8670</v>
      </c>
      <c r="E1539" s="29" t="s">
        <v>8671</v>
      </c>
      <c r="F1539" s="30" t="s">
        <v>8672</v>
      </c>
      <c r="G1539" s="30" t="s">
        <v>8673</v>
      </c>
      <c r="H1539" s="42" t="s">
        <v>8674</v>
      </c>
      <c r="I1539" s="29" t="s">
        <v>188</v>
      </c>
      <c r="J1539" s="31">
        <v>3.0</v>
      </c>
      <c r="K1539" s="35"/>
      <c r="L1539" s="35"/>
      <c r="M1539" s="35"/>
      <c r="N1539" s="35"/>
      <c r="O1539" s="35"/>
      <c r="P1539" s="35"/>
      <c r="Q1539" s="35"/>
      <c r="R1539" s="35"/>
      <c r="S1539" s="37">
        <f>IF(B1539="","",IF(ISNUMBER(J1539),IF(J1539&lt;=10,'Configuración'!$B$23,IF(J1539&lt;=50,'Configuración'!$B$24,IF(J1539&lt;=200,'Configuración'!$B$25,0))),0))</f>
        <v>12</v>
      </c>
      <c r="T1539" s="37">
        <f>IF(B1539="","",IF(ISNUMBER(SEARCH("information technology",I1539))+ISNUMBER(SEARCH("software",I1539))+ISNUMBER(SEARCH("internet",I1539))+ISNUMBER(SEARCH("computer",I1539))+ISNUMBER(SEARCH("saas",I1539))+ISNUMBER(SEARCH("fintech",I1539))+ISNUMBER(SEARCH("information services",I1539))+ISNUMBER(SEARCH("telecommunications",I1539))&gt;0,'Configuración'!$B$27,'Configuración'!$B$28))</f>
        <v>4</v>
      </c>
      <c r="U1539" s="25">
        <f>IF(B1539="","",IF(ISNUMBER(SEARCH("CEO",C1539))+ISNUMBER(SEARCH("Founder",C1539))+ISNUMBER(SEARCH("Owner",C1539))+ISNUMBER(SEARCH("Dueño",C1539))+ISNUMBER(SEARCH("Director General",C1539))+ISNUMBER(SEARCH("Presidente",C1539))+ISNUMBER(SEARCH("President",C1539))&gt;0,'Configuración'!$B$31,IF(ISNUMBER(SEARCH("CMO",C1539))+ISNUMBER(SEARCH("Chief Marketing",C1539))+ISNUMBER(SEARCH("VP Marketing",C1539))+ISNUMBER(SEARCH("Director de Marketing",C1539))+ISNUMBER(SEARCH("Director Marketing",C1539))+ISNUMBER(SEARCH("Head of Marketing",C1539))+ISNUMBER(SEARCH("Head Marketing",C1539))&gt;0,'Configuración'!$B$32,IF(ISNUMBER(SEARCH("Marketing Manager",C1539))+ISNUMBER(SEARCH("Gerente de Marketing",C1539))+ISNUMBER(SEARCH("Growth Manager",C1539))+ISNUMBER(SEARCH("Demand Gen",C1539))+ISNUMBER(SEARCH("Marketing Lead",C1539))&gt;0,'Configuración'!$B$33,IF(ISNUMBER(SEARCH("COO",C1539))+ISNUMBER(SEARCH("CFO",C1539))+ISNUMBER(SEARCH("CTO",C1539))+ISNUMBER(SEARCH("Chief Operating",C1539))+ISNUMBER(SEARCH("Chief Financial",C1539))+ISNUMBER(SEARCH("Gerente General",C1539))+ISNUMBER(SEARCH("General Manager",C1539))&gt;0,'Configuración'!$B$34,'Configuración'!$B$35)))))</f>
        <v>12</v>
      </c>
      <c r="V1539" s="38">
        <f>IF(B1539="","",IF(K1539="Sí",'Configuración'!$B$5,0)+IF(L1539="Semanal",'Configuración'!$B$6,IF(L1539="Mensual",'Configuración'!$B$7,0))+IF(M1539="Sí",'Configuración'!$B$8,0)+IF(N1539="Sí",'Configuración'!$B$9,0)+IF(O1539="Sí",'Configuración'!$B$10,0)+IF(P1539="Sí",'Configuración'!$B$11,0)+IF(Q1539="Sí",'Configuración'!$B$12,0)+S1539+T1539+U1539)</f>
        <v>28</v>
      </c>
      <c r="W1539" s="39" t="str">
        <f>IF(B1539="","",IF(V1539&gt;='Configuración'!$B$19,"A",IF(V1539&gt;='Configuración'!$B$20,"B",IF(V1539&gt;='Configuración'!$B$21,"C","Descarte"))))</f>
        <v>C</v>
      </c>
    </row>
    <row r="1540" ht="15.75" customHeight="1">
      <c r="A1540" s="34">
        <f t="shared" si="1"/>
        <v>1538</v>
      </c>
      <c r="B1540" s="29" t="s">
        <v>181</v>
      </c>
      <c r="C1540" s="29" t="s">
        <v>139</v>
      </c>
      <c r="D1540" s="29" t="s">
        <v>922</v>
      </c>
      <c r="E1540" s="29" t="s">
        <v>8675</v>
      </c>
      <c r="F1540" s="30" t="s">
        <v>8676</v>
      </c>
      <c r="G1540" s="30" t="s">
        <v>925</v>
      </c>
      <c r="H1540" s="42" t="s">
        <v>926</v>
      </c>
      <c r="I1540" s="29" t="s">
        <v>116</v>
      </c>
      <c r="J1540" s="31">
        <v>9.0</v>
      </c>
      <c r="K1540" s="35"/>
      <c r="L1540" s="35"/>
      <c r="M1540" s="35"/>
      <c r="N1540" s="35"/>
      <c r="O1540" s="35"/>
      <c r="P1540" s="35"/>
      <c r="Q1540" s="35"/>
      <c r="R1540" s="35"/>
      <c r="S1540" s="37">
        <f>IF(B1540="","",IF(ISNUMBER(J1540),IF(J1540&lt;=10,'Configuración'!$B$23,IF(J1540&lt;=50,'Configuración'!$B$24,IF(J1540&lt;=200,'Configuración'!$B$25,0))),0))</f>
        <v>12</v>
      </c>
      <c r="T1540" s="37">
        <f>IF(B1540="","",IF(ISNUMBER(SEARCH("information technology",I1540))+ISNUMBER(SEARCH("software",I1540))+ISNUMBER(SEARCH("internet",I1540))+ISNUMBER(SEARCH("computer",I1540))+ISNUMBER(SEARCH("saas",I1540))+ISNUMBER(SEARCH("fintech",I1540))+ISNUMBER(SEARCH("information services",I1540))+ISNUMBER(SEARCH("telecommunications",I1540))&gt;0,'Configuración'!$B$27,'Configuración'!$B$28))</f>
        <v>4</v>
      </c>
      <c r="U1540" s="25">
        <f>IF(B1540="","",IF(ISNUMBER(SEARCH("CEO",C1540))+ISNUMBER(SEARCH("Founder",C1540))+ISNUMBER(SEARCH("Owner",C1540))+ISNUMBER(SEARCH("Dueño",C1540))+ISNUMBER(SEARCH("Director General",C1540))+ISNUMBER(SEARCH("Presidente",C1540))+ISNUMBER(SEARCH("President",C1540))&gt;0,'Configuración'!$B$31,IF(ISNUMBER(SEARCH("CMO",C1540))+ISNUMBER(SEARCH("Chief Marketing",C1540))+ISNUMBER(SEARCH("VP Marketing",C1540))+ISNUMBER(SEARCH("Director de Marketing",C1540))+ISNUMBER(SEARCH("Director Marketing",C1540))+ISNUMBER(SEARCH("Head of Marketing",C1540))+ISNUMBER(SEARCH("Head Marketing",C1540))&gt;0,'Configuración'!$B$32,IF(ISNUMBER(SEARCH("Marketing Manager",C1540))+ISNUMBER(SEARCH("Gerente de Marketing",C1540))+ISNUMBER(SEARCH("Growth Manager",C1540))+ISNUMBER(SEARCH("Demand Gen",C1540))+ISNUMBER(SEARCH("Marketing Lead",C1540))&gt;0,'Configuración'!$B$33,IF(ISNUMBER(SEARCH("COO",C1540))+ISNUMBER(SEARCH("CFO",C1540))+ISNUMBER(SEARCH("CTO",C1540))+ISNUMBER(SEARCH("Chief Operating",C1540))+ISNUMBER(SEARCH("Chief Financial",C1540))+ISNUMBER(SEARCH("Gerente General",C1540))+ISNUMBER(SEARCH("General Manager",C1540))&gt;0,'Configuración'!$B$34,'Configuración'!$B$35)))))</f>
        <v>12</v>
      </c>
      <c r="V1540" s="38">
        <f>IF(B1540="","",IF(K1540="Sí",'Configuración'!$B$5,0)+IF(L1540="Semanal",'Configuración'!$B$6,IF(L1540="Mensual",'Configuración'!$B$7,0))+IF(M1540="Sí",'Configuración'!$B$8,0)+IF(N1540="Sí",'Configuración'!$B$9,0)+IF(O1540="Sí",'Configuración'!$B$10,0)+IF(P1540="Sí",'Configuración'!$B$11,0)+IF(Q1540="Sí",'Configuración'!$B$12,0)+S1540+T1540+U1540)</f>
        <v>28</v>
      </c>
      <c r="W1540" s="39" t="str">
        <f>IF(B1540="","",IF(V1540&gt;='Configuración'!$B$19,"A",IF(V1540&gt;='Configuración'!$B$20,"B",IF(V1540&gt;='Configuración'!$B$21,"C","Descarte"))))</f>
        <v>C</v>
      </c>
    </row>
    <row r="1541" ht="15.75" customHeight="1">
      <c r="A1541" s="34">
        <f t="shared" si="1"/>
        <v>1539</v>
      </c>
      <c r="B1541" s="29" t="s">
        <v>8677</v>
      </c>
      <c r="C1541" s="29" t="s">
        <v>311</v>
      </c>
      <c r="D1541" s="29" t="s">
        <v>8678</v>
      </c>
      <c r="E1541" s="29" t="s">
        <v>8679</v>
      </c>
      <c r="F1541" s="30" t="s">
        <v>8680</v>
      </c>
      <c r="G1541" s="30" t="s">
        <v>8681</v>
      </c>
      <c r="H1541" s="42" t="s">
        <v>8682</v>
      </c>
      <c r="I1541" s="29" t="s">
        <v>116</v>
      </c>
      <c r="J1541" s="31">
        <v>10.0</v>
      </c>
      <c r="K1541" s="35"/>
      <c r="L1541" s="35"/>
      <c r="M1541" s="35"/>
      <c r="N1541" s="35"/>
      <c r="O1541" s="35"/>
      <c r="P1541" s="35"/>
      <c r="Q1541" s="35"/>
      <c r="R1541" s="35"/>
      <c r="S1541" s="37">
        <f>IF(B1541="","",IF(ISNUMBER(J1541),IF(J1541&lt;=10,'Configuración'!$B$23,IF(J1541&lt;=50,'Configuración'!$B$24,IF(J1541&lt;=200,'Configuración'!$B$25,0))),0))</f>
        <v>12</v>
      </c>
      <c r="T1541" s="37">
        <f>IF(B1541="","",IF(ISNUMBER(SEARCH("information technology",I1541))+ISNUMBER(SEARCH("software",I1541))+ISNUMBER(SEARCH("internet",I1541))+ISNUMBER(SEARCH("computer",I1541))+ISNUMBER(SEARCH("saas",I1541))+ISNUMBER(SEARCH("fintech",I1541))+ISNUMBER(SEARCH("information services",I1541))+ISNUMBER(SEARCH("telecommunications",I1541))&gt;0,'Configuración'!$B$27,'Configuración'!$B$28))</f>
        <v>4</v>
      </c>
      <c r="U1541" s="25">
        <f>IF(B1541="","",IF(ISNUMBER(SEARCH("CEO",C1541))+ISNUMBER(SEARCH("Founder",C1541))+ISNUMBER(SEARCH("Owner",C1541))+ISNUMBER(SEARCH("Dueño",C1541))+ISNUMBER(SEARCH("Director General",C1541))+ISNUMBER(SEARCH("Presidente",C1541))+ISNUMBER(SEARCH("President",C1541))&gt;0,'Configuración'!$B$31,IF(ISNUMBER(SEARCH("CMO",C1541))+ISNUMBER(SEARCH("Chief Marketing",C1541))+ISNUMBER(SEARCH("VP Marketing",C1541))+ISNUMBER(SEARCH("Director de Marketing",C1541))+ISNUMBER(SEARCH("Director Marketing",C1541))+ISNUMBER(SEARCH("Head of Marketing",C1541))+ISNUMBER(SEARCH("Head Marketing",C1541))&gt;0,'Configuración'!$B$32,IF(ISNUMBER(SEARCH("Marketing Manager",C1541))+ISNUMBER(SEARCH("Gerente de Marketing",C1541))+ISNUMBER(SEARCH("Growth Manager",C1541))+ISNUMBER(SEARCH("Demand Gen",C1541))+ISNUMBER(SEARCH("Marketing Lead",C1541))&gt;0,'Configuración'!$B$33,IF(ISNUMBER(SEARCH("COO",C1541))+ISNUMBER(SEARCH("CFO",C1541))+ISNUMBER(SEARCH("CTO",C1541))+ISNUMBER(SEARCH("Chief Operating",C1541))+ISNUMBER(SEARCH("Chief Financial",C1541))+ISNUMBER(SEARCH("Gerente General",C1541))+ISNUMBER(SEARCH("General Manager",C1541))&gt;0,'Configuración'!$B$34,'Configuración'!$B$35)))))</f>
        <v>12</v>
      </c>
      <c r="V1541" s="38">
        <f>IF(B1541="","",IF(K1541="Sí",'Configuración'!$B$5,0)+IF(L1541="Semanal",'Configuración'!$B$6,IF(L1541="Mensual",'Configuración'!$B$7,0))+IF(M1541="Sí",'Configuración'!$B$8,0)+IF(N1541="Sí",'Configuración'!$B$9,0)+IF(O1541="Sí",'Configuración'!$B$10,0)+IF(P1541="Sí",'Configuración'!$B$11,0)+IF(Q1541="Sí",'Configuración'!$B$12,0)+S1541+T1541+U1541)</f>
        <v>28</v>
      </c>
      <c r="W1541" s="39" t="str">
        <f>IF(B1541="","",IF(V1541&gt;='Configuración'!$B$19,"A",IF(V1541&gt;='Configuración'!$B$20,"B",IF(V1541&gt;='Configuración'!$B$21,"C","Descarte"))))</f>
        <v>C</v>
      </c>
    </row>
    <row r="1542" ht="15.75" customHeight="1">
      <c r="A1542" s="34">
        <f t="shared" si="1"/>
        <v>1540</v>
      </c>
      <c r="B1542" s="29" t="s">
        <v>8677</v>
      </c>
      <c r="C1542" s="29" t="s">
        <v>8683</v>
      </c>
      <c r="D1542" s="29" t="s">
        <v>8684</v>
      </c>
      <c r="E1542" s="29" t="s">
        <v>8685</v>
      </c>
      <c r="F1542" s="30" t="s">
        <v>8686</v>
      </c>
      <c r="G1542" s="30" t="s">
        <v>8687</v>
      </c>
      <c r="H1542" s="42" t="s">
        <v>8688</v>
      </c>
      <c r="I1542" s="29" t="s">
        <v>188</v>
      </c>
      <c r="J1542" s="31">
        <v>1.0</v>
      </c>
      <c r="K1542" s="35"/>
      <c r="L1542" s="35"/>
      <c r="M1542" s="35"/>
      <c r="N1542" s="35"/>
      <c r="O1542" s="35"/>
      <c r="P1542" s="35"/>
      <c r="Q1542" s="35"/>
      <c r="R1542" s="35"/>
      <c r="S1542" s="37">
        <f>IF(B1542="","",IF(ISNUMBER(J1542),IF(J1542&lt;=10,'Configuración'!$B$23,IF(J1542&lt;=50,'Configuración'!$B$24,IF(J1542&lt;=200,'Configuración'!$B$25,0))),0))</f>
        <v>12</v>
      </c>
      <c r="T1542" s="37">
        <f>IF(B1542="","",IF(ISNUMBER(SEARCH("information technology",I1542))+ISNUMBER(SEARCH("software",I1542))+ISNUMBER(SEARCH("internet",I1542))+ISNUMBER(SEARCH("computer",I1542))+ISNUMBER(SEARCH("saas",I1542))+ISNUMBER(SEARCH("fintech",I1542))+ISNUMBER(SEARCH("information services",I1542))+ISNUMBER(SEARCH("telecommunications",I1542))&gt;0,'Configuración'!$B$27,'Configuración'!$B$28))</f>
        <v>4</v>
      </c>
      <c r="U1542" s="25">
        <f>IF(B1542="","",IF(ISNUMBER(SEARCH("CEO",C1542))+ISNUMBER(SEARCH("Founder",C1542))+ISNUMBER(SEARCH("Owner",C1542))+ISNUMBER(SEARCH("Dueño",C1542))+ISNUMBER(SEARCH("Director General",C1542))+ISNUMBER(SEARCH("Presidente",C1542))+ISNUMBER(SEARCH("President",C1542))&gt;0,'Configuración'!$B$31,IF(ISNUMBER(SEARCH("CMO",C1542))+ISNUMBER(SEARCH("Chief Marketing",C1542))+ISNUMBER(SEARCH("VP Marketing",C1542))+ISNUMBER(SEARCH("Director de Marketing",C1542))+ISNUMBER(SEARCH("Director Marketing",C1542))+ISNUMBER(SEARCH("Head of Marketing",C1542))+ISNUMBER(SEARCH("Head Marketing",C1542))&gt;0,'Configuración'!$B$32,IF(ISNUMBER(SEARCH("Marketing Manager",C1542))+ISNUMBER(SEARCH("Gerente de Marketing",C1542))+ISNUMBER(SEARCH("Growth Manager",C1542))+ISNUMBER(SEARCH("Demand Gen",C1542))+ISNUMBER(SEARCH("Marketing Lead",C1542))&gt;0,'Configuración'!$B$33,IF(ISNUMBER(SEARCH("COO",C1542))+ISNUMBER(SEARCH("CFO",C1542))+ISNUMBER(SEARCH("CTO",C1542))+ISNUMBER(SEARCH("Chief Operating",C1542))+ISNUMBER(SEARCH("Chief Financial",C1542))+ISNUMBER(SEARCH("Gerente General",C1542))+ISNUMBER(SEARCH("General Manager",C1542))&gt;0,'Configuración'!$B$34,'Configuración'!$B$35)))))</f>
        <v>12</v>
      </c>
      <c r="V1542" s="38">
        <f>IF(B1542="","",IF(K1542="Sí",'Configuración'!$B$5,0)+IF(L1542="Semanal",'Configuración'!$B$6,IF(L1542="Mensual",'Configuración'!$B$7,0))+IF(M1542="Sí",'Configuración'!$B$8,0)+IF(N1542="Sí",'Configuración'!$B$9,0)+IF(O1542="Sí",'Configuración'!$B$10,0)+IF(P1542="Sí",'Configuración'!$B$11,0)+IF(Q1542="Sí",'Configuración'!$B$12,0)+S1542+T1542+U1542)</f>
        <v>28</v>
      </c>
      <c r="W1542" s="39" t="str">
        <f>IF(B1542="","",IF(V1542&gt;='Configuración'!$B$19,"A",IF(V1542&gt;='Configuración'!$B$20,"B",IF(V1542&gt;='Configuración'!$B$21,"C","Descarte"))))</f>
        <v>C</v>
      </c>
    </row>
    <row r="1543" ht="15.75" customHeight="1">
      <c r="A1543" s="34">
        <f t="shared" si="1"/>
        <v>1541</v>
      </c>
      <c r="B1543" s="29" t="s">
        <v>223</v>
      </c>
      <c r="C1543" s="29" t="s">
        <v>297</v>
      </c>
      <c r="D1543" s="29" t="s">
        <v>8689</v>
      </c>
      <c r="E1543" s="29" t="s">
        <v>8690</v>
      </c>
      <c r="F1543" s="30" t="s">
        <v>8691</v>
      </c>
      <c r="G1543" s="30" t="s">
        <v>8692</v>
      </c>
      <c r="H1543" s="42" t="s">
        <v>8693</v>
      </c>
      <c r="I1543" s="29" t="s">
        <v>873</v>
      </c>
      <c r="J1543" s="31">
        <v>32.0</v>
      </c>
      <c r="K1543" s="35"/>
      <c r="L1543" s="35"/>
      <c r="M1543" s="35"/>
      <c r="N1543" s="35"/>
      <c r="O1543" s="35"/>
      <c r="P1543" s="35"/>
      <c r="Q1543" s="35"/>
      <c r="R1543" s="35"/>
      <c r="S1543" s="37">
        <f>IF(B1543="","",IF(ISNUMBER(J1543),IF(J1543&lt;=10,'Configuración'!$B$23,IF(J1543&lt;=50,'Configuración'!$B$24,IF(J1543&lt;=200,'Configuración'!$B$25,0))),0))</f>
        <v>4</v>
      </c>
      <c r="T1543" s="37">
        <f>IF(B1543="","",IF(ISNUMBER(SEARCH("information technology",I1543))+ISNUMBER(SEARCH("software",I1543))+ISNUMBER(SEARCH("internet",I1543))+ISNUMBER(SEARCH("computer",I1543))+ISNUMBER(SEARCH("saas",I1543))+ISNUMBER(SEARCH("fintech",I1543))+ISNUMBER(SEARCH("information services",I1543))+ISNUMBER(SEARCH("telecommunications",I1543))&gt;0,'Configuración'!$B$27,'Configuración'!$B$28))</f>
        <v>4</v>
      </c>
      <c r="U1543" s="25">
        <f>IF(B1543="","",IF(ISNUMBER(SEARCH("CEO",C1543))+ISNUMBER(SEARCH("Founder",C1543))+ISNUMBER(SEARCH("Owner",C1543))+ISNUMBER(SEARCH("Dueño",C1543))+ISNUMBER(SEARCH("Director General",C1543))+ISNUMBER(SEARCH("Presidente",C1543))+ISNUMBER(SEARCH("President",C1543))&gt;0,'Configuración'!$B$31,IF(ISNUMBER(SEARCH("CMO",C1543))+ISNUMBER(SEARCH("Chief Marketing",C1543))+ISNUMBER(SEARCH("VP Marketing",C1543))+ISNUMBER(SEARCH("Director de Marketing",C1543))+ISNUMBER(SEARCH("Director Marketing",C1543))+ISNUMBER(SEARCH("Head of Marketing",C1543))+ISNUMBER(SEARCH("Head Marketing",C1543))&gt;0,'Configuración'!$B$32,IF(ISNUMBER(SEARCH("Marketing Manager",C1543))+ISNUMBER(SEARCH("Gerente de Marketing",C1543))+ISNUMBER(SEARCH("Growth Manager",C1543))+ISNUMBER(SEARCH("Demand Gen",C1543))+ISNUMBER(SEARCH("Marketing Lead",C1543))&gt;0,'Configuración'!$B$33,IF(ISNUMBER(SEARCH("COO",C1543))+ISNUMBER(SEARCH("CFO",C1543))+ISNUMBER(SEARCH("CTO",C1543))+ISNUMBER(SEARCH("Chief Operating",C1543))+ISNUMBER(SEARCH("Chief Financial",C1543))+ISNUMBER(SEARCH("Gerente General",C1543))+ISNUMBER(SEARCH("General Manager",C1543))&gt;0,'Configuración'!$B$34,'Configuración'!$B$35)))))</f>
        <v>0</v>
      </c>
      <c r="V1543" s="38">
        <f>IF(B1543="","",IF(K1543="Sí",'Configuración'!$B$5,0)+IF(L1543="Semanal",'Configuración'!$B$6,IF(L1543="Mensual",'Configuración'!$B$7,0))+IF(M1543="Sí",'Configuración'!$B$8,0)+IF(N1543="Sí",'Configuración'!$B$9,0)+IF(O1543="Sí",'Configuración'!$B$10,0)+IF(P1543="Sí",'Configuración'!$B$11,0)+IF(Q1543="Sí",'Configuración'!$B$12,0)+S1543+T1543+U1543)</f>
        <v>8</v>
      </c>
      <c r="W1543" s="39" t="str">
        <f>IF(B1543="","",IF(V1543&gt;='Configuración'!$B$19,"A",IF(V1543&gt;='Configuración'!$B$20,"B",IF(V1543&gt;='Configuración'!$B$21,"C","Descarte"))))</f>
        <v>Descarte</v>
      </c>
    </row>
    <row r="1544" ht="15.75" customHeight="1">
      <c r="A1544" s="34">
        <f t="shared" si="1"/>
        <v>1542</v>
      </c>
      <c r="B1544" s="29" t="s">
        <v>1079</v>
      </c>
      <c r="C1544" s="29" t="s">
        <v>487</v>
      </c>
      <c r="D1544" s="29" t="s">
        <v>8694</v>
      </c>
      <c r="E1544" s="29" t="s">
        <v>8695</v>
      </c>
      <c r="F1544" s="30" t="s">
        <v>8696</v>
      </c>
      <c r="G1544" s="30" t="s">
        <v>8697</v>
      </c>
      <c r="H1544" s="42" t="s">
        <v>8698</v>
      </c>
      <c r="I1544" s="29" t="s">
        <v>317</v>
      </c>
      <c r="J1544" s="31">
        <v>14.0</v>
      </c>
      <c r="K1544" s="35"/>
      <c r="L1544" s="35"/>
      <c r="M1544" s="35"/>
      <c r="N1544" s="35"/>
      <c r="O1544" s="35"/>
      <c r="P1544" s="35"/>
      <c r="Q1544" s="35"/>
      <c r="R1544" s="35"/>
      <c r="S1544" s="37">
        <f>IF(B1544="","",IF(ISNUMBER(J1544),IF(J1544&lt;=10,'Configuración'!$B$23,IF(J1544&lt;=50,'Configuración'!$B$24,IF(J1544&lt;=200,'Configuración'!$B$25,0))),0))</f>
        <v>4</v>
      </c>
      <c r="T1544" s="37">
        <f>IF(B1544="","",IF(ISNUMBER(SEARCH("information technology",I1544))+ISNUMBER(SEARCH("software",I1544))+ISNUMBER(SEARCH("internet",I1544))+ISNUMBER(SEARCH("computer",I1544))+ISNUMBER(SEARCH("saas",I1544))+ISNUMBER(SEARCH("fintech",I1544))+ISNUMBER(SEARCH("information services",I1544))+ISNUMBER(SEARCH("telecommunications",I1544))&gt;0,'Configuración'!$B$27,'Configuración'!$B$28))</f>
        <v>4</v>
      </c>
      <c r="U1544" s="25">
        <f>IF(B1544="","",IF(ISNUMBER(SEARCH("CEO",C1544))+ISNUMBER(SEARCH("Founder",C1544))+ISNUMBER(SEARCH("Owner",C1544))+ISNUMBER(SEARCH("Dueño",C1544))+ISNUMBER(SEARCH("Director General",C1544))+ISNUMBER(SEARCH("Presidente",C1544))+ISNUMBER(SEARCH("President",C1544))&gt;0,'Configuración'!$B$31,IF(ISNUMBER(SEARCH("CMO",C1544))+ISNUMBER(SEARCH("Chief Marketing",C1544))+ISNUMBER(SEARCH("VP Marketing",C1544))+ISNUMBER(SEARCH("Director de Marketing",C1544))+ISNUMBER(SEARCH("Director Marketing",C1544))+ISNUMBER(SEARCH("Head of Marketing",C1544))+ISNUMBER(SEARCH("Head Marketing",C1544))&gt;0,'Configuración'!$B$32,IF(ISNUMBER(SEARCH("Marketing Manager",C1544))+ISNUMBER(SEARCH("Gerente de Marketing",C1544))+ISNUMBER(SEARCH("Growth Manager",C1544))+ISNUMBER(SEARCH("Demand Gen",C1544))+ISNUMBER(SEARCH("Marketing Lead",C1544))&gt;0,'Configuración'!$B$33,IF(ISNUMBER(SEARCH("COO",C1544))+ISNUMBER(SEARCH("CFO",C1544))+ISNUMBER(SEARCH("CTO",C1544))+ISNUMBER(SEARCH("Chief Operating",C1544))+ISNUMBER(SEARCH("Chief Financial",C1544))+ISNUMBER(SEARCH("Gerente General",C1544))+ISNUMBER(SEARCH("General Manager",C1544))&gt;0,'Configuración'!$B$34,'Configuración'!$B$35)))))</f>
        <v>12</v>
      </c>
      <c r="V1544" s="38">
        <f>IF(B1544="","",IF(K1544="Sí",'Configuración'!$B$5,0)+IF(L1544="Semanal",'Configuración'!$B$6,IF(L1544="Mensual",'Configuración'!$B$7,0))+IF(M1544="Sí",'Configuración'!$B$8,0)+IF(N1544="Sí",'Configuración'!$B$9,0)+IF(O1544="Sí",'Configuración'!$B$10,0)+IF(P1544="Sí",'Configuración'!$B$11,0)+IF(Q1544="Sí",'Configuración'!$B$12,0)+S1544+T1544+U1544)</f>
        <v>20</v>
      </c>
      <c r="W1544" s="39" t="str">
        <f>IF(B1544="","",IF(V1544&gt;='Configuración'!$B$19,"A",IF(V1544&gt;='Configuración'!$B$20,"B",IF(V1544&gt;='Configuración'!$B$21,"C","Descarte"))))</f>
        <v>Descarte</v>
      </c>
    </row>
    <row r="1545" ht="15.75" customHeight="1">
      <c r="A1545" s="34">
        <f t="shared" si="1"/>
        <v>1543</v>
      </c>
      <c r="B1545" s="29" t="s">
        <v>8699</v>
      </c>
      <c r="C1545" s="29" t="s">
        <v>8700</v>
      </c>
      <c r="D1545" s="29" t="s">
        <v>8701</v>
      </c>
      <c r="E1545" s="29" t="s">
        <v>8702</v>
      </c>
      <c r="F1545" s="30" t="s">
        <v>8703</v>
      </c>
      <c r="G1545" s="30" t="s">
        <v>8704</v>
      </c>
      <c r="H1545" s="42" t="s">
        <v>8705</v>
      </c>
      <c r="I1545" s="29" t="s">
        <v>127</v>
      </c>
      <c r="J1545" s="31">
        <v>7.0</v>
      </c>
      <c r="K1545" s="35"/>
      <c r="L1545" s="35"/>
      <c r="M1545" s="35"/>
      <c r="N1545" s="35"/>
      <c r="O1545" s="35"/>
      <c r="P1545" s="35"/>
      <c r="Q1545" s="35"/>
      <c r="R1545" s="35"/>
      <c r="S1545" s="37">
        <f>IF(B1545="","",IF(ISNUMBER(J1545),IF(J1545&lt;=10,'Configuración'!$B$23,IF(J1545&lt;=50,'Configuración'!$B$24,IF(J1545&lt;=200,'Configuración'!$B$25,0))),0))</f>
        <v>12</v>
      </c>
      <c r="T1545" s="37">
        <f>IF(B1545="","",IF(ISNUMBER(SEARCH("information technology",I1545))+ISNUMBER(SEARCH("software",I1545))+ISNUMBER(SEARCH("internet",I1545))+ISNUMBER(SEARCH("computer",I1545))+ISNUMBER(SEARCH("saas",I1545))+ISNUMBER(SEARCH("fintech",I1545))+ISNUMBER(SEARCH("information services",I1545))+ISNUMBER(SEARCH("telecommunications",I1545))&gt;0,'Configuración'!$B$27,'Configuración'!$B$28))</f>
        <v>12</v>
      </c>
      <c r="U1545" s="25">
        <f>IF(B1545="","",IF(ISNUMBER(SEARCH("CEO",C1545))+ISNUMBER(SEARCH("Founder",C1545))+ISNUMBER(SEARCH("Owner",C1545))+ISNUMBER(SEARCH("Dueño",C1545))+ISNUMBER(SEARCH("Director General",C1545))+ISNUMBER(SEARCH("Presidente",C1545))+ISNUMBER(SEARCH("President",C1545))&gt;0,'Configuración'!$B$31,IF(ISNUMBER(SEARCH("CMO",C1545))+ISNUMBER(SEARCH("Chief Marketing",C1545))+ISNUMBER(SEARCH("VP Marketing",C1545))+ISNUMBER(SEARCH("Director de Marketing",C1545))+ISNUMBER(SEARCH("Director Marketing",C1545))+ISNUMBER(SEARCH("Head of Marketing",C1545))+ISNUMBER(SEARCH("Head Marketing",C1545))&gt;0,'Configuración'!$B$32,IF(ISNUMBER(SEARCH("Marketing Manager",C1545))+ISNUMBER(SEARCH("Gerente de Marketing",C1545))+ISNUMBER(SEARCH("Growth Manager",C1545))+ISNUMBER(SEARCH("Demand Gen",C1545))+ISNUMBER(SEARCH("Marketing Lead",C1545))&gt;0,'Configuración'!$B$33,IF(ISNUMBER(SEARCH("COO",C1545))+ISNUMBER(SEARCH("CFO",C1545))+ISNUMBER(SEARCH("CTO",C1545))+ISNUMBER(SEARCH("Chief Operating",C1545))+ISNUMBER(SEARCH("Chief Financial",C1545))+ISNUMBER(SEARCH("Gerente General",C1545))+ISNUMBER(SEARCH("General Manager",C1545))&gt;0,'Configuración'!$B$34,'Configuración'!$B$35)))))</f>
        <v>12</v>
      </c>
      <c r="V1545" s="38">
        <f>IF(B1545="","",IF(K1545="Sí",'Configuración'!$B$5,0)+IF(L1545="Semanal",'Configuración'!$B$6,IF(L1545="Mensual",'Configuración'!$B$7,0))+IF(M1545="Sí",'Configuración'!$B$8,0)+IF(N1545="Sí",'Configuración'!$B$9,0)+IF(O1545="Sí",'Configuración'!$B$10,0)+IF(P1545="Sí",'Configuración'!$B$11,0)+IF(Q1545="Sí",'Configuración'!$B$12,0)+S1545+T1545+U1545)</f>
        <v>36</v>
      </c>
      <c r="W1545" s="39" t="str">
        <f>IF(B1545="","",IF(V1545&gt;='Configuración'!$B$19,"A",IF(V1545&gt;='Configuración'!$B$20,"B",IF(V1545&gt;='Configuración'!$B$21,"C","Descarte"))))</f>
        <v>C</v>
      </c>
    </row>
    <row r="1546" ht="15.75" customHeight="1">
      <c r="A1546" s="34">
        <f t="shared" si="1"/>
        <v>1544</v>
      </c>
      <c r="B1546" s="29" t="s">
        <v>1548</v>
      </c>
      <c r="C1546" s="29" t="s">
        <v>8706</v>
      </c>
      <c r="D1546" s="29" t="s">
        <v>1956</v>
      </c>
      <c r="E1546" s="29" t="s">
        <v>8707</v>
      </c>
      <c r="F1546" s="30" t="s">
        <v>8708</v>
      </c>
      <c r="G1546" s="30" t="s">
        <v>1959</v>
      </c>
      <c r="H1546" s="42" t="s">
        <v>1960</v>
      </c>
      <c r="I1546" s="29" t="s">
        <v>450</v>
      </c>
      <c r="J1546" s="31">
        <v>3.0</v>
      </c>
      <c r="K1546" s="35"/>
      <c r="L1546" s="35"/>
      <c r="M1546" s="35"/>
      <c r="N1546" s="35"/>
      <c r="O1546" s="35"/>
      <c r="P1546" s="35"/>
      <c r="Q1546" s="35"/>
      <c r="R1546" s="35"/>
      <c r="S1546" s="37">
        <f>IF(B1546="","",IF(ISNUMBER(J1546),IF(J1546&lt;=10,'Configuración'!$B$23,IF(J1546&lt;=50,'Configuración'!$B$24,IF(J1546&lt;=200,'Configuración'!$B$25,0))),0))</f>
        <v>12</v>
      </c>
      <c r="T1546" s="37">
        <f>IF(B1546="","",IF(ISNUMBER(SEARCH("information technology",I1546))+ISNUMBER(SEARCH("software",I1546))+ISNUMBER(SEARCH("internet",I1546))+ISNUMBER(SEARCH("computer",I1546))+ISNUMBER(SEARCH("saas",I1546))+ISNUMBER(SEARCH("fintech",I1546))+ISNUMBER(SEARCH("information services",I1546))+ISNUMBER(SEARCH("telecommunications",I1546))&gt;0,'Configuración'!$B$27,'Configuración'!$B$28))</f>
        <v>12</v>
      </c>
      <c r="U1546" s="25">
        <f>IF(B1546="","",IF(ISNUMBER(SEARCH("CEO",C1546))+ISNUMBER(SEARCH("Founder",C1546))+ISNUMBER(SEARCH("Owner",C1546))+ISNUMBER(SEARCH("Dueño",C1546))+ISNUMBER(SEARCH("Director General",C1546))+ISNUMBER(SEARCH("Presidente",C1546))+ISNUMBER(SEARCH("President",C1546))&gt;0,'Configuración'!$B$31,IF(ISNUMBER(SEARCH("CMO",C1546))+ISNUMBER(SEARCH("Chief Marketing",C1546))+ISNUMBER(SEARCH("VP Marketing",C1546))+ISNUMBER(SEARCH("Director de Marketing",C1546))+ISNUMBER(SEARCH("Director Marketing",C1546))+ISNUMBER(SEARCH("Head of Marketing",C1546))+ISNUMBER(SEARCH("Head Marketing",C1546))&gt;0,'Configuración'!$B$32,IF(ISNUMBER(SEARCH("Marketing Manager",C1546))+ISNUMBER(SEARCH("Gerente de Marketing",C1546))+ISNUMBER(SEARCH("Growth Manager",C1546))+ISNUMBER(SEARCH("Demand Gen",C1546))+ISNUMBER(SEARCH("Marketing Lead",C1546))&gt;0,'Configuración'!$B$33,IF(ISNUMBER(SEARCH("COO",C1546))+ISNUMBER(SEARCH("CFO",C1546))+ISNUMBER(SEARCH("CTO",C1546))+ISNUMBER(SEARCH("Chief Operating",C1546))+ISNUMBER(SEARCH("Chief Financial",C1546))+ISNUMBER(SEARCH("Gerente General",C1546))+ISNUMBER(SEARCH("General Manager",C1546))&gt;0,'Configuración'!$B$34,'Configuración'!$B$35)))))</f>
        <v>12</v>
      </c>
      <c r="V1546" s="38">
        <f>IF(B1546="","",IF(K1546="Sí",'Configuración'!$B$5,0)+IF(L1546="Semanal",'Configuración'!$B$6,IF(L1546="Mensual",'Configuración'!$B$7,0))+IF(M1546="Sí",'Configuración'!$B$8,0)+IF(N1546="Sí",'Configuración'!$B$9,0)+IF(O1546="Sí",'Configuración'!$B$10,0)+IF(P1546="Sí",'Configuración'!$B$11,0)+IF(Q1546="Sí",'Configuración'!$B$12,0)+S1546+T1546+U1546)</f>
        <v>36</v>
      </c>
      <c r="W1546" s="39" t="str">
        <f>IF(B1546="","",IF(V1546&gt;='Configuración'!$B$19,"A",IF(V1546&gt;='Configuración'!$B$20,"B",IF(V1546&gt;='Configuración'!$B$21,"C","Descarte"))))</f>
        <v>C</v>
      </c>
    </row>
    <row r="1547" ht="15.75" customHeight="1">
      <c r="A1547" s="34">
        <f t="shared" si="1"/>
        <v>1545</v>
      </c>
      <c r="B1547" s="29" t="s">
        <v>130</v>
      </c>
      <c r="C1547" s="29" t="s">
        <v>8709</v>
      </c>
      <c r="D1547" s="29" t="s">
        <v>8710</v>
      </c>
      <c r="E1547" s="29" t="s">
        <v>8711</v>
      </c>
      <c r="F1547" s="30" t="s">
        <v>8712</v>
      </c>
      <c r="G1547" s="30" t="s">
        <v>8713</v>
      </c>
      <c r="H1547" s="42" t="s">
        <v>8714</v>
      </c>
      <c r="I1547" s="29" t="s">
        <v>188</v>
      </c>
      <c r="J1547" s="31">
        <v>10.0</v>
      </c>
      <c r="K1547" s="35"/>
      <c r="L1547" s="35"/>
      <c r="M1547" s="35"/>
      <c r="N1547" s="35"/>
      <c r="O1547" s="35"/>
      <c r="P1547" s="35"/>
      <c r="Q1547" s="35"/>
      <c r="R1547" s="35"/>
      <c r="S1547" s="37">
        <f>IF(B1547="","",IF(ISNUMBER(J1547),IF(J1547&lt;=10,'Configuración'!$B$23,IF(J1547&lt;=50,'Configuración'!$B$24,IF(J1547&lt;=200,'Configuración'!$B$25,0))),0))</f>
        <v>12</v>
      </c>
      <c r="T1547" s="37">
        <f>IF(B1547="","",IF(ISNUMBER(SEARCH("information technology",I1547))+ISNUMBER(SEARCH("software",I1547))+ISNUMBER(SEARCH("internet",I1547))+ISNUMBER(SEARCH("computer",I1547))+ISNUMBER(SEARCH("saas",I1547))+ISNUMBER(SEARCH("fintech",I1547))+ISNUMBER(SEARCH("information services",I1547))+ISNUMBER(SEARCH("telecommunications",I1547))&gt;0,'Configuración'!$B$27,'Configuración'!$B$28))</f>
        <v>4</v>
      </c>
      <c r="U1547" s="25">
        <f>IF(B1547="","",IF(ISNUMBER(SEARCH("CEO",C1547))+ISNUMBER(SEARCH("Founder",C1547))+ISNUMBER(SEARCH("Owner",C1547))+ISNUMBER(SEARCH("Dueño",C1547))+ISNUMBER(SEARCH("Director General",C1547))+ISNUMBER(SEARCH("Presidente",C1547))+ISNUMBER(SEARCH("President",C1547))&gt;0,'Configuración'!$B$31,IF(ISNUMBER(SEARCH("CMO",C1547))+ISNUMBER(SEARCH("Chief Marketing",C1547))+ISNUMBER(SEARCH("VP Marketing",C1547))+ISNUMBER(SEARCH("Director de Marketing",C1547))+ISNUMBER(SEARCH("Director Marketing",C1547))+ISNUMBER(SEARCH("Head of Marketing",C1547))+ISNUMBER(SEARCH("Head Marketing",C1547))&gt;0,'Configuración'!$B$32,IF(ISNUMBER(SEARCH("Marketing Manager",C1547))+ISNUMBER(SEARCH("Gerente de Marketing",C1547))+ISNUMBER(SEARCH("Growth Manager",C1547))+ISNUMBER(SEARCH("Demand Gen",C1547))+ISNUMBER(SEARCH("Marketing Lead",C1547))&gt;0,'Configuración'!$B$33,IF(ISNUMBER(SEARCH("COO",C1547))+ISNUMBER(SEARCH("CFO",C1547))+ISNUMBER(SEARCH("CTO",C1547))+ISNUMBER(SEARCH("Chief Operating",C1547))+ISNUMBER(SEARCH("Chief Financial",C1547))+ISNUMBER(SEARCH("Gerente General",C1547))+ISNUMBER(SEARCH("General Manager",C1547))&gt;0,'Configuración'!$B$34,'Configuración'!$B$35)))))</f>
        <v>12</v>
      </c>
      <c r="V1547" s="38">
        <f>IF(B1547="","",IF(K1547="Sí",'Configuración'!$B$5,0)+IF(L1547="Semanal",'Configuración'!$B$6,IF(L1547="Mensual",'Configuración'!$B$7,0))+IF(M1547="Sí",'Configuración'!$B$8,0)+IF(N1547="Sí",'Configuración'!$B$9,0)+IF(O1547="Sí",'Configuración'!$B$10,0)+IF(P1547="Sí",'Configuración'!$B$11,0)+IF(Q1547="Sí",'Configuración'!$B$12,0)+S1547+T1547+U1547)</f>
        <v>28</v>
      </c>
      <c r="W1547" s="39" t="str">
        <f>IF(B1547="","",IF(V1547&gt;='Configuración'!$B$19,"A",IF(V1547&gt;='Configuración'!$B$20,"B",IF(V1547&gt;='Configuración'!$B$21,"C","Descarte"))))</f>
        <v>C</v>
      </c>
    </row>
    <row r="1548" ht="15.75" customHeight="1">
      <c r="A1548" s="34">
        <f t="shared" si="1"/>
        <v>1546</v>
      </c>
      <c r="B1548" s="29" t="s">
        <v>1510</v>
      </c>
      <c r="C1548" s="29" t="s">
        <v>131</v>
      </c>
      <c r="D1548" s="29" t="s">
        <v>8715</v>
      </c>
      <c r="E1548" s="29" t="s">
        <v>8716</v>
      </c>
      <c r="F1548" s="30" t="s">
        <v>8717</v>
      </c>
      <c r="G1548" s="30" t="s">
        <v>8718</v>
      </c>
      <c r="H1548" s="42" t="s">
        <v>8719</v>
      </c>
      <c r="I1548" s="29" t="s">
        <v>222</v>
      </c>
      <c r="J1548" s="31">
        <v>5.0</v>
      </c>
      <c r="K1548" s="35"/>
      <c r="L1548" s="35"/>
      <c r="M1548" s="35"/>
      <c r="N1548" s="35"/>
      <c r="O1548" s="35"/>
      <c r="P1548" s="35"/>
      <c r="Q1548" s="35"/>
      <c r="R1548" s="35"/>
      <c r="S1548" s="37">
        <f>IF(B1548="","",IF(ISNUMBER(J1548),IF(J1548&lt;=10,'Configuración'!$B$23,IF(J1548&lt;=50,'Configuración'!$B$24,IF(J1548&lt;=200,'Configuración'!$B$25,0))),0))</f>
        <v>12</v>
      </c>
      <c r="T1548" s="37">
        <f>IF(B1548="","",IF(ISNUMBER(SEARCH("information technology",I1548))+ISNUMBER(SEARCH("software",I1548))+ISNUMBER(SEARCH("internet",I1548))+ISNUMBER(SEARCH("computer",I1548))+ISNUMBER(SEARCH("saas",I1548))+ISNUMBER(SEARCH("fintech",I1548))+ISNUMBER(SEARCH("information services",I1548))+ISNUMBER(SEARCH("telecommunications",I1548))&gt;0,'Configuración'!$B$27,'Configuración'!$B$28))</f>
        <v>4</v>
      </c>
      <c r="U1548" s="25">
        <f>IF(B1548="","",IF(ISNUMBER(SEARCH("CEO",C1548))+ISNUMBER(SEARCH("Founder",C1548))+ISNUMBER(SEARCH("Owner",C1548))+ISNUMBER(SEARCH("Dueño",C1548))+ISNUMBER(SEARCH("Director General",C1548))+ISNUMBER(SEARCH("Presidente",C1548))+ISNUMBER(SEARCH("President",C1548))&gt;0,'Configuración'!$B$31,IF(ISNUMBER(SEARCH("CMO",C1548))+ISNUMBER(SEARCH("Chief Marketing",C1548))+ISNUMBER(SEARCH("VP Marketing",C1548))+ISNUMBER(SEARCH("Director de Marketing",C1548))+ISNUMBER(SEARCH("Director Marketing",C1548))+ISNUMBER(SEARCH("Head of Marketing",C1548))+ISNUMBER(SEARCH("Head Marketing",C1548))&gt;0,'Configuración'!$B$32,IF(ISNUMBER(SEARCH("Marketing Manager",C1548))+ISNUMBER(SEARCH("Gerente de Marketing",C1548))+ISNUMBER(SEARCH("Growth Manager",C1548))+ISNUMBER(SEARCH("Demand Gen",C1548))+ISNUMBER(SEARCH("Marketing Lead",C1548))&gt;0,'Configuración'!$B$33,IF(ISNUMBER(SEARCH("COO",C1548))+ISNUMBER(SEARCH("CFO",C1548))+ISNUMBER(SEARCH("CTO",C1548))+ISNUMBER(SEARCH("Chief Operating",C1548))+ISNUMBER(SEARCH("Chief Financial",C1548))+ISNUMBER(SEARCH("Gerente General",C1548))+ISNUMBER(SEARCH("General Manager",C1548))&gt;0,'Configuración'!$B$34,'Configuración'!$B$35)))))</f>
        <v>12</v>
      </c>
      <c r="V1548" s="38">
        <f>IF(B1548="","",IF(K1548="Sí",'Configuración'!$B$5,0)+IF(L1548="Semanal",'Configuración'!$B$6,IF(L1548="Mensual",'Configuración'!$B$7,0))+IF(M1548="Sí",'Configuración'!$B$8,0)+IF(N1548="Sí",'Configuración'!$B$9,0)+IF(O1548="Sí",'Configuración'!$B$10,0)+IF(P1548="Sí",'Configuración'!$B$11,0)+IF(Q1548="Sí",'Configuración'!$B$12,0)+S1548+T1548+U1548)</f>
        <v>28</v>
      </c>
      <c r="W1548" s="39" t="str">
        <f>IF(B1548="","",IF(V1548&gt;='Configuración'!$B$19,"A",IF(V1548&gt;='Configuración'!$B$20,"B",IF(V1548&gt;='Configuración'!$B$21,"C","Descarte"))))</f>
        <v>C</v>
      </c>
    </row>
    <row r="1549" ht="15.75" customHeight="1">
      <c r="A1549" s="34">
        <f t="shared" si="1"/>
        <v>1547</v>
      </c>
      <c r="B1549" s="29" t="s">
        <v>1821</v>
      </c>
      <c r="C1549" s="29" t="s">
        <v>8720</v>
      </c>
      <c r="D1549" s="29" t="s">
        <v>8721</v>
      </c>
      <c r="E1549" s="29" t="s">
        <v>8722</v>
      </c>
      <c r="F1549" s="30" t="s">
        <v>8723</v>
      </c>
      <c r="G1549" s="30" t="s">
        <v>8724</v>
      </c>
      <c r="H1549" s="42" t="s">
        <v>8725</v>
      </c>
      <c r="I1549" s="29" t="s">
        <v>350</v>
      </c>
      <c r="J1549" s="31">
        <v>23.0</v>
      </c>
      <c r="K1549" s="35"/>
      <c r="L1549" s="35"/>
      <c r="M1549" s="35"/>
      <c r="N1549" s="35"/>
      <c r="O1549" s="35"/>
      <c r="P1549" s="35"/>
      <c r="Q1549" s="35"/>
      <c r="R1549" s="35"/>
      <c r="S1549" s="37">
        <f>IF(B1549="","",IF(ISNUMBER(J1549),IF(J1549&lt;=10,'Configuración'!$B$23,IF(J1549&lt;=50,'Configuración'!$B$24,IF(J1549&lt;=200,'Configuración'!$B$25,0))),0))</f>
        <v>4</v>
      </c>
      <c r="T1549" s="37">
        <f>IF(B1549="","",IF(ISNUMBER(SEARCH("information technology",I1549))+ISNUMBER(SEARCH("software",I1549))+ISNUMBER(SEARCH("internet",I1549))+ISNUMBER(SEARCH("computer",I1549))+ISNUMBER(SEARCH("saas",I1549))+ISNUMBER(SEARCH("fintech",I1549))+ISNUMBER(SEARCH("information services",I1549))+ISNUMBER(SEARCH("telecommunications",I1549))&gt;0,'Configuración'!$B$27,'Configuración'!$B$28))</f>
        <v>4</v>
      </c>
      <c r="U1549" s="25">
        <f>IF(B1549="","",IF(ISNUMBER(SEARCH("CEO",C1549))+ISNUMBER(SEARCH("Founder",C1549))+ISNUMBER(SEARCH("Owner",C1549))+ISNUMBER(SEARCH("Dueño",C1549))+ISNUMBER(SEARCH("Director General",C1549))+ISNUMBER(SEARCH("Presidente",C1549))+ISNUMBER(SEARCH("President",C1549))&gt;0,'Configuración'!$B$31,IF(ISNUMBER(SEARCH("CMO",C1549))+ISNUMBER(SEARCH("Chief Marketing",C1549))+ISNUMBER(SEARCH("VP Marketing",C1549))+ISNUMBER(SEARCH("Director de Marketing",C1549))+ISNUMBER(SEARCH("Director Marketing",C1549))+ISNUMBER(SEARCH("Head of Marketing",C1549))+ISNUMBER(SEARCH("Head Marketing",C1549))&gt;0,'Configuración'!$B$32,IF(ISNUMBER(SEARCH("Marketing Manager",C1549))+ISNUMBER(SEARCH("Gerente de Marketing",C1549))+ISNUMBER(SEARCH("Growth Manager",C1549))+ISNUMBER(SEARCH("Demand Gen",C1549))+ISNUMBER(SEARCH("Marketing Lead",C1549))&gt;0,'Configuración'!$B$33,IF(ISNUMBER(SEARCH("COO",C1549))+ISNUMBER(SEARCH("CFO",C1549))+ISNUMBER(SEARCH("CTO",C1549))+ISNUMBER(SEARCH("Chief Operating",C1549))+ISNUMBER(SEARCH("Chief Financial",C1549))+ISNUMBER(SEARCH("Gerente General",C1549))+ISNUMBER(SEARCH("General Manager",C1549))&gt;0,'Configuración'!$B$34,'Configuración'!$B$35)))))</f>
        <v>4</v>
      </c>
      <c r="V1549" s="38">
        <f>IF(B1549="","",IF(K1549="Sí",'Configuración'!$B$5,0)+IF(L1549="Semanal",'Configuración'!$B$6,IF(L1549="Mensual",'Configuración'!$B$7,0))+IF(M1549="Sí",'Configuración'!$B$8,0)+IF(N1549="Sí",'Configuración'!$B$9,0)+IF(O1549="Sí",'Configuración'!$B$10,0)+IF(P1549="Sí",'Configuración'!$B$11,0)+IF(Q1549="Sí",'Configuración'!$B$12,0)+S1549+T1549+U1549)</f>
        <v>12</v>
      </c>
      <c r="W1549" s="39" t="str">
        <f>IF(B1549="","",IF(V1549&gt;='Configuración'!$B$19,"A",IF(V1549&gt;='Configuración'!$B$20,"B",IF(V1549&gt;='Configuración'!$B$21,"C","Descarte"))))</f>
        <v>Descarte</v>
      </c>
    </row>
    <row r="1550" ht="15.75" customHeight="1">
      <c r="A1550" s="34">
        <f t="shared" si="1"/>
        <v>1548</v>
      </c>
      <c r="B1550" s="29" t="s">
        <v>236</v>
      </c>
      <c r="C1550" s="29" t="s">
        <v>121</v>
      </c>
      <c r="D1550" s="29" t="s">
        <v>8726</v>
      </c>
      <c r="E1550" s="29" t="s">
        <v>8727</v>
      </c>
      <c r="F1550" s="30" t="s">
        <v>8728</v>
      </c>
      <c r="G1550" s="30" t="s">
        <v>8729</v>
      </c>
      <c r="H1550" s="42" t="s">
        <v>8730</v>
      </c>
      <c r="I1550" s="29" t="s">
        <v>127</v>
      </c>
      <c r="J1550" s="31">
        <v>13.0</v>
      </c>
      <c r="K1550" s="35"/>
      <c r="L1550" s="35"/>
      <c r="M1550" s="35"/>
      <c r="N1550" s="35"/>
      <c r="O1550" s="35"/>
      <c r="P1550" s="35"/>
      <c r="Q1550" s="35"/>
      <c r="R1550" s="35"/>
      <c r="S1550" s="37">
        <f>IF(B1550="","",IF(ISNUMBER(J1550),IF(J1550&lt;=10,'Configuración'!$B$23,IF(J1550&lt;=50,'Configuración'!$B$24,IF(J1550&lt;=200,'Configuración'!$B$25,0))),0))</f>
        <v>4</v>
      </c>
      <c r="T1550" s="37">
        <f>IF(B1550="","",IF(ISNUMBER(SEARCH("information technology",I1550))+ISNUMBER(SEARCH("software",I1550))+ISNUMBER(SEARCH("internet",I1550))+ISNUMBER(SEARCH("computer",I1550))+ISNUMBER(SEARCH("saas",I1550))+ISNUMBER(SEARCH("fintech",I1550))+ISNUMBER(SEARCH("information services",I1550))+ISNUMBER(SEARCH("telecommunications",I1550))&gt;0,'Configuración'!$B$27,'Configuración'!$B$28))</f>
        <v>12</v>
      </c>
      <c r="U1550" s="25">
        <f>IF(B1550="","",IF(ISNUMBER(SEARCH("CEO",C1550))+ISNUMBER(SEARCH("Founder",C1550))+ISNUMBER(SEARCH("Owner",C1550))+ISNUMBER(SEARCH("Dueño",C1550))+ISNUMBER(SEARCH("Director General",C1550))+ISNUMBER(SEARCH("Presidente",C1550))+ISNUMBER(SEARCH("President",C1550))&gt;0,'Configuración'!$B$31,IF(ISNUMBER(SEARCH("CMO",C1550))+ISNUMBER(SEARCH("Chief Marketing",C1550))+ISNUMBER(SEARCH("VP Marketing",C1550))+ISNUMBER(SEARCH("Director de Marketing",C1550))+ISNUMBER(SEARCH("Director Marketing",C1550))+ISNUMBER(SEARCH("Head of Marketing",C1550))+ISNUMBER(SEARCH("Head Marketing",C1550))&gt;0,'Configuración'!$B$32,IF(ISNUMBER(SEARCH("Marketing Manager",C1550))+ISNUMBER(SEARCH("Gerente de Marketing",C1550))+ISNUMBER(SEARCH("Growth Manager",C1550))+ISNUMBER(SEARCH("Demand Gen",C1550))+ISNUMBER(SEARCH("Marketing Lead",C1550))&gt;0,'Configuración'!$B$33,IF(ISNUMBER(SEARCH("COO",C1550))+ISNUMBER(SEARCH("CFO",C1550))+ISNUMBER(SEARCH("CTO",C1550))+ISNUMBER(SEARCH("Chief Operating",C1550))+ISNUMBER(SEARCH("Chief Financial",C1550))+ISNUMBER(SEARCH("Gerente General",C1550))+ISNUMBER(SEARCH("General Manager",C1550))&gt;0,'Configuración'!$B$34,'Configuración'!$B$35)))))</f>
        <v>12</v>
      </c>
      <c r="V1550" s="38">
        <f>IF(B1550="","",IF(K1550="Sí",'Configuración'!$B$5,0)+IF(L1550="Semanal",'Configuración'!$B$6,IF(L1550="Mensual",'Configuración'!$B$7,0))+IF(M1550="Sí",'Configuración'!$B$8,0)+IF(N1550="Sí",'Configuración'!$B$9,0)+IF(O1550="Sí",'Configuración'!$B$10,0)+IF(P1550="Sí",'Configuración'!$B$11,0)+IF(Q1550="Sí",'Configuración'!$B$12,0)+S1550+T1550+U1550)</f>
        <v>28</v>
      </c>
      <c r="W1550" s="39" t="str">
        <f>IF(B1550="","",IF(V1550&gt;='Configuración'!$B$19,"A",IF(V1550&gt;='Configuración'!$B$20,"B",IF(V1550&gt;='Configuración'!$B$21,"C","Descarte"))))</f>
        <v>C</v>
      </c>
    </row>
    <row r="1551" ht="15.75" customHeight="1">
      <c r="A1551" s="34">
        <f t="shared" si="1"/>
        <v>1549</v>
      </c>
      <c r="B1551" s="29" t="s">
        <v>8731</v>
      </c>
      <c r="C1551" s="29" t="s">
        <v>110</v>
      </c>
      <c r="D1551" s="29" t="s">
        <v>6934</v>
      </c>
      <c r="E1551" s="29" t="s">
        <v>8732</v>
      </c>
      <c r="F1551" s="30" t="s">
        <v>8733</v>
      </c>
      <c r="G1551" s="30" t="s">
        <v>6937</v>
      </c>
      <c r="H1551" s="42" t="s">
        <v>6938</v>
      </c>
      <c r="I1551" s="29" t="s">
        <v>116</v>
      </c>
      <c r="J1551" s="31">
        <v>11.0</v>
      </c>
      <c r="K1551" s="35"/>
      <c r="L1551" s="35"/>
      <c r="M1551" s="35"/>
      <c r="N1551" s="35"/>
      <c r="O1551" s="35"/>
      <c r="P1551" s="35"/>
      <c r="Q1551" s="35"/>
      <c r="R1551" s="35"/>
      <c r="S1551" s="37">
        <f>IF(B1551="","",IF(ISNUMBER(J1551),IF(J1551&lt;=10,'Configuración'!$B$23,IF(J1551&lt;=50,'Configuración'!$B$24,IF(J1551&lt;=200,'Configuración'!$B$25,0))),0))</f>
        <v>4</v>
      </c>
      <c r="T1551" s="37">
        <f>IF(B1551="","",IF(ISNUMBER(SEARCH("information technology",I1551))+ISNUMBER(SEARCH("software",I1551))+ISNUMBER(SEARCH("internet",I1551))+ISNUMBER(SEARCH("computer",I1551))+ISNUMBER(SEARCH("saas",I1551))+ISNUMBER(SEARCH("fintech",I1551))+ISNUMBER(SEARCH("information services",I1551))+ISNUMBER(SEARCH("telecommunications",I1551))&gt;0,'Configuración'!$B$27,'Configuración'!$B$28))</f>
        <v>4</v>
      </c>
      <c r="U1551" s="25">
        <f>IF(B1551="","",IF(ISNUMBER(SEARCH("CEO",C1551))+ISNUMBER(SEARCH("Founder",C1551))+ISNUMBER(SEARCH("Owner",C1551))+ISNUMBER(SEARCH("Dueño",C1551))+ISNUMBER(SEARCH("Director General",C1551))+ISNUMBER(SEARCH("Presidente",C1551))+ISNUMBER(SEARCH("President",C1551))&gt;0,'Configuración'!$B$31,IF(ISNUMBER(SEARCH("CMO",C1551))+ISNUMBER(SEARCH("Chief Marketing",C1551))+ISNUMBER(SEARCH("VP Marketing",C1551))+ISNUMBER(SEARCH("Director de Marketing",C1551))+ISNUMBER(SEARCH("Director Marketing",C1551))+ISNUMBER(SEARCH("Head of Marketing",C1551))+ISNUMBER(SEARCH("Head Marketing",C1551))&gt;0,'Configuración'!$B$32,IF(ISNUMBER(SEARCH("Marketing Manager",C1551))+ISNUMBER(SEARCH("Gerente de Marketing",C1551))+ISNUMBER(SEARCH("Growth Manager",C1551))+ISNUMBER(SEARCH("Demand Gen",C1551))+ISNUMBER(SEARCH("Marketing Lead",C1551))&gt;0,'Configuración'!$B$33,IF(ISNUMBER(SEARCH("COO",C1551))+ISNUMBER(SEARCH("CFO",C1551))+ISNUMBER(SEARCH("CTO",C1551))+ISNUMBER(SEARCH("Chief Operating",C1551))+ISNUMBER(SEARCH("Chief Financial",C1551))+ISNUMBER(SEARCH("Gerente General",C1551))+ISNUMBER(SEARCH("General Manager",C1551))&gt;0,'Configuración'!$B$34,'Configuración'!$B$35)))))</f>
        <v>12</v>
      </c>
      <c r="V1551" s="38">
        <f>IF(B1551="","",IF(K1551="Sí",'Configuración'!$B$5,0)+IF(L1551="Semanal",'Configuración'!$B$6,IF(L1551="Mensual",'Configuración'!$B$7,0))+IF(M1551="Sí",'Configuración'!$B$8,0)+IF(N1551="Sí",'Configuración'!$B$9,0)+IF(O1551="Sí",'Configuración'!$B$10,0)+IF(P1551="Sí",'Configuración'!$B$11,0)+IF(Q1551="Sí",'Configuración'!$B$12,0)+S1551+T1551+U1551)</f>
        <v>20</v>
      </c>
      <c r="W1551" s="39" t="str">
        <f>IF(B1551="","",IF(V1551&gt;='Configuración'!$B$19,"A",IF(V1551&gt;='Configuración'!$B$20,"B",IF(V1551&gt;='Configuración'!$B$21,"C","Descarte"))))</f>
        <v>Descarte</v>
      </c>
    </row>
    <row r="1552" ht="15.75" customHeight="1">
      <c r="A1552" s="34">
        <f t="shared" si="1"/>
        <v>1550</v>
      </c>
      <c r="B1552" s="29" t="s">
        <v>324</v>
      </c>
      <c r="C1552" s="29" t="s">
        <v>131</v>
      </c>
      <c r="D1552" s="29" t="s">
        <v>8734</v>
      </c>
      <c r="E1552" s="29" t="s">
        <v>8735</v>
      </c>
      <c r="F1552" s="30" t="s">
        <v>8736</v>
      </c>
      <c r="G1552" s="30" t="s">
        <v>8737</v>
      </c>
      <c r="H1552" s="42" t="s">
        <v>8738</v>
      </c>
      <c r="I1552" s="29" t="s">
        <v>2610</v>
      </c>
      <c r="J1552" s="31">
        <v>26.0</v>
      </c>
      <c r="K1552" s="35"/>
      <c r="L1552" s="35"/>
      <c r="M1552" s="35"/>
      <c r="N1552" s="35"/>
      <c r="O1552" s="35"/>
      <c r="P1552" s="35"/>
      <c r="Q1552" s="35"/>
      <c r="R1552" s="35"/>
      <c r="S1552" s="37">
        <f>IF(B1552="","",IF(ISNUMBER(J1552),IF(J1552&lt;=10,'Configuración'!$B$23,IF(J1552&lt;=50,'Configuración'!$B$24,IF(J1552&lt;=200,'Configuración'!$B$25,0))),0))</f>
        <v>4</v>
      </c>
      <c r="T1552" s="37">
        <f>IF(B1552="","",IF(ISNUMBER(SEARCH("information technology",I1552))+ISNUMBER(SEARCH("software",I1552))+ISNUMBER(SEARCH("internet",I1552))+ISNUMBER(SEARCH("computer",I1552))+ISNUMBER(SEARCH("saas",I1552))+ISNUMBER(SEARCH("fintech",I1552))+ISNUMBER(SEARCH("information services",I1552))+ISNUMBER(SEARCH("telecommunications",I1552))&gt;0,'Configuración'!$B$27,'Configuración'!$B$28))</f>
        <v>4</v>
      </c>
      <c r="U1552" s="25">
        <f>IF(B1552="","",IF(ISNUMBER(SEARCH("CEO",C1552))+ISNUMBER(SEARCH("Founder",C1552))+ISNUMBER(SEARCH("Owner",C1552))+ISNUMBER(SEARCH("Dueño",C1552))+ISNUMBER(SEARCH("Director General",C1552))+ISNUMBER(SEARCH("Presidente",C1552))+ISNUMBER(SEARCH("President",C1552))&gt;0,'Configuración'!$B$31,IF(ISNUMBER(SEARCH("CMO",C1552))+ISNUMBER(SEARCH("Chief Marketing",C1552))+ISNUMBER(SEARCH("VP Marketing",C1552))+ISNUMBER(SEARCH("Director de Marketing",C1552))+ISNUMBER(SEARCH("Director Marketing",C1552))+ISNUMBER(SEARCH("Head of Marketing",C1552))+ISNUMBER(SEARCH("Head Marketing",C1552))&gt;0,'Configuración'!$B$32,IF(ISNUMBER(SEARCH("Marketing Manager",C1552))+ISNUMBER(SEARCH("Gerente de Marketing",C1552))+ISNUMBER(SEARCH("Growth Manager",C1552))+ISNUMBER(SEARCH("Demand Gen",C1552))+ISNUMBER(SEARCH("Marketing Lead",C1552))&gt;0,'Configuración'!$B$33,IF(ISNUMBER(SEARCH("COO",C1552))+ISNUMBER(SEARCH("CFO",C1552))+ISNUMBER(SEARCH("CTO",C1552))+ISNUMBER(SEARCH("Chief Operating",C1552))+ISNUMBER(SEARCH("Chief Financial",C1552))+ISNUMBER(SEARCH("Gerente General",C1552))+ISNUMBER(SEARCH("General Manager",C1552))&gt;0,'Configuración'!$B$34,'Configuración'!$B$35)))))</f>
        <v>12</v>
      </c>
      <c r="V1552" s="38">
        <f>IF(B1552="","",IF(K1552="Sí",'Configuración'!$B$5,0)+IF(L1552="Semanal",'Configuración'!$B$6,IF(L1552="Mensual",'Configuración'!$B$7,0))+IF(M1552="Sí",'Configuración'!$B$8,0)+IF(N1552="Sí",'Configuración'!$B$9,0)+IF(O1552="Sí",'Configuración'!$B$10,0)+IF(P1552="Sí",'Configuración'!$B$11,0)+IF(Q1552="Sí",'Configuración'!$B$12,0)+S1552+T1552+U1552)</f>
        <v>20</v>
      </c>
      <c r="W1552" s="39" t="str">
        <f>IF(B1552="","",IF(V1552&gt;='Configuración'!$B$19,"A",IF(V1552&gt;='Configuración'!$B$20,"B",IF(V1552&gt;='Configuración'!$B$21,"C","Descarte"))))</f>
        <v>Descarte</v>
      </c>
    </row>
    <row r="1553" ht="15.75" customHeight="1">
      <c r="A1553" s="34">
        <f t="shared" si="1"/>
        <v>1551</v>
      </c>
      <c r="B1553" s="29" t="s">
        <v>8739</v>
      </c>
      <c r="C1553" s="29" t="s">
        <v>8740</v>
      </c>
      <c r="D1553" s="29" t="s">
        <v>8741</v>
      </c>
      <c r="E1553" s="29" t="s">
        <v>8742</v>
      </c>
      <c r="F1553" s="30" t="s">
        <v>8743</v>
      </c>
      <c r="G1553" s="30" t="s">
        <v>8744</v>
      </c>
      <c r="H1553" s="42" t="s">
        <v>8745</v>
      </c>
      <c r="I1553" s="29" t="s">
        <v>288</v>
      </c>
      <c r="J1553" s="31">
        <v>3.0</v>
      </c>
      <c r="K1553" s="35"/>
      <c r="L1553" s="35"/>
      <c r="M1553" s="35"/>
      <c r="N1553" s="35"/>
      <c r="O1553" s="35"/>
      <c r="P1553" s="35"/>
      <c r="Q1553" s="35"/>
      <c r="R1553" s="35"/>
      <c r="S1553" s="37">
        <f>IF(B1553="","",IF(ISNUMBER(J1553),IF(J1553&lt;=10,'Configuración'!$B$23,IF(J1553&lt;=50,'Configuración'!$B$24,IF(J1553&lt;=200,'Configuración'!$B$25,0))),0))</f>
        <v>12</v>
      </c>
      <c r="T1553" s="37">
        <f>IF(B1553="","",IF(ISNUMBER(SEARCH("information technology",I1553))+ISNUMBER(SEARCH("software",I1553))+ISNUMBER(SEARCH("internet",I1553))+ISNUMBER(SEARCH("computer",I1553))+ISNUMBER(SEARCH("saas",I1553))+ISNUMBER(SEARCH("fintech",I1553))+ISNUMBER(SEARCH("information services",I1553))+ISNUMBER(SEARCH("telecommunications",I1553))&gt;0,'Configuración'!$B$27,'Configuración'!$B$28))</f>
        <v>4</v>
      </c>
      <c r="U1553" s="25">
        <f>IF(B1553="","",IF(ISNUMBER(SEARCH("CEO",C1553))+ISNUMBER(SEARCH("Founder",C1553))+ISNUMBER(SEARCH("Owner",C1553))+ISNUMBER(SEARCH("Dueño",C1553))+ISNUMBER(SEARCH("Director General",C1553))+ISNUMBER(SEARCH("Presidente",C1553))+ISNUMBER(SEARCH("President",C1553))&gt;0,'Configuración'!$B$31,IF(ISNUMBER(SEARCH("CMO",C1553))+ISNUMBER(SEARCH("Chief Marketing",C1553))+ISNUMBER(SEARCH("VP Marketing",C1553))+ISNUMBER(SEARCH("Director de Marketing",C1553))+ISNUMBER(SEARCH("Director Marketing",C1553))+ISNUMBER(SEARCH("Head of Marketing",C1553))+ISNUMBER(SEARCH("Head Marketing",C1553))&gt;0,'Configuración'!$B$32,IF(ISNUMBER(SEARCH("Marketing Manager",C1553))+ISNUMBER(SEARCH("Gerente de Marketing",C1553))+ISNUMBER(SEARCH("Growth Manager",C1553))+ISNUMBER(SEARCH("Demand Gen",C1553))+ISNUMBER(SEARCH("Marketing Lead",C1553))&gt;0,'Configuración'!$B$33,IF(ISNUMBER(SEARCH("COO",C1553))+ISNUMBER(SEARCH("CFO",C1553))+ISNUMBER(SEARCH("CTO",C1553))+ISNUMBER(SEARCH("Chief Operating",C1553))+ISNUMBER(SEARCH("Chief Financial",C1553))+ISNUMBER(SEARCH("Gerente General",C1553))+ISNUMBER(SEARCH("General Manager",C1553))&gt;0,'Configuración'!$B$34,'Configuración'!$B$35)))))</f>
        <v>0</v>
      </c>
      <c r="V1553" s="38">
        <f>IF(B1553="","",IF(K1553="Sí",'Configuración'!$B$5,0)+IF(L1553="Semanal",'Configuración'!$B$6,IF(L1553="Mensual",'Configuración'!$B$7,0))+IF(M1553="Sí",'Configuración'!$B$8,0)+IF(N1553="Sí",'Configuración'!$B$9,0)+IF(O1553="Sí",'Configuración'!$B$10,0)+IF(P1553="Sí",'Configuración'!$B$11,0)+IF(Q1553="Sí",'Configuración'!$B$12,0)+S1553+T1553+U1553)</f>
        <v>16</v>
      </c>
      <c r="W1553" s="39" t="str">
        <f>IF(B1553="","",IF(V1553&gt;='Configuración'!$B$19,"A",IF(V1553&gt;='Configuración'!$B$20,"B",IF(V1553&gt;='Configuración'!$B$21,"C","Descarte"))))</f>
        <v>Descarte</v>
      </c>
    </row>
    <row r="1554" ht="15.75" customHeight="1">
      <c r="A1554" s="34">
        <f t="shared" si="1"/>
        <v>1552</v>
      </c>
      <c r="B1554" s="29" t="s">
        <v>223</v>
      </c>
      <c r="C1554" s="29" t="s">
        <v>8746</v>
      </c>
      <c r="D1554" s="29" t="s">
        <v>8747</v>
      </c>
      <c r="E1554" s="29" t="s">
        <v>8748</v>
      </c>
      <c r="F1554" s="30" t="s">
        <v>8749</v>
      </c>
      <c r="G1554" s="30" t="s">
        <v>8750</v>
      </c>
      <c r="H1554" s="42" t="s">
        <v>8751</v>
      </c>
      <c r="I1554" s="29" t="s">
        <v>1693</v>
      </c>
      <c r="J1554" s="31">
        <v>26.0</v>
      </c>
      <c r="K1554" s="35"/>
      <c r="L1554" s="35"/>
      <c r="M1554" s="35"/>
      <c r="N1554" s="35"/>
      <c r="O1554" s="35"/>
      <c r="P1554" s="35"/>
      <c r="Q1554" s="35"/>
      <c r="R1554" s="35"/>
      <c r="S1554" s="37">
        <f>IF(B1554="","",IF(ISNUMBER(J1554),IF(J1554&lt;=10,'Configuración'!$B$23,IF(J1554&lt;=50,'Configuración'!$B$24,IF(J1554&lt;=200,'Configuración'!$B$25,0))),0))</f>
        <v>4</v>
      </c>
      <c r="T1554" s="37">
        <f>IF(B1554="","",IF(ISNUMBER(SEARCH("information technology",I1554))+ISNUMBER(SEARCH("software",I1554))+ISNUMBER(SEARCH("internet",I1554))+ISNUMBER(SEARCH("computer",I1554))+ISNUMBER(SEARCH("saas",I1554))+ISNUMBER(SEARCH("fintech",I1554))+ISNUMBER(SEARCH("information services",I1554))+ISNUMBER(SEARCH("telecommunications",I1554))&gt;0,'Configuración'!$B$27,'Configuración'!$B$28))</f>
        <v>4</v>
      </c>
      <c r="U1554" s="25">
        <f>IF(B1554="","",IF(ISNUMBER(SEARCH("CEO",C1554))+ISNUMBER(SEARCH("Founder",C1554))+ISNUMBER(SEARCH("Owner",C1554))+ISNUMBER(SEARCH("Dueño",C1554))+ISNUMBER(SEARCH("Director General",C1554))+ISNUMBER(SEARCH("Presidente",C1554))+ISNUMBER(SEARCH("President",C1554))&gt;0,'Configuración'!$B$31,IF(ISNUMBER(SEARCH("CMO",C1554))+ISNUMBER(SEARCH("Chief Marketing",C1554))+ISNUMBER(SEARCH("VP Marketing",C1554))+ISNUMBER(SEARCH("Director de Marketing",C1554))+ISNUMBER(SEARCH("Director Marketing",C1554))+ISNUMBER(SEARCH("Head of Marketing",C1554))+ISNUMBER(SEARCH("Head Marketing",C1554))&gt;0,'Configuración'!$B$32,IF(ISNUMBER(SEARCH("Marketing Manager",C1554))+ISNUMBER(SEARCH("Gerente de Marketing",C1554))+ISNUMBER(SEARCH("Growth Manager",C1554))+ISNUMBER(SEARCH("Demand Gen",C1554))+ISNUMBER(SEARCH("Marketing Lead",C1554))&gt;0,'Configuración'!$B$33,IF(ISNUMBER(SEARCH("COO",C1554))+ISNUMBER(SEARCH("CFO",C1554))+ISNUMBER(SEARCH("CTO",C1554))+ISNUMBER(SEARCH("Chief Operating",C1554))+ISNUMBER(SEARCH("Chief Financial",C1554))+ISNUMBER(SEARCH("Gerente General",C1554))+ISNUMBER(SEARCH("General Manager",C1554))&gt;0,'Configuración'!$B$34,'Configuración'!$B$35)))))</f>
        <v>12</v>
      </c>
      <c r="V1554" s="38">
        <f>IF(B1554="","",IF(K1554="Sí",'Configuración'!$B$5,0)+IF(L1554="Semanal",'Configuración'!$B$6,IF(L1554="Mensual",'Configuración'!$B$7,0))+IF(M1554="Sí",'Configuración'!$B$8,0)+IF(N1554="Sí",'Configuración'!$B$9,0)+IF(O1554="Sí",'Configuración'!$B$10,0)+IF(P1554="Sí",'Configuración'!$B$11,0)+IF(Q1554="Sí",'Configuración'!$B$12,0)+S1554+T1554+U1554)</f>
        <v>20</v>
      </c>
      <c r="W1554" s="39" t="str">
        <f>IF(B1554="","",IF(V1554&gt;='Configuración'!$B$19,"A",IF(V1554&gt;='Configuración'!$B$20,"B",IF(V1554&gt;='Configuración'!$B$21,"C","Descarte"))))</f>
        <v>Descarte</v>
      </c>
    </row>
    <row r="1555" ht="15.75" customHeight="1">
      <c r="A1555" s="34">
        <f t="shared" si="1"/>
        <v>1553</v>
      </c>
      <c r="B1555" s="29" t="s">
        <v>8636</v>
      </c>
      <c r="C1555" s="29" t="s">
        <v>175</v>
      </c>
      <c r="D1555" s="29" t="s">
        <v>8752</v>
      </c>
      <c r="E1555" s="29" t="s">
        <v>8753</v>
      </c>
      <c r="F1555" s="30" t="s">
        <v>8754</v>
      </c>
      <c r="G1555" s="30" t="s">
        <v>8755</v>
      </c>
      <c r="H1555" s="42" t="s">
        <v>8756</v>
      </c>
      <c r="I1555" s="29" t="s">
        <v>2170</v>
      </c>
      <c r="J1555" s="31">
        <v>11.0</v>
      </c>
      <c r="K1555" s="35"/>
      <c r="L1555" s="35"/>
      <c r="M1555" s="35"/>
      <c r="N1555" s="35"/>
      <c r="O1555" s="35"/>
      <c r="P1555" s="35"/>
      <c r="Q1555" s="35"/>
      <c r="R1555" s="35"/>
      <c r="S1555" s="37">
        <f>IF(B1555="","",IF(ISNUMBER(J1555),IF(J1555&lt;=10,'Configuración'!$B$23,IF(J1555&lt;=50,'Configuración'!$B$24,IF(J1555&lt;=200,'Configuración'!$B$25,0))),0))</f>
        <v>4</v>
      </c>
      <c r="T1555" s="37">
        <f>IF(B1555="","",IF(ISNUMBER(SEARCH("information technology",I1555))+ISNUMBER(SEARCH("software",I1555))+ISNUMBER(SEARCH("internet",I1555))+ISNUMBER(SEARCH("computer",I1555))+ISNUMBER(SEARCH("saas",I1555))+ISNUMBER(SEARCH("fintech",I1555))+ISNUMBER(SEARCH("information services",I1555))+ISNUMBER(SEARCH("telecommunications",I1555))&gt;0,'Configuración'!$B$27,'Configuración'!$B$28))</f>
        <v>12</v>
      </c>
      <c r="U1555" s="25">
        <f>IF(B1555="","",IF(ISNUMBER(SEARCH("CEO",C1555))+ISNUMBER(SEARCH("Founder",C1555))+ISNUMBER(SEARCH("Owner",C1555))+ISNUMBER(SEARCH("Dueño",C1555))+ISNUMBER(SEARCH("Director General",C1555))+ISNUMBER(SEARCH("Presidente",C1555))+ISNUMBER(SEARCH("President",C1555))&gt;0,'Configuración'!$B$31,IF(ISNUMBER(SEARCH("CMO",C1555))+ISNUMBER(SEARCH("Chief Marketing",C1555))+ISNUMBER(SEARCH("VP Marketing",C1555))+ISNUMBER(SEARCH("Director de Marketing",C1555))+ISNUMBER(SEARCH("Director Marketing",C1555))+ISNUMBER(SEARCH("Head of Marketing",C1555))+ISNUMBER(SEARCH("Head Marketing",C1555))&gt;0,'Configuración'!$B$32,IF(ISNUMBER(SEARCH("Marketing Manager",C1555))+ISNUMBER(SEARCH("Gerente de Marketing",C1555))+ISNUMBER(SEARCH("Growth Manager",C1555))+ISNUMBER(SEARCH("Demand Gen",C1555))+ISNUMBER(SEARCH("Marketing Lead",C1555))&gt;0,'Configuración'!$B$33,IF(ISNUMBER(SEARCH("COO",C1555))+ISNUMBER(SEARCH("CFO",C1555))+ISNUMBER(SEARCH("CTO",C1555))+ISNUMBER(SEARCH("Chief Operating",C1555))+ISNUMBER(SEARCH("Chief Financial",C1555))+ISNUMBER(SEARCH("Gerente General",C1555))+ISNUMBER(SEARCH("General Manager",C1555))&gt;0,'Configuración'!$B$34,'Configuración'!$B$35)))))</f>
        <v>12</v>
      </c>
      <c r="V1555" s="38">
        <f>IF(B1555="","",IF(K1555="Sí",'Configuración'!$B$5,0)+IF(L1555="Semanal",'Configuración'!$B$6,IF(L1555="Mensual",'Configuración'!$B$7,0))+IF(M1555="Sí",'Configuración'!$B$8,0)+IF(N1555="Sí",'Configuración'!$B$9,0)+IF(O1555="Sí",'Configuración'!$B$10,0)+IF(P1555="Sí",'Configuración'!$B$11,0)+IF(Q1555="Sí",'Configuración'!$B$12,0)+S1555+T1555+U1555)</f>
        <v>28</v>
      </c>
      <c r="W1555" s="39" t="str">
        <f>IF(B1555="","",IF(V1555&gt;='Configuración'!$B$19,"A",IF(V1555&gt;='Configuración'!$B$20,"B",IF(V1555&gt;='Configuración'!$B$21,"C","Descarte"))))</f>
        <v>C</v>
      </c>
    </row>
    <row r="1556" ht="15.75" customHeight="1">
      <c r="A1556" s="34">
        <f t="shared" si="1"/>
        <v>1554</v>
      </c>
      <c r="B1556" s="29" t="s">
        <v>181</v>
      </c>
      <c r="C1556" s="29" t="s">
        <v>622</v>
      </c>
      <c r="D1556" s="29" t="s">
        <v>8757</v>
      </c>
      <c r="E1556" s="29" t="s">
        <v>8758</v>
      </c>
      <c r="F1556" s="30" t="s">
        <v>8759</v>
      </c>
      <c r="G1556" s="30" t="s">
        <v>8760</v>
      </c>
      <c r="H1556" s="42" t="s">
        <v>8761</v>
      </c>
      <c r="I1556" s="29" t="s">
        <v>542</v>
      </c>
      <c r="J1556" s="31">
        <v>3.0</v>
      </c>
      <c r="K1556" s="35"/>
      <c r="L1556" s="35"/>
      <c r="M1556" s="35"/>
      <c r="N1556" s="35"/>
      <c r="O1556" s="35"/>
      <c r="P1556" s="35"/>
      <c r="Q1556" s="35"/>
      <c r="R1556" s="35"/>
      <c r="S1556" s="37">
        <f>IF(B1556="","",IF(ISNUMBER(J1556),IF(J1556&lt;=10,'Configuración'!$B$23,IF(J1556&lt;=50,'Configuración'!$B$24,IF(J1556&lt;=200,'Configuración'!$B$25,0))),0))</f>
        <v>12</v>
      </c>
      <c r="T1556" s="37">
        <f>IF(B1556="","",IF(ISNUMBER(SEARCH("information technology",I1556))+ISNUMBER(SEARCH("software",I1556))+ISNUMBER(SEARCH("internet",I1556))+ISNUMBER(SEARCH("computer",I1556))+ISNUMBER(SEARCH("saas",I1556))+ISNUMBER(SEARCH("fintech",I1556))+ISNUMBER(SEARCH("information services",I1556))+ISNUMBER(SEARCH("telecommunications",I1556))&gt;0,'Configuración'!$B$27,'Configuración'!$B$28))</f>
        <v>4</v>
      </c>
      <c r="U1556" s="25">
        <f>IF(B1556="","",IF(ISNUMBER(SEARCH("CEO",C1556))+ISNUMBER(SEARCH("Founder",C1556))+ISNUMBER(SEARCH("Owner",C1556))+ISNUMBER(SEARCH("Dueño",C1556))+ISNUMBER(SEARCH("Director General",C1556))+ISNUMBER(SEARCH("Presidente",C1556))+ISNUMBER(SEARCH("President",C1556))&gt;0,'Configuración'!$B$31,IF(ISNUMBER(SEARCH("CMO",C1556))+ISNUMBER(SEARCH("Chief Marketing",C1556))+ISNUMBER(SEARCH("VP Marketing",C1556))+ISNUMBER(SEARCH("Director de Marketing",C1556))+ISNUMBER(SEARCH("Director Marketing",C1556))+ISNUMBER(SEARCH("Head of Marketing",C1556))+ISNUMBER(SEARCH("Head Marketing",C1556))&gt;0,'Configuración'!$B$32,IF(ISNUMBER(SEARCH("Marketing Manager",C1556))+ISNUMBER(SEARCH("Gerente de Marketing",C1556))+ISNUMBER(SEARCH("Growth Manager",C1556))+ISNUMBER(SEARCH("Demand Gen",C1556))+ISNUMBER(SEARCH("Marketing Lead",C1556))&gt;0,'Configuración'!$B$33,IF(ISNUMBER(SEARCH("COO",C1556))+ISNUMBER(SEARCH("CFO",C1556))+ISNUMBER(SEARCH("CTO",C1556))+ISNUMBER(SEARCH("Chief Operating",C1556))+ISNUMBER(SEARCH("Chief Financial",C1556))+ISNUMBER(SEARCH("Gerente General",C1556))+ISNUMBER(SEARCH("General Manager",C1556))&gt;0,'Configuración'!$B$34,'Configuración'!$B$35)))))</f>
        <v>12</v>
      </c>
      <c r="V1556" s="38">
        <f>IF(B1556="","",IF(K1556="Sí",'Configuración'!$B$5,0)+IF(L1556="Semanal",'Configuración'!$B$6,IF(L1556="Mensual",'Configuración'!$B$7,0))+IF(M1556="Sí",'Configuración'!$B$8,0)+IF(N1556="Sí",'Configuración'!$B$9,0)+IF(O1556="Sí",'Configuración'!$B$10,0)+IF(P1556="Sí",'Configuración'!$B$11,0)+IF(Q1556="Sí",'Configuración'!$B$12,0)+S1556+T1556+U1556)</f>
        <v>28</v>
      </c>
      <c r="W1556" s="39" t="str">
        <f>IF(B1556="","",IF(V1556&gt;='Configuración'!$B$19,"A",IF(V1556&gt;='Configuración'!$B$20,"B",IF(V1556&gt;='Configuración'!$B$21,"C","Descarte"))))</f>
        <v>C</v>
      </c>
    </row>
    <row r="1557" ht="15.75" customHeight="1">
      <c r="A1557" s="34">
        <f t="shared" si="1"/>
        <v>1555</v>
      </c>
      <c r="B1557" s="29" t="s">
        <v>536</v>
      </c>
      <c r="C1557" s="29" t="s">
        <v>131</v>
      </c>
      <c r="D1557" s="29" t="s">
        <v>8762</v>
      </c>
      <c r="E1557" s="29" t="s">
        <v>8763</v>
      </c>
      <c r="F1557" s="30" t="s">
        <v>8764</v>
      </c>
      <c r="G1557" s="30" t="s">
        <v>8765</v>
      </c>
      <c r="H1557" s="42" t="s">
        <v>8766</v>
      </c>
      <c r="I1557" s="29" t="s">
        <v>116</v>
      </c>
      <c r="J1557" s="31">
        <v>13.0</v>
      </c>
      <c r="K1557" s="35"/>
      <c r="L1557" s="35"/>
      <c r="M1557" s="35"/>
      <c r="N1557" s="35"/>
      <c r="O1557" s="35"/>
      <c r="P1557" s="35"/>
      <c r="Q1557" s="35"/>
      <c r="R1557" s="35"/>
      <c r="S1557" s="37">
        <f>IF(B1557="","",IF(ISNUMBER(J1557),IF(J1557&lt;=10,'Configuración'!$B$23,IF(J1557&lt;=50,'Configuración'!$B$24,IF(J1557&lt;=200,'Configuración'!$B$25,0))),0))</f>
        <v>4</v>
      </c>
      <c r="T1557" s="37">
        <f>IF(B1557="","",IF(ISNUMBER(SEARCH("information technology",I1557))+ISNUMBER(SEARCH("software",I1557))+ISNUMBER(SEARCH("internet",I1557))+ISNUMBER(SEARCH("computer",I1557))+ISNUMBER(SEARCH("saas",I1557))+ISNUMBER(SEARCH("fintech",I1557))+ISNUMBER(SEARCH("information services",I1557))+ISNUMBER(SEARCH("telecommunications",I1557))&gt;0,'Configuración'!$B$27,'Configuración'!$B$28))</f>
        <v>4</v>
      </c>
      <c r="U1557" s="25">
        <f>IF(B1557="","",IF(ISNUMBER(SEARCH("CEO",C1557))+ISNUMBER(SEARCH("Founder",C1557))+ISNUMBER(SEARCH("Owner",C1557))+ISNUMBER(SEARCH("Dueño",C1557))+ISNUMBER(SEARCH("Director General",C1557))+ISNUMBER(SEARCH("Presidente",C1557))+ISNUMBER(SEARCH("President",C1557))&gt;0,'Configuración'!$B$31,IF(ISNUMBER(SEARCH("CMO",C1557))+ISNUMBER(SEARCH("Chief Marketing",C1557))+ISNUMBER(SEARCH("VP Marketing",C1557))+ISNUMBER(SEARCH("Director de Marketing",C1557))+ISNUMBER(SEARCH("Director Marketing",C1557))+ISNUMBER(SEARCH("Head of Marketing",C1557))+ISNUMBER(SEARCH("Head Marketing",C1557))&gt;0,'Configuración'!$B$32,IF(ISNUMBER(SEARCH("Marketing Manager",C1557))+ISNUMBER(SEARCH("Gerente de Marketing",C1557))+ISNUMBER(SEARCH("Growth Manager",C1557))+ISNUMBER(SEARCH("Demand Gen",C1557))+ISNUMBER(SEARCH("Marketing Lead",C1557))&gt;0,'Configuración'!$B$33,IF(ISNUMBER(SEARCH("COO",C1557))+ISNUMBER(SEARCH("CFO",C1557))+ISNUMBER(SEARCH("CTO",C1557))+ISNUMBER(SEARCH("Chief Operating",C1557))+ISNUMBER(SEARCH("Chief Financial",C1557))+ISNUMBER(SEARCH("Gerente General",C1557))+ISNUMBER(SEARCH("General Manager",C1557))&gt;0,'Configuración'!$B$34,'Configuración'!$B$35)))))</f>
        <v>12</v>
      </c>
      <c r="V1557" s="38">
        <f>IF(B1557="","",IF(K1557="Sí",'Configuración'!$B$5,0)+IF(L1557="Semanal",'Configuración'!$B$6,IF(L1557="Mensual",'Configuración'!$B$7,0))+IF(M1557="Sí",'Configuración'!$B$8,0)+IF(N1557="Sí",'Configuración'!$B$9,0)+IF(O1557="Sí",'Configuración'!$B$10,0)+IF(P1557="Sí",'Configuración'!$B$11,0)+IF(Q1557="Sí",'Configuración'!$B$12,0)+S1557+T1557+U1557)</f>
        <v>20</v>
      </c>
      <c r="W1557" s="39" t="str">
        <f>IF(B1557="","",IF(V1557&gt;='Configuración'!$B$19,"A",IF(V1557&gt;='Configuración'!$B$20,"B",IF(V1557&gt;='Configuración'!$B$21,"C","Descarte"))))</f>
        <v>Descarte</v>
      </c>
    </row>
    <row r="1558" ht="15.75" customHeight="1">
      <c r="A1558" s="34">
        <f t="shared" si="1"/>
        <v>1556</v>
      </c>
      <c r="B1558" s="29" t="s">
        <v>174</v>
      </c>
      <c r="C1558" s="29" t="s">
        <v>622</v>
      </c>
      <c r="D1558" s="29" t="s">
        <v>8767</v>
      </c>
      <c r="E1558" s="29" t="s">
        <v>8768</v>
      </c>
      <c r="F1558" s="30" t="s">
        <v>8769</v>
      </c>
      <c r="G1558" s="30" t="s">
        <v>8770</v>
      </c>
      <c r="H1558" s="42" t="s">
        <v>8771</v>
      </c>
      <c r="I1558" s="29" t="s">
        <v>508</v>
      </c>
      <c r="J1558" s="31">
        <v>4.0</v>
      </c>
      <c r="K1558" s="35"/>
      <c r="L1558" s="35"/>
      <c r="M1558" s="35"/>
      <c r="N1558" s="35"/>
      <c r="O1558" s="35"/>
      <c r="P1558" s="35"/>
      <c r="Q1558" s="35"/>
      <c r="R1558" s="35"/>
      <c r="S1558" s="37">
        <f>IF(B1558="","",IF(ISNUMBER(J1558),IF(J1558&lt;=10,'Configuración'!$B$23,IF(J1558&lt;=50,'Configuración'!$B$24,IF(J1558&lt;=200,'Configuración'!$B$25,0))),0))</f>
        <v>12</v>
      </c>
      <c r="T1558" s="37">
        <f>IF(B1558="","",IF(ISNUMBER(SEARCH("information technology",I1558))+ISNUMBER(SEARCH("software",I1558))+ISNUMBER(SEARCH("internet",I1558))+ISNUMBER(SEARCH("computer",I1558))+ISNUMBER(SEARCH("saas",I1558))+ISNUMBER(SEARCH("fintech",I1558))+ISNUMBER(SEARCH("information services",I1558))+ISNUMBER(SEARCH("telecommunications",I1558))&gt;0,'Configuración'!$B$27,'Configuración'!$B$28))</f>
        <v>4</v>
      </c>
      <c r="U1558" s="25">
        <f>IF(B1558="","",IF(ISNUMBER(SEARCH("CEO",C1558))+ISNUMBER(SEARCH("Founder",C1558))+ISNUMBER(SEARCH("Owner",C1558))+ISNUMBER(SEARCH("Dueño",C1558))+ISNUMBER(SEARCH("Director General",C1558))+ISNUMBER(SEARCH("Presidente",C1558))+ISNUMBER(SEARCH("President",C1558))&gt;0,'Configuración'!$B$31,IF(ISNUMBER(SEARCH("CMO",C1558))+ISNUMBER(SEARCH("Chief Marketing",C1558))+ISNUMBER(SEARCH("VP Marketing",C1558))+ISNUMBER(SEARCH("Director de Marketing",C1558))+ISNUMBER(SEARCH("Director Marketing",C1558))+ISNUMBER(SEARCH("Head of Marketing",C1558))+ISNUMBER(SEARCH("Head Marketing",C1558))&gt;0,'Configuración'!$B$32,IF(ISNUMBER(SEARCH("Marketing Manager",C1558))+ISNUMBER(SEARCH("Gerente de Marketing",C1558))+ISNUMBER(SEARCH("Growth Manager",C1558))+ISNUMBER(SEARCH("Demand Gen",C1558))+ISNUMBER(SEARCH("Marketing Lead",C1558))&gt;0,'Configuración'!$B$33,IF(ISNUMBER(SEARCH("COO",C1558))+ISNUMBER(SEARCH("CFO",C1558))+ISNUMBER(SEARCH("CTO",C1558))+ISNUMBER(SEARCH("Chief Operating",C1558))+ISNUMBER(SEARCH("Chief Financial",C1558))+ISNUMBER(SEARCH("Gerente General",C1558))+ISNUMBER(SEARCH("General Manager",C1558))&gt;0,'Configuración'!$B$34,'Configuración'!$B$35)))))</f>
        <v>12</v>
      </c>
      <c r="V1558" s="38">
        <f>IF(B1558="","",IF(K1558="Sí",'Configuración'!$B$5,0)+IF(L1558="Semanal",'Configuración'!$B$6,IF(L1558="Mensual",'Configuración'!$B$7,0))+IF(M1558="Sí",'Configuración'!$B$8,0)+IF(N1558="Sí",'Configuración'!$B$9,0)+IF(O1558="Sí",'Configuración'!$B$10,0)+IF(P1558="Sí",'Configuración'!$B$11,0)+IF(Q1558="Sí",'Configuración'!$B$12,0)+S1558+T1558+U1558)</f>
        <v>28</v>
      </c>
      <c r="W1558" s="39" t="str">
        <f>IF(B1558="","",IF(V1558&gt;='Configuración'!$B$19,"A",IF(V1558&gt;='Configuración'!$B$20,"B",IF(V1558&gt;='Configuración'!$B$21,"C","Descarte"))))</f>
        <v>C</v>
      </c>
    </row>
    <row r="1559" ht="15.75" customHeight="1">
      <c r="A1559" s="34">
        <f t="shared" si="1"/>
        <v>1557</v>
      </c>
      <c r="B1559" s="29" t="s">
        <v>1028</v>
      </c>
      <c r="C1559" s="29" t="s">
        <v>175</v>
      </c>
      <c r="D1559" s="40" t="s">
        <v>8772</v>
      </c>
      <c r="E1559" s="29" t="s">
        <v>8773</v>
      </c>
      <c r="F1559" s="30" t="s">
        <v>8774</v>
      </c>
      <c r="G1559" s="30" t="s">
        <v>8775</v>
      </c>
      <c r="H1559" s="42" t="s">
        <v>8776</v>
      </c>
      <c r="I1559" s="29" t="s">
        <v>116</v>
      </c>
      <c r="J1559" s="31">
        <v>4.0</v>
      </c>
      <c r="K1559" s="35"/>
      <c r="L1559" s="35"/>
      <c r="M1559" s="35"/>
      <c r="N1559" s="35"/>
      <c r="O1559" s="35"/>
      <c r="P1559" s="35"/>
      <c r="Q1559" s="35"/>
      <c r="R1559" s="35"/>
      <c r="S1559" s="37">
        <f>IF(B1559="","",IF(ISNUMBER(J1559),IF(J1559&lt;=10,'Configuración'!$B$23,IF(J1559&lt;=50,'Configuración'!$B$24,IF(J1559&lt;=200,'Configuración'!$B$25,0))),0))</f>
        <v>12</v>
      </c>
      <c r="T1559" s="37">
        <f>IF(B1559="","",IF(ISNUMBER(SEARCH("information technology",I1559))+ISNUMBER(SEARCH("software",I1559))+ISNUMBER(SEARCH("internet",I1559))+ISNUMBER(SEARCH("computer",I1559))+ISNUMBER(SEARCH("saas",I1559))+ISNUMBER(SEARCH("fintech",I1559))+ISNUMBER(SEARCH("information services",I1559))+ISNUMBER(SEARCH("telecommunications",I1559))&gt;0,'Configuración'!$B$27,'Configuración'!$B$28))</f>
        <v>4</v>
      </c>
      <c r="U1559" s="25">
        <f>IF(B1559="","",IF(ISNUMBER(SEARCH("CEO",C1559))+ISNUMBER(SEARCH("Founder",C1559))+ISNUMBER(SEARCH("Owner",C1559))+ISNUMBER(SEARCH("Dueño",C1559))+ISNUMBER(SEARCH("Director General",C1559))+ISNUMBER(SEARCH("Presidente",C1559))+ISNUMBER(SEARCH("President",C1559))&gt;0,'Configuración'!$B$31,IF(ISNUMBER(SEARCH("CMO",C1559))+ISNUMBER(SEARCH("Chief Marketing",C1559))+ISNUMBER(SEARCH("VP Marketing",C1559))+ISNUMBER(SEARCH("Director de Marketing",C1559))+ISNUMBER(SEARCH("Director Marketing",C1559))+ISNUMBER(SEARCH("Head of Marketing",C1559))+ISNUMBER(SEARCH("Head Marketing",C1559))&gt;0,'Configuración'!$B$32,IF(ISNUMBER(SEARCH("Marketing Manager",C1559))+ISNUMBER(SEARCH("Gerente de Marketing",C1559))+ISNUMBER(SEARCH("Growth Manager",C1559))+ISNUMBER(SEARCH("Demand Gen",C1559))+ISNUMBER(SEARCH("Marketing Lead",C1559))&gt;0,'Configuración'!$B$33,IF(ISNUMBER(SEARCH("COO",C1559))+ISNUMBER(SEARCH("CFO",C1559))+ISNUMBER(SEARCH("CTO",C1559))+ISNUMBER(SEARCH("Chief Operating",C1559))+ISNUMBER(SEARCH("Chief Financial",C1559))+ISNUMBER(SEARCH("Gerente General",C1559))+ISNUMBER(SEARCH("General Manager",C1559))&gt;0,'Configuración'!$B$34,'Configuración'!$B$35)))))</f>
        <v>12</v>
      </c>
      <c r="V1559" s="38">
        <f>IF(B1559="","",IF(K1559="Sí",'Configuración'!$B$5,0)+IF(L1559="Semanal",'Configuración'!$B$6,IF(L1559="Mensual",'Configuración'!$B$7,0))+IF(M1559="Sí",'Configuración'!$B$8,0)+IF(N1559="Sí",'Configuración'!$B$9,0)+IF(O1559="Sí",'Configuración'!$B$10,0)+IF(P1559="Sí",'Configuración'!$B$11,0)+IF(Q1559="Sí",'Configuración'!$B$12,0)+S1559+T1559+U1559)</f>
        <v>28</v>
      </c>
      <c r="W1559" s="39" t="str">
        <f>IF(B1559="","",IF(V1559&gt;='Configuración'!$B$19,"A",IF(V1559&gt;='Configuración'!$B$20,"B",IF(V1559&gt;='Configuración'!$B$21,"C","Descarte"))))</f>
        <v>C</v>
      </c>
    </row>
    <row r="1560" ht="15.75" customHeight="1">
      <c r="A1560" s="34">
        <f t="shared" si="1"/>
        <v>1558</v>
      </c>
      <c r="B1560" s="29" t="s">
        <v>556</v>
      </c>
      <c r="C1560" s="29" t="s">
        <v>8777</v>
      </c>
      <c r="D1560" s="30" t="s">
        <v>8778</v>
      </c>
      <c r="E1560" s="29" t="s">
        <v>8779</v>
      </c>
      <c r="F1560" s="30" t="s">
        <v>8780</v>
      </c>
      <c r="G1560" s="30" t="s">
        <v>8781</v>
      </c>
      <c r="H1560" s="42" t="s">
        <v>8782</v>
      </c>
      <c r="I1560" s="29" t="s">
        <v>116</v>
      </c>
      <c r="J1560" s="31">
        <v>12.0</v>
      </c>
      <c r="K1560" s="35"/>
      <c r="L1560" s="35"/>
      <c r="M1560" s="35"/>
      <c r="N1560" s="35"/>
      <c r="O1560" s="35"/>
      <c r="P1560" s="35"/>
      <c r="Q1560" s="35"/>
      <c r="R1560" s="35"/>
      <c r="S1560" s="37">
        <f>IF(B1560="","",IF(ISNUMBER(J1560),IF(J1560&lt;=10,'Configuración'!$B$23,IF(J1560&lt;=50,'Configuración'!$B$24,IF(J1560&lt;=200,'Configuración'!$B$25,0))),0))</f>
        <v>4</v>
      </c>
      <c r="T1560" s="37">
        <f>IF(B1560="","",IF(ISNUMBER(SEARCH("information technology",I1560))+ISNUMBER(SEARCH("software",I1560))+ISNUMBER(SEARCH("internet",I1560))+ISNUMBER(SEARCH("computer",I1560))+ISNUMBER(SEARCH("saas",I1560))+ISNUMBER(SEARCH("fintech",I1560))+ISNUMBER(SEARCH("information services",I1560))+ISNUMBER(SEARCH("telecommunications",I1560))&gt;0,'Configuración'!$B$27,'Configuración'!$B$28))</f>
        <v>4</v>
      </c>
      <c r="U1560" s="25">
        <f>IF(B1560="","",IF(ISNUMBER(SEARCH("CEO",C1560))+ISNUMBER(SEARCH("Founder",C1560))+ISNUMBER(SEARCH("Owner",C1560))+ISNUMBER(SEARCH("Dueño",C1560))+ISNUMBER(SEARCH("Director General",C1560))+ISNUMBER(SEARCH("Presidente",C1560))+ISNUMBER(SEARCH("President",C1560))&gt;0,'Configuración'!$B$31,IF(ISNUMBER(SEARCH("CMO",C1560))+ISNUMBER(SEARCH("Chief Marketing",C1560))+ISNUMBER(SEARCH("VP Marketing",C1560))+ISNUMBER(SEARCH("Director de Marketing",C1560))+ISNUMBER(SEARCH("Director Marketing",C1560))+ISNUMBER(SEARCH("Head of Marketing",C1560))+ISNUMBER(SEARCH("Head Marketing",C1560))&gt;0,'Configuración'!$B$32,IF(ISNUMBER(SEARCH("Marketing Manager",C1560))+ISNUMBER(SEARCH("Gerente de Marketing",C1560))+ISNUMBER(SEARCH("Growth Manager",C1560))+ISNUMBER(SEARCH("Demand Gen",C1560))+ISNUMBER(SEARCH("Marketing Lead",C1560))&gt;0,'Configuración'!$B$33,IF(ISNUMBER(SEARCH("COO",C1560))+ISNUMBER(SEARCH("CFO",C1560))+ISNUMBER(SEARCH("CTO",C1560))+ISNUMBER(SEARCH("Chief Operating",C1560))+ISNUMBER(SEARCH("Chief Financial",C1560))+ISNUMBER(SEARCH("Gerente General",C1560))+ISNUMBER(SEARCH("General Manager",C1560))&gt;0,'Configuración'!$B$34,'Configuración'!$B$35)))))</f>
        <v>12</v>
      </c>
      <c r="V1560" s="38">
        <f>IF(B1560="","",IF(K1560="Sí",'Configuración'!$B$5,0)+IF(L1560="Semanal",'Configuración'!$B$6,IF(L1560="Mensual",'Configuración'!$B$7,0))+IF(M1560="Sí",'Configuración'!$B$8,0)+IF(N1560="Sí",'Configuración'!$B$9,0)+IF(O1560="Sí",'Configuración'!$B$10,0)+IF(P1560="Sí",'Configuración'!$B$11,0)+IF(Q1560="Sí",'Configuración'!$B$12,0)+S1560+T1560+U1560)</f>
        <v>20</v>
      </c>
      <c r="W1560" s="39" t="str">
        <f>IF(B1560="","",IF(V1560&gt;='Configuración'!$B$19,"A",IF(V1560&gt;='Configuración'!$B$20,"B",IF(V1560&gt;='Configuración'!$B$21,"C","Descarte"))))</f>
        <v>Descarte</v>
      </c>
    </row>
    <row r="1561" ht="15.75" customHeight="1">
      <c r="A1561" s="34">
        <f t="shared" si="1"/>
        <v>1559</v>
      </c>
      <c r="B1561" s="29" t="s">
        <v>6669</v>
      </c>
      <c r="C1561" s="29" t="s">
        <v>131</v>
      </c>
      <c r="D1561" s="29" t="s">
        <v>8783</v>
      </c>
      <c r="E1561" s="29" t="s">
        <v>8784</v>
      </c>
      <c r="F1561" s="30" t="s">
        <v>8785</v>
      </c>
      <c r="G1561" s="30" t="s">
        <v>8786</v>
      </c>
      <c r="H1561" s="42" t="s">
        <v>8787</v>
      </c>
      <c r="I1561" s="29" t="s">
        <v>1356</v>
      </c>
      <c r="J1561" s="31">
        <v>8.0</v>
      </c>
      <c r="K1561" s="35"/>
      <c r="L1561" s="35"/>
      <c r="M1561" s="35"/>
      <c r="N1561" s="35"/>
      <c r="O1561" s="35"/>
      <c r="P1561" s="35"/>
      <c r="Q1561" s="35"/>
      <c r="R1561" s="35"/>
      <c r="S1561" s="37">
        <f>IF(B1561="","",IF(ISNUMBER(J1561),IF(J1561&lt;=10,'Configuración'!$B$23,IF(J1561&lt;=50,'Configuración'!$B$24,IF(J1561&lt;=200,'Configuración'!$B$25,0))),0))</f>
        <v>12</v>
      </c>
      <c r="T1561" s="37">
        <f>IF(B1561="","",IF(ISNUMBER(SEARCH("information technology",I1561))+ISNUMBER(SEARCH("software",I1561))+ISNUMBER(SEARCH("internet",I1561))+ISNUMBER(SEARCH("computer",I1561))+ISNUMBER(SEARCH("saas",I1561))+ISNUMBER(SEARCH("fintech",I1561))+ISNUMBER(SEARCH("information services",I1561))+ISNUMBER(SEARCH("telecommunications",I1561))&gt;0,'Configuración'!$B$27,'Configuración'!$B$28))</f>
        <v>4</v>
      </c>
      <c r="U1561" s="25">
        <f>IF(B1561="","",IF(ISNUMBER(SEARCH("CEO",C1561))+ISNUMBER(SEARCH("Founder",C1561))+ISNUMBER(SEARCH("Owner",C1561))+ISNUMBER(SEARCH("Dueño",C1561))+ISNUMBER(SEARCH("Director General",C1561))+ISNUMBER(SEARCH("Presidente",C1561))+ISNUMBER(SEARCH("President",C1561))&gt;0,'Configuración'!$B$31,IF(ISNUMBER(SEARCH("CMO",C1561))+ISNUMBER(SEARCH("Chief Marketing",C1561))+ISNUMBER(SEARCH("VP Marketing",C1561))+ISNUMBER(SEARCH("Director de Marketing",C1561))+ISNUMBER(SEARCH("Director Marketing",C1561))+ISNUMBER(SEARCH("Head of Marketing",C1561))+ISNUMBER(SEARCH("Head Marketing",C1561))&gt;0,'Configuración'!$B$32,IF(ISNUMBER(SEARCH("Marketing Manager",C1561))+ISNUMBER(SEARCH("Gerente de Marketing",C1561))+ISNUMBER(SEARCH("Growth Manager",C1561))+ISNUMBER(SEARCH("Demand Gen",C1561))+ISNUMBER(SEARCH("Marketing Lead",C1561))&gt;0,'Configuración'!$B$33,IF(ISNUMBER(SEARCH("COO",C1561))+ISNUMBER(SEARCH("CFO",C1561))+ISNUMBER(SEARCH("CTO",C1561))+ISNUMBER(SEARCH("Chief Operating",C1561))+ISNUMBER(SEARCH("Chief Financial",C1561))+ISNUMBER(SEARCH("Gerente General",C1561))+ISNUMBER(SEARCH("General Manager",C1561))&gt;0,'Configuración'!$B$34,'Configuración'!$B$35)))))</f>
        <v>12</v>
      </c>
      <c r="V1561" s="38">
        <f>IF(B1561="","",IF(K1561="Sí",'Configuración'!$B$5,0)+IF(L1561="Semanal",'Configuración'!$B$6,IF(L1561="Mensual",'Configuración'!$B$7,0))+IF(M1561="Sí",'Configuración'!$B$8,0)+IF(N1561="Sí",'Configuración'!$B$9,0)+IF(O1561="Sí",'Configuración'!$B$10,0)+IF(P1561="Sí",'Configuración'!$B$11,0)+IF(Q1561="Sí",'Configuración'!$B$12,0)+S1561+T1561+U1561)</f>
        <v>28</v>
      </c>
      <c r="W1561" s="39" t="str">
        <f>IF(B1561="","",IF(V1561&gt;='Configuración'!$B$19,"A",IF(V1561&gt;='Configuración'!$B$20,"B",IF(V1561&gt;='Configuración'!$B$21,"C","Descarte"))))</f>
        <v>C</v>
      </c>
    </row>
    <row r="1562" ht="15.75" customHeight="1">
      <c r="A1562" s="34">
        <f t="shared" si="1"/>
        <v>1560</v>
      </c>
      <c r="B1562" s="29" t="s">
        <v>174</v>
      </c>
      <c r="C1562" s="29" t="s">
        <v>311</v>
      </c>
      <c r="D1562" s="29" t="s">
        <v>8788</v>
      </c>
      <c r="E1562" s="29" t="s">
        <v>8789</v>
      </c>
      <c r="F1562" s="30" t="s">
        <v>8790</v>
      </c>
      <c r="G1562" s="30" t="s">
        <v>8791</v>
      </c>
      <c r="H1562" s="42" t="s">
        <v>8792</v>
      </c>
      <c r="I1562" s="29" t="s">
        <v>127</v>
      </c>
      <c r="J1562" s="31">
        <v>7.0</v>
      </c>
      <c r="K1562" s="35"/>
      <c r="L1562" s="35"/>
      <c r="M1562" s="35"/>
      <c r="N1562" s="35"/>
      <c r="O1562" s="35"/>
      <c r="P1562" s="35"/>
      <c r="Q1562" s="35"/>
      <c r="R1562" s="35"/>
      <c r="S1562" s="37">
        <f>IF(B1562="","",IF(ISNUMBER(J1562),IF(J1562&lt;=10,'Configuración'!$B$23,IF(J1562&lt;=50,'Configuración'!$B$24,IF(J1562&lt;=200,'Configuración'!$B$25,0))),0))</f>
        <v>12</v>
      </c>
      <c r="T1562" s="37">
        <f>IF(B1562="","",IF(ISNUMBER(SEARCH("information technology",I1562))+ISNUMBER(SEARCH("software",I1562))+ISNUMBER(SEARCH("internet",I1562))+ISNUMBER(SEARCH("computer",I1562))+ISNUMBER(SEARCH("saas",I1562))+ISNUMBER(SEARCH("fintech",I1562))+ISNUMBER(SEARCH("information services",I1562))+ISNUMBER(SEARCH("telecommunications",I1562))&gt;0,'Configuración'!$B$27,'Configuración'!$B$28))</f>
        <v>12</v>
      </c>
      <c r="U1562" s="25">
        <f>IF(B1562="","",IF(ISNUMBER(SEARCH("CEO",C1562))+ISNUMBER(SEARCH("Founder",C1562))+ISNUMBER(SEARCH("Owner",C1562))+ISNUMBER(SEARCH("Dueño",C1562))+ISNUMBER(SEARCH("Director General",C1562))+ISNUMBER(SEARCH("Presidente",C1562))+ISNUMBER(SEARCH("President",C1562))&gt;0,'Configuración'!$B$31,IF(ISNUMBER(SEARCH("CMO",C1562))+ISNUMBER(SEARCH("Chief Marketing",C1562))+ISNUMBER(SEARCH("VP Marketing",C1562))+ISNUMBER(SEARCH("Director de Marketing",C1562))+ISNUMBER(SEARCH("Director Marketing",C1562))+ISNUMBER(SEARCH("Head of Marketing",C1562))+ISNUMBER(SEARCH("Head Marketing",C1562))&gt;0,'Configuración'!$B$32,IF(ISNUMBER(SEARCH("Marketing Manager",C1562))+ISNUMBER(SEARCH("Gerente de Marketing",C1562))+ISNUMBER(SEARCH("Growth Manager",C1562))+ISNUMBER(SEARCH("Demand Gen",C1562))+ISNUMBER(SEARCH("Marketing Lead",C1562))&gt;0,'Configuración'!$B$33,IF(ISNUMBER(SEARCH("COO",C1562))+ISNUMBER(SEARCH("CFO",C1562))+ISNUMBER(SEARCH("CTO",C1562))+ISNUMBER(SEARCH("Chief Operating",C1562))+ISNUMBER(SEARCH("Chief Financial",C1562))+ISNUMBER(SEARCH("Gerente General",C1562))+ISNUMBER(SEARCH("General Manager",C1562))&gt;0,'Configuración'!$B$34,'Configuración'!$B$35)))))</f>
        <v>12</v>
      </c>
      <c r="V1562" s="38">
        <f>IF(B1562="","",IF(K1562="Sí",'Configuración'!$B$5,0)+IF(L1562="Semanal",'Configuración'!$B$6,IF(L1562="Mensual",'Configuración'!$B$7,0))+IF(M1562="Sí",'Configuración'!$B$8,0)+IF(N1562="Sí",'Configuración'!$B$9,0)+IF(O1562="Sí",'Configuración'!$B$10,0)+IF(P1562="Sí",'Configuración'!$B$11,0)+IF(Q1562="Sí",'Configuración'!$B$12,0)+S1562+T1562+U1562)</f>
        <v>36</v>
      </c>
      <c r="W1562" s="39" t="str">
        <f>IF(B1562="","",IF(V1562&gt;='Configuración'!$B$19,"A",IF(V1562&gt;='Configuración'!$B$20,"B",IF(V1562&gt;='Configuración'!$B$21,"C","Descarte"))))</f>
        <v>C</v>
      </c>
    </row>
    <row r="1563" ht="15.75" customHeight="1">
      <c r="A1563" s="34">
        <f t="shared" si="1"/>
        <v>1561</v>
      </c>
      <c r="B1563" s="29" t="s">
        <v>5890</v>
      </c>
      <c r="C1563" s="29" t="s">
        <v>8793</v>
      </c>
      <c r="D1563" s="29" t="s">
        <v>8794</v>
      </c>
      <c r="E1563" s="29" t="s">
        <v>8795</v>
      </c>
      <c r="F1563" s="30" t="s">
        <v>8796</v>
      </c>
      <c r="G1563" s="30" t="s">
        <v>8797</v>
      </c>
      <c r="H1563" s="42" t="s">
        <v>8798</v>
      </c>
      <c r="I1563" s="29" t="s">
        <v>127</v>
      </c>
      <c r="J1563" s="31">
        <v>4.0</v>
      </c>
      <c r="K1563" s="35"/>
      <c r="L1563" s="35"/>
      <c r="M1563" s="35"/>
      <c r="N1563" s="35"/>
      <c r="O1563" s="35"/>
      <c r="P1563" s="35"/>
      <c r="Q1563" s="35"/>
      <c r="R1563" s="35"/>
      <c r="S1563" s="37">
        <f>IF(B1563="","",IF(ISNUMBER(J1563),IF(J1563&lt;=10,'Configuración'!$B$23,IF(J1563&lt;=50,'Configuración'!$B$24,IF(J1563&lt;=200,'Configuración'!$B$25,0))),0))</f>
        <v>12</v>
      </c>
      <c r="T1563" s="37">
        <f>IF(B1563="","",IF(ISNUMBER(SEARCH("information technology",I1563))+ISNUMBER(SEARCH("software",I1563))+ISNUMBER(SEARCH("internet",I1563))+ISNUMBER(SEARCH("computer",I1563))+ISNUMBER(SEARCH("saas",I1563))+ISNUMBER(SEARCH("fintech",I1563))+ISNUMBER(SEARCH("information services",I1563))+ISNUMBER(SEARCH("telecommunications",I1563))&gt;0,'Configuración'!$B$27,'Configuración'!$B$28))</f>
        <v>12</v>
      </c>
      <c r="U1563" s="25">
        <f>IF(B1563="","",IF(ISNUMBER(SEARCH("CEO",C1563))+ISNUMBER(SEARCH("Founder",C1563))+ISNUMBER(SEARCH("Owner",C1563))+ISNUMBER(SEARCH("Dueño",C1563))+ISNUMBER(SEARCH("Director General",C1563))+ISNUMBER(SEARCH("Presidente",C1563))+ISNUMBER(SEARCH("President",C1563))&gt;0,'Configuración'!$B$31,IF(ISNUMBER(SEARCH("CMO",C1563))+ISNUMBER(SEARCH("Chief Marketing",C1563))+ISNUMBER(SEARCH("VP Marketing",C1563))+ISNUMBER(SEARCH("Director de Marketing",C1563))+ISNUMBER(SEARCH("Director Marketing",C1563))+ISNUMBER(SEARCH("Head of Marketing",C1563))+ISNUMBER(SEARCH("Head Marketing",C1563))&gt;0,'Configuración'!$B$32,IF(ISNUMBER(SEARCH("Marketing Manager",C1563))+ISNUMBER(SEARCH("Gerente de Marketing",C1563))+ISNUMBER(SEARCH("Growth Manager",C1563))+ISNUMBER(SEARCH("Demand Gen",C1563))+ISNUMBER(SEARCH("Marketing Lead",C1563))&gt;0,'Configuración'!$B$33,IF(ISNUMBER(SEARCH("COO",C1563))+ISNUMBER(SEARCH("CFO",C1563))+ISNUMBER(SEARCH("CTO",C1563))+ISNUMBER(SEARCH("Chief Operating",C1563))+ISNUMBER(SEARCH("Chief Financial",C1563))+ISNUMBER(SEARCH("Gerente General",C1563))+ISNUMBER(SEARCH("General Manager",C1563))&gt;0,'Configuración'!$B$34,'Configuración'!$B$35)))))</f>
        <v>12</v>
      </c>
      <c r="V1563" s="38">
        <f>IF(B1563="","",IF(K1563="Sí",'Configuración'!$B$5,0)+IF(L1563="Semanal",'Configuración'!$B$6,IF(L1563="Mensual",'Configuración'!$B$7,0))+IF(M1563="Sí",'Configuración'!$B$8,0)+IF(N1563="Sí",'Configuración'!$B$9,0)+IF(O1563="Sí",'Configuración'!$B$10,0)+IF(P1563="Sí",'Configuración'!$B$11,0)+IF(Q1563="Sí",'Configuración'!$B$12,0)+S1563+T1563+U1563)</f>
        <v>36</v>
      </c>
      <c r="W1563" s="39" t="str">
        <f>IF(B1563="","",IF(V1563&gt;='Configuración'!$B$19,"A",IF(V1563&gt;='Configuración'!$B$20,"B",IF(V1563&gt;='Configuración'!$B$21,"C","Descarte"))))</f>
        <v>C</v>
      </c>
    </row>
    <row r="1564" ht="15.75" customHeight="1">
      <c r="A1564" s="34">
        <f t="shared" si="1"/>
        <v>1562</v>
      </c>
      <c r="B1564" s="29" t="s">
        <v>8799</v>
      </c>
      <c r="C1564" s="29" t="s">
        <v>8800</v>
      </c>
      <c r="D1564" s="29" t="s">
        <v>8801</v>
      </c>
      <c r="E1564" s="29" t="s">
        <v>8802</v>
      </c>
      <c r="F1564" s="30" t="s">
        <v>8803</v>
      </c>
      <c r="G1564" s="30" t="s">
        <v>8804</v>
      </c>
      <c r="H1564" s="42" t="s">
        <v>8805</v>
      </c>
      <c r="I1564" s="29" t="s">
        <v>116</v>
      </c>
      <c r="J1564" s="31">
        <v>13.0</v>
      </c>
      <c r="K1564" s="35"/>
      <c r="L1564" s="35"/>
      <c r="M1564" s="35"/>
      <c r="N1564" s="35"/>
      <c r="O1564" s="35"/>
      <c r="P1564" s="35"/>
      <c r="Q1564" s="35"/>
      <c r="R1564" s="35"/>
      <c r="S1564" s="37">
        <f>IF(B1564="","",IF(ISNUMBER(J1564),IF(J1564&lt;=10,'Configuración'!$B$23,IF(J1564&lt;=50,'Configuración'!$B$24,IF(J1564&lt;=200,'Configuración'!$B$25,0))),0))</f>
        <v>4</v>
      </c>
      <c r="T1564" s="37">
        <f>IF(B1564="","",IF(ISNUMBER(SEARCH("information technology",I1564))+ISNUMBER(SEARCH("software",I1564))+ISNUMBER(SEARCH("internet",I1564))+ISNUMBER(SEARCH("computer",I1564))+ISNUMBER(SEARCH("saas",I1564))+ISNUMBER(SEARCH("fintech",I1564))+ISNUMBER(SEARCH("information services",I1564))+ISNUMBER(SEARCH("telecommunications",I1564))&gt;0,'Configuración'!$B$27,'Configuración'!$B$28))</f>
        <v>4</v>
      </c>
      <c r="U1564" s="25">
        <f>IF(B1564="","",IF(ISNUMBER(SEARCH("CEO",C1564))+ISNUMBER(SEARCH("Founder",C1564))+ISNUMBER(SEARCH("Owner",C1564))+ISNUMBER(SEARCH("Dueño",C1564))+ISNUMBER(SEARCH("Director General",C1564))+ISNUMBER(SEARCH("Presidente",C1564))+ISNUMBER(SEARCH("President",C1564))&gt;0,'Configuración'!$B$31,IF(ISNUMBER(SEARCH("CMO",C1564))+ISNUMBER(SEARCH("Chief Marketing",C1564))+ISNUMBER(SEARCH("VP Marketing",C1564))+ISNUMBER(SEARCH("Director de Marketing",C1564))+ISNUMBER(SEARCH("Director Marketing",C1564))+ISNUMBER(SEARCH("Head of Marketing",C1564))+ISNUMBER(SEARCH("Head Marketing",C1564))&gt;0,'Configuración'!$B$32,IF(ISNUMBER(SEARCH("Marketing Manager",C1564))+ISNUMBER(SEARCH("Gerente de Marketing",C1564))+ISNUMBER(SEARCH("Growth Manager",C1564))+ISNUMBER(SEARCH("Demand Gen",C1564))+ISNUMBER(SEARCH("Marketing Lead",C1564))&gt;0,'Configuración'!$B$33,IF(ISNUMBER(SEARCH("COO",C1564))+ISNUMBER(SEARCH("CFO",C1564))+ISNUMBER(SEARCH("CTO",C1564))+ISNUMBER(SEARCH("Chief Operating",C1564))+ISNUMBER(SEARCH("Chief Financial",C1564))+ISNUMBER(SEARCH("Gerente General",C1564))+ISNUMBER(SEARCH("General Manager",C1564))&gt;0,'Configuración'!$B$34,'Configuración'!$B$35)))))</f>
        <v>12</v>
      </c>
      <c r="V1564" s="38">
        <f>IF(B1564="","",IF(K1564="Sí",'Configuración'!$B$5,0)+IF(L1564="Semanal",'Configuración'!$B$6,IF(L1564="Mensual",'Configuración'!$B$7,0))+IF(M1564="Sí",'Configuración'!$B$8,0)+IF(N1564="Sí",'Configuración'!$B$9,0)+IF(O1564="Sí",'Configuración'!$B$10,0)+IF(P1564="Sí",'Configuración'!$B$11,0)+IF(Q1564="Sí",'Configuración'!$B$12,0)+S1564+T1564+U1564)</f>
        <v>20</v>
      </c>
      <c r="W1564" s="39" t="str">
        <f>IF(B1564="","",IF(V1564&gt;='Configuración'!$B$19,"A",IF(V1564&gt;='Configuración'!$B$20,"B",IF(V1564&gt;='Configuración'!$B$21,"C","Descarte"))))</f>
        <v>Descarte</v>
      </c>
    </row>
    <row r="1565" ht="15.75" customHeight="1">
      <c r="A1565" s="34">
        <f t="shared" si="1"/>
        <v>1563</v>
      </c>
      <c r="B1565" s="29" t="s">
        <v>120</v>
      </c>
      <c r="C1565" s="29" t="s">
        <v>1535</v>
      </c>
      <c r="D1565" s="29" t="s">
        <v>8806</v>
      </c>
      <c r="E1565" s="29" t="s">
        <v>8807</v>
      </c>
      <c r="F1565" s="30" t="s">
        <v>8808</v>
      </c>
      <c r="G1565" s="30" t="s">
        <v>8809</v>
      </c>
      <c r="H1565" s="42" t="s">
        <v>8810</v>
      </c>
      <c r="I1565" s="29" t="s">
        <v>337</v>
      </c>
      <c r="J1565" s="31">
        <v>2.0</v>
      </c>
      <c r="K1565" s="35"/>
      <c r="L1565" s="35"/>
      <c r="M1565" s="35"/>
      <c r="N1565" s="35"/>
      <c r="O1565" s="35"/>
      <c r="P1565" s="35"/>
      <c r="Q1565" s="35"/>
      <c r="R1565" s="35"/>
      <c r="S1565" s="37">
        <f>IF(B1565="","",IF(ISNUMBER(J1565),IF(J1565&lt;=10,'Configuración'!$B$23,IF(J1565&lt;=50,'Configuración'!$B$24,IF(J1565&lt;=200,'Configuración'!$B$25,0))),0))</f>
        <v>12</v>
      </c>
      <c r="T1565" s="37">
        <f>IF(B1565="","",IF(ISNUMBER(SEARCH("information technology",I1565))+ISNUMBER(SEARCH("software",I1565))+ISNUMBER(SEARCH("internet",I1565))+ISNUMBER(SEARCH("computer",I1565))+ISNUMBER(SEARCH("saas",I1565))+ISNUMBER(SEARCH("fintech",I1565))+ISNUMBER(SEARCH("information services",I1565))+ISNUMBER(SEARCH("telecommunications",I1565))&gt;0,'Configuración'!$B$27,'Configuración'!$B$28))</f>
        <v>4</v>
      </c>
      <c r="U1565" s="25">
        <f>IF(B1565="","",IF(ISNUMBER(SEARCH("CEO",C1565))+ISNUMBER(SEARCH("Founder",C1565))+ISNUMBER(SEARCH("Owner",C1565))+ISNUMBER(SEARCH("Dueño",C1565))+ISNUMBER(SEARCH("Director General",C1565))+ISNUMBER(SEARCH("Presidente",C1565))+ISNUMBER(SEARCH("President",C1565))&gt;0,'Configuración'!$B$31,IF(ISNUMBER(SEARCH("CMO",C1565))+ISNUMBER(SEARCH("Chief Marketing",C1565))+ISNUMBER(SEARCH("VP Marketing",C1565))+ISNUMBER(SEARCH("Director de Marketing",C1565))+ISNUMBER(SEARCH("Director Marketing",C1565))+ISNUMBER(SEARCH("Head of Marketing",C1565))+ISNUMBER(SEARCH("Head Marketing",C1565))&gt;0,'Configuración'!$B$32,IF(ISNUMBER(SEARCH("Marketing Manager",C1565))+ISNUMBER(SEARCH("Gerente de Marketing",C1565))+ISNUMBER(SEARCH("Growth Manager",C1565))+ISNUMBER(SEARCH("Demand Gen",C1565))+ISNUMBER(SEARCH("Marketing Lead",C1565))&gt;0,'Configuración'!$B$33,IF(ISNUMBER(SEARCH("COO",C1565))+ISNUMBER(SEARCH("CFO",C1565))+ISNUMBER(SEARCH("CTO",C1565))+ISNUMBER(SEARCH("Chief Operating",C1565))+ISNUMBER(SEARCH("Chief Financial",C1565))+ISNUMBER(SEARCH("Gerente General",C1565))+ISNUMBER(SEARCH("General Manager",C1565))&gt;0,'Configuración'!$B$34,'Configuración'!$B$35)))))</f>
        <v>12</v>
      </c>
      <c r="V1565" s="38">
        <f>IF(B1565="","",IF(K1565="Sí",'Configuración'!$B$5,0)+IF(L1565="Semanal",'Configuración'!$B$6,IF(L1565="Mensual",'Configuración'!$B$7,0))+IF(M1565="Sí",'Configuración'!$B$8,0)+IF(N1565="Sí",'Configuración'!$B$9,0)+IF(O1565="Sí",'Configuración'!$B$10,0)+IF(P1565="Sí",'Configuración'!$B$11,0)+IF(Q1565="Sí",'Configuración'!$B$12,0)+S1565+T1565+U1565)</f>
        <v>28</v>
      </c>
      <c r="W1565" s="39" t="str">
        <f>IF(B1565="","",IF(V1565&gt;='Configuración'!$B$19,"A",IF(V1565&gt;='Configuración'!$B$20,"B",IF(V1565&gt;='Configuración'!$B$21,"C","Descarte"))))</f>
        <v>C</v>
      </c>
    </row>
    <row r="1566" ht="15.75" customHeight="1">
      <c r="A1566" s="34">
        <f t="shared" si="1"/>
        <v>1564</v>
      </c>
      <c r="B1566" s="29" t="s">
        <v>556</v>
      </c>
      <c r="C1566" s="29" t="s">
        <v>487</v>
      </c>
      <c r="D1566" s="29" t="s">
        <v>8811</v>
      </c>
      <c r="E1566" s="29" t="s">
        <v>8812</v>
      </c>
      <c r="F1566" s="30" t="s">
        <v>8813</v>
      </c>
      <c r="G1566" s="30" t="s">
        <v>8814</v>
      </c>
      <c r="H1566" s="42" t="s">
        <v>8815</v>
      </c>
      <c r="I1566" s="29" t="s">
        <v>2170</v>
      </c>
      <c r="J1566" s="31">
        <v>7.0</v>
      </c>
      <c r="K1566" s="35"/>
      <c r="L1566" s="35"/>
      <c r="M1566" s="35"/>
      <c r="N1566" s="35"/>
      <c r="O1566" s="35"/>
      <c r="P1566" s="35"/>
      <c r="Q1566" s="35"/>
      <c r="R1566" s="35"/>
      <c r="S1566" s="37">
        <f>IF(B1566="","",IF(ISNUMBER(J1566),IF(J1566&lt;=10,'Configuración'!$B$23,IF(J1566&lt;=50,'Configuración'!$B$24,IF(J1566&lt;=200,'Configuración'!$B$25,0))),0))</f>
        <v>12</v>
      </c>
      <c r="T1566" s="37">
        <f>IF(B1566="","",IF(ISNUMBER(SEARCH("information technology",I1566))+ISNUMBER(SEARCH("software",I1566))+ISNUMBER(SEARCH("internet",I1566))+ISNUMBER(SEARCH("computer",I1566))+ISNUMBER(SEARCH("saas",I1566))+ISNUMBER(SEARCH("fintech",I1566))+ISNUMBER(SEARCH("information services",I1566))+ISNUMBER(SEARCH("telecommunications",I1566))&gt;0,'Configuración'!$B$27,'Configuración'!$B$28))</f>
        <v>12</v>
      </c>
      <c r="U1566" s="25">
        <f>IF(B1566="","",IF(ISNUMBER(SEARCH("CEO",C1566))+ISNUMBER(SEARCH("Founder",C1566))+ISNUMBER(SEARCH("Owner",C1566))+ISNUMBER(SEARCH("Dueño",C1566))+ISNUMBER(SEARCH("Director General",C1566))+ISNUMBER(SEARCH("Presidente",C1566))+ISNUMBER(SEARCH("President",C1566))&gt;0,'Configuración'!$B$31,IF(ISNUMBER(SEARCH("CMO",C1566))+ISNUMBER(SEARCH("Chief Marketing",C1566))+ISNUMBER(SEARCH("VP Marketing",C1566))+ISNUMBER(SEARCH("Director de Marketing",C1566))+ISNUMBER(SEARCH("Director Marketing",C1566))+ISNUMBER(SEARCH("Head of Marketing",C1566))+ISNUMBER(SEARCH("Head Marketing",C1566))&gt;0,'Configuración'!$B$32,IF(ISNUMBER(SEARCH("Marketing Manager",C1566))+ISNUMBER(SEARCH("Gerente de Marketing",C1566))+ISNUMBER(SEARCH("Growth Manager",C1566))+ISNUMBER(SEARCH("Demand Gen",C1566))+ISNUMBER(SEARCH("Marketing Lead",C1566))&gt;0,'Configuración'!$B$33,IF(ISNUMBER(SEARCH("COO",C1566))+ISNUMBER(SEARCH("CFO",C1566))+ISNUMBER(SEARCH("CTO",C1566))+ISNUMBER(SEARCH("Chief Operating",C1566))+ISNUMBER(SEARCH("Chief Financial",C1566))+ISNUMBER(SEARCH("Gerente General",C1566))+ISNUMBER(SEARCH("General Manager",C1566))&gt;0,'Configuración'!$B$34,'Configuración'!$B$35)))))</f>
        <v>12</v>
      </c>
      <c r="V1566" s="38">
        <f>IF(B1566="","",IF(K1566="Sí",'Configuración'!$B$5,0)+IF(L1566="Semanal",'Configuración'!$B$6,IF(L1566="Mensual",'Configuración'!$B$7,0))+IF(M1566="Sí",'Configuración'!$B$8,0)+IF(N1566="Sí",'Configuración'!$B$9,0)+IF(O1566="Sí",'Configuración'!$B$10,0)+IF(P1566="Sí",'Configuración'!$B$11,0)+IF(Q1566="Sí",'Configuración'!$B$12,0)+S1566+T1566+U1566)</f>
        <v>36</v>
      </c>
      <c r="W1566" s="39" t="str">
        <f>IF(B1566="","",IF(V1566&gt;='Configuración'!$B$19,"A",IF(V1566&gt;='Configuración'!$B$20,"B",IF(V1566&gt;='Configuración'!$B$21,"C","Descarte"))))</f>
        <v>C</v>
      </c>
    </row>
    <row r="1567" ht="15.75" customHeight="1">
      <c r="A1567" s="34">
        <f t="shared" si="1"/>
        <v>1565</v>
      </c>
      <c r="B1567" s="29" t="s">
        <v>8816</v>
      </c>
      <c r="C1567" s="29" t="s">
        <v>8817</v>
      </c>
      <c r="D1567" s="29" t="s">
        <v>8818</v>
      </c>
      <c r="E1567" s="29" t="s">
        <v>8819</v>
      </c>
      <c r="F1567" s="30" t="s">
        <v>8820</v>
      </c>
      <c r="G1567" s="30" t="s">
        <v>8821</v>
      </c>
      <c r="H1567" s="42" t="s">
        <v>8822</v>
      </c>
      <c r="I1567" s="29" t="s">
        <v>1393</v>
      </c>
      <c r="J1567" s="31">
        <v>12.0</v>
      </c>
      <c r="K1567" s="35"/>
      <c r="L1567" s="35"/>
      <c r="M1567" s="35"/>
      <c r="N1567" s="35"/>
      <c r="O1567" s="35"/>
      <c r="P1567" s="35"/>
      <c r="Q1567" s="35"/>
      <c r="R1567" s="35"/>
      <c r="S1567" s="37">
        <f>IF(B1567="","",IF(ISNUMBER(J1567),IF(J1567&lt;=10,'Configuración'!$B$23,IF(J1567&lt;=50,'Configuración'!$B$24,IF(J1567&lt;=200,'Configuración'!$B$25,0))),0))</f>
        <v>4</v>
      </c>
      <c r="T1567" s="37">
        <f>IF(B1567="","",IF(ISNUMBER(SEARCH("information technology",I1567))+ISNUMBER(SEARCH("software",I1567))+ISNUMBER(SEARCH("internet",I1567))+ISNUMBER(SEARCH("computer",I1567))+ISNUMBER(SEARCH("saas",I1567))+ISNUMBER(SEARCH("fintech",I1567))+ISNUMBER(SEARCH("information services",I1567))+ISNUMBER(SEARCH("telecommunications",I1567))&gt;0,'Configuración'!$B$27,'Configuración'!$B$28))</f>
        <v>4</v>
      </c>
      <c r="U1567" s="25">
        <f>IF(B1567="","",IF(ISNUMBER(SEARCH("CEO",C1567))+ISNUMBER(SEARCH("Founder",C1567))+ISNUMBER(SEARCH("Owner",C1567))+ISNUMBER(SEARCH("Dueño",C1567))+ISNUMBER(SEARCH("Director General",C1567))+ISNUMBER(SEARCH("Presidente",C1567))+ISNUMBER(SEARCH("President",C1567))&gt;0,'Configuración'!$B$31,IF(ISNUMBER(SEARCH("CMO",C1567))+ISNUMBER(SEARCH("Chief Marketing",C1567))+ISNUMBER(SEARCH("VP Marketing",C1567))+ISNUMBER(SEARCH("Director de Marketing",C1567))+ISNUMBER(SEARCH("Director Marketing",C1567))+ISNUMBER(SEARCH("Head of Marketing",C1567))+ISNUMBER(SEARCH("Head Marketing",C1567))&gt;0,'Configuración'!$B$32,IF(ISNUMBER(SEARCH("Marketing Manager",C1567))+ISNUMBER(SEARCH("Gerente de Marketing",C1567))+ISNUMBER(SEARCH("Growth Manager",C1567))+ISNUMBER(SEARCH("Demand Gen",C1567))+ISNUMBER(SEARCH("Marketing Lead",C1567))&gt;0,'Configuración'!$B$33,IF(ISNUMBER(SEARCH("COO",C1567))+ISNUMBER(SEARCH("CFO",C1567))+ISNUMBER(SEARCH("CTO",C1567))+ISNUMBER(SEARCH("Chief Operating",C1567))+ISNUMBER(SEARCH("Chief Financial",C1567))+ISNUMBER(SEARCH("Gerente General",C1567))+ISNUMBER(SEARCH("General Manager",C1567))&gt;0,'Configuración'!$B$34,'Configuración'!$B$35)))))</f>
        <v>12</v>
      </c>
      <c r="V1567" s="38">
        <f>IF(B1567="","",IF(K1567="Sí",'Configuración'!$B$5,0)+IF(L1567="Semanal",'Configuración'!$B$6,IF(L1567="Mensual",'Configuración'!$B$7,0))+IF(M1567="Sí",'Configuración'!$B$8,0)+IF(N1567="Sí",'Configuración'!$B$9,0)+IF(O1567="Sí",'Configuración'!$B$10,0)+IF(P1567="Sí",'Configuración'!$B$11,0)+IF(Q1567="Sí",'Configuración'!$B$12,0)+S1567+T1567+U1567)</f>
        <v>20</v>
      </c>
      <c r="W1567" s="39" t="str">
        <f>IF(B1567="","",IF(V1567&gt;='Configuración'!$B$19,"A",IF(V1567&gt;='Configuración'!$B$20,"B",IF(V1567&gt;='Configuración'!$B$21,"C","Descarte"))))</f>
        <v>Descarte</v>
      </c>
    </row>
    <row r="1568" ht="15.75" customHeight="1">
      <c r="A1568" s="34">
        <f t="shared" si="1"/>
        <v>1566</v>
      </c>
      <c r="B1568" s="29" t="s">
        <v>138</v>
      </c>
      <c r="C1568" s="29" t="s">
        <v>622</v>
      </c>
      <c r="D1568" s="29" t="s">
        <v>4066</v>
      </c>
      <c r="E1568" s="29" t="s">
        <v>8823</v>
      </c>
      <c r="F1568" s="30" t="s">
        <v>8824</v>
      </c>
      <c r="G1568" s="30" t="s">
        <v>4069</v>
      </c>
      <c r="H1568" s="42" t="s">
        <v>4070</v>
      </c>
      <c r="I1568" s="29" t="s">
        <v>127</v>
      </c>
      <c r="J1568" s="31">
        <v>24.0</v>
      </c>
      <c r="K1568" s="35"/>
      <c r="L1568" s="35"/>
      <c r="M1568" s="35"/>
      <c r="N1568" s="35"/>
      <c r="O1568" s="35"/>
      <c r="P1568" s="35"/>
      <c r="Q1568" s="35"/>
      <c r="R1568" s="35"/>
      <c r="S1568" s="37">
        <f>IF(B1568="","",IF(ISNUMBER(J1568),IF(J1568&lt;=10,'Configuración'!$B$23,IF(J1568&lt;=50,'Configuración'!$B$24,IF(J1568&lt;=200,'Configuración'!$B$25,0))),0))</f>
        <v>4</v>
      </c>
      <c r="T1568" s="37">
        <f>IF(B1568="","",IF(ISNUMBER(SEARCH("information technology",I1568))+ISNUMBER(SEARCH("software",I1568))+ISNUMBER(SEARCH("internet",I1568))+ISNUMBER(SEARCH("computer",I1568))+ISNUMBER(SEARCH("saas",I1568))+ISNUMBER(SEARCH("fintech",I1568))+ISNUMBER(SEARCH("information services",I1568))+ISNUMBER(SEARCH("telecommunications",I1568))&gt;0,'Configuración'!$B$27,'Configuración'!$B$28))</f>
        <v>12</v>
      </c>
      <c r="U1568" s="25">
        <f>IF(B1568="","",IF(ISNUMBER(SEARCH("CEO",C1568))+ISNUMBER(SEARCH("Founder",C1568))+ISNUMBER(SEARCH("Owner",C1568))+ISNUMBER(SEARCH("Dueño",C1568))+ISNUMBER(SEARCH("Director General",C1568))+ISNUMBER(SEARCH("Presidente",C1568))+ISNUMBER(SEARCH("President",C1568))&gt;0,'Configuración'!$B$31,IF(ISNUMBER(SEARCH("CMO",C1568))+ISNUMBER(SEARCH("Chief Marketing",C1568))+ISNUMBER(SEARCH("VP Marketing",C1568))+ISNUMBER(SEARCH("Director de Marketing",C1568))+ISNUMBER(SEARCH("Director Marketing",C1568))+ISNUMBER(SEARCH("Head of Marketing",C1568))+ISNUMBER(SEARCH("Head Marketing",C1568))&gt;0,'Configuración'!$B$32,IF(ISNUMBER(SEARCH("Marketing Manager",C1568))+ISNUMBER(SEARCH("Gerente de Marketing",C1568))+ISNUMBER(SEARCH("Growth Manager",C1568))+ISNUMBER(SEARCH("Demand Gen",C1568))+ISNUMBER(SEARCH("Marketing Lead",C1568))&gt;0,'Configuración'!$B$33,IF(ISNUMBER(SEARCH("COO",C1568))+ISNUMBER(SEARCH("CFO",C1568))+ISNUMBER(SEARCH("CTO",C1568))+ISNUMBER(SEARCH("Chief Operating",C1568))+ISNUMBER(SEARCH("Chief Financial",C1568))+ISNUMBER(SEARCH("Gerente General",C1568))+ISNUMBER(SEARCH("General Manager",C1568))&gt;0,'Configuración'!$B$34,'Configuración'!$B$35)))))</f>
        <v>12</v>
      </c>
      <c r="V1568" s="38">
        <f>IF(B1568="","",IF(K1568="Sí",'Configuración'!$B$5,0)+IF(L1568="Semanal",'Configuración'!$B$6,IF(L1568="Mensual",'Configuración'!$B$7,0))+IF(M1568="Sí",'Configuración'!$B$8,0)+IF(N1568="Sí",'Configuración'!$B$9,0)+IF(O1568="Sí",'Configuración'!$B$10,0)+IF(P1568="Sí",'Configuración'!$B$11,0)+IF(Q1568="Sí",'Configuración'!$B$12,0)+S1568+T1568+U1568)</f>
        <v>28</v>
      </c>
      <c r="W1568" s="39" t="str">
        <f>IF(B1568="","",IF(V1568&gt;='Configuración'!$B$19,"A",IF(V1568&gt;='Configuración'!$B$20,"B",IF(V1568&gt;='Configuración'!$B$21,"C","Descarte"))))</f>
        <v>C</v>
      </c>
    </row>
    <row r="1569" ht="15.75" customHeight="1">
      <c r="A1569" s="34">
        <f t="shared" si="1"/>
        <v>1567</v>
      </c>
      <c r="B1569" s="29" t="s">
        <v>897</v>
      </c>
      <c r="C1569" s="29" t="s">
        <v>8825</v>
      </c>
      <c r="D1569" s="29" t="s">
        <v>8826</v>
      </c>
      <c r="E1569" s="29" t="s">
        <v>8827</v>
      </c>
      <c r="F1569" s="30" t="s">
        <v>8828</v>
      </c>
      <c r="G1569" s="30" t="s">
        <v>8829</v>
      </c>
      <c r="H1569" s="42" t="s">
        <v>8830</v>
      </c>
      <c r="I1569" s="29" t="s">
        <v>172</v>
      </c>
      <c r="J1569" s="31">
        <v>25.0</v>
      </c>
      <c r="K1569" s="35"/>
      <c r="L1569" s="35"/>
      <c r="M1569" s="35"/>
      <c r="N1569" s="35"/>
      <c r="O1569" s="35"/>
      <c r="P1569" s="35"/>
      <c r="Q1569" s="35"/>
      <c r="R1569" s="35"/>
      <c r="S1569" s="37">
        <f>IF(B1569="","",IF(ISNUMBER(J1569),IF(J1569&lt;=10,'Configuración'!$B$23,IF(J1569&lt;=50,'Configuración'!$B$24,IF(J1569&lt;=200,'Configuración'!$B$25,0))),0))</f>
        <v>4</v>
      </c>
      <c r="T1569" s="37">
        <f>IF(B1569="","",IF(ISNUMBER(SEARCH("information technology",I1569))+ISNUMBER(SEARCH("software",I1569))+ISNUMBER(SEARCH("internet",I1569))+ISNUMBER(SEARCH("computer",I1569))+ISNUMBER(SEARCH("saas",I1569))+ISNUMBER(SEARCH("fintech",I1569))+ISNUMBER(SEARCH("information services",I1569))+ISNUMBER(SEARCH("telecommunications",I1569))&gt;0,'Configuración'!$B$27,'Configuración'!$B$28))</f>
        <v>4</v>
      </c>
      <c r="U1569" s="25">
        <f>IF(B1569="","",IF(ISNUMBER(SEARCH("CEO",C1569))+ISNUMBER(SEARCH("Founder",C1569))+ISNUMBER(SEARCH("Owner",C1569))+ISNUMBER(SEARCH("Dueño",C1569))+ISNUMBER(SEARCH("Director General",C1569))+ISNUMBER(SEARCH("Presidente",C1569))+ISNUMBER(SEARCH("President",C1569))&gt;0,'Configuración'!$B$31,IF(ISNUMBER(SEARCH("CMO",C1569))+ISNUMBER(SEARCH("Chief Marketing",C1569))+ISNUMBER(SEARCH("VP Marketing",C1569))+ISNUMBER(SEARCH("Director de Marketing",C1569))+ISNUMBER(SEARCH("Director Marketing",C1569))+ISNUMBER(SEARCH("Head of Marketing",C1569))+ISNUMBER(SEARCH("Head Marketing",C1569))&gt;0,'Configuración'!$B$32,IF(ISNUMBER(SEARCH("Marketing Manager",C1569))+ISNUMBER(SEARCH("Gerente de Marketing",C1569))+ISNUMBER(SEARCH("Growth Manager",C1569))+ISNUMBER(SEARCH("Demand Gen",C1569))+ISNUMBER(SEARCH("Marketing Lead",C1569))&gt;0,'Configuración'!$B$33,IF(ISNUMBER(SEARCH("COO",C1569))+ISNUMBER(SEARCH("CFO",C1569))+ISNUMBER(SEARCH("CTO",C1569))+ISNUMBER(SEARCH("Chief Operating",C1569))+ISNUMBER(SEARCH("Chief Financial",C1569))+ISNUMBER(SEARCH("Gerente General",C1569))+ISNUMBER(SEARCH("General Manager",C1569))&gt;0,'Configuración'!$B$34,'Configuración'!$B$35)))))</f>
        <v>0</v>
      </c>
      <c r="V1569" s="38">
        <f>IF(B1569="","",IF(K1569="Sí",'Configuración'!$B$5,0)+IF(L1569="Semanal",'Configuración'!$B$6,IF(L1569="Mensual",'Configuración'!$B$7,0))+IF(M1569="Sí",'Configuración'!$B$8,0)+IF(N1569="Sí",'Configuración'!$B$9,0)+IF(O1569="Sí",'Configuración'!$B$10,0)+IF(P1569="Sí",'Configuración'!$B$11,0)+IF(Q1569="Sí",'Configuración'!$B$12,0)+S1569+T1569+U1569)</f>
        <v>8</v>
      </c>
      <c r="W1569" s="39" t="str">
        <f>IF(B1569="","",IF(V1569&gt;='Configuración'!$B$19,"A",IF(V1569&gt;='Configuración'!$B$20,"B",IF(V1569&gt;='Configuración'!$B$21,"C","Descarte"))))</f>
        <v>Descarte</v>
      </c>
    </row>
    <row r="1570" ht="15.75" customHeight="1">
      <c r="A1570" s="34">
        <f t="shared" si="1"/>
        <v>1568</v>
      </c>
      <c r="B1570" s="29" t="s">
        <v>159</v>
      </c>
      <c r="C1570" s="29" t="s">
        <v>8831</v>
      </c>
      <c r="D1570" s="29" t="s">
        <v>8832</v>
      </c>
      <c r="E1570" s="29" t="s">
        <v>8833</v>
      </c>
      <c r="F1570" s="30" t="s">
        <v>8834</v>
      </c>
      <c r="G1570" s="30" t="s">
        <v>8835</v>
      </c>
      <c r="H1570" s="42" t="s">
        <v>8836</v>
      </c>
      <c r="I1570" s="29" t="s">
        <v>2350</v>
      </c>
      <c r="J1570" s="31">
        <v>2.0</v>
      </c>
      <c r="K1570" s="35"/>
      <c r="L1570" s="35"/>
      <c r="M1570" s="35"/>
      <c r="N1570" s="35"/>
      <c r="O1570" s="35"/>
      <c r="P1570" s="35"/>
      <c r="Q1570" s="35"/>
      <c r="R1570" s="35"/>
      <c r="S1570" s="37">
        <f>IF(B1570="","",IF(ISNUMBER(J1570),IF(J1570&lt;=10,'Configuración'!$B$23,IF(J1570&lt;=50,'Configuración'!$B$24,IF(J1570&lt;=200,'Configuración'!$B$25,0))),0))</f>
        <v>12</v>
      </c>
      <c r="T1570" s="37">
        <f>IF(B1570="","",IF(ISNUMBER(SEARCH("information technology",I1570))+ISNUMBER(SEARCH("software",I1570))+ISNUMBER(SEARCH("internet",I1570))+ISNUMBER(SEARCH("computer",I1570))+ISNUMBER(SEARCH("saas",I1570))+ISNUMBER(SEARCH("fintech",I1570))+ISNUMBER(SEARCH("information services",I1570))+ISNUMBER(SEARCH("telecommunications",I1570))&gt;0,'Configuración'!$B$27,'Configuración'!$B$28))</f>
        <v>4</v>
      </c>
      <c r="U1570" s="25">
        <f>IF(B1570="","",IF(ISNUMBER(SEARCH("CEO",C1570))+ISNUMBER(SEARCH("Founder",C1570))+ISNUMBER(SEARCH("Owner",C1570))+ISNUMBER(SEARCH("Dueño",C1570))+ISNUMBER(SEARCH("Director General",C1570))+ISNUMBER(SEARCH("Presidente",C1570))+ISNUMBER(SEARCH("President",C1570))&gt;0,'Configuración'!$B$31,IF(ISNUMBER(SEARCH("CMO",C1570))+ISNUMBER(SEARCH("Chief Marketing",C1570))+ISNUMBER(SEARCH("VP Marketing",C1570))+ISNUMBER(SEARCH("Director de Marketing",C1570))+ISNUMBER(SEARCH("Director Marketing",C1570))+ISNUMBER(SEARCH("Head of Marketing",C1570))+ISNUMBER(SEARCH("Head Marketing",C1570))&gt;0,'Configuración'!$B$32,IF(ISNUMBER(SEARCH("Marketing Manager",C1570))+ISNUMBER(SEARCH("Gerente de Marketing",C1570))+ISNUMBER(SEARCH("Growth Manager",C1570))+ISNUMBER(SEARCH("Demand Gen",C1570))+ISNUMBER(SEARCH("Marketing Lead",C1570))&gt;0,'Configuración'!$B$33,IF(ISNUMBER(SEARCH("COO",C1570))+ISNUMBER(SEARCH("CFO",C1570))+ISNUMBER(SEARCH("CTO",C1570))+ISNUMBER(SEARCH("Chief Operating",C1570))+ISNUMBER(SEARCH("Chief Financial",C1570))+ISNUMBER(SEARCH("Gerente General",C1570))+ISNUMBER(SEARCH("General Manager",C1570))&gt;0,'Configuración'!$B$34,'Configuración'!$B$35)))))</f>
        <v>12</v>
      </c>
      <c r="V1570" s="38">
        <f>IF(B1570="","",IF(K1570="Sí",'Configuración'!$B$5,0)+IF(L1570="Semanal",'Configuración'!$B$6,IF(L1570="Mensual",'Configuración'!$B$7,0))+IF(M1570="Sí",'Configuración'!$B$8,0)+IF(N1570="Sí",'Configuración'!$B$9,0)+IF(O1570="Sí",'Configuración'!$B$10,0)+IF(P1570="Sí",'Configuración'!$B$11,0)+IF(Q1570="Sí",'Configuración'!$B$12,0)+S1570+T1570+U1570)</f>
        <v>28</v>
      </c>
      <c r="W1570" s="39" t="str">
        <f>IF(B1570="","",IF(V1570&gt;='Configuración'!$B$19,"A",IF(V1570&gt;='Configuración'!$B$20,"B",IF(V1570&gt;='Configuración'!$B$21,"C","Descarte"))))</f>
        <v>C</v>
      </c>
    </row>
    <row r="1571" ht="15.75" customHeight="1">
      <c r="A1571" s="34">
        <f t="shared" si="1"/>
        <v>1569</v>
      </c>
      <c r="B1571" s="29" t="s">
        <v>8837</v>
      </c>
      <c r="C1571" s="29" t="s">
        <v>2483</v>
      </c>
      <c r="D1571" s="29" t="s">
        <v>8838</v>
      </c>
      <c r="E1571" s="29" t="s">
        <v>8839</v>
      </c>
      <c r="F1571" s="30" t="s">
        <v>8840</v>
      </c>
      <c r="G1571" s="30" t="s">
        <v>8841</v>
      </c>
      <c r="H1571" s="42" t="s">
        <v>8842</v>
      </c>
      <c r="I1571" s="29" t="s">
        <v>188</v>
      </c>
      <c r="J1571" s="31">
        <v>45.0</v>
      </c>
      <c r="K1571" s="35"/>
      <c r="L1571" s="35"/>
      <c r="M1571" s="35"/>
      <c r="N1571" s="35"/>
      <c r="O1571" s="35"/>
      <c r="P1571" s="35"/>
      <c r="Q1571" s="35"/>
      <c r="R1571" s="35"/>
      <c r="S1571" s="37">
        <f>IF(B1571="","",IF(ISNUMBER(J1571),IF(J1571&lt;=10,'Configuración'!$B$23,IF(J1571&lt;=50,'Configuración'!$B$24,IF(J1571&lt;=200,'Configuración'!$B$25,0))),0))</f>
        <v>4</v>
      </c>
      <c r="T1571" s="37">
        <f>IF(B1571="","",IF(ISNUMBER(SEARCH("information technology",I1571))+ISNUMBER(SEARCH("software",I1571))+ISNUMBER(SEARCH("internet",I1571))+ISNUMBER(SEARCH("computer",I1571))+ISNUMBER(SEARCH("saas",I1571))+ISNUMBER(SEARCH("fintech",I1571))+ISNUMBER(SEARCH("information services",I1571))+ISNUMBER(SEARCH("telecommunications",I1571))&gt;0,'Configuración'!$B$27,'Configuración'!$B$28))</f>
        <v>4</v>
      </c>
      <c r="U1571" s="25">
        <f>IF(B1571="","",IF(ISNUMBER(SEARCH("CEO",C1571))+ISNUMBER(SEARCH("Founder",C1571))+ISNUMBER(SEARCH("Owner",C1571))+ISNUMBER(SEARCH("Dueño",C1571))+ISNUMBER(SEARCH("Director General",C1571))+ISNUMBER(SEARCH("Presidente",C1571))+ISNUMBER(SEARCH("President",C1571))&gt;0,'Configuración'!$B$31,IF(ISNUMBER(SEARCH("CMO",C1571))+ISNUMBER(SEARCH("Chief Marketing",C1571))+ISNUMBER(SEARCH("VP Marketing",C1571))+ISNUMBER(SEARCH("Director de Marketing",C1571))+ISNUMBER(SEARCH("Director Marketing",C1571))+ISNUMBER(SEARCH("Head of Marketing",C1571))+ISNUMBER(SEARCH("Head Marketing",C1571))&gt;0,'Configuración'!$B$32,IF(ISNUMBER(SEARCH("Marketing Manager",C1571))+ISNUMBER(SEARCH("Gerente de Marketing",C1571))+ISNUMBER(SEARCH("Growth Manager",C1571))+ISNUMBER(SEARCH("Demand Gen",C1571))+ISNUMBER(SEARCH("Marketing Lead",C1571))&gt;0,'Configuración'!$B$33,IF(ISNUMBER(SEARCH("COO",C1571))+ISNUMBER(SEARCH("CFO",C1571))+ISNUMBER(SEARCH("CTO",C1571))+ISNUMBER(SEARCH("Chief Operating",C1571))+ISNUMBER(SEARCH("Chief Financial",C1571))+ISNUMBER(SEARCH("Gerente General",C1571))+ISNUMBER(SEARCH("General Manager",C1571))&gt;0,'Configuración'!$B$34,'Configuración'!$B$35)))))</f>
        <v>12</v>
      </c>
      <c r="V1571" s="38">
        <f>IF(B1571="","",IF(K1571="Sí",'Configuración'!$B$5,0)+IF(L1571="Semanal",'Configuración'!$B$6,IF(L1571="Mensual",'Configuración'!$B$7,0))+IF(M1571="Sí",'Configuración'!$B$8,0)+IF(N1571="Sí",'Configuración'!$B$9,0)+IF(O1571="Sí",'Configuración'!$B$10,0)+IF(P1571="Sí",'Configuración'!$B$11,0)+IF(Q1571="Sí",'Configuración'!$B$12,0)+S1571+T1571+U1571)</f>
        <v>20</v>
      </c>
      <c r="W1571" s="39" t="str">
        <f>IF(B1571="","",IF(V1571&gt;='Configuración'!$B$19,"A",IF(V1571&gt;='Configuración'!$B$20,"B",IF(V1571&gt;='Configuración'!$B$21,"C","Descarte"))))</f>
        <v>Descarte</v>
      </c>
    </row>
    <row r="1572" ht="15.75" customHeight="1">
      <c r="A1572" s="34">
        <f t="shared" si="1"/>
        <v>1570</v>
      </c>
      <c r="B1572" s="29" t="s">
        <v>7641</v>
      </c>
      <c r="C1572" s="29" t="s">
        <v>5909</v>
      </c>
      <c r="D1572" s="29" t="s">
        <v>8843</v>
      </c>
      <c r="E1572" s="29" t="s">
        <v>8844</v>
      </c>
      <c r="F1572" s="30" t="s">
        <v>8845</v>
      </c>
      <c r="G1572" s="30" t="s">
        <v>8846</v>
      </c>
      <c r="H1572" s="42" t="s">
        <v>8847</v>
      </c>
      <c r="I1572" s="29" t="s">
        <v>127</v>
      </c>
      <c r="J1572" s="31">
        <v>11.0</v>
      </c>
      <c r="K1572" s="35"/>
      <c r="L1572" s="35"/>
      <c r="M1572" s="35"/>
      <c r="N1572" s="35"/>
      <c r="O1572" s="35"/>
      <c r="P1572" s="35"/>
      <c r="Q1572" s="35"/>
      <c r="R1572" s="35"/>
      <c r="S1572" s="37">
        <f>IF(B1572="","",IF(ISNUMBER(J1572),IF(J1572&lt;=10,'Configuración'!$B$23,IF(J1572&lt;=50,'Configuración'!$B$24,IF(J1572&lt;=200,'Configuración'!$B$25,0))),0))</f>
        <v>4</v>
      </c>
      <c r="T1572" s="37">
        <f>IF(B1572="","",IF(ISNUMBER(SEARCH("information technology",I1572))+ISNUMBER(SEARCH("software",I1572))+ISNUMBER(SEARCH("internet",I1572))+ISNUMBER(SEARCH("computer",I1572))+ISNUMBER(SEARCH("saas",I1572))+ISNUMBER(SEARCH("fintech",I1572))+ISNUMBER(SEARCH("information services",I1572))+ISNUMBER(SEARCH("telecommunications",I1572))&gt;0,'Configuración'!$B$27,'Configuración'!$B$28))</f>
        <v>12</v>
      </c>
      <c r="U1572" s="25">
        <f>IF(B1572="","",IF(ISNUMBER(SEARCH("CEO",C1572))+ISNUMBER(SEARCH("Founder",C1572))+ISNUMBER(SEARCH("Owner",C1572))+ISNUMBER(SEARCH("Dueño",C1572))+ISNUMBER(SEARCH("Director General",C1572))+ISNUMBER(SEARCH("Presidente",C1572))+ISNUMBER(SEARCH("President",C1572))&gt;0,'Configuración'!$B$31,IF(ISNUMBER(SEARCH("CMO",C1572))+ISNUMBER(SEARCH("Chief Marketing",C1572))+ISNUMBER(SEARCH("VP Marketing",C1572))+ISNUMBER(SEARCH("Director de Marketing",C1572))+ISNUMBER(SEARCH("Director Marketing",C1572))+ISNUMBER(SEARCH("Head of Marketing",C1572))+ISNUMBER(SEARCH("Head Marketing",C1572))&gt;0,'Configuración'!$B$32,IF(ISNUMBER(SEARCH("Marketing Manager",C1572))+ISNUMBER(SEARCH("Gerente de Marketing",C1572))+ISNUMBER(SEARCH("Growth Manager",C1572))+ISNUMBER(SEARCH("Demand Gen",C1572))+ISNUMBER(SEARCH("Marketing Lead",C1572))&gt;0,'Configuración'!$B$33,IF(ISNUMBER(SEARCH("COO",C1572))+ISNUMBER(SEARCH("CFO",C1572))+ISNUMBER(SEARCH("CTO",C1572))+ISNUMBER(SEARCH("Chief Operating",C1572))+ISNUMBER(SEARCH("Chief Financial",C1572))+ISNUMBER(SEARCH("Gerente General",C1572))+ISNUMBER(SEARCH("General Manager",C1572))&gt;0,'Configuración'!$B$34,'Configuración'!$B$35)))))</f>
        <v>4</v>
      </c>
      <c r="V1572" s="38">
        <f>IF(B1572="","",IF(K1572="Sí",'Configuración'!$B$5,0)+IF(L1572="Semanal",'Configuración'!$B$6,IF(L1572="Mensual",'Configuración'!$B$7,0))+IF(M1572="Sí",'Configuración'!$B$8,0)+IF(N1572="Sí",'Configuración'!$B$9,0)+IF(O1572="Sí",'Configuración'!$B$10,0)+IF(P1572="Sí",'Configuración'!$B$11,0)+IF(Q1572="Sí",'Configuración'!$B$12,0)+S1572+T1572+U1572)</f>
        <v>20</v>
      </c>
      <c r="W1572" s="39" t="str">
        <f>IF(B1572="","",IF(V1572&gt;='Configuración'!$B$19,"A",IF(V1572&gt;='Configuración'!$B$20,"B",IF(V1572&gt;='Configuración'!$B$21,"C","Descarte"))))</f>
        <v>Descarte</v>
      </c>
    </row>
    <row r="1573" ht="15.75" customHeight="1">
      <c r="A1573" s="34">
        <f t="shared" si="1"/>
        <v>1571</v>
      </c>
      <c r="B1573" s="29" t="s">
        <v>296</v>
      </c>
      <c r="C1573" s="29" t="s">
        <v>131</v>
      </c>
      <c r="D1573" s="29" t="s">
        <v>8848</v>
      </c>
      <c r="E1573" s="29" t="s">
        <v>8849</v>
      </c>
      <c r="F1573" s="30" t="s">
        <v>8850</v>
      </c>
      <c r="G1573" s="30" t="s">
        <v>8851</v>
      </c>
      <c r="H1573" s="42" t="s">
        <v>8852</v>
      </c>
      <c r="I1573" s="29" t="s">
        <v>2350</v>
      </c>
      <c r="J1573" s="31">
        <v>7.0</v>
      </c>
      <c r="K1573" s="35"/>
      <c r="L1573" s="35"/>
      <c r="M1573" s="35"/>
      <c r="N1573" s="35"/>
      <c r="O1573" s="35"/>
      <c r="P1573" s="35"/>
      <c r="Q1573" s="35"/>
      <c r="R1573" s="35"/>
      <c r="S1573" s="37">
        <f>IF(B1573="","",IF(ISNUMBER(J1573),IF(J1573&lt;=10,'Configuración'!$B$23,IF(J1573&lt;=50,'Configuración'!$B$24,IF(J1573&lt;=200,'Configuración'!$B$25,0))),0))</f>
        <v>12</v>
      </c>
      <c r="T1573" s="37">
        <f>IF(B1573="","",IF(ISNUMBER(SEARCH("information technology",I1573))+ISNUMBER(SEARCH("software",I1573))+ISNUMBER(SEARCH("internet",I1573))+ISNUMBER(SEARCH("computer",I1573))+ISNUMBER(SEARCH("saas",I1573))+ISNUMBER(SEARCH("fintech",I1573))+ISNUMBER(SEARCH("information services",I1573))+ISNUMBER(SEARCH("telecommunications",I1573))&gt;0,'Configuración'!$B$27,'Configuración'!$B$28))</f>
        <v>4</v>
      </c>
      <c r="U1573" s="25">
        <f>IF(B1573="","",IF(ISNUMBER(SEARCH("CEO",C1573))+ISNUMBER(SEARCH("Founder",C1573))+ISNUMBER(SEARCH("Owner",C1573))+ISNUMBER(SEARCH("Dueño",C1573))+ISNUMBER(SEARCH("Director General",C1573))+ISNUMBER(SEARCH("Presidente",C1573))+ISNUMBER(SEARCH("President",C1573))&gt;0,'Configuración'!$B$31,IF(ISNUMBER(SEARCH("CMO",C1573))+ISNUMBER(SEARCH("Chief Marketing",C1573))+ISNUMBER(SEARCH("VP Marketing",C1573))+ISNUMBER(SEARCH("Director de Marketing",C1573))+ISNUMBER(SEARCH("Director Marketing",C1573))+ISNUMBER(SEARCH("Head of Marketing",C1573))+ISNUMBER(SEARCH("Head Marketing",C1573))&gt;0,'Configuración'!$B$32,IF(ISNUMBER(SEARCH("Marketing Manager",C1573))+ISNUMBER(SEARCH("Gerente de Marketing",C1573))+ISNUMBER(SEARCH("Growth Manager",C1573))+ISNUMBER(SEARCH("Demand Gen",C1573))+ISNUMBER(SEARCH("Marketing Lead",C1573))&gt;0,'Configuración'!$B$33,IF(ISNUMBER(SEARCH("COO",C1573))+ISNUMBER(SEARCH("CFO",C1573))+ISNUMBER(SEARCH("CTO",C1573))+ISNUMBER(SEARCH("Chief Operating",C1573))+ISNUMBER(SEARCH("Chief Financial",C1573))+ISNUMBER(SEARCH("Gerente General",C1573))+ISNUMBER(SEARCH("General Manager",C1573))&gt;0,'Configuración'!$B$34,'Configuración'!$B$35)))))</f>
        <v>12</v>
      </c>
      <c r="V1573" s="38">
        <f>IF(B1573="","",IF(K1573="Sí",'Configuración'!$B$5,0)+IF(L1573="Semanal",'Configuración'!$B$6,IF(L1573="Mensual",'Configuración'!$B$7,0))+IF(M1573="Sí",'Configuración'!$B$8,0)+IF(N1573="Sí",'Configuración'!$B$9,0)+IF(O1573="Sí",'Configuración'!$B$10,0)+IF(P1573="Sí",'Configuración'!$B$11,0)+IF(Q1573="Sí",'Configuración'!$B$12,0)+S1573+T1573+U1573)</f>
        <v>28</v>
      </c>
      <c r="W1573" s="39" t="str">
        <f>IF(B1573="","",IF(V1573&gt;='Configuración'!$B$19,"A",IF(V1573&gt;='Configuración'!$B$20,"B",IF(V1573&gt;='Configuración'!$B$21,"C","Descarte"))))</f>
        <v>C</v>
      </c>
    </row>
    <row r="1574" ht="15.75" customHeight="1">
      <c r="A1574" s="34">
        <f t="shared" si="1"/>
        <v>1572</v>
      </c>
      <c r="B1574" s="29" t="s">
        <v>4525</v>
      </c>
      <c r="C1574" s="29" t="s">
        <v>318</v>
      </c>
      <c r="D1574" s="29" t="s">
        <v>6714</v>
      </c>
      <c r="E1574" s="29" t="s">
        <v>8853</v>
      </c>
      <c r="F1574" s="30" t="s">
        <v>8854</v>
      </c>
      <c r="G1574" s="30" t="s">
        <v>6717</v>
      </c>
      <c r="H1574" s="42" t="s">
        <v>6718</v>
      </c>
      <c r="I1574" s="29" t="s">
        <v>137</v>
      </c>
      <c r="J1574" s="31">
        <v>13.0</v>
      </c>
      <c r="K1574" s="35"/>
      <c r="L1574" s="35"/>
      <c r="M1574" s="35"/>
      <c r="N1574" s="35"/>
      <c r="O1574" s="35"/>
      <c r="P1574" s="35"/>
      <c r="Q1574" s="35"/>
      <c r="R1574" s="35"/>
      <c r="S1574" s="37">
        <f>IF(B1574="","",IF(ISNUMBER(J1574),IF(J1574&lt;=10,'Configuración'!$B$23,IF(J1574&lt;=50,'Configuración'!$B$24,IF(J1574&lt;=200,'Configuración'!$B$25,0))),0))</f>
        <v>4</v>
      </c>
      <c r="T1574" s="37">
        <f>IF(B1574="","",IF(ISNUMBER(SEARCH("information technology",I1574))+ISNUMBER(SEARCH("software",I1574))+ISNUMBER(SEARCH("internet",I1574))+ISNUMBER(SEARCH("computer",I1574))+ISNUMBER(SEARCH("saas",I1574))+ISNUMBER(SEARCH("fintech",I1574))+ISNUMBER(SEARCH("information services",I1574))+ISNUMBER(SEARCH("telecommunications",I1574))&gt;0,'Configuración'!$B$27,'Configuración'!$B$28))</f>
        <v>4</v>
      </c>
      <c r="U1574" s="25">
        <f>IF(B1574="","",IF(ISNUMBER(SEARCH("CEO",C1574))+ISNUMBER(SEARCH("Founder",C1574))+ISNUMBER(SEARCH("Owner",C1574))+ISNUMBER(SEARCH("Dueño",C1574))+ISNUMBER(SEARCH("Director General",C1574))+ISNUMBER(SEARCH("Presidente",C1574))+ISNUMBER(SEARCH("President",C1574))&gt;0,'Configuración'!$B$31,IF(ISNUMBER(SEARCH("CMO",C1574))+ISNUMBER(SEARCH("Chief Marketing",C1574))+ISNUMBER(SEARCH("VP Marketing",C1574))+ISNUMBER(SEARCH("Director de Marketing",C1574))+ISNUMBER(SEARCH("Director Marketing",C1574))+ISNUMBER(SEARCH("Head of Marketing",C1574))+ISNUMBER(SEARCH("Head Marketing",C1574))&gt;0,'Configuración'!$B$32,IF(ISNUMBER(SEARCH("Marketing Manager",C1574))+ISNUMBER(SEARCH("Gerente de Marketing",C1574))+ISNUMBER(SEARCH("Growth Manager",C1574))+ISNUMBER(SEARCH("Demand Gen",C1574))+ISNUMBER(SEARCH("Marketing Lead",C1574))&gt;0,'Configuración'!$B$33,IF(ISNUMBER(SEARCH("COO",C1574))+ISNUMBER(SEARCH("CFO",C1574))+ISNUMBER(SEARCH("CTO",C1574))+ISNUMBER(SEARCH("Chief Operating",C1574))+ISNUMBER(SEARCH("Chief Financial",C1574))+ISNUMBER(SEARCH("Gerente General",C1574))+ISNUMBER(SEARCH("General Manager",C1574))&gt;0,'Configuración'!$B$34,'Configuración'!$B$35)))))</f>
        <v>4</v>
      </c>
      <c r="V1574" s="38">
        <f>IF(B1574="","",IF(K1574="Sí",'Configuración'!$B$5,0)+IF(L1574="Semanal",'Configuración'!$B$6,IF(L1574="Mensual",'Configuración'!$B$7,0))+IF(M1574="Sí",'Configuración'!$B$8,0)+IF(N1574="Sí",'Configuración'!$B$9,0)+IF(O1574="Sí",'Configuración'!$B$10,0)+IF(P1574="Sí",'Configuración'!$B$11,0)+IF(Q1574="Sí",'Configuración'!$B$12,0)+S1574+T1574+U1574)</f>
        <v>12</v>
      </c>
      <c r="W1574" s="39" t="str">
        <f>IF(B1574="","",IF(V1574&gt;='Configuración'!$B$19,"A",IF(V1574&gt;='Configuración'!$B$20,"B",IF(V1574&gt;='Configuración'!$B$21,"C","Descarte"))))</f>
        <v>Descarte</v>
      </c>
    </row>
    <row r="1575" ht="15.75" customHeight="1">
      <c r="A1575" s="34">
        <f t="shared" si="1"/>
        <v>1573</v>
      </c>
      <c r="B1575" s="29" t="s">
        <v>181</v>
      </c>
      <c r="C1575" s="29" t="s">
        <v>146</v>
      </c>
      <c r="D1575" s="29" t="s">
        <v>8855</v>
      </c>
      <c r="E1575" s="29" t="s">
        <v>8856</v>
      </c>
      <c r="F1575" s="30" t="s">
        <v>8857</v>
      </c>
      <c r="G1575" s="30" t="s">
        <v>8858</v>
      </c>
      <c r="H1575" s="42" t="s">
        <v>8859</v>
      </c>
      <c r="I1575" s="29" t="s">
        <v>542</v>
      </c>
      <c r="J1575" s="31">
        <v>2.0</v>
      </c>
      <c r="K1575" s="35"/>
      <c r="L1575" s="35"/>
      <c r="M1575" s="35"/>
      <c r="N1575" s="35"/>
      <c r="O1575" s="35"/>
      <c r="P1575" s="35"/>
      <c r="Q1575" s="35"/>
      <c r="R1575" s="35"/>
      <c r="S1575" s="37">
        <f>IF(B1575="","",IF(ISNUMBER(J1575),IF(J1575&lt;=10,'Configuración'!$B$23,IF(J1575&lt;=50,'Configuración'!$B$24,IF(J1575&lt;=200,'Configuración'!$B$25,0))),0))</f>
        <v>12</v>
      </c>
      <c r="T1575" s="37">
        <f>IF(B1575="","",IF(ISNUMBER(SEARCH("information technology",I1575))+ISNUMBER(SEARCH("software",I1575))+ISNUMBER(SEARCH("internet",I1575))+ISNUMBER(SEARCH("computer",I1575))+ISNUMBER(SEARCH("saas",I1575))+ISNUMBER(SEARCH("fintech",I1575))+ISNUMBER(SEARCH("information services",I1575))+ISNUMBER(SEARCH("telecommunications",I1575))&gt;0,'Configuración'!$B$27,'Configuración'!$B$28))</f>
        <v>4</v>
      </c>
      <c r="U1575" s="25">
        <f>IF(B1575="","",IF(ISNUMBER(SEARCH("CEO",C1575))+ISNUMBER(SEARCH("Founder",C1575))+ISNUMBER(SEARCH("Owner",C1575))+ISNUMBER(SEARCH("Dueño",C1575))+ISNUMBER(SEARCH("Director General",C1575))+ISNUMBER(SEARCH("Presidente",C1575))+ISNUMBER(SEARCH("President",C1575))&gt;0,'Configuración'!$B$31,IF(ISNUMBER(SEARCH("CMO",C1575))+ISNUMBER(SEARCH("Chief Marketing",C1575))+ISNUMBER(SEARCH("VP Marketing",C1575))+ISNUMBER(SEARCH("Director de Marketing",C1575))+ISNUMBER(SEARCH("Director Marketing",C1575))+ISNUMBER(SEARCH("Head of Marketing",C1575))+ISNUMBER(SEARCH("Head Marketing",C1575))&gt;0,'Configuración'!$B$32,IF(ISNUMBER(SEARCH("Marketing Manager",C1575))+ISNUMBER(SEARCH("Gerente de Marketing",C1575))+ISNUMBER(SEARCH("Growth Manager",C1575))+ISNUMBER(SEARCH("Demand Gen",C1575))+ISNUMBER(SEARCH("Marketing Lead",C1575))&gt;0,'Configuración'!$B$33,IF(ISNUMBER(SEARCH("COO",C1575))+ISNUMBER(SEARCH("CFO",C1575))+ISNUMBER(SEARCH("CTO",C1575))+ISNUMBER(SEARCH("Chief Operating",C1575))+ISNUMBER(SEARCH("Chief Financial",C1575))+ISNUMBER(SEARCH("Gerente General",C1575))+ISNUMBER(SEARCH("General Manager",C1575))&gt;0,'Configuración'!$B$34,'Configuración'!$B$35)))))</f>
        <v>0</v>
      </c>
      <c r="V1575" s="38">
        <f>IF(B1575="","",IF(K1575="Sí",'Configuración'!$B$5,0)+IF(L1575="Semanal",'Configuración'!$B$6,IF(L1575="Mensual",'Configuración'!$B$7,0))+IF(M1575="Sí",'Configuración'!$B$8,0)+IF(N1575="Sí",'Configuración'!$B$9,0)+IF(O1575="Sí",'Configuración'!$B$10,0)+IF(P1575="Sí",'Configuración'!$B$11,0)+IF(Q1575="Sí",'Configuración'!$B$12,0)+S1575+T1575+U1575)</f>
        <v>16</v>
      </c>
      <c r="W1575" s="39" t="str">
        <f>IF(B1575="","",IF(V1575&gt;='Configuración'!$B$19,"A",IF(V1575&gt;='Configuración'!$B$20,"B",IF(V1575&gt;='Configuración'!$B$21,"C","Descarte"))))</f>
        <v>Descarte</v>
      </c>
    </row>
    <row r="1576" ht="15.75" customHeight="1">
      <c r="A1576" s="34">
        <f t="shared" si="1"/>
        <v>1574</v>
      </c>
      <c r="B1576" s="29" t="s">
        <v>1528</v>
      </c>
      <c r="C1576" s="29" t="s">
        <v>131</v>
      </c>
      <c r="D1576" s="29" t="s">
        <v>8860</v>
      </c>
      <c r="E1576" s="29" t="s">
        <v>8861</v>
      </c>
      <c r="F1576" s="30" t="s">
        <v>8862</v>
      </c>
      <c r="G1576" s="30" t="s">
        <v>8863</v>
      </c>
      <c r="H1576" s="42" t="s">
        <v>8864</v>
      </c>
      <c r="I1576" s="29" t="s">
        <v>127</v>
      </c>
      <c r="J1576" s="31">
        <v>13.0</v>
      </c>
      <c r="K1576" s="35"/>
      <c r="L1576" s="35"/>
      <c r="M1576" s="35"/>
      <c r="N1576" s="35"/>
      <c r="O1576" s="35"/>
      <c r="P1576" s="35"/>
      <c r="Q1576" s="35"/>
      <c r="R1576" s="35"/>
      <c r="S1576" s="37">
        <f>IF(B1576="","",IF(ISNUMBER(J1576),IF(J1576&lt;=10,'Configuración'!$B$23,IF(J1576&lt;=50,'Configuración'!$B$24,IF(J1576&lt;=200,'Configuración'!$B$25,0))),0))</f>
        <v>4</v>
      </c>
      <c r="T1576" s="37">
        <f>IF(B1576="","",IF(ISNUMBER(SEARCH("information technology",I1576))+ISNUMBER(SEARCH("software",I1576))+ISNUMBER(SEARCH("internet",I1576))+ISNUMBER(SEARCH("computer",I1576))+ISNUMBER(SEARCH("saas",I1576))+ISNUMBER(SEARCH("fintech",I1576))+ISNUMBER(SEARCH("information services",I1576))+ISNUMBER(SEARCH("telecommunications",I1576))&gt;0,'Configuración'!$B$27,'Configuración'!$B$28))</f>
        <v>12</v>
      </c>
      <c r="U1576" s="25">
        <f>IF(B1576="","",IF(ISNUMBER(SEARCH("CEO",C1576))+ISNUMBER(SEARCH("Founder",C1576))+ISNUMBER(SEARCH("Owner",C1576))+ISNUMBER(SEARCH("Dueño",C1576))+ISNUMBER(SEARCH("Director General",C1576))+ISNUMBER(SEARCH("Presidente",C1576))+ISNUMBER(SEARCH("President",C1576))&gt;0,'Configuración'!$B$31,IF(ISNUMBER(SEARCH("CMO",C1576))+ISNUMBER(SEARCH("Chief Marketing",C1576))+ISNUMBER(SEARCH("VP Marketing",C1576))+ISNUMBER(SEARCH("Director de Marketing",C1576))+ISNUMBER(SEARCH("Director Marketing",C1576))+ISNUMBER(SEARCH("Head of Marketing",C1576))+ISNUMBER(SEARCH("Head Marketing",C1576))&gt;0,'Configuración'!$B$32,IF(ISNUMBER(SEARCH("Marketing Manager",C1576))+ISNUMBER(SEARCH("Gerente de Marketing",C1576))+ISNUMBER(SEARCH("Growth Manager",C1576))+ISNUMBER(SEARCH("Demand Gen",C1576))+ISNUMBER(SEARCH("Marketing Lead",C1576))&gt;0,'Configuración'!$B$33,IF(ISNUMBER(SEARCH("COO",C1576))+ISNUMBER(SEARCH("CFO",C1576))+ISNUMBER(SEARCH("CTO",C1576))+ISNUMBER(SEARCH("Chief Operating",C1576))+ISNUMBER(SEARCH("Chief Financial",C1576))+ISNUMBER(SEARCH("Gerente General",C1576))+ISNUMBER(SEARCH("General Manager",C1576))&gt;0,'Configuración'!$B$34,'Configuración'!$B$35)))))</f>
        <v>12</v>
      </c>
      <c r="V1576" s="38">
        <f>IF(B1576="","",IF(K1576="Sí",'Configuración'!$B$5,0)+IF(L1576="Semanal",'Configuración'!$B$6,IF(L1576="Mensual",'Configuración'!$B$7,0))+IF(M1576="Sí",'Configuración'!$B$8,0)+IF(N1576="Sí",'Configuración'!$B$9,0)+IF(O1576="Sí",'Configuración'!$B$10,0)+IF(P1576="Sí",'Configuración'!$B$11,0)+IF(Q1576="Sí",'Configuración'!$B$12,0)+S1576+T1576+U1576)</f>
        <v>28</v>
      </c>
      <c r="W1576" s="39" t="str">
        <f>IF(B1576="","",IF(V1576&gt;='Configuración'!$B$19,"A",IF(V1576&gt;='Configuración'!$B$20,"B",IF(V1576&gt;='Configuración'!$B$21,"C","Descarte"))))</f>
        <v>C</v>
      </c>
    </row>
    <row r="1577" ht="15.75" customHeight="1">
      <c r="A1577" s="34">
        <f t="shared" si="1"/>
        <v>1575</v>
      </c>
      <c r="B1577" s="29" t="s">
        <v>610</v>
      </c>
      <c r="C1577" s="29" t="s">
        <v>146</v>
      </c>
      <c r="D1577" s="29" t="s">
        <v>8865</v>
      </c>
      <c r="E1577" s="29" t="s">
        <v>8866</v>
      </c>
      <c r="F1577" s="30" t="s">
        <v>8867</v>
      </c>
      <c r="G1577" s="30" t="s">
        <v>8868</v>
      </c>
      <c r="H1577" s="42" t="s">
        <v>8869</v>
      </c>
      <c r="I1577" s="29" t="s">
        <v>127</v>
      </c>
      <c r="J1577" s="31">
        <v>28.0</v>
      </c>
      <c r="K1577" s="35"/>
      <c r="L1577" s="35"/>
      <c r="M1577" s="35"/>
      <c r="N1577" s="35"/>
      <c r="O1577" s="35"/>
      <c r="P1577" s="35"/>
      <c r="Q1577" s="35"/>
      <c r="R1577" s="35"/>
      <c r="S1577" s="37">
        <f>IF(B1577="","",IF(ISNUMBER(J1577),IF(J1577&lt;=10,'Configuración'!$B$23,IF(J1577&lt;=50,'Configuración'!$B$24,IF(J1577&lt;=200,'Configuración'!$B$25,0))),0))</f>
        <v>4</v>
      </c>
      <c r="T1577" s="37">
        <f>IF(B1577="","",IF(ISNUMBER(SEARCH("information technology",I1577))+ISNUMBER(SEARCH("software",I1577))+ISNUMBER(SEARCH("internet",I1577))+ISNUMBER(SEARCH("computer",I1577))+ISNUMBER(SEARCH("saas",I1577))+ISNUMBER(SEARCH("fintech",I1577))+ISNUMBER(SEARCH("information services",I1577))+ISNUMBER(SEARCH("telecommunications",I1577))&gt;0,'Configuración'!$B$27,'Configuración'!$B$28))</f>
        <v>12</v>
      </c>
      <c r="U1577" s="25">
        <f>IF(B1577="","",IF(ISNUMBER(SEARCH("CEO",C1577))+ISNUMBER(SEARCH("Founder",C1577))+ISNUMBER(SEARCH("Owner",C1577))+ISNUMBER(SEARCH("Dueño",C1577))+ISNUMBER(SEARCH("Director General",C1577))+ISNUMBER(SEARCH("Presidente",C1577))+ISNUMBER(SEARCH("President",C1577))&gt;0,'Configuración'!$B$31,IF(ISNUMBER(SEARCH("CMO",C1577))+ISNUMBER(SEARCH("Chief Marketing",C1577))+ISNUMBER(SEARCH("VP Marketing",C1577))+ISNUMBER(SEARCH("Director de Marketing",C1577))+ISNUMBER(SEARCH("Director Marketing",C1577))+ISNUMBER(SEARCH("Head of Marketing",C1577))+ISNUMBER(SEARCH("Head Marketing",C1577))&gt;0,'Configuración'!$B$32,IF(ISNUMBER(SEARCH("Marketing Manager",C1577))+ISNUMBER(SEARCH("Gerente de Marketing",C1577))+ISNUMBER(SEARCH("Growth Manager",C1577))+ISNUMBER(SEARCH("Demand Gen",C1577))+ISNUMBER(SEARCH("Marketing Lead",C1577))&gt;0,'Configuración'!$B$33,IF(ISNUMBER(SEARCH("COO",C1577))+ISNUMBER(SEARCH("CFO",C1577))+ISNUMBER(SEARCH("CTO",C1577))+ISNUMBER(SEARCH("Chief Operating",C1577))+ISNUMBER(SEARCH("Chief Financial",C1577))+ISNUMBER(SEARCH("Gerente General",C1577))+ISNUMBER(SEARCH("General Manager",C1577))&gt;0,'Configuración'!$B$34,'Configuración'!$B$35)))))</f>
        <v>0</v>
      </c>
      <c r="V1577" s="38">
        <f>IF(B1577="","",IF(K1577="Sí",'Configuración'!$B$5,0)+IF(L1577="Semanal",'Configuración'!$B$6,IF(L1577="Mensual",'Configuración'!$B$7,0))+IF(M1577="Sí",'Configuración'!$B$8,0)+IF(N1577="Sí",'Configuración'!$B$9,0)+IF(O1577="Sí",'Configuración'!$B$10,0)+IF(P1577="Sí",'Configuración'!$B$11,0)+IF(Q1577="Sí",'Configuración'!$B$12,0)+S1577+T1577+U1577)</f>
        <v>16</v>
      </c>
      <c r="W1577" s="39" t="str">
        <f>IF(B1577="","",IF(V1577&gt;='Configuración'!$B$19,"A",IF(V1577&gt;='Configuración'!$B$20,"B",IF(V1577&gt;='Configuración'!$B$21,"C","Descarte"))))</f>
        <v>Descarte</v>
      </c>
    </row>
    <row r="1578" ht="15.75" customHeight="1">
      <c r="A1578" s="34">
        <f t="shared" si="1"/>
        <v>1576</v>
      </c>
      <c r="B1578" s="29" t="s">
        <v>324</v>
      </c>
      <c r="C1578" s="29" t="s">
        <v>467</v>
      </c>
      <c r="D1578" s="29" t="s">
        <v>8870</v>
      </c>
      <c r="E1578" s="29" t="s">
        <v>8871</v>
      </c>
      <c r="F1578" s="30" t="s">
        <v>8872</v>
      </c>
      <c r="G1578" s="30" t="s">
        <v>8873</v>
      </c>
      <c r="H1578" s="42" t="s">
        <v>8874</v>
      </c>
      <c r="I1578" s="29" t="s">
        <v>127</v>
      </c>
      <c r="J1578" s="31">
        <v>29.0</v>
      </c>
      <c r="K1578" s="35"/>
      <c r="L1578" s="35"/>
      <c r="M1578" s="35"/>
      <c r="N1578" s="35"/>
      <c r="O1578" s="35"/>
      <c r="P1578" s="35"/>
      <c r="Q1578" s="35"/>
      <c r="R1578" s="35"/>
      <c r="S1578" s="37">
        <f>IF(B1578="","",IF(ISNUMBER(J1578),IF(J1578&lt;=10,'Configuración'!$B$23,IF(J1578&lt;=50,'Configuración'!$B$24,IF(J1578&lt;=200,'Configuración'!$B$25,0))),0))</f>
        <v>4</v>
      </c>
      <c r="T1578" s="37">
        <f>IF(B1578="","",IF(ISNUMBER(SEARCH("information technology",I1578))+ISNUMBER(SEARCH("software",I1578))+ISNUMBER(SEARCH("internet",I1578))+ISNUMBER(SEARCH("computer",I1578))+ISNUMBER(SEARCH("saas",I1578))+ISNUMBER(SEARCH("fintech",I1578))+ISNUMBER(SEARCH("information services",I1578))+ISNUMBER(SEARCH("telecommunications",I1578))&gt;0,'Configuración'!$B$27,'Configuración'!$B$28))</f>
        <v>12</v>
      </c>
      <c r="U1578" s="25">
        <f>IF(B1578="","",IF(ISNUMBER(SEARCH("CEO",C1578))+ISNUMBER(SEARCH("Founder",C1578))+ISNUMBER(SEARCH("Owner",C1578))+ISNUMBER(SEARCH("Dueño",C1578))+ISNUMBER(SEARCH("Director General",C1578))+ISNUMBER(SEARCH("Presidente",C1578))+ISNUMBER(SEARCH("President",C1578))&gt;0,'Configuración'!$B$31,IF(ISNUMBER(SEARCH("CMO",C1578))+ISNUMBER(SEARCH("Chief Marketing",C1578))+ISNUMBER(SEARCH("VP Marketing",C1578))+ISNUMBER(SEARCH("Director de Marketing",C1578))+ISNUMBER(SEARCH("Director Marketing",C1578))+ISNUMBER(SEARCH("Head of Marketing",C1578))+ISNUMBER(SEARCH("Head Marketing",C1578))&gt;0,'Configuración'!$B$32,IF(ISNUMBER(SEARCH("Marketing Manager",C1578))+ISNUMBER(SEARCH("Gerente de Marketing",C1578))+ISNUMBER(SEARCH("Growth Manager",C1578))+ISNUMBER(SEARCH("Demand Gen",C1578))+ISNUMBER(SEARCH("Marketing Lead",C1578))&gt;0,'Configuración'!$B$33,IF(ISNUMBER(SEARCH("COO",C1578))+ISNUMBER(SEARCH("CFO",C1578))+ISNUMBER(SEARCH("CTO",C1578))+ISNUMBER(SEARCH("Chief Operating",C1578))+ISNUMBER(SEARCH("Chief Financial",C1578))+ISNUMBER(SEARCH("Gerente General",C1578))+ISNUMBER(SEARCH("General Manager",C1578))&gt;0,'Configuración'!$B$34,'Configuración'!$B$35)))))</f>
        <v>0</v>
      </c>
      <c r="V1578" s="38">
        <f>IF(B1578="","",IF(K1578="Sí",'Configuración'!$B$5,0)+IF(L1578="Semanal",'Configuración'!$B$6,IF(L1578="Mensual",'Configuración'!$B$7,0))+IF(M1578="Sí",'Configuración'!$B$8,0)+IF(N1578="Sí",'Configuración'!$B$9,0)+IF(O1578="Sí",'Configuración'!$B$10,0)+IF(P1578="Sí",'Configuración'!$B$11,0)+IF(Q1578="Sí",'Configuración'!$B$12,0)+S1578+T1578+U1578)</f>
        <v>16</v>
      </c>
      <c r="W1578" s="39" t="str">
        <f>IF(B1578="","",IF(V1578&gt;='Configuración'!$B$19,"A",IF(V1578&gt;='Configuración'!$B$20,"B",IF(V1578&gt;='Configuración'!$B$21,"C","Descarte"))))</f>
        <v>Descarte</v>
      </c>
    </row>
    <row r="1579" ht="15.75" customHeight="1">
      <c r="A1579" s="34">
        <f t="shared" si="1"/>
        <v>1577</v>
      </c>
      <c r="B1579" s="29" t="s">
        <v>897</v>
      </c>
      <c r="C1579" s="29" t="s">
        <v>1938</v>
      </c>
      <c r="D1579" s="29" t="s">
        <v>8875</v>
      </c>
      <c r="E1579" s="29" t="s">
        <v>8876</v>
      </c>
      <c r="F1579" s="30" t="s">
        <v>8877</v>
      </c>
      <c r="G1579" s="30" t="s">
        <v>8878</v>
      </c>
      <c r="H1579" s="42" t="s">
        <v>8879</v>
      </c>
      <c r="I1579" s="29" t="s">
        <v>1245</v>
      </c>
      <c r="J1579" s="31">
        <v>5.0</v>
      </c>
      <c r="K1579" s="35"/>
      <c r="L1579" s="35"/>
      <c r="M1579" s="35"/>
      <c r="N1579" s="35"/>
      <c r="O1579" s="35"/>
      <c r="P1579" s="35"/>
      <c r="Q1579" s="35"/>
      <c r="R1579" s="35"/>
      <c r="S1579" s="37">
        <f>IF(B1579="","",IF(ISNUMBER(J1579),IF(J1579&lt;=10,'Configuración'!$B$23,IF(J1579&lt;=50,'Configuración'!$B$24,IF(J1579&lt;=200,'Configuración'!$B$25,0))),0))</f>
        <v>12</v>
      </c>
      <c r="T1579" s="37">
        <f>IF(B1579="","",IF(ISNUMBER(SEARCH("information technology",I1579))+ISNUMBER(SEARCH("software",I1579))+ISNUMBER(SEARCH("internet",I1579))+ISNUMBER(SEARCH("computer",I1579))+ISNUMBER(SEARCH("saas",I1579))+ISNUMBER(SEARCH("fintech",I1579))+ISNUMBER(SEARCH("information services",I1579))+ISNUMBER(SEARCH("telecommunications",I1579))&gt;0,'Configuración'!$B$27,'Configuración'!$B$28))</f>
        <v>4</v>
      </c>
      <c r="U1579" s="25">
        <f>IF(B1579="","",IF(ISNUMBER(SEARCH("CEO",C1579))+ISNUMBER(SEARCH("Founder",C1579))+ISNUMBER(SEARCH("Owner",C1579))+ISNUMBER(SEARCH("Dueño",C1579))+ISNUMBER(SEARCH("Director General",C1579))+ISNUMBER(SEARCH("Presidente",C1579))+ISNUMBER(SEARCH("President",C1579))&gt;0,'Configuración'!$B$31,IF(ISNUMBER(SEARCH("CMO",C1579))+ISNUMBER(SEARCH("Chief Marketing",C1579))+ISNUMBER(SEARCH("VP Marketing",C1579))+ISNUMBER(SEARCH("Director de Marketing",C1579))+ISNUMBER(SEARCH("Director Marketing",C1579))+ISNUMBER(SEARCH("Head of Marketing",C1579))+ISNUMBER(SEARCH("Head Marketing",C1579))&gt;0,'Configuración'!$B$32,IF(ISNUMBER(SEARCH("Marketing Manager",C1579))+ISNUMBER(SEARCH("Gerente de Marketing",C1579))+ISNUMBER(SEARCH("Growth Manager",C1579))+ISNUMBER(SEARCH("Demand Gen",C1579))+ISNUMBER(SEARCH("Marketing Lead",C1579))&gt;0,'Configuración'!$B$33,IF(ISNUMBER(SEARCH("COO",C1579))+ISNUMBER(SEARCH("CFO",C1579))+ISNUMBER(SEARCH("CTO",C1579))+ISNUMBER(SEARCH("Chief Operating",C1579))+ISNUMBER(SEARCH("Chief Financial",C1579))+ISNUMBER(SEARCH("Gerente General",C1579))+ISNUMBER(SEARCH("General Manager",C1579))&gt;0,'Configuración'!$B$34,'Configuración'!$B$35)))))</f>
        <v>12</v>
      </c>
      <c r="V1579" s="38">
        <f>IF(B1579="","",IF(K1579="Sí",'Configuración'!$B$5,0)+IF(L1579="Semanal",'Configuración'!$B$6,IF(L1579="Mensual",'Configuración'!$B$7,0))+IF(M1579="Sí",'Configuración'!$B$8,0)+IF(N1579="Sí",'Configuración'!$B$9,0)+IF(O1579="Sí",'Configuración'!$B$10,0)+IF(P1579="Sí",'Configuración'!$B$11,0)+IF(Q1579="Sí",'Configuración'!$B$12,0)+S1579+T1579+U1579)</f>
        <v>28</v>
      </c>
      <c r="W1579" s="39" t="str">
        <f>IF(B1579="","",IF(V1579&gt;='Configuración'!$B$19,"A",IF(V1579&gt;='Configuración'!$B$20,"B",IF(V1579&gt;='Configuración'!$B$21,"C","Descarte"))))</f>
        <v>C</v>
      </c>
    </row>
    <row r="1580" ht="15.75" customHeight="1">
      <c r="A1580" s="34">
        <f t="shared" si="1"/>
        <v>1578</v>
      </c>
      <c r="B1580" s="29" t="s">
        <v>578</v>
      </c>
      <c r="C1580" s="29" t="s">
        <v>8880</v>
      </c>
      <c r="D1580" s="29" t="s">
        <v>8881</v>
      </c>
      <c r="E1580" s="29" t="s">
        <v>8882</v>
      </c>
      <c r="F1580" s="30" t="s">
        <v>8883</v>
      </c>
      <c r="G1580" s="30" t="s">
        <v>8884</v>
      </c>
      <c r="H1580" s="42" t="s">
        <v>8885</v>
      </c>
      <c r="I1580" s="29" t="s">
        <v>127</v>
      </c>
      <c r="J1580" s="31">
        <v>9.0</v>
      </c>
      <c r="K1580" s="35"/>
      <c r="L1580" s="35"/>
      <c r="M1580" s="35"/>
      <c r="N1580" s="35"/>
      <c r="O1580" s="35"/>
      <c r="P1580" s="35"/>
      <c r="Q1580" s="35"/>
      <c r="R1580" s="35"/>
      <c r="S1580" s="37">
        <f>IF(B1580="","",IF(ISNUMBER(J1580),IF(J1580&lt;=10,'Configuración'!$B$23,IF(J1580&lt;=50,'Configuración'!$B$24,IF(J1580&lt;=200,'Configuración'!$B$25,0))),0))</f>
        <v>12</v>
      </c>
      <c r="T1580" s="37">
        <f>IF(B1580="","",IF(ISNUMBER(SEARCH("information technology",I1580))+ISNUMBER(SEARCH("software",I1580))+ISNUMBER(SEARCH("internet",I1580))+ISNUMBER(SEARCH("computer",I1580))+ISNUMBER(SEARCH("saas",I1580))+ISNUMBER(SEARCH("fintech",I1580))+ISNUMBER(SEARCH("information services",I1580))+ISNUMBER(SEARCH("telecommunications",I1580))&gt;0,'Configuración'!$B$27,'Configuración'!$B$28))</f>
        <v>12</v>
      </c>
      <c r="U1580" s="25">
        <f>IF(B1580="","",IF(ISNUMBER(SEARCH("CEO",C1580))+ISNUMBER(SEARCH("Founder",C1580))+ISNUMBER(SEARCH("Owner",C1580))+ISNUMBER(SEARCH("Dueño",C1580))+ISNUMBER(SEARCH("Director General",C1580))+ISNUMBER(SEARCH("Presidente",C1580))+ISNUMBER(SEARCH("President",C1580))&gt;0,'Configuración'!$B$31,IF(ISNUMBER(SEARCH("CMO",C1580))+ISNUMBER(SEARCH("Chief Marketing",C1580))+ISNUMBER(SEARCH("VP Marketing",C1580))+ISNUMBER(SEARCH("Director de Marketing",C1580))+ISNUMBER(SEARCH("Director Marketing",C1580))+ISNUMBER(SEARCH("Head of Marketing",C1580))+ISNUMBER(SEARCH("Head Marketing",C1580))&gt;0,'Configuración'!$B$32,IF(ISNUMBER(SEARCH("Marketing Manager",C1580))+ISNUMBER(SEARCH("Gerente de Marketing",C1580))+ISNUMBER(SEARCH("Growth Manager",C1580))+ISNUMBER(SEARCH("Demand Gen",C1580))+ISNUMBER(SEARCH("Marketing Lead",C1580))&gt;0,'Configuración'!$B$33,IF(ISNUMBER(SEARCH("COO",C1580))+ISNUMBER(SEARCH("CFO",C1580))+ISNUMBER(SEARCH("CTO",C1580))+ISNUMBER(SEARCH("Chief Operating",C1580))+ISNUMBER(SEARCH("Chief Financial",C1580))+ISNUMBER(SEARCH("Gerente General",C1580))+ISNUMBER(SEARCH("General Manager",C1580))&gt;0,'Configuración'!$B$34,'Configuración'!$B$35)))))</f>
        <v>0</v>
      </c>
      <c r="V1580" s="38">
        <f>IF(B1580="","",IF(K1580="Sí",'Configuración'!$B$5,0)+IF(L1580="Semanal",'Configuración'!$B$6,IF(L1580="Mensual",'Configuración'!$B$7,0))+IF(M1580="Sí",'Configuración'!$B$8,0)+IF(N1580="Sí",'Configuración'!$B$9,0)+IF(O1580="Sí",'Configuración'!$B$10,0)+IF(P1580="Sí",'Configuración'!$B$11,0)+IF(Q1580="Sí",'Configuración'!$B$12,0)+S1580+T1580+U1580)</f>
        <v>24</v>
      </c>
      <c r="W1580" s="39" t="str">
        <f>IF(B1580="","",IF(V1580&gt;='Configuración'!$B$19,"A",IF(V1580&gt;='Configuración'!$B$20,"B",IF(V1580&gt;='Configuración'!$B$21,"C","Descarte"))))</f>
        <v>C</v>
      </c>
    </row>
    <row r="1581" ht="15.75" customHeight="1">
      <c r="A1581" s="34">
        <f t="shared" si="1"/>
        <v>1579</v>
      </c>
      <c r="B1581" s="29" t="s">
        <v>7398</v>
      </c>
      <c r="C1581" s="29" t="s">
        <v>8886</v>
      </c>
      <c r="D1581" s="29" t="s">
        <v>5119</v>
      </c>
      <c r="E1581" s="29" t="s">
        <v>8887</v>
      </c>
      <c r="F1581" s="30" t="s">
        <v>8888</v>
      </c>
      <c r="G1581" s="30" t="s">
        <v>5122</v>
      </c>
      <c r="H1581" s="42" t="s">
        <v>5123</v>
      </c>
      <c r="I1581" s="29" t="s">
        <v>769</v>
      </c>
      <c r="J1581" s="31">
        <v>24.0</v>
      </c>
      <c r="K1581" s="35"/>
      <c r="L1581" s="35"/>
      <c r="M1581" s="35"/>
      <c r="N1581" s="35"/>
      <c r="O1581" s="35"/>
      <c r="P1581" s="35"/>
      <c r="Q1581" s="35"/>
      <c r="R1581" s="35"/>
      <c r="S1581" s="37">
        <f>IF(B1581="","",IF(ISNUMBER(J1581),IF(J1581&lt;=10,'Configuración'!$B$23,IF(J1581&lt;=50,'Configuración'!$B$24,IF(J1581&lt;=200,'Configuración'!$B$25,0))),0))</f>
        <v>4</v>
      </c>
      <c r="T1581" s="37">
        <f>IF(B1581="","",IF(ISNUMBER(SEARCH("information technology",I1581))+ISNUMBER(SEARCH("software",I1581))+ISNUMBER(SEARCH("internet",I1581))+ISNUMBER(SEARCH("computer",I1581))+ISNUMBER(SEARCH("saas",I1581))+ISNUMBER(SEARCH("fintech",I1581))+ISNUMBER(SEARCH("information services",I1581))+ISNUMBER(SEARCH("telecommunications",I1581))&gt;0,'Configuración'!$B$27,'Configuración'!$B$28))</f>
        <v>4</v>
      </c>
      <c r="U1581" s="25">
        <f>IF(B1581="","",IF(ISNUMBER(SEARCH("CEO",C1581))+ISNUMBER(SEARCH("Founder",C1581))+ISNUMBER(SEARCH("Owner",C1581))+ISNUMBER(SEARCH("Dueño",C1581))+ISNUMBER(SEARCH("Director General",C1581))+ISNUMBER(SEARCH("Presidente",C1581))+ISNUMBER(SEARCH("President",C1581))&gt;0,'Configuración'!$B$31,IF(ISNUMBER(SEARCH("CMO",C1581))+ISNUMBER(SEARCH("Chief Marketing",C1581))+ISNUMBER(SEARCH("VP Marketing",C1581))+ISNUMBER(SEARCH("Director de Marketing",C1581))+ISNUMBER(SEARCH("Director Marketing",C1581))+ISNUMBER(SEARCH("Head of Marketing",C1581))+ISNUMBER(SEARCH("Head Marketing",C1581))&gt;0,'Configuración'!$B$32,IF(ISNUMBER(SEARCH("Marketing Manager",C1581))+ISNUMBER(SEARCH("Gerente de Marketing",C1581))+ISNUMBER(SEARCH("Growth Manager",C1581))+ISNUMBER(SEARCH("Demand Gen",C1581))+ISNUMBER(SEARCH("Marketing Lead",C1581))&gt;0,'Configuración'!$B$33,IF(ISNUMBER(SEARCH("COO",C1581))+ISNUMBER(SEARCH("CFO",C1581))+ISNUMBER(SEARCH("CTO",C1581))+ISNUMBER(SEARCH("Chief Operating",C1581))+ISNUMBER(SEARCH("Chief Financial",C1581))+ISNUMBER(SEARCH("Gerente General",C1581))+ISNUMBER(SEARCH("General Manager",C1581))&gt;0,'Configuración'!$B$34,'Configuración'!$B$35)))))</f>
        <v>12</v>
      </c>
      <c r="V1581" s="38">
        <f>IF(B1581="","",IF(K1581="Sí",'Configuración'!$B$5,0)+IF(L1581="Semanal",'Configuración'!$B$6,IF(L1581="Mensual",'Configuración'!$B$7,0))+IF(M1581="Sí",'Configuración'!$B$8,0)+IF(N1581="Sí",'Configuración'!$B$9,0)+IF(O1581="Sí",'Configuración'!$B$10,0)+IF(P1581="Sí",'Configuración'!$B$11,0)+IF(Q1581="Sí",'Configuración'!$B$12,0)+S1581+T1581+U1581)</f>
        <v>20</v>
      </c>
      <c r="W1581" s="39" t="str">
        <f>IF(B1581="","",IF(V1581&gt;='Configuración'!$B$19,"A",IF(V1581&gt;='Configuración'!$B$20,"B",IF(V1581&gt;='Configuración'!$B$21,"C","Descarte"))))</f>
        <v>Descarte</v>
      </c>
    </row>
    <row r="1582" ht="15.75" customHeight="1">
      <c r="A1582" s="34">
        <f t="shared" si="1"/>
        <v>1580</v>
      </c>
      <c r="B1582" s="29" t="s">
        <v>8889</v>
      </c>
      <c r="C1582" s="29" t="s">
        <v>1938</v>
      </c>
      <c r="D1582" s="29" t="s">
        <v>8890</v>
      </c>
      <c r="E1582" s="29" t="s">
        <v>8891</v>
      </c>
      <c r="F1582" s="30" t="s">
        <v>8892</v>
      </c>
      <c r="G1582" s="30" t="s">
        <v>8893</v>
      </c>
      <c r="H1582" s="42" t="s">
        <v>8894</v>
      </c>
      <c r="I1582" s="29" t="s">
        <v>337</v>
      </c>
      <c r="J1582" s="31">
        <v>46.0</v>
      </c>
      <c r="K1582" s="35"/>
      <c r="L1582" s="35"/>
      <c r="M1582" s="35"/>
      <c r="N1582" s="35"/>
      <c r="O1582" s="35"/>
      <c r="P1582" s="35"/>
      <c r="Q1582" s="35"/>
      <c r="R1582" s="35"/>
      <c r="S1582" s="37">
        <f>IF(B1582="","",IF(ISNUMBER(J1582),IF(J1582&lt;=10,'Configuración'!$B$23,IF(J1582&lt;=50,'Configuración'!$B$24,IF(J1582&lt;=200,'Configuración'!$B$25,0))),0))</f>
        <v>4</v>
      </c>
      <c r="T1582" s="37">
        <f>IF(B1582="","",IF(ISNUMBER(SEARCH("information technology",I1582))+ISNUMBER(SEARCH("software",I1582))+ISNUMBER(SEARCH("internet",I1582))+ISNUMBER(SEARCH("computer",I1582))+ISNUMBER(SEARCH("saas",I1582))+ISNUMBER(SEARCH("fintech",I1582))+ISNUMBER(SEARCH("information services",I1582))+ISNUMBER(SEARCH("telecommunications",I1582))&gt;0,'Configuración'!$B$27,'Configuración'!$B$28))</f>
        <v>4</v>
      </c>
      <c r="U1582" s="25">
        <f>IF(B1582="","",IF(ISNUMBER(SEARCH("CEO",C1582))+ISNUMBER(SEARCH("Founder",C1582))+ISNUMBER(SEARCH("Owner",C1582))+ISNUMBER(SEARCH("Dueño",C1582))+ISNUMBER(SEARCH("Director General",C1582))+ISNUMBER(SEARCH("Presidente",C1582))+ISNUMBER(SEARCH("President",C1582))&gt;0,'Configuración'!$B$31,IF(ISNUMBER(SEARCH("CMO",C1582))+ISNUMBER(SEARCH("Chief Marketing",C1582))+ISNUMBER(SEARCH("VP Marketing",C1582))+ISNUMBER(SEARCH("Director de Marketing",C1582))+ISNUMBER(SEARCH("Director Marketing",C1582))+ISNUMBER(SEARCH("Head of Marketing",C1582))+ISNUMBER(SEARCH("Head Marketing",C1582))&gt;0,'Configuración'!$B$32,IF(ISNUMBER(SEARCH("Marketing Manager",C1582))+ISNUMBER(SEARCH("Gerente de Marketing",C1582))+ISNUMBER(SEARCH("Growth Manager",C1582))+ISNUMBER(SEARCH("Demand Gen",C1582))+ISNUMBER(SEARCH("Marketing Lead",C1582))&gt;0,'Configuración'!$B$33,IF(ISNUMBER(SEARCH("COO",C1582))+ISNUMBER(SEARCH("CFO",C1582))+ISNUMBER(SEARCH("CTO",C1582))+ISNUMBER(SEARCH("Chief Operating",C1582))+ISNUMBER(SEARCH("Chief Financial",C1582))+ISNUMBER(SEARCH("Gerente General",C1582))+ISNUMBER(SEARCH("General Manager",C1582))&gt;0,'Configuración'!$B$34,'Configuración'!$B$35)))))</f>
        <v>12</v>
      </c>
      <c r="V1582" s="38">
        <f>IF(B1582="","",IF(K1582="Sí",'Configuración'!$B$5,0)+IF(L1582="Semanal",'Configuración'!$B$6,IF(L1582="Mensual",'Configuración'!$B$7,0))+IF(M1582="Sí",'Configuración'!$B$8,0)+IF(N1582="Sí",'Configuración'!$B$9,0)+IF(O1582="Sí",'Configuración'!$B$10,0)+IF(P1582="Sí",'Configuración'!$B$11,0)+IF(Q1582="Sí",'Configuración'!$B$12,0)+S1582+T1582+U1582)</f>
        <v>20</v>
      </c>
      <c r="W1582" s="39" t="str">
        <f>IF(B1582="","",IF(V1582&gt;='Configuración'!$B$19,"A",IF(V1582&gt;='Configuración'!$B$20,"B",IF(V1582&gt;='Configuración'!$B$21,"C","Descarte"))))</f>
        <v>Descarte</v>
      </c>
    </row>
    <row r="1583" ht="15.75" customHeight="1">
      <c r="A1583" s="34">
        <f t="shared" si="1"/>
        <v>1581</v>
      </c>
      <c r="B1583" s="29" t="s">
        <v>236</v>
      </c>
      <c r="C1583" s="29" t="s">
        <v>202</v>
      </c>
      <c r="D1583" s="29" t="s">
        <v>8895</v>
      </c>
      <c r="E1583" s="29" t="s">
        <v>8896</v>
      </c>
      <c r="F1583" s="30" t="s">
        <v>8897</v>
      </c>
      <c r="G1583" s="30" t="s">
        <v>8898</v>
      </c>
      <c r="H1583" s="42" t="s">
        <v>8899</v>
      </c>
      <c r="I1583" s="29" t="s">
        <v>116</v>
      </c>
      <c r="J1583" s="31">
        <v>3.0</v>
      </c>
      <c r="K1583" s="35"/>
      <c r="L1583" s="35"/>
      <c r="M1583" s="35"/>
      <c r="N1583" s="35"/>
      <c r="O1583" s="35"/>
      <c r="P1583" s="35"/>
      <c r="Q1583" s="35"/>
      <c r="R1583" s="35"/>
      <c r="S1583" s="37">
        <f>IF(B1583="","",IF(ISNUMBER(J1583),IF(J1583&lt;=10,'Configuración'!$B$23,IF(J1583&lt;=50,'Configuración'!$B$24,IF(J1583&lt;=200,'Configuración'!$B$25,0))),0))</f>
        <v>12</v>
      </c>
      <c r="T1583" s="37">
        <f>IF(B1583="","",IF(ISNUMBER(SEARCH("information technology",I1583))+ISNUMBER(SEARCH("software",I1583))+ISNUMBER(SEARCH("internet",I1583))+ISNUMBER(SEARCH("computer",I1583))+ISNUMBER(SEARCH("saas",I1583))+ISNUMBER(SEARCH("fintech",I1583))+ISNUMBER(SEARCH("information services",I1583))+ISNUMBER(SEARCH("telecommunications",I1583))&gt;0,'Configuración'!$B$27,'Configuración'!$B$28))</f>
        <v>4</v>
      </c>
      <c r="U1583" s="25">
        <f>IF(B1583="","",IF(ISNUMBER(SEARCH("CEO",C1583))+ISNUMBER(SEARCH("Founder",C1583))+ISNUMBER(SEARCH("Owner",C1583))+ISNUMBER(SEARCH("Dueño",C1583))+ISNUMBER(SEARCH("Director General",C1583))+ISNUMBER(SEARCH("Presidente",C1583))+ISNUMBER(SEARCH("President",C1583))&gt;0,'Configuración'!$B$31,IF(ISNUMBER(SEARCH("CMO",C1583))+ISNUMBER(SEARCH("Chief Marketing",C1583))+ISNUMBER(SEARCH("VP Marketing",C1583))+ISNUMBER(SEARCH("Director de Marketing",C1583))+ISNUMBER(SEARCH("Director Marketing",C1583))+ISNUMBER(SEARCH("Head of Marketing",C1583))+ISNUMBER(SEARCH("Head Marketing",C1583))&gt;0,'Configuración'!$B$32,IF(ISNUMBER(SEARCH("Marketing Manager",C1583))+ISNUMBER(SEARCH("Gerente de Marketing",C1583))+ISNUMBER(SEARCH("Growth Manager",C1583))+ISNUMBER(SEARCH("Demand Gen",C1583))+ISNUMBER(SEARCH("Marketing Lead",C1583))&gt;0,'Configuración'!$B$33,IF(ISNUMBER(SEARCH("COO",C1583))+ISNUMBER(SEARCH("CFO",C1583))+ISNUMBER(SEARCH("CTO",C1583))+ISNUMBER(SEARCH("Chief Operating",C1583))+ISNUMBER(SEARCH("Chief Financial",C1583))+ISNUMBER(SEARCH("Gerente General",C1583))+ISNUMBER(SEARCH("General Manager",C1583))&gt;0,'Configuración'!$B$34,'Configuración'!$B$35)))))</f>
        <v>12</v>
      </c>
      <c r="V1583" s="38">
        <f>IF(B1583="","",IF(K1583="Sí",'Configuración'!$B$5,0)+IF(L1583="Semanal",'Configuración'!$B$6,IF(L1583="Mensual",'Configuración'!$B$7,0))+IF(M1583="Sí",'Configuración'!$B$8,0)+IF(N1583="Sí",'Configuración'!$B$9,0)+IF(O1583="Sí",'Configuración'!$B$10,0)+IF(P1583="Sí",'Configuración'!$B$11,0)+IF(Q1583="Sí",'Configuración'!$B$12,0)+S1583+T1583+U1583)</f>
        <v>28</v>
      </c>
      <c r="W1583" s="39" t="str">
        <f>IF(B1583="","",IF(V1583&gt;='Configuración'!$B$19,"A",IF(V1583&gt;='Configuración'!$B$20,"B",IF(V1583&gt;='Configuración'!$B$21,"C","Descarte"))))</f>
        <v>C</v>
      </c>
    </row>
    <row r="1584" ht="15.75" customHeight="1">
      <c r="A1584" s="34">
        <f t="shared" si="1"/>
        <v>1582</v>
      </c>
      <c r="B1584" s="29" t="s">
        <v>5448</v>
      </c>
      <c r="C1584" s="29" t="s">
        <v>622</v>
      </c>
      <c r="D1584" s="29" t="s">
        <v>8900</v>
      </c>
      <c r="E1584" s="29" t="s">
        <v>8901</v>
      </c>
      <c r="F1584" s="30" t="s">
        <v>8902</v>
      </c>
      <c r="G1584" s="30" t="s">
        <v>8903</v>
      </c>
      <c r="H1584" s="42" t="s">
        <v>8904</v>
      </c>
      <c r="I1584" s="29" t="s">
        <v>295</v>
      </c>
      <c r="J1584" s="31">
        <v>14.0</v>
      </c>
      <c r="K1584" s="35"/>
      <c r="L1584" s="35"/>
      <c r="M1584" s="35"/>
      <c r="N1584" s="35"/>
      <c r="O1584" s="35"/>
      <c r="P1584" s="35"/>
      <c r="Q1584" s="35"/>
      <c r="R1584" s="35"/>
      <c r="S1584" s="37">
        <f>IF(B1584="","",IF(ISNUMBER(J1584),IF(J1584&lt;=10,'Configuración'!$B$23,IF(J1584&lt;=50,'Configuración'!$B$24,IF(J1584&lt;=200,'Configuración'!$B$25,0))),0))</f>
        <v>4</v>
      </c>
      <c r="T1584" s="37">
        <f>IF(B1584="","",IF(ISNUMBER(SEARCH("information technology",I1584))+ISNUMBER(SEARCH("software",I1584))+ISNUMBER(SEARCH("internet",I1584))+ISNUMBER(SEARCH("computer",I1584))+ISNUMBER(SEARCH("saas",I1584))+ISNUMBER(SEARCH("fintech",I1584))+ISNUMBER(SEARCH("information services",I1584))+ISNUMBER(SEARCH("telecommunications",I1584))&gt;0,'Configuración'!$B$27,'Configuración'!$B$28))</f>
        <v>4</v>
      </c>
      <c r="U1584" s="25">
        <f>IF(B1584="","",IF(ISNUMBER(SEARCH("CEO",C1584))+ISNUMBER(SEARCH("Founder",C1584))+ISNUMBER(SEARCH("Owner",C1584))+ISNUMBER(SEARCH("Dueño",C1584))+ISNUMBER(SEARCH("Director General",C1584))+ISNUMBER(SEARCH("Presidente",C1584))+ISNUMBER(SEARCH("President",C1584))&gt;0,'Configuración'!$B$31,IF(ISNUMBER(SEARCH("CMO",C1584))+ISNUMBER(SEARCH("Chief Marketing",C1584))+ISNUMBER(SEARCH("VP Marketing",C1584))+ISNUMBER(SEARCH("Director de Marketing",C1584))+ISNUMBER(SEARCH("Director Marketing",C1584))+ISNUMBER(SEARCH("Head of Marketing",C1584))+ISNUMBER(SEARCH("Head Marketing",C1584))&gt;0,'Configuración'!$B$32,IF(ISNUMBER(SEARCH("Marketing Manager",C1584))+ISNUMBER(SEARCH("Gerente de Marketing",C1584))+ISNUMBER(SEARCH("Growth Manager",C1584))+ISNUMBER(SEARCH("Demand Gen",C1584))+ISNUMBER(SEARCH("Marketing Lead",C1584))&gt;0,'Configuración'!$B$33,IF(ISNUMBER(SEARCH("COO",C1584))+ISNUMBER(SEARCH("CFO",C1584))+ISNUMBER(SEARCH("CTO",C1584))+ISNUMBER(SEARCH("Chief Operating",C1584))+ISNUMBER(SEARCH("Chief Financial",C1584))+ISNUMBER(SEARCH("Gerente General",C1584))+ISNUMBER(SEARCH("General Manager",C1584))&gt;0,'Configuración'!$B$34,'Configuración'!$B$35)))))</f>
        <v>12</v>
      </c>
      <c r="V1584" s="38">
        <f>IF(B1584="","",IF(K1584="Sí",'Configuración'!$B$5,0)+IF(L1584="Semanal",'Configuración'!$B$6,IF(L1584="Mensual",'Configuración'!$B$7,0))+IF(M1584="Sí",'Configuración'!$B$8,0)+IF(N1584="Sí",'Configuración'!$B$9,0)+IF(O1584="Sí",'Configuración'!$B$10,0)+IF(P1584="Sí",'Configuración'!$B$11,0)+IF(Q1584="Sí",'Configuración'!$B$12,0)+S1584+T1584+U1584)</f>
        <v>20</v>
      </c>
      <c r="W1584" s="39" t="str">
        <f>IF(B1584="","",IF(V1584&gt;='Configuración'!$B$19,"A",IF(V1584&gt;='Configuración'!$B$20,"B",IF(V1584&gt;='Configuración'!$B$21,"C","Descarte"))))</f>
        <v>Descarte</v>
      </c>
    </row>
    <row r="1585" ht="15.75" customHeight="1">
      <c r="A1585" s="34">
        <f t="shared" si="1"/>
        <v>1583</v>
      </c>
      <c r="B1585" s="29" t="s">
        <v>1171</v>
      </c>
      <c r="C1585" s="29" t="s">
        <v>8905</v>
      </c>
      <c r="D1585" s="29" t="s">
        <v>8906</v>
      </c>
      <c r="E1585" s="29" t="s">
        <v>8907</v>
      </c>
      <c r="F1585" s="30" t="s">
        <v>8908</v>
      </c>
      <c r="G1585" s="30" t="s">
        <v>8909</v>
      </c>
      <c r="H1585" s="42" t="s">
        <v>8910</v>
      </c>
      <c r="I1585" s="29" t="s">
        <v>350</v>
      </c>
      <c r="J1585" s="31">
        <v>33.0</v>
      </c>
      <c r="K1585" s="35"/>
      <c r="L1585" s="35"/>
      <c r="M1585" s="35"/>
      <c r="N1585" s="35"/>
      <c r="O1585" s="35"/>
      <c r="P1585" s="35"/>
      <c r="Q1585" s="35"/>
      <c r="R1585" s="35"/>
      <c r="S1585" s="37">
        <f>IF(B1585="","",IF(ISNUMBER(J1585),IF(J1585&lt;=10,'Configuración'!$B$23,IF(J1585&lt;=50,'Configuración'!$B$24,IF(J1585&lt;=200,'Configuración'!$B$25,0))),0))</f>
        <v>4</v>
      </c>
      <c r="T1585" s="37">
        <f>IF(B1585="","",IF(ISNUMBER(SEARCH("information technology",I1585))+ISNUMBER(SEARCH("software",I1585))+ISNUMBER(SEARCH("internet",I1585))+ISNUMBER(SEARCH("computer",I1585))+ISNUMBER(SEARCH("saas",I1585))+ISNUMBER(SEARCH("fintech",I1585))+ISNUMBER(SEARCH("information services",I1585))+ISNUMBER(SEARCH("telecommunications",I1585))&gt;0,'Configuración'!$B$27,'Configuración'!$B$28))</f>
        <v>4</v>
      </c>
      <c r="U1585" s="25">
        <f>IF(B1585="","",IF(ISNUMBER(SEARCH("CEO",C1585))+ISNUMBER(SEARCH("Founder",C1585))+ISNUMBER(SEARCH("Owner",C1585))+ISNUMBER(SEARCH("Dueño",C1585))+ISNUMBER(SEARCH("Director General",C1585))+ISNUMBER(SEARCH("Presidente",C1585))+ISNUMBER(SEARCH("President",C1585))&gt;0,'Configuración'!$B$31,IF(ISNUMBER(SEARCH("CMO",C1585))+ISNUMBER(SEARCH("Chief Marketing",C1585))+ISNUMBER(SEARCH("VP Marketing",C1585))+ISNUMBER(SEARCH("Director de Marketing",C1585))+ISNUMBER(SEARCH("Director Marketing",C1585))+ISNUMBER(SEARCH("Head of Marketing",C1585))+ISNUMBER(SEARCH("Head Marketing",C1585))&gt;0,'Configuración'!$B$32,IF(ISNUMBER(SEARCH("Marketing Manager",C1585))+ISNUMBER(SEARCH("Gerente de Marketing",C1585))+ISNUMBER(SEARCH("Growth Manager",C1585))+ISNUMBER(SEARCH("Demand Gen",C1585))+ISNUMBER(SEARCH("Marketing Lead",C1585))&gt;0,'Configuración'!$B$33,IF(ISNUMBER(SEARCH("COO",C1585))+ISNUMBER(SEARCH("CFO",C1585))+ISNUMBER(SEARCH("CTO",C1585))+ISNUMBER(SEARCH("Chief Operating",C1585))+ISNUMBER(SEARCH("Chief Financial",C1585))+ISNUMBER(SEARCH("Gerente General",C1585))+ISNUMBER(SEARCH("General Manager",C1585))&gt;0,'Configuración'!$B$34,'Configuración'!$B$35)))))</f>
        <v>12</v>
      </c>
      <c r="V1585" s="38">
        <f>IF(B1585="","",IF(K1585="Sí",'Configuración'!$B$5,0)+IF(L1585="Semanal",'Configuración'!$B$6,IF(L1585="Mensual",'Configuración'!$B$7,0))+IF(M1585="Sí",'Configuración'!$B$8,0)+IF(N1585="Sí",'Configuración'!$B$9,0)+IF(O1585="Sí",'Configuración'!$B$10,0)+IF(P1585="Sí",'Configuración'!$B$11,0)+IF(Q1585="Sí",'Configuración'!$B$12,0)+S1585+T1585+U1585)</f>
        <v>20</v>
      </c>
      <c r="W1585" s="39" t="str">
        <f>IF(B1585="","",IF(V1585&gt;='Configuración'!$B$19,"A",IF(V1585&gt;='Configuración'!$B$20,"B",IF(V1585&gt;='Configuración'!$B$21,"C","Descarte"))))</f>
        <v>Descarte</v>
      </c>
    </row>
    <row r="1586" ht="15.75" customHeight="1">
      <c r="A1586" s="34">
        <f t="shared" si="1"/>
        <v>1584</v>
      </c>
      <c r="B1586" s="29" t="s">
        <v>296</v>
      </c>
      <c r="C1586" s="29" t="s">
        <v>2442</v>
      </c>
      <c r="D1586" s="29" t="s">
        <v>8911</v>
      </c>
      <c r="E1586" s="29" t="s">
        <v>8912</v>
      </c>
      <c r="F1586" s="30" t="s">
        <v>8913</v>
      </c>
      <c r="G1586" s="30" t="s">
        <v>8914</v>
      </c>
      <c r="H1586" s="42" t="s">
        <v>8915</v>
      </c>
      <c r="I1586" s="29" t="s">
        <v>443</v>
      </c>
      <c r="J1586" s="31">
        <v>14.0</v>
      </c>
      <c r="K1586" s="35"/>
      <c r="L1586" s="35"/>
      <c r="M1586" s="35"/>
      <c r="N1586" s="35"/>
      <c r="O1586" s="35"/>
      <c r="P1586" s="35"/>
      <c r="Q1586" s="35"/>
      <c r="R1586" s="35"/>
      <c r="S1586" s="37">
        <f>IF(B1586="","",IF(ISNUMBER(J1586),IF(J1586&lt;=10,'Configuración'!$B$23,IF(J1586&lt;=50,'Configuración'!$B$24,IF(J1586&lt;=200,'Configuración'!$B$25,0))),0))</f>
        <v>4</v>
      </c>
      <c r="T1586" s="37">
        <f>IF(B1586="","",IF(ISNUMBER(SEARCH("information technology",I1586))+ISNUMBER(SEARCH("software",I1586))+ISNUMBER(SEARCH("internet",I1586))+ISNUMBER(SEARCH("computer",I1586))+ISNUMBER(SEARCH("saas",I1586))+ISNUMBER(SEARCH("fintech",I1586))+ISNUMBER(SEARCH("information services",I1586))+ISNUMBER(SEARCH("telecommunications",I1586))&gt;0,'Configuración'!$B$27,'Configuración'!$B$28))</f>
        <v>4</v>
      </c>
      <c r="U1586" s="25">
        <f>IF(B1586="","",IF(ISNUMBER(SEARCH("CEO",C1586))+ISNUMBER(SEARCH("Founder",C1586))+ISNUMBER(SEARCH("Owner",C1586))+ISNUMBER(SEARCH("Dueño",C1586))+ISNUMBER(SEARCH("Director General",C1586))+ISNUMBER(SEARCH("Presidente",C1586))+ISNUMBER(SEARCH("President",C1586))&gt;0,'Configuración'!$B$31,IF(ISNUMBER(SEARCH("CMO",C1586))+ISNUMBER(SEARCH("Chief Marketing",C1586))+ISNUMBER(SEARCH("VP Marketing",C1586))+ISNUMBER(SEARCH("Director de Marketing",C1586))+ISNUMBER(SEARCH("Director Marketing",C1586))+ISNUMBER(SEARCH("Head of Marketing",C1586))+ISNUMBER(SEARCH("Head Marketing",C1586))&gt;0,'Configuración'!$B$32,IF(ISNUMBER(SEARCH("Marketing Manager",C1586))+ISNUMBER(SEARCH("Gerente de Marketing",C1586))+ISNUMBER(SEARCH("Growth Manager",C1586))+ISNUMBER(SEARCH("Demand Gen",C1586))+ISNUMBER(SEARCH("Marketing Lead",C1586))&gt;0,'Configuración'!$B$33,IF(ISNUMBER(SEARCH("COO",C1586))+ISNUMBER(SEARCH("CFO",C1586))+ISNUMBER(SEARCH("CTO",C1586))+ISNUMBER(SEARCH("Chief Operating",C1586))+ISNUMBER(SEARCH("Chief Financial",C1586))+ISNUMBER(SEARCH("Gerente General",C1586))+ISNUMBER(SEARCH("General Manager",C1586))&gt;0,'Configuración'!$B$34,'Configuración'!$B$35)))))</f>
        <v>4</v>
      </c>
      <c r="V1586" s="38">
        <f>IF(B1586="","",IF(K1586="Sí",'Configuración'!$B$5,0)+IF(L1586="Semanal",'Configuración'!$B$6,IF(L1586="Mensual",'Configuración'!$B$7,0))+IF(M1586="Sí",'Configuración'!$B$8,0)+IF(N1586="Sí",'Configuración'!$B$9,0)+IF(O1586="Sí",'Configuración'!$B$10,0)+IF(P1586="Sí",'Configuración'!$B$11,0)+IF(Q1586="Sí",'Configuración'!$B$12,0)+S1586+T1586+U1586)</f>
        <v>12</v>
      </c>
      <c r="W1586" s="39" t="str">
        <f>IF(B1586="","",IF(V1586&gt;='Configuración'!$B$19,"A",IF(V1586&gt;='Configuración'!$B$20,"B",IF(V1586&gt;='Configuración'!$B$21,"C","Descarte"))))</f>
        <v>Descarte</v>
      </c>
    </row>
    <row r="1587" ht="15.75" customHeight="1">
      <c r="A1587" s="34">
        <f t="shared" si="1"/>
        <v>1585</v>
      </c>
      <c r="B1587" s="29" t="s">
        <v>174</v>
      </c>
      <c r="C1587" s="29" t="s">
        <v>1656</v>
      </c>
      <c r="D1587" s="29" t="s">
        <v>6229</v>
      </c>
      <c r="E1587" s="29" t="s">
        <v>8916</v>
      </c>
      <c r="F1587" s="30" t="s">
        <v>8917</v>
      </c>
      <c r="G1587" s="30" t="s">
        <v>6232</v>
      </c>
      <c r="H1587" s="42" t="s">
        <v>6233</v>
      </c>
      <c r="I1587" s="29" t="s">
        <v>659</v>
      </c>
      <c r="J1587" s="31">
        <v>3.0</v>
      </c>
      <c r="K1587" s="35"/>
      <c r="L1587" s="35"/>
      <c r="M1587" s="35"/>
      <c r="N1587" s="35"/>
      <c r="O1587" s="35"/>
      <c r="P1587" s="35"/>
      <c r="Q1587" s="35"/>
      <c r="R1587" s="35"/>
      <c r="S1587" s="37">
        <f>IF(B1587="","",IF(ISNUMBER(J1587),IF(J1587&lt;=10,'Configuración'!$B$23,IF(J1587&lt;=50,'Configuración'!$B$24,IF(J1587&lt;=200,'Configuración'!$B$25,0))),0))</f>
        <v>12</v>
      </c>
      <c r="T1587" s="37">
        <f>IF(B1587="","",IF(ISNUMBER(SEARCH("information technology",I1587))+ISNUMBER(SEARCH("software",I1587))+ISNUMBER(SEARCH("internet",I1587))+ISNUMBER(SEARCH("computer",I1587))+ISNUMBER(SEARCH("saas",I1587))+ISNUMBER(SEARCH("fintech",I1587))+ISNUMBER(SEARCH("information services",I1587))+ISNUMBER(SEARCH("telecommunications",I1587))&gt;0,'Configuración'!$B$27,'Configuración'!$B$28))</f>
        <v>4</v>
      </c>
      <c r="U1587" s="25">
        <f>IF(B1587="","",IF(ISNUMBER(SEARCH("CEO",C1587))+ISNUMBER(SEARCH("Founder",C1587))+ISNUMBER(SEARCH("Owner",C1587))+ISNUMBER(SEARCH("Dueño",C1587))+ISNUMBER(SEARCH("Director General",C1587))+ISNUMBER(SEARCH("Presidente",C1587))+ISNUMBER(SEARCH("President",C1587))&gt;0,'Configuración'!$B$31,IF(ISNUMBER(SEARCH("CMO",C1587))+ISNUMBER(SEARCH("Chief Marketing",C1587))+ISNUMBER(SEARCH("VP Marketing",C1587))+ISNUMBER(SEARCH("Director de Marketing",C1587))+ISNUMBER(SEARCH("Director Marketing",C1587))+ISNUMBER(SEARCH("Head of Marketing",C1587))+ISNUMBER(SEARCH("Head Marketing",C1587))&gt;0,'Configuración'!$B$32,IF(ISNUMBER(SEARCH("Marketing Manager",C1587))+ISNUMBER(SEARCH("Gerente de Marketing",C1587))+ISNUMBER(SEARCH("Growth Manager",C1587))+ISNUMBER(SEARCH("Demand Gen",C1587))+ISNUMBER(SEARCH("Marketing Lead",C1587))&gt;0,'Configuración'!$B$33,IF(ISNUMBER(SEARCH("COO",C1587))+ISNUMBER(SEARCH("CFO",C1587))+ISNUMBER(SEARCH("CTO",C1587))+ISNUMBER(SEARCH("Chief Operating",C1587))+ISNUMBER(SEARCH("Chief Financial",C1587))+ISNUMBER(SEARCH("Gerente General",C1587))+ISNUMBER(SEARCH("General Manager",C1587))&gt;0,'Configuración'!$B$34,'Configuración'!$B$35)))))</f>
        <v>12</v>
      </c>
      <c r="V1587" s="38">
        <f>IF(B1587="","",IF(K1587="Sí",'Configuración'!$B$5,0)+IF(L1587="Semanal",'Configuración'!$B$6,IF(L1587="Mensual",'Configuración'!$B$7,0))+IF(M1587="Sí",'Configuración'!$B$8,0)+IF(N1587="Sí",'Configuración'!$B$9,0)+IF(O1587="Sí",'Configuración'!$B$10,0)+IF(P1587="Sí",'Configuración'!$B$11,0)+IF(Q1587="Sí",'Configuración'!$B$12,0)+S1587+T1587+U1587)</f>
        <v>28</v>
      </c>
      <c r="W1587" s="39" t="str">
        <f>IF(B1587="","",IF(V1587&gt;='Configuración'!$B$19,"A",IF(V1587&gt;='Configuración'!$B$20,"B",IF(V1587&gt;='Configuración'!$B$21,"C","Descarte"))))</f>
        <v>C</v>
      </c>
    </row>
    <row r="1588" ht="15.75" customHeight="1">
      <c r="A1588" s="34">
        <f t="shared" si="1"/>
        <v>1586</v>
      </c>
      <c r="B1588" s="29" t="s">
        <v>8918</v>
      </c>
      <c r="C1588" s="29" t="s">
        <v>224</v>
      </c>
      <c r="D1588" s="29" t="s">
        <v>8919</v>
      </c>
      <c r="E1588" s="29" t="s">
        <v>8920</v>
      </c>
      <c r="F1588" s="30" t="s">
        <v>8921</v>
      </c>
      <c r="G1588" s="30" t="s">
        <v>8922</v>
      </c>
      <c r="H1588" s="42" t="s">
        <v>8923</v>
      </c>
      <c r="I1588" s="29" t="s">
        <v>116</v>
      </c>
      <c r="J1588" s="31">
        <v>21.0</v>
      </c>
      <c r="K1588" s="35"/>
      <c r="L1588" s="35"/>
      <c r="M1588" s="35"/>
      <c r="N1588" s="35"/>
      <c r="O1588" s="35"/>
      <c r="P1588" s="35"/>
      <c r="Q1588" s="35"/>
      <c r="R1588" s="35"/>
      <c r="S1588" s="37">
        <f>IF(B1588="","",IF(ISNUMBER(J1588),IF(J1588&lt;=10,'Configuración'!$B$23,IF(J1588&lt;=50,'Configuración'!$B$24,IF(J1588&lt;=200,'Configuración'!$B$25,0))),0))</f>
        <v>4</v>
      </c>
      <c r="T1588" s="37">
        <f>IF(B1588="","",IF(ISNUMBER(SEARCH("information technology",I1588))+ISNUMBER(SEARCH("software",I1588))+ISNUMBER(SEARCH("internet",I1588))+ISNUMBER(SEARCH("computer",I1588))+ISNUMBER(SEARCH("saas",I1588))+ISNUMBER(SEARCH("fintech",I1588))+ISNUMBER(SEARCH("information services",I1588))+ISNUMBER(SEARCH("telecommunications",I1588))&gt;0,'Configuración'!$B$27,'Configuración'!$B$28))</f>
        <v>4</v>
      </c>
      <c r="U1588" s="25">
        <f>IF(B1588="","",IF(ISNUMBER(SEARCH("CEO",C1588))+ISNUMBER(SEARCH("Founder",C1588))+ISNUMBER(SEARCH("Owner",C1588))+ISNUMBER(SEARCH("Dueño",C1588))+ISNUMBER(SEARCH("Director General",C1588))+ISNUMBER(SEARCH("Presidente",C1588))+ISNUMBER(SEARCH("President",C1588))&gt;0,'Configuración'!$B$31,IF(ISNUMBER(SEARCH("CMO",C1588))+ISNUMBER(SEARCH("Chief Marketing",C1588))+ISNUMBER(SEARCH("VP Marketing",C1588))+ISNUMBER(SEARCH("Director de Marketing",C1588))+ISNUMBER(SEARCH("Director Marketing",C1588))+ISNUMBER(SEARCH("Head of Marketing",C1588))+ISNUMBER(SEARCH("Head Marketing",C1588))&gt;0,'Configuración'!$B$32,IF(ISNUMBER(SEARCH("Marketing Manager",C1588))+ISNUMBER(SEARCH("Gerente de Marketing",C1588))+ISNUMBER(SEARCH("Growth Manager",C1588))+ISNUMBER(SEARCH("Demand Gen",C1588))+ISNUMBER(SEARCH("Marketing Lead",C1588))&gt;0,'Configuración'!$B$33,IF(ISNUMBER(SEARCH("COO",C1588))+ISNUMBER(SEARCH("CFO",C1588))+ISNUMBER(SEARCH("CTO",C1588))+ISNUMBER(SEARCH("Chief Operating",C1588))+ISNUMBER(SEARCH("Chief Financial",C1588))+ISNUMBER(SEARCH("Gerente General",C1588))+ISNUMBER(SEARCH("General Manager",C1588))&gt;0,'Configuración'!$B$34,'Configuración'!$B$35)))))</f>
        <v>12</v>
      </c>
      <c r="V1588" s="38">
        <f>IF(B1588="","",IF(K1588="Sí",'Configuración'!$B$5,0)+IF(L1588="Semanal",'Configuración'!$B$6,IF(L1588="Mensual",'Configuración'!$B$7,0))+IF(M1588="Sí",'Configuración'!$B$8,0)+IF(N1588="Sí",'Configuración'!$B$9,0)+IF(O1588="Sí",'Configuración'!$B$10,0)+IF(P1588="Sí",'Configuración'!$B$11,0)+IF(Q1588="Sí",'Configuración'!$B$12,0)+S1588+T1588+U1588)</f>
        <v>20</v>
      </c>
      <c r="W1588" s="39" t="str">
        <f>IF(B1588="","",IF(V1588&gt;='Configuración'!$B$19,"A",IF(V1588&gt;='Configuración'!$B$20,"B",IF(V1588&gt;='Configuración'!$B$21,"C","Descarte"))))</f>
        <v>Descarte</v>
      </c>
    </row>
    <row r="1589" ht="15.75" customHeight="1">
      <c r="A1589" s="34">
        <f t="shared" si="1"/>
        <v>1587</v>
      </c>
      <c r="B1589" s="29" t="s">
        <v>236</v>
      </c>
      <c r="C1589" s="29" t="s">
        <v>597</v>
      </c>
      <c r="D1589" s="29" t="s">
        <v>7458</v>
      </c>
      <c r="E1589" s="29" t="s">
        <v>8924</v>
      </c>
      <c r="F1589" s="30" t="s">
        <v>8925</v>
      </c>
      <c r="G1589" s="30" t="s">
        <v>7461</v>
      </c>
      <c r="H1589" s="42" t="s">
        <v>7462</v>
      </c>
      <c r="I1589" s="29" t="s">
        <v>295</v>
      </c>
      <c r="J1589" s="31">
        <v>16.0</v>
      </c>
      <c r="K1589" s="35"/>
      <c r="L1589" s="35"/>
      <c r="M1589" s="35"/>
      <c r="N1589" s="35"/>
      <c r="O1589" s="35"/>
      <c r="P1589" s="35"/>
      <c r="Q1589" s="35"/>
      <c r="R1589" s="35"/>
      <c r="S1589" s="37">
        <f>IF(B1589="","",IF(ISNUMBER(J1589),IF(J1589&lt;=10,'Configuración'!$B$23,IF(J1589&lt;=50,'Configuración'!$B$24,IF(J1589&lt;=200,'Configuración'!$B$25,0))),0))</f>
        <v>4</v>
      </c>
      <c r="T1589" s="37">
        <f>IF(B1589="","",IF(ISNUMBER(SEARCH("information technology",I1589))+ISNUMBER(SEARCH("software",I1589))+ISNUMBER(SEARCH("internet",I1589))+ISNUMBER(SEARCH("computer",I1589))+ISNUMBER(SEARCH("saas",I1589))+ISNUMBER(SEARCH("fintech",I1589))+ISNUMBER(SEARCH("information services",I1589))+ISNUMBER(SEARCH("telecommunications",I1589))&gt;0,'Configuración'!$B$27,'Configuración'!$B$28))</f>
        <v>4</v>
      </c>
      <c r="U1589" s="25">
        <f>IF(B1589="","",IF(ISNUMBER(SEARCH("CEO",C1589))+ISNUMBER(SEARCH("Founder",C1589))+ISNUMBER(SEARCH("Owner",C1589))+ISNUMBER(SEARCH("Dueño",C1589))+ISNUMBER(SEARCH("Director General",C1589))+ISNUMBER(SEARCH("Presidente",C1589))+ISNUMBER(SEARCH("President",C1589))&gt;0,'Configuración'!$B$31,IF(ISNUMBER(SEARCH("CMO",C1589))+ISNUMBER(SEARCH("Chief Marketing",C1589))+ISNUMBER(SEARCH("VP Marketing",C1589))+ISNUMBER(SEARCH("Director de Marketing",C1589))+ISNUMBER(SEARCH("Director Marketing",C1589))+ISNUMBER(SEARCH("Head of Marketing",C1589))+ISNUMBER(SEARCH("Head Marketing",C1589))&gt;0,'Configuración'!$B$32,IF(ISNUMBER(SEARCH("Marketing Manager",C1589))+ISNUMBER(SEARCH("Gerente de Marketing",C1589))+ISNUMBER(SEARCH("Growth Manager",C1589))+ISNUMBER(SEARCH("Demand Gen",C1589))+ISNUMBER(SEARCH("Marketing Lead",C1589))&gt;0,'Configuración'!$B$33,IF(ISNUMBER(SEARCH("COO",C1589))+ISNUMBER(SEARCH("CFO",C1589))+ISNUMBER(SEARCH("CTO",C1589))+ISNUMBER(SEARCH("Chief Operating",C1589))+ISNUMBER(SEARCH("Chief Financial",C1589))+ISNUMBER(SEARCH("Gerente General",C1589))+ISNUMBER(SEARCH("General Manager",C1589))&gt;0,'Configuración'!$B$34,'Configuración'!$B$35)))))</f>
        <v>12</v>
      </c>
      <c r="V1589" s="38">
        <f>IF(B1589="","",IF(K1589="Sí",'Configuración'!$B$5,0)+IF(L1589="Semanal",'Configuración'!$B$6,IF(L1589="Mensual",'Configuración'!$B$7,0))+IF(M1589="Sí",'Configuración'!$B$8,0)+IF(N1589="Sí",'Configuración'!$B$9,0)+IF(O1589="Sí",'Configuración'!$B$10,0)+IF(P1589="Sí",'Configuración'!$B$11,0)+IF(Q1589="Sí",'Configuración'!$B$12,0)+S1589+T1589+U1589)</f>
        <v>20</v>
      </c>
      <c r="W1589" s="39" t="str">
        <f>IF(B1589="","",IF(V1589&gt;='Configuración'!$B$19,"A",IF(V1589&gt;='Configuración'!$B$20,"B",IF(V1589&gt;='Configuración'!$B$21,"C","Descarte"))))</f>
        <v>Descarte</v>
      </c>
    </row>
    <row r="1590" ht="15.75" customHeight="1">
      <c r="A1590" s="34">
        <f t="shared" si="1"/>
        <v>1588</v>
      </c>
      <c r="B1590" s="29" t="s">
        <v>5993</v>
      </c>
      <c r="C1590" s="29" t="s">
        <v>131</v>
      </c>
      <c r="D1590" s="29" t="s">
        <v>8926</v>
      </c>
      <c r="E1590" s="29" t="s">
        <v>8927</v>
      </c>
      <c r="F1590" s="30" t="s">
        <v>8928</v>
      </c>
      <c r="G1590" s="30" t="s">
        <v>8929</v>
      </c>
      <c r="H1590" s="42" t="s">
        <v>8930</v>
      </c>
      <c r="I1590" s="29" t="s">
        <v>116</v>
      </c>
      <c r="J1590" s="31">
        <v>32.0</v>
      </c>
      <c r="K1590" s="35"/>
      <c r="L1590" s="35"/>
      <c r="M1590" s="35"/>
      <c r="N1590" s="35"/>
      <c r="O1590" s="35"/>
      <c r="P1590" s="35"/>
      <c r="Q1590" s="35"/>
      <c r="R1590" s="35"/>
      <c r="S1590" s="37">
        <f>IF(B1590="","",IF(ISNUMBER(J1590),IF(J1590&lt;=10,'Configuración'!$B$23,IF(J1590&lt;=50,'Configuración'!$B$24,IF(J1590&lt;=200,'Configuración'!$B$25,0))),0))</f>
        <v>4</v>
      </c>
      <c r="T1590" s="37">
        <f>IF(B1590="","",IF(ISNUMBER(SEARCH("information technology",I1590))+ISNUMBER(SEARCH("software",I1590))+ISNUMBER(SEARCH("internet",I1590))+ISNUMBER(SEARCH("computer",I1590))+ISNUMBER(SEARCH("saas",I1590))+ISNUMBER(SEARCH("fintech",I1590))+ISNUMBER(SEARCH("information services",I1590))+ISNUMBER(SEARCH("telecommunications",I1590))&gt;0,'Configuración'!$B$27,'Configuración'!$B$28))</f>
        <v>4</v>
      </c>
      <c r="U1590" s="25">
        <f>IF(B1590="","",IF(ISNUMBER(SEARCH("CEO",C1590))+ISNUMBER(SEARCH("Founder",C1590))+ISNUMBER(SEARCH("Owner",C1590))+ISNUMBER(SEARCH("Dueño",C1590))+ISNUMBER(SEARCH("Director General",C1590))+ISNUMBER(SEARCH("Presidente",C1590))+ISNUMBER(SEARCH("President",C1590))&gt;0,'Configuración'!$B$31,IF(ISNUMBER(SEARCH("CMO",C1590))+ISNUMBER(SEARCH("Chief Marketing",C1590))+ISNUMBER(SEARCH("VP Marketing",C1590))+ISNUMBER(SEARCH("Director de Marketing",C1590))+ISNUMBER(SEARCH("Director Marketing",C1590))+ISNUMBER(SEARCH("Head of Marketing",C1590))+ISNUMBER(SEARCH("Head Marketing",C1590))&gt;0,'Configuración'!$B$32,IF(ISNUMBER(SEARCH("Marketing Manager",C1590))+ISNUMBER(SEARCH("Gerente de Marketing",C1590))+ISNUMBER(SEARCH("Growth Manager",C1590))+ISNUMBER(SEARCH("Demand Gen",C1590))+ISNUMBER(SEARCH("Marketing Lead",C1590))&gt;0,'Configuración'!$B$33,IF(ISNUMBER(SEARCH("COO",C1590))+ISNUMBER(SEARCH("CFO",C1590))+ISNUMBER(SEARCH("CTO",C1590))+ISNUMBER(SEARCH("Chief Operating",C1590))+ISNUMBER(SEARCH("Chief Financial",C1590))+ISNUMBER(SEARCH("Gerente General",C1590))+ISNUMBER(SEARCH("General Manager",C1590))&gt;0,'Configuración'!$B$34,'Configuración'!$B$35)))))</f>
        <v>12</v>
      </c>
      <c r="V1590" s="38">
        <f>IF(B1590="","",IF(K1590="Sí",'Configuración'!$B$5,0)+IF(L1590="Semanal",'Configuración'!$B$6,IF(L1590="Mensual",'Configuración'!$B$7,0))+IF(M1590="Sí",'Configuración'!$B$8,0)+IF(N1590="Sí",'Configuración'!$B$9,0)+IF(O1590="Sí",'Configuración'!$B$10,0)+IF(P1590="Sí",'Configuración'!$B$11,0)+IF(Q1590="Sí",'Configuración'!$B$12,0)+S1590+T1590+U1590)</f>
        <v>20</v>
      </c>
      <c r="W1590" s="39" t="str">
        <f>IF(B1590="","",IF(V1590&gt;='Configuración'!$B$19,"A",IF(V1590&gt;='Configuración'!$B$20,"B",IF(V1590&gt;='Configuración'!$B$21,"C","Descarte"))))</f>
        <v>Descarte</v>
      </c>
    </row>
    <row r="1591" ht="15.75" customHeight="1">
      <c r="A1591" s="34">
        <f t="shared" si="1"/>
        <v>1589</v>
      </c>
      <c r="B1591" s="29" t="s">
        <v>6097</v>
      </c>
      <c r="C1591" s="29" t="s">
        <v>8931</v>
      </c>
      <c r="D1591" s="29" t="s">
        <v>8932</v>
      </c>
      <c r="E1591" s="29" t="s">
        <v>8933</v>
      </c>
      <c r="F1591" s="30" t="s">
        <v>8934</v>
      </c>
      <c r="G1591" s="30" t="s">
        <v>8935</v>
      </c>
      <c r="H1591" s="42" t="s">
        <v>8936</v>
      </c>
      <c r="I1591" s="29" t="s">
        <v>137</v>
      </c>
      <c r="J1591" s="31">
        <v>2.0</v>
      </c>
      <c r="K1591" s="35"/>
      <c r="L1591" s="35"/>
      <c r="M1591" s="35"/>
      <c r="N1591" s="35"/>
      <c r="O1591" s="35"/>
      <c r="P1591" s="35"/>
      <c r="Q1591" s="35"/>
      <c r="R1591" s="35"/>
      <c r="S1591" s="37">
        <f>IF(B1591="","",IF(ISNUMBER(J1591),IF(J1591&lt;=10,'Configuración'!$B$23,IF(J1591&lt;=50,'Configuración'!$B$24,IF(J1591&lt;=200,'Configuración'!$B$25,0))),0))</f>
        <v>12</v>
      </c>
      <c r="T1591" s="37">
        <f>IF(B1591="","",IF(ISNUMBER(SEARCH("information technology",I1591))+ISNUMBER(SEARCH("software",I1591))+ISNUMBER(SEARCH("internet",I1591))+ISNUMBER(SEARCH("computer",I1591))+ISNUMBER(SEARCH("saas",I1591))+ISNUMBER(SEARCH("fintech",I1591))+ISNUMBER(SEARCH("information services",I1591))+ISNUMBER(SEARCH("telecommunications",I1591))&gt;0,'Configuración'!$B$27,'Configuración'!$B$28))</f>
        <v>4</v>
      </c>
      <c r="U1591" s="25">
        <f>IF(B1591="","",IF(ISNUMBER(SEARCH("CEO",C1591))+ISNUMBER(SEARCH("Founder",C1591))+ISNUMBER(SEARCH("Owner",C1591))+ISNUMBER(SEARCH("Dueño",C1591))+ISNUMBER(SEARCH("Director General",C1591))+ISNUMBER(SEARCH("Presidente",C1591))+ISNUMBER(SEARCH("President",C1591))&gt;0,'Configuración'!$B$31,IF(ISNUMBER(SEARCH("CMO",C1591))+ISNUMBER(SEARCH("Chief Marketing",C1591))+ISNUMBER(SEARCH("VP Marketing",C1591))+ISNUMBER(SEARCH("Director de Marketing",C1591))+ISNUMBER(SEARCH("Director Marketing",C1591))+ISNUMBER(SEARCH("Head of Marketing",C1591))+ISNUMBER(SEARCH("Head Marketing",C1591))&gt;0,'Configuración'!$B$32,IF(ISNUMBER(SEARCH("Marketing Manager",C1591))+ISNUMBER(SEARCH("Gerente de Marketing",C1591))+ISNUMBER(SEARCH("Growth Manager",C1591))+ISNUMBER(SEARCH("Demand Gen",C1591))+ISNUMBER(SEARCH("Marketing Lead",C1591))&gt;0,'Configuración'!$B$33,IF(ISNUMBER(SEARCH("COO",C1591))+ISNUMBER(SEARCH("CFO",C1591))+ISNUMBER(SEARCH("CTO",C1591))+ISNUMBER(SEARCH("Chief Operating",C1591))+ISNUMBER(SEARCH("Chief Financial",C1591))+ISNUMBER(SEARCH("Gerente General",C1591))+ISNUMBER(SEARCH("General Manager",C1591))&gt;0,'Configuración'!$B$34,'Configuración'!$B$35)))))</f>
        <v>12</v>
      </c>
      <c r="V1591" s="38">
        <f>IF(B1591="","",IF(K1591="Sí",'Configuración'!$B$5,0)+IF(L1591="Semanal",'Configuración'!$B$6,IF(L1591="Mensual",'Configuración'!$B$7,0))+IF(M1591="Sí",'Configuración'!$B$8,0)+IF(N1591="Sí",'Configuración'!$B$9,0)+IF(O1591="Sí",'Configuración'!$B$10,0)+IF(P1591="Sí",'Configuración'!$B$11,0)+IF(Q1591="Sí",'Configuración'!$B$12,0)+S1591+T1591+U1591)</f>
        <v>28</v>
      </c>
      <c r="W1591" s="39" t="str">
        <f>IF(B1591="","",IF(V1591&gt;='Configuración'!$B$19,"A",IF(V1591&gt;='Configuración'!$B$20,"B",IF(V1591&gt;='Configuración'!$B$21,"C","Descarte"))))</f>
        <v>C</v>
      </c>
    </row>
    <row r="1592" ht="15.75" customHeight="1">
      <c r="A1592" s="34">
        <f t="shared" si="1"/>
        <v>1590</v>
      </c>
      <c r="B1592" s="29" t="s">
        <v>120</v>
      </c>
      <c r="C1592" s="29" t="s">
        <v>175</v>
      </c>
      <c r="D1592" s="29" t="s">
        <v>8937</v>
      </c>
      <c r="E1592" s="29" t="s">
        <v>8938</v>
      </c>
      <c r="F1592" s="30" t="s">
        <v>8939</v>
      </c>
      <c r="G1592" s="30" t="s">
        <v>8940</v>
      </c>
      <c r="H1592" s="42" t="s">
        <v>8941</v>
      </c>
      <c r="I1592" s="29" t="s">
        <v>127</v>
      </c>
      <c r="J1592" s="31">
        <v>1.0</v>
      </c>
      <c r="K1592" s="35"/>
      <c r="L1592" s="35"/>
      <c r="M1592" s="35"/>
      <c r="N1592" s="35"/>
      <c r="O1592" s="35"/>
      <c r="P1592" s="35"/>
      <c r="Q1592" s="35"/>
      <c r="R1592" s="35"/>
      <c r="S1592" s="37">
        <f>IF(B1592="","",IF(ISNUMBER(J1592),IF(J1592&lt;=10,'Configuración'!$B$23,IF(J1592&lt;=50,'Configuración'!$B$24,IF(J1592&lt;=200,'Configuración'!$B$25,0))),0))</f>
        <v>12</v>
      </c>
      <c r="T1592" s="37">
        <f>IF(B1592="","",IF(ISNUMBER(SEARCH("information technology",I1592))+ISNUMBER(SEARCH("software",I1592))+ISNUMBER(SEARCH("internet",I1592))+ISNUMBER(SEARCH("computer",I1592))+ISNUMBER(SEARCH("saas",I1592))+ISNUMBER(SEARCH("fintech",I1592))+ISNUMBER(SEARCH("information services",I1592))+ISNUMBER(SEARCH("telecommunications",I1592))&gt;0,'Configuración'!$B$27,'Configuración'!$B$28))</f>
        <v>12</v>
      </c>
      <c r="U1592" s="25">
        <f>IF(B1592="","",IF(ISNUMBER(SEARCH("CEO",C1592))+ISNUMBER(SEARCH("Founder",C1592))+ISNUMBER(SEARCH("Owner",C1592))+ISNUMBER(SEARCH("Dueño",C1592))+ISNUMBER(SEARCH("Director General",C1592))+ISNUMBER(SEARCH("Presidente",C1592))+ISNUMBER(SEARCH("President",C1592))&gt;0,'Configuración'!$B$31,IF(ISNUMBER(SEARCH("CMO",C1592))+ISNUMBER(SEARCH("Chief Marketing",C1592))+ISNUMBER(SEARCH("VP Marketing",C1592))+ISNUMBER(SEARCH("Director de Marketing",C1592))+ISNUMBER(SEARCH("Director Marketing",C1592))+ISNUMBER(SEARCH("Head of Marketing",C1592))+ISNUMBER(SEARCH("Head Marketing",C1592))&gt;0,'Configuración'!$B$32,IF(ISNUMBER(SEARCH("Marketing Manager",C1592))+ISNUMBER(SEARCH("Gerente de Marketing",C1592))+ISNUMBER(SEARCH("Growth Manager",C1592))+ISNUMBER(SEARCH("Demand Gen",C1592))+ISNUMBER(SEARCH("Marketing Lead",C1592))&gt;0,'Configuración'!$B$33,IF(ISNUMBER(SEARCH("COO",C1592))+ISNUMBER(SEARCH("CFO",C1592))+ISNUMBER(SEARCH("CTO",C1592))+ISNUMBER(SEARCH("Chief Operating",C1592))+ISNUMBER(SEARCH("Chief Financial",C1592))+ISNUMBER(SEARCH("Gerente General",C1592))+ISNUMBER(SEARCH("General Manager",C1592))&gt;0,'Configuración'!$B$34,'Configuración'!$B$35)))))</f>
        <v>12</v>
      </c>
      <c r="V1592" s="38">
        <f>IF(B1592="","",IF(K1592="Sí",'Configuración'!$B$5,0)+IF(L1592="Semanal",'Configuración'!$B$6,IF(L1592="Mensual",'Configuración'!$B$7,0))+IF(M1592="Sí",'Configuración'!$B$8,0)+IF(N1592="Sí",'Configuración'!$B$9,0)+IF(O1592="Sí",'Configuración'!$B$10,0)+IF(P1592="Sí",'Configuración'!$B$11,0)+IF(Q1592="Sí",'Configuración'!$B$12,0)+S1592+T1592+U1592)</f>
        <v>36</v>
      </c>
      <c r="W1592" s="39" t="str">
        <f>IF(B1592="","",IF(V1592&gt;='Configuración'!$B$19,"A",IF(V1592&gt;='Configuración'!$B$20,"B",IF(V1592&gt;='Configuración'!$B$21,"C","Descarte"))))</f>
        <v>C</v>
      </c>
    </row>
    <row r="1593" ht="15.75" customHeight="1">
      <c r="A1593" s="34">
        <f t="shared" si="1"/>
        <v>1591</v>
      </c>
      <c r="B1593" s="29" t="s">
        <v>5993</v>
      </c>
      <c r="C1593" s="29" t="s">
        <v>8942</v>
      </c>
      <c r="D1593" s="29" t="s">
        <v>8943</v>
      </c>
      <c r="E1593" s="29" t="s">
        <v>8944</v>
      </c>
      <c r="F1593" s="30" t="s">
        <v>8945</v>
      </c>
      <c r="G1593" s="30" t="s">
        <v>8946</v>
      </c>
      <c r="H1593" s="42" t="s">
        <v>8947</v>
      </c>
      <c r="I1593" s="29" t="s">
        <v>2980</v>
      </c>
      <c r="J1593" s="31">
        <v>30.0</v>
      </c>
      <c r="K1593" s="35"/>
      <c r="L1593" s="35"/>
      <c r="M1593" s="35"/>
      <c r="N1593" s="35"/>
      <c r="O1593" s="35"/>
      <c r="P1593" s="35"/>
      <c r="Q1593" s="35"/>
      <c r="R1593" s="35"/>
      <c r="S1593" s="37">
        <f>IF(B1593="","",IF(ISNUMBER(J1593),IF(J1593&lt;=10,'Configuración'!$B$23,IF(J1593&lt;=50,'Configuración'!$B$24,IF(J1593&lt;=200,'Configuración'!$B$25,0))),0))</f>
        <v>4</v>
      </c>
      <c r="T1593" s="37">
        <f>IF(B1593="","",IF(ISNUMBER(SEARCH("information technology",I1593))+ISNUMBER(SEARCH("software",I1593))+ISNUMBER(SEARCH("internet",I1593))+ISNUMBER(SEARCH("computer",I1593))+ISNUMBER(SEARCH("saas",I1593))+ISNUMBER(SEARCH("fintech",I1593))+ISNUMBER(SEARCH("information services",I1593))+ISNUMBER(SEARCH("telecommunications",I1593))&gt;0,'Configuración'!$B$27,'Configuración'!$B$28))</f>
        <v>4</v>
      </c>
      <c r="U1593" s="25">
        <f>IF(B1593="","",IF(ISNUMBER(SEARCH("CEO",C1593))+ISNUMBER(SEARCH("Founder",C1593))+ISNUMBER(SEARCH("Owner",C1593))+ISNUMBER(SEARCH("Dueño",C1593))+ISNUMBER(SEARCH("Director General",C1593))+ISNUMBER(SEARCH("Presidente",C1593))+ISNUMBER(SEARCH("President",C1593))&gt;0,'Configuración'!$B$31,IF(ISNUMBER(SEARCH("CMO",C1593))+ISNUMBER(SEARCH("Chief Marketing",C1593))+ISNUMBER(SEARCH("VP Marketing",C1593))+ISNUMBER(SEARCH("Director de Marketing",C1593))+ISNUMBER(SEARCH("Director Marketing",C1593))+ISNUMBER(SEARCH("Head of Marketing",C1593))+ISNUMBER(SEARCH("Head Marketing",C1593))&gt;0,'Configuración'!$B$32,IF(ISNUMBER(SEARCH("Marketing Manager",C1593))+ISNUMBER(SEARCH("Gerente de Marketing",C1593))+ISNUMBER(SEARCH("Growth Manager",C1593))+ISNUMBER(SEARCH("Demand Gen",C1593))+ISNUMBER(SEARCH("Marketing Lead",C1593))&gt;0,'Configuración'!$B$33,IF(ISNUMBER(SEARCH("COO",C1593))+ISNUMBER(SEARCH("CFO",C1593))+ISNUMBER(SEARCH("CTO",C1593))+ISNUMBER(SEARCH("Chief Operating",C1593))+ISNUMBER(SEARCH("Chief Financial",C1593))+ISNUMBER(SEARCH("Gerente General",C1593))+ISNUMBER(SEARCH("General Manager",C1593))&gt;0,'Configuración'!$B$34,'Configuración'!$B$35)))))</f>
        <v>4</v>
      </c>
      <c r="V1593" s="38">
        <f>IF(B1593="","",IF(K1593="Sí",'Configuración'!$B$5,0)+IF(L1593="Semanal",'Configuración'!$B$6,IF(L1593="Mensual",'Configuración'!$B$7,0))+IF(M1593="Sí",'Configuración'!$B$8,0)+IF(N1593="Sí",'Configuración'!$B$9,0)+IF(O1593="Sí",'Configuración'!$B$10,0)+IF(P1593="Sí",'Configuración'!$B$11,0)+IF(Q1593="Sí",'Configuración'!$B$12,0)+S1593+T1593+U1593)</f>
        <v>12</v>
      </c>
      <c r="W1593" s="39" t="str">
        <f>IF(B1593="","",IF(V1593&gt;='Configuración'!$B$19,"A",IF(V1593&gt;='Configuración'!$B$20,"B",IF(V1593&gt;='Configuración'!$B$21,"C","Descarte"))))</f>
        <v>Descarte</v>
      </c>
    </row>
    <row r="1594" ht="15.75" customHeight="1">
      <c r="A1594" s="34">
        <f t="shared" si="1"/>
        <v>1592</v>
      </c>
      <c r="B1594" s="29" t="s">
        <v>1020</v>
      </c>
      <c r="C1594" s="29" t="s">
        <v>304</v>
      </c>
      <c r="D1594" s="29" t="s">
        <v>8948</v>
      </c>
      <c r="E1594" s="29" t="s">
        <v>8949</v>
      </c>
      <c r="F1594" s="30" t="s">
        <v>8950</v>
      </c>
      <c r="G1594" s="30" t="s">
        <v>8951</v>
      </c>
      <c r="H1594" s="42" t="s">
        <v>8952</v>
      </c>
      <c r="I1594" s="29" t="s">
        <v>127</v>
      </c>
      <c r="J1594" s="31">
        <v>41.0</v>
      </c>
      <c r="K1594" s="35"/>
      <c r="L1594" s="35"/>
      <c r="M1594" s="35"/>
      <c r="N1594" s="35"/>
      <c r="O1594" s="35"/>
      <c r="P1594" s="35"/>
      <c r="Q1594" s="35"/>
      <c r="R1594" s="35"/>
      <c r="S1594" s="37">
        <f>IF(B1594="","",IF(ISNUMBER(J1594),IF(J1594&lt;=10,'Configuración'!$B$23,IF(J1594&lt;=50,'Configuración'!$B$24,IF(J1594&lt;=200,'Configuración'!$B$25,0))),0))</f>
        <v>4</v>
      </c>
      <c r="T1594" s="37">
        <f>IF(B1594="","",IF(ISNUMBER(SEARCH("information technology",I1594))+ISNUMBER(SEARCH("software",I1594))+ISNUMBER(SEARCH("internet",I1594))+ISNUMBER(SEARCH("computer",I1594))+ISNUMBER(SEARCH("saas",I1594))+ISNUMBER(SEARCH("fintech",I1594))+ISNUMBER(SEARCH("information services",I1594))+ISNUMBER(SEARCH("telecommunications",I1594))&gt;0,'Configuración'!$B$27,'Configuración'!$B$28))</f>
        <v>12</v>
      </c>
      <c r="U1594" s="25">
        <f>IF(B1594="","",IF(ISNUMBER(SEARCH("CEO",C1594))+ISNUMBER(SEARCH("Founder",C1594))+ISNUMBER(SEARCH("Owner",C1594))+ISNUMBER(SEARCH("Dueño",C1594))+ISNUMBER(SEARCH("Director General",C1594))+ISNUMBER(SEARCH("Presidente",C1594))+ISNUMBER(SEARCH("President",C1594))&gt;0,'Configuración'!$B$31,IF(ISNUMBER(SEARCH("CMO",C1594))+ISNUMBER(SEARCH("Chief Marketing",C1594))+ISNUMBER(SEARCH("VP Marketing",C1594))+ISNUMBER(SEARCH("Director de Marketing",C1594))+ISNUMBER(SEARCH("Director Marketing",C1594))+ISNUMBER(SEARCH("Head of Marketing",C1594))+ISNUMBER(SEARCH("Head Marketing",C1594))&gt;0,'Configuración'!$B$32,IF(ISNUMBER(SEARCH("Marketing Manager",C1594))+ISNUMBER(SEARCH("Gerente de Marketing",C1594))+ISNUMBER(SEARCH("Growth Manager",C1594))+ISNUMBER(SEARCH("Demand Gen",C1594))+ISNUMBER(SEARCH("Marketing Lead",C1594))&gt;0,'Configuración'!$B$33,IF(ISNUMBER(SEARCH("COO",C1594))+ISNUMBER(SEARCH("CFO",C1594))+ISNUMBER(SEARCH("CTO",C1594))+ISNUMBER(SEARCH("Chief Operating",C1594))+ISNUMBER(SEARCH("Chief Financial",C1594))+ISNUMBER(SEARCH("Gerente General",C1594))+ISNUMBER(SEARCH("General Manager",C1594))&gt;0,'Configuración'!$B$34,'Configuración'!$B$35)))))</f>
        <v>4</v>
      </c>
      <c r="V1594" s="38">
        <f>IF(B1594="","",IF(K1594="Sí",'Configuración'!$B$5,0)+IF(L1594="Semanal",'Configuración'!$B$6,IF(L1594="Mensual",'Configuración'!$B$7,0))+IF(M1594="Sí",'Configuración'!$B$8,0)+IF(N1594="Sí",'Configuración'!$B$9,0)+IF(O1594="Sí",'Configuración'!$B$10,0)+IF(P1594="Sí",'Configuración'!$B$11,0)+IF(Q1594="Sí",'Configuración'!$B$12,0)+S1594+T1594+U1594)</f>
        <v>20</v>
      </c>
      <c r="W1594" s="39" t="str">
        <f>IF(B1594="","",IF(V1594&gt;='Configuración'!$B$19,"A",IF(V1594&gt;='Configuración'!$B$20,"B",IF(V1594&gt;='Configuración'!$B$21,"C","Descarte"))))</f>
        <v>Descarte</v>
      </c>
    </row>
    <row r="1595" ht="15.75" customHeight="1">
      <c r="A1595" s="34">
        <f t="shared" si="1"/>
        <v>1593</v>
      </c>
      <c r="B1595" s="29" t="s">
        <v>2740</v>
      </c>
      <c r="C1595" s="29" t="s">
        <v>224</v>
      </c>
      <c r="D1595" s="29" t="s">
        <v>8953</v>
      </c>
      <c r="E1595" s="29" t="s">
        <v>8954</v>
      </c>
      <c r="F1595" s="30" t="s">
        <v>8955</v>
      </c>
      <c r="G1595" s="30" t="s">
        <v>8956</v>
      </c>
      <c r="H1595" s="42" t="s">
        <v>8957</v>
      </c>
      <c r="I1595" s="29" t="s">
        <v>337</v>
      </c>
      <c r="J1595" s="31">
        <v>3.0</v>
      </c>
      <c r="K1595" s="35"/>
      <c r="L1595" s="35"/>
      <c r="M1595" s="35"/>
      <c r="N1595" s="35"/>
      <c r="O1595" s="35"/>
      <c r="P1595" s="35"/>
      <c r="Q1595" s="35"/>
      <c r="R1595" s="35"/>
      <c r="S1595" s="37">
        <f>IF(B1595="","",IF(ISNUMBER(J1595),IF(J1595&lt;=10,'Configuración'!$B$23,IF(J1595&lt;=50,'Configuración'!$B$24,IF(J1595&lt;=200,'Configuración'!$B$25,0))),0))</f>
        <v>12</v>
      </c>
      <c r="T1595" s="37">
        <f>IF(B1595="","",IF(ISNUMBER(SEARCH("information technology",I1595))+ISNUMBER(SEARCH("software",I1595))+ISNUMBER(SEARCH("internet",I1595))+ISNUMBER(SEARCH("computer",I1595))+ISNUMBER(SEARCH("saas",I1595))+ISNUMBER(SEARCH("fintech",I1595))+ISNUMBER(SEARCH("information services",I1595))+ISNUMBER(SEARCH("telecommunications",I1595))&gt;0,'Configuración'!$B$27,'Configuración'!$B$28))</f>
        <v>4</v>
      </c>
      <c r="U1595" s="25">
        <f>IF(B1595="","",IF(ISNUMBER(SEARCH("CEO",C1595))+ISNUMBER(SEARCH("Founder",C1595))+ISNUMBER(SEARCH("Owner",C1595))+ISNUMBER(SEARCH("Dueño",C1595))+ISNUMBER(SEARCH("Director General",C1595))+ISNUMBER(SEARCH("Presidente",C1595))+ISNUMBER(SEARCH("President",C1595))&gt;0,'Configuración'!$B$31,IF(ISNUMBER(SEARCH("CMO",C1595))+ISNUMBER(SEARCH("Chief Marketing",C1595))+ISNUMBER(SEARCH("VP Marketing",C1595))+ISNUMBER(SEARCH("Director de Marketing",C1595))+ISNUMBER(SEARCH("Director Marketing",C1595))+ISNUMBER(SEARCH("Head of Marketing",C1595))+ISNUMBER(SEARCH("Head Marketing",C1595))&gt;0,'Configuración'!$B$32,IF(ISNUMBER(SEARCH("Marketing Manager",C1595))+ISNUMBER(SEARCH("Gerente de Marketing",C1595))+ISNUMBER(SEARCH("Growth Manager",C1595))+ISNUMBER(SEARCH("Demand Gen",C1595))+ISNUMBER(SEARCH("Marketing Lead",C1595))&gt;0,'Configuración'!$B$33,IF(ISNUMBER(SEARCH("COO",C1595))+ISNUMBER(SEARCH("CFO",C1595))+ISNUMBER(SEARCH("CTO",C1595))+ISNUMBER(SEARCH("Chief Operating",C1595))+ISNUMBER(SEARCH("Chief Financial",C1595))+ISNUMBER(SEARCH("Gerente General",C1595))+ISNUMBER(SEARCH("General Manager",C1595))&gt;0,'Configuración'!$B$34,'Configuración'!$B$35)))))</f>
        <v>12</v>
      </c>
      <c r="V1595" s="38">
        <f>IF(B1595="","",IF(K1595="Sí",'Configuración'!$B$5,0)+IF(L1595="Semanal",'Configuración'!$B$6,IF(L1595="Mensual",'Configuración'!$B$7,0))+IF(M1595="Sí",'Configuración'!$B$8,0)+IF(N1595="Sí",'Configuración'!$B$9,0)+IF(O1595="Sí",'Configuración'!$B$10,0)+IF(P1595="Sí",'Configuración'!$B$11,0)+IF(Q1595="Sí",'Configuración'!$B$12,0)+S1595+T1595+U1595)</f>
        <v>28</v>
      </c>
      <c r="W1595" s="39" t="str">
        <f>IF(B1595="","",IF(V1595&gt;='Configuración'!$B$19,"A",IF(V1595&gt;='Configuración'!$B$20,"B",IF(V1595&gt;='Configuración'!$B$21,"C","Descarte"))))</f>
        <v>C</v>
      </c>
    </row>
    <row r="1596" ht="15.75" customHeight="1">
      <c r="A1596" s="34">
        <f t="shared" si="1"/>
        <v>1594</v>
      </c>
      <c r="B1596" s="29" t="s">
        <v>1927</v>
      </c>
      <c r="C1596" s="29" t="s">
        <v>4809</v>
      </c>
      <c r="D1596" s="29" t="s">
        <v>8958</v>
      </c>
      <c r="E1596" s="29" t="s">
        <v>8959</v>
      </c>
      <c r="F1596" s="30" t="s">
        <v>8960</v>
      </c>
      <c r="G1596" s="30" t="s">
        <v>8961</v>
      </c>
      <c r="H1596" s="42" t="s">
        <v>8962</v>
      </c>
      <c r="I1596" s="29" t="s">
        <v>127</v>
      </c>
      <c r="J1596" s="31">
        <v>8.0</v>
      </c>
      <c r="K1596" s="35"/>
      <c r="L1596" s="35"/>
      <c r="M1596" s="35"/>
      <c r="N1596" s="35"/>
      <c r="O1596" s="35"/>
      <c r="P1596" s="35"/>
      <c r="Q1596" s="35"/>
      <c r="R1596" s="35"/>
      <c r="S1596" s="37">
        <f>IF(B1596="","",IF(ISNUMBER(J1596),IF(J1596&lt;=10,'Configuración'!$B$23,IF(J1596&lt;=50,'Configuración'!$B$24,IF(J1596&lt;=200,'Configuración'!$B$25,0))),0))</f>
        <v>12</v>
      </c>
      <c r="T1596" s="37">
        <f>IF(B1596="","",IF(ISNUMBER(SEARCH("information technology",I1596))+ISNUMBER(SEARCH("software",I1596))+ISNUMBER(SEARCH("internet",I1596))+ISNUMBER(SEARCH("computer",I1596))+ISNUMBER(SEARCH("saas",I1596))+ISNUMBER(SEARCH("fintech",I1596))+ISNUMBER(SEARCH("information services",I1596))+ISNUMBER(SEARCH("telecommunications",I1596))&gt;0,'Configuración'!$B$27,'Configuración'!$B$28))</f>
        <v>12</v>
      </c>
      <c r="U1596" s="25">
        <f>IF(B1596="","",IF(ISNUMBER(SEARCH("CEO",C1596))+ISNUMBER(SEARCH("Founder",C1596))+ISNUMBER(SEARCH("Owner",C1596))+ISNUMBER(SEARCH("Dueño",C1596))+ISNUMBER(SEARCH("Director General",C1596))+ISNUMBER(SEARCH("Presidente",C1596))+ISNUMBER(SEARCH("President",C1596))&gt;0,'Configuración'!$B$31,IF(ISNUMBER(SEARCH("CMO",C1596))+ISNUMBER(SEARCH("Chief Marketing",C1596))+ISNUMBER(SEARCH("VP Marketing",C1596))+ISNUMBER(SEARCH("Director de Marketing",C1596))+ISNUMBER(SEARCH("Director Marketing",C1596))+ISNUMBER(SEARCH("Head of Marketing",C1596))+ISNUMBER(SEARCH("Head Marketing",C1596))&gt;0,'Configuración'!$B$32,IF(ISNUMBER(SEARCH("Marketing Manager",C1596))+ISNUMBER(SEARCH("Gerente de Marketing",C1596))+ISNUMBER(SEARCH("Growth Manager",C1596))+ISNUMBER(SEARCH("Demand Gen",C1596))+ISNUMBER(SEARCH("Marketing Lead",C1596))&gt;0,'Configuración'!$B$33,IF(ISNUMBER(SEARCH("COO",C1596))+ISNUMBER(SEARCH("CFO",C1596))+ISNUMBER(SEARCH("CTO",C1596))+ISNUMBER(SEARCH("Chief Operating",C1596))+ISNUMBER(SEARCH("Chief Financial",C1596))+ISNUMBER(SEARCH("Gerente General",C1596))+ISNUMBER(SEARCH("General Manager",C1596))&gt;0,'Configuración'!$B$34,'Configuración'!$B$35)))))</f>
        <v>12</v>
      </c>
      <c r="V1596" s="38">
        <f>IF(B1596="","",IF(K1596="Sí",'Configuración'!$B$5,0)+IF(L1596="Semanal",'Configuración'!$B$6,IF(L1596="Mensual",'Configuración'!$B$7,0))+IF(M1596="Sí",'Configuración'!$B$8,0)+IF(N1596="Sí",'Configuración'!$B$9,0)+IF(O1596="Sí",'Configuración'!$B$10,0)+IF(P1596="Sí",'Configuración'!$B$11,0)+IF(Q1596="Sí",'Configuración'!$B$12,0)+S1596+T1596+U1596)</f>
        <v>36</v>
      </c>
      <c r="W1596" s="39" t="str">
        <f>IF(B1596="","",IF(V1596&gt;='Configuración'!$B$19,"A",IF(V1596&gt;='Configuración'!$B$20,"B",IF(V1596&gt;='Configuración'!$B$21,"C","Descarte"))))</f>
        <v>C</v>
      </c>
    </row>
    <row r="1597" ht="15.75" customHeight="1">
      <c r="A1597" s="34">
        <f t="shared" si="1"/>
        <v>1595</v>
      </c>
      <c r="B1597" s="29" t="s">
        <v>8963</v>
      </c>
      <c r="C1597" s="29" t="s">
        <v>175</v>
      </c>
      <c r="D1597" s="29" t="s">
        <v>8964</v>
      </c>
      <c r="E1597" s="29" t="s">
        <v>8965</v>
      </c>
      <c r="F1597" s="30" t="s">
        <v>8966</v>
      </c>
      <c r="G1597" s="30" t="s">
        <v>8967</v>
      </c>
      <c r="H1597" s="42" t="s">
        <v>8968</v>
      </c>
      <c r="I1597" s="29" t="s">
        <v>563</v>
      </c>
      <c r="J1597" s="31">
        <v>1.0</v>
      </c>
      <c r="K1597" s="35"/>
      <c r="L1597" s="35"/>
      <c r="M1597" s="35"/>
      <c r="N1597" s="35"/>
      <c r="O1597" s="35"/>
      <c r="P1597" s="35"/>
      <c r="Q1597" s="35"/>
      <c r="R1597" s="35"/>
      <c r="S1597" s="37">
        <f>IF(B1597="","",IF(ISNUMBER(J1597),IF(J1597&lt;=10,'Configuración'!$B$23,IF(J1597&lt;=50,'Configuración'!$B$24,IF(J1597&lt;=200,'Configuración'!$B$25,0))),0))</f>
        <v>12</v>
      </c>
      <c r="T1597" s="37">
        <f>IF(B1597="","",IF(ISNUMBER(SEARCH("information technology",I1597))+ISNUMBER(SEARCH("software",I1597))+ISNUMBER(SEARCH("internet",I1597))+ISNUMBER(SEARCH("computer",I1597))+ISNUMBER(SEARCH("saas",I1597))+ISNUMBER(SEARCH("fintech",I1597))+ISNUMBER(SEARCH("information services",I1597))+ISNUMBER(SEARCH("telecommunications",I1597))&gt;0,'Configuración'!$B$27,'Configuración'!$B$28))</f>
        <v>4</v>
      </c>
      <c r="U1597" s="25">
        <f>IF(B1597="","",IF(ISNUMBER(SEARCH("CEO",C1597))+ISNUMBER(SEARCH("Founder",C1597))+ISNUMBER(SEARCH("Owner",C1597))+ISNUMBER(SEARCH("Dueño",C1597))+ISNUMBER(SEARCH("Director General",C1597))+ISNUMBER(SEARCH("Presidente",C1597))+ISNUMBER(SEARCH("President",C1597))&gt;0,'Configuración'!$B$31,IF(ISNUMBER(SEARCH("CMO",C1597))+ISNUMBER(SEARCH("Chief Marketing",C1597))+ISNUMBER(SEARCH("VP Marketing",C1597))+ISNUMBER(SEARCH("Director de Marketing",C1597))+ISNUMBER(SEARCH("Director Marketing",C1597))+ISNUMBER(SEARCH("Head of Marketing",C1597))+ISNUMBER(SEARCH("Head Marketing",C1597))&gt;0,'Configuración'!$B$32,IF(ISNUMBER(SEARCH("Marketing Manager",C1597))+ISNUMBER(SEARCH("Gerente de Marketing",C1597))+ISNUMBER(SEARCH("Growth Manager",C1597))+ISNUMBER(SEARCH("Demand Gen",C1597))+ISNUMBER(SEARCH("Marketing Lead",C1597))&gt;0,'Configuración'!$B$33,IF(ISNUMBER(SEARCH("COO",C1597))+ISNUMBER(SEARCH("CFO",C1597))+ISNUMBER(SEARCH("CTO",C1597))+ISNUMBER(SEARCH("Chief Operating",C1597))+ISNUMBER(SEARCH("Chief Financial",C1597))+ISNUMBER(SEARCH("Gerente General",C1597))+ISNUMBER(SEARCH("General Manager",C1597))&gt;0,'Configuración'!$B$34,'Configuración'!$B$35)))))</f>
        <v>12</v>
      </c>
      <c r="V1597" s="38">
        <f>IF(B1597="","",IF(K1597="Sí",'Configuración'!$B$5,0)+IF(L1597="Semanal",'Configuración'!$B$6,IF(L1597="Mensual",'Configuración'!$B$7,0))+IF(M1597="Sí",'Configuración'!$B$8,0)+IF(N1597="Sí",'Configuración'!$B$9,0)+IF(O1597="Sí",'Configuración'!$B$10,0)+IF(P1597="Sí",'Configuración'!$B$11,0)+IF(Q1597="Sí",'Configuración'!$B$12,0)+S1597+T1597+U1597)</f>
        <v>28</v>
      </c>
      <c r="W1597" s="39" t="str">
        <f>IF(B1597="","",IF(V1597&gt;='Configuración'!$B$19,"A",IF(V1597&gt;='Configuración'!$B$20,"B",IF(V1597&gt;='Configuración'!$B$21,"C","Descarte"))))</f>
        <v>C</v>
      </c>
    </row>
    <row r="1598" ht="15.75" customHeight="1">
      <c r="A1598" s="34">
        <f t="shared" si="1"/>
        <v>1596</v>
      </c>
      <c r="B1598" s="29" t="s">
        <v>556</v>
      </c>
      <c r="C1598" s="29" t="s">
        <v>175</v>
      </c>
      <c r="D1598" s="29" t="s">
        <v>8969</v>
      </c>
      <c r="E1598" s="29" t="s">
        <v>8970</v>
      </c>
      <c r="F1598" s="30" t="s">
        <v>8971</v>
      </c>
      <c r="G1598" s="30" t="s">
        <v>8972</v>
      </c>
      <c r="H1598" s="42" t="s">
        <v>8973</v>
      </c>
      <c r="I1598" s="29" t="s">
        <v>542</v>
      </c>
      <c r="J1598" s="31">
        <v>8.0</v>
      </c>
      <c r="K1598" s="35"/>
      <c r="L1598" s="35"/>
      <c r="M1598" s="35"/>
      <c r="N1598" s="35"/>
      <c r="O1598" s="35"/>
      <c r="P1598" s="35"/>
      <c r="Q1598" s="35"/>
      <c r="R1598" s="35"/>
      <c r="S1598" s="37">
        <f>IF(B1598="","",IF(ISNUMBER(J1598),IF(J1598&lt;=10,'Configuración'!$B$23,IF(J1598&lt;=50,'Configuración'!$B$24,IF(J1598&lt;=200,'Configuración'!$B$25,0))),0))</f>
        <v>12</v>
      </c>
      <c r="T1598" s="37">
        <f>IF(B1598="","",IF(ISNUMBER(SEARCH("information technology",I1598))+ISNUMBER(SEARCH("software",I1598))+ISNUMBER(SEARCH("internet",I1598))+ISNUMBER(SEARCH("computer",I1598))+ISNUMBER(SEARCH("saas",I1598))+ISNUMBER(SEARCH("fintech",I1598))+ISNUMBER(SEARCH("information services",I1598))+ISNUMBER(SEARCH("telecommunications",I1598))&gt;0,'Configuración'!$B$27,'Configuración'!$B$28))</f>
        <v>4</v>
      </c>
      <c r="U1598" s="25">
        <f>IF(B1598="","",IF(ISNUMBER(SEARCH("CEO",C1598))+ISNUMBER(SEARCH("Founder",C1598))+ISNUMBER(SEARCH("Owner",C1598))+ISNUMBER(SEARCH("Dueño",C1598))+ISNUMBER(SEARCH("Director General",C1598))+ISNUMBER(SEARCH("Presidente",C1598))+ISNUMBER(SEARCH("President",C1598))&gt;0,'Configuración'!$B$31,IF(ISNUMBER(SEARCH("CMO",C1598))+ISNUMBER(SEARCH("Chief Marketing",C1598))+ISNUMBER(SEARCH("VP Marketing",C1598))+ISNUMBER(SEARCH("Director de Marketing",C1598))+ISNUMBER(SEARCH("Director Marketing",C1598))+ISNUMBER(SEARCH("Head of Marketing",C1598))+ISNUMBER(SEARCH("Head Marketing",C1598))&gt;0,'Configuración'!$B$32,IF(ISNUMBER(SEARCH("Marketing Manager",C1598))+ISNUMBER(SEARCH("Gerente de Marketing",C1598))+ISNUMBER(SEARCH("Growth Manager",C1598))+ISNUMBER(SEARCH("Demand Gen",C1598))+ISNUMBER(SEARCH("Marketing Lead",C1598))&gt;0,'Configuración'!$B$33,IF(ISNUMBER(SEARCH("COO",C1598))+ISNUMBER(SEARCH("CFO",C1598))+ISNUMBER(SEARCH("CTO",C1598))+ISNUMBER(SEARCH("Chief Operating",C1598))+ISNUMBER(SEARCH("Chief Financial",C1598))+ISNUMBER(SEARCH("Gerente General",C1598))+ISNUMBER(SEARCH("General Manager",C1598))&gt;0,'Configuración'!$B$34,'Configuración'!$B$35)))))</f>
        <v>12</v>
      </c>
      <c r="V1598" s="38">
        <f>IF(B1598="","",IF(K1598="Sí",'Configuración'!$B$5,0)+IF(L1598="Semanal",'Configuración'!$B$6,IF(L1598="Mensual",'Configuración'!$B$7,0))+IF(M1598="Sí",'Configuración'!$B$8,0)+IF(N1598="Sí",'Configuración'!$B$9,0)+IF(O1598="Sí",'Configuración'!$B$10,0)+IF(P1598="Sí",'Configuración'!$B$11,0)+IF(Q1598="Sí",'Configuración'!$B$12,0)+S1598+T1598+U1598)</f>
        <v>28</v>
      </c>
      <c r="W1598" s="39" t="str">
        <f>IF(B1598="","",IF(V1598&gt;='Configuración'!$B$19,"A",IF(V1598&gt;='Configuración'!$B$20,"B",IF(V1598&gt;='Configuración'!$B$21,"C","Descarte"))))</f>
        <v>C</v>
      </c>
    </row>
    <row r="1599" ht="15.75" customHeight="1">
      <c r="A1599" s="34">
        <f t="shared" si="1"/>
        <v>1597</v>
      </c>
      <c r="B1599" s="29" t="s">
        <v>4481</v>
      </c>
      <c r="C1599" s="29" t="s">
        <v>8974</v>
      </c>
      <c r="D1599" s="29" t="s">
        <v>8975</v>
      </c>
      <c r="E1599" s="29" t="s">
        <v>8976</v>
      </c>
      <c r="F1599" s="30" t="s">
        <v>8977</v>
      </c>
      <c r="G1599" s="30" t="s">
        <v>8978</v>
      </c>
      <c r="H1599" s="42" t="s">
        <v>8979</v>
      </c>
      <c r="I1599" s="29" t="s">
        <v>310</v>
      </c>
      <c r="J1599" s="31">
        <v>6.0</v>
      </c>
      <c r="K1599" s="35"/>
      <c r="L1599" s="35"/>
      <c r="M1599" s="35"/>
      <c r="N1599" s="35"/>
      <c r="O1599" s="35"/>
      <c r="P1599" s="35"/>
      <c r="Q1599" s="35"/>
      <c r="R1599" s="35"/>
      <c r="S1599" s="37">
        <f>IF(B1599="","",IF(ISNUMBER(J1599),IF(J1599&lt;=10,'Configuración'!$B$23,IF(J1599&lt;=50,'Configuración'!$B$24,IF(J1599&lt;=200,'Configuración'!$B$25,0))),0))</f>
        <v>12</v>
      </c>
      <c r="T1599" s="37">
        <f>IF(B1599="","",IF(ISNUMBER(SEARCH("information technology",I1599))+ISNUMBER(SEARCH("software",I1599))+ISNUMBER(SEARCH("internet",I1599))+ISNUMBER(SEARCH("computer",I1599))+ISNUMBER(SEARCH("saas",I1599))+ISNUMBER(SEARCH("fintech",I1599))+ISNUMBER(SEARCH("information services",I1599))+ISNUMBER(SEARCH("telecommunications",I1599))&gt;0,'Configuración'!$B$27,'Configuración'!$B$28))</f>
        <v>4</v>
      </c>
      <c r="U1599" s="25">
        <f>IF(B1599="","",IF(ISNUMBER(SEARCH("CEO",C1599))+ISNUMBER(SEARCH("Founder",C1599))+ISNUMBER(SEARCH("Owner",C1599))+ISNUMBER(SEARCH("Dueño",C1599))+ISNUMBER(SEARCH("Director General",C1599))+ISNUMBER(SEARCH("Presidente",C1599))+ISNUMBER(SEARCH("President",C1599))&gt;0,'Configuración'!$B$31,IF(ISNUMBER(SEARCH("CMO",C1599))+ISNUMBER(SEARCH("Chief Marketing",C1599))+ISNUMBER(SEARCH("VP Marketing",C1599))+ISNUMBER(SEARCH("Director de Marketing",C1599))+ISNUMBER(SEARCH("Director Marketing",C1599))+ISNUMBER(SEARCH("Head of Marketing",C1599))+ISNUMBER(SEARCH("Head Marketing",C1599))&gt;0,'Configuración'!$B$32,IF(ISNUMBER(SEARCH("Marketing Manager",C1599))+ISNUMBER(SEARCH("Gerente de Marketing",C1599))+ISNUMBER(SEARCH("Growth Manager",C1599))+ISNUMBER(SEARCH("Demand Gen",C1599))+ISNUMBER(SEARCH("Marketing Lead",C1599))&gt;0,'Configuración'!$B$33,IF(ISNUMBER(SEARCH("COO",C1599))+ISNUMBER(SEARCH("CFO",C1599))+ISNUMBER(SEARCH("CTO",C1599))+ISNUMBER(SEARCH("Chief Operating",C1599))+ISNUMBER(SEARCH("Chief Financial",C1599))+ISNUMBER(SEARCH("Gerente General",C1599))+ISNUMBER(SEARCH("General Manager",C1599))&gt;0,'Configuración'!$B$34,'Configuración'!$B$35)))))</f>
        <v>12</v>
      </c>
      <c r="V1599" s="38">
        <f>IF(B1599="","",IF(K1599="Sí",'Configuración'!$B$5,0)+IF(L1599="Semanal",'Configuración'!$B$6,IF(L1599="Mensual",'Configuración'!$B$7,0))+IF(M1599="Sí",'Configuración'!$B$8,0)+IF(N1599="Sí",'Configuración'!$B$9,0)+IF(O1599="Sí",'Configuración'!$B$10,0)+IF(P1599="Sí",'Configuración'!$B$11,0)+IF(Q1599="Sí",'Configuración'!$B$12,0)+S1599+T1599+U1599)</f>
        <v>28</v>
      </c>
      <c r="W1599" s="39" t="str">
        <f>IF(B1599="","",IF(V1599&gt;='Configuración'!$B$19,"A",IF(V1599&gt;='Configuración'!$B$20,"B",IF(V1599&gt;='Configuración'!$B$21,"C","Descarte"))))</f>
        <v>C</v>
      </c>
    </row>
    <row r="1600" ht="15.75" customHeight="1">
      <c r="A1600" s="34">
        <f t="shared" si="1"/>
        <v>1598</v>
      </c>
      <c r="B1600" s="29" t="s">
        <v>138</v>
      </c>
      <c r="C1600" s="29" t="s">
        <v>131</v>
      </c>
      <c r="D1600" s="29" t="s">
        <v>8980</v>
      </c>
      <c r="E1600" s="29" t="s">
        <v>8981</v>
      </c>
      <c r="F1600" s="30" t="s">
        <v>8982</v>
      </c>
      <c r="G1600" s="30" t="s">
        <v>8983</v>
      </c>
      <c r="H1600" s="42" t="s">
        <v>8984</v>
      </c>
      <c r="I1600" s="29" t="s">
        <v>188</v>
      </c>
      <c r="J1600" s="31">
        <v>16.0</v>
      </c>
      <c r="K1600" s="35"/>
      <c r="L1600" s="35"/>
      <c r="M1600" s="35"/>
      <c r="N1600" s="35"/>
      <c r="O1600" s="35"/>
      <c r="P1600" s="35"/>
      <c r="Q1600" s="35"/>
      <c r="R1600" s="35"/>
      <c r="S1600" s="37">
        <f>IF(B1600="","",IF(ISNUMBER(J1600),IF(J1600&lt;=10,'Configuración'!$B$23,IF(J1600&lt;=50,'Configuración'!$B$24,IF(J1600&lt;=200,'Configuración'!$B$25,0))),0))</f>
        <v>4</v>
      </c>
      <c r="T1600" s="37">
        <f>IF(B1600="","",IF(ISNUMBER(SEARCH("information technology",I1600))+ISNUMBER(SEARCH("software",I1600))+ISNUMBER(SEARCH("internet",I1600))+ISNUMBER(SEARCH("computer",I1600))+ISNUMBER(SEARCH("saas",I1600))+ISNUMBER(SEARCH("fintech",I1600))+ISNUMBER(SEARCH("information services",I1600))+ISNUMBER(SEARCH("telecommunications",I1600))&gt;0,'Configuración'!$B$27,'Configuración'!$B$28))</f>
        <v>4</v>
      </c>
      <c r="U1600" s="25">
        <f>IF(B1600="","",IF(ISNUMBER(SEARCH("CEO",C1600))+ISNUMBER(SEARCH("Founder",C1600))+ISNUMBER(SEARCH("Owner",C1600))+ISNUMBER(SEARCH("Dueño",C1600))+ISNUMBER(SEARCH("Director General",C1600))+ISNUMBER(SEARCH("Presidente",C1600))+ISNUMBER(SEARCH("President",C1600))&gt;0,'Configuración'!$B$31,IF(ISNUMBER(SEARCH("CMO",C1600))+ISNUMBER(SEARCH("Chief Marketing",C1600))+ISNUMBER(SEARCH("VP Marketing",C1600))+ISNUMBER(SEARCH("Director de Marketing",C1600))+ISNUMBER(SEARCH("Director Marketing",C1600))+ISNUMBER(SEARCH("Head of Marketing",C1600))+ISNUMBER(SEARCH("Head Marketing",C1600))&gt;0,'Configuración'!$B$32,IF(ISNUMBER(SEARCH("Marketing Manager",C1600))+ISNUMBER(SEARCH("Gerente de Marketing",C1600))+ISNUMBER(SEARCH("Growth Manager",C1600))+ISNUMBER(SEARCH("Demand Gen",C1600))+ISNUMBER(SEARCH("Marketing Lead",C1600))&gt;0,'Configuración'!$B$33,IF(ISNUMBER(SEARCH("COO",C1600))+ISNUMBER(SEARCH("CFO",C1600))+ISNUMBER(SEARCH("CTO",C1600))+ISNUMBER(SEARCH("Chief Operating",C1600))+ISNUMBER(SEARCH("Chief Financial",C1600))+ISNUMBER(SEARCH("Gerente General",C1600))+ISNUMBER(SEARCH("General Manager",C1600))&gt;0,'Configuración'!$B$34,'Configuración'!$B$35)))))</f>
        <v>12</v>
      </c>
      <c r="V1600" s="38">
        <f>IF(B1600="","",IF(K1600="Sí",'Configuración'!$B$5,0)+IF(L1600="Semanal",'Configuración'!$B$6,IF(L1600="Mensual",'Configuración'!$B$7,0))+IF(M1600="Sí",'Configuración'!$B$8,0)+IF(N1600="Sí",'Configuración'!$B$9,0)+IF(O1600="Sí",'Configuración'!$B$10,0)+IF(P1600="Sí",'Configuración'!$B$11,0)+IF(Q1600="Sí",'Configuración'!$B$12,0)+S1600+T1600+U1600)</f>
        <v>20</v>
      </c>
      <c r="W1600" s="39" t="str">
        <f>IF(B1600="","",IF(V1600&gt;='Configuración'!$B$19,"A",IF(V1600&gt;='Configuración'!$B$20,"B",IF(V1600&gt;='Configuración'!$B$21,"C","Descarte"))))</f>
        <v>Descarte</v>
      </c>
    </row>
    <row r="1601" ht="15.75" customHeight="1">
      <c r="A1601" s="34">
        <f t="shared" si="1"/>
        <v>1599</v>
      </c>
      <c r="B1601" s="29" t="s">
        <v>536</v>
      </c>
      <c r="C1601" s="29" t="s">
        <v>8985</v>
      </c>
      <c r="D1601" s="29" t="s">
        <v>5168</v>
      </c>
      <c r="E1601" s="29" t="s">
        <v>8986</v>
      </c>
      <c r="F1601" s="30" t="s">
        <v>8987</v>
      </c>
      <c r="G1601" s="30" t="s">
        <v>5171</v>
      </c>
      <c r="H1601" s="42" t="s">
        <v>5172</v>
      </c>
      <c r="I1601" s="29" t="s">
        <v>116</v>
      </c>
      <c r="J1601" s="31">
        <v>16.0</v>
      </c>
      <c r="K1601" s="35"/>
      <c r="L1601" s="35"/>
      <c r="M1601" s="35"/>
      <c r="N1601" s="35"/>
      <c r="O1601" s="35"/>
      <c r="P1601" s="35"/>
      <c r="Q1601" s="35"/>
      <c r="R1601" s="35"/>
      <c r="S1601" s="37">
        <f>IF(B1601="","",IF(ISNUMBER(J1601),IF(J1601&lt;=10,'Configuración'!$B$23,IF(J1601&lt;=50,'Configuración'!$B$24,IF(J1601&lt;=200,'Configuración'!$B$25,0))),0))</f>
        <v>4</v>
      </c>
      <c r="T1601" s="37">
        <f>IF(B1601="","",IF(ISNUMBER(SEARCH("information technology",I1601))+ISNUMBER(SEARCH("software",I1601))+ISNUMBER(SEARCH("internet",I1601))+ISNUMBER(SEARCH("computer",I1601))+ISNUMBER(SEARCH("saas",I1601))+ISNUMBER(SEARCH("fintech",I1601))+ISNUMBER(SEARCH("information services",I1601))+ISNUMBER(SEARCH("telecommunications",I1601))&gt;0,'Configuración'!$B$27,'Configuración'!$B$28))</f>
        <v>4</v>
      </c>
      <c r="U1601" s="25">
        <f>IF(B1601="","",IF(ISNUMBER(SEARCH("CEO",C1601))+ISNUMBER(SEARCH("Founder",C1601))+ISNUMBER(SEARCH("Owner",C1601))+ISNUMBER(SEARCH("Dueño",C1601))+ISNUMBER(SEARCH("Director General",C1601))+ISNUMBER(SEARCH("Presidente",C1601))+ISNUMBER(SEARCH("President",C1601))&gt;0,'Configuración'!$B$31,IF(ISNUMBER(SEARCH("CMO",C1601))+ISNUMBER(SEARCH("Chief Marketing",C1601))+ISNUMBER(SEARCH("VP Marketing",C1601))+ISNUMBER(SEARCH("Director de Marketing",C1601))+ISNUMBER(SEARCH("Director Marketing",C1601))+ISNUMBER(SEARCH("Head of Marketing",C1601))+ISNUMBER(SEARCH("Head Marketing",C1601))&gt;0,'Configuración'!$B$32,IF(ISNUMBER(SEARCH("Marketing Manager",C1601))+ISNUMBER(SEARCH("Gerente de Marketing",C1601))+ISNUMBER(SEARCH("Growth Manager",C1601))+ISNUMBER(SEARCH("Demand Gen",C1601))+ISNUMBER(SEARCH("Marketing Lead",C1601))&gt;0,'Configuración'!$B$33,IF(ISNUMBER(SEARCH("COO",C1601))+ISNUMBER(SEARCH("CFO",C1601))+ISNUMBER(SEARCH("CTO",C1601))+ISNUMBER(SEARCH("Chief Operating",C1601))+ISNUMBER(SEARCH("Chief Financial",C1601))+ISNUMBER(SEARCH("Gerente General",C1601))+ISNUMBER(SEARCH("General Manager",C1601))&gt;0,'Configuración'!$B$34,'Configuración'!$B$35)))))</f>
        <v>12</v>
      </c>
      <c r="V1601" s="38">
        <f>IF(B1601="","",IF(K1601="Sí",'Configuración'!$B$5,0)+IF(L1601="Semanal",'Configuración'!$B$6,IF(L1601="Mensual",'Configuración'!$B$7,0))+IF(M1601="Sí",'Configuración'!$B$8,0)+IF(N1601="Sí",'Configuración'!$B$9,0)+IF(O1601="Sí",'Configuración'!$B$10,0)+IF(P1601="Sí",'Configuración'!$B$11,0)+IF(Q1601="Sí",'Configuración'!$B$12,0)+S1601+T1601+U1601)</f>
        <v>20</v>
      </c>
      <c r="W1601" s="39" t="str">
        <f>IF(B1601="","",IF(V1601&gt;='Configuración'!$B$19,"A",IF(V1601&gt;='Configuración'!$B$20,"B",IF(V1601&gt;='Configuración'!$B$21,"C","Descarte"))))</f>
        <v>Descarte</v>
      </c>
    </row>
    <row r="1602" ht="15.75" customHeight="1">
      <c r="A1602" s="34">
        <f t="shared" si="1"/>
        <v>1600</v>
      </c>
      <c r="B1602" s="29" t="s">
        <v>236</v>
      </c>
      <c r="C1602" s="29" t="s">
        <v>4566</v>
      </c>
      <c r="D1602" s="29" t="s">
        <v>8988</v>
      </c>
      <c r="E1602" s="29" t="s">
        <v>8989</v>
      </c>
      <c r="F1602" s="30" t="s">
        <v>8990</v>
      </c>
      <c r="G1602" s="30" t="s">
        <v>8991</v>
      </c>
      <c r="H1602" s="42" t="s">
        <v>8992</v>
      </c>
      <c r="I1602" s="29" t="s">
        <v>127</v>
      </c>
      <c r="J1602" s="31">
        <v>33.0</v>
      </c>
      <c r="K1602" s="35"/>
      <c r="L1602" s="35"/>
      <c r="M1602" s="35"/>
      <c r="N1602" s="35"/>
      <c r="O1602" s="35"/>
      <c r="P1602" s="35"/>
      <c r="Q1602" s="35"/>
      <c r="R1602" s="35"/>
      <c r="S1602" s="37">
        <f>IF(B1602="","",IF(ISNUMBER(J1602),IF(J1602&lt;=10,'Configuración'!$B$23,IF(J1602&lt;=50,'Configuración'!$B$24,IF(J1602&lt;=200,'Configuración'!$B$25,0))),0))</f>
        <v>4</v>
      </c>
      <c r="T1602" s="37">
        <f>IF(B1602="","",IF(ISNUMBER(SEARCH("information technology",I1602))+ISNUMBER(SEARCH("software",I1602))+ISNUMBER(SEARCH("internet",I1602))+ISNUMBER(SEARCH("computer",I1602))+ISNUMBER(SEARCH("saas",I1602))+ISNUMBER(SEARCH("fintech",I1602))+ISNUMBER(SEARCH("information services",I1602))+ISNUMBER(SEARCH("telecommunications",I1602))&gt;0,'Configuración'!$B$27,'Configuración'!$B$28))</f>
        <v>12</v>
      </c>
      <c r="U1602" s="25">
        <f>IF(B1602="","",IF(ISNUMBER(SEARCH("CEO",C1602))+ISNUMBER(SEARCH("Founder",C1602))+ISNUMBER(SEARCH("Owner",C1602))+ISNUMBER(SEARCH("Dueño",C1602))+ISNUMBER(SEARCH("Director General",C1602))+ISNUMBER(SEARCH("Presidente",C1602))+ISNUMBER(SEARCH("President",C1602))&gt;0,'Configuración'!$B$31,IF(ISNUMBER(SEARCH("CMO",C1602))+ISNUMBER(SEARCH("Chief Marketing",C1602))+ISNUMBER(SEARCH("VP Marketing",C1602))+ISNUMBER(SEARCH("Director de Marketing",C1602))+ISNUMBER(SEARCH("Director Marketing",C1602))+ISNUMBER(SEARCH("Head of Marketing",C1602))+ISNUMBER(SEARCH("Head Marketing",C1602))&gt;0,'Configuración'!$B$32,IF(ISNUMBER(SEARCH("Marketing Manager",C1602))+ISNUMBER(SEARCH("Gerente de Marketing",C1602))+ISNUMBER(SEARCH("Growth Manager",C1602))+ISNUMBER(SEARCH("Demand Gen",C1602))+ISNUMBER(SEARCH("Marketing Lead",C1602))&gt;0,'Configuración'!$B$33,IF(ISNUMBER(SEARCH("COO",C1602))+ISNUMBER(SEARCH("CFO",C1602))+ISNUMBER(SEARCH("CTO",C1602))+ISNUMBER(SEARCH("Chief Operating",C1602))+ISNUMBER(SEARCH("Chief Financial",C1602))+ISNUMBER(SEARCH("Gerente General",C1602))+ISNUMBER(SEARCH("General Manager",C1602))&gt;0,'Configuración'!$B$34,'Configuración'!$B$35)))))</f>
        <v>12</v>
      </c>
      <c r="V1602" s="38">
        <f>IF(B1602="","",IF(K1602="Sí",'Configuración'!$B$5,0)+IF(L1602="Semanal",'Configuración'!$B$6,IF(L1602="Mensual",'Configuración'!$B$7,0))+IF(M1602="Sí",'Configuración'!$B$8,0)+IF(N1602="Sí",'Configuración'!$B$9,0)+IF(O1602="Sí",'Configuración'!$B$10,0)+IF(P1602="Sí",'Configuración'!$B$11,0)+IF(Q1602="Sí",'Configuración'!$B$12,0)+S1602+T1602+U1602)</f>
        <v>28</v>
      </c>
      <c r="W1602" s="39" t="str">
        <f>IF(B1602="","",IF(V1602&gt;='Configuración'!$B$19,"A",IF(V1602&gt;='Configuración'!$B$20,"B",IF(V1602&gt;='Configuración'!$B$21,"C","Descarte"))))</f>
        <v>C</v>
      </c>
    </row>
    <row r="1603" ht="15.75" customHeight="1">
      <c r="A1603" s="34">
        <f t="shared" si="1"/>
        <v>1601</v>
      </c>
      <c r="B1603" s="29" t="s">
        <v>529</v>
      </c>
      <c r="C1603" s="29" t="s">
        <v>1656</v>
      </c>
      <c r="D1603" s="29" t="s">
        <v>8993</v>
      </c>
      <c r="E1603" s="29" t="s">
        <v>8994</v>
      </c>
      <c r="F1603" s="30" t="s">
        <v>8995</v>
      </c>
      <c r="G1603" s="30" t="s">
        <v>8996</v>
      </c>
      <c r="H1603" s="42" t="s">
        <v>8997</v>
      </c>
      <c r="I1603" s="29" t="s">
        <v>127</v>
      </c>
      <c r="J1603" s="31">
        <v>2.0</v>
      </c>
      <c r="K1603" s="35"/>
      <c r="L1603" s="35"/>
      <c r="M1603" s="35"/>
      <c r="N1603" s="35"/>
      <c r="O1603" s="35"/>
      <c r="P1603" s="35"/>
      <c r="Q1603" s="35"/>
      <c r="R1603" s="35"/>
      <c r="S1603" s="37">
        <f>IF(B1603="","",IF(ISNUMBER(J1603),IF(J1603&lt;=10,'Configuración'!$B$23,IF(J1603&lt;=50,'Configuración'!$B$24,IF(J1603&lt;=200,'Configuración'!$B$25,0))),0))</f>
        <v>12</v>
      </c>
      <c r="T1603" s="37">
        <f>IF(B1603="","",IF(ISNUMBER(SEARCH("information technology",I1603))+ISNUMBER(SEARCH("software",I1603))+ISNUMBER(SEARCH("internet",I1603))+ISNUMBER(SEARCH("computer",I1603))+ISNUMBER(SEARCH("saas",I1603))+ISNUMBER(SEARCH("fintech",I1603))+ISNUMBER(SEARCH("information services",I1603))+ISNUMBER(SEARCH("telecommunications",I1603))&gt;0,'Configuración'!$B$27,'Configuración'!$B$28))</f>
        <v>12</v>
      </c>
      <c r="U1603" s="25">
        <f>IF(B1603="","",IF(ISNUMBER(SEARCH("CEO",C1603))+ISNUMBER(SEARCH("Founder",C1603))+ISNUMBER(SEARCH("Owner",C1603))+ISNUMBER(SEARCH("Dueño",C1603))+ISNUMBER(SEARCH("Director General",C1603))+ISNUMBER(SEARCH("Presidente",C1603))+ISNUMBER(SEARCH("President",C1603))&gt;0,'Configuración'!$B$31,IF(ISNUMBER(SEARCH("CMO",C1603))+ISNUMBER(SEARCH("Chief Marketing",C1603))+ISNUMBER(SEARCH("VP Marketing",C1603))+ISNUMBER(SEARCH("Director de Marketing",C1603))+ISNUMBER(SEARCH("Director Marketing",C1603))+ISNUMBER(SEARCH("Head of Marketing",C1603))+ISNUMBER(SEARCH("Head Marketing",C1603))&gt;0,'Configuración'!$B$32,IF(ISNUMBER(SEARCH("Marketing Manager",C1603))+ISNUMBER(SEARCH("Gerente de Marketing",C1603))+ISNUMBER(SEARCH("Growth Manager",C1603))+ISNUMBER(SEARCH("Demand Gen",C1603))+ISNUMBER(SEARCH("Marketing Lead",C1603))&gt;0,'Configuración'!$B$33,IF(ISNUMBER(SEARCH("COO",C1603))+ISNUMBER(SEARCH("CFO",C1603))+ISNUMBER(SEARCH("CTO",C1603))+ISNUMBER(SEARCH("Chief Operating",C1603))+ISNUMBER(SEARCH("Chief Financial",C1603))+ISNUMBER(SEARCH("Gerente General",C1603))+ISNUMBER(SEARCH("General Manager",C1603))&gt;0,'Configuración'!$B$34,'Configuración'!$B$35)))))</f>
        <v>12</v>
      </c>
      <c r="V1603" s="38">
        <f>IF(B1603="","",IF(K1603="Sí",'Configuración'!$B$5,0)+IF(L1603="Semanal",'Configuración'!$B$6,IF(L1603="Mensual",'Configuración'!$B$7,0))+IF(M1603="Sí",'Configuración'!$B$8,0)+IF(N1603="Sí",'Configuración'!$B$9,0)+IF(O1603="Sí",'Configuración'!$B$10,0)+IF(P1603="Sí",'Configuración'!$B$11,0)+IF(Q1603="Sí",'Configuración'!$B$12,0)+S1603+T1603+U1603)</f>
        <v>36</v>
      </c>
      <c r="W1603" s="39" t="str">
        <f>IF(B1603="","",IF(V1603&gt;='Configuración'!$B$19,"A",IF(V1603&gt;='Configuración'!$B$20,"B",IF(V1603&gt;='Configuración'!$B$21,"C","Descarte"))))</f>
        <v>C</v>
      </c>
    </row>
    <row r="1604" ht="15.75" customHeight="1">
      <c r="A1604" s="34">
        <f t="shared" si="1"/>
        <v>1602</v>
      </c>
      <c r="B1604" s="29" t="s">
        <v>174</v>
      </c>
      <c r="C1604" s="29" t="s">
        <v>8998</v>
      </c>
      <c r="D1604" s="29" t="s">
        <v>8999</v>
      </c>
      <c r="E1604" s="29" t="s">
        <v>9000</v>
      </c>
      <c r="F1604" s="30" t="s">
        <v>9001</v>
      </c>
      <c r="G1604" s="30" t="s">
        <v>9002</v>
      </c>
      <c r="H1604" s="42" t="s">
        <v>9003</v>
      </c>
      <c r="I1604" s="29" t="s">
        <v>4697</v>
      </c>
      <c r="J1604" s="31">
        <v>4.0</v>
      </c>
      <c r="K1604" s="35"/>
      <c r="L1604" s="35"/>
      <c r="M1604" s="35"/>
      <c r="N1604" s="35"/>
      <c r="O1604" s="35"/>
      <c r="P1604" s="35"/>
      <c r="Q1604" s="35"/>
      <c r="R1604" s="35"/>
      <c r="S1604" s="37">
        <f>IF(B1604="","",IF(ISNUMBER(J1604),IF(J1604&lt;=10,'Configuración'!$B$23,IF(J1604&lt;=50,'Configuración'!$B$24,IF(J1604&lt;=200,'Configuración'!$B$25,0))),0))</f>
        <v>12</v>
      </c>
      <c r="T1604" s="37">
        <f>IF(B1604="","",IF(ISNUMBER(SEARCH("information technology",I1604))+ISNUMBER(SEARCH("software",I1604))+ISNUMBER(SEARCH("internet",I1604))+ISNUMBER(SEARCH("computer",I1604))+ISNUMBER(SEARCH("saas",I1604))+ISNUMBER(SEARCH("fintech",I1604))+ISNUMBER(SEARCH("information services",I1604))+ISNUMBER(SEARCH("telecommunications",I1604))&gt;0,'Configuración'!$B$27,'Configuración'!$B$28))</f>
        <v>4</v>
      </c>
      <c r="U1604" s="25">
        <f>IF(B1604="","",IF(ISNUMBER(SEARCH("CEO",C1604))+ISNUMBER(SEARCH("Founder",C1604))+ISNUMBER(SEARCH("Owner",C1604))+ISNUMBER(SEARCH("Dueño",C1604))+ISNUMBER(SEARCH("Director General",C1604))+ISNUMBER(SEARCH("Presidente",C1604))+ISNUMBER(SEARCH("President",C1604))&gt;0,'Configuración'!$B$31,IF(ISNUMBER(SEARCH("CMO",C1604))+ISNUMBER(SEARCH("Chief Marketing",C1604))+ISNUMBER(SEARCH("VP Marketing",C1604))+ISNUMBER(SEARCH("Director de Marketing",C1604))+ISNUMBER(SEARCH("Director Marketing",C1604))+ISNUMBER(SEARCH("Head of Marketing",C1604))+ISNUMBER(SEARCH("Head Marketing",C1604))&gt;0,'Configuración'!$B$32,IF(ISNUMBER(SEARCH("Marketing Manager",C1604))+ISNUMBER(SEARCH("Gerente de Marketing",C1604))+ISNUMBER(SEARCH("Growth Manager",C1604))+ISNUMBER(SEARCH("Demand Gen",C1604))+ISNUMBER(SEARCH("Marketing Lead",C1604))&gt;0,'Configuración'!$B$33,IF(ISNUMBER(SEARCH("COO",C1604))+ISNUMBER(SEARCH("CFO",C1604))+ISNUMBER(SEARCH("CTO",C1604))+ISNUMBER(SEARCH("Chief Operating",C1604))+ISNUMBER(SEARCH("Chief Financial",C1604))+ISNUMBER(SEARCH("Gerente General",C1604))+ISNUMBER(SEARCH("General Manager",C1604))&gt;0,'Configuración'!$B$34,'Configuración'!$B$35)))))</f>
        <v>12</v>
      </c>
      <c r="V1604" s="38">
        <f>IF(B1604="","",IF(K1604="Sí",'Configuración'!$B$5,0)+IF(L1604="Semanal",'Configuración'!$B$6,IF(L1604="Mensual",'Configuración'!$B$7,0))+IF(M1604="Sí",'Configuración'!$B$8,0)+IF(N1604="Sí",'Configuración'!$B$9,0)+IF(O1604="Sí",'Configuración'!$B$10,0)+IF(P1604="Sí",'Configuración'!$B$11,0)+IF(Q1604="Sí",'Configuración'!$B$12,0)+S1604+T1604+U1604)</f>
        <v>28</v>
      </c>
      <c r="W1604" s="39" t="str">
        <f>IF(B1604="","",IF(V1604&gt;='Configuración'!$B$19,"A",IF(V1604&gt;='Configuración'!$B$20,"B",IF(V1604&gt;='Configuración'!$B$21,"C","Descarte"))))</f>
        <v>C</v>
      </c>
    </row>
    <row r="1605" ht="15.75" customHeight="1">
      <c r="A1605" s="34">
        <f t="shared" si="1"/>
        <v>1603</v>
      </c>
      <c r="B1605" s="29" t="s">
        <v>181</v>
      </c>
      <c r="C1605" s="29" t="s">
        <v>1656</v>
      </c>
      <c r="D1605" s="29" t="s">
        <v>9004</v>
      </c>
      <c r="E1605" s="29" t="s">
        <v>9005</v>
      </c>
      <c r="F1605" s="30" t="s">
        <v>9006</v>
      </c>
      <c r="G1605" s="30" t="s">
        <v>9007</v>
      </c>
      <c r="H1605" s="42" t="s">
        <v>9008</v>
      </c>
      <c r="I1605" s="29" t="s">
        <v>127</v>
      </c>
      <c r="J1605" s="31">
        <v>27.0</v>
      </c>
      <c r="K1605" s="35"/>
      <c r="L1605" s="35"/>
      <c r="M1605" s="35"/>
      <c r="N1605" s="35"/>
      <c r="O1605" s="35"/>
      <c r="P1605" s="35"/>
      <c r="Q1605" s="35"/>
      <c r="R1605" s="35"/>
      <c r="S1605" s="37">
        <f>IF(B1605="","",IF(ISNUMBER(J1605),IF(J1605&lt;=10,'Configuración'!$B$23,IF(J1605&lt;=50,'Configuración'!$B$24,IF(J1605&lt;=200,'Configuración'!$B$25,0))),0))</f>
        <v>4</v>
      </c>
      <c r="T1605" s="37">
        <f>IF(B1605="","",IF(ISNUMBER(SEARCH("information technology",I1605))+ISNUMBER(SEARCH("software",I1605))+ISNUMBER(SEARCH("internet",I1605))+ISNUMBER(SEARCH("computer",I1605))+ISNUMBER(SEARCH("saas",I1605))+ISNUMBER(SEARCH("fintech",I1605))+ISNUMBER(SEARCH("information services",I1605))+ISNUMBER(SEARCH("telecommunications",I1605))&gt;0,'Configuración'!$B$27,'Configuración'!$B$28))</f>
        <v>12</v>
      </c>
      <c r="U1605" s="25">
        <f>IF(B1605="","",IF(ISNUMBER(SEARCH("CEO",C1605))+ISNUMBER(SEARCH("Founder",C1605))+ISNUMBER(SEARCH("Owner",C1605))+ISNUMBER(SEARCH("Dueño",C1605))+ISNUMBER(SEARCH("Director General",C1605))+ISNUMBER(SEARCH("Presidente",C1605))+ISNUMBER(SEARCH("President",C1605))&gt;0,'Configuración'!$B$31,IF(ISNUMBER(SEARCH("CMO",C1605))+ISNUMBER(SEARCH("Chief Marketing",C1605))+ISNUMBER(SEARCH("VP Marketing",C1605))+ISNUMBER(SEARCH("Director de Marketing",C1605))+ISNUMBER(SEARCH("Director Marketing",C1605))+ISNUMBER(SEARCH("Head of Marketing",C1605))+ISNUMBER(SEARCH("Head Marketing",C1605))&gt;0,'Configuración'!$B$32,IF(ISNUMBER(SEARCH("Marketing Manager",C1605))+ISNUMBER(SEARCH("Gerente de Marketing",C1605))+ISNUMBER(SEARCH("Growth Manager",C1605))+ISNUMBER(SEARCH("Demand Gen",C1605))+ISNUMBER(SEARCH("Marketing Lead",C1605))&gt;0,'Configuración'!$B$33,IF(ISNUMBER(SEARCH("COO",C1605))+ISNUMBER(SEARCH("CFO",C1605))+ISNUMBER(SEARCH("CTO",C1605))+ISNUMBER(SEARCH("Chief Operating",C1605))+ISNUMBER(SEARCH("Chief Financial",C1605))+ISNUMBER(SEARCH("Gerente General",C1605))+ISNUMBER(SEARCH("General Manager",C1605))&gt;0,'Configuración'!$B$34,'Configuración'!$B$35)))))</f>
        <v>12</v>
      </c>
      <c r="V1605" s="38">
        <f>IF(B1605="","",IF(K1605="Sí",'Configuración'!$B$5,0)+IF(L1605="Semanal",'Configuración'!$B$6,IF(L1605="Mensual",'Configuración'!$B$7,0))+IF(M1605="Sí",'Configuración'!$B$8,0)+IF(N1605="Sí",'Configuración'!$B$9,0)+IF(O1605="Sí",'Configuración'!$B$10,0)+IF(P1605="Sí",'Configuración'!$B$11,0)+IF(Q1605="Sí",'Configuración'!$B$12,0)+S1605+T1605+U1605)</f>
        <v>28</v>
      </c>
      <c r="W1605" s="39" t="str">
        <f>IF(B1605="","",IF(V1605&gt;='Configuración'!$B$19,"A",IF(V1605&gt;='Configuración'!$B$20,"B",IF(V1605&gt;='Configuración'!$B$21,"C","Descarte"))))</f>
        <v>C</v>
      </c>
    </row>
    <row r="1606" ht="15.75" customHeight="1">
      <c r="A1606" s="34">
        <f t="shared" si="1"/>
        <v>1604</v>
      </c>
      <c r="B1606" s="29" t="s">
        <v>9009</v>
      </c>
      <c r="C1606" s="29" t="s">
        <v>121</v>
      </c>
      <c r="D1606" s="29" t="s">
        <v>9010</v>
      </c>
      <c r="E1606" s="29" t="s">
        <v>9011</v>
      </c>
      <c r="F1606" s="30" t="s">
        <v>9012</v>
      </c>
      <c r="G1606" s="30" t="s">
        <v>9013</v>
      </c>
      <c r="H1606" s="42" t="s">
        <v>9014</v>
      </c>
      <c r="I1606" s="29" t="s">
        <v>188</v>
      </c>
      <c r="J1606" s="31">
        <v>1.0</v>
      </c>
      <c r="K1606" s="35"/>
      <c r="L1606" s="35"/>
      <c r="M1606" s="35"/>
      <c r="N1606" s="35"/>
      <c r="O1606" s="35"/>
      <c r="P1606" s="35"/>
      <c r="Q1606" s="35"/>
      <c r="R1606" s="35"/>
      <c r="S1606" s="37">
        <f>IF(B1606="","",IF(ISNUMBER(J1606),IF(J1606&lt;=10,'Configuración'!$B$23,IF(J1606&lt;=50,'Configuración'!$B$24,IF(J1606&lt;=200,'Configuración'!$B$25,0))),0))</f>
        <v>12</v>
      </c>
      <c r="T1606" s="37">
        <f>IF(B1606="","",IF(ISNUMBER(SEARCH("information technology",I1606))+ISNUMBER(SEARCH("software",I1606))+ISNUMBER(SEARCH("internet",I1606))+ISNUMBER(SEARCH("computer",I1606))+ISNUMBER(SEARCH("saas",I1606))+ISNUMBER(SEARCH("fintech",I1606))+ISNUMBER(SEARCH("information services",I1606))+ISNUMBER(SEARCH("telecommunications",I1606))&gt;0,'Configuración'!$B$27,'Configuración'!$B$28))</f>
        <v>4</v>
      </c>
      <c r="U1606" s="25">
        <f>IF(B1606="","",IF(ISNUMBER(SEARCH("CEO",C1606))+ISNUMBER(SEARCH("Founder",C1606))+ISNUMBER(SEARCH("Owner",C1606))+ISNUMBER(SEARCH("Dueño",C1606))+ISNUMBER(SEARCH("Director General",C1606))+ISNUMBER(SEARCH("Presidente",C1606))+ISNUMBER(SEARCH("President",C1606))&gt;0,'Configuración'!$B$31,IF(ISNUMBER(SEARCH("CMO",C1606))+ISNUMBER(SEARCH("Chief Marketing",C1606))+ISNUMBER(SEARCH("VP Marketing",C1606))+ISNUMBER(SEARCH("Director de Marketing",C1606))+ISNUMBER(SEARCH("Director Marketing",C1606))+ISNUMBER(SEARCH("Head of Marketing",C1606))+ISNUMBER(SEARCH("Head Marketing",C1606))&gt;0,'Configuración'!$B$32,IF(ISNUMBER(SEARCH("Marketing Manager",C1606))+ISNUMBER(SEARCH("Gerente de Marketing",C1606))+ISNUMBER(SEARCH("Growth Manager",C1606))+ISNUMBER(SEARCH("Demand Gen",C1606))+ISNUMBER(SEARCH("Marketing Lead",C1606))&gt;0,'Configuración'!$B$33,IF(ISNUMBER(SEARCH("COO",C1606))+ISNUMBER(SEARCH("CFO",C1606))+ISNUMBER(SEARCH("CTO",C1606))+ISNUMBER(SEARCH("Chief Operating",C1606))+ISNUMBER(SEARCH("Chief Financial",C1606))+ISNUMBER(SEARCH("Gerente General",C1606))+ISNUMBER(SEARCH("General Manager",C1606))&gt;0,'Configuración'!$B$34,'Configuración'!$B$35)))))</f>
        <v>12</v>
      </c>
      <c r="V1606" s="38">
        <f>IF(B1606="","",IF(K1606="Sí",'Configuración'!$B$5,0)+IF(L1606="Semanal",'Configuración'!$B$6,IF(L1606="Mensual",'Configuración'!$B$7,0))+IF(M1606="Sí",'Configuración'!$B$8,0)+IF(N1606="Sí",'Configuración'!$B$9,0)+IF(O1606="Sí",'Configuración'!$B$10,0)+IF(P1606="Sí",'Configuración'!$B$11,0)+IF(Q1606="Sí",'Configuración'!$B$12,0)+S1606+T1606+U1606)</f>
        <v>28</v>
      </c>
      <c r="W1606" s="39" t="str">
        <f>IF(B1606="","",IF(V1606&gt;='Configuración'!$B$19,"A",IF(V1606&gt;='Configuración'!$B$20,"B",IF(V1606&gt;='Configuración'!$B$21,"C","Descarte"))))</f>
        <v>C</v>
      </c>
    </row>
    <row r="1607" ht="15.75" customHeight="1">
      <c r="A1607" s="34">
        <f t="shared" si="1"/>
        <v>1605</v>
      </c>
      <c r="B1607" s="29" t="s">
        <v>6070</v>
      </c>
      <c r="C1607" s="29" t="s">
        <v>934</v>
      </c>
      <c r="D1607" s="29" t="s">
        <v>9015</v>
      </c>
      <c r="E1607" s="29" t="s">
        <v>9016</v>
      </c>
      <c r="F1607" s="30" t="s">
        <v>9017</v>
      </c>
      <c r="G1607" s="30" t="s">
        <v>9018</v>
      </c>
      <c r="H1607" s="42" t="s">
        <v>9019</v>
      </c>
      <c r="I1607" s="29" t="s">
        <v>1785</v>
      </c>
      <c r="J1607" s="31">
        <v>15.0</v>
      </c>
      <c r="K1607" s="35"/>
      <c r="L1607" s="35"/>
      <c r="M1607" s="35"/>
      <c r="N1607" s="35"/>
      <c r="O1607" s="35"/>
      <c r="P1607" s="35"/>
      <c r="Q1607" s="35"/>
      <c r="R1607" s="35"/>
      <c r="S1607" s="37">
        <f>IF(B1607="","",IF(ISNUMBER(J1607),IF(J1607&lt;=10,'Configuración'!$B$23,IF(J1607&lt;=50,'Configuración'!$B$24,IF(J1607&lt;=200,'Configuración'!$B$25,0))),0))</f>
        <v>4</v>
      </c>
      <c r="T1607" s="37">
        <f>IF(B1607="","",IF(ISNUMBER(SEARCH("information technology",I1607))+ISNUMBER(SEARCH("software",I1607))+ISNUMBER(SEARCH("internet",I1607))+ISNUMBER(SEARCH("computer",I1607))+ISNUMBER(SEARCH("saas",I1607))+ISNUMBER(SEARCH("fintech",I1607))+ISNUMBER(SEARCH("information services",I1607))+ISNUMBER(SEARCH("telecommunications",I1607))&gt;0,'Configuración'!$B$27,'Configuración'!$B$28))</f>
        <v>4</v>
      </c>
      <c r="U1607" s="25">
        <f>IF(B1607="","",IF(ISNUMBER(SEARCH("CEO",C1607))+ISNUMBER(SEARCH("Founder",C1607))+ISNUMBER(SEARCH("Owner",C1607))+ISNUMBER(SEARCH("Dueño",C1607))+ISNUMBER(SEARCH("Director General",C1607))+ISNUMBER(SEARCH("Presidente",C1607))+ISNUMBER(SEARCH("President",C1607))&gt;0,'Configuración'!$B$31,IF(ISNUMBER(SEARCH("CMO",C1607))+ISNUMBER(SEARCH("Chief Marketing",C1607))+ISNUMBER(SEARCH("VP Marketing",C1607))+ISNUMBER(SEARCH("Director de Marketing",C1607))+ISNUMBER(SEARCH("Director Marketing",C1607))+ISNUMBER(SEARCH("Head of Marketing",C1607))+ISNUMBER(SEARCH("Head Marketing",C1607))&gt;0,'Configuración'!$B$32,IF(ISNUMBER(SEARCH("Marketing Manager",C1607))+ISNUMBER(SEARCH("Gerente de Marketing",C1607))+ISNUMBER(SEARCH("Growth Manager",C1607))+ISNUMBER(SEARCH("Demand Gen",C1607))+ISNUMBER(SEARCH("Marketing Lead",C1607))&gt;0,'Configuración'!$B$33,IF(ISNUMBER(SEARCH("COO",C1607))+ISNUMBER(SEARCH("CFO",C1607))+ISNUMBER(SEARCH("CTO",C1607))+ISNUMBER(SEARCH("Chief Operating",C1607))+ISNUMBER(SEARCH("Chief Financial",C1607))+ISNUMBER(SEARCH("Gerente General",C1607))+ISNUMBER(SEARCH("General Manager",C1607))&gt;0,'Configuración'!$B$34,'Configuración'!$B$35)))))</f>
        <v>12</v>
      </c>
      <c r="V1607" s="38">
        <f>IF(B1607="","",IF(K1607="Sí",'Configuración'!$B$5,0)+IF(L1607="Semanal",'Configuración'!$B$6,IF(L1607="Mensual",'Configuración'!$B$7,0))+IF(M1607="Sí",'Configuración'!$B$8,0)+IF(N1607="Sí",'Configuración'!$B$9,0)+IF(O1607="Sí",'Configuración'!$B$10,0)+IF(P1607="Sí",'Configuración'!$B$11,0)+IF(Q1607="Sí",'Configuración'!$B$12,0)+S1607+T1607+U1607)</f>
        <v>20</v>
      </c>
      <c r="W1607" s="39" t="str">
        <f>IF(B1607="","",IF(V1607&gt;='Configuración'!$B$19,"A",IF(V1607&gt;='Configuración'!$B$20,"B",IF(V1607&gt;='Configuración'!$B$21,"C","Descarte"))))</f>
        <v>Descarte</v>
      </c>
    </row>
    <row r="1608" ht="15.75" customHeight="1">
      <c r="A1608" s="34">
        <f t="shared" si="1"/>
        <v>1606</v>
      </c>
      <c r="B1608" s="29" t="s">
        <v>9020</v>
      </c>
      <c r="C1608" s="29" t="s">
        <v>9021</v>
      </c>
      <c r="D1608" s="29" t="s">
        <v>9022</v>
      </c>
      <c r="E1608" s="29" t="s">
        <v>9023</v>
      </c>
      <c r="F1608" s="30" t="s">
        <v>9024</v>
      </c>
      <c r="G1608" s="30" t="s">
        <v>9025</v>
      </c>
      <c r="H1608" s="42" t="s">
        <v>9026</v>
      </c>
      <c r="I1608" s="29" t="s">
        <v>1034</v>
      </c>
      <c r="J1608" s="31">
        <v>2.0</v>
      </c>
      <c r="K1608" s="35"/>
      <c r="L1608" s="35"/>
      <c r="M1608" s="35"/>
      <c r="N1608" s="35"/>
      <c r="O1608" s="35"/>
      <c r="P1608" s="35"/>
      <c r="Q1608" s="35"/>
      <c r="R1608" s="35"/>
      <c r="S1608" s="37">
        <f>IF(B1608="","",IF(ISNUMBER(J1608),IF(J1608&lt;=10,'Configuración'!$B$23,IF(J1608&lt;=50,'Configuración'!$B$24,IF(J1608&lt;=200,'Configuración'!$B$25,0))),0))</f>
        <v>12</v>
      </c>
      <c r="T1608" s="37">
        <f>IF(B1608="","",IF(ISNUMBER(SEARCH("information technology",I1608))+ISNUMBER(SEARCH("software",I1608))+ISNUMBER(SEARCH("internet",I1608))+ISNUMBER(SEARCH("computer",I1608))+ISNUMBER(SEARCH("saas",I1608))+ISNUMBER(SEARCH("fintech",I1608))+ISNUMBER(SEARCH("information services",I1608))+ISNUMBER(SEARCH("telecommunications",I1608))&gt;0,'Configuración'!$B$27,'Configuración'!$B$28))</f>
        <v>4</v>
      </c>
      <c r="U1608" s="25">
        <f>IF(B1608="","",IF(ISNUMBER(SEARCH("CEO",C1608))+ISNUMBER(SEARCH("Founder",C1608))+ISNUMBER(SEARCH("Owner",C1608))+ISNUMBER(SEARCH("Dueño",C1608))+ISNUMBER(SEARCH("Director General",C1608))+ISNUMBER(SEARCH("Presidente",C1608))+ISNUMBER(SEARCH("President",C1608))&gt;0,'Configuración'!$B$31,IF(ISNUMBER(SEARCH("CMO",C1608))+ISNUMBER(SEARCH("Chief Marketing",C1608))+ISNUMBER(SEARCH("VP Marketing",C1608))+ISNUMBER(SEARCH("Director de Marketing",C1608))+ISNUMBER(SEARCH("Director Marketing",C1608))+ISNUMBER(SEARCH("Head of Marketing",C1608))+ISNUMBER(SEARCH("Head Marketing",C1608))&gt;0,'Configuración'!$B$32,IF(ISNUMBER(SEARCH("Marketing Manager",C1608))+ISNUMBER(SEARCH("Gerente de Marketing",C1608))+ISNUMBER(SEARCH("Growth Manager",C1608))+ISNUMBER(SEARCH("Demand Gen",C1608))+ISNUMBER(SEARCH("Marketing Lead",C1608))&gt;0,'Configuración'!$B$33,IF(ISNUMBER(SEARCH("COO",C1608))+ISNUMBER(SEARCH("CFO",C1608))+ISNUMBER(SEARCH("CTO",C1608))+ISNUMBER(SEARCH("Chief Operating",C1608))+ISNUMBER(SEARCH("Chief Financial",C1608))+ISNUMBER(SEARCH("Gerente General",C1608))+ISNUMBER(SEARCH("General Manager",C1608))&gt;0,'Configuración'!$B$34,'Configuración'!$B$35)))))</f>
        <v>0</v>
      </c>
      <c r="V1608" s="38">
        <f>IF(B1608="","",IF(K1608="Sí",'Configuración'!$B$5,0)+IF(L1608="Semanal",'Configuración'!$B$6,IF(L1608="Mensual",'Configuración'!$B$7,0))+IF(M1608="Sí",'Configuración'!$B$8,0)+IF(N1608="Sí",'Configuración'!$B$9,0)+IF(O1608="Sí",'Configuración'!$B$10,0)+IF(P1608="Sí",'Configuración'!$B$11,0)+IF(Q1608="Sí",'Configuración'!$B$12,0)+S1608+T1608+U1608)</f>
        <v>16</v>
      </c>
      <c r="W1608" s="39" t="str">
        <f>IF(B1608="","",IF(V1608&gt;='Configuración'!$B$19,"A",IF(V1608&gt;='Configuración'!$B$20,"B",IF(V1608&gt;='Configuración'!$B$21,"C","Descarte"))))</f>
        <v>Descarte</v>
      </c>
    </row>
    <row r="1609" ht="15.75" customHeight="1">
      <c r="A1609" s="34">
        <f t="shared" si="1"/>
        <v>1607</v>
      </c>
      <c r="B1609" s="29" t="s">
        <v>174</v>
      </c>
      <c r="C1609" s="29" t="s">
        <v>2695</v>
      </c>
      <c r="D1609" s="29" t="s">
        <v>9027</v>
      </c>
      <c r="E1609" s="29" t="s">
        <v>9028</v>
      </c>
      <c r="F1609" s="30" t="s">
        <v>9029</v>
      </c>
      <c r="G1609" s="30" t="s">
        <v>9030</v>
      </c>
      <c r="H1609" s="42" t="s">
        <v>9031</v>
      </c>
      <c r="I1609" s="29" t="s">
        <v>337</v>
      </c>
      <c r="J1609" s="31">
        <v>8.0</v>
      </c>
      <c r="K1609" s="35"/>
      <c r="L1609" s="35"/>
      <c r="M1609" s="35"/>
      <c r="N1609" s="35"/>
      <c r="O1609" s="35"/>
      <c r="P1609" s="35"/>
      <c r="Q1609" s="35"/>
      <c r="R1609" s="35"/>
      <c r="S1609" s="37">
        <f>IF(B1609="","",IF(ISNUMBER(J1609),IF(J1609&lt;=10,'Configuración'!$B$23,IF(J1609&lt;=50,'Configuración'!$B$24,IF(J1609&lt;=200,'Configuración'!$B$25,0))),0))</f>
        <v>12</v>
      </c>
      <c r="T1609" s="37">
        <f>IF(B1609="","",IF(ISNUMBER(SEARCH("information technology",I1609))+ISNUMBER(SEARCH("software",I1609))+ISNUMBER(SEARCH("internet",I1609))+ISNUMBER(SEARCH("computer",I1609))+ISNUMBER(SEARCH("saas",I1609))+ISNUMBER(SEARCH("fintech",I1609))+ISNUMBER(SEARCH("information services",I1609))+ISNUMBER(SEARCH("telecommunications",I1609))&gt;0,'Configuración'!$B$27,'Configuración'!$B$28))</f>
        <v>4</v>
      </c>
      <c r="U1609" s="25">
        <f>IF(B1609="","",IF(ISNUMBER(SEARCH("CEO",C1609))+ISNUMBER(SEARCH("Founder",C1609))+ISNUMBER(SEARCH("Owner",C1609))+ISNUMBER(SEARCH("Dueño",C1609))+ISNUMBER(SEARCH("Director General",C1609))+ISNUMBER(SEARCH("Presidente",C1609))+ISNUMBER(SEARCH("President",C1609))&gt;0,'Configuración'!$B$31,IF(ISNUMBER(SEARCH("CMO",C1609))+ISNUMBER(SEARCH("Chief Marketing",C1609))+ISNUMBER(SEARCH("VP Marketing",C1609))+ISNUMBER(SEARCH("Director de Marketing",C1609))+ISNUMBER(SEARCH("Director Marketing",C1609))+ISNUMBER(SEARCH("Head of Marketing",C1609))+ISNUMBER(SEARCH("Head Marketing",C1609))&gt;0,'Configuración'!$B$32,IF(ISNUMBER(SEARCH("Marketing Manager",C1609))+ISNUMBER(SEARCH("Gerente de Marketing",C1609))+ISNUMBER(SEARCH("Growth Manager",C1609))+ISNUMBER(SEARCH("Demand Gen",C1609))+ISNUMBER(SEARCH("Marketing Lead",C1609))&gt;0,'Configuración'!$B$33,IF(ISNUMBER(SEARCH("COO",C1609))+ISNUMBER(SEARCH("CFO",C1609))+ISNUMBER(SEARCH("CTO",C1609))+ISNUMBER(SEARCH("Chief Operating",C1609))+ISNUMBER(SEARCH("Chief Financial",C1609))+ISNUMBER(SEARCH("Gerente General",C1609))+ISNUMBER(SEARCH("General Manager",C1609))&gt;0,'Configuración'!$B$34,'Configuración'!$B$35)))))</f>
        <v>12</v>
      </c>
      <c r="V1609" s="38">
        <f>IF(B1609="","",IF(K1609="Sí",'Configuración'!$B$5,0)+IF(L1609="Semanal",'Configuración'!$B$6,IF(L1609="Mensual",'Configuración'!$B$7,0))+IF(M1609="Sí",'Configuración'!$B$8,0)+IF(N1609="Sí",'Configuración'!$B$9,0)+IF(O1609="Sí",'Configuración'!$B$10,0)+IF(P1609="Sí",'Configuración'!$B$11,0)+IF(Q1609="Sí",'Configuración'!$B$12,0)+S1609+T1609+U1609)</f>
        <v>28</v>
      </c>
      <c r="W1609" s="39" t="str">
        <f>IF(B1609="","",IF(V1609&gt;='Configuración'!$B$19,"A",IF(V1609&gt;='Configuración'!$B$20,"B",IF(V1609&gt;='Configuración'!$B$21,"C","Descarte"))))</f>
        <v>C</v>
      </c>
    </row>
    <row r="1610" ht="15.75" customHeight="1">
      <c r="A1610" s="34">
        <f t="shared" si="1"/>
        <v>1608</v>
      </c>
      <c r="B1610" s="29" t="s">
        <v>181</v>
      </c>
      <c r="C1610" s="29" t="s">
        <v>9032</v>
      </c>
      <c r="D1610" s="29" t="s">
        <v>7129</v>
      </c>
      <c r="E1610" s="29" t="s">
        <v>9033</v>
      </c>
      <c r="F1610" s="30" t="s">
        <v>9034</v>
      </c>
      <c r="G1610" s="30" t="s">
        <v>7132</v>
      </c>
      <c r="H1610" s="42" t="s">
        <v>7133</v>
      </c>
      <c r="I1610" s="29" t="s">
        <v>127</v>
      </c>
      <c r="J1610" s="31">
        <v>7.0</v>
      </c>
      <c r="K1610" s="35"/>
      <c r="L1610" s="35"/>
      <c r="M1610" s="35"/>
      <c r="N1610" s="35"/>
      <c r="O1610" s="35"/>
      <c r="P1610" s="35"/>
      <c r="Q1610" s="35"/>
      <c r="R1610" s="35"/>
      <c r="S1610" s="37">
        <f>IF(B1610="","",IF(ISNUMBER(J1610),IF(J1610&lt;=10,'Configuración'!$B$23,IF(J1610&lt;=50,'Configuración'!$B$24,IF(J1610&lt;=200,'Configuración'!$B$25,0))),0))</f>
        <v>12</v>
      </c>
      <c r="T1610" s="37">
        <f>IF(B1610="","",IF(ISNUMBER(SEARCH("information technology",I1610))+ISNUMBER(SEARCH("software",I1610))+ISNUMBER(SEARCH("internet",I1610))+ISNUMBER(SEARCH("computer",I1610))+ISNUMBER(SEARCH("saas",I1610))+ISNUMBER(SEARCH("fintech",I1610))+ISNUMBER(SEARCH("information services",I1610))+ISNUMBER(SEARCH("telecommunications",I1610))&gt;0,'Configuración'!$B$27,'Configuración'!$B$28))</f>
        <v>12</v>
      </c>
      <c r="U1610" s="25">
        <f>IF(B1610="","",IF(ISNUMBER(SEARCH("CEO",C1610))+ISNUMBER(SEARCH("Founder",C1610))+ISNUMBER(SEARCH("Owner",C1610))+ISNUMBER(SEARCH("Dueño",C1610))+ISNUMBER(SEARCH("Director General",C1610))+ISNUMBER(SEARCH("Presidente",C1610))+ISNUMBER(SEARCH("President",C1610))&gt;0,'Configuración'!$B$31,IF(ISNUMBER(SEARCH("CMO",C1610))+ISNUMBER(SEARCH("Chief Marketing",C1610))+ISNUMBER(SEARCH("VP Marketing",C1610))+ISNUMBER(SEARCH("Director de Marketing",C1610))+ISNUMBER(SEARCH("Director Marketing",C1610))+ISNUMBER(SEARCH("Head of Marketing",C1610))+ISNUMBER(SEARCH("Head Marketing",C1610))&gt;0,'Configuración'!$B$32,IF(ISNUMBER(SEARCH("Marketing Manager",C1610))+ISNUMBER(SEARCH("Gerente de Marketing",C1610))+ISNUMBER(SEARCH("Growth Manager",C1610))+ISNUMBER(SEARCH("Demand Gen",C1610))+ISNUMBER(SEARCH("Marketing Lead",C1610))&gt;0,'Configuración'!$B$33,IF(ISNUMBER(SEARCH("COO",C1610))+ISNUMBER(SEARCH("CFO",C1610))+ISNUMBER(SEARCH("CTO",C1610))+ISNUMBER(SEARCH("Chief Operating",C1610))+ISNUMBER(SEARCH("Chief Financial",C1610))+ISNUMBER(SEARCH("Gerente General",C1610))+ISNUMBER(SEARCH("General Manager",C1610))&gt;0,'Configuración'!$B$34,'Configuración'!$B$35)))))</f>
        <v>12</v>
      </c>
      <c r="V1610" s="38">
        <f>IF(B1610="","",IF(K1610="Sí",'Configuración'!$B$5,0)+IF(L1610="Semanal",'Configuración'!$B$6,IF(L1610="Mensual",'Configuración'!$B$7,0))+IF(M1610="Sí",'Configuración'!$B$8,0)+IF(N1610="Sí",'Configuración'!$B$9,0)+IF(O1610="Sí",'Configuración'!$B$10,0)+IF(P1610="Sí",'Configuración'!$B$11,0)+IF(Q1610="Sí",'Configuración'!$B$12,0)+S1610+T1610+U1610)</f>
        <v>36</v>
      </c>
      <c r="W1610" s="39" t="str">
        <f>IF(B1610="","",IF(V1610&gt;='Configuración'!$B$19,"A",IF(V1610&gt;='Configuración'!$B$20,"B",IF(V1610&gt;='Configuración'!$B$21,"C","Descarte"))))</f>
        <v>C</v>
      </c>
    </row>
    <row r="1611" ht="15.75" customHeight="1">
      <c r="A1611" s="34">
        <f t="shared" si="1"/>
        <v>1609</v>
      </c>
      <c r="B1611" s="29" t="s">
        <v>1548</v>
      </c>
      <c r="C1611" s="29" t="s">
        <v>9035</v>
      </c>
      <c r="D1611" s="29" t="s">
        <v>9036</v>
      </c>
      <c r="E1611" s="29" t="s">
        <v>9037</v>
      </c>
      <c r="F1611" s="30" t="s">
        <v>9038</v>
      </c>
      <c r="G1611" s="30" t="s">
        <v>9039</v>
      </c>
      <c r="H1611" s="42" t="s">
        <v>9040</v>
      </c>
      <c r="I1611" s="29" t="s">
        <v>380</v>
      </c>
      <c r="J1611" s="31">
        <v>26.0</v>
      </c>
      <c r="K1611" s="35"/>
      <c r="L1611" s="35"/>
      <c r="M1611" s="35"/>
      <c r="N1611" s="35"/>
      <c r="O1611" s="35"/>
      <c r="P1611" s="35"/>
      <c r="Q1611" s="35"/>
      <c r="R1611" s="35"/>
      <c r="S1611" s="37">
        <f>IF(B1611="","",IF(ISNUMBER(J1611),IF(J1611&lt;=10,'Configuración'!$B$23,IF(J1611&lt;=50,'Configuración'!$B$24,IF(J1611&lt;=200,'Configuración'!$B$25,0))),0))</f>
        <v>4</v>
      </c>
      <c r="T1611" s="37">
        <f>IF(B1611="","",IF(ISNUMBER(SEARCH("information technology",I1611))+ISNUMBER(SEARCH("software",I1611))+ISNUMBER(SEARCH("internet",I1611))+ISNUMBER(SEARCH("computer",I1611))+ISNUMBER(SEARCH("saas",I1611))+ISNUMBER(SEARCH("fintech",I1611))+ISNUMBER(SEARCH("information services",I1611))+ISNUMBER(SEARCH("telecommunications",I1611))&gt;0,'Configuración'!$B$27,'Configuración'!$B$28))</f>
        <v>4</v>
      </c>
      <c r="U1611" s="25">
        <f>IF(B1611="","",IF(ISNUMBER(SEARCH("CEO",C1611))+ISNUMBER(SEARCH("Founder",C1611))+ISNUMBER(SEARCH("Owner",C1611))+ISNUMBER(SEARCH("Dueño",C1611))+ISNUMBER(SEARCH("Director General",C1611))+ISNUMBER(SEARCH("Presidente",C1611))+ISNUMBER(SEARCH("President",C1611))&gt;0,'Configuración'!$B$31,IF(ISNUMBER(SEARCH("CMO",C1611))+ISNUMBER(SEARCH("Chief Marketing",C1611))+ISNUMBER(SEARCH("VP Marketing",C1611))+ISNUMBER(SEARCH("Director de Marketing",C1611))+ISNUMBER(SEARCH("Director Marketing",C1611))+ISNUMBER(SEARCH("Head of Marketing",C1611))+ISNUMBER(SEARCH("Head Marketing",C1611))&gt;0,'Configuración'!$B$32,IF(ISNUMBER(SEARCH("Marketing Manager",C1611))+ISNUMBER(SEARCH("Gerente de Marketing",C1611))+ISNUMBER(SEARCH("Growth Manager",C1611))+ISNUMBER(SEARCH("Demand Gen",C1611))+ISNUMBER(SEARCH("Marketing Lead",C1611))&gt;0,'Configuración'!$B$33,IF(ISNUMBER(SEARCH("COO",C1611))+ISNUMBER(SEARCH("CFO",C1611))+ISNUMBER(SEARCH("CTO",C1611))+ISNUMBER(SEARCH("Chief Operating",C1611))+ISNUMBER(SEARCH("Chief Financial",C1611))+ISNUMBER(SEARCH("Gerente General",C1611))+ISNUMBER(SEARCH("General Manager",C1611))&gt;0,'Configuración'!$B$34,'Configuración'!$B$35)))))</f>
        <v>12</v>
      </c>
      <c r="V1611" s="38">
        <f>IF(B1611="","",IF(K1611="Sí",'Configuración'!$B$5,0)+IF(L1611="Semanal",'Configuración'!$B$6,IF(L1611="Mensual",'Configuración'!$B$7,0))+IF(M1611="Sí",'Configuración'!$B$8,0)+IF(N1611="Sí",'Configuración'!$B$9,0)+IF(O1611="Sí",'Configuración'!$B$10,0)+IF(P1611="Sí",'Configuración'!$B$11,0)+IF(Q1611="Sí",'Configuración'!$B$12,0)+S1611+T1611+U1611)</f>
        <v>20</v>
      </c>
      <c r="W1611" s="39" t="str">
        <f>IF(B1611="","",IF(V1611&gt;='Configuración'!$B$19,"A",IF(V1611&gt;='Configuración'!$B$20,"B",IF(V1611&gt;='Configuración'!$B$21,"C","Descarte"))))</f>
        <v>Descarte</v>
      </c>
    </row>
    <row r="1612" ht="15.75" customHeight="1">
      <c r="A1612" s="34">
        <f t="shared" si="1"/>
        <v>1610</v>
      </c>
      <c r="B1612" s="29" t="s">
        <v>9041</v>
      </c>
      <c r="C1612" s="29" t="s">
        <v>9042</v>
      </c>
      <c r="D1612" s="29" t="s">
        <v>9043</v>
      </c>
      <c r="E1612" s="29" t="s">
        <v>9044</v>
      </c>
      <c r="F1612" s="30" t="s">
        <v>9045</v>
      </c>
      <c r="G1612" s="30" t="s">
        <v>9046</v>
      </c>
      <c r="H1612" s="42" t="s">
        <v>9047</v>
      </c>
      <c r="I1612" s="29" t="s">
        <v>249</v>
      </c>
      <c r="J1612" s="31">
        <v>3.0</v>
      </c>
      <c r="K1612" s="35"/>
      <c r="L1612" s="35"/>
      <c r="M1612" s="35"/>
      <c r="N1612" s="35"/>
      <c r="O1612" s="35"/>
      <c r="P1612" s="35"/>
      <c r="Q1612" s="35"/>
      <c r="R1612" s="35"/>
      <c r="S1612" s="37">
        <f>IF(B1612="","",IF(ISNUMBER(J1612),IF(J1612&lt;=10,'Configuración'!$B$23,IF(J1612&lt;=50,'Configuración'!$B$24,IF(J1612&lt;=200,'Configuración'!$B$25,0))),0))</f>
        <v>12</v>
      </c>
      <c r="T1612" s="37">
        <f>IF(B1612="","",IF(ISNUMBER(SEARCH("information technology",I1612))+ISNUMBER(SEARCH("software",I1612))+ISNUMBER(SEARCH("internet",I1612))+ISNUMBER(SEARCH("computer",I1612))+ISNUMBER(SEARCH("saas",I1612))+ISNUMBER(SEARCH("fintech",I1612))+ISNUMBER(SEARCH("information services",I1612))+ISNUMBER(SEARCH("telecommunications",I1612))&gt;0,'Configuración'!$B$27,'Configuración'!$B$28))</f>
        <v>4</v>
      </c>
      <c r="U1612" s="25">
        <f>IF(B1612="","",IF(ISNUMBER(SEARCH("CEO",C1612))+ISNUMBER(SEARCH("Founder",C1612))+ISNUMBER(SEARCH("Owner",C1612))+ISNUMBER(SEARCH("Dueño",C1612))+ISNUMBER(SEARCH("Director General",C1612))+ISNUMBER(SEARCH("Presidente",C1612))+ISNUMBER(SEARCH("President",C1612))&gt;0,'Configuración'!$B$31,IF(ISNUMBER(SEARCH("CMO",C1612))+ISNUMBER(SEARCH("Chief Marketing",C1612))+ISNUMBER(SEARCH("VP Marketing",C1612))+ISNUMBER(SEARCH("Director de Marketing",C1612))+ISNUMBER(SEARCH("Director Marketing",C1612))+ISNUMBER(SEARCH("Head of Marketing",C1612))+ISNUMBER(SEARCH("Head Marketing",C1612))&gt;0,'Configuración'!$B$32,IF(ISNUMBER(SEARCH("Marketing Manager",C1612))+ISNUMBER(SEARCH("Gerente de Marketing",C1612))+ISNUMBER(SEARCH("Growth Manager",C1612))+ISNUMBER(SEARCH("Demand Gen",C1612))+ISNUMBER(SEARCH("Marketing Lead",C1612))&gt;0,'Configuración'!$B$33,IF(ISNUMBER(SEARCH("COO",C1612))+ISNUMBER(SEARCH("CFO",C1612))+ISNUMBER(SEARCH("CTO",C1612))+ISNUMBER(SEARCH("Chief Operating",C1612))+ISNUMBER(SEARCH("Chief Financial",C1612))+ISNUMBER(SEARCH("Gerente General",C1612))+ISNUMBER(SEARCH("General Manager",C1612))&gt;0,'Configuración'!$B$34,'Configuración'!$B$35)))))</f>
        <v>12</v>
      </c>
      <c r="V1612" s="38">
        <f>IF(B1612="","",IF(K1612="Sí",'Configuración'!$B$5,0)+IF(L1612="Semanal",'Configuración'!$B$6,IF(L1612="Mensual",'Configuración'!$B$7,0))+IF(M1612="Sí",'Configuración'!$B$8,0)+IF(N1612="Sí",'Configuración'!$B$9,0)+IF(O1612="Sí",'Configuración'!$B$10,0)+IF(P1612="Sí",'Configuración'!$B$11,0)+IF(Q1612="Sí",'Configuración'!$B$12,0)+S1612+T1612+U1612)</f>
        <v>28</v>
      </c>
      <c r="W1612" s="39" t="str">
        <f>IF(B1612="","",IF(V1612&gt;='Configuración'!$B$19,"A",IF(V1612&gt;='Configuración'!$B$20,"B",IF(V1612&gt;='Configuración'!$B$21,"C","Descarte"))))</f>
        <v>C</v>
      </c>
    </row>
    <row r="1613" ht="15.75" customHeight="1">
      <c r="A1613" s="34">
        <f t="shared" si="1"/>
        <v>1611</v>
      </c>
      <c r="B1613" s="29" t="s">
        <v>8699</v>
      </c>
      <c r="C1613" s="29" t="s">
        <v>175</v>
      </c>
      <c r="D1613" s="29" t="s">
        <v>9048</v>
      </c>
      <c r="E1613" s="29" t="s">
        <v>9049</v>
      </c>
      <c r="F1613" s="30" t="s">
        <v>9050</v>
      </c>
      <c r="G1613" s="30" t="s">
        <v>9051</v>
      </c>
      <c r="H1613" s="42" t="s">
        <v>9052</v>
      </c>
      <c r="I1613" s="29" t="s">
        <v>127</v>
      </c>
      <c r="J1613" s="31">
        <v>1.0</v>
      </c>
      <c r="K1613" s="35"/>
      <c r="L1613" s="35"/>
      <c r="M1613" s="35"/>
      <c r="N1613" s="35"/>
      <c r="O1613" s="35"/>
      <c r="P1613" s="35"/>
      <c r="Q1613" s="35"/>
      <c r="R1613" s="35"/>
      <c r="S1613" s="37">
        <f>IF(B1613="","",IF(ISNUMBER(J1613),IF(J1613&lt;=10,'Configuración'!$B$23,IF(J1613&lt;=50,'Configuración'!$B$24,IF(J1613&lt;=200,'Configuración'!$B$25,0))),0))</f>
        <v>12</v>
      </c>
      <c r="T1613" s="37">
        <f>IF(B1613="","",IF(ISNUMBER(SEARCH("information technology",I1613))+ISNUMBER(SEARCH("software",I1613))+ISNUMBER(SEARCH("internet",I1613))+ISNUMBER(SEARCH("computer",I1613))+ISNUMBER(SEARCH("saas",I1613))+ISNUMBER(SEARCH("fintech",I1613))+ISNUMBER(SEARCH("information services",I1613))+ISNUMBER(SEARCH("telecommunications",I1613))&gt;0,'Configuración'!$B$27,'Configuración'!$B$28))</f>
        <v>12</v>
      </c>
      <c r="U1613" s="25">
        <f>IF(B1613="","",IF(ISNUMBER(SEARCH("CEO",C1613))+ISNUMBER(SEARCH("Founder",C1613))+ISNUMBER(SEARCH("Owner",C1613))+ISNUMBER(SEARCH("Dueño",C1613))+ISNUMBER(SEARCH("Director General",C1613))+ISNUMBER(SEARCH("Presidente",C1613))+ISNUMBER(SEARCH("President",C1613))&gt;0,'Configuración'!$B$31,IF(ISNUMBER(SEARCH("CMO",C1613))+ISNUMBER(SEARCH("Chief Marketing",C1613))+ISNUMBER(SEARCH("VP Marketing",C1613))+ISNUMBER(SEARCH("Director de Marketing",C1613))+ISNUMBER(SEARCH("Director Marketing",C1613))+ISNUMBER(SEARCH("Head of Marketing",C1613))+ISNUMBER(SEARCH("Head Marketing",C1613))&gt;0,'Configuración'!$B$32,IF(ISNUMBER(SEARCH("Marketing Manager",C1613))+ISNUMBER(SEARCH("Gerente de Marketing",C1613))+ISNUMBER(SEARCH("Growth Manager",C1613))+ISNUMBER(SEARCH("Demand Gen",C1613))+ISNUMBER(SEARCH("Marketing Lead",C1613))&gt;0,'Configuración'!$B$33,IF(ISNUMBER(SEARCH("COO",C1613))+ISNUMBER(SEARCH("CFO",C1613))+ISNUMBER(SEARCH("CTO",C1613))+ISNUMBER(SEARCH("Chief Operating",C1613))+ISNUMBER(SEARCH("Chief Financial",C1613))+ISNUMBER(SEARCH("Gerente General",C1613))+ISNUMBER(SEARCH("General Manager",C1613))&gt;0,'Configuración'!$B$34,'Configuración'!$B$35)))))</f>
        <v>12</v>
      </c>
      <c r="V1613" s="38">
        <f>IF(B1613="","",IF(K1613="Sí",'Configuración'!$B$5,0)+IF(L1613="Semanal",'Configuración'!$B$6,IF(L1613="Mensual",'Configuración'!$B$7,0))+IF(M1613="Sí",'Configuración'!$B$8,0)+IF(N1613="Sí",'Configuración'!$B$9,0)+IF(O1613="Sí",'Configuración'!$B$10,0)+IF(P1613="Sí",'Configuración'!$B$11,0)+IF(Q1613="Sí",'Configuración'!$B$12,0)+S1613+T1613+U1613)</f>
        <v>36</v>
      </c>
      <c r="W1613" s="39" t="str">
        <f>IF(B1613="","",IF(V1613&gt;='Configuración'!$B$19,"A",IF(V1613&gt;='Configuración'!$B$20,"B",IF(V1613&gt;='Configuración'!$B$21,"C","Descarte"))))</f>
        <v>C</v>
      </c>
    </row>
    <row r="1614" ht="15.75" customHeight="1">
      <c r="A1614" s="34">
        <f t="shared" si="1"/>
        <v>1612</v>
      </c>
      <c r="B1614" s="29" t="s">
        <v>9053</v>
      </c>
      <c r="C1614" s="29" t="s">
        <v>9054</v>
      </c>
      <c r="D1614" s="29" t="s">
        <v>9055</v>
      </c>
      <c r="E1614" s="29" t="s">
        <v>9056</v>
      </c>
      <c r="F1614" s="30" t="s">
        <v>9057</v>
      </c>
      <c r="G1614" s="30" t="s">
        <v>9058</v>
      </c>
      <c r="H1614" s="42" t="s">
        <v>9059</v>
      </c>
      <c r="I1614" s="29" t="s">
        <v>317</v>
      </c>
      <c r="J1614" s="31">
        <v>12.0</v>
      </c>
      <c r="K1614" s="35"/>
      <c r="L1614" s="35"/>
      <c r="M1614" s="35"/>
      <c r="N1614" s="35"/>
      <c r="O1614" s="35"/>
      <c r="P1614" s="35"/>
      <c r="Q1614" s="35"/>
      <c r="R1614" s="35"/>
      <c r="S1614" s="37">
        <f>IF(B1614="","",IF(ISNUMBER(J1614),IF(J1614&lt;=10,'Configuración'!$B$23,IF(J1614&lt;=50,'Configuración'!$B$24,IF(J1614&lt;=200,'Configuración'!$B$25,0))),0))</f>
        <v>4</v>
      </c>
      <c r="T1614" s="37">
        <f>IF(B1614="","",IF(ISNUMBER(SEARCH("information technology",I1614))+ISNUMBER(SEARCH("software",I1614))+ISNUMBER(SEARCH("internet",I1614))+ISNUMBER(SEARCH("computer",I1614))+ISNUMBER(SEARCH("saas",I1614))+ISNUMBER(SEARCH("fintech",I1614))+ISNUMBER(SEARCH("information services",I1614))+ISNUMBER(SEARCH("telecommunications",I1614))&gt;0,'Configuración'!$B$27,'Configuración'!$B$28))</f>
        <v>4</v>
      </c>
      <c r="U1614" s="25">
        <f>IF(B1614="","",IF(ISNUMBER(SEARCH("CEO",C1614))+ISNUMBER(SEARCH("Founder",C1614))+ISNUMBER(SEARCH("Owner",C1614))+ISNUMBER(SEARCH("Dueño",C1614))+ISNUMBER(SEARCH("Director General",C1614))+ISNUMBER(SEARCH("Presidente",C1614))+ISNUMBER(SEARCH("President",C1614))&gt;0,'Configuración'!$B$31,IF(ISNUMBER(SEARCH("CMO",C1614))+ISNUMBER(SEARCH("Chief Marketing",C1614))+ISNUMBER(SEARCH("VP Marketing",C1614))+ISNUMBER(SEARCH("Director de Marketing",C1614))+ISNUMBER(SEARCH("Director Marketing",C1614))+ISNUMBER(SEARCH("Head of Marketing",C1614))+ISNUMBER(SEARCH("Head Marketing",C1614))&gt;0,'Configuración'!$B$32,IF(ISNUMBER(SEARCH("Marketing Manager",C1614))+ISNUMBER(SEARCH("Gerente de Marketing",C1614))+ISNUMBER(SEARCH("Growth Manager",C1614))+ISNUMBER(SEARCH("Demand Gen",C1614))+ISNUMBER(SEARCH("Marketing Lead",C1614))&gt;0,'Configuración'!$B$33,IF(ISNUMBER(SEARCH("COO",C1614))+ISNUMBER(SEARCH("CFO",C1614))+ISNUMBER(SEARCH("CTO",C1614))+ISNUMBER(SEARCH("Chief Operating",C1614))+ISNUMBER(SEARCH("Chief Financial",C1614))+ISNUMBER(SEARCH("Gerente General",C1614))+ISNUMBER(SEARCH("General Manager",C1614))&gt;0,'Configuración'!$B$34,'Configuración'!$B$35)))))</f>
        <v>12</v>
      </c>
      <c r="V1614" s="38">
        <f>IF(B1614="","",IF(K1614="Sí",'Configuración'!$B$5,0)+IF(L1614="Semanal",'Configuración'!$B$6,IF(L1614="Mensual",'Configuración'!$B$7,0))+IF(M1614="Sí",'Configuración'!$B$8,0)+IF(N1614="Sí",'Configuración'!$B$9,0)+IF(O1614="Sí",'Configuración'!$B$10,0)+IF(P1614="Sí",'Configuración'!$B$11,0)+IF(Q1614="Sí",'Configuración'!$B$12,0)+S1614+T1614+U1614)</f>
        <v>20</v>
      </c>
      <c r="W1614" s="39" t="str">
        <f>IF(B1614="","",IF(V1614&gt;='Configuración'!$B$19,"A",IF(V1614&gt;='Configuración'!$B$20,"B",IF(V1614&gt;='Configuración'!$B$21,"C","Descarte"))))</f>
        <v>Descarte</v>
      </c>
    </row>
    <row r="1615" ht="15.75" customHeight="1">
      <c r="A1615" s="34">
        <f t="shared" si="1"/>
        <v>1613</v>
      </c>
      <c r="B1615" s="29" t="s">
        <v>4723</v>
      </c>
      <c r="C1615" s="29" t="s">
        <v>9060</v>
      </c>
      <c r="D1615" s="29" t="s">
        <v>9061</v>
      </c>
      <c r="E1615" s="29" t="s">
        <v>9062</v>
      </c>
      <c r="F1615" s="30" t="s">
        <v>9063</v>
      </c>
      <c r="G1615" s="30" t="s">
        <v>9064</v>
      </c>
      <c r="H1615" s="42" t="s">
        <v>9065</v>
      </c>
      <c r="I1615" s="29" t="s">
        <v>127</v>
      </c>
      <c r="J1615" s="31">
        <v>37.0</v>
      </c>
      <c r="K1615" s="35"/>
      <c r="L1615" s="35"/>
      <c r="M1615" s="35"/>
      <c r="N1615" s="35"/>
      <c r="O1615" s="35"/>
      <c r="P1615" s="35"/>
      <c r="Q1615" s="35"/>
      <c r="R1615" s="35"/>
      <c r="S1615" s="37">
        <f>IF(B1615="","",IF(ISNUMBER(J1615),IF(J1615&lt;=10,'Configuración'!$B$23,IF(J1615&lt;=50,'Configuración'!$B$24,IF(J1615&lt;=200,'Configuración'!$B$25,0))),0))</f>
        <v>4</v>
      </c>
      <c r="T1615" s="37">
        <f>IF(B1615="","",IF(ISNUMBER(SEARCH("information technology",I1615))+ISNUMBER(SEARCH("software",I1615))+ISNUMBER(SEARCH("internet",I1615))+ISNUMBER(SEARCH("computer",I1615))+ISNUMBER(SEARCH("saas",I1615))+ISNUMBER(SEARCH("fintech",I1615))+ISNUMBER(SEARCH("information services",I1615))+ISNUMBER(SEARCH("telecommunications",I1615))&gt;0,'Configuración'!$B$27,'Configuración'!$B$28))</f>
        <v>12</v>
      </c>
      <c r="U1615" s="25">
        <f>IF(B1615="","",IF(ISNUMBER(SEARCH("CEO",C1615))+ISNUMBER(SEARCH("Founder",C1615))+ISNUMBER(SEARCH("Owner",C1615))+ISNUMBER(SEARCH("Dueño",C1615))+ISNUMBER(SEARCH("Director General",C1615))+ISNUMBER(SEARCH("Presidente",C1615))+ISNUMBER(SEARCH("President",C1615))&gt;0,'Configuración'!$B$31,IF(ISNUMBER(SEARCH("CMO",C1615))+ISNUMBER(SEARCH("Chief Marketing",C1615))+ISNUMBER(SEARCH("VP Marketing",C1615))+ISNUMBER(SEARCH("Director de Marketing",C1615))+ISNUMBER(SEARCH("Director Marketing",C1615))+ISNUMBER(SEARCH("Head of Marketing",C1615))+ISNUMBER(SEARCH("Head Marketing",C1615))&gt;0,'Configuración'!$B$32,IF(ISNUMBER(SEARCH("Marketing Manager",C1615))+ISNUMBER(SEARCH("Gerente de Marketing",C1615))+ISNUMBER(SEARCH("Growth Manager",C1615))+ISNUMBER(SEARCH("Demand Gen",C1615))+ISNUMBER(SEARCH("Marketing Lead",C1615))&gt;0,'Configuración'!$B$33,IF(ISNUMBER(SEARCH("COO",C1615))+ISNUMBER(SEARCH("CFO",C1615))+ISNUMBER(SEARCH("CTO",C1615))+ISNUMBER(SEARCH("Chief Operating",C1615))+ISNUMBER(SEARCH("Chief Financial",C1615))+ISNUMBER(SEARCH("Gerente General",C1615))+ISNUMBER(SEARCH("General Manager",C1615))&gt;0,'Configuración'!$B$34,'Configuración'!$B$35)))))</f>
        <v>4</v>
      </c>
      <c r="V1615" s="38">
        <f>IF(B1615="","",IF(K1615="Sí",'Configuración'!$B$5,0)+IF(L1615="Semanal",'Configuración'!$B$6,IF(L1615="Mensual",'Configuración'!$B$7,0))+IF(M1615="Sí",'Configuración'!$B$8,0)+IF(N1615="Sí",'Configuración'!$B$9,0)+IF(O1615="Sí",'Configuración'!$B$10,0)+IF(P1615="Sí",'Configuración'!$B$11,0)+IF(Q1615="Sí",'Configuración'!$B$12,0)+S1615+T1615+U1615)</f>
        <v>20</v>
      </c>
      <c r="W1615" s="39" t="str">
        <f>IF(B1615="","",IF(V1615&gt;='Configuración'!$B$19,"A",IF(V1615&gt;='Configuración'!$B$20,"B",IF(V1615&gt;='Configuración'!$B$21,"C","Descarte"))))</f>
        <v>Descarte</v>
      </c>
    </row>
    <row r="1616" ht="15.75" customHeight="1">
      <c r="A1616" s="34">
        <f t="shared" si="1"/>
        <v>1614</v>
      </c>
      <c r="B1616" s="29" t="s">
        <v>584</v>
      </c>
      <c r="C1616" s="29" t="s">
        <v>202</v>
      </c>
      <c r="D1616" s="29" t="s">
        <v>9066</v>
      </c>
      <c r="E1616" s="29" t="s">
        <v>9067</v>
      </c>
      <c r="F1616" s="30" t="s">
        <v>9068</v>
      </c>
      <c r="G1616" s="30" t="s">
        <v>9069</v>
      </c>
      <c r="H1616" s="42" t="s">
        <v>9070</v>
      </c>
      <c r="I1616" s="29" t="s">
        <v>616</v>
      </c>
      <c r="J1616" s="31">
        <v>1.0</v>
      </c>
      <c r="K1616" s="35"/>
      <c r="L1616" s="35"/>
      <c r="M1616" s="35"/>
      <c r="N1616" s="35"/>
      <c r="O1616" s="35"/>
      <c r="P1616" s="35"/>
      <c r="Q1616" s="35"/>
      <c r="R1616" s="35"/>
      <c r="S1616" s="37">
        <f>IF(B1616="","",IF(ISNUMBER(J1616),IF(J1616&lt;=10,'Configuración'!$B$23,IF(J1616&lt;=50,'Configuración'!$B$24,IF(J1616&lt;=200,'Configuración'!$B$25,0))),0))</f>
        <v>12</v>
      </c>
      <c r="T1616" s="37">
        <f>IF(B1616="","",IF(ISNUMBER(SEARCH("information technology",I1616))+ISNUMBER(SEARCH("software",I1616))+ISNUMBER(SEARCH("internet",I1616))+ISNUMBER(SEARCH("computer",I1616))+ISNUMBER(SEARCH("saas",I1616))+ISNUMBER(SEARCH("fintech",I1616))+ISNUMBER(SEARCH("information services",I1616))+ISNUMBER(SEARCH("telecommunications",I1616))&gt;0,'Configuración'!$B$27,'Configuración'!$B$28))</f>
        <v>4</v>
      </c>
      <c r="U1616" s="25">
        <f>IF(B1616="","",IF(ISNUMBER(SEARCH("CEO",C1616))+ISNUMBER(SEARCH("Founder",C1616))+ISNUMBER(SEARCH("Owner",C1616))+ISNUMBER(SEARCH("Dueño",C1616))+ISNUMBER(SEARCH("Director General",C1616))+ISNUMBER(SEARCH("Presidente",C1616))+ISNUMBER(SEARCH("President",C1616))&gt;0,'Configuración'!$B$31,IF(ISNUMBER(SEARCH("CMO",C1616))+ISNUMBER(SEARCH("Chief Marketing",C1616))+ISNUMBER(SEARCH("VP Marketing",C1616))+ISNUMBER(SEARCH("Director de Marketing",C1616))+ISNUMBER(SEARCH("Director Marketing",C1616))+ISNUMBER(SEARCH("Head of Marketing",C1616))+ISNUMBER(SEARCH("Head Marketing",C1616))&gt;0,'Configuración'!$B$32,IF(ISNUMBER(SEARCH("Marketing Manager",C1616))+ISNUMBER(SEARCH("Gerente de Marketing",C1616))+ISNUMBER(SEARCH("Growth Manager",C1616))+ISNUMBER(SEARCH("Demand Gen",C1616))+ISNUMBER(SEARCH("Marketing Lead",C1616))&gt;0,'Configuración'!$B$33,IF(ISNUMBER(SEARCH("COO",C1616))+ISNUMBER(SEARCH("CFO",C1616))+ISNUMBER(SEARCH("CTO",C1616))+ISNUMBER(SEARCH("Chief Operating",C1616))+ISNUMBER(SEARCH("Chief Financial",C1616))+ISNUMBER(SEARCH("Gerente General",C1616))+ISNUMBER(SEARCH("General Manager",C1616))&gt;0,'Configuración'!$B$34,'Configuración'!$B$35)))))</f>
        <v>12</v>
      </c>
      <c r="V1616" s="38">
        <f>IF(B1616="","",IF(K1616="Sí",'Configuración'!$B$5,0)+IF(L1616="Semanal",'Configuración'!$B$6,IF(L1616="Mensual",'Configuración'!$B$7,0))+IF(M1616="Sí",'Configuración'!$B$8,0)+IF(N1616="Sí",'Configuración'!$B$9,0)+IF(O1616="Sí",'Configuración'!$B$10,0)+IF(P1616="Sí",'Configuración'!$B$11,0)+IF(Q1616="Sí",'Configuración'!$B$12,0)+S1616+T1616+U1616)</f>
        <v>28</v>
      </c>
      <c r="W1616" s="39" t="str">
        <f>IF(B1616="","",IF(V1616&gt;='Configuración'!$B$19,"A",IF(V1616&gt;='Configuración'!$B$20,"B",IF(V1616&gt;='Configuración'!$B$21,"C","Descarte"))))</f>
        <v>C</v>
      </c>
    </row>
    <row r="1617" ht="15.75" customHeight="1">
      <c r="A1617" s="34">
        <f t="shared" si="1"/>
        <v>1615</v>
      </c>
      <c r="B1617" s="29" t="s">
        <v>4462</v>
      </c>
      <c r="C1617" s="29" t="s">
        <v>934</v>
      </c>
      <c r="D1617" s="29" t="s">
        <v>9071</v>
      </c>
      <c r="E1617" s="29" t="s">
        <v>9072</v>
      </c>
      <c r="F1617" s="30" t="s">
        <v>9073</v>
      </c>
      <c r="G1617" s="30" t="s">
        <v>9074</v>
      </c>
      <c r="H1617" s="42" t="s">
        <v>9075</v>
      </c>
      <c r="I1617" s="29" t="s">
        <v>337</v>
      </c>
      <c r="J1617" s="31">
        <v>30.0</v>
      </c>
      <c r="K1617" s="35"/>
      <c r="L1617" s="35"/>
      <c r="M1617" s="35"/>
      <c r="N1617" s="35"/>
      <c r="O1617" s="35"/>
      <c r="P1617" s="35"/>
      <c r="Q1617" s="35"/>
      <c r="R1617" s="35"/>
      <c r="S1617" s="37">
        <f>IF(B1617="","",IF(ISNUMBER(J1617),IF(J1617&lt;=10,'Configuración'!$B$23,IF(J1617&lt;=50,'Configuración'!$B$24,IF(J1617&lt;=200,'Configuración'!$B$25,0))),0))</f>
        <v>4</v>
      </c>
      <c r="T1617" s="37">
        <f>IF(B1617="","",IF(ISNUMBER(SEARCH("information technology",I1617))+ISNUMBER(SEARCH("software",I1617))+ISNUMBER(SEARCH("internet",I1617))+ISNUMBER(SEARCH("computer",I1617))+ISNUMBER(SEARCH("saas",I1617))+ISNUMBER(SEARCH("fintech",I1617))+ISNUMBER(SEARCH("information services",I1617))+ISNUMBER(SEARCH("telecommunications",I1617))&gt;0,'Configuración'!$B$27,'Configuración'!$B$28))</f>
        <v>4</v>
      </c>
      <c r="U1617" s="25">
        <f>IF(B1617="","",IF(ISNUMBER(SEARCH("CEO",C1617))+ISNUMBER(SEARCH("Founder",C1617))+ISNUMBER(SEARCH("Owner",C1617))+ISNUMBER(SEARCH("Dueño",C1617))+ISNUMBER(SEARCH("Director General",C1617))+ISNUMBER(SEARCH("Presidente",C1617))+ISNUMBER(SEARCH("President",C1617))&gt;0,'Configuración'!$B$31,IF(ISNUMBER(SEARCH("CMO",C1617))+ISNUMBER(SEARCH("Chief Marketing",C1617))+ISNUMBER(SEARCH("VP Marketing",C1617))+ISNUMBER(SEARCH("Director de Marketing",C1617))+ISNUMBER(SEARCH("Director Marketing",C1617))+ISNUMBER(SEARCH("Head of Marketing",C1617))+ISNUMBER(SEARCH("Head Marketing",C1617))&gt;0,'Configuración'!$B$32,IF(ISNUMBER(SEARCH("Marketing Manager",C1617))+ISNUMBER(SEARCH("Gerente de Marketing",C1617))+ISNUMBER(SEARCH("Growth Manager",C1617))+ISNUMBER(SEARCH("Demand Gen",C1617))+ISNUMBER(SEARCH("Marketing Lead",C1617))&gt;0,'Configuración'!$B$33,IF(ISNUMBER(SEARCH("COO",C1617))+ISNUMBER(SEARCH("CFO",C1617))+ISNUMBER(SEARCH("CTO",C1617))+ISNUMBER(SEARCH("Chief Operating",C1617))+ISNUMBER(SEARCH("Chief Financial",C1617))+ISNUMBER(SEARCH("Gerente General",C1617))+ISNUMBER(SEARCH("General Manager",C1617))&gt;0,'Configuración'!$B$34,'Configuración'!$B$35)))))</f>
        <v>12</v>
      </c>
      <c r="V1617" s="38">
        <f>IF(B1617="","",IF(K1617="Sí",'Configuración'!$B$5,0)+IF(L1617="Semanal",'Configuración'!$B$6,IF(L1617="Mensual",'Configuración'!$B$7,0))+IF(M1617="Sí",'Configuración'!$B$8,0)+IF(N1617="Sí",'Configuración'!$B$9,0)+IF(O1617="Sí",'Configuración'!$B$10,0)+IF(P1617="Sí",'Configuración'!$B$11,0)+IF(Q1617="Sí",'Configuración'!$B$12,0)+S1617+T1617+U1617)</f>
        <v>20</v>
      </c>
      <c r="W1617" s="39" t="str">
        <f>IF(B1617="","",IF(V1617&gt;='Configuración'!$B$19,"A",IF(V1617&gt;='Configuración'!$B$20,"B",IF(V1617&gt;='Configuración'!$B$21,"C","Descarte"))))</f>
        <v>Descarte</v>
      </c>
    </row>
    <row r="1618" ht="15.75" customHeight="1">
      <c r="A1618" s="34">
        <f t="shared" si="1"/>
        <v>1616</v>
      </c>
      <c r="B1618" s="29" t="s">
        <v>9076</v>
      </c>
      <c r="C1618" s="29" t="s">
        <v>9077</v>
      </c>
      <c r="D1618" s="29" t="s">
        <v>9078</v>
      </c>
      <c r="E1618" s="29" t="s">
        <v>9079</v>
      </c>
      <c r="F1618" s="30" t="s">
        <v>9080</v>
      </c>
      <c r="G1618" s="30" t="s">
        <v>9081</v>
      </c>
      <c r="H1618" s="42" t="s">
        <v>9082</v>
      </c>
      <c r="I1618" s="29" t="s">
        <v>1446</v>
      </c>
      <c r="J1618" s="31">
        <v>16.0</v>
      </c>
      <c r="K1618" s="35"/>
      <c r="L1618" s="35"/>
      <c r="M1618" s="35"/>
      <c r="N1618" s="35"/>
      <c r="O1618" s="35"/>
      <c r="P1618" s="35"/>
      <c r="Q1618" s="35"/>
      <c r="R1618" s="35"/>
      <c r="S1618" s="37">
        <f>IF(B1618="","",IF(ISNUMBER(J1618),IF(J1618&lt;=10,'Configuración'!$B$23,IF(J1618&lt;=50,'Configuración'!$B$24,IF(J1618&lt;=200,'Configuración'!$B$25,0))),0))</f>
        <v>4</v>
      </c>
      <c r="T1618" s="37">
        <f>IF(B1618="","",IF(ISNUMBER(SEARCH("information technology",I1618))+ISNUMBER(SEARCH("software",I1618))+ISNUMBER(SEARCH("internet",I1618))+ISNUMBER(SEARCH("computer",I1618))+ISNUMBER(SEARCH("saas",I1618))+ISNUMBER(SEARCH("fintech",I1618))+ISNUMBER(SEARCH("information services",I1618))+ISNUMBER(SEARCH("telecommunications",I1618))&gt;0,'Configuración'!$B$27,'Configuración'!$B$28))</f>
        <v>4</v>
      </c>
      <c r="U1618" s="25">
        <f>IF(B1618="","",IF(ISNUMBER(SEARCH("CEO",C1618))+ISNUMBER(SEARCH("Founder",C1618))+ISNUMBER(SEARCH("Owner",C1618))+ISNUMBER(SEARCH("Dueño",C1618))+ISNUMBER(SEARCH("Director General",C1618))+ISNUMBER(SEARCH("Presidente",C1618))+ISNUMBER(SEARCH("President",C1618))&gt;0,'Configuración'!$B$31,IF(ISNUMBER(SEARCH("CMO",C1618))+ISNUMBER(SEARCH("Chief Marketing",C1618))+ISNUMBER(SEARCH("VP Marketing",C1618))+ISNUMBER(SEARCH("Director de Marketing",C1618))+ISNUMBER(SEARCH("Director Marketing",C1618))+ISNUMBER(SEARCH("Head of Marketing",C1618))+ISNUMBER(SEARCH("Head Marketing",C1618))&gt;0,'Configuración'!$B$32,IF(ISNUMBER(SEARCH("Marketing Manager",C1618))+ISNUMBER(SEARCH("Gerente de Marketing",C1618))+ISNUMBER(SEARCH("Growth Manager",C1618))+ISNUMBER(SEARCH("Demand Gen",C1618))+ISNUMBER(SEARCH("Marketing Lead",C1618))&gt;0,'Configuración'!$B$33,IF(ISNUMBER(SEARCH("COO",C1618))+ISNUMBER(SEARCH("CFO",C1618))+ISNUMBER(SEARCH("CTO",C1618))+ISNUMBER(SEARCH("Chief Operating",C1618))+ISNUMBER(SEARCH("Chief Financial",C1618))+ISNUMBER(SEARCH("Gerente General",C1618))+ISNUMBER(SEARCH("General Manager",C1618))&gt;0,'Configuración'!$B$34,'Configuración'!$B$35)))))</f>
        <v>12</v>
      </c>
      <c r="V1618" s="38">
        <f>IF(B1618="","",IF(K1618="Sí",'Configuración'!$B$5,0)+IF(L1618="Semanal",'Configuración'!$B$6,IF(L1618="Mensual",'Configuración'!$B$7,0))+IF(M1618="Sí",'Configuración'!$B$8,0)+IF(N1618="Sí",'Configuración'!$B$9,0)+IF(O1618="Sí",'Configuración'!$B$10,0)+IF(P1618="Sí",'Configuración'!$B$11,0)+IF(Q1618="Sí",'Configuración'!$B$12,0)+S1618+T1618+U1618)</f>
        <v>20</v>
      </c>
      <c r="W1618" s="39" t="str">
        <f>IF(B1618="","",IF(V1618&gt;='Configuración'!$B$19,"A",IF(V1618&gt;='Configuración'!$B$20,"B",IF(V1618&gt;='Configuración'!$B$21,"C","Descarte"))))</f>
        <v>Descarte</v>
      </c>
    </row>
    <row r="1619" ht="15.75" customHeight="1">
      <c r="A1619" s="34">
        <f t="shared" si="1"/>
        <v>1617</v>
      </c>
      <c r="B1619" s="29" t="s">
        <v>9083</v>
      </c>
      <c r="C1619" s="29" t="s">
        <v>121</v>
      </c>
      <c r="D1619" s="29" t="s">
        <v>9084</v>
      </c>
      <c r="E1619" s="29" t="s">
        <v>9085</v>
      </c>
      <c r="F1619" s="30" t="s">
        <v>9086</v>
      </c>
      <c r="G1619" s="30" t="s">
        <v>9087</v>
      </c>
      <c r="H1619" s="42" t="s">
        <v>9088</v>
      </c>
      <c r="I1619" s="29" t="s">
        <v>428</v>
      </c>
      <c r="J1619" s="31">
        <v>8.0</v>
      </c>
      <c r="K1619" s="35"/>
      <c r="L1619" s="35"/>
      <c r="M1619" s="35"/>
      <c r="N1619" s="35"/>
      <c r="O1619" s="35"/>
      <c r="P1619" s="35"/>
      <c r="Q1619" s="35"/>
      <c r="R1619" s="35"/>
      <c r="S1619" s="37">
        <f>IF(B1619="","",IF(ISNUMBER(J1619),IF(J1619&lt;=10,'Configuración'!$B$23,IF(J1619&lt;=50,'Configuración'!$B$24,IF(J1619&lt;=200,'Configuración'!$B$25,0))),0))</f>
        <v>12</v>
      </c>
      <c r="T1619" s="37">
        <f>IF(B1619="","",IF(ISNUMBER(SEARCH("information technology",I1619))+ISNUMBER(SEARCH("software",I1619))+ISNUMBER(SEARCH("internet",I1619))+ISNUMBER(SEARCH("computer",I1619))+ISNUMBER(SEARCH("saas",I1619))+ISNUMBER(SEARCH("fintech",I1619))+ISNUMBER(SEARCH("information services",I1619))+ISNUMBER(SEARCH("telecommunications",I1619))&gt;0,'Configuración'!$B$27,'Configuración'!$B$28))</f>
        <v>12</v>
      </c>
      <c r="U1619" s="25">
        <f>IF(B1619="","",IF(ISNUMBER(SEARCH("CEO",C1619))+ISNUMBER(SEARCH("Founder",C1619))+ISNUMBER(SEARCH("Owner",C1619))+ISNUMBER(SEARCH("Dueño",C1619))+ISNUMBER(SEARCH("Director General",C1619))+ISNUMBER(SEARCH("Presidente",C1619))+ISNUMBER(SEARCH("President",C1619))&gt;0,'Configuración'!$B$31,IF(ISNUMBER(SEARCH("CMO",C1619))+ISNUMBER(SEARCH("Chief Marketing",C1619))+ISNUMBER(SEARCH("VP Marketing",C1619))+ISNUMBER(SEARCH("Director de Marketing",C1619))+ISNUMBER(SEARCH("Director Marketing",C1619))+ISNUMBER(SEARCH("Head of Marketing",C1619))+ISNUMBER(SEARCH("Head Marketing",C1619))&gt;0,'Configuración'!$B$32,IF(ISNUMBER(SEARCH("Marketing Manager",C1619))+ISNUMBER(SEARCH("Gerente de Marketing",C1619))+ISNUMBER(SEARCH("Growth Manager",C1619))+ISNUMBER(SEARCH("Demand Gen",C1619))+ISNUMBER(SEARCH("Marketing Lead",C1619))&gt;0,'Configuración'!$B$33,IF(ISNUMBER(SEARCH("COO",C1619))+ISNUMBER(SEARCH("CFO",C1619))+ISNUMBER(SEARCH("CTO",C1619))+ISNUMBER(SEARCH("Chief Operating",C1619))+ISNUMBER(SEARCH("Chief Financial",C1619))+ISNUMBER(SEARCH("Gerente General",C1619))+ISNUMBER(SEARCH("General Manager",C1619))&gt;0,'Configuración'!$B$34,'Configuración'!$B$35)))))</f>
        <v>12</v>
      </c>
      <c r="V1619" s="38">
        <f>IF(B1619="","",IF(K1619="Sí",'Configuración'!$B$5,0)+IF(L1619="Semanal",'Configuración'!$B$6,IF(L1619="Mensual",'Configuración'!$B$7,0))+IF(M1619="Sí",'Configuración'!$B$8,0)+IF(N1619="Sí",'Configuración'!$B$9,0)+IF(O1619="Sí",'Configuración'!$B$10,0)+IF(P1619="Sí",'Configuración'!$B$11,0)+IF(Q1619="Sí",'Configuración'!$B$12,0)+S1619+T1619+U1619)</f>
        <v>36</v>
      </c>
      <c r="W1619" s="39" t="str">
        <f>IF(B1619="","",IF(V1619&gt;='Configuración'!$B$19,"A",IF(V1619&gt;='Configuración'!$B$20,"B",IF(V1619&gt;='Configuración'!$B$21,"C","Descarte"))))</f>
        <v>C</v>
      </c>
    </row>
    <row r="1620" ht="15.75" customHeight="1">
      <c r="A1620" s="34">
        <f t="shared" si="1"/>
        <v>1618</v>
      </c>
      <c r="B1620" s="29" t="s">
        <v>174</v>
      </c>
      <c r="C1620" s="29" t="s">
        <v>622</v>
      </c>
      <c r="D1620" s="29" t="s">
        <v>9089</v>
      </c>
      <c r="E1620" s="29" t="s">
        <v>9090</v>
      </c>
      <c r="F1620" s="30" t="s">
        <v>9091</v>
      </c>
      <c r="G1620" s="30" t="s">
        <v>9092</v>
      </c>
      <c r="H1620" s="42" t="s">
        <v>9093</v>
      </c>
      <c r="I1620" s="29" t="s">
        <v>116</v>
      </c>
      <c r="J1620" s="31">
        <v>2.0</v>
      </c>
      <c r="K1620" s="35"/>
      <c r="L1620" s="35"/>
      <c r="M1620" s="35"/>
      <c r="N1620" s="35"/>
      <c r="O1620" s="35"/>
      <c r="P1620" s="35"/>
      <c r="Q1620" s="35"/>
      <c r="R1620" s="35"/>
      <c r="S1620" s="37">
        <f>IF(B1620="","",IF(ISNUMBER(J1620),IF(J1620&lt;=10,'Configuración'!$B$23,IF(J1620&lt;=50,'Configuración'!$B$24,IF(J1620&lt;=200,'Configuración'!$B$25,0))),0))</f>
        <v>12</v>
      </c>
      <c r="T1620" s="37">
        <f>IF(B1620="","",IF(ISNUMBER(SEARCH("information technology",I1620))+ISNUMBER(SEARCH("software",I1620))+ISNUMBER(SEARCH("internet",I1620))+ISNUMBER(SEARCH("computer",I1620))+ISNUMBER(SEARCH("saas",I1620))+ISNUMBER(SEARCH("fintech",I1620))+ISNUMBER(SEARCH("information services",I1620))+ISNUMBER(SEARCH("telecommunications",I1620))&gt;0,'Configuración'!$B$27,'Configuración'!$B$28))</f>
        <v>4</v>
      </c>
      <c r="U1620" s="25">
        <f>IF(B1620="","",IF(ISNUMBER(SEARCH("CEO",C1620))+ISNUMBER(SEARCH("Founder",C1620))+ISNUMBER(SEARCH("Owner",C1620))+ISNUMBER(SEARCH("Dueño",C1620))+ISNUMBER(SEARCH("Director General",C1620))+ISNUMBER(SEARCH("Presidente",C1620))+ISNUMBER(SEARCH("President",C1620))&gt;0,'Configuración'!$B$31,IF(ISNUMBER(SEARCH("CMO",C1620))+ISNUMBER(SEARCH("Chief Marketing",C1620))+ISNUMBER(SEARCH("VP Marketing",C1620))+ISNUMBER(SEARCH("Director de Marketing",C1620))+ISNUMBER(SEARCH("Director Marketing",C1620))+ISNUMBER(SEARCH("Head of Marketing",C1620))+ISNUMBER(SEARCH("Head Marketing",C1620))&gt;0,'Configuración'!$B$32,IF(ISNUMBER(SEARCH("Marketing Manager",C1620))+ISNUMBER(SEARCH("Gerente de Marketing",C1620))+ISNUMBER(SEARCH("Growth Manager",C1620))+ISNUMBER(SEARCH("Demand Gen",C1620))+ISNUMBER(SEARCH("Marketing Lead",C1620))&gt;0,'Configuración'!$B$33,IF(ISNUMBER(SEARCH("COO",C1620))+ISNUMBER(SEARCH("CFO",C1620))+ISNUMBER(SEARCH("CTO",C1620))+ISNUMBER(SEARCH("Chief Operating",C1620))+ISNUMBER(SEARCH("Chief Financial",C1620))+ISNUMBER(SEARCH("Gerente General",C1620))+ISNUMBER(SEARCH("General Manager",C1620))&gt;0,'Configuración'!$B$34,'Configuración'!$B$35)))))</f>
        <v>12</v>
      </c>
      <c r="V1620" s="38">
        <f>IF(B1620="","",IF(K1620="Sí",'Configuración'!$B$5,0)+IF(L1620="Semanal",'Configuración'!$B$6,IF(L1620="Mensual",'Configuración'!$B$7,0))+IF(M1620="Sí",'Configuración'!$B$8,0)+IF(N1620="Sí",'Configuración'!$B$9,0)+IF(O1620="Sí",'Configuración'!$B$10,0)+IF(P1620="Sí",'Configuración'!$B$11,0)+IF(Q1620="Sí",'Configuración'!$B$12,0)+S1620+T1620+U1620)</f>
        <v>28</v>
      </c>
      <c r="W1620" s="39" t="str">
        <f>IF(B1620="","",IF(V1620&gt;='Configuración'!$B$19,"A",IF(V1620&gt;='Configuración'!$B$20,"B",IF(V1620&gt;='Configuración'!$B$21,"C","Descarte"))))</f>
        <v>C</v>
      </c>
    </row>
    <row r="1621" ht="15.75" customHeight="1">
      <c r="A1621" s="34">
        <f t="shared" si="1"/>
        <v>1619</v>
      </c>
      <c r="B1621" s="29" t="s">
        <v>174</v>
      </c>
      <c r="C1621" s="29" t="s">
        <v>9094</v>
      </c>
      <c r="D1621" s="29" t="s">
        <v>9095</v>
      </c>
      <c r="E1621" s="29" t="s">
        <v>9096</v>
      </c>
      <c r="F1621" s="30" t="s">
        <v>9097</v>
      </c>
      <c r="G1621" s="30" t="s">
        <v>9098</v>
      </c>
      <c r="H1621" s="42" t="s">
        <v>9099</v>
      </c>
      <c r="I1621" s="29" t="s">
        <v>127</v>
      </c>
      <c r="J1621" s="31">
        <v>11.0</v>
      </c>
      <c r="K1621" s="35"/>
      <c r="L1621" s="35"/>
      <c r="M1621" s="35"/>
      <c r="N1621" s="35"/>
      <c r="O1621" s="35"/>
      <c r="P1621" s="35"/>
      <c r="Q1621" s="35"/>
      <c r="R1621" s="35"/>
      <c r="S1621" s="37">
        <f>IF(B1621="","",IF(ISNUMBER(J1621),IF(J1621&lt;=10,'Configuración'!$B$23,IF(J1621&lt;=50,'Configuración'!$B$24,IF(J1621&lt;=200,'Configuración'!$B$25,0))),0))</f>
        <v>4</v>
      </c>
      <c r="T1621" s="37">
        <f>IF(B1621="","",IF(ISNUMBER(SEARCH("information technology",I1621))+ISNUMBER(SEARCH("software",I1621))+ISNUMBER(SEARCH("internet",I1621))+ISNUMBER(SEARCH("computer",I1621))+ISNUMBER(SEARCH("saas",I1621))+ISNUMBER(SEARCH("fintech",I1621))+ISNUMBER(SEARCH("information services",I1621))+ISNUMBER(SEARCH("telecommunications",I1621))&gt;0,'Configuración'!$B$27,'Configuración'!$B$28))</f>
        <v>12</v>
      </c>
      <c r="U1621" s="25">
        <f>IF(B1621="","",IF(ISNUMBER(SEARCH("CEO",C1621))+ISNUMBER(SEARCH("Founder",C1621))+ISNUMBER(SEARCH("Owner",C1621))+ISNUMBER(SEARCH("Dueño",C1621))+ISNUMBER(SEARCH("Director General",C1621))+ISNUMBER(SEARCH("Presidente",C1621))+ISNUMBER(SEARCH("President",C1621))&gt;0,'Configuración'!$B$31,IF(ISNUMBER(SEARCH("CMO",C1621))+ISNUMBER(SEARCH("Chief Marketing",C1621))+ISNUMBER(SEARCH("VP Marketing",C1621))+ISNUMBER(SEARCH("Director de Marketing",C1621))+ISNUMBER(SEARCH("Director Marketing",C1621))+ISNUMBER(SEARCH("Head of Marketing",C1621))+ISNUMBER(SEARCH("Head Marketing",C1621))&gt;0,'Configuración'!$B$32,IF(ISNUMBER(SEARCH("Marketing Manager",C1621))+ISNUMBER(SEARCH("Gerente de Marketing",C1621))+ISNUMBER(SEARCH("Growth Manager",C1621))+ISNUMBER(SEARCH("Demand Gen",C1621))+ISNUMBER(SEARCH("Marketing Lead",C1621))&gt;0,'Configuración'!$B$33,IF(ISNUMBER(SEARCH("COO",C1621))+ISNUMBER(SEARCH("CFO",C1621))+ISNUMBER(SEARCH("CTO",C1621))+ISNUMBER(SEARCH("Chief Operating",C1621))+ISNUMBER(SEARCH("Chief Financial",C1621))+ISNUMBER(SEARCH("Gerente General",C1621))+ISNUMBER(SEARCH("General Manager",C1621))&gt;0,'Configuración'!$B$34,'Configuración'!$B$35)))))</f>
        <v>12</v>
      </c>
      <c r="V1621" s="38">
        <f>IF(B1621="","",IF(K1621="Sí",'Configuración'!$B$5,0)+IF(L1621="Semanal",'Configuración'!$B$6,IF(L1621="Mensual",'Configuración'!$B$7,0))+IF(M1621="Sí",'Configuración'!$B$8,0)+IF(N1621="Sí",'Configuración'!$B$9,0)+IF(O1621="Sí",'Configuración'!$B$10,0)+IF(P1621="Sí",'Configuración'!$B$11,0)+IF(Q1621="Sí",'Configuración'!$B$12,0)+S1621+T1621+U1621)</f>
        <v>28</v>
      </c>
      <c r="W1621" s="39" t="str">
        <f>IF(B1621="","",IF(V1621&gt;='Configuración'!$B$19,"A",IF(V1621&gt;='Configuración'!$B$20,"B",IF(V1621&gt;='Configuración'!$B$21,"C","Descarte"))))</f>
        <v>C</v>
      </c>
    </row>
    <row r="1622" ht="15.75" customHeight="1">
      <c r="A1622" s="34">
        <f t="shared" si="1"/>
        <v>1620</v>
      </c>
      <c r="B1622" s="29" t="s">
        <v>223</v>
      </c>
      <c r="C1622" s="29" t="s">
        <v>9100</v>
      </c>
      <c r="D1622" s="29" t="s">
        <v>9101</v>
      </c>
      <c r="E1622" s="29" t="s">
        <v>9102</v>
      </c>
      <c r="F1622" s="30" t="s">
        <v>9103</v>
      </c>
      <c r="G1622" s="30" t="s">
        <v>9104</v>
      </c>
      <c r="H1622" s="42" t="s">
        <v>9105</v>
      </c>
      <c r="I1622" s="29" t="s">
        <v>127</v>
      </c>
      <c r="J1622" s="31">
        <v>45.0</v>
      </c>
      <c r="K1622" s="35"/>
      <c r="L1622" s="35"/>
      <c r="M1622" s="35"/>
      <c r="N1622" s="35"/>
      <c r="O1622" s="35"/>
      <c r="P1622" s="35"/>
      <c r="Q1622" s="35"/>
      <c r="R1622" s="35"/>
      <c r="S1622" s="37">
        <f>IF(B1622="","",IF(ISNUMBER(J1622),IF(J1622&lt;=10,'Configuración'!$B$23,IF(J1622&lt;=50,'Configuración'!$B$24,IF(J1622&lt;=200,'Configuración'!$B$25,0))),0))</f>
        <v>4</v>
      </c>
      <c r="T1622" s="37">
        <f>IF(B1622="","",IF(ISNUMBER(SEARCH("information technology",I1622))+ISNUMBER(SEARCH("software",I1622))+ISNUMBER(SEARCH("internet",I1622))+ISNUMBER(SEARCH("computer",I1622))+ISNUMBER(SEARCH("saas",I1622))+ISNUMBER(SEARCH("fintech",I1622))+ISNUMBER(SEARCH("information services",I1622))+ISNUMBER(SEARCH("telecommunications",I1622))&gt;0,'Configuración'!$B$27,'Configuración'!$B$28))</f>
        <v>12</v>
      </c>
      <c r="U1622" s="25">
        <f>IF(B1622="","",IF(ISNUMBER(SEARCH("CEO",C1622))+ISNUMBER(SEARCH("Founder",C1622))+ISNUMBER(SEARCH("Owner",C1622))+ISNUMBER(SEARCH("Dueño",C1622))+ISNUMBER(SEARCH("Director General",C1622))+ISNUMBER(SEARCH("Presidente",C1622))+ISNUMBER(SEARCH("President",C1622))&gt;0,'Configuración'!$B$31,IF(ISNUMBER(SEARCH("CMO",C1622))+ISNUMBER(SEARCH("Chief Marketing",C1622))+ISNUMBER(SEARCH("VP Marketing",C1622))+ISNUMBER(SEARCH("Director de Marketing",C1622))+ISNUMBER(SEARCH("Director Marketing",C1622))+ISNUMBER(SEARCH("Head of Marketing",C1622))+ISNUMBER(SEARCH("Head Marketing",C1622))&gt;0,'Configuración'!$B$32,IF(ISNUMBER(SEARCH("Marketing Manager",C1622))+ISNUMBER(SEARCH("Gerente de Marketing",C1622))+ISNUMBER(SEARCH("Growth Manager",C1622))+ISNUMBER(SEARCH("Demand Gen",C1622))+ISNUMBER(SEARCH("Marketing Lead",C1622))&gt;0,'Configuración'!$B$33,IF(ISNUMBER(SEARCH("COO",C1622))+ISNUMBER(SEARCH("CFO",C1622))+ISNUMBER(SEARCH("CTO",C1622))+ISNUMBER(SEARCH("Chief Operating",C1622))+ISNUMBER(SEARCH("Chief Financial",C1622))+ISNUMBER(SEARCH("Gerente General",C1622))+ISNUMBER(SEARCH("General Manager",C1622))&gt;0,'Configuración'!$B$34,'Configuración'!$B$35)))))</f>
        <v>4</v>
      </c>
      <c r="V1622" s="38">
        <f>IF(B1622="","",IF(K1622="Sí",'Configuración'!$B$5,0)+IF(L1622="Semanal",'Configuración'!$B$6,IF(L1622="Mensual",'Configuración'!$B$7,0))+IF(M1622="Sí",'Configuración'!$B$8,0)+IF(N1622="Sí",'Configuración'!$B$9,0)+IF(O1622="Sí",'Configuración'!$B$10,0)+IF(P1622="Sí",'Configuración'!$B$11,0)+IF(Q1622="Sí",'Configuración'!$B$12,0)+S1622+T1622+U1622)</f>
        <v>20</v>
      </c>
      <c r="W1622" s="39" t="str">
        <f>IF(B1622="","",IF(V1622&gt;='Configuración'!$B$19,"A",IF(V1622&gt;='Configuración'!$B$20,"B",IF(V1622&gt;='Configuración'!$B$21,"C","Descarte"))))</f>
        <v>Descarte</v>
      </c>
    </row>
    <row r="1623" ht="15.75" customHeight="1">
      <c r="A1623" s="34">
        <f t="shared" si="1"/>
        <v>1621</v>
      </c>
      <c r="B1623" s="29" t="s">
        <v>174</v>
      </c>
      <c r="C1623" s="29" t="s">
        <v>763</v>
      </c>
      <c r="D1623" s="29" t="s">
        <v>9106</v>
      </c>
      <c r="E1623" s="29" t="s">
        <v>9107</v>
      </c>
      <c r="F1623" s="30" t="s">
        <v>9108</v>
      </c>
      <c r="G1623" s="30" t="s">
        <v>9109</v>
      </c>
      <c r="H1623" s="42" t="s">
        <v>9110</v>
      </c>
      <c r="I1623" s="29" t="s">
        <v>188</v>
      </c>
      <c r="J1623" s="31">
        <v>3.0</v>
      </c>
      <c r="K1623" s="35"/>
      <c r="L1623" s="35"/>
      <c r="M1623" s="35"/>
      <c r="N1623" s="35"/>
      <c r="O1623" s="35"/>
      <c r="P1623" s="35"/>
      <c r="Q1623" s="35"/>
      <c r="R1623" s="35"/>
      <c r="S1623" s="37">
        <f>IF(B1623="","",IF(ISNUMBER(J1623),IF(J1623&lt;=10,'Configuración'!$B$23,IF(J1623&lt;=50,'Configuración'!$B$24,IF(J1623&lt;=200,'Configuración'!$B$25,0))),0))</f>
        <v>12</v>
      </c>
      <c r="T1623" s="37">
        <f>IF(B1623="","",IF(ISNUMBER(SEARCH("information technology",I1623))+ISNUMBER(SEARCH("software",I1623))+ISNUMBER(SEARCH("internet",I1623))+ISNUMBER(SEARCH("computer",I1623))+ISNUMBER(SEARCH("saas",I1623))+ISNUMBER(SEARCH("fintech",I1623))+ISNUMBER(SEARCH("information services",I1623))+ISNUMBER(SEARCH("telecommunications",I1623))&gt;0,'Configuración'!$B$27,'Configuración'!$B$28))</f>
        <v>4</v>
      </c>
      <c r="U1623" s="25">
        <f>IF(B1623="","",IF(ISNUMBER(SEARCH("CEO",C1623))+ISNUMBER(SEARCH("Founder",C1623))+ISNUMBER(SEARCH("Owner",C1623))+ISNUMBER(SEARCH("Dueño",C1623))+ISNUMBER(SEARCH("Director General",C1623))+ISNUMBER(SEARCH("Presidente",C1623))+ISNUMBER(SEARCH("President",C1623))&gt;0,'Configuración'!$B$31,IF(ISNUMBER(SEARCH("CMO",C1623))+ISNUMBER(SEARCH("Chief Marketing",C1623))+ISNUMBER(SEARCH("VP Marketing",C1623))+ISNUMBER(SEARCH("Director de Marketing",C1623))+ISNUMBER(SEARCH("Director Marketing",C1623))+ISNUMBER(SEARCH("Head of Marketing",C1623))+ISNUMBER(SEARCH("Head Marketing",C1623))&gt;0,'Configuración'!$B$32,IF(ISNUMBER(SEARCH("Marketing Manager",C1623))+ISNUMBER(SEARCH("Gerente de Marketing",C1623))+ISNUMBER(SEARCH("Growth Manager",C1623))+ISNUMBER(SEARCH("Demand Gen",C1623))+ISNUMBER(SEARCH("Marketing Lead",C1623))&gt;0,'Configuración'!$B$33,IF(ISNUMBER(SEARCH("COO",C1623))+ISNUMBER(SEARCH("CFO",C1623))+ISNUMBER(SEARCH("CTO",C1623))+ISNUMBER(SEARCH("Chief Operating",C1623))+ISNUMBER(SEARCH("Chief Financial",C1623))+ISNUMBER(SEARCH("Gerente General",C1623))+ISNUMBER(SEARCH("General Manager",C1623))&gt;0,'Configuración'!$B$34,'Configuración'!$B$35)))))</f>
        <v>12</v>
      </c>
      <c r="V1623" s="38">
        <f>IF(B1623="","",IF(K1623="Sí",'Configuración'!$B$5,0)+IF(L1623="Semanal",'Configuración'!$B$6,IF(L1623="Mensual",'Configuración'!$B$7,0))+IF(M1623="Sí",'Configuración'!$B$8,0)+IF(N1623="Sí",'Configuración'!$B$9,0)+IF(O1623="Sí",'Configuración'!$B$10,0)+IF(P1623="Sí",'Configuración'!$B$11,0)+IF(Q1623="Sí",'Configuración'!$B$12,0)+S1623+T1623+U1623)</f>
        <v>28</v>
      </c>
      <c r="W1623" s="39" t="str">
        <f>IF(B1623="","",IF(V1623&gt;='Configuración'!$B$19,"A",IF(V1623&gt;='Configuración'!$B$20,"B",IF(V1623&gt;='Configuración'!$B$21,"C","Descarte"))))</f>
        <v>C</v>
      </c>
    </row>
    <row r="1624" ht="15.75" customHeight="1">
      <c r="A1624" s="34">
        <f t="shared" si="1"/>
        <v>1622</v>
      </c>
      <c r="B1624" s="29" t="s">
        <v>813</v>
      </c>
      <c r="C1624" s="29" t="s">
        <v>175</v>
      </c>
      <c r="D1624" s="40" t="s">
        <v>6415</v>
      </c>
      <c r="E1624" s="29" t="s">
        <v>9111</v>
      </c>
      <c r="F1624" s="30" t="s">
        <v>9112</v>
      </c>
      <c r="G1624" s="30" t="s">
        <v>6418</v>
      </c>
      <c r="H1624" s="42" t="s">
        <v>6419</v>
      </c>
      <c r="I1624" s="29" t="s">
        <v>127</v>
      </c>
      <c r="J1624" s="31">
        <v>16.0</v>
      </c>
      <c r="K1624" s="35"/>
      <c r="L1624" s="35"/>
      <c r="M1624" s="35"/>
      <c r="N1624" s="35"/>
      <c r="O1624" s="35"/>
      <c r="P1624" s="35"/>
      <c r="Q1624" s="35"/>
      <c r="R1624" s="35"/>
      <c r="S1624" s="37">
        <f>IF(B1624="","",IF(ISNUMBER(J1624),IF(J1624&lt;=10,'Configuración'!$B$23,IF(J1624&lt;=50,'Configuración'!$B$24,IF(J1624&lt;=200,'Configuración'!$B$25,0))),0))</f>
        <v>4</v>
      </c>
      <c r="T1624" s="37">
        <f>IF(B1624="","",IF(ISNUMBER(SEARCH("information technology",I1624))+ISNUMBER(SEARCH("software",I1624))+ISNUMBER(SEARCH("internet",I1624))+ISNUMBER(SEARCH("computer",I1624))+ISNUMBER(SEARCH("saas",I1624))+ISNUMBER(SEARCH("fintech",I1624))+ISNUMBER(SEARCH("information services",I1624))+ISNUMBER(SEARCH("telecommunications",I1624))&gt;0,'Configuración'!$B$27,'Configuración'!$B$28))</f>
        <v>12</v>
      </c>
      <c r="U1624" s="25">
        <f>IF(B1624="","",IF(ISNUMBER(SEARCH("CEO",C1624))+ISNUMBER(SEARCH("Founder",C1624))+ISNUMBER(SEARCH("Owner",C1624))+ISNUMBER(SEARCH("Dueño",C1624))+ISNUMBER(SEARCH("Director General",C1624))+ISNUMBER(SEARCH("Presidente",C1624))+ISNUMBER(SEARCH("President",C1624))&gt;0,'Configuración'!$B$31,IF(ISNUMBER(SEARCH("CMO",C1624))+ISNUMBER(SEARCH("Chief Marketing",C1624))+ISNUMBER(SEARCH("VP Marketing",C1624))+ISNUMBER(SEARCH("Director de Marketing",C1624))+ISNUMBER(SEARCH("Director Marketing",C1624))+ISNUMBER(SEARCH("Head of Marketing",C1624))+ISNUMBER(SEARCH("Head Marketing",C1624))&gt;0,'Configuración'!$B$32,IF(ISNUMBER(SEARCH("Marketing Manager",C1624))+ISNUMBER(SEARCH("Gerente de Marketing",C1624))+ISNUMBER(SEARCH("Growth Manager",C1624))+ISNUMBER(SEARCH("Demand Gen",C1624))+ISNUMBER(SEARCH("Marketing Lead",C1624))&gt;0,'Configuración'!$B$33,IF(ISNUMBER(SEARCH("COO",C1624))+ISNUMBER(SEARCH("CFO",C1624))+ISNUMBER(SEARCH("CTO",C1624))+ISNUMBER(SEARCH("Chief Operating",C1624))+ISNUMBER(SEARCH("Chief Financial",C1624))+ISNUMBER(SEARCH("Gerente General",C1624))+ISNUMBER(SEARCH("General Manager",C1624))&gt;0,'Configuración'!$B$34,'Configuración'!$B$35)))))</f>
        <v>12</v>
      </c>
      <c r="V1624" s="38">
        <f>IF(B1624="","",IF(K1624="Sí",'Configuración'!$B$5,0)+IF(L1624="Semanal",'Configuración'!$B$6,IF(L1624="Mensual",'Configuración'!$B$7,0))+IF(M1624="Sí",'Configuración'!$B$8,0)+IF(N1624="Sí",'Configuración'!$B$9,0)+IF(O1624="Sí",'Configuración'!$B$10,0)+IF(P1624="Sí",'Configuración'!$B$11,0)+IF(Q1624="Sí",'Configuración'!$B$12,0)+S1624+T1624+U1624)</f>
        <v>28</v>
      </c>
      <c r="W1624" s="39" t="str">
        <f>IF(B1624="","",IF(V1624&gt;='Configuración'!$B$19,"A",IF(V1624&gt;='Configuración'!$B$20,"B",IF(V1624&gt;='Configuración'!$B$21,"C","Descarte"))))</f>
        <v>C</v>
      </c>
    </row>
    <row r="1625" ht="15.75" customHeight="1">
      <c r="A1625" s="34">
        <f t="shared" si="1"/>
        <v>1623</v>
      </c>
      <c r="B1625" s="29" t="s">
        <v>867</v>
      </c>
      <c r="C1625" s="29" t="s">
        <v>3892</v>
      </c>
      <c r="D1625" s="30" t="s">
        <v>9113</v>
      </c>
      <c r="E1625" s="29" t="s">
        <v>9114</v>
      </c>
      <c r="F1625" s="30" t="s">
        <v>9115</v>
      </c>
      <c r="G1625" s="30" t="s">
        <v>9116</v>
      </c>
      <c r="H1625" s="42" t="s">
        <v>9117</v>
      </c>
      <c r="I1625" s="29" t="s">
        <v>127</v>
      </c>
      <c r="J1625" s="31">
        <v>12.0</v>
      </c>
      <c r="K1625" s="35"/>
      <c r="L1625" s="35"/>
      <c r="M1625" s="35"/>
      <c r="N1625" s="35"/>
      <c r="O1625" s="35"/>
      <c r="P1625" s="35"/>
      <c r="Q1625" s="35"/>
      <c r="R1625" s="35"/>
      <c r="S1625" s="37">
        <f>IF(B1625="","",IF(ISNUMBER(J1625),IF(J1625&lt;=10,'Configuración'!$B$23,IF(J1625&lt;=50,'Configuración'!$B$24,IF(J1625&lt;=200,'Configuración'!$B$25,0))),0))</f>
        <v>4</v>
      </c>
      <c r="T1625" s="37">
        <f>IF(B1625="","",IF(ISNUMBER(SEARCH("information technology",I1625))+ISNUMBER(SEARCH("software",I1625))+ISNUMBER(SEARCH("internet",I1625))+ISNUMBER(SEARCH("computer",I1625))+ISNUMBER(SEARCH("saas",I1625))+ISNUMBER(SEARCH("fintech",I1625))+ISNUMBER(SEARCH("information services",I1625))+ISNUMBER(SEARCH("telecommunications",I1625))&gt;0,'Configuración'!$B$27,'Configuración'!$B$28))</f>
        <v>12</v>
      </c>
      <c r="U1625" s="25">
        <f>IF(B1625="","",IF(ISNUMBER(SEARCH("CEO",C1625))+ISNUMBER(SEARCH("Founder",C1625))+ISNUMBER(SEARCH("Owner",C1625))+ISNUMBER(SEARCH("Dueño",C1625))+ISNUMBER(SEARCH("Director General",C1625))+ISNUMBER(SEARCH("Presidente",C1625))+ISNUMBER(SEARCH("President",C1625))&gt;0,'Configuración'!$B$31,IF(ISNUMBER(SEARCH("CMO",C1625))+ISNUMBER(SEARCH("Chief Marketing",C1625))+ISNUMBER(SEARCH("VP Marketing",C1625))+ISNUMBER(SEARCH("Director de Marketing",C1625))+ISNUMBER(SEARCH("Director Marketing",C1625))+ISNUMBER(SEARCH("Head of Marketing",C1625))+ISNUMBER(SEARCH("Head Marketing",C1625))&gt;0,'Configuración'!$B$32,IF(ISNUMBER(SEARCH("Marketing Manager",C1625))+ISNUMBER(SEARCH("Gerente de Marketing",C1625))+ISNUMBER(SEARCH("Growth Manager",C1625))+ISNUMBER(SEARCH("Demand Gen",C1625))+ISNUMBER(SEARCH("Marketing Lead",C1625))&gt;0,'Configuración'!$B$33,IF(ISNUMBER(SEARCH("COO",C1625))+ISNUMBER(SEARCH("CFO",C1625))+ISNUMBER(SEARCH("CTO",C1625))+ISNUMBER(SEARCH("Chief Operating",C1625))+ISNUMBER(SEARCH("Chief Financial",C1625))+ISNUMBER(SEARCH("Gerente General",C1625))+ISNUMBER(SEARCH("General Manager",C1625))&gt;0,'Configuración'!$B$34,'Configuración'!$B$35)))))</f>
        <v>0</v>
      </c>
      <c r="V1625" s="38">
        <f>IF(B1625="","",IF(K1625="Sí",'Configuración'!$B$5,0)+IF(L1625="Semanal",'Configuración'!$B$6,IF(L1625="Mensual",'Configuración'!$B$7,0))+IF(M1625="Sí",'Configuración'!$B$8,0)+IF(N1625="Sí",'Configuración'!$B$9,0)+IF(O1625="Sí",'Configuración'!$B$10,0)+IF(P1625="Sí",'Configuración'!$B$11,0)+IF(Q1625="Sí",'Configuración'!$B$12,0)+S1625+T1625+U1625)</f>
        <v>16</v>
      </c>
      <c r="W1625" s="39" t="str">
        <f>IF(B1625="","",IF(V1625&gt;='Configuración'!$B$19,"A",IF(V1625&gt;='Configuración'!$B$20,"B",IF(V1625&gt;='Configuración'!$B$21,"C","Descarte"))))</f>
        <v>Descarte</v>
      </c>
    </row>
    <row r="1626" ht="15.75" customHeight="1">
      <c r="A1626" s="34">
        <f t="shared" si="1"/>
        <v>1624</v>
      </c>
      <c r="B1626" s="29" t="s">
        <v>9118</v>
      </c>
      <c r="C1626" s="29" t="s">
        <v>9119</v>
      </c>
      <c r="D1626" s="29" t="s">
        <v>9120</v>
      </c>
      <c r="E1626" s="29" t="s">
        <v>9121</v>
      </c>
      <c r="F1626" s="30" t="s">
        <v>9122</v>
      </c>
      <c r="G1626" s="30" t="s">
        <v>9123</v>
      </c>
      <c r="H1626" s="42" t="s">
        <v>9124</v>
      </c>
      <c r="I1626" s="29" t="s">
        <v>188</v>
      </c>
      <c r="J1626" s="31">
        <v>10.0</v>
      </c>
      <c r="K1626" s="35"/>
      <c r="L1626" s="35"/>
      <c r="M1626" s="35"/>
      <c r="N1626" s="35"/>
      <c r="O1626" s="35"/>
      <c r="P1626" s="35"/>
      <c r="Q1626" s="35"/>
      <c r="R1626" s="35"/>
      <c r="S1626" s="37">
        <f>IF(B1626="","",IF(ISNUMBER(J1626),IF(J1626&lt;=10,'Configuración'!$B$23,IF(J1626&lt;=50,'Configuración'!$B$24,IF(J1626&lt;=200,'Configuración'!$B$25,0))),0))</f>
        <v>12</v>
      </c>
      <c r="T1626" s="37">
        <f>IF(B1626="","",IF(ISNUMBER(SEARCH("information technology",I1626))+ISNUMBER(SEARCH("software",I1626))+ISNUMBER(SEARCH("internet",I1626))+ISNUMBER(SEARCH("computer",I1626))+ISNUMBER(SEARCH("saas",I1626))+ISNUMBER(SEARCH("fintech",I1626))+ISNUMBER(SEARCH("information services",I1626))+ISNUMBER(SEARCH("telecommunications",I1626))&gt;0,'Configuración'!$B$27,'Configuración'!$B$28))</f>
        <v>4</v>
      </c>
      <c r="U1626" s="25">
        <f>IF(B1626="","",IF(ISNUMBER(SEARCH("CEO",C1626))+ISNUMBER(SEARCH("Founder",C1626))+ISNUMBER(SEARCH("Owner",C1626))+ISNUMBER(SEARCH("Dueño",C1626))+ISNUMBER(SEARCH("Director General",C1626))+ISNUMBER(SEARCH("Presidente",C1626))+ISNUMBER(SEARCH("President",C1626))&gt;0,'Configuración'!$B$31,IF(ISNUMBER(SEARCH("CMO",C1626))+ISNUMBER(SEARCH("Chief Marketing",C1626))+ISNUMBER(SEARCH("VP Marketing",C1626))+ISNUMBER(SEARCH("Director de Marketing",C1626))+ISNUMBER(SEARCH("Director Marketing",C1626))+ISNUMBER(SEARCH("Head of Marketing",C1626))+ISNUMBER(SEARCH("Head Marketing",C1626))&gt;0,'Configuración'!$B$32,IF(ISNUMBER(SEARCH("Marketing Manager",C1626))+ISNUMBER(SEARCH("Gerente de Marketing",C1626))+ISNUMBER(SEARCH("Growth Manager",C1626))+ISNUMBER(SEARCH("Demand Gen",C1626))+ISNUMBER(SEARCH("Marketing Lead",C1626))&gt;0,'Configuración'!$B$33,IF(ISNUMBER(SEARCH("COO",C1626))+ISNUMBER(SEARCH("CFO",C1626))+ISNUMBER(SEARCH("CTO",C1626))+ISNUMBER(SEARCH("Chief Operating",C1626))+ISNUMBER(SEARCH("Chief Financial",C1626))+ISNUMBER(SEARCH("Gerente General",C1626))+ISNUMBER(SEARCH("General Manager",C1626))&gt;0,'Configuración'!$B$34,'Configuración'!$B$35)))))</f>
        <v>12</v>
      </c>
      <c r="V1626" s="38">
        <f>IF(B1626="","",IF(K1626="Sí",'Configuración'!$B$5,0)+IF(L1626="Semanal",'Configuración'!$B$6,IF(L1626="Mensual",'Configuración'!$B$7,0))+IF(M1626="Sí",'Configuración'!$B$8,0)+IF(N1626="Sí",'Configuración'!$B$9,0)+IF(O1626="Sí",'Configuración'!$B$10,0)+IF(P1626="Sí",'Configuración'!$B$11,0)+IF(Q1626="Sí",'Configuración'!$B$12,0)+S1626+T1626+U1626)</f>
        <v>28</v>
      </c>
      <c r="W1626" s="39" t="str">
        <f>IF(B1626="","",IF(V1626&gt;='Configuración'!$B$19,"A",IF(V1626&gt;='Configuración'!$B$20,"B",IF(V1626&gt;='Configuración'!$B$21,"C","Descarte"))))</f>
        <v>C</v>
      </c>
    </row>
    <row r="1627" ht="15.75" customHeight="1">
      <c r="A1627" s="34">
        <f t="shared" si="1"/>
        <v>1625</v>
      </c>
      <c r="B1627" s="29" t="s">
        <v>6890</v>
      </c>
      <c r="C1627" s="29" t="s">
        <v>622</v>
      </c>
      <c r="D1627" s="29" t="s">
        <v>9125</v>
      </c>
      <c r="E1627" s="29" t="s">
        <v>9126</v>
      </c>
      <c r="F1627" s="30" t="s">
        <v>9127</v>
      </c>
      <c r="G1627" s="30" t="s">
        <v>9128</v>
      </c>
      <c r="H1627" s="42" t="s">
        <v>9129</v>
      </c>
      <c r="I1627" s="29" t="s">
        <v>443</v>
      </c>
      <c r="J1627" s="31">
        <v>7.0</v>
      </c>
      <c r="K1627" s="35"/>
      <c r="L1627" s="35"/>
      <c r="M1627" s="35"/>
      <c r="N1627" s="35"/>
      <c r="O1627" s="35"/>
      <c r="P1627" s="35"/>
      <c r="Q1627" s="35"/>
      <c r="R1627" s="35"/>
      <c r="S1627" s="37">
        <f>IF(B1627="","",IF(ISNUMBER(J1627),IF(J1627&lt;=10,'Configuración'!$B$23,IF(J1627&lt;=50,'Configuración'!$B$24,IF(J1627&lt;=200,'Configuración'!$B$25,0))),0))</f>
        <v>12</v>
      </c>
      <c r="T1627" s="37">
        <f>IF(B1627="","",IF(ISNUMBER(SEARCH("information technology",I1627))+ISNUMBER(SEARCH("software",I1627))+ISNUMBER(SEARCH("internet",I1627))+ISNUMBER(SEARCH("computer",I1627))+ISNUMBER(SEARCH("saas",I1627))+ISNUMBER(SEARCH("fintech",I1627))+ISNUMBER(SEARCH("information services",I1627))+ISNUMBER(SEARCH("telecommunications",I1627))&gt;0,'Configuración'!$B$27,'Configuración'!$B$28))</f>
        <v>4</v>
      </c>
      <c r="U1627" s="25">
        <f>IF(B1627="","",IF(ISNUMBER(SEARCH("CEO",C1627))+ISNUMBER(SEARCH("Founder",C1627))+ISNUMBER(SEARCH("Owner",C1627))+ISNUMBER(SEARCH("Dueño",C1627))+ISNUMBER(SEARCH("Director General",C1627))+ISNUMBER(SEARCH("Presidente",C1627))+ISNUMBER(SEARCH("President",C1627))&gt;0,'Configuración'!$B$31,IF(ISNUMBER(SEARCH("CMO",C1627))+ISNUMBER(SEARCH("Chief Marketing",C1627))+ISNUMBER(SEARCH("VP Marketing",C1627))+ISNUMBER(SEARCH("Director de Marketing",C1627))+ISNUMBER(SEARCH("Director Marketing",C1627))+ISNUMBER(SEARCH("Head of Marketing",C1627))+ISNUMBER(SEARCH("Head Marketing",C1627))&gt;0,'Configuración'!$B$32,IF(ISNUMBER(SEARCH("Marketing Manager",C1627))+ISNUMBER(SEARCH("Gerente de Marketing",C1627))+ISNUMBER(SEARCH("Growth Manager",C1627))+ISNUMBER(SEARCH("Demand Gen",C1627))+ISNUMBER(SEARCH("Marketing Lead",C1627))&gt;0,'Configuración'!$B$33,IF(ISNUMBER(SEARCH("COO",C1627))+ISNUMBER(SEARCH("CFO",C1627))+ISNUMBER(SEARCH("CTO",C1627))+ISNUMBER(SEARCH("Chief Operating",C1627))+ISNUMBER(SEARCH("Chief Financial",C1627))+ISNUMBER(SEARCH("Gerente General",C1627))+ISNUMBER(SEARCH("General Manager",C1627))&gt;0,'Configuración'!$B$34,'Configuración'!$B$35)))))</f>
        <v>12</v>
      </c>
      <c r="V1627" s="38">
        <f>IF(B1627="","",IF(K1627="Sí",'Configuración'!$B$5,0)+IF(L1627="Semanal",'Configuración'!$B$6,IF(L1627="Mensual",'Configuración'!$B$7,0))+IF(M1627="Sí",'Configuración'!$B$8,0)+IF(N1627="Sí",'Configuración'!$B$9,0)+IF(O1627="Sí",'Configuración'!$B$10,0)+IF(P1627="Sí",'Configuración'!$B$11,0)+IF(Q1627="Sí",'Configuración'!$B$12,0)+S1627+T1627+U1627)</f>
        <v>28</v>
      </c>
      <c r="W1627" s="39" t="str">
        <f>IF(B1627="","",IF(V1627&gt;='Configuración'!$B$19,"A",IF(V1627&gt;='Configuración'!$B$20,"B",IF(V1627&gt;='Configuración'!$B$21,"C","Descarte"))))</f>
        <v>C</v>
      </c>
    </row>
    <row r="1628" ht="15.75" customHeight="1">
      <c r="A1628" s="34">
        <f t="shared" si="1"/>
        <v>1626</v>
      </c>
      <c r="B1628" s="29" t="s">
        <v>9130</v>
      </c>
      <c r="C1628" s="29" t="s">
        <v>622</v>
      </c>
      <c r="D1628" s="29" t="s">
        <v>9131</v>
      </c>
      <c r="E1628" s="29" t="s">
        <v>9132</v>
      </c>
      <c r="F1628" s="30" t="s">
        <v>9133</v>
      </c>
      <c r="G1628" s="30" t="s">
        <v>9134</v>
      </c>
      <c r="H1628" s="42" t="s">
        <v>9135</v>
      </c>
      <c r="I1628" s="29" t="s">
        <v>127</v>
      </c>
      <c r="J1628" s="31">
        <v>39.0</v>
      </c>
      <c r="K1628" s="35"/>
      <c r="L1628" s="35"/>
      <c r="M1628" s="35"/>
      <c r="N1628" s="35"/>
      <c r="O1628" s="35"/>
      <c r="P1628" s="35"/>
      <c r="Q1628" s="35"/>
      <c r="R1628" s="35"/>
      <c r="S1628" s="37">
        <f>IF(B1628="","",IF(ISNUMBER(J1628),IF(J1628&lt;=10,'Configuración'!$B$23,IF(J1628&lt;=50,'Configuración'!$B$24,IF(J1628&lt;=200,'Configuración'!$B$25,0))),0))</f>
        <v>4</v>
      </c>
      <c r="T1628" s="37">
        <f>IF(B1628="","",IF(ISNUMBER(SEARCH("information technology",I1628))+ISNUMBER(SEARCH("software",I1628))+ISNUMBER(SEARCH("internet",I1628))+ISNUMBER(SEARCH("computer",I1628))+ISNUMBER(SEARCH("saas",I1628))+ISNUMBER(SEARCH("fintech",I1628))+ISNUMBER(SEARCH("information services",I1628))+ISNUMBER(SEARCH("telecommunications",I1628))&gt;0,'Configuración'!$B$27,'Configuración'!$B$28))</f>
        <v>12</v>
      </c>
      <c r="U1628" s="25">
        <f>IF(B1628="","",IF(ISNUMBER(SEARCH("CEO",C1628))+ISNUMBER(SEARCH("Founder",C1628))+ISNUMBER(SEARCH("Owner",C1628))+ISNUMBER(SEARCH("Dueño",C1628))+ISNUMBER(SEARCH("Director General",C1628))+ISNUMBER(SEARCH("Presidente",C1628))+ISNUMBER(SEARCH("President",C1628))&gt;0,'Configuración'!$B$31,IF(ISNUMBER(SEARCH("CMO",C1628))+ISNUMBER(SEARCH("Chief Marketing",C1628))+ISNUMBER(SEARCH("VP Marketing",C1628))+ISNUMBER(SEARCH("Director de Marketing",C1628))+ISNUMBER(SEARCH("Director Marketing",C1628))+ISNUMBER(SEARCH("Head of Marketing",C1628))+ISNUMBER(SEARCH("Head Marketing",C1628))&gt;0,'Configuración'!$B$32,IF(ISNUMBER(SEARCH("Marketing Manager",C1628))+ISNUMBER(SEARCH("Gerente de Marketing",C1628))+ISNUMBER(SEARCH("Growth Manager",C1628))+ISNUMBER(SEARCH("Demand Gen",C1628))+ISNUMBER(SEARCH("Marketing Lead",C1628))&gt;0,'Configuración'!$B$33,IF(ISNUMBER(SEARCH("COO",C1628))+ISNUMBER(SEARCH("CFO",C1628))+ISNUMBER(SEARCH("CTO",C1628))+ISNUMBER(SEARCH("Chief Operating",C1628))+ISNUMBER(SEARCH("Chief Financial",C1628))+ISNUMBER(SEARCH("Gerente General",C1628))+ISNUMBER(SEARCH("General Manager",C1628))&gt;0,'Configuración'!$B$34,'Configuración'!$B$35)))))</f>
        <v>12</v>
      </c>
      <c r="V1628" s="38">
        <f>IF(B1628="","",IF(K1628="Sí",'Configuración'!$B$5,0)+IF(L1628="Semanal",'Configuración'!$B$6,IF(L1628="Mensual",'Configuración'!$B$7,0))+IF(M1628="Sí",'Configuración'!$B$8,0)+IF(N1628="Sí",'Configuración'!$B$9,0)+IF(O1628="Sí",'Configuración'!$B$10,0)+IF(P1628="Sí",'Configuración'!$B$11,0)+IF(Q1628="Sí",'Configuración'!$B$12,0)+S1628+T1628+U1628)</f>
        <v>28</v>
      </c>
      <c r="W1628" s="39" t="str">
        <f>IF(B1628="","",IF(V1628&gt;='Configuración'!$B$19,"A",IF(V1628&gt;='Configuración'!$B$20,"B",IF(V1628&gt;='Configuración'!$B$21,"C","Descarte"))))</f>
        <v>C</v>
      </c>
    </row>
    <row r="1629" ht="15.75" customHeight="1">
      <c r="A1629" s="34">
        <f t="shared" si="1"/>
        <v>1627</v>
      </c>
      <c r="B1629" s="29" t="s">
        <v>1137</v>
      </c>
      <c r="C1629" s="29" t="s">
        <v>318</v>
      </c>
      <c r="D1629" s="29" t="s">
        <v>9136</v>
      </c>
      <c r="E1629" s="29" t="s">
        <v>9137</v>
      </c>
      <c r="F1629" s="30" t="s">
        <v>9138</v>
      </c>
      <c r="G1629" s="30" t="s">
        <v>9139</v>
      </c>
      <c r="H1629" s="42" t="s">
        <v>9140</v>
      </c>
      <c r="I1629" s="29" t="s">
        <v>127</v>
      </c>
      <c r="J1629" s="31">
        <v>3.0</v>
      </c>
      <c r="K1629" s="35"/>
      <c r="L1629" s="35"/>
      <c r="M1629" s="35"/>
      <c r="N1629" s="35"/>
      <c r="O1629" s="35"/>
      <c r="P1629" s="35"/>
      <c r="Q1629" s="35"/>
      <c r="R1629" s="35"/>
      <c r="S1629" s="37">
        <f>IF(B1629="","",IF(ISNUMBER(J1629),IF(J1629&lt;=10,'Configuración'!$B$23,IF(J1629&lt;=50,'Configuración'!$B$24,IF(J1629&lt;=200,'Configuración'!$B$25,0))),0))</f>
        <v>12</v>
      </c>
      <c r="T1629" s="37">
        <f>IF(B1629="","",IF(ISNUMBER(SEARCH("information technology",I1629))+ISNUMBER(SEARCH("software",I1629))+ISNUMBER(SEARCH("internet",I1629))+ISNUMBER(SEARCH("computer",I1629))+ISNUMBER(SEARCH("saas",I1629))+ISNUMBER(SEARCH("fintech",I1629))+ISNUMBER(SEARCH("information services",I1629))+ISNUMBER(SEARCH("telecommunications",I1629))&gt;0,'Configuración'!$B$27,'Configuración'!$B$28))</f>
        <v>12</v>
      </c>
      <c r="U1629" s="25">
        <f>IF(B1629="","",IF(ISNUMBER(SEARCH("CEO",C1629))+ISNUMBER(SEARCH("Founder",C1629))+ISNUMBER(SEARCH("Owner",C1629))+ISNUMBER(SEARCH("Dueño",C1629))+ISNUMBER(SEARCH("Director General",C1629))+ISNUMBER(SEARCH("Presidente",C1629))+ISNUMBER(SEARCH("President",C1629))&gt;0,'Configuración'!$B$31,IF(ISNUMBER(SEARCH("CMO",C1629))+ISNUMBER(SEARCH("Chief Marketing",C1629))+ISNUMBER(SEARCH("VP Marketing",C1629))+ISNUMBER(SEARCH("Director de Marketing",C1629))+ISNUMBER(SEARCH("Director Marketing",C1629))+ISNUMBER(SEARCH("Head of Marketing",C1629))+ISNUMBER(SEARCH("Head Marketing",C1629))&gt;0,'Configuración'!$B$32,IF(ISNUMBER(SEARCH("Marketing Manager",C1629))+ISNUMBER(SEARCH("Gerente de Marketing",C1629))+ISNUMBER(SEARCH("Growth Manager",C1629))+ISNUMBER(SEARCH("Demand Gen",C1629))+ISNUMBER(SEARCH("Marketing Lead",C1629))&gt;0,'Configuración'!$B$33,IF(ISNUMBER(SEARCH("COO",C1629))+ISNUMBER(SEARCH("CFO",C1629))+ISNUMBER(SEARCH("CTO",C1629))+ISNUMBER(SEARCH("Chief Operating",C1629))+ISNUMBER(SEARCH("Chief Financial",C1629))+ISNUMBER(SEARCH("Gerente General",C1629))+ISNUMBER(SEARCH("General Manager",C1629))&gt;0,'Configuración'!$B$34,'Configuración'!$B$35)))))</f>
        <v>4</v>
      </c>
      <c r="V1629" s="38">
        <f>IF(B1629="","",IF(K1629="Sí",'Configuración'!$B$5,0)+IF(L1629="Semanal",'Configuración'!$B$6,IF(L1629="Mensual",'Configuración'!$B$7,0))+IF(M1629="Sí",'Configuración'!$B$8,0)+IF(N1629="Sí",'Configuración'!$B$9,0)+IF(O1629="Sí",'Configuración'!$B$10,0)+IF(P1629="Sí",'Configuración'!$B$11,0)+IF(Q1629="Sí",'Configuración'!$B$12,0)+S1629+T1629+U1629)</f>
        <v>28</v>
      </c>
      <c r="W1629" s="39" t="str">
        <f>IF(B1629="","",IF(V1629&gt;='Configuración'!$B$19,"A",IF(V1629&gt;='Configuración'!$B$20,"B",IF(V1629&gt;='Configuración'!$B$21,"C","Descarte"))))</f>
        <v>C</v>
      </c>
    </row>
    <row r="1630" ht="15.75" customHeight="1">
      <c r="A1630" s="34">
        <f t="shared" si="1"/>
        <v>1628</v>
      </c>
      <c r="B1630" s="29" t="s">
        <v>181</v>
      </c>
      <c r="C1630" s="29" t="s">
        <v>3892</v>
      </c>
      <c r="D1630" s="29" t="s">
        <v>9141</v>
      </c>
      <c r="E1630" s="29" t="s">
        <v>9142</v>
      </c>
      <c r="F1630" s="30" t="s">
        <v>9143</v>
      </c>
      <c r="G1630" s="30" t="s">
        <v>9144</v>
      </c>
      <c r="H1630" s="42" t="s">
        <v>9145</v>
      </c>
      <c r="I1630" s="29" t="s">
        <v>127</v>
      </c>
      <c r="J1630" s="31">
        <v>39.0</v>
      </c>
      <c r="K1630" s="35"/>
      <c r="L1630" s="35"/>
      <c r="M1630" s="35"/>
      <c r="N1630" s="35"/>
      <c r="O1630" s="35"/>
      <c r="P1630" s="35"/>
      <c r="Q1630" s="35"/>
      <c r="R1630" s="35"/>
      <c r="S1630" s="37">
        <f>IF(B1630="","",IF(ISNUMBER(J1630),IF(J1630&lt;=10,'Configuración'!$B$23,IF(J1630&lt;=50,'Configuración'!$B$24,IF(J1630&lt;=200,'Configuración'!$B$25,0))),0))</f>
        <v>4</v>
      </c>
      <c r="T1630" s="37">
        <f>IF(B1630="","",IF(ISNUMBER(SEARCH("information technology",I1630))+ISNUMBER(SEARCH("software",I1630))+ISNUMBER(SEARCH("internet",I1630))+ISNUMBER(SEARCH("computer",I1630))+ISNUMBER(SEARCH("saas",I1630))+ISNUMBER(SEARCH("fintech",I1630))+ISNUMBER(SEARCH("information services",I1630))+ISNUMBER(SEARCH("telecommunications",I1630))&gt;0,'Configuración'!$B$27,'Configuración'!$B$28))</f>
        <v>12</v>
      </c>
      <c r="U1630" s="25">
        <f>IF(B1630="","",IF(ISNUMBER(SEARCH("CEO",C1630))+ISNUMBER(SEARCH("Founder",C1630))+ISNUMBER(SEARCH("Owner",C1630))+ISNUMBER(SEARCH("Dueño",C1630))+ISNUMBER(SEARCH("Director General",C1630))+ISNUMBER(SEARCH("Presidente",C1630))+ISNUMBER(SEARCH("President",C1630))&gt;0,'Configuración'!$B$31,IF(ISNUMBER(SEARCH("CMO",C1630))+ISNUMBER(SEARCH("Chief Marketing",C1630))+ISNUMBER(SEARCH("VP Marketing",C1630))+ISNUMBER(SEARCH("Director de Marketing",C1630))+ISNUMBER(SEARCH("Director Marketing",C1630))+ISNUMBER(SEARCH("Head of Marketing",C1630))+ISNUMBER(SEARCH("Head Marketing",C1630))&gt;0,'Configuración'!$B$32,IF(ISNUMBER(SEARCH("Marketing Manager",C1630))+ISNUMBER(SEARCH("Gerente de Marketing",C1630))+ISNUMBER(SEARCH("Growth Manager",C1630))+ISNUMBER(SEARCH("Demand Gen",C1630))+ISNUMBER(SEARCH("Marketing Lead",C1630))&gt;0,'Configuración'!$B$33,IF(ISNUMBER(SEARCH("COO",C1630))+ISNUMBER(SEARCH("CFO",C1630))+ISNUMBER(SEARCH("CTO",C1630))+ISNUMBER(SEARCH("Chief Operating",C1630))+ISNUMBER(SEARCH("Chief Financial",C1630))+ISNUMBER(SEARCH("Gerente General",C1630))+ISNUMBER(SEARCH("General Manager",C1630))&gt;0,'Configuración'!$B$34,'Configuración'!$B$35)))))</f>
        <v>0</v>
      </c>
      <c r="V1630" s="38">
        <f>IF(B1630="","",IF(K1630="Sí",'Configuración'!$B$5,0)+IF(L1630="Semanal",'Configuración'!$B$6,IF(L1630="Mensual",'Configuración'!$B$7,0))+IF(M1630="Sí",'Configuración'!$B$8,0)+IF(N1630="Sí",'Configuración'!$B$9,0)+IF(O1630="Sí",'Configuración'!$B$10,0)+IF(P1630="Sí",'Configuración'!$B$11,0)+IF(Q1630="Sí",'Configuración'!$B$12,0)+S1630+T1630+U1630)</f>
        <v>16</v>
      </c>
      <c r="W1630" s="39" t="str">
        <f>IF(B1630="","",IF(V1630&gt;='Configuración'!$B$19,"A",IF(V1630&gt;='Configuración'!$B$20,"B",IF(V1630&gt;='Configuración'!$B$21,"C","Descarte"))))</f>
        <v>Descarte</v>
      </c>
    </row>
    <row r="1631" ht="15.75" customHeight="1">
      <c r="A1631" s="34">
        <f t="shared" si="1"/>
        <v>1629</v>
      </c>
      <c r="B1631" s="29" t="s">
        <v>9146</v>
      </c>
      <c r="C1631" s="29" t="s">
        <v>9147</v>
      </c>
      <c r="D1631" s="29" t="s">
        <v>9148</v>
      </c>
      <c r="E1631" s="29" t="s">
        <v>9149</v>
      </c>
      <c r="F1631" s="30" t="s">
        <v>9150</v>
      </c>
      <c r="G1631" s="30" t="s">
        <v>9151</v>
      </c>
      <c r="H1631" s="42" t="s">
        <v>9152</v>
      </c>
      <c r="I1631" s="29" t="s">
        <v>1429</v>
      </c>
      <c r="J1631" s="31">
        <v>20.0</v>
      </c>
      <c r="K1631" s="35"/>
      <c r="L1631" s="35"/>
      <c r="M1631" s="35"/>
      <c r="N1631" s="35"/>
      <c r="O1631" s="35"/>
      <c r="P1631" s="35"/>
      <c r="Q1631" s="35"/>
      <c r="R1631" s="35"/>
      <c r="S1631" s="37">
        <f>IF(B1631="","",IF(ISNUMBER(J1631),IF(J1631&lt;=10,'Configuración'!$B$23,IF(J1631&lt;=50,'Configuración'!$B$24,IF(J1631&lt;=200,'Configuración'!$B$25,0))),0))</f>
        <v>4</v>
      </c>
      <c r="T1631" s="37">
        <f>IF(B1631="","",IF(ISNUMBER(SEARCH("information technology",I1631))+ISNUMBER(SEARCH("software",I1631))+ISNUMBER(SEARCH("internet",I1631))+ISNUMBER(SEARCH("computer",I1631))+ISNUMBER(SEARCH("saas",I1631))+ISNUMBER(SEARCH("fintech",I1631))+ISNUMBER(SEARCH("information services",I1631))+ISNUMBER(SEARCH("telecommunications",I1631))&gt;0,'Configuración'!$B$27,'Configuración'!$B$28))</f>
        <v>4</v>
      </c>
      <c r="U1631" s="25">
        <f>IF(B1631="","",IF(ISNUMBER(SEARCH("CEO",C1631))+ISNUMBER(SEARCH("Founder",C1631))+ISNUMBER(SEARCH("Owner",C1631))+ISNUMBER(SEARCH("Dueño",C1631))+ISNUMBER(SEARCH("Director General",C1631))+ISNUMBER(SEARCH("Presidente",C1631))+ISNUMBER(SEARCH("President",C1631))&gt;0,'Configuración'!$B$31,IF(ISNUMBER(SEARCH("CMO",C1631))+ISNUMBER(SEARCH("Chief Marketing",C1631))+ISNUMBER(SEARCH("VP Marketing",C1631))+ISNUMBER(SEARCH("Director de Marketing",C1631))+ISNUMBER(SEARCH("Director Marketing",C1631))+ISNUMBER(SEARCH("Head of Marketing",C1631))+ISNUMBER(SEARCH("Head Marketing",C1631))&gt;0,'Configuración'!$B$32,IF(ISNUMBER(SEARCH("Marketing Manager",C1631))+ISNUMBER(SEARCH("Gerente de Marketing",C1631))+ISNUMBER(SEARCH("Growth Manager",C1631))+ISNUMBER(SEARCH("Demand Gen",C1631))+ISNUMBER(SEARCH("Marketing Lead",C1631))&gt;0,'Configuración'!$B$33,IF(ISNUMBER(SEARCH("COO",C1631))+ISNUMBER(SEARCH("CFO",C1631))+ISNUMBER(SEARCH("CTO",C1631))+ISNUMBER(SEARCH("Chief Operating",C1631))+ISNUMBER(SEARCH("Chief Financial",C1631))+ISNUMBER(SEARCH("Gerente General",C1631))+ISNUMBER(SEARCH("General Manager",C1631))&gt;0,'Configuración'!$B$34,'Configuración'!$B$35)))))</f>
        <v>12</v>
      </c>
      <c r="V1631" s="38">
        <f>IF(B1631="","",IF(K1631="Sí",'Configuración'!$B$5,0)+IF(L1631="Semanal",'Configuración'!$B$6,IF(L1631="Mensual",'Configuración'!$B$7,0))+IF(M1631="Sí",'Configuración'!$B$8,0)+IF(N1631="Sí",'Configuración'!$B$9,0)+IF(O1631="Sí",'Configuración'!$B$10,0)+IF(P1631="Sí",'Configuración'!$B$11,0)+IF(Q1631="Sí",'Configuración'!$B$12,0)+S1631+T1631+U1631)</f>
        <v>20</v>
      </c>
      <c r="W1631" s="39" t="str">
        <f>IF(B1631="","",IF(V1631&gt;='Configuración'!$B$19,"A",IF(V1631&gt;='Configuración'!$B$20,"B",IF(V1631&gt;='Configuración'!$B$21,"C","Descarte"))))</f>
        <v>Descarte</v>
      </c>
    </row>
    <row r="1632" ht="15.75" customHeight="1">
      <c r="A1632" s="34">
        <f t="shared" si="1"/>
        <v>1630</v>
      </c>
      <c r="B1632" s="29" t="s">
        <v>9153</v>
      </c>
      <c r="C1632" s="29" t="s">
        <v>131</v>
      </c>
      <c r="D1632" s="29" t="s">
        <v>9154</v>
      </c>
      <c r="E1632" s="29" t="s">
        <v>9155</v>
      </c>
      <c r="F1632" s="30" t="s">
        <v>9156</v>
      </c>
      <c r="G1632" s="30" t="s">
        <v>9157</v>
      </c>
      <c r="H1632" s="42" t="s">
        <v>9158</v>
      </c>
      <c r="I1632" s="29" t="s">
        <v>1245</v>
      </c>
      <c r="J1632" s="31">
        <v>16.0</v>
      </c>
      <c r="K1632" s="35"/>
      <c r="L1632" s="35"/>
      <c r="M1632" s="35"/>
      <c r="N1632" s="35"/>
      <c r="O1632" s="35"/>
      <c r="P1632" s="35"/>
      <c r="Q1632" s="35"/>
      <c r="R1632" s="35"/>
      <c r="S1632" s="37">
        <f>IF(B1632="","",IF(ISNUMBER(J1632),IF(J1632&lt;=10,'Configuración'!$B$23,IF(J1632&lt;=50,'Configuración'!$B$24,IF(J1632&lt;=200,'Configuración'!$B$25,0))),0))</f>
        <v>4</v>
      </c>
      <c r="T1632" s="37">
        <f>IF(B1632="","",IF(ISNUMBER(SEARCH("information technology",I1632))+ISNUMBER(SEARCH("software",I1632))+ISNUMBER(SEARCH("internet",I1632))+ISNUMBER(SEARCH("computer",I1632))+ISNUMBER(SEARCH("saas",I1632))+ISNUMBER(SEARCH("fintech",I1632))+ISNUMBER(SEARCH("information services",I1632))+ISNUMBER(SEARCH("telecommunications",I1632))&gt;0,'Configuración'!$B$27,'Configuración'!$B$28))</f>
        <v>4</v>
      </c>
      <c r="U1632" s="25">
        <f>IF(B1632="","",IF(ISNUMBER(SEARCH("CEO",C1632))+ISNUMBER(SEARCH("Founder",C1632))+ISNUMBER(SEARCH("Owner",C1632))+ISNUMBER(SEARCH("Dueño",C1632))+ISNUMBER(SEARCH("Director General",C1632))+ISNUMBER(SEARCH("Presidente",C1632))+ISNUMBER(SEARCH("President",C1632))&gt;0,'Configuración'!$B$31,IF(ISNUMBER(SEARCH("CMO",C1632))+ISNUMBER(SEARCH("Chief Marketing",C1632))+ISNUMBER(SEARCH("VP Marketing",C1632))+ISNUMBER(SEARCH("Director de Marketing",C1632))+ISNUMBER(SEARCH("Director Marketing",C1632))+ISNUMBER(SEARCH("Head of Marketing",C1632))+ISNUMBER(SEARCH("Head Marketing",C1632))&gt;0,'Configuración'!$B$32,IF(ISNUMBER(SEARCH("Marketing Manager",C1632))+ISNUMBER(SEARCH("Gerente de Marketing",C1632))+ISNUMBER(SEARCH("Growth Manager",C1632))+ISNUMBER(SEARCH("Demand Gen",C1632))+ISNUMBER(SEARCH("Marketing Lead",C1632))&gt;0,'Configuración'!$B$33,IF(ISNUMBER(SEARCH("COO",C1632))+ISNUMBER(SEARCH("CFO",C1632))+ISNUMBER(SEARCH("CTO",C1632))+ISNUMBER(SEARCH("Chief Operating",C1632))+ISNUMBER(SEARCH("Chief Financial",C1632))+ISNUMBER(SEARCH("Gerente General",C1632))+ISNUMBER(SEARCH("General Manager",C1632))&gt;0,'Configuración'!$B$34,'Configuración'!$B$35)))))</f>
        <v>12</v>
      </c>
      <c r="V1632" s="38">
        <f>IF(B1632="","",IF(K1632="Sí",'Configuración'!$B$5,0)+IF(L1632="Semanal",'Configuración'!$B$6,IF(L1632="Mensual",'Configuración'!$B$7,0))+IF(M1632="Sí",'Configuración'!$B$8,0)+IF(N1632="Sí",'Configuración'!$B$9,0)+IF(O1632="Sí",'Configuración'!$B$10,0)+IF(P1632="Sí",'Configuración'!$B$11,0)+IF(Q1632="Sí",'Configuración'!$B$12,0)+S1632+T1632+U1632)</f>
        <v>20</v>
      </c>
      <c r="W1632" s="39" t="str">
        <f>IF(B1632="","",IF(V1632&gt;='Configuración'!$B$19,"A",IF(V1632&gt;='Configuración'!$B$20,"B",IF(V1632&gt;='Configuración'!$B$21,"C","Descarte"))))</f>
        <v>Descarte</v>
      </c>
    </row>
    <row r="1633" ht="15.75" customHeight="1">
      <c r="A1633" s="34">
        <f t="shared" si="1"/>
        <v>1631</v>
      </c>
      <c r="B1633" s="29" t="s">
        <v>2042</v>
      </c>
      <c r="C1633" s="29" t="s">
        <v>304</v>
      </c>
      <c r="D1633" s="29" t="s">
        <v>9159</v>
      </c>
      <c r="E1633" s="29" t="s">
        <v>9160</v>
      </c>
      <c r="F1633" s="30" t="s">
        <v>9161</v>
      </c>
      <c r="G1633" s="30" t="s">
        <v>9162</v>
      </c>
      <c r="H1633" s="42" t="s">
        <v>9163</v>
      </c>
      <c r="I1633" s="29" t="s">
        <v>127</v>
      </c>
      <c r="J1633" s="31">
        <v>41.0</v>
      </c>
      <c r="K1633" s="35"/>
      <c r="L1633" s="35"/>
      <c r="M1633" s="35"/>
      <c r="N1633" s="35"/>
      <c r="O1633" s="35"/>
      <c r="P1633" s="35"/>
      <c r="Q1633" s="35"/>
      <c r="R1633" s="35"/>
      <c r="S1633" s="37">
        <f>IF(B1633="","",IF(ISNUMBER(J1633),IF(J1633&lt;=10,'Configuración'!$B$23,IF(J1633&lt;=50,'Configuración'!$B$24,IF(J1633&lt;=200,'Configuración'!$B$25,0))),0))</f>
        <v>4</v>
      </c>
      <c r="T1633" s="37">
        <f>IF(B1633="","",IF(ISNUMBER(SEARCH("information technology",I1633))+ISNUMBER(SEARCH("software",I1633))+ISNUMBER(SEARCH("internet",I1633))+ISNUMBER(SEARCH("computer",I1633))+ISNUMBER(SEARCH("saas",I1633))+ISNUMBER(SEARCH("fintech",I1633))+ISNUMBER(SEARCH("information services",I1633))+ISNUMBER(SEARCH("telecommunications",I1633))&gt;0,'Configuración'!$B$27,'Configuración'!$B$28))</f>
        <v>12</v>
      </c>
      <c r="U1633" s="25">
        <f>IF(B1633="","",IF(ISNUMBER(SEARCH("CEO",C1633))+ISNUMBER(SEARCH("Founder",C1633))+ISNUMBER(SEARCH("Owner",C1633))+ISNUMBER(SEARCH("Dueño",C1633))+ISNUMBER(SEARCH("Director General",C1633))+ISNUMBER(SEARCH("Presidente",C1633))+ISNUMBER(SEARCH("President",C1633))&gt;0,'Configuración'!$B$31,IF(ISNUMBER(SEARCH("CMO",C1633))+ISNUMBER(SEARCH("Chief Marketing",C1633))+ISNUMBER(SEARCH("VP Marketing",C1633))+ISNUMBER(SEARCH("Director de Marketing",C1633))+ISNUMBER(SEARCH("Director Marketing",C1633))+ISNUMBER(SEARCH("Head of Marketing",C1633))+ISNUMBER(SEARCH("Head Marketing",C1633))&gt;0,'Configuración'!$B$32,IF(ISNUMBER(SEARCH("Marketing Manager",C1633))+ISNUMBER(SEARCH("Gerente de Marketing",C1633))+ISNUMBER(SEARCH("Growth Manager",C1633))+ISNUMBER(SEARCH("Demand Gen",C1633))+ISNUMBER(SEARCH("Marketing Lead",C1633))&gt;0,'Configuración'!$B$33,IF(ISNUMBER(SEARCH("COO",C1633))+ISNUMBER(SEARCH("CFO",C1633))+ISNUMBER(SEARCH("CTO",C1633))+ISNUMBER(SEARCH("Chief Operating",C1633))+ISNUMBER(SEARCH("Chief Financial",C1633))+ISNUMBER(SEARCH("Gerente General",C1633))+ISNUMBER(SEARCH("General Manager",C1633))&gt;0,'Configuración'!$B$34,'Configuración'!$B$35)))))</f>
        <v>4</v>
      </c>
      <c r="V1633" s="38">
        <f>IF(B1633="","",IF(K1633="Sí",'Configuración'!$B$5,0)+IF(L1633="Semanal",'Configuración'!$B$6,IF(L1633="Mensual",'Configuración'!$B$7,0))+IF(M1633="Sí",'Configuración'!$B$8,0)+IF(N1633="Sí",'Configuración'!$B$9,0)+IF(O1633="Sí",'Configuración'!$B$10,0)+IF(P1633="Sí",'Configuración'!$B$11,0)+IF(Q1633="Sí",'Configuración'!$B$12,0)+S1633+T1633+U1633)</f>
        <v>20</v>
      </c>
      <c r="W1633" s="39" t="str">
        <f>IF(B1633="","",IF(V1633&gt;='Configuración'!$B$19,"A",IF(V1633&gt;='Configuración'!$B$20,"B",IF(V1633&gt;='Configuración'!$B$21,"C","Descarte"))))</f>
        <v>Descarte</v>
      </c>
    </row>
    <row r="1634" ht="15.75" customHeight="1">
      <c r="A1634" s="34">
        <f t="shared" si="1"/>
        <v>1632</v>
      </c>
      <c r="B1634" s="29" t="s">
        <v>174</v>
      </c>
      <c r="C1634" s="29" t="s">
        <v>146</v>
      </c>
      <c r="D1634" s="29" t="s">
        <v>9164</v>
      </c>
      <c r="E1634" s="29" t="s">
        <v>9165</v>
      </c>
      <c r="F1634" s="30" t="s">
        <v>9166</v>
      </c>
      <c r="G1634" s="30" t="s">
        <v>9167</v>
      </c>
      <c r="H1634" s="42" t="s">
        <v>9168</v>
      </c>
      <c r="I1634" s="29" t="s">
        <v>3212</v>
      </c>
      <c r="J1634" s="31">
        <v>11.0</v>
      </c>
      <c r="K1634" s="35"/>
      <c r="L1634" s="35"/>
      <c r="M1634" s="35"/>
      <c r="N1634" s="35"/>
      <c r="O1634" s="35"/>
      <c r="P1634" s="35"/>
      <c r="Q1634" s="35"/>
      <c r="R1634" s="35"/>
      <c r="S1634" s="37">
        <f>IF(B1634="","",IF(ISNUMBER(J1634),IF(J1634&lt;=10,'Configuración'!$B$23,IF(J1634&lt;=50,'Configuración'!$B$24,IF(J1634&lt;=200,'Configuración'!$B$25,0))),0))</f>
        <v>4</v>
      </c>
      <c r="T1634" s="37">
        <f>IF(B1634="","",IF(ISNUMBER(SEARCH("information technology",I1634))+ISNUMBER(SEARCH("software",I1634))+ISNUMBER(SEARCH("internet",I1634))+ISNUMBER(SEARCH("computer",I1634))+ISNUMBER(SEARCH("saas",I1634))+ISNUMBER(SEARCH("fintech",I1634))+ISNUMBER(SEARCH("information services",I1634))+ISNUMBER(SEARCH("telecommunications",I1634))&gt;0,'Configuración'!$B$27,'Configuración'!$B$28))</f>
        <v>4</v>
      </c>
      <c r="U1634" s="25">
        <f>IF(B1634="","",IF(ISNUMBER(SEARCH("CEO",C1634))+ISNUMBER(SEARCH("Founder",C1634))+ISNUMBER(SEARCH("Owner",C1634))+ISNUMBER(SEARCH("Dueño",C1634))+ISNUMBER(SEARCH("Director General",C1634))+ISNUMBER(SEARCH("Presidente",C1634))+ISNUMBER(SEARCH("President",C1634))&gt;0,'Configuración'!$B$31,IF(ISNUMBER(SEARCH("CMO",C1634))+ISNUMBER(SEARCH("Chief Marketing",C1634))+ISNUMBER(SEARCH("VP Marketing",C1634))+ISNUMBER(SEARCH("Director de Marketing",C1634))+ISNUMBER(SEARCH("Director Marketing",C1634))+ISNUMBER(SEARCH("Head of Marketing",C1634))+ISNUMBER(SEARCH("Head Marketing",C1634))&gt;0,'Configuración'!$B$32,IF(ISNUMBER(SEARCH("Marketing Manager",C1634))+ISNUMBER(SEARCH("Gerente de Marketing",C1634))+ISNUMBER(SEARCH("Growth Manager",C1634))+ISNUMBER(SEARCH("Demand Gen",C1634))+ISNUMBER(SEARCH("Marketing Lead",C1634))&gt;0,'Configuración'!$B$33,IF(ISNUMBER(SEARCH("COO",C1634))+ISNUMBER(SEARCH("CFO",C1634))+ISNUMBER(SEARCH("CTO",C1634))+ISNUMBER(SEARCH("Chief Operating",C1634))+ISNUMBER(SEARCH("Chief Financial",C1634))+ISNUMBER(SEARCH("Gerente General",C1634))+ISNUMBER(SEARCH("General Manager",C1634))&gt;0,'Configuración'!$B$34,'Configuración'!$B$35)))))</f>
        <v>0</v>
      </c>
      <c r="V1634" s="38">
        <f>IF(B1634="","",IF(K1634="Sí",'Configuración'!$B$5,0)+IF(L1634="Semanal",'Configuración'!$B$6,IF(L1634="Mensual",'Configuración'!$B$7,0))+IF(M1634="Sí",'Configuración'!$B$8,0)+IF(N1634="Sí",'Configuración'!$B$9,0)+IF(O1634="Sí",'Configuración'!$B$10,0)+IF(P1634="Sí",'Configuración'!$B$11,0)+IF(Q1634="Sí",'Configuración'!$B$12,0)+S1634+T1634+U1634)</f>
        <v>8</v>
      </c>
      <c r="W1634" s="39" t="str">
        <f>IF(B1634="","",IF(V1634&gt;='Configuración'!$B$19,"A",IF(V1634&gt;='Configuración'!$B$20,"B",IF(V1634&gt;='Configuración'!$B$21,"C","Descarte"))))</f>
        <v>Descarte</v>
      </c>
    </row>
    <row r="1635" ht="15.75" customHeight="1">
      <c r="A1635" s="34">
        <f t="shared" si="1"/>
        <v>1633</v>
      </c>
      <c r="B1635" s="29" t="s">
        <v>1008</v>
      </c>
      <c r="C1635" s="29" t="s">
        <v>202</v>
      </c>
      <c r="D1635" s="29" t="s">
        <v>9169</v>
      </c>
      <c r="E1635" s="29" t="s">
        <v>9170</v>
      </c>
      <c r="F1635" s="30" t="s">
        <v>9171</v>
      </c>
      <c r="G1635" s="30" t="s">
        <v>9172</v>
      </c>
      <c r="H1635" s="42" t="s">
        <v>9173</v>
      </c>
      <c r="I1635" s="29" t="s">
        <v>116</v>
      </c>
      <c r="J1635" s="31">
        <v>2.0</v>
      </c>
      <c r="K1635" s="35"/>
      <c r="L1635" s="35"/>
      <c r="M1635" s="35"/>
      <c r="N1635" s="35"/>
      <c r="O1635" s="35"/>
      <c r="P1635" s="35"/>
      <c r="Q1635" s="35"/>
      <c r="R1635" s="35"/>
      <c r="S1635" s="37">
        <f>IF(B1635="","",IF(ISNUMBER(J1635),IF(J1635&lt;=10,'Configuración'!$B$23,IF(J1635&lt;=50,'Configuración'!$B$24,IF(J1635&lt;=200,'Configuración'!$B$25,0))),0))</f>
        <v>12</v>
      </c>
      <c r="T1635" s="37">
        <f>IF(B1635="","",IF(ISNUMBER(SEARCH("information technology",I1635))+ISNUMBER(SEARCH("software",I1635))+ISNUMBER(SEARCH("internet",I1635))+ISNUMBER(SEARCH("computer",I1635))+ISNUMBER(SEARCH("saas",I1635))+ISNUMBER(SEARCH("fintech",I1635))+ISNUMBER(SEARCH("information services",I1635))+ISNUMBER(SEARCH("telecommunications",I1635))&gt;0,'Configuración'!$B$27,'Configuración'!$B$28))</f>
        <v>4</v>
      </c>
      <c r="U1635" s="25">
        <f>IF(B1635="","",IF(ISNUMBER(SEARCH("CEO",C1635))+ISNUMBER(SEARCH("Founder",C1635))+ISNUMBER(SEARCH("Owner",C1635))+ISNUMBER(SEARCH("Dueño",C1635))+ISNUMBER(SEARCH("Director General",C1635))+ISNUMBER(SEARCH("Presidente",C1635))+ISNUMBER(SEARCH("President",C1635))&gt;0,'Configuración'!$B$31,IF(ISNUMBER(SEARCH("CMO",C1635))+ISNUMBER(SEARCH("Chief Marketing",C1635))+ISNUMBER(SEARCH("VP Marketing",C1635))+ISNUMBER(SEARCH("Director de Marketing",C1635))+ISNUMBER(SEARCH("Director Marketing",C1635))+ISNUMBER(SEARCH("Head of Marketing",C1635))+ISNUMBER(SEARCH("Head Marketing",C1635))&gt;0,'Configuración'!$B$32,IF(ISNUMBER(SEARCH("Marketing Manager",C1635))+ISNUMBER(SEARCH("Gerente de Marketing",C1635))+ISNUMBER(SEARCH("Growth Manager",C1635))+ISNUMBER(SEARCH("Demand Gen",C1635))+ISNUMBER(SEARCH("Marketing Lead",C1635))&gt;0,'Configuración'!$B$33,IF(ISNUMBER(SEARCH("COO",C1635))+ISNUMBER(SEARCH("CFO",C1635))+ISNUMBER(SEARCH("CTO",C1635))+ISNUMBER(SEARCH("Chief Operating",C1635))+ISNUMBER(SEARCH("Chief Financial",C1635))+ISNUMBER(SEARCH("Gerente General",C1635))+ISNUMBER(SEARCH("General Manager",C1635))&gt;0,'Configuración'!$B$34,'Configuración'!$B$35)))))</f>
        <v>12</v>
      </c>
      <c r="V1635" s="38">
        <f>IF(B1635="","",IF(K1635="Sí",'Configuración'!$B$5,0)+IF(L1635="Semanal",'Configuración'!$B$6,IF(L1635="Mensual",'Configuración'!$B$7,0))+IF(M1635="Sí",'Configuración'!$B$8,0)+IF(N1635="Sí",'Configuración'!$B$9,0)+IF(O1635="Sí",'Configuración'!$B$10,0)+IF(P1635="Sí",'Configuración'!$B$11,0)+IF(Q1635="Sí",'Configuración'!$B$12,0)+S1635+T1635+U1635)</f>
        <v>28</v>
      </c>
      <c r="W1635" s="39" t="str">
        <f>IF(B1635="","",IF(V1635&gt;='Configuración'!$B$19,"A",IF(V1635&gt;='Configuración'!$B$20,"B",IF(V1635&gt;='Configuración'!$B$21,"C","Descarte"))))</f>
        <v>C</v>
      </c>
    </row>
    <row r="1636" ht="15.75" customHeight="1">
      <c r="A1636" s="34">
        <f t="shared" si="1"/>
        <v>1634</v>
      </c>
      <c r="B1636" s="29" t="s">
        <v>3492</v>
      </c>
      <c r="C1636" s="29" t="s">
        <v>9174</v>
      </c>
      <c r="D1636" s="29" t="s">
        <v>9175</v>
      </c>
      <c r="E1636" s="29" t="s">
        <v>9176</v>
      </c>
      <c r="F1636" s="30" t="s">
        <v>9177</v>
      </c>
      <c r="G1636" s="30" t="s">
        <v>9178</v>
      </c>
      <c r="H1636" s="42" t="s">
        <v>9179</v>
      </c>
      <c r="I1636" s="29" t="s">
        <v>310</v>
      </c>
      <c r="J1636" s="31">
        <v>31.0</v>
      </c>
      <c r="K1636" s="35"/>
      <c r="L1636" s="35"/>
      <c r="M1636" s="35"/>
      <c r="N1636" s="35"/>
      <c r="O1636" s="35"/>
      <c r="P1636" s="35"/>
      <c r="Q1636" s="35"/>
      <c r="R1636" s="35"/>
      <c r="S1636" s="37">
        <f>IF(B1636="","",IF(ISNUMBER(J1636),IF(J1636&lt;=10,'Configuración'!$B$23,IF(J1636&lt;=50,'Configuración'!$B$24,IF(J1636&lt;=200,'Configuración'!$B$25,0))),0))</f>
        <v>4</v>
      </c>
      <c r="T1636" s="37">
        <f>IF(B1636="","",IF(ISNUMBER(SEARCH("information technology",I1636))+ISNUMBER(SEARCH("software",I1636))+ISNUMBER(SEARCH("internet",I1636))+ISNUMBER(SEARCH("computer",I1636))+ISNUMBER(SEARCH("saas",I1636))+ISNUMBER(SEARCH("fintech",I1636))+ISNUMBER(SEARCH("information services",I1636))+ISNUMBER(SEARCH("telecommunications",I1636))&gt;0,'Configuración'!$B$27,'Configuración'!$B$28))</f>
        <v>4</v>
      </c>
      <c r="U1636" s="25">
        <f>IF(B1636="","",IF(ISNUMBER(SEARCH("CEO",C1636))+ISNUMBER(SEARCH("Founder",C1636))+ISNUMBER(SEARCH("Owner",C1636))+ISNUMBER(SEARCH("Dueño",C1636))+ISNUMBER(SEARCH("Director General",C1636))+ISNUMBER(SEARCH("Presidente",C1636))+ISNUMBER(SEARCH("President",C1636))&gt;0,'Configuración'!$B$31,IF(ISNUMBER(SEARCH("CMO",C1636))+ISNUMBER(SEARCH("Chief Marketing",C1636))+ISNUMBER(SEARCH("VP Marketing",C1636))+ISNUMBER(SEARCH("Director de Marketing",C1636))+ISNUMBER(SEARCH("Director Marketing",C1636))+ISNUMBER(SEARCH("Head of Marketing",C1636))+ISNUMBER(SEARCH("Head Marketing",C1636))&gt;0,'Configuración'!$B$32,IF(ISNUMBER(SEARCH("Marketing Manager",C1636))+ISNUMBER(SEARCH("Gerente de Marketing",C1636))+ISNUMBER(SEARCH("Growth Manager",C1636))+ISNUMBER(SEARCH("Demand Gen",C1636))+ISNUMBER(SEARCH("Marketing Lead",C1636))&gt;0,'Configuración'!$B$33,IF(ISNUMBER(SEARCH("COO",C1636))+ISNUMBER(SEARCH("CFO",C1636))+ISNUMBER(SEARCH("CTO",C1636))+ISNUMBER(SEARCH("Chief Operating",C1636))+ISNUMBER(SEARCH("Chief Financial",C1636))+ISNUMBER(SEARCH("Gerente General",C1636))+ISNUMBER(SEARCH("General Manager",C1636))&gt;0,'Configuración'!$B$34,'Configuración'!$B$35)))))</f>
        <v>12</v>
      </c>
      <c r="V1636" s="38">
        <f>IF(B1636="","",IF(K1636="Sí",'Configuración'!$B$5,0)+IF(L1636="Semanal",'Configuración'!$B$6,IF(L1636="Mensual",'Configuración'!$B$7,0))+IF(M1636="Sí",'Configuración'!$B$8,0)+IF(N1636="Sí",'Configuración'!$B$9,0)+IF(O1636="Sí",'Configuración'!$B$10,0)+IF(P1636="Sí",'Configuración'!$B$11,0)+IF(Q1636="Sí",'Configuración'!$B$12,0)+S1636+T1636+U1636)</f>
        <v>20</v>
      </c>
      <c r="W1636" s="39" t="str">
        <f>IF(B1636="","",IF(V1636&gt;='Configuración'!$B$19,"A",IF(V1636&gt;='Configuración'!$B$20,"B",IF(V1636&gt;='Configuración'!$B$21,"C","Descarte"))))</f>
        <v>Descarte</v>
      </c>
    </row>
    <row r="1637" ht="15.75" customHeight="1">
      <c r="A1637" s="34">
        <f t="shared" si="1"/>
        <v>1635</v>
      </c>
      <c r="B1637" s="29" t="s">
        <v>109</v>
      </c>
      <c r="C1637" s="29" t="s">
        <v>9180</v>
      </c>
      <c r="D1637" s="29" t="s">
        <v>9181</v>
      </c>
      <c r="E1637" s="29" t="s">
        <v>9182</v>
      </c>
      <c r="F1637" s="30" t="s">
        <v>9183</v>
      </c>
      <c r="G1637" s="30" t="s">
        <v>9184</v>
      </c>
      <c r="H1637" s="42" t="s">
        <v>9185</v>
      </c>
      <c r="I1637" s="29" t="s">
        <v>127</v>
      </c>
      <c r="J1637" s="31">
        <v>2.0</v>
      </c>
      <c r="K1637" s="35"/>
      <c r="L1637" s="35"/>
      <c r="M1637" s="35"/>
      <c r="N1637" s="35"/>
      <c r="O1637" s="35"/>
      <c r="P1637" s="35"/>
      <c r="Q1637" s="35"/>
      <c r="R1637" s="35"/>
      <c r="S1637" s="37">
        <f>IF(B1637="","",IF(ISNUMBER(J1637),IF(J1637&lt;=10,'Configuración'!$B$23,IF(J1637&lt;=50,'Configuración'!$B$24,IF(J1637&lt;=200,'Configuración'!$B$25,0))),0))</f>
        <v>12</v>
      </c>
      <c r="T1637" s="37">
        <f>IF(B1637="","",IF(ISNUMBER(SEARCH("information technology",I1637))+ISNUMBER(SEARCH("software",I1637))+ISNUMBER(SEARCH("internet",I1637))+ISNUMBER(SEARCH("computer",I1637))+ISNUMBER(SEARCH("saas",I1637))+ISNUMBER(SEARCH("fintech",I1637))+ISNUMBER(SEARCH("information services",I1637))+ISNUMBER(SEARCH("telecommunications",I1637))&gt;0,'Configuración'!$B$27,'Configuración'!$B$28))</f>
        <v>12</v>
      </c>
      <c r="U1637" s="25">
        <f>IF(B1637="","",IF(ISNUMBER(SEARCH("CEO",C1637))+ISNUMBER(SEARCH("Founder",C1637))+ISNUMBER(SEARCH("Owner",C1637))+ISNUMBER(SEARCH("Dueño",C1637))+ISNUMBER(SEARCH("Director General",C1637))+ISNUMBER(SEARCH("Presidente",C1637))+ISNUMBER(SEARCH("President",C1637))&gt;0,'Configuración'!$B$31,IF(ISNUMBER(SEARCH("CMO",C1637))+ISNUMBER(SEARCH("Chief Marketing",C1637))+ISNUMBER(SEARCH("VP Marketing",C1637))+ISNUMBER(SEARCH("Director de Marketing",C1637))+ISNUMBER(SEARCH("Director Marketing",C1637))+ISNUMBER(SEARCH("Head of Marketing",C1637))+ISNUMBER(SEARCH("Head Marketing",C1637))&gt;0,'Configuración'!$B$32,IF(ISNUMBER(SEARCH("Marketing Manager",C1637))+ISNUMBER(SEARCH("Gerente de Marketing",C1637))+ISNUMBER(SEARCH("Growth Manager",C1637))+ISNUMBER(SEARCH("Demand Gen",C1637))+ISNUMBER(SEARCH("Marketing Lead",C1637))&gt;0,'Configuración'!$B$33,IF(ISNUMBER(SEARCH("COO",C1637))+ISNUMBER(SEARCH("CFO",C1637))+ISNUMBER(SEARCH("CTO",C1637))+ISNUMBER(SEARCH("Chief Operating",C1637))+ISNUMBER(SEARCH("Chief Financial",C1637))+ISNUMBER(SEARCH("Gerente General",C1637))+ISNUMBER(SEARCH("General Manager",C1637))&gt;0,'Configuración'!$B$34,'Configuración'!$B$35)))))</f>
        <v>12</v>
      </c>
      <c r="V1637" s="38">
        <f>IF(B1637="","",IF(K1637="Sí",'Configuración'!$B$5,0)+IF(L1637="Semanal",'Configuración'!$B$6,IF(L1637="Mensual",'Configuración'!$B$7,0))+IF(M1637="Sí",'Configuración'!$B$8,0)+IF(N1637="Sí",'Configuración'!$B$9,0)+IF(O1637="Sí",'Configuración'!$B$10,0)+IF(P1637="Sí",'Configuración'!$B$11,0)+IF(Q1637="Sí",'Configuración'!$B$12,0)+S1637+T1637+U1637)</f>
        <v>36</v>
      </c>
      <c r="W1637" s="39" t="str">
        <f>IF(B1637="","",IF(V1637&gt;='Configuración'!$B$19,"A",IF(V1637&gt;='Configuración'!$B$20,"B",IF(V1637&gt;='Configuración'!$B$21,"C","Descarte"))))</f>
        <v>C</v>
      </c>
    </row>
    <row r="1638" ht="15.75" customHeight="1">
      <c r="A1638" s="34">
        <f t="shared" si="1"/>
        <v>1636</v>
      </c>
      <c r="B1638" s="29" t="s">
        <v>9186</v>
      </c>
      <c r="C1638" s="29" t="s">
        <v>9187</v>
      </c>
      <c r="D1638" s="29" t="s">
        <v>9188</v>
      </c>
      <c r="E1638" s="29" t="s">
        <v>9189</v>
      </c>
      <c r="F1638" s="30" t="s">
        <v>9190</v>
      </c>
      <c r="G1638" s="30" t="s">
        <v>9191</v>
      </c>
      <c r="H1638" s="42" t="s">
        <v>9192</v>
      </c>
      <c r="I1638" s="29" t="s">
        <v>137</v>
      </c>
      <c r="J1638" s="31">
        <v>3.0</v>
      </c>
      <c r="K1638" s="35"/>
      <c r="L1638" s="35"/>
      <c r="M1638" s="35"/>
      <c r="N1638" s="35"/>
      <c r="O1638" s="35"/>
      <c r="P1638" s="35"/>
      <c r="Q1638" s="35"/>
      <c r="R1638" s="35"/>
      <c r="S1638" s="37">
        <f>IF(B1638="","",IF(ISNUMBER(J1638),IF(J1638&lt;=10,'Configuración'!$B$23,IF(J1638&lt;=50,'Configuración'!$B$24,IF(J1638&lt;=200,'Configuración'!$B$25,0))),0))</f>
        <v>12</v>
      </c>
      <c r="T1638" s="37">
        <f>IF(B1638="","",IF(ISNUMBER(SEARCH("information technology",I1638))+ISNUMBER(SEARCH("software",I1638))+ISNUMBER(SEARCH("internet",I1638))+ISNUMBER(SEARCH("computer",I1638))+ISNUMBER(SEARCH("saas",I1638))+ISNUMBER(SEARCH("fintech",I1638))+ISNUMBER(SEARCH("information services",I1638))+ISNUMBER(SEARCH("telecommunications",I1638))&gt;0,'Configuración'!$B$27,'Configuración'!$B$28))</f>
        <v>4</v>
      </c>
      <c r="U1638" s="25">
        <f>IF(B1638="","",IF(ISNUMBER(SEARCH("CEO",C1638))+ISNUMBER(SEARCH("Founder",C1638))+ISNUMBER(SEARCH("Owner",C1638))+ISNUMBER(SEARCH("Dueño",C1638))+ISNUMBER(SEARCH("Director General",C1638))+ISNUMBER(SEARCH("Presidente",C1638))+ISNUMBER(SEARCH("President",C1638))&gt;0,'Configuración'!$B$31,IF(ISNUMBER(SEARCH("CMO",C1638))+ISNUMBER(SEARCH("Chief Marketing",C1638))+ISNUMBER(SEARCH("VP Marketing",C1638))+ISNUMBER(SEARCH("Director de Marketing",C1638))+ISNUMBER(SEARCH("Director Marketing",C1638))+ISNUMBER(SEARCH("Head of Marketing",C1638))+ISNUMBER(SEARCH("Head Marketing",C1638))&gt;0,'Configuración'!$B$32,IF(ISNUMBER(SEARCH("Marketing Manager",C1638))+ISNUMBER(SEARCH("Gerente de Marketing",C1638))+ISNUMBER(SEARCH("Growth Manager",C1638))+ISNUMBER(SEARCH("Demand Gen",C1638))+ISNUMBER(SEARCH("Marketing Lead",C1638))&gt;0,'Configuración'!$B$33,IF(ISNUMBER(SEARCH("COO",C1638))+ISNUMBER(SEARCH("CFO",C1638))+ISNUMBER(SEARCH("CTO",C1638))+ISNUMBER(SEARCH("Chief Operating",C1638))+ISNUMBER(SEARCH("Chief Financial",C1638))+ISNUMBER(SEARCH("Gerente General",C1638))+ISNUMBER(SEARCH("General Manager",C1638))&gt;0,'Configuración'!$B$34,'Configuración'!$B$35)))))</f>
        <v>12</v>
      </c>
      <c r="V1638" s="38">
        <f>IF(B1638="","",IF(K1638="Sí",'Configuración'!$B$5,0)+IF(L1638="Semanal",'Configuración'!$B$6,IF(L1638="Mensual",'Configuración'!$B$7,0))+IF(M1638="Sí",'Configuración'!$B$8,0)+IF(N1638="Sí",'Configuración'!$B$9,0)+IF(O1638="Sí",'Configuración'!$B$10,0)+IF(P1638="Sí",'Configuración'!$B$11,0)+IF(Q1638="Sí",'Configuración'!$B$12,0)+S1638+T1638+U1638)</f>
        <v>28</v>
      </c>
      <c r="W1638" s="39" t="str">
        <f>IF(B1638="","",IF(V1638&gt;='Configuración'!$B$19,"A",IF(V1638&gt;='Configuración'!$B$20,"B",IF(V1638&gt;='Configuración'!$B$21,"C","Descarte"))))</f>
        <v>C</v>
      </c>
    </row>
    <row r="1639" ht="15.75" customHeight="1">
      <c r="A1639" s="34">
        <f t="shared" si="1"/>
        <v>1637</v>
      </c>
      <c r="B1639" s="29" t="s">
        <v>138</v>
      </c>
      <c r="C1639" s="29" t="s">
        <v>622</v>
      </c>
      <c r="D1639" s="29" t="s">
        <v>9193</v>
      </c>
      <c r="E1639" s="29" t="s">
        <v>9194</v>
      </c>
      <c r="F1639" s="30" t="s">
        <v>9195</v>
      </c>
      <c r="G1639" s="30" t="s">
        <v>9196</v>
      </c>
      <c r="H1639" s="42" t="s">
        <v>9197</v>
      </c>
      <c r="I1639" s="29" t="s">
        <v>127</v>
      </c>
      <c r="J1639" s="31">
        <v>7.0</v>
      </c>
      <c r="K1639" s="35"/>
      <c r="L1639" s="35"/>
      <c r="M1639" s="35"/>
      <c r="N1639" s="35"/>
      <c r="O1639" s="35"/>
      <c r="P1639" s="35"/>
      <c r="Q1639" s="35"/>
      <c r="R1639" s="35"/>
      <c r="S1639" s="37">
        <f>IF(B1639="","",IF(ISNUMBER(J1639),IF(J1639&lt;=10,'Configuración'!$B$23,IF(J1639&lt;=50,'Configuración'!$B$24,IF(J1639&lt;=200,'Configuración'!$B$25,0))),0))</f>
        <v>12</v>
      </c>
      <c r="T1639" s="37">
        <f>IF(B1639="","",IF(ISNUMBER(SEARCH("information technology",I1639))+ISNUMBER(SEARCH("software",I1639))+ISNUMBER(SEARCH("internet",I1639))+ISNUMBER(SEARCH("computer",I1639))+ISNUMBER(SEARCH("saas",I1639))+ISNUMBER(SEARCH("fintech",I1639))+ISNUMBER(SEARCH("information services",I1639))+ISNUMBER(SEARCH("telecommunications",I1639))&gt;0,'Configuración'!$B$27,'Configuración'!$B$28))</f>
        <v>12</v>
      </c>
      <c r="U1639" s="25">
        <f>IF(B1639="","",IF(ISNUMBER(SEARCH("CEO",C1639))+ISNUMBER(SEARCH("Founder",C1639))+ISNUMBER(SEARCH("Owner",C1639))+ISNUMBER(SEARCH("Dueño",C1639))+ISNUMBER(SEARCH("Director General",C1639))+ISNUMBER(SEARCH("Presidente",C1639))+ISNUMBER(SEARCH("President",C1639))&gt;0,'Configuración'!$B$31,IF(ISNUMBER(SEARCH("CMO",C1639))+ISNUMBER(SEARCH("Chief Marketing",C1639))+ISNUMBER(SEARCH("VP Marketing",C1639))+ISNUMBER(SEARCH("Director de Marketing",C1639))+ISNUMBER(SEARCH("Director Marketing",C1639))+ISNUMBER(SEARCH("Head of Marketing",C1639))+ISNUMBER(SEARCH("Head Marketing",C1639))&gt;0,'Configuración'!$B$32,IF(ISNUMBER(SEARCH("Marketing Manager",C1639))+ISNUMBER(SEARCH("Gerente de Marketing",C1639))+ISNUMBER(SEARCH("Growth Manager",C1639))+ISNUMBER(SEARCH("Demand Gen",C1639))+ISNUMBER(SEARCH("Marketing Lead",C1639))&gt;0,'Configuración'!$B$33,IF(ISNUMBER(SEARCH("COO",C1639))+ISNUMBER(SEARCH("CFO",C1639))+ISNUMBER(SEARCH("CTO",C1639))+ISNUMBER(SEARCH("Chief Operating",C1639))+ISNUMBER(SEARCH("Chief Financial",C1639))+ISNUMBER(SEARCH("Gerente General",C1639))+ISNUMBER(SEARCH("General Manager",C1639))&gt;0,'Configuración'!$B$34,'Configuración'!$B$35)))))</f>
        <v>12</v>
      </c>
      <c r="V1639" s="38">
        <f>IF(B1639="","",IF(K1639="Sí",'Configuración'!$B$5,0)+IF(L1639="Semanal",'Configuración'!$B$6,IF(L1639="Mensual",'Configuración'!$B$7,0))+IF(M1639="Sí",'Configuración'!$B$8,0)+IF(N1639="Sí",'Configuración'!$B$9,0)+IF(O1639="Sí",'Configuración'!$B$10,0)+IF(P1639="Sí",'Configuración'!$B$11,0)+IF(Q1639="Sí",'Configuración'!$B$12,0)+S1639+T1639+U1639)</f>
        <v>36</v>
      </c>
      <c r="W1639" s="39" t="str">
        <f>IF(B1639="","",IF(V1639&gt;='Configuración'!$B$19,"A",IF(V1639&gt;='Configuración'!$B$20,"B",IF(V1639&gt;='Configuración'!$B$21,"C","Descarte"))))</f>
        <v>C</v>
      </c>
    </row>
    <row r="1640" ht="15.75" customHeight="1">
      <c r="A1640" s="34">
        <f t="shared" si="1"/>
        <v>1638</v>
      </c>
      <c r="B1640" s="29" t="s">
        <v>749</v>
      </c>
      <c r="C1640" s="29" t="s">
        <v>1938</v>
      </c>
      <c r="D1640" s="29" t="s">
        <v>732</v>
      </c>
      <c r="E1640" s="29" t="s">
        <v>9198</v>
      </c>
      <c r="F1640" s="30" t="s">
        <v>9199</v>
      </c>
      <c r="G1640" s="30" t="s">
        <v>735</v>
      </c>
      <c r="H1640" s="42" t="s">
        <v>736</v>
      </c>
      <c r="I1640" s="29" t="s">
        <v>116</v>
      </c>
      <c r="J1640" s="31">
        <v>31.0</v>
      </c>
      <c r="K1640" s="35"/>
      <c r="L1640" s="35"/>
      <c r="M1640" s="35"/>
      <c r="N1640" s="35"/>
      <c r="O1640" s="35"/>
      <c r="P1640" s="35"/>
      <c r="Q1640" s="35"/>
      <c r="R1640" s="35"/>
      <c r="S1640" s="37">
        <f>IF(B1640="","",IF(ISNUMBER(J1640),IF(J1640&lt;=10,'Configuración'!$B$23,IF(J1640&lt;=50,'Configuración'!$B$24,IF(J1640&lt;=200,'Configuración'!$B$25,0))),0))</f>
        <v>4</v>
      </c>
      <c r="T1640" s="37">
        <f>IF(B1640="","",IF(ISNUMBER(SEARCH("information technology",I1640))+ISNUMBER(SEARCH("software",I1640))+ISNUMBER(SEARCH("internet",I1640))+ISNUMBER(SEARCH("computer",I1640))+ISNUMBER(SEARCH("saas",I1640))+ISNUMBER(SEARCH("fintech",I1640))+ISNUMBER(SEARCH("information services",I1640))+ISNUMBER(SEARCH("telecommunications",I1640))&gt;0,'Configuración'!$B$27,'Configuración'!$B$28))</f>
        <v>4</v>
      </c>
      <c r="U1640" s="25">
        <f>IF(B1640="","",IF(ISNUMBER(SEARCH("CEO",C1640))+ISNUMBER(SEARCH("Founder",C1640))+ISNUMBER(SEARCH("Owner",C1640))+ISNUMBER(SEARCH("Dueño",C1640))+ISNUMBER(SEARCH("Director General",C1640))+ISNUMBER(SEARCH("Presidente",C1640))+ISNUMBER(SEARCH("President",C1640))&gt;0,'Configuración'!$B$31,IF(ISNUMBER(SEARCH("CMO",C1640))+ISNUMBER(SEARCH("Chief Marketing",C1640))+ISNUMBER(SEARCH("VP Marketing",C1640))+ISNUMBER(SEARCH("Director de Marketing",C1640))+ISNUMBER(SEARCH("Director Marketing",C1640))+ISNUMBER(SEARCH("Head of Marketing",C1640))+ISNUMBER(SEARCH("Head Marketing",C1640))&gt;0,'Configuración'!$B$32,IF(ISNUMBER(SEARCH("Marketing Manager",C1640))+ISNUMBER(SEARCH("Gerente de Marketing",C1640))+ISNUMBER(SEARCH("Growth Manager",C1640))+ISNUMBER(SEARCH("Demand Gen",C1640))+ISNUMBER(SEARCH("Marketing Lead",C1640))&gt;0,'Configuración'!$B$33,IF(ISNUMBER(SEARCH("COO",C1640))+ISNUMBER(SEARCH("CFO",C1640))+ISNUMBER(SEARCH("CTO",C1640))+ISNUMBER(SEARCH("Chief Operating",C1640))+ISNUMBER(SEARCH("Chief Financial",C1640))+ISNUMBER(SEARCH("Gerente General",C1640))+ISNUMBER(SEARCH("General Manager",C1640))&gt;0,'Configuración'!$B$34,'Configuración'!$B$35)))))</f>
        <v>12</v>
      </c>
      <c r="V1640" s="38">
        <f>IF(B1640="","",IF(K1640="Sí",'Configuración'!$B$5,0)+IF(L1640="Semanal",'Configuración'!$B$6,IF(L1640="Mensual",'Configuración'!$B$7,0))+IF(M1640="Sí",'Configuración'!$B$8,0)+IF(N1640="Sí",'Configuración'!$B$9,0)+IF(O1640="Sí",'Configuración'!$B$10,0)+IF(P1640="Sí",'Configuración'!$B$11,0)+IF(Q1640="Sí",'Configuración'!$B$12,0)+S1640+T1640+U1640)</f>
        <v>20</v>
      </c>
      <c r="W1640" s="39" t="str">
        <f>IF(B1640="","",IF(V1640&gt;='Configuración'!$B$19,"A",IF(V1640&gt;='Configuración'!$B$20,"B",IF(V1640&gt;='Configuración'!$B$21,"C","Descarte"))))</f>
        <v>Descarte</v>
      </c>
    </row>
    <row r="1641" ht="15.75" customHeight="1">
      <c r="A1641" s="34">
        <f t="shared" si="1"/>
        <v>1639</v>
      </c>
      <c r="B1641" s="29" t="s">
        <v>262</v>
      </c>
      <c r="C1641" s="29" t="s">
        <v>2695</v>
      </c>
      <c r="D1641" s="29" t="s">
        <v>9200</v>
      </c>
      <c r="E1641" s="29" t="s">
        <v>9201</v>
      </c>
      <c r="F1641" s="30" t="s">
        <v>9202</v>
      </c>
      <c r="G1641" s="30" t="s">
        <v>9203</v>
      </c>
      <c r="H1641" s="42" t="s">
        <v>9204</v>
      </c>
      <c r="I1641" s="29" t="s">
        <v>2834</v>
      </c>
      <c r="J1641" s="31">
        <v>9.0</v>
      </c>
      <c r="K1641" s="35"/>
      <c r="L1641" s="35"/>
      <c r="M1641" s="35"/>
      <c r="N1641" s="35"/>
      <c r="O1641" s="35"/>
      <c r="P1641" s="35"/>
      <c r="Q1641" s="35"/>
      <c r="R1641" s="35"/>
      <c r="S1641" s="37">
        <f>IF(B1641="","",IF(ISNUMBER(J1641),IF(J1641&lt;=10,'Configuración'!$B$23,IF(J1641&lt;=50,'Configuración'!$B$24,IF(J1641&lt;=200,'Configuración'!$B$25,0))),0))</f>
        <v>12</v>
      </c>
      <c r="T1641" s="37">
        <f>IF(B1641="","",IF(ISNUMBER(SEARCH("information technology",I1641))+ISNUMBER(SEARCH("software",I1641))+ISNUMBER(SEARCH("internet",I1641))+ISNUMBER(SEARCH("computer",I1641))+ISNUMBER(SEARCH("saas",I1641))+ISNUMBER(SEARCH("fintech",I1641))+ISNUMBER(SEARCH("information services",I1641))+ISNUMBER(SEARCH("telecommunications",I1641))&gt;0,'Configuración'!$B$27,'Configuración'!$B$28))</f>
        <v>4</v>
      </c>
      <c r="U1641" s="25">
        <f>IF(B1641="","",IF(ISNUMBER(SEARCH("CEO",C1641))+ISNUMBER(SEARCH("Founder",C1641))+ISNUMBER(SEARCH("Owner",C1641))+ISNUMBER(SEARCH("Dueño",C1641))+ISNUMBER(SEARCH("Director General",C1641))+ISNUMBER(SEARCH("Presidente",C1641))+ISNUMBER(SEARCH("President",C1641))&gt;0,'Configuración'!$B$31,IF(ISNUMBER(SEARCH("CMO",C1641))+ISNUMBER(SEARCH("Chief Marketing",C1641))+ISNUMBER(SEARCH("VP Marketing",C1641))+ISNUMBER(SEARCH("Director de Marketing",C1641))+ISNUMBER(SEARCH("Director Marketing",C1641))+ISNUMBER(SEARCH("Head of Marketing",C1641))+ISNUMBER(SEARCH("Head Marketing",C1641))&gt;0,'Configuración'!$B$32,IF(ISNUMBER(SEARCH("Marketing Manager",C1641))+ISNUMBER(SEARCH("Gerente de Marketing",C1641))+ISNUMBER(SEARCH("Growth Manager",C1641))+ISNUMBER(SEARCH("Demand Gen",C1641))+ISNUMBER(SEARCH("Marketing Lead",C1641))&gt;0,'Configuración'!$B$33,IF(ISNUMBER(SEARCH("COO",C1641))+ISNUMBER(SEARCH("CFO",C1641))+ISNUMBER(SEARCH("CTO",C1641))+ISNUMBER(SEARCH("Chief Operating",C1641))+ISNUMBER(SEARCH("Chief Financial",C1641))+ISNUMBER(SEARCH("Gerente General",C1641))+ISNUMBER(SEARCH("General Manager",C1641))&gt;0,'Configuración'!$B$34,'Configuración'!$B$35)))))</f>
        <v>12</v>
      </c>
      <c r="V1641" s="38">
        <f>IF(B1641="","",IF(K1641="Sí",'Configuración'!$B$5,0)+IF(L1641="Semanal",'Configuración'!$B$6,IF(L1641="Mensual",'Configuración'!$B$7,0))+IF(M1641="Sí",'Configuración'!$B$8,0)+IF(N1641="Sí",'Configuración'!$B$9,0)+IF(O1641="Sí",'Configuración'!$B$10,0)+IF(P1641="Sí",'Configuración'!$B$11,0)+IF(Q1641="Sí",'Configuración'!$B$12,0)+S1641+T1641+U1641)</f>
        <v>28</v>
      </c>
      <c r="W1641" s="39" t="str">
        <f>IF(B1641="","",IF(V1641&gt;='Configuración'!$B$19,"A",IF(V1641&gt;='Configuración'!$B$20,"B",IF(V1641&gt;='Configuración'!$B$21,"C","Descarte"))))</f>
        <v>C</v>
      </c>
    </row>
    <row r="1642" ht="15.75" customHeight="1">
      <c r="A1642" s="34">
        <f t="shared" si="1"/>
        <v>1640</v>
      </c>
      <c r="B1642" s="29" t="s">
        <v>174</v>
      </c>
      <c r="C1642" s="29" t="s">
        <v>972</v>
      </c>
      <c r="D1642" s="29" t="s">
        <v>9205</v>
      </c>
      <c r="E1642" s="29" t="s">
        <v>9206</v>
      </c>
      <c r="F1642" s="30" t="s">
        <v>9207</v>
      </c>
      <c r="G1642" s="30" t="s">
        <v>9208</v>
      </c>
      <c r="H1642" s="42" t="s">
        <v>9209</v>
      </c>
      <c r="I1642" s="29" t="s">
        <v>127</v>
      </c>
      <c r="J1642" s="31">
        <v>21.0</v>
      </c>
      <c r="K1642" s="35"/>
      <c r="L1642" s="35"/>
      <c r="M1642" s="35"/>
      <c r="N1642" s="35"/>
      <c r="O1642" s="35"/>
      <c r="P1642" s="35"/>
      <c r="Q1642" s="35"/>
      <c r="R1642" s="35"/>
      <c r="S1642" s="37">
        <f>IF(B1642="","",IF(ISNUMBER(J1642),IF(J1642&lt;=10,'Configuración'!$B$23,IF(J1642&lt;=50,'Configuración'!$B$24,IF(J1642&lt;=200,'Configuración'!$B$25,0))),0))</f>
        <v>4</v>
      </c>
      <c r="T1642" s="37">
        <f>IF(B1642="","",IF(ISNUMBER(SEARCH("information technology",I1642))+ISNUMBER(SEARCH("software",I1642))+ISNUMBER(SEARCH("internet",I1642))+ISNUMBER(SEARCH("computer",I1642))+ISNUMBER(SEARCH("saas",I1642))+ISNUMBER(SEARCH("fintech",I1642))+ISNUMBER(SEARCH("information services",I1642))+ISNUMBER(SEARCH("telecommunications",I1642))&gt;0,'Configuración'!$B$27,'Configuración'!$B$28))</f>
        <v>12</v>
      </c>
      <c r="U1642" s="25">
        <f>IF(B1642="","",IF(ISNUMBER(SEARCH("CEO",C1642))+ISNUMBER(SEARCH("Founder",C1642))+ISNUMBER(SEARCH("Owner",C1642))+ISNUMBER(SEARCH("Dueño",C1642))+ISNUMBER(SEARCH("Director General",C1642))+ISNUMBER(SEARCH("Presidente",C1642))+ISNUMBER(SEARCH("President",C1642))&gt;0,'Configuración'!$B$31,IF(ISNUMBER(SEARCH("CMO",C1642))+ISNUMBER(SEARCH("Chief Marketing",C1642))+ISNUMBER(SEARCH("VP Marketing",C1642))+ISNUMBER(SEARCH("Director de Marketing",C1642))+ISNUMBER(SEARCH("Director Marketing",C1642))+ISNUMBER(SEARCH("Head of Marketing",C1642))+ISNUMBER(SEARCH("Head Marketing",C1642))&gt;0,'Configuración'!$B$32,IF(ISNUMBER(SEARCH("Marketing Manager",C1642))+ISNUMBER(SEARCH("Gerente de Marketing",C1642))+ISNUMBER(SEARCH("Growth Manager",C1642))+ISNUMBER(SEARCH("Demand Gen",C1642))+ISNUMBER(SEARCH("Marketing Lead",C1642))&gt;0,'Configuración'!$B$33,IF(ISNUMBER(SEARCH("COO",C1642))+ISNUMBER(SEARCH("CFO",C1642))+ISNUMBER(SEARCH("CTO",C1642))+ISNUMBER(SEARCH("Chief Operating",C1642))+ISNUMBER(SEARCH("Chief Financial",C1642))+ISNUMBER(SEARCH("Gerente General",C1642))+ISNUMBER(SEARCH("General Manager",C1642))&gt;0,'Configuración'!$B$34,'Configuración'!$B$35)))))</f>
        <v>12</v>
      </c>
      <c r="V1642" s="38">
        <f>IF(B1642="","",IF(K1642="Sí",'Configuración'!$B$5,0)+IF(L1642="Semanal",'Configuración'!$B$6,IF(L1642="Mensual",'Configuración'!$B$7,0))+IF(M1642="Sí",'Configuración'!$B$8,0)+IF(N1642="Sí",'Configuración'!$B$9,0)+IF(O1642="Sí",'Configuración'!$B$10,0)+IF(P1642="Sí",'Configuración'!$B$11,0)+IF(Q1642="Sí",'Configuración'!$B$12,0)+S1642+T1642+U1642)</f>
        <v>28</v>
      </c>
      <c r="W1642" s="39" t="str">
        <f>IF(B1642="","",IF(V1642&gt;='Configuración'!$B$19,"A",IF(V1642&gt;='Configuración'!$B$20,"B",IF(V1642&gt;='Configuración'!$B$21,"C","Descarte"))))</f>
        <v>C</v>
      </c>
    </row>
    <row r="1643" ht="15.75" customHeight="1">
      <c r="A1643" s="34">
        <f t="shared" si="1"/>
        <v>1641</v>
      </c>
      <c r="B1643" s="29" t="s">
        <v>9210</v>
      </c>
      <c r="C1643" s="29" t="s">
        <v>9211</v>
      </c>
      <c r="D1643" s="29" t="s">
        <v>9212</v>
      </c>
      <c r="E1643" s="29" t="s">
        <v>9213</v>
      </c>
      <c r="F1643" s="30" t="s">
        <v>9214</v>
      </c>
      <c r="G1643" s="30" t="s">
        <v>9215</v>
      </c>
      <c r="H1643" s="42" t="s">
        <v>9216</v>
      </c>
      <c r="I1643" s="29" t="s">
        <v>1393</v>
      </c>
      <c r="J1643" s="31">
        <v>1.0</v>
      </c>
      <c r="K1643" s="35"/>
      <c r="L1643" s="35"/>
      <c r="M1643" s="35"/>
      <c r="N1643" s="35"/>
      <c r="O1643" s="35"/>
      <c r="P1643" s="35"/>
      <c r="Q1643" s="35"/>
      <c r="R1643" s="35"/>
      <c r="S1643" s="37">
        <f>IF(B1643="","",IF(ISNUMBER(J1643),IF(J1643&lt;=10,'Configuración'!$B$23,IF(J1643&lt;=50,'Configuración'!$B$24,IF(J1643&lt;=200,'Configuración'!$B$25,0))),0))</f>
        <v>12</v>
      </c>
      <c r="T1643" s="37">
        <f>IF(B1643="","",IF(ISNUMBER(SEARCH("information technology",I1643))+ISNUMBER(SEARCH("software",I1643))+ISNUMBER(SEARCH("internet",I1643))+ISNUMBER(SEARCH("computer",I1643))+ISNUMBER(SEARCH("saas",I1643))+ISNUMBER(SEARCH("fintech",I1643))+ISNUMBER(SEARCH("information services",I1643))+ISNUMBER(SEARCH("telecommunications",I1643))&gt;0,'Configuración'!$B$27,'Configuración'!$B$28))</f>
        <v>4</v>
      </c>
      <c r="U1643" s="25">
        <f>IF(B1643="","",IF(ISNUMBER(SEARCH("CEO",C1643))+ISNUMBER(SEARCH("Founder",C1643))+ISNUMBER(SEARCH("Owner",C1643))+ISNUMBER(SEARCH("Dueño",C1643))+ISNUMBER(SEARCH("Director General",C1643))+ISNUMBER(SEARCH("Presidente",C1643))+ISNUMBER(SEARCH("President",C1643))&gt;0,'Configuración'!$B$31,IF(ISNUMBER(SEARCH("CMO",C1643))+ISNUMBER(SEARCH("Chief Marketing",C1643))+ISNUMBER(SEARCH("VP Marketing",C1643))+ISNUMBER(SEARCH("Director de Marketing",C1643))+ISNUMBER(SEARCH("Director Marketing",C1643))+ISNUMBER(SEARCH("Head of Marketing",C1643))+ISNUMBER(SEARCH("Head Marketing",C1643))&gt;0,'Configuración'!$B$32,IF(ISNUMBER(SEARCH("Marketing Manager",C1643))+ISNUMBER(SEARCH("Gerente de Marketing",C1643))+ISNUMBER(SEARCH("Growth Manager",C1643))+ISNUMBER(SEARCH("Demand Gen",C1643))+ISNUMBER(SEARCH("Marketing Lead",C1643))&gt;0,'Configuración'!$B$33,IF(ISNUMBER(SEARCH("COO",C1643))+ISNUMBER(SEARCH("CFO",C1643))+ISNUMBER(SEARCH("CTO",C1643))+ISNUMBER(SEARCH("Chief Operating",C1643))+ISNUMBER(SEARCH("Chief Financial",C1643))+ISNUMBER(SEARCH("Gerente General",C1643))+ISNUMBER(SEARCH("General Manager",C1643))&gt;0,'Configuración'!$B$34,'Configuración'!$B$35)))))</f>
        <v>12</v>
      </c>
      <c r="V1643" s="38">
        <f>IF(B1643="","",IF(K1643="Sí",'Configuración'!$B$5,0)+IF(L1643="Semanal",'Configuración'!$B$6,IF(L1643="Mensual",'Configuración'!$B$7,0))+IF(M1643="Sí",'Configuración'!$B$8,0)+IF(N1643="Sí",'Configuración'!$B$9,0)+IF(O1643="Sí",'Configuración'!$B$10,0)+IF(P1643="Sí",'Configuración'!$B$11,0)+IF(Q1643="Sí",'Configuración'!$B$12,0)+S1643+T1643+U1643)</f>
        <v>28</v>
      </c>
      <c r="W1643" s="39" t="str">
        <f>IF(B1643="","",IF(V1643&gt;='Configuración'!$B$19,"A",IF(V1643&gt;='Configuración'!$B$20,"B",IF(V1643&gt;='Configuración'!$B$21,"C","Descarte"))))</f>
        <v>C</v>
      </c>
    </row>
    <row r="1644" ht="15.75" customHeight="1">
      <c r="A1644" s="34">
        <f t="shared" si="1"/>
        <v>1642</v>
      </c>
      <c r="B1644" s="29" t="s">
        <v>940</v>
      </c>
      <c r="C1644" s="29" t="s">
        <v>1325</v>
      </c>
      <c r="D1644" s="29" t="s">
        <v>9217</v>
      </c>
      <c r="E1644" s="29" t="s">
        <v>9218</v>
      </c>
      <c r="F1644" s="30" t="s">
        <v>9219</v>
      </c>
      <c r="G1644" s="30" t="s">
        <v>9220</v>
      </c>
      <c r="H1644" s="42" t="s">
        <v>9221</v>
      </c>
      <c r="I1644" s="29" t="s">
        <v>946</v>
      </c>
      <c r="J1644" s="31">
        <v>26.0</v>
      </c>
      <c r="K1644" s="35"/>
      <c r="L1644" s="35"/>
      <c r="M1644" s="35"/>
      <c r="N1644" s="35"/>
      <c r="O1644" s="35"/>
      <c r="P1644" s="35"/>
      <c r="Q1644" s="35"/>
      <c r="R1644" s="35"/>
      <c r="S1644" s="37">
        <f>IF(B1644="","",IF(ISNUMBER(J1644),IF(J1644&lt;=10,'Configuración'!$B$23,IF(J1644&lt;=50,'Configuración'!$B$24,IF(J1644&lt;=200,'Configuración'!$B$25,0))),0))</f>
        <v>4</v>
      </c>
      <c r="T1644" s="37">
        <f>IF(B1644="","",IF(ISNUMBER(SEARCH("information technology",I1644))+ISNUMBER(SEARCH("software",I1644))+ISNUMBER(SEARCH("internet",I1644))+ISNUMBER(SEARCH("computer",I1644))+ISNUMBER(SEARCH("saas",I1644))+ISNUMBER(SEARCH("fintech",I1644))+ISNUMBER(SEARCH("information services",I1644))+ISNUMBER(SEARCH("telecommunications",I1644))&gt;0,'Configuración'!$B$27,'Configuración'!$B$28))</f>
        <v>4</v>
      </c>
      <c r="U1644" s="25">
        <f>IF(B1644="","",IF(ISNUMBER(SEARCH("CEO",C1644))+ISNUMBER(SEARCH("Founder",C1644))+ISNUMBER(SEARCH("Owner",C1644))+ISNUMBER(SEARCH("Dueño",C1644))+ISNUMBER(SEARCH("Director General",C1644))+ISNUMBER(SEARCH("Presidente",C1644))+ISNUMBER(SEARCH("President",C1644))&gt;0,'Configuración'!$B$31,IF(ISNUMBER(SEARCH("CMO",C1644))+ISNUMBER(SEARCH("Chief Marketing",C1644))+ISNUMBER(SEARCH("VP Marketing",C1644))+ISNUMBER(SEARCH("Director de Marketing",C1644))+ISNUMBER(SEARCH("Director Marketing",C1644))+ISNUMBER(SEARCH("Head of Marketing",C1644))+ISNUMBER(SEARCH("Head Marketing",C1644))&gt;0,'Configuración'!$B$32,IF(ISNUMBER(SEARCH("Marketing Manager",C1644))+ISNUMBER(SEARCH("Gerente de Marketing",C1644))+ISNUMBER(SEARCH("Growth Manager",C1644))+ISNUMBER(SEARCH("Demand Gen",C1644))+ISNUMBER(SEARCH("Marketing Lead",C1644))&gt;0,'Configuración'!$B$33,IF(ISNUMBER(SEARCH("COO",C1644))+ISNUMBER(SEARCH("CFO",C1644))+ISNUMBER(SEARCH("CTO",C1644))+ISNUMBER(SEARCH("Chief Operating",C1644))+ISNUMBER(SEARCH("Chief Financial",C1644))+ISNUMBER(SEARCH("Gerente General",C1644))+ISNUMBER(SEARCH("General Manager",C1644))&gt;0,'Configuración'!$B$34,'Configuración'!$B$35)))))</f>
        <v>12</v>
      </c>
      <c r="V1644" s="38">
        <f>IF(B1644="","",IF(K1644="Sí",'Configuración'!$B$5,0)+IF(L1644="Semanal",'Configuración'!$B$6,IF(L1644="Mensual",'Configuración'!$B$7,0))+IF(M1644="Sí",'Configuración'!$B$8,0)+IF(N1644="Sí",'Configuración'!$B$9,0)+IF(O1644="Sí",'Configuración'!$B$10,0)+IF(P1644="Sí",'Configuración'!$B$11,0)+IF(Q1644="Sí",'Configuración'!$B$12,0)+S1644+T1644+U1644)</f>
        <v>20</v>
      </c>
      <c r="W1644" s="39" t="str">
        <f>IF(B1644="","",IF(V1644&gt;='Configuración'!$B$19,"A",IF(V1644&gt;='Configuración'!$B$20,"B",IF(V1644&gt;='Configuración'!$B$21,"C","Descarte"))))</f>
        <v>Descarte</v>
      </c>
    </row>
    <row r="1645" ht="15.75" customHeight="1">
      <c r="A1645" s="34">
        <f t="shared" si="1"/>
        <v>1643</v>
      </c>
      <c r="B1645" s="29" t="s">
        <v>262</v>
      </c>
      <c r="C1645" s="29" t="s">
        <v>7019</v>
      </c>
      <c r="D1645" s="29" t="s">
        <v>9222</v>
      </c>
      <c r="E1645" s="29" t="s">
        <v>9223</v>
      </c>
      <c r="F1645" s="30" t="s">
        <v>9224</v>
      </c>
      <c r="G1645" s="30" t="s">
        <v>9225</v>
      </c>
      <c r="H1645" s="42" t="s">
        <v>9226</v>
      </c>
      <c r="I1645" s="29" t="s">
        <v>127</v>
      </c>
      <c r="J1645" s="31">
        <v>9.0</v>
      </c>
      <c r="K1645" s="35"/>
      <c r="L1645" s="35"/>
      <c r="M1645" s="35"/>
      <c r="N1645" s="35"/>
      <c r="O1645" s="35"/>
      <c r="P1645" s="35"/>
      <c r="Q1645" s="35"/>
      <c r="R1645" s="35"/>
      <c r="S1645" s="37">
        <f>IF(B1645="","",IF(ISNUMBER(J1645),IF(J1645&lt;=10,'Configuración'!$B$23,IF(J1645&lt;=50,'Configuración'!$B$24,IF(J1645&lt;=200,'Configuración'!$B$25,0))),0))</f>
        <v>12</v>
      </c>
      <c r="T1645" s="37">
        <f>IF(B1645="","",IF(ISNUMBER(SEARCH("information technology",I1645))+ISNUMBER(SEARCH("software",I1645))+ISNUMBER(SEARCH("internet",I1645))+ISNUMBER(SEARCH("computer",I1645))+ISNUMBER(SEARCH("saas",I1645))+ISNUMBER(SEARCH("fintech",I1645))+ISNUMBER(SEARCH("information services",I1645))+ISNUMBER(SEARCH("telecommunications",I1645))&gt;0,'Configuración'!$B$27,'Configuración'!$B$28))</f>
        <v>12</v>
      </c>
      <c r="U1645" s="25">
        <f>IF(B1645="","",IF(ISNUMBER(SEARCH("CEO",C1645))+ISNUMBER(SEARCH("Founder",C1645))+ISNUMBER(SEARCH("Owner",C1645))+ISNUMBER(SEARCH("Dueño",C1645))+ISNUMBER(SEARCH("Director General",C1645))+ISNUMBER(SEARCH("Presidente",C1645))+ISNUMBER(SEARCH("President",C1645))&gt;0,'Configuración'!$B$31,IF(ISNUMBER(SEARCH("CMO",C1645))+ISNUMBER(SEARCH("Chief Marketing",C1645))+ISNUMBER(SEARCH("VP Marketing",C1645))+ISNUMBER(SEARCH("Director de Marketing",C1645))+ISNUMBER(SEARCH("Director Marketing",C1645))+ISNUMBER(SEARCH("Head of Marketing",C1645))+ISNUMBER(SEARCH("Head Marketing",C1645))&gt;0,'Configuración'!$B$32,IF(ISNUMBER(SEARCH("Marketing Manager",C1645))+ISNUMBER(SEARCH("Gerente de Marketing",C1645))+ISNUMBER(SEARCH("Growth Manager",C1645))+ISNUMBER(SEARCH("Demand Gen",C1645))+ISNUMBER(SEARCH("Marketing Lead",C1645))&gt;0,'Configuración'!$B$33,IF(ISNUMBER(SEARCH("COO",C1645))+ISNUMBER(SEARCH("CFO",C1645))+ISNUMBER(SEARCH("CTO",C1645))+ISNUMBER(SEARCH("Chief Operating",C1645))+ISNUMBER(SEARCH("Chief Financial",C1645))+ISNUMBER(SEARCH("Gerente General",C1645))+ISNUMBER(SEARCH("General Manager",C1645))&gt;0,'Configuración'!$B$34,'Configuración'!$B$35)))))</f>
        <v>12</v>
      </c>
      <c r="V1645" s="38">
        <f>IF(B1645="","",IF(K1645="Sí",'Configuración'!$B$5,0)+IF(L1645="Semanal",'Configuración'!$B$6,IF(L1645="Mensual",'Configuración'!$B$7,0))+IF(M1645="Sí",'Configuración'!$B$8,0)+IF(N1645="Sí",'Configuración'!$B$9,0)+IF(O1645="Sí",'Configuración'!$B$10,0)+IF(P1645="Sí",'Configuración'!$B$11,0)+IF(Q1645="Sí",'Configuración'!$B$12,0)+S1645+T1645+U1645)</f>
        <v>36</v>
      </c>
      <c r="W1645" s="39" t="str">
        <f>IF(B1645="","",IF(V1645&gt;='Configuración'!$B$19,"A",IF(V1645&gt;='Configuración'!$B$20,"B",IF(V1645&gt;='Configuración'!$B$21,"C","Descarte"))))</f>
        <v>C</v>
      </c>
    </row>
    <row r="1646" ht="15.75" customHeight="1">
      <c r="A1646" s="34">
        <f t="shared" si="1"/>
        <v>1644</v>
      </c>
      <c r="B1646" s="29" t="s">
        <v>466</v>
      </c>
      <c r="C1646" s="29" t="s">
        <v>131</v>
      </c>
      <c r="D1646" s="29" t="s">
        <v>3342</v>
      </c>
      <c r="E1646" s="29" t="s">
        <v>9227</v>
      </c>
      <c r="F1646" s="30" t="s">
        <v>9228</v>
      </c>
      <c r="G1646" s="30" t="s">
        <v>3344</v>
      </c>
      <c r="H1646" s="42" t="s">
        <v>3345</v>
      </c>
      <c r="I1646" s="29" t="s">
        <v>847</v>
      </c>
      <c r="J1646" s="31">
        <v>11.0</v>
      </c>
      <c r="K1646" s="35"/>
      <c r="L1646" s="35"/>
      <c r="M1646" s="35"/>
      <c r="N1646" s="35"/>
      <c r="O1646" s="35"/>
      <c r="P1646" s="35"/>
      <c r="Q1646" s="35"/>
      <c r="R1646" s="35"/>
      <c r="S1646" s="37">
        <f>IF(B1646="","",IF(ISNUMBER(J1646),IF(J1646&lt;=10,'Configuración'!$B$23,IF(J1646&lt;=50,'Configuración'!$B$24,IF(J1646&lt;=200,'Configuración'!$B$25,0))),0))</f>
        <v>4</v>
      </c>
      <c r="T1646" s="37">
        <f>IF(B1646="","",IF(ISNUMBER(SEARCH("information technology",I1646))+ISNUMBER(SEARCH("software",I1646))+ISNUMBER(SEARCH("internet",I1646))+ISNUMBER(SEARCH("computer",I1646))+ISNUMBER(SEARCH("saas",I1646))+ISNUMBER(SEARCH("fintech",I1646))+ISNUMBER(SEARCH("information services",I1646))+ISNUMBER(SEARCH("telecommunications",I1646))&gt;0,'Configuración'!$B$27,'Configuración'!$B$28))</f>
        <v>4</v>
      </c>
      <c r="U1646" s="25">
        <f>IF(B1646="","",IF(ISNUMBER(SEARCH("CEO",C1646))+ISNUMBER(SEARCH("Founder",C1646))+ISNUMBER(SEARCH("Owner",C1646))+ISNUMBER(SEARCH("Dueño",C1646))+ISNUMBER(SEARCH("Director General",C1646))+ISNUMBER(SEARCH("Presidente",C1646))+ISNUMBER(SEARCH("President",C1646))&gt;0,'Configuración'!$B$31,IF(ISNUMBER(SEARCH("CMO",C1646))+ISNUMBER(SEARCH("Chief Marketing",C1646))+ISNUMBER(SEARCH("VP Marketing",C1646))+ISNUMBER(SEARCH("Director de Marketing",C1646))+ISNUMBER(SEARCH("Director Marketing",C1646))+ISNUMBER(SEARCH("Head of Marketing",C1646))+ISNUMBER(SEARCH("Head Marketing",C1646))&gt;0,'Configuración'!$B$32,IF(ISNUMBER(SEARCH("Marketing Manager",C1646))+ISNUMBER(SEARCH("Gerente de Marketing",C1646))+ISNUMBER(SEARCH("Growth Manager",C1646))+ISNUMBER(SEARCH("Demand Gen",C1646))+ISNUMBER(SEARCH("Marketing Lead",C1646))&gt;0,'Configuración'!$B$33,IF(ISNUMBER(SEARCH("COO",C1646))+ISNUMBER(SEARCH("CFO",C1646))+ISNUMBER(SEARCH("CTO",C1646))+ISNUMBER(SEARCH("Chief Operating",C1646))+ISNUMBER(SEARCH("Chief Financial",C1646))+ISNUMBER(SEARCH("Gerente General",C1646))+ISNUMBER(SEARCH("General Manager",C1646))&gt;0,'Configuración'!$B$34,'Configuración'!$B$35)))))</f>
        <v>12</v>
      </c>
      <c r="V1646" s="38">
        <f>IF(B1646="","",IF(K1646="Sí",'Configuración'!$B$5,0)+IF(L1646="Semanal",'Configuración'!$B$6,IF(L1646="Mensual",'Configuración'!$B$7,0))+IF(M1646="Sí",'Configuración'!$B$8,0)+IF(N1646="Sí",'Configuración'!$B$9,0)+IF(O1646="Sí",'Configuración'!$B$10,0)+IF(P1646="Sí",'Configuración'!$B$11,0)+IF(Q1646="Sí",'Configuración'!$B$12,0)+S1646+T1646+U1646)</f>
        <v>20</v>
      </c>
      <c r="W1646" s="39" t="str">
        <f>IF(B1646="","",IF(V1646&gt;='Configuración'!$B$19,"A",IF(V1646&gt;='Configuración'!$B$20,"B",IF(V1646&gt;='Configuración'!$B$21,"C","Descarte"))))</f>
        <v>Descarte</v>
      </c>
    </row>
    <row r="1647" ht="15.75" customHeight="1">
      <c r="A1647" s="34">
        <f t="shared" si="1"/>
        <v>1645</v>
      </c>
      <c r="B1647" s="29" t="s">
        <v>610</v>
      </c>
      <c r="C1647" s="29" t="s">
        <v>9229</v>
      </c>
      <c r="D1647" s="29" t="s">
        <v>9230</v>
      </c>
      <c r="E1647" s="29" t="s">
        <v>9231</v>
      </c>
      <c r="F1647" s="30" t="s">
        <v>9232</v>
      </c>
      <c r="G1647" s="30" t="s">
        <v>9233</v>
      </c>
      <c r="H1647" s="42" t="s">
        <v>9234</v>
      </c>
      <c r="I1647" s="29" t="s">
        <v>2350</v>
      </c>
      <c r="J1647" s="31">
        <v>5.0</v>
      </c>
      <c r="K1647" s="35"/>
      <c r="L1647" s="35"/>
      <c r="M1647" s="35"/>
      <c r="N1647" s="35"/>
      <c r="O1647" s="35"/>
      <c r="P1647" s="35"/>
      <c r="Q1647" s="35"/>
      <c r="R1647" s="35"/>
      <c r="S1647" s="37">
        <f>IF(B1647="","",IF(ISNUMBER(J1647),IF(J1647&lt;=10,'Configuración'!$B$23,IF(J1647&lt;=50,'Configuración'!$B$24,IF(J1647&lt;=200,'Configuración'!$B$25,0))),0))</f>
        <v>12</v>
      </c>
      <c r="T1647" s="37">
        <f>IF(B1647="","",IF(ISNUMBER(SEARCH("information technology",I1647))+ISNUMBER(SEARCH("software",I1647))+ISNUMBER(SEARCH("internet",I1647))+ISNUMBER(SEARCH("computer",I1647))+ISNUMBER(SEARCH("saas",I1647))+ISNUMBER(SEARCH("fintech",I1647))+ISNUMBER(SEARCH("information services",I1647))+ISNUMBER(SEARCH("telecommunications",I1647))&gt;0,'Configuración'!$B$27,'Configuración'!$B$28))</f>
        <v>4</v>
      </c>
      <c r="U1647" s="25">
        <f>IF(B1647="","",IF(ISNUMBER(SEARCH("CEO",C1647))+ISNUMBER(SEARCH("Founder",C1647))+ISNUMBER(SEARCH("Owner",C1647))+ISNUMBER(SEARCH("Dueño",C1647))+ISNUMBER(SEARCH("Director General",C1647))+ISNUMBER(SEARCH("Presidente",C1647))+ISNUMBER(SEARCH("President",C1647))&gt;0,'Configuración'!$B$31,IF(ISNUMBER(SEARCH("CMO",C1647))+ISNUMBER(SEARCH("Chief Marketing",C1647))+ISNUMBER(SEARCH("VP Marketing",C1647))+ISNUMBER(SEARCH("Director de Marketing",C1647))+ISNUMBER(SEARCH("Director Marketing",C1647))+ISNUMBER(SEARCH("Head of Marketing",C1647))+ISNUMBER(SEARCH("Head Marketing",C1647))&gt;0,'Configuración'!$B$32,IF(ISNUMBER(SEARCH("Marketing Manager",C1647))+ISNUMBER(SEARCH("Gerente de Marketing",C1647))+ISNUMBER(SEARCH("Growth Manager",C1647))+ISNUMBER(SEARCH("Demand Gen",C1647))+ISNUMBER(SEARCH("Marketing Lead",C1647))&gt;0,'Configuración'!$B$33,IF(ISNUMBER(SEARCH("COO",C1647))+ISNUMBER(SEARCH("CFO",C1647))+ISNUMBER(SEARCH("CTO",C1647))+ISNUMBER(SEARCH("Chief Operating",C1647))+ISNUMBER(SEARCH("Chief Financial",C1647))+ISNUMBER(SEARCH("Gerente General",C1647))+ISNUMBER(SEARCH("General Manager",C1647))&gt;0,'Configuración'!$B$34,'Configuración'!$B$35)))))</f>
        <v>12</v>
      </c>
      <c r="V1647" s="38">
        <f>IF(B1647="","",IF(K1647="Sí",'Configuración'!$B$5,0)+IF(L1647="Semanal",'Configuración'!$B$6,IF(L1647="Mensual",'Configuración'!$B$7,0))+IF(M1647="Sí",'Configuración'!$B$8,0)+IF(N1647="Sí",'Configuración'!$B$9,0)+IF(O1647="Sí",'Configuración'!$B$10,0)+IF(P1647="Sí",'Configuración'!$B$11,0)+IF(Q1647="Sí",'Configuración'!$B$12,0)+S1647+T1647+U1647)</f>
        <v>28</v>
      </c>
      <c r="W1647" s="39" t="str">
        <f>IF(B1647="","",IF(V1647&gt;='Configuración'!$B$19,"A",IF(V1647&gt;='Configuración'!$B$20,"B",IF(V1647&gt;='Configuración'!$B$21,"C","Descarte"))))</f>
        <v>C</v>
      </c>
    </row>
    <row r="1648" ht="15.75" customHeight="1">
      <c r="A1648" s="34">
        <f t="shared" si="1"/>
        <v>1646</v>
      </c>
      <c r="B1648" s="29" t="s">
        <v>1306</v>
      </c>
      <c r="C1648" s="29" t="s">
        <v>9235</v>
      </c>
      <c r="D1648" s="29" t="s">
        <v>9236</v>
      </c>
      <c r="E1648" s="29" t="s">
        <v>9237</v>
      </c>
      <c r="F1648" s="30" t="s">
        <v>9238</v>
      </c>
      <c r="G1648" s="30" t="s">
        <v>9239</v>
      </c>
      <c r="H1648" s="42" t="s">
        <v>9240</v>
      </c>
      <c r="I1648" s="29" t="s">
        <v>137</v>
      </c>
      <c r="J1648" s="31">
        <v>6.0</v>
      </c>
      <c r="K1648" s="35"/>
      <c r="L1648" s="35"/>
      <c r="M1648" s="35"/>
      <c r="N1648" s="35"/>
      <c r="O1648" s="35"/>
      <c r="P1648" s="35"/>
      <c r="Q1648" s="35"/>
      <c r="R1648" s="35"/>
      <c r="S1648" s="37">
        <f>IF(B1648="","",IF(ISNUMBER(J1648),IF(J1648&lt;=10,'Configuración'!$B$23,IF(J1648&lt;=50,'Configuración'!$B$24,IF(J1648&lt;=200,'Configuración'!$B$25,0))),0))</f>
        <v>12</v>
      </c>
      <c r="T1648" s="37">
        <f>IF(B1648="","",IF(ISNUMBER(SEARCH("information technology",I1648))+ISNUMBER(SEARCH("software",I1648))+ISNUMBER(SEARCH("internet",I1648))+ISNUMBER(SEARCH("computer",I1648))+ISNUMBER(SEARCH("saas",I1648))+ISNUMBER(SEARCH("fintech",I1648))+ISNUMBER(SEARCH("information services",I1648))+ISNUMBER(SEARCH("telecommunications",I1648))&gt;0,'Configuración'!$B$27,'Configuración'!$B$28))</f>
        <v>4</v>
      </c>
      <c r="U1648" s="25">
        <f>IF(B1648="","",IF(ISNUMBER(SEARCH("CEO",C1648))+ISNUMBER(SEARCH("Founder",C1648))+ISNUMBER(SEARCH("Owner",C1648))+ISNUMBER(SEARCH("Dueño",C1648))+ISNUMBER(SEARCH("Director General",C1648))+ISNUMBER(SEARCH("Presidente",C1648))+ISNUMBER(SEARCH("President",C1648))&gt;0,'Configuración'!$B$31,IF(ISNUMBER(SEARCH("CMO",C1648))+ISNUMBER(SEARCH("Chief Marketing",C1648))+ISNUMBER(SEARCH("VP Marketing",C1648))+ISNUMBER(SEARCH("Director de Marketing",C1648))+ISNUMBER(SEARCH("Director Marketing",C1648))+ISNUMBER(SEARCH("Head of Marketing",C1648))+ISNUMBER(SEARCH("Head Marketing",C1648))&gt;0,'Configuración'!$B$32,IF(ISNUMBER(SEARCH("Marketing Manager",C1648))+ISNUMBER(SEARCH("Gerente de Marketing",C1648))+ISNUMBER(SEARCH("Growth Manager",C1648))+ISNUMBER(SEARCH("Demand Gen",C1648))+ISNUMBER(SEARCH("Marketing Lead",C1648))&gt;0,'Configuración'!$B$33,IF(ISNUMBER(SEARCH("COO",C1648))+ISNUMBER(SEARCH("CFO",C1648))+ISNUMBER(SEARCH("CTO",C1648))+ISNUMBER(SEARCH("Chief Operating",C1648))+ISNUMBER(SEARCH("Chief Financial",C1648))+ISNUMBER(SEARCH("Gerente General",C1648))+ISNUMBER(SEARCH("General Manager",C1648))&gt;0,'Configuración'!$B$34,'Configuración'!$B$35)))))</f>
        <v>4</v>
      </c>
      <c r="V1648" s="38">
        <f>IF(B1648="","",IF(K1648="Sí",'Configuración'!$B$5,0)+IF(L1648="Semanal",'Configuración'!$B$6,IF(L1648="Mensual",'Configuración'!$B$7,0))+IF(M1648="Sí",'Configuración'!$B$8,0)+IF(N1648="Sí",'Configuración'!$B$9,0)+IF(O1648="Sí",'Configuración'!$B$10,0)+IF(P1648="Sí",'Configuración'!$B$11,0)+IF(Q1648="Sí",'Configuración'!$B$12,0)+S1648+T1648+U1648)</f>
        <v>20</v>
      </c>
      <c r="W1648" s="39" t="str">
        <f>IF(B1648="","",IF(V1648&gt;='Configuración'!$B$19,"A",IF(V1648&gt;='Configuración'!$B$20,"B",IF(V1648&gt;='Configuración'!$B$21,"C","Descarte"))))</f>
        <v>Descarte</v>
      </c>
    </row>
    <row r="1649" ht="15.75" customHeight="1">
      <c r="A1649" s="34">
        <f t="shared" si="1"/>
        <v>1647</v>
      </c>
      <c r="B1649" s="29" t="s">
        <v>181</v>
      </c>
      <c r="C1649" s="29" t="s">
        <v>9241</v>
      </c>
      <c r="D1649" s="29" t="s">
        <v>9242</v>
      </c>
      <c r="E1649" s="29" t="s">
        <v>9243</v>
      </c>
      <c r="F1649" s="30" t="s">
        <v>9244</v>
      </c>
      <c r="G1649" s="30" t="s">
        <v>9245</v>
      </c>
      <c r="H1649" s="42" t="s">
        <v>9246</v>
      </c>
      <c r="I1649" s="29" t="s">
        <v>1446</v>
      </c>
      <c r="J1649" s="31">
        <v>12.0</v>
      </c>
      <c r="K1649" s="35"/>
      <c r="L1649" s="35"/>
      <c r="M1649" s="35"/>
      <c r="N1649" s="35"/>
      <c r="O1649" s="35"/>
      <c r="P1649" s="35"/>
      <c r="Q1649" s="35"/>
      <c r="R1649" s="35"/>
      <c r="S1649" s="37">
        <f>IF(B1649="","",IF(ISNUMBER(J1649),IF(J1649&lt;=10,'Configuración'!$B$23,IF(J1649&lt;=50,'Configuración'!$B$24,IF(J1649&lt;=200,'Configuración'!$B$25,0))),0))</f>
        <v>4</v>
      </c>
      <c r="T1649" s="37">
        <f>IF(B1649="","",IF(ISNUMBER(SEARCH("information technology",I1649))+ISNUMBER(SEARCH("software",I1649))+ISNUMBER(SEARCH("internet",I1649))+ISNUMBER(SEARCH("computer",I1649))+ISNUMBER(SEARCH("saas",I1649))+ISNUMBER(SEARCH("fintech",I1649))+ISNUMBER(SEARCH("information services",I1649))+ISNUMBER(SEARCH("telecommunications",I1649))&gt;0,'Configuración'!$B$27,'Configuración'!$B$28))</f>
        <v>4</v>
      </c>
      <c r="U1649" s="25">
        <f>IF(B1649="","",IF(ISNUMBER(SEARCH("CEO",C1649))+ISNUMBER(SEARCH("Founder",C1649))+ISNUMBER(SEARCH("Owner",C1649))+ISNUMBER(SEARCH("Dueño",C1649))+ISNUMBER(SEARCH("Director General",C1649))+ISNUMBER(SEARCH("Presidente",C1649))+ISNUMBER(SEARCH("President",C1649))&gt;0,'Configuración'!$B$31,IF(ISNUMBER(SEARCH("CMO",C1649))+ISNUMBER(SEARCH("Chief Marketing",C1649))+ISNUMBER(SEARCH("VP Marketing",C1649))+ISNUMBER(SEARCH("Director de Marketing",C1649))+ISNUMBER(SEARCH("Director Marketing",C1649))+ISNUMBER(SEARCH("Head of Marketing",C1649))+ISNUMBER(SEARCH("Head Marketing",C1649))&gt;0,'Configuración'!$B$32,IF(ISNUMBER(SEARCH("Marketing Manager",C1649))+ISNUMBER(SEARCH("Gerente de Marketing",C1649))+ISNUMBER(SEARCH("Growth Manager",C1649))+ISNUMBER(SEARCH("Demand Gen",C1649))+ISNUMBER(SEARCH("Marketing Lead",C1649))&gt;0,'Configuración'!$B$33,IF(ISNUMBER(SEARCH("COO",C1649))+ISNUMBER(SEARCH("CFO",C1649))+ISNUMBER(SEARCH("CTO",C1649))+ISNUMBER(SEARCH("Chief Operating",C1649))+ISNUMBER(SEARCH("Chief Financial",C1649))+ISNUMBER(SEARCH("Gerente General",C1649))+ISNUMBER(SEARCH("General Manager",C1649))&gt;0,'Configuración'!$B$34,'Configuración'!$B$35)))))</f>
        <v>12</v>
      </c>
      <c r="V1649" s="38">
        <f>IF(B1649="","",IF(K1649="Sí",'Configuración'!$B$5,0)+IF(L1649="Semanal",'Configuración'!$B$6,IF(L1649="Mensual",'Configuración'!$B$7,0))+IF(M1649="Sí",'Configuración'!$B$8,0)+IF(N1649="Sí",'Configuración'!$B$9,0)+IF(O1649="Sí",'Configuración'!$B$10,0)+IF(P1649="Sí",'Configuración'!$B$11,0)+IF(Q1649="Sí",'Configuración'!$B$12,0)+S1649+T1649+U1649)</f>
        <v>20</v>
      </c>
      <c r="W1649" s="39" t="str">
        <f>IF(B1649="","",IF(V1649&gt;='Configuración'!$B$19,"A",IF(V1649&gt;='Configuración'!$B$20,"B",IF(V1649&gt;='Configuración'!$B$21,"C","Descarte"))))</f>
        <v>Descarte</v>
      </c>
    </row>
    <row r="1650" ht="15.75" customHeight="1">
      <c r="A1650" s="34">
        <f t="shared" si="1"/>
        <v>1648</v>
      </c>
      <c r="B1650" s="29" t="s">
        <v>629</v>
      </c>
      <c r="C1650" s="29" t="s">
        <v>131</v>
      </c>
      <c r="D1650" s="29" t="s">
        <v>5221</v>
      </c>
      <c r="E1650" s="29" t="s">
        <v>9247</v>
      </c>
      <c r="F1650" s="30" t="s">
        <v>9248</v>
      </c>
      <c r="G1650" s="30" t="s">
        <v>5224</v>
      </c>
      <c r="H1650" s="42" t="s">
        <v>5225</v>
      </c>
      <c r="I1650" s="29" t="s">
        <v>127</v>
      </c>
      <c r="J1650" s="31">
        <v>8.0</v>
      </c>
      <c r="K1650" s="35"/>
      <c r="L1650" s="35"/>
      <c r="M1650" s="35"/>
      <c r="N1650" s="35"/>
      <c r="O1650" s="35"/>
      <c r="P1650" s="35"/>
      <c r="Q1650" s="35"/>
      <c r="R1650" s="35"/>
      <c r="S1650" s="37">
        <f>IF(B1650="","",IF(ISNUMBER(J1650),IF(J1650&lt;=10,'Configuración'!$B$23,IF(J1650&lt;=50,'Configuración'!$B$24,IF(J1650&lt;=200,'Configuración'!$B$25,0))),0))</f>
        <v>12</v>
      </c>
      <c r="T1650" s="37">
        <f>IF(B1650="","",IF(ISNUMBER(SEARCH("information technology",I1650))+ISNUMBER(SEARCH("software",I1650))+ISNUMBER(SEARCH("internet",I1650))+ISNUMBER(SEARCH("computer",I1650))+ISNUMBER(SEARCH("saas",I1650))+ISNUMBER(SEARCH("fintech",I1650))+ISNUMBER(SEARCH("information services",I1650))+ISNUMBER(SEARCH("telecommunications",I1650))&gt;0,'Configuración'!$B$27,'Configuración'!$B$28))</f>
        <v>12</v>
      </c>
      <c r="U1650" s="25">
        <f>IF(B1650="","",IF(ISNUMBER(SEARCH("CEO",C1650))+ISNUMBER(SEARCH("Founder",C1650))+ISNUMBER(SEARCH("Owner",C1650))+ISNUMBER(SEARCH("Dueño",C1650))+ISNUMBER(SEARCH("Director General",C1650))+ISNUMBER(SEARCH("Presidente",C1650))+ISNUMBER(SEARCH("President",C1650))&gt;0,'Configuración'!$B$31,IF(ISNUMBER(SEARCH("CMO",C1650))+ISNUMBER(SEARCH("Chief Marketing",C1650))+ISNUMBER(SEARCH("VP Marketing",C1650))+ISNUMBER(SEARCH("Director de Marketing",C1650))+ISNUMBER(SEARCH("Director Marketing",C1650))+ISNUMBER(SEARCH("Head of Marketing",C1650))+ISNUMBER(SEARCH("Head Marketing",C1650))&gt;0,'Configuración'!$B$32,IF(ISNUMBER(SEARCH("Marketing Manager",C1650))+ISNUMBER(SEARCH("Gerente de Marketing",C1650))+ISNUMBER(SEARCH("Growth Manager",C1650))+ISNUMBER(SEARCH("Demand Gen",C1650))+ISNUMBER(SEARCH("Marketing Lead",C1650))&gt;0,'Configuración'!$B$33,IF(ISNUMBER(SEARCH("COO",C1650))+ISNUMBER(SEARCH("CFO",C1650))+ISNUMBER(SEARCH("CTO",C1650))+ISNUMBER(SEARCH("Chief Operating",C1650))+ISNUMBER(SEARCH("Chief Financial",C1650))+ISNUMBER(SEARCH("Gerente General",C1650))+ISNUMBER(SEARCH("General Manager",C1650))&gt;0,'Configuración'!$B$34,'Configuración'!$B$35)))))</f>
        <v>12</v>
      </c>
      <c r="V1650" s="38">
        <f>IF(B1650="","",IF(K1650="Sí",'Configuración'!$B$5,0)+IF(L1650="Semanal",'Configuración'!$B$6,IF(L1650="Mensual",'Configuración'!$B$7,0))+IF(M1650="Sí",'Configuración'!$B$8,0)+IF(N1650="Sí",'Configuración'!$B$9,0)+IF(O1650="Sí",'Configuración'!$B$10,0)+IF(P1650="Sí",'Configuración'!$B$11,0)+IF(Q1650="Sí",'Configuración'!$B$12,0)+S1650+T1650+U1650)</f>
        <v>36</v>
      </c>
      <c r="W1650" s="39" t="str">
        <f>IF(B1650="","",IF(V1650&gt;='Configuración'!$B$19,"A",IF(V1650&gt;='Configuración'!$B$20,"B",IF(V1650&gt;='Configuración'!$B$21,"C","Descarte"))))</f>
        <v>C</v>
      </c>
    </row>
    <row r="1651" ht="15.75" customHeight="1">
      <c r="A1651" s="34">
        <f t="shared" si="1"/>
        <v>1649</v>
      </c>
      <c r="B1651" s="29" t="s">
        <v>236</v>
      </c>
      <c r="C1651" s="29" t="s">
        <v>1221</v>
      </c>
      <c r="D1651" s="29" t="s">
        <v>9249</v>
      </c>
      <c r="E1651" s="29" t="s">
        <v>9250</v>
      </c>
      <c r="F1651" s="30" t="s">
        <v>9251</v>
      </c>
      <c r="G1651" s="30" t="s">
        <v>9252</v>
      </c>
      <c r="H1651" s="42" t="s">
        <v>9253</v>
      </c>
      <c r="I1651" s="29" t="s">
        <v>127</v>
      </c>
      <c r="J1651" s="31">
        <v>21.0</v>
      </c>
      <c r="K1651" s="35"/>
      <c r="L1651" s="35"/>
      <c r="M1651" s="35"/>
      <c r="N1651" s="35"/>
      <c r="O1651" s="35"/>
      <c r="P1651" s="35"/>
      <c r="Q1651" s="35"/>
      <c r="R1651" s="35"/>
      <c r="S1651" s="37">
        <f>IF(B1651="","",IF(ISNUMBER(J1651),IF(J1651&lt;=10,'Configuración'!$B$23,IF(J1651&lt;=50,'Configuración'!$B$24,IF(J1651&lt;=200,'Configuración'!$B$25,0))),0))</f>
        <v>4</v>
      </c>
      <c r="T1651" s="37">
        <f>IF(B1651="","",IF(ISNUMBER(SEARCH("information technology",I1651))+ISNUMBER(SEARCH("software",I1651))+ISNUMBER(SEARCH("internet",I1651))+ISNUMBER(SEARCH("computer",I1651))+ISNUMBER(SEARCH("saas",I1651))+ISNUMBER(SEARCH("fintech",I1651))+ISNUMBER(SEARCH("information services",I1651))+ISNUMBER(SEARCH("telecommunications",I1651))&gt;0,'Configuración'!$B$27,'Configuración'!$B$28))</f>
        <v>12</v>
      </c>
      <c r="U1651" s="25">
        <f>IF(B1651="","",IF(ISNUMBER(SEARCH("CEO",C1651))+ISNUMBER(SEARCH("Founder",C1651))+ISNUMBER(SEARCH("Owner",C1651))+ISNUMBER(SEARCH("Dueño",C1651))+ISNUMBER(SEARCH("Director General",C1651))+ISNUMBER(SEARCH("Presidente",C1651))+ISNUMBER(SEARCH("President",C1651))&gt;0,'Configuración'!$B$31,IF(ISNUMBER(SEARCH("CMO",C1651))+ISNUMBER(SEARCH("Chief Marketing",C1651))+ISNUMBER(SEARCH("VP Marketing",C1651))+ISNUMBER(SEARCH("Director de Marketing",C1651))+ISNUMBER(SEARCH("Director Marketing",C1651))+ISNUMBER(SEARCH("Head of Marketing",C1651))+ISNUMBER(SEARCH("Head Marketing",C1651))&gt;0,'Configuración'!$B$32,IF(ISNUMBER(SEARCH("Marketing Manager",C1651))+ISNUMBER(SEARCH("Gerente de Marketing",C1651))+ISNUMBER(SEARCH("Growth Manager",C1651))+ISNUMBER(SEARCH("Demand Gen",C1651))+ISNUMBER(SEARCH("Marketing Lead",C1651))&gt;0,'Configuración'!$B$33,IF(ISNUMBER(SEARCH("COO",C1651))+ISNUMBER(SEARCH("CFO",C1651))+ISNUMBER(SEARCH("CTO",C1651))+ISNUMBER(SEARCH("Chief Operating",C1651))+ISNUMBER(SEARCH("Chief Financial",C1651))+ISNUMBER(SEARCH("Gerente General",C1651))+ISNUMBER(SEARCH("General Manager",C1651))&gt;0,'Configuración'!$B$34,'Configuración'!$B$35)))))</f>
        <v>0</v>
      </c>
      <c r="V1651" s="38">
        <f>IF(B1651="","",IF(K1651="Sí",'Configuración'!$B$5,0)+IF(L1651="Semanal",'Configuración'!$B$6,IF(L1651="Mensual",'Configuración'!$B$7,0))+IF(M1651="Sí",'Configuración'!$B$8,0)+IF(N1651="Sí",'Configuración'!$B$9,0)+IF(O1651="Sí",'Configuración'!$B$10,0)+IF(P1651="Sí",'Configuración'!$B$11,0)+IF(Q1651="Sí",'Configuración'!$B$12,0)+S1651+T1651+U1651)</f>
        <v>16</v>
      </c>
      <c r="W1651" s="39" t="str">
        <f>IF(B1651="","",IF(V1651&gt;='Configuración'!$B$19,"A",IF(V1651&gt;='Configuración'!$B$20,"B",IF(V1651&gt;='Configuración'!$B$21,"C","Descarte"))))</f>
        <v>Descarte</v>
      </c>
    </row>
    <row r="1652" ht="15.75" customHeight="1">
      <c r="A1652" s="34">
        <f t="shared" si="1"/>
        <v>1650</v>
      </c>
      <c r="B1652" s="29" t="s">
        <v>1331</v>
      </c>
      <c r="C1652" s="29" t="s">
        <v>202</v>
      </c>
      <c r="D1652" s="29" t="s">
        <v>9254</v>
      </c>
      <c r="E1652" s="29" t="s">
        <v>9255</v>
      </c>
      <c r="F1652" s="30" t="s">
        <v>9256</v>
      </c>
      <c r="G1652" s="30" t="s">
        <v>9257</v>
      </c>
      <c r="H1652" s="42" t="s">
        <v>9258</v>
      </c>
      <c r="I1652" s="29" t="s">
        <v>127</v>
      </c>
      <c r="J1652" s="31">
        <v>27.0</v>
      </c>
      <c r="K1652" s="35"/>
      <c r="L1652" s="35"/>
      <c r="M1652" s="35"/>
      <c r="N1652" s="35"/>
      <c r="O1652" s="35"/>
      <c r="P1652" s="35"/>
      <c r="Q1652" s="35"/>
      <c r="R1652" s="35"/>
      <c r="S1652" s="37">
        <f>IF(B1652="","",IF(ISNUMBER(J1652),IF(J1652&lt;=10,'Configuración'!$B$23,IF(J1652&lt;=50,'Configuración'!$B$24,IF(J1652&lt;=200,'Configuración'!$B$25,0))),0))</f>
        <v>4</v>
      </c>
      <c r="T1652" s="37">
        <f>IF(B1652="","",IF(ISNUMBER(SEARCH("information technology",I1652))+ISNUMBER(SEARCH("software",I1652))+ISNUMBER(SEARCH("internet",I1652))+ISNUMBER(SEARCH("computer",I1652))+ISNUMBER(SEARCH("saas",I1652))+ISNUMBER(SEARCH("fintech",I1652))+ISNUMBER(SEARCH("information services",I1652))+ISNUMBER(SEARCH("telecommunications",I1652))&gt;0,'Configuración'!$B$27,'Configuración'!$B$28))</f>
        <v>12</v>
      </c>
      <c r="U1652" s="25">
        <f>IF(B1652="","",IF(ISNUMBER(SEARCH("CEO",C1652))+ISNUMBER(SEARCH("Founder",C1652))+ISNUMBER(SEARCH("Owner",C1652))+ISNUMBER(SEARCH("Dueño",C1652))+ISNUMBER(SEARCH("Director General",C1652))+ISNUMBER(SEARCH("Presidente",C1652))+ISNUMBER(SEARCH("President",C1652))&gt;0,'Configuración'!$B$31,IF(ISNUMBER(SEARCH("CMO",C1652))+ISNUMBER(SEARCH("Chief Marketing",C1652))+ISNUMBER(SEARCH("VP Marketing",C1652))+ISNUMBER(SEARCH("Director de Marketing",C1652))+ISNUMBER(SEARCH("Director Marketing",C1652))+ISNUMBER(SEARCH("Head of Marketing",C1652))+ISNUMBER(SEARCH("Head Marketing",C1652))&gt;0,'Configuración'!$B$32,IF(ISNUMBER(SEARCH("Marketing Manager",C1652))+ISNUMBER(SEARCH("Gerente de Marketing",C1652))+ISNUMBER(SEARCH("Growth Manager",C1652))+ISNUMBER(SEARCH("Demand Gen",C1652))+ISNUMBER(SEARCH("Marketing Lead",C1652))&gt;0,'Configuración'!$B$33,IF(ISNUMBER(SEARCH("COO",C1652))+ISNUMBER(SEARCH("CFO",C1652))+ISNUMBER(SEARCH("CTO",C1652))+ISNUMBER(SEARCH("Chief Operating",C1652))+ISNUMBER(SEARCH("Chief Financial",C1652))+ISNUMBER(SEARCH("Gerente General",C1652))+ISNUMBER(SEARCH("General Manager",C1652))&gt;0,'Configuración'!$B$34,'Configuración'!$B$35)))))</f>
        <v>12</v>
      </c>
      <c r="V1652" s="38">
        <f>IF(B1652="","",IF(K1652="Sí",'Configuración'!$B$5,0)+IF(L1652="Semanal",'Configuración'!$B$6,IF(L1652="Mensual",'Configuración'!$B$7,0))+IF(M1652="Sí",'Configuración'!$B$8,0)+IF(N1652="Sí",'Configuración'!$B$9,0)+IF(O1652="Sí",'Configuración'!$B$10,0)+IF(P1652="Sí",'Configuración'!$B$11,0)+IF(Q1652="Sí",'Configuración'!$B$12,0)+S1652+T1652+U1652)</f>
        <v>28</v>
      </c>
      <c r="W1652" s="39" t="str">
        <f>IF(B1652="","",IF(V1652&gt;='Configuración'!$B$19,"A",IF(V1652&gt;='Configuración'!$B$20,"B",IF(V1652&gt;='Configuración'!$B$21,"C","Descarte"))))</f>
        <v>C</v>
      </c>
    </row>
    <row r="1653" ht="15.75" customHeight="1">
      <c r="A1653" s="34">
        <f t="shared" si="1"/>
        <v>1651</v>
      </c>
      <c r="B1653" s="29" t="s">
        <v>501</v>
      </c>
      <c r="C1653" s="29" t="s">
        <v>1465</v>
      </c>
      <c r="D1653" s="29" t="s">
        <v>1115</v>
      </c>
      <c r="E1653" s="29" t="s">
        <v>9259</v>
      </c>
      <c r="F1653" s="30" t="s">
        <v>9260</v>
      </c>
      <c r="G1653" s="30" t="s">
        <v>1118</v>
      </c>
      <c r="H1653" s="42" t="s">
        <v>1119</v>
      </c>
      <c r="I1653" s="29" t="s">
        <v>127</v>
      </c>
      <c r="J1653" s="31">
        <v>14.0</v>
      </c>
      <c r="K1653" s="35"/>
      <c r="L1653" s="35"/>
      <c r="M1653" s="35"/>
      <c r="N1653" s="35"/>
      <c r="O1653" s="35"/>
      <c r="P1653" s="35"/>
      <c r="Q1653" s="35"/>
      <c r="R1653" s="35"/>
      <c r="S1653" s="37">
        <f>IF(B1653="","",IF(ISNUMBER(J1653),IF(J1653&lt;=10,'Configuración'!$B$23,IF(J1653&lt;=50,'Configuración'!$B$24,IF(J1653&lt;=200,'Configuración'!$B$25,0))),0))</f>
        <v>4</v>
      </c>
      <c r="T1653" s="37">
        <f>IF(B1653="","",IF(ISNUMBER(SEARCH("information technology",I1653))+ISNUMBER(SEARCH("software",I1653))+ISNUMBER(SEARCH("internet",I1653))+ISNUMBER(SEARCH("computer",I1653))+ISNUMBER(SEARCH("saas",I1653))+ISNUMBER(SEARCH("fintech",I1653))+ISNUMBER(SEARCH("information services",I1653))+ISNUMBER(SEARCH("telecommunications",I1653))&gt;0,'Configuración'!$B$27,'Configuración'!$B$28))</f>
        <v>12</v>
      </c>
      <c r="U1653" s="25">
        <f>IF(B1653="","",IF(ISNUMBER(SEARCH("CEO",C1653))+ISNUMBER(SEARCH("Founder",C1653))+ISNUMBER(SEARCH("Owner",C1653))+ISNUMBER(SEARCH("Dueño",C1653))+ISNUMBER(SEARCH("Director General",C1653))+ISNUMBER(SEARCH("Presidente",C1653))+ISNUMBER(SEARCH("President",C1653))&gt;0,'Configuración'!$B$31,IF(ISNUMBER(SEARCH("CMO",C1653))+ISNUMBER(SEARCH("Chief Marketing",C1653))+ISNUMBER(SEARCH("VP Marketing",C1653))+ISNUMBER(SEARCH("Director de Marketing",C1653))+ISNUMBER(SEARCH("Director Marketing",C1653))+ISNUMBER(SEARCH("Head of Marketing",C1653))+ISNUMBER(SEARCH("Head Marketing",C1653))&gt;0,'Configuración'!$B$32,IF(ISNUMBER(SEARCH("Marketing Manager",C1653))+ISNUMBER(SEARCH("Gerente de Marketing",C1653))+ISNUMBER(SEARCH("Growth Manager",C1653))+ISNUMBER(SEARCH("Demand Gen",C1653))+ISNUMBER(SEARCH("Marketing Lead",C1653))&gt;0,'Configuración'!$B$33,IF(ISNUMBER(SEARCH("COO",C1653))+ISNUMBER(SEARCH("CFO",C1653))+ISNUMBER(SEARCH("CTO",C1653))+ISNUMBER(SEARCH("Chief Operating",C1653))+ISNUMBER(SEARCH("Chief Financial",C1653))+ISNUMBER(SEARCH("Gerente General",C1653))+ISNUMBER(SEARCH("General Manager",C1653))&gt;0,'Configuración'!$B$34,'Configuración'!$B$35)))))</f>
        <v>4</v>
      </c>
      <c r="V1653" s="38">
        <f>IF(B1653="","",IF(K1653="Sí",'Configuración'!$B$5,0)+IF(L1653="Semanal",'Configuración'!$B$6,IF(L1653="Mensual",'Configuración'!$B$7,0))+IF(M1653="Sí",'Configuración'!$B$8,0)+IF(N1653="Sí",'Configuración'!$B$9,0)+IF(O1653="Sí",'Configuración'!$B$10,0)+IF(P1653="Sí",'Configuración'!$B$11,0)+IF(Q1653="Sí",'Configuración'!$B$12,0)+S1653+T1653+U1653)</f>
        <v>20</v>
      </c>
      <c r="W1653" s="39" t="str">
        <f>IF(B1653="","",IF(V1653&gt;='Configuración'!$B$19,"A",IF(V1653&gt;='Configuración'!$B$20,"B",IF(V1653&gt;='Configuración'!$B$21,"C","Descarte"))))</f>
        <v>Descarte</v>
      </c>
    </row>
    <row r="1654" ht="15.75" customHeight="1">
      <c r="A1654" s="34">
        <f t="shared" si="1"/>
        <v>1652</v>
      </c>
      <c r="B1654" s="29" t="s">
        <v>556</v>
      </c>
      <c r="C1654" s="29" t="s">
        <v>311</v>
      </c>
      <c r="D1654" s="29" t="s">
        <v>9261</v>
      </c>
      <c r="E1654" s="29" t="s">
        <v>9262</v>
      </c>
      <c r="F1654" s="30" t="s">
        <v>9263</v>
      </c>
      <c r="G1654" s="30" t="s">
        <v>9264</v>
      </c>
      <c r="H1654" s="42" t="s">
        <v>9265</v>
      </c>
      <c r="I1654" s="29" t="s">
        <v>116</v>
      </c>
      <c r="J1654" s="31">
        <v>12.0</v>
      </c>
      <c r="K1654" s="35"/>
      <c r="L1654" s="35"/>
      <c r="M1654" s="35"/>
      <c r="N1654" s="35"/>
      <c r="O1654" s="35"/>
      <c r="P1654" s="35"/>
      <c r="Q1654" s="35"/>
      <c r="R1654" s="35"/>
      <c r="S1654" s="37">
        <f>IF(B1654="","",IF(ISNUMBER(J1654),IF(J1654&lt;=10,'Configuración'!$B$23,IF(J1654&lt;=50,'Configuración'!$B$24,IF(J1654&lt;=200,'Configuración'!$B$25,0))),0))</f>
        <v>4</v>
      </c>
      <c r="T1654" s="37">
        <f>IF(B1654="","",IF(ISNUMBER(SEARCH("information technology",I1654))+ISNUMBER(SEARCH("software",I1654))+ISNUMBER(SEARCH("internet",I1654))+ISNUMBER(SEARCH("computer",I1654))+ISNUMBER(SEARCH("saas",I1654))+ISNUMBER(SEARCH("fintech",I1654))+ISNUMBER(SEARCH("information services",I1654))+ISNUMBER(SEARCH("telecommunications",I1654))&gt;0,'Configuración'!$B$27,'Configuración'!$B$28))</f>
        <v>4</v>
      </c>
      <c r="U1654" s="25">
        <f>IF(B1654="","",IF(ISNUMBER(SEARCH("CEO",C1654))+ISNUMBER(SEARCH("Founder",C1654))+ISNUMBER(SEARCH("Owner",C1654))+ISNUMBER(SEARCH("Dueño",C1654))+ISNUMBER(SEARCH("Director General",C1654))+ISNUMBER(SEARCH("Presidente",C1654))+ISNUMBER(SEARCH("President",C1654))&gt;0,'Configuración'!$B$31,IF(ISNUMBER(SEARCH("CMO",C1654))+ISNUMBER(SEARCH("Chief Marketing",C1654))+ISNUMBER(SEARCH("VP Marketing",C1654))+ISNUMBER(SEARCH("Director de Marketing",C1654))+ISNUMBER(SEARCH("Director Marketing",C1654))+ISNUMBER(SEARCH("Head of Marketing",C1654))+ISNUMBER(SEARCH("Head Marketing",C1654))&gt;0,'Configuración'!$B$32,IF(ISNUMBER(SEARCH("Marketing Manager",C1654))+ISNUMBER(SEARCH("Gerente de Marketing",C1654))+ISNUMBER(SEARCH("Growth Manager",C1654))+ISNUMBER(SEARCH("Demand Gen",C1654))+ISNUMBER(SEARCH("Marketing Lead",C1654))&gt;0,'Configuración'!$B$33,IF(ISNUMBER(SEARCH("COO",C1654))+ISNUMBER(SEARCH("CFO",C1654))+ISNUMBER(SEARCH("CTO",C1654))+ISNUMBER(SEARCH("Chief Operating",C1654))+ISNUMBER(SEARCH("Chief Financial",C1654))+ISNUMBER(SEARCH("Gerente General",C1654))+ISNUMBER(SEARCH("General Manager",C1654))&gt;0,'Configuración'!$B$34,'Configuración'!$B$35)))))</f>
        <v>12</v>
      </c>
      <c r="V1654" s="38">
        <f>IF(B1654="","",IF(K1654="Sí",'Configuración'!$B$5,0)+IF(L1654="Semanal",'Configuración'!$B$6,IF(L1654="Mensual",'Configuración'!$B$7,0))+IF(M1654="Sí",'Configuración'!$B$8,0)+IF(N1654="Sí",'Configuración'!$B$9,0)+IF(O1654="Sí",'Configuración'!$B$10,0)+IF(P1654="Sí",'Configuración'!$B$11,0)+IF(Q1654="Sí",'Configuración'!$B$12,0)+S1654+T1654+U1654)</f>
        <v>20</v>
      </c>
      <c r="W1654" s="39" t="str">
        <f>IF(B1654="","",IF(V1654&gt;='Configuración'!$B$19,"A",IF(V1654&gt;='Configuración'!$B$20,"B",IF(V1654&gt;='Configuración'!$B$21,"C","Descarte"))))</f>
        <v>Descarte</v>
      </c>
    </row>
    <row r="1655" ht="15.75" customHeight="1">
      <c r="A1655" s="34">
        <f t="shared" si="1"/>
        <v>1653</v>
      </c>
      <c r="B1655" s="29" t="s">
        <v>1227</v>
      </c>
      <c r="C1655" s="29" t="s">
        <v>679</v>
      </c>
      <c r="D1655" s="29" t="s">
        <v>9266</v>
      </c>
      <c r="E1655" s="29" t="s">
        <v>9267</v>
      </c>
      <c r="F1655" s="30" t="s">
        <v>9268</v>
      </c>
      <c r="G1655" s="30" t="s">
        <v>9269</v>
      </c>
      <c r="H1655" s="42" t="s">
        <v>9270</v>
      </c>
      <c r="I1655" s="29" t="s">
        <v>2856</v>
      </c>
      <c r="J1655" s="31">
        <v>6.0</v>
      </c>
      <c r="K1655" s="35"/>
      <c r="L1655" s="35"/>
      <c r="M1655" s="35"/>
      <c r="N1655" s="35"/>
      <c r="O1655" s="35"/>
      <c r="P1655" s="35"/>
      <c r="Q1655" s="35"/>
      <c r="R1655" s="35"/>
      <c r="S1655" s="37">
        <f>IF(B1655="","",IF(ISNUMBER(J1655),IF(J1655&lt;=10,'Configuración'!$B$23,IF(J1655&lt;=50,'Configuración'!$B$24,IF(J1655&lt;=200,'Configuración'!$B$25,0))),0))</f>
        <v>12</v>
      </c>
      <c r="T1655" s="37">
        <f>IF(B1655="","",IF(ISNUMBER(SEARCH("information technology",I1655))+ISNUMBER(SEARCH("software",I1655))+ISNUMBER(SEARCH("internet",I1655))+ISNUMBER(SEARCH("computer",I1655))+ISNUMBER(SEARCH("saas",I1655))+ISNUMBER(SEARCH("fintech",I1655))+ISNUMBER(SEARCH("information services",I1655))+ISNUMBER(SEARCH("telecommunications",I1655))&gt;0,'Configuración'!$B$27,'Configuración'!$B$28))</f>
        <v>4</v>
      </c>
      <c r="U1655" s="25">
        <f>IF(B1655="","",IF(ISNUMBER(SEARCH("CEO",C1655))+ISNUMBER(SEARCH("Founder",C1655))+ISNUMBER(SEARCH("Owner",C1655))+ISNUMBER(SEARCH("Dueño",C1655))+ISNUMBER(SEARCH("Director General",C1655))+ISNUMBER(SEARCH("Presidente",C1655))+ISNUMBER(SEARCH("President",C1655))&gt;0,'Configuración'!$B$31,IF(ISNUMBER(SEARCH("CMO",C1655))+ISNUMBER(SEARCH("Chief Marketing",C1655))+ISNUMBER(SEARCH("VP Marketing",C1655))+ISNUMBER(SEARCH("Director de Marketing",C1655))+ISNUMBER(SEARCH("Director Marketing",C1655))+ISNUMBER(SEARCH("Head of Marketing",C1655))+ISNUMBER(SEARCH("Head Marketing",C1655))&gt;0,'Configuración'!$B$32,IF(ISNUMBER(SEARCH("Marketing Manager",C1655))+ISNUMBER(SEARCH("Gerente de Marketing",C1655))+ISNUMBER(SEARCH("Growth Manager",C1655))+ISNUMBER(SEARCH("Demand Gen",C1655))+ISNUMBER(SEARCH("Marketing Lead",C1655))&gt;0,'Configuración'!$B$33,IF(ISNUMBER(SEARCH("COO",C1655))+ISNUMBER(SEARCH("CFO",C1655))+ISNUMBER(SEARCH("CTO",C1655))+ISNUMBER(SEARCH("Chief Operating",C1655))+ISNUMBER(SEARCH("Chief Financial",C1655))+ISNUMBER(SEARCH("Gerente General",C1655))+ISNUMBER(SEARCH("General Manager",C1655))&gt;0,'Configuración'!$B$34,'Configuración'!$B$35)))))</f>
        <v>12</v>
      </c>
      <c r="V1655" s="38">
        <f>IF(B1655="","",IF(K1655="Sí",'Configuración'!$B$5,0)+IF(L1655="Semanal",'Configuración'!$B$6,IF(L1655="Mensual",'Configuración'!$B$7,0))+IF(M1655="Sí",'Configuración'!$B$8,0)+IF(N1655="Sí",'Configuración'!$B$9,0)+IF(O1655="Sí",'Configuración'!$B$10,0)+IF(P1655="Sí",'Configuración'!$B$11,0)+IF(Q1655="Sí",'Configuración'!$B$12,0)+S1655+T1655+U1655)</f>
        <v>28</v>
      </c>
      <c r="W1655" s="39" t="str">
        <f>IF(B1655="","",IF(V1655&gt;='Configuración'!$B$19,"A",IF(V1655&gt;='Configuración'!$B$20,"B",IF(V1655&gt;='Configuración'!$B$21,"C","Descarte"))))</f>
        <v>C</v>
      </c>
    </row>
    <row r="1656" ht="15.75" customHeight="1">
      <c r="A1656" s="34">
        <f t="shared" si="1"/>
        <v>1654</v>
      </c>
      <c r="B1656" s="29" t="s">
        <v>242</v>
      </c>
      <c r="C1656" s="29" t="s">
        <v>2297</v>
      </c>
      <c r="D1656" s="29" t="s">
        <v>9271</v>
      </c>
      <c r="E1656" s="29" t="s">
        <v>9272</v>
      </c>
      <c r="F1656" s="30" t="s">
        <v>9273</v>
      </c>
      <c r="G1656" s="30" t="s">
        <v>9274</v>
      </c>
      <c r="H1656" s="42" t="s">
        <v>9275</v>
      </c>
      <c r="I1656" s="29" t="s">
        <v>1950</v>
      </c>
      <c r="J1656" s="31">
        <v>13.0</v>
      </c>
      <c r="K1656" s="35"/>
      <c r="L1656" s="35"/>
      <c r="M1656" s="35"/>
      <c r="N1656" s="35"/>
      <c r="O1656" s="35"/>
      <c r="P1656" s="35"/>
      <c r="Q1656" s="35"/>
      <c r="R1656" s="35"/>
      <c r="S1656" s="37">
        <f>IF(B1656="","",IF(ISNUMBER(J1656),IF(J1656&lt;=10,'Configuración'!$B$23,IF(J1656&lt;=50,'Configuración'!$B$24,IF(J1656&lt;=200,'Configuración'!$B$25,0))),0))</f>
        <v>4</v>
      </c>
      <c r="T1656" s="37">
        <f>IF(B1656="","",IF(ISNUMBER(SEARCH("information technology",I1656))+ISNUMBER(SEARCH("software",I1656))+ISNUMBER(SEARCH("internet",I1656))+ISNUMBER(SEARCH("computer",I1656))+ISNUMBER(SEARCH("saas",I1656))+ISNUMBER(SEARCH("fintech",I1656))+ISNUMBER(SEARCH("information services",I1656))+ISNUMBER(SEARCH("telecommunications",I1656))&gt;0,'Configuración'!$B$27,'Configuración'!$B$28))</f>
        <v>4</v>
      </c>
      <c r="U1656" s="25">
        <f>IF(B1656="","",IF(ISNUMBER(SEARCH("CEO",C1656))+ISNUMBER(SEARCH("Founder",C1656))+ISNUMBER(SEARCH("Owner",C1656))+ISNUMBER(SEARCH("Dueño",C1656))+ISNUMBER(SEARCH("Director General",C1656))+ISNUMBER(SEARCH("Presidente",C1656))+ISNUMBER(SEARCH("President",C1656))&gt;0,'Configuración'!$B$31,IF(ISNUMBER(SEARCH("CMO",C1656))+ISNUMBER(SEARCH("Chief Marketing",C1656))+ISNUMBER(SEARCH("VP Marketing",C1656))+ISNUMBER(SEARCH("Director de Marketing",C1656))+ISNUMBER(SEARCH("Director Marketing",C1656))+ISNUMBER(SEARCH("Head of Marketing",C1656))+ISNUMBER(SEARCH("Head Marketing",C1656))&gt;0,'Configuración'!$B$32,IF(ISNUMBER(SEARCH("Marketing Manager",C1656))+ISNUMBER(SEARCH("Gerente de Marketing",C1656))+ISNUMBER(SEARCH("Growth Manager",C1656))+ISNUMBER(SEARCH("Demand Gen",C1656))+ISNUMBER(SEARCH("Marketing Lead",C1656))&gt;0,'Configuración'!$B$33,IF(ISNUMBER(SEARCH("COO",C1656))+ISNUMBER(SEARCH("CFO",C1656))+ISNUMBER(SEARCH("CTO",C1656))+ISNUMBER(SEARCH("Chief Operating",C1656))+ISNUMBER(SEARCH("Chief Financial",C1656))+ISNUMBER(SEARCH("Gerente General",C1656))+ISNUMBER(SEARCH("General Manager",C1656))&gt;0,'Configuración'!$B$34,'Configuración'!$B$35)))))</f>
        <v>12</v>
      </c>
      <c r="V1656" s="38">
        <f>IF(B1656="","",IF(K1656="Sí",'Configuración'!$B$5,0)+IF(L1656="Semanal",'Configuración'!$B$6,IF(L1656="Mensual",'Configuración'!$B$7,0))+IF(M1656="Sí",'Configuración'!$B$8,0)+IF(N1656="Sí",'Configuración'!$B$9,0)+IF(O1656="Sí",'Configuración'!$B$10,0)+IF(P1656="Sí",'Configuración'!$B$11,0)+IF(Q1656="Sí",'Configuración'!$B$12,0)+S1656+T1656+U1656)</f>
        <v>20</v>
      </c>
      <c r="W1656" s="39" t="str">
        <f>IF(B1656="","",IF(V1656&gt;='Configuración'!$B$19,"A",IF(V1656&gt;='Configuración'!$B$20,"B",IF(V1656&gt;='Configuración'!$B$21,"C","Descarte"))))</f>
        <v>Descarte</v>
      </c>
    </row>
    <row r="1657" ht="15.75" customHeight="1">
      <c r="A1657" s="34">
        <f t="shared" si="1"/>
        <v>1655</v>
      </c>
      <c r="B1657" s="29" t="s">
        <v>262</v>
      </c>
      <c r="C1657" s="29" t="s">
        <v>175</v>
      </c>
      <c r="D1657" s="29" t="s">
        <v>9276</v>
      </c>
      <c r="E1657" s="29" t="s">
        <v>9277</v>
      </c>
      <c r="F1657" s="30" t="s">
        <v>9278</v>
      </c>
      <c r="G1657" s="30" t="s">
        <v>9279</v>
      </c>
      <c r="H1657" s="42" t="s">
        <v>9280</v>
      </c>
      <c r="I1657" s="29" t="s">
        <v>769</v>
      </c>
      <c r="J1657" s="31">
        <v>4.0</v>
      </c>
      <c r="K1657" s="35"/>
      <c r="L1657" s="35"/>
      <c r="M1657" s="35"/>
      <c r="N1657" s="35"/>
      <c r="O1657" s="35"/>
      <c r="P1657" s="35"/>
      <c r="Q1657" s="35"/>
      <c r="R1657" s="35"/>
      <c r="S1657" s="37">
        <f>IF(B1657="","",IF(ISNUMBER(J1657),IF(J1657&lt;=10,'Configuración'!$B$23,IF(J1657&lt;=50,'Configuración'!$B$24,IF(J1657&lt;=200,'Configuración'!$B$25,0))),0))</f>
        <v>12</v>
      </c>
      <c r="T1657" s="37">
        <f>IF(B1657="","",IF(ISNUMBER(SEARCH("information technology",I1657))+ISNUMBER(SEARCH("software",I1657))+ISNUMBER(SEARCH("internet",I1657))+ISNUMBER(SEARCH("computer",I1657))+ISNUMBER(SEARCH("saas",I1657))+ISNUMBER(SEARCH("fintech",I1657))+ISNUMBER(SEARCH("information services",I1657))+ISNUMBER(SEARCH("telecommunications",I1657))&gt;0,'Configuración'!$B$27,'Configuración'!$B$28))</f>
        <v>4</v>
      </c>
      <c r="U1657" s="25">
        <f>IF(B1657="","",IF(ISNUMBER(SEARCH("CEO",C1657))+ISNUMBER(SEARCH("Founder",C1657))+ISNUMBER(SEARCH("Owner",C1657))+ISNUMBER(SEARCH("Dueño",C1657))+ISNUMBER(SEARCH("Director General",C1657))+ISNUMBER(SEARCH("Presidente",C1657))+ISNUMBER(SEARCH("President",C1657))&gt;0,'Configuración'!$B$31,IF(ISNUMBER(SEARCH("CMO",C1657))+ISNUMBER(SEARCH("Chief Marketing",C1657))+ISNUMBER(SEARCH("VP Marketing",C1657))+ISNUMBER(SEARCH("Director de Marketing",C1657))+ISNUMBER(SEARCH("Director Marketing",C1657))+ISNUMBER(SEARCH("Head of Marketing",C1657))+ISNUMBER(SEARCH("Head Marketing",C1657))&gt;0,'Configuración'!$B$32,IF(ISNUMBER(SEARCH("Marketing Manager",C1657))+ISNUMBER(SEARCH("Gerente de Marketing",C1657))+ISNUMBER(SEARCH("Growth Manager",C1657))+ISNUMBER(SEARCH("Demand Gen",C1657))+ISNUMBER(SEARCH("Marketing Lead",C1657))&gt;0,'Configuración'!$B$33,IF(ISNUMBER(SEARCH("COO",C1657))+ISNUMBER(SEARCH("CFO",C1657))+ISNUMBER(SEARCH("CTO",C1657))+ISNUMBER(SEARCH("Chief Operating",C1657))+ISNUMBER(SEARCH("Chief Financial",C1657))+ISNUMBER(SEARCH("Gerente General",C1657))+ISNUMBER(SEARCH("General Manager",C1657))&gt;0,'Configuración'!$B$34,'Configuración'!$B$35)))))</f>
        <v>12</v>
      </c>
      <c r="V1657" s="38">
        <f>IF(B1657="","",IF(K1657="Sí",'Configuración'!$B$5,0)+IF(L1657="Semanal",'Configuración'!$B$6,IF(L1657="Mensual",'Configuración'!$B$7,0))+IF(M1657="Sí",'Configuración'!$B$8,0)+IF(N1657="Sí",'Configuración'!$B$9,0)+IF(O1657="Sí",'Configuración'!$B$10,0)+IF(P1657="Sí",'Configuración'!$B$11,0)+IF(Q1657="Sí",'Configuración'!$B$12,0)+S1657+T1657+U1657)</f>
        <v>28</v>
      </c>
      <c r="W1657" s="39" t="str">
        <f>IF(B1657="","",IF(V1657&gt;='Configuración'!$B$19,"A",IF(V1657&gt;='Configuración'!$B$20,"B",IF(V1657&gt;='Configuración'!$B$21,"C","Descarte"))))</f>
        <v>C</v>
      </c>
    </row>
    <row r="1658" ht="15.75" customHeight="1">
      <c r="A1658" s="34">
        <f t="shared" si="1"/>
        <v>1656</v>
      </c>
      <c r="B1658" s="29" t="s">
        <v>174</v>
      </c>
      <c r="C1658" s="29" t="s">
        <v>2266</v>
      </c>
      <c r="D1658" s="29" t="s">
        <v>9281</v>
      </c>
      <c r="E1658" s="29" t="s">
        <v>9282</v>
      </c>
      <c r="F1658" s="30" t="s">
        <v>9283</v>
      </c>
      <c r="G1658" s="30" t="s">
        <v>9284</v>
      </c>
      <c r="H1658" s="42" t="s">
        <v>9285</v>
      </c>
      <c r="I1658" s="29" t="s">
        <v>2694</v>
      </c>
      <c r="J1658" s="31">
        <v>1.0</v>
      </c>
      <c r="K1658" s="35"/>
      <c r="L1658" s="35"/>
      <c r="M1658" s="35"/>
      <c r="N1658" s="35"/>
      <c r="O1658" s="35"/>
      <c r="P1658" s="35"/>
      <c r="Q1658" s="35"/>
      <c r="R1658" s="35"/>
      <c r="S1658" s="37">
        <f>IF(B1658="","",IF(ISNUMBER(J1658),IF(J1658&lt;=10,'Configuración'!$B$23,IF(J1658&lt;=50,'Configuración'!$B$24,IF(J1658&lt;=200,'Configuración'!$B$25,0))),0))</f>
        <v>12</v>
      </c>
      <c r="T1658" s="37">
        <f>IF(B1658="","",IF(ISNUMBER(SEARCH("information technology",I1658))+ISNUMBER(SEARCH("software",I1658))+ISNUMBER(SEARCH("internet",I1658))+ISNUMBER(SEARCH("computer",I1658))+ISNUMBER(SEARCH("saas",I1658))+ISNUMBER(SEARCH("fintech",I1658))+ISNUMBER(SEARCH("information services",I1658))+ISNUMBER(SEARCH("telecommunications",I1658))&gt;0,'Configuración'!$B$27,'Configuración'!$B$28))</f>
        <v>4</v>
      </c>
      <c r="U1658" s="25">
        <f>IF(B1658="","",IF(ISNUMBER(SEARCH("CEO",C1658))+ISNUMBER(SEARCH("Founder",C1658))+ISNUMBER(SEARCH("Owner",C1658))+ISNUMBER(SEARCH("Dueño",C1658))+ISNUMBER(SEARCH("Director General",C1658))+ISNUMBER(SEARCH("Presidente",C1658))+ISNUMBER(SEARCH("President",C1658))&gt;0,'Configuración'!$B$31,IF(ISNUMBER(SEARCH("CMO",C1658))+ISNUMBER(SEARCH("Chief Marketing",C1658))+ISNUMBER(SEARCH("VP Marketing",C1658))+ISNUMBER(SEARCH("Director de Marketing",C1658))+ISNUMBER(SEARCH("Director Marketing",C1658))+ISNUMBER(SEARCH("Head of Marketing",C1658))+ISNUMBER(SEARCH("Head Marketing",C1658))&gt;0,'Configuración'!$B$32,IF(ISNUMBER(SEARCH("Marketing Manager",C1658))+ISNUMBER(SEARCH("Gerente de Marketing",C1658))+ISNUMBER(SEARCH("Growth Manager",C1658))+ISNUMBER(SEARCH("Demand Gen",C1658))+ISNUMBER(SEARCH("Marketing Lead",C1658))&gt;0,'Configuración'!$B$33,IF(ISNUMBER(SEARCH("COO",C1658))+ISNUMBER(SEARCH("CFO",C1658))+ISNUMBER(SEARCH("CTO",C1658))+ISNUMBER(SEARCH("Chief Operating",C1658))+ISNUMBER(SEARCH("Chief Financial",C1658))+ISNUMBER(SEARCH("Gerente General",C1658))+ISNUMBER(SEARCH("General Manager",C1658))&gt;0,'Configuración'!$B$34,'Configuración'!$B$35)))))</f>
        <v>12</v>
      </c>
      <c r="V1658" s="38">
        <f>IF(B1658="","",IF(K1658="Sí",'Configuración'!$B$5,0)+IF(L1658="Semanal",'Configuración'!$B$6,IF(L1658="Mensual",'Configuración'!$B$7,0))+IF(M1658="Sí",'Configuración'!$B$8,0)+IF(N1658="Sí",'Configuración'!$B$9,0)+IF(O1658="Sí",'Configuración'!$B$10,0)+IF(P1658="Sí",'Configuración'!$B$11,0)+IF(Q1658="Sí",'Configuración'!$B$12,0)+S1658+T1658+U1658)</f>
        <v>28</v>
      </c>
      <c r="W1658" s="39" t="str">
        <f>IF(B1658="","",IF(V1658&gt;='Configuración'!$B$19,"A",IF(V1658&gt;='Configuración'!$B$20,"B",IF(V1658&gt;='Configuración'!$B$21,"C","Descarte"))))</f>
        <v>C</v>
      </c>
    </row>
    <row r="1659" ht="15.75" customHeight="1">
      <c r="A1659" s="34">
        <f t="shared" si="1"/>
        <v>1657</v>
      </c>
      <c r="B1659" s="29" t="s">
        <v>174</v>
      </c>
      <c r="C1659" s="29" t="s">
        <v>1617</v>
      </c>
      <c r="D1659" s="29" t="s">
        <v>9286</v>
      </c>
      <c r="E1659" s="29" t="s">
        <v>9287</v>
      </c>
      <c r="F1659" s="30" t="s">
        <v>9288</v>
      </c>
      <c r="G1659" s="30" t="s">
        <v>9289</v>
      </c>
      <c r="H1659" s="42" t="s">
        <v>9290</v>
      </c>
      <c r="I1659" s="29" t="s">
        <v>458</v>
      </c>
      <c r="J1659" s="31">
        <v>8.0</v>
      </c>
      <c r="K1659" s="35"/>
      <c r="L1659" s="35"/>
      <c r="M1659" s="35"/>
      <c r="N1659" s="35"/>
      <c r="O1659" s="35"/>
      <c r="P1659" s="35"/>
      <c r="Q1659" s="35"/>
      <c r="R1659" s="35"/>
      <c r="S1659" s="37">
        <f>IF(B1659="","",IF(ISNUMBER(J1659),IF(J1659&lt;=10,'Configuración'!$B$23,IF(J1659&lt;=50,'Configuración'!$B$24,IF(J1659&lt;=200,'Configuración'!$B$25,0))),0))</f>
        <v>12</v>
      </c>
      <c r="T1659" s="37">
        <f>IF(B1659="","",IF(ISNUMBER(SEARCH("information technology",I1659))+ISNUMBER(SEARCH("software",I1659))+ISNUMBER(SEARCH("internet",I1659))+ISNUMBER(SEARCH("computer",I1659))+ISNUMBER(SEARCH("saas",I1659))+ISNUMBER(SEARCH("fintech",I1659))+ISNUMBER(SEARCH("information services",I1659))+ISNUMBER(SEARCH("telecommunications",I1659))&gt;0,'Configuración'!$B$27,'Configuración'!$B$28))</f>
        <v>4</v>
      </c>
      <c r="U1659" s="25">
        <f>IF(B1659="","",IF(ISNUMBER(SEARCH("CEO",C1659))+ISNUMBER(SEARCH("Founder",C1659))+ISNUMBER(SEARCH("Owner",C1659))+ISNUMBER(SEARCH("Dueño",C1659))+ISNUMBER(SEARCH("Director General",C1659))+ISNUMBER(SEARCH("Presidente",C1659))+ISNUMBER(SEARCH("President",C1659))&gt;0,'Configuración'!$B$31,IF(ISNUMBER(SEARCH("CMO",C1659))+ISNUMBER(SEARCH("Chief Marketing",C1659))+ISNUMBER(SEARCH("VP Marketing",C1659))+ISNUMBER(SEARCH("Director de Marketing",C1659))+ISNUMBER(SEARCH("Director Marketing",C1659))+ISNUMBER(SEARCH("Head of Marketing",C1659))+ISNUMBER(SEARCH("Head Marketing",C1659))&gt;0,'Configuración'!$B$32,IF(ISNUMBER(SEARCH("Marketing Manager",C1659))+ISNUMBER(SEARCH("Gerente de Marketing",C1659))+ISNUMBER(SEARCH("Growth Manager",C1659))+ISNUMBER(SEARCH("Demand Gen",C1659))+ISNUMBER(SEARCH("Marketing Lead",C1659))&gt;0,'Configuración'!$B$33,IF(ISNUMBER(SEARCH("COO",C1659))+ISNUMBER(SEARCH("CFO",C1659))+ISNUMBER(SEARCH("CTO",C1659))+ISNUMBER(SEARCH("Chief Operating",C1659))+ISNUMBER(SEARCH("Chief Financial",C1659))+ISNUMBER(SEARCH("Gerente General",C1659))+ISNUMBER(SEARCH("General Manager",C1659))&gt;0,'Configuración'!$B$34,'Configuración'!$B$35)))))</f>
        <v>12</v>
      </c>
      <c r="V1659" s="38">
        <f>IF(B1659="","",IF(K1659="Sí",'Configuración'!$B$5,0)+IF(L1659="Semanal",'Configuración'!$B$6,IF(L1659="Mensual",'Configuración'!$B$7,0))+IF(M1659="Sí",'Configuración'!$B$8,0)+IF(N1659="Sí",'Configuración'!$B$9,0)+IF(O1659="Sí",'Configuración'!$B$10,0)+IF(P1659="Sí",'Configuración'!$B$11,0)+IF(Q1659="Sí",'Configuración'!$B$12,0)+S1659+T1659+U1659)</f>
        <v>28</v>
      </c>
      <c r="W1659" s="39" t="str">
        <f>IF(B1659="","",IF(V1659&gt;='Configuración'!$B$19,"A",IF(V1659&gt;='Configuración'!$B$20,"B",IF(V1659&gt;='Configuración'!$B$21,"C","Descarte"))))</f>
        <v>C</v>
      </c>
    </row>
    <row r="1660" ht="15.75" customHeight="1">
      <c r="A1660" s="34">
        <f t="shared" si="1"/>
        <v>1658</v>
      </c>
      <c r="B1660" s="29" t="s">
        <v>174</v>
      </c>
      <c r="C1660" s="29" t="s">
        <v>9291</v>
      </c>
      <c r="D1660" s="29" t="s">
        <v>9292</v>
      </c>
      <c r="E1660" s="29" t="s">
        <v>9293</v>
      </c>
      <c r="F1660" s="30" t="s">
        <v>9294</v>
      </c>
      <c r="G1660" s="30" t="s">
        <v>9295</v>
      </c>
      <c r="H1660" s="42" t="s">
        <v>9296</v>
      </c>
      <c r="I1660" s="29" t="s">
        <v>116</v>
      </c>
      <c r="J1660" s="31">
        <v>6.0</v>
      </c>
      <c r="K1660" s="35"/>
      <c r="L1660" s="35"/>
      <c r="M1660" s="35"/>
      <c r="N1660" s="35"/>
      <c r="O1660" s="35"/>
      <c r="P1660" s="35"/>
      <c r="Q1660" s="35"/>
      <c r="R1660" s="35"/>
      <c r="S1660" s="37">
        <f>IF(B1660="","",IF(ISNUMBER(J1660),IF(J1660&lt;=10,'Configuración'!$B$23,IF(J1660&lt;=50,'Configuración'!$B$24,IF(J1660&lt;=200,'Configuración'!$B$25,0))),0))</f>
        <v>12</v>
      </c>
      <c r="T1660" s="37">
        <f>IF(B1660="","",IF(ISNUMBER(SEARCH("information technology",I1660))+ISNUMBER(SEARCH("software",I1660))+ISNUMBER(SEARCH("internet",I1660))+ISNUMBER(SEARCH("computer",I1660))+ISNUMBER(SEARCH("saas",I1660))+ISNUMBER(SEARCH("fintech",I1660))+ISNUMBER(SEARCH("information services",I1660))+ISNUMBER(SEARCH("telecommunications",I1660))&gt;0,'Configuración'!$B$27,'Configuración'!$B$28))</f>
        <v>4</v>
      </c>
      <c r="U1660" s="25">
        <f>IF(B1660="","",IF(ISNUMBER(SEARCH("CEO",C1660))+ISNUMBER(SEARCH("Founder",C1660))+ISNUMBER(SEARCH("Owner",C1660))+ISNUMBER(SEARCH("Dueño",C1660))+ISNUMBER(SEARCH("Director General",C1660))+ISNUMBER(SEARCH("Presidente",C1660))+ISNUMBER(SEARCH("President",C1660))&gt;0,'Configuración'!$B$31,IF(ISNUMBER(SEARCH("CMO",C1660))+ISNUMBER(SEARCH("Chief Marketing",C1660))+ISNUMBER(SEARCH("VP Marketing",C1660))+ISNUMBER(SEARCH("Director de Marketing",C1660))+ISNUMBER(SEARCH("Director Marketing",C1660))+ISNUMBER(SEARCH("Head of Marketing",C1660))+ISNUMBER(SEARCH("Head Marketing",C1660))&gt;0,'Configuración'!$B$32,IF(ISNUMBER(SEARCH("Marketing Manager",C1660))+ISNUMBER(SEARCH("Gerente de Marketing",C1660))+ISNUMBER(SEARCH("Growth Manager",C1660))+ISNUMBER(SEARCH("Demand Gen",C1660))+ISNUMBER(SEARCH("Marketing Lead",C1660))&gt;0,'Configuración'!$B$33,IF(ISNUMBER(SEARCH("COO",C1660))+ISNUMBER(SEARCH("CFO",C1660))+ISNUMBER(SEARCH("CTO",C1660))+ISNUMBER(SEARCH("Chief Operating",C1660))+ISNUMBER(SEARCH("Chief Financial",C1660))+ISNUMBER(SEARCH("Gerente General",C1660))+ISNUMBER(SEARCH("General Manager",C1660))&gt;0,'Configuración'!$B$34,'Configuración'!$B$35)))))</f>
        <v>12</v>
      </c>
      <c r="V1660" s="38">
        <f>IF(B1660="","",IF(K1660="Sí",'Configuración'!$B$5,0)+IF(L1660="Semanal",'Configuración'!$B$6,IF(L1660="Mensual",'Configuración'!$B$7,0))+IF(M1660="Sí",'Configuración'!$B$8,0)+IF(N1660="Sí",'Configuración'!$B$9,0)+IF(O1660="Sí",'Configuración'!$B$10,0)+IF(P1660="Sí",'Configuración'!$B$11,0)+IF(Q1660="Sí",'Configuración'!$B$12,0)+S1660+T1660+U1660)</f>
        <v>28</v>
      </c>
      <c r="W1660" s="39" t="str">
        <f>IF(B1660="","",IF(V1660&gt;='Configuración'!$B$19,"A",IF(V1660&gt;='Configuración'!$B$20,"B",IF(V1660&gt;='Configuración'!$B$21,"C","Descarte"))))</f>
        <v>C</v>
      </c>
    </row>
    <row r="1661" ht="15.75" customHeight="1">
      <c r="A1661" s="34">
        <f t="shared" si="1"/>
        <v>1659</v>
      </c>
      <c r="B1661" s="29" t="s">
        <v>501</v>
      </c>
      <c r="C1661" s="29" t="s">
        <v>131</v>
      </c>
      <c r="D1661" s="29" t="s">
        <v>9297</v>
      </c>
      <c r="E1661" s="29" t="s">
        <v>9298</v>
      </c>
      <c r="F1661" s="30" t="s">
        <v>9299</v>
      </c>
      <c r="G1661" s="30" t="s">
        <v>9300</v>
      </c>
      <c r="H1661" s="42" t="s">
        <v>9301</v>
      </c>
      <c r="I1661" s="29" t="s">
        <v>1245</v>
      </c>
      <c r="J1661" s="31">
        <v>41.0</v>
      </c>
      <c r="K1661" s="35"/>
      <c r="L1661" s="35"/>
      <c r="M1661" s="35"/>
      <c r="N1661" s="35"/>
      <c r="O1661" s="35"/>
      <c r="P1661" s="35"/>
      <c r="Q1661" s="35"/>
      <c r="R1661" s="35"/>
      <c r="S1661" s="37">
        <f>IF(B1661="","",IF(ISNUMBER(J1661),IF(J1661&lt;=10,'Configuración'!$B$23,IF(J1661&lt;=50,'Configuración'!$B$24,IF(J1661&lt;=200,'Configuración'!$B$25,0))),0))</f>
        <v>4</v>
      </c>
      <c r="T1661" s="37">
        <f>IF(B1661="","",IF(ISNUMBER(SEARCH("information technology",I1661))+ISNUMBER(SEARCH("software",I1661))+ISNUMBER(SEARCH("internet",I1661))+ISNUMBER(SEARCH("computer",I1661))+ISNUMBER(SEARCH("saas",I1661))+ISNUMBER(SEARCH("fintech",I1661))+ISNUMBER(SEARCH("information services",I1661))+ISNUMBER(SEARCH("telecommunications",I1661))&gt;0,'Configuración'!$B$27,'Configuración'!$B$28))</f>
        <v>4</v>
      </c>
      <c r="U1661" s="25">
        <f>IF(B1661="","",IF(ISNUMBER(SEARCH("CEO",C1661))+ISNUMBER(SEARCH("Founder",C1661))+ISNUMBER(SEARCH("Owner",C1661))+ISNUMBER(SEARCH("Dueño",C1661))+ISNUMBER(SEARCH("Director General",C1661))+ISNUMBER(SEARCH("Presidente",C1661))+ISNUMBER(SEARCH("President",C1661))&gt;0,'Configuración'!$B$31,IF(ISNUMBER(SEARCH("CMO",C1661))+ISNUMBER(SEARCH("Chief Marketing",C1661))+ISNUMBER(SEARCH("VP Marketing",C1661))+ISNUMBER(SEARCH("Director de Marketing",C1661))+ISNUMBER(SEARCH("Director Marketing",C1661))+ISNUMBER(SEARCH("Head of Marketing",C1661))+ISNUMBER(SEARCH("Head Marketing",C1661))&gt;0,'Configuración'!$B$32,IF(ISNUMBER(SEARCH("Marketing Manager",C1661))+ISNUMBER(SEARCH("Gerente de Marketing",C1661))+ISNUMBER(SEARCH("Growth Manager",C1661))+ISNUMBER(SEARCH("Demand Gen",C1661))+ISNUMBER(SEARCH("Marketing Lead",C1661))&gt;0,'Configuración'!$B$33,IF(ISNUMBER(SEARCH("COO",C1661))+ISNUMBER(SEARCH("CFO",C1661))+ISNUMBER(SEARCH("CTO",C1661))+ISNUMBER(SEARCH("Chief Operating",C1661))+ISNUMBER(SEARCH("Chief Financial",C1661))+ISNUMBER(SEARCH("Gerente General",C1661))+ISNUMBER(SEARCH("General Manager",C1661))&gt;0,'Configuración'!$B$34,'Configuración'!$B$35)))))</f>
        <v>12</v>
      </c>
      <c r="V1661" s="38">
        <f>IF(B1661="","",IF(K1661="Sí",'Configuración'!$B$5,0)+IF(L1661="Semanal",'Configuración'!$B$6,IF(L1661="Mensual",'Configuración'!$B$7,0))+IF(M1661="Sí",'Configuración'!$B$8,0)+IF(N1661="Sí",'Configuración'!$B$9,0)+IF(O1661="Sí",'Configuración'!$B$10,0)+IF(P1661="Sí",'Configuración'!$B$11,0)+IF(Q1661="Sí",'Configuración'!$B$12,0)+S1661+T1661+U1661)</f>
        <v>20</v>
      </c>
      <c r="W1661" s="39" t="str">
        <f>IF(B1661="","",IF(V1661&gt;='Configuración'!$B$19,"A",IF(V1661&gt;='Configuración'!$B$20,"B",IF(V1661&gt;='Configuración'!$B$21,"C","Descarte"))))</f>
        <v>Descarte</v>
      </c>
    </row>
    <row r="1662" ht="15.75" customHeight="1">
      <c r="A1662" s="34">
        <f t="shared" si="1"/>
        <v>1660</v>
      </c>
      <c r="B1662" s="29" t="s">
        <v>174</v>
      </c>
      <c r="C1662" s="29" t="s">
        <v>175</v>
      </c>
      <c r="D1662" s="29" t="s">
        <v>9302</v>
      </c>
      <c r="E1662" s="29" t="s">
        <v>9303</v>
      </c>
      <c r="F1662" s="30" t="s">
        <v>9304</v>
      </c>
      <c r="G1662" s="30" t="s">
        <v>9305</v>
      </c>
      <c r="H1662" s="42" t="s">
        <v>9306</v>
      </c>
      <c r="I1662" s="29" t="s">
        <v>127</v>
      </c>
      <c r="J1662" s="31">
        <v>16.0</v>
      </c>
      <c r="K1662" s="35"/>
      <c r="L1662" s="35"/>
      <c r="M1662" s="35"/>
      <c r="N1662" s="35"/>
      <c r="O1662" s="35"/>
      <c r="P1662" s="35"/>
      <c r="Q1662" s="35"/>
      <c r="R1662" s="35"/>
      <c r="S1662" s="37">
        <f>IF(B1662="","",IF(ISNUMBER(J1662),IF(J1662&lt;=10,'Configuración'!$B$23,IF(J1662&lt;=50,'Configuración'!$B$24,IF(J1662&lt;=200,'Configuración'!$B$25,0))),0))</f>
        <v>4</v>
      </c>
      <c r="T1662" s="37">
        <f>IF(B1662="","",IF(ISNUMBER(SEARCH("information technology",I1662))+ISNUMBER(SEARCH("software",I1662))+ISNUMBER(SEARCH("internet",I1662))+ISNUMBER(SEARCH("computer",I1662))+ISNUMBER(SEARCH("saas",I1662))+ISNUMBER(SEARCH("fintech",I1662))+ISNUMBER(SEARCH("information services",I1662))+ISNUMBER(SEARCH("telecommunications",I1662))&gt;0,'Configuración'!$B$27,'Configuración'!$B$28))</f>
        <v>12</v>
      </c>
      <c r="U1662" s="25">
        <f>IF(B1662="","",IF(ISNUMBER(SEARCH("CEO",C1662))+ISNUMBER(SEARCH("Founder",C1662))+ISNUMBER(SEARCH("Owner",C1662))+ISNUMBER(SEARCH("Dueño",C1662))+ISNUMBER(SEARCH("Director General",C1662))+ISNUMBER(SEARCH("Presidente",C1662))+ISNUMBER(SEARCH("President",C1662))&gt;0,'Configuración'!$B$31,IF(ISNUMBER(SEARCH("CMO",C1662))+ISNUMBER(SEARCH("Chief Marketing",C1662))+ISNUMBER(SEARCH("VP Marketing",C1662))+ISNUMBER(SEARCH("Director de Marketing",C1662))+ISNUMBER(SEARCH("Director Marketing",C1662))+ISNUMBER(SEARCH("Head of Marketing",C1662))+ISNUMBER(SEARCH("Head Marketing",C1662))&gt;0,'Configuración'!$B$32,IF(ISNUMBER(SEARCH("Marketing Manager",C1662))+ISNUMBER(SEARCH("Gerente de Marketing",C1662))+ISNUMBER(SEARCH("Growth Manager",C1662))+ISNUMBER(SEARCH("Demand Gen",C1662))+ISNUMBER(SEARCH("Marketing Lead",C1662))&gt;0,'Configuración'!$B$33,IF(ISNUMBER(SEARCH("COO",C1662))+ISNUMBER(SEARCH("CFO",C1662))+ISNUMBER(SEARCH("CTO",C1662))+ISNUMBER(SEARCH("Chief Operating",C1662))+ISNUMBER(SEARCH("Chief Financial",C1662))+ISNUMBER(SEARCH("Gerente General",C1662))+ISNUMBER(SEARCH("General Manager",C1662))&gt;0,'Configuración'!$B$34,'Configuración'!$B$35)))))</f>
        <v>12</v>
      </c>
      <c r="V1662" s="38">
        <f>IF(B1662="","",IF(K1662="Sí",'Configuración'!$B$5,0)+IF(L1662="Semanal",'Configuración'!$B$6,IF(L1662="Mensual",'Configuración'!$B$7,0))+IF(M1662="Sí",'Configuración'!$B$8,0)+IF(N1662="Sí",'Configuración'!$B$9,0)+IF(O1662="Sí",'Configuración'!$B$10,0)+IF(P1662="Sí",'Configuración'!$B$11,0)+IF(Q1662="Sí",'Configuración'!$B$12,0)+S1662+T1662+U1662)</f>
        <v>28</v>
      </c>
      <c r="W1662" s="39" t="str">
        <f>IF(B1662="","",IF(V1662&gt;='Configuración'!$B$19,"A",IF(V1662&gt;='Configuración'!$B$20,"B",IF(V1662&gt;='Configuración'!$B$21,"C","Descarte"))))</f>
        <v>C</v>
      </c>
    </row>
    <row r="1663" ht="15.75" customHeight="1">
      <c r="A1663" s="34">
        <f t="shared" si="1"/>
        <v>1661</v>
      </c>
      <c r="B1663" s="29" t="s">
        <v>9307</v>
      </c>
      <c r="C1663" s="29" t="s">
        <v>9308</v>
      </c>
      <c r="D1663" s="29" t="s">
        <v>9309</v>
      </c>
      <c r="E1663" s="29" t="s">
        <v>9310</v>
      </c>
      <c r="F1663" s="30" t="s">
        <v>9311</v>
      </c>
      <c r="G1663" s="30" t="s">
        <v>9312</v>
      </c>
      <c r="H1663" s="42" t="s">
        <v>9313</v>
      </c>
      <c r="I1663" s="29" t="s">
        <v>127</v>
      </c>
      <c r="J1663" s="31">
        <v>34.0</v>
      </c>
      <c r="K1663" s="35"/>
      <c r="L1663" s="35"/>
      <c r="M1663" s="35"/>
      <c r="N1663" s="35"/>
      <c r="O1663" s="35"/>
      <c r="P1663" s="35"/>
      <c r="Q1663" s="35"/>
      <c r="R1663" s="35"/>
      <c r="S1663" s="37">
        <f>IF(B1663="","",IF(ISNUMBER(J1663),IF(J1663&lt;=10,'Configuración'!$B$23,IF(J1663&lt;=50,'Configuración'!$B$24,IF(J1663&lt;=200,'Configuración'!$B$25,0))),0))</f>
        <v>4</v>
      </c>
      <c r="T1663" s="37">
        <f>IF(B1663="","",IF(ISNUMBER(SEARCH("information technology",I1663))+ISNUMBER(SEARCH("software",I1663))+ISNUMBER(SEARCH("internet",I1663))+ISNUMBER(SEARCH("computer",I1663))+ISNUMBER(SEARCH("saas",I1663))+ISNUMBER(SEARCH("fintech",I1663))+ISNUMBER(SEARCH("information services",I1663))+ISNUMBER(SEARCH("telecommunications",I1663))&gt;0,'Configuración'!$B$27,'Configuración'!$B$28))</f>
        <v>12</v>
      </c>
      <c r="U1663" s="25">
        <f>IF(B1663="","",IF(ISNUMBER(SEARCH("CEO",C1663))+ISNUMBER(SEARCH("Founder",C1663))+ISNUMBER(SEARCH("Owner",C1663))+ISNUMBER(SEARCH("Dueño",C1663))+ISNUMBER(SEARCH("Director General",C1663))+ISNUMBER(SEARCH("Presidente",C1663))+ISNUMBER(SEARCH("President",C1663))&gt;0,'Configuración'!$B$31,IF(ISNUMBER(SEARCH("CMO",C1663))+ISNUMBER(SEARCH("Chief Marketing",C1663))+ISNUMBER(SEARCH("VP Marketing",C1663))+ISNUMBER(SEARCH("Director de Marketing",C1663))+ISNUMBER(SEARCH("Director Marketing",C1663))+ISNUMBER(SEARCH("Head of Marketing",C1663))+ISNUMBER(SEARCH("Head Marketing",C1663))&gt;0,'Configuración'!$B$32,IF(ISNUMBER(SEARCH("Marketing Manager",C1663))+ISNUMBER(SEARCH("Gerente de Marketing",C1663))+ISNUMBER(SEARCH("Growth Manager",C1663))+ISNUMBER(SEARCH("Demand Gen",C1663))+ISNUMBER(SEARCH("Marketing Lead",C1663))&gt;0,'Configuración'!$B$33,IF(ISNUMBER(SEARCH("COO",C1663))+ISNUMBER(SEARCH("CFO",C1663))+ISNUMBER(SEARCH("CTO",C1663))+ISNUMBER(SEARCH("Chief Operating",C1663))+ISNUMBER(SEARCH("Chief Financial",C1663))+ISNUMBER(SEARCH("Gerente General",C1663))+ISNUMBER(SEARCH("General Manager",C1663))&gt;0,'Configuración'!$B$34,'Configuración'!$B$35)))))</f>
        <v>12</v>
      </c>
      <c r="V1663" s="38">
        <f>IF(B1663="","",IF(K1663="Sí",'Configuración'!$B$5,0)+IF(L1663="Semanal",'Configuración'!$B$6,IF(L1663="Mensual",'Configuración'!$B$7,0))+IF(M1663="Sí",'Configuración'!$B$8,0)+IF(N1663="Sí",'Configuración'!$B$9,0)+IF(O1663="Sí",'Configuración'!$B$10,0)+IF(P1663="Sí",'Configuración'!$B$11,0)+IF(Q1663="Sí",'Configuración'!$B$12,0)+S1663+T1663+U1663)</f>
        <v>28</v>
      </c>
      <c r="W1663" s="39" t="str">
        <f>IF(B1663="","",IF(V1663&gt;='Configuración'!$B$19,"A",IF(V1663&gt;='Configuración'!$B$20,"B",IF(V1663&gt;='Configuración'!$B$21,"C","Descarte"))))</f>
        <v>C</v>
      </c>
    </row>
    <row r="1664" ht="15.75" customHeight="1">
      <c r="A1664" s="34">
        <f t="shared" si="1"/>
        <v>1662</v>
      </c>
      <c r="B1664" s="29" t="s">
        <v>351</v>
      </c>
      <c r="C1664" s="29" t="s">
        <v>9314</v>
      </c>
      <c r="D1664" s="29" t="s">
        <v>8410</v>
      </c>
      <c r="E1664" s="29" t="s">
        <v>9315</v>
      </c>
      <c r="F1664" s="30" t="s">
        <v>9316</v>
      </c>
      <c r="G1664" s="30" t="s">
        <v>8413</v>
      </c>
      <c r="H1664" s="42" t="s">
        <v>8414</v>
      </c>
      <c r="I1664" s="29" t="s">
        <v>4186</v>
      </c>
      <c r="J1664" s="31">
        <v>22.0</v>
      </c>
      <c r="K1664" s="35"/>
      <c r="L1664" s="35"/>
      <c r="M1664" s="35"/>
      <c r="N1664" s="35"/>
      <c r="O1664" s="35"/>
      <c r="P1664" s="35"/>
      <c r="Q1664" s="35"/>
      <c r="R1664" s="35"/>
      <c r="S1664" s="37">
        <f>IF(B1664="","",IF(ISNUMBER(J1664),IF(J1664&lt;=10,'Configuración'!$B$23,IF(J1664&lt;=50,'Configuración'!$B$24,IF(J1664&lt;=200,'Configuración'!$B$25,0))),0))</f>
        <v>4</v>
      </c>
      <c r="T1664" s="37">
        <f>IF(B1664="","",IF(ISNUMBER(SEARCH("information technology",I1664))+ISNUMBER(SEARCH("software",I1664))+ISNUMBER(SEARCH("internet",I1664))+ISNUMBER(SEARCH("computer",I1664))+ISNUMBER(SEARCH("saas",I1664))+ISNUMBER(SEARCH("fintech",I1664))+ISNUMBER(SEARCH("information services",I1664))+ISNUMBER(SEARCH("telecommunications",I1664))&gt;0,'Configuración'!$B$27,'Configuración'!$B$28))</f>
        <v>12</v>
      </c>
      <c r="U1664" s="25">
        <f>IF(B1664="","",IF(ISNUMBER(SEARCH("CEO",C1664))+ISNUMBER(SEARCH("Founder",C1664))+ISNUMBER(SEARCH("Owner",C1664))+ISNUMBER(SEARCH("Dueño",C1664))+ISNUMBER(SEARCH("Director General",C1664))+ISNUMBER(SEARCH("Presidente",C1664))+ISNUMBER(SEARCH("President",C1664))&gt;0,'Configuración'!$B$31,IF(ISNUMBER(SEARCH("CMO",C1664))+ISNUMBER(SEARCH("Chief Marketing",C1664))+ISNUMBER(SEARCH("VP Marketing",C1664))+ISNUMBER(SEARCH("Director de Marketing",C1664))+ISNUMBER(SEARCH("Director Marketing",C1664))+ISNUMBER(SEARCH("Head of Marketing",C1664))+ISNUMBER(SEARCH("Head Marketing",C1664))&gt;0,'Configuración'!$B$32,IF(ISNUMBER(SEARCH("Marketing Manager",C1664))+ISNUMBER(SEARCH("Gerente de Marketing",C1664))+ISNUMBER(SEARCH("Growth Manager",C1664))+ISNUMBER(SEARCH("Demand Gen",C1664))+ISNUMBER(SEARCH("Marketing Lead",C1664))&gt;0,'Configuración'!$B$33,IF(ISNUMBER(SEARCH("COO",C1664))+ISNUMBER(SEARCH("CFO",C1664))+ISNUMBER(SEARCH("CTO",C1664))+ISNUMBER(SEARCH("Chief Operating",C1664))+ISNUMBER(SEARCH("Chief Financial",C1664))+ISNUMBER(SEARCH("Gerente General",C1664))+ISNUMBER(SEARCH("General Manager",C1664))&gt;0,'Configuración'!$B$34,'Configuración'!$B$35)))))</f>
        <v>12</v>
      </c>
      <c r="V1664" s="38">
        <f>IF(B1664="","",IF(K1664="Sí",'Configuración'!$B$5,0)+IF(L1664="Semanal",'Configuración'!$B$6,IF(L1664="Mensual",'Configuración'!$B$7,0))+IF(M1664="Sí",'Configuración'!$B$8,0)+IF(N1664="Sí",'Configuración'!$B$9,0)+IF(O1664="Sí",'Configuración'!$B$10,0)+IF(P1664="Sí",'Configuración'!$B$11,0)+IF(Q1664="Sí",'Configuración'!$B$12,0)+S1664+T1664+U1664)</f>
        <v>28</v>
      </c>
      <c r="W1664" s="39" t="str">
        <f>IF(B1664="","",IF(V1664&gt;='Configuración'!$B$19,"A",IF(V1664&gt;='Configuración'!$B$20,"B",IF(V1664&gt;='Configuración'!$B$21,"C","Descarte"))))</f>
        <v>C</v>
      </c>
    </row>
    <row r="1665" ht="15.75" customHeight="1">
      <c r="A1665" s="34">
        <f t="shared" si="1"/>
        <v>1663</v>
      </c>
      <c r="B1665" s="29" t="s">
        <v>529</v>
      </c>
      <c r="C1665" s="29" t="s">
        <v>9317</v>
      </c>
      <c r="D1665" s="29" t="s">
        <v>9318</v>
      </c>
      <c r="E1665" s="29" t="s">
        <v>9319</v>
      </c>
      <c r="F1665" s="30" t="s">
        <v>9320</v>
      </c>
      <c r="G1665" s="30" t="s">
        <v>9321</v>
      </c>
      <c r="H1665" s="42" t="s">
        <v>9322</v>
      </c>
      <c r="I1665" s="29" t="s">
        <v>127</v>
      </c>
      <c r="J1665" s="31">
        <v>13.0</v>
      </c>
      <c r="K1665" s="35"/>
      <c r="L1665" s="35"/>
      <c r="M1665" s="35"/>
      <c r="N1665" s="35"/>
      <c r="O1665" s="35"/>
      <c r="P1665" s="35"/>
      <c r="Q1665" s="35"/>
      <c r="R1665" s="35"/>
      <c r="S1665" s="37">
        <f>IF(B1665="","",IF(ISNUMBER(J1665),IF(J1665&lt;=10,'Configuración'!$B$23,IF(J1665&lt;=50,'Configuración'!$B$24,IF(J1665&lt;=200,'Configuración'!$B$25,0))),0))</f>
        <v>4</v>
      </c>
      <c r="T1665" s="37">
        <f>IF(B1665="","",IF(ISNUMBER(SEARCH("information technology",I1665))+ISNUMBER(SEARCH("software",I1665))+ISNUMBER(SEARCH("internet",I1665))+ISNUMBER(SEARCH("computer",I1665))+ISNUMBER(SEARCH("saas",I1665))+ISNUMBER(SEARCH("fintech",I1665))+ISNUMBER(SEARCH("information services",I1665))+ISNUMBER(SEARCH("telecommunications",I1665))&gt;0,'Configuración'!$B$27,'Configuración'!$B$28))</f>
        <v>12</v>
      </c>
      <c r="U1665" s="25">
        <f>IF(B1665="","",IF(ISNUMBER(SEARCH("CEO",C1665))+ISNUMBER(SEARCH("Founder",C1665))+ISNUMBER(SEARCH("Owner",C1665))+ISNUMBER(SEARCH("Dueño",C1665))+ISNUMBER(SEARCH("Director General",C1665))+ISNUMBER(SEARCH("Presidente",C1665))+ISNUMBER(SEARCH("President",C1665))&gt;0,'Configuración'!$B$31,IF(ISNUMBER(SEARCH("CMO",C1665))+ISNUMBER(SEARCH("Chief Marketing",C1665))+ISNUMBER(SEARCH("VP Marketing",C1665))+ISNUMBER(SEARCH("Director de Marketing",C1665))+ISNUMBER(SEARCH("Director Marketing",C1665))+ISNUMBER(SEARCH("Head of Marketing",C1665))+ISNUMBER(SEARCH("Head Marketing",C1665))&gt;0,'Configuración'!$B$32,IF(ISNUMBER(SEARCH("Marketing Manager",C1665))+ISNUMBER(SEARCH("Gerente de Marketing",C1665))+ISNUMBER(SEARCH("Growth Manager",C1665))+ISNUMBER(SEARCH("Demand Gen",C1665))+ISNUMBER(SEARCH("Marketing Lead",C1665))&gt;0,'Configuración'!$B$33,IF(ISNUMBER(SEARCH("COO",C1665))+ISNUMBER(SEARCH("CFO",C1665))+ISNUMBER(SEARCH("CTO",C1665))+ISNUMBER(SEARCH("Chief Operating",C1665))+ISNUMBER(SEARCH("Chief Financial",C1665))+ISNUMBER(SEARCH("Gerente General",C1665))+ISNUMBER(SEARCH("General Manager",C1665))&gt;0,'Configuración'!$B$34,'Configuración'!$B$35)))))</f>
        <v>12</v>
      </c>
      <c r="V1665" s="38">
        <f>IF(B1665="","",IF(K1665="Sí",'Configuración'!$B$5,0)+IF(L1665="Semanal",'Configuración'!$B$6,IF(L1665="Mensual",'Configuración'!$B$7,0))+IF(M1665="Sí",'Configuración'!$B$8,0)+IF(N1665="Sí",'Configuración'!$B$9,0)+IF(O1665="Sí",'Configuración'!$B$10,0)+IF(P1665="Sí",'Configuración'!$B$11,0)+IF(Q1665="Sí",'Configuración'!$B$12,0)+S1665+T1665+U1665)</f>
        <v>28</v>
      </c>
      <c r="W1665" s="39" t="str">
        <f>IF(B1665="","",IF(V1665&gt;='Configuración'!$B$19,"A",IF(V1665&gt;='Configuración'!$B$20,"B",IF(V1665&gt;='Configuración'!$B$21,"C","Descarte"))))</f>
        <v>C</v>
      </c>
    </row>
    <row r="1666" ht="15.75" customHeight="1">
      <c r="A1666" s="34">
        <f t="shared" si="1"/>
        <v>1664</v>
      </c>
      <c r="B1666" s="29" t="s">
        <v>1048</v>
      </c>
      <c r="C1666" s="29" t="s">
        <v>2112</v>
      </c>
      <c r="D1666" s="29" t="s">
        <v>9323</v>
      </c>
      <c r="E1666" s="29" t="s">
        <v>9324</v>
      </c>
      <c r="F1666" s="30" t="s">
        <v>9325</v>
      </c>
      <c r="G1666" s="30" t="s">
        <v>9326</v>
      </c>
      <c r="H1666" s="42" t="s">
        <v>9327</v>
      </c>
      <c r="I1666" s="29" t="s">
        <v>127</v>
      </c>
      <c r="J1666" s="31">
        <v>13.0</v>
      </c>
      <c r="K1666" s="35"/>
      <c r="L1666" s="35"/>
      <c r="M1666" s="35"/>
      <c r="N1666" s="35"/>
      <c r="O1666" s="35"/>
      <c r="P1666" s="35"/>
      <c r="Q1666" s="35"/>
      <c r="R1666" s="35"/>
      <c r="S1666" s="37">
        <f>IF(B1666="","",IF(ISNUMBER(J1666),IF(J1666&lt;=10,'Configuración'!$B$23,IF(J1666&lt;=50,'Configuración'!$B$24,IF(J1666&lt;=200,'Configuración'!$B$25,0))),0))</f>
        <v>4</v>
      </c>
      <c r="T1666" s="37">
        <f>IF(B1666="","",IF(ISNUMBER(SEARCH("information technology",I1666))+ISNUMBER(SEARCH("software",I1666))+ISNUMBER(SEARCH("internet",I1666))+ISNUMBER(SEARCH("computer",I1666))+ISNUMBER(SEARCH("saas",I1666))+ISNUMBER(SEARCH("fintech",I1666))+ISNUMBER(SEARCH("information services",I1666))+ISNUMBER(SEARCH("telecommunications",I1666))&gt;0,'Configuración'!$B$27,'Configuración'!$B$28))</f>
        <v>12</v>
      </c>
      <c r="U1666" s="25">
        <f>IF(B1666="","",IF(ISNUMBER(SEARCH("CEO",C1666))+ISNUMBER(SEARCH("Founder",C1666))+ISNUMBER(SEARCH("Owner",C1666))+ISNUMBER(SEARCH("Dueño",C1666))+ISNUMBER(SEARCH("Director General",C1666))+ISNUMBER(SEARCH("Presidente",C1666))+ISNUMBER(SEARCH("President",C1666))&gt;0,'Configuración'!$B$31,IF(ISNUMBER(SEARCH("CMO",C1666))+ISNUMBER(SEARCH("Chief Marketing",C1666))+ISNUMBER(SEARCH("VP Marketing",C1666))+ISNUMBER(SEARCH("Director de Marketing",C1666))+ISNUMBER(SEARCH("Director Marketing",C1666))+ISNUMBER(SEARCH("Head of Marketing",C1666))+ISNUMBER(SEARCH("Head Marketing",C1666))&gt;0,'Configuración'!$B$32,IF(ISNUMBER(SEARCH("Marketing Manager",C1666))+ISNUMBER(SEARCH("Gerente de Marketing",C1666))+ISNUMBER(SEARCH("Growth Manager",C1666))+ISNUMBER(SEARCH("Demand Gen",C1666))+ISNUMBER(SEARCH("Marketing Lead",C1666))&gt;0,'Configuración'!$B$33,IF(ISNUMBER(SEARCH("COO",C1666))+ISNUMBER(SEARCH("CFO",C1666))+ISNUMBER(SEARCH("CTO",C1666))+ISNUMBER(SEARCH("Chief Operating",C1666))+ISNUMBER(SEARCH("Chief Financial",C1666))+ISNUMBER(SEARCH("Gerente General",C1666))+ISNUMBER(SEARCH("General Manager",C1666))&gt;0,'Configuración'!$B$34,'Configuración'!$B$35)))))</f>
        <v>12</v>
      </c>
      <c r="V1666" s="38">
        <f>IF(B1666="","",IF(K1666="Sí",'Configuración'!$B$5,0)+IF(L1666="Semanal",'Configuración'!$B$6,IF(L1666="Mensual",'Configuración'!$B$7,0))+IF(M1666="Sí",'Configuración'!$B$8,0)+IF(N1666="Sí",'Configuración'!$B$9,0)+IF(O1666="Sí",'Configuración'!$B$10,0)+IF(P1666="Sí",'Configuración'!$B$11,0)+IF(Q1666="Sí",'Configuración'!$B$12,0)+S1666+T1666+U1666)</f>
        <v>28</v>
      </c>
      <c r="W1666" s="39" t="str">
        <f>IF(B1666="","",IF(V1666&gt;='Configuración'!$B$19,"A",IF(V1666&gt;='Configuración'!$B$20,"B",IF(V1666&gt;='Configuración'!$B$21,"C","Descarte"))))</f>
        <v>C</v>
      </c>
    </row>
    <row r="1667" ht="15.75" customHeight="1">
      <c r="A1667" s="34">
        <f t="shared" si="1"/>
        <v>1665</v>
      </c>
      <c r="B1667" s="29" t="s">
        <v>4151</v>
      </c>
      <c r="C1667" s="29" t="s">
        <v>131</v>
      </c>
      <c r="D1667" s="29" t="s">
        <v>9328</v>
      </c>
      <c r="E1667" s="29" t="s">
        <v>9329</v>
      </c>
      <c r="F1667" s="30" t="s">
        <v>9330</v>
      </c>
      <c r="G1667" s="30" t="s">
        <v>9331</v>
      </c>
      <c r="H1667" s="42" t="s">
        <v>9332</v>
      </c>
      <c r="I1667" s="29" t="s">
        <v>188</v>
      </c>
      <c r="J1667" s="31">
        <v>2.0</v>
      </c>
      <c r="K1667" s="35"/>
      <c r="L1667" s="35"/>
      <c r="M1667" s="35"/>
      <c r="N1667" s="35"/>
      <c r="O1667" s="35"/>
      <c r="P1667" s="35"/>
      <c r="Q1667" s="35"/>
      <c r="R1667" s="35"/>
      <c r="S1667" s="37">
        <f>IF(B1667="","",IF(ISNUMBER(J1667),IF(J1667&lt;=10,'Configuración'!$B$23,IF(J1667&lt;=50,'Configuración'!$B$24,IF(J1667&lt;=200,'Configuración'!$B$25,0))),0))</f>
        <v>12</v>
      </c>
      <c r="T1667" s="37">
        <f>IF(B1667="","",IF(ISNUMBER(SEARCH("information technology",I1667))+ISNUMBER(SEARCH("software",I1667))+ISNUMBER(SEARCH("internet",I1667))+ISNUMBER(SEARCH("computer",I1667))+ISNUMBER(SEARCH("saas",I1667))+ISNUMBER(SEARCH("fintech",I1667))+ISNUMBER(SEARCH("information services",I1667))+ISNUMBER(SEARCH("telecommunications",I1667))&gt;0,'Configuración'!$B$27,'Configuración'!$B$28))</f>
        <v>4</v>
      </c>
      <c r="U1667" s="25">
        <f>IF(B1667="","",IF(ISNUMBER(SEARCH("CEO",C1667))+ISNUMBER(SEARCH("Founder",C1667))+ISNUMBER(SEARCH("Owner",C1667))+ISNUMBER(SEARCH("Dueño",C1667))+ISNUMBER(SEARCH("Director General",C1667))+ISNUMBER(SEARCH("Presidente",C1667))+ISNUMBER(SEARCH("President",C1667))&gt;0,'Configuración'!$B$31,IF(ISNUMBER(SEARCH("CMO",C1667))+ISNUMBER(SEARCH("Chief Marketing",C1667))+ISNUMBER(SEARCH("VP Marketing",C1667))+ISNUMBER(SEARCH("Director de Marketing",C1667))+ISNUMBER(SEARCH("Director Marketing",C1667))+ISNUMBER(SEARCH("Head of Marketing",C1667))+ISNUMBER(SEARCH("Head Marketing",C1667))&gt;0,'Configuración'!$B$32,IF(ISNUMBER(SEARCH("Marketing Manager",C1667))+ISNUMBER(SEARCH("Gerente de Marketing",C1667))+ISNUMBER(SEARCH("Growth Manager",C1667))+ISNUMBER(SEARCH("Demand Gen",C1667))+ISNUMBER(SEARCH("Marketing Lead",C1667))&gt;0,'Configuración'!$B$33,IF(ISNUMBER(SEARCH("COO",C1667))+ISNUMBER(SEARCH("CFO",C1667))+ISNUMBER(SEARCH("CTO",C1667))+ISNUMBER(SEARCH("Chief Operating",C1667))+ISNUMBER(SEARCH("Chief Financial",C1667))+ISNUMBER(SEARCH("Gerente General",C1667))+ISNUMBER(SEARCH("General Manager",C1667))&gt;0,'Configuración'!$B$34,'Configuración'!$B$35)))))</f>
        <v>12</v>
      </c>
      <c r="V1667" s="38">
        <f>IF(B1667="","",IF(K1667="Sí",'Configuración'!$B$5,0)+IF(L1667="Semanal",'Configuración'!$B$6,IF(L1667="Mensual",'Configuración'!$B$7,0))+IF(M1667="Sí",'Configuración'!$B$8,0)+IF(N1667="Sí",'Configuración'!$B$9,0)+IF(O1667="Sí",'Configuración'!$B$10,0)+IF(P1667="Sí",'Configuración'!$B$11,0)+IF(Q1667="Sí",'Configuración'!$B$12,0)+S1667+T1667+U1667)</f>
        <v>28</v>
      </c>
      <c r="W1667" s="39" t="str">
        <f>IF(B1667="","",IF(V1667&gt;='Configuración'!$B$19,"A",IF(V1667&gt;='Configuración'!$B$20,"B",IF(V1667&gt;='Configuración'!$B$21,"C","Descarte"))))</f>
        <v>C</v>
      </c>
    </row>
    <row r="1668" ht="15.75" customHeight="1">
      <c r="A1668" s="34">
        <f t="shared" si="1"/>
        <v>1666</v>
      </c>
      <c r="B1668" s="29" t="s">
        <v>236</v>
      </c>
      <c r="C1668" s="29" t="s">
        <v>175</v>
      </c>
      <c r="D1668" s="29" t="s">
        <v>9333</v>
      </c>
      <c r="E1668" s="29" t="s">
        <v>9334</v>
      </c>
      <c r="F1668" s="30" t="s">
        <v>9335</v>
      </c>
      <c r="G1668" s="30" t="s">
        <v>9336</v>
      </c>
      <c r="H1668" s="42" t="s">
        <v>9337</v>
      </c>
      <c r="I1668" s="29" t="s">
        <v>2350</v>
      </c>
      <c r="J1668" s="31">
        <v>7.0</v>
      </c>
      <c r="K1668" s="35"/>
      <c r="L1668" s="35"/>
      <c r="M1668" s="35"/>
      <c r="N1668" s="35"/>
      <c r="O1668" s="35"/>
      <c r="P1668" s="35"/>
      <c r="Q1668" s="35"/>
      <c r="R1668" s="35"/>
      <c r="S1668" s="37">
        <f>IF(B1668="","",IF(ISNUMBER(J1668),IF(J1668&lt;=10,'Configuración'!$B$23,IF(J1668&lt;=50,'Configuración'!$B$24,IF(J1668&lt;=200,'Configuración'!$B$25,0))),0))</f>
        <v>12</v>
      </c>
      <c r="T1668" s="37">
        <f>IF(B1668="","",IF(ISNUMBER(SEARCH("information technology",I1668))+ISNUMBER(SEARCH("software",I1668))+ISNUMBER(SEARCH("internet",I1668))+ISNUMBER(SEARCH("computer",I1668))+ISNUMBER(SEARCH("saas",I1668))+ISNUMBER(SEARCH("fintech",I1668))+ISNUMBER(SEARCH("information services",I1668))+ISNUMBER(SEARCH("telecommunications",I1668))&gt;0,'Configuración'!$B$27,'Configuración'!$B$28))</f>
        <v>4</v>
      </c>
      <c r="U1668" s="25">
        <f>IF(B1668="","",IF(ISNUMBER(SEARCH("CEO",C1668))+ISNUMBER(SEARCH("Founder",C1668))+ISNUMBER(SEARCH("Owner",C1668))+ISNUMBER(SEARCH("Dueño",C1668))+ISNUMBER(SEARCH("Director General",C1668))+ISNUMBER(SEARCH("Presidente",C1668))+ISNUMBER(SEARCH("President",C1668))&gt;0,'Configuración'!$B$31,IF(ISNUMBER(SEARCH("CMO",C1668))+ISNUMBER(SEARCH("Chief Marketing",C1668))+ISNUMBER(SEARCH("VP Marketing",C1668))+ISNUMBER(SEARCH("Director de Marketing",C1668))+ISNUMBER(SEARCH("Director Marketing",C1668))+ISNUMBER(SEARCH("Head of Marketing",C1668))+ISNUMBER(SEARCH("Head Marketing",C1668))&gt;0,'Configuración'!$B$32,IF(ISNUMBER(SEARCH("Marketing Manager",C1668))+ISNUMBER(SEARCH("Gerente de Marketing",C1668))+ISNUMBER(SEARCH("Growth Manager",C1668))+ISNUMBER(SEARCH("Demand Gen",C1668))+ISNUMBER(SEARCH("Marketing Lead",C1668))&gt;0,'Configuración'!$B$33,IF(ISNUMBER(SEARCH("COO",C1668))+ISNUMBER(SEARCH("CFO",C1668))+ISNUMBER(SEARCH("CTO",C1668))+ISNUMBER(SEARCH("Chief Operating",C1668))+ISNUMBER(SEARCH("Chief Financial",C1668))+ISNUMBER(SEARCH("Gerente General",C1668))+ISNUMBER(SEARCH("General Manager",C1668))&gt;0,'Configuración'!$B$34,'Configuración'!$B$35)))))</f>
        <v>12</v>
      </c>
      <c r="V1668" s="38">
        <f>IF(B1668="","",IF(K1668="Sí",'Configuración'!$B$5,0)+IF(L1668="Semanal",'Configuración'!$B$6,IF(L1668="Mensual",'Configuración'!$B$7,0))+IF(M1668="Sí",'Configuración'!$B$8,0)+IF(N1668="Sí",'Configuración'!$B$9,0)+IF(O1668="Sí",'Configuración'!$B$10,0)+IF(P1668="Sí",'Configuración'!$B$11,0)+IF(Q1668="Sí",'Configuración'!$B$12,0)+S1668+T1668+U1668)</f>
        <v>28</v>
      </c>
      <c r="W1668" s="39" t="str">
        <f>IF(B1668="","",IF(V1668&gt;='Configuración'!$B$19,"A",IF(V1668&gt;='Configuración'!$B$20,"B",IF(V1668&gt;='Configuración'!$B$21,"C","Descarte"))))</f>
        <v>C</v>
      </c>
    </row>
    <row r="1669" ht="15.75" customHeight="1">
      <c r="A1669" s="34">
        <f t="shared" si="1"/>
        <v>1667</v>
      </c>
      <c r="B1669" s="29" t="s">
        <v>9338</v>
      </c>
      <c r="C1669" s="29" t="s">
        <v>318</v>
      </c>
      <c r="D1669" s="29" t="s">
        <v>183</v>
      </c>
      <c r="E1669" s="29" t="s">
        <v>9339</v>
      </c>
      <c r="F1669" s="30" t="s">
        <v>9340</v>
      </c>
      <c r="G1669" s="30" t="s">
        <v>186</v>
      </c>
      <c r="H1669" s="42" t="s">
        <v>187</v>
      </c>
      <c r="I1669" s="29" t="s">
        <v>188</v>
      </c>
      <c r="J1669" s="31">
        <v>39.0</v>
      </c>
      <c r="K1669" s="35"/>
      <c r="L1669" s="35"/>
      <c r="M1669" s="35"/>
      <c r="N1669" s="35"/>
      <c r="O1669" s="35"/>
      <c r="P1669" s="35"/>
      <c r="Q1669" s="35"/>
      <c r="R1669" s="35"/>
      <c r="S1669" s="37">
        <f>IF(B1669="","",IF(ISNUMBER(J1669),IF(J1669&lt;=10,'Configuración'!$B$23,IF(J1669&lt;=50,'Configuración'!$B$24,IF(J1669&lt;=200,'Configuración'!$B$25,0))),0))</f>
        <v>4</v>
      </c>
      <c r="T1669" s="37">
        <f>IF(B1669="","",IF(ISNUMBER(SEARCH("information technology",I1669))+ISNUMBER(SEARCH("software",I1669))+ISNUMBER(SEARCH("internet",I1669))+ISNUMBER(SEARCH("computer",I1669))+ISNUMBER(SEARCH("saas",I1669))+ISNUMBER(SEARCH("fintech",I1669))+ISNUMBER(SEARCH("information services",I1669))+ISNUMBER(SEARCH("telecommunications",I1669))&gt;0,'Configuración'!$B$27,'Configuración'!$B$28))</f>
        <v>4</v>
      </c>
      <c r="U1669" s="25">
        <f>IF(B1669="","",IF(ISNUMBER(SEARCH("CEO",C1669))+ISNUMBER(SEARCH("Founder",C1669))+ISNUMBER(SEARCH("Owner",C1669))+ISNUMBER(SEARCH("Dueño",C1669))+ISNUMBER(SEARCH("Director General",C1669))+ISNUMBER(SEARCH("Presidente",C1669))+ISNUMBER(SEARCH("President",C1669))&gt;0,'Configuración'!$B$31,IF(ISNUMBER(SEARCH("CMO",C1669))+ISNUMBER(SEARCH("Chief Marketing",C1669))+ISNUMBER(SEARCH("VP Marketing",C1669))+ISNUMBER(SEARCH("Director de Marketing",C1669))+ISNUMBER(SEARCH("Director Marketing",C1669))+ISNUMBER(SEARCH("Head of Marketing",C1669))+ISNUMBER(SEARCH("Head Marketing",C1669))&gt;0,'Configuración'!$B$32,IF(ISNUMBER(SEARCH("Marketing Manager",C1669))+ISNUMBER(SEARCH("Gerente de Marketing",C1669))+ISNUMBER(SEARCH("Growth Manager",C1669))+ISNUMBER(SEARCH("Demand Gen",C1669))+ISNUMBER(SEARCH("Marketing Lead",C1669))&gt;0,'Configuración'!$B$33,IF(ISNUMBER(SEARCH("COO",C1669))+ISNUMBER(SEARCH("CFO",C1669))+ISNUMBER(SEARCH("CTO",C1669))+ISNUMBER(SEARCH("Chief Operating",C1669))+ISNUMBER(SEARCH("Chief Financial",C1669))+ISNUMBER(SEARCH("Gerente General",C1669))+ISNUMBER(SEARCH("General Manager",C1669))&gt;0,'Configuración'!$B$34,'Configuración'!$B$35)))))</f>
        <v>4</v>
      </c>
      <c r="V1669" s="38">
        <f>IF(B1669="","",IF(K1669="Sí",'Configuración'!$B$5,0)+IF(L1669="Semanal",'Configuración'!$B$6,IF(L1669="Mensual",'Configuración'!$B$7,0))+IF(M1669="Sí",'Configuración'!$B$8,0)+IF(N1669="Sí",'Configuración'!$B$9,0)+IF(O1669="Sí",'Configuración'!$B$10,0)+IF(P1669="Sí",'Configuración'!$B$11,0)+IF(Q1669="Sí",'Configuración'!$B$12,0)+S1669+T1669+U1669)</f>
        <v>12</v>
      </c>
      <c r="W1669" s="39" t="str">
        <f>IF(B1669="","",IF(V1669&gt;='Configuración'!$B$19,"A",IF(V1669&gt;='Configuración'!$B$20,"B",IF(V1669&gt;='Configuración'!$B$21,"C","Descarte"))))</f>
        <v>Descarte</v>
      </c>
    </row>
    <row r="1670" ht="15.75" customHeight="1">
      <c r="A1670" s="34">
        <f t="shared" si="1"/>
        <v>1668</v>
      </c>
      <c r="B1670" s="29" t="s">
        <v>1510</v>
      </c>
      <c r="C1670" s="29" t="s">
        <v>9341</v>
      </c>
      <c r="D1670" s="29" t="s">
        <v>9095</v>
      </c>
      <c r="E1670" s="29" t="s">
        <v>9342</v>
      </c>
      <c r="F1670" s="30" t="s">
        <v>9343</v>
      </c>
      <c r="G1670" s="30" t="s">
        <v>9098</v>
      </c>
      <c r="H1670" s="42" t="s">
        <v>9099</v>
      </c>
      <c r="I1670" s="29" t="s">
        <v>127</v>
      </c>
      <c r="J1670" s="31">
        <v>11.0</v>
      </c>
      <c r="K1670" s="35"/>
      <c r="L1670" s="35"/>
      <c r="M1670" s="35"/>
      <c r="N1670" s="35"/>
      <c r="O1670" s="35"/>
      <c r="P1670" s="35"/>
      <c r="Q1670" s="35"/>
      <c r="R1670" s="35"/>
      <c r="S1670" s="37">
        <f>IF(B1670="","",IF(ISNUMBER(J1670),IF(J1670&lt;=10,'Configuración'!$B$23,IF(J1670&lt;=50,'Configuración'!$B$24,IF(J1670&lt;=200,'Configuración'!$B$25,0))),0))</f>
        <v>4</v>
      </c>
      <c r="T1670" s="37">
        <f>IF(B1670="","",IF(ISNUMBER(SEARCH("information technology",I1670))+ISNUMBER(SEARCH("software",I1670))+ISNUMBER(SEARCH("internet",I1670))+ISNUMBER(SEARCH("computer",I1670))+ISNUMBER(SEARCH("saas",I1670))+ISNUMBER(SEARCH("fintech",I1670))+ISNUMBER(SEARCH("information services",I1670))+ISNUMBER(SEARCH("telecommunications",I1670))&gt;0,'Configuración'!$B$27,'Configuración'!$B$28))</f>
        <v>12</v>
      </c>
      <c r="U1670" s="25">
        <f>IF(B1670="","",IF(ISNUMBER(SEARCH("CEO",C1670))+ISNUMBER(SEARCH("Founder",C1670))+ISNUMBER(SEARCH("Owner",C1670))+ISNUMBER(SEARCH("Dueño",C1670))+ISNUMBER(SEARCH("Director General",C1670))+ISNUMBER(SEARCH("Presidente",C1670))+ISNUMBER(SEARCH("President",C1670))&gt;0,'Configuración'!$B$31,IF(ISNUMBER(SEARCH("CMO",C1670))+ISNUMBER(SEARCH("Chief Marketing",C1670))+ISNUMBER(SEARCH("VP Marketing",C1670))+ISNUMBER(SEARCH("Director de Marketing",C1670))+ISNUMBER(SEARCH("Director Marketing",C1670))+ISNUMBER(SEARCH("Head of Marketing",C1670))+ISNUMBER(SEARCH("Head Marketing",C1670))&gt;0,'Configuración'!$B$32,IF(ISNUMBER(SEARCH("Marketing Manager",C1670))+ISNUMBER(SEARCH("Gerente de Marketing",C1670))+ISNUMBER(SEARCH("Growth Manager",C1670))+ISNUMBER(SEARCH("Demand Gen",C1670))+ISNUMBER(SEARCH("Marketing Lead",C1670))&gt;0,'Configuración'!$B$33,IF(ISNUMBER(SEARCH("COO",C1670))+ISNUMBER(SEARCH("CFO",C1670))+ISNUMBER(SEARCH("CTO",C1670))+ISNUMBER(SEARCH("Chief Operating",C1670))+ISNUMBER(SEARCH("Chief Financial",C1670))+ISNUMBER(SEARCH("Gerente General",C1670))+ISNUMBER(SEARCH("General Manager",C1670))&gt;0,'Configuración'!$B$34,'Configuración'!$B$35)))))</f>
        <v>12</v>
      </c>
      <c r="V1670" s="38">
        <f>IF(B1670="","",IF(K1670="Sí",'Configuración'!$B$5,0)+IF(L1670="Semanal",'Configuración'!$B$6,IF(L1670="Mensual",'Configuración'!$B$7,0))+IF(M1670="Sí",'Configuración'!$B$8,0)+IF(N1670="Sí",'Configuración'!$B$9,0)+IF(O1670="Sí",'Configuración'!$B$10,0)+IF(P1670="Sí",'Configuración'!$B$11,0)+IF(Q1670="Sí",'Configuración'!$B$12,0)+S1670+T1670+U1670)</f>
        <v>28</v>
      </c>
      <c r="W1670" s="39" t="str">
        <f>IF(B1670="","",IF(V1670&gt;='Configuración'!$B$19,"A",IF(V1670&gt;='Configuración'!$B$20,"B",IF(V1670&gt;='Configuración'!$B$21,"C","Descarte"))))</f>
        <v>C</v>
      </c>
    </row>
    <row r="1671" ht="15.75" customHeight="1">
      <c r="A1671" s="34">
        <f t="shared" si="1"/>
        <v>1669</v>
      </c>
      <c r="B1671" s="29" t="s">
        <v>665</v>
      </c>
      <c r="C1671" s="29" t="s">
        <v>202</v>
      </c>
      <c r="D1671" s="29" t="s">
        <v>6629</v>
      </c>
      <c r="E1671" s="29" t="s">
        <v>9344</v>
      </c>
      <c r="F1671" s="30" t="s">
        <v>9345</v>
      </c>
      <c r="G1671" s="30" t="s">
        <v>6632</v>
      </c>
      <c r="H1671" s="42" t="s">
        <v>6633</v>
      </c>
      <c r="I1671" s="29" t="s">
        <v>127</v>
      </c>
      <c r="J1671" s="31">
        <v>4.0</v>
      </c>
      <c r="K1671" s="35"/>
      <c r="L1671" s="35"/>
      <c r="M1671" s="35"/>
      <c r="N1671" s="35"/>
      <c r="O1671" s="35"/>
      <c r="P1671" s="35"/>
      <c r="Q1671" s="35"/>
      <c r="R1671" s="35"/>
      <c r="S1671" s="37">
        <f>IF(B1671="","",IF(ISNUMBER(J1671),IF(J1671&lt;=10,'Configuración'!$B$23,IF(J1671&lt;=50,'Configuración'!$B$24,IF(J1671&lt;=200,'Configuración'!$B$25,0))),0))</f>
        <v>12</v>
      </c>
      <c r="T1671" s="37">
        <f>IF(B1671="","",IF(ISNUMBER(SEARCH("information technology",I1671))+ISNUMBER(SEARCH("software",I1671))+ISNUMBER(SEARCH("internet",I1671))+ISNUMBER(SEARCH("computer",I1671))+ISNUMBER(SEARCH("saas",I1671))+ISNUMBER(SEARCH("fintech",I1671))+ISNUMBER(SEARCH("information services",I1671))+ISNUMBER(SEARCH("telecommunications",I1671))&gt;0,'Configuración'!$B$27,'Configuración'!$B$28))</f>
        <v>12</v>
      </c>
      <c r="U1671" s="25">
        <f>IF(B1671="","",IF(ISNUMBER(SEARCH("CEO",C1671))+ISNUMBER(SEARCH("Founder",C1671))+ISNUMBER(SEARCH("Owner",C1671))+ISNUMBER(SEARCH("Dueño",C1671))+ISNUMBER(SEARCH("Director General",C1671))+ISNUMBER(SEARCH("Presidente",C1671))+ISNUMBER(SEARCH("President",C1671))&gt;0,'Configuración'!$B$31,IF(ISNUMBER(SEARCH("CMO",C1671))+ISNUMBER(SEARCH("Chief Marketing",C1671))+ISNUMBER(SEARCH("VP Marketing",C1671))+ISNUMBER(SEARCH("Director de Marketing",C1671))+ISNUMBER(SEARCH("Director Marketing",C1671))+ISNUMBER(SEARCH("Head of Marketing",C1671))+ISNUMBER(SEARCH("Head Marketing",C1671))&gt;0,'Configuración'!$B$32,IF(ISNUMBER(SEARCH("Marketing Manager",C1671))+ISNUMBER(SEARCH("Gerente de Marketing",C1671))+ISNUMBER(SEARCH("Growth Manager",C1671))+ISNUMBER(SEARCH("Demand Gen",C1671))+ISNUMBER(SEARCH("Marketing Lead",C1671))&gt;0,'Configuración'!$B$33,IF(ISNUMBER(SEARCH("COO",C1671))+ISNUMBER(SEARCH("CFO",C1671))+ISNUMBER(SEARCH("CTO",C1671))+ISNUMBER(SEARCH("Chief Operating",C1671))+ISNUMBER(SEARCH("Chief Financial",C1671))+ISNUMBER(SEARCH("Gerente General",C1671))+ISNUMBER(SEARCH("General Manager",C1671))&gt;0,'Configuración'!$B$34,'Configuración'!$B$35)))))</f>
        <v>12</v>
      </c>
      <c r="V1671" s="38">
        <f>IF(B1671="","",IF(K1671="Sí",'Configuración'!$B$5,0)+IF(L1671="Semanal",'Configuración'!$B$6,IF(L1671="Mensual",'Configuración'!$B$7,0))+IF(M1671="Sí",'Configuración'!$B$8,0)+IF(N1671="Sí",'Configuración'!$B$9,0)+IF(O1671="Sí",'Configuración'!$B$10,0)+IF(P1671="Sí",'Configuración'!$B$11,0)+IF(Q1671="Sí",'Configuración'!$B$12,0)+S1671+T1671+U1671)</f>
        <v>36</v>
      </c>
      <c r="W1671" s="39" t="str">
        <f>IF(B1671="","",IF(V1671&gt;='Configuración'!$B$19,"A",IF(V1671&gt;='Configuración'!$B$20,"B",IF(V1671&gt;='Configuración'!$B$21,"C","Descarte"))))</f>
        <v>C</v>
      </c>
    </row>
    <row r="1672" ht="15.75" customHeight="1">
      <c r="A1672" s="34">
        <f t="shared" si="1"/>
        <v>1670</v>
      </c>
      <c r="B1672" s="29" t="s">
        <v>262</v>
      </c>
      <c r="C1672" s="29" t="s">
        <v>9346</v>
      </c>
      <c r="D1672" s="29" t="s">
        <v>9347</v>
      </c>
      <c r="E1672" s="29" t="s">
        <v>9348</v>
      </c>
      <c r="F1672" s="30" t="s">
        <v>9349</v>
      </c>
      <c r="G1672" s="30" t="s">
        <v>9350</v>
      </c>
      <c r="H1672" s="42" t="s">
        <v>9351</v>
      </c>
      <c r="I1672" s="29" t="s">
        <v>127</v>
      </c>
      <c r="J1672" s="31">
        <v>17.0</v>
      </c>
      <c r="K1672" s="35"/>
      <c r="L1672" s="35"/>
      <c r="M1672" s="35"/>
      <c r="N1672" s="35"/>
      <c r="O1672" s="35"/>
      <c r="P1672" s="35"/>
      <c r="Q1672" s="35"/>
      <c r="R1672" s="35"/>
      <c r="S1672" s="37">
        <f>IF(B1672="","",IF(ISNUMBER(J1672),IF(J1672&lt;=10,'Configuración'!$B$23,IF(J1672&lt;=50,'Configuración'!$B$24,IF(J1672&lt;=200,'Configuración'!$B$25,0))),0))</f>
        <v>4</v>
      </c>
      <c r="T1672" s="37">
        <f>IF(B1672="","",IF(ISNUMBER(SEARCH("information technology",I1672))+ISNUMBER(SEARCH("software",I1672))+ISNUMBER(SEARCH("internet",I1672))+ISNUMBER(SEARCH("computer",I1672))+ISNUMBER(SEARCH("saas",I1672))+ISNUMBER(SEARCH("fintech",I1672))+ISNUMBER(SEARCH("information services",I1672))+ISNUMBER(SEARCH("telecommunications",I1672))&gt;0,'Configuración'!$B$27,'Configuración'!$B$28))</f>
        <v>12</v>
      </c>
      <c r="U1672" s="25">
        <f>IF(B1672="","",IF(ISNUMBER(SEARCH("CEO",C1672))+ISNUMBER(SEARCH("Founder",C1672))+ISNUMBER(SEARCH("Owner",C1672))+ISNUMBER(SEARCH("Dueño",C1672))+ISNUMBER(SEARCH("Director General",C1672))+ISNUMBER(SEARCH("Presidente",C1672))+ISNUMBER(SEARCH("President",C1672))&gt;0,'Configuración'!$B$31,IF(ISNUMBER(SEARCH("CMO",C1672))+ISNUMBER(SEARCH("Chief Marketing",C1672))+ISNUMBER(SEARCH("VP Marketing",C1672))+ISNUMBER(SEARCH("Director de Marketing",C1672))+ISNUMBER(SEARCH("Director Marketing",C1672))+ISNUMBER(SEARCH("Head of Marketing",C1672))+ISNUMBER(SEARCH("Head Marketing",C1672))&gt;0,'Configuración'!$B$32,IF(ISNUMBER(SEARCH("Marketing Manager",C1672))+ISNUMBER(SEARCH("Gerente de Marketing",C1672))+ISNUMBER(SEARCH("Growth Manager",C1672))+ISNUMBER(SEARCH("Demand Gen",C1672))+ISNUMBER(SEARCH("Marketing Lead",C1672))&gt;0,'Configuración'!$B$33,IF(ISNUMBER(SEARCH("COO",C1672))+ISNUMBER(SEARCH("CFO",C1672))+ISNUMBER(SEARCH("CTO",C1672))+ISNUMBER(SEARCH("Chief Operating",C1672))+ISNUMBER(SEARCH("Chief Financial",C1672))+ISNUMBER(SEARCH("Gerente General",C1672))+ISNUMBER(SEARCH("General Manager",C1672))&gt;0,'Configuración'!$B$34,'Configuración'!$B$35)))))</f>
        <v>12</v>
      </c>
      <c r="V1672" s="38">
        <f>IF(B1672="","",IF(K1672="Sí",'Configuración'!$B$5,0)+IF(L1672="Semanal",'Configuración'!$B$6,IF(L1672="Mensual",'Configuración'!$B$7,0))+IF(M1672="Sí",'Configuración'!$B$8,0)+IF(N1672="Sí",'Configuración'!$B$9,0)+IF(O1672="Sí",'Configuración'!$B$10,0)+IF(P1672="Sí",'Configuración'!$B$11,0)+IF(Q1672="Sí",'Configuración'!$B$12,0)+S1672+T1672+U1672)</f>
        <v>28</v>
      </c>
      <c r="W1672" s="39" t="str">
        <f>IF(B1672="","",IF(V1672&gt;='Configuración'!$B$19,"A",IF(V1672&gt;='Configuración'!$B$20,"B",IF(V1672&gt;='Configuración'!$B$21,"C","Descarte"))))</f>
        <v>C</v>
      </c>
    </row>
    <row r="1673" ht="15.75" customHeight="1">
      <c r="A1673" s="34">
        <f t="shared" si="1"/>
        <v>1671</v>
      </c>
      <c r="B1673" s="29" t="s">
        <v>762</v>
      </c>
      <c r="C1673" s="29" t="s">
        <v>121</v>
      </c>
      <c r="D1673" s="29" t="s">
        <v>9352</v>
      </c>
      <c r="E1673" s="29" t="s">
        <v>9353</v>
      </c>
      <c r="F1673" s="30" t="s">
        <v>9354</v>
      </c>
      <c r="G1673" s="30" t="s">
        <v>9355</v>
      </c>
      <c r="H1673" s="42" t="s">
        <v>9356</v>
      </c>
      <c r="I1673" s="29" t="s">
        <v>4697</v>
      </c>
      <c r="J1673" s="31">
        <v>2.0</v>
      </c>
      <c r="K1673" s="35"/>
      <c r="L1673" s="35"/>
      <c r="M1673" s="35"/>
      <c r="N1673" s="35"/>
      <c r="O1673" s="35"/>
      <c r="P1673" s="35"/>
      <c r="Q1673" s="35"/>
      <c r="R1673" s="35"/>
      <c r="S1673" s="37">
        <f>IF(B1673="","",IF(ISNUMBER(J1673),IF(J1673&lt;=10,'Configuración'!$B$23,IF(J1673&lt;=50,'Configuración'!$B$24,IF(J1673&lt;=200,'Configuración'!$B$25,0))),0))</f>
        <v>12</v>
      </c>
      <c r="T1673" s="37">
        <f>IF(B1673="","",IF(ISNUMBER(SEARCH("information technology",I1673))+ISNUMBER(SEARCH("software",I1673))+ISNUMBER(SEARCH("internet",I1673))+ISNUMBER(SEARCH("computer",I1673))+ISNUMBER(SEARCH("saas",I1673))+ISNUMBER(SEARCH("fintech",I1673))+ISNUMBER(SEARCH("information services",I1673))+ISNUMBER(SEARCH("telecommunications",I1673))&gt;0,'Configuración'!$B$27,'Configuración'!$B$28))</f>
        <v>4</v>
      </c>
      <c r="U1673" s="25">
        <f>IF(B1673="","",IF(ISNUMBER(SEARCH("CEO",C1673))+ISNUMBER(SEARCH("Founder",C1673))+ISNUMBER(SEARCH("Owner",C1673))+ISNUMBER(SEARCH("Dueño",C1673))+ISNUMBER(SEARCH("Director General",C1673))+ISNUMBER(SEARCH("Presidente",C1673))+ISNUMBER(SEARCH("President",C1673))&gt;0,'Configuración'!$B$31,IF(ISNUMBER(SEARCH("CMO",C1673))+ISNUMBER(SEARCH("Chief Marketing",C1673))+ISNUMBER(SEARCH("VP Marketing",C1673))+ISNUMBER(SEARCH("Director de Marketing",C1673))+ISNUMBER(SEARCH("Director Marketing",C1673))+ISNUMBER(SEARCH("Head of Marketing",C1673))+ISNUMBER(SEARCH("Head Marketing",C1673))&gt;0,'Configuración'!$B$32,IF(ISNUMBER(SEARCH("Marketing Manager",C1673))+ISNUMBER(SEARCH("Gerente de Marketing",C1673))+ISNUMBER(SEARCH("Growth Manager",C1673))+ISNUMBER(SEARCH("Demand Gen",C1673))+ISNUMBER(SEARCH("Marketing Lead",C1673))&gt;0,'Configuración'!$B$33,IF(ISNUMBER(SEARCH("COO",C1673))+ISNUMBER(SEARCH("CFO",C1673))+ISNUMBER(SEARCH("CTO",C1673))+ISNUMBER(SEARCH("Chief Operating",C1673))+ISNUMBER(SEARCH("Chief Financial",C1673))+ISNUMBER(SEARCH("Gerente General",C1673))+ISNUMBER(SEARCH("General Manager",C1673))&gt;0,'Configuración'!$B$34,'Configuración'!$B$35)))))</f>
        <v>12</v>
      </c>
      <c r="V1673" s="38">
        <f>IF(B1673="","",IF(K1673="Sí",'Configuración'!$B$5,0)+IF(L1673="Semanal",'Configuración'!$B$6,IF(L1673="Mensual",'Configuración'!$B$7,0))+IF(M1673="Sí",'Configuración'!$B$8,0)+IF(N1673="Sí",'Configuración'!$B$9,0)+IF(O1673="Sí",'Configuración'!$B$10,0)+IF(P1673="Sí",'Configuración'!$B$11,0)+IF(Q1673="Sí",'Configuración'!$B$12,0)+S1673+T1673+U1673)</f>
        <v>28</v>
      </c>
      <c r="W1673" s="39" t="str">
        <f>IF(B1673="","",IF(V1673&gt;='Configuración'!$B$19,"A",IF(V1673&gt;='Configuración'!$B$20,"B",IF(V1673&gt;='Configuración'!$B$21,"C","Descarte"))))</f>
        <v>C</v>
      </c>
    </row>
    <row r="1674" ht="15.75" customHeight="1">
      <c r="A1674" s="34">
        <f t="shared" si="1"/>
        <v>1672</v>
      </c>
      <c r="B1674" s="29" t="s">
        <v>2494</v>
      </c>
      <c r="C1674" s="29" t="s">
        <v>9357</v>
      </c>
      <c r="D1674" s="29" t="s">
        <v>9358</v>
      </c>
      <c r="E1674" s="29" t="s">
        <v>9359</v>
      </c>
      <c r="F1674" s="30" t="s">
        <v>9360</v>
      </c>
      <c r="G1674" s="30" t="s">
        <v>9361</v>
      </c>
      <c r="H1674" s="42" t="s">
        <v>9362</v>
      </c>
      <c r="I1674" s="29" t="s">
        <v>127</v>
      </c>
      <c r="J1674" s="31">
        <v>2.0</v>
      </c>
      <c r="K1674" s="35"/>
      <c r="L1674" s="35"/>
      <c r="M1674" s="35"/>
      <c r="N1674" s="35"/>
      <c r="O1674" s="35"/>
      <c r="P1674" s="35"/>
      <c r="Q1674" s="35"/>
      <c r="R1674" s="35"/>
      <c r="S1674" s="37">
        <f>IF(B1674="","",IF(ISNUMBER(J1674),IF(J1674&lt;=10,'Configuración'!$B$23,IF(J1674&lt;=50,'Configuración'!$B$24,IF(J1674&lt;=200,'Configuración'!$B$25,0))),0))</f>
        <v>12</v>
      </c>
      <c r="T1674" s="37">
        <f>IF(B1674="","",IF(ISNUMBER(SEARCH("information technology",I1674))+ISNUMBER(SEARCH("software",I1674))+ISNUMBER(SEARCH("internet",I1674))+ISNUMBER(SEARCH("computer",I1674))+ISNUMBER(SEARCH("saas",I1674))+ISNUMBER(SEARCH("fintech",I1674))+ISNUMBER(SEARCH("information services",I1674))+ISNUMBER(SEARCH("telecommunications",I1674))&gt;0,'Configuración'!$B$27,'Configuración'!$B$28))</f>
        <v>12</v>
      </c>
      <c r="U1674" s="25">
        <f>IF(B1674="","",IF(ISNUMBER(SEARCH("CEO",C1674))+ISNUMBER(SEARCH("Founder",C1674))+ISNUMBER(SEARCH("Owner",C1674))+ISNUMBER(SEARCH("Dueño",C1674))+ISNUMBER(SEARCH("Director General",C1674))+ISNUMBER(SEARCH("Presidente",C1674))+ISNUMBER(SEARCH("President",C1674))&gt;0,'Configuración'!$B$31,IF(ISNUMBER(SEARCH("CMO",C1674))+ISNUMBER(SEARCH("Chief Marketing",C1674))+ISNUMBER(SEARCH("VP Marketing",C1674))+ISNUMBER(SEARCH("Director de Marketing",C1674))+ISNUMBER(SEARCH("Director Marketing",C1674))+ISNUMBER(SEARCH("Head of Marketing",C1674))+ISNUMBER(SEARCH("Head Marketing",C1674))&gt;0,'Configuración'!$B$32,IF(ISNUMBER(SEARCH("Marketing Manager",C1674))+ISNUMBER(SEARCH("Gerente de Marketing",C1674))+ISNUMBER(SEARCH("Growth Manager",C1674))+ISNUMBER(SEARCH("Demand Gen",C1674))+ISNUMBER(SEARCH("Marketing Lead",C1674))&gt;0,'Configuración'!$B$33,IF(ISNUMBER(SEARCH("COO",C1674))+ISNUMBER(SEARCH("CFO",C1674))+ISNUMBER(SEARCH("CTO",C1674))+ISNUMBER(SEARCH("Chief Operating",C1674))+ISNUMBER(SEARCH("Chief Financial",C1674))+ISNUMBER(SEARCH("Gerente General",C1674))+ISNUMBER(SEARCH("General Manager",C1674))&gt;0,'Configuración'!$B$34,'Configuración'!$B$35)))))</f>
        <v>12</v>
      </c>
      <c r="V1674" s="38">
        <f>IF(B1674="","",IF(K1674="Sí",'Configuración'!$B$5,0)+IF(L1674="Semanal",'Configuración'!$B$6,IF(L1674="Mensual",'Configuración'!$B$7,0))+IF(M1674="Sí",'Configuración'!$B$8,0)+IF(N1674="Sí",'Configuración'!$B$9,0)+IF(O1674="Sí",'Configuración'!$B$10,0)+IF(P1674="Sí",'Configuración'!$B$11,0)+IF(Q1674="Sí",'Configuración'!$B$12,0)+S1674+T1674+U1674)</f>
        <v>36</v>
      </c>
      <c r="W1674" s="39" t="str">
        <f>IF(B1674="","",IF(V1674&gt;='Configuración'!$B$19,"A",IF(V1674&gt;='Configuración'!$B$20,"B",IF(V1674&gt;='Configuración'!$B$21,"C","Descarte"))))</f>
        <v>C</v>
      </c>
    </row>
    <row r="1675" ht="15.75" customHeight="1">
      <c r="A1675" s="34">
        <f t="shared" si="1"/>
        <v>1673</v>
      </c>
      <c r="B1675" s="29" t="s">
        <v>343</v>
      </c>
      <c r="C1675" s="29" t="s">
        <v>2557</v>
      </c>
      <c r="D1675" s="29" t="s">
        <v>9363</v>
      </c>
      <c r="E1675" s="29" t="s">
        <v>9364</v>
      </c>
      <c r="F1675" s="30" t="s">
        <v>9365</v>
      </c>
      <c r="G1675" s="30" t="s">
        <v>9366</v>
      </c>
      <c r="H1675" s="42" t="s">
        <v>9367</v>
      </c>
      <c r="I1675" s="29" t="s">
        <v>188</v>
      </c>
      <c r="J1675" s="31">
        <v>7.0</v>
      </c>
      <c r="K1675" s="35"/>
      <c r="L1675" s="35"/>
      <c r="M1675" s="35"/>
      <c r="N1675" s="35"/>
      <c r="O1675" s="35"/>
      <c r="P1675" s="35"/>
      <c r="Q1675" s="35"/>
      <c r="R1675" s="35"/>
      <c r="S1675" s="37">
        <f>IF(B1675="","",IF(ISNUMBER(J1675),IF(J1675&lt;=10,'Configuración'!$B$23,IF(J1675&lt;=50,'Configuración'!$B$24,IF(J1675&lt;=200,'Configuración'!$B$25,0))),0))</f>
        <v>12</v>
      </c>
      <c r="T1675" s="37">
        <f>IF(B1675="","",IF(ISNUMBER(SEARCH("information technology",I1675))+ISNUMBER(SEARCH("software",I1675))+ISNUMBER(SEARCH("internet",I1675))+ISNUMBER(SEARCH("computer",I1675))+ISNUMBER(SEARCH("saas",I1675))+ISNUMBER(SEARCH("fintech",I1675))+ISNUMBER(SEARCH("information services",I1675))+ISNUMBER(SEARCH("telecommunications",I1675))&gt;0,'Configuración'!$B$27,'Configuración'!$B$28))</f>
        <v>4</v>
      </c>
      <c r="U1675" s="25">
        <f>IF(B1675="","",IF(ISNUMBER(SEARCH("CEO",C1675))+ISNUMBER(SEARCH("Founder",C1675))+ISNUMBER(SEARCH("Owner",C1675))+ISNUMBER(SEARCH("Dueño",C1675))+ISNUMBER(SEARCH("Director General",C1675))+ISNUMBER(SEARCH("Presidente",C1675))+ISNUMBER(SEARCH("President",C1675))&gt;0,'Configuración'!$B$31,IF(ISNUMBER(SEARCH("CMO",C1675))+ISNUMBER(SEARCH("Chief Marketing",C1675))+ISNUMBER(SEARCH("VP Marketing",C1675))+ISNUMBER(SEARCH("Director de Marketing",C1675))+ISNUMBER(SEARCH("Director Marketing",C1675))+ISNUMBER(SEARCH("Head of Marketing",C1675))+ISNUMBER(SEARCH("Head Marketing",C1675))&gt;0,'Configuración'!$B$32,IF(ISNUMBER(SEARCH("Marketing Manager",C1675))+ISNUMBER(SEARCH("Gerente de Marketing",C1675))+ISNUMBER(SEARCH("Growth Manager",C1675))+ISNUMBER(SEARCH("Demand Gen",C1675))+ISNUMBER(SEARCH("Marketing Lead",C1675))&gt;0,'Configuración'!$B$33,IF(ISNUMBER(SEARCH("COO",C1675))+ISNUMBER(SEARCH("CFO",C1675))+ISNUMBER(SEARCH("CTO",C1675))+ISNUMBER(SEARCH("Chief Operating",C1675))+ISNUMBER(SEARCH("Chief Financial",C1675))+ISNUMBER(SEARCH("Gerente General",C1675))+ISNUMBER(SEARCH("General Manager",C1675))&gt;0,'Configuración'!$B$34,'Configuración'!$B$35)))))</f>
        <v>12</v>
      </c>
      <c r="V1675" s="38">
        <f>IF(B1675="","",IF(K1675="Sí",'Configuración'!$B$5,0)+IF(L1675="Semanal",'Configuración'!$B$6,IF(L1675="Mensual",'Configuración'!$B$7,0))+IF(M1675="Sí",'Configuración'!$B$8,0)+IF(N1675="Sí",'Configuración'!$B$9,0)+IF(O1675="Sí",'Configuración'!$B$10,0)+IF(P1675="Sí",'Configuración'!$B$11,0)+IF(Q1675="Sí",'Configuración'!$B$12,0)+S1675+T1675+U1675)</f>
        <v>28</v>
      </c>
      <c r="W1675" s="39" t="str">
        <f>IF(B1675="","",IF(V1675&gt;='Configuración'!$B$19,"A",IF(V1675&gt;='Configuración'!$B$20,"B",IF(V1675&gt;='Configuración'!$B$21,"C","Descarte"))))</f>
        <v>C</v>
      </c>
    </row>
    <row r="1676" ht="15.75" customHeight="1">
      <c r="A1676" s="34">
        <f t="shared" si="1"/>
        <v>1674</v>
      </c>
      <c r="B1676" s="29" t="s">
        <v>9368</v>
      </c>
      <c r="C1676" s="29" t="s">
        <v>318</v>
      </c>
      <c r="D1676" s="29" t="s">
        <v>9369</v>
      </c>
      <c r="E1676" s="29" t="s">
        <v>9370</v>
      </c>
      <c r="F1676" s="30" t="s">
        <v>9371</v>
      </c>
      <c r="G1676" s="30" t="s">
        <v>9372</v>
      </c>
      <c r="H1676" s="42" t="s">
        <v>9373</v>
      </c>
      <c r="I1676" s="29" t="s">
        <v>249</v>
      </c>
      <c r="J1676" s="31">
        <v>34.0</v>
      </c>
      <c r="K1676" s="35"/>
      <c r="L1676" s="35"/>
      <c r="M1676" s="35"/>
      <c r="N1676" s="35"/>
      <c r="O1676" s="35"/>
      <c r="P1676" s="35"/>
      <c r="Q1676" s="35"/>
      <c r="R1676" s="35"/>
      <c r="S1676" s="37">
        <f>IF(B1676="","",IF(ISNUMBER(J1676),IF(J1676&lt;=10,'Configuración'!$B$23,IF(J1676&lt;=50,'Configuración'!$B$24,IF(J1676&lt;=200,'Configuración'!$B$25,0))),0))</f>
        <v>4</v>
      </c>
      <c r="T1676" s="37">
        <f>IF(B1676="","",IF(ISNUMBER(SEARCH("information technology",I1676))+ISNUMBER(SEARCH("software",I1676))+ISNUMBER(SEARCH("internet",I1676))+ISNUMBER(SEARCH("computer",I1676))+ISNUMBER(SEARCH("saas",I1676))+ISNUMBER(SEARCH("fintech",I1676))+ISNUMBER(SEARCH("information services",I1676))+ISNUMBER(SEARCH("telecommunications",I1676))&gt;0,'Configuración'!$B$27,'Configuración'!$B$28))</f>
        <v>4</v>
      </c>
      <c r="U1676" s="25">
        <f>IF(B1676="","",IF(ISNUMBER(SEARCH("CEO",C1676))+ISNUMBER(SEARCH("Founder",C1676))+ISNUMBER(SEARCH("Owner",C1676))+ISNUMBER(SEARCH("Dueño",C1676))+ISNUMBER(SEARCH("Director General",C1676))+ISNUMBER(SEARCH("Presidente",C1676))+ISNUMBER(SEARCH("President",C1676))&gt;0,'Configuración'!$B$31,IF(ISNUMBER(SEARCH("CMO",C1676))+ISNUMBER(SEARCH("Chief Marketing",C1676))+ISNUMBER(SEARCH("VP Marketing",C1676))+ISNUMBER(SEARCH("Director de Marketing",C1676))+ISNUMBER(SEARCH("Director Marketing",C1676))+ISNUMBER(SEARCH("Head of Marketing",C1676))+ISNUMBER(SEARCH("Head Marketing",C1676))&gt;0,'Configuración'!$B$32,IF(ISNUMBER(SEARCH("Marketing Manager",C1676))+ISNUMBER(SEARCH("Gerente de Marketing",C1676))+ISNUMBER(SEARCH("Growth Manager",C1676))+ISNUMBER(SEARCH("Demand Gen",C1676))+ISNUMBER(SEARCH("Marketing Lead",C1676))&gt;0,'Configuración'!$B$33,IF(ISNUMBER(SEARCH("COO",C1676))+ISNUMBER(SEARCH("CFO",C1676))+ISNUMBER(SEARCH("CTO",C1676))+ISNUMBER(SEARCH("Chief Operating",C1676))+ISNUMBER(SEARCH("Chief Financial",C1676))+ISNUMBER(SEARCH("Gerente General",C1676))+ISNUMBER(SEARCH("General Manager",C1676))&gt;0,'Configuración'!$B$34,'Configuración'!$B$35)))))</f>
        <v>4</v>
      </c>
      <c r="V1676" s="38">
        <f>IF(B1676="","",IF(K1676="Sí",'Configuración'!$B$5,0)+IF(L1676="Semanal",'Configuración'!$B$6,IF(L1676="Mensual",'Configuración'!$B$7,0))+IF(M1676="Sí",'Configuración'!$B$8,0)+IF(N1676="Sí",'Configuración'!$B$9,0)+IF(O1676="Sí",'Configuración'!$B$10,0)+IF(P1676="Sí",'Configuración'!$B$11,0)+IF(Q1676="Sí",'Configuración'!$B$12,0)+S1676+T1676+U1676)</f>
        <v>12</v>
      </c>
      <c r="W1676" s="39" t="str">
        <f>IF(B1676="","",IF(V1676&gt;='Configuración'!$B$19,"A",IF(V1676&gt;='Configuración'!$B$20,"B",IF(V1676&gt;='Configuración'!$B$21,"C","Descarte"))))</f>
        <v>Descarte</v>
      </c>
    </row>
    <row r="1677" ht="15.75" customHeight="1">
      <c r="A1677" s="34">
        <f t="shared" si="1"/>
        <v>1675</v>
      </c>
      <c r="B1677" s="29" t="s">
        <v>174</v>
      </c>
      <c r="C1677" s="29" t="s">
        <v>719</v>
      </c>
      <c r="D1677" s="29" t="s">
        <v>8180</v>
      </c>
      <c r="E1677" s="29" t="s">
        <v>9374</v>
      </c>
      <c r="F1677" s="30" t="s">
        <v>9375</v>
      </c>
      <c r="G1677" s="30" t="s">
        <v>8183</v>
      </c>
      <c r="H1677" s="42" t="s">
        <v>8184</v>
      </c>
      <c r="I1677" s="29" t="s">
        <v>137</v>
      </c>
      <c r="J1677" s="31">
        <v>33.0</v>
      </c>
      <c r="K1677" s="35"/>
      <c r="L1677" s="35"/>
      <c r="M1677" s="35"/>
      <c r="N1677" s="35"/>
      <c r="O1677" s="35"/>
      <c r="P1677" s="35"/>
      <c r="Q1677" s="35"/>
      <c r="R1677" s="35"/>
      <c r="S1677" s="37">
        <f>IF(B1677="","",IF(ISNUMBER(J1677),IF(J1677&lt;=10,'Configuración'!$B$23,IF(J1677&lt;=50,'Configuración'!$B$24,IF(J1677&lt;=200,'Configuración'!$B$25,0))),0))</f>
        <v>4</v>
      </c>
      <c r="T1677" s="37">
        <f>IF(B1677="","",IF(ISNUMBER(SEARCH("information technology",I1677))+ISNUMBER(SEARCH("software",I1677))+ISNUMBER(SEARCH("internet",I1677))+ISNUMBER(SEARCH("computer",I1677))+ISNUMBER(SEARCH("saas",I1677))+ISNUMBER(SEARCH("fintech",I1677))+ISNUMBER(SEARCH("information services",I1677))+ISNUMBER(SEARCH("telecommunications",I1677))&gt;0,'Configuración'!$B$27,'Configuración'!$B$28))</f>
        <v>4</v>
      </c>
      <c r="U1677" s="25">
        <f>IF(B1677="","",IF(ISNUMBER(SEARCH("CEO",C1677))+ISNUMBER(SEARCH("Founder",C1677))+ISNUMBER(SEARCH("Owner",C1677))+ISNUMBER(SEARCH("Dueño",C1677))+ISNUMBER(SEARCH("Director General",C1677))+ISNUMBER(SEARCH("Presidente",C1677))+ISNUMBER(SEARCH("President",C1677))&gt;0,'Configuración'!$B$31,IF(ISNUMBER(SEARCH("CMO",C1677))+ISNUMBER(SEARCH("Chief Marketing",C1677))+ISNUMBER(SEARCH("VP Marketing",C1677))+ISNUMBER(SEARCH("Director de Marketing",C1677))+ISNUMBER(SEARCH("Director Marketing",C1677))+ISNUMBER(SEARCH("Head of Marketing",C1677))+ISNUMBER(SEARCH("Head Marketing",C1677))&gt;0,'Configuración'!$B$32,IF(ISNUMBER(SEARCH("Marketing Manager",C1677))+ISNUMBER(SEARCH("Gerente de Marketing",C1677))+ISNUMBER(SEARCH("Growth Manager",C1677))+ISNUMBER(SEARCH("Demand Gen",C1677))+ISNUMBER(SEARCH("Marketing Lead",C1677))&gt;0,'Configuración'!$B$33,IF(ISNUMBER(SEARCH("COO",C1677))+ISNUMBER(SEARCH("CFO",C1677))+ISNUMBER(SEARCH("CTO",C1677))+ISNUMBER(SEARCH("Chief Operating",C1677))+ISNUMBER(SEARCH("Chief Financial",C1677))+ISNUMBER(SEARCH("Gerente General",C1677))+ISNUMBER(SEARCH("General Manager",C1677))&gt;0,'Configuración'!$B$34,'Configuración'!$B$35)))))</f>
        <v>12</v>
      </c>
      <c r="V1677" s="38">
        <f>IF(B1677="","",IF(K1677="Sí",'Configuración'!$B$5,0)+IF(L1677="Semanal",'Configuración'!$B$6,IF(L1677="Mensual",'Configuración'!$B$7,0))+IF(M1677="Sí",'Configuración'!$B$8,0)+IF(N1677="Sí",'Configuración'!$B$9,0)+IF(O1677="Sí",'Configuración'!$B$10,0)+IF(P1677="Sí",'Configuración'!$B$11,0)+IF(Q1677="Sí",'Configuración'!$B$12,0)+S1677+T1677+U1677)</f>
        <v>20</v>
      </c>
      <c r="W1677" s="39" t="str">
        <f>IF(B1677="","",IF(V1677&gt;='Configuración'!$B$19,"A",IF(V1677&gt;='Configuración'!$B$20,"B",IF(V1677&gt;='Configuración'!$B$21,"C","Descarte"))))</f>
        <v>Descarte</v>
      </c>
    </row>
    <row r="1678" ht="15.75" customHeight="1">
      <c r="A1678" s="34">
        <f t="shared" si="1"/>
        <v>1676</v>
      </c>
      <c r="B1678" s="29" t="s">
        <v>813</v>
      </c>
      <c r="C1678" s="29" t="s">
        <v>131</v>
      </c>
      <c r="D1678" s="29" t="s">
        <v>6262</v>
      </c>
      <c r="E1678" s="29" t="s">
        <v>9376</v>
      </c>
      <c r="F1678" s="30" t="s">
        <v>9377</v>
      </c>
      <c r="G1678" s="30" t="s">
        <v>6265</v>
      </c>
      <c r="H1678" s="42" t="s">
        <v>6266</v>
      </c>
      <c r="I1678" s="29" t="s">
        <v>127</v>
      </c>
      <c r="J1678" s="31">
        <v>47.0</v>
      </c>
      <c r="K1678" s="35"/>
      <c r="L1678" s="35"/>
      <c r="M1678" s="35"/>
      <c r="N1678" s="35"/>
      <c r="O1678" s="35"/>
      <c r="P1678" s="35"/>
      <c r="Q1678" s="35"/>
      <c r="R1678" s="35"/>
      <c r="S1678" s="37">
        <f>IF(B1678="","",IF(ISNUMBER(J1678),IF(J1678&lt;=10,'Configuración'!$B$23,IF(J1678&lt;=50,'Configuración'!$B$24,IF(J1678&lt;=200,'Configuración'!$B$25,0))),0))</f>
        <v>4</v>
      </c>
      <c r="T1678" s="37">
        <f>IF(B1678="","",IF(ISNUMBER(SEARCH("information technology",I1678))+ISNUMBER(SEARCH("software",I1678))+ISNUMBER(SEARCH("internet",I1678))+ISNUMBER(SEARCH("computer",I1678))+ISNUMBER(SEARCH("saas",I1678))+ISNUMBER(SEARCH("fintech",I1678))+ISNUMBER(SEARCH("information services",I1678))+ISNUMBER(SEARCH("telecommunications",I1678))&gt;0,'Configuración'!$B$27,'Configuración'!$B$28))</f>
        <v>12</v>
      </c>
      <c r="U1678" s="25">
        <f>IF(B1678="","",IF(ISNUMBER(SEARCH("CEO",C1678))+ISNUMBER(SEARCH("Founder",C1678))+ISNUMBER(SEARCH("Owner",C1678))+ISNUMBER(SEARCH("Dueño",C1678))+ISNUMBER(SEARCH("Director General",C1678))+ISNUMBER(SEARCH("Presidente",C1678))+ISNUMBER(SEARCH("President",C1678))&gt;0,'Configuración'!$B$31,IF(ISNUMBER(SEARCH("CMO",C1678))+ISNUMBER(SEARCH("Chief Marketing",C1678))+ISNUMBER(SEARCH("VP Marketing",C1678))+ISNUMBER(SEARCH("Director de Marketing",C1678))+ISNUMBER(SEARCH("Director Marketing",C1678))+ISNUMBER(SEARCH("Head of Marketing",C1678))+ISNUMBER(SEARCH("Head Marketing",C1678))&gt;0,'Configuración'!$B$32,IF(ISNUMBER(SEARCH("Marketing Manager",C1678))+ISNUMBER(SEARCH("Gerente de Marketing",C1678))+ISNUMBER(SEARCH("Growth Manager",C1678))+ISNUMBER(SEARCH("Demand Gen",C1678))+ISNUMBER(SEARCH("Marketing Lead",C1678))&gt;0,'Configuración'!$B$33,IF(ISNUMBER(SEARCH("COO",C1678))+ISNUMBER(SEARCH("CFO",C1678))+ISNUMBER(SEARCH("CTO",C1678))+ISNUMBER(SEARCH("Chief Operating",C1678))+ISNUMBER(SEARCH("Chief Financial",C1678))+ISNUMBER(SEARCH("Gerente General",C1678))+ISNUMBER(SEARCH("General Manager",C1678))&gt;0,'Configuración'!$B$34,'Configuración'!$B$35)))))</f>
        <v>12</v>
      </c>
      <c r="V1678" s="38">
        <f>IF(B1678="","",IF(K1678="Sí",'Configuración'!$B$5,0)+IF(L1678="Semanal",'Configuración'!$B$6,IF(L1678="Mensual",'Configuración'!$B$7,0))+IF(M1678="Sí",'Configuración'!$B$8,0)+IF(N1678="Sí",'Configuración'!$B$9,0)+IF(O1678="Sí",'Configuración'!$B$10,0)+IF(P1678="Sí",'Configuración'!$B$11,0)+IF(Q1678="Sí",'Configuración'!$B$12,0)+S1678+T1678+U1678)</f>
        <v>28</v>
      </c>
      <c r="W1678" s="39" t="str">
        <f>IF(B1678="","",IF(V1678&gt;='Configuración'!$B$19,"A",IF(V1678&gt;='Configuración'!$B$20,"B",IF(V1678&gt;='Configuración'!$B$21,"C","Descarte"))))</f>
        <v>C</v>
      </c>
    </row>
    <row r="1679" ht="15.75" customHeight="1">
      <c r="A1679" s="34">
        <f t="shared" si="1"/>
        <v>1677</v>
      </c>
      <c r="B1679" s="29" t="s">
        <v>262</v>
      </c>
      <c r="C1679" s="29" t="s">
        <v>121</v>
      </c>
      <c r="D1679" s="29" t="s">
        <v>9378</v>
      </c>
      <c r="E1679" s="29" t="s">
        <v>9379</v>
      </c>
      <c r="F1679" s="30" t="s">
        <v>9380</v>
      </c>
      <c r="G1679" s="30" t="s">
        <v>9381</v>
      </c>
      <c r="H1679" s="42" t="s">
        <v>9382</v>
      </c>
      <c r="I1679" s="29" t="s">
        <v>188</v>
      </c>
      <c r="J1679" s="31">
        <v>10.0</v>
      </c>
      <c r="K1679" s="35"/>
      <c r="L1679" s="35"/>
      <c r="M1679" s="35"/>
      <c r="N1679" s="35"/>
      <c r="O1679" s="35"/>
      <c r="P1679" s="35"/>
      <c r="Q1679" s="35"/>
      <c r="R1679" s="35"/>
      <c r="S1679" s="37">
        <f>IF(B1679="","",IF(ISNUMBER(J1679),IF(J1679&lt;=10,'Configuración'!$B$23,IF(J1679&lt;=50,'Configuración'!$B$24,IF(J1679&lt;=200,'Configuración'!$B$25,0))),0))</f>
        <v>12</v>
      </c>
      <c r="T1679" s="37">
        <f>IF(B1679="","",IF(ISNUMBER(SEARCH("information technology",I1679))+ISNUMBER(SEARCH("software",I1679))+ISNUMBER(SEARCH("internet",I1679))+ISNUMBER(SEARCH("computer",I1679))+ISNUMBER(SEARCH("saas",I1679))+ISNUMBER(SEARCH("fintech",I1679))+ISNUMBER(SEARCH("information services",I1679))+ISNUMBER(SEARCH("telecommunications",I1679))&gt;0,'Configuración'!$B$27,'Configuración'!$B$28))</f>
        <v>4</v>
      </c>
      <c r="U1679" s="25">
        <f>IF(B1679="","",IF(ISNUMBER(SEARCH("CEO",C1679))+ISNUMBER(SEARCH("Founder",C1679))+ISNUMBER(SEARCH("Owner",C1679))+ISNUMBER(SEARCH("Dueño",C1679))+ISNUMBER(SEARCH("Director General",C1679))+ISNUMBER(SEARCH("Presidente",C1679))+ISNUMBER(SEARCH("President",C1679))&gt;0,'Configuración'!$B$31,IF(ISNUMBER(SEARCH("CMO",C1679))+ISNUMBER(SEARCH("Chief Marketing",C1679))+ISNUMBER(SEARCH("VP Marketing",C1679))+ISNUMBER(SEARCH("Director de Marketing",C1679))+ISNUMBER(SEARCH("Director Marketing",C1679))+ISNUMBER(SEARCH("Head of Marketing",C1679))+ISNUMBER(SEARCH("Head Marketing",C1679))&gt;0,'Configuración'!$B$32,IF(ISNUMBER(SEARCH("Marketing Manager",C1679))+ISNUMBER(SEARCH("Gerente de Marketing",C1679))+ISNUMBER(SEARCH("Growth Manager",C1679))+ISNUMBER(SEARCH("Demand Gen",C1679))+ISNUMBER(SEARCH("Marketing Lead",C1679))&gt;0,'Configuración'!$B$33,IF(ISNUMBER(SEARCH("COO",C1679))+ISNUMBER(SEARCH("CFO",C1679))+ISNUMBER(SEARCH("CTO",C1679))+ISNUMBER(SEARCH("Chief Operating",C1679))+ISNUMBER(SEARCH("Chief Financial",C1679))+ISNUMBER(SEARCH("Gerente General",C1679))+ISNUMBER(SEARCH("General Manager",C1679))&gt;0,'Configuración'!$B$34,'Configuración'!$B$35)))))</f>
        <v>12</v>
      </c>
      <c r="V1679" s="38">
        <f>IF(B1679="","",IF(K1679="Sí",'Configuración'!$B$5,0)+IF(L1679="Semanal",'Configuración'!$B$6,IF(L1679="Mensual",'Configuración'!$B$7,0))+IF(M1679="Sí",'Configuración'!$B$8,0)+IF(N1679="Sí",'Configuración'!$B$9,0)+IF(O1679="Sí",'Configuración'!$B$10,0)+IF(P1679="Sí",'Configuración'!$B$11,0)+IF(Q1679="Sí",'Configuración'!$B$12,0)+S1679+T1679+U1679)</f>
        <v>28</v>
      </c>
      <c r="W1679" s="39" t="str">
        <f>IF(B1679="","",IF(V1679&gt;='Configuración'!$B$19,"A",IF(V1679&gt;='Configuración'!$B$20,"B",IF(V1679&gt;='Configuración'!$B$21,"C","Descarte"))))</f>
        <v>C</v>
      </c>
    </row>
    <row r="1680" ht="15.75" customHeight="1">
      <c r="A1680" s="34">
        <f t="shared" si="1"/>
        <v>1678</v>
      </c>
      <c r="B1680" s="29" t="s">
        <v>2740</v>
      </c>
      <c r="C1680" s="29" t="s">
        <v>131</v>
      </c>
      <c r="D1680" s="29" t="s">
        <v>9383</v>
      </c>
      <c r="E1680" s="29" t="s">
        <v>9384</v>
      </c>
      <c r="F1680" s="30" t="s">
        <v>9385</v>
      </c>
      <c r="G1680" s="30" t="s">
        <v>9386</v>
      </c>
      <c r="H1680" s="42" t="s">
        <v>9387</v>
      </c>
      <c r="I1680" s="29" t="s">
        <v>310</v>
      </c>
      <c r="J1680" s="31">
        <v>8.0</v>
      </c>
      <c r="K1680" s="35"/>
      <c r="L1680" s="35"/>
      <c r="M1680" s="35"/>
      <c r="N1680" s="35"/>
      <c r="O1680" s="35"/>
      <c r="P1680" s="35"/>
      <c r="Q1680" s="35"/>
      <c r="R1680" s="35"/>
      <c r="S1680" s="37">
        <f>IF(B1680="","",IF(ISNUMBER(J1680),IF(J1680&lt;=10,'Configuración'!$B$23,IF(J1680&lt;=50,'Configuración'!$B$24,IF(J1680&lt;=200,'Configuración'!$B$25,0))),0))</f>
        <v>12</v>
      </c>
      <c r="T1680" s="37">
        <f>IF(B1680="","",IF(ISNUMBER(SEARCH("information technology",I1680))+ISNUMBER(SEARCH("software",I1680))+ISNUMBER(SEARCH("internet",I1680))+ISNUMBER(SEARCH("computer",I1680))+ISNUMBER(SEARCH("saas",I1680))+ISNUMBER(SEARCH("fintech",I1680))+ISNUMBER(SEARCH("information services",I1680))+ISNUMBER(SEARCH("telecommunications",I1680))&gt;0,'Configuración'!$B$27,'Configuración'!$B$28))</f>
        <v>4</v>
      </c>
      <c r="U1680" s="25">
        <f>IF(B1680="","",IF(ISNUMBER(SEARCH("CEO",C1680))+ISNUMBER(SEARCH("Founder",C1680))+ISNUMBER(SEARCH("Owner",C1680))+ISNUMBER(SEARCH("Dueño",C1680))+ISNUMBER(SEARCH("Director General",C1680))+ISNUMBER(SEARCH("Presidente",C1680))+ISNUMBER(SEARCH("President",C1680))&gt;0,'Configuración'!$B$31,IF(ISNUMBER(SEARCH("CMO",C1680))+ISNUMBER(SEARCH("Chief Marketing",C1680))+ISNUMBER(SEARCH("VP Marketing",C1680))+ISNUMBER(SEARCH("Director de Marketing",C1680))+ISNUMBER(SEARCH("Director Marketing",C1680))+ISNUMBER(SEARCH("Head of Marketing",C1680))+ISNUMBER(SEARCH("Head Marketing",C1680))&gt;0,'Configuración'!$B$32,IF(ISNUMBER(SEARCH("Marketing Manager",C1680))+ISNUMBER(SEARCH("Gerente de Marketing",C1680))+ISNUMBER(SEARCH("Growth Manager",C1680))+ISNUMBER(SEARCH("Demand Gen",C1680))+ISNUMBER(SEARCH("Marketing Lead",C1680))&gt;0,'Configuración'!$B$33,IF(ISNUMBER(SEARCH("COO",C1680))+ISNUMBER(SEARCH("CFO",C1680))+ISNUMBER(SEARCH("CTO",C1680))+ISNUMBER(SEARCH("Chief Operating",C1680))+ISNUMBER(SEARCH("Chief Financial",C1680))+ISNUMBER(SEARCH("Gerente General",C1680))+ISNUMBER(SEARCH("General Manager",C1680))&gt;0,'Configuración'!$B$34,'Configuración'!$B$35)))))</f>
        <v>12</v>
      </c>
      <c r="V1680" s="38">
        <f>IF(B1680="","",IF(K1680="Sí",'Configuración'!$B$5,0)+IF(L1680="Semanal",'Configuración'!$B$6,IF(L1680="Mensual",'Configuración'!$B$7,0))+IF(M1680="Sí",'Configuración'!$B$8,0)+IF(N1680="Sí",'Configuración'!$B$9,0)+IF(O1680="Sí",'Configuración'!$B$10,0)+IF(P1680="Sí",'Configuración'!$B$11,0)+IF(Q1680="Sí",'Configuración'!$B$12,0)+S1680+T1680+U1680)</f>
        <v>28</v>
      </c>
      <c r="W1680" s="39" t="str">
        <f>IF(B1680="","",IF(V1680&gt;='Configuración'!$B$19,"A",IF(V1680&gt;='Configuración'!$B$20,"B",IF(V1680&gt;='Configuración'!$B$21,"C","Descarte"))))</f>
        <v>C</v>
      </c>
    </row>
    <row r="1681" ht="15.75" customHeight="1">
      <c r="A1681" s="34">
        <f t="shared" si="1"/>
        <v>1679</v>
      </c>
      <c r="B1681" s="29" t="s">
        <v>174</v>
      </c>
      <c r="C1681" s="29" t="s">
        <v>202</v>
      </c>
      <c r="D1681" s="29" t="s">
        <v>9388</v>
      </c>
      <c r="E1681" s="29" t="s">
        <v>9389</v>
      </c>
      <c r="F1681" s="30" t="s">
        <v>9390</v>
      </c>
      <c r="G1681" s="30" t="s">
        <v>9391</v>
      </c>
      <c r="H1681" s="42" t="s">
        <v>9392</v>
      </c>
      <c r="I1681" s="29" t="s">
        <v>145</v>
      </c>
      <c r="J1681" s="31">
        <v>2.0</v>
      </c>
      <c r="K1681" s="35"/>
      <c r="L1681" s="35"/>
      <c r="M1681" s="35"/>
      <c r="N1681" s="35"/>
      <c r="O1681" s="35"/>
      <c r="P1681" s="35"/>
      <c r="Q1681" s="35"/>
      <c r="R1681" s="35"/>
      <c r="S1681" s="37">
        <f>IF(B1681="","",IF(ISNUMBER(J1681),IF(J1681&lt;=10,'Configuración'!$B$23,IF(J1681&lt;=50,'Configuración'!$B$24,IF(J1681&lt;=200,'Configuración'!$B$25,0))),0))</f>
        <v>12</v>
      </c>
      <c r="T1681" s="37">
        <f>IF(B1681="","",IF(ISNUMBER(SEARCH("information technology",I1681))+ISNUMBER(SEARCH("software",I1681))+ISNUMBER(SEARCH("internet",I1681))+ISNUMBER(SEARCH("computer",I1681))+ISNUMBER(SEARCH("saas",I1681))+ISNUMBER(SEARCH("fintech",I1681))+ISNUMBER(SEARCH("information services",I1681))+ISNUMBER(SEARCH("telecommunications",I1681))&gt;0,'Configuración'!$B$27,'Configuración'!$B$28))</f>
        <v>4</v>
      </c>
      <c r="U1681" s="25">
        <f>IF(B1681="","",IF(ISNUMBER(SEARCH("CEO",C1681))+ISNUMBER(SEARCH("Founder",C1681))+ISNUMBER(SEARCH("Owner",C1681))+ISNUMBER(SEARCH("Dueño",C1681))+ISNUMBER(SEARCH("Director General",C1681))+ISNUMBER(SEARCH("Presidente",C1681))+ISNUMBER(SEARCH("President",C1681))&gt;0,'Configuración'!$B$31,IF(ISNUMBER(SEARCH("CMO",C1681))+ISNUMBER(SEARCH("Chief Marketing",C1681))+ISNUMBER(SEARCH("VP Marketing",C1681))+ISNUMBER(SEARCH("Director de Marketing",C1681))+ISNUMBER(SEARCH("Director Marketing",C1681))+ISNUMBER(SEARCH("Head of Marketing",C1681))+ISNUMBER(SEARCH("Head Marketing",C1681))&gt;0,'Configuración'!$B$32,IF(ISNUMBER(SEARCH("Marketing Manager",C1681))+ISNUMBER(SEARCH("Gerente de Marketing",C1681))+ISNUMBER(SEARCH("Growth Manager",C1681))+ISNUMBER(SEARCH("Demand Gen",C1681))+ISNUMBER(SEARCH("Marketing Lead",C1681))&gt;0,'Configuración'!$B$33,IF(ISNUMBER(SEARCH("COO",C1681))+ISNUMBER(SEARCH("CFO",C1681))+ISNUMBER(SEARCH("CTO",C1681))+ISNUMBER(SEARCH("Chief Operating",C1681))+ISNUMBER(SEARCH("Chief Financial",C1681))+ISNUMBER(SEARCH("Gerente General",C1681))+ISNUMBER(SEARCH("General Manager",C1681))&gt;0,'Configuración'!$B$34,'Configuración'!$B$35)))))</f>
        <v>12</v>
      </c>
      <c r="V1681" s="38">
        <f>IF(B1681="","",IF(K1681="Sí",'Configuración'!$B$5,0)+IF(L1681="Semanal",'Configuración'!$B$6,IF(L1681="Mensual",'Configuración'!$B$7,0))+IF(M1681="Sí",'Configuración'!$B$8,0)+IF(N1681="Sí",'Configuración'!$B$9,0)+IF(O1681="Sí",'Configuración'!$B$10,0)+IF(P1681="Sí",'Configuración'!$B$11,0)+IF(Q1681="Sí",'Configuración'!$B$12,0)+S1681+T1681+U1681)</f>
        <v>28</v>
      </c>
      <c r="W1681" s="39" t="str">
        <f>IF(B1681="","",IF(V1681&gt;='Configuración'!$B$19,"A",IF(V1681&gt;='Configuración'!$B$20,"B",IF(V1681&gt;='Configuración'!$B$21,"C","Descarte"))))</f>
        <v>C</v>
      </c>
    </row>
    <row r="1682" ht="15.75" customHeight="1">
      <c r="A1682" s="34">
        <f t="shared" si="1"/>
        <v>1680</v>
      </c>
      <c r="B1682" s="29" t="s">
        <v>209</v>
      </c>
      <c r="C1682" s="29" t="s">
        <v>9393</v>
      </c>
      <c r="D1682" s="29" t="s">
        <v>9394</v>
      </c>
      <c r="E1682" s="29" t="s">
        <v>9395</v>
      </c>
      <c r="F1682" s="30" t="s">
        <v>9396</v>
      </c>
      <c r="G1682" s="30" t="s">
        <v>9397</v>
      </c>
      <c r="H1682" s="42" t="s">
        <v>9398</v>
      </c>
      <c r="I1682" s="29" t="s">
        <v>1922</v>
      </c>
      <c r="J1682" s="31">
        <v>9.0</v>
      </c>
      <c r="K1682" s="35"/>
      <c r="L1682" s="35"/>
      <c r="M1682" s="35"/>
      <c r="N1682" s="35"/>
      <c r="O1682" s="35"/>
      <c r="P1682" s="35"/>
      <c r="Q1682" s="35"/>
      <c r="R1682" s="35"/>
      <c r="S1682" s="37">
        <f>IF(B1682="","",IF(ISNUMBER(J1682),IF(J1682&lt;=10,'Configuración'!$B$23,IF(J1682&lt;=50,'Configuración'!$B$24,IF(J1682&lt;=200,'Configuración'!$B$25,0))),0))</f>
        <v>12</v>
      </c>
      <c r="T1682" s="37">
        <f>IF(B1682="","",IF(ISNUMBER(SEARCH("information technology",I1682))+ISNUMBER(SEARCH("software",I1682))+ISNUMBER(SEARCH("internet",I1682))+ISNUMBER(SEARCH("computer",I1682))+ISNUMBER(SEARCH("saas",I1682))+ISNUMBER(SEARCH("fintech",I1682))+ISNUMBER(SEARCH("information services",I1682))+ISNUMBER(SEARCH("telecommunications",I1682))&gt;0,'Configuración'!$B$27,'Configuración'!$B$28))</f>
        <v>4</v>
      </c>
      <c r="U1682" s="25">
        <f>IF(B1682="","",IF(ISNUMBER(SEARCH("CEO",C1682))+ISNUMBER(SEARCH("Founder",C1682))+ISNUMBER(SEARCH("Owner",C1682))+ISNUMBER(SEARCH("Dueño",C1682))+ISNUMBER(SEARCH("Director General",C1682))+ISNUMBER(SEARCH("Presidente",C1682))+ISNUMBER(SEARCH("President",C1682))&gt;0,'Configuración'!$B$31,IF(ISNUMBER(SEARCH("CMO",C1682))+ISNUMBER(SEARCH("Chief Marketing",C1682))+ISNUMBER(SEARCH("VP Marketing",C1682))+ISNUMBER(SEARCH("Director de Marketing",C1682))+ISNUMBER(SEARCH("Director Marketing",C1682))+ISNUMBER(SEARCH("Head of Marketing",C1682))+ISNUMBER(SEARCH("Head Marketing",C1682))&gt;0,'Configuración'!$B$32,IF(ISNUMBER(SEARCH("Marketing Manager",C1682))+ISNUMBER(SEARCH("Gerente de Marketing",C1682))+ISNUMBER(SEARCH("Growth Manager",C1682))+ISNUMBER(SEARCH("Demand Gen",C1682))+ISNUMBER(SEARCH("Marketing Lead",C1682))&gt;0,'Configuración'!$B$33,IF(ISNUMBER(SEARCH("COO",C1682))+ISNUMBER(SEARCH("CFO",C1682))+ISNUMBER(SEARCH("CTO",C1682))+ISNUMBER(SEARCH("Chief Operating",C1682))+ISNUMBER(SEARCH("Chief Financial",C1682))+ISNUMBER(SEARCH("Gerente General",C1682))+ISNUMBER(SEARCH("General Manager",C1682))&gt;0,'Configuración'!$B$34,'Configuración'!$B$35)))))</f>
        <v>12</v>
      </c>
      <c r="V1682" s="38">
        <f>IF(B1682="","",IF(K1682="Sí",'Configuración'!$B$5,0)+IF(L1682="Semanal",'Configuración'!$B$6,IF(L1682="Mensual",'Configuración'!$B$7,0))+IF(M1682="Sí",'Configuración'!$B$8,0)+IF(N1682="Sí",'Configuración'!$B$9,0)+IF(O1682="Sí",'Configuración'!$B$10,0)+IF(P1682="Sí",'Configuración'!$B$11,0)+IF(Q1682="Sí",'Configuración'!$B$12,0)+S1682+T1682+U1682)</f>
        <v>28</v>
      </c>
      <c r="W1682" s="39" t="str">
        <f>IF(B1682="","",IF(V1682&gt;='Configuración'!$B$19,"A",IF(V1682&gt;='Configuración'!$B$20,"B",IF(V1682&gt;='Configuración'!$B$21,"C","Descarte"))))</f>
        <v>C</v>
      </c>
    </row>
    <row r="1683" ht="15.75" customHeight="1">
      <c r="A1683" s="34">
        <f t="shared" si="1"/>
        <v>1681</v>
      </c>
      <c r="B1683" s="29" t="s">
        <v>1137</v>
      </c>
      <c r="C1683" s="29" t="s">
        <v>131</v>
      </c>
      <c r="D1683" s="29" t="s">
        <v>2391</v>
      </c>
      <c r="E1683" s="29" t="s">
        <v>9399</v>
      </c>
      <c r="F1683" s="30" t="s">
        <v>9400</v>
      </c>
      <c r="G1683" s="30" t="s">
        <v>2394</v>
      </c>
      <c r="H1683" s="42" t="s">
        <v>2395</v>
      </c>
      <c r="I1683" s="29" t="s">
        <v>127</v>
      </c>
      <c r="J1683" s="31">
        <v>4.0</v>
      </c>
      <c r="K1683" s="35"/>
      <c r="L1683" s="35"/>
      <c r="M1683" s="35"/>
      <c r="N1683" s="35"/>
      <c r="O1683" s="35"/>
      <c r="P1683" s="35"/>
      <c r="Q1683" s="35"/>
      <c r="R1683" s="35"/>
      <c r="S1683" s="37">
        <f>IF(B1683="","",IF(ISNUMBER(J1683),IF(J1683&lt;=10,'Configuración'!$B$23,IF(J1683&lt;=50,'Configuración'!$B$24,IF(J1683&lt;=200,'Configuración'!$B$25,0))),0))</f>
        <v>12</v>
      </c>
      <c r="T1683" s="37">
        <f>IF(B1683="","",IF(ISNUMBER(SEARCH("information technology",I1683))+ISNUMBER(SEARCH("software",I1683))+ISNUMBER(SEARCH("internet",I1683))+ISNUMBER(SEARCH("computer",I1683))+ISNUMBER(SEARCH("saas",I1683))+ISNUMBER(SEARCH("fintech",I1683))+ISNUMBER(SEARCH("information services",I1683))+ISNUMBER(SEARCH("telecommunications",I1683))&gt;0,'Configuración'!$B$27,'Configuración'!$B$28))</f>
        <v>12</v>
      </c>
      <c r="U1683" s="25">
        <f>IF(B1683="","",IF(ISNUMBER(SEARCH("CEO",C1683))+ISNUMBER(SEARCH("Founder",C1683))+ISNUMBER(SEARCH("Owner",C1683))+ISNUMBER(SEARCH("Dueño",C1683))+ISNUMBER(SEARCH("Director General",C1683))+ISNUMBER(SEARCH("Presidente",C1683))+ISNUMBER(SEARCH("President",C1683))&gt;0,'Configuración'!$B$31,IF(ISNUMBER(SEARCH("CMO",C1683))+ISNUMBER(SEARCH("Chief Marketing",C1683))+ISNUMBER(SEARCH("VP Marketing",C1683))+ISNUMBER(SEARCH("Director de Marketing",C1683))+ISNUMBER(SEARCH("Director Marketing",C1683))+ISNUMBER(SEARCH("Head of Marketing",C1683))+ISNUMBER(SEARCH("Head Marketing",C1683))&gt;0,'Configuración'!$B$32,IF(ISNUMBER(SEARCH("Marketing Manager",C1683))+ISNUMBER(SEARCH("Gerente de Marketing",C1683))+ISNUMBER(SEARCH("Growth Manager",C1683))+ISNUMBER(SEARCH("Demand Gen",C1683))+ISNUMBER(SEARCH("Marketing Lead",C1683))&gt;0,'Configuración'!$B$33,IF(ISNUMBER(SEARCH("COO",C1683))+ISNUMBER(SEARCH("CFO",C1683))+ISNUMBER(SEARCH("CTO",C1683))+ISNUMBER(SEARCH("Chief Operating",C1683))+ISNUMBER(SEARCH("Chief Financial",C1683))+ISNUMBER(SEARCH("Gerente General",C1683))+ISNUMBER(SEARCH("General Manager",C1683))&gt;0,'Configuración'!$B$34,'Configuración'!$B$35)))))</f>
        <v>12</v>
      </c>
      <c r="V1683" s="38">
        <f>IF(B1683="","",IF(K1683="Sí",'Configuración'!$B$5,0)+IF(L1683="Semanal",'Configuración'!$B$6,IF(L1683="Mensual",'Configuración'!$B$7,0))+IF(M1683="Sí",'Configuración'!$B$8,0)+IF(N1683="Sí",'Configuración'!$B$9,0)+IF(O1683="Sí",'Configuración'!$B$10,0)+IF(P1683="Sí",'Configuración'!$B$11,0)+IF(Q1683="Sí",'Configuración'!$B$12,0)+S1683+T1683+U1683)</f>
        <v>36</v>
      </c>
      <c r="W1683" s="39" t="str">
        <f>IF(B1683="","",IF(V1683&gt;='Configuración'!$B$19,"A",IF(V1683&gt;='Configuración'!$B$20,"B",IF(V1683&gt;='Configuración'!$B$21,"C","Descarte"))))</f>
        <v>C</v>
      </c>
    </row>
    <row r="1684" ht="15.75" customHeight="1">
      <c r="A1684" s="34">
        <f t="shared" si="1"/>
        <v>1682</v>
      </c>
      <c r="B1684" s="29" t="s">
        <v>9401</v>
      </c>
      <c r="C1684" s="29" t="s">
        <v>224</v>
      </c>
      <c r="D1684" s="29" t="s">
        <v>9402</v>
      </c>
      <c r="E1684" s="29" t="s">
        <v>9403</v>
      </c>
      <c r="F1684" s="30" t="s">
        <v>9404</v>
      </c>
      <c r="G1684" s="30" t="s">
        <v>9405</v>
      </c>
      <c r="H1684" s="42" t="s">
        <v>9406</v>
      </c>
      <c r="I1684" s="29" t="s">
        <v>188</v>
      </c>
      <c r="J1684" s="31">
        <v>2.0</v>
      </c>
      <c r="K1684" s="35"/>
      <c r="L1684" s="35"/>
      <c r="M1684" s="35"/>
      <c r="N1684" s="35"/>
      <c r="O1684" s="35"/>
      <c r="P1684" s="35"/>
      <c r="Q1684" s="35"/>
      <c r="R1684" s="35"/>
      <c r="S1684" s="37">
        <f>IF(B1684="","",IF(ISNUMBER(J1684),IF(J1684&lt;=10,'Configuración'!$B$23,IF(J1684&lt;=50,'Configuración'!$B$24,IF(J1684&lt;=200,'Configuración'!$B$25,0))),0))</f>
        <v>12</v>
      </c>
      <c r="T1684" s="37">
        <f>IF(B1684="","",IF(ISNUMBER(SEARCH("information technology",I1684))+ISNUMBER(SEARCH("software",I1684))+ISNUMBER(SEARCH("internet",I1684))+ISNUMBER(SEARCH("computer",I1684))+ISNUMBER(SEARCH("saas",I1684))+ISNUMBER(SEARCH("fintech",I1684))+ISNUMBER(SEARCH("information services",I1684))+ISNUMBER(SEARCH("telecommunications",I1684))&gt;0,'Configuración'!$B$27,'Configuración'!$B$28))</f>
        <v>4</v>
      </c>
      <c r="U1684" s="25">
        <f>IF(B1684="","",IF(ISNUMBER(SEARCH("CEO",C1684))+ISNUMBER(SEARCH("Founder",C1684))+ISNUMBER(SEARCH("Owner",C1684))+ISNUMBER(SEARCH("Dueño",C1684))+ISNUMBER(SEARCH("Director General",C1684))+ISNUMBER(SEARCH("Presidente",C1684))+ISNUMBER(SEARCH("President",C1684))&gt;0,'Configuración'!$B$31,IF(ISNUMBER(SEARCH("CMO",C1684))+ISNUMBER(SEARCH("Chief Marketing",C1684))+ISNUMBER(SEARCH("VP Marketing",C1684))+ISNUMBER(SEARCH("Director de Marketing",C1684))+ISNUMBER(SEARCH("Director Marketing",C1684))+ISNUMBER(SEARCH("Head of Marketing",C1684))+ISNUMBER(SEARCH("Head Marketing",C1684))&gt;0,'Configuración'!$B$32,IF(ISNUMBER(SEARCH("Marketing Manager",C1684))+ISNUMBER(SEARCH("Gerente de Marketing",C1684))+ISNUMBER(SEARCH("Growth Manager",C1684))+ISNUMBER(SEARCH("Demand Gen",C1684))+ISNUMBER(SEARCH("Marketing Lead",C1684))&gt;0,'Configuración'!$B$33,IF(ISNUMBER(SEARCH("COO",C1684))+ISNUMBER(SEARCH("CFO",C1684))+ISNUMBER(SEARCH("CTO",C1684))+ISNUMBER(SEARCH("Chief Operating",C1684))+ISNUMBER(SEARCH("Chief Financial",C1684))+ISNUMBER(SEARCH("Gerente General",C1684))+ISNUMBER(SEARCH("General Manager",C1684))&gt;0,'Configuración'!$B$34,'Configuración'!$B$35)))))</f>
        <v>12</v>
      </c>
      <c r="V1684" s="38">
        <f>IF(B1684="","",IF(K1684="Sí",'Configuración'!$B$5,0)+IF(L1684="Semanal",'Configuración'!$B$6,IF(L1684="Mensual",'Configuración'!$B$7,0))+IF(M1684="Sí",'Configuración'!$B$8,0)+IF(N1684="Sí",'Configuración'!$B$9,0)+IF(O1684="Sí",'Configuración'!$B$10,0)+IF(P1684="Sí",'Configuración'!$B$11,0)+IF(Q1684="Sí",'Configuración'!$B$12,0)+S1684+T1684+U1684)</f>
        <v>28</v>
      </c>
      <c r="W1684" s="39" t="str">
        <f>IF(B1684="","",IF(V1684&gt;='Configuración'!$B$19,"A",IF(V1684&gt;='Configuración'!$B$20,"B",IF(V1684&gt;='Configuración'!$B$21,"C","Descarte"))))</f>
        <v>C</v>
      </c>
    </row>
    <row r="1685" ht="15.75" customHeight="1">
      <c r="A1685" s="34">
        <f t="shared" si="1"/>
        <v>1683</v>
      </c>
      <c r="B1685" s="29" t="s">
        <v>473</v>
      </c>
      <c r="C1685" s="29" t="s">
        <v>131</v>
      </c>
      <c r="D1685" s="29" t="s">
        <v>6271</v>
      </c>
      <c r="E1685" s="29" t="s">
        <v>9407</v>
      </c>
      <c r="F1685" s="30" t="s">
        <v>9408</v>
      </c>
      <c r="G1685" s="30" t="s">
        <v>6274</v>
      </c>
      <c r="H1685" s="42" t="s">
        <v>6275</v>
      </c>
      <c r="I1685" s="29" t="s">
        <v>116</v>
      </c>
      <c r="J1685" s="31">
        <v>8.0</v>
      </c>
      <c r="K1685" s="35"/>
      <c r="L1685" s="35"/>
      <c r="M1685" s="35"/>
      <c r="N1685" s="35"/>
      <c r="O1685" s="35"/>
      <c r="P1685" s="35"/>
      <c r="Q1685" s="35"/>
      <c r="R1685" s="35"/>
      <c r="S1685" s="37">
        <f>IF(B1685="","",IF(ISNUMBER(J1685),IF(J1685&lt;=10,'Configuración'!$B$23,IF(J1685&lt;=50,'Configuración'!$B$24,IF(J1685&lt;=200,'Configuración'!$B$25,0))),0))</f>
        <v>12</v>
      </c>
      <c r="T1685" s="37">
        <f>IF(B1685="","",IF(ISNUMBER(SEARCH("information technology",I1685))+ISNUMBER(SEARCH("software",I1685))+ISNUMBER(SEARCH("internet",I1685))+ISNUMBER(SEARCH("computer",I1685))+ISNUMBER(SEARCH("saas",I1685))+ISNUMBER(SEARCH("fintech",I1685))+ISNUMBER(SEARCH("information services",I1685))+ISNUMBER(SEARCH("telecommunications",I1685))&gt;0,'Configuración'!$B$27,'Configuración'!$B$28))</f>
        <v>4</v>
      </c>
      <c r="U1685" s="25">
        <f>IF(B1685="","",IF(ISNUMBER(SEARCH("CEO",C1685))+ISNUMBER(SEARCH("Founder",C1685))+ISNUMBER(SEARCH("Owner",C1685))+ISNUMBER(SEARCH("Dueño",C1685))+ISNUMBER(SEARCH("Director General",C1685))+ISNUMBER(SEARCH("Presidente",C1685))+ISNUMBER(SEARCH("President",C1685))&gt;0,'Configuración'!$B$31,IF(ISNUMBER(SEARCH("CMO",C1685))+ISNUMBER(SEARCH("Chief Marketing",C1685))+ISNUMBER(SEARCH("VP Marketing",C1685))+ISNUMBER(SEARCH("Director de Marketing",C1685))+ISNUMBER(SEARCH("Director Marketing",C1685))+ISNUMBER(SEARCH("Head of Marketing",C1685))+ISNUMBER(SEARCH("Head Marketing",C1685))&gt;0,'Configuración'!$B$32,IF(ISNUMBER(SEARCH("Marketing Manager",C1685))+ISNUMBER(SEARCH("Gerente de Marketing",C1685))+ISNUMBER(SEARCH("Growth Manager",C1685))+ISNUMBER(SEARCH("Demand Gen",C1685))+ISNUMBER(SEARCH("Marketing Lead",C1685))&gt;0,'Configuración'!$B$33,IF(ISNUMBER(SEARCH("COO",C1685))+ISNUMBER(SEARCH("CFO",C1685))+ISNUMBER(SEARCH("CTO",C1685))+ISNUMBER(SEARCH("Chief Operating",C1685))+ISNUMBER(SEARCH("Chief Financial",C1685))+ISNUMBER(SEARCH("Gerente General",C1685))+ISNUMBER(SEARCH("General Manager",C1685))&gt;0,'Configuración'!$B$34,'Configuración'!$B$35)))))</f>
        <v>12</v>
      </c>
      <c r="V1685" s="38">
        <f>IF(B1685="","",IF(K1685="Sí",'Configuración'!$B$5,0)+IF(L1685="Semanal",'Configuración'!$B$6,IF(L1685="Mensual",'Configuración'!$B$7,0))+IF(M1685="Sí",'Configuración'!$B$8,0)+IF(N1685="Sí",'Configuración'!$B$9,0)+IF(O1685="Sí",'Configuración'!$B$10,0)+IF(P1685="Sí",'Configuración'!$B$11,0)+IF(Q1685="Sí",'Configuración'!$B$12,0)+S1685+T1685+U1685)</f>
        <v>28</v>
      </c>
      <c r="W1685" s="39" t="str">
        <f>IF(B1685="","",IF(V1685&gt;='Configuración'!$B$19,"A",IF(V1685&gt;='Configuración'!$B$20,"B",IF(V1685&gt;='Configuración'!$B$21,"C","Descarte"))))</f>
        <v>C</v>
      </c>
    </row>
    <row r="1686" ht="15.75" customHeight="1">
      <c r="A1686" s="34">
        <f t="shared" si="1"/>
        <v>1684</v>
      </c>
      <c r="B1686" s="29" t="s">
        <v>9409</v>
      </c>
      <c r="C1686" s="29" t="s">
        <v>131</v>
      </c>
      <c r="D1686" s="29" t="s">
        <v>9410</v>
      </c>
      <c r="E1686" s="29" t="s">
        <v>9411</v>
      </c>
      <c r="F1686" s="30" t="s">
        <v>9412</v>
      </c>
      <c r="G1686" s="30" t="s">
        <v>9413</v>
      </c>
      <c r="H1686" s="42" t="s">
        <v>9414</v>
      </c>
      <c r="I1686" s="29"/>
      <c r="J1686" s="31">
        <v>4.0</v>
      </c>
      <c r="K1686" s="35"/>
      <c r="L1686" s="35"/>
      <c r="M1686" s="35"/>
      <c r="N1686" s="35"/>
      <c r="O1686" s="35"/>
      <c r="P1686" s="35"/>
      <c r="Q1686" s="35"/>
      <c r="R1686" s="35"/>
      <c r="S1686" s="37">
        <f>IF(B1686="","",IF(ISNUMBER(J1686),IF(J1686&lt;=10,'Configuración'!$B$23,IF(J1686&lt;=50,'Configuración'!$B$24,IF(J1686&lt;=200,'Configuración'!$B$25,0))),0))</f>
        <v>12</v>
      </c>
      <c r="T1686" s="37">
        <f>IF(B1686="","",IF(ISNUMBER(SEARCH("information technology",I1686))+ISNUMBER(SEARCH("software",I1686))+ISNUMBER(SEARCH("internet",I1686))+ISNUMBER(SEARCH("computer",I1686))+ISNUMBER(SEARCH("saas",I1686))+ISNUMBER(SEARCH("fintech",I1686))+ISNUMBER(SEARCH("information services",I1686))+ISNUMBER(SEARCH("telecommunications",I1686))&gt;0,'Configuración'!$B$27,'Configuración'!$B$28))</f>
        <v>4</v>
      </c>
      <c r="U1686" s="25">
        <f>IF(B1686="","",IF(ISNUMBER(SEARCH("CEO",C1686))+ISNUMBER(SEARCH("Founder",C1686))+ISNUMBER(SEARCH("Owner",C1686))+ISNUMBER(SEARCH("Dueño",C1686))+ISNUMBER(SEARCH("Director General",C1686))+ISNUMBER(SEARCH("Presidente",C1686))+ISNUMBER(SEARCH("President",C1686))&gt;0,'Configuración'!$B$31,IF(ISNUMBER(SEARCH("CMO",C1686))+ISNUMBER(SEARCH("Chief Marketing",C1686))+ISNUMBER(SEARCH("VP Marketing",C1686))+ISNUMBER(SEARCH("Director de Marketing",C1686))+ISNUMBER(SEARCH("Director Marketing",C1686))+ISNUMBER(SEARCH("Head of Marketing",C1686))+ISNUMBER(SEARCH("Head Marketing",C1686))&gt;0,'Configuración'!$B$32,IF(ISNUMBER(SEARCH("Marketing Manager",C1686))+ISNUMBER(SEARCH("Gerente de Marketing",C1686))+ISNUMBER(SEARCH("Growth Manager",C1686))+ISNUMBER(SEARCH("Demand Gen",C1686))+ISNUMBER(SEARCH("Marketing Lead",C1686))&gt;0,'Configuración'!$B$33,IF(ISNUMBER(SEARCH("COO",C1686))+ISNUMBER(SEARCH("CFO",C1686))+ISNUMBER(SEARCH("CTO",C1686))+ISNUMBER(SEARCH("Chief Operating",C1686))+ISNUMBER(SEARCH("Chief Financial",C1686))+ISNUMBER(SEARCH("Gerente General",C1686))+ISNUMBER(SEARCH("General Manager",C1686))&gt;0,'Configuración'!$B$34,'Configuración'!$B$35)))))</f>
        <v>12</v>
      </c>
      <c r="V1686" s="38">
        <f>IF(B1686="","",IF(K1686="Sí",'Configuración'!$B$5,0)+IF(L1686="Semanal",'Configuración'!$B$6,IF(L1686="Mensual",'Configuración'!$B$7,0))+IF(M1686="Sí",'Configuración'!$B$8,0)+IF(N1686="Sí",'Configuración'!$B$9,0)+IF(O1686="Sí",'Configuración'!$B$10,0)+IF(P1686="Sí",'Configuración'!$B$11,0)+IF(Q1686="Sí",'Configuración'!$B$12,0)+S1686+T1686+U1686)</f>
        <v>28</v>
      </c>
      <c r="W1686" s="39" t="str">
        <f>IF(B1686="","",IF(V1686&gt;='Configuración'!$B$19,"A",IF(V1686&gt;='Configuración'!$B$20,"B",IF(V1686&gt;='Configuración'!$B$21,"C","Descarte"))))</f>
        <v>C</v>
      </c>
    </row>
    <row r="1687" ht="15.75" customHeight="1">
      <c r="A1687" s="34">
        <f t="shared" si="1"/>
        <v>1685</v>
      </c>
      <c r="B1687" s="29" t="s">
        <v>9415</v>
      </c>
      <c r="C1687" s="29" t="s">
        <v>175</v>
      </c>
      <c r="D1687" s="29" t="s">
        <v>9416</v>
      </c>
      <c r="E1687" s="29" t="s">
        <v>9417</v>
      </c>
      <c r="F1687" s="30" t="s">
        <v>9418</v>
      </c>
      <c r="G1687" s="30" t="s">
        <v>9419</v>
      </c>
      <c r="H1687" s="42" t="s">
        <v>9420</v>
      </c>
      <c r="I1687" s="29" t="s">
        <v>188</v>
      </c>
      <c r="J1687" s="31">
        <v>2.0</v>
      </c>
      <c r="K1687" s="35"/>
      <c r="L1687" s="35"/>
      <c r="M1687" s="35"/>
      <c r="N1687" s="35"/>
      <c r="O1687" s="35"/>
      <c r="P1687" s="35"/>
      <c r="Q1687" s="35"/>
      <c r="R1687" s="35"/>
      <c r="S1687" s="37">
        <f>IF(B1687="","",IF(ISNUMBER(J1687),IF(J1687&lt;=10,'Configuración'!$B$23,IF(J1687&lt;=50,'Configuración'!$B$24,IF(J1687&lt;=200,'Configuración'!$B$25,0))),0))</f>
        <v>12</v>
      </c>
      <c r="T1687" s="37">
        <f>IF(B1687="","",IF(ISNUMBER(SEARCH("information technology",I1687))+ISNUMBER(SEARCH("software",I1687))+ISNUMBER(SEARCH("internet",I1687))+ISNUMBER(SEARCH("computer",I1687))+ISNUMBER(SEARCH("saas",I1687))+ISNUMBER(SEARCH("fintech",I1687))+ISNUMBER(SEARCH("information services",I1687))+ISNUMBER(SEARCH("telecommunications",I1687))&gt;0,'Configuración'!$B$27,'Configuración'!$B$28))</f>
        <v>4</v>
      </c>
      <c r="U1687" s="25">
        <f>IF(B1687="","",IF(ISNUMBER(SEARCH("CEO",C1687))+ISNUMBER(SEARCH("Founder",C1687))+ISNUMBER(SEARCH("Owner",C1687))+ISNUMBER(SEARCH("Dueño",C1687))+ISNUMBER(SEARCH("Director General",C1687))+ISNUMBER(SEARCH("Presidente",C1687))+ISNUMBER(SEARCH("President",C1687))&gt;0,'Configuración'!$B$31,IF(ISNUMBER(SEARCH("CMO",C1687))+ISNUMBER(SEARCH("Chief Marketing",C1687))+ISNUMBER(SEARCH("VP Marketing",C1687))+ISNUMBER(SEARCH("Director de Marketing",C1687))+ISNUMBER(SEARCH("Director Marketing",C1687))+ISNUMBER(SEARCH("Head of Marketing",C1687))+ISNUMBER(SEARCH("Head Marketing",C1687))&gt;0,'Configuración'!$B$32,IF(ISNUMBER(SEARCH("Marketing Manager",C1687))+ISNUMBER(SEARCH("Gerente de Marketing",C1687))+ISNUMBER(SEARCH("Growth Manager",C1687))+ISNUMBER(SEARCH("Demand Gen",C1687))+ISNUMBER(SEARCH("Marketing Lead",C1687))&gt;0,'Configuración'!$B$33,IF(ISNUMBER(SEARCH("COO",C1687))+ISNUMBER(SEARCH("CFO",C1687))+ISNUMBER(SEARCH("CTO",C1687))+ISNUMBER(SEARCH("Chief Operating",C1687))+ISNUMBER(SEARCH("Chief Financial",C1687))+ISNUMBER(SEARCH("Gerente General",C1687))+ISNUMBER(SEARCH("General Manager",C1687))&gt;0,'Configuración'!$B$34,'Configuración'!$B$35)))))</f>
        <v>12</v>
      </c>
      <c r="V1687" s="38">
        <f>IF(B1687="","",IF(K1687="Sí",'Configuración'!$B$5,0)+IF(L1687="Semanal",'Configuración'!$B$6,IF(L1687="Mensual",'Configuración'!$B$7,0))+IF(M1687="Sí",'Configuración'!$B$8,0)+IF(N1687="Sí",'Configuración'!$B$9,0)+IF(O1687="Sí",'Configuración'!$B$10,0)+IF(P1687="Sí",'Configuración'!$B$11,0)+IF(Q1687="Sí",'Configuración'!$B$12,0)+S1687+T1687+U1687)</f>
        <v>28</v>
      </c>
      <c r="W1687" s="39" t="str">
        <f>IF(B1687="","",IF(V1687&gt;='Configuración'!$B$19,"A",IF(V1687&gt;='Configuración'!$B$20,"B",IF(V1687&gt;='Configuración'!$B$21,"C","Descarte"))))</f>
        <v>C</v>
      </c>
    </row>
    <row r="1688" ht="15.75" customHeight="1">
      <c r="A1688" s="34">
        <f t="shared" si="1"/>
        <v>1686</v>
      </c>
      <c r="B1688" s="29" t="s">
        <v>9421</v>
      </c>
      <c r="C1688" s="29" t="s">
        <v>131</v>
      </c>
      <c r="D1688" s="29" t="s">
        <v>9422</v>
      </c>
      <c r="E1688" s="29" t="s">
        <v>9423</v>
      </c>
      <c r="F1688" s="30" t="s">
        <v>9424</v>
      </c>
      <c r="G1688" s="30" t="s">
        <v>9425</v>
      </c>
      <c r="H1688" s="42" t="s">
        <v>9426</v>
      </c>
      <c r="I1688" s="29" t="s">
        <v>1950</v>
      </c>
      <c r="J1688" s="31">
        <v>14.0</v>
      </c>
      <c r="K1688" s="35"/>
      <c r="L1688" s="35"/>
      <c r="M1688" s="35"/>
      <c r="N1688" s="35"/>
      <c r="O1688" s="35"/>
      <c r="P1688" s="35"/>
      <c r="Q1688" s="35"/>
      <c r="R1688" s="35"/>
      <c r="S1688" s="37">
        <f>IF(B1688="","",IF(ISNUMBER(J1688),IF(J1688&lt;=10,'Configuración'!$B$23,IF(J1688&lt;=50,'Configuración'!$B$24,IF(J1688&lt;=200,'Configuración'!$B$25,0))),0))</f>
        <v>4</v>
      </c>
      <c r="T1688" s="37">
        <f>IF(B1688="","",IF(ISNUMBER(SEARCH("information technology",I1688))+ISNUMBER(SEARCH("software",I1688))+ISNUMBER(SEARCH("internet",I1688))+ISNUMBER(SEARCH("computer",I1688))+ISNUMBER(SEARCH("saas",I1688))+ISNUMBER(SEARCH("fintech",I1688))+ISNUMBER(SEARCH("information services",I1688))+ISNUMBER(SEARCH("telecommunications",I1688))&gt;0,'Configuración'!$B$27,'Configuración'!$B$28))</f>
        <v>4</v>
      </c>
      <c r="U1688" s="25">
        <f>IF(B1688="","",IF(ISNUMBER(SEARCH("CEO",C1688))+ISNUMBER(SEARCH("Founder",C1688))+ISNUMBER(SEARCH("Owner",C1688))+ISNUMBER(SEARCH("Dueño",C1688))+ISNUMBER(SEARCH("Director General",C1688))+ISNUMBER(SEARCH("Presidente",C1688))+ISNUMBER(SEARCH("President",C1688))&gt;0,'Configuración'!$B$31,IF(ISNUMBER(SEARCH("CMO",C1688))+ISNUMBER(SEARCH("Chief Marketing",C1688))+ISNUMBER(SEARCH("VP Marketing",C1688))+ISNUMBER(SEARCH("Director de Marketing",C1688))+ISNUMBER(SEARCH("Director Marketing",C1688))+ISNUMBER(SEARCH("Head of Marketing",C1688))+ISNUMBER(SEARCH("Head Marketing",C1688))&gt;0,'Configuración'!$B$32,IF(ISNUMBER(SEARCH("Marketing Manager",C1688))+ISNUMBER(SEARCH("Gerente de Marketing",C1688))+ISNUMBER(SEARCH("Growth Manager",C1688))+ISNUMBER(SEARCH("Demand Gen",C1688))+ISNUMBER(SEARCH("Marketing Lead",C1688))&gt;0,'Configuración'!$B$33,IF(ISNUMBER(SEARCH("COO",C1688))+ISNUMBER(SEARCH("CFO",C1688))+ISNUMBER(SEARCH("CTO",C1688))+ISNUMBER(SEARCH("Chief Operating",C1688))+ISNUMBER(SEARCH("Chief Financial",C1688))+ISNUMBER(SEARCH("Gerente General",C1688))+ISNUMBER(SEARCH("General Manager",C1688))&gt;0,'Configuración'!$B$34,'Configuración'!$B$35)))))</f>
        <v>12</v>
      </c>
      <c r="V1688" s="38">
        <f>IF(B1688="","",IF(K1688="Sí",'Configuración'!$B$5,0)+IF(L1688="Semanal",'Configuración'!$B$6,IF(L1688="Mensual",'Configuración'!$B$7,0))+IF(M1688="Sí",'Configuración'!$B$8,0)+IF(N1688="Sí",'Configuración'!$B$9,0)+IF(O1688="Sí",'Configuración'!$B$10,0)+IF(P1688="Sí",'Configuración'!$B$11,0)+IF(Q1688="Sí",'Configuración'!$B$12,0)+S1688+T1688+U1688)</f>
        <v>20</v>
      </c>
      <c r="W1688" s="39" t="str">
        <f>IF(B1688="","",IF(V1688&gt;='Configuración'!$B$19,"A",IF(V1688&gt;='Configuración'!$B$20,"B",IF(V1688&gt;='Configuración'!$B$21,"C","Descarte"))))</f>
        <v>Descarte</v>
      </c>
    </row>
    <row r="1689" ht="15.75" customHeight="1">
      <c r="A1689" s="34">
        <f t="shared" si="1"/>
        <v>1687</v>
      </c>
      <c r="B1689" s="29" t="s">
        <v>9427</v>
      </c>
      <c r="C1689" s="29" t="s">
        <v>487</v>
      </c>
      <c r="D1689" s="29" t="s">
        <v>9428</v>
      </c>
      <c r="E1689" s="29" t="s">
        <v>9429</v>
      </c>
      <c r="F1689" s="30" t="s">
        <v>9430</v>
      </c>
      <c r="G1689" s="30" t="s">
        <v>9431</v>
      </c>
      <c r="H1689" s="42" t="s">
        <v>9432</v>
      </c>
      <c r="I1689" s="29" t="s">
        <v>127</v>
      </c>
      <c r="J1689" s="31">
        <v>1.0</v>
      </c>
      <c r="K1689" s="35"/>
      <c r="L1689" s="35"/>
      <c r="M1689" s="35"/>
      <c r="N1689" s="35"/>
      <c r="O1689" s="35"/>
      <c r="P1689" s="35"/>
      <c r="Q1689" s="35"/>
      <c r="R1689" s="35"/>
      <c r="S1689" s="37">
        <f>IF(B1689="","",IF(ISNUMBER(J1689),IF(J1689&lt;=10,'Configuración'!$B$23,IF(J1689&lt;=50,'Configuración'!$B$24,IF(J1689&lt;=200,'Configuración'!$B$25,0))),0))</f>
        <v>12</v>
      </c>
      <c r="T1689" s="37">
        <f>IF(B1689="","",IF(ISNUMBER(SEARCH("information technology",I1689))+ISNUMBER(SEARCH("software",I1689))+ISNUMBER(SEARCH("internet",I1689))+ISNUMBER(SEARCH("computer",I1689))+ISNUMBER(SEARCH("saas",I1689))+ISNUMBER(SEARCH("fintech",I1689))+ISNUMBER(SEARCH("information services",I1689))+ISNUMBER(SEARCH("telecommunications",I1689))&gt;0,'Configuración'!$B$27,'Configuración'!$B$28))</f>
        <v>12</v>
      </c>
      <c r="U1689" s="25">
        <f>IF(B1689="","",IF(ISNUMBER(SEARCH("CEO",C1689))+ISNUMBER(SEARCH("Founder",C1689))+ISNUMBER(SEARCH("Owner",C1689))+ISNUMBER(SEARCH("Dueño",C1689))+ISNUMBER(SEARCH("Director General",C1689))+ISNUMBER(SEARCH("Presidente",C1689))+ISNUMBER(SEARCH("President",C1689))&gt;0,'Configuración'!$B$31,IF(ISNUMBER(SEARCH("CMO",C1689))+ISNUMBER(SEARCH("Chief Marketing",C1689))+ISNUMBER(SEARCH("VP Marketing",C1689))+ISNUMBER(SEARCH("Director de Marketing",C1689))+ISNUMBER(SEARCH("Director Marketing",C1689))+ISNUMBER(SEARCH("Head of Marketing",C1689))+ISNUMBER(SEARCH("Head Marketing",C1689))&gt;0,'Configuración'!$B$32,IF(ISNUMBER(SEARCH("Marketing Manager",C1689))+ISNUMBER(SEARCH("Gerente de Marketing",C1689))+ISNUMBER(SEARCH("Growth Manager",C1689))+ISNUMBER(SEARCH("Demand Gen",C1689))+ISNUMBER(SEARCH("Marketing Lead",C1689))&gt;0,'Configuración'!$B$33,IF(ISNUMBER(SEARCH("COO",C1689))+ISNUMBER(SEARCH("CFO",C1689))+ISNUMBER(SEARCH("CTO",C1689))+ISNUMBER(SEARCH("Chief Operating",C1689))+ISNUMBER(SEARCH("Chief Financial",C1689))+ISNUMBER(SEARCH("Gerente General",C1689))+ISNUMBER(SEARCH("General Manager",C1689))&gt;0,'Configuración'!$B$34,'Configuración'!$B$35)))))</f>
        <v>12</v>
      </c>
      <c r="V1689" s="38">
        <f>IF(B1689="","",IF(K1689="Sí",'Configuración'!$B$5,0)+IF(L1689="Semanal",'Configuración'!$B$6,IF(L1689="Mensual",'Configuración'!$B$7,0))+IF(M1689="Sí",'Configuración'!$B$8,0)+IF(N1689="Sí",'Configuración'!$B$9,0)+IF(O1689="Sí",'Configuración'!$B$10,0)+IF(P1689="Sí",'Configuración'!$B$11,0)+IF(Q1689="Sí",'Configuración'!$B$12,0)+S1689+T1689+U1689)</f>
        <v>36</v>
      </c>
      <c r="W1689" s="39" t="str">
        <f>IF(B1689="","",IF(V1689&gt;='Configuración'!$B$19,"A",IF(V1689&gt;='Configuración'!$B$20,"B",IF(V1689&gt;='Configuración'!$B$21,"C","Descarte"))))</f>
        <v>C</v>
      </c>
    </row>
    <row r="1690" ht="15.75" customHeight="1">
      <c r="A1690" s="34">
        <f t="shared" si="1"/>
        <v>1688</v>
      </c>
      <c r="B1690" s="29" t="s">
        <v>201</v>
      </c>
      <c r="C1690" s="29" t="s">
        <v>202</v>
      </c>
      <c r="D1690" s="29" t="s">
        <v>9433</v>
      </c>
      <c r="E1690" s="29" t="s">
        <v>9434</v>
      </c>
      <c r="F1690" s="30" t="s">
        <v>9435</v>
      </c>
      <c r="G1690" s="30" t="s">
        <v>9436</v>
      </c>
      <c r="H1690" s="42" t="s">
        <v>9437</v>
      </c>
      <c r="I1690" s="29" t="s">
        <v>769</v>
      </c>
      <c r="J1690" s="31">
        <v>16.0</v>
      </c>
      <c r="K1690" s="35"/>
      <c r="L1690" s="35"/>
      <c r="M1690" s="35"/>
      <c r="N1690" s="35"/>
      <c r="O1690" s="35"/>
      <c r="P1690" s="35"/>
      <c r="Q1690" s="35"/>
      <c r="R1690" s="35"/>
      <c r="S1690" s="37">
        <f>IF(B1690="","",IF(ISNUMBER(J1690),IF(J1690&lt;=10,'Configuración'!$B$23,IF(J1690&lt;=50,'Configuración'!$B$24,IF(J1690&lt;=200,'Configuración'!$B$25,0))),0))</f>
        <v>4</v>
      </c>
      <c r="T1690" s="37">
        <f>IF(B1690="","",IF(ISNUMBER(SEARCH("information technology",I1690))+ISNUMBER(SEARCH("software",I1690))+ISNUMBER(SEARCH("internet",I1690))+ISNUMBER(SEARCH("computer",I1690))+ISNUMBER(SEARCH("saas",I1690))+ISNUMBER(SEARCH("fintech",I1690))+ISNUMBER(SEARCH("information services",I1690))+ISNUMBER(SEARCH("telecommunications",I1690))&gt;0,'Configuración'!$B$27,'Configuración'!$B$28))</f>
        <v>4</v>
      </c>
      <c r="U1690" s="25">
        <f>IF(B1690="","",IF(ISNUMBER(SEARCH("CEO",C1690))+ISNUMBER(SEARCH("Founder",C1690))+ISNUMBER(SEARCH("Owner",C1690))+ISNUMBER(SEARCH("Dueño",C1690))+ISNUMBER(SEARCH("Director General",C1690))+ISNUMBER(SEARCH("Presidente",C1690))+ISNUMBER(SEARCH("President",C1690))&gt;0,'Configuración'!$B$31,IF(ISNUMBER(SEARCH("CMO",C1690))+ISNUMBER(SEARCH("Chief Marketing",C1690))+ISNUMBER(SEARCH("VP Marketing",C1690))+ISNUMBER(SEARCH("Director de Marketing",C1690))+ISNUMBER(SEARCH("Director Marketing",C1690))+ISNUMBER(SEARCH("Head of Marketing",C1690))+ISNUMBER(SEARCH("Head Marketing",C1690))&gt;0,'Configuración'!$B$32,IF(ISNUMBER(SEARCH("Marketing Manager",C1690))+ISNUMBER(SEARCH("Gerente de Marketing",C1690))+ISNUMBER(SEARCH("Growth Manager",C1690))+ISNUMBER(SEARCH("Demand Gen",C1690))+ISNUMBER(SEARCH("Marketing Lead",C1690))&gt;0,'Configuración'!$B$33,IF(ISNUMBER(SEARCH("COO",C1690))+ISNUMBER(SEARCH("CFO",C1690))+ISNUMBER(SEARCH("CTO",C1690))+ISNUMBER(SEARCH("Chief Operating",C1690))+ISNUMBER(SEARCH("Chief Financial",C1690))+ISNUMBER(SEARCH("Gerente General",C1690))+ISNUMBER(SEARCH("General Manager",C1690))&gt;0,'Configuración'!$B$34,'Configuración'!$B$35)))))</f>
        <v>12</v>
      </c>
      <c r="V1690" s="38">
        <f>IF(B1690="","",IF(K1690="Sí",'Configuración'!$B$5,0)+IF(L1690="Semanal",'Configuración'!$B$6,IF(L1690="Mensual",'Configuración'!$B$7,0))+IF(M1690="Sí",'Configuración'!$B$8,0)+IF(N1690="Sí",'Configuración'!$B$9,0)+IF(O1690="Sí",'Configuración'!$B$10,0)+IF(P1690="Sí",'Configuración'!$B$11,0)+IF(Q1690="Sí",'Configuración'!$B$12,0)+S1690+T1690+U1690)</f>
        <v>20</v>
      </c>
      <c r="W1690" s="39" t="str">
        <f>IF(B1690="","",IF(V1690&gt;='Configuración'!$B$19,"A",IF(V1690&gt;='Configuración'!$B$20,"B",IF(V1690&gt;='Configuración'!$B$21,"C","Descarte"))))</f>
        <v>Descarte</v>
      </c>
    </row>
    <row r="1691" ht="15.75" customHeight="1">
      <c r="A1691" s="34">
        <f t="shared" si="1"/>
        <v>1689</v>
      </c>
      <c r="B1691" s="29" t="s">
        <v>3213</v>
      </c>
      <c r="C1691" s="29" t="s">
        <v>2129</v>
      </c>
      <c r="D1691" s="29" t="s">
        <v>2130</v>
      </c>
      <c r="E1691" s="29" t="s">
        <v>9438</v>
      </c>
      <c r="F1691" s="30" t="s">
        <v>9439</v>
      </c>
      <c r="G1691" s="30" t="s">
        <v>2133</v>
      </c>
      <c r="H1691" s="42" t="s">
        <v>2134</v>
      </c>
      <c r="I1691" s="29" t="s">
        <v>127</v>
      </c>
      <c r="J1691" s="31">
        <v>25.0</v>
      </c>
      <c r="K1691" s="35"/>
      <c r="L1691" s="35"/>
      <c r="M1691" s="35"/>
      <c r="N1691" s="35"/>
      <c r="O1691" s="35"/>
      <c r="P1691" s="35"/>
      <c r="Q1691" s="35"/>
      <c r="R1691" s="35"/>
      <c r="S1691" s="37">
        <f>IF(B1691="","",IF(ISNUMBER(J1691),IF(J1691&lt;=10,'Configuración'!$B$23,IF(J1691&lt;=50,'Configuración'!$B$24,IF(J1691&lt;=200,'Configuración'!$B$25,0))),0))</f>
        <v>4</v>
      </c>
      <c r="T1691" s="37">
        <f>IF(B1691="","",IF(ISNUMBER(SEARCH("information technology",I1691))+ISNUMBER(SEARCH("software",I1691))+ISNUMBER(SEARCH("internet",I1691))+ISNUMBER(SEARCH("computer",I1691))+ISNUMBER(SEARCH("saas",I1691))+ISNUMBER(SEARCH("fintech",I1691))+ISNUMBER(SEARCH("information services",I1691))+ISNUMBER(SEARCH("telecommunications",I1691))&gt;0,'Configuración'!$B$27,'Configuración'!$B$28))</f>
        <v>12</v>
      </c>
      <c r="U1691" s="25">
        <f>IF(B1691="","",IF(ISNUMBER(SEARCH("CEO",C1691))+ISNUMBER(SEARCH("Founder",C1691))+ISNUMBER(SEARCH("Owner",C1691))+ISNUMBER(SEARCH("Dueño",C1691))+ISNUMBER(SEARCH("Director General",C1691))+ISNUMBER(SEARCH("Presidente",C1691))+ISNUMBER(SEARCH("President",C1691))&gt;0,'Configuración'!$B$31,IF(ISNUMBER(SEARCH("CMO",C1691))+ISNUMBER(SEARCH("Chief Marketing",C1691))+ISNUMBER(SEARCH("VP Marketing",C1691))+ISNUMBER(SEARCH("Director de Marketing",C1691))+ISNUMBER(SEARCH("Director Marketing",C1691))+ISNUMBER(SEARCH("Head of Marketing",C1691))+ISNUMBER(SEARCH("Head Marketing",C1691))&gt;0,'Configuración'!$B$32,IF(ISNUMBER(SEARCH("Marketing Manager",C1691))+ISNUMBER(SEARCH("Gerente de Marketing",C1691))+ISNUMBER(SEARCH("Growth Manager",C1691))+ISNUMBER(SEARCH("Demand Gen",C1691))+ISNUMBER(SEARCH("Marketing Lead",C1691))&gt;0,'Configuración'!$B$33,IF(ISNUMBER(SEARCH("COO",C1691))+ISNUMBER(SEARCH("CFO",C1691))+ISNUMBER(SEARCH("CTO",C1691))+ISNUMBER(SEARCH("Chief Operating",C1691))+ISNUMBER(SEARCH("Chief Financial",C1691))+ISNUMBER(SEARCH("Gerente General",C1691))+ISNUMBER(SEARCH("General Manager",C1691))&gt;0,'Configuración'!$B$34,'Configuración'!$B$35)))))</f>
        <v>12</v>
      </c>
      <c r="V1691" s="38">
        <f>IF(B1691="","",IF(K1691="Sí",'Configuración'!$B$5,0)+IF(L1691="Semanal",'Configuración'!$B$6,IF(L1691="Mensual",'Configuración'!$B$7,0))+IF(M1691="Sí",'Configuración'!$B$8,0)+IF(N1691="Sí",'Configuración'!$B$9,0)+IF(O1691="Sí",'Configuración'!$B$10,0)+IF(P1691="Sí",'Configuración'!$B$11,0)+IF(Q1691="Sí",'Configuración'!$B$12,0)+S1691+T1691+U1691)</f>
        <v>28</v>
      </c>
      <c r="W1691" s="39" t="str">
        <f>IF(B1691="","",IF(V1691&gt;='Configuración'!$B$19,"A",IF(V1691&gt;='Configuración'!$B$20,"B",IF(V1691&gt;='Configuración'!$B$21,"C","Descarte"))))</f>
        <v>C</v>
      </c>
    </row>
    <row r="1692" ht="15.75" customHeight="1">
      <c r="A1692" s="34">
        <f t="shared" si="1"/>
        <v>1690</v>
      </c>
      <c r="B1692" s="29" t="s">
        <v>351</v>
      </c>
      <c r="C1692" s="29" t="s">
        <v>131</v>
      </c>
      <c r="D1692" s="29" t="s">
        <v>9440</v>
      </c>
      <c r="E1692" s="29" t="s">
        <v>9441</v>
      </c>
      <c r="F1692" s="30" t="s">
        <v>9442</v>
      </c>
      <c r="G1692" s="30" t="s">
        <v>9443</v>
      </c>
      <c r="H1692" s="42" t="s">
        <v>9444</v>
      </c>
      <c r="I1692" s="29" t="s">
        <v>2170</v>
      </c>
      <c r="J1692" s="31">
        <v>1.0</v>
      </c>
      <c r="K1692" s="35"/>
      <c r="L1692" s="35"/>
      <c r="M1692" s="35"/>
      <c r="N1692" s="35"/>
      <c r="O1692" s="35"/>
      <c r="P1692" s="35"/>
      <c r="Q1692" s="35"/>
      <c r="R1692" s="35"/>
      <c r="S1692" s="37">
        <f>IF(B1692="","",IF(ISNUMBER(J1692),IF(J1692&lt;=10,'Configuración'!$B$23,IF(J1692&lt;=50,'Configuración'!$B$24,IF(J1692&lt;=200,'Configuración'!$B$25,0))),0))</f>
        <v>12</v>
      </c>
      <c r="T1692" s="37">
        <f>IF(B1692="","",IF(ISNUMBER(SEARCH("information technology",I1692))+ISNUMBER(SEARCH("software",I1692))+ISNUMBER(SEARCH("internet",I1692))+ISNUMBER(SEARCH("computer",I1692))+ISNUMBER(SEARCH("saas",I1692))+ISNUMBER(SEARCH("fintech",I1692))+ISNUMBER(SEARCH("information services",I1692))+ISNUMBER(SEARCH("telecommunications",I1692))&gt;0,'Configuración'!$B$27,'Configuración'!$B$28))</f>
        <v>12</v>
      </c>
      <c r="U1692" s="25">
        <f>IF(B1692="","",IF(ISNUMBER(SEARCH("CEO",C1692))+ISNUMBER(SEARCH("Founder",C1692))+ISNUMBER(SEARCH("Owner",C1692))+ISNUMBER(SEARCH("Dueño",C1692))+ISNUMBER(SEARCH("Director General",C1692))+ISNUMBER(SEARCH("Presidente",C1692))+ISNUMBER(SEARCH("President",C1692))&gt;0,'Configuración'!$B$31,IF(ISNUMBER(SEARCH("CMO",C1692))+ISNUMBER(SEARCH("Chief Marketing",C1692))+ISNUMBER(SEARCH("VP Marketing",C1692))+ISNUMBER(SEARCH("Director de Marketing",C1692))+ISNUMBER(SEARCH("Director Marketing",C1692))+ISNUMBER(SEARCH("Head of Marketing",C1692))+ISNUMBER(SEARCH("Head Marketing",C1692))&gt;0,'Configuración'!$B$32,IF(ISNUMBER(SEARCH("Marketing Manager",C1692))+ISNUMBER(SEARCH("Gerente de Marketing",C1692))+ISNUMBER(SEARCH("Growth Manager",C1692))+ISNUMBER(SEARCH("Demand Gen",C1692))+ISNUMBER(SEARCH("Marketing Lead",C1692))&gt;0,'Configuración'!$B$33,IF(ISNUMBER(SEARCH("COO",C1692))+ISNUMBER(SEARCH("CFO",C1692))+ISNUMBER(SEARCH("CTO",C1692))+ISNUMBER(SEARCH("Chief Operating",C1692))+ISNUMBER(SEARCH("Chief Financial",C1692))+ISNUMBER(SEARCH("Gerente General",C1692))+ISNUMBER(SEARCH("General Manager",C1692))&gt;0,'Configuración'!$B$34,'Configuración'!$B$35)))))</f>
        <v>12</v>
      </c>
      <c r="V1692" s="38">
        <f>IF(B1692="","",IF(K1692="Sí",'Configuración'!$B$5,0)+IF(L1692="Semanal",'Configuración'!$B$6,IF(L1692="Mensual",'Configuración'!$B$7,0))+IF(M1692="Sí",'Configuración'!$B$8,0)+IF(N1692="Sí",'Configuración'!$B$9,0)+IF(O1692="Sí",'Configuración'!$B$10,0)+IF(P1692="Sí",'Configuración'!$B$11,0)+IF(Q1692="Sí",'Configuración'!$B$12,0)+S1692+T1692+U1692)</f>
        <v>36</v>
      </c>
      <c r="W1692" s="39" t="str">
        <f>IF(B1692="","",IF(V1692&gt;='Configuración'!$B$19,"A",IF(V1692&gt;='Configuración'!$B$20,"B",IF(V1692&gt;='Configuración'!$B$21,"C","Descarte"))))</f>
        <v>C</v>
      </c>
    </row>
    <row r="1693" ht="15.75" customHeight="1">
      <c r="A1693" s="34">
        <f t="shared" si="1"/>
        <v>1691</v>
      </c>
      <c r="B1693" s="29" t="s">
        <v>6669</v>
      </c>
      <c r="C1693" s="29" t="s">
        <v>131</v>
      </c>
      <c r="D1693" s="29" t="s">
        <v>9445</v>
      </c>
      <c r="E1693" s="29" t="s">
        <v>9446</v>
      </c>
      <c r="F1693" s="30" t="s">
        <v>9447</v>
      </c>
      <c r="G1693" s="30" t="s">
        <v>9448</v>
      </c>
      <c r="H1693" s="42" t="s">
        <v>9449</v>
      </c>
      <c r="I1693" s="29" t="s">
        <v>158</v>
      </c>
      <c r="J1693" s="31">
        <v>23.0</v>
      </c>
      <c r="K1693" s="35"/>
      <c r="L1693" s="35"/>
      <c r="M1693" s="35"/>
      <c r="N1693" s="35"/>
      <c r="O1693" s="35"/>
      <c r="P1693" s="35"/>
      <c r="Q1693" s="35"/>
      <c r="R1693" s="35"/>
      <c r="S1693" s="37">
        <f>IF(B1693="","",IF(ISNUMBER(J1693),IF(J1693&lt;=10,'Configuración'!$B$23,IF(J1693&lt;=50,'Configuración'!$B$24,IF(J1693&lt;=200,'Configuración'!$B$25,0))),0))</f>
        <v>4</v>
      </c>
      <c r="T1693" s="37">
        <f>IF(B1693="","",IF(ISNUMBER(SEARCH("information technology",I1693))+ISNUMBER(SEARCH("software",I1693))+ISNUMBER(SEARCH("internet",I1693))+ISNUMBER(SEARCH("computer",I1693))+ISNUMBER(SEARCH("saas",I1693))+ISNUMBER(SEARCH("fintech",I1693))+ISNUMBER(SEARCH("information services",I1693))+ISNUMBER(SEARCH("telecommunications",I1693))&gt;0,'Configuración'!$B$27,'Configuración'!$B$28))</f>
        <v>4</v>
      </c>
      <c r="U1693" s="25">
        <f>IF(B1693="","",IF(ISNUMBER(SEARCH("CEO",C1693))+ISNUMBER(SEARCH("Founder",C1693))+ISNUMBER(SEARCH("Owner",C1693))+ISNUMBER(SEARCH("Dueño",C1693))+ISNUMBER(SEARCH("Director General",C1693))+ISNUMBER(SEARCH("Presidente",C1693))+ISNUMBER(SEARCH("President",C1693))&gt;0,'Configuración'!$B$31,IF(ISNUMBER(SEARCH("CMO",C1693))+ISNUMBER(SEARCH("Chief Marketing",C1693))+ISNUMBER(SEARCH("VP Marketing",C1693))+ISNUMBER(SEARCH("Director de Marketing",C1693))+ISNUMBER(SEARCH("Director Marketing",C1693))+ISNUMBER(SEARCH("Head of Marketing",C1693))+ISNUMBER(SEARCH("Head Marketing",C1693))&gt;0,'Configuración'!$B$32,IF(ISNUMBER(SEARCH("Marketing Manager",C1693))+ISNUMBER(SEARCH("Gerente de Marketing",C1693))+ISNUMBER(SEARCH("Growth Manager",C1693))+ISNUMBER(SEARCH("Demand Gen",C1693))+ISNUMBER(SEARCH("Marketing Lead",C1693))&gt;0,'Configuración'!$B$33,IF(ISNUMBER(SEARCH("COO",C1693))+ISNUMBER(SEARCH("CFO",C1693))+ISNUMBER(SEARCH("CTO",C1693))+ISNUMBER(SEARCH("Chief Operating",C1693))+ISNUMBER(SEARCH("Chief Financial",C1693))+ISNUMBER(SEARCH("Gerente General",C1693))+ISNUMBER(SEARCH("General Manager",C1693))&gt;0,'Configuración'!$B$34,'Configuración'!$B$35)))))</f>
        <v>12</v>
      </c>
      <c r="V1693" s="38">
        <f>IF(B1693="","",IF(K1693="Sí",'Configuración'!$B$5,0)+IF(L1693="Semanal",'Configuración'!$B$6,IF(L1693="Mensual",'Configuración'!$B$7,0))+IF(M1693="Sí",'Configuración'!$B$8,0)+IF(N1693="Sí",'Configuración'!$B$9,0)+IF(O1693="Sí",'Configuración'!$B$10,0)+IF(P1693="Sí",'Configuración'!$B$11,0)+IF(Q1693="Sí",'Configuración'!$B$12,0)+S1693+T1693+U1693)</f>
        <v>20</v>
      </c>
      <c r="W1693" s="39" t="str">
        <f>IF(B1693="","",IF(V1693&gt;='Configuración'!$B$19,"A",IF(V1693&gt;='Configuración'!$B$20,"B",IF(V1693&gt;='Configuración'!$B$21,"C","Descarte"))))</f>
        <v>Descarte</v>
      </c>
    </row>
    <row r="1694" ht="15.75" customHeight="1">
      <c r="A1694" s="34">
        <f t="shared" si="1"/>
        <v>1692</v>
      </c>
      <c r="B1694" s="29" t="s">
        <v>324</v>
      </c>
      <c r="C1694" s="29" t="s">
        <v>131</v>
      </c>
      <c r="D1694" s="29" t="s">
        <v>9450</v>
      </c>
      <c r="E1694" s="29" t="s">
        <v>9451</v>
      </c>
      <c r="F1694" s="30" t="s">
        <v>9452</v>
      </c>
      <c r="G1694" s="30" t="s">
        <v>9453</v>
      </c>
      <c r="H1694" s="42" t="s">
        <v>9454</v>
      </c>
      <c r="I1694" s="29" t="s">
        <v>127</v>
      </c>
      <c r="J1694" s="31">
        <v>28.0</v>
      </c>
      <c r="K1694" s="35"/>
      <c r="L1694" s="35"/>
      <c r="M1694" s="35"/>
      <c r="N1694" s="35"/>
      <c r="O1694" s="35"/>
      <c r="P1694" s="35"/>
      <c r="Q1694" s="35"/>
      <c r="R1694" s="35"/>
      <c r="S1694" s="37">
        <f>IF(B1694="","",IF(ISNUMBER(J1694),IF(J1694&lt;=10,'Configuración'!$B$23,IF(J1694&lt;=50,'Configuración'!$B$24,IF(J1694&lt;=200,'Configuración'!$B$25,0))),0))</f>
        <v>4</v>
      </c>
      <c r="T1694" s="37">
        <f>IF(B1694="","",IF(ISNUMBER(SEARCH("information technology",I1694))+ISNUMBER(SEARCH("software",I1694))+ISNUMBER(SEARCH("internet",I1694))+ISNUMBER(SEARCH("computer",I1694))+ISNUMBER(SEARCH("saas",I1694))+ISNUMBER(SEARCH("fintech",I1694))+ISNUMBER(SEARCH("information services",I1694))+ISNUMBER(SEARCH("telecommunications",I1694))&gt;0,'Configuración'!$B$27,'Configuración'!$B$28))</f>
        <v>12</v>
      </c>
      <c r="U1694" s="25">
        <f>IF(B1694="","",IF(ISNUMBER(SEARCH("CEO",C1694))+ISNUMBER(SEARCH("Founder",C1694))+ISNUMBER(SEARCH("Owner",C1694))+ISNUMBER(SEARCH("Dueño",C1694))+ISNUMBER(SEARCH("Director General",C1694))+ISNUMBER(SEARCH("Presidente",C1694))+ISNUMBER(SEARCH("President",C1694))&gt;0,'Configuración'!$B$31,IF(ISNUMBER(SEARCH("CMO",C1694))+ISNUMBER(SEARCH("Chief Marketing",C1694))+ISNUMBER(SEARCH("VP Marketing",C1694))+ISNUMBER(SEARCH("Director de Marketing",C1694))+ISNUMBER(SEARCH("Director Marketing",C1694))+ISNUMBER(SEARCH("Head of Marketing",C1694))+ISNUMBER(SEARCH("Head Marketing",C1694))&gt;0,'Configuración'!$B$32,IF(ISNUMBER(SEARCH("Marketing Manager",C1694))+ISNUMBER(SEARCH("Gerente de Marketing",C1694))+ISNUMBER(SEARCH("Growth Manager",C1694))+ISNUMBER(SEARCH("Demand Gen",C1694))+ISNUMBER(SEARCH("Marketing Lead",C1694))&gt;0,'Configuración'!$B$33,IF(ISNUMBER(SEARCH("COO",C1694))+ISNUMBER(SEARCH("CFO",C1694))+ISNUMBER(SEARCH("CTO",C1694))+ISNUMBER(SEARCH("Chief Operating",C1694))+ISNUMBER(SEARCH("Chief Financial",C1694))+ISNUMBER(SEARCH("Gerente General",C1694))+ISNUMBER(SEARCH("General Manager",C1694))&gt;0,'Configuración'!$B$34,'Configuración'!$B$35)))))</f>
        <v>12</v>
      </c>
      <c r="V1694" s="38">
        <f>IF(B1694="","",IF(K1694="Sí",'Configuración'!$B$5,0)+IF(L1694="Semanal",'Configuración'!$B$6,IF(L1694="Mensual",'Configuración'!$B$7,0))+IF(M1694="Sí",'Configuración'!$B$8,0)+IF(N1694="Sí",'Configuración'!$B$9,0)+IF(O1694="Sí",'Configuración'!$B$10,0)+IF(P1694="Sí",'Configuración'!$B$11,0)+IF(Q1694="Sí",'Configuración'!$B$12,0)+S1694+T1694+U1694)</f>
        <v>28</v>
      </c>
      <c r="W1694" s="39" t="str">
        <f>IF(B1694="","",IF(V1694&gt;='Configuración'!$B$19,"A",IF(V1694&gt;='Configuración'!$B$20,"B",IF(V1694&gt;='Configuración'!$B$21,"C","Descarte"))))</f>
        <v>C</v>
      </c>
    </row>
    <row r="1695" ht="15.75" customHeight="1">
      <c r="A1695" s="34">
        <f t="shared" si="1"/>
        <v>1693</v>
      </c>
      <c r="B1695" s="29" t="s">
        <v>9455</v>
      </c>
      <c r="C1695" s="29" t="s">
        <v>9456</v>
      </c>
      <c r="D1695" s="29" t="s">
        <v>9457</v>
      </c>
      <c r="E1695" s="29" t="s">
        <v>9458</v>
      </c>
      <c r="F1695" s="30" t="s">
        <v>9459</v>
      </c>
      <c r="G1695" s="30" t="s">
        <v>9460</v>
      </c>
      <c r="H1695" s="42" t="s">
        <v>9461</v>
      </c>
      <c r="I1695" s="29" t="s">
        <v>188</v>
      </c>
      <c r="J1695" s="31">
        <v>7.0</v>
      </c>
      <c r="K1695" s="35"/>
      <c r="L1695" s="35"/>
      <c r="M1695" s="35"/>
      <c r="N1695" s="35"/>
      <c r="O1695" s="35"/>
      <c r="P1695" s="35"/>
      <c r="Q1695" s="35"/>
      <c r="R1695" s="35"/>
      <c r="S1695" s="37">
        <f>IF(B1695="","",IF(ISNUMBER(J1695),IF(J1695&lt;=10,'Configuración'!$B$23,IF(J1695&lt;=50,'Configuración'!$B$24,IF(J1695&lt;=200,'Configuración'!$B$25,0))),0))</f>
        <v>12</v>
      </c>
      <c r="T1695" s="37">
        <f>IF(B1695="","",IF(ISNUMBER(SEARCH("information technology",I1695))+ISNUMBER(SEARCH("software",I1695))+ISNUMBER(SEARCH("internet",I1695))+ISNUMBER(SEARCH("computer",I1695))+ISNUMBER(SEARCH("saas",I1695))+ISNUMBER(SEARCH("fintech",I1695))+ISNUMBER(SEARCH("information services",I1695))+ISNUMBER(SEARCH("telecommunications",I1695))&gt;0,'Configuración'!$B$27,'Configuración'!$B$28))</f>
        <v>4</v>
      </c>
      <c r="U1695" s="25">
        <f>IF(B1695="","",IF(ISNUMBER(SEARCH("CEO",C1695))+ISNUMBER(SEARCH("Founder",C1695))+ISNUMBER(SEARCH("Owner",C1695))+ISNUMBER(SEARCH("Dueño",C1695))+ISNUMBER(SEARCH("Director General",C1695))+ISNUMBER(SEARCH("Presidente",C1695))+ISNUMBER(SEARCH("President",C1695))&gt;0,'Configuración'!$B$31,IF(ISNUMBER(SEARCH("CMO",C1695))+ISNUMBER(SEARCH("Chief Marketing",C1695))+ISNUMBER(SEARCH("VP Marketing",C1695))+ISNUMBER(SEARCH("Director de Marketing",C1695))+ISNUMBER(SEARCH("Director Marketing",C1695))+ISNUMBER(SEARCH("Head of Marketing",C1695))+ISNUMBER(SEARCH("Head Marketing",C1695))&gt;0,'Configuración'!$B$32,IF(ISNUMBER(SEARCH("Marketing Manager",C1695))+ISNUMBER(SEARCH("Gerente de Marketing",C1695))+ISNUMBER(SEARCH("Growth Manager",C1695))+ISNUMBER(SEARCH("Demand Gen",C1695))+ISNUMBER(SEARCH("Marketing Lead",C1695))&gt;0,'Configuración'!$B$33,IF(ISNUMBER(SEARCH("COO",C1695))+ISNUMBER(SEARCH("CFO",C1695))+ISNUMBER(SEARCH("CTO",C1695))+ISNUMBER(SEARCH("Chief Operating",C1695))+ISNUMBER(SEARCH("Chief Financial",C1695))+ISNUMBER(SEARCH("Gerente General",C1695))+ISNUMBER(SEARCH("General Manager",C1695))&gt;0,'Configuración'!$B$34,'Configuración'!$B$35)))))</f>
        <v>12</v>
      </c>
      <c r="V1695" s="38">
        <f>IF(B1695="","",IF(K1695="Sí",'Configuración'!$B$5,0)+IF(L1695="Semanal",'Configuración'!$B$6,IF(L1695="Mensual",'Configuración'!$B$7,0))+IF(M1695="Sí",'Configuración'!$B$8,0)+IF(N1695="Sí",'Configuración'!$B$9,0)+IF(O1695="Sí",'Configuración'!$B$10,0)+IF(P1695="Sí",'Configuración'!$B$11,0)+IF(Q1695="Sí",'Configuración'!$B$12,0)+S1695+T1695+U1695)</f>
        <v>28</v>
      </c>
      <c r="W1695" s="39" t="str">
        <f>IF(B1695="","",IF(V1695&gt;='Configuración'!$B$19,"A",IF(V1695&gt;='Configuración'!$B$20,"B",IF(V1695&gt;='Configuración'!$B$21,"C","Descarte"))))</f>
        <v>C</v>
      </c>
    </row>
    <row r="1696" ht="15.75" customHeight="1">
      <c r="A1696" s="34">
        <f t="shared" si="1"/>
        <v>1694</v>
      </c>
      <c r="B1696" s="29" t="s">
        <v>1028</v>
      </c>
      <c r="C1696" s="29" t="s">
        <v>9462</v>
      </c>
      <c r="D1696" s="29" t="s">
        <v>9463</v>
      </c>
      <c r="E1696" s="29" t="s">
        <v>9464</v>
      </c>
      <c r="F1696" s="30" t="s">
        <v>9465</v>
      </c>
      <c r="G1696" s="30" t="s">
        <v>9466</v>
      </c>
      <c r="H1696" s="42" t="s">
        <v>9467</v>
      </c>
      <c r="I1696" s="29" t="s">
        <v>9468</v>
      </c>
      <c r="J1696" s="31">
        <v>25.0</v>
      </c>
      <c r="K1696" s="35"/>
      <c r="L1696" s="35"/>
      <c r="M1696" s="35"/>
      <c r="N1696" s="35"/>
      <c r="O1696" s="35"/>
      <c r="P1696" s="35"/>
      <c r="Q1696" s="35"/>
      <c r="R1696" s="35"/>
      <c r="S1696" s="37">
        <f>IF(B1696="","",IF(ISNUMBER(J1696),IF(J1696&lt;=10,'Configuración'!$B$23,IF(J1696&lt;=50,'Configuración'!$B$24,IF(J1696&lt;=200,'Configuración'!$B$25,0))),0))</f>
        <v>4</v>
      </c>
      <c r="T1696" s="37">
        <f>IF(B1696="","",IF(ISNUMBER(SEARCH("information technology",I1696))+ISNUMBER(SEARCH("software",I1696))+ISNUMBER(SEARCH("internet",I1696))+ISNUMBER(SEARCH("computer",I1696))+ISNUMBER(SEARCH("saas",I1696))+ISNUMBER(SEARCH("fintech",I1696))+ISNUMBER(SEARCH("information services",I1696))+ISNUMBER(SEARCH("telecommunications",I1696))&gt;0,'Configuración'!$B$27,'Configuración'!$B$28))</f>
        <v>4</v>
      </c>
      <c r="U1696" s="25">
        <f>IF(B1696="","",IF(ISNUMBER(SEARCH("CEO",C1696))+ISNUMBER(SEARCH("Founder",C1696))+ISNUMBER(SEARCH("Owner",C1696))+ISNUMBER(SEARCH("Dueño",C1696))+ISNUMBER(SEARCH("Director General",C1696))+ISNUMBER(SEARCH("Presidente",C1696))+ISNUMBER(SEARCH("President",C1696))&gt;0,'Configuración'!$B$31,IF(ISNUMBER(SEARCH("CMO",C1696))+ISNUMBER(SEARCH("Chief Marketing",C1696))+ISNUMBER(SEARCH("VP Marketing",C1696))+ISNUMBER(SEARCH("Director de Marketing",C1696))+ISNUMBER(SEARCH("Director Marketing",C1696))+ISNUMBER(SEARCH("Head of Marketing",C1696))+ISNUMBER(SEARCH("Head Marketing",C1696))&gt;0,'Configuración'!$B$32,IF(ISNUMBER(SEARCH("Marketing Manager",C1696))+ISNUMBER(SEARCH("Gerente de Marketing",C1696))+ISNUMBER(SEARCH("Growth Manager",C1696))+ISNUMBER(SEARCH("Demand Gen",C1696))+ISNUMBER(SEARCH("Marketing Lead",C1696))&gt;0,'Configuración'!$B$33,IF(ISNUMBER(SEARCH("COO",C1696))+ISNUMBER(SEARCH("CFO",C1696))+ISNUMBER(SEARCH("CTO",C1696))+ISNUMBER(SEARCH("Chief Operating",C1696))+ISNUMBER(SEARCH("Chief Financial",C1696))+ISNUMBER(SEARCH("Gerente General",C1696))+ISNUMBER(SEARCH("General Manager",C1696))&gt;0,'Configuración'!$B$34,'Configuración'!$B$35)))))</f>
        <v>12</v>
      </c>
      <c r="V1696" s="38">
        <f>IF(B1696="","",IF(K1696="Sí",'Configuración'!$B$5,0)+IF(L1696="Semanal",'Configuración'!$B$6,IF(L1696="Mensual",'Configuración'!$B$7,0))+IF(M1696="Sí",'Configuración'!$B$8,0)+IF(N1696="Sí",'Configuración'!$B$9,0)+IF(O1696="Sí",'Configuración'!$B$10,0)+IF(P1696="Sí",'Configuración'!$B$11,0)+IF(Q1696="Sí",'Configuración'!$B$12,0)+S1696+T1696+U1696)</f>
        <v>20</v>
      </c>
      <c r="W1696" s="39" t="str">
        <f>IF(B1696="","",IF(V1696&gt;='Configuración'!$B$19,"A",IF(V1696&gt;='Configuración'!$B$20,"B",IF(V1696&gt;='Configuración'!$B$21,"C","Descarte"))))</f>
        <v>Descarte</v>
      </c>
    </row>
    <row r="1697" ht="15.75" customHeight="1">
      <c r="A1697" s="34">
        <f t="shared" si="1"/>
        <v>1695</v>
      </c>
      <c r="B1697" s="29" t="s">
        <v>9469</v>
      </c>
      <c r="C1697" s="29" t="s">
        <v>9470</v>
      </c>
      <c r="D1697" s="29" t="s">
        <v>9471</v>
      </c>
      <c r="E1697" s="29" t="s">
        <v>9472</v>
      </c>
      <c r="F1697" s="30" t="s">
        <v>9473</v>
      </c>
      <c r="G1697" s="30" t="s">
        <v>9474</v>
      </c>
      <c r="H1697" s="42" t="s">
        <v>9475</v>
      </c>
      <c r="I1697" s="29" t="s">
        <v>508</v>
      </c>
      <c r="J1697" s="31">
        <v>3.0</v>
      </c>
      <c r="K1697" s="35"/>
      <c r="L1697" s="35"/>
      <c r="M1697" s="35"/>
      <c r="N1697" s="35"/>
      <c r="O1697" s="35"/>
      <c r="P1697" s="35"/>
      <c r="Q1697" s="35"/>
      <c r="R1697" s="35"/>
      <c r="S1697" s="37">
        <f>IF(B1697="","",IF(ISNUMBER(J1697),IF(J1697&lt;=10,'Configuración'!$B$23,IF(J1697&lt;=50,'Configuración'!$B$24,IF(J1697&lt;=200,'Configuración'!$B$25,0))),0))</f>
        <v>12</v>
      </c>
      <c r="T1697" s="37">
        <f>IF(B1697="","",IF(ISNUMBER(SEARCH("information technology",I1697))+ISNUMBER(SEARCH("software",I1697))+ISNUMBER(SEARCH("internet",I1697))+ISNUMBER(SEARCH("computer",I1697))+ISNUMBER(SEARCH("saas",I1697))+ISNUMBER(SEARCH("fintech",I1697))+ISNUMBER(SEARCH("information services",I1697))+ISNUMBER(SEARCH("telecommunications",I1697))&gt;0,'Configuración'!$B$27,'Configuración'!$B$28))</f>
        <v>4</v>
      </c>
      <c r="U1697" s="25">
        <f>IF(B1697="","",IF(ISNUMBER(SEARCH("CEO",C1697))+ISNUMBER(SEARCH("Founder",C1697))+ISNUMBER(SEARCH("Owner",C1697))+ISNUMBER(SEARCH("Dueño",C1697))+ISNUMBER(SEARCH("Director General",C1697))+ISNUMBER(SEARCH("Presidente",C1697))+ISNUMBER(SEARCH("President",C1697))&gt;0,'Configuración'!$B$31,IF(ISNUMBER(SEARCH("CMO",C1697))+ISNUMBER(SEARCH("Chief Marketing",C1697))+ISNUMBER(SEARCH("VP Marketing",C1697))+ISNUMBER(SEARCH("Director de Marketing",C1697))+ISNUMBER(SEARCH("Director Marketing",C1697))+ISNUMBER(SEARCH("Head of Marketing",C1697))+ISNUMBER(SEARCH("Head Marketing",C1697))&gt;0,'Configuración'!$B$32,IF(ISNUMBER(SEARCH("Marketing Manager",C1697))+ISNUMBER(SEARCH("Gerente de Marketing",C1697))+ISNUMBER(SEARCH("Growth Manager",C1697))+ISNUMBER(SEARCH("Demand Gen",C1697))+ISNUMBER(SEARCH("Marketing Lead",C1697))&gt;0,'Configuración'!$B$33,IF(ISNUMBER(SEARCH("COO",C1697))+ISNUMBER(SEARCH("CFO",C1697))+ISNUMBER(SEARCH("CTO",C1697))+ISNUMBER(SEARCH("Chief Operating",C1697))+ISNUMBER(SEARCH("Chief Financial",C1697))+ISNUMBER(SEARCH("Gerente General",C1697))+ISNUMBER(SEARCH("General Manager",C1697))&gt;0,'Configuración'!$B$34,'Configuración'!$B$35)))))</f>
        <v>12</v>
      </c>
      <c r="V1697" s="38">
        <f>IF(B1697="","",IF(K1697="Sí",'Configuración'!$B$5,0)+IF(L1697="Semanal",'Configuración'!$B$6,IF(L1697="Mensual",'Configuración'!$B$7,0))+IF(M1697="Sí",'Configuración'!$B$8,0)+IF(N1697="Sí",'Configuración'!$B$9,0)+IF(O1697="Sí",'Configuración'!$B$10,0)+IF(P1697="Sí",'Configuración'!$B$11,0)+IF(Q1697="Sí",'Configuración'!$B$12,0)+S1697+T1697+U1697)</f>
        <v>28</v>
      </c>
      <c r="W1697" s="39" t="str">
        <f>IF(B1697="","",IF(V1697&gt;='Configuración'!$B$19,"A",IF(V1697&gt;='Configuración'!$B$20,"B",IF(V1697&gt;='Configuración'!$B$21,"C","Descarte"))))</f>
        <v>C</v>
      </c>
    </row>
    <row r="1698" ht="15.75" customHeight="1">
      <c r="A1698" s="34">
        <f t="shared" si="1"/>
        <v>1696</v>
      </c>
      <c r="B1698" s="29" t="s">
        <v>9476</v>
      </c>
      <c r="C1698" s="29" t="s">
        <v>131</v>
      </c>
      <c r="D1698" s="29" t="s">
        <v>7014</v>
      </c>
      <c r="E1698" s="29" t="s">
        <v>9477</v>
      </c>
      <c r="F1698" s="30" t="s">
        <v>9478</v>
      </c>
      <c r="G1698" s="30" t="s">
        <v>7017</v>
      </c>
      <c r="H1698" s="42" t="s">
        <v>7018</v>
      </c>
      <c r="I1698" s="29" t="s">
        <v>127</v>
      </c>
      <c r="J1698" s="31">
        <v>29.0</v>
      </c>
      <c r="K1698" s="35"/>
      <c r="L1698" s="35"/>
      <c r="M1698" s="35"/>
      <c r="N1698" s="35"/>
      <c r="O1698" s="35"/>
      <c r="P1698" s="35"/>
      <c r="Q1698" s="35"/>
      <c r="R1698" s="35"/>
      <c r="S1698" s="37">
        <f>IF(B1698="","",IF(ISNUMBER(J1698),IF(J1698&lt;=10,'Configuración'!$B$23,IF(J1698&lt;=50,'Configuración'!$B$24,IF(J1698&lt;=200,'Configuración'!$B$25,0))),0))</f>
        <v>4</v>
      </c>
      <c r="T1698" s="37">
        <f>IF(B1698="","",IF(ISNUMBER(SEARCH("information technology",I1698))+ISNUMBER(SEARCH("software",I1698))+ISNUMBER(SEARCH("internet",I1698))+ISNUMBER(SEARCH("computer",I1698))+ISNUMBER(SEARCH("saas",I1698))+ISNUMBER(SEARCH("fintech",I1698))+ISNUMBER(SEARCH("information services",I1698))+ISNUMBER(SEARCH("telecommunications",I1698))&gt;0,'Configuración'!$B$27,'Configuración'!$B$28))</f>
        <v>12</v>
      </c>
      <c r="U1698" s="25">
        <f>IF(B1698="","",IF(ISNUMBER(SEARCH("CEO",C1698))+ISNUMBER(SEARCH("Founder",C1698))+ISNUMBER(SEARCH("Owner",C1698))+ISNUMBER(SEARCH("Dueño",C1698))+ISNUMBER(SEARCH("Director General",C1698))+ISNUMBER(SEARCH("Presidente",C1698))+ISNUMBER(SEARCH("President",C1698))&gt;0,'Configuración'!$B$31,IF(ISNUMBER(SEARCH("CMO",C1698))+ISNUMBER(SEARCH("Chief Marketing",C1698))+ISNUMBER(SEARCH("VP Marketing",C1698))+ISNUMBER(SEARCH("Director de Marketing",C1698))+ISNUMBER(SEARCH("Director Marketing",C1698))+ISNUMBER(SEARCH("Head of Marketing",C1698))+ISNUMBER(SEARCH("Head Marketing",C1698))&gt;0,'Configuración'!$B$32,IF(ISNUMBER(SEARCH("Marketing Manager",C1698))+ISNUMBER(SEARCH("Gerente de Marketing",C1698))+ISNUMBER(SEARCH("Growth Manager",C1698))+ISNUMBER(SEARCH("Demand Gen",C1698))+ISNUMBER(SEARCH("Marketing Lead",C1698))&gt;0,'Configuración'!$B$33,IF(ISNUMBER(SEARCH("COO",C1698))+ISNUMBER(SEARCH("CFO",C1698))+ISNUMBER(SEARCH("CTO",C1698))+ISNUMBER(SEARCH("Chief Operating",C1698))+ISNUMBER(SEARCH("Chief Financial",C1698))+ISNUMBER(SEARCH("Gerente General",C1698))+ISNUMBER(SEARCH("General Manager",C1698))&gt;0,'Configuración'!$B$34,'Configuración'!$B$35)))))</f>
        <v>12</v>
      </c>
      <c r="V1698" s="38">
        <f>IF(B1698="","",IF(K1698="Sí",'Configuración'!$B$5,0)+IF(L1698="Semanal",'Configuración'!$B$6,IF(L1698="Mensual",'Configuración'!$B$7,0))+IF(M1698="Sí",'Configuración'!$B$8,0)+IF(N1698="Sí",'Configuración'!$B$9,0)+IF(O1698="Sí",'Configuración'!$B$10,0)+IF(P1698="Sí",'Configuración'!$B$11,0)+IF(Q1698="Sí",'Configuración'!$B$12,0)+S1698+T1698+U1698)</f>
        <v>28</v>
      </c>
      <c r="W1698" s="39" t="str">
        <f>IF(B1698="","",IF(V1698&gt;='Configuración'!$B$19,"A",IF(V1698&gt;='Configuración'!$B$20,"B",IF(V1698&gt;='Configuración'!$B$21,"C","Descarte"))))</f>
        <v>C</v>
      </c>
    </row>
    <row r="1699" ht="15.75" customHeight="1">
      <c r="A1699" s="34">
        <f t="shared" si="1"/>
        <v>1697</v>
      </c>
      <c r="B1699" s="29" t="s">
        <v>473</v>
      </c>
      <c r="C1699" s="29" t="s">
        <v>1953</v>
      </c>
      <c r="D1699" s="29" t="s">
        <v>6384</v>
      </c>
      <c r="E1699" s="29" t="s">
        <v>9479</v>
      </c>
      <c r="F1699" s="30" t="s">
        <v>9480</v>
      </c>
      <c r="G1699" s="30" t="s">
        <v>6387</v>
      </c>
      <c r="H1699" s="42" t="s">
        <v>6388</v>
      </c>
      <c r="I1699" s="29" t="s">
        <v>508</v>
      </c>
      <c r="J1699" s="31">
        <v>13.0</v>
      </c>
      <c r="K1699" s="35"/>
      <c r="L1699" s="35"/>
      <c r="M1699" s="35"/>
      <c r="N1699" s="35"/>
      <c r="O1699" s="35"/>
      <c r="P1699" s="35"/>
      <c r="Q1699" s="35"/>
      <c r="R1699" s="35"/>
      <c r="S1699" s="37">
        <f>IF(B1699="","",IF(ISNUMBER(J1699),IF(J1699&lt;=10,'Configuración'!$B$23,IF(J1699&lt;=50,'Configuración'!$B$24,IF(J1699&lt;=200,'Configuración'!$B$25,0))),0))</f>
        <v>4</v>
      </c>
      <c r="T1699" s="37">
        <f>IF(B1699="","",IF(ISNUMBER(SEARCH("information technology",I1699))+ISNUMBER(SEARCH("software",I1699))+ISNUMBER(SEARCH("internet",I1699))+ISNUMBER(SEARCH("computer",I1699))+ISNUMBER(SEARCH("saas",I1699))+ISNUMBER(SEARCH("fintech",I1699))+ISNUMBER(SEARCH("information services",I1699))+ISNUMBER(SEARCH("telecommunications",I1699))&gt;0,'Configuración'!$B$27,'Configuración'!$B$28))</f>
        <v>4</v>
      </c>
      <c r="U1699" s="25">
        <f>IF(B1699="","",IF(ISNUMBER(SEARCH("CEO",C1699))+ISNUMBER(SEARCH("Founder",C1699))+ISNUMBER(SEARCH("Owner",C1699))+ISNUMBER(SEARCH("Dueño",C1699))+ISNUMBER(SEARCH("Director General",C1699))+ISNUMBER(SEARCH("Presidente",C1699))+ISNUMBER(SEARCH("President",C1699))&gt;0,'Configuración'!$B$31,IF(ISNUMBER(SEARCH("CMO",C1699))+ISNUMBER(SEARCH("Chief Marketing",C1699))+ISNUMBER(SEARCH("VP Marketing",C1699))+ISNUMBER(SEARCH("Director de Marketing",C1699))+ISNUMBER(SEARCH("Director Marketing",C1699))+ISNUMBER(SEARCH("Head of Marketing",C1699))+ISNUMBER(SEARCH("Head Marketing",C1699))&gt;0,'Configuración'!$B$32,IF(ISNUMBER(SEARCH("Marketing Manager",C1699))+ISNUMBER(SEARCH("Gerente de Marketing",C1699))+ISNUMBER(SEARCH("Growth Manager",C1699))+ISNUMBER(SEARCH("Demand Gen",C1699))+ISNUMBER(SEARCH("Marketing Lead",C1699))&gt;0,'Configuración'!$B$33,IF(ISNUMBER(SEARCH("COO",C1699))+ISNUMBER(SEARCH("CFO",C1699))+ISNUMBER(SEARCH("CTO",C1699))+ISNUMBER(SEARCH("Chief Operating",C1699))+ISNUMBER(SEARCH("Chief Financial",C1699))+ISNUMBER(SEARCH("Gerente General",C1699))+ISNUMBER(SEARCH("General Manager",C1699))&gt;0,'Configuración'!$B$34,'Configuración'!$B$35)))))</f>
        <v>12</v>
      </c>
      <c r="V1699" s="38">
        <f>IF(B1699="","",IF(K1699="Sí",'Configuración'!$B$5,0)+IF(L1699="Semanal",'Configuración'!$B$6,IF(L1699="Mensual",'Configuración'!$B$7,0))+IF(M1699="Sí",'Configuración'!$B$8,0)+IF(N1699="Sí",'Configuración'!$B$9,0)+IF(O1699="Sí",'Configuración'!$B$10,0)+IF(P1699="Sí",'Configuración'!$B$11,0)+IF(Q1699="Sí",'Configuración'!$B$12,0)+S1699+T1699+U1699)</f>
        <v>20</v>
      </c>
      <c r="W1699" s="39" t="str">
        <f>IF(B1699="","",IF(V1699&gt;='Configuración'!$B$19,"A",IF(V1699&gt;='Configuración'!$B$20,"B",IF(V1699&gt;='Configuración'!$B$21,"C","Descarte"))))</f>
        <v>Descarte</v>
      </c>
    </row>
    <row r="1700" ht="15.75" customHeight="1">
      <c r="A1700" s="34">
        <f t="shared" si="1"/>
        <v>1698</v>
      </c>
      <c r="B1700" s="29" t="s">
        <v>564</v>
      </c>
      <c r="C1700" s="29" t="s">
        <v>202</v>
      </c>
      <c r="D1700" s="29" t="s">
        <v>660</v>
      </c>
      <c r="E1700" s="29" t="s">
        <v>9481</v>
      </c>
      <c r="F1700" s="30" t="s">
        <v>9482</v>
      </c>
      <c r="G1700" s="30" t="s">
        <v>663</v>
      </c>
      <c r="H1700" s="42" t="s">
        <v>664</v>
      </c>
      <c r="I1700" s="29" t="s">
        <v>116</v>
      </c>
      <c r="J1700" s="31">
        <v>5.0</v>
      </c>
      <c r="K1700" s="35"/>
      <c r="L1700" s="35"/>
      <c r="M1700" s="35"/>
      <c r="N1700" s="35"/>
      <c r="O1700" s="35"/>
      <c r="P1700" s="35"/>
      <c r="Q1700" s="35"/>
      <c r="R1700" s="35"/>
      <c r="S1700" s="37">
        <f>IF(B1700="","",IF(ISNUMBER(J1700),IF(J1700&lt;=10,'Configuración'!$B$23,IF(J1700&lt;=50,'Configuración'!$B$24,IF(J1700&lt;=200,'Configuración'!$B$25,0))),0))</f>
        <v>12</v>
      </c>
      <c r="T1700" s="37">
        <f>IF(B1700="","",IF(ISNUMBER(SEARCH("information technology",I1700))+ISNUMBER(SEARCH("software",I1700))+ISNUMBER(SEARCH("internet",I1700))+ISNUMBER(SEARCH("computer",I1700))+ISNUMBER(SEARCH("saas",I1700))+ISNUMBER(SEARCH("fintech",I1700))+ISNUMBER(SEARCH("information services",I1700))+ISNUMBER(SEARCH("telecommunications",I1700))&gt;0,'Configuración'!$B$27,'Configuración'!$B$28))</f>
        <v>4</v>
      </c>
      <c r="U1700" s="25">
        <f>IF(B1700="","",IF(ISNUMBER(SEARCH("CEO",C1700))+ISNUMBER(SEARCH("Founder",C1700))+ISNUMBER(SEARCH("Owner",C1700))+ISNUMBER(SEARCH("Dueño",C1700))+ISNUMBER(SEARCH("Director General",C1700))+ISNUMBER(SEARCH("Presidente",C1700))+ISNUMBER(SEARCH("President",C1700))&gt;0,'Configuración'!$B$31,IF(ISNUMBER(SEARCH("CMO",C1700))+ISNUMBER(SEARCH("Chief Marketing",C1700))+ISNUMBER(SEARCH("VP Marketing",C1700))+ISNUMBER(SEARCH("Director de Marketing",C1700))+ISNUMBER(SEARCH("Director Marketing",C1700))+ISNUMBER(SEARCH("Head of Marketing",C1700))+ISNUMBER(SEARCH("Head Marketing",C1700))&gt;0,'Configuración'!$B$32,IF(ISNUMBER(SEARCH("Marketing Manager",C1700))+ISNUMBER(SEARCH("Gerente de Marketing",C1700))+ISNUMBER(SEARCH("Growth Manager",C1700))+ISNUMBER(SEARCH("Demand Gen",C1700))+ISNUMBER(SEARCH("Marketing Lead",C1700))&gt;0,'Configuración'!$B$33,IF(ISNUMBER(SEARCH("COO",C1700))+ISNUMBER(SEARCH("CFO",C1700))+ISNUMBER(SEARCH("CTO",C1700))+ISNUMBER(SEARCH("Chief Operating",C1700))+ISNUMBER(SEARCH("Chief Financial",C1700))+ISNUMBER(SEARCH("Gerente General",C1700))+ISNUMBER(SEARCH("General Manager",C1700))&gt;0,'Configuración'!$B$34,'Configuración'!$B$35)))))</f>
        <v>12</v>
      </c>
      <c r="V1700" s="38">
        <f>IF(B1700="","",IF(K1700="Sí",'Configuración'!$B$5,0)+IF(L1700="Semanal",'Configuración'!$B$6,IF(L1700="Mensual",'Configuración'!$B$7,0))+IF(M1700="Sí",'Configuración'!$B$8,0)+IF(N1700="Sí",'Configuración'!$B$9,0)+IF(O1700="Sí",'Configuración'!$B$10,0)+IF(P1700="Sí",'Configuración'!$B$11,0)+IF(Q1700="Sí",'Configuración'!$B$12,0)+S1700+T1700+U1700)</f>
        <v>28</v>
      </c>
      <c r="W1700" s="39" t="str">
        <f>IF(B1700="","",IF(V1700&gt;='Configuración'!$B$19,"A",IF(V1700&gt;='Configuración'!$B$20,"B",IF(V1700&gt;='Configuración'!$B$21,"C","Descarte"))))</f>
        <v>C</v>
      </c>
    </row>
    <row r="1701" ht="15.75" customHeight="1">
      <c r="A1701" s="34">
        <f t="shared" si="1"/>
        <v>1699</v>
      </c>
      <c r="B1701" s="29" t="s">
        <v>2603</v>
      </c>
      <c r="C1701" s="29" t="s">
        <v>121</v>
      </c>
      <c r="D1701" s="29" t="s">
        <v>9483</v>
      </c>
      <c r="E1701" s="29" t="s">
        <v>9484</v>
      </c>
      <c r="F1701" s="30" t="s">
        <v>9485</v>
      </c>
      <c r="G1701" s="30" t="s">
        <v>9486</v>
      </c>
      <c r="H1701" s="42" t="s">
        <v>9487</v>
      </c>
      <c r="I1701" s="29" t="s">
        <v>659</v>
      </c>
      <c r="J1701" s="31">
        <v>1.0</v>
      </c>
      <c r="K1701" s="35"/>
      <c r="L1701" s="35"/>
      <c r="M1701" s="35"/>
      <c r="N1701" s="35"/>
      <c r="O1701" s="35"/>
      <c r="P1701" s="35"/>
      <c r="Q1701" s="35"/>
      <c r="R1701" s="35"/>
      <c r="S1701" s="37">
        <f>IF(B1701="","",IF(ISNUMBER(J1701),IF(J1701&lt;=10,'Configuración'!$B$23,IF(J1701&lt;=50,'Configuración'!$B$24,IF(J1701&lt;=200,'Configuración'!$B$25,0))),0))</f>
        <v>12</v>
      </c>
      <c r="T1701" s="37">
        <f>IF(B1701="","",IF(ISNUMBER(SEARCH("information technology",I1701))+ISNUMBER(SEARCH("software",I1701))+ISNUMBER(SEARCH("internet",I1701))+ISNUMBER(SEARCH("computer",I1701))+ISNUMBER(SEARCH("saas",I1701))+ISNUMBER(SEARCH("fintech",I1701))+ISNUMBER(SEARCH("information services",I1701))+ISNUMBER(SEARCH("telecommunications",I1701))&gt;0,'Configuración'!$B$27,'Configuración'!$B$28))</f>
        <v>4</v>
      </c>
      <c r="U1701" s="25">
        <f>IF(B1701="","",IF(ISNUMBER(SEARCH("CEO",C1701))+ISNUMBER(SEARCH("Founder",C1701))+ISNUMBER(SEARCH("Owner",C1701))+ISNUMBER(SEARCH("Dueño",C1701))+ISNUMBER(SEARCH("Director General",C1701))+ISNUMBER(SEARCH("Presidente",C1701))+ISNUMBER(SEARCH("President",C1701))&gt;0,'Configuración'!$B$31,IF(ISNUMBER(SEARCH("CMO",C1701))+ISNUMBER(SEARCH("Chief Marketing",C1701))+ISNUMBER(SEARCH("VP Marketing",C1701))+ISNUMBER(SEARCH("Director de Marketing",C1701))+ISNUMBER(SEARCH("Director Marketing",C1701))+ISNUMBER(SEARCH("Head of Marketing",C1701))+ISNUMBER(SEARCH("Head Marketing",C1701))&gt;0,'Configuración'!$B$32,IF(ISNUMBER(SEARCH("Marketing Manager",C1701))+ISNUMBER(SEARCH("Gerente de Marketing",C1701))+ISNUMBER(SEARCH("Growth Manager",C1701))+ISNUMBER(SEARCH("Demand Gen",C1701))+ISNUMBER(SEARCH("Marketing Lead",C1701))&gt;0,'Configuración'!$B$33,IF(ISNUMBER(SEARCH("COO",C1701))+ISNUMBER(SEARCH("CFO",C1701))+ISNUMBER(SEARCH("CTO",C1701))+ISNUMBER(SEARCH("Chief Operating",C1701))+ISNUMBER(SEARCH("Chief Financial",C1701))+ISNUMBER(SEARCH("Gerente General",C1701))+ISNUMBER(SEARCH("General Manager",C1701))&gt;0,'Configuración'!$B$34,'Configuración'!$B$35)))))</f>
        <v>12</v>
      </c>
      <c r="V1701" s="38">
        <f>IF(B1701="","",IF(K1701="Sí",'Configuración'!$B$5,0)+IF(L1701="Semanal",'Configuración'!$B$6,IF(L1701="Mensual",'Configuración'!$B$7,0))+IF(M1701="Sí",'Configuración'!$B$8,0)+IF(N1701="Sí",'Configuración'!$B$9,0)+IF(O1701="Sí",'Configuración'!$B$10,0)+IF(P1701="Sí",'Configuración'!$B$11,0)+IF(Q1701="Sí",'Configuración'!$B$12,0)+S1701+T1701+U1701)</f>
        <v>28</v>
      </c>
      <c r="W1701" s="39" t="str">
        <f>IF(B1701="","",IF(V1701&gt;='Configuración'!$B$19,"A",IF(V1701&gt;='Configuración'!$B$20,"B",IF(V1701&gt;='Configuración'!$B$21,"C","Descarte"))))</f>
        <v>C</v>
      </c>
    </row>
    <row r="1702" ht="15.75" customHeight="1">
      <c r="A1702" s="34">
        <f t="shared" si="1"/>
        <v>1700</v>
      </c>
      <c r="B1702" s="29" t="s">
        <v>324</v>
      </c>
      <c r="C1702" s="29" t="s">
        <v>131</v>
      </c>
      <c r="D1702" s="29" t="s">
        <v>9488</v>
      </c>
      <c r="E1702" s="29" t="s">
        <v>9489</v>
      </c>
      <c r="F1702" s="30" t="s">
        <v>9490</v>
      </c>
      <c r="G1702" s="30" t="s">
        <v>9491</v>
      </c>
      <c r="H1702" s="42" t="s">
        <v>9492</v>
      </c>
      <c r="I1702" s="29" t="s">
        <v>127</v>
      </c>
      <c r="J1702" s="31">
        <v>29.0</v>
      </c>
      <c r="K1702" s="35"/>
      <c r="L1702" s="35"/>
      <c r="M1702" s="35"/>
      <c r="N1702" s="35"/>
      <c r="O1702" s="35"/>
      <c r="P1702" s="35"/>
      <c r="Q1702" s="35"/>
      <c r="R1702" s="35"/>
      <c r="S1702" s="37">
        <f>IF(B1702="","",IF(ISNUMBER(J1702),IF(J1702&lt;=10,'Configuración'!$B$23,IF(J1702&lt;=50,'Configuración'!$B$24,IF(J1702&lt;=200,'Configuración'!$B$25,0))),0))</f>
        <v>4</v>
      </c>
      <c r="T1702" s="37">
        <f>IF(B1702="","",IF(ISNUMBER(SEARCH("information technology",I1702))+ISNUMBER(SEARCH("software",I1702))+ISNUMBER(SEARCH("internet",I1702))+ISNUMBER(SEARCH("computer",I1702))+ISNUMBER(SEARCH("saas",I1702))+ISNUMBER(SEARCH("fintech",I1702))+ISNUMBER(SEARCH("information services",I1702))+ISNUMBER(SEARCH("telecommunications",I1702))&gt;0,'Configuración'!$B$27,'Configuración'!$B$28))</f>
        <v>12</v>
      </c>
      <c r="U1702" s="25">
        <f>IF(B1702="","",IF(ISNUMBER(SEARCH("CEO",C1702))+ISNUMBER(SEARCH("Founder",C1702))+ISNUMBER(SEARCH("Owner",C1702))+ISNUMBER(SEARCH("Dueño",C1702))+ISNUMBER(SEARCH("Director General",C1702))+ISNUMBER(SEARCH("Presidente",C1702))+ISNUMBER(SEARCH("President",C1702))&gt;0,'Configuración'!$B$31,IF(ISNUMBER(SEARCH("CMO",C1702))+ISNUMBER(SEARCH("Chief Marketing",C1702))+ISNUMBER(SEARCH("VP Marketing",C1702))+ISNUMBER(SEARCH("Director de Marketing",C1702))+ISNUMBER(SEARCH("Director Marketing",C1702))+ISNUMBER(SEARCH("Head of Marketing",C1702))+ISNUMBER(SEARCH("Head Marketing",C1702))&gt;0,'Configuración'!$B$32,IF(ISNUMBER(SEARCH("Marketing Manager",C1702))+ISNUMBER(SEARCH("Gerente de Marketing",C1702))+ISNUMBER(SEARCH("Growth Manager",C1702))+ISNUMBER(SEARCH("Demand Gen",C1702))+ISNUMBER(SEARCH("Marketing Lead",C1702))&gt;0,'Configuración'!$B$33,IF(ISNUMBER(SEARCH("COO",C1702))+ISNUMBER(SEARCH("CFO",C1702))+ISNUMBER(SEARCH("CTO",C1702))+ISNUMBER(SEARCH("Chief Operating",C1702))+ISNUMBER(SEARCH("Chief Financial",C1702))+ISNUMBER(SEARCH("Gerente General",C1702))+ISNUMBER(SEARCH("General Manager",C1702))&gt;0,'Configuración'!$B$34,'Configuración'!$B$35)))))</f>
        <v>12</v>
      </c>
      <c r="V1702" s="38">
        <f>IF(B1702="","",IF(K1702="Sí",'Configuración'!$B$5,0)+IF(L1702="Semanal",'Configuración'!$B$6,IF(L1702="Mensual",'Configuración'!$B$7,0))+IF(M1702="Sí",'Configuración'!$B$8,0)+IF(N1702="Sí",'Configuración'!$B$9,0)+IF(O1702="Sí",'Configuración'!$B$10,0)+IF(P1702="Sí",'Configuración'!$B$11,0)+IF(Q1702="Sí",'Configuración'!$B$12,0)+S1702+T1702+U1702)</f>
        <v>28</v>
      </c>
      <c r="W1702" s="39" t="str">
        <f>IF(B1702="","",IF(V1702&gt;='Configuración'!$B$19,"A",IF(V1702&gt;='Configuración'!$B$20,"B",IF(V1702&gt;='Configuración'!$B$21,"C","Descarte"))))</f>
        <v>C</v>
      </c>
    </row>
    <row r="1703" ht="15.75" customHeight="1">
      <c r="A1703" s="34">
        <f t="shared" si="1"/>
        <v>1701</v>
      </c>
      <c r="B1703" s="29" t="s">
        <v>466</v>
      </c>
      <c r="C1703" s="29" t="s">
        <v>622</v>
      </c>
      <c r="D1703" s="29" t="s">
        <v>9493</v>
      </c>
      <c r="E1703" s="29" t="s">
        <v>9494</v>
      </c>
      <c r="F1703" s="30" t="s">
        <v>9495</v>
      </c>
      <c r="G1703" s="30" t="s">
        <v>9496</v>
      </c>
      <c r="H1703" s="42" t="s">
        <v>9497</v>
      </c>
      <c r="I1703" s="29" t="s">
        <v>616</v>
      </c>
      <c r="J1703" s="31">
        <v>20.0</v>
      </c>
      <c r="K1703" s="35"/>
      <c r="L1703" s="35"/>
      <c r="M1703" s="35"/>
      <c r="N1703" s="35"/>
      <c r="O1703" s="35"/>
      <c r="P1703" s="35"/>
      <c r="Q1703" s="35"/>
      <c r="R1703" s="35"/>
      <c r="S1703" s="37">
        <f>IF(B1703="","",IF(ISNUMBER(J1703),IF(J1703&lt;=10,'Configuración'!$B$23,IF(J1703&lt;=50,'Configuración'!$B$24,IF(J1703&lt;=200,'Configuración'!$B$25,0))),0))</f>
        <v>4</v>
      </c>
      <c r="T1703" s="37">
        <f>IF(B1703="","",IF(ISNUMBER(SEARCH("information technology",I1703))+ISNUMBER(SEARCH("software",I1703))+ISNUMBER(SEARCH("internet",I1703))+ISNUMBER(SEARCH("computer",I1703))+ISNUMBER(SEARCH("saas",I1703))+ISNUMBER(SEARCH("fintech",I1703))+ISNUMBER(SEARCH("information services",I1703))+ISNUMBER(SEARCH("telecommunications",I1703))&gt;0,'Configuración'!$B$27,'Configuración'!$B$28))</f>
        <v>4</v>
      </c>
      <c r="U1703" s="25">
        <f>IF(B1703="","",IF(ISNUMBER(SEARCH("CEO",C1703))+ISNUMBER(SEARCH("Founder",C1703))+ISNUMBER(SEARCH("Owner",C1703))+ISNUMBER(SEARCH("Dueño",C1703))+ISNUMBER(SEARCH("Director General",C1703))+ISNUMBER(SEARCH("Presidente",C1703))+ISNUMBER(SEARCH("President",C1703))&gt;0,'Configuración'!$B$31,IF(ISNUMBER(SEARCH("CMO",C1703))+ISNUMBER(SEARCH("Chief Marketing",C1703))+ISNUMBER(SEARCH("VP Marketing",C1703))+ISNUMBER(SEARCH("Director de Marketing",C1703))+ISNUMBER(SEARCH("Director Marketing",C1703))+ISNUMBER(SEARCH("Head of Marketing",C1703))+ISNUMBER(SEARCH("Head Marketing",C1703))&gt;0,'Configuración'!$B$32,IF(ISNUMBER(SEARCH("Marketing Manager",C1703))+ISNUMBER(SEARCH("Gerente de Marketing",C1703))+ISNUMBER(SEARCH("Growth Manager",C1703))+ISNUMBER(SEARCH("Demand Gen",C1703))+ISNUMBER(SEARCH("Marketing Lead",C1703))&gt;0,'Configuración'!$B$33,IF(ISNUMBER(SEARCH("COO",C1703))+ISNUMBER(SEARCH("CFO",C1703))+ISNUMBER(SEARCH("CTO",C1703))+ISNUMBER(SEARCH("Chief Operating",C1703))+ISNUMBER(SEARCH("Chief Financial",C1703))+ISNUMBER(SEARCH("Gerente General",C1703))+ISNUMBER(SEARCH("General Manager",C1703))&gt;0,'Configuración'!$B$34,'Configuración'!$B$35)))))</f>
        <v>12</v>
      </c>
      <c r="V1703" s="38">
        <f>IF(B1703="","",IF(K1703="Sí",'Configuración'!$B$5,0)+IF(L1703="Semanal",'Configuración'!$B$6,IF(L1703="Mensual",'Configuración'!$B$7,0))+IF(M1703="Sí",'Configuración'!$B$8,0)+IF(N1703="Sí",'Configuración'!$B$9,0)+IF(O1703="Sí",'Configuración'!$B$10,0)+IF(P1703="Sí",'Configuración'!$B$11,0)+IF(Q1703="Sí",'Configuración'!$B$12,0)+S1703+T1703+U1703)</f>
        <v>20</v>
      </c>
      <c r="W1703" s="39" t="str">
        <f>IF(B1703="","",IF(V1703&gt;='Configuración'!$B$19,"A",IF(V1703&gt;='Configuración'!$B$20,"B",IF(V1703&gt;='Configuración'!$B$21,"C","Descarte"))))</f>
        <v>Descarte</v>
      </c>
    </row>
    <row r="1704" ht="15.75" customHeight="1">
      <c r="A1704" s="34">
        <f t="shared" si="1"/>
        <v>1702</v>
      </c>
      <c r="B1704" s="29" t="s">
        <v>4151</v>
      </c>
      <c r="C1704" s="29" t="s">
        <v>1938</v>
      </c>
      <c r="D1704" s="29" t="s">
        <v>9498</v>
      </c>
      <c r="E1704" s="29" t="s">
        <v>9499</v>
      </c>
      <c r="F1704" s="30" t="s">
        <v>9500</v>
      </c>
      <c r="G1704" s="30" t="s">
        <v>9501</v>
      </c>
      <c r="H1704" s="42" t="s">
        <v>9502</v>
      </c>
      <c r="I1704" s="29" t="s">
        <v>127</v>
      </c>
      <c r="J1704" s="31">
        <v>15.0</v>
      </c>
      <c r="K1704" s="35"/>
      <c r="L1704" s="35"/>
      <c r="M1704" s="35"/>
      <c r="N1704" s="35"/>
      <c r="O1704" s="35"/>
      <c r="P1704" s="35"/>
      <c r="Q1704" s="35"/>
      <c r="R1704" s="35"/>
      <c r="S1704" s="37">
        <f>IF(B1704="","",IF(ISNUMBER(J1704),IF(J1704&lt;=10,'Configuración'!$B$23,IF(J1704&lt;=50,'Configuración'!$B$24,IF(J1704&lt;=200,'Configuración'!$B$25,0))),0))</f>
        <v>4</v>
      </c>
      <c r="T1704" s="37">
        <f>IF(B1704="","",IF(ISNUMBER(SEARCH("information technology",I1704))+ISNUMBER(SEARCH("software",I1704))+ISNUMBER(SEARCH("internet",I1704))+ISNUMBER(SEARCH("computer",I1704))+ISNUMBER(SEARCH("saas",I1704))+ISNUMBER(SEARCH("fintech",I1704))+ISNUMBER(SEARCH("information services",I1704))+ISNUMBER(SEARCH("telecommunications",I1704))&gt;0,'Configuración'!$B$27,'Configuración'!$B$28))</f>
        <v>12</v>
      </c>
      <c r="U1704" s="25">
        <f>IF(B1704="","",IF(ISNUMBER(SEARCH("CEO",C1704))+ISNUMBER(SEARCH("Founder",C1704))+ISNUMBER(SEARCH("Owner",C1704))+ISNUMBER(SEARCH("Dueño",C1704))+ISNUMBER(SEARCH("Director General",C1704))+ISNUMBER(SEARCH("Presidente",C1704))+ISNUMBER(SEARCH("President",C1704))&gt;0,'Configuración'!$B$31,IF(ISNUMBER(SEARCH("CMO",C1704))+ISNUMBER(SEARCH("Chief Marketing",C1704))+ISNUMBER(SEARCH("VP Marketing",C1704))+ISNUMBER(SEARCH("Director de Marketing",C1704))+ISNUMBER(SEARCH("Director Marketing",C1704))+ISNUMBER(SEARCH("Head of Marketing",C1704))+ISNUMBER(SEARCH("Head Marketing",C1704))&gt;0,'Configuración'!$B$32,IF(ISNUMBER(SEARCH("Marketing Manager",C1704))+ISNUMBER(SEARCH("Gerente de Marketing",C1704))+ISNUMBER(SEARCH("Growth Manager",C1704))+ISNUMBER(SEARCH("Demand Gen",C1704))+ISNUMBER(SEARCH("Marketing Lead",C1704))&gt;0,'Configuración'!$B$33,IF(ISNUMBER(SEARCH("COO",C1704))+ISNUMBER(SEARCH("CFO",C1704))+ISNUMBER(SEARCH("CTO",C1704))+ISNUMBER(SEARCH("Chief Operating",C1704))+ISNUMBER(SEARCH("Chief Financial",C1704))+ISNUMBER(SEARCH("Gerente General",C1704))+ISNUMBER(SEARCH("General Manager",C1704))&gt;0,'Configuración'!$B$34,'Configuración'!$B$35)))))</f>
        <v>12</v>
      </c>
      <c r="V1704" s="38">
        <f>IF(B1704="","",IF(K1704="Sí",'Configuración'!$B$5,0)+IF(L1704="Semanal",'Configuración'!$B$6,IF(L1704="Mensual",'Configuración'!$B$7,0))+IF(M1704="Sí",'Configuración'!$B$8,0)+IF(N1704="Sí",'Configuración'!$B$9,0)+IF(O1704="Sí",'Configuración'!$B$10,0)+IF(P1704="Sí",'Configuración'!$B$11,0)+IF(Q1704="Sí",'Configuración'!$B$12,0)+S1704+T1704+U1704)</f>
        <v>28</v>
      </c>
      <c r="W1704" s="39" t="str">
        <f>IF(B1704="","",IF(V1704&gt;='Configuración'!$B$19,"A",IF(V1704&gt;='Configuración'!$B$20,"B",IF(V1704&gt;='Configuración'!$B$21,"C","Descarte"))))</f>
        <v>C</v>
      </c>
    </row>
    <row r="1705" ht="15.75" customHeight="1">
      <c r="A1705" s="34">
        <f t="shared" si="1"/>
        <v>1703</v>
      </c>
      <c r="B1705" s="29" t="s">
        <v>8146</v>
      </c>
      <c r="C1705" s="29" t="s">
        <v>1221</v>
      </c>
      <c r="D1705" s="29" t="s">
        <v>9503</v>
      </c>
      <c r="E1705" s="29" t="s">
        <v>9504</v>
      </c>
      <c r="F1705" s="30" t="s">
        <v>9505</v>
      </c>
      <c r="G1705" s="30" t="s">
        <v>9506</v>
      </c>
      <c r="H1705" s="42" t="s">
        <v>9507</v>
      </c>
      <c r="I1705" s="29" t="s">
        <v>1245</v>
      </c>
      <c r="J1705" s="31">
        <v>26.0</v>
      </c>
      <c r="K1705" s="35"/>
      <c r="L1705" s="35"/>
      <c r="M1705" s="35"/>
      <c r="N1705" s="35"/>
      <c r="O1705" s="35"/>
      <c r="P1705" s="35"/>
      <c r="Q1705" s="35"/>
      <c r="R1705" s="35"/>
      <c r="S1705" s="37">
        <f>IF(B1705="","",IF(ISNUMBER(J1705),IF(J1705&lt;=10,'Configuración'!$B$23,IF(J1705&lt;=50,'Configuración'!$B$24,IF(J1705&lt;=200,'Configuración'!$B$25,0))),0))</f>
        <v>4</v>
      </c>
      <c r="T1705" s="37">
        <f>IF(B1705="","",IF(ISNUMBER(SEARCH("information technology",I1705))+ISNUMBER(SEARCH("software",I1705))+ISNUMBER(SEARCH("internet",I1705))+ISNUMBER(SEARCH("computer",I1705))+ISNUMBER(SEARCH("saas",I1705))+ISNUMBER(SEARCH("fintech",I1705))+ISNUMBER(SEARCH("information services",I1705))+ISNUMBER(SEARCH("telecommunications",I1705))&gt;0,'Configuración'!$B$27,'Configuración'!$B$28))</f>
        <v>4</v>
      </c>
      <c r="U1705" s="25">
        <f>IF(B1705="","",IF(ISNUMBER(SEARCH("CEO",C1705))+ISNUMBER(SEARCH("Founder",C1705))+ISNUMBER(SEARCH("Owner",C1705))+ISNUMBER(SEARCH("Dueño",C1705))+ISNUMBER(SEARCH("Director General",C1705))+ISNUMBER(SEARCH("Presidente",C1705))+ISNUMBER(SEARCH("President",C1705))&gt;0,'Configuración'!$B$31,IF(ISNUMBER(SEARCH("CMO",C1705))+ISNUMBER(SEARCH("Chief Marketing",C1705))+ISNUMBER(SEARCH("VP Marketing",C1705))+ISNUMBER(SEARCH("Director de Marketing",C1705))+ISNUMBER(SEARCH("Director Marketing",C1705))+ISNUMBER(SEARCH("Head of Marketing",C1705))+ISNUMBER(SEARCH("Head Marketing",C1705))&gt;0,'Configuración'!$B$32,IF(ISNUMBER(SEARCH("Marketing Manager",C1705))+ISNUMBER(SEARCH("Gerente de Marketing",C1705))+ISNUMBER(SEARCH("Growth Manager",C1705))+ISNUMBER(SEARCH("Demand Gen",C1705))+ISNUMBER(SEARCH("Marketing Lead",C1705))&gt;0,'Configuración'!$B$33,IF(ISNUMBER(SEARCH("COO",C1705))+ISNUMBER(SEARCH("CFO",C1705))+ISNUMBER(SEARCH("CTO",C1705))+ISNUMBER(SEARCH("Chief Operating",C1705))+ISNUMBER(SEARCH("Chief Financial",C1705))+ISNUMBER(SEARCH("Gerente General",C1705))+ISNUMBER(SEARCH("General Manager",C1705))&gt;0,'Configuración'!$B$34,'Configuración'!$B$35)))))</f>
        <v>0</v>
      </c>
      <c r="V1705" s="38">
        <f>IF(B1705="","",IF(K1705="Sí",'Configuración'!$B$5,0)+IF(L1705="Semanal",'Configuración'!$B$6,IF(L1705="Mensual",'Configuración'!$B$7,0))+IF(M1705="Sí",'Configuración'!$B$8,0)+IF(N1705="Sí",'Configuración'!$B$9,0)+IF(O1705="Sí",'Configuración'!$B$10,0)+IF(P1705="Sí",'Configuración'!$B$11,0)+IF(Q1705="Sí",'Configuración'!$B$12,0)+S1705+T1705+U1705)</f>
        <v>8</v>
      </c>
      <c r="W1705" s="39" t="str">
        <f>IF(B1705="","",IF(V1705&gt;='Configuración'!$B$19,"A",IF(V1705&gt;='Configuración'!$B$20,"B",IF(V1705&gt;='Configuración'!$B$21,"C","Descarte"))))</f>
        <v>Descarte</v>
      </c>
    </row>
    <row r="1706" ht="15.75" customHeight="1">
      <c r="A1706" s="34">
        <f t="shared" si="1"/>
        <v>1704</v>
      </c>
      <c r="B1706" s="29" t="s">
        <v>9508</v>
      </c>
      <c r="C1706" s="29" t="s">
        <v>9509</v>
      </c>
      <c r="D1706" s="40" t="s">
        <v>9510</v>
      </c>
      <c r="E1706" s="29" t="s">
        <v>9511</v>
      </c>
      <c r="F1706" s="30" t="s">
        <v>9512</v>
      </c>
      <c r="G1706" s="30" t="s">
        <v>9513</v>
      </c>
      <c r="H1706" s="42" t="s">
        <v>9514</v>
      </c>
      <c r="I1706" s="29" t="s">
        <v>508</v>
      </c>
      <c r="J1706" s="31">
        <v>19.0</v>
      </c>
      <c r="K1706" s="35"/>
      <c r="L1706" s="35"/>
      <c r="M1706" s="35"/>
      <c r="N1706" s="35"/>
      <c r="O1706" s="35"/>
      <c r="P1706" s="35"/>
      <c r="Q1706" s="35"/>
      <c r="R1706" s="35"/>
      <c r="S1706" s="37">
        <f>IF(B1706="","",IF(ISNUMBER(J1706),IF(J1706&lt;=10,'Configuración'!$B$23,IF(J1706&lt;=50,'Configuración'!$B$24,IF(J1706&lt;=200,'Configuración'!$B$25,0))),0))</f>
        <v>4</v>
      </c>
      <c r="T1706" s="37">
        <f>IF(B1706="","",IF(ISNUMBER(SEARCH("information technology",I1706))+ISNUMBER(SEARCH("software",I1706))+ISNUMBER(SEARCH("internet",I1706))+ISNUMBER(SEARCH("computer",I1706))+ISNUMBER(SEARCH("saas",I1706))+ISNUMBER(SEARCH("fintech",I1706))+ISNUMBER(SEARCH("information services",I1706))+ISNUMBER(SEARCH("telecommunications",I1706))&gt;0,'Configuración'!$B$27,'Configuración'!$B$28))</f>
        <v>4</v>
      </c>
      <c r="U1706" s="25">
        <f>IF(B1706="","",IF(ISNUMBER(SEARCH("CEO",C1706))+ISNUMBER(SEARCH("Founder",C1706))+ISNUMBER(SEARCH("Owner",C1706))+ISNUMBER(SEARCH("Dueño",C1706))+ISNUMBER(SEARCH("Director General",C1706))+ISNUMBER(SEARCH("Presidente",C1706))+ISNUMBER(SEARCH("President",C1706))&gt;0,'Configuración'!$B$31,IF(ISNUMBER(SEARCH("CMO",C1706))+ISNUMBER(SEARCH("Chief Marketing",C1706))+ISNUMBER(SEARCH("VP Marketing",C1706))+ISNUMBER(SEARCH("Director de Marketing",C1706))+ISNUMBER(SEARCH("Director Marketing",C1706))+ISNUMBER(SEARCH("Head of Marketing",C1706))+ISNUMBER(SEARCH("Head Marketing",C1706))&gt;0,'Configuración'!$B$32,IF(ISNUMBER(SEARCH("Marketing Manager",C1706))+ISNUMBER(SEARCH("Gerente de Marketing",C1706))+ISNUMBER(SEARCH("Growth Manager",C1706))+ISNUMBER(SEARCH("Demand Gen",C1706))+ISNUMBER(SEARCH("Marketing Lead",C1706))&gt;0,'Configuración'!$B$33,IF(ISNUMBER(SEARCH("COO",C1706))+ISNUMBER(SEARCH("CFO",C1706))+ISNUMBER(SEARCH("CTO",C1706))+ISNUMBER(SEARCH("Chief Operating",C1706))+ISNUMBER(SEARCH("Chief Financial",C1706))+ISNUMBER(SEARCH("Gerente General",C1706))+ISNUMBER(SEARCH("General Manager",C1706))&gt;0,'Configuración'!$B$34,'Configuración'!$B$35)))))</f>
        <v>0</v>
      </c>
      <c r="V1706" s="38">
        <f>IF(B1706="","",IF(K1706="Sí",'Configuración'!$B$5,0)+IF(L1706="Semanal",'Configuración'!$B$6,IF(L1706="Mensual",'Configuración'!$B$7,0))+IF(M1706="Sí",'Configuración'!$B$8,0)+IF(N1706="Sí",'Configuración'!$B$9,0)+IF(O1706="Sí",'Configuración'!$B$10,0)+IF(P1706="Sí",'Configuración'!$B$11,0)+IF(Q1706="Sí",'Configuración'!$B$12,0)+S1706+T1706+U1706)</f>
        <v>8</v>
      </c>
      <c r="W1706" s="39" t="str">
        <f>IF(B1706="","",IF(V1706&gt;='Configuración'!$B$19,"A",IF(V1706&gt;='Configuración'!$B$20,"B",IF(V1706&gt;='Configuración'!$B$21,"C","Descarte"))))</f>
        <v>Descarte</v>
      </c>
    </row>
    <row r="1707" ht="15.75" customHeight="1">
      <c r="A1707" s="34">
        <f t="shared" si="1"/>
        <v>1705</v>
      </c>
      <c r="B1707" s="29" t="s">
        <v>755</v>
      </c>
      <c r="C1707" s="29" t="s">
        <v>9515</v>
      </c>
      <c r="D1707" s="30" t="s">
        <v>9516</v>
      </c>
      <c r="E1707" s="29" t="s">
        <v>9517</v>
      </c>
      <c r="F1707" s="30" t="s">
        <v>9518</v>
      </c>
      <c r="G1707" s="30" t="s">
        <v>9519</v>
      </c>
      <c r="H1707" s="42" t="s">
        <v>9520</v>
      </c>
      <c r="I1707" s="29" t="s">
        <v>127</v>
      </c>
      <c r="J1707" s="31">
        <v>5.0</v>
      </c>
      <c r="K1707" s="35"/>
      <c r="L1707" s="35"/>
      <c r="M1707" s="35"/>
      <c r="N1707" s="35"/>
      <c r="O1707" s="35"/>
      <c r="P1707" s="35"/>
      <c r="Q1707" s="35"/>
      <c r="R1707" s="35"/>
      <c r="S1707" s="37">
        <f>IF(B1707="","",IF(ISNUMBER(J1707),IF(J1707&lt;=10,'Configuración'!$B$23,IF(J1707&lt;=50,'Configuración'!$B$24,IF(J1707&lt;=200,'Configuración'!$B$25,0))),0))</f>
        <v>12</v>
      </c>
      <c r="T1707" s="37">
        <f>IF(B1707="","",IF(ISNUMBER(SEARCH("information technology",I1707))+ISNUMBER(SEARCH("software",I1707))+ISNUMBER(SEARCH("internet",I1707))+ISNUMBER(SEARCH("computer",I1707))+ISNUMBER(SEARCH("saas",I1707))+ISNUMBER(SEARCH("fintech",I1707))+ISNUMBER(SEARCH("information services",I1707))+ISNUMBER(SEARCH("telecommunications",I1707))&gt;0,'Configuración'!$B$27,'Configuración'!$B$28))</f>
        <v>12</v>
      </c>
      <c r="U1707" s="25">
        <f>IF(B1707="","",IF(ISNUMBER(SEARCH("CEO",C1707))+ISNUMBER(SEARCH("Founder",C1707))+ISNUMBER(SEARCH("Owner",C1707))+ISNUMBER(SEARCH("Dueño",C1707))+ISNUMBER(SEARCH("Director General",C1707))+ISNUMBER(SEARCH("Presidente",C1707))+ISNUMBER(SEARCH("President",C1707))&gt;0,'Configuración'!$B$31,IF(ISNUMBER(SEARCH("CMO",C1707))+ISNUMBER(SEARCH("Chief Marketing",C1707))+ISNUMBER(SEARCH("VP Marketing",C1707))+ISNUMBER(SEARCH("Director de Marketing",C1707))+ISNUMBER(SEARCH("Director Marketing",C1707))+ISNUMBER(SEARCH("Head of Marketing",C1707))+ISNUMBER(SEARCH("Head Marketing",C1707))&gt;0,'Configuración'!$B$32,IF(ISNUMBER(SEARCH("Marketing Manager",C1707))+ISNUMBER(SEARCH("Gerente de Marketing",C1707))+ISNUMBER(SEARCH("Growth Manager",C1707))+ISNUMBER(SEARCH("Demand Gen",C1707))+ISNUMBER(SEARCH("Marketing Lead",C1707))&gt;0,'Configuración'!$B$33,IF(ISNUMBER(SEARCH("COO",C1707))+ISNUMBER(SEARCH("CFO",C1707))+ISNUMBER(SEARCH("CTO",C1707))+ISNUMBER(SEARCH("Chief Operating",C1707))+ISNUMBER(SEARCH("Chief Financial",C1707))+ISNUMBER(SEARCH("Gerente General",C1707))+ISNUMBER(SEARCH("General Manager",C1707))&gt;0,'Configuración'!$B$34,'Configuración'!$B$35)))))</f>
        <v>0</v>
      </c>
      <c r="V1707" s="38">
        <f>IF(B1707="","",IF(K1707="Sí",'Configuración'!$B$5,0)+IF(L1707="Semanal",'Configuración'!$B$6,IF(L1707="Mensual",'Configuración'!$B$7,0))+IF(M1707="Sí",'Configuración'!$B$8,0)+IF(N1707="Sí",'Configuración'!$B$9,0)+IF(O1707="Sí",'Configuración'!$B$10,0)+IF(P1707="Sí",'Configuración'!$B$11,0)+IF(Q1707="Sí",'Configuración'!$B$12,0)+S1707+T1707+U1707)</f>
        <v>24</v>
      </c>
      <c r="W1707" s="39" t="str">
        <f>IF(B1707="","",IF(V1707&gt;='Configuración'!$B$19,"A",IF(V1707&gt;='Configuración'!$B$20,"B",IF(V1707&gt;='Configuración'!$B$21,"C","Descarte"))))</f>
        <v>C</v>
      </c>
    </row>
    <row r="1708" ht="15.75" customHeight="1">
      <c r="A1708" s="34">
        <f t="shared" si="1"/>
        <v>1706</v>
      </c>
      <c r="B1708" s="29" t="s">
        <v>159</v>
      </c>
      <c r="C1708" s="29" t="s">
        <v>763</v>
      </c>
      <c r="D1708" s="29" t="s">
        <v>9521</v>
      </c>
      <c r="E1708" s="29" t="s">
        <v>9522</v>
      </c>
      <c r="F1708" s="30" t="s">
        <v>9523</v>
      </c>
      <c r="G1708" s="30" t="s">
        <v>9524</v>
      </c>
      <c r="H1708" s="42" t="s">
        <v>9525</v>
      </c>
      <c r="I1708" s="29" t="s">
        <v>127</v>
      </c>
      <c r="J1708" s="31">
        <v>2.0</v>
      </c>
      <c r="K1708" s="35"/>
      <c r="L1708" s="35"/>
      <c r="M1708" s="35"/>
      <c r="N1708" s="35"/>
      <c r="O1708" s="35"/>
      <c r="P1708" s="35"/>
      <c r="Q1708" s="35"/>
      <c r="R1708" s="35"/>
      <c r="S1708" s="37">
        <f>IF(B1708="","",IF(ISNUMBER(J1708),IF(J1708&lt;=10,'Configuración'!$B$23,IF(J1708&lt;=50,'Configuración'!$B$24,IF(J1708&lt;=200,'Configuración'!$B$25,0))),0))</f>
        <v>12</v>
      </c>
      <c r="T1708" s="37">
        <f>IF(B1708="","",IF(ISNUMBER(SEARCH("information technology",I1708))+ISNUMBER(SEARCH("software",I1708))+ISNUMBER(SEARCH("internet",I1708))+ISNUMBER(SEARCH("computer",I1708))+ISNUMBER(SEARCH("saas",I1708))+ISNUMBER(SEARCH("fintech",I1708))+ISNUMBER(SEARCH("information services",I1708))+ISNUMBER(SEARCH("telecommunications",I1708))&gt;0,'Configuración'!$B$27,'Configuración'!$B$28))</f>
        <v>12</v>
      </c>
      <c r="U1708" s="25">
        <f>IF(B1708="","",IF(ISNUMBER(SEARCH("CEO",C1708))+ISNUMBER(SEARCH("Founder",C1708))+ISNUMBER(SEARCH("Owner",C1708))+ISNUMBER(SEARCH("Dueño",C1708))+ISNUMBER(SEARCH("Director General",C1708))+ISNUMBER(SEARCH("Presidente",C1708))+ISNUMBER(SEARCH("President",C1708))&gt;0,'Configuración'!$B$31,IF(ISNUMBER(SEARCH("CMO",C1708))+ISNUMBER(SEARCH("Chief Marketing",C1708))+ISNUMBER(SEARCH("VP Marketing",C1708))+ISNUMBER(SEARCH("Director de Marketing",C1708))+ISNUMBER(SEARCH("Director Marketing",C1708))+ISNUMBER(SEARCH("Head of Marketing",C1708))+ISNUMBER(SEARCH("Head Marketing",C1708))&gt;0,'Configuración'!$B$32,IF(ISNUMBER(SEARCH("Marketing Manager",C1708))+ISNUMBER(SEARCH("Gerente de Marketing",C1708))+ISNUMBER(SEARCH("Growth Manager",C1708))+ISNUMBER(SEARCH("Demand Gen",C1708))+ISNUMBER(SEARCH("Marketing Lead",C1708))&gt;0,'Configuración'!$B$33,IF(ISNUMBER(SEARCH("COO",C1708))+ISNUMBER(SEARCH("CFO",C1708))+ISNUMBER(SEARCH("CTO",C1708))+ISNUMBER(SEARCH("Chief Operating",C1708))+ISNUMBER(SEARCH("Chief Financial",C1708))+ISNUMBER(SEARCH("Gerente General",C1708))+ISNUMBER(SEARCH("General Manager",C1708))&gt;0,'Configuración'!$B$34,'Configuración'!$B$35)))))</f>
        <v>12</v>
      </c>
      <c r="V1708" s="38">
        <f>IF(B1708="","",IF(K1708="Sí",'Configuración'!$B$5,0)+IF(L1708="Semanal",'Configuración'!$B$6,IF(L1708="Mensual",'Configuración'!$B$7,0))+IF(M1708="Sí",'Configuración'!$B$8,0)+IF(N1708="Sí",'Configuración'!$B$9,0)+IF(O1708="Sí",'Configuración'!$B$10,0)+IF(P1708="Sí",'Configuración'!$B$11,0)+IF(Q1708="Sí",'Configuración'!$B$12,0)+S1708+T1708+U1708)</f>
        <v>36</v>
      </c>
      <c r="W1708" s="39" t="str">
        <f>IF(B1708="","",IF(V1708&gt;='Configuración'!$B$19,"A",IF(V1708&gt;='Configuración'!$B$20,"B",IF(V1708&gt;='Configuración'!$B$21,"C","Descarte"))))</f>
        <v>C</v>
      </c>
    </row>
    <row r="1709" ht="15.75" customHeight="1">
      <c r="A1709" s="34">
        <f t="shared" si="1"/>
        <v>1707</v>
      </c>
      <c r="B1709" s="29" t="s">
        <v>501</v>
      </c>
      <c r="C1709" s="29" t="s">
        <v>9526</v>
      </c>
      <c r="D1709" s="29" t="s">
        <v>9527</v>
      </c>
      <c r="E1709" s="29" t="s">
        <v>9528</v>
      </c>
      <c r="F1709" s="30" t="s">
        <v>9529</v>
      </c>
      <c r="G1709" s="30" t="s">
        <v>9530</v>
      </c>
      <c r="H1709" s="42" t="s">
        <v>9531</v>
      </c>
      <c r="I1709" s="29" t="s">
        <v>769</v>
      </c>
      <c r="J1709" s="31">
        <v>4.0</v>
      </c>
      <c r="K1709" s="35"/>
      <c r="L1709" s="35"/>
      <c r="M1709" s="35"/>
      <c r="N1709" s="35"/>
      <c r="O1709" s="35"/>
      <c r="P1709" s="35"/>
      <c r="Q1709" s="35"/>
      <c r="R1709" s="35"/>
      <c r="S1709" s="37">
        <f>IF(B1709="","",IF(ISNUMBER(J1709),IF(J1709&lt;=10,'Configuración'!$B$23,IF(J1709&lt;=50,'Configuración'!$B$24,IF(J1709&lt;=200,'Configuración'!$B$25,0))),0))</f>
        <v>12</v>
      </c>
      <c r="T1709" s="37">
        <f>IF(B1709="","",IF(ISNUMBER(SEARCH("information technology",I1709))+ISNUMBER(SEARCH("software",I1709))+ISNUMBER(SEARCH("internet",I1709))+ISNUMBER(SEARCH("computer",I1709))+ISNUMBER(SEARCH("saas",I1709))+ISNUMBER(SEARCH("fintech",I1709))+ISNUMBER(SEARCH("information services",I1709))+ISNUMBER(SEARCH("telecommunications",I1709))&gt;0,'Configuración'!$B$27,'Configuración'!$B$28))</f>
        <v>4</v>
      </c>
      <c r="U1709" s="25">
        <f>IF(B1709="","",IF(ISNUMBER(SEARCH("CEO",C1709))+ISNUMBER(SEARCH("Founder",C1709))+ISNUMBER(SEARCH("Owner",C1709))+ISNUMBER(SEARCH("Dueño",C1709))+ISNUMBER(SEARCH("Director General",C1709))+ISNUMBER(SEARCH("Presidente",C1709))+ISNUMBER(SEARCH("President",C1709))&gt;0,'Configuración'!$B$31,IF(ISNUMBER(SEARCH("CMO",C1709))+ISNUMBER(SEARCH("Chief Marketing",C1709))+ISNUMBER(SEARCH("VP Marketing",C1709))+ISNUMBER(SEARCH("Director de Marketing",C1709))+ISNUMBER(SEARCH("Director Marketing",C1709))+ISNUMBER(SEARCH("Head of Marketing",C1709))+ISNUMBER(SEARCH("Head Marketing",C1709))&gt;0,'Configuración'!$B$32,IF(ISNUMBER(SEARCH("Marketing Manager",C1709))+ISNUMBER(SEARCH("Gerente de Marketing",C1709))+ISNUMBER(SEARCH("Growth Manager",C1709))+ISNUMBER(SEARCH("Demand Gen",C1709))+ISNUMBER(SEARCH("Marketing Lead",C1709))&gt;0,'Configuración'!$B$33,IF(ISNUMBER(SEARCH("COO",C1709))+ISNUMBER(SEARCH("CFO",C1709))+ISNUMBER(SEARCH("CTO",C1709))+ISNUMBER(SEARCH("Chief Operating",C1709))+ISNUMBER(SEARCH("Chief Financial",C1709))+ISNUMBER(SEARCH("Gerente General",C1709))+ISNUMBER(SEARCH("General Manager",C1709))&gt;0,'Configuración'!$B$34,'Configuración'!$B$35)))))</f>
        <v>12</v>
      </c>
      <c r="V1709" s="38">
        <f>IF(B1709="","",IF(K1709="Sí",'Configuración'!$B$5,0)+IF(L1709="Semanal",'Configuración'!$B$6,IF(L1709="Mensual",'Configuración'!$B$7,0))+IF(M1709="Sí",'Configuración'!$B$8,0)+IF(N1709="Sí",'Configuración'!$B$9,0)+IF(O1709="Sí",'Configuración'!$B$10,0)+IF(P1709="Sí",'Configuración'!$B$11,0)+IF(Q1709="Sí",'Configuración'!$B$12,0)+S1709+T1709+U1709)</f>
        <v>28</v>
      </c>
      <c r="W1709" s="39" t="str">
        <f>IF(B1709="","",IF(V1709&gt;='Configuración'!$B$19,"A",IF(V1709&gt;='Configuración'!$B$20,"B",IF(V1709&gt;='Configuración'!$B$21,"C","Descarte"))))</f>
        <v>C</v>
      </c>
    </row>
    <row r="1710" ht="15.75" customHeight="1">
      <c r="A1710" s="34">
        <f t="shared" si="1"/>
        <v>1708</v>
      </c>
      <c r="B1710" s="29" t="s">
        <v>2182</v>
      </c>
      <c r="C1710" s="29" t="s">
        <v>9532</v>
      </c>
      <c r="D1710" s="29" t="s">
        <v>9533</v>
      </c>
      <c r="E1710" s="29" t="s">
        <v>9534</v>
      </c>
      <c r="F1710" s="30" t="s">
        <v>9535</v>
      </c>
      <c r="G1710" s="30" t="s">
        <v>9536</v>
      </c>
      <c r="H1710" s="42" t="s">
        <v>9537</v>
      </c>
      <c r="I1710" s="29" t="s">
        <v>847</v>
      </c>
      <c r="J1710" s="31">
        <v>11.0</v>
      </c>
      <c r="K1710" s="35"/>
      <c r="L1710" s="35"/>
      <c r="M1710" s="35"/>
      <c r="N1710" s="35"/>
      <c r="O1710" s="35"/>
      <c r="P1710" s="35"/>
      <c r="Q1710" s="35"/>
      <c r="R1710" s="35"/>
      <c r="S1710" s="37">
        <f>IF(B1710="","",IF(ISNUMBER(J1710),IF(J1710&lt;=10,'Configuración'!$B$23,IF(J1710&lt;=50,'Configuración'!$B$24,IF(J1710&lt;=200,'Configuración'!$B$25,0))),0))</f>
        <v>4</v>
      </c>
      <c r="T1710" s="37">
        <f>IF(B1710="","",IF(ISNUMBER(SEARCH("information technology",I1710))+ISNUMBER(SEARCH("software",I1710))+ISNUMBER(SEARCH("internet",I1710))+ISNUMBER(SEARCH("computer",I1710))+ISNUMBER(SEARCH("saas",I1710))+ISNUMBER(SEARCH("fintech",I1710))+ISNUMBER(SEARCH("information services",I1710))+ISNUMBER(SEARCH("telecommunications",I1710))&gt;0,'Configuración'!$B$27,'Configuración'!$B$28))</f>
        <v>4</v>
      </c>
      <c r="U1710" s="25">
        <f>IF(B1710="","",IF(ISNUMBER(SEARCH("CEO",C1710))+ISNUMBER(SEARCH("Founder",C1710))+ISNUMBER(SEARCH("Owner",C1710))+ISNUMBER(SEARCH("Dueño",C1710))+ISNUMBER(SEARCH("Director General",C1710))+ISNUMBER(SEARCH("Presidente",C1710))+ISNUMBER(SEARCH("President",C1710))&gt;0,'Configuración'!$B$31,IF(ISNUMBER(SEARCH("CMO",C1710))+ISNUMBER(SEARCH("Chief Marketing",C1710))+ISNUMBER(SEARCH("VP Marketing",C1710))+ISNUMBER(SEARCH("Director de Marketing",C1710))+ISNUMBER(SEARCH("Director Marketing",C1710))+ISNUMBER(SEARCH("Head of Marketing",C1710))+ISNUMBER(SEARCH("Head Marketing",C1710))&gt;0,'Configuración'!$B$32,IF(ISNUMBER(SEARCH("Marketing Manager",C1710))+ISNUMBER(SEARCH("Gerente de Marketing",C1710))+ISNUMBER(SEARCH("Growth Manager",C1710))+ISNUMBER(SEARCH("Demand Gen",C1710))+ISNUMBER(SEARCH("Marketing Lead",C1710))&gt;0,'Configuración'!$B$33,IF(ISNUMBER(SEARCH("COO",C1710))+ISNUMBER(SEARCH("CFO",C1710))+ISNUMBER(SEARCH("CTO",C1710))+ISNUMBER(SEARCH("Chief Operating",C1710))+ISNUMBER(SEARCH("Chief Financial",C1710))+ISNUMBER(SEARCH("Gerente General",C1710))+ISNUMBER(SEARCH("General Manager",C1710))&gt;0,'Configuración'!$B$34,'Configuración'!$B$35)))))</f>
        <v>12</v>
      </c>
      <c r="V1710" s="38">
        <f>IF(B1710="","",IF(K1710="Sí",'Configuración'!$B$5,0)+IF(L1710="Semanal",'Configuración'!$B$6,IF(L1710="Mensual",'Configuración'!$B$7,0))+IF(M1710="Sí",'Configuración'!$B$8,0)+IF(N1710="Sí",'Configuración'!$B$9,0)+IF(O1710="Sí",'Configuración'!$B$10,0)+IF(P1710="Sí",'Configuración'!$B$11,0)+IF(Q1710="Sí",'Configuración'!$B$12,0)+S1710+T1710+U1710)</f>
        <v>20</v>
      </c>
      <c r="W1710" s="39" t="str">
        <f>IF(B1710="","",IF(V1710&gt;='Configuración'!$B$19,"A",IF(V1710&gt;='Configuración'!$B$20,"B",IF(V1710&gt;='Configuración'!$B$21,"C","Descarte"))))</f>
        <v>Descarte</v>
      </c>
    </row>
    <row r="1711" ht="15.75" customHeight="1">
      <c r="A1711" s="34">
        <f t="shared" si="1"/>
        <v>1709</v>
      </c>
      <c r="B1711" s="29" t="s">
        <v>9538</v>
      </c>
      <c r="C1711" s="29" t="s">
        <v>487</v>
      </c>
      <c r="D1711" s="29" t="s">
        <v>9539</v>
      </c>
      <c r="E1711" s="29" t="s">
        <v>9540</v>
      </c>
      <c r="F1711" s="30" t="s">
        <v>9541</v>
      </c>
      <c r="G1711" s="30" t="s">
        <v>9542</v>
      </c>
      <c r="H1711" s="42" t="s">
        <v>9543</v>
      </c>
      <c r="I1711" s="29" t="s">
        <v>1126</v>
      </c>
      <c r="J1711" s="31">
        <v>6.0</v>
      </c>
      <c r="K1711" s="35"/>
      <c r="L1711" s="35"/>
      <c r="M1711" s="35"/>
      <c r="N1711" s="35"/>
      <c r="O1711" s="35"/>
      <c r="P1711" s="35"/>
      <c r="Q1711" s="35"/>
      <c r="R1711" s="35"/>
      <c r="S1711" s="37">
        <f>IF(B1711="","",IF(ISNUMBER(J1711),IF(J1711&lt;=10,'Configuración'!$B$23,IF(J1711&lt;=50,'Configuración'!$B$24,IF(J1711&lt;=200,'Configuración'!$B$25,0))),0))</f>
        <v>12</v>
      </c>
      <c r="T1711" s="37">
        <f>IF(B1711="","",IF(ISNUMBER(SEARCH("information technology",I1711))+ISNUMBER(SEARCH("software",I1711))+ISNUMBER(SEARCH("internet",I1711))+ISNUMBER(SEARCH("computer",I1711))+ISNUMBER(SEARCH("saas",I1711))+ISNUMBER(SEARCH("fintech",I1711))+ISNUMBER(SEARCH("information services",I1711))+ISNUMBER(SEARCH("telecommunications",I1711))&gt;0,'Configuración'!$B$27,'Configuración'!$B$28))</f>
        <v>4</v>
      </c>
      <c r="U1711" s="25">
        <f>IF(B1711="","",IF(ISNUMBER(SEARCH("CEO",C1711))+ISNUMBER(SEARCH("Founder",C1711))+ISNUMBER(SEARCH("Owner",C1711))+ISNUMBER(SEARCH("Dueño",C1711))+ISNUMBER(SEARCH("Director General",C1711))+ISNUMBER(SEARCH("Presidente",C1711))+ISNUMBER(SEARCH("President",C1711))&gt;0,'Configuración'!$B$31,IF(ISNUMBER(SEARCH("CMO",C1711))+ISNUMBER(SEARCH("Chief Marketing",C1711))+ISNUMBER(SEARCH("VP Marketing",C1711))+ISNUMBER(SEARCH("Director de Marketing",C1711))+ISNUMBER(SEARCH("Director Marketing",C1711))+ISNUMBER(SEARCH("Head of Marketing",C1711))+ISNUMBER(SEARCH("Head Marketing",C1711))&gt;0,'Configuración'!$B$32,IF(ISNUMBER(SEARCH("Marketing Manager",C1711))+ISNUMBER(SEARCH("Gerente de Marketing",C1711))+ISNUMBER(SEARCH("Growth Manager",C1711))+ISNUMBER(SEARCH("Demand Gen",C1711))+ISNUMBER(SEARCH("Marketing Lead",C1711))&gt;0,'Configuración'!$B$33,IF(ISNUMBER(SEARCH("COO",C1711))+ISNUMBER(SEARCH("CFO",C1711))+ISNUMBER(SEARCH("CTO",C1711))+ISNUMBER(SEARCH("Chief Operating",C1711))+ISNUMBER(SEARCH("Chief Financial",C1711))+ISNUMBER(SEARCH("Gerente General",C1711))+ISNUMBER(SEARCH("General Manager",C1711))&gt;0,'Configuración'!$B$34,'Configuración'!$B$35)))))</f>
        <v>12</v>
      </c>
      <c r="V1711" s="38">
        <f>IF(B1711="","",IF(K1711="Sí",'Configuración'!$B$5,0)+IF(L1711="Semanal",'Configuración'!$B$6,IF(L1711="Mensual",'Configuración'!$B$7,0))+IF(M1711="Sí",'Configuración'!$B$8,0)+IF(N1711="Sí",'Configuración'!$B$9,0)+IF(O1711="Sí",'Configuración'!$B$10,0)+IF(P1711="Sí",'Configuración'!$B$11,0)+IF(Q1711="Sí",'Configuración'!$B$12,0)+S1711+T1711+U1711)</f>
        <v>28</v>
      </c>
      <c r="W1711" s="39" t="str">
        <f>IF(B1711="","",IF(V1711&gt;='Configuración'!$B$19,"A",IF(V1711&gt;='Configuración'!$B$20,"B",IF(V1711&gt;='Configuración'!$B$21,"C","Descarte"))))</f>
        <v>C</v>
      </c>
    </row>
    <row r="1712" ht="15.75" customHeight="1">
      <c r="A1712" s="34">
        <f t="shared" si="1"/>
        <v>1710</v>
      </c>
      <c r="B1712" s="29" t="s">
        <v>473</v>
      </c>
      <c r="C1712" s="29" t="s">
        <v>175</v>
      </c>
      <c r="D1712" s="29" t="s">
        <v>9544</v>
      </c>
      <c r="E1712" s="29" t="s">
        <v>9545</v>
      </c>
      <c r="F1712" s="30" t="s">
        <v>9546</v>
      </c>
      <c r="G1712" s="30" t="s">
        <v>9547</v>
      </c>
      <c r="H1712" s="42" t="s">
        <v>9548</v>
      </c>
      <c r="I1712" s="29" t="s">
        <v>188</v>
      </c>
      <c r="J1712" s="31">
        <v>6.0</v>
      </c>
      <c r="K1712" s="35"/>
      <c r="L1712" s="35"/>
      <c r="M1712" s="35"/>
      <c r="N1712" s="35"/>
      <c r="O1712" s="35"/>
      <c r="P1712" s="35"/>
      <c r="Q1712" s="35"/>
      <c r="R1712" s="35"/>
      <c r="S1712" s="37">
        <f>IF(B1712="","",IF(ISNUMBER(J1712),IF(J1712&lt;=10,'Configuración'!$B$23,IF(J1712&lt;=50,'Configuración'!$B$24,IF(J1712&lt;=200,'Configuración'!$B$25,0))),0))</f>
        <v>12</v>
      </c>
      <c r="T1712" s="37">
        <f>IF(B1712="","",IF(ISNUMBER(SEARCH("information technology",I1712))+ISNUMBER(SEARCH("software",I1712))+ISNUMBER(SEARCH("internet",I1712))+ISNUMBER(SEARCH("computer",I1712))+ISNUMBER(SEARCH("saas",I1712))+ISNUMBER(SEARCH("fintech",I1712))+ISNUMBER(SEARCH("information services",I1712))+ISNUMBER(SEARCH("telecommunications",I1712))&gt;0,'Configuración'!$B$27,'Configuración'!$B$28))</f>
        <v>4</v>
      </c>
      <c r="U1712" s="25">
        <f>IF(B1712="","",IF(ISNUMBER(SEARCH("CEO",C1712))+ISNUMBER(SEARCH("Founder",C1712))+ISNUMBER(SEARCH("Owner",C1712))+ISNUMBER(SEARCH("Dueño",C1712))+ISNUMBER(SEARCH("Director General",C1712))+ISNUMBER(SEARCH("Presidente",C1712))+ISNUMBER(SEARCH("President",C1712))&gt;0,'Configuración'!$B$31,IF(ISNUMBER(SEARCH("CMO",C1712))+ISNUMBER(SEARCH("Chief Marketing",C1712))+ISNUMBER(SEARCH("VP Marketing",C1712))+ISNUMBER(SEARCH("Director de Marketing",C1712))+ISNUMBER(SEARCH("Director Marketing",C1712))+ISNUMBER(SEARCH("Head of Marketing",C1712))+ISNUMBER(SEARCH("Head Marketing",C1712))&gt;0,'Configuración'!$B$32,IF(ISNUMBER(SEARCH("Marketing Manager",C1712))+ISNUMBER(SEARCH("Gerente de Marketing",C1712))+ISNUMBER(SEARCH("Growth Manager",C1712))+ISNUMBER(SEARCH("Demand Gen",C1712))+ISNUMBER(SEARCH("Marketing Lead",C1712))&gt;0,'Configuración'!$B$33,IF(ISNUMBER(SEARCH("COO",C1712))+ISNUMBER(SEARCH("CFO",C1712))+ISNUMBER(SEARCH("CTO",C1712))+ISNUMBER(SEARCH("Chief Operating",C1712))+ISNUMBER(SEARCH("Chief Financial",C1712))+ISNUMBER(SEARCH("Gerente General",C1712))+ISNUMBER(SEARCH("General Manager",C1712))&gt;0,'Configuración'!$B$34,'Configuración'!$B$35)))))</f>
        <v>12</v>
      </c>
      <c r="V1712" s="38">
        <f>IF(B1712="","",IF(K1712="Sí",'Configuración'!$B$5,0)+IF(L1712="Semanal",'Configuración'!$B$6,IF(L1712="Mensual",'Configuración'!$B$7,0))+IF(M1712="Sí",'Configuración'!$B$8,0)+IF(N1712="Sí",'Configuración'!$B$9,0)+IF(O1712="Sí",'Configuración'!$B$10,0)+IF(P1712="Sí",'Configuración'!$B$11,0)+IF(Q1712="Sí",'Configuración'!$B$12,0)+S1712+T1712+U1712)</f>
        <v>28</v>
      </c>
      <c r="W1712" s="39" t="str">
        <f>IF(B1712="","",IF(V1712&gt;='Configuración'!$B$19,"A",IF(V1712&gt;='Configuración'!$B$20,"B",IF(V1712&gt;='Configuración'!$B$21,"C","Descarte"))))</f>
        <v>C</v>
      </c>
    </row>
    <row r="1713" ht="15.75" customHeight="1">
      <c r="A1713" s="34">
        <f t="shared" si="1"/>
        <v>1711</v>
      </c>
      <c r="B1713" s="29" t="s">
        <v>1048</v>
      </c>
      <c r="C1713" s="29" t="s">
        <v>131</v>
      </c>
      <c r="D1713" s="40" t="s">
        <v>9549</v>
      </c>
      <c r="E1713" s="29" t="s">
        <v>9550</v>
      </c>
      <c r="F1713" s="30" t="s">
        <v>9551</v>
      </c>
      <c r="G1713" s="30" t="s">
        <v>9552</v>
      </c>
      <c r="H1713" s="42" t="s">
        <v>9553</v>
      </c>
      <c r="I1713" s="29" t="s">
        <v>127</v>
      </c>
      <c r="J1713" s="31">
        <v>11.0</v>
      </c>
      <c r="K1713" s="35"/>
      <c r="L1713" s="35"/>
      <c r="M1713" s="35"/>
      <c r="N1713" s="35"/>
      <c r="O1713" s="35"/>
      <c r="P1713" s="35"/>
      <c r="Q1713" s="35"/>
      <c r="R1713" s="35"/>
      <c r="S1713" s="37">
        <f>IF(B1713="","",IF(ISNUMBER(J1713),IF(J1713&lt;=10,'Configuración'!$B$23,IF(J1713&lt;=50,'Configuración'!$B$24,IF(J1713&lt;=200,'Configuración'!$B$25,0))),0))</f>
        <v>4</v>
      </c>
      <c r="T1713" s="37">
        <f>IF(B1713="","",IF(ISNUMBER(SEARCH("information technology",I1713))+ISNUMBER(SEARCH("software",I1713))+ISNUMBER(SEARCH("internet",I1713))+ISNUMBER(SEARCH("computer",I1713))+ISNUMBER(SEARCH("saas",I1713))+ISNUMBER(SEARCH("fintech",I1713))+ISNUMBER(SEARCH("information services",I1713))+ISNUMBER(SEARCH("telecommunications",I1713))&gt;0,'Configuración'!$B$27,'Configuración'!$B$28))</f>
        <v>12</v>
      </c>
      <c r="U1713" s="25">
        <f>IF(B1713="","",IF(ISNUMBER(SEARCH("CEO",C1713))+ISNUMBER(SEARCH("Founder",C1713))+ISNUMBER(SEARCH("Owner",C1713))+ISNUMBER(SEARCH("Dueño",C1713))+ISNUMBER(SEARCH("Director General",C1713))+ISNUMBER(SEARCH("Presidente",C1713))+ISNUMBER(SEARCH("President",C1713))&gt;0,'Configuración'!$B$31,IF(ISNUMBER(SEARCH("CMO",C1713))+ISNUMBER(SEARCH("Chief Marketing",C1713))+ISNUMBER(SEARCH("VP Marketing",C1713))+ISNUMBER(SEARCH("Director de Marketing",C1713))+ISNUMBER(SEARCH("Director Marketing",C1713))+ISNUMBER(SEARCH("Head of Marketing",C1713))+ISNUMBER(SEARCH("Head Marketing",C1713))&gt;0,'Configuración'!$B$32,IF(ISNUMBER(SEARCH("Marketing Manager",C1713))+ISNUMBER(SEARCH("Gerente de Marketing",C1713))+ISNUMBER(SEARCH("Growth Manager",C1713))+ISNUMBER(SEARCH("Demand Gen",C1713))+ISNUMBER(SEARCH("Marketing Lead",C1713))&gt;0,'Configuración'!$B$33,IF(ISNUMBER(SEARCH("COO",C1713))+ISNUMBER(SEARCH("CFO",C1713))+ISNUMBER(SEARCH("CTO",C1713))+ISNUMBER(SEARCH("Chief Operating",C1713))+ISNUMBER(SEARCH("Chief Financial",C1713))+ISNUMBER(SEARCH("Gerente General",C1713))+ISNUMBER(SEARCH("General Manager",C1713))&gt;0,'Configuración'!$B$34,'Configuración'!$B$35)))))</f>
        <v>12</v>
      </c>
      <c r="V1713" s="38">
        <f>IF(B1713="","",IF(K1713="Sí",'Configuración'!$B$5,0)+IF(L1713="Semanal",'Configuración'!$B$6,IF(L1713="Mensual",'Configuración'!$B$7,0))+IF(M1713="Sí",'Configuración'!$B$8,0)+IF(N1713="Sí",'Configuración'!$B$9,0)+IF(O1713="Sí",'Configuración'!$B$10,0)+IF(P1713="Sí",'Configuración'!$B$11,0)+IF(Q1713="Sí",'Configuración'!$B$12,0)+S1713+T1713+U1713)</f>
        <v>28</v>
      </c>
      <c r="W1713" s="39" t="str">
        <f>IF(B1713="","",IF(V1713&gt;='Configuración'!$B$19,"A",IF(V1713&gt;='Configuración'!$B$20,"B",IF(V1713&gt;='Configuración'!$B$21,"C","Descarte"))))</f>
        <v>C</v>
      </c>
    </row>
    <row r="1714" ht="15.75" customHeight="1">
      <c r="A1714" s="34">
        <f t="shared" si="1"/>
        <v>1712</v>
      </c>
      <c r="B1714" s="29" t="s">
        <v>1072</v>
      </c>
      <c r="C1714" s="29" t="s">
        <v>494</v>
      </c>
      <c r="D1714" s="30" t="s">
        <v>9554</v>
      </c>
      <c r="E1714" s="29" t="s">
        <v>9555</v>
      </c>
      <c r="F1714" s="30" t="s">
        <v>9556</v>
      </c>
      <c r="G1714" s="30" t="s">
        <v>9557</v>
      </c>
      <c r="H1714" s="42" t="s">
        <v>9558</v>
      </c>
      <c r="I1714" s="29" t="s">
        <v>990</v>
      </c>
      <c r="J1714" s="31">
        <v>19.0</v>
      </c>
      <c r="K1714" s="35"/>
      <c r="L1714" s="35"/>
      <c r="M1714" s="35"/>
      <c r="N1714" s="35"/>
      <c r="O1714" s="35"/>
      <c r="P1714" s="35"/>
      <c r="Q1714" s="35"/>
      <c r="R1714" s="35"/>
      <c r="S1714" s="37">
        <f>IF(B1714="","",IF(ISNUMBER(J1714),IF(J1714&lt;=10,'Configuración'!$B$23,IF(J1714&lt;=50,'Configuración'!$B$24,IF(J1714&lt;=200,'Configuración'!$B$25,0))),0))</f>
        <v>4</v>
      </c>
      <c r="T1714" s="37">
        <f>IF(B1714="","",IF(ISNUMBER(SEARCH("information technology",I1714))+ISNUMBER(SEARCH("software",I1714))+ISNUMBER(SEARCH("internet",I1714))+ISNUMBER(SEARCH("computer",I1714))+ISNUMBER(SEARCH("saas",I1714))+ISNUMBER(SEARCH("fintech",I1714))+ISNUMBER(SEARCH("information services",I1714))+ISNUMBER(SEARCH("telecommunications",I1714))&gt;0,'Configuración'!$B$27,'Configuración'!$B$28))</f>
        <v>4</v>
      </c>
      <c r="U1714" s="25">
        <f>IF(B1714="","",IF(ISNUMBER(SEARCH("CEO",C1714))+ISNUMBER(SEARCH("Founder",C1714))+ISNUMBER(SEARCH("Owner",C1714))+ISNUMBER(SEARCH("Dueño",C1714))+ISNUMBER(SEARCH("Director General",C1714))+ISNUMBER(SEARCH("Presidente",C1714))+ISNUMBER(SEARCH("President",C1714))&gt;0,'Configuración'!$B$31,IF(ISNUMBER(SEARCH("CMO",C1714))+ISNUMBER(SEARCH("Chief Marketing",C1714))+ISNUMBER(SEARCH("VP Marketing",C1714))+ISNUMBER(SEARCH("Director de Marketing",C1714))+ISNUMBER(SEARCH("Director Marketing",C1714))+ISNUMBER(SEARCH("Head of Marketing",C1714))+ISNUMBER(SEARCH("Head Marketing",C1714))&gt;0,'Configuración'!$B$32,IF(ISNUMBER(SEARCH("Marketing Manager",C1714))+ISNUMBER(SEARCH("Gerente de Marketing",C1714))+ISNUMBER(SEARCH("Growth Manager",C1714))+ISNUMBER(SEARCH("Demand Gen",C1714))+ISNUMBER(SEARCH("Marketing Lead",C1714))&gt;0,'Configuración'!$B$33,IF(ISNUMBER(SEARCH("COO",C1714))+ISNUMBER(SEARCH("CFO",C1714))+ISNUMBER(SEARCH("CTO",C1714))+ISNUMBER(SEARCH("Chief Operating",C1714))+ISNUMBER(SEARCH("Chief Financial",C1714))+ISNUMBER(SEARCH("Gerente General",C1714))+ISNUMBER(SEARCH("General Manager",C1714))&gt;0,'Configuración'!$B$34,'Configuración'!$B$35)))))</f>
        <v>4</v>
      </c>
      <c r="V1714" s="38">
        <f>IF(B1714="","",IF(K1714="Sí",'Configuración'!$B$5,0)+IF(L1714="Semanal",'Configuración'!$B$6,IF(L1714="Mensual",'Configuración'!$B$7,0))+IF(M1714="Sí",'Configuración'!$B$8,0)+IF(N1714="Sí",'Configuración'!$B$9,0)+IF(O1714="Sí",'Configuración'!$B$10,0)+IF(P1714="Sí",'Configuración'!$B$11,0)+IF(Q1714="Sí",'Configuración'!$B$12,0)+S1714+T1714+U1714)</f>
        <v>12</v>
      </c>
      <c r="W1714" s="39" t="str">
        <f>IF(B1714="","",IF(V1714&gt;='Configuración'!$B$19,"A",IF(V1714&gt;='Configuración'!$B$20,"B",IF(V1714&gt;='Configuración'!$B$21,"C","Descarte"))))</f>
        <v>Descarte</v>
      </c>
    </row>
    <row r="1715" ht="15.75" customHeight="1">
      <c r="A1715" s="34">
        <f t="shared" si="1"/>
        <v>1713</v>
      </c>
      <c r="B1715" s="29" t="s">
        <v>9559</v>
      </c>
      <c r="C1715" s="29" t="s">
        <v>9560</v>
      </c>
      <c r="D1715" s="29" t="s">
        <v>9561</v>
      </c>
      <c r="E1715" s="29" t="s">
        <v>9562</v>
      </c>
      <c r="F1715" s="30" t="s">
        <v>9563</v>
      </c>
      <c r="G1715" s="30" t="s">
        <v>9564</v>
      </c>
      <c r="H1715" s="42" t="s">
        <v>9565</v>
      </c>
      <c r="I1715" s="29" t="s">
        <v>127</v>
      </c>
      <c r="J1715" s="31">
        <v>2.0</v>
      </c>
      <c r="K1715" s="35"/>
      <c r="L1715" s="35"/>
      <c r="M1715" s="35"/>
      <c r="N1715" s="35"/>
      <c r="O1715" s="35"/>
      <c r="P1715" s="35"/>
      <c r="Q1715" s="35"/>
      <c r="R1715" s="35"/>
      <c r="S1715" s="37">
        <f>IF(B1715="","",IF(ISNUMBER(J1715),IF(J1715&lt;=10,'Configuración'!$B$23,IF(J1715&lt;=50,'Configuración'!$B$24,IF(J1715&lt;=200,'Configuración'!$B$25,0))),0))</f>
        <v>12</v>
      </c>
      <c r="T1715" s="37">
        <f>IF(B1715="","",IF(ISNUMBER(SEARCH("information technology",I1715))+ISNUMBER(SEARCH("software",I1715))+ISNUMBER(SEARCH("internet",I1715))+ISNUMBER(SEARCH("computer",I1715))+ISNUMBER(SEARCH("saas",I1715))+ISNUMBER(SEARCH("fintech",I1715))+ISNUMBER(SEARCH("information services",I1715))+ISNUMBER(SEARCH("telecommunications",I1715))&gt;0,'Configuración'!$B$27,'Configuración'!$B$28))</f>
        <v>12</v>
      </c>
      <c r="U1715" s="25">
        <f>IF(B1715="","",IF(ISNUMBER(SEARCH("CEO",C1715))+ISNUMBER(SEARCH("Founder",C1715))+ISNUMBER(SEARCH("Owner",C1715))+ISNUMBER(SEARCH("Dueño",C1715))+ISNUMBER(SEARCH("Director General",C1715))+ISNUMBER(SEARCH("Presidente",C1715))+ISNUMBER(SEARCH("President",C1715))&gt;0,'Configuración'!$B$31,IF(ISNUMBER(SEARCH("CMO",C1715))+ISNUMBER(SEARCH("Chief Marketing",C1715))+ISNUMBER(SEARCH("VP Marketing",C1715))+ISNUMBER(SEARCH("Director de Marketing",C1715))+ISNUMBER(SEARCH("Director Marketing",C1715))+ISNUMBER(SEARCH("Head of Marketing",C1715))+ISNUMBER(SEARCH("Head Marketing",C1715))&gt;0,'Configuración'!$B$32,IF(ISNUMBER(SEARCH("Marketing Manager",C1715))+ISNUMBER(SEARCH("Gerente de Marketing",C1715))+ISNUMBER(SEARCH("Growth Manager",C1715))+ISNUMBER(SEARCH("Demand Gen",C1715))+ISNUMBER(SEARCH("Marketing Lead",C1715))&gt;0,'Configuración'!$B$33,IF(ISNUMBER(SEARCH("COO",C1715))+ISNUMBER(SEARCH("CFO",C1715))+ISNUMBER(SEARCH("CTO",C1715))+ISNUMBER(SEARCH("Chief Operating",C1715))+ISNUMBER(SEARCH("Chief Financial",C1715))+ISNUMBER(SEARCH("Gerente General",C1715))+ISNUMBER(SEARCH("General Manager",C1715))&gt;0,'Configuración'!$B$34,'Configuración'!$B$35)))))</f>
        <v>12</v>
      </c>
      <c r="V1715" s="38">
        <f>IF(B1715="","",IF(K1715="Sí",'Configuración'!$B$5,0)+IF(L1715="Semanal",'Configuración'!$B$6,IF(L1715="Mensual",'Configuración'!$B$7,0))+IF(M1715="Sí",'Configuración'!$B$8,0)+IF(N1715="Sí",'Configuración'!$B$9,0)+IF(O1715="Sí",'Configuración'!$B$10,0)+IF(P1715="Sí",'Configuración'!$B$11,0)+IF(Q1715="Sí",'Configuración'!$B$12,0)+S1715+T1715+U1715)</f>
        <v>36</v>
      </c>
      <c r="W1715" s="39" t="str">
        <f>IF(B1715="","",IF(V1715&gt;='Configuración'!$B$19,"A",IF(V1715&gt;='Configuración'!$B$20,"B",IF(V1715&gt;='Configuración'!$B$21,"C","Descarte"))))</f>
        <v>C</v>
      </c>
    </row>
    <row r="1716" ht="15.75" customHeight="1">
      <c r="A1716" s="34">
        <f t="shared" si="1"/>
        <v>1714</v>
      </c>
      <c r="B1716" s="29" t="s">
        <v>755</v>
      </c>
      <c r="C1716" s="29" t="s">
        <v>9566</v>
      </c>
      <c r="D1716" s="29" t="s">
        <v>5831</v>
      </c>
      <c r="E1716" s="29" t="s">
        <v>9567</v>
      </c>
      <c r="F1716" s="30" t="s">
        <v>9568</v>
      </c>
      <c r="G1716" s="30" t="s">
        <v>5834</v>
      </c>
      <c r="H1716" s="42" t="s">
        <v>5835</v>
      </c>
      <c r="I1716" s="29" t="s">
        <v>116</v>
      </c>
      <c r="J1716" s="31">
        <v>11.0</v>
      </c>
      <c r="K1716" s="35"/>
      <c r="L1716" s="35"/>
      <c r="M1716" s="35"/>
      <c r="N1716" s="35"/>
      <c r="O1716" s="35"/>
      <c r="P1716" s="35"/>
      <c r="Q1716" s="35"/>
      <c r="R1716" s="35"/>
      <c r="S1716" s="37">
        <f>IF(B1716="","",IF(ISNUMBER(J1716),IF(J1716&lt;=10,'Configuración'!$B$23,IF(J1716&lt;=50,'Configuración'!$B$24,IF(J1716&lt;=200,'Configuración'!$B$25,0))),0))</f>
        <v>4</v>
      </c>
      <c r="T1716" s="37">
        <f>IF(B1716="","",IF(ISNUMBER(SEARCH("information technology",I1716))+ISNUMBER(SEARCH("software",I1716))+ISNUMBER(SEARCH("internet",I1716))+ISNUMBER(SEARCH("computer",I1716))+ISNUMBER(SEARCH("saas",I1716))+ISNUMBER(SEARCH("fintech",I1716))+ISNUMBER(SEARCH("information services",I1716))+ISNUMBER(SEARCH("telecommunications",I1716))&gt;0,'Configuración'!$B$27,'Configuración'!$B$28))</f>
        <v>4</v>
      </c>
      <c r="U1716" s="25">
        <f>IF(B1716="","",IF(ISNUMBER(SEARCH("CEO",C1716))+ISNUMBER(SEARCH("Founder",C1716))+ISNUMBER(SEARCH("Owner",C1716))+ISNUMBER(SEARCH("Dueño",C1716))+ISNUMBER(SEARCH("Director General",C1716))+ISNUMBER(SEARCH("Presidente",C1716))+ISNUMBER(SEARCH("President",C1716))&gt;0,'Configuración'!$B$31,IF(ISNUMBER(SEARCH("CMO",C1716))+ISNUMBER(SEARCH("Chief Marketing",C1716))+ISNUMBER(SEARCH("VP Marketing",C1716))+ISNUMBER(SEARCH("Director de Marketing",C1716))+ISNUMBER(SEARCH("Director Marketing",C1716))+ISNUMBER(SEARCH("Head of Marketing",C1716))+ISNUMBER(SEARCH("Head Marketing",C1716))&gt;0,'Configuración'!$B$32,IF(ISNUMBER(SEARCH("Marketing Manager",C1716))+ISNUMBER(SEARCH("Gerente de Marketing",C1716))+ISNUMBER(SEARCH("Growth Manager",C1716))+ISNUMBER(SEARCH("Demand Gen",C1716))+ISNUMBER(SEARCH("Marketing Lead",C1716))&gt;0,'Configuración'!$B$33,IF(ISNUMBER(SEARCH("COO",C1716))+ISNUMBER(SEARCH("CFO",C1716))+ISNUMBER(SEARCH("CTO",C1716))+ISNUMBER(SEARCH("Chief Operating",C1716))+ISNUMBER(SEARCH("Chief Financial",C1716))+ISNUMBER(SEARCH("Gerente General",C1716))+ISNUMBER(SEARCH("General Manager",C1716))&gt;0,'Configuración'!$B$34,'Configuración'!$B$35)))))</f>
        <v>12</v>
      </c>
      <c r="V1716" s="38">
        <f>IF(B1716="","",IF(K1716="Sí",'Configuración'!$B$5,0)+IF(L1716="Semanal",'Configuración'!$B$6,IF(L1716="Mensual",'Configuración'!$B$7,0))+IF(M1716="Sí",'Configuración'!$B$8,0)+IF(N1716="Sí",'Configuración'!$B$9,0)+IF(O1716="Sí",'Configuración'!$B$10,0)+IF(P1716="Sí",'Configuración'!$B$11,0)+IF(Q1716="Sí",'Configuración'!$B$12,0)+S1716+T1716+U1716)</f>
        <v>20</v>
      </c>
      <c r="W1716" s="39" t="str">
        <f>IF(B1716="","",IF(V1716&gt;='Configuración'!$B$19,"A",IF(V1716&gt;='Configuración'!$B$20,"B",IF(V1716&gt;='Configuración'!$B$21,"C","Descarte"))))</f>
        <v>Descarte</v>
      </c>
    </row>
    <row r="1717" ht="15.75" customHeight="1">
      <c r="A1717" s="34">
        <f t="shared" si="1"/>
        <v>1715</v>
      </c>
      <c r="B1717" s="29" t="s">
        <v>174</v>
      </c>
      <c r="C1717" s="29" t="s">
        <v>622</v>
      </c>
      <c r="D1717" s="29" t="s">
        <v>9569</v>
      </c>
      <c r="E1717" s="29" t="s">
        <v>9570</v>
      </c>
      <c r="F1717" s="30" t="s">
        <v>9571</v>
      </c>
      <c r="G1717" s="30" t="s">
        <v>9572</v>
      </c>
      <c r="H1717" s="42" t="s">
        <v>9573</v>
      </c>
      <c r="I1717" s="29" t="s">
        <v>116</v>
      </c>
      <c r="J1717" s="31">
        <v>10.0</v>
      </c>
      <c r="K1717" s="35"/>
      <c r="L1717" s="35"/>
      <c r="M1717" s="35"/>
      <c r="N1717" s="35"/>
      <c r="O1717" s="35"/>
      <c r="P1717" s="35"/>
      <c r="Q1717" s="35"/>
      <c r="R1717" s="35"/>
      <c r="S1717" s="37">
        <f>IF(B1717="","",IF(ISNUMBER(J1717),IF(J1717&lt;=10,'Configuración'!$B$23,IF(J1717&lt;=50,'Configuración'!$B$24,IF(J1717&lt;=200,'Configuración'!$B$25,0))),0))</f>
        <v>12</v>
      </c>
      <c r="T1717" s="37">
        <f>IF(B1717="","",IF(ISNUMBER(SEARCH("information technology",I1717))+ISNUMBER(SEARCH("software",I1717))+ISNUMBER(SEARCH("internet",I1717))+ISNUMBER(SEARCH("computer",I1717))+ISNUMBER(SEARCH("saas",I1717))+ISNUMBER(SEARCH("fintech",I1717))+ISNUMBER(SEARCH("information services",I1717))+ISNUMBER(SEARCH("telecommunications",I1717))&gt;0,'Configuración'!$B$27,'Configuración'!$B$28))</f>
        <v>4</v>
      </c>
      <c r="U1717" s="25">
        <f>IF(B1717="","",IF(ISNUMBER(SEARCH("CEO",C1717))+ISNUMBER(SEARCH("Founder",C1717))+ISNUMBER(SEARCH("Owner",C1717))+ISNUMBER(SEARCH("Dueño",C1717))+ISNUMBER(SEARCH("Director General",C1717))+ISNUMBER(SEARCH("Presidente",C1717))+ISNUMBER(SEARCH("President",C1717))&gt;0,'Configuración'!$B$31,IF(ISNUMBER(SEARCH("CMO",C1717))+ISNUMBER(SEARCH("Chief Marketing",C1717))+ISNUMBER(SEARCH("VP Marketing",C1717))+ISNUMBER(SEARCH("Director de Marketing",C1717))+ISNUMBER(SEARCH("Director Marketing",C1717))+ISNUMBER(SEARCH("Head of Marketing",C1717))+ISNUMBER(SEARCH("Head Marketing",C1717))&gt;0,'Configuración'!$B$32,IF(ISNUMBER(SEARCH("Marketing Manager",C1717))+ISNUMBER(SEARCH("Gerente de Marketing",C1717))+ISNUMBER(SEARCH("Growth Manager",C1717))+ISNUMBER(SEARCH("Demand Gen",C1717))+ISNUMBER(SEARCH("Marketing Lead",C1717))&gt;0,'Configuración'!$B$33,IF(ISNUMBER(SEARCH("COO",C1717))+ISNUMBER(SEARCH("CFO",C1717))+ISNUMBER(SEARCH("CTO",C1717))+ISNUMBER(SEARCH("Chief Operating",C1717))+ISNUMBER(SEARCH("Chief Financial",C1717))+ISNUMBER(SEARCH("Gerente General",C1717))+ISNUMBER(SEARCH("General Manager",C1717))&gt;0,'Configuración'!$B$34,'Configuración'!$B$35)))))</f>
        <v>12</v>
      </c>
      <c r="V1717" s="38">
        <f>IF(B1717="","",IF(K1717="Sí",'Configuración'!$B$5,0)+IF(L1717="Semanal",'Configuración'!$B$6,IF(L1717="Mensual",'Configuración'!$B$7,0))+IF(M1717="Sí",'Configuración'!$B$8,0)+IF(N1717="Sí",'Configuración'!$B$9,0)+IF(O1717="Sí",'Configuración'!$B$10,0)+IF(P1717="Sí",'Configuración'!$B$11,0)+IF(Q1717="Sí",'Configuración'!$B$12,0)+S1717+T1717+U1717)</f>
        <v>28</v>
      </c>
      <c r="W1717" s="39" t="str">
        <f>IF(B1717="","",IF(V1717&gt;='Configuración'!$B$19,"A",IF(V1717&gt;='Configuración'!$B$20,"B",IF(V1717&gt;='Configuración'!$B$21,"C","Descarte"))))</f>
        <v>C</v>
      </c>
    </row>
    <row r="1718" ht="15.75" customHeight="1">
      <c r="A1718" s="34">
        <f t="shared" si="1"/>
        <v>1716</v>
      </c>
      <c r="B1718" s="29" t="s">
        <v>181</v>
      </c>
      <c r="C1718" s="29" t="s">
        <v>131</v>
      </c>
      <c r="D1718" s="29" t="s">
        <v>9574</v>
      </c>
      <c r="E1718" s="29" t="s">
        <v>9575</v>
      </c>
      <c r="F1718" s="30" t="s">
        <v>9576</v>
      </c>
      <c r="G1718" s="30" t="s">
        <v>9577</v>
      </c>
      <c r="H1718" s="42" t="s">
        <v>9578</v>
      </c>
      <c r="I1718" s="29" t="s">
        <v>127</v>
      </c>
      <c r="J1718" s="31">
        <v>10.0</v>
      </c>
      <c r="K1718" s="35"/>
      <c r="L1718" s="35"/>
      <c r="M1718" s="35"/>
      <c r="N1718" s="35"/>
      <c r="O1718" s="35"/>
      <c r="P1718" s="35"/>
      <c r="Q1718" s="35"/>
      <c r="R1718" s="35"/>
      <c r="S1718" s="37">
        <f>IF(B1718="","",IF(ISNUMBER(J1718),IF(J1718&lt;=10,'Configuración'!$B$23,IF(J1718&lt;=50,'Configuración'!$B$24,IF(J1718&lt;=200,'Configuración'!$B$25,0))),0))</f>
        <v>12</v>
      </c>
      <c r="T1718" s="37">
        <f>IF(B1718="","",IF(ISNUMBER(SEARCH("information technology",I1718))+ISNUMBER(SEARCH("software",I1718))+ISNUMBER(SEARCH("internet",I1718))+ISNUMBER(SEARCH("computer",I1718))+ISNUMBER(SEARCH("saas",I1718))+ISNUMBER(SEARCH("fintech",I1718))+ISNUMBER(SEARCH("information services",I1718))+ISNUMBER(SEARCH("telecommunications",I1718))&gt;0,'Configuración'!$B$27,'Configuración'!$B$28))</f>
        <v>12</v>
      </c>
      <c r="U1718" s="25">
        <f>IF(B1718="","",IF(ISNUMBER(SEARCH("CEO",C1718))+ISNUMBER(SEARCH("Founder",C1718))+ISNUMBER(SEARCH("Owner",C1718))+ISNUMBER(SEARCH("Dueño",C1718))+ISNUMBER(SEARCH("Director General",C1718))+ISNUMBER(SEARCH("Presidente",C1718))+ISNUMBER(SEARCH("President",C1718))&gt;0,'Configuración'!$B$31,IF(ISNUMBER(SEARCH("CMO",C1718))+ISNUMBER(SEARCH("Chief Marketing",C1718))+ISNUMBER(SEARCH("VP Marketing",C1718))+ISNUMBER(SEARCH("Director de Marketing",C1718))+ISNUMBER(SEARCH("Director Marketing",C1718))+ISNUMBER(SEARCH("Head of Marketing",C1718))+ISNUMBER(SEARCH("Head Marketing",C1718))&gt;0,'Configuración'!$B$32,IF(ISNUMBER(SEARCH("Marketing Manager",C1718))+ISNUMBER(SEARCH("Gerente de Marketing",C1718))+ISNUMBER(SEARCH("Growth Manager",C1718))+ISNUMBER(SEARCH("Demand Gen",C1718))+ISNUMBER(SEARCH("Marketing Lead",C1718))&gt;0,'Configuración'!$B$33,IF(ISNUMBER(SEARCH("COO",C1718))+ISNUMBER(SEARCH("CFO",C1718))+ISNUMBER(SEARCH("CTO",C1718))+ISNUMBER(SEARCH("Chief Operating",C1718))+ISNUMBER(SEARCH("Chief Financial",C1718))+ISNUMBER(SEARCH("Gerente General",C1718))+ISNUMBER(SEARCH("General Manager",C1718))&gt;0,'Configuración'!$B$34,'Configuración'!$B$35)))))</f>
        <v>12</v>
      </c>
      <c r="V1718" s="38">
        <f>IF(B1718="","",IF(K1718="Sí",'Configuración'!$B$5,0)+IF(L1718="Semanal",'Configuración'!$B$6,IF(L1718="Mensual",'Configuración'!$B$7,0))+IF(M1718="Sí",'Configuración'!$B$8,0)+IF(N1718="Sí",'Configuración'!$B$9,0)+IF(O1718="Sí",'Configuración'!$B$10,0)+IF(P1718="Sí",'Configuración'!$B$11,0)+IF(Q1718="Sí",'Configuración'!$B$12,0)+S1718+T1718+U1718)</f>
        <v>36</v>
      </c>
      <c r="W1718" s="39" t="str">
        <f>IF(B1718="","",IF(V1718&gt;='Configuración'!$B$19,"A",IF(V1718&gt;='Configuración'!$B$20,"B",IF(V1718&gt;='Configuración'!$B$21,"C","Descarte"))))</f>
        <v>C</v>
      </c>
    </row>
    <row r="1719" ht="15.75" customHeight="1">
      <c r="A1719" s="34">
        <f t="shared" si="1"/>
        <v>1717</v>
      </c>
      <c r="B1719" s="29" t="s">
        <v>9579</v>
      </c>
      <c r="C1719" s="29" t="s">
        <v>9580</v>
      </c>
      <c r="D1719" s="29" t="s">
        <v>9581</v>
      </c>
      <c r="E1719" s="29" t="s">
        <v>9582</v>
      </c>
      <c r="F1719" s="30" t="s">
        <v>9583</v>
      </c>
      <c r="G1719" s="30" t="s">
        <v>9584</v>
      </c>
      <c r="H1719" s="42" t="s">
        <v>9585</v>
      </c>
      <c r="I1719" s="29" t="s">
        <v>1429</v>
      </c>
      <c r="J1719" s="31">
        <v>22.0</v>
      </c>
      <c r="K1719" s="35"/>
      <c r="L1719" s="35"/>
      <c r="M1719" s="35"/>
      <c r="N1719" s="35"/>
      <c r="O1719" s="35"/>
      <c r="P1719" s="35"/>
      <c r="Q1719" s="35"/>
      <c r="R1719" s="35"/>
      <c r="S1719" s="37">
        <f>IF(B1719="","",IF(ISNUMBER(J1719),IF(J1719&lt;=10,'Configuración'!$B$23,IF(J1719&lt;=50,'Configuración'!$B$24,IF(J1719&lt;=200,'Configuración'!$B$25,0))),0))</f>
        <v>4</v>
      </c>
      <c r="T1719" s="37">
        <f>IF(B1719="","",IF(ISNUMBER(SEARCH("information technology",I1719))+ISNUMBER(SEARCH("software",I1719))+ISNUMBER(SEARCH("internet",I1719))+ISNUMBER(SEARCH("computer",I1719))+ISNUMBER(SEARCH("saas",I1719))+ISNUMBER(SEARCH("fintech",I1719))+ISNUMBER(SEARCH("information services",I1719))+ISNUMBER(SEARCH("telecommunications",I1719))&gt;0,'Configuración'!$B$27,'Configuración'!$B$28))</f>
        <v>4</v>
      </c>
      <c r="U1719" s="25">
        <f>IF(B1719="","",IF(ISNUMBER(SEARCH("CEO",C1719))+ISNUMBER(SEARCH("Founder",C1719))+ISNUMBER(SEARCH("Owner",C1719))+ISNUMBER(SEARCH("Dueño",C1719))+ISNUMBER(SEARCH("Director General",C1719))+ISNUMBER(SEARCH("Presidente",C1719))+ISNUMBER(SEARCH("President",C1719))&gt;0,'Configuración'!$B$31,IF(ISNUMBER(SEARCH("CMO",C1719))+ISNUMBER(SEARCH("Chief Marketing",C1719))+ISNUMBER(SEARCH("VP Marketing",C1719))+ISNUMBER(SEARCH("Director de Marketing",C1719))+ISNUMBER(SEARCH("Director Marketing",C1719))+ISNUMBER(SEARCH("Head of Marketing",C1719))+ISNUMBER(SEARCH("Head Marketing",C1719))&gt;0,'Configuración'!$B$32,IF(ISNUMBER(SEARCH("Marketing Manager",C1719))+ISNUMBER(SEARCH("Gerente de Marketing",C1719))+ISNUMBER(SEARCH("Growth Manager",C1719))+ISNUMBER(SEARCH("Demand Gen",C1719))+ISNUMBER(SEARCH("Marketing Lead",C1719))&gt;0,'Configuración'!$B$33,IF(ISNUMBER(SEARCH("COO",C1719))+ISNUMBER(SEARCH("CFO",C1719))+ISNUMBER(SEARCH("CTO",C1719))+ISNUMBER(SEARCH("Chief Operating",C1719))+ISNUMBER(SEARCH("Chief Financial",C1719))+ISNUMBER(SEARCH("Gerente General",C1719))+ISNUMBER(SEARCH("General Manager",C1719))&gt;0,'Configuración'!$B$34,'Configuración'!$B$35)))))</f>
        <v>12</v>
      </c>
      <c r="V1719" s="38">
        <f>IF(B1719="","",IF(K1719="Sí",'Configuración'!$B$5,0)+IF(L1719="Semanal",'Configuración'!$B$6,IF(L1719="Mensual",'Configuración'!$B$7,0))+IF(M1719="Sí",'Configuración'!$B$8,0)+IF(N1719="Sí",'Configuración'!$B$9,0)+IF(O1719="Sí",'Configuración'!$B$10,0)+IF(P1719="Sí",'Configuración'!$B$11,0)+IF(Q1719="Sí",'Configuración'!$B$12,0)+S1719+T1719+U1719)</f>
        <v>20</v>
      </c>
      <c r="W1719" s="39" t="str">
        <f>IF(B1719="","",IF(V1719&gt;='Configuración'!$B$19,"A",IF(V1719&gt;='Configuración'!$B$20,"B",IF(V1719&gt;='Configuración'!$B$21,"C","Descarte"))))</f>
        <v>Descarte</v>
      </c>
    </row>
    <row r="1720" ht="15.75" customHeight="1">
      <c r="A1720" s="34">
        <f t="shared" si="1"/>
        <v>1718</v>
      </c>
      <c r="B1720" s="29" t="s">
        <v>351</v>
      </c>
      <c r="C1720" s="29" t="s">
        <v>763</v>
      </c>
      <c r="D1720" s="29" t="s">
        <v>9586</v>
      </c>
      <c r="E1720" s="29" t="s">
        <v>9587</v>
      </c>
      <c r="F1720" s="30" t="s">
        <v>9588</v>
      </c>
      <c r="G1720" s="30" t="s">
        <v>9589</v>
      </c>
      <c r="H1720" s="42" t="s">
        <v>9590</v>
      </c>
      <c r="I1720" s="29" t="s">
        <v>127</v>
      </c>
      <c r="J1720" s="31">
        <v>27.0</v>
      </c>
      <c r="K1720" s="35"/>
      <c r="L1720" s="35"/>
      <c r="M1720" s="35"/>
      <c r="N1720" s="35"/>
      <c r="O1720" s="35"/>
      <c r="P1720" s="35"/>
      <c r="Q1720" s="35"/>
      <c r="R1720" s="35"/>
      <c r="S1720" s="37">
        <f>IF(B1720="","",IF(ISNUMBER(J1720),IF(J1720&lt;=10,'Configuración'!$B$23,IF(J1720&lt;=50,'Configuración'!$B$24,IF(J1720&lt;=200,'Configuración'!$B$25,0))),0))</f>
        <v>4</v>
      </c>
      <c r="T1720" s="37">
        <f>IF(B1720="","",IF(ISNUMBER(SEARCH("information technology",I1720))+ISNUMBER(SEARCH("software",I1720))+ISNUMBER(SEARCH("internet",I1720))+ISNUMBER(SEARCH("computer",I1720))+ISNUMBER(SEARCH("saas",I1720))+ISNUMBER(SEARCH("fintech",I1720))+ISNUMBER(SEARCH("information services",I1720))+ISNUMBER(SEARCH("telecommunications",I1720))&gt;0,'Configuración'!$B$27,'Configuración'!$B$28))</f>
        <v>12</v>
      </c>
      <c r="U1720" s="25">
        <f>IF(B1720="","",IF(ISNUMBER(SEARCH("CEO",C1720))+ISNUMBER(SEARCH("Founder",C1720))+ISNUMBER(SEARCH("Owner",C1720))+ISNUMBER(SEARCH("Dueño",C1720))+ISNUMBER(SEARCH("Director General",C1720))+ISNUMBER(SEARCH("Presidente",C1720))+ISNUMBER(SEARCH("President",C1720))&gt;0,'Configuración'!$B$31,IF(ISNUMBER(SEARCH("CMO",C1720))+ISNUMBER(SEARCH("Chief Marketing",C1720))+ISNUMBER(SEARCH("VP Marketing",C1720))+ISNUMBER(SEARCH("Director de Marketing",C1720))+ISNUMBER(SEARCH("Director Marketing",C1720))+ISNUMBER(SEARCH("Head of Marketing",C1720))+ISNUMBER(SEARCH("Head Marketing",C1720))&gt;0,'Configuración'!$B$32,IF(ISNUMBER(SEARCH("Marketing Manager",C1720))+ISNUMBER(SEARCH("Gerente de Marketing",C1720))+ISNUMBER(SEARCH("Growth Manager",C1720))+ISNUMBER(SEARCH("Demand Gen",C1720))+ISNUMBER(SEARCH("Marketing Lead",C1720))&gt;0,'Configuración'!$B$33,IF(ISNUMBER(SEARCH("COO",C1720))+ISNUMBER(SEARCH("CFO",C1720))+ISNUMBER(SEARCH("CTO",C1720))+ISNUMBER(SEARCH("Chief Operating",C1720))+ISNUMBER(SEARCH("Chief Financial",C1720))+ISNUMBER(SEARCH("Gerente General",C1720))+ISNUMBER(SEARCH("General Manager",C1720))&gt;0,'Configuración'!$B$34,'Configuración'!$B$35)))))</f>
        <v>12</v>
      </c>
      <c r="V1720" s="38">
        <f>IF(B1720="","",IF(K1720="Sí",'Configuración'!$B$5,0)+IF(L1720="Semanal",'Configuración'!$B$6,IF(L1720="Mensual",'Configuración'!$B$7,0))+IF(M1720="Sí",'Configuración'!$B$8,0)+IF(N1720="Sí",'Configuración'!$B$9,0)+IF(O1720="Sí",'Configuración'!$B$10,0)+IF(P1720="Sí",'Configuración'!$B$11,0)+IF(Q1720="Sí",'Configuración'!$B$12,0)+S1720+T1720+U1720)</f>
        <v>28</v>
      </c>
      <c r="W1720" s="39" t="str">
        <f>IF(B1720="","",IF(V1720&gt;='Configuración'!$B$19,"A",IF(V1720&gt;='Configuración'!$B$20,"B",IF(V1720&gt;='Configuración'!$B$21,"C","Descarte"))))</f>
        <v>C</v>
      </c>
    </row>
    <row r="1721" ht="15.75" customHeight="1">
      <c r="A1721" s="34">
        <f t="shared" si="1"/>
        <v>1719</v>
      </c>
      <c r="B1721" s="29" t="s">
        <v>174</v>
      </c>
      <c r="C1721" s="29" t="s">
        <v>131</v>
      </c>
      <c r="D1721" s="29" t="s">
        <v>9591</v>
      </c>
      <c r="E1721" s="29" t="s">
        <v>9592</v>
      </c>
      <c r="F1721" s="30" t="s">
        <v>9593</v>
      </c>
      <c r="G1721" s="30" t="s">
        <v>9594</v>
      </c>
      <c r="H1721" s="42" t="s">
        <v>9595</v>
      </c>
      <c r="I1721" s="29" t="s">
        <v>2834</v>
      </c>
      <c r="J1721" s="31">
        <v>8.0</v>
      </c>
      <c r="K1721" s="35"/>
      <c r="L1721" s="35"/>
      <c r="M1721" s="35"/>
      <c r="N1721" s="35"/>
      <c r="O1721" s="35"/>
      <c r="P1721" s="35"/>
      <c r="Q1721" s="35"/>
      <c r="R1721" s="35"/>
      <c r="S1721" s="37">
        <f>IF(B1721="","",IF(ISNUMBER(J1721),IF(J1721&lt;=10,'Configuración'!$B$23,IF(J1721&lt;=50,'Configuración'!$B$24,IF(J1721&lt;=200,'Configuración'!$B$25,0))),0))</f>
        <v>12</v>
      </c>
      <c r="T1721" s="37">
        <f>IF(B1721="","",IF(ISNUMBER(SEARCH("information technology",I1721))+ISNUMBER(SEARCH("software",I1721))+ISNUMBER(SEARCH("internet",I1721))+ISNUMBER(SEARCH("computer",I1721))+ISNUMBER(SEARCH("saas",I1721))+ISNUMBER(SEARCH("fintech",I1721))+ISNUMBER(SEARCH("information services",I1721))+ISNUMBER(SEARCH("telecommunications",I1721))&gt;0,'Configuración'!$B$27,'Configuración'!$B$28))</f>
        <v>4</v>
      </c>
      <c r="U1721" s="25">
        <f>IF(B1721="","",IF(ISNUMBER(SEARCH("CEO",C1721))+ISNUMBER(SEARCH("Founder",C1721))+ISNUMBER(SEARCH("Owner",C1721))+ISNUMBER(SEARCH("Dueño",C1721))+ISNUMBER(SEARCH("Director General",C1721))+ISNUMBER(SEARCH("Presidente",C1721))+ISNUMBER(SEARCH("President",C1721))&gt;0,'Configuración'!$B$31,IF(ISNUMBER(SEARCH("CMO",C1721))+ISNUMBER(SEARCH("Chief Marketing",C1721))+ISNUMBER(SEARCH("VP Marketing",C1721))+ISNUMBER(SEARCH("Director de Marketing",C1721))+ISNUMBER(SEARCH("Director Marketing",C1721))+ISNUMBER(SEARCH("Head of Marketing",C1721))+ISNUMBER(SEARCH("Head Marketing",C1721))&gt;0,'Configuración'!$B$32,IF(ISNUMBER(SEARCH("Marketing Manager",C1721))+ISNUMBER(SEARCH("Gerente de Marketing",C1721))+ISNUMBER(SEARCH("Growth Manager",C1721))+ISNUMBER(SEARCH("Demand Gen",C1721))+ISNUMBER(SEARCH("Marketing Lead",C1721))&gt;0,'Configuración'!$B$33,IF(ISNUMBER(SEARCH("COO",C1721))+ISNUMBER(SEARCH("CFO",C1721))+ISNUMBER(SEARCH("CTO",C1721))+ISNUMBER(SEARCH("Chief Operating",C1721))+ISNUMBER(SEARCH("Chief Financial",C1721))+ISNUMBER(SEARCH("Gerente General",C1721))+ISNUMBER(SEARCH("General Manager",C1721))&gt;0,'Configuración'!$B$34,'Configuración'!$B$35)))))</f>
        <v>12</v>
      </c>
      <c r="V1721" s="38">
        <f>IF(B1721="","",IF(K1721="Sí",'Configuración'!$B$5,0)+IF(L1721="Semanal",'Configuración'!$B$6,IF(L1721="Mensual",'Configuración'!$B$7,0))+IF(M1721="Sí",'Configuración'!$B$8,0)+IF(N1721="Sí",'Configuración'!$B$9,0)+IF(O1721="Sí",'Configuración'!$B$10,0)+IF(P1721="Sí",'Configuración'!$B$11,0)+IF(Q1721="Sí",'Configuración'!$B$12,0)+S1721+T1721+U1721)</f>
        <v>28</v>
      </c>
      <c r="W1721" s="39" t="str">
        <f>IF(B1721="","",IF(V1721&gt;='Configuración'!$B$19,"A",IF(V1721&gt;='Configuración'!$B$20,"B",IF(V1721&gt;='Configuración'!$B$21,"C","Descarte"))))</f>
        <v>C</v>
      </c>
    </row>
    <row r="1722" ht="15.75" customHeight="1">
      <c r="A1722" s="34">
        <f t="shared" si="1"/>
        <v>1720</v>
      </c>
      <c r="B1722" s="29" t="s">
        <v>343</v>
      </c>
      <c r="C1722" s="29" t="s">
        <v>146</v>
      </c>
      <c r="D1722" s="40" t="s">
        <v>5831</v>
      </c>
      <c r="E1722" s="29" t="s">
        <v>9596</v>
      </c>
      <c r="F1722" s="30" t="s">
        <v>9597</v>
      </c>
      <c r="G1722" s="30" t="s">
        <v>5834</v>
      </c>
      <c r="H1722" s="42" t="s">
        <v>5835</v>
      </c>
      <c r="I1722" s="29" t="s">
        <v>116</v>
      </c>
      <c r="J1722" s="31">
        <v>11.0</v>
      </c>
      <c r="K1722" s="35"/>
      <c r="L1722" s="35"/>
      <c r="M1722" s="35"/>
      <c r="N1722" s="35"/>
      <c r="O1722" s="35"/>
      <c r="P1722" s="35"/>
      <c r="Q1722" s="35"/>
      <c r="R1722" s="35"/>
      <c r="S1722" s="37">
        <f>IF(B1722="","",IF(ISNUMBER(J1722),IF(J1722&lt;=10,'Configuración'!$B$23,IF(J1722&lt;=50,'Configuración'!$B$24,IF(J1722&lt;=200,'Configuración'!$B$25,0))),0))</f>
        <v>4</v>
      </c>
      <c r="T1722" s="37">
        <f>IF(B1722="","",IF(ISNUMBER(SEARCH("information technology",I1722))+ISNUMBER(SEARCH("software",I1722))+ISNUMBER(SEARCH("internet",I1722))+ISNUMBER(SEARCH("computer",I1722))+ISNUMBER(SEARCH("saas",I1722))+ISNUMBER(SEARCH("fintech",I1722))+ISNUMBER(SEARCH("information services",I1722))+ISNUMBER(SEARCH("telecommunications",I1722))&gt;0,'Configuración'!$B$27,'Configuración'!$B$28))</f>
        <v>4</v>
      </c>
      <c r="U1722" s="25">
        <f>IF(B1722="","",IF(ISNUMBER(SEARCH("CEO",C1722))+ISNUMBER(SEARCH("Founder",C1722))+ISNUMBER(SEARCH("Owner",C1722))+ISNUMBER(SEARCH("Dueño",C1722))+ISNUMBER(SEARCH("Director General",C1722))+ISNUMBER(SEARCH("Presidente",C1722))+ISNUMBER(SEARCH("President",C1722))&gt;0,'Configuración'!$B$31,IF(ISNUMBER(SEARCH("CMO",C1722))+ISNUMBER(SEARCH("Chief Marketing",C1722))+ISNUMBER(SEARCH("VP Marketing",C1722))+ISNUMBER(SEARCH("Director de Marketing",C1722))+ISNUMBER(SEARCH("Director Marketing",C1722))+ISNUMBER(SEARCH("Head of Marketing",C1722))+ISNUMBER(SEARCH("Head Marketing",C1722))&gt;0,'Configuración'!$B$32,IF(ISNUMBER(SEARCH("Marketing Manager",C1722))+ISNUMBER(SEARCH("Gerente de Marketing",C1722))+ISNUMBER(SEARCH("Growth Manager",C1722))+ISNUMBER(SEARCH("Demand Gen",C1722))+ISNUMBER(SEARCH("Marketing Lead",C1722))&gt;0,'Configuración'!$B$33,IF(ISNUMBER(SEARCH("COO",C1722))+ISNUMBER(SEARCH("CFO",C1722))+ISNUMBER(SEARCH("CTO",C1722))+ISNUMBER(SEARCH("Chief Operating",C1722))+ISNUMBER(SEARCH("Chief Financial",C1722))+ISNUMBER(SEARCH("Gerente General",C1722))+ISNUMBER(SEARCH("General Manager",C1722))&gt;0,'Configuración'!$B$34,'Configuración'!$B$35)))))</f>
        <v>0</v>
      </c>
      <c r="V1722" s="38">
        <f>IF(B1722="","",IF(K1722="Sí",'Configuración'!$B$5,0)+IF(L1722="Semanal",'Configuración'!$B$6,IF(L1722="Mensual",'Configuración'!$B$7,0))+IF(M1722="Sí",'Configuración'!$B$8,0)+IF(N1722="Sí",'Configuración'!$B$9,0)+IF(O1722="Sí",'Configuración'!$B$10,0)+IF(P1722="Sí",'Configuración'!$B$11,0)+IF(Q1722="Sí",'Configuración'!$B$12,0)+S1722+T1722+U1722)</f>
        <v>8</v>
      </c>
      <c r="W1722" s="39" t="str">
        <f>IF(B1722="","",IF(V1722&gt;='Configuración'!$B$19,"A",IF(V1722&gt;='Configuración'!$B$20,"B",IF(V1722&gt;='Configuración'!$B$21,"C","Descarte"))))</f>
        <v>Descarte</v>
      </c>
    </row>
    <row r="1723" ht="15.75" customHeight="1">
      <c r="A1723" s="34">
        <f t="shared" si="1"/>
        <v>1721</v>
      </c>
      <c r="B1723" s="29" t="s">
        <v>984</v>
      </c>
      <c r="C1723" s="29" t="s">
        <v>9598</v>
      </c>
      <c r="D1723" s="30" t="s">
        <v>9599</v>
      </c>
      <c r="E1723" s="29" t="s">
        <v>9600</v>
      </c>
      <c r="F1723" s="30" t="s">
        <v>9601</v>
      </c>
      <c r="G1723" s="30" t="s">
        <v>9602</v>
      </c>
      <c r="H1723" s="42" t="s">
        <v>9603</v>
      </c>
      <c r="I1723" s="29" t="s">
        <v>127</v>
      </c>
      <c r="J1723" s="31">
        <v>3.0</v>
      </c>
      <c r="K1723" s="35"/>
      <c r="L1723" s="35"/>
      <c r="M1723" s="35"/>
      <c r="N1723" s="35"/>
      <c r="O1723" s="35"/>
      <c r="P1723" s="35"/>
      <c r="Q1723" s="35"/>
      <c r="R1723" s="35"/>
      <c r="S1723" s="37">
        <f>IF(B1723="","",IF(ISNUMBER(J1723),IF(J1723&lt;=10,'Configuración'!$B$23,IF(J1723&lt;=50,'Configuración'!$B$24,IF(J1723&lt;=200,'Configuración'!$B$25,0))),0))</f>
        <v>12</v>
      </c>
      <c r="T1723" s="37">
        <f>IF(B1723="","",IF(ISNUMBER(SEARCH("information technology",I1723))+ISNUMBER(SEARCH("software",I1723))+ISNUMBER(SEARCH("internet",I1723))+ISNUMBER(SEARCH("computer",I1723))+ISNUMBER(SEARCH("saas",I1723))+ISNUMBER(SEARCH("fintech",I1723))+ISNUMBER(SEARCH("information services",I1723))+ISNUMBER(SEARCH("telecommunications",I1723))&gt;0,'Configuración'!$B$27,'Configuración'!$B$28))</f>
        <v>12</v>
      </c>
      <c r="U1723" s="25">
        <f>IF(B1723="","",IF(ISNUMBER(SEARCH("CEO",C1723))+ISNUMBER(SEARCH("Founder",C1723))+ISNUMBER(SEARCH("Owner",C1723))+ISNUMBER(SEARCH("Dueño",C1723))+ISNUMBER(SEARCH("Director General",C1723))+ISNUMBER(SEARCH("Presidente",C1723))+ISNUMBER(SEARCH("President",C1723))&gt;0,'Configuración'!$B$31,IF(ISNUMBER(SEARCH("CMO",C1723))+ISNUMBER(SEARCH("Chief Marketing",C1723))+ISNUMBER(SEARCH("VP Marketing",C1723))+ISNUMBER(SEARCH("Director de Marketing",C1723))+ISNUMBER(SEARCH("Director Marketing",C1723))+ISNUMBER(SEARCH("Head of Marketing",C1723))+ISNUMBER(SEARCH("Head Marketing",C1723))&gt;0,'Configuración'!$B$32,IF(ISNUMBER(SEARCH("Marketing Manager",C1723))+ISNUMBER(SEARCH("Gerente de Marketing",C1723))+ISNUMBER(SEARCH("Growth Manager",C1723))+ISNUMBER(SEARCH("Demand Gen",C1723))+ISNUMBER(SEARCH("Marketing Lead",C1723))&gt;0,'Configuración'!$B$33,IF(ISNUMBER(SEARCH("COO",C1723))+ISNUMBER(SEARCH("CFO",C1723))+ISNUMBER(SEARCH("CTO",C1723))+ISNUMBER(SEARCH("Chief Operating",C1723))+ISNUMBER(SEARCH("Chief Financial",C1723))+ISNUMBER(SEARCH("Gerente General",C1723))+ISNUMBER(SEARCH("General Manager",C1723))&gt;0,'Configuración'!$B$34,'Configuración'!$B$35)))))</f>
        <v>12</v>
      </c>
      <c r="V1723" s="38">
        <f>IF(B1723="","",IF(K1723="Sí",'Configuración'!$B$5,0)+IF(L1723="Semanal",'Configuración'!$B$6,IF(L1723="Mensual",'Configuración'!$B$7,0))+IF(M1723="Sí",'Configuración'!$B$8,0)+IF(N1723="Sí",'Configuración'!$B$9,0)+IF(O1723="Sí",'Configuración'!$B$10,0)+IF(P1723="Sí",'Configuración'!$B$11,0)+IF(Q1723="Sí",'Configuración'!$B$12,0)+S1723+T1723+U1723)</f>
        <v>36</v>
      </c>
      <c r="W1723" s="39" t="str">
        <f>IF(B1723="","",IF(V1723&gt;='Configuración'!$B$19,"A",IF(V1723&gt;='Configuración'!$B$20,"B",IF(V1723&gt;='Configuración'!$B$21,"C","Descarte"))))</f>
        <v>C</v>
      </c>
    </row>
    <row r="1724" ht="15.75" customHeight="1">
      <c r="A1724" s="34">
        <f t="shared" si="1"/>
        <v>1722</v>
      </c>
      <c r="B1724" s="29" t="s">
        <v>8146</v>
      </c>
      <c r="C1724" s="29" t="s">
        <v>3892</v>
      </c>
      <c r="D1724" s="29" t="s">
        <v>9604</v>
      </c>
      <c r="E1724" s="29" t="s">
        <v>9605</v>
      </c>
      <c r="F1724" s="30" t="s">
        <v>9606</v>
      </c>
      <c r="G1724" s="30" t="s">
        <v>9607</v>
      </c>
      <c r="H1724" s="42" t="s">
        <v>9608</v>
      </c>
      <c r="I1724" s="29" t="s">
        <v>188</v>
      </c>
      <c r="J1724" s="31">
        <v>17.0</v>
      </c>
      <c r="K1724" s="35"/>
      <c r="L1724" s="35"/>
      <c r="M1724" s="35"/>
      <c r="N1724" s="35"/>
      <c r="O1724" s="35"/>
      <c r="P1724" s="35"/>
      <c r="Q1724" s="35"/>
      <c r="R1724" s="35"/>
      <c r="S1724" s="37">
        <f>IF(B1724="","",IF(ISNUMBER(J1724),IF(J1724&lt;=10,'Configuración'!$B$23,IF(J1724&lt;=50,'Configuración'!$B$24,IF(J1724&lt;=200,'Configuración'!$B$25,0))),0))</f>
        <v>4</v>
      </c>
      <c r="T1724" s="37">
        <f>IF(B1724="","",IF(ISNUMBER(SEARCH("information technology",I1724))+ISNUMBER(SEARCH("software",I1724))+ISNUMBER(SEARCH("internet",I1724))+ISNUMBER(SEARCH("computer",I1724))+ISNUMBER(SEARCH("saas",I1724))+ISNUMBER(SEARCH("fintech",I1724))+ISNUMBER(SEARCH("information services",I1724))+ISNUMBER(SEARCH("telecommunications",I1724))&gt;0,'Configuración'!$B$27,'Configuración'!$B$28))</f>
        <v>4</v>
      </c>
      <c r="U1724" s="25">
        <f>IF(B1724="","",IF(ISNUMBER(SEARCH("CEO",C1724))+ISNUMBER(SEARCH("Founder",C1724))+ISNUMBER(SEARCH("Owner",C1724))+ISNUMBER(SEARCH("Dueño",C1724))+ISNUMBER(SEARCH("Director General",C1724))+ISNUMBER(SEARCH("Presidente",C1724))+ISNUMBER(SEARCH("President",C1724))&gt;0,'Configuración'!$B$31,IF(ISNUMBER(SEARCH("CMO",C1724))+ISNUMBER(SEARCH("Chief Marketing",C1724))+ISNUMBER(SEARCH("VP Marketing",C1724))+ISNUMBER(SEARCH("Director de Marketing",C1724))+ISNUMBER(SEARCH("Director Marketing",C1724))+ISNUMBER(SEARCH("Head of Marketing",C1724))+ISNUMBER(SEARCH("Head Marketing",C1724))&gt;0,'Configuración'!$B$32,IF(ISNUMBER(SEARCH("Marketing Manager",C1724))+ISNUMBER(SEARCH("Gerente de Marketing",C1724))+ISNUMBER(SEARCH("Growth Manager",C1724))+ISNUMBER(SEARCH("Demand Gen",C1724))+ISNUMBER(SEARCH("Marketing Lead",C1724))&gt;0,'Configuración'!$B$33,IF(ISNUMBER(SEARCH("COO",C1724))+ISNUMBER(SEARCH("CFO",C1724))+ISNUMBER(SEARCH("CTO",C1724))+ISNUMBER(SEARCH("Chief Operating",C1724))+ISNUMBER(SEARCH("Chief Financial",C1724))+ISNUMBER(SEARCH("Gerente General",C1724))+ISNUMBER(SEARCH("General Manager",C1724))&gt;0,'Configuración'!$B$34,'Configuración'!$B$35)))))</f>
        <v>0</v>
      </c>
      <c r="V1724" s="38">
        <f>IF(B1724="","",IF(K1724="Sí",'Configuración'!$B$5,0)+IF(L1724="Semanal",'Configuración'!$B$6,IF(L1724="Mensual",'Configuración'!$B$7,0))+IF(M1724="Sí",'Configuración'!$B$8,0)+IF(N1724="Sí",'Configuración'!$B$9,0)+IF(O1724="Sí",'Configuración'!$B$10,0)+IF(P1724="Sí",'Configuración'!$B$11,0)+IF(Q1724="Sí",'Configuración'!$B$12,0)+S1724+T1724+U1724)</f>
        <v>8</v>
      </c>
      <c r="W1724" s="39" t="str">
        <f>IF(B1724="","",IF(V1724&gt;='Configuración'!$B$19,"A",IF(V1724&gt;='Configuración'!$B$20,"B",IF(V1724&gt;='Configuración'!$B$21,"C","Descarte"))))</f>
        <v>Descarte</v>
      </c>
    </row>
    <row r="1725" ht="15.75" customHeight="1">
      <c r="A1725" s="34">
        <f t="shared" si="1"/>
        <v>1723</v>
      </c>
      <c r="B1725" s="29" t="s">
        <v>1137</v>
      </c>
      <c r="C1725" s="29" t="s">
        <v>9609</v>
      </c>
      <c r="D1725" s="29" t="s">
        <v>9610</v>
      </c>
      <c r="E1725" s="29" t="s">
        <v>9611</v>
      </c>
      <c r="F1725" s="30" t="s">
        <v>9612</v>
      </c>
      <c r="G1725" s="30" t="s">
        <v>9613</v>
      </c>
      <c r="H1725" s="42" t="s">
        <v>9614</v>
      </c>
      <c r="I1725" s="29" t="s">
        <v>873</v>
      </c>
      <c r="J1725" s="31">
        <v>5.0</v>
      </c>
      <c r="K1725" s="35"/>
      <c r="L1725" s="35"/>
      <c r="M1725" s="35"/>
      <c r="N1725" s="35"/>
      <c r="O1725" s="35"/>
      <c r="P1725" s="35"/>
      <c r="Q1725" s="35"/>
      <c r="R1725" s="35"/>
      <c r="S1725" s="37">
        <f>IF(B1725="","",IF(ISNUMBER(J1725),IF(J1725&lt;=10,'Configuración'!$B$23,IF(J1725&lt;=50,'Configuración'!$B$24,IF(J1725&lt;=200,'Configuración'!$B$25,0))),0))</f>
        <v>12</v>
      </c>
      <c r="T1725" s="37">
        <f>IF(B1725="","",IF(ISNUMBER(SEARCH("information technology",I1725))+ISNUMBER(SEARCH("software",I1725))+ISNUMBER(SEARCH("internet",I1725))+ISNUMBER(SEARCH("computer",I1725))+ISNUMBER(SEARCH("saas",I1725))+ISNUMBER(SEARCH("fintech",I1725))+ISNUMBER(SEARCH("information services",I1725))+ISNUMBER(SEARCH("telecommunications",I1725))&gt;0,'Configuración'!$B$27,'Configuración'!$B$28))</f>
        <v>4</v>
      </c>
      <c r="U1725" s="25">
        <f>IF(B1725="","",IF(ISNUMBER(SEARCH("CEO",C1725))+ISNUMBER(SEARCH("Founder",C1725))+ISNUMBER(SEARCH("Owner",C1725))+ISNUMBER(SEARCH("Dueño",C1725))+ISNUMBER(SEARCH("Director General",C1725))+ISNUMBER(SEARCH("Presidente",C1725))+ISNUMBER(SEARCH("President",C1725))&gt;0,'Configuración'!$B$31,IF(ISNUMBER(SEARCH("CMO",C1725))+ISNUMBER(SEARCH("Chief Marketing",C1725))+ISNUMBER(SEARCH("VP Marketing",C1725))+ISNUMBER(SEARCH("Director de Marketing",C1725))+ISNUMBER(SEARCH("Director Marketing",C1725))+ISNUMBER(SEARCH("Head of Marketing",C1725))+ISNUMBER(SEARCH("Head Marketing",C1725))&gt;0,'Configuración'!$B$32,IF(ISNUMBER(SEARCH("Marketing Manager",C1725))+ISNUMBER(SEARCH("Gerente de Marketing",C1725))+ISNUMBER(SEARCH("Growth Manager",C1725))+ISNUMBER(SEARCH("Demand Gen",C1725))+ISNUMBER(SEARCH("Marketing Lead",C1725))&gt;0,'Configuración'!$B$33,IF(ISNUMBER(SEARCH("COO",C1725))+ISNUMBER(SEARCH("CFO",C1725))+ISNUMBER(SEARCH("CTO",C1725))+ISNUMBER(SEARCH("Chief Operating",C1725))+ISNUMBER(SEARCH("Chief Financial",C1725))+ISNUMBER(SEARCH("Gerente General",C1725))+ISNUMBER(SEARCH("General Manager",C1725))&gt;0,'Configuración'!$B$34,'Configuración'!$B$35)))))</f>
        <v>12</v>
      </c>
      <c r="V1725" s="38">
        <f>IF(B1725="","",IF(K1725="Sí",'Configuración'!$B$5,0)+IF(L1725="Semanal",'Configuración'!$B$6,IF(L1725="Mensual",'Configuración'!$B$7,0))+IF(M1725="Sí",'Configuración'!$B$8,0)+IF(N1725="Sí",'Configuración'!$B$9,0)+IF(O1725="Sí",'Configuración'!$B$10,0)+IF(P1725="Sí",'Configuración'!$B$11,0)+IF(Q1725="Sí",'Configuración'!$B$12,0)+S1725+T1725+U1725)</f>
        <v>28</v>
      </c>
      <c r="W1725" s="39" t="str">
        <f>IF(B1725="","",IF(V1725&gt;='Configuración'!$B$19,"A",IF(V1725&gt;='Configuración'!$B$20,"B",IF(V1725&gt;='Configuración'!$B$21,"C","Descarte"))))</f>
        <v>C</v>
      </c>
    </row>
    <row r="1726" ht="15.75" customHeight="1">
      <c r="A1726" s="34">
        <f t="shared" si="1"/>
        <v>1724</v>
      </c>
      <c r="B1726" s="29" t="s">
        <v>181</v>
      </c>
      <c r="C1726" s="29" t="s">
        <v>1815</v>
      </c>
      <c r="D1726" s="29" t="s">
        <v>9615</v>
      </c>
      <c r="E1726" s="29"/>
      <c r="F1726" s="30" t="s">
        <v>9616</v>
      </c>
      <c r="G1726" s="30" t="s">
        <v>9617</v>
      </c>
      <c r="H1726" s="42" t="s">
        <v>7804</v>
      </c>
      <c r="I1726" s="29" t="s">
        <v>1429</v>
      </c>
      <c r="J1726" s="31">
        <v>2000.0</v>
      </c>
      <c r="K1726" s="35"/>
      <c r="L1726" s="35"/>
      <c r="M1726" s="35"/>
      <c r="N1726" s="35"/>
      <c r="O1726" s="35"/>
      <c r="P1726" s="35"/>
      <c r="Q1726" s="35"/>
      <c r="R1726" s="35"/>
      <c r="S1726" s="37">
        <f>IF(B1726="","",IF(ISNUMBER(J1726),IF(J1726&lt;=10,'Configuración'!$B$23,IF(J1726&lt;=50,'Configuración'!$B$24,IF(J1726&lt;=200,'Configuración'!$B$25,0))),0))</f>
        <v>0</v>
      </c>
      <c r="T1726" s="37">
        <f>IF(B1726="","",IF(ISNUMBER(SEARCH("information technology",I1726))+ISNUMBER(SEARCH("software",I1726))+ISNUMBER(SEARCH("internet",I1726))+ISNUMBER(SEARCH("computer",I1726))+ISNUMBER(SEARCH("saas",I1726))+ISNUMBER(SEARCH("fintech",I1726))+ISNUMBER(SEARCH("information services",I1726))+ISNUMBER(SEARCH("telecommunications",I1726))&gt;0,'Configuración'!$B$27,'Configuración'!$B$28))</f>
        <v>4</v>
      </c>
      <c r="U1726" s="25">
        <f>IF(B1726="","",IF(ISNUMBER(SEARCH("CEO",C1726))+ISNUMBER(SEARCH("Founder",C1726))+ISNUMBER(SEARCH("Owner",C1726))+ISNUMBER(SEARCH("Dueño",C1726))+ISNUMBER(SEARCH("Director General",C1726))+ISNUMBER(SEARCH("Presidente",C1726))+ISNUMBER(SEARCH("President",C1726))&gt;0,'Configuración'!$B$31,IF(ISNUMBER(SEARCH("CMO",C1726))+ISNUMBER(SEARCH("Chief Marketing",C1726))+ISNUMBER(SEARCH("VP Marketing",C1726))+ISNUMBER(SEARCH("Director de Marketing",C1726))+ISNUMBER(SEARCH("Director Marketing",C1726))+ISNUMBER(SEARCH("Head of Marketing",C1726))+ISNUMBER(SEARCH("Head Marketing",C1726))&gt;0,'Configuración'!$B$32,IF(ISNUMBER(SEARCH("Marketing Manager",C1726))+ISNUMBER(SEARCH("Gerente de Marketing",C1726))+ISNUMBER(SEARCH("Growth Manager",C1726))+ISNUMBER(SEARCH("Demand Gen",C1726))+ISNUMBER(SEARCH("Marketing Lead",C1726))&gt;0,'Configuración'!$B$33,IF(ISNUMBER(SEARCH("COO",C1726))+ISNUMBER(SEARCH("CFO",C1726))+ISNUMBER(SEARCH("CTO",C1726))+ISNUMBER(SEARCH("Chief Operating",C1726))+ISNUMBER(SEARCH("Chief Financial",C1726))+ISNUMBER(SEARCH("Gerente General",C1726))+ISNUMBER(SEARCH("General Manager",C1726))&gt;0,'Configuración'!$B$34,'Configuración'!$B$35)))))</f>
        <v>12</v>
      </c>
      <c r="V1726" s="38">
        <f>IF(B1726="","",IF(K1726="Sí",'Configuración'!$B$5,0)+IF(L1726="Semanal",'Configuración'!$B$6,IF(L1726="Mensual",'Configuración'!$B$7,0))+IF(M1726="Sí",'Configuración'!$B$8,0)+IF(N1726="Sí",'Configuración'!$B$9,0)+IF(O1726="Sí",'Configuración'!$B$10,0)+IF(P1726="Sí",'Configuración'!$B$11,0)+IF(Q1726="Sí",'Configuración'!$B$12,0)+S1726+T1726+U1726)</f>
        <v>16</v>
      </c>
      <c r="W1726" s="39" t="str">
        <f>IF(B1726="","",IF(V1726&gt;='Configuración'!$B$19,"A",IF(V1726&gt;='Configuración'!$B$20,"B",IF(V1726&gt;='Configuración'!$B$21,"C","Descarte"))))</f>
        <v>Descarte</v>
      </c>
    </row>
    <row r="1727" ht="15.75" customHeight="1">
      <c r="A1727" s="34">
        <f t="shared" si="1"/>
        <v>1725</v>
      </c>
      <c r="B1727" s="29" t="s">
        <v>120</v>
      </c>
      <c r="C1727" s="29" t="s">
        <v>9618</v>
      </c>
      <c r="D1727" s="29" t="s">
        <v>1279</v>
      </c>
      <c r="E1727" s="29" t="s">
        <v>9619</v>
      </c>
      <c r="F1727" s="30" t="s">
        <v>9620</v>
      </c>
      <c r="G1727" s="30" t="s">
        <v>1282</v>
      </c>
      <c r="H1727" s="42" t="s">
        <v>1283</v>
      </c>
      <c r="I1727" s="29" t="s">
        <v>116</v>
      </c>
      <c r="J1727" s="31">
        <v>19.0</v>
      </c>
      <c r="K1727" s="35"/>
      <c r="L1727" s="35"/>
      <c r="M1727" s="35"/>
      <c r="N1727" s="35"/>
      <c r="O1727" s="35"/>
      <c r="P1727" s="35"/>
      <c r="Q1727" s="35"/>
      <c r="R1727" s="35"/>
      <c r="S1727" s="37">
        <f>IF(B1727="","",IF(ISNUMBER(J1727),IF(J1727&lt;=10,'Configuración'!$B$23,IF(J1727&lt;=50,'Configuración'!$B$24,IF(J1727&lt;=200,'Configuración'!$B$25,0))),0))</f>
        <v>4</v>
      </c>
      <c r="T1727" s="37">
        <f>IF(B1727="","",IF(ISNUMBER(SEARCH("information technology",I1727))+ISNUMBER(SEARCH("software",I1727))+ISNUMBER(SEARCH("internet",I1727))+ISNUMBER(SEARCH("computer",I1727))+ISNUMBER(SEARCH("saas",I1727))+ISNUMBER(SEARCH("fintech",I1727))+ISNUMBER(SEARCH("information services",I1727))+ISNUMBER(SEARCH("telecommunications",I1727))&gt;0,'Configuración'!$B$27,'Configuración'!$B$28))</f>
        <v>4</v>
      </c>
      <c r="U1727" s="25">
        <f>IF(B1727="","",IF(ISNUMBER(SEARCH("CEO",C1727))+ISNUMBER(SEARCH("Founder",C1727))+ISNUMBER(SEARCH("Owner",C1727))+ISNUMBER(SEARCH("Dueño",C1727))+ISNUMBER(SEARCH("Director General",C1727))+ISNUMBER(SEARCH("Presidente",C1727))+ISNUMBER(SEARCH("President",C1727))&gt;0,'Configuración'!$B$31,IF(ISNUMBER(SEARCH("CMO",C1727))+ISNUMBER(SEARCH("Chief Marketing",C1727))+ISNUMBER(SEARCH("VP Marketing",C1727))+ISNUMBER(SEARCH("Director de Marketing",C1727))+ISNUMBER(SEARCH("Director Marketing",C1727))+ISNUMBER(SEARCH("Head of Marketing",C1727))+ISNUMBER(SEARCH("Head Marketing",C1727))&gt;0,'Configuración'!$B$32,IF(ISNUMBER(SEARCH("Marketing Manager",C1727))+ISNUMBER(SEARCH("Gerente de Marketing",C1727))+ISNUMBER(SEARCH("Growth Manager",C1727))+ISNUMBER(SEARCH("Demand Gen",C1727))+ISNUMBER(SEARCH("Marketing Lead",C1727))&gt;0,'Configuración'!$B$33,IF(ISNUMBER(SEARCH("COO",C1727))+ISNUMBER(SEARCH("CFO",C1727))+ISNUMBER(SEARCH("CTO",C1727))+ISNUMBER(SEARCH("Chief Operating",C1727))+ISNUMBER(SEARCH("Chief Financial",C1727))+ISNUMBER(SEARCH("Gerente General",C1727))+ISNUMBER(SEARCH("General Manager",C1727))&gt;0,'Configuración'!$B$34,'Configuración'!$B$35)))))</f>
        <v>12</v>
      </c>
      <c r="V1727" s="38">
        <f>IF(B1727="","",IF(K1727="Sí",'Configuración'!$B$5,0)+IF(L1727="Semanal",'Configuración'!$B$6,IF(L1727="Mensual",'Configuración'!$B$7,0))+IF(M1727="Sí",'Configuración'!$B$8,0)+IF(N1727="Sí",'Configuración'!$B$9,0)+IF(O1727="Sí",'Configuración'!$B$10,0)+IF(P1727="Sí",'Configuración'!$B$11,0)+IF(Q1727="Sí",'Configuración'!$B$12,0)+S1727+T1727+U1727)</f>
        <v>20</v>
      </c>
      <c r="W1727" s="39" t="str">
        <f>IF(B1727="","",IF(V1727&gt;='Configuración'!$B$19,"A",IF(V1727&gt;='Configuración'!$B$20,"B",IF(V1727&gt;='Configuración'!$B$21,"C","Descarte"))))</f>
        <v>Descarte</v>
      </c>
    </row>
    <row r="1728" ht="15.75" customHeight="1">
      <c r="A1728" s="34">
        <f t="shared" si="1"/>
        <v>1726</v>
      </c>
      <c r="B1728" s="29" t="s">
        <v>236</v>
      </c>
      <c r="C1728" s="29" t="s">
        <v>146</v>
      </c>
      <c r="D1728" s="29" t="s">
        <v>9621</v>
      </c>
      <c r="E1728" s="29" t="s">
        <v>9622</v>
      </c>
      <c r="F1728" s="30" t="s">
        <v>9623</v>
      </c>
      <c r="G1728" s="30" t="s">
        <v>9624</v>
      </c>
      <c r="H1728" s="42" t="s">
        <v>9625</v>
      </c>
      <c r="I1728" s="29" t="s">
        <v>127</v>
      </c>
      <c r="J1728" s="31">
        <v>6.0</v>
      </c>
      <c r="K1728" s="35"/>
      <c r="L1728" s="35"/>
      <c r="M1728" s="35"/>
      <c r="N1728" s="35"/>
      <c r="O1728" s="35"/>
      <c r="P1728" s="35"/>
      <c r="Q1728" s="35"/>
      <c r="R1728" s="35"/>
      <c r="S1728" s="37">
        <f>IF(B1728="","",IF(ISNUMBER(J1728),IF(J1728&lt;=10,'Configuración'!$B$23,IF(J1728&lt;=50,'Configuración'!$B$24,IF(J1728&lt;=200,'Configuración'!$B$25,0))),0))</f>
        <v>12</v>
      </c>
      <c r="T1728" s="37">
        <f>IF(B1728="","",IF(ISNUMBER(SEARCH("information technology",I1728))+ISNUMBER(SEARCH("software",I1728))+ISNUMBER(SEARCH("internet",I1728))+ISNUMBER(SEARCH("computer",I1728))+ISNUMBER(SEARCH("saas",I1728))+ISNUMBER(SEARCH("fintech",I1728))+ISNUMBER(SEARCH("information services",I1728))+ISNUMBER(SEARCH("telecommunications",I1728))&gt;0,'Configuración'!$B$27,'Configuración'!$B$28))</f>
        <v>12</v>
      </c>
      <c r="U1728" s="25">
        <f>IF(B1728="","",IF(ISNUMBER(SEARCH("CEO",C1728))+ISNUMBER(SEARCH("Founder",C1728))+ISNUMBER(SEARCH("Owner",C1728))+ISNUMBER(SEARCH("Dueño",C1728))+ISNUMBER(SEARCH("Director General",C1728))+ISNUMBER(SEARCH("Presidente",C1728))+ISNUMBER(SEARCH("President",C1728))&gt;0,'Configuración'!$B$31,IF(ISNUMBER(SEARCH("CMO",C1728))+ISNUMBER(SEARCH("Chief Marketing",C1728))+ISNUMBER(SEARCH("VP Marketing",C1728))+ISNUMBER(SEARCH("Director de Marketing",C1728))+ISNUMBER(SEARCH("Director Marketing",C1728))+ISNUMBER(SEARCH("Head of Marketing",C1728))+ISNUMBER(SEARCH("Head Marketing",C1728))&gt;0,'Configuración'!$B$32,IF(ISNUMBER(SEARCH("Marketing Manager",C1728))+ISNUMBER(SEARCH("Gerente de Marketing",C1728))+ISNUMBER(SEARCH("Growth Manager",C1728))+ISNUMBER(SEARCH("Demand Gen",C1728))+ISNUMBER(SEARCH("Marketing Lead",C1728))&gt;0,'Configuración'!$B$33,IF(ISNUMBER(SEARCH("COO",C1728))+ISNUMBER(SEARCH("CFO",C1728))+ISNUMBER(SEARCH("CTO",C1728))+ISNUMBER(SEARCH("Chief Operating",C1728))+ISNUMBER(SEARCH("Chief Financial",C1728))+ISNUMBER(SEARCH("Gerente General",C1728))+ISNUMBER(SEARCH("General Manager",C1728))&gt;0,'Configuración'!$B$34,'Configuración'!$B$35)))))</f>
        <v>0</v>
      </c>
      <c r="V1728" s="38">
        <f>IF(B1728="","",IF(K1728="Sí",'Configuración'!$B$5,0)+IF(L1728="Semanal",'Configuración'!$B$6,IF(L1728="Mensual",'Configuración'!$B$7,0))+IF(M1728="Sí",'Configuración'!$B$8,0)+IF(N1728="Sí",'Configuración'!$B$9,0)+IF(O1728="Sí",'Configuración'!$B$10,0)+IF(P1728="Sí",'Configuración'!$B$11,0)+IF(Q1728="Sí",'Configuración'!$B$12,0)+S1728+T1728+U1728)</f>
        <v>24</v>
      </c>
      <c r="W1728" s="39" t="str">
        <f>IF(B1728="","",IF(V1728&gt;='Configuración'!$B$19,"A",IF(V1728&gt;='Configuración'!$B$20,"B",IF(V1728&gt;='Configuración'!$B$21,"C","Descarte"))))</f>
        <v>C</v>
      </c>
    </row>
    <row r="1729" ht="15.75" customHeight="1">
      <c r="A1729" s="34">
        <f t="shared" si="1"/>
        <v>1727</v>
      </c>
      <c r="B1729" s="29" t="s">
        <v>3616</v>
      </c>
      <c r="C1729" s="29" t="s">
        <v>131</v>
      </c>
      <c r="D1729" s="29" t="s">
        <v>9626</v>
      </c>
      <c r="E1729" s="29" t="s">
        <v>9627</v>
      </c>
      <c r="F1729" s="30" t="s">
        <v>9628</v>
      </c>
      <c r="G1729" s="30" t="s">
        <v>9629</v>
      </c>
      <c r="H1729" s="42" t="s">
        <v>9630</v>
      </c>
      <c r="I1729" s="29" t="s">
        <v>127</v>
      </c>
      <c r="J1729" s="31">
        <v>4.0</v>
      </c>
      <c r="K1729" s="35"/>
      <c r="L1729" s="35"/>
      <c r="M1729" s="35"/>
      <c r="N1729" s="35"/>
      <c r="O1729" s="35"/>
      <c r="P1729" s="35"/>
      <c r="Q1729" s="35"/>
      <c r="R1729" s="35"/>
      <c r="S1729" s="37">
        <f>IF(B1729="","",IF(ISNUMBER(J1729),IF(J1729&lt;=10,'Configuración'!$B$23,IF(J1729&lt;=50,'Configuración'!$B$24,IF(J1729&lt;=200,'Configuración'!$B$25,0))),0))</f>
        <v>12</v>
      </c>
      <c r="T1729" s="37">
        <f>IF(B1729="","",IF(ISNUMBER(SEARCH("information technology",I1729))+ISNUMBER(SEARCH("software",I1729))+ISNUMBER(SEARCH("internet",I1729))+ISNUMBER(SEARCH("computer",I1729))+ISNUMBER(SEARCH("saas",I1729))+ISNUMBER(SEARCH("fintech",I1729))+ISNUMBER(SEARCH("information services",I1729))+ISNUMBER(SEARCH("telecommunications",I1729))&gt;0,'Configuración'!$B$27,'Configuración'!$B$28))</f>
        <v>12</v>
      </c>
      <c r="U1729" s="25">
        <f>IF(B1729="","",IF(ISNUMBER(SEARCH("CEO",C1729))+ISNUMBER(SEARCH("Founder",C1729))+ISNUMBER(SEARCH("Owner",C1729))+ISNUMBER(SEARCH("Dueño",C1729))+ISNUMBER(SEARCH("Director General",C1729))+ISNUMBER(SEARCH("Presidente",C1729))+ISNUMBER(SEARCH("President",C1729))&gt;0,'Configuración'!$B$31,IF(ISNUMBER(SEARCH("CMO",C1729))+ISNUMBER(SEARCH("Chief Marketing",C1729))+ISNUMBER(SEARCH("VP Marketing",C1729))+ISNUMBER(SEARCH("Director de Marketing",C1729))+ISNUMBER(SEARCH("Director Marketing",C1729))+ISNUMBER(SEARCH("Head of Marketing",C1729))+ISNUMBER(SEARCH("Head Marketing",C1729))&gt;0,'Configuración'!$B$32,IF(ISNUMBER(SEARCH("Marketing Manager",C1729))+ISNUMBER(SEARCH("Gerente de Marketing",C1729))+ISNUMBER(SEARCH("Growth Manager",C1729))+ISNUMBER(SEARCH("Demand Gen",C1729))+ISNUMBER(SEARCH("Marketing Lead",C1729))&gt;0,'Configuración'!$B$33,IF(ISNUMBER(SEARCH("COO",C1729))+ISNUMBER(SEARCH("CFO",C1729))+ISNUMBER(SEARCH("CTO",C1729))+ISNUMBER(SEARCH("Chief Operating",C1729))+ISNUMBER(SEARCH("Chief Financial",C1729))+ISNUMBER(SEARCH("Gerente General",C1729))+ISNUMBER(SEARCH("General Manager",C1729))&gt;0,'Configuración'!$B$34,'Configuración'!$B$35)))))</f>
        <v>12</v>
      </c>
      <c r="V1729" s="38">
        <f>IF(B1729="","",IF(K1729="Sí",'Configuración'!$B$5,0)+IF(L1729="Semanal",'Configuración'!$B$6,IF(L1729="Mensual",'Configuración'!$B$7,0))+IF(M1729="Sí",'Configuración'!$B$8,0)+IF(N1729="Sí",'Configuración'!$B$9,0)+IF(O1729="Sí",'Configuración'!$B$10,0)+IF(P1729="Sí",'Configuración'!$B$11,0)+IF(Q1729="Sí",'Configuración'!$B$12,0)+S1729+T1729+U1729)</f>
        <v>36</v>
      </c>
      <c r="W1729" s="39" t="str">
        <f>IF(B1729="","",IF(V1729&gt;='Configuración'!$B$19,"A",IF(V1729&gt;='Configuración'!$B$20,"B",IF(V1729&gt;='Configuración'!$B$21,"C","Descarte"))))</f>
        <v>C</v>
      </c>
    </row>
    <row r="1730" ht="15.75" customHeight="1">
      <c r="A1730" s="34">
        <f t="shared" si="1"/>
        <v>1728</v>
      </c>
      <c r="B1730" s="29" t="s">
        <v>236</v>
      </c>
      <c r="C1730" s="29" t="s">
        <v>243</v>
      </c>
      <c r="D1730" s="29" t="s">
        <v>9631</v>
      </c>
      <c r="E1730" s="29" t="s">
        <v>9632</v>
      </c>
      <c r="F1730" s="30" t="s">
        <v>9633</v>
      </c>
      <c r="G1730" s="30" t="s">
        <v>9634</v>
      </c>
      <c r="H1730" s="42" t="s">
        <v>9635</v>
      </c>
      <c r="I1730" s="29" t="s">
        <v>188</v>
      </c>
      <c r="J1730" s="31">
        <v>2.0</v>
      </c>
      <c r="K1730" s="35"/>
      <c r="L1730" s="35"/>
      <c r="M1730" s="35"/>
      <c r="N1730" s="35"/>
      <c r="O1730" s="35"/>
      <c r="P1730" s="35"/>
      <c r="Q1730" s="35"/>
      <c r="R1730" s="35"/>
      <c r="S1730" s="37">
        <f>IF(B1730="","",IF(ISNUMBER(J1730),IF(J1730&lt;=10,'Configuración'!$B$23,IF(J1730&lt;=50,'Configuración'!$B$24,IF(J1730&lt;=200,'Configuración'!$B$25,0))),0))</f>
        <v>12</v>
      </c>
      <c r="T1730" s="37">
        <f>IF(B1730="","",IF(ISNUMBER(SEARCH("information technology",I1730))+ISNUMBER(SEARCH("software",I1730))+ISNUMBER(SEARCH("internet",I1730))+ISNUMBER(SEARCH("computer",I1730))+ISNUMBER(SEARCH("saas",I1730))+ISNUMBER(SEARCH("fintech",I1730))+ISNUMBER(SEARCH("information services",I1730))+ISNUMBER(SEARCH("telecommunications",I1730))&gt;0,'Configuración'!$B$27,'Configuración'!$B$28))</f>
        <v>4</v>
      </c>
      <c r="U1730" s="25">
        <f>IF(B1730="","",IF(ISNUMBER(SEARCH("CEO",C1730))+ISNUMBER(SEARCH("Founder",C1730))+ISNUMBER(SEARCH("Owner",C1730))+ISNUMBER(SEARCH("Dueño",C1730))+ISNUMBER(SEARCH("Director General",C1730))+ISNUMBER(SEARCH("Presidente",C1730))+ISNUMBER(SEARCH("President",C1730))&gt;0,'Configuración'!$B$31,IF(ISNUMBER(SEARCH("CMO",C1730))+ISNUMBER(SEARCH("Chief Marketing",C1730))+ISNUMBER(SEARCH("VP Marketing",C1730))+ISNUMBER(SEARCH("Director de Marketing",C1730))+ISNUMBER(SEARCH("Director Marketing",C1730))+ISNUMBER(SEARCH("Head of Marketing",C1730))+ISNUMBER(SEARCH("Head Marketing",C1730))&gt;0,'Configuración'!$B$32,IF(ISNUMBER(SEARCH("Marketing Manager",C1730))+ISNUMBER(SEARCH("Gerente de Marketing",C1730))+ISNUMBER(SEARCH("Growth Manager",C1730))+ISNUMBER(SEARCH("Demand Gen",C1730))+ISNUMBER(SEARCH("Marketing Lead",C1730))&gt;0,'Configuración'!$B$33,IF(ISNUMBER(SEARCH("COO",C1730))+ISNUMBER(SEARCH("CFO",C1730))+ISNUMBER(SEARCH("CTO",C1730))+ISNUMBER(SEARCH("Chief Operating",C1730))+ISNUMBER(SEARCH("Chief Financial",C1730))+ISNUMBER(SEARCH("Gerente General",C1730))+ISNUMBER(SEARCH("General Manager",C1730))&gt;0,'Configuración'!$B$34,'Configuración'!$B$35)))))</f>
        <v>12</v>
      </c>
      <c r="V1730" s="38">
        <f>IF(B1730="","",IF(K1730="Sí",'Configuración'!$B$5,0)+IF(L1730="Semanal",'Configuración'!$B$6,IF(L1730="Mensual",'Configuración'!$B$7,0))+IF(M1730="Sí",'Configuración'!$B$8,0)+IF(N1730="Sí",'Configuración'!$B$9,0)+IF(O1730="Sí",'Configuración'!$B$10,0)+IF(P1730="Sí",'Configuración'!$B$11,0)+IF(Q1730="Sí",'Configuración'!$B$12,0)+S1730+T1730+U1730)</f>
        <v>28</v>
      </c>
      <c r="W1730" s="39" t="str">
        <f>IF(B1730="","",IF(V1730&gt;='Configuración'!$B$19,"A",IF(V1730&gt;='Configuración'!$B$20,"B",IF(V1730&gt;='Configuración'!$B$21,"C","Descarte"))))</f>
        <v>C</v>
      </c>
    </row>
    <row r="1731" ht="15.75" customHeight="1">
      <c r="A1731" s="34">
        <f t="shared" si="1"/>
        <v>1729</v>
      </c>
      <c r="B1731" s="29" t="s">
        <v>755</v>
      </c>
      <c r="C1731" s="29" t="s">
        <v>146</v>
      </c>
      <c r="D1731" s="29" t="s">
        <v>9636</v>
      </c>
      <c r="E1731" s="29" t="s">
        <v>9637</v>
      </c>
      <c r="F1731" s="30" t="s">
        <v>9638</v>
      </c>
      <c r="G1731" s="30" t="s">
        <v>9639</v>
      </c>
      <c r="H1731" s="42" t="s">
        <v>9640</v>
      </c>
      <c r="I1731" s="29" t="s">
        <v>127</v>
      </c>
      <c r="J1731" s="31">
        <v>2.0</v>
      </c>
      <c r="K1731" s="35"/>
      <c r="L1731" s="35"/>
      <c r="M1731" s="35"/>
      <c r="N1731" s="35"/>
      <c r="O1731" s="35"/>
      <c r="P1731" s="35"/>
      <c r="Q1731" s="35"/>
      <c r="R1731" s="35"/>
      <c r="S1731" s="37">
        <f>IF(B1731="","",IF(ISNUMBER(J1731),IF(J1731&lt;=10,'Configuración'!$B$23,IF(J1731&lt;=50,'Configuración'!$B$24,IF(J1731&lt;=200,'Configuración'!$B$25,0))),0))</f>
        <v>12</v>
      </c>
      <c r="T1731" s="37">
        <f>IF(B1731="","",IF(ISNUMBER(SEARCH("information technology",I1731))+ISNUMBER(SEARCH("software",I1731))+ISNUMBER(SEARCH("internet",I1731))+ISNUMBER(SEARCH("computer",I1731))+ISNUMBER(SEARCH("saas",I1731))+ISNUMBER(SEARCH("fintech",I1731))+ISNUMBER(SEARCH("information services",I1731))+ISNUMBER(SEARCH("telecommunications",I1731))&gt;0,'Configuración'!$B$27,'Configuración'!$B$28))</f>
        <v>12</v>
      </c>
      <c r="U1731" s="25">
        <f>IF(B1731="","",IF(ISNUMBER(SEARCH("CEO",C1731))+ISNUMBER(SEARCH("Founder",C1731))+ISNUMBER(SEARCH("Owner",C1731))+ISNUMBER(SEARCH("Dueño",C1731))+ISNUMBER(SEARCH("Director General",C1731))+ISNUMBER(SEARCH("Presidente",C1731))+ISNUMBER(SEARCH("President",C1731))&gt;0,'Configuración'!$B$31,IF(ISNUMBER(SEARCH("CMO",C1731))+ISNUMBER(SEARCH("Chief Marketing",C1731))+ISNUMBER(SEARCH("VP Marketing",C1731))+ISNUMBER(SEARCH("Director de Marketing",C1731))+ISNUMBER(SEARCH("Director Marketing",C1731))+ISNUMBER(SEARCH("Head of Marketing",C1731))+ISNUMBER(SEARCH("Head Marketing",C1731))&gt;0,'Configuración'!$B$32,IF(ISNUMBER(SEARCH("Marketing Manager",C1731))+ISNUMBER(SEARCH("Gerente de Marketing",C1731))+ISNUMBER(SEARCH("Growth Manager",C1731))+ISNUMBER(SEARCH("Demand Gen",C1731))+ISNUMBER(SEARCH("Marketing Lead",C1731))&gt;0,'Configuración'!$B$33,IF(ISNUMBER(SEARCH("COO",C1731))+ISNUMBER(SEARCH("CFO",C1731))+ISNUMBER(SEARCH("CTO",C1731))+ISNUMBER(SEARCH("Chief Operating",C1731))+ISNUMBER(SEARCH("Chief Financial",C1731))+ISNUMBER(SEARCH("Gerente General",C1731))+ISNUMBER(SEARCH("General Manager",C1731))&gt;0,'Configuración'!$B$34,'Configuración'!$B$35)))))</f>
        <v>0</v>
      </c>
      <c r="V1731" s="38">
        <f>IF(B1731="","",IF(K1731="Sí",'Configuración'!$B$5,0)+IF(L1731="Semanal",'Configuración'!$B$6,IF(L1731="Mensual",'Configuración'!$B$7,0))+IF(M1731="Sí",'Configuración'!$B$8,0)+IF(N1731="Sí",'Configuración'!$B$9,0)+IF(O1731="Sí",'Configuración'!$B$10,0)+IF(P1731="Sí",'Configuración'!$B$11,0)+IF(Q1731="Sí",'Configuración'!$B$12,0)+S1731+T1731+U1731)</f>
        <v>24</v>
      </c>
      <c r="W1731" s="39" t="str">
        <f>IF(B1731="","",IF(V1731&gt;='Configuración'!$B$19,"A",IF(V1731&gt;='Configuración'!$B$20,"B",IF(V1731&gt;='Configuración'!$B$21,"C","Descarte"))))</f>
        <v>C</v>
      </c>
    </row>
    <row r="1732" ht="15.75" customHeight="1">
      <c r="A1732" s="34">
        <f t="shared" si="1"/>
        <v>1730</v>
      </c>
      <c r="B1732" s="29" t="s">
        <v>1072</v>
      </c>
      <c r="C1732" s="29" t="s">
        <v>146</v>
      </c>
      <c r="D1732" s="29" t="s">
        <v>5168</v>
      </c>
      <c r="E1732" s="29" t="s">
        <v>9641</v>
      </c>
      <c r="F1732" s="30" t="s">
        <v>9642</v>
      </c>
      <c r="G1732" s="30" t="s">
        <v>5171</v>
      </c>
      <c r="H1732" s="42" t="s">
        <v>5172</v>
      </c>
      <c r="I1732" s="29" t="s">
        <v>116</v>
      </c>
      <c r="J1732" s="31">
        <v>16.0</v>
      </c>
      <c r="K1732" s="35"/>
      <c r="L1732" s="35"/>
      <c r="M1732" s="35"/>
      <c r="N1732" s="35"/>
      <c r="O1732" s="35"/>
      <c r="P1732" s="35"/>
      <c r="Q1732" s="35"/>
      <c r="R1732" s="35"/>
      <c r="S1732" s="37">
        <f>IF(B1732="","",IF(ISNUMBER(J1732),IF(J1732&lt;=10,'Configuración'!$B$23,IF(J1732&lt;=50,'Configuración'!$B$24,IF(J1732&lt;=200,'Configuración'!$B$25,0))),0))</f>
        <v>4</v>
      </c>
      <c r="T1732" s="37">
        <f>IF(B1732="","",IF(ISNUMBER(SEARCH("information technology",I1732))+ISNUMBER(SEARCH("software",I1732))+ISNUMBER(SEARCH("internet",I1732))+ISNUMBER(SEARCH("computer",I1732))+ISNUMBER(SEARCH("saas",I1732))+ISNUMBER(SEARCH("fintech",I1732))+ISNUMBER(SEARCH("information services",I1732))+ISNUMBER(SEARCH("telecommunications",I1732))&gt;0,'Configuración'!$B$27,'Configuración'!$B$28))</f>
        <v>4</v>
      </c>
      <c r="U1732" s="25">
        <f>IF(B1732="","",IF(ISNUMBER(SEARCH("CEO",C1732))+ISNUMBER(SEARCH("Founder",C1732))+ISNUMBER(SEARCH("Owner",C1732))+ISNUMBER(SEARCH("Dueño",C1732))+ISNUMBER(SEARCH("Director General",C1732))+ISNUMBER(SEARCH("Presidente",C1732))+ISNUMBER(SEARCH("President",C1732))&gt;0,'Configuración'!$B$31,IF(ISNUMBER(SEARCH("CMO",C1732))+ISNUMBER(SEARCH("Chief Marketing",C1732))+ISNUMBER(SEARCH("VP Marketing",C1732))+ISNUMBER(SEARCH("Director de Marketing",C1732))+ISNUMBER(SEARCH("Director Marketing",C1732))+ISNUMBER(SEARCH("Head of Marketing",C1732))+ISNUMBER(SEARCH("Head Marketing",C1732))&gt;0,'Configuración'!$B$32,IF(ISNUMBER(SEARCH("Marketing Manager",C1732))+ISNUMBER(SEARCH("Gerente de Marketing",C1732))+ISNUMBER(SEARCH("Growth Manager",C1732))+ISNUMBER(SEARCH("Demand Gen",C1732))+ISNUMBER(SEARCH("Marketing Lead",C1732))&gt;0,'Configuración'!$B$33,IF(ISNUMBER(SEARCH("COO",C1732))+ISNUMBER(SEARCH("CFO",C1732))+ISNUMBER(SEARCH("CTO",C1732))+ISNUMBER(SEARCH("Chief Operating",C1732))+ISNUMBER(SEARCH("Chief Financial",C1732))+ISNUMBER(SEARCH("Gerente General",C1732))+ISNUMBER(SEARCH("General Manager",C1732))&gt;0,'Configuración'!$B$34,'Configuración'!$B$35)))))</f>
        <v>0</v>
      </c>
      <c r="V1732" s="38">
        <f>IF(B1732="","",IF(K1732="Sí",'Configuración'!$B$5,0)+IF(L1732="Semanal",'Configuración'!$B$6,IF(L1732="Mensual",'Configuración'!$B$7,0))+IF(M1732="Sí",'Configuración'!$B$8,0)+IF(N1732="Sí",'Configuración'!$B$9,0)+IF(O1732="Sí",'Configuración'!$B$10,0)+IF(P1732="Sí",'Configuración'!$B$11,0)+IF(Q1732="Sí",'Configuración'!$B$12,0)+S1732+T1732+U1732)</f>
        <v>8</v>
      </c>
      <c r="W1732" s="39" t="str">
        <f>IF(B1732="","",IF(V1732&gt;='Configuración'!$B$19,"A",IF(V1732&gt;='Configuración'!$B$20,"B",IF(V1732&gt;='Configuración'!$B$21,"C","Descarte"))))</f>
        <v>Descarte</v>
      </c>
    </row>
    <row r="1733" ht="15.75" customHeight="1">
      <c r="A1733" s="34">
        <f t="shared" si="1"/>
        <v>1731</v>
      </c>
      <c r="B1733" s="29" t="s">
        <v>138</v>
      </c>
      <c r="C1733" s="29" t="s">
        <v>9643</v>
      </c>
      <c r="D1733" s="29" t="s">
        <v>9644</v>
      </c>
      <c r="E1733" s="29" t="s">
        <v>9645</v>
      </c>
      <c r="F1733" s="30" t="s">
        <v>9646</v>
      </c>
      <c r="G1733" s="30" t="s">
        <v>9647</v>
      </c>
      <c r="H1733" s="42" t="s">
        <v>9648</v>
      </c>
      <c r="I1733" s="29" t="s">
        <v>659</v>
      </c>
      <c r="J1733" s="31">
        <v>5.0</v>
      </c>
      <c r="K1733" s="35"/>
      <c r="L1733" s="35"/>
      <c r="M1733" s="35"/>
      <c r="N1733" s="35"/>
      <c r="O1733" s="35"/>
      <c r="P1733" s="35"/>
      <c r="Q1733" s="35"/>
      <c r="R1733" s="35"/>
      <c r="S1733" s="37">
        <f>IF(B1733="","",IF(ISNUMBER(J1733),IF(J1733&lt;=10,'Configuración'!$B$23,IF(J1733&lt;=50,'Configuración'!$B$24,IF(J1733&lt;=200,'Configuración'!$B$25,0))),0))</f>
        <v>12</v>
      </c>
      <c r="T1733" s="37">
        <f>IF(B1733="","",IF(ISNUMBER(SEARCH("information technology",I1733))+ISNUMBER(SEARCH("software",I1733))+ISNUMBER(SEARCH("internet",I1733))+ISNUMBER(SEARCH("computer",I1733))+ISNUMBER(SEARCH("saas",I1733))+ISNUMBER(SEARCH("fintech",I1733))+ISNUMBER(SEARCH("information services",I1733))+ISNUMBER(SEARCH("telecommunications",I1733))&gt;0,'Configuración'!$B$27,'Configuración'!$B$28))</f>
        <v>4</v>
      </c>
      <c r="U1733" s="25">
        <f>IF(B1733="","",IF(ISNUMBER(SEARCH("CEO",C1733))+ISNUMBER(SEARCH("Founder",C1733))+ISNUMBER(SEARCH("Owner",C1733))+ISNUMBER(SEARCH("Dueño",C1733))+ISNUMBER(SEARCH("Director General",C1733))+ISNUMBER(SEARCH("Presidente",C1733))+ISNUMBER(SEARCH("President",C1733))&gt;0,'Configuración'!$B$31,IF(ISNUMBER(SEARCH("CMO",C1733))+ISNUMBER(SEARCH("Chief Marketing",C1733))+ISNUMBER(SEARCH("VP Marketing",C1733))+ISNUMBER(SEARCH("Director de Marketing",C1733))+ISNUMBER(SEARCH("Director Marketing",C1733))+ISNUMBER(SEARCH("Head of Marketing",C1733))+ISNUMBER(SEARCH("Head Marketing",C1733))&gt;0,'Configuración'!$B$32,IF(ISNUMBER(SEARCH("Marketing Manager",C1733))+ISNUMBER(SEARCH("Gerente de Marketing",C1733))+ISNUMBER(SEARCH("Growth Manager",C1733))+ISNUMBER(SEARCH("Demand Gen",C1733))+ISNUMBER(SEARCH("Marketing Lead",C1733))&gt;0,'Configuración'!$B$33,IF(ISNUMBER(SEARCH("COO",C1733))+ISNUMBER(SEARCH("CFO",C1733))+ISNUMBER(SEARCH("CTO",C1733))+ISNUMBER(SEARCH("Chief Operating",C1733))+ISNUMBER(SEARCH("Chief Financial",C1733))+ISNUMBER(SEARCH("Gerente General",C1733))+ISNUMBER(SEARCH("General Manager",C1733))&gt;0,'Configuración'!$B$34,'Configuración'!$B$35)))))</f>
        <v>12</v>
      </c>
      <c r="V1733" s="38">
        <f>IF(B1733="","",IF(K1733="Sí",'Configuración'!$B$5,0)+IF(L1733="Semanal",'Configuración'!$B$6,IF(L1733="Mensual",'Configuración'!$B$7,0))+IF(M1733="Sí",'Configuración'!$B$8,0)+IF(N1733="Sí",'Configuración'!$B$9,0)+IF(O1733="Sí",'Configuración'!$B$10,0)+IF(P1733="Sí",'Configuración'!$B$11,0)+IF(Q1733="Sí",'Configuración'!$B$12,0)+S1733+T1733+U1733)</f>
        <v>28</v>
      </c>
      <c r="W1733" s="39" t="str">
        <f>IF(B1733="","",IF(V1733&gt;='Configuración'!$B$19,"A",IF(V1733&gt;='Configuración'!$B$20,"B",IF(V1733&gt;='Configuración'!$B$21,"C","Descarte"))))</f>
        <v>C</v>
      </c>
    </row>
    <row r="1734" ht="15.75" customHeight="1">
      <c r="A1734" s="34">
        <f t="shared" si="1"/>
        <v>1732</v>
      </c>
      <c r="B1734" s="29" t="s">
        <v>2042</v>
      </c>
      <c r="C1734" s="29" t="s">
        <v>9649</v>
      </c>
      <c r="D1734" s="29" t="s">
        <v>9650</v>
      </c>
      <c r="E1734" s="29" t="s">
        <v>9651</v>
      </c>
      <c r="F1734" s="30" t="s">
        <v>9652</v>
      </c>
      <c r="G1734" s="30" t="s">
        <v>9653</v>
      </c>
      <c r="H1734" s="42" t="s">
        <v>9654</v>
      </c>
      <c r="I1734" s="29" t="s">
        <v>659</v>
      </c>
      <c r="J1734" s="31">
        <v>2.0</v>
      </c>
      <c r="K1734" s="35"/>
      <c r="L1734" s="35"/>
      <c r="M1734" s="35"/>
      <c r="N1734" s="35"/>
      <c r="O1734" s="35"/>
      <c r="P1734" s="35"/>
      <c r="Q1734" s="35"/>
      <c r="R1734" s="35"/>
      <c r="S1734" s="37">
        <f>IF(B1734="","",IF(ISNUMBER(J1734),IF(J1734&lt;=10,'Configuración'!$B$23,IF(J1734&lt;=50,'Configuración'!$B$24,IF(J1734&lt;=200,'Configuración'!$B$25,0))),0))</f>
        <v>12</v>
      </c>
      <c r="T1734" s="37">
        <f>IF(B1734="","",IF(ISNUMBER(SEARCH("information technology",I1734))+ISNUMBER(SEARCH("software",I1734))+ISNUMBER(SEARCH("internet",I1734))+ISNUMBER(SEARCH("computer",I1734))+ISNUMBER(SEARCH("saas",I1734))+ISNUMBER(SEARCH("fintech",I1734))+ISNUMBER(SEARCH("information services",I1734))+ISNUMBER(SEARCH("telecommunications",I1734))&gt;0,'Configuración'!$B$27,'Configuración'!$B$28))</f>
        <v>4</v>
      </c>
      <c r="U1734" s="25">
        <f>IF(B1734="","",IF(ISNUMBER(SEARCH("CEO",C1734))+ISNUMBER(SEARCH("Founder",C1734))+ISNUMBER(SEARCH("Owner",C1734))+ISNUMBER(SEARCH("Dueño",C1734))+ISNUMBER(SEARCH("Director General",C1734))+ISNUMBER(SEARCH("Presidente",C1734))+ISNUMBER(SEARCH("President",C1734))&gt;0,'Configuración'!$B$31,IF(ISNUMBER(SEARCH("CMO",C1734))+ISNUMBER(SEARCH("Chief Marketing",C1734))+ISNUMBER(SEARCH("VP Marketing",C1734))+ISNUMBER(SEARCH("Director de Marketing",C1734))+ISNUMBER(SEARCH("Director Marketing",C1734))+ISNUMBER(SEARCH("Head of Marketing",C1734))+ISNUMBER(SEARCH("Head Marketing",C1734))&gt;0,'Configuración'!$B$32,IF(ISNUMBER(SEARCH("Marketing Manager",C1734))+ISNUMBER(SEARCH("Gerente de Marketing",C1734))+ISNUMBER(SEARCH("Growth Manager",C1734))+ISNUMBER(SEARCH("Demand Gen",C1734))+ISNUMBER(SEARCH("Marketing Lead",C1734))&gt;0,'Configuración'!$B$33,IF(ISNUMBER(SEARCH("COO",C1734))+ISNUMBER(SEARCH("CFO",C1734))+ISNUMBER(SEARCH("CTO",C1734))+ISNUMBER(SEARCH("Chief Operating",C1734))+ISNUMBER(SEARCH("Chief Financial",C1734))+ISNUMBER(SEARCH("Gerente General",C1734))+ISNUMBER(SEARCH("General Manager",C1734))&gt;0,'Configuración'!$B$34,'Configuración'!$B$35)))))</f>
        <v>12</v>
      </c>
      <c r="V1734" s="38">
        <f>IF(B1734="","",IF(K1734="Sí",'Configuración'!$B$5,0)+IF(L1734="Semanal",'Configuración'!$B$6,IF(L1734="Mensual",'Configuración'!$B$7,0))+IF(M1734="Sí",'Configuración'!$B$8,0)+IF(N1734="Sí",'Configuración'!$B$9,0)+IF(O1734="Sí",'Configuración'!$B$10,0)+IF(P1734="Sí",'Configuración'!$B$11,0)+IF(Q1734="Sí",'Configuración'!$B$12,0)+S1734+T1734+U1734)</f>
        <v>28</v>
      </c>
      <c r="W1734" s="39" t="str">
        <f>IF(B1734="","",IF(V1734&gt;='Configuración'!$B$19,"A",IF(V1734&gt;='Configuración'!$B$20,"B",IF(V1734&gt;='Configuración'!$B$21,"C","Descarte"))))</f>
        <v>C</v>
      </c>
    </row>
    <row r="1735" ht="15.75" customHeight="1">
      <c r="A1735" s="34">
        <f t="shared" si="1"/>
        <v>1733</v>
      </c>
      <c r="B1735" s="29" t="s">
        <v>2206</v>
      </c>
      <c r="C1735" s="29" t="s">
        <v>311</v>
      </c>
      <c r="D1735" s="29" t="s">
        <v>9655</v>
      </c>
      <c r="E1735" s="29" t="s">
        <v>9656</v>
      </c>
      <c r="F1735" s="30" t="s">
        <v>9657</v>
      </c>
      <c r="G1735" s="30" t="s">
        <v>9658</v>
      </c>
      <c r="H1735" s="42" t="s">
        <v>9659</v>
      </c>
      <c r="I1735" s="29" t="s">
        <v>127</v>
      </c>
      <c r="J1735" s="31">
        <v>9.0</v>
      </c>
      <c r="K1735" s="35"/>
      <c r="L1735" s="35"/>
      <c r="M1735" s="35"/>
      <c r="N1735" s="35"/>
      <c r="O1735" s="35"/>
      <c r="P1735" s="35"/>
      <c r="Q1735" s="35"/>
      <c r="R1735" s="35"/>
      <c r="S1735" s="37">
        <f>IF(B1735="","",IF(ISNUMBER(J1735),IF(J1735&lt;=10,'Configuración'!$B$23,IF(J1735&lt;=50,'Configuración'!$B$24,IF(J1735&lt;=200,'Configuración'!$B$25,0))),0))</f>
        <v>12</v>
      </c>
      <c r="T1735" s="37">
        <f>IF(B1735="","",IF(ISNUMBER(SEARCH("information technology",I1735))+ISNUMBER(SEARCH("software",I1735))+ISNUMBER(SEARCH("internet",I1735))+ISNUMBER(SEARCH("computer",I1735))+ISNUMBER(SEARCH("saas",I1735))+ISNUMBER(SEARCH("fintech",I1735))+ISNUMBER(SEARCH("information services",I1735))+ISNUMBER(SEARCH("telecommunications",I1735))&gt;0,'Configuración'!$B$27,'Configuración'!$B$28))</f>
        <v>12</v>
      </c>
      <c r="U1735" s="25">
        <f>IF(B1735="","",IF(ISNUMBER(SEARCH("CEO",C1735))+ISNUMBER(SEARCH("Founder",C1735))+ISNUMBER(SEARCH("Owner",C1735))+ISNUMBER(SEARCH("Dueño",C1735))+ISNUMBER(SEARCH("Director General",C1735))+ISNUMBER(SEARCH("Presidente",C1735))+ISNUMBER(SEARCH("President",C1735))&gt;0,'Configuración'!$B$31,IF(ISNUMBER(SEARCH("CMO",C1735))+ISNUMBER(SEARCH("Chief Marketing",C1735))+ISNUMBER(SEARCH("VP Marketing",C1735))+ISNUMBER(SEARCH("Director de Marketing",C1735))+ISNUMBER(SEARCH("Director Marketing",C1735))+ISNUMBER(SEARCH("Head of Marketing",C1735))+ISNUMBER(SEARCH("Head Marketing",C1735))&gt;0,'Configuración'!$B$32,IF(ISNUMBER(SEARCH("Marketing Manager",C1735))+ISNUMBER(SEARCH("Gerente de Marketing",C1735))+ISNUMBER(SEARCH("Growth Manager",C1735))+ISNUMBER(SEARCH("Demand Gen",C1735))+ISNUMBER(SEARCH("Marketing Lead",C1735))&gt;0,'Configuración'!$B$33,IF(ISNUMBER(SEARCH("COO",C1735))+ISNUMBER(SEARCH("CFO",C1735))+ISNUMBER(SEARCH("CTO",C1735))+ISNUMBER(SEARCH("Chief Operating",C1735))+ISNUMBER(SEARCH("Chief Financial",C1735))+ISNUMBER(SEARCH("Gerente General",C1735))+ISNUMBER(SEARCH("General Manager",C1735))&gt;0,'Configuración'!$B$34,'Configuración'!$B$35)))))</f>
        <v>12</v>
      </c>
      <c r="V1735" s="38">
        <f>IF(B1735="","",IF(K1735="Sí",'Configuración'!$B$5,0)+IF(L1735="Semanal",'Configuración'!$B$6,IF(L1735="Mensual",'Configuración'!$B$7,0))+IF(M1735="Sí",'Configuración'!$B$8,0)+IF(N1735="Sí",'Configuración'!$B$9,0)+IF(O1735="Sí",'Configuración'!$B$10,0)+IF(P1735="Sí",'Configuración'!$B$11,0)+IF(Q1735="Sí",'Configuración'!$B$12,0)+S1735+T1735+U1735)</f>
        <v>36</v>
      </c>
      <c r="W1735" s="39" t="str">
        <f>IF(B1735="","",IF(V1735&gt;='Configuración'!$B$19,"A",IF(V1735&gt;='Configuración'!$B$20,"B",IF(V1735&gt;='Configuración'!$B$21,"C","Descarte"))))</f>
        <v>C</v>
      </c>
    </row>
    <row r="1736" ht="15.75" customHeight="1">
      <c r="A1736" s="34">
        <f t="shared" si="1"/>
        <v>1734</v>
      </c>
      <c r="B1736" s="29" t="s">
        <v>1072</v>
      </c>
      <c r="C1736" s="29" t="s">
        <v>175</v>
      </c>
      <c r="D1736" s="29" t="s">
        <v>9660</v>
      </c>
      <c r="E1736" s="29" t="s">
        <v>9661</v>
      </c>
      <c r="F1736" s="30" t="s">
        <v>9662</v>
      </c>
      <c r="G1736" s="30" t="s">
        <v>9663</v>
      </c>
      <c r="H1736" s="42" t="s">
        <v>9664</v>
      </c>
      <c r="I1736" s="29" t="s">
        <v>659</v>
      </c>
      <c r="J1736" s="31">
        <v>9.0</v>
      </c>
      <c r="K1736" s="35"/>
      <c r="L1736" s="35"/>
      <c r="M1736" s="35"/>
      <c r="N1736" s="35"/>
      <c r="O1736" s="35"/>
      <c r="P1736" s="35"/>
      <c r="Q1736" s="35"/>
      <c r="R1736" s="35"/>
      <c r="S1736" s="37">
        <f>IF(B1736="","",IF(ISNUMBER(J1736),IF(J1736&lt;=10,'Configuración'!$B$23,IF(J1736&lt;=50,'Configuración'!$B$24,IF(J1736&lt;=200,'Configuración'!$B$25,0))),0))</f>
        <v>12</v>
      </c>
      <c r="T1736" s="37">
        <f>IF(B1736="","",IF(ISNUMBER(SEARCH("information technology",I1736))+ISNUMBER(SEARCH("software",I1736))+ISNUMBER(SEARCH("internet",I1736))+ISNUMBER(SEARCH("computer",I1736))+ISNUMBER(SEARCH("saas",I1736))+ISNUMBER(SEARCH("fintech",I1736))+ISNUMBER(SEARCH("information services",I1736))+ISNUMBER(SEARCH("telecommunications",I1736))&gt;0,'Configuración'!$B$27,'Configuración'!$B$28))</f>
        <v>4</v>
      </c>
      <c r="U1736" s="25">
        <f>IF(B1736="","",IF(ISNUMBER(SEARCH("CEO",C1736))+ISNUMBER(SEARCH("Founder",C1736))+ISNUMBER(SEARCH("Owner",C1736))+ISNUMBER(SEARCH("Dueño",C1736))+ISNUMBER(SEARCH("Director General",C1736))+ISNUMBER(SEARCH("Presidente",C1736))+ISNUMBER(SEARCH("President",C1736))&gt;0,'Configuración'!$B$31,IF(ISNUMBER(SEARCH("CMO",C1736))+ISNUMBER(SEARCH("Chief Marketing",C1736))+ISNUMBER(SEARCH("VP Marketing",C1736))+ISNUMBER(SEARCH("Director de Marketing",C1736))+ISNUMBER(SEARCH("Director Marketing",C1736))+ISNUMBER(SEARCH("Head of Marketing",C1736))+ISNUMBER(SEARCH("Head Marketing",C1736))&gt;0,'Configuración'!$B$32,IF(ISNUMBER(SEARCH("Marketing Manager",C1736))+ISNUMBER(SEARCH("Gerente de Marketing",C1736))+ISNUMBER(SEARCH("Growth Manager",C1736))+ISNUMBER(SEARCH("Demand Gen",C1736))+ISNUMBER(SEARCH("Marketing Lead",C1736))&gt;0,'Configuración'!$B$33,IF(ISNUMBER(SEARCH("COO",C1736))+ISNUMBER(SEARCH("CFO",C1736))+ISNUMBER(SEARCH("CTO",C1736))+ISNUMBER(SEARCH("Chief Operating",C1736))+ISNUMBER(SEARCH("Chief Financial",C1736))+ISNUMBER(SEARCH("Gerente General",C1736))+ISNUMBER(SEARCH("General Manager",C1736))&gt;0,'Configuración'!$B$34,'Configuración'!$B$35)))))</f>
        <v>12</v>
      </c>
      <c r="V1736" s="38">
        <f>IF(B1736="","",IF(K1736="Sí",'Configuración'!$B$5,0)+IF(L1736="Semanal",'Configuración'!$B$6,IF(L1736="Mensual",'Configuración'!$B$7,0))+IF(M1736="Sí",'Configuración'!$B$8,0)+IF(N1736="Sí",'Configuración'!$B$9,0)+IF(O1736="Sí",'Configuración'!$B$10,0)+IF(P1736="Sí",'Configuración'!$B$11,0)+IF(Q1736="Sí",'Configuración'!$B$12,0)+S1736+T1736+U1736)</f>
        <v>28</v>
      </c>
      <c r="W1736" s="39" t="str">
        <f>IF(B1736="","",IF(V1736&gt;='Configuración'!$B$19,"A",IF(V1736&gt;='Configuración'!$B$20,"B",IF(V1736&gt;='Configuración'!$B$21,"C","Descarte"))))</f>
        <v>C</v>
      </c>
    </row>
    <row r="1737" ht="15.75" customHeight="1">
      <c r="A1737" s="34">
        <f t="shared" si="1"/>
        <v>1735</v>
      </c>
      <c r="B1737" s="29" t="s">
        <v>223</v>
      </c>
      <c r="C1737" s="29" t="s">
        <v>131</v>
      </c>
      <c r="D1737" s="29" t="s">
        <v>9665</v>
      </c>
      <c r="E1737" s="29" t="s">
        <v>9666</v>
      </c>
      <c r="F1737" s="30" t="s">
        <v>9667</v>
      </c>
      <c r="G1737" s="30" t="s">
        <v>9668</v>
      </c>
      <c r="H1737" s="42" t="s">
        <v>9669</v>
      </c>
      <c r="I1737" s="29" t="s">
        <v>1706</v>
      </c>
      <c r="J1737" s="31">
        <v>15.0</v>
      </c>
      <c r="K1737" s="35"/>
      <c r="L1737" s="35"/>
      <c r="M1737" s="35"/>
      <c r="N1737" s="35"/>
      <c r="O1737" s="35"/>
      <c r="P1737" s="35"/>
      <c r="Q1737" s="35"/>
      <c r="R1737" s="35"/>
      <c r="S1737" s="37">
        <f>IF(B1737="","",IF(ISNUMBER(J1737),IF(J1737&lt;=10,'Configuración'!$B$23,IF(J1737&lt;=50,'Configuración'!$B$24,IF(J1737&lt;=200,'Configuración'!$B$25,0))),0))</f>
        <v>4</v>
      </c>
      <c r="T1737" s="37">
        <f>IF(B1737="","",IF(ISNUMBER(SEARCH("information technology",I1737))+ISNUMBER(SEARCH("software",I1737))+ISNUMBER(SEARCH("internet",I1737))+ISNUMBER(SEARCH("computer",I1737))+ISNUMBER(SEARCH("saas",I1737))+ISNUMBER(SEARCH("fintech",I1737))+ISNUMBER(SEARCH("information services",I1737))+ISNUMBER(SEARCH("telecommunications",I1737))&gt;0,'Configuración'!$B$27,'Configuración'!$B$28))</f>
        <v>4</v>
      </c>
      <c r="U1737" s="25">
        <f>IF(B1737="","",IF(ISNUMBER(SEARCH("CEO",C1737))+ISNUMBER(SEARCH("Founder",C1737))+ISNUMBER(SEARCH("Owner",C1737))+ISNUMBER(SEARCH("Dueño",C1737))+ISNUMBER(SEARCH("Director General",C1737))+ISNUMBER(SEARCH("Presidente",C1737))+ISNUMBER(SEARCH("President",C1737))&gt;0,'Configuración'!$B$31,IF(ISNUMBER(SEARCH("CMO",C1737))+ISNUMBER(SEARCH("Chief Marketing",C1737))+ISNUMBER(SEARCH("VP Marketing",C1737))+ISNUMBER(SEARCH("Director de Marketing",C1737))+ISNUMBER(SEARCH("Director Marketing",C1737))+ISNUMBER(SEARCH("Head of Marketing",C1737))+ISNUMBER(SEARCH("Head Marketing",C1737))&gt;0,'Configuración'!$B$32,IF(ISNUMBER(SEARCH("Marketing Manager",C1737))+ISNUMBER(SEARCH("Gerente de Marketing",C1737))+ISNUMBER(SEARCH("Growth Manager",C1737))+ISNUMBER(SEARCH("Demand Gen",C1737))+ISNUMBER(SEARCH("Marketing Lead",C1737))&gt;0,'Configuración'!$B$33,IF(ISNUMBER(SEARCH("COO",C1737))+ISNUMBER(SEARCH("CFO",C1737))+ISNUMBER(SEARCH("CTO",C1737))+ISNUMBER(SEARCH("Chief Operating",C1737))+ISNUMBER(SEARCH("Chief Financial",C1737))+ISNUMBER(SEARCH("Gerente General",C1737))+ISNUMBER(SEARCH("General Manager",C1737))&gt;0,'Configuración'!$B$34,'Configuración'!$B$35)))))</f>
        <v>12</v>
      </c>
      <c r="V1737" s="38">
        <f>IF(B1737="","",IF(K1737="Sí",'Configuración'!$B$5,0)+IF(L1737="Semanal",'Configuración'!$B$6,IF(L1737="Mensual",'Configuración'!$B$7,0))+IF(M1737="Sí",'Configuración'!$B$8,0)+IF(N1737="Sí",'Configuración'!$B$9,0)+IF(O1737="Sí",'Configuración'!$B$10,0)+IF(P1737="Sí",'Configuración'!$B$11,0)+IF(Q1737="Sí",'Configuración'!$B$12,0)+S1737+T1737+U1737)</f>
        <v>20</v>
      </c>
      <c r="W1737" s="39" t="str">
        <f>IF(B1737="","",IF(V1737&gt;='Configuración'!$B$19,"A",IF(V1737&gt;='Configuración'!$B$20,"B",IF(V1737&gt;='Configuración'!$B$21,"C","Descarte"))))</f>
        <v>Descarte</v>
      </c>
    </row>
    <row r="1738" ht="15.75" customHeight="1">
      <c r="A1738" s="34">
        <f t="shared" si="1"/>
        <v>1736</v>
      </c>
      <c r="B1738" s="29" t="s">
        <v>3167</v>
      </c>
      <c r="C1738" s="29" t="s">
        <v>487</v>
      </c>
      <c r="D1738" s="29" t="s">
        <v>9670</v>
      </c>
      <c r="E1738" s="29" t="s">
        <v>9671</v>
      </c>
      <c r="F1738" s="30" t="s">
        <v>9672</v>
      </c>
      <c r="G1738" s="30" t="s">
        <v>9673</v>
      </c>
      <c r="H1738" s="42" t="s">
        <v>9674</v>
      </c>
      <c r="I1738" s="29" t="s">
        <v>127</v>
      </c>
      <c r="J1738" s="31">
        <v>1.0</v>
      </c>
      <c r="K1738" s="35"/>
      <c r="L1738" s="35"/>
      <c r="M1738" s="35"/>
      <c r="N1738" s="35"/>
      <c r="O1738" s="35"/>
      <c r="P1738" s="35"/>
      <c r="Q1738" s="35"/>
      <c r="R1738" s="35"/>
      <c r="S1738" s="37">
        <f>IF(B1738="","",IF(ISNUMBER(J1738),IF(J1738&lt;=10,'Configuración'!$B$23,IF(J1738&lt;=50,'Configuración'!$B$24,IF(J1738&lt;=200,'Configuración'!$B$25,0))),0))</f>
        <v>12</v>
      </c>
      <c r="T1738" s="37">
        <f>IF(B1738="","",IF(ISNUMBER(SEARCH("information technology",I1738))+ISNUMBER(SEARCH("software",I1738))+ISNUMBER(SEARCH("internet",I1738))+ISNUMBER(SEARCH("computer",I1738))+ISNUMBER(SEARCH("saas",I1738))+ISNUMBER(SEARCH("fintech",I1738))+ISNUMBER(SEARCH("information services",I1738))+ISNUMBER(SEARCH("telecommunications",I1738))&gt;0,'Configuración'!$B$27,'Configuración'!$B$28))</f>
        <v>12</v>
      </c>
      <c r="U1738" s="25">
        <f>IF(B1738="","",IF(ISNUMBER(SEARCH("CEO",C1738))+ISNUMBER(SEARCH("Founder",C1738))+ISNUMBER(SEARCH("Owner",C1738))+ISNUMBER(SEARCH("Dueño",C1738))+ISNUMBER(SEARCH("Director General",C1738))+ISNUMBER(SEARCH("Presidente",C1738))+ISNUMBER(SEARCH("President",C1738))&gt;0,'Configuración'!$B$31,IF(ISNUMBER(SEARCH("CMO",C1738))+ISNUMBER(SEARCH("Chief Marketing",C1738))+ISNUMBER(SEARCH("VP Marketing",C1738))+ISNUMBER(SEARCH("Director de Marketing",C1738))+ISNUMBER(SEARCH("Director Marketing",C1738))+ISNUMBER(SEARCH("Head of Marketing",C1738))+ISNUMBER(SEARCH("Head Marketing",C1738))&gt;0,'Configuración'!$B$32,IF(ISNUMBER(SEARCH("Marketing Manager",C1738))+ISNUMBER(SEARCH("Gerente de Marketing",C1738))+ISNUMBER(SEARCH("Growth Manager",C1738))+ISNUMBER(SEARCH("Demand Gen",C1738))+ISNUMBER(SEARCH("Marketing Lead",C1738))&gt;0,'Configuración'!$B$33,IF(ISNUMBER(SEARCH("COO",C1738))+ISNUMBER(SEARCH("CFO",C1738))+ISNUMBER(SEARCH("CTO",C1738))+ISNUMBER(SEARCH("Chief Operating",C1738))+ISNUMBER(SEARCH("Chief Financial",C1738))+ISNUMBER(SEARCH("Gerente General",C1738))+ISNUMBER(SEARCH("General Manager",C1738))&gt;0,'Configuración'!$B$34,'Configuración'!$B$35)))))</f>
        <v>12</v>
      </c>
      <c r="V1738" s="38">
        <f>IF(B1738="","",IF(K1738="Sí",'Configuración'!$B$5,0)+IF(L1738="Semanal",'Configuración'!$B$6,IF(L1738="Mensual",'Configuración'!$B$7,0))+IF(M1738="Sí",'Configuración'!$B$8,0)+IF(N1738="Sí",'Configuración'!$B$9,0)+IF(O1738="Sí",'Configuración'!$B$10,0)+IF(P1738="Sí",'Configuración'!$B$11,0)+IF(Q1738="Sí",'Configuración'!$B$12,0)+S1738+T1738+U1738)</f>
        <v>36</v>
      </c>
      <c r="W1738" s="39" t="str">
        <f>IF(B1738="","",IF(V1738&gt;='Configuración'!$B$19,"A",IF(V1738&gt;='Configuración'!$B$20,"B",IF(V1738&gt;='Configuración'!$B$21,"C","Descarte"))))</f>
        <v>C</v>
      </c>
    </row>
    <row r="1739" ht="15.75" customHeight="1">
      <c r="A1739" s="34">
        <f t="shared" si="1"/>
        <v>1737</v>
      </c>
      <c r="B1739" s="29" t="s">
        <v>501</v>
      </c>
      <c r="C1739" s="29" t="s">
        <v>1214</v>
      </c>
      <c r="D1739" s="29" t="s">
        <v>9675</v>
      </c>
      <c r="E1739" s="29" t="s">
        <v>9676</v>
      </c>
      <c r="F1739" s="30" t="s">
        <v>9677</v>
      </c>
      <c r="G1739" s="30" t="s">
        <v>9678</v>
      </c>
      <c r="H1739" s="42" t="s">
        <v>9679</v>
      </c>
      <c r="I1739" s="29" t="s">
        <v>4697</v>
      </c>
      <c r="J1739" s="31">
        <v>8.0</v>
      </c>
      <c r="K1739" s="35"/>
      <c r="L1739" s="35"/>
      <c r="M1739" s="35"/>
      <c r="N1739" s="35"/>
      <c r="O1739" s="35"/>
      <c r="P1739" s="35"/>
      <c r="Q1739" s="35"/>
      <c r="R1739" s="35"/>
      <c r="S1739" s="37">
        <f>IF(B1739="","",IF(ISNUMBER(J1739),IF(J1739&lt;=10,'Configuración'!$B$23,IF(J1739&lt;=50,'Configuración'!$B$24,IF(J1739&lt;=200,'Configuración'!$B$25,0))),0))</f>
        <v>12</v>
      </c>
      <c r="T1739" s="37">
        <f>IF(B1739="","",IF(ISNUMBER(SEARCH("information technology",I1739))+ISNUMBER(SEARCH("software",I1739))+ISNUMBER(SEARCH("internet",I1739))+ISNUMBER(SEARCH("computer",I1739))+ISNUMBER(SEARCH("saas",I1739))+ISNUMBER(SEARCH("fintech",I1739))+ISNUMBER(SEARCH("information services",I1739))+ISNUMBER(SEARCH("telecommunications",I1739))&gt;0,'Configuración'!$B$27,'Configuración'!$B$28))</f>
        <v>4</v>
      </c>
      <c r="U1739" s="25">
        <f>IF(B1739="","",IF(ISNUMBER(SEARCH("CEO",C1739))+ISNUMBER(SEARCH("Founder",C1739))+ISNUMBER(SEARCH("Owner",C1739))+ISNUMBER(SEARCH("Dueño",C1739))+ISNUMBER(SEARCH("Director General",C1739))+ISNUMBER(SEARCH("Presidente",C1739))+ISNUMBER(SEARCH("President",C1739))&gt;0,'Configuración'!$B$31,IF(ISNUMBER(SEARCH("CMO",C1739))+ISNUMBER(SEARCH("Chief Marketing",C1739))+ISNUMBER(SEARCH("VP Marketing",C1739))+ISNUMBER(SEARCH("Director de Marketing",C1739))+ISNUMBER(SEARCH("Director Marketing",C1739))+ISNUMBER(SEARCH("Head of Marketing",C1739))+ISNUMBER(SEARCH("Head Marketing",C1739))&gt;0,'Configuración'!$B$32,IF(ISNUMBER(SEARCH("Marketing Manager",C1739))+ISNUMBER(SEARCH("Gerente de Marketing",C1739))+ISNUMBER(SEARCH("Growth Manager",C1739))+ISNUMBER(SEARCH("Demand Gen",C1739))+ISNUMBER(SEARCH("Marketing Lead",C1739))&gt;0,'Configuración'!$B$33,IF(ISNUMBER(SEARCH("COO",C1739))+ISNUMBER(SEARCH("CFO",C1739))+ISNUMBER(SEARCH("CTO",C1739))+ISNUMBER(SEARCH("Chief Operating",C1739))+ISNUMBER(SEARCH("Chief Financial",C1739))+ISNUMBER(SEARCH("Gerente General",C1739))+ISNUMBER(SEARCH("General Manager",C1739))&gt;0,'Configuración'!$B$34,'Configuración'!$B$35)))))</f>
        <v>12</v>
      </c>
      <c r="V1739" s="38">
        <f>IF(B1739="","",IF(K1739="Sí",'Configuración'!$B$5,0)+IF(L1739="Semanal",'Configuración'!$B$6,IF(L1739="Mensual",'Configuración'!$B$7,0))+IF(M1739="Sí",'Configuración'!$B$8,0)+IF(N1739="Sí",'Configuración'!$B$9,0)+IF(O1739="Sí",'Configuración'!$B$10,0)+IF(P1739="Sí",'Configuración'!$B$11,0)+IF(Q1739="Sí",'Configuración'!$B$12,0)+S1739+T1739+U1739)</f>
        <v>28</v>
      </c>
      <c r="W1739" s="39" t="str">
        <f>IF(B1739="","",IF(V1739&gt;='Configuración'!$B$19,"A",IF(V1739&gt;='Configuración'!$B$20,"B",IF(V1739&gt;='Configuración'!$B$21,"C","Descarte"))))</f>
        <v>C</v>
      </c>
    </row>
    <row r="1740" ht="15.75" customHeight="1">
      <c r="A1740" s="34">
        <f t="shared" si="1"/>
        <v>1738</v>
      </c>
      <c r="B1740" s="29" t="s">
        <v>584</v>
      </c>
      <c r="C1740" s="29" t="s">
        <v>175</v>
      </c>
      <c r="D1740" s="29" t="s">
        <v>9680</v>
      </c>
      <c r="E1740" s="29" t="s">
        <v>9681</v>
      </c>
      <c r="F1740" s="30" t="s">
        <v>9682</v>
      </c>
      <c r="G1740" s="30" t="s">
        <v>9683</v>
      </c>
      <c r="H1740" s="42" t="s">
        <v>9684</v>
      </c>
      <c r="I1740" s="29" t="s">
        <v>1950</v>
      </c>
      <c r="J1740" s="31">
        <v>1.0</v>
      </c>
      <c r="K1740" s="35"/>
      <c r="L1740" s="35"/>
      <c r="M1740" s="35"/>
      <c r="N1740" s="35"/>
      <c r="O1740" s="35"/>
      <c r="P1740" s="35"/>
      <c r="Q1740" s="35"/>
      <c r="R1740" s="35"/>
      <c r="S1740" s="37">
        <f>IF(B1740="","",IF(ISNUMBER(J1740),IF(J1740&lt;=10,'Configuración'!$B$23,IF(J1740&lt;=50,'Configuración'!$B$24,IF(J1740&lt;=200,'Configuración'!$B$25,0))),0))</f>
        <v>12</v>
      </c>
      <c r="T1740" s="37">
        <f>IF(B1740="","",IF(ISNUMBER(SEARCH("information technology",I1740))+ISNUMBER(SEARCH("software",I1740))+ISNUMBER(SEARCH("internet",I1740))+ISNUMBER(SEARCH("computer",I1740))+ISNUMBER(SEARCH("saas",I1740))+ISNUMBER(SEARCH("fintech",I1740))+ISNUMBER(SEARCH("information services",I1740))+ISNUMBER(SEARCH("telecommunications",I1740))&gt;0,'Configuración'!$B$27,'Configuración'!$B$28))</f>
        <v>4</v>
      </c>
      <c r="U1740" s="25">
        <f>IF(B1740="","",IF(ISNUMBER(SEARCH("CEO",C1740))+ISNUMBER(SEARCH("Founder",C1740))+ISNUMBER(SEARCH("Owner",C1740))+ISNUMBER(SEARCH("Dueño",C1740))+ISNUMBER(SEARCH("Director General",C1740))+ISNUMBER(SEARCH("Presidente",C1740))+ISNUMBER(SEARCH("President",C1740))&gt;0,'Configuración'!$B$31,IF(ISNUMBER(SEARCH("CMO",C1740))+ISNUMBER(SEARCH("Chief Marketing",C1740))+ISNUMBER(SEARCH("VP Marketing",C1740))+ISNUMBER(SEARCH("Director de Marketing",C1740))+ISNUMBER(SEARCH("Director Marketing",C1740))+ISNUMBER(SEARCH("Head of Marketing",C1740))+ISNUMBER(SEARCH("Head Marketing",C1740))&gt;0,'Configuración'!$B$32,IF(ISNUMBER(SEARCH("Marketing Manager",C1740))+ISNUMBER(SEARCH("Gerente de Marketing",C1740))+ISNUMBER(SEARCH("Growth Manager",C1740))+ISNUMBER(SEARCH("Demand Gen",C1740))+ISNUMBER(SEARCH("Marketing Lead",C1740))&gt;0,'Configuración'!$B$33,IF(ISNUMBER(SEARCH("COO",C1740))+ISNUMBER(SEARCH("CFO",C1740))+ISNUMBER(SEARCH("CTO",C1740))+ISNUMBER(SEARCH("Chief Operating",C1740))+ISNUMBER(SEARCH("Chief Financial",C1740))+ISNUMBER(SEARCH("Gerente General",C1740))+ISNUMBER(SEARCH("General Manager",C1740))&gt;0,'Configuración'!$B$34,'Configuración'!$B$35)))))</f>
        <v>12</v>
      </c>
      <c r="V1740" s="38">
        <f>IF(B1740="","",IF(K1740="Sí",'Configuración'!$B$5,0)+IF(L1740="Semanal",'Configuración'!$B$6,IF(L1740="Mensual",'Configuración'!$B$7,0))+IF(M1740="Sí",'Configuración'!$B$8,0)+IF(N1740="Sí",'Configuración'!$B$9,0)+IF(O1740="Sí",'Configuración'!$B$10,0)+IF(P1740="Sí",'Configuración'!$B$11,0)+IF(Q1740="Sí",'Configuración'!$B$12,0)+S1740+T1740+U1740)</f>
        <v>28</v>
      </c>
      <c r="W1740" s="39" t="str">
        <f>IF(B1740="","",IF(V1740&gt;='Configuración'!$B$19,"A",IF(V1740&gt;='Configuración'!$B$20,"B",IF(V1740&gt;='Configuración'!$B$21,"C","Descarte"))))</f>
        <v>C</v>
      </c>
    </row>
    <row r="1741" ht="15.75" customHeight="1">
      <c r="A1741" s="34">
        <f t="shared" si="1"/>
        <v>1739</v>
      </c>
      <c r="B1741" s="29" t="s">
        <v>9685</v>
      </c>
      <c r="C1741" s="29" t="s">
        <v>9686</v>
      </c>
      <c r="D1741" s="29" t="s">
        <v>9687</v>
      </c>
      <c r="E1741" s="29" t="s">
        <v>9688</v>
      </c>
      <c r="F1741" s="30" t="s">
        <v>9689</v>
      </c>
      <c r="G1741" s="30" t="s">
        <v>9690</v>
      </c>
      <c r="H1741" s="42" t="s">
        <v>9691</v>
      </c>
      <c r="I1741" s="29" t="s">
        <v>1446</v>
      </c>
      <c r="J1741" s="31">
        <v>4.0</v>
      </c>
      <c r="K1741" s="35"/>
      <c r="L1741" s="35"/>
      <c r="M1741" s="35"/>
      <c r="N1741" s="35"/>
      <c r="O1741" s="35"/>
      <c r="P1741" s="35"/>
      <c r="Q1741" s="35"/>
      <c r="R1741" s="35"/>
      <c r="S1741" s="37">
        <f>IF(B1741="","",IF(ISNUMBER(J1741),IF(J1741&lt;=10,'Configuración'!$B$23,IF(J1741&lt;=50,'Configuración'!$B$24,IF(J1741&lt;=200,'Configuración'!$B$25,0))),0))</f>
        <v>12</v>
      </c>
      <c r="T1741" s="37">
        <f>IF(B1741="","",IF(ISNUMBER(SEARCH("information technology",I1741))+ISNUMBER(SEARCH("software",I1741))+ISNUMBER(SEARCH("internet",I1741))+ISNUMBER(SEARCH("computer",I1741))+ISNUMBER(SEARCH("saas",I1741))+ISNUMBER(SEARCH("fintech",I1741))+ISNUMBER(SEARCH("information services",I1741))+ISNUMBER(SEARCH("telecommunications",I1741))&gt;0,'Configuración'!$B$27,'Configuración'!$B$28))</f>
        <v>4</v>
      </c>
      <c r="U1741" s="25">
        <f>IF(B1741="","",IF(ISNUMBER(SEARCH("CEO",C1741))+ISNUMBER(SEARCH("Founder",C1741))+ISNUMBER(SEARCH("Owner",C1741))+ISNUMBER(SEARCH("Dueño",C1741))+ISNUMBER(SEARCH("Director General",C1741))+ISNUMBER(SEARCH("Presidente",C1741))+ISNUMBER(SEARCH("President",C1741))&gt;0,'Configuración'!$B$31,IF(ISNUMBER(SEARCH("CMO",C1741))+ISNUMBER(SEARCH("Chief Marketing",C1741))+ISNUMBER(SEARCH("VP Marketing",C1741))+ISNUMBER(SEARCH("Director de Marketing",C1741))+ISNUMBER(SEARCH("Director Marketing",C1741))+ISNUMBER(SEARCH("Head of Marketing",C1741))+ISNUMBER(SEARCH("Head Marketing",C1741))&gt;0,'Configuración'!$B$32,IF(ISNUMBER(SEARCH("Marketing Manager",C1741))+ISNUMBER(SEARCH("Gerente de Marketing",C1741))+ISNUMBER(SEARCH("Growth Manager",C1741))+ISNUMBER(SEARCH("Demand Gen",C1741))+ISNUMBER(SEARCH("Marketing Lead",C1741))&gt;0,'Configuración'!$B$33,IF(ISNUMBER(SEARCH("COO",C1741))+ISNUMBER(SEARCH("CFO",C1741))+ISNUMBER(SEARCH("CTO",C1741))+ISNUMBER(SEARCH("Chief Operating",C1741))+ISNUMBER(SEARCH("Chief Financial",C1741))+ISNUMBER(SEARCH("Gerente General",C1741))+ISNUMBER(SEARCH("General Manager",C1741))&gt;0,'Configuración'!$B$34,'Configuración'!$B$35)))))</f>
        <v>12</v>
      </c>
      <c r="V1741" s="38">
        <f>IF(B1741="","",IF(K1741="Sí",'Configuración'!$B$5,0)+IF(L1741="Semanal",'Configuración'!$B$6,IF(L1741="Mensual",'Configuración'!$B$7,0))+IF(M1741="Sí",'Configuración'!$B$8,0)+IF(N1741="Sí",'Configuración'!$B$9,0)+IF(O1741="Sí",'Configuración'!$B$10,0)+IF(P1741="Sí",'Configuración'!$B$11,0)+IF(Q1741="Sí",'Configuración'!$B$12,0)+S1741+T1741+U1741)</f>
        <v>28</v>
      </c>
      <c r="W1741" s="39" t="str">
        <f>IF(B1741="","",IF(V1741&gt;='Configuración'!$B$19,"A",IF(V1741&gt;='Configuración'!$B$20,"B",IF(V1741&gt;='Configuración'!$B$21,"C","Descarte"))))</f>
        <v>C</v>
      </c>
    </row>
    <row r="1742" ht="15.75" customHeight="1">
      <c r="A1742" s="34">
        <f t="shared" si="1"/>
        <v>1740</v>
      </c>
      <c r="B1742" s="29" t="s">
        <v>120</v>
      </c>
      <c r="C1742" s="29" t="s">
        <v>9692</v>
      </c>
      <c r="D1742" s="29" t="s">
        <v>9693</v>
      </c>
      <c r="E1742" s="29" t="s">
        <v>9694</v>
      </c>
      <c r="F1742" s="30" t="s">
        <v>9695</v>
      </c>
      <c r="G1742" s="30" t="s">
        <v>9696</v>
      </c>
      <c r="H1742" s="42" t="s">
        <v>9697</v>
      </c>
      <c r="I1742" s="29" t="s">
        <v>127</v>
      </c>
      <c r="J1742" s="31">
        <v>29.0</v>
      </c>
      <c r="K1742" s="35"/>
      <c r="L1742" s="35"/>
      <c r="M1742" s="35"/>
      <c r="N1742" s="35"/>
      <c r="O1742" s="35"/>
      <c r="P1742" s="35"/>
      <c r="Q1742" s="35"/>
      <c r="R1742" s="35"/>
      <c r="S1742" s="37">
        <f>IF(B1742="","",IF(ISNUMBER(J1742),IF(J1742&lt;=10,'Configuración'!$B$23,IF(J1742&lt;=50,'Configuración'!$B$24,IF(J1742&lt;=200,'Configuración'!$B$25,0))),0))</f>
        <v>4</v>
      </c>
      <c r="T1742" s="37">
        <f>IF(B1742="","",IF(ISNUMBER(SEARCH("information technology",I1742))+ISNUMBER(SEARCH("software",I1742))+ISNUMBER(SEARCH("internet",I1742))+ISNUMBER(SEARCH("computer",I1742))+ISNUMBER(SEARCH("saas",I1742))+ISNUMBER(SEARCH("fintech",I1742))+ISNUMBER(SEARCH("information services",I1742))+ISNUMBER(SEARCH("telecommunications",I1742))&gt;0,'Configuración'!$B$27,'Configuración'!$B$28))</f>
        <v>12</v>
      </c>
      <c r="U1742" s="25">
        <f>IF(B1742="","",IF(ISNUMBER(SEARCH("CEO",C1742))+ISNUMBER(SEARCH("Founder",C1742))+ISNUMBER(SEARCH("Owner",C1742))+ISNUMBER(SEARCH("Dueño",C1742))+ISNUMBER(SEARCH("Director General",C1742))+ISNUMBER(SEARCH("Presidente",C1742))+ISNUMBER(SEARCH("President",C1742))&gt;0,'Configuración'!$B$31,IF(ISNUMBER(SEARCH("CMO",C1742))+ISNUMBER(SEARCH("Chief Marketing",C1742))+ISNUMBER(SEARCH("VP Marketing",C1742))+ISNUMBER(SEARCH("Director de Marketing",C1742))+ISNUMBER(SEARCH("Director Marketing",C1742))+ISNUMBER(SEARCH("Head of Marketing",C1742))+ISNUMBER(SEARCH("Head Marketing",C1742))&gt;0,'Configuración'!$B$32,IF(ISNUMBER(SEARCH("Marketing Manager",C1742))+ISNUMBER(SEARCH("Gerente de Marketing",C1742))+ISNUMBER(SEARCH("Growth Manager",C1742))+ISNUMBER(SEARCH("Demand Gen",C1742))+ISNUMBER(SEARCH("Marketing Lead",C1742))&gt;0,'Configuración'!$B$33,IF(ISNUMBER(SEARCH("COO",C1742))+ISNUMBER(SEARCH("CFO",C1742))+ISNUMBER(SEARCH("CTO",C1742))+ISNUMBER(SEARCH("Chief Operating",C1742))+ISNUMBER(SEARCH("Chief Financial",C1742))+ISNUMBER(SEARCH("Gerente General",C1742))+ISNUMBER(SEARCH("General Manager",C1742))&gt;0,'Configuración'!$B$34,'Configuración'!$B$35)))))</f>
        <v>0</v>
      </c>
      <c r="V1742" s="38">
        <f>IF(B1742="","",IF(K1742="Sí",'Configuración'!$B$5,0)+IF(L1742="Semanal",'Configuración'!$B$6,IF(L1742="Mensual",'Configuración'!$B$7,0))+IF(M1742="Sí",'Configuración'!$B$8,0)+IF(N1742="Sí",'Configuración'!$B$9,0)+IF(O1742="Sí",'Configuración'!$B$10,0)+IF(P1742="Sí",'Configuración'!$B$11,0)+IF(Q1742="Sí",'Configuración'!$B$12,0)+S1742+T1742+U1742)</f>
        <v>16</v>
      </c>
      <c r="W1742" s="39" t="str">
        <f>IF(B1742="","",IF(V1742&gt;='Configuración'!$B$19,"A",IF(V1742&gt;='Configuración'!$B$20,"B",IF(V1742&gt;='Configuración'!$B$21,"C","Descarte"))))</f>
        <v>Descarte</v>
      </c>
    </row>
    <row r="1743" ht="15.75" customHeight="1">
      <c r="A1743" s="34">
        <f t="shared" si="1"/>
        <v>1741</v>
      </c>
      <c r="B1743" s="29" t="s">
        <v>262</v>
      </c>
      <c r="C1743" s="29" t="s">
        <v>202</v>
      </c>
      <c r="D1743" s="29" t="s">
        <v>9698</v>
      </c>
      <c r="E1743" s="29" t="s">
        <v>9699</v>
      </c>
      <c r="F1743" s="30" t="s">
        <v>9700</v>
      </c>
      <c r="G1743" s="30" t="s">
        <v>9701</v>
      </c>
      <c r="H1743" s="42" t="s">
        <v>9702</v>
      </c>
      <c r="I1743" s="29" t="s">
        <v>116</v>
      </c>
      <c r="J1743" s="31">
        <v>2.0</v>
      </c>
      <c r="K1743" s="35"/>
      <c r="L1743" s="35"/>
      <c r="M1743" s="35"/>
      <c r="N1743" s="35"/>
      <c r="O1743" s="35"/>
      <c r="P1743" s="35"/>
      <c r="Q1743" s="35"/>
      <c r="R1743" s="35"/>
      <c r="S1743" s="37">
        <f>IF(B1743="","",IF(ISNUMBER(J1743),IF(J1743&lt;=10,'Configuración'!$B$23,IF(J1743&lt;=50,'Configuración'!$B$24,IF(J1743&lt;=200,'Configuración'!$B$25,0))),0))</f>
        <v>12</v>
      </c>
      <c r="T1743" s="37">
        <f>IF(B1743="","",IF(ISNUMBER(SEARCH("information technology",I1743))+ISNUMBER(SEARCH("software",I1743))+ISNUMBER(SEARCH("internet",I1743))+ISNUMBER(SEARCH("computer",I1743))+ISNUMBER(SEARCH("saas",I1743))+ISNUMBER(SEARCH("fintech",I1743))+ISNUMBER(SEARCH("information services",I1743))+ISNUMBER(SEARCH("telecommunications",I1743))&gt;0,'Configuración'!$B$27,'Configuración'!$B$28))</f>
        <v>4</v>
      </c>
      <c r="U1743" s="25">
        <f>IF(B1743="","",IF(ISNUMBER(SEARCH("CEO",C1743))+ISNUMBER(SEARCH("Founder",C1743))+ISNUMBER(SEARCH("Owner",C1743))+ISNUMBER(SEARCH("Dueño",C1743))+ISNUMBER(SEARCH("Director General",C1743))+ISNUMBER(SEARCH("Presidente",C1743))+ISNUMBER(SEARCH("President",C1743))&gt;0,'Configuración'!$B$31,IF(ISNUMBER(SEARCH("CMO",C1743))+ISNUMBER(SEARCH("Chief Marketing",C1743))+ISNUMBER(SEARCH("VP Marketing",C1743))+ISNUMBER(SEARCH("Director de Marketing",C1743))+ISNUMBER(SEARCH("Director Marketing",C1743))+ISNUMBER(SEARCH("Head of Marketing",C1743))+ISNUMBER(SEARCH("Head Marketing",C1743))&gt;0,'Configuración'!$B$32,IF(ISNUMBER(SEARCH("Marketing Manager",C1743))+ISNUMBER(SEARCH("Gerente de Marketing",C1743))+ISNUMBER(SEARCH("Growth Manager",C1743))+ISNUMBER(SEARCH("Demand Gen",C1743))+ISNUMBER(SEARCH("Marketing Lead",C1743))&gt;0,'Configuración'!$B$33,IF(ISNUMBER(SEARCH("COO",C1743))+ISNUMBER(SEARCH("CFO",C1743))+ISNUMBER(SEARCH("CTO",C1743))+ISNUMBER(SEARCH("Chief Operating",C1743))+ISNUMBER(SEARCH("Chief Financial",C1743))+ISNUMBER(SEARCH("Gerente General",C1743))+ISNUMBER(SEARCH("General Manager",C1743))&gt;0,'Configuración'!$B$34,'Configuración'!$B$35)))))</f>
        <v>12</v>
      </c>
      <c r="V1743" s="38">
        <f>IF(B1743="","",IF(K1743="Sí",'Configuración'!$B$5,0)+IF(L1743="Semanal",'Configuración'!$B$6,IF(L1743="Mensual",'Configuración'!$B$7,0))+IF(M1743="Sí",'Configuración'!$B$8,0)+IF(N1743="Sí",'Configuración'!$B$9,0)+IF(O1743="Sí",'Configuración'!$B$10,0)+IF(P1743="Sí",'Configuración'!$B$11,0)+IF(Q1743="Sí",'Configuración'!$B$12,0)+S1743+T1743+U1743)</f>
        <v>28</v>
      </c>
      <c r="W1743" s="39" t="str">
        <f>IF(B1743="","",IF(V1743&gt;='Configuración'!$B$19,"A",IF(V1743&gt;='Configuración'!$B$20,"B",IF(V1743&gt;='Configuración'!$B$21,"C","Descarte"))))</f>
        <v>C</v>
      </c>
    </row>
    <row r="1744" ht="15.75" customHeight="1">
      <c r="A1744" s="34">
        <f t="shared" si="1"/>
        <v>1742</v>
      </c>
      <c r="B1744" s="29" t="s">
        <v>473</v>
      </c>
      <c r="C1744" s="29" t="s">
        <v>9703</v>
      </c>
      <c r="D1744" s="29" t="s">
        <v>9704</v>
      </c>
      <c r="E1744" s="29" t="s">
        <v>9705</v>
      </c>
      <c r="F1744" s="30" t="s">
        <v>9706</v>
      </c>
      <c r="G1744" s="30" t="s">
        <v>9707</v>
      </c>
      <c r="H1744" s="42" t="s">
        <v>9708</v>
      </c>
      <c r="I1744" s="29" t="s">
        <v>127</v>
      </c>
      <c r="J1744" s="31">
        <v>40.0</v>
      </c>
      <c r="K1744" s="35"/>
      <c r="L1744" s="35"/>
      <c r="M1744" s="35"/>
      <c r="N1744" s="35"/>
      <c r="O1744" s="35"/>
      <c r="P1744" s="35"/>
      <c r="Q1744" s="35"/>
      <c r="R1744" s="35"/>
      <c r="S1744" s="37">
        <f>IF(B1744="","",IF(ISNUMBER(J1744),IF(J1744&lt;=10,'Configuración'!$B$23,IF(J1744&lt;=50,'Configuración'!$B$24,IF(J1744&lt;=200,'Configuración'!$B$25,0))),0))</f>
        <v>4</v>
      </c>
      <c r="T1744" s="37">
        <f>IF(B1744="","",IF(ISNUMBER(SEARCH("information technology",I1744))+ISNUMBER(SEARCH("software",I1744))+ISNUMBER(SEARCH("internet",I1744))+ISNUMBER(SEARCH("computer",I1744))+ISNUMBER(SEARCH("saas",I1744))+ISNUMBER(SEARCH("fintech",I1744))+ISNUMBER(SEARCH("information services",I1744))+ISNUMBER(SEARCH("telecommunications",I1744))&gt;0,'Configuración'!$B$27,'Configuración'!$B$28))</f>
        <v>12</v>
      </c>
      <c r="U1744" s="25">
        <f>IF(B1744="","",IF(ISNUMBER(SEARCH("CEO",C1744))+ISNUMBER(SEARCH("Founder",C1744))+ISNUMBER(SEARCH("Owner",C1744))+ISNUMBER(SEARCH("Dueño",C1744))+ISNUMBER(SEARCH("Director General",C1744))+ISNUMBER(SEARCH("Presidente",C1744))+ISNUMBER(SEARCH("President",C1744))&gt;0,'Configuración'!$B$31,IF(ISNUMBER(SEARCH("CMO",C1744))+ISNUMBER(SEARCH("Chief Marketing",C1744))+ISNUMBER(SEARCH("VP Marketing",C1744))+ISNUMBER(SEARCH("Director de Marketing",C1744))+ISNUMBER(SEARCH("Director Marketing",C1744))+ISNUMBER(SEARCH("Head of Marketing",C1744))+ISNUMBER(SEARCH("Head Marketing",C1744))&gt;0,'Configuración'!$B$32,IF(ISNUMBER(SEARCH("Marketing Manager",C1744))+ISNUMBER(SEARCH("Gerente de Marketing",C1744))+ISNUMBER(SEARCH("Growth Manager",C1744))+ISNUMBER(SEARCH("Demand Gen",C1744))+ISNUMBER(SEARCH("Marketing Lead",C1744))&gt;0,'Configuración'!$B$33,IF(ISNUMBER(SEARCH("COO",C1744))+ISNUMBER(SEARCH("CFO",C1744))+ISNUMBER(SEARCH("CTO",C1744))+ISNUMBER(SEARCH("Chief Operating",C1744))+ISNUMBER(SEARCH("Chief Financial",C1744))+ISNUMBER(SEARCH("Gerente General",C1744))+ISNUMBER(SEARCH("General Manager",C1744))&gt;0,'Configuración'!$B$34,'Configuración'!$B$35)))))</f>
        <v>4</v>
      </c>
      <c r="V1744" s="38">
        <f>IF(B1744="","",IF(K1744="Sí",'Configuración'!$B$5,0)+IF(L1744="Semanal",'Configuración'!$B$6,IF(L1744="Mensual",'Configuración'!$B$7,0))+IF(M1744="Sí",'Configuración'!$B$8,0)+IF(N1744="Sí",'Configuración'!$B$9,0)+IF(O1744="Sí",'Configuración'!$B$10,0)+IF(P1744="Sí",'Configuración'!$B$11,0)+IF(Q1744="Sí",'Configuración'!$B$12,0)+S1744+T1744+U1744)</f>
        <v>20</v>
      </c>
      <c r="W1744" s="39" t="str">
        <f>IF(B1744="","",IF(V1744&gt;='Configuración'!$B$19,"A",IF(V1744&gt;='Configuración'!$B$20,"B",IF(V1744&gt;='Configuración'!$B$21,"C","Descarte"))))</f>
        <v>Descarte</v>
      </c>
    </row>
    <row r="1745" ht="15.75" customHeight="1">
      <c r="A1745" s="34">
        <f t="shared" si="1"/>
        <v>1743</v>
      </c>
      <c r="B1745" s="29" t="s">
        <v>529</v>
      </c>
      <c r="C1745" s="29" t="s">
        <v>1381</v>
      </c>
      <c r="D1745" s="29" t="s">
        <v>9709</v>
      </c>
      <c r="E1745" s="29" t="s">
        <v>9710</v>
      </c>
      <c r="F1745" s="30" t="s">
        <v>9711</v>
      </c>
      <c r="G1745" s="30" t="s">
        <v>9712</v>
      </c>
      <c r="H1745" s="42" t="s">
        <v>9713</v>
      </c>
      <c r="I1745" s="29" t="s">
        <v>946</v>
      </c>
      <c r="J1745" s="31">
        <v>35.0</v>
      </c>
      <c r="K1745" s="35"/>
      <c r="L1745" s="35"/>
      <c r="M1745" s="35"/>
      <c r="N1745" s="35"/>
      <c r="O1745" s="35"/>
      <c r="P1745" s="35"/>
      <c r="Q1745" s="35"/>
      <c r="R1745" s="35"/>
      <c r="S1745" s="37">
        <f>IF(B1745="","",IF(ISNUMBER(J1745),IF(J1745&lt;=10,'Configuración'!$B$23,IF(J1745&lt;=50,'Configuración'!$B$24,IF(J1745&lt;=200,'Configuración'!$B$25,0))),0))</f>
        <v>4</v>
      </c>
      <c r="T1745" s="37">
        <f>IF(B1745="","",IF(ISNUMBER(SEARCH("information technology",I1745))+ISNUMBER(SEARCH("software",I1745))+ISNUMBER(SEARCH("internet",I1745))+ISNUMBER(SEARCH("computer",I1745))+ISNUMBER(SEARCH("saas",I1745))+ISNUMBER(SEARCH("fintech",I1745))+ISNUMBER(SEARCH("information services",I1745))+ISNUMBER(SEARCH("telecommunications",I1745))&gt;0,'Configuración'!$B$27,'Configuración'!$B$28))</f>
        <v>4</v>
      </c>
      <c r="U1745" s="25">
        <f>IF(B1745="","",IF(ISNUMBER(SEARCH("CEO",C1745))+ISNUMBER(SEARCH("Founder",C1745))+ISNUMBER(SEARCH("Owner",C1745))+ISNUMBER(SEARCH("Dueño",C1745))+ISNUMBER(SEARCH("Director General",C1745))+ISNUMBER(SEARCH("Presidente",C1745))+ISNUMBER(SEARCH("President",C1745))&gt;0,'Configuración'!$B$31,IF(ISNUMBER(SEARCH("CMO",C1745))+ISNUMBER(SEARCH("Chief Marketing",C1745))+ISNUMBER(SEARCH("VP Marketing",C1745))+ISNUMBER(SEARCH("Director de Marketing",C1745))+ISNUMBER(SEARCH("Director Marketing",C1745))+ISNUMBER(SEARCH("Head of Marketing",C1745))+ISNUMBER(SEARCH("Head Marketing",C1745))&gt;0,'Configuración'!$B$32,IF(ISNUMBER(SEARCH("Marketing Manager",C1745))+ISNUMBER(SEARCH("Gerente de Marketing",C1745))+ISNUMBER(SEARCH("Growth Manager",C1745))+ISNUMBER(SEARCH("Demand Gen",C1745))+ISNUMBER(SEARCH("Marketing Lead",C1745))&gt;0,'Configuración'!$B$33,IF(ISNUMBER(SEARCH("COO",C1745))+ISNUMBER(SEARCH("CFO",C1745))+ISNUMBER(SEARCH("CTO",C1745))+ISNUMBER(SEARCH("Chief Operating",C1745))+ISNUMBER(SEARCH("Chief Financial",C1745))+ISNUMBER(SEARCH("Gerente General",C1745))+ISNUMBER(SEARCH("General Manager",C1745))&gt;0,'Configuración'!$B$34,'Configuración'!$B$35)))))</f>
        <v>12</v>
      </c>
      <c r="V1745" s="38">
        <f>IF(B1745="","",IF(K1745="Sí",'Configuración'!$B$5,0)+IF(L1745="Semanal",'Configuración'!$B$6,IF(L1745="Mensual",'Configuración'!$B$7,0))+IF(M1745="Sí",'Configuración'!$B$8,0)+IF(N1745="Sí",'Configuración'!$B$9,0)+IF(O1745="Sí",'Configuración'!$B$10,0)+IF(P1745="Sí",'Configuración'!$B$11,0)+IF(Q1745="Sí",'Configuración'!$B$12,0)+S1745+T1745+U1745)</f>
        <v>20</v>
      </c>
      <c r="W1745" s="39" t="str">
        <f>IF(B1745="","",IF(V1745&gt;='Configuración'!$B$19,"A",IF(V1745&gt;='Configuración'!$B$20,"B",IF(V1745&gt;='Configuración'!$B$21,"C","Descarte"))))</f>
        <v>Descarte</v>
      </c>
    </row>
    <row r="1746" ht="15.75" customHeight="1">
      <c r="A1746" s="34">
        <f t="shared" si="1"/>
        <v>1744</v>
      </c>
      <c r="B1746" s="29" t="s">
        <v>174</v>
      </c>
      <c r="C1746" s="29" t="s">
        <v>9714</v>
      </c>
      <c r="D1746" s="29" t="s">
        <v>9715</v>
      </c>
      <c r="E1746" s="29" t="s">
        <v>9716</v>
      </c>
      <c r="F1746" s="30" t="s">
        <v>9717</v>
      </c>
      <c r="G1746" s="30" t="s">
        <v>9718</v>
      </c>
      <c r="H1746" s="42" t="s">
        <v>9719</v>
      </c>
      <c r="I1746" s="29" t="s">
        <v>188</v>
      </c>
      <c r="J1746" s="31">
        <v>3.0</v>
      </c>
      <c r="K1746" s="35"/>
      <c r="L1746" s="35"/>
      <c r="M1746" s="35"/>
      <c r="N1746" s="35"/>
      <c r="O1746" s="35"/>
      <c r="P1746" s="35"/>
      <c r="Q1746" s="35"/>
      <c r="R1746" s="35"/>
      <c r="S1746" s="37">
        <f>IF(B1746="","",IF(ISNUMBER(J1746),IF(J1746&lt;=10,'Configuración'!$B$23,IF(J1746&lt;=50,'Configuración'!$B$24,IF(J1746&lt;=200,'Configuración'!$B$25,0))),0))</f>
        <v>12</v>
      </c>
      <c r="T1746" s="37">
        <f>IF(B1746="","",IF(ISNUMBER(SEARCH("information technology",I1746))+ISNUMBER(SEARCH("software",I1746))+ISNUMBER(SEARCH("internet",I1746))+ISNUMBER(SEARCH("computer",I1746))+ISNUMBER(SEARCH("saas",I1746))+ISNUMBER(SEARCH("fintech",I1746))+ISNUMBER(SEARCH("information services",I1746))+ISNUMBER(SEARCH("telecommunications",I1746))&gt;0,'Configuración'!$B$27,'Configuración'!$B$28))</f>
        <v>4</v>
      </c>
      <c r="U1746" s="25">
        <f>IF(B1746="","",IF(ISNUMBER(SEARCH("CEO",C1746))+ISNUMBER(SEARCH("Founder",C1746))+ISNUMBER(SEARCH("Owner",C1746))+ISNUMBER(SEARCH("Dueño",C1746))+ISNUMBER(SEARCH("Director General",C1746))+ISNUMBER(SEARCH("Presidente",C1746))+ISNUMBER(SEARCH("President",C1746))&gt;0,'Configuración'!$B$31,IF(ISNUMBER(SEARCH("CMO",C1746))+ISNUMBER(SEARCH("Chief Marketing",C1746))+ISNUMBER(SEARCH("VP Marketing",C1746))+ISNUMBER(SEARCH("Director de Marketing",C1746))+ISNUMBER(SEARCH("Director Marketing",C1746))+ISNUMBER(SEARCH("Head of Marketing",C1746))+ISNUMBER(SEARCH("Head Marketing",C1746))&gt;0,'Configuración'!$B$32,IF(ISNUMBER(SEARCH("Marketing Manager",C1746))+ISNUMBER(SEARCH("Gerente de Marketing",C1746))+ISNUMBER(SEARCH("Growth Manager",C1746))+ISNUMBER(SEARCH("Demand Gen",C1746))+ISNUMBER(SEARCH("Marketing Lead",C1746))&gt;0,'Configuración'!$B$33,IF(ISNUMBER(SEARCH("COO",C1746))+ISNUMBER(SEARCH("CFO",C1746))+ISNUMBER(SEARCH("CTO",C1746))+ISNUMBER(SEARCH("Chief Operating",C1746))+ISNUMBER(SEARCH("Chief Financial",C1746))+ISNUMBER(SEARCH("Gerente General",C1746))+ISNUMBER(SEARCH("General Manager",C1746))&gt;0,'Configuración'!$B$34,'Configuración'!$B$35)))))</f>
        <v>12</v>
      </c>
      <c r="V1746" s="38">
        <f>IF(B1746="","",IF(K1746="Sí",'Configuración'!$B$5,0)+IF(L1746="Semanal",'Configuración'!$B$6,IF(L1746="Mensual",'Configuración'!$B$7,0))+IF(M1746="Sí",'Configuración'!$B$8,0)+IF(N1746="Sí",'Configuración'!$B$9,0)+IF(O1746="Sí",'Configuración'!$B$10,0)+IF(P1746="Sí",'Configuración'!$B$11,0)+IF(Q1746="Sí",'Configuración'!$B$12,0)+S1746+T1746+U1746)</f>
        <v>28</v>
      </c>
      <c r="W1746" s="39" t="str">
        <f>IF(B1746="","",IF(V1746&gt;='Configuración'!$B$19,"A",IF(V1746&gt;='Configuración'!$B$20,"B",IF(V1746&gt;='Configuración'!$B$21,"C","Descarte"))))</f>
        <v>C</v>
      </c>
    </row>
    <row r="1747" ht="15.75" customHeight="1">
      <c r="A1747" s="34">
        <f t="shared" si="1"/>
        <v>1745</v>
      </c>
      <c r="B1747" s="29" t="s">
        <v>2931</v>
      </c>
      <c r="C1747" s="29" t="s">
        <v>622</v>
      </c>
      <c r="D1747" s="29" t="s">
        <v>9720</v>
      </c>
      <c r="E1747" s="29" t="s">
        <v>9721</v>
      </c>
      <c r="F1747" s="30" t="s">
        <v>9722</v>
      </c>
      <c r="G1747" s="30" t="s">
        <v>9723</v>
      </c>
      <c r="H1747" s="42" t="s">
        <v>9724</v>
      </c>
      <c r="I1747" s="29" t="s">
        <v>127</v>
      </c>
      <c r="J1747" s="31">
        <v>8.0</v>
      </c>
      <c r="K1747" s="35"/>
      <c r="L1747" s="35"/>
      <c r="M1747" s="35"/>
      <c r="N1747" s="35"/>
      <c r="O1747" s="35"/>
      <c r="P1747" s="35"/>
      <c r="Q1747" s="35"/>
      <c r="R1747" s="35"/>
      <c r="S1747" s="37">
        <f>IF(B1747="","",IF(ISNUMBER(J1747),IF(J1747&lt;=10,'Configuración'!$B$23,IF(J1747&lt;=50,'Configuración'!$B$24,IF(J1747&lt;=200,'Configuración'!$B$25,0))),0))</f>
        <v>12</v>
      </c>
      <c r="T1747" s="37">
        <f>IF(B1747="","",IF(ISNUMBER(SEARCH("information technology",I1747))+ISNUMBER(SEARCH("software",I1747))+ISNUMBER(SEARCH("internet",I1747))+ISNUMBER(SEARCH("computer",I1747))+ISNUMBER(SEARCH("saas",I1747))+ISNUMBER(SEARCH("fintech",I1747))+ISNUMBER(SEARCH("information services",I1747))+ISNUMBER(SEARCH("telecommunications",I1747))&gt;0,'Configuración'!$B$27,'Configuración'!$B$28))</f>
        <v>12</v>
      </c>
      <c r="U1747" s="25">
        <f>IF(B1747="","",IF(ISNUMBER(SEARCH("CEO",C1747))+ISNUMBER(SEARCH("Founder",C1747))+ISNUMBER(SEARCH("Owner",C1747))+ISNUMBER(SEARCH("Dueño",C1747))+ISNUMBER(SEARCH("Director General",C1747))+ISNUMBER(SEARCH("Presidente",C1747))+ISNUMBER(SEARCH("President",C1747))&gt;0,'Configuración'!$B$31,IF(ISNUMBER(SEARCH("CMO",C1747))+ISNUMBER(SEARCH("Chief Marketing",C1747))+ISNUMBER(SEARCH("VP Marketing",C1747))+ISNUMBER(SEARCH("Director de Marketing",C1747))+ISNUMBER(SEARCH("Director Marketing",C1747))+ISNUMBER(SEARCH("Head of Marketing",C1747))+ISNUMBER(SEARCH("Head Marketing",C1747))&gt;0,'Configuración'!$B$32,IF(ISNUMBER(SEARCH("Marketing Manager",C1747))+ISNUMBER(SEARCH("Gerente de Marketing",C1747))+ISNUMBER(SEARCH("Growth Manager",C1747))+ISNUMBER(SEARCH("Demand Gen",C1747))+ISNUMBER(SEARCH("Marketing Lead",C1747))&gt;0,'Configuración'!$B$33,IF(ISNUMBER(SEARCH("COO",C1747))+ISNUMBER(SEARCH("CFO",C1747))+ISNUMBER(SEARCH("CTO",C1747))+ISNUMBER(SEARCH("Chief Operating",C1747))+ISNUMBER(SEARCH("Chief Financial",C1747))+ISNUMBER(SEARCH("Gerente General",C1747))+ISNUMBER(SEARCH("General Manager",C1747))&gt;0,'Configuración'!$B$34,'Configuración'!$B$35)))))</f>
        <v>12</v>
      </c>
      <c r="V1747" s="38">
        <f>IF(B1747="","",IF(K1747="Sí",'Configuración'!$B$5,0)+IF(L1747="Semanal",'Configuración'!$B$6,IF(L1747="Mensual",'Configuración'!$B$7,0))+IF(M1747="Sí",'Configuración'!$B$8,0)+IF(N1747="Sí",'Configuración'!$B$9,0)+IF(O1747="Sí",'Configuración'!$B$10,0)+IF(P1747="Sí",'Configuración'!$B$11,0)+IF(Q1747="Sí",'Configuración'!$B$12,0)+S1747+T1747+U1747)</f>
        <v>36</v>
      </c>
      <c r="W1747" s="39" t="str">
        <f>IF(B1747="","",IF(V1747&gt;='Configuración'!$B$19,"A",IF(V1747&gt;='Configuración'!$B$20,"B",IF(V1747&gt;='Configuración'!$B$21,"C","Descarte"))))</f>
        <v>C</v>
      </c>
    </row>
    <row r="1748" ht="15.75" customHeight="1">
      <c r="A1748" s="34">
        <f t="shared" si="1"/>
        <v>1746</v>
      </c>
      <c r="B1748" s="29" t="s">
        <v>166</v>
      </c>
      <c r="C1748" s="29" t="s">
        <v>9725</v>
      </c>
      <c r="D1748" s="29" t="s">
        <v>9726</v>
      </c>
      <c r="E1748" s="29" t="s">
        <v>9727</v>
      </c>
      <c r="F1748" s="30" t="s">
        <v>9728</v>
      </c>
      <c r="G1748" s="30" t="s">
        <v>9729</v>
      </c>
      <c r="H1748" s="42" t="s">
        <v>9730</v>
      </c>
      <c r="I1748" s="29" t="s">
        <v>116</v>
      </c>
      <c r="J1748" s="31">
        <v>46.0</v>
      </c>
      <c r="K1748" s="35"/>
      <c r="L1748" s="35"/>
      <c r="M1748" s="35"/>
      <c r="N1748" s="35"/>
      <c r="O1748" s="35"/>
      <c r="P1748" s="35"/>
      <c r="Q1748" s="35"/>
      <c r="R1748" s="35"/>
      <c r="S1748" s="37">
        <f>IF(B1748="","",IF(ISNUMBER(J1748),IF(J1748&lt;=10,'Configuración'!$B$23,IF(J1748&lt;=50,'Configuración'!$B$24,IF(J1748&lt;=200,'Configuración'!$B$25,0))),0))</f>
        <v>4</v>
      </c>
      <c r="T1748" s="37">
        <f>IF(B1748="","",IF(ISNUMBER(SEARCH("information technology",I1748))+ISNUMBER(SEARCH("software",I1748))+ISNUMBER(SEARCH("internet",I1748))+ISNUMBER(SEARCH("computer",I1748))+ISNUMBER(SEARCH("saas",I1748))+ISNUMBER(SEARCH("fintech",I1748))+ISNUMBER(SEARCH("information services",I1748))+ISNUMBER(SEARCH("telecommunications",I1748))&gt;0,'Configuración'!$B$27,'Configuración'!$B$28))</f>
        <v>4</v>
      </c>
      <c r="U1748" s="25">
        <f>IF(B1748="","",IF(ISNUMBER(SEARCH("CEO",C1748))+ISNUMBER(SEARCH("Founder",C1748))+ISNUMBER(SEARCH("Owner",C1748))+ISNUMBER(SEARCH("Dueño",C1748))+ISNUMBER(SEARCH("Director General",C1748))+ISNUMBER(SEARCH("Presidente",C1748))+ISNUMBER(SEARCH("President",C1748))&gt;0,'Configuración'!$B$31,IF(ISNUMBER(SEARCH("CMO",C1748))+ISNUMBER(SEARCH("Chief Marketing",C1748))+ISNUMBER(SEARCH("VP Marketing",C1748))+ISNUMBER(SEARCH("Director de Marketing",C1748))+ISNUMBER(SEARCH("Director Marketing",C1748))+ISNUMBER(SEARCH("Head of Marketing",C1748))+ISNUMBER(SEARCH("Head Marketing",C1748))&gt;0,'Configuración'!$B$32,IF(ISNUMBER(SEARCH("Marketing Manager",C1748))+ISNUMBER(SEARCH("Gerente de Marketing",C1748))+ISNUMBER(SEARCH("Growth Manager",C1748))+ISNUMBER(SEARCH("Demand Gen",C1748))+ISNUMBER(SEARCH("Marketing Lead",C1748))&gt;0,'Configuración'!$B$33,IF(ISNUMBER(SEARCH("COO",C1748))+ISNUMBER(SEARCH("CFO",C1748))+ISNUMBER(SEARCH("CTO",C1748))+ISNUMBER(SEARCH("Chief Operating",C1748))+ISNUMBER(SEARCH("Chief Financial",C1748))+ISNUMBER(SEARCH("Gerente General",C1748))+ISNUMBER(SEARCH("General Manager",C1748))&gt;0,'Configuración'!$B$34,'Configuración'!$B$35)))))</f>
        <v>12</v>
      </c>
      <c r="V1748" s="38">
        <f>IF(B1748="","",IF(K1748="Sí",'Configuración'!$B$5,0)+IF(L1748="Semanal",'Configuración'!$B$6,IF(L1748="Mensual",'Configuración'!$B$7,0))+IF(M1748="Sí",'Configuración'!$B$8,0)+IF(N1748="Sí",'Configuración'!$B$9,0)+IF(O1748="Sí",'Configuración'!$B$10,0)+IF(P1748="Sí",'Configuración'!$B$11,0)+IF(Q1748="Sí",'Configuración'!$B$12,0)+S1748+T1748+U1748)</f>
        <v>20</v>
      </c>
      <c r="W1748" s="39" t="str">
        <f>IF(B1748="","",IF(V1748&gt;='Configuración'!$B$19,"A",IF(V1748&gt;='Configuración'!$B$20,"B",IF(V1748&gt;='Configuración'!$B$21,"C","Descarte"))))</f>
        <v>Descarte</v>
      </c>
    </row>
    <row r="1749" ht="15.75" customHeight="1">
      <c r="A1749" s="34">
        <f t="shared" si="1"/>
        <v>1747</v>
      </c>
      <c r="B1749" s="29" t="s">
        <v>473</v>
      </c>
      <c r="C1749" s="29" t="s">
        <v>597</v>
      </c>
      <c r="D1749" s="29" t="s">
        <v>9731</v>
      </c>
      <c r="E1749" s="29" t="s">
        <v>9732</v>
      </c>
      <c r="F1749" s="30" t="s">
        <v>9733</v>
      </c>
      <c r="G1749" s="30" t="s">
        <v>9734</v>
      </c>
      <c r="H1749" s="42" t="s">
        <v>9735</v>
      </c>
      <c r="I1749" s="29" t="s">
        <v>337</v>
      </c>
      <c r="J1749" s="31">
        <v>9.0</v>
      </c>
      <c r="K1749" s="35"/>
      <c r="L1749" s="35"/>
      <c r="M1749" s="35"/>
      <c r="N1749" s="35"/>
      <c r="O1749" s="35"/>
      <c r="P1749" s="35"/>
      <c r="Q1749" s="35"/>
      <c r="R1749" s="35"/>
      <c r="S1749" s="37">
        <f>IF(B1749="","",IF(ISNUMBER(J1749),IF(J1749&lt;=10,'Configuración'!$B$23,IF(J1749&lt;=50,'Configuración'!$B$24,IF(J1749&lt;=200,'Configuración'!$B$25,0))),0))</f>
        <v>12</v>
      </c>
      <c r="T1749" s="37">
        <f>IF(B1749="","",IF(ISNUMBER(SEARCH("information technology",I1749))+ISNUMBER(SEARCH("software",I1749))+ISNUMBER(SEARCH("internet",I1749))+ISNUMBER(SEARCH("computer",I1749))+ISNUMBER(SEARCH("saas",I1749))+ISNUMBER(SEARCH("fintech",I1749))+ISNUMBER(SEARCH("information services",I1749))+ISNUMBER(SEARCH("telecommunications",I1749))&gt;0,'Configuración'!$B$27,'Configuración'!$B$28))</f>
        <v>4</v>
      </c>
      <c r="U1749" s="25">
        <f>IF(B1749="","",IF(ISNUMBER(SEARCH("CEO",C1749))+ISNUMBER(SEARCH("Founder",C1749))+ISNUMBER(SEARCH("Owner",C1749))+ISNUMBER(SEARCH("Dueño",C1749))+ISNUMBER(SEARCH("Director General",C1749))+ISNUMBER(SEARCH("Presidente",C1749))+ISNUMBER(SEARCH("President",C1749))&gt;0,'Configuración'!$B$31,IF(ISNUMBER(SEARCH("CMO",C1749))+ISNUMBER(SEARCH("Chief Marketing",C1749))+ISNUMBER(SEARCH("VP Marketing",C1749))+ISNUMBER(SEARCH("Director de Marketing",C1749))+ISNUMBER(SEARCH("Director Marketing",C1749))+ISNUMBER(SEARCH("Head of Marketing",C1749))+ISNUMBER(SEARCH("Head Marketing",C1749))&gt;0,'Configuración'!$B$32,IF(ISNUMBER(SEARCH("Marketing Manager",C1749))+ISNUMBER(SEARCH("Gerente de Marketing",C1749))+ISNUMBER(SEARCH("Growth Manager",C1749))+ISNUMBER(SEARCH("Demand Gen",C1749))+ISNUMBER(SEARCH("Marketing Lead",C1749))&gt;0,'Configuración'!$B$33,IF(ISNUMBER(SEARCH("COO",C1749))+ISNUMBER(SEARCH("CFO",C1749))+ISNUMBER(SEARCH("CTO",C1749))+ISNUMBER(SEARCH("Chief Operating",C1749))+ISNUMBER(SEARCH("Chief Financial",C1749))+ISNUMBER(SEARCH("Gerente General",C1749))+ISNUMBER(SEARCH("General Manager",C1749))&gt;0,'Configuración'!$B$34,'Configuración'!$B$35)))))</f>
        <v>12</v>
      </c>
      <c r="V1749" s="38">
        <f>IF(B1749="","",IF(K1749="Sí",'Configuración'!$B$5,0)+IF(L1749="Semanal",'Configuración'!$B$6,IF(L1749="Mensual",'Configuración'!$B$7,0))+IF(M1749="Sí",'Configuración'!$B$8,0)+IF(N1749="Sí",'Configuración'!$B$9,0)+IF(O1749="Sí",'Configuración'!$B$10,0)+IF(P1749="Sí",'Configuración'!$B$11,0)+IF(Q1749="Sí",'Configuración'!$B$12,0)+S1749+T1749+U1749)</f>
        <v>28</v>
      </c>
      <c r="W1749" s="39" t="str">
        <f>IF(B1749="","",IF(V1749&gt;='Configuración'!$B$19,"A",IF(V1749&gt;='Configuración'!$B$20,"B",IF(V1749&gt;='Configuración'!$B$21,"C","Descarte"))))</f>
        <v>C</v>
      </c>
    </row>
    <row r="1750" ht="15.75" customHeight="1">
      <c r="A1750" s="34">
        <f t="shared" si="1"/>
        <v>1748</v>
      </c>
      <c r="B1750" s="29" t="s">
        <v>578</v>
      </c>
      <c r="C1750" s="29" t="s">
        <v>9736</v>
      </c>
      <c r="D1750" s="29" t="s">
        <v>9737</v>
      </c>
      <c r="E1750" s="29" t="s">
        <v>9738</v>
      </c>
      <c r="F1750" s="30" t="s">
        <v>9739</v>
      </c>
      <c r="G1750" s="30" t="s">
        <v>9740</v>
      </c>
      <c r="H1750" s="42" t="s">
        <v>9741</v>
      </c>
      <c r="I1750" s="29" t="s">
        <v>659</v>
      </c>
      <c r="J1750" s="31">
        <v>1.0</v>
      </c>
      <c r="K1750" s="35"/>
      <c r="L1750" s="35"/>
      <c r="M1750" s="35"/>
      <c r="N1750" s="35"/>
      <c r="O1750" s="35"/>
      <c r="P1750" s="35"/>
      <c r="Q1750" s="35"/>
      <c r="R1750" s="35"/>
      <c r="S1750" s="37">
        <f>IF(B1750="","",IF(ISNUMBER(J1750),IF(J1750&lt;=10,'Configuración'!$B$23,IF(J1750&lt;=50,'Configuración'!$B$24,IF(J1750&lt;=200,'Configuración'!$B$25,0))),0))</f>
        <v>12</v>
      </c>
      <c r="T1750" s="37">
        <f>IF(B1750="","",IF(ISNUMBER(SEARCH("information technology",I1750))+ISNUMBER(SEARCH("software",I1750))+ISNUMBER(SEARCH("internet",I1750))+ISNUMBER(SEARCH("computer",I1750))+ISNUMBER(SEARCH("saas",I1750))+ISNUMBER(SEARCH("fintech",I1750))+ISNUMBER(SEARCH("information services",I1750))+ISNUMBER(SEARCH("telecommunications",I1750))&gt;0,'Configuración'!$B$27,'Configuración'!$B$28))</f>
        <v>4</v>
      </c>
      <c r="U1750" s="25">
        <f>IF(B1750="","",IF(ISNUMBER(SEARCH("CEO",C1750))+ISNUMBER(SEARCH("Founder",C1750))+ISNUMBER(SEARCH("Owner",C1750))+ISNUMBER(SEARCH("Dueño",C1750))+ISNUMBER(SEARCH("Director General",C1750))+ISNUMBER(SEARCH("Presidente",C1750))+ISNUMBER(SEARCH("President",C1750))&gt;0,'Configuración'!$B$31,IF(ISNUMBER(SEARCH("CMO",C1750))+ISNUMBER(SEARCH("Chief Marketing",C1750))+ISNUMBER(SEARCH("VP Marketing",C1750))+ISNUMBER(SEARCH("Director de Marketing",C1750))+ISNUMBER(SEARCH("Director Marketing",C1750))+ISNUMBER(SEARCH("Head of Marketing",C1750))+ISNUMBER(SEARCH("Head Marketing",C1750))&gt;0,'Configuración'!$B$32,IF(ISNUMBER(SEARCH("Marketing Manager",C1750))+ISNUMBER(SEARCH("Gerente de Marketing",C1750))+ISNUMBER(SEARCH("Growth Manager",C1750))+ISNUMBER(SEARCH("Demand Gen",C1750))+ISNUMBER(SEARCH("Marketing Lead",C1750))&gt;0,'Configuración'!$B$33,IF(ISNUMBER(SEARCH("COO",C1750))+ISNUMBER(SEARCH("CFO",C1750))+ISNUMBER(SEARCH("CTO",C1750))+ISNUMBER(SEARCH("Chief Operating",C1750))+ISNUMBER(SEARCH("Chief Financial",C1750))+ISNUMBER(SEARCH("Gerente General",C1750))+ISNUMBER(SEARCH("General Manager",C1750))&gt;0,'Configuración'!$B$34,'Configuración'!$B$35)))))</f>
        <v>12</v>
      </c>
      <c r="V1750" s="38">
        <f>IF(B1750="","",IF(K1750="Sí",'Configuración'!$B$5,0)+IF(L1750="Semanal",'Configuración'!$B$6,IF(L1750="Mensual",'Configuración'!$B$7,0))+IF(M1750="Sí",'Configuración'!$B$8,0)+IF(N1750="Sí",'Configuración'!$B$9,0)+IF(O1750="Sí",'Configuración'!$B$10,0)+IF(P1750="Sí",'Configuración'!$B$11,0)+IF(Q1750="Sí",'Configuración'!$B$12,0)+S1750+T1750+U1750)</f>
        <v>28</v>
      </c>
      <c r="W1750" s="39" t="str">
        <f>IF(B1750="","",IF(V1750&gt;='Configuración'!$B$19,"A",IF(V1750&gt;='Configuración'!$B$20,"B",IF(V1750&gt;='Configuración'!$B$21,"C","Descarte"))))</f>
        <v>C</v>
      </c>
    </row>
    <row r="1751" ht="15.75" customHeight="1">
      <c r="A1751" s="34">
        <f t="shared" si="1"/>
        <v>1749</v>
      </c>
      <c r="B1751" s="29" t="s">
        <v>9742</v>
      </c>
      <c r="C1751" s="29" t="s">
        <v>719</v>
      </c>
      <c r="D1751" s="29" t="s">
        <v>1154</v>
      </c>
      <c r="E1751" s="29" t="s">
        <v>9743</v>
      </c>
      <c r="F1751" s="30" t="s">
        <v>9744</v>
      </c>
      <c r="G1751" s="30" t="s">
        <v>1157</v>
      </c>
      <c r="H1751" s="42" t="s">
        <v>1158</v>
      </c>
      <c r="I1751" s="29" t="s">
        <v>127</v>
      </c>
      <c r="J1751" s="31">
        <v>3.0</v>
      </c>
      <c r="K1751" s="35"/>
      <c r="L1751" s="35"/>
      <c r="M1751" s="35"/>
      <c r="N1751" s="35"/>
      <c r="O1751" s="35"/>
      <c r="P1751" s="35"/>
      <c r="Q1751" s="35"/>
      <c r="R1751" s="35"/>
      <c r="S1751" s="37">
        <f>IF(B1751="","",IF(ISNUMBER(J1751),IF(J1751&lt;=10,'Configuración'!$B$23,IF(J1751&lt;=50,'Configuración'!$B$24,IF(J1751&lt;=200,'Configuración'!$B$25,0))),0))</f>
        <v>12</v>
      </c>
      <c r="T1751" s="37">
        <f>IF(B1751="","",IF(ISNUMBER(SEARCH("information technology",I1751))+ISNUMBER(SEARCH("software",I1751))+ISNUMBER(SEARCH("internet",I1751))+ISNUMBER(SEARCH("computer",I1751))+ISNUMBER(SEARCH("saas",I1751))+ISNUMBER(SEARCH("fintech",I1751))+ISNUMBER(SEARCH("information services",I1751))+ISNUMBER(SEARCH("telecommunications",I1751))&gt;0,'Configuración'!$B$27,'Configuración'!$B$28))</f>
        <v>12</v>
      </c>
      <c r="U1751" s="25">
        <f>IF(B1751="","",IF(ISNUMBER(SEARCH("CEO",C1751))+ISNUMBER(SEARCH("Founder",C1751))+ISNUMBER(SEARCH("Owner",C1751))+ISNUMBER(SEARCH("Dueño",C1751))+ISNUMBER(SEARCH("Director General",C1751))+ISNUMBER(SEARCH("Presidente",C1751))+ISNUMBER(SEARCH("President",C1751))&gt;0,'Configuración'!$B$31,IF(ISNUMBER(SEARCH("CMO",C1751))+ISNUMBER(SEARCH("Chief Marketing",C1751))+ISNUMBER(SEARCH("VP Marketing",C1751))+ISNUMBER(SEARCH("Director de Marketing",C1751))+ISNUMBER(SEARCH("Director Marketing",C1751))+ISNUMBER(SEARCH("Head of Marketing",C1751))+ISNUMBER(SEARCH("Head Marketing",C1751))&gt;0,'Configuración'!$B$32,IF(ISNUMBER(SEARCH("Marketing Manager",C1751))+ISNUMBER(SEARCH("Gerente de Marketing",C1751))+ISNUMBER(SEARCH("Growth Manager",C1751))+ISNUMBER(SEARCH("Demand Gen",C1751))+ISNUMBER(SEARCH("Marketing Lead",C1751))&gt;0,'Configuración'!$B$33,IF(ISNUMBER(SEARCH("COO",C1751))+ISNUMBER(SEARCH("CFO",C1751))+ISNUMBER(SEARCH("CTO",C1751))+ISNUMBER(SEARCH("Chief Operating",C1751))+ISNUMBER(SEARCH("Chief Financial",C1751))+ISNUMBER(SEARCH("Gerente General",C1751))+ISNUMBER(SEARCH("General Manager",C1751))&gt;0,'Configuración'!$B$34,'Configuración'!$B$35)))))</f>
        <v>12</v>
      </c>
      <c r="V1751" s="38">
        <f>IF(B1751="","",IF(K1751="Sí",'Configuración'!$B$5,0)+IF(L1751="Semanal",'Configuración'!$B$6,IF(L1751="Mensual",'Configuración'!$B$7,0))+IF(M1751="Sí",'Configuración'!$B$8,0)+IF(N1751="Sí",'Configuración'!$B$9,0)+IF(O1751="Sí",'Configuración'!$B$10,0)+IF(P1751="Sí",'Configuración'!$B$11,0)+IF(Q1751="Sí",'Configuración'!$B$12,0)+S1751+T1751+U1751)</f>
        <v>36</v>
      </c>
      <c r="W1751" s="39" t="str">
        <f>IF(B1751="","",IF(V1751&gt;='Configuración'!$B$19,"A",IF(V1751&gt;='Configuración'!$B$20,"B",IF(V1751&gt;='Configuración'!$B$21,"C","Descarte"))))</f>
        <v>C</v>
      </c>
    </row>
    <row r="1752" ht="15.75" customHeight="1">
      <c r="A1752" s="34">
        <f t="shared" si="1"/>
        <v>1750</v>
      </c>
      <c r="B1752" s="29" t="s">
        <v>9009</v>
      </c>
      <c r="C1752" s="29" t="s">
        <v>622</v>
      </c>
      <c r="D1752" s="29" t="s">
        <v>9745</v>
      </c>
      <c r="E1752" s="29" t="s">
        <v>9746</v>
      </c>
      <c r="F1752" s="30" t="s">
        <v>9747</v>
      </c>
      <c r="G1752" s="30" t="s">
        <v>9748</v>
      </c>
      <c r="H1752" s="42" t="s">
        <v>9749</v>
      </c>
      <c r="I1752" s="29" t="s">
        <v>946</v>
      </c>
      <c r="J1752" s="31">
        <v>2.0</v>
      </c>
      <c r="K1752" s="35"/>
      <c r="L1752" s="35"/>
      <c r="M1752" s="35"/>
      <c r="N1752" s="35"/>
      <c r="O1752" s="35"/>
      <c r="P1752" s="35"/>
      <c r="Q1752" s="35"/>
      <c r="R1752" s="35"/>
      <c r="S1752" s="37">
        <f>IF(B1752="","",IF(ISNUMBER(J1752),IF(J1752&lt;=10,'Configuración'!$B$23,IF(J1752&lt;=50,'Configuración'!$B$24,IF(J1752&lt;=200,'Configuración'!$B$25,0))),0))</f>
        <v>12</v>
      </c>
      <c r="T1752" s="37">
        <f>IF(B1752="","",IF(ISNUMBER(SEARCH("information technology",I1752))+ISNUMBER(SEARCH("software",I1752))+ISNUMBER(SEARCH("internet",I1752))+ISNUMBER(SEARCH("computer",I1752))+ISNUMBER(SEARCH("saas",I1752))+ISNUMBER(SEARCH("fintech",I1752))+ISNUMBER(SEARCH("information services",I1752))+ISNUMBER(SEARCH("telecommunications",I1752))&gt;0,'Configuración'!$B$27,'Configuración'!$B$28))</f>
        <v>4</v>
      </c>
      <c r="U1752" s="25">
        <f>IF(B1752="","",IF(ISNUMBER(SEARCH("CEO",C1752))+ISNUMBER(SEARCH("Founder",C1752))+ISNUMBER(SEARCH("Owner",C1752))+ISNUMBER(SEARCH("Dueño",C1752))+ISNUMBER(SEARCH("Director General",C1752))+ISNUMBER(SEARCH("Presidente",C1752))+ISNUMBER(SEARCH("President",C1752))&gt;0,'Configuración'!$B$31,IF(ISNUMBER(SEARCH("CMO",C1752))+ISNUMBER(SEARCH("Chief Marketing",C1752))+ISNUMBER(SEARCH("VP Marketing",C1752))+ISNUMBER(SEARCH("Director de Marketing",C1752))+ISNUMBER(SEARCH("Director Marketing",C1752))+ISNUMBER(SEARCH("Head of Marketing",C1752))+ISNUMBER(SEARCH("Head Marketing",C1752))&gt;0,'Configuración'!$B$32,IF(ISNUMBER(SEARCH("Marketing Manager",C1752))+ISNUMBER(SEARCH("Gerente de Marketing",C1752))+ISNUMBER(SEARCH("Growth Manager",C1752))+ISNUMBER(SEARCH("Demand Gen",C1752))+ISNUMBER(SEARCH("Marketing Lead",C1752))&gt;0,'Configuración'!$B$33,IF(ISNUMBER(SEARCH("COO",C1752))+ISNUMBER(SEARCH("CFO",C1752))+ISNUMBER(SEARCH("CTO",C1752))+ISNUMBER(SEARCH("Chief Operating",C1752))+ISNUMBER(SEARCH("Chief Financial",C1752))+ISNUMBER(SEARCH("Gerente General",C1752))+ISNUMBER(SEARCH("General Manager",C1752))&gt;0,'Configuración'!$B$34,'Configuración'!$B$35)))))</f>
        <v>12</v>
      </c>
      <c r="V1752" s="38">
        <f>IF(B1752="","",IF(K1752="Sí",'Configuración'!$B$5,0)+IF(L1752="Semanal",'Configuración'!$B$6,IF(L1752="Mensual",'Configuración'!$B$7,0))+IF(M1752="Sí",'Configuración'!$B$8,0)+IF(N1752="Sí",'Configuración'!$B$9,0)+IF(O1752="Sí",'Configuración'!$B$10,0)+IF(P1752="Sí",'Configuración'!$B$11,0)+IF(Q1752="Sí",'Configuración'!$B$12,0)+S1752+T1752+U1752)</f>
        <v>28</v>
      </c>
      <c r="W1752" s="39" t="str">
        <f>IF(B1752="","",IF(V1752&gt;='Configuración'!$B$19,"A",IF(V1752&gt;='Configuración'!$B$20,"B",IF(V1752&gt;='Configuración'!$B$21,"C","Descarte"))))</f>
        <v>C</v>
      </c>
    </row>
    <row r="1753" ht="15.75" customHeight="1">
      <c r="A1753" s="34">
        <f t="shared" si="1"/>
        <v>1751</v>
      </c>
      <c r="B1753" s="29" t="s">
        <v>9750</v>
      </c>
      <c r="C1753" s="29" t="s">
        <v>1465</v>
      </c>
      <c r="D1753" s="29" t="s">
        <v>9751</v>
      </c>
      <c r="E1753" s="29" t="s">
        <v>9752</v>
      </c>
      <c r="F1753" s="30" t="s">
        <v>9753</v>
      </c>
      <c r="G1753" s="30" t="s">
        <v>9754</v>
      </c>
      <c r="H1753" s="42" t="s">
        <v>9755</v>
      </c>
      <c r="I1753" s="29" t="s">
        <v>127</v>
      </c>
      <c r="J1753" s="31">
        <v>35.0</v>
      </c>
      <c r="K1753" s="35"/>
      <c r="L1753" s="35"/>
      <c r="M1753" s="35"/>
      <c r="N1753" s="35"/>
      <c r="O1753" s="35"/>
      <c r="P1753" s="35"/>
      <c r="Q1753" s="35"/>
      <c r="R1753" s="35"/>
      <c r="S1753" s="37">
        <f>IF(B1753="","",IF(ISNUMBER(J1753),IF(J1753&lt;=10,'Configuración'!$B$23,IF(J1753&lt;=50,'Configuración'!$B$24,IF(J1753&lt;=200,'Configuración'!$B$25,0))),0))</f>
        <v>4</v>
      </c>
      <c r="T1753" s="37">
        <f>IF(B1753="","",IF(ISNUMBER(SEARCH("information technology",I1753))+ISNUMBER(SEARCH("software",I1753))+ISNUMBER(SEARCH("internet",I1753))+ISNUMBER(SEARCH("computer",I1753))+ISNUMBER(SEARCH("saas",I1753))+ISNUMBER(SEARCH("fintech",I1753))+ISNUMBER(SEARCH("information services",I1753))+ISNUMBER(SEARCH("telecommunications",I1753))&gt;0,'Configuración'!$B$27,'Configuración'!$B$28))</f>
        <v>12</v>
      </c>
      <c r="U1753" s="25">
        <f>IF(B1753="","",IF(ISNUMBER(SEARCH("CEO",C1753))+ISNUMBER(SEARCH("Founder",C1753))+ISNUMBER(SEARCH("Owner",C1753))+ISNUMBER(SEARCH("Dueño",C1753))+ISNUMBER(SEARCH("Director General",C1753))+ISNUMBER(SEARCH("Presidente",C1753))+ISNUMBER(SEARCH("President",C1753))&gt;0,'Configuración'!$B$31,IF(ISNUMBER(SEARCH("CMO",C1753))+ISNUMBER(SEARCH("Chief Marketing",C1753))+ISNUMBER(SEARCH("VP Marketing",C1753))+ISNUMBER(SEARCH("Director de Marketing",C1753))+ISNUMBER(SEARCH("Director Marketing",C1753))+ISNUMBER(SEARCH("Head of Marketing",C1753))+ISNUMBER(SEARCH("Head Marketing",C1753))&gt;0,'Configuración'!$B$32,IF(ISNUMBER(SEARCH("Marketing Manager",C1753))+ISNUMBER(SEARCH("Gerente de Marketing",C1753))+ISNUMBER(SEARCH("Growth Manager",C1753))+ISNUMBER(SEARCH("Demand Gen",C1753))+ISNUMBER(SEARCH("Marketing Lead",C1753))&gt;0,'Configuración'!$B$33,IF(ISNUMBER(SEARCH("COO",C1753))+ISNUMBER(SEARCH("CFO",C1753))+ISNUMBER(SEARCH("CTO",C1753))+ISNUMBER(SEARCH("Chief Operating",C1753))+ISNUMBER(SEARCH("Chief Financial",C1753))+ISNUMBER(SEARCH("Gerente General",C1753))+ISNUMBER(SEARCH("General Manager",C1753))&gt;0,'Configuración'!$B$34,'Configuración'!$B$35)))))</f>
        <v>4</v>
      </c>
      <c r="V1753" s="38">
        <f>IF(B1753="","",IF(K1753="Sí",'Configuración'!$B$5,0)+IF(L1753="Semanal",'Configuración'!$B$6,IF(L1753="Mensual",'Configuración'!$B$7,0))+IF(M1753="Sí",'Configuración'!$B$8,0)+IF(N1753="Sí",'Configuración'!$B$9,0)+IF(O1753="Sí",'Configuración'!$B$10,0)+IF(P1753="Sí",'Configuración'!$B$11,0)+IF(Q1753="Sí",'Configuración'!$B$12,0)+S1753+T1753+U1753)</f>
        <v>20</v>
      </c>
      <c r="W1753" s="39" t="str">
        <f>IF(B1753="","",IF(V1753&gt;='Configuración'!$B$19,"A",IF(V1753&gt;='Configuración'!$B$20,"B",IF(V1753&gt;='Configuración'!$B$21,"C","Descarte"))))</f>
        <v>Descarte</v>
      </c>
    </row>
    <row r="1754" ht="15.75" customHeight="1">
      <c r="A1754" s="34">
        <f t="shared" si="1"/>
        <v>1752</v>
      </c>
      <c r="B1754" s="29" t="s">
        <v>262</v>
      </c>
      <c r="C1754" s="29" t="s">
        <v>9756</v>
      </c>
      <c r="D1754" s="29" t="s">
        <v>9433</v>
      </c>
      <c r="E1754" s="29" t="s">
        <v>9757</v>
      </c>
      <c r="F1754" s="30" t="s">
        <v>9758</v>
      </c>
      <c r="G1754" s="30" t="s">
        <v>9436</v>
      </c>
      <c r="H1754" s="42" t="s">
        <v>9437</v>
      </c>
      <c r="I1754" s="29" t="s">
        <v>769</v>
      </c>
      <c r="J1754" s="31">
        <v>16.0</v>
      </c>
      <c r="K1754" s="35"/>
      <c r="L1754" s="35"/>
      <c r="M1754" s="35"/>
      <c r="N1754" s="35"/>
      <c r="O1754" s="35"/>
      <c r="P1754" s="35"/>
      <c r="Q1754" s="35"/>
      <c r="R1754" s="35"/>
      <c r="S1754" s="37">
        <f>IF(B1754="","",IF(ISNUMBER(J1754),IF(J1754&lt;=10,'Configuración'!$B$23,IF(J1754&lt;=50,'Configuración'!$B$24,IF(J1754&lt;=200,'Configuración'!$B$25,0))),0))</f>
        <v>4</v>
      </c>
      <c r="T1754" s="37">
        <f>IF(B1754="","",IF(ISNUMBER(SEARCH("information technology",I1754))+ISNUMBER(SEARCH("software",I1754))+ISNUMBER(SEARCH("internet",I1754))+ISNUMBER(SEARCH("computer",I1754))+ISNUMBER(SEARCH("saas",I1754))+ISNUMBER(SEARCH("fintech",I1754))+ISNUMBER(SEARCH("information services",I1754))+ISNUMBER(SEARCH("telecommunications",I1754))&gt;0,'Configuración'!$B$27,'Configuración'!$B$28))</f>
        <v>4</v>
      </c>
      <c r="U1754" s="25">
        <f>IF(B1754="","",IF(ISNUMBER(SEARCH("CEO",C1754))+ISNUMBER(SEARCH("Founder",C1754))+ISNUMBER(SEARCH("Owner",C1754))+ISNUMBER(SEARCH("Dueño",C1754))+ISNUMBER(SEARCH("Director General",C1754))+ISNUMBER(SEARCH("Presidente",C1754))+ISNUMBER(SEARCH("President",C1754))&gt;0,'Configuración'!$B$31,IF(ISNUMBER(SEARCH("CMO",C1754))+ISNUMBER(SEARCH("Chief Marketing",C1754))+ISNUMBER(SEARCH("VP Marketing",C1754))+ISNUMBER(SEARCH("Director de Marketing",C1754))+ISNUMBER(SEARCH("Director Marketing",C1754))+ISNUMBER(SEARCH("Head of Marketing",C1754))+ISNUMBER(SEARCH("Head Marketing",C1754))&gt;0,'Configuración'!$B$32,IF(ISNUMBER(SEARCH("Marketing Manager",C1754))+ISNUMBER(SEARCH("Gerente de Marketing",C1754))+ISNUMBER(SEARCH("Growth Manager",C1754))+ISNUMBER(SEARCH("Demand Gen",C1754))+ISNUMBER(SEARCH("Marketing Lead",C1754))&gt;0,'Configuración'!$B$33,IF(ISNUMBER(SEARCH("COO",C1754))+ISNUMBER(SEARCH("CFO",C1754))+ISNUMBER(SEARCH("CTO",C1754))+ISNUMBER(SEARCH("Chief Operating",C1754))+ISNUMBER(SEARCH("Chief Financial",C1754))+ISNUMBER(SEARCH("Gerente General",C1754))+ISNUMBER(SEARCH("General Manager",C1754))&gt;0,'Configuración'!$B$34,'Configuración'!$B$35)))))</f>
        <v>12</v>
      </c>
      <c r="V1754" s="38">
        <f>IF(B1754="","",IF(K1754="Sí",'Configuración'!$B$5,0)+IF(L1754="Semanal",'Configuración'!$B$6,IF(L1754="Mensual",'Configuración'!$B$7,0))+IF(M1754="Sí",'Configuración'!$B$8,0)+IF(N1754="Sí",'Configuración'!$B$9,0)+IF(O1754="Sí",'Configuración'!$B$10,0)+IF(P1754="Sí",'Configuración'!$B$11,0)+IF(Q1754="Sí",'Configuración'!$B$12,0)+S1754+T1754+U1754)</f>
        <v>20</v>
      </c>
      <c r="W1754" s="39" t="str">
        <f>IF(B1754="","",IF(V1754&gt;='Configuración'!$B$19,"A",IF(V1754&gt;='Configuración'!$B$20,"B",IF(V1754&gt;='Configuración'!$B$21,"C","Descarte"))))</f>
        <v>Descarte</v>
      </c>
    </row>
    <row r="1755" ht="15.75" customHeight="1">
      <c r="A1755" s="34">
        <f t="shared" si="1"/>
        <v>1753</v>
      </c>
      <c r="B1755" s="29" t="s">
        <v>9759</v>
      </c>
      <c r="C1755" s="29" t="s">
        <v>146</v>
      </c>
      <c r="D1755" s="29" t="s">
        <v>9760</v>
      </c>
      <c r="E1755" s="29" t="s">
        <v>9761</v>
      </c>
      <c r="F1755" s="30" t="s">
        <v>9762</v>
      </c>
      <c r="G1755" s="30" t="s">
        <v>9763</v>
      </c>
      <c r="H1755" s="42" t="s">
        <v>9764</v>
      </c>
      <c r="I1755" s="29" t="s">
        <v>116</v>
      </c>
      <c r="J1755" s="31">
        <v>23.0</v>
      </c>
      <c r="K1755" s="35"/>
      <c r="L1755" s="35"/>
      <c r="M1755" s="35"/>
      <c r="N1755" s="35"/>
      <c r="O1755" s="35"/>
      <c r="P1755" s="35"/>
      <c r="Q1755" s="35"/>
      <c r="R1755" s="35"/>
      <c r="S1755" s="37">
        <f>IF(B1755="","",IF(ISNUMBER(J1755),IF(J1755&lt;=10,'Configuración'!$B$23,IF(J1755&lt;=50,'Configuración'!$B$24,IF(J1755&lt;=200,'Configuración'!$B$25,0))),0))</f>
        <v>4</v>
      </c>
      <c r="T1755" s="37">
        <f>IF(B1755="","",IF(ISNUMBER(SEARCH("information technology",I1755))+ISNUMBER(SEARCH("software",I1755))+ISNUMBER(SEARCH("internet",I1755))+ISNUMBER(SEARCH("computer",I1755))+ISNUMBER(SEARCH("saas",I1755))+ISNUMBER(SEARCH("fintech",I1755))+ISNUMBER(SEARCH("information services",I1755))+ISNUMBER(SEARCH("telecommunications",I1755))&gt;0,'Configuración'!$B$27,'Configuración'!$B$28))</f>
        <v>4</v>
      </c>
      <c r="U1755" s="25">
        <f>IF(B1755="","",IF(ISNUMBER(SEARCH("CEO",C1755))+ISNUMBER(SEARCH("Founder",C1755))+ISNUMBER(SEARCH("Owner",C1755))+ISNUMBER(SEARCH("Dueño",C1755))+ISNUMBER(SEARCH("Director General",C1755))+ISNUMBER(SEARCH("Presidente",C1755))+ISNUMBER(SEARCH("President",C1755))&gt;0,'Configuración'!$B$31,IF(ISNUMBER(SEARCH("CMO",C1755))+ISNUMBER(SEARCH("Chief Marketing",C1755))+ISNUMBER(SEARCH("VP Marketing",C1755))+ISNUMBER(SEARCH("Director de Marketing",C1755))+ISNUMBER(SEARCH("Director Marketing",C1755))+ISNUMBER(SEARCH("Head of Marketing",C1755))+ISNUMBER(SEARCH("Head Marketing",C1755))&gt;0,'Configuración'!$B$32,IF(ISNUMBER(SEARCH("Marketing Manager",C1755))+ISNUMBER(SEARCH("Gerente de Marketing",C1755))+ISNUMBER(SEARCH("Growth Manager",C1755))+ISNUMBER(SEARCH("Demand Gen",C1755))+ISNUMBER(SEARCH("Marketing Lead",C1755))&gt;0,'Configuración'!$B$33,IF(ISNUMBER(SEARCH("COO",C1755))+ISNUMBER(SEARCH("CFO",C1755))+ISNUMBER(SEARCH("CTO",C1755))+ISNUMBER(SEARCH("Chief Operating",C1755))+ISNUMBER(SEARCH("Chief Financial",C1755))+ISNUMBER(SEARCH("Gerente General",C1755))+ISNUMBER(SEARCH("General Manager",C1755))&gt;0,'Configuración'!$B$34,'Configuración'!$B$35)))))</f>
        <v>0</v>
      </c>
      <c r="V1755" s="38">
        <f>IF(B1755="","",IF(K1755="Sí",'Configuración'!$B$5,0)+IF(L1755="Semanal",'Configuración'!$B$6,IF(L1755="Mensual",'Configuración'!$B$7,0))+IF(M1755="Sí",'Configuración'!$B$8,0)+IF(N1755="Sí",'Configuración'!$B$9,0)+IF(O1755="Sí",'Configuración'!$B$10,0)+IF(P1755="Sí",'Configuración'!$B$11,0)+IF(Q1755="Sí",'Configuración'!$B$12,0)+S1755+T1755+U1755)</f>
        <v>8</v>
      </c>
      <c r="W1755" s="39" t="str">
        <f>IF(B1755="","",IF(V1755&gt;='Configuración'!$B$19,"A",IF(V1755&gt;='Configuración'!$B$20,"B",IF(V1755&gt;='Configuración'!$B$21,"C","Descarte"))))</f>
        <v>Descarte</v>
      </c>
    </row>
    <row r="1756" ht="15.75" customHeight="1">
      <c r="A1756" s="34">
        <f t="shared" si="1"/>
        <v>1754</v>
      </c>
      <c r="B1756" s="29" t="s">
        <v>556</v>
      </c>
      <c r="C1756" s="29" t="s">
        <v>243</v>
      </c>
      <c r="D1756" s="29" t="s">
        <v>9765</v>
      </c>
      <c r="E1756" s="29" t="s">
        <v>9766</v>
      </c>
      <c r="F1756" s="30" t="s">
        <v>9767</v>
      </c>
      <c r="G1756" s="30" t="s">
        <v>9768</v>
      </c>
      <c r="H1756" s="42" t="s">
        <v>9769</v>
      </c>
      <c r="I1756" s="29" t="s">
        <v>188</v>
      </c>
      <c r="J1756" s="31">
        <v>14.0</v>
      </c>
      <c r="K1756" s="35"/>
      <c r="L1756" s="35"/>
      <c r="M1756" s="35"/>
      <c r="N1756" s="35"/>
      <c r="O1756" s="35"/>
      <c r="P1756" s="35"/>
      <c r="Q1756" s="35"/>
      <c r="R1756" s="35"/>
      <c r="S1756" s="37">
        <f>IF(B1756="","",IF(ISNUMBER(J1756),IF(J1756&lt;=10,'Configuración'!$B$23,IF(J1756&lt;=50,'Configuración'!$B$24,IF(J1756&lt;=200,'Configuración'!$B$25,0))),0))</f>
        <v>4</v>
      </c>
      <c r="T1756" s="37">
        <f>IF(B1756="","",IF(ISNUMBER(SEARCH("information technology",I1756))+ISNUMBER(SEARCH("software",I1756))+ISNUMBER(SEARCH("internet",I1756))+ISNUMBER(SEARCH("computer",I1756))+ISNUMBER(SEARCH("saas",I1756))+ISNUMBER(SEARCH("fintech",I1756))+ISNUMBER(SEARCH("information services",I1756))+ISNUMBER(SEARCH("telecommunications",I1756))&gt;0,'Configuración'!$B$27,'Configuración'!$B$28))</f>
        <v>4</v>
      </c>
      <c r="U1756" s="25">
        <f>IF(B1756="","",IF(ISNUMBER(SEARCH("CEO",C1756))+ISNUMBER(SEARCH("Founder",C1756))+ISNUMBER(SEARCH("Owner",C1756))+ISNUMBER(SEARCH("Dueño",C1756))+ISNUMBER(SEARCH("Director General",C1756))+ISNUMBER(SEARCH("Presidente",C1756))+ISNUMBER(SEARCH("President",C1756))&gt;0,'Configuración'!$B$31,IF(ISNUMBER(SEARCH("CMO",C1756))+ISNUMBER(SEARCH("Chief Marketing",C1756))+ISNUMBER(SEARCH("VP Marketing",C1756))+ISNUMBER(SEARCH("Director de Marketing",C1756))+ISNUMBER(SEARCH("Director Marketing",C1756))+ISNUMBER(SEARCH("Head of Marketing",C1756))+ISNUMBER(SEARCH("Head Marketing",C1756))&gt;0,'Configuración'!$B$32,IF(ISNUMBER(SEARCH("Marketing Manager",C1756))+ISNUMBER(SEARCH("Gerente de Marketing",C1756))+ISNUMBER(SEARCH("Growth Manager",C1756))+ISNUMBER(SEARCH("Demand Gen",C1756))+ISNUMBER(SEARCH("Marketing Lead",C1756))&gt;0,'Configuración'!$B$33,IF(ISNUMBER(SEARCH("COO",C1756))+ISNUMBER(SEARCH("CFO",C1756))+ISNUMBER(SEARCH("CTO",C1756))+ISNUMBER(SEARCH("Chief Operating",C1756))+ISNUMBER(SEARCH("Chief Financial",C1756))+ISNUMBER(SEARCH("Gerente General",C1756))+ISNUMBER(SEARCH("General Manager",C1756))&gt;0,'Configuración'!$B$34,'Configuración'!$B$35)))))</f>
        <v>12</v>
      </c>
      <c r="V1756" s="38">
        <f>IF(B1756="","",IF(K1756="Sí",'Configuración'!$B$5,0)+IF(L1756="Semanal",'Configuración'!$B$6,IF(L1756="Mensual",'Configuración'!$B$7,0))+IF(M1756="Sí",'Configuración'!$B$8,0)+IF(N1756="Sí",'Configuración'!$B$9,0)+IF(O1756="Sí",'Configuración'!$B$10,0)+IF(P1756="Sí",'Configuración'!$B$11,0)+IF(Q1756="Sí",'Configuración'!$B$12,0)+S1756+T1756+U1756)</f>
        <v>20</v>
      </c>
      <c r="W1756" s="39" t="str">
        <f>IF(B1756="","",IF(V1756&gt;='Configuración'!$B$19,"A",IF(V1756&gt;='Configuración'!$B$20,"B",IF(V1756&gt;='Configuración'!$B$21,"C","Descarte"))))</f>
        <v>Descarte</v>
      </c>
    </row>
    <row r="1757" ht="15.75" customHeight="1">
      <c r="A1757" s="34">
        <f t="shared" si="1"/>
        <v>1755</v>
      </c>
      <c r="B1757" s="29" t="s">
        <v>166</v>
      </c>
      <c r="C1757" s="29" t="s">
        <v>9770</v>
      </c>
      <c r="D1757" s="29" t="s">
        <v>9771</v>
      </c>
      <c r="E1757" s="29" t="s">
        <v>9772</v>
      </c>
      <c r="F1757" s="30" t="s">
        <v>9773</v>
      </c>
      <c r="G1757" s="30" t="s">
        <v>9774</v>
      </c>
      <c r="H1757" s="42" t="s">
        <v>9775</v>
      </c>
      <c r="I1757" s="29" t="s">
        <v>127</v>
      </c>
      <c r="J1757" s="31">
        <v>3.0</v>
      </c>
      <c r="K1757" s="35"/>
      <c r="L1757" s="35"/>
      <c r="M1757" s="35"/>
      <c r="N1757" s="35"/>
      <c r="O1757" s="35"/>
      <c r="P1757" s="35"/>
      <c r="Q1757" s="35"/>
      <c r="R1757" s="35"/>
      <c r="S1757" s="37">
        <f>IF(B1757="","",IF(ISNUMBER(J1757),IF(J1757&lt;=10,'Configuración'!$B$23,IF(J1757&lt;=50,'Configuración'!$B$24,IF(J1757&lt;=200,'Configuración'!$B$25,0))),0))</f>
        <v>12</v>
      </c>
      <c r="T1757" s="37">
        <f>IF(B1757="","",IF(ISNUMBER(SEARCH("information technology",I1757))+ISNUMBER(SEARCH("software",I1757))+ISNUMBER(SEARCH("internet",I1757))+ISNUMBER(SEARCH("computer",I1757))+ISNUMBER(SEARCH("saas",I1757))+ISNUMBER(SEARCH("fintech",I1757))+ISNUMBER(SEARCH("information services",I1757))+ISNUMBER(SEARCH("telecommunications",I1757))&gt;0,'Configuración'!$B$27,'Configuración'!$B$28))</f>
        <v>12</v>
      </c>
      <c r="U1757" s="25">
        <f>IF(B1757="","",IF(ISNUMBER(SEARCH("CEO",C1757))+ISNUMBER(SEARCH("Founder",C1757))+ISNUMBER(SEARCH("Owner",C1757))+ISNUMBER(SEARCH("Dueño",C1757))+ISNUMBER(SEARCH("Director General",C1757))+ISNUMBER(SEARCH("Presidente",C1757))+ISNUMBER(SEARCH("President",C1757))&gt;0,'Configuración'!$B$31,IF(ISNUMBER(SEARCH("CMO",C1757))+ISNUMBER(SEARCH("Chief Marketing",C1757))+ISNUMBER(SEARCH("VP Marketing",C1757))+ISNUMBER(SEARCH("Director de Marketing",C1757))+ISNUMBER(SEARCH("Director Marketing",C1757))+ISNUMBER(SEARCH("Head of Marketing",C1757))+ISNUMBER(SEARCH("Head Marketing",C1757))&gt;0,'Configuración'!$B$32,IF(ISNUMBER(SEARCH("Marketing Manager",C1757))+ISNUMBER(SEARCH("Gerente de Marketing",C1757))+ISNUMBER(SEARCH("Growth Manager",C1757))+ISNUMBER(SEARCH("Demand Gen",C1757))+ISNUMBER(SEARCH("Marketing Lead",C1757))&gt;0,'Configuración'!$B$33,IF(ISNUMBER(SEARCH("COO",C1757))+ISNUMBER(SEARCH("CFO",C1757))+ISNUMBER(SEARCH("CTO",C1757))+ISNUMBER(SEARCH("Chief Operating",C1757))+ISNUMBER(SEARCH("Chief Financial",C1757))+ISNUMBER(SEARCH("Gerente General",C1757))+ISNUMBER(SEARCH("General Manager",C1757))&gt;0,'Configuración'!$B$34,'Configuración'!$B$35)))))</f>
        <v>12</v>
      </c>
      <c r="V1757" s="38">
        <f>IF(B1757="","",IF(K1757="Sí",'Configuración'!$B$5,0)+IF(L1757="Semanal",'Configuración'!$B$6,IF(L1757="Mensual",'Configuración'!$B$7,0))+IF(M1757="Sí",'Configuración'!$B$8,0)+IF(N1757="Sí",'Configuración'!$B$9,0)+IF(O1757="Sí",'Configuración'!$B$10,0)+IF(P1757="Sí",'Configuración'!$B$11,0)+IF(Q1757="Sí",'Configuración'!$B$12,0)+S1757+T1757+U1757)</f>
        <v>36</v>
      </c>
      <c r="W1757" s="39" t="str">
        <f>IF(B1757="","",IF(V1757&gt;='Configuración'!$B$19,"A",IF(V1757&gt;='Configuración'!$B$20,"B",IF(V1757&gt;='Configuración'!$B$21,"C","Descarte"))))</f>
        <v>C</v>
      </c>
    </row>
    <row r="1758" ht="15.75" customHeight="1">
      <c r="A1758" s="34">
        <f t="shared" si="1"/>
        <v>1756</v>
      </c>
      <c r="B1758" s="29" t="s">
        <v>9776</v>
      </c>
      <c r="C1758" s="29" t="s">
        <v>2695</v>
      </c>
      <c r="D1758" s="29" t="s">
        <v>9777</v>
      </c>
      <c r="E1758" s="29" t="s">
        <v>9778</v>
      </c>
      <c r="F1758" s="30" t="s">
        <v>9779</v>
      </c>
      <c r="G1758" s="30" t="s">
        <v>9780</v>
      </c>
      <c r="H1758" s="42" t="s">
        <v>9781</v>
      </c>
      <c r="I1758" s="29" t="s">
        <v>2610</v>
      </c>
      <c r="J1758" s="31">
        <v>2.0</v>
      </c>
      <c r="K1758" s="35"/>
      <c r="L1758" s="35"/>
      <c r="M1758" s="35"/>
      <c r="N1758" s="35"/>
      <c r="O1758" s="35"/>
      <c r="P1758" s="35"/>
      <c r="Q1758" s="35"/>
      <c r="R1758" s="35"/>
      <c r="S1758" s="37">
        <f>IF(B1758="","",IF(ISNUMBER(J1758),IF(J1758&lt;=10,'Configuración'!$B$23,IF(J1758&lt;=50,'Configuración'!$B$24,IF(J1758&lt;=200,'Configuración'!$B$25,0))),0))</f>
        <v>12</v>
      </c>
      <c r="T1758" s="37">
        <f>IF(B1758="","",IF(ISNUMBER(SEARCH("information technology",I1758))+ISNUMBER(SEARCH("software",I1758))+ISNUMBER(SEARCH("internet",I1758))+ISNUMBER(SEARCH("computer",I1758))+ISNUMBER(SEARCH("saas",I1758))+ISNUMBER(SEARCH("fintech",I1758))+ISNUMBER(SEARCH("information services",I1758))+ISNUMBER(SEARCH("telecommunications",I1758))&gt;0,'Configuración'!$B$27,'Configuración'!$B$28))</f>
        <v>4</v>
      </c>
      <c r="U1758" s="25">
        <f>IF(B1758="","",IF(ISNUMBER(SEARCH("CEO",C1758))+ISNUMBER(SEARCH("Founder",C1758))+ISNUMBER(SEARCH("Owner",C1758))+ISNUMBER(SEARCH("Dueño",C1758))+ISNUMBER(SEARCH("Director General",C1758))+ISNUMBER(SEARCH("Presidente",C1758))+ISNUMBER(SEARCH("President",C1758))&gt;0,'Configuración'!$B$31,IF(ISNUMBER(SEARCH("CMO",C1758))+ISNUMBER(SEARCH("Chief Marketing",C1758))+ISNUMBER(SEARCH("VP Marketing",C1758))+ISNUMBER(SEARCH("Director de Marketing",C1758))+ISNUMBER(SEARCH("Director Marketing",C1758))+ISNUMBER(SEARCH("Head of Marketing",C1758))+ISNUMBER(SEARCH("Head Marketing",C1758))&gt;0,'Configuración'!$B$32,IF(ISNUMBER(SEARCH("Marketing Manager",C1758))+ISNUMBER(SEARCH("Gerente de Marketing",C1758))+ISNUMBER(SEARCH("Growth Manager",C1758))+ISNUMBER(SEARCH("Demand Gen",C1758))+ISNUMBER(SEARCH("Marketing Lead",C1758))&gt;0,'Configuración'!$B$33,IF(ISNUMBER(SEARCH("COO",C1758))+ISNUMBER(SEARCH("CFO",C1758))+ISNUMBER(SEARCH("CTO",C1758))+ISNUMBER(SEARCH("Chief Operating",C1758))+ISNUMBER(SEARCH("Chief Financial",C1758))+ISNUMBER(SEARCH("Gerente General",C1758))+ISNUMBER(SEARCH("General Manager",C1758))&gt;0,'Configuración'!$B$34,'Configuración'!$B$35)))))</f>
        <v>12</v>
      </c>
      <c r="V1758" s="38">
        <f>IF(B1758="","",IF(K1758="Sí",'Configuración'!$B$5,0)+IF(L1758="Semanal",'Configuración'!$B$6,IF(L1758="Mensual",'Configuración'!$B$7,0))+IF(M1758="Sí",'Configuración'!$B$8,0)+IF(N1758="Sí",'Configuración'!$B$9,0)+IF(O1758="Sí",'Configuración'!$B$10,0)+IF(P1758="Sí",'Configuración'!$B$11,0)+IF(Q1758="Sí",'Configuración'!$B$12,0)+S1758+T1758+U1758)</f>
        <v>28</v>
      </c>
      <c r="W1758" s="39" t="str">
        <f>IF(B1758="","",IF(V1758&gt;='Configuración'!$B$19,"A",IF(V1758&gt;='Configuración'!$B$20,"B",IF(V1758&gt;='Configuración'!$B$21,"C","Descarte"))))</f>
        <v>C</v>
      </c>
    </row>
    <row r="1759" ht="15.75" customHeight="1">
      <c r="A1759" s="34">
        <f t="shared" si="1"/>
        <v>1757</v>
      </c>
      <c r="B1759" s="29" t="s">
        <v>236</v>
      </c>
      <c r="C1759" s="29" t="s">
        <v>311</v>
      </c>
      <c r="D1759" s="29" t="s">
        <v>5760</v>
      </c>
      <c r="E1759" s="29" t="s">
        <v>9782</v>
      </c>
      <c r="F1759" s="30" t="s">
        <v>9783</v>
      </c>
      <c r="G1759" s="30" t="s">
        <v>5763</v>
      </c>
      <c r="H1759" s="42" t="s">
        <v>5764</v>
      </c>
      <c r="I1759" s="29" t="s">
        <v>1277</v>
      </c>
      <c r="J1759" s="31">
        <v>8.0</v>
      </c>
      <c r="K1759" s="35"/>
      <c r="L1759" s="35"/>
      <c r="M1759" s="35"/>
      <c r="N1759" s="35"/>
      <c r="O1759" s="35"/>
      <c r="P1759" s="35"/>
      <c r="Q1759" s="35"/>
      <c r="R1759" s="35"/>
      <c r="S1759" s="37">
        <f>IF(B1759="","",IF(ISNUMBER(J1759),IF(J1759&lt;=10,'Configuración'!$B$23,IF(J1759&lt;=50,'Configuración'!$B$24,IF(J1759&lt;=200,'Configuración'!$B$25,0))),0))</f>
        <v>12</v>
      </c>
      <c r="T1759" s="37">
        <f>IF(B1759="","",IF(ISNUMBER(SEARCH("information technology",I1759))+ISNUMBER(SEARCH("software",I1759))+ISNUMBER(SEARCH("internet",I1759))+ISNUMBER(SEARCH("computer",I1759))+ISNUMBER(SEARCH("saas",I1759))+ISNUMBER(SEARCH("fintech",I1759))+ISNUMBER(SEARCH("information services",I1759))+ISNUMBER(SEARCH("telecommunications",I1759))&gt;0,'Configuración'!$B$27,'Configuración'!$B$28))</f>
        <v>4</v>
      </c>
      <c r="U1759" s="25">
        <f>IF(B1759="","",IF(ISNUMBER(SEARCH("CEO",C1759))+ISNUMBER(SEARCH("Founder",C1759))+ISNUMBER(SEARCH("Owner",C1759))+ISNUMBER(SEARCH("Dueño",C1759))+ISNUMBER(SEARCH("Director General",C1759))+ISNUMBER(SEARCH("Presidente",C1759))+ISNUMBER(SEARCH("President",C1759))&gt;0,'Configuración'!$B$31,IF(ISNUMBER(SEARCH("CMO",C1759))+ISNUMBER(SEARCH("Chief Marketing",C1759))+ISNUMBER(SEARCH("VP Marketing",C1759))+ISNUMBER(SEARCH("Director de Marketing",C1759))+ISNUMBER(SEARCH("Director Marketing",C1759))+ISNUMBER(SEARCH("Head of Marketing",C1759))+ISNUMBER(SEARCH("Head Marketing",C1759))&gt;0,'Configuración'!$B$32,IF(ISNUMBER(SEARCH("Marketing Manager",C1759))+ISNUMBER(SEARCH("Gerente de Marketing",C1759))+ISNUMBER(SEARCH("Growth Manager",C1759))+ISNUMBER(SEARCH("Demand Gen",C1759))+ISNUMBER(SEARCH("Marketing Lead",C1759))&gt;0,'Configuración'!$B$33,IF(ISNUMBER(SEARCH("COO",C1759))+ISNUMBER(SEARCH("CFO",C1759))+ISNUMBER(SEARCH("CTO",C1759))+ISNUMBER(SEARCH("Chief Operating",C1759))+ISNUMBER(SEARCH("Chief Financial",C1759))+ISNUMBER(SEARCH("Gerente General",C1759))+ISNUMBER(SEARCH("General Manager",C1759))&gt;0,'Configuración'!$B$34,'Configuración'!$B$35)))))</f>
        <v>12</v>
      </c>
      <c r="V1759" s="38">
        <f>IF(B1759="","",IF(K1759="Sí",'Configuración'!$B$5,0)+IF(L1759="Semanal",'Configuración'!$B$6,IF(L1759="Mensual",'Configuración'!$B$7,0))+IF(M1759="Sí",'Configuración'!$B$8,0)+IF(N1759="Sí",'Configuración'!$B$9,0)+IF(O1759="Sí",'Configuración'!$B$10,0)+IF(P1759="Sí",'Configuración'!$B$11,0)+IF(Q1759="Sí",'Configuración'!$B$12,0)+S1759+T1759+U1759)</f>
        <v>28</v>
      </c>
      <c r="W1759" s="39" t="str">
        <f>IF(B1759="","",IF(V1759&gt;='Configuración'!$B$19,"A",IF(V1759&gt;='Configuración'!$B$20,"B",IF(V1759&gt;='Configuración'!$B$21,"C","Descarte"))))</f>
        <v>C</v>
      </c>
    </row>
    <row r="1760" ht="15.75" customHeight="1">
      <c r="A1760" s="34">
        <f t="shared" si="1"/>
        <v>1758</v>
      </c>
      <c r="B1760" s="29" t="s">
        <v>1534</v>
      </c>
      <c r="C1760" s="29" t="s">
        <v>9784</v>
      </c>
      <c r="D1760" s="29" t="s">
        <v>9785</v>
      </c>
      <c r="E1760" s="29" t="s">
        <v>9786</v>
      </c>
      <c r="F1760" s="30" t="s">
        <v>9787</v>
      </c>
      <c r="G1760" s="30" t="s">
        <v>9788</v>
      </c>
      <c r="H1760" s="42" t="s">
        <v>9789</v>
      </c>
      <c r="I1760" s="29" t="s">
        <v>127</v>
      </c>
      <c r="J1760" s="31">
        <v>7.0</v>
      </c>
      <c r="K1760" s="35"/>
      <c r="L1760" s="35"/>
      <c r="M1760" s="35"/>
      <c r="N1760" s="35"/>
      <c r="O1760" s="35"/>
      <c r="P1760" s="35"/>
      <c r="Q1760" s="35"/>
      <c r="R1760" s="35"/>
      <c r="S1760" s="37">
        <f>IF(B1760="","",IF(ISNUMBER(J1760),IF(J1760&lt;=10,'Configuración'!$B$23,IF(J1760&lt;=50,'Configuración'!$B$24,IF(J1760&lt;=200,'Configuración'!$B$25,0))),0))</f>
        <v>12</v>
      </c>
      <c r="T1760" s="37">
        <f>IF(B1760="","",IF(ISNUMBER(SEARCH("information technology",I1760))+ISNUMBER(SEARCH("software",I1760))+ISNUMBER(SEARCH("internet",I1760))+ISNUMBER(SEARCH("computer",I1760))+ISNUMBER(SEARCH("saas",I1760))+ISNUMBER(SEARCH("fintech",I1760))+ISNUMBER(SEARCH("information services",I1760))+ISNUMBER(SEARCH("telecommunications",I1760))&gt;0,'Configuración'!$B$27,'Configuración'!$B$28))</f>
        <v>12</v>
      </c>
      <c r="U1760" s="25">
        <f>IF(B1760="","",IF(ISNUMBER(SEARCH("CEO",C1760))+ISNUMBER(SEARCH("Founder",C1760))+ISNUMBER(SEARCH("Owner",C1760))+ISNUMBER(SEARCH("Dueño",C1760))+ISNUMBER(SEARCH("Director General",C1760))+ISNUMBER(SEARCH("Presidente",C1760))+ISNUMBER(SEARCH("President",C1760))&gt;0,'Configuración'!$B$31,IF(ISNUMBER(SEARCH("CMO",C1760))+ISNUMBER(SEARCH("Chief Marketing",C1760))+ISNUMBER(SEARCH("VP Marketing",C1760))+ISNUMBER(SEARCH("Director de Marketing",C1760))+ISNUMBER(SEARCH("Director Marketing",C1760))+ISNUMBER(SEARCH("Head of Marketing",C1760))+ISNUMBER(SEARCH("Head Marketing",C1760))&gt;0,'Configuración'!$B$32,IF(ISNUMBER(SEARCH("Marketing Manager",C1760))+ISNUMBER(SEARCH("Gerente de Marketing",C1760))+ISNUMBER(SEARCH("Growth Manager",C1760))+ISNUMBER(SEARCH("Demand Gen",C1760))+ISNUMBER(SEARCH("Marketing Lead",C1760))&gt;0,'Configuración'!$B$33,IF(ISNUMBER(SEARCH("COO",C1760))+ISNUMBER(SEARCH("CFO",C1760))+ISNUMBER(SEARCH("CTO",C1760))+ISNUMBER(SEARCH("Chief Operating",C1760))+ISNUMBER(SEARCH("Chief Financial",C1760))+ISNUMBER(SEARCH("Gerente General",C1760))+ISNUMBER(SEARCH("General Manager",C1760))&gt;0,'Configuración'!$B$34,'Configuración'!$B$35)))))</f>
        <v>12</v>
      </c>
      <c r="V1760" s="38">
        <f>IF(B1760="","",IF(K1760="Sí",'Configuración'!$B$5,0)+IF(L1760="Semanal",'Configuración'!$B$6,IF(L1760="Mensual",'Configuración'!$B$7,0))+IF(M1760="Sí",'Configuración'!$B$8,0)+IF(N1760="Sí",'Configuración'!$B$9,0)+IF(O1760="Sí",'Configuración'!$B$10,0)+IF(P1760="Sí",'Configuración'!$B$11,0)+IF(Q1760="Sí",'Configuración'!$B$12,0)+S1760+T1760+U1760)</f>
        <v>36</v>
      </c>
      <c r="W1760" s="39" t="str">
        <f>IF(B1760="","",IF(V1760&gt;='Configuración'!$B$19,"A",IF(V1760&gt;='Configuración'!$B$20,"B",IF(V1760&gt;='Configuración'!$B$21,"C","Descarte"))))</f>
        <v>C</v>
      </c>
    </row>
    <row r="1761" ht="15.75" customHeight="1">
      <c r="A1761" s="34">
        <f t="shared" si="1"/>
        <v>1759</v>
      </c>
      <c r="B1761" s="29" t="s">
        <v>556</v>
      </c>
      <c r="C1761" s="29" t="s">
        <v>1898</v>
      </c>
      <c r="D1761" s="29" t="s">
        <v>6515</v>
      </c>
      <c r="E1761" s="29" t="s">
        <v>9790</v>
      </c>
      <c r="F1761" s="30" t="s">
        <v>9791</v>
      </c>
      <c r="G1761" s="30" t="s">
        <v>6518</v>
      </c>
      <c r="H1761" s="42" t="s">
        <v>6519</v>
      </c>
      <c r="I1761" s="29" t="s">
        <v>1693</v>
      </c>
      <c r="J1761" s="31">
        <v>49.0</v>
      </c>
      <c r="K1761" s="35"/>
      <c r="L1761" s="35"/>
      <c r="M1761" s="35"/>
      <c r="N1761" s="35"/>
      <c r="O1761" s="35"/>
      <c r="P1761" s="35"/>
      <c r="Q1761" s="35"/>
      <c r="R1761" s="35"/>
      <c r="S1761" s="37">
        <f>IF(B1761="","",IF(ISNUMBER(J1761),IF(J1761&lt;=10,'Configuración'!$B$23,IF(J1761&lt;=50,'Configuración'!$B$24,IF(J1761&lt;=200,'Configuración'!$B$25,0))),0))</f>
        <v>4</v>
      </c>
      <c r="T1761" s="37">
        <f>IF(B1761="","",IF(ISNUMBER(SEARCH("information technology",I1761))+ISNUMBER(SEARCH("software",I1761))+ISNUMBER(SEARCH("internet",I1761))+ISNUMBER(SEARCH("computer",I1761))+ISNUMBER(SEARCH("saas",I1761))+ISNUMBER(SEARCH("fintech",I1761))+ISNUMBER(SEARCH("information services",I1761))+ISNUMBER(SEARCH("telecommunications",I1761))&gt;0,'Configuración'!$B$27,'Configuración'!$B$28))</f>
        <v>4</v>
      </c>
      <c r="U1761" s="25">
        <f>IF(B1761="","",IF(ISNUMBER(SEARCH("CEO",C1761))+ISNUMBER(SEARCH("Founder",C1761))+ISNUMBER(SEARCH("Owner",C1761))+ISNUMBER(SEARCH("Dueño",C1761))+ISNUMBER(SEARCH("Director General",C1761))+ISNUMBER(SEARCH("Presidente",C1761))+ISNUMBER(SEARCH("President",C1761))&gt;0,'Configuración'!$B$31,IF(ISNUMBER(SEARCH("CMO",C1761))+ISNUMBER(SEARCH("Chief Marketing",C1761))+ISNUMBER(SEARCH("VP Marketing",C1761))+ISNUMBER(SEARCH("Director de Marketing",C1761))+ISNUMBER(SEARCH("Director Marketing",C1761))+ISNUMBER(SEARCH("Head of Marketing",C1761))+ISNUMBER(SEARCH("Head Marketing",C1761))&gt;0,'Configuración'!$B$32,IF(ISNUMBER(SEARCH("Marketing Manager",C1761))+ISNUMBER(SEARCH("Gerente de Marketing",C1761))+ISNUMBER(SEARCH("Growth Manager",C1761))+ISNUMBER(SEARCH("Demand Gen",C1761))+ISNUMBER(SEARCH("Marketing Lead",C1761))&gt;0,'Configuración'!$B$33,IF(ISNUMBER(SEARCH("COO",C1761))+ISNUMBER(SEARCH("CFO",C1761))+ISNUMBER(SEARCH("CTO",C1761))+ISNUMBER(SEARCH("Chief Operating",C1761))+ISNUMBER(SEARCH("Chief Financial",C1761))+ISNUMBER(SEARCH("Gerente General",C1761))+ISNUMBER(SEARCH("General Manager",C1761))&gt;0,'Configuración'!$B$34,'Configuración'!$B$35)))))</f>
        <v>12</v>
      </c>
      <c r="V1761" s="38">
        <f>IF(B1761="","",IF(K1761="Sí",'Configuración'!$B$5,0)+IF(L1761="Semanal",'Configuración'!$B$6,IF(L1761="Mensual",'Configuración'!$B$7,0))+IF(M1761="Sí",'Configuración'!$B$8,0)+IF(N1761="Sí",'Configuración'!$B$9,0)+IF(O1761="Sí",'Configuración'!$B$10,0)+IF(P1761="Sí",'Configuración'!$B$11,0)+IF(Q1761="Sí",'Configuración'!$B$12,0)+S1761+T1761+U1761)</f>
        <v>20</v>
      </c>
      <c r="W1761" s="39" t="str">
        <f>IF(B1761="","",IF(V1761&gt;='Configuración'!$B$19,"A",IF(V1761&gt;='Configuración'!$B$20,"B",IF(V1761&gt;='Configuración'!$B$21,"C","Descarte"))))</f>
        <v>Descarte</v>
      </c>
    </row>
    <row r="1762" ht="15.75" customHeight="1">
      <c r="A1762" s="34">
        <f t="shared" si="1"/>
        <v>1760</v>
      </c>
      <c r="B1762" s="29" t="s">
        <v>749</v>
      </c>
      <c r="C1762" s="29" t="s">
        <v>9792</v>
      </c>
      <c r="D1762" s="29" t="s">
        <v>9793</v>
      </c>
      <c r="E1762" s="29" t="s">
        <v>9794</v>
      </c>
      <c r="F1762" s="30" t="s">
        <v>9795</v>
      </c>
      <c r="G1762" s="30" t="s">
        <v>9796</v>
      </c>
      <c r="H1762" s="42" t="s">
        <v>9797</v>
      </c>
      <c r="I1762" s="29" t="s">
        <v>127</v>
      </c>
      <c r="J1762" s="31">
        <v>3.0</v>
      </c>
      <c r="K1762" s="35"/>
      <c r="L1762" s="35"/>
      <c r="M1762" s="35"/>
      <c r="N1762" s="35"/>
      <c r="O1762" s="35"/>
      <c r="P1762" s="35"/>
      <c r="Q1762" s="35"/>
      <c r="R1762" s="35"/>
      <c r="S1762" s="37">
        <f>IF(B1762="","",IF(ISNUMBER(J1762),IF(J1762&lt;=10,'Configuración'!$B$23,IF(J1762&lt;=50,'Configuración'!$B$24,IF(J1762&lt;=200,'Configuración'!$B$25,0))),0))</f>
        <v>12</v>
      </c>
      <c r="T1762" s="37">
        <f>IF(B1762="","",IF(ISNUMBER(SEARCH("information technology",I1762))+ISNUMBER(SEARCH("software",I1762))+ISNUMBER(SEARCH("internet",I1762))+ISNUMBER(SEARCH("computer",I1762))+ISNUMBER(SEARCH("saas",I1762))+ISNUMBER(SEARCH("fintech",I1762))+ISNUMBER(SEARCH("information services",I1762))+ISNUMBER(SEARCH("telecommunications",I1762))&gt;0,'Configuración'!$B$27,'Configuración'!$B$28))</f>
        <v>12</v>
      </c>
      <c r="U1762" s="25">
        <f>IF(B1762="","",IF(ISNUMBER(SEARCH("CEO",C1762))+ISNUMBER(SEARCH("Founder",C1762))+ISNUMBER(SEARCH("Owner",C1762))+ISNUMBER(SEARCH("Dueño",C1762))+ISNUMBER(SEARCH("Director General",C1762))+ISNUMBER(SEARCH("Presidente",C1762))+ISNUMBER(SEARCH("President",C1762))&gt;0,'Configuración'!$B$31,IF(ISNUMBER(SEARCH("CMO",C1762))+ISNUMBER(SEARCH("Chief Marketing",C1762))+ISNUMBER(SEARCH("VP Marketing",C1762))+ISNUMBER(SEARCH("Director de Marketing",C1762))+ISNUMBER(SEARCH("Director Marketing",C1762))+ISNUMBER(SEARCH("Head of Marketing",C1762))+ISNUMBER(SEARCH("Head Marketing",C1762))&gt;0,'Configuración'!$B$32,IF(ISNUMBER(SEARCH("Marketing Manager",C1762))+ISNUMBER(SEARCH("Gerente de Marketing",C1762))+ISNUMBER(SEARCH("Growth Manager",C1762))+ISNUMBER(SEARCH("Demand Gen",C1762))+ISNUMBER(SEARCH("Marketing Lead",C1762))&gt;0,'Configuración'!$B$33,IF(ISNUMBER(SEARCH("COO",C1762))+ISNUMBER(SEARCH("CFO",C1762))+ISNUMBER(SEARCH("CTO",C1762))+ISNUMBER(SEARCH("Chief Operating",C1762))+ISNUMBER(SEARCH("Chief Financial",C1762))+ISNUMBER(SEARCH("Gerente General",C1762))+ISNUMBER(SEARCH("General Manager",C1762))&gt;0,'Configuración'!$B$34,'Configuración'!$B$35)))))</f>
        <v>12</v>
      </c>
      <c r="V1762" s="38">
        <f>IF(B1762="","",IF(K1762="Sí",'Configuración'!$B$5,0)+IF(L1762="Semanal",'Configuración'!$B$6,IF(L1762="Mensual",'Configuración'!$B$7,0))+IF(M1762="Sí",'Configuración'!$B$8,0)+IF(N1762="Sí",'Configuración'!$B$9,0)+IF(O1762="Sí",'Configuración'!$B$10,0)+IF(P1762="Sí",'Configuración'!$B$11,0)+IF(Q1762="Sí",'Configuración'!$B$12,0)+S1762+T1762+U1762)</f>
        <v>36</v>
      </c>
      <c r="W1762" s="39" t="str">
        <f>IF(B1762="","",IF(V1762&gt;='Configuración'!$B$19,"A",IF(V1762&gt;='Configuración'!$B$20,"B",IF(V1762&gt;='Configuración'!$B$21,"C","Descarte"))))</f>
        <v>C</v>
      </c>
    </row>
    <row r="1763" ht="15.75" customHeight="1">
      <c r="A1763" s="34">
        <f t="shared" si="1"/>
        <v>1761</v>
      </c>
      <c r="B1763" s="29" t="s">
        <v>9798</v>
      </c>
      <c r="C1763" s="29" t="s">
        <v>224</v>
      </c>
      <c r="D1763" s="29" t="s">
        <v>9799</v>
      </c>
      <c r="E1763" s="29" t="s">
        <v>9800</v>
      </c>
      <c r="F1763" s="30" t="s">
        <v>9801</v>
      </c>
      <c r="G1763" s="30" t="s">
        <v>9802</v>
      </c>
      <c r="H1763" s="42" t="s">
        <v>9803</v>
      </c>
      <c r="I1763" s="29" t="s">
        <v>145</v>
      </c>
      <c r="J1763" s="31">
        <v>3.0</v>
      </c>
      <c r="K1763" s="35"/>
      <c r="L1763" s="35"/>
      <c r="M1763" s="35"/>
      <c r="N1763" s="35"/>
      <c r="O1763" s="35"/>
      <c r="P1763" s="35"/>
      <c r="Q1763" s="35"/>
      <c r="R1763" s="35"/>
      <c r="S1763" s="37">
        <f>IF(B1763="","",IF(ISNUMBER(J1763),IF(J1763&lt;=10,'Configuración'!$B$23,IF(J1763&lt;=50,'Configuración'!$B$24,IF(J1763&lt;=200,'Configuración'!$B$25,0))),0))</f>
        <v>12</v>
      </c>
      <c r="T1763" s="37">
        <f>IF(B1763="","",IF(ISNUMBER(SEARCH("information technology",I1763))+ISNUMBER(SEARCH("software",I1763))+ISNUMBER(SEARCH("internet",I1763))+ISNUMBER(SEARCH("computer",I1763))+ISNUMBER(SEARCH("saas",I1763))+ISNUMBER(SEARCH("fintech",I1763))+ISNUMBER(SEARCH("information services",I1763))+ISNUMBER(SEARCH("telecommunications",I1763))&gt;0,'Configuración'!$B$27,'Configuración'!$B$28))</f>
        <v>4</v>
      </c>
      <c r="U1763" s="25">
        <f>IF(B1763="","",IF(ISNUMBER(SEARCH("CEO",C1763))+ISNUMBER(SEARCH("Founder",C1763))+ISNUMBER(SEARCH("Owner",C1763))+ISNUMBER(SEARCH("Dueño",C1763))+ISNUMBER(SEARCH("Director General",C1763))+ISNUMBER(SEARCH("Presidente",C1763))+ISNUMBER(SEARCH("President",C1763))&gt;0,'Configuración'!$B$31,IF(ISNUMBER(SEARCH("CMO",C1763))+ISNUMBER(SEARCH("Chief Marketing",C1763))+ISNUMBER(SEARCH("VP Marketing",C1763))+ISNUMBER(SEARCH("Director de Marketing",C1763))+ISNUMBER(SEARCH("Director Marketing",C1763))+ISNUMBER(SEARCH("Head of Marketing",C1763))+ISNUMBER(SEARCH("Head Marketing",C1763))&gt;0,'Configuración'!$B$32,IF(ISNUMBER(SEARCH("Marketing Manager",C1763))+ISNUMBER(SEARCH("Gerente de Marketing",C1763))+ISNUMBER(SEARCH("Growth Manager",C1763))+ISNUMBER(SEARCH("Demand Gen",C1763))+ISNUMBER(SEARCH("Marketing Lead",C1763))&gt;0,'Configuración'!$B$33,IF(ISNUMBER(SEARCH("COO",C1763))+ISNUMBER(SEARCH("CFO",C1763))+ISNUMBER(SEARCH("CTO",C1763))+ISNUMBER(SEARCH("Chief Operating",C1763))+ISNUMBER(SEARCH("Chief Financial",C1763))+ISNUMBER(SEARCH("Gerente General",C1763))+ISNUMBER(SEARCH("General Manager",C1763))&gt;0,'Configuración'!$B$34,'Configuración'!$B$35)))))</f>
        <v>12</v>
      </c>
      <c r="V1763" s="38">
        <f>IF(B1763="","",IF(K1763="Sí",'Configuración'!$B$5,0)+IF(L1763="Semanal",'Configuración'!$B$6,IF(L1763="Mensual",'Configuración'!$B$7,0))+IF(M1763="Sí",'Configuración'!$B$8,0)+IF(N1763="Sí",'Configuración'!$B$9,0)+IF(O1763="Sí",'Configuración'!$B$10,0)+IF(P1763="Sí",'Configuración'!$B$11,0)+IF(Q1763="Sí",'Configuración'!$B$12,0)+S1763+T1763+U1763)</f>
        <v>28</v>
      </c>
      <c r="W1763" s="39" t="str">
        <f>IF(B1763="","",IF(V1763&gt;='Configuración'!$B$19,"A",IF(V1763&gt;='Configuración'!$B$20,"B",IF(V1763&gt;='Configuración'!$B$21,"C","Descarte"))))</f>
        <v>C</v>
      </c>
    </row>
    <row r="1764" ht="15.75" customHeight="1">
      <c r="A1764" s="34">
        <f t="shared" si="1"/>
        <v>1762</v>
      </c>
      <c r="B1764" s="29" t="s">
        <v>281</v>
      </c>
      <c r="C1764" s="29" t="s">
        <v>934</v>
      </c>
      <c r="D1764" s="29" t="s">
        <v>9804</v>
      </c>
      <c r="E1764" s="29" t="s">
        <v>9805</v>
      </c>
      <c r="F1764" s="30" t="s">
        <v>9806</v>
      </c>
      <c r="G1764" s="30" t="s">
        <v>9807</v>
      </c>
      <c r="H1764" s="42" t="s">
        <v>9808</v>
      </c>
      <c r="I1764" s="29" t="s">
        <v>188</v>
      </c>
      <c r="J1764" s="31">
        <v>13.0</v>
      </c>
      <c r="K1764" s="35"/>
      <c r="L1764" s="35"/>
      <c r="M1764" s="35"/>
      <c r="N1764" s="35"/>
      <c r="O1764" s="35"/>
      <c r="P1764" s="35"/>
      <c r="Q1764" s="35"/>
      <c r="R1764" s="35"/>
      <c r="S1764" s="37">
        <f>IF(B1764="","",IF(ISNUMBER(J1764),IF(J1764&lt;=10,'Configuración'!$B$23,IF(J1764&lt;=50,'Configuración'!$B$24,IF(J1764&lt;=200,'Configuración'!$B$25,0))),0))</f>
        <v>4</v>
      </c>
      <c r="T1764" s="37">
        <f>IF(B1764="","",IF(ISNUMBER(SEARCH("information technology",I1764))+ISNUMBER(SEARCH("software",I1764))+ISNUMBER(SEARCH("internet",I1764))+ISNUMBER(SEARCH("computer",I1764))+ISNUMBER(SEARCH("saas",I1764))+ISNUMBER(SEARCH("fintech",I1764))+ISNUMBER(SEARCH("information services",I1764))+ISNUMBER(SEARCH("telecommunications",I1764))&gt;0,'Configuración'!$B$27,'Configuración'!$B$28))</f>
        <v>4</v>
      </c>
      <c r="U1764" s="25">
        <f>IF(B1764="","",IF(ISNUMBER(SEARCH("CEO",C1764))+ISNUMBER(SEARCH("Founder",C1764))+ISNUMBER(SEARCH("Owner",C1764))+ISNUMBER(SEARCH("Dueño",C1764))+ISNUMBER(SEARCH("Director General",C1764))+ISNUMBER(SEARCH("Presidente",C1764))+ISNUMBER(SEARCH("President",C1764))&gt;0,'Configuración'!$B$31,IF(ISNUMBER(SEARCH("CMO",C1764))+ISNUMBER(SEARCH("Chief Marketing",C1764))+ISNUMBER(SEARCH("VP Marketing",C1764))+ISNUMBER(SEARCH("Director de Marketing",C1764))+ISNUMBER(SEARCH("Director Marketing",C1764))+ISNUMBER(SEARCH("Head of Marketing",C1764))+ISNUMBER(SEARCH("Head Marketing",C1764))&gt;0,'Configuración'!$B$32,IF(ISNUMBER(SEARCH("Marketing Manager",C1764))+ISNUMBER(SEARCH("Gerente de Marketing",C1764))+ISNUMBER(SEARCH("Growth Manager",C1764))+ISNUMBER(SEARCH("Demand Gen",C1764))+ISNUMBER(SEARCH("Marketing Lead",C1764))&gt;0,'Configuración'!$B$33,IF(ISNUMBER(SEARCH("COO",C1764))+ISNUMBER(SEARCH("CFO",C1764))+ISNUMBER(SEARCH("CTO",C1764))+ISNUMBER(SEARCH("Chief Operating",C1764))+ISNUMBER(SEARCH("Chief Financial",C1764))+ISNUMBER(SEARCH("Gerente General",C1764))+ISNUMBER(SEARCH("General Manager",C1764))&gt;0,'Configuración'!$B$34,'Configuración'!$B$35)))))</f>
        <v>12</v>
      </c>
      <c r="V1764" s="38">
        <f>IF(B1764="","",IF(K1764="Sí",'Configuración'!$B$5,0)+IF(L1764="Semanal",'Configuración'!$B$6,IF(L1764="Mensual",'Configuración'!$B$7,0))+IF(M1764="Sí",'Configuración'!$B$8,0)+IF(N1764="Sí",'Configuración'!$B$9,0)+IF(O1764="Sí",'Configuración'!$B$10,0)+IF(P1764="Sí",'Configuración'!$B$11,0)+IF(Q1764="Sí",'Configuración'!$B$12,0)+S1764+T1764+U1764)</f>
        <v>20</v>
      </c>
      <c r="W1764" s="39" t="str">
        <f>IF(B1764="","",IF(V1764&gt;='Configuración'!$B$19,"A",IF(V1764&gt;='Configuración'!$B$20,"B",IF(V1764&gt;='Configuración'!$B$21,"C","Descarte"))))</f>
        <v>Descarte</v>
      </c>
    </row>
    <row r="1765" ht="15.75" customHeight="1">
      <c r="A1765" s="34">
        <f t="shared" si="1"/>
        <v>1763</v>
      </c>
      <c r="B1765" s="29" t="s">
        <v>3885</v>
      </c>
      <c r="C1765" s="29" t="s">
        <v>1325</v>
      </c>
      <c r="D1765" s="29" t="s">
        <v>4161</v>
      </c>
      <c r="E1765" s="29" t="s">
        <v>9809</v>
      </c>
      <c r="F1765" s="30" t="s">
        <v>9810</v>
      </c>
      <c r="G1765" s="30" t="s">
        <v>4164</v>
      </c>
      <c r="H1765" s="42" t="s">
        <v>4165</v>
      </c>
      <c r="I1765" s="29" t="s">
        <v>127</v>
      </c>
      <c r="J1765" s="31">
        <v>15.0</v>
      </c>
      <c r="K1765" s="35"/>
      <c r="L1765" s="35"/>
      <c r="M1765" s="35"/>
      <c r="N1765" s="35"/>
      <c r="O1765" s="35"/>
      <c r="P1765" s="35"/>
      <c r="Q1765" s="35"/>
      <c r="R1765" s="35"/>
      <c r="S1765" s="37">
        <f>IF(B1765="","",IF(ISNUMBER(J1765),IF(J1765&lt;=10,'Configuración'!$B$23,IF(J1765&lt;=50,'Configuración'!$B$24,IF(J1765&lt;=200,'Configuración'!$B$25,0))),0))</f>
        <v>4</v>
      </c>
      <c r="T1765" s="37">
        <f>IF(B1765="","",IF(ISNUMBER(SEARCH("information technology",I1765))+ISNUMBER(SEARCH("software",I1765))+ISNUMBER(SEARCH("internet",I1765))+ISNUMBER(SEARCH("computer",I1765))+ISNUMBER(SEARCH("saas",I1765))+ISNUMBER(SEARCH("fintech",I1765))+ISNUMBER(SEARCH("information services",I1765))+ISNUMBER(SEARCH("telecommunications",I1765))&gt;0,'Configuración'!$B$27,'Configuración'!$B$28))</f>
        <v>12</v>
      </c>
      <c r="U1765" s="25">
        <f>IF(B1765="","",IF(ISNUMBER(SEARCH("CEO",C1765))+ISNUMBER(SEARCH("Founder",C1765))+ISNUMBER(SEARCH("Owner",C1765))+ISNUMBER(SEARCH("Dueño",C1765))+ISNUMBER(SEARCH("Director General",C1765))+ISNUMBER(SEARCH("Presidente",C1765))+ISNUMBER(SEARCH("President",C1765))&gt;0,'Configuración'!$B$31,IF(ISNUMBER(SEARCH("CMO",C1765))+ISNUMBER(SEARCH("Chief Marketing",C1765))+ISNUMBER(SEARCH("VP Marketing",C1765))+ISNUMBER(SEARCH("Director de Marketing",C1765))+ISNUMBER(SEARCH("Director Marketing",C1765))+ISNUMBER(SEARCH("Head of Marketing",C1765))+ISNUMBER(SEARCH("Head Marketing",C1765))&gt;0,'Configuración'!$B$32,IF(ISNUMBER(SEARCH("Marketing Manager",C1765))+ISNUMBER(SEARCH("Gerente de Marketing",C1765))+ISNUMBER(SEARCH("Growth Manager",C1765))+ISNUMBER(SEARCH("Demand Gen",C1765))+ISNUMBER(SEARCH("Marketing Lead",C1765))&gt;0,'Configuración'!$B$33,IF(ISNUMBER(SEARCH("COO",C1765))+ISNUMBER(SEARCH("CFO",C1765))+ISNUMBER(SEARCH("CTO",C1765))+ISNUMBER(SEARCH("Chief Operating",C1765))+ISNUMBER(SEARCH("Chief Financial",C1765))+ISNUMBER(SEARCH("Gerente General",C1765))+ISNUMBER(SEARCH("General Manager",C1765))&gt;0,'Configuración'!$B$34,'Configuración'!$B$35)))))</f>
        <v>12</v>
      </c>
      <c r="V1765" s="38">
        <f>IF(B1765="","",IF(K1765="Sí",'Configuración'!$B$5,0)+IF(L1765="Semanal",'Configuración'!$B$6,IF(L1765="Mensual",'Configuración'!$B$7,0))+IF(M1765="Sí",'Configuración'!$B$8,0)+IF(N1765="Sí",'Configuración'!$B$9,0)+IF(O1765="Sí",'Configuración'!$B$10,0)+IF(P1765="Sí",'Configuración'!$B$11,0)+IF(Q1765="Sí",'Configuración'!$B$12,0)+S1765+T1765+U1765)</f>
        <v>28</v>
      </c>
      <c r="W1765" s="39" t="str">
        <f>IF(B1765="","",IF(V1765&gt;='Configuración'!$B$19,"A",IF(V1765&gt;='Configuración'!$B$20,"B",IF(V1765&gt;='Configuración'!$B$21,"C","Descarte"))))</f>
        <v>C</v>
      </c>
    </row>
    <row r="1766" ht="15.75" customHeight="1">
      <c r="A1766" s="34">
        <f t="shared" si="1"/>
        <v>1764</v>
      </c>
      <c r="B1766" s="29" t="s">
        <v>7163</v>
      </c>
      <c r="C1766" s="29" t="s">
        <v>146</v>
      </c>
      <c r="D1766" s="29" t="s">
        <v>9811</v>
      </c>
      <c r="E1766" s="29" t="s">
        <v>9812</v>
      </c>
      <c r="F1766" s="30" t="s">
        <v>9813</v>
      </c>
      <c r="G1766" s="30" t="s">
        <v>9814</v>
      </c>
      <c r="H1766" s="42" t="s">
        <v>9815</v>
      </c>
      <c r="I1766" s="29" t="s">
        <v>188</v>
      </c>
      <c r="J1766" s="31">
        <v>3.0</v>
      </c>
      <c r="K1766" s="35"/>
      <c r="L1766" s="35"/>
      <c r="M1766" s="35"/>
      <c r="N1766" s="35"/>
      <c r="O1766" s="35"/>
      <c r="P1766" s="35"/>
      <c r="Q1766" s="35"/>
      <c r="R1766" s="35"/>
      <c r="S1766" s="37">
        <f>IF(B1766="","",IF(ISNUMBER(J1766),IF(J1766&lt;=10,'Configuración'!$B$23,IF(J1766&lt;=50,'Configuración'!$B$24,IF(J1766&lt;=200,'Configuración'!$B$25,0))),0))</f>
        <v>12</v>
      </c>
      <c r="T1766" s="37">
        <f>IF(B1766="","",IF(ISNUMBER(SEARCH("information technology",I1766))+ISNUMBER(SEARCH("software",I1766))+ISNUMBER(SEARCH("internet",I1766))+ISNUMBER(SEARCH("computer",I1766))+ISNUMBER(SEARCH("saas",I1766))+ISNUMBER(SEARCH("fintech",I1766))+ISNUMBER(SEARCH("information services",I1766))+ISNUMBER(SEARCH("telecommunications",I1766))&gt;0,'Configuración'!$B$27,'Configuración'!$B$28))</f>
        <v>4</v>
      </c>
      <c r="U1766" s="25">
        <f>IF(B1766="","",IF(ISNUMBER(SEARCH("CEO",C1766))+ISNUMBER(SEARCH("Founder",C1766))+ISNUMBER(SEARCH("Owner",C1766))+ISNUMBER(SEARCH("Dueño",C1766))+ISNUMBER(SEARCH("Director General",C1766))+ISNUMBER(SEARCH("Presidente",C1766))+ISNUMBER(SEARCH("President",C1766))&gt;0,'Configuración'!$B$31,IF(ISNUMBER(SEARCH("CMO",C1766))+ISNUMBER(SEARCH("Chief Marketing",C1766))+ISNUMBER(SEARCH("VP Marketing",C1766))+ISNUMBER(SEARCH("Director de Marketing",C1766))+ISNUMBER(SEARCH("Director Marketing",C1766))+ISNUMBER(SEARCH("Head of Marketing",C1766))+ISNUMBER(SEARCH("Head Marketing",C1766))&gt;0,'Configuración'!$B$32,IF(ISNUMBER(SEARCH("Marketing Manager",C1766))+ISNUMBER(SEARCH("Gerente de Marketing",C1766))+ISNUMBER(SEARCH("Growth Manager",C1766))+ISNUMBER(SEARCH("Demand Gen",C1766))+ISNUMBER(SEARCH("Marketing Lead",C1766))&gt;0,'Configuración'!$B$33,IF(ISNUMBER(SEARCH("COO",C1766))+ISNUMBER(SEARCH("CFO",C1766))+ISNUMBER(SEARCH("CTO",C1766))+ISNUMBER(SEARCH("Chief Operating",C1766))+ISNUMBER(SEARCH("Chief Financial",C1766))+ISNUMBER(SEARCH("Gerente General",C1766))+ISNUMBER(SEARCH("General Manager",C1766))&gt;0,'Configuración'!$B$34,'Configuración'!$B$35)))))</f>
        <v>0</v>
      </c>
      <c r="V1766" s="38">
        <f>IF(B1766="","",IF(K1766="Sí",'Configuración'!$B$5,0)+IF(L1766="Semanal",'Configuración'!$B$6,IF(L1766="Mensual",'Configuración'!$B$7,0))+IF(M1766="Sí",'Configuración'!$B$8,0)+IF(N1766="Sí",'Configuración'!$B$9,0)+IF(O1766="Sí",'Configuración'!$B$10,0)+IF(P1766="Sí",'Configuración'!$B$11,0)+IF(Q1766="Sí",'Configuración'!$B$12,0)+S1766+T1766+U1766)</f>
        <v>16</v>
      </c>
      <c r="W1766" s="39" t="str">
        <f>IF(B1766="","",IF(V1766&gt;='Configuración'!$B$19,"A",IF(V1766&gt;='Configuración'!$B$20,"B",IF(V1766&gt;='Configuración'!$B$21,"C","Descarte"))))</f>
        <v>Descarte</v>
      </c>
    </row>
    <row r="1767" ht="15.75" customHeight="1">
      <c r="A1767" s="34">
        <f t="shared" si="1"/>
        <v>1765</v>
      </c>
      <c r="B1767" s="29" t="s">
        <v>174</v>
      </c>
      <c r="C1767" s="29" t="s">
        <v>3079</v>
      </c>
      <c r="D1767" s="29" t="s">
        <v>9816</v>
      </c>
      <c r="E1767" s="29" t="s">
        <v>9817</v>
      </c>
      <c r="F1767" s="30" t="s">
        <v>9818</v>
      </c>
      <c r="G1767" s="30" t="s">
        <v>9819</v>
      </c>
      <c r="H1767" s="42" t="s">
        <v>9820</v>
      </c>
      <c r="I1767" s="29" t="s">
        <v>127</v>
      </c>
      <c r="J1767" s="31">
        <v>8.0</v>
      </c>
      <c r="K1767" s="35"/>
      <c r="L1767" s="35"/>
      <c r="M1767" s="35"/>
      <c r="N1767" s="35"/>
      <c r="O1767" s="35"/>
      <c r="P1767" s="35"/>
      <c r="Q1767" s="35"/>
      <c r="R1767" s="35"/>
      <c r="S1767" s="37">
        <f>IF(B1767="","",IF(ISNUMBER(J1767),IF(J1767&lt;=10,'Configuración'!$B$23,IF(J1767&lt;=50,'Configuración'!$B$24,IF(J1767&lt;=200,'Configuración'!$B$25,0))),0))</f>
        <v>12</v>
      </c>
      <c r="T1767" s="37">
        <f>IF(B1767="","",IF(ISNUMBER(SEARCH("information technology",I1767))+ISNUMBER(SEARCH("software",I1767))+ISNUMBER(SEARCH("internet",I1767))+ISNUMBER(SEARCH("computer",I1767))+ISNUMBER(SEARCH("saas",I1767))+ISNUMBER(SEARCH("fintech",I1767))+ISNUMBER(SEARCH("information services",I1767))+ISNUMBER(SEARCH("telecommunications",I1767))&gt;0,'Configuración'!$B$27,'Configuración'!$B$28))</f>
        <v>12</v>
      </c>
      <c r="U1767" s="25">
        <f>IF(B1767="","",IF(ISNUMBER(SEARCH("CEO",C1767))+ISNUMBER(SEARCH("Founder",C1767))+ISNUMBER(SEARCH("Owner",C1767))+ISNUMBER(SEARCH("Dueño",C1767))+ISNUMBER(SEARCH("Director General",C1767))+ISNUMBER(SEARCH("Presidente",C1767))+ISNUMBER(SEARCH("President",C1767))&gt;0,'Configuración'!$B$31,IF(ISNUMBER(SEARCH("CMO",C1767))+ISNUMBER(SEARCH("Chief Marketing",C1767))+ISNUMBER(SEARCH("VP Marketing",C1767))+ISNUMBER(SEARCH("Director de Marketing",C1767))+ISNUMBER(SEARCH("Director Marketing",C1767))+ISNUMBER(SEARCH("Head of Marketing",C1767))+ISNUMBER(SEARCH("Head Marketing",C1767))&gt;0,'Configuración'!$B$32,IF(ISNUMBER(SEARCH("Marketing Manager",C1767))+ISNUMBER(SEARCH("Gerente de Marketing",C1767))+ISNUMBER(SEARCH("Growth Manager",C1767))+ISNUMBER(SEARCH("Demand Gen",C1767))+ISNUMBER(SEARCH("Marketing Lead",C1767))&gt;0,'Configuración'!$B$33,IF(ISNUMBER(SEARCH("COO",C1767))+ISNUMBER(SEARCH("CFO",C1767))+ISNUMBER(SEARCH("CTO",C1767))+ISNUMBER(SEARCH("Chief Operating",C1767))+ISNUMBER(SEARCH("Chief Financial",C1767))+ISNUMBER(SEARCH("Gerente General",C1767))+ISNUMBER(SEARCH("General Manager",C1767))&gt;0,'Configuración'!$B$34,'Configuración'!$B$35)))))</f>
        <v>12</v>
      </c>
      <c r="V1767" s="38">
        <f>IF(B1767="","",IF(K1767="Sí",'Configuración'!$B$5,0)+IF(L1767="Semanal",'Configuración'!$B$6,IF(L1767="Mensual",'Configuración'!$B$7,0))+IF(M1767="Sí",'Configuración'!$B$8,0)+IF(N1767="Sí",'Configuración'!$B$9,0)+IF(O1767="Sí",'Configuración'!$B$10,0)+IF(P1767="Sí",'Configuración'!$B$11,0)+IF(Q1767="Sí",'Configuración'!$B$12,0)+S1767+T1767+U1767)</f>
        <v>36</v>
      </c>
      <c r="W1767" s="39" t="str">
        <f>IF(B1767="","",IF(V1767&gt;='Configuración'!$B$19,"A",IF(V1767&gt;='Configuración'!$B$20,"B",IF(V1767&gt;='Configuración'!$B$21,"C","Descarte"))))</f>
        <v>C</v>
      </c>
    </row>
    <row r="1768" ht="15.75" customHeight="1">
      <c r="A1768" s="34">
        <f t="shared" si="1"/>
        <v>1766</v>
      </c>
      <c r="B1768" s="29" t="s">
        <v>749</v>
      </c>
      <c r="C1768" s="29" t="s">
        <v>9821</v>
      </c>
      <c r="D1768" s="29" t="s">
        <v>4474</v>
      </c>
      <c r="E1768" s="29" t="s">
        <v>9822</v>
      </c>
      <c r="F1768" s="30" t="s">
        <v>9823</v>
      </c>
      <c r="G1768" s="30" t="s">
        <v>4477</v>
      </c>
      <c r="H1768" s="42" t="s">
        <v>4478</v>
      </c>
      <c r="I1768" s="29" t="s">
        <v>137</v>
      </c>
      <c r="J1768" s="31">
        <v>29.0</v>
      </c>
      <c r="K1768" s="35"/>
      <c r="L1768" s="35"/>
      <c r="M1768" s="35"/>
      <c r="N1768" s="35"/>
      <c r="O1768" s="35"/>
      <c r="P1768" s="35"/>
      <c r="Q1768" s="35"/>
      <c r="R1768" s="35"/>
      <c r="S1768" s="37">
        <f>IF(B1768="","",IF(ISNUMBER(J1768),IF(J1768&lt;=10,'Configuración'!$B$23,IF(J1768&lt;=50,'Configuración'!$B$24,IF(J1768&lt;=200,'Configuración'!$B$25,0))),0))</f>
        <v>4</v>
      </c>
      <c r="T1768" s="37">
        <f>IF(B1768="","",IF(ISNUMBER(SEARCH("information technology",I1768))+ISNUMBER(SEARCH("software",I1768))+ISNUMBER(SEARCH("internet",I1768))+ISNUMBER(SEARCH("computer",I1768))+ISNUMBER(SEARCH("saas",I1768))+ISNUMBER(SEARCH("fintech",I1768))+ISNUMBER(SEARCH("information services",I1768))+ISNUMBER(SEARCH("telecommunications",I1768))&gt;0,'Configuración'!$B$27,'Configuración'!$B$28))</f>
        <v>4</v>
      </c>
      <c r="U1768" s="25">
        <f>IF(B1768="","",IF(ISNUMBER(SEARCH("CEO",C1768))+ISNUMBER(SEARCH("Founder",C1768))+ISNUMBER(SEARCH("Owner",C1768))+ISNUMBER(SEARCH("Dueño",C1768))+ISNUMBER(SEARCH("Director General",C1768))+ISNUMBER(SEARCH("Presidente",C1768))+ISNUMBER(SEARCH("President",C1768))&gt;0,'Configuración'!$B$31,IF(ISNUMBER(SEARCH("CMO",C1768))+ISNUMBER(SEARCH("Chief Marketing",C1768))+ISNUMBER(SEARCH("VP Marketing",C1768))+ISNUMBER(SEARCH("Director de Marketing",C1768))+ISNUMBER(SEARCH("Director Marketing",C1768))+ISNUMBER(SEARCH("Head of Marketing",C1768))+ISNUMBER(SEARCH("Head Marketing",C1768))&gt;0,'Configuración'!$B$32,IF(ISNUMBER(SEARCH("Marketing Manager",C1768))+ISNUMBER(SEARCH("Gerente de Marketing",C1768))+ISNUMBER(SEARCH("Growth Manager",C1768))+ISNUMBER(SEARCH("Demand Gen",C1768))+ISNUMBER(SEARCH("Marketing Lead",C1768))&gt;0,'Configuración'!$B$33,IF(ISNUMBER(SEARCH("COO",C1768))+ISNUMBER(SEARCH("CFO",C1768))+ISNUMBER(SEARCH("CTO",C1768))+ISNUMBER(SEARCH("Chief Operating",C1768))+ISNUMBER(SEARCH("Chief Financial",C1768))+ISNUMBER(SEARCH("Gerente General",C1768))+ISNUMBER(SEARCH("General Manager",C1768))&gt;0,'Configuración'!$B$34,'Configuración'!$B$35)))))</f>
        <v>12</v>
      </c>
      <c r="V1768" s="38">
        <f>IF(B1768="","",IF(K1768="Sí",'Configuración'!$B$5,0)+IF(L1768="Semanal",'Configuración'!$B$6,IF(L1768="Mensual",'Configuración'!$B$7,0))+IF(M1768="Sí",'Configuración'!$B$8,0)+IF(N1768="Sí",'Configuración'!$B$9,0)+IF(O1768="Sí",'Configuración'!$B$10,0)+IF(P1768="Sí",'Configuración'!$B$11,0)+IF(Q1768="Sí",'Configuración'!$B$12,0)+S1768+T1768+U1768)</f>
        <v>20</v>
      </c>
      <c r="W1768" s="39" t="str">
        <f>IF(B1768="","",IF(V1768&gt;='Configuración'!$B$19,"A",IF(V1768&gt;='Configuración'!$B$20,"B",IF(V1768&gt;='Configuración'!$B$21,"C","Descarte"))))</f>
        <v>Descarte</v>
      </c>
    </row>
    <row r="1769" ht="15.75" customHeight="1">
      <c r="A1769" s="34">
        <f t="shared" si="1"/>
        <v>1767</v>
      </c>
      <c r="B1769" s="29" t="s">
        <v>536</v>
      </c>
      <c r="C1769" s="29" t="s">
        <v>1120</v>
      </c>
      <c r="D1769" s="29" t="s">
        <v>9824</v>
      </c>
      <c r="E1769" s="29" t="s">
        <v>9825</v>
      </c>
      <c r="F1769" s="30" t="s">
        <v>9826</v>
      </c>
      <c r="G1769" s="30" t="s">
        <v>9827</v>
      </c>
      <c r="H1769" s="42" t="s">
        <v>9828</v>
      </c>
      <c r="I1769" s="29" t="s">
        <v>127</v>
      </c>
      <c r="J1769" s="31">
        <v>45.0</v>
      </c>
      <c r="K1769" s="35"/>
      <c r="L1769" s="35"/>
      <c r="M1769" s="35"/>
      <c r="N1769" s="35"/>
      <c r="O1769" s="35"/>
      <c r="P1769" s="35"/>
      <c r="Q1769" s="35"/>
      <c r="R1769" s="35"/>
      <c r="S1769" s="37">
        <f>IF(B1769="","",IF(ISNUMBER(J1769),IF(J1769&lt;=10,'Configuración'!$B$23,IF(J1769&lt;=50,'Configuración'!$B$24,IF(J1769&lt;=200,'Configuración'!$B$25,0))),0))</f>
        <v>4</v>
      </c>
      <c r="T1769" s="37">
        <f>IF(B1769="","",IF(ISNUMBER(SEARCH("information technology",I1769))+ISNUMBER(SEARCH("software",I1769))+ISNUMBER(SEARCH("internet",I1769))+ISNUMBER(SEARCH("computer",I1769))+ISNUMBER(SEARCH("saas",I1769))+ISNUMBER(SEARCH("fintech",I1769))+ISNUMBER(SEARCH("information services",I1769))+ISNUMBER(SEARCH("telecommunications",I1769))&gt;0,'Configuración'!$B$27,'Configuración'!$B$28))</f>
        <v>12</v>
      </c>
      <c r="U1769" s="25">
        <f>IF(B1769="","",IF(ISNUMBER(SEARCH("CEO",C1769))+ISNUMBER(SEARCH("Founder",C1769))+ISNUMBER(SEARCH("Owner",C1769))+ISNUMBER(SEARCH("Dueño",C1769))+ISNUMBER(SEARCH("Director General",C1769))+ISNUMBER(SEARCH("Presidente",C1769))+ISNUMBER(SEARCH("President",C1769))&gt;0,'Configuración'!$B$31,IF(ISNUMBER(SEARCH("CMO",C1769))+ISNUMBER(SEARCH("Chief Marketing",C1769))+ISNUMBER(SEARCH("VP Marketing",C1769))+ISNUMBER(SEARCH("Director de Marketing",C1769))+ISNUMBER(SEARCH("Director Marketing",C1769))+ISNUMBER(SEARCH("Head of Marketing",C1769))+ISNUMBER(SEARCH("Head Marketing",C1769))&gt;0,'Configuración'!$B$32,IF(ISNUMBER(SEARCH("Marketing Manager",C1769))+ISNUMBER(SEARCH("Gerente de Marketing",C1769))+ISNUMBER(SEARCH("Growth Manager",C1769))+ISNUMBER(SEARCH("Demand Gen",C1769))+ISNUMBER(SEARCH("Marketing Lead",C1769))&gt;0,'Configuración'!$B$33,IF(ISNUMBER(SEARCH("COO",C1769))+ISNUMBER(SEARCH("CFO",C1769))+ISNUMBER(SEARCH("CTO",C1769))+ISNUMBER(SEARCH("Chief Operating",C1769))+ISNUMBER(SEARCH("Chief Financial",C1769))+ISNUMBER(SEARCH("Gerente General",C1769))+ISNUMBER(SEARCH("General Manager",C1769))&gt;0,'Configuración'!$B$34,'Configuración'!$B$35)))))</f>
        <v>4</v>
      </c>
      <c r="V1769" s="38">
        <f>IF(B1769="","",IF(K1769="Sí",'Configuración'!$B$5,0)+IF(L1769="Semanal",'Configuración'!$B$6,IF(L1769="Mensual",'Configuración'!$B$7,0))+IF(M1769="Sí",'Configuración'!$B$8,0)+IF(N1769="Sí",'Configuración'!$B$9,0)+IF(O1769="Sí",'Configuración'!$B$10,0)+IF(P1769="Sí",'Configuración'!$B$11,0)+IF(Q1769="Sí",'Configuración'!$B$12,0)+S1769+T1769+U1769)</f>
        <v>20</v>
      </c>
      <c r="W1769" s="39" t="str">
        <f>IF(B1769="","",IF(V1769&gt;='Configuración'!$B$19,"A",IF(V1769&gt;='Configuración'!$B$20,"B",IF(V1769&gt;='Configuración'!$B$21,"C","Descarte"))))</f>
        <v>Descarte</v>
      </c>
    </row>
    <row r="1770" ht="15.75" customHeight="1">
      <c r="A1770" s="34">
        <f t="shared" si="1"/>
        <v>1768</v>
      </c>
      <c r="B1770" s="29" t="s">
        <v>174</v>
      </c>
      <c r="C1770" s="29" t="s">
        <v>9829</v>
      </c>
      <c r="D1770" s="29" t="s">
        <v>9830</v>
      </c>
      <c r="E1770" s="29" t="s">
        <v>9831</v>
      </c>
      <c r="F1770" s="30" t="s">
        <v>9832</v>
      </c>
      <c r="G1770" s="30" t="s">
        <v>9833</v>
      </c>
      <c r="H1770" s="42" t="s">
        <v>9834</v>
      </c>
      <c r="I1770" s="29" t="s">
        <v>542</v>
      </c>
      <c r="J1770" s="31">
        <v>2.0</v>
      </c>
      <c r="K1770" s="35"/>
      <c r="L1770" s="35"/>
      <c r="M1770" s="35"/>
      <c r="N1770" s="35"/>
      <c r="O1770" s="35"/>
      <c r="P1770" s="35"/>
      <c r="Q1770" s="35"/>
      <c r="R1770" s="35"/>
      <c r="S1770" s="37">
        <f>IF(B1770="","",IF(ISNUMBER(J1770),IF(J1770&lt;=10,'Configuración'!$B$23,IF(J1770&lt;=50,'Configuración'!$B$24,IF(J1770&lt;=200,'Configuración'!$B$25,0))),0))</f>
        <v>12</v>
      </c>
      <c r="T1770" s="37">
        <f>IF(B1770="","",IF(ISNUMBER(SEARCH("information technology",I1770))+ISNUMBER(SEARCH("software",I1770))+ISNUMBER(SEARCH("internet",I1770))+ISNUMBER(SEARCH("computer",I1770))+ISNUMBER(SEARCH("saas",I1770))+ISNUMBER(SEARCH("fintech",I1770))+ISNUMBER(SEARCH("information services",I1770))+ISNUMBER(SEARCH("telecommunications",I1770))&gt;0,'Configuración'!$B$27,'Configuración'!$B$28))</f>
        <v>4</v>
      </c>
      <c r="U1770" s="25">
        <f>IF(B1770="","",IF(ISNUMBER(SEARCH("CEO",C1770))+ISNUMBER(SEARCH("Founder",C1770))+ISNUMBER(SEARCH("Owner",C1770))+ISNUMBER(SEARCH("Dueño",C1770))+ISNUMBER(SEARCH("Director General",C1770))+ISNUMBER(SEARCH("Presidente",C1770))+ISNUMBER(SEARCH("President",C1770))&gt;0,'Configuración'!$B$31,IF(ISNUMBER(SEARCH("CMO",C1770))+ISNUMBER(SEARCH("Chief Marketing",C1770))+ISNUMBER(SEARCH("VP Marketing",C1770))+ISNUMBER(SEARCH("Director de Marketing",C1770))+ISNUMBER(SEARCH("Director Marketing",C1770))+ISNUMBER(SEARCH("Head of Marketing",C1770))+ISNUMBER(SEARCH("Head Marketing",C1770))&gt;0,'Configuración'!$B$32,IF(ISNUMBER(SEARCH("Marketing Manager",C1770))+ISNUMBER(SEARCH("Gerente de Marketing",C1770))+ISNUMBER(SEARCH("Growth Manager",C1770))+ISNUMBER(SEARCH("Demand Gen",C1770))+ISNUMBER(SEARCH("Marketing Lead",C1770))&gt;0,'Configuración'!$B$33,IF(ISNUMBER(SEARCH("COO",C1770))+ISNUMBER(SEARCH("CFO",C1770))+ISNUMBER(SEARCH("CTO",C1770))+ISNUMBER(SEARCH("Chief Operating",C1770))+ISNUMBER(SEARCH("Chief Financial",C1770))+ISNUMBER(SEARCH("Gerente General",C1770))+ISNUMBER(SEARCH("General Manager",C1770))&gt;0,'Configuración'!$B$34,'Configuración'!$B$35)))))</f>
        <v>12</v>
      </c>
      <c r="V1770" s="38">
        <f>IF(B1770="","",IF(K1770="Sí",'Configuración'!$B$5,0)+IF(L1770="Semanal",'Configuración'!$B$6,IF(L1770="Mensual",'Configuración'!$B$7,0))+IF(M1770="Sí",'Configuración'!$B$8,0)+IF(N1770="Sí",'Configuración'!$B$9,0)+IF(O1770="Sí",'Configuración'!$B$10,0)+IF(P1770="Sí",'Configuración'!$B$11,0)+IF(Q1770="Sí",'Configuración'!$B$12,0)+S1770+T1770+U1770)</f>
        <v>28</v>
      </c>
      <c r="W1770" s="39" t="str">
        <f>IF(B1770="","",IF(V1770&gt;='Configuración'!$B$19,"A",IF(V1770&gt;='Configuración'!$B$20,"B",IF(V1770&gt;='Configuración'!$B$21,"C","Descarte"))))</f>
        <v>C</v>
      </c>
    </row>
    <row r="1771" ht="15.75" customHeight="1">
      <c r="A1771" s="34">
        <f t="shared" si="1"/>
        <v>1769</v>
      </c>
      <c r="B1771" s="29" t="s">
        <v>166</v>
      </c>
      <c r="C1771" s="29" t="s">
        <v>202</v>
      </c>
      <c r="D1771" s="29" t="s">
        <v>8565</v>
      </c>
      <c r="E1771" s="29" t="s">
        <v>9835</v>
      </c>
      <c r="F1771" s="30" t="s">
        <v>9836</v>
      </c>
      <c r="G1771" s="30" t="s">
        <v>8568</v>
      </c>
      <c r="H1771" s="42" t="s">
        <v>8569</v>
      </c>
      <c r="I1771" s="29" t="s">
        <v>127</v>
      </c>
      <c r="J1771" s="31">
        <v>2.0</v>
      </c>
      <c r="K1771" s="35"/>
      <c r="L1771" s="35"/>
      <c r="M1771" s="35"/>
      <c r="N1771" s="35"/>
      <c r="O1771" s="35"/>
      <c r="P1771" s="35"/>
      <c r="Q1771" s="35"/>
      <c r="R1771" s="35"/>
      <c r="S1771" s="37">
        <f>IF(B1771="","",IF(ISNUMBER(J1771),IF(J1771&lt;=10,'Configuración'!$B$23,IF(J1771&lt;=50,'Configuración'!$B$24,IF(J1771&lt;=200,'Configuración'!$B$25,0))),0))</f>
        <v>12</v>
      </c>
      <c r="T1771" s="37">
        <f>IF(B1771="","",IF(ISNUMBER(SEARCH("information technology",I1771))+ISNUMBER(SEARCH("software",I1771))+ISNUMBER(SEARCH("internet",I1771))+ISNUMBER(SEARCH("computer",I1771))+ISNUMBER(SEARCH("saas",I1771))+ISNUMBER(SEARCH("fintech",I1771))+ISNUMBER(SEARCH("information services",I1771))+ISNUMBER(SEARCH("telecommunications",I1771))&gt;0,'Configuración'!$B$27,'Configuración'!$B$28))</f>
        <v>12</v>
      </c>
      <c r="U1771" s="25">
        <f>IF(B1771="","",IF(ISNUMBER(SEARCH("CEO",C1771))+ISNUMBER(SEARCH("Founder",C1771))+ISNUMBER(SEARCH("Owner",C1771))+ISNUMBER(SEARCH("Dueño",C1771))+ISNUMBER(SEARCH("Director General",C1771))+ISNUMBER(SEARCH("Presidente",C1771))+ISNUMBER(SEARCH("President",C1771))&gt;0,'Configuración'!$B$31,IF(ISNUMBER(SEARCH("CMO",C1771))+ISNUMBER(SEARCH("Chief Marketing",C1771))+ISNUMBER(SEARCH("VP Marketing",C1771))+ISNUMBER(SEARCH("Director de Marketing",C1771))+ISNUMBER(SEARCH("Director Marketing",C1771))+ISNUMBER(SEARCH("Head of Marketing",C1771))+ISNUMBER(SEARCH("Head Marketing",C1771))&gt;0,'Configuración'!$B$32,IF(ISNUMBER(SEARCH("Marketing Manager",C1771))+ISNUMBER(SEARCH("Gerente de Marketing",C1771))+ISNUMBER(SEARCH("Growth Manager",C1771))+ISNUMBER(SEARCH("Demand Gen",C1771))+ISNUMBER(SEARCH("Marketing Lead",C1771))&gt;0,'Configuración'!$B$33,IF(ISNUMBER(SEARCH("COO",C1771))+ISNUMBER(SEARCH("CFO",C1771))+ISNUMBER(SEARCH("CTO",C1771))+ISNUMBER(SEARCH("Chief Operating",C1771))+ISNUMBER(SEARCH("Chief Financial",C1771))+ISNUMBER(SEARCH("Gerente General",C1771))+ISNUMBER(SEARCH("General Manager",C1771))&gt;0,'Configuración'!$B$34,'Configuración'!$B$35)))))</f>
        <v>12</v>
      </c>
      <c r="V1771" s="38">
        <f>IF(B1771="","",IF(K1771="Sí",'Configuración'!$B$5,0)+IF(L1771="Semanal",'Configuración'!$B$6,IF(L1771="Mensual",'Configuración'!$B$7,0))+IF(M1771="Sí",'Configuración'!$B$8,0)+IF(N1771="Sí",'Configuración'!$B$9,0)+IF(O1771="Sí",'Configuración'!$B$10,0)+IF(P1771="Sí",'Configuración'!$B$11,0)+IF(Q1771="Sí",'Configuración'!$B$12,0)+S1771+T1771+U1771)</f>
        <v>36</v>
      </c>
      <c r="W1771" s="39" t="str">
        <f>IF(B1771="","",IF(V1771&gt;='Configuración'!$B$19,"A",IF(V1771&gt;='Configuración'!$B$20,"B",IF(V1771&gt;='Configuración'!$B$21,"C","Descarte"))))</f>
        <v>C</v>
      </c>
    </row>
    <row r="1772" ht="15.75" customHeight="1">
      <c r="A1772" s="34">
        <f t="shared" si="1"/>
        <v>1770</v>
      </c>
      <c r="B1772" s="29" t="s">
        <v>9837</v>
      </c>
      <c r="C1772" s="29" t="s">
        <v>131</v>
      </c>
      <c r="D1772" s="29" t="s">
        <v>9838</v>
      </c>
      <c r="E1772" s="29" t="s">
        <v>9839</v>
      </c>
      <c r="F1772" s="30" t="s">
        <v>9840</v>
      </c>
      <c r="G1772" s="30" t="s">
        <v>9841</v>
      </c>
      <c r="H1772" s="42" t="s">
        <v>9842</v>
      </c>
      <c r="I1772" s="29" t="s">
        <v>188</v>
      </c>
      <c r="J1772" s="31">
        <v>9.0</v>
      </c>
      <c r="K1772" s="35"/>
      <c r="L1772" s="35"/>
      <c r="M1772" s="35"/>
      <c r="N1772" s="35"/>
      <c r="O1772" s="35"/>
      <c r="P1772" s="35"/>
      <c r="Q1772" s="35"/>
      <c r="R1772" s="35"/>
      <c r="S1772" s="37">
        <f>IF(B1772="","",IF(ISNUMBER(J1772),IF(J1772&lt;=10,'Configuración'!$B$23,IF(J1772&lt;=50,'Configuración'!$B$24,IF(J1772&lt;=200,'Configuración'!$B$25,0))),0))</f>
        <v>12</v>
      </c>
      <c r="T1772" s="37">
        <f>IF(B1772="","",IF(ISNUMBER(SEARCH("information technology",I1772))+ISNUMBER(SEARCH("software",I1772))+ISNUMBER(SEARCH("internet",I1772))+ISNUMBER(SEARCH("computer",I1772))+ISNUMBER(SEARCH("saas",I1772))+ISNUMBER(SEARCH("fintech",I1772))+ISNUMBER(SEARCH("information services",I1772))+ISNUMBER(SEARCH("telecommunications",I1772))&gt;0,'Configuración'!$B$27,'Configuración'!$B$28))</f>
        <v>4</v>
      </c>
      <c r="U1772" s="25">
        <f>IF(B1772="","",IF(ISNUMBER(SEARCH("CEO",C1772))+ISNUMBER(SEARCH("Founder",C1772))+ISNUMBER(SEARCH("Owner",C1772))+ISNUMBER(SEARCH("Dueño",C1772))+ISNUMBER(SEARCH("Director General",C1772))+ISNUMBER(SEARCH("Presidente",C1772))+ISNUMBER(SEARCH("President",C1772))&gt;0,'Configuración'!$B$31,IF(ISNUMBER(SEARCH("CMO",C1772))+ISNUMBER(SEARCH("Chief Marketing",C1772))+ISNUMBER(SEARCH("VP Marketing",C1772))+ISNUMBER(SEARCH("Director de Marketing",C1772))+ISNUMBER(SEARCH("Director Marketing",C1772))+ISNUMBER(SEARCH("Head of Marketing",C1772))+ISNUMBER(SEARCH("Head Marketing",C1772))&gt;0,'Configuración'!$B$32,IF(ISNUMBER(SEARCH("Marketing Manager",C1772))+ISNUMBER(SEARCH("Gerente de Marketing",C1772))+ISNUMBER(SEARCH("Growth Manager",C1772))+ISNUMBER(SEARCH("Demand Gen",C1772))+ISNUMBER(SEARCH("Marketing Lead",C1772))&gt;0,'Configuración'!$B$33,IF(ISNUMBER(SEARCH("COO",C1772))+ISNUMBER(SEARCH("CFO",C1772))+ISNUMBER(SEARCH("CTO",C1772))+ISNUMBER(SEARCH("Chief Operating",C1772))+ISNUMBER(SEARCH("Chief Financial",C1772))+ISNUMBER(SEARCH("Gerente General",C1772))+ISNUMBER(SEARCH("General Manager",C1772))&gt;0,'Configuración'!$B$34,'Configuración'!$B$35)))))</f>
        <v>12</v>
      </c>
      <c r="V1772" s="38">
        <f>IF(B1772="","",IF(K1772="Sí",'Configuración'!$B$5,0)+IF(L1772="Semanal",'Configuración'!$B$6,IF(L1772="Mensual",'Configuración'!$B$7,0))+IF(M1772="Sí",'Configuración'!$B$8,0)+IF(N1772="Sí",'Configuración'!$B$9,0)+IF(O1772="Sí",'Configuración'!$B$10,0)+IF(P1772="Sí",'Configuración'!$B$11,0)+IF(Q1772="Sí",'Configuración'!$B$12,0)+S1772+T1772+U1772)</f>
        <v>28</v>
      </c>
      <c r="W1772" s="39" t="str">
        <f>IF(B1772="","",IF(V1772&gt;='Configuración'!$B$19,"A",IF(V1772&gt;='Configuración'!$B$20,"B",IF(V1772&gt;='Configuración'!$B$21,"C","Descarte"))))</f>
        <v>C</v>
      </c>
    </row>
    <row r="1773" ht="15.75" customHeight="1">
      <c r="A1773" s="34">
        <f t="shared" si="1"/>
        <v>1771</v>
      </c>
      <c r="B1773" s="29" t="s">
        <v>1567</v>
      </c>
      <c r="C1773" s="29" t="s">
        <v>9843</v>
      </c>
      <c r="D1773" s="29" t="s">
        <v>9844</v>
      </c>
      <c r="E1773" s="29" t="s">
        <v>9845</v>
      </c>
      <c r="F1773" s="30" t="s">
        <v>9846</v>
      </c>
      <c r="G1773" s="30" t="s">
        <v>9847</v>
      </c>
      <c r="H1773" s="42" t="s">
        <v>9848</v>
      </c>
      <c r="I1773" s="29" t="s">
        <v>1277</v>
      </c>
      <c r="J1773" s="31">
        <v>28.0</v>
      </c>
      <c r="K1773" s="35"/>
      <c r="L1773" s="35"/>
      <c r="M1773" s="35"/>
      <c r="N1773" s="35"/>
      <c r="O1773" s="35"/>
      <c r="P1773" s="35"/>
      <c r="Q1773" s="35"/>
      <c r="R1773" s="35"/>
      <c r="S1773" s="37">
        <f>IF(B1773="","",IF(ISNUMBER(J1773),IF(J1773&lt;=10,'Configuración'!$B$23,IF(J1773&lt;=50,'Configuración'!$B$24,IF(J1773&lt;=200,'Configuración'!$B$25,0))),0))</f>
        <v>4</v>
      </c>
      <c r="T1773" s="37">
        <f>IF(B1773="","",IF(ISNUMBER(SEARCH("information technology",I1773))+ISNUMBER(SEARCH("software",I1773))+ISNUMBER(SEARCH("internet",I1773))+ISNUMBER(SEARCH("computer",I1773))+ISNUMBER(SEARCH("saas",I1773))+ISNUMBER(SEARCH("fintech",I1773))+ISNUMBER(SEARCH("information services",I1773))+ISNUMBER(SEARCH("telecommunications",I1773))&gt;0,'Configuración'!$B$27,'Configuración'!$B$28))</f>
        <v>4</v>
      </c>
      <c r="U1773" s="25">
        <f>IF(B1773="","",IF(ISNUMBER(SEARCH("CEO",C1773))+ISNUMBER(SEARCH("Founder",C1773))+ISNUMBER(SEARCH("Owner",C1773))+ISNUMBER(SEARCH("Dueño",C1773))+ISNUMBER(SEARCH("Director General",C1773))+ISNUMBER(SEARCH("Presidente",C1773))+ISNUMBER(SEARCH("President",C1773))&gt;0,'Configuración'!$B$31,IF(ISNUMBER(SEARCH("CMO",C1773))+ISNUMBER(SEARCH("Chief Marketing",C1773))+ISNUMBER(SEARCH("VP Marketing",C1773))+ISNUMBER(SEARCH("Director de Marketing",C1773))+ISNUMBER(SEARCH("Director Marketing",C1773))+ISNUMBER(SEARCH("Head of Marketing",C1773))+ISNUMBER(SEARCH("Head Marketing",C1773))&gt;0,'Configuración'!$B$32,IF(ISNUMBER(SEARCH("Marketing Manager",C1773))+ISNUMBER(SEARCH("Gerente de Marketing",C1773))+ISNUMBER(SEARCH("Growth Manager",C1773))+ISNUMBER(SEARCH("Demand Gen",C1773))+ISNUMBER(SEARCH("Marketing Lead",C1773))&gt;0,'Configuración'!$B$33,IF(ISNUMBER(SEARCH("COO",C1773))+ISNUMBER(SEARCH("CFO",C1773))+ISNUMBER(SEARCH("CTO",C1773))+ISNUMBER(SEARCH("Chief Operating",C1773))+ISNUMBER(SEARCH("Chief Financial",C1773))+ISNUMBER(SEARCH("Gerente General",C1773))+ISNUMBER(SEARCH("General Manager",C1773))&gt;0,'Configuración'!$B$34,'Configuración'!$B$35)))))</f>
        <v>12</v>
      </c>
      <c r="V1773" s="38">
        <f>IF(B1773="","",IF(K1773="Sí",'Configuración'!$B$5,0)+IF(L1773="Semanal",'Configuración'!$B$6,IF(L1773="Mensual",'Configuración'!$B$7,0))+IF(M1773="Sí",'Configuración'!$B$8,0)+IF(N1773="Sí",'Configuración'!$B$9,0)+IF(O1773="Sí",'Configuración'!$B$10,0)+IF(P1773="Sí",'Configuración'!$B$11,0)+IF(Q1773="Sí",'Configuración'!$B$12,0)+S1773+T1773+U1773)</f>
        <v>20</v>
      </c>
      <c r="W1773" s="39" t="str">
        <f>IF(B1773="","",IF(V1773&gt;='Configuración'!$B$19,"A",IF(V1773&gt;='Configuración'!$B$20,"B",IF(V1773&gt;='Configuración'!$B$21,"C","Descarte"))))</f>
        <v>Descarte</v>
      </c>
    </row>
    <row r="1774" ht="15.75" customHeight="1">
      <c r="A1774" s="34">
        <f t="shared" si="1"/>
        <v>1772</v>
      </c>
      <c r="B1774" s="29" t="s">
        <v>166</v>
      </c>
      <c r="C1774" s="29" t="s">
        <v>131</v>
      </c>
      <c r="D1774" s="29" t="s">
        <v>9849</v>
      </c>
      <c r="E1774" s="29" t="s">
        <v>9850</v>
      </c>
      <c r="F1774" s="30" t="s">
        <v>9851</v>
      </c>
      <c r="G1774" s="30" t="s">
        <v>9852</v>
      </c>
      <c r="H1774" s="42" t="s">
        <v>9853</v>
      </c>
      <c r="I1774" s="29" t="s">
        <v>542</v>
      </c>
      <c r="J1774" s="31">
        <v>19.0</v>
      </c>
      <c r="K1774" s="35"/>
      <c r="L1774" s="35"/>
      <c r="M1774" s="35"/>
      <c r="N1774" s="35"/>
      <c r="O1774" s="35"/>
      <c r="P1774" s="35"/>
      <c r="Q1774" s="35"/>
      <c r="R1774" s="35"/>
      <c r="S1774" s="37">
        <f>IF(B1774="","",IF(ISNUMBER(J1774),IF(J1774&lt;=10,'Configuración'!$B$23,IF(J1774&lt;=50,'Configuración'!$B$24,IF(J1774&lt;=200,'Configuración'!$B$25,0))),0))</f>
        <v>4</v>
      </c>
      <c r="T1774" s="37">
        <f>IF(B1774="","",IF(ISNUMBER(SEARCH("information technology",I1774))+ISNUMBER(SEARCH("software",I1774))+ISNUMBER(SEARCH("internet",I1774))+ISNUMBER(SEARCH("computer",I1774))+ISNUMBER(SEARCH("saas",I1774))+ISNUMBER(SEARCH("fintech",I1774))+ISNUMBER(SEARCH("information services",I1774))+ISNUMBER(SEARCH("telecommunications",I1774))&gt;0,'Configuración'!$B$27,'Configuración'!$B$28))</f>
        <v>4</v>
      </c>
      <c r="U1774" s="25">
        <f>IF(B1774="","",IF(ISNUMBER(SEARCH("CEO",C1774))+ISNUMBER(SEARCH("Founder",C1774))+ISNUMBER(SEARCH("Owner",C1774))+ISNUMBER(SEARCH("Dueño",C1774))+ISNUMBER(SEARCH("Director General",C1774))+ISNUMBER(SEARCH("Presidente",C1774))+ISNUMBER(SEARCH("President",C1774))&gt;0,'Configuración'!$B$31,IF(ISNUMBER(SEARCH("CMO",C1774))+ISNUMBER(SEARCH("Chief Marketing",C1774))+ISNUMBER(SEARCH("VP Marketing",C1774))+ISNUMBER(SEARCH("Director de Marketing",C1774))+ISNUMBER(SEARCH("Director Marketing",C1774))+ISNUMBER(SEARCH("Head of Marketing",C1774))+ISNUMBER(SEARCH("Head Marketing",C1774))&gt;0,'Configuración'!$B$32,IF(ISNUMBER(SEARCH("Marketing Manager",C1774))+ISNUMBER(SEARCH("Gerente de Marketing",C1774))+ISNUMBER(SEARCH("Growth Manager",C1774))+ISNUMBER(SEARCH("Demand Gen",C1774))+ISNUMBER(SEARCH("Marketing Lead",C1774))&gt;0,'Configuración'!$B$33,IF(ISNUMBER(SEARCH("COO",C1774))+ISNUMBER(SEARCH("CFO",C1774))+ISNUMBER(SEARCH("CTO",C1774))+ISNUMBER(SEARCH("Chief Operating",C1774))+ISNUMBER(SEARCH("Chief Financial",C1774))+ISNUMBER(SEARCH("Gerente General",C1774))+ISNUMBER(SEARCH("General Manager",C1774))&gt;0,'Configuración'!$B$34,'Configuración'!$B$35)))))</f>
        <v>12</v>
      </c>
      <c r="V1774" s="38">
        <f>IF(B1774="","",IF(K1774="Sí",'Configuración'!$B$5,0)+IF(L1774="Semanal",'Configuración'!$B$6,IF(L1774="Mensual",'Configuración'!$B$7,0))+IF(M1774="Sí",'Configuración'!$B$8,0)+IF(N1774="Sí",'Configuración'!$B$9,0)+IF(O1774="Sí",'Configuración'!$B$10,0)+IF(P1774="Sí",'Configuración'!$B$11,0)+IF(Q1774="Sí",'Configuración'!$B$12,0)+S1774+T1774+U1774)</f>
        <v>20</v>
      </c>
      <c r="W1774" s="39" t="str">
        <f>IF(B1774="","",IF(V1774&gt;='Configuración'!$B$19,"A",IF(V1774&gt;='Configuración'!$B$20,"B",IF(V1774&gt;='Configuración'!$B$21,"C","Descarte"))))</f>
        <v>Descarte</v>
      </c>
    </row>
    <row r="1775" ht="15.75" customHeight="1">
      <c r="A1775" s="34">
        <f t="shared" si="1"/>
        <v>1773</v>
      </c>
      <c r="B1775" s="29" t="s">
        <v>4009</v>
      </c>
      <c r="C1775" s="29" t="s">
        <v>487</v>
      </c>
      <c r="D1775" s="29" t="s">
        <v>9854</v>
      </c>
      <c r="E1775" s="29" t="s">
        <v>9855</v>
      </c>
      <c r="F1775" s="30" t="s">
        <v>9856</v>
      </c>
      <c r="G1775" s="30" t="s">
        <v>9857</v>
      </c>
      <c r="H1775" s="42" t="s">
        <v>9858</v>
      </c>
      <c r="I1775" s="29" t="s">
        <v>127</v>
      </c>
      <c r="J1775" s="31">
        <v>12.0</v>
      </c>
      <c r="K1775" s="35"/>
      <c r="L1775" s="35"/>
      <c r="M1775" s="35"/>
      <c r="N1775" s="35"/>
      <c r="O1775" s="35"/>
      <c r="P1775" s="35"/>
      <c r="Q1775" s="35"/>
      <c r="R1775" s="35"/>
      <c r="S1775" s="37">
        <f>IF(B1775="","",IF(ISNUMBER(J1775),IF(J1775&lt;=10,'Configuración'!$B$23,IF(J1775&lt;=50,'Configuración'!$B$24,IF(J1775&lt;=200,'Configuración'!$B$25,0))),0))</f>
        <v>4</v>
      </c>
      <c r="T1775" s="37">
        <f>IF(B1775="","",IF(ISNUMBER(SEARCH("information technology",I1775))+ISNUMBER(SEARCH("software",I1775))+ISNUMBER(SEARCH("internet",I1775))+ISNUMBER(SEARCH("computer",I1775))+ISNUMBER(SEARCH("saas",I1775))+ISNUMBER(SEARCH("fintech",I1775))+ISNUMBER(SEARCH("information services",I1775))+ISNUMBER(SEARCH("telecommunications",I1775))&gt;0,'Configuración'!$B$27,'Configuración'!$B$28))</f>
        <v>12</v>
      </c>
      <c r="U1775" s="25">
        <f>IF(B1775="","",IF(ISNUMBER(SEARCH("CEO",C1775))+ISNUMBER(SEARCH("Founder",C1775))+ISNUMBER(SEARCH("Owner",C1775))+ISNUMBER(SEARCH("Dueño",C1775))+ISNUMBER(SEARCH("Director General",C1775))+ISNUMBER(SEARCH("Presidente",C1775))+ISNUMBER(SEARCH("President",C1775))&gt;0,'Configuración'!$B$31,IF(ISNUMBER(SEARCH("CMO",C1775))+ISNUMBER(SEARCH("Chief Marketing",C1775))+ISNUMBER(SEARCH("VP Marketing",C1775))+ISNUMBER(SEARCH("Director de Marketing",C1775))+ISNUMBER(SEARCH("Director Marketing",C1775))+ISNUMBER(SEARCH("Head of Marketing",C1775))+ISNUMBER(SEARCH("Head Marketing",C1775))&gt;0,'Configuración'!$B$32,IF(ISNUMBER(SEARCH("Marketing Manager",C1775))+ISNUMBER(SEARCH("Gerente de Marketing",C1775))+ISNUMBER(SEARCH("Growth Manager",C1775))+ISNUMBER(SEARCH("Demand Gen",C1775))+ISNUMBER(SEARCH("Marketing Lead",C1775))&gt;0,'Configuración'!$B$33,IF(ISNUMBER(SEARCH("COO",C1775))+ISNUMBER(SEARCH("CFO",C1775))+ISNUMBER(SEARCH("CTO",C1775))+ISNUMBER(SEARCH("Chief Operating",C1775))+ISNUMBER(SEARCH("Chief Financial",C1775))+ISNUMBER(SEARCH("Gerente General",C1775))+ISNUMBER(SEARCH("General Manager",C1775))&gt;0,'Configuración'!$B$34,'Configuración'!$B$35)))))</f>
        <v>12</v>
      </c>
      <c r="V1775" s="38">
        <f>IF(B1775="","",IF(K1775="Sí",'Configuración'!$B$5,0)+IF(L1775="Semanal",'Configuración'!$B$6,IF(L1775="Mensual",'Configuración'!$B$7,0))+IF(M1775="Sí",'Configuración'!$B$8,0)+IF(N1775="Sí",'Configuración'!$B$9,0)+IF(O1775="Sí",'Configuración'!$B$10,0)+IF(P1775="Sí",'Configuración'!$B$11,0)+IF(Q1775="Sí",'Configuración'!$B$12,0)+S1775+T1775+U1775)</f>
        <v>28</v>
      </c>
      <c r="W1775" s="39" t="str">
        <f>IF(B1775="","",IF(V1775&gt;='Configuración'!$B$19,"A",IF(V1775&gt;='Configuración'!$B$20,"B",IF(V1775&gt;='Configuración'!$B$21,"C","Descarte"))))</f>
        <v>C</v>
      </c>
    </row>
    <row r="1776" ht="15.75" customHeight="1">
      <c r="A1776" s="34">
        <f t="shared" si="1"/>
        <v>1774</v>
      </c>
      <c r="B1776" s="29" t="s">
        <v>466</v>
      </c>
      <c r="C1776" s="29" t="s">
        <v>9859</v>
      </c>
      <c r="D1776" s="29" t="s">
        <v>9860</v>
      </c>
      <c r="E1776" s="29" t="s">
        <v>9861</v>
      </c>
      <c r="F1776" s="30" t="s">
        <v>9862</v>
      </c>
      <c r="G1776" s="30" t="s">
        <v>9863</v>
      </c>
      <c r="H1776" s="42" t="s">
        <v>9864</v>
      </c>
      <c r="I1776" s="29" t="s">
        <v>116</v>
      </c>
      <c r="J1776" s="31">
        <v>9.0</v>
      </c>
      <c r="K1776" s="35"/>
      <c r="L1776" s="35"/>
      <c r="M1776" s="35"/>
      <c r="N1776" s="35"/>
      <c r="O1776" s="35"/>
      <c r="P1776" s="35"/>
      <c r="Q1776" s="35"/>
      <c r="R1776" s="35"/>
      <c r="S1776" s="37">
        <f>IF(B1776="","",IF(ISNUMBER(J1776),IF(J1776&lt;=10,'Configuración'!$B$23,IF(J1776&lt;=50,'Configuración'!$B$24,IF(J1776&lt;=200,'Configuración'!$B$25,0))),0))</f>
        <v>12</v>
      </c>
      <c r="T1776" s="37">
        <f>IF(B1776="","",IF(ISNUMBER(SEARCH("information technology",I1776))+ISNUMBER(SEARCH("software",I1776))+ISNUMBER(SEARCH("internet",I1776))+ISNUMBER(SEARCH("computer",I1776))+ISNUMBER(SEARCH("saas",I1776))+ISNUMBER(SEARCH("fintech",I1776))+ISNUMBER(SEARCH("information services",I1776))+ISNUMBER(SEARCH("telecommunications",I1776))&gt;0,'Configuración'!$B$27,'Configuración'!$B$28))</f>
        <v>4</v>
      </c>
      <c r="U1776" s="25">
        <f>IF(B1776="","",IF(ISNUMBER(SEARCH("CEO",C1776))+ISNUMBER(SEARCH("Founder",C1776))+ISNUMBER(SEARCH("Owner",C1776))+ISNUMBER(SEARCH("Dueño",C1776))+ISNUMBER(SEARCH("Director General",C1776))+ISNUMBER(SEARCH("Presidente",C1776))+ISNUMBER(SEARCH("President",C1776))&gt;0,'Configuración'!$B$31,IF(ISNUMBER(SEARCH("CMO",C1776))+ISNUMBER(SEARCH("Chief Marketing",C1776))+ISNUMBER(SEARCH("VP Marketing",C1776))+ISNUMBER(SEARCH("Director de Marketing",C1776))+ISNUMBER(SEARCH("Director Marketing",C1776))+ISNUMBER(SEARCH("Head of Marketing",C1776))+ISNUMBER(SEARCH("Head Marketing",C1776))&gt;0,'Configuración'!$B$32,IF(ISNUMBER(SEARCH("Marketing Manager",C1776))+ISNUMBER(SEARCH("Gerente de Marketing",C1776))+ISNUMBER(SEARCH("Growth Manager",C1776))+ISNUMBER(SEARCH("Demand Gen",C1776))+ISNUMBER(SEARCH("Marketing Lead",C1776))&gt;0,'Configuración'!$B$33,IF(ISNUMBER(SEARCH("COO",C1776))+ISNUMBER(SEARCH("CFO",C1776))+ISNUMBER(SEARCH("CTO",C1776))+ISNUMBER(SEARCH("Chief Operating",C1776))+ISNUMBER(SEARCH("Chief Financial",C1776))+ISNUMBER(SEARCH("Gerente General",C1776))+ISNUMBER(SEARCH("General Manager",C1776))&gt;0,'Configuración'!$B$34,'Configuración'!$B$35)))))</f>
        <v>12</v>
      </c>
      <c r="V1776" s="38">
        <f>IF(B1776="","",IF(K1776="Sí",'Configuración'!$B$5,0)+IF(L1776="Semanal",'Configuración'!$B$6,IF(L1776="Mensual",'Configuración'!$B$7,0))+IF(M1776="Sí",'Configuración'!$B$8,0)+IF(N1776="Sí",'Configuración'!$B$9,0)+IF(O1776="Sí",'Configuración'!$B$10,0)+IF(P1776="Sí",'Configuración'!$B$11,0)+IF(Q1776="Sí",'Configuración'!$B$12,0)+S1776+T1776+U1776)</f>
        <v>28</v>
      </c>
      <c r="W1776" s="39" t="str">
        <f>IF(B1776="","",IF(V1776&gt;='Configuración'!$B$19,"A",IF(V1776&gt;='Configuración'!$B$20,"B",IF(V1776&gt;='Configuración'!$B$21,"C","Descarte"))))</f>
        <v>C</v>
      </c>
    </row>
    <row r="1777" ht="15.75" customHeight="1">
      <c r="A1777" s="34">
        <f t="shared" si="1"/>
        <v>1775</v>
      </c>
      <c r="B1777" s="29" t="s">
        <v>493</v>
      </c>
      <c r="C1777" s="29" t="s">
        <v>146</v>
      </c>
      <c r="D1777" s="29" t="s">
        <v>2954</v>
      </c>
      <c r="E1777" s="29" t="s">
        <v>9865</v>
      </c>
      <c r="F1777" s="30" t="s">
        <v>9866</v>
      </c>
      <c r="G1777" s="30" t="s">
        <v>2957</v>
      </c>
      <c r="H1777" s="42" t="s">
        <v>2958</v>
      </c>
      <c r="I1777" s="29" t="s">
        <v>127</v>
      </c>
      <c r="J1777" s="31">
        <v>2.0</v>
      </c>
      <c r="K1777" s="35"/>
      <c r="L1777" s="35"/>
      <c r="M1777" s="35"/>
      <c r="N1777" s="35"/>
      <c r="O1777" s="35"/>
      <c r="P1777" s="35"/>
      <c r="Q1777" s="35"/>
      <c r="R1777" s="35"/>
      <c r="S1777" s="37">
        <f>IF(B1777="","",IF(ISNUMBER(J1777),IF(J1777&lt;=10,'Configuración'!$B$23,IF(J1777&lt;=50,'Configuración'!$B$24,IF(J1777&lt;=200,'Configuración'!$B$25,0))),0))</f>
        <v>12</v>
      </c>
      <c r="T1777" s="37">
        <f>IF(B1777="","",IF(ISNUMBER(SEARCH("information technology",I1777))+ISNUMBER(SEARCH("software",I1777))+ISNUMBER(SEARCH("internet",I1777))+ISNUMBER(SEARCH("computer",I1777))+ISNUMBER(SEARCH("saas",I1777))+ISNUMBER(SEARCH("fintech",I1777))+ISNUMBER(SEARCH("information services",I1777))+ISNUMBER(SEARCH("telecommunications",I1777))&gt;0,'Configuración'!$B$27,'Configuración'!$B$28))</f>
        <v>12</v>
      </c>
      <c r="U1777" s="25">
        <f>IF(B1777="","",IF(ISNUMBER(SEARCH("CEO",C1777))+ISNUMBER(SEARCH("Founder",C1777))+ISNUMBER(SEARCH("Owner",C1777))+ISNUMBER(SEARCH("Dueño",C1777))+ISNUMBER(SEARCH("Director General",C1777))+ISNUMBER(SEARCH("Presidente",C1777))+ISNUMBER(SEARCH("President",C1777))&gt;0,'Configuración'!$B$31,IF(ISNUMBER(SEARCH("CMO",C1777))+ISNUMBER(SEARCH("Chief Marketing",C1777))+ISNUMBER(SEARCH("VP Marketing",C1777))+ISNUMBER(SEARCH("Director de Marketing",C1777))+ISNUMBER(SEARCH("Director Marketing",C1777))+ISNUMBER(SEARCH("Head of Marketing",C1777))+ISNUMBER(SEARCH("Head Marketing",C1777))&gt;0,'Configuración'!$B$32,IF(ISNUMBER(SEARCH("Marketing Manager",C1777))+ISNUMBER(SEARCH("Gerente de Marketing",C1777))+ISNUMBER(SEARCH("Growth Manager",C1777))+ISNUMBER(SEARCH("Demand Gen",C1777))+ISNUMBER(SEARCH("Marketing Lead",C1777))&gt;0,'Configuración'!$B$33,IF(ISNUMBER(SEARCH("COO",C1777))+ISNUMBER(SEARCH("CFO",C1777))+ISNUMBER(SEARCH("CTO",C1777))+ISNUMBER(SEARCH("Chief Operating",C1777))+ISNUMBER(SEARCH("Chief Financial",C1777))+ISNUMBER(SEARCH("Gerente General",C1777))+ISNUMBER(SEARCH("General Manager",C1777))&gt;0,'Configuración'!$B$34,'Configuración'!$B$35)))))</f>
        <v>0</v>
      </c>
      <c r="V1777" s="38">
        <f>IF(B1777="","",IF(K1777="Sí",'Configuración'!$B$5,0)+IF(L1777="Semanal",'Configuración'!$B$6,IF(L1777="Mensual",'Configuración'!$B$7,0))+IF(M1777="Sí",'Configuración'!$B$8,0)+IF(N1777="Sí",'Configuración'!$B$9,0)+IF(O1777="Sí",'Configuración'!$B$10,0)+IF(P1777="Sí",'Configuración'!$B$11,0)+IF(Q1777="Sí",'Configuración'!$B$12,0)+S1777+T1777+U1777)</f>
        <v>24</v>
      </c>
      <c r="W1777" s="39" t="str">
        <f>IF(B1777="","",IF(V1777&gt;='Configuración'!$B$19,"A",IF(V1777&gt;='Configuración'!$B$20,"B",IF(V1777&gt;='Configuración'!$B$21,"C","Descarte"))))</f>
        <v>C</v>
      </c>
    </row>
    <row r="1778" ht="15.75" customHeight="1">
      <c r="A1778" s="34">
        <f t="shared" si="1"/>
        <v>1776</v>
      </c>
      <c r="B1778" s="29" t="s">
        <v>501</v>
      </c>
      <c r="C1778" s="29" t="s">
        <v>679</v>
      </c>
      <c r="D1778" s="29" t="s">
        <v>9867</v>
      </c>
      <c r="E1778" s="29" t="s">
        <v>9868</v>
      </c>
      <c r="F1778" s="30" t="s">
        <v>9869</v>
      </c>
      <c r="G1778" s="30" t="s">
        <v>9870</v>
      </c>
      <c r="H1778" s="42" t="s">
        <v>9871</v>
      </c>
      <c r="I1778" s="29" t="s">
        <v>127</v>
      </c>
      <c r="J1778" s="31">
        <v>2.0</v>
      </c>
      <c r="K1778" s="35"/>
      <c r="L1778" s="35"/>
      <c r="M1778" s="35"/>
      <c r="N1778" s="35"/>
      <c r="O1778" s="35"/>
      <c r="P1778" s="35"/>
      <c r="Q1778" s="35"/>
      <c r="R1778" s="35"/>
      <c r="S1778" s="37">
        <f>IF(B1778="","",IF(ISNUMBER(J1778),IF(J1778&lt;=10,'Configuración'!$B$23,IF(J1778&lt;=50,'Configuración'!$B$24,IF(J1778&lt;=200,'Configuración'!$B$25,0))),0))</f>
        <v>12</v>
      </c>
      <c r="T1778" s="37">
        <f>IF(B1778="","",IF(ISNUMBER(SEARCH("information technology",I1778))+ISNUMBER(SEARCH("software",I1778))+ISNUMBER(SEARCH("internet",I1778))+ISNUMBER(SEARCH("computer",I1778))+ISNUMBER(SEARCH("saas",I1778))+ISNUMBER(SEARCH("fintech",I1778))+ISNUMBER(SEARCH("information services",I1778))+ISNUMBER(SEARCH("telecommunications",I1778))&gt;0,'Configuración'!$B$27,'Configuración'!$B$28))</f>
        <v>12</v>
      </c>
      <c r="U1778" s="25">
        <f>IF(B1778="","",IF(ISNUMBER(SEARCH("CEO",C1778))+ISNUMBER(SEARCH("Founder",C1778))+ISNUMBER(SEARCH("Owner",C1778))+ISNUMBER(SEARCH("Dueño",C1778))+ISNUMBER(SEARCH("Director General",C1778))+ISNUMBER(SEARCH("Presidente",C1778))+ISNUMBER(SEARCH("President",C1778))&gt;0,'Configuración'!$B$31,IF(ISNUMBER(SEARCH("CMO",C1778))+ISNUMBER(SEARCH("Chief Marketing",C1778))+ISNUMBER(SEARCH("VP Marketing",C1778))+ISNUMBER(SEARCH("Director de Marketing",C1778))+ISNUMBER(SEARCH("Director Marketing",C1778))+ISNUMBER(SEARCH("Head of Marketing",C1778))+ISNUMBER(SEARCH("Head Marketing",C1778))&gt;0,'Configuración'!$B$32,IF(ISNUMBER(SEARCH("Marketing Manager",C1778))+ISNUMBER(SEARCH("Gerente de Marketing",C1778))+ISNUMBER(SEARCH("Growth Manager",C1778))+ISNUMBER(SEARCH("Demand Gen",C1778))+ISNUMBER(SEARCH("Marketing Lead",C1778))&gt;0,'Configuración'!$B$33,IF(ISNUMBER(SEARCH("COO",C1778))+ISNUMBER(SEARCH("CFO",C1778))+ISNUMBER(SEARCH("CTO",C1778))+ISNUMBER(SEARCH("Chief Operating",C1778))+ISNUMBER(SEARCH("Chief Financial",C1778))+ISNUMBER(SEARCH("Gerente General",C1778))+ISNUMBER(SEARCH("General Manager",C1778))&gt;0,'Configuración'!$B$34,'Configuración'!$B$35)))))</f>
        <v>12</v>
      </c>
      <c r="V1778" s="38">
        <f>IF(B1778="","",IF(K1778="Sí",'Configuración'!$B$5,0)+IF(L1778="Semanal",'Configuración'!$B$6,IF(L1778="Mensual",'Configuración'!$B$7,0))+IF(M1778="Sí",'Configuración'!$B$8,0)+IF(N1778="Sí",'Configuración'!$B$9,0)+IF(O1778="Sí",'Configuración'!$B$10,0)+IF(P1778="Sí",'Configuración'!$B$11,0)+IF(Q1778="Sí",'Configuración'!$B$12,0)+S1778+T1778+U1778)</f>
        <v>36</v>
      </c>
      <c r="W1778" s="39" t="str">
        <f>IF(B1778="","",IF(V1778&gt;='Configuración'!$B$19,"A",IF(V1778&gt;='Configuración'!$B$20,"B",IF(V1778&gt;='Configuración'!$B$21,"C","Descarte"))))</f>
        <v>C</v>
      </c>
    </row>
    <row r="1779" ht="15.75" customHeight="1">
      <c r="A1779" s="34">
        <f t="shared" si="1"/>
        <v>1777</v>
      </c>
      <c r="B1779" s="29" t="s">
        <v>296</v>
      </c>
      <c r="C1779" s="29" t="s">
        <v>131</v>
      </c>
      <c r="D1779" s="29" t="s">
        <v>9872</v>
      </c>
      <c r="E1779" s="29" t="s">
        <v>9873</v>
      </c>
      <c r="F1779" s="30" t="s">
        <v>9874</v>
      </c>
      <c r="G1779" s="30" t="s">
        <v>9875</v>
      </c>
      <c r="H1779" s="42" t="s">
        <v>9876</v>
      </c>
      <c r="I1779" s="29" t="s">
        <v>964</v>
      </c>
      <c r="J1779" s="31">
        <v>16.0</v>
      </c>
      <c r="K1779" s="35"/>
      <c r="L1779" s="35"/>
      <c r="M1779" s="35"/>
      <c r="N1779" s="35"/>
      <c r="O1779" s="35"/>
      <c r="P1779" s="35"/>
      <c r="Q1779" s="35"/>
      <c r="R1779" s="35"/>
      <c r="S1779" s="37">
        <f>IF(B1779="","",IF(ISNUMBER(J1779),IF(J1779&lt;=10,'Configuración'!$B$23,IF(J1779&lt;=50,'Configuración'!$B$24,IF(J1779&lt;=200,'Configuración'!$B$25,0))),0))</f>
        <v>4</v>
      </c>
      <c r="T1779" s="37">
        <f>IF(B1779="","",IF(ISNUMBER(SEARCH("information technology",I1779))+ISNUMBER(SEARCH("software",I1779))+ISNUMBER(SEARCH("internet",I1779))+ISNUMBER(SEARCH("computer",I1779))+ISNUMBER(SEARCH("saas",I1779))+ISNUMBER(SEARCH("fintech",I1779))+ISNUMBER(SEARCH("information services",I1779))+ISNUMBER(SEARCH("telecommunications",I1779))&gt;0,'Configuración'!$B$27,'Configuración'!$B$28))</f>
        <v>4</v>
      </c>
      <c r="U1779" s="25">
        <f>IF(B1779="","",IF(ISNUMBER(SEARCH("CEO",C1779))+ISNUMBER(SEARCH("Founder",C1779))+ISNUMBER(SEARCH("Owner",C1779))+ISNUMBER(SEARCH("Dueño",C1779))+ISNUMBER(SEARCH("Director General",C1779))+ISNUMBER(SEARCH("Presidente",C1779))+ISNUMBER(SEARCH("President",C1779))&gt;0,'Configuración'!$B$31,IF(ISNUMBER(SEARCH("CMO",C1779))+ISNUMBER(SEARCH("Chief Marketing",C1779))+ISNUMBER(SEARCH("VP Marketing",C1779))+ISNUMBER(SEARCH("Director de Marketing",C1779))+ISNUMBER(SEARCH("Director Marketing",C1779))+ISNUMBER(SEARCH("Head of Marketing",C1779))+ISNUMBER(SEARCH("Head Marketing",C1779))&gt;0,'Configuración'!$B$32,IF(ISNUMBER(SEARCH("Marketing Manager",C1779))+ISNUMBER(SEARCH("Gerente de Marketing",C1779))+ISNUMBER(SEARCH("Growth Manager",C1779))+ISNUMBER(SEARCH("Demand Gen",C1779))+ISNUMBER(SEARCH("Marketing Lead",C1779))&gt;0,'Configuración'!$B$33,IF(ISNUMBER(SEARCH("COO",C1779))+ISNUMBER(SEARCH("CFO",C1779))+ISNUMBER(SEARCH("CTO",C1779))+ISNUMBER(SEARCH("Chief Operating",C1779))+ISNUMBER(SEARCH("Chief Financial",C1779))+ISNUMBER(SEARCH("Gerente General",C1779))+ISNUMBER(SEARCH("General Manager",C1779))&gt;0,'Configuración'!$B$34,'Configuración'!$B$35)))))</f>
        <v>12</v>
      </c>
      <c r="V1779" s="38">
        <f>IF(B1779="","",IF(K1779="Sí",'Configuración'!$B$5,0)+IF(L1779="Semanal",'Configuración'!$B$6,IF(L1779="Mensual",'Configuración'!$B$7,0))+IF(M1779="Sí",'Configuración'!$B$8,0)+IF(N1779="Sí",'Configuración'!$B$9,0)+IF(O1779="Sí",'Configuración'!$B$10,0)+IF(P1779="Sí",'Configuración'!$B$11,0)+IF(Q1779="Sí",'Configuración'!$B$12,0)+S1779+T1779+U1779)</f>
        <v>20</v>
      </c>
      <c r="W1779" s="39" t="str">
        <f>IF(B1779="","",IF(V1779&gt;='Configuración'!$B$19,"A",IF(V1779&gt;='Configuración'!$B$20,"B",IF(V1779&gt;='Configuración'!$B$21,"C","Descarte"))))</f>
        <v>Descarte</v>
      </c>
    </row>
    <row r="1780" ht="15.75" customHeight="1">
      <c r="A1780" s="34">
        <f t="shared" si="1"/>
        <v>1778</v>
      </c>
      <c r="B1780" s="29" t="s">
        <v>9877</v>
      </c>
      <c r="C1780" s="29" t="s">
        <v>146</v>
      </c>
      <c r="D1780" s="29" t="s">
        <v>9878</v>
      </c>
      <c r="E1780" s="29" t="s">
        <v>9879</v>
      </c>
      <c r="F1780" s="30" t="s">
        <v>9880</v>
      </c>
      <c r="G1780" s="30" t="s">
        <v>9881</v>
      </c>
      <c r="H1780" s="42" t="s">
        <v>9882</v>
      </c>
      <c r="I1780" s="29" t="s">
        <v>5523</v>
      </c>
      <c r="J1780" s="31">
        <v>2.0</v>
      </c>
      <c r="K1780" s="35"/>
      <c r="L1780" s="35"/>
      <c r="M1780" s="35"/>
      <c r="N1780" s="35"/>
      <c r="O1780" s="35"/>
      <c r="P1780" s="35"/>
      <c r="Q1780" s="35"/>
      <c r="R1780" s="35"/>
      <c r="S1780" s="37">
        <f>IF(B1780="","",IF(ISNUMBER(J1780),IF(J1780&lt;=10,'Configuración'!$B$23,IF(J1780&lt;=50,'Configuración'!$B$24,IF(J1780&lt;=200,'Configuración'!$B$25,0))),0))</f>
        <v>12</v>
      </c>
      <c r="T1780" s="37">
        <f>IF(B1780="","",IF(ISNUMBER(SEARCH("information technology",I1780))+ISNUMBER(SEARCH("software",I1780))+ISNUMBER(SEARCH("internet",I1780))+ISNUMBER(SEARCH("computer",I1780))+ISNUMBER(SEARCH("saas",I1780))+ISNUMBER(SEARCH("fintech",I1780))+ISNUMBER(SEARCH("information services",I1780))+ISNUMBER(SEARCH("telecommunications",I1780))&gt;0,'Configuración'!$B$27,'Configuración'!$B$28))</f>
        <v>4</v>
      </c>
      <c r="U1780" s="25">
        <f>IF(B1780="","",IF(ISNUMBER(SEARCH("CEO",C1780))+ISNUMBER(SEARCH("Founder",C1780))+ISNUMBER(SEARCH("Owner",C1780))+ISNUMBER(SEARCH("Dueño",C1780))+ISNUMBER(SEARCH("Director General",C1780))+ISNUMBER(SEARCH("Presidente",C1780))+ISNUMBER(SEARCH("President",C1780))&gt;0,'Configuración'!$B$31,IF(ISNUMBER(SEARCH("CMO",C1780))+ISNUMBER(SEARCH("Chief Marketing",C1780))+ISNUMBER(SEARCH("VP Marketing",C1780))+ISNUMBER(SEARCH("Director de Marketing",C1780))+ISNUMBER(SEARCH("Director Marketing",C1780))+ISNUMBER(SEARCH("Head of Marketing",C1780))+ISNUMBER(SEARCH("Head Marketing",C1780))&gt;0,'Configuración'!$B$32,IF(ISNUMBER(SEARCH("Marketing Manager",C1780))+ISNUMBER(SEARCH("Gerente de Marketing",C1780))+ISNUMBER(SEARCH("Growth Manager",C1780))+ISNUMBER(SEARCH("Demand Gen",C1780))+ISNUMBER(SEARCH("Marketing Lead",C1780))&gt;0,'Configuración'!$B$33,IF(ISNUMBER(SEARCH("COO",C1780))+ISNUMBER(SEARCH("CFO",C1780))+ISNUMBER(SEARCH("CTO",C1780))+ISNUMBER(SEARCH("Chief Operating",C1780))+ISNUMBER(SEARCH("Chief Financial",C1780))+ISNUMBER(SEARCH("Gerente General",C1780))+ISNUMBER(SEARCH("General Manager",C1780))&gt;0,'Configuración'!$B$34,'Configuración'!$B$35)))))</f>
        <v>0</v>
      </c>
      <c r="V1780" s="38">
        <f>IF(B1780="","",IF(K1780="Sí",'Configuración'!$B$5,0)+IF(L1780="Semanal",'Configuración'!$B$6,IF(L1780="Mensual",'Configuración'!$B$7,0))+IF(M1780="Sí",'Configuración'!$B$8,0)+IF(N1780="Sí",'Configuración'!$B$9,0)+IF(O1780="Sí",'Configuración'!$B$10,0)+IF(P1780="Sí",'Configuración'!$B$11,0)+IF(Q1780="Sí",'Configuración'!$B$12,0)+S1780+T1780+U1780)</f>
        <v>16</v>
      </c>
      <c r="W1780" s="39" t="str">
        <f>IF(B1780="","",IF(V1780&gt;='Configuración'!$B$19,"A",IF(V1780&gt;='Configuración'!$B$20,"B",IF(V1780&gt;='Configuración'!$B$21,"C","Descarte"))))</f>
        <v>Descarte</v>
      </c>
    </row>
    <row r="1781" ht="15.75" customHeight="1">
      <c r="A1781" s="34">
        <f t="shared" si="1"/>
        <v>1779</v>
      </c>
      <c r="B1781" s="29" t="s">
        <v>610</v>
      </c>
      <c r="C1781" s="29" t="s">
        <v>175</v>
      </c>
      <c r="D1781" s="29" t="s">
        <v>9883</v>
      </c>
      <c r="E1781" s="29" t="s">
        <v>9884</v>
      </c>
      <c r="F1781" s="30" t="s">
        <v>9885</v>
      </c>
      <c r="G1781" s="30" t="s">
        <v>9886</v>
      </c>
      <c r="H1781" s="42" t="s">
        <v>9887</v>
      </c>
      <c r="I1781" s="29" t="s">
        <v>337</v>
      </c>
      <c r="J1781" s="31">
        <v>1.0</v>
      </c>
      <c r="K1781" s="35"/>
      <c r="L1781" s="35"/>
      <c r="M1781" s="35"/>
      <c r="N1781" s="35"/>
      <c r="O1781" s="35"/>
      <c r="P1781" s="35"/>
      <c r="Q1781" s="35"/>
      <c r="R1781" s="35"/>
      <c r="S1781" s="37">
        <f>IF(B1781="","",IF(ISNUMBER(J1781),IF(J1781&lt;=10,'Configuración'!$B$23,IF(J1781&lt;=50,'Configuración'!$B$24,IF(J1781&lt;=200,'Configuración'!$B$25,0))),0))</f>
        <v>12</v>
      </c>
      <c r="T1781" s="37">
        <f>IF(B1781="","",IF(ISNUMBER(SEARCH("information technology",I1781))+ISNUMBER(SEARCH("software",I1781))+ISNUMBER(SEARCH("internet",I1781))+ISNUMBER(SEARCH("computer",I1781))+ISNUMBER(SEARCH("saas",I1781))+ISNUMBER(SEARCH("fintech",I1781))+ISNUMBER(SEARCH("information services",I1781))+ISNUMBER(SEARCH("telecommunications",I1781))&gt;0,'Configuración'!$B$27,'Configuración'!$B$28))</f>
        <v>4</v>
      </c>
      <c r="U1781" s="25">
        <f>IF(B1781="","",IF(ISNUMBER(SEARCH("CEO",C1781))+ISNUMBER(SEARCH("Founder",C1781))+ISNUMBER(SEARCH("Owner",C1781))+ISNUMBER(SEARCH("Dueño",C1781))+ISNUMBER(SEARCH("Director General",C1781))+ISNUMBER(SEARCH("Presidente",C1781))+ISNUMBER(SEARCH("President",C1781))&gt;0,'Configuración'!$B$31,IF(ISNUMBER(SEARCH("CMO",C1781))+ISNUMBER(SEARCH("Chief Marketing",C1781))+ISNUMBER(SEARCH("VP Marketing",C1781))+ISNUMBER(SEARCH("Director de Marketing",C1781))+ISNUMBER(SEARCH("Director Marketing",C1781))+ISNUMBER(SEARCH("Head of Marketing",C1781))+ISNUMBER(SEARCH("Head Marketing",C1781))&gt;0,'Configuración'!$B$32,IF(ISNUMBER(SEARCH("Marketing Manager",C1781))+ISNUMBER(SEARCH("Gerente de Marketing",C1781))+ISNUMBER(SEARCH("Growth Manager",C1781))+ISNUMBER(SEARCH("Demand Gen",C1781))+ISNUMBER(SEARCH("Marketing Lead",C1781))&gt;0,'Configuración'!$B$33,IF(ISNUMBER(SEARCH("COO",C1781))+ISNUMBER(SEARCH("CFO",C1781))+ISNUMBER(SEARCH("CTO",C1781))+ISNUMBER(SEARCH("Chief Operating",C1781))+ISNUMBER(SEARCH("Chief Financial",C1781))+ISNUMBER(SEARCH("Gerente General",C1781))+ISNUMBER(SEARCH("General Manager",C1781))&gt;0,'Configuración'!$B$34,'Configuración'!$B$35)))))</f>
        <v>12</v>
      </c>
      <c r="V1781" s="38">
        <f>IF(B1781="","",IF(K1781="Sí",'Configuración'!$B$5,0)+IF(L1781="Semanal",'Configuración'!$B$6,IF(L1781="Mensual",'Configuración'!$B$7,0))+IF(M1781="Sí",'Configuración'!$B$8,0)+IF(N1781="Sí",'Configuración'!$B$9,0)+IF(O1781="Sí",'Configuración'!$B$10,0)+IF(P1781="Sí",'Configuración'!$B$11,0)+IF(Q1781="Sí",'Configuración'!$B$12,0)+S1781+T1781+U1781)</f>
        <v>28</v>
      </c>
      <c r="W1781" s="39" t="str">
        <f>IF(B1781="","",IF(V1781&gt;='Configuración'!$B$19,"A",IF(V1781&gt;='Configuración'!$B$20,"B",IF(V1781&gt;='Configuración'!$B$21,"C","Descarte"))))</f>
        <v>C</v>
      </c>
    </row>
    <row r="1782" ht="15.75" customHeight="1">
      <c r="A1782" s="34">
        <f t="shared" si="1"/>
        <v>1780</v>
      </c>
      <c r="B1782" s="29" t="s">
        <v>194</v>
      </c>
      <c r="C1782" s="29" t="s">
        <v>9888</v>
      </c>
      <c r="D1782" s="29" t="s">
        <v>9889</v>
      </c>
      <c r="E1782" s="29" t="s">
        <v>9890</v>
      </c>
      <c r="F1782" s="30" t="s">
        <v>9891</v>
      </c>
      <c r="G1782" s="30" t="s">
        <v>9892</v>
      </c>
      <c r="H1782" s="42" t="s">
        <v>9893</v>
      </c>
      <c r="I1782" s="29" t="s">
        <v>127</v>
      </c>
      <c r="J1782" s="31">
        <v>13.0</v>
      </c>
      <c r="K1782" s="35"/>
      <c r="L1782" s="35"/>
      <c r="M1782" s="35"/>
      <c r="N1782" s="35"/>
      <c r="O1782" s="35"/>
      <c r="P1782" s="35"/>
      <c r="Q1782" s="35"/>
      <c r="R1782" s="35"/>
      <c r="S1782" s="37">
        <f>IF(B1782="","",IF(ISNUMBER(J1782),IF(J1782&lt;=10,'Configuración'!$B$23,IF(J1782&lt;=50,'Configuración'!$B$24,IF(J1782&lt;=200,'Configuración'!$B$25,0))),0))</f>
        <v>4</v>
      </c>
      <c r="T1782" s="37">
        <f>IF(B1782="","",IF(ISNUMBER(SEARCH("information technology",I1782))+ISNUMBER(SEARCH("software",I1782))+ISNUMBER(SEARCH("internet",I1782))+ISNUMBER(SEARCH("computer",I1782))+ISNUMBER(SEARCH("saas",I1782))+ISNUMBER(SEARCH("fintech",I1782))+ISNUMBER(SEARCH("information services",I1782))+ISNUMBER(SEARCH("telecommunications",I1782))&gt;0,'Configuración'!$B$27,'Configuración'!$B$28))</f>
        <v>12</v>
      </c>
      <c r="U1782" s="25">
        <f>IF(B1782="","",IF(ISNUMBER(SEARCH("CEO",C1782))+ISNUMBER(SEARCH("Founder",C1782))+ISNUMBER(SEARCH("Owner",C1782))+ISNUMBER(SEARCH("Dueño",C1782))+ISNUMBER(SEARCH("Director General",C1782))+ISNUMBER(SEARCH("Presidente",C1782))+ISNUMBER(SEARCH("President",C1782))&gt;0,'Configuración'!$B$31,IF(ISNUMBER(SEARCH("CMO",C1782))+ISNUMBER(SEARCH("Chief Marketing",C1782))+ISNUMBER(SEARCH("VP Marketing",C1782))+ISNUMBER(SEARCH("Director de Marketing",C1782))+ISNUMBER(SEARCH("Director Marketing",C1782))+ISNUMBER(SEARCH("Head of Marketing",C1782))+ISNUMBER(SEARCH("Head Marketing",C1782))&gt;0,'Configuración'!$B$32,IF(ISNUMBER(SEARCH("Marketing Manager",C1782))+ISNUMBER(SEARCH("Gerente de Marketing",C1782))+ISNUMBER(SEARCH("Growth Manager",C1782))+ISNUMBER(SEARCH("Demand Gen",C1782))+ISNUMBER(SEARCH("Marketing Lead",C1782))&gt;0,'Configuración'!$B$33,IF(ISNUMBER(SEARCH("COO",C1782))+ISNUMBER(SEARCH("CFO",C1782))+ISNUMBER(SEARCH("CTO",C1782))+ISNUMBER(SEARCH("Chief Operating",C1782))+ISNUMBER(SEARCH("Chief Financial",C1782))+ISNUMBER(SEARCH("Gerente General",C1782))+ISNUMBER(SEARCH("General Manager",C1782))&gt;0,'Configuración'!$B$34,'Configuración'!$B$35)))))</f>
        <v>12</v>
      </c>
      <c r="V1782" s="38">
        <f>IF(B1782="","",IF(K1782="Sí",'Configuración'!$B$5,0)+IF(L1782="Semanal",'Configuración'!$B$6,IF(L1782="Mensual",'Configuración'!$B$7,0))+IF(M1782="Sí",'Configuración'!$B$8,0)+IF(N1782="Sí",'Configuración'!$B$9,0)+IF(O1782="Sí",'Configuración'!$B$10,0)+IF(P1782="Sí",'Configuración'!$B$11,0)+IF(Q1782="Sí",'Configuración'!$B$12,0)+S1782+T1782+U1782)</f>
        <v>28</v>
      </c>
      <c r="W1782" s="39" t="str">
        <f>IF(B1782="","",IF(V1782&gt;='Configuración'!$B$19,"A",IF(V1782&gt;='Configuración'!$B$20,"B",IF(V1782&gt;='Configuración'!$B$21,"C","Descarte"))))</f>
        <v>C</v>
      </c>
    </row>
    <row r="1783" ht="15.75" customHeight="1">
      <c r="A1783" s="34">
        <f t="shared" si="1"/>
        <v>1781</v>
      </c>
      <c r="B1783" s="29" t="s">
        <v>3492</v>
      </c>
      <c r="C1783" s="29" t="s">
        <v>9894</v>
      </c>
      <c r="D1783" s="29" t="s">
        <v>9895</v>
      </c>
      <c r="E1783" s="29" t="s">
        <v>9896</v>
      </c>
      <c r="F1783" s="30" t="s">
        <v>9897</v>
      </c>
      <c r="G1783" s="30" t="s">
        <v>9898</v>
      </c>
      <c r="H1783" s="42" t="s">
        <v>9899</v>
      </c>
      <c r="I1783" s="29" t="s">
        <v>127</v>
      </c>
      <c r="J1783" s="31">
        <v>10.0</v>
      </c>
      <c r="K1783" s="35"/>
      <c r="L1783" s="35"/>
      <c r="M1783" s="35"/>
      <c r="N1783" s="35"/>
      <c r="O1783" s="35"/>
      <c r="P1783" s="35"/>
      <c r="Q1783" s="35"/>
      <c r="R1783" s="35"/>
      <c r="S1783" s="37">
        <f>IF(B1783="","",IF(ISNUMBER(J1783),IF(J1783&lt;=10,'Configuración'!$B$23,IF(J1783&lt;=50,'Configuración'!$B$24,IF(J1783&lt;=200,'Configuración'!$B$25,0))),0))</f>
        <v>12</v>
      </c>
      <c r="T1783" s="37">
        <f>IF(B1783="","",IF(ISNUMBER(SEARCH("information technology",I1783))+ISNUMBER(SEARCH("software",I1783))+ISNUMBER(SEARCH("internet",I1783))+ISNUMBER(SEARCH("computer",I1783))+ISNUMBER(SEARCH("saas",I1783))+ISNUMBER(SEARCH("fintech",I1783))+ISNUMBER(SEARCH("information services",I1783))+ISNUMBER(SEARCH("telecommunications",I1783))&gt;0,'Configuración'!$B$27,'Configuración'!$B$28))</f>
        <v>12</v>
      </c>
      <c r="U1783" s="25">
        <f>IF(B1783="","",IF(ISNUMBER(SEARCH("CEO",C1783))+ISNUMBER(SEARCH("Founder",C1783))+ISNUMBER(SEARCH("Owner",C1783))+ISNUMBER(SEARCH("Dueño",C1783))+ISNUMBER(SEARCH("Director General",C1783))+ISNUMBER(SEARCH("Presidente",C1783))+ISNUMBER(SEARCH("President",C1783))&gt;0,'Configuración'!$B$31,IF(ISNUMBER(SEARCH("CMO",C1783))+ISNUMBER(SEARCH("Chief Marketing",C1783))+ISNUMBER(SEARCH("VP Marketing",C1783))+ISNUMBER(SEARCH("Director de Marketing",C1783))+ISNUMBER(SEARCH("Director Marketing",C1783))+ISNUMBER(SEARCH("Head of Marketing",C1783))+ISNUMBER(SEARCH("Head Marketing",C1783))&gt;0,'Configuración'!$B$32,IF(ISNUMBER(SEARCH("Marketing Manager",C1783))+ISNUMBER(SEARCH("Gerente de Marketing",C1783))+ISNUMBER(SEARCH("Growth Manager",C1783))+ISNUMBER(SEARCH("Demand Gen",C1783))+ISNUMBER(SEARCH("Marketing Lead",C1783))&gt;0,'Configuración'!$B$33,IF(ISNUMBER(SEARCH("COO",C1783))+ISNUMBER(SEARCH("CFO",C1783))+ISNUMBER(SEARCH("CTO",C1783))+ISNUMBER(SEARCH("Chief Operating",C1783))+ISNUMBER(SEARCH("Chief Financial",C1783))+ISNUMBER(SEARCH("Gerente General",C1783))+ISNUMBER(SEARCH("General Manager",C1783))&gt;0,'Configuración'!$B$34,'Configuración'!$B$35)))))</f>
        <v>0</v>
      </c>
      <c r="V1783" s="38">
        <f>IF(B1783="","",IF(K1783="Sí",'Configuración'!$B$5,0)+IF(L1783="Semanal",'Configuración'!$B$6,IF(L1783="Mensual",'Configuración'!$B$7,0))+IF(M1783="Sí",'Configuración'!$B$8,0)+IF(N1783="Sí",'Configuración'!$B$9,0)+IF(O1783="Sí",'Configuración'!$B$10,0)+IF(P1783="Sí",'Configuración'!$B$11,0)+IF(Q1783="Sí",'Configuración'!$B$12,0)+S1783+T1783+U1783)</f>
        <v>24</v>
      </c>
      <c r="W1783" s="39" t="str">
        <f>IF(B1783="","",IF(V1783&gt;='Configuración'!$B$19,"A",IF(V1783&gt;='Configuración'!$B$20,"B",IF(V1783&gt;='Configuración'!$B$21,"C","Descarte"))))</f>
        <v>C</v>
      </c>
    </row>
    <row r="1784" ht="15.75" customHeight="1">
      <c r="A1784" s="34">
        <f t="shared" si="1"/>
        <v>1782</v>
      </c>
      <c r="B1784" s="29" t="s">
        <v>109</v>
      </c>
      <c r="C1784" s="29" t="s">
        <v>9900</v>
      </c>
      <c r="D1784" s="29" t="s">
        <v>9901</v>
      </c>
      <c r="E1784" s="29" t="s">
        <v>9902</v>
      </c>
      <c r="F1784" s="30" t="s">
        <v>9903</v>
      </c>
      <c r="G1784" s="30" t="s">
        <v>9904</v>
      </c>
      <c r="H1784" s="42" t="s">
        <v>9905</v>
      </c>
      <c r="I1784" s="29" t="s">
        <v>350</v>
      </c>
      <c r="J1784" s="31">
        <v>6.0</v>
      </c>
      <c r="K1784" s="35"/>
      <c r="L1784" s="35"/>
      <c r="M1784" s="35"/>
      <c r="N1784" s="35"/>
      <c r="O1784" s="35"/>
      <c r="P1784" s="35"/>
      <c r="Q1784" s="35"/>
      <c r="R1784" s="35"/>
      <c r="S1784" s="37">
        <f>IF(B1784="","",IF(ISNUMBER(J1784),IF(J1784&lt;=10,'Configuración'!$B$23,IF(J1784&lt;=50,'Configuración'!$B$24,IF(J1784&lt;=200,'Configuración'!$B$25,0))),0))</f>
        <v>12</v>
      </c>
      <c r="T1784" s="37">
        <f>IF(B1784="","",IF(ISNUMBER(SEARCH("information technology",I1784))+ISNUMBER(SEARCH("software",I1784))+ISNUMBER(SEARCH("internet",I1784))+ISNUMBER(SEARCH("computer",I1784))+ISNUMBER(SEARCH("saas",I1784))+ISNUMBER(SEARCH("fintech",I1784))+ISNUMBER(SEARCH("information services",I1784))+ISNUMBER(SEARCH("telecommunications",I1784))&gt;0,'Configuración'!$B$27,'Configuración'!$B$28))</f>
        <v>4</v>
      </c>
      <c r="U1784" s="25">
        <f>IF(B1784="","",IF(ISNUMBER(SEARCH("CEO",C1784))+ISNUMBER(SEARCH("Founder",C1784))+ISNUMBER(SEARCH("Owner",C1784))+ISNUMBER(SEARCH("Dueño",C1784))+ISNUMBER(SEARCH("Director General",C1784))+ISNUMBER(SEARCH("Presidente",C1784))+ISNUMBER(SEARCH("President",C1784))&gt;0,'Configuración'!$B$31,IF(ISNUMBER(SEARCH("CMO",C1784))+ISNUMBER(SEARCH("Chief Marketing",C1784))+ISNUMBER(SEARCH("VP Marketing",C1784))+ISNUMBER(SEARCH("Director de Marketing",C1784))+ISNUMBER(SEARCH("Director Marketing",C1784))+ISNUMBER(SEARCH("Head of Marketing",C1784))+ISNUMBER(SEARCH("Head Marketing",C1784))&gt;0,'Configuración'!$B$32,IF(ISNUMBER(SEARCH("Marketing Manager",C1784))+ISNUMBER(SEARCH("Gerente de Marketing",C1784))+ISNUMBER(SEARCH("Growth Manager",C1784))+ISNUMBER(SEARCH("Demand Gen",C1784))+ISNUMBER(SEARCH("Marketing Lead",C1784))&gt;0,'Configuración'!$B$33,IF(ISNUMBER(SEARCH("COO",C1784))+ISNUMBER(SEARCH("CFO",C1784))+ISNUMBER(SEARCH("CTO",C1784))+ISNUMBER(SEARCH("Chief Operating",C1784))+ISNUMBER(SEARCH("Chief Financial",C1784))+ISNUMBER(SEARCH("Gerente General",C1784))+ISNUMBER(SEARCH("General Manager",C1784))&gt;0,'Configuración'!$B$34,'Configuración'!$B$35)))))</f>
        <v>12</v>
      </c>
      <c r="V1784" s="38">
        <f>IF(B1784="","",IF(K1784="Sí",'Configuración'!$B$5,0)+IF(L1784="Semanal",'Configuración'!$B$6,IF(L1784="Mensual",'Configuración'!$B$7,0))+IF(M1784="Sí",'Configuración'!$B$8,0)+IF(N1784="Sí",'Configuración'!$B$9,0)+IF(O1784="Sí",'Configuración'!$B$10,0)+IF(P1784="Sí",'Configuración'!$B$11,0)+IF(Q1784="Sí",'Configuración'!$B$12,0)+S1784+T1784+U1784)</f>
        <v>28</v>
      </c>
      <c r="W1784" s="39" t="str">
        <f>IF(B1784="","",IF(V1784&gt;='Configuración'!$B$19,"A",IF(V1784&gt;='Configuración'!$B$20,"B",IF(V1784&gt;='Configuración'!$B$21,"C","Descarte"))))</f>
        <v>C</v>
      </c>
    </row>
    <row r="1785" ht="15.75" customHeight="1">
      <c r="A1785" s="34">
        <f t="shared" si="1"/>
        <v>1783</v>
      </c>
      <c r="B1785" s="29" t="s">
        <v>138</v>
      </c>
      <c r="C1785" s="29" t="s">
        <v>9906</v>
      </c>
      <c r="D1785" s="29" t="s">
        <v>9907</v>
      </c>
      <c r="E1785" s="29" t="s">
        <v>9908</v>
      </c>
      <c r="F1785" s="30" t="s">
        <v>9909</v>
      </c>
      <c r="G1785" s="30" t="s">
        <v>9910</v>
      </c>
      <c r="H1785" s="42" t="s">
        <v>9911</v>
      </c>
      <c r="I1785" s="29" t="s">
        <v>127</v>
      </c>
      <c r="J1785" s="31">
        <v>6.0</v>
      </c>
      <c r="K1785" s="35"/>
      <c r="L1785" s="35"/>
      <c r="M1785" s="35"/>
      <c r="N1785" s="35"/>
      <c r="O1785" s="35"/>
      <c r="P1785" s="35"/>
      <c r="Q1785" s="35"/>
      <c r="R1785" s="35"/>
      <c r="S1785" s="37">
        <f>IF(B1785="","",IF(ISNUMBER(J1785),IF(J1785&lt;=10,'Configuración'!$B$23,IF(J1785&lt;=50,'Configuración'!$B$24,IF(J1785&lt;=200,'Configuración'!$B$25,0))),0))</f>
        <v>12</v>
      </c>
      <c r="T1785" s="37">
        <f>IF(B1785="","",IF(ISNUMBER(SEARCH("information technology",I1785))+ISNUMBER(SEARCH("software",I1785))+ISNUMBER(SEARCH("internet",I1785))+ISNUMBER(SEARCH("computer",I1785))+ISNUMBER(SEARCH("saas",I1785))+ISNUMBER(SEARCH("fintech",I1785))+ISNUMBER(SEARCH("information services",I1785))+ISNUMBER(SEARCH("telecommunications",I1785))&gt;0,'Configuración'!$B$27,'Configuración'!$B$28))</f>
        <v>12</v>
      </c>
      <c r="U1785" s="25">
        <f>IF(B1785="","",IF(ISNUMBER(SEARCH("CEO",C1785))+ISNUMBER(SEARCH("Founder",C1785))+ISNUMBER(SEARCH("Owner",C1785))+ISNUMBER(SEARCH("Dueño",C1785))+ISNUMBER(SEARCH("Director General",C1785))+ISNUMBER(SEARCH("Presidente",C1785))+ISNUMBER(SEARCH("President",C1785))&gt;0,'Configuración'!$B$31,IF(ISNUMBER(SEARCH("CMO",C1785))+ISNUMBER(SEARCH("Chief Marketing",C1785))+ISNUMBER(SEARCH("VP Marketing",C1785))+ISNUMBER(SEARCH("Director de Marketing",C1785))+ISNUMBER(SEARCH("Director Marketing",C1785))+ISNUMBER(SEARCH("Head of Marketing",C1785))+ISNUMBER(SEARCH("Head Marketing",C1785))&gt;0,'Configuración'!$B$32,IF(ISNUMBER(SEARCH("Marketing Manager",C1785))+ISNUMBER(SEARCH("Gerente de Marketing",C1785))+ISNUMBER(SEARCH("Growth Manager",C1785))+ISNUMBER(SEARCH("Demand Gen",C1785))+ISNUMBER(SEARCH("Marketing Lead",C1785))&gt;0,'Configuración'!$B$33,IF(ISNUMBER(SEARCH("COO",C1785))+ISNUMBER(SEARCH("CFO",C1785))+ISNUMBER(SEARCH("CTO",C1785))+ISNUMBER(SEARCH("Chief Operating",C1785))+ISNUMBER(SEARCH("Chief Financial",C1785))+ISNUMBER(SEARCH("Gerente General",C1785))+ISNUMBER(SEARCH("General Manager",C1785))&gt;0,'Configuración'!$B$34,'Configuración'!$B$35)))))</f>
        <v>12</v>
      </c>
      <c r="V1785" s="38">
        <f>IF(B1785="","",IF(K1785="Sí",'Configuración'!$B$5,0)+IF(L1785="Semanal",'Configuración'!$B$6,IF(L1785="Mensual",'Configuración'!$B$7,0))+IF(M1785="Sí",'Configuración'!$B$8,0)+IF(N1785="Sí",'Configuración'!$B$9,0)+IF(O1785="Sí",'Configuración'!$B$10,0)+IF(P1785="Sí",'Configuración'!$B$11,0)+IF(Q1785="Sí",'Configuración'!$B$12,0)+S1785+T1785+U1785)</f>
        <v>36</v>
      </c>
      <c r="W1785" s="39" t="str">
        <f>IF(B1785="","",IF(V1785&gt;='Configuración'!$B$19,"A",IF(V1785&gt;='Configuración'!$B$20,"B",IF(V1785&gt;='Configuración'!$B$21,"C","Descarte"))))</f>
        <v>C</v>
      </c>
    </row>
    <row r="1786" ht="15.75" customHeight="1">
      <c r="A1786" s="34">
        <f t="shared" si="1"/>
        <v>1784</v>
      </c>
      <c r="B1786" s="29" t="s">
        <v>138</v>
      </c>
      <c r="C1786" s="29" t="s">
        <v>4809</v>
      </c>
      <c r="D1786" s="29" t="s">
        <v>9912</v>
      </c>
      <c r="E1786" s="29" t="s">
        <v>9913</v>
      </c>
      <c r="F1786" s="30" t="s">
        <v>9914</v>
      </c>
      <c r="G1786" s="30" t="s">
        <v>9915</v>
      </c>
      <c r="H1786" s="42" t="s">
        <v>9916</v>
      </c>
      <c r="I1786" s="29" t="s">
        <v>1693</v>
      </c>
      <c r="J1786" s="31">
        <v>23.0</v>
      </c>
      <c r="K1786" s="35"/>
      <c r="L1786" s="35"/>
      <c r="M1786" s="35"/>
      <c r="N1786" s="35"/>
      <c r="O1786" s="35"/>
      <c r="P1786" s="35"/>
      <c r="Q1786" s="35"/>
      <c r="R1786" s="35"/>
      <c r="S1786" s="37">
        <f>IF(B1786="","",IF(ISNUMBER(J1786),IF(J1786&lt;=10,'Configuración'!$B$23,IF(J1786&lt;=50,'Configuración'!$B$24,IF(J1786&lt;=200,'Configuración'!$B$25,0))),0))</f>
        <v>4</v>
      </c>
      <c r="T1786" s="37">
        <f>IF(B1786="","",IF(ISNUMBER(SEARCH("information technology",I1786))+ISNUMBER(SEARCH("software",I1786))+ISNUMBER(SEARCH("internet",I1786))+ISNUMBER(SEARCH("computer",I1786))+ISNUMBER(SEARCH("saas",I1786))+ISNUMBER(SEARCH("fintech",I1786))+ISNUMBER(SEARCH("information services",I1786))+ISNUMBER(SEARCH("telecommunications",I1786))&gt;0,'Configuración'!$B$27,'Configuración'!$B$28))</f>
        <v>4</v>
      </c>
      <c r="U1786" s="25">
        <f>IF(B1786="","",IF(ISNUMBER(SEARCH("CEO",C1786))+ISNUMBER(SEARCH("Founder",C1786))+ISNUMBER(SEARCH("Owner",C1786))+ISNUMBER(SEARCH("Dueño",C1786))+ISNUMBER(SEARCH("Director General",C1786))+ISNUMBER(SEARCH("Presidente",C1786))+ISNUMBER(SEARCH("President",C1786))&gt;0,'Configuración'!$B$31,IF(ISNUMBER(SEARCH("CMO",C1786))+ISNUMBER(SEARCH("Chief Marketing",C1786))+ISNUMBER(SEARCH("VP Marketing",C1786))+ISNUMBER(SEARCH("Director de Marketing",C1786))+ISNUMBER(SEARCH("Director Marketing",C1786))+ISNUMBER(SEARCH("Head of Marketing",C1786))+ISNUMBER(SEARCH("Head Marketing",C1786))&gt;0,'Configuración'!$B$32,IF(ISNUMBER(SEARCH("Marketing Manager",C1786))+ISNUMBER(SEARCH("Gerente de Marketing",C1786))+ISNUMBER(SEARCH("Growth Manager",C1786))+ISNUMBER(SEARCH("Demand Gen",C1786))+ISNUMBER(SEARCH("Marketing Lead",C1786))&gt;0,'Configuración'!$B$33,IF(ISNUMBER(SEARCH("COO",C1786))+ISNUMBER(SEARCH("CFO",C1786))+ISNUMBER(SEARCH("CTO",C1786))+ISNUMBER(SEARCH("Chief Operating",C1786))+ISNUMBER(SEARCH("Chief Financial",C1786))+ISNUMBER(SEARCH("Gerente General",C1786))+ISNUMBER(SEARCH("General Manager",C1786))&gt;0,'Configuración'!$B$34,'Configuración'!$B$35)))))</f>
        <v>12</v>
      </c>
      <c r="V1786" s="38">
        <f>IF(B1786="","",IF(K1786="Sí",'Configuración'!$B$5,0)+IF(L1786="Semanal",'Configuración'!$B$6,IF(L1786="Mensual",'Configuración'!$B$7,0))+IF(M1786="Sí",'Configuración'!$B$8,0)+IF(N1786="Sí",'Configuración'!$B$9,0)+IF(O1786="Sí",'Configuración'!$B$10,0)+IF(P1786="Sí",'Configuración'!$B$11,0)+IF(Q1786="Sí",'Configuración'!$B$12,0)+S1786+T1786+U1786)</f>
        <v>20</v>
      </c>
      <c r="W1786" s="39" t="str">
        <f>IF(B1786="","",IF(V1786&gt;='Configuración'!$B$19,"A",IF(V1786&gt;='Configuración'!$B$20,"B",IF(V1786&gt;='Configuración'!$B$21,"C","Descarte"))))</f>
        <v>Descarte</v>
      </c>
    </row>
    <row r="1787" ht="15.75" customHeight="1">
      <c r="A1787" s="34">
        <f t="shared" si="1"/>
        <v>1785</v>
      </c>
      <c r="B1787" s="29" t="s">
        <v>250</v>
      </c>
      <c r="C1787" s="29" t="s">
        <v>9917</v>
      </c>
      <c r="D1787" s="29" t="s">
        <v>9918</v>
      </c>
      <c r="E1787" s="29" t="s">
        <v>9919</v>
      </c>
      <c r="F1787" s="30" t="s">
        <v>9920</v>
      </c>
      <c r="G1787" s="30" t="s">
        <v>9921</v>
      </c>
      <c r="H1787" s="42" t="s">
        <v>9922</v>
      </c>
      <c r="I1787" s="29" t="s">
        <v>127</v>
      </c>
      <c r="J1787" s="31">
        <v>12.0</v>
      </c>
      <c r="K1787" s="35"/>
      <c r="L1787" s="35"/>
      <c r="M1787" s="35"/>
      <c r="N1787" s="35"/>
      <c r="O1787" s="35"/>
      <c r="P1787" s="35"/>
      <c r="Q1787" s="35"/>
      <c r="R1787" s="35"/>
      <c r="S1787" s="37">
        <f>IF(B1787="","",IF(ISNUMBER(J1787),IF(J1787&lt;=10,'Configuración'!$B$23,IF(J1787&lt;=50,'Configuración'!$B$24,IF(J1787&lt;=200,'Configuración'!$B$25,0))),0))</f>
        <v>4</v>
      </c>
      <c r="T1787" s="37">
        <f>IF(B1787="","",IF(ISNUMBER(SEARCH("information technology",I1787))+ISNUMBER(SEARCH("software",I1787))+ISNUMBER(SEARCH("internet",I1787))+ISNUMBER(SEARCH("computer",I1787))+ISNUMBER(SEARCH("saas",I1787))+ISNUMBER(SEARCH("fintech",I1787))+ISNUMBER(SEARCH("information services",I1787))+ISNUMBER(SEARCH("telecommunications",I1787))&gt;0,'Configuración'!$B$27,'Configuración'!$B$28))</f>
        <v>12</v>
      </c>
      <c r="U1787" s="25">
        <f>IF(B1787="","",IF(ISNUMBER(SEARCH("CEO",C1787))+ISNUMBER(SEARCH("Founder",C1787))+ISNUMBER(SEARCH("Owner",C1787))+ISNUMBER(SEARCH("Dueño",C1787))+ISNUMBER(SEARCH("Director General",C1787))+ISNUMBER(SEARCH("Presidente",C1787))+ISNUMBER(SEARCH("President",C1787))&gt;0,'Configuración'!$B$31,IF(ISNUMBER(SEARCH("CMO",C1787))+ISNUMBER(SEARCH("Chief Marketing",C1787))+ISNUMBER(SEARCH("VP Marketing",C1787))+ISNUMBER(SEARCH("Director de Marketing",C1787))+ISNUMBER(SEARCH("Director Marketing",C1787))+ISNUMBER(SEARCH("Head of Marketing",C1787))+ISNUMBER(SEARCH("Head Marketing",C1787))&gt;0,'Configuración'!$B$32,IF(ISNUMBER(SEARCH("Marketing Manager",C1787))+ISNUMBER(SEARCH("Gerente de Marketing",C1787))+ISNUMBER(SEARCH("Growth Manager",C1787))+ISNUMBER(SEARCH("Demand Gen",C1787))+ISNUMBER(SEARCH("Marketing Lead",C1787))&gt;0,'Configuración'!$B$33,IF(ISNUMBER(SEARCH("COO",C1787))+ISNUMBER(SEARCH("CFO",C1787))+ISNUMBER(SEARCH("CTO",C1787))+ISNUMBER(SEARCH("Chief Operating",C1787))+ISNUMBER(SEARCH("Chief Financial",C1787))+ISNUMBER(SEARCH("Gerente General",C1787))+ISNUMBER(SEARCH("General Manager",C1787))&gt;0,'Configuración'!$B$34,'Configuración'!$B$35)))))</f>
        <v>4</v>
      </c>
      <c r="V1787" s="38">
        <f>IF(B1787="","",IF(K1787="Sí",'Configuración'!$B$5,0)+IF(L1787="Semanal",'Configuración'!$B$6,IF(L1787="Mensual",'Configuración'!$B$7,0))+IF(M1787="Sí",'Configuración'!$B$8,0)+IF(N1787="Sí",'Configuración'!$B$9,0)+IF(O1787="Sí",'Configuración'!$B$10,0)+IF(P1787="Sí",'Configuración'!$B$11,0)+IF(Q1787="Sí",'Configuración'!$B$12,0)+S1787+T1787+U1787)</f>
        <v>20</v>
      </c>
      <c r="W1787" s="39" t="str">
        <f>IF(B1787="","",IF(V1787&gt;='Configuración'!$B$19,"A",IF(V1787&gt;='Configuración'!$B$20,"B",IF(V1787&gt;='Configuración'!$B$21,"C","Descarte"))))</f>
        <v>Descarte</v>
      </c>
    </row>
    <row r="1788" ht="15.75" customHeight="1">
      <c r="A1788" s="34">
        <f t="shared" si="1"/>
        <v>1786</v>
      </c>
      <c r="B1788" s="29" t="s">
        <v>174</v>
      </c>
      <c r="C1788" s="29" t="s">
        <v>146</v>
      </c>
      <c r="D1788" s="29" t="s">
        <v>9923</v>
      </c>
      <c r="E1788" s="29" t="s">
        <v>9924</v>
      </c>
      <c r="F1788" s="30" t="s">
        <v>9925</v>
      </c>
      <c r="G1788" s="30" t="s">
        <v>9926</v>
      </c>
      <c r="H1788" s="42" t="s">
        <v>9927</v>
      </c>
      <c r="I1788" s="29" t="s">
        <v>1706</v>
      </c>
      <c r="J1788" s="31">
        <v>12.0</v>
      </c>
      <c r="K1788" s="35"/>
      <c r="L1788" s="35"/>
      <c r="M1788" s="35"/>
      <c r="N1788" s="35"/>
      <c r="O1788" s="35"/>
      <c r="P1788" s="35"/>
      <c r="Q1788" s="35"/>
      <c r="R1788" s="35"/>
      <c r="S1788" s="37">
        <f>IF(B1788="","",IF(ISNUMBER(J1788),IF(J1788&lt;=10,'Configuración'!$B$23,IF(J1788&lt;=50,'Configuración'!$B$24,IF(J1788&lt;=200,'Configuración'!$B$25,0))),0))</f>
        <v>4</v>
      </c>
      <c r="T1788" s="37">
        <f>IF(B1788="","",IF(ISNUMBER(SEARCH("information technology",I1788))+ISNUMBER(SEARCH("software",I1788))+ISNUMBER(SEARCH("internet",I1788))+ISNUMBER(SEARCH("computer",I1788))+ISNUMBER(SEARCH("saas",I1788))+ISNUMBER(SEARCH("fintech",I1788))+ISNUMBER(SEARCH("information services",I1788))+ISNUMBER(SEARCH("telecommunications",I1788))&gt;0,'Configuración'!$B$27,'Configuración'!$B$28))</f>
        <v>4</v>
      </c>
      <c r="U1788" s="25">
        <f>IF(B1788="","",IF(ISNUMBER(SEARCH("CEO",C1788))+ISNUMBER(SEARCH("Founder",C1788))+ISNUMBER(SEARCH("Owner",C1788))+ISNUMBER(SEARCH("Dueño",C1788))+ISNUMBER(SEARCH("Director General",C1788))+ISNUMBER(SEARCH("Presidente",C1788))+ISNUMBER(SEARCH("President",C1788))&gt;0,'Configuración'!$B$31,IF(ISNUMBER(SEARCH("CMO",C1788))+ISNUMBER(SEARCH("Chief Marketing",C1788))+ISNUMBER(SEARCH("VP Marketing",C1788))+ISNUMBER(SEARCH("Director de Marketing",C1788))+ISNUMBER(SEARCH("Director Marketing",C1788))+ISNUMBER(SEARCH("Head of Marketing",C1788))+ISNUMBER(SEARCH("Head Marketing",C1788))&gt;0,'Configuración'!$B$32,IF(ISNUMBER(SEARCH("Marketing Manager",C1788))+ISNUMBER(SEARCH("Gerente de Marketing",C1788))+ISNUMBER(SEARCH("Growth Manager",C1788))+ISNUMBER(SEARCH("Demand Gen",C1788))+ISNUMBER(SEARCH("Marketing Lead",C1788))&gt;0,'Configuración'!$B$33,IF(ISNUMBER(SEARCH("COO",C1788))+ISNUMBER(SEARCH("CFO",C1788))+ISNUMBER(SEARCH("CTO",C1788))+ISNUMBER(SEARCH("Chief Operating",C1788))+ISNUMBER(SEARCH("Chief Financial",C1788))+ISNUMBER(SEARCH("Gerente General",C1788))+ISNUMBER(SEARCH("General Manager",C1788))&gt;0,'Configuración'!$B$34,'Configuración'!$B$35)))))</f>
        <v>0</v>
      </c>
      <c r="V1788" s="38">
        <f>IF(B1788="","",IF(K1788="Sí",'Configuración'!$B$5,0)+IF(L1788="Semanal",'Configuración'!$B$6,IF(L1788="Mensual",'Configuración'!$B$7,0))+IF(M1788="Sí",'Configuración'!$B$8,0)+IF(N1788="Sí",'Configuración'!$B$9,0)+IF(O1788="Sí",'Configuración'!$B$10,0)+IF(P1788="Sí",'Configuración'!$B$11,0)+IF(Q1788="Sí",'Configuración'!$B$12,0)+S1788+T1788+U1788)</f>
        <v>8</v>
      </c>
      <c r="W1788" s="39" t="str">
        <f>IF(B1788="","",IF(V1788&gt;='Configuración'!$B$19,"A",IF(V1788&gt;='Configuración'!$B$20,"B",IF(V1788&gt;='Configuración'!$B$21,"C","Descarte"))))</f>
        <v>Descarte</v>
      </c>
    </row>
    <row r="1789" ht="15.75" customHeight="1">
      <c r="A1789" s="34">
        <f t="shared" si="1"/>
        <v>1787</v>
      </c>
      <c r="B1789" s="29" t="s">
        <v>1048</v>
      </c>
      <c r="C1789" s="29" t="s">
        <v>9928</v>
      </c>
      <c r="D1789" s="29" t="s">
        <v>9929</v>
      </c>
      <c r="E1789" s="29" t="s">
        <v>9930</v>
      </c>
      <c r="F1789" s="30" t="s">
        <v>9931</v>
      </c>
      <c r="G1789" s="30" t="s">
        <v>9932</v>
      </c>
      <c r="H1789" s="42" t="s">
        <v>9933</v>
      </c>
      <c r="I1789" s="29" t="s">
        <v>428</v>
      </c>
      <c r="J1789" s="31">
        <v>4.0</v>
      </c>
      <c r="K1789" s="35"/>
      <c r="L1789" s="35"/>
      <c r="M1789" s="35"/>
      <c r="N1789" s="35"/>
      <c r="O1789" s="35"/>
      <c r="P1789" s="35"/>
      <c r="Q1789" s="35"/>
      <c r="R1789" s="35"/>
      <c r="S1789" s="37">
        <f>IF(B1789="","",IF(ISNUMBER(J1789),IF(J1789&lt;=10,'Configuración'!$B$23,IF(J1789&lt;=50,'Configuración'!$B$24,IF(J1789&lt;=200,'Configuración'!$B$25,0))),0))</f>
        <v>12</v>
      </c>
      <c r="T1789" s="37">
        <f>IF(B1789="","",IF(ISNUMBER(SEARCH("information technology",I1789))+ISNUMBER(SEARCH("software",I1789))+ISNUMBER(SEARCH("internet",I1789))+ISNUMBER(SEARCH("computer",I1789))+ISNUMBER(SEARCH("saas",I1789))+ISNUMBER(SEARCH("fintech",I1789))+ISNUMBER(SEARCH("information services",I1789))+ISNUMBER(SEARCH("telecommunications",I1789))&gt;0,'Configuración'!$B$27,'Configuración'!$B$28))</f>
        <v>12</v>
      </c>
      <c r="U1789" s="25">
        <f>IF(B1789="","",IF(ISNUMBER(SEARCH("CEO",C1789))+ISNUMBER(SEARCH("Founder",C1789))+ISNUMBER(SEARCH("Owner",C1789))+ISNUMBER(SEARCH("Dueño",C1789))+ISNUMBER(SEARCH("Director General",C1789))+ISNUMBER(SEARCH("Presidente",C1789))+ISNUMBER(SEARCH("President",C1789))&gt;0,'Configuración'!$B$31,IF(ISNUMBER(SEARCH("CMO",C1789))+ISNUMBER(SEARCH("Chief Marketing",C1789))+ISNUMBER(SEARCH("VP Marketing",C1789))+ISNUMBER(SEARCH("Director de Marketing",C1789))+ISNUMBER(SEARCH("Director Marketing",C1789))+ISNUMBER(SEARCH("Head of Marketing",C1789))+ISNUMBER(SEARCH("Head Marketing",C1789))&gt;0,'Configuración'!$B$32,IF(ISNUMBER(SEARCH("Marketing Manager",C1789))+ISNUMBER(SEARCH("Gerente de Marketing",C1789))+ISNUMBER(SEARCH("Growth Manager",C1789))+ISNUMBER(SEARCH("Demand Gen",C1789))+ISNUMBER(SEARCH("Marketing Lead",C1789))&gt;0,'Configuración'!$B$33,IF(ISNUMBER(SEARCH("COO",C1789))+ISNUMBER(SEARCH("CFO",C1789))+ISNUMBER(SEARCH("CTO",C1789))+ISNUMBER(SEARCH("Chief Operating",C1789))+ISNUMBER(SEARCH("Chief Financial",C1789))+ISNUMBER(SEARCH("Gerente General",C1789))+ISNUMBER(SEARCH("General Manager",C1789))&gt;0,'Configuración'!$B$34,'Configuración'!$B$35)))))</f>
        <v>12</v>
      </c>
      <c r="V1789" s="38">
        <f>IF(B1789="","",IF(K1789="Sí",'Configuración'!$B$5,0)+IF(L1789="Semanal",'Configuración'!$B$6,IF(L1789="Mensual",'Configuración'!$B$7,0))+IF(M1789="Sí",'Configuración'!$B$8,0)+IF(N1789="Sí",'Configuración'!$B$9,0)+IF(O1789="Sí",'Configuración'!$B$10,0)+IF(P1789="Sí",'Configuración'!$B$11,0)+IF(Q1789="Sí",'Configuración'!$B$12,0)+S1789+T1789+U1789)</f>
        <v>36</v>
      </c>
      <c r="W1789" s="39" t="str">
        <f>IF(B1789="","",IF(V1789&gt;='Configuración'!$B$19,"A",IF(V1789&gt;='Configuración'!$B$20,"B",IF(V1789&gt;='Configuración'!$B$21,"C","Descarte"))))</f>
        <v>C</v>
      </c>
    </row>
    <row r="1790" ht="15.75" customHeight="1">
      <c r="A1790" s="34">
        <f t="shared" si="1"/>
        <v>1788</v>
      </c>
      <c r="B1790" s="29" t="s">
        <v>1028</v>
      </c>
      <c r="C1790" s="29" t="s">
        <v>9934</v>
      </c>
      <c r="D1790" s="29" t="s">
        <v>9935</v>
      </c>
      <c r="E1790" s="29" t="s">
        <v>9936</v>
      </c>
      <c r="F1790" s="30" t="s">
        <v>9937</v>
      </c>
      <c r="G1790" s="30" t="s">
        <v>9938</v>
      </c>
      <c r="H1790" s="42" t="s">
        <v>9939</v>
      </c>
      <c r="I1790" s="29" t="s">
        <v>2834</v>
      </c>
      <c r="J1790" s="31">
        <v>29.0</v>
      </c>
      <c r="K1790" s="35"/>
      <c r="L1790" s="35"/>
      <c r="M1790" s="35"/>
      <c r="N1790" s="35"/>
      <c r="O1790" s="35"/>
      <c r="P1790" s="35"/>
      <c r="Q1790" s="35"/>
      <c r="R1790" s="35"/>
      <c r="S1790" s="37">
        <f>IF(B1790="","",IF(ISNUMBER(J1790),IF(J1790&lt;=10,'Configuración'!$B$23,IF(J1790&lt;=50,'Configuración'!$B$24,IF(J1790&lt;=200,'Configuración'!$B$25,0))),0))</f>
        <v>4</v>
      </c>
      <c r="T1790" s="37">
        <f>IF(B1790="","",IF(ISNUMBER(SEARCH("information technology",I1790))+ISNUMBER(SEARCH("software",I1790))+ISNUMBER(SEARCH("internet",I1790))+ISNUMBER(SEARCH("computer",I1790))+ISNUMBER(SEARCH("saas",I1790))+ISNUMBER(SEARCH("fintech",I1790))+ISNUMBER(SEARCH("information services",I1790))+ISNUMBER(SEARCH("telecommunications",I1790))&gt;0,'Configuración'!$B$27,'Configuración'!$B$28))</f>
        <v>4</v>
      </c>
      <c r="U1790" s="25">
        <f>IF(B1790="","",IF(ISNUMBER(SEARCH("CEO",C1790))+ISNUMBER(SEARCH("Founder",C1790))+ISNUMBER(SEARCH("Owner",C1790))+ISNUMBER(SEARCH("Dueño",C1790))+ISNUMBER(SEARCH("Director General",C1790))+ISNUMBER(SEARCH("Presidente",C1790))+ISNUMBER(SEARCH("President",C1790))&gt;0,'Configuración'!$B$31,IF(ISNUMBER(SEARCH("CMO",C1790))+ISNUMBER(SEARCH("Chief Marketing",C1790))+ISNUMBER(SEARCH("VP Marketing",C1790))+ISNUMBER(SEARCH("Director de Marketing",C1790))+ISNUMBER(SEARCH("Director Marketing",C1790))+ISNUMBER(SEARCH("Head of Marketing",C1790))+ISNUMBER(SEARCH("Head Marketing",C1790))&gt;0,'Configuración'!$B$32,IF(ISNUMBER(SEARCH("Marketing Manager",C1790))+ISNUMBER(SEARCH("Gerente de Marketing",C1790))+ISNUMBER(SEARCH("Growth Manager",C1790))+ISNUMBER(SEARCH("Demand Gen",C1790))+ISNUMBER(SEARCH("Marketing Lead",C1790))&gt;0,'Configuración'!$B$33,IF(ISNUMBER(SEARCH("COO",C1790))+ISNUMBER(SEARCH("CFO",C1790))+ISNUMBER(SEARCH("CTO",C1790))+ISNUMBER(SEARCH("Chief Operating",C1790))+ISNUMBER(SEARCH("Chief Financial",C1790))+ISNUMBER(SEARCH("Gerente General",C1790))+ISNUMBER(SEARCH("General Manager",C1790))&gt;0,'Configuración'!$B$34,'Configuración'!$B$35)))))</f>
        <v>4</v>
      </c>
      <c r="V1790" s="38">
        <f>IF(B1790="","",IF(K1790="Sí",'Configuración'!$B$5,0)+IF(L1790="Semanal",'Configuración'!$B$6,IF(L1790="Mensual",'Configuración'!$B$7,0))+IF(M1790="Sí",'Configuración'!$B$8,0)+IF(N1790="Sí",'Configuración'!$B$9,0)+IF(O1790="Sí",'Configuración'!$B$10,0)+IF(P1790="Sí",'Configuración'!$B$11,0)+IF(Q1790="Sí",'Configuración'!$B$12,0)+S1790+T1790+U1790)</f>
        <v>12</v>
      </c>
      <c r="W1790" s="39" t="str">
        <f>IF(B1790="","",IF(V1790&gt;='Configuración'!$B$19,"A",IF(V1790&gt;='Configuración'!$B$20,"B",IF(V1790&gt;='Configuración'!$B$21,"C","Descarte"))))</f>
        <v>Descarte</v>
      </c>
    </row>
    <row r="1791" ht="15.75" customHeight="1">
      <c r="A1791" s="34">
        <f t="shared" si="1"/>
        <v>1789</v>
      </c>
      <c r="B1791" s="29" t="s">
        <v>9940</v>
      </c>
      <c r="C1791" s="29" t="s">
        <v>9941</v>
      </c>
      <c r="D1791" s="29" t="s">
        <v>9942</v>
      </c>
      <c r="E1791" s="29" t="s">
        <v>9943</v>
      </c>
      <c r="F1791" s="30" t="s">
        <v>9944</v>
      </c>
      <c r="G1791" s="30" t="s">
        <v>9945</v>
      </c>
      <c r="H1791" s="42" t="s">
        <v>9946</v>
      </c>
      <c r="I1791" s="29"/>
      <c r="J1791" s="31">
        <v>13.0</v>
      </c>
      <c r="K1791" s="35"/>
      <c r="L1791" s="35"/>
      <c r="M1791" s="35"/>
      <c r="N1791" s="35"/>
      <c r="O1791" s="35"/>
      <c r="P1791" s="35"/>
      <c r="Q1791" s="35"/>
      <c r="R1791" s="35"/>
      <c r="S1791" s="37">
        <f>IF(B1791="","",IF(ISNUMBER(J1791),IF(J1791&lt;=10,'Configuración'!$B$23,IF(J1791&lt;=50,'Configuración'!$B$24,IF(J1791&lt;=200,'Configuración'!$B$25,0))),0))</f>
        <v>4</v>
      </c>
      <c r="T1791" s="37">
        <f>IF(B1791="","",IF(ISNUMBER(SEARCH("information technology",I1791))+ISNUMBER(SEARCH("software",I1791))+ISNUMBER(SEARCH("internet",I1791))+ISNUMBER(SEARCH("computer",I1791))+ISNUMBER(SEARCH("saas",I1791))+ISNUMBER(SEARCH("fintech",I1791))+ISNUMBER(SEARCH("information services",I1791))+ISNUMBER(SEARCH("telecommunications",I1791))&gt;0,'Configuración'!$B$27,'Configuración'!$B$28))</f>
        <v>4</v>
      </c>
      <c r="U1791" s="25">
        <f>IF(B1791="","",IF(ISNUMBER(SEARCH("CEO",C1791))+ISNUMBER(SEARCH("Founder",C1791))+ISNUMBER(SEARCH("Owner",C1791))+ISNUMBER(SEARCH("Dueño",C1791))+ISNUMBER(SEARCH("Director General",C1791))+ISNUMBER(SEARCH("Presidente",C1791))+ISNUMBER(SEARCH("President",C1791))&gt;0,'Configuración'!$B$31,IF(ISNUMBER(SEARCH("CMO",C1791))+ISNUMBER(SEARCH("Chief Marketing",C1791))+ISNUMBER(SEARCH("VP Marketing",C1791))+ISNUMBER(SEARCH("Director de Marketing",C1791))+ISNUMBER(SEARCH("Director Marketing",C1791))+ISNUMBER(SEARCH("Head of Marketing",C1791))+ISNUMBER(SEARCH("Head Marketing",C1791))&gt;0,'Configuración'!$B$32,IF(ISNUMBER(SEARCH("Marketing Manager",C1791))+ISNUMBER(SEARCH("Gerente de Marketing",C1791))+ISNUMBER(SEARCH("Growth Manager",C1791))+ISNUMBER(SEARCH("Demand Gen",C1791))+ISNUMBER(SEARCH("Marketing Lead",C1791))&gt;0,'Configuración'!$B$33,IF(ISNUMBER(SEARCH("COO",C1791))+ISNUMBER(SEARCH("CFO",C1791))+ISNUMBER(SEARCH("CTO",C1791))+ISNUMBER(SEARCH("Chief Operating",C1791))+ISNUMBER(SEARCH("Chief Financial",C1791))+ISNUMBER(SEARCH("Gerente General",C1791))+ISNUMBER(SEARCH("General Manager",C1791))&gt;0,'Configuración'!$B$34,'Configuración'!$B$35)))))</f>
        <v>0</v>
      </c>
      <c r="V1791" s="38">
        <f>IF(B1791="","",IF(K1791="Sí",'Configuración'!$B$5,0)+IF(L1791="Semanal",'Configuración'!$B$6,IF(L1791="Mensual",'Configuración'!$B$7,0))+IF(M1791="Sí",'Configuración'!$B$8,0)+IF(N1791="Sí",'Configuración'!$B$9,0)+IF(O1791="Sí",'Configuración'!$B$10,0)+IF(P1791="Sí",'Configuración'!$B$11,0)+IF(Q1791="Sí",'Configuración'!$B$12,0)+S1791+T1791+U1791)</f>
        <v>8</v>
      </c>
      <c r="W1791" s="39" t="str">
        <f>IF(B1791="","",IF(V1791&gt;='Configuración'!$B$19,"A",IF(V1791&gt;='Configuración'!$B$20,"B",IF(V1791&gt;='Configuración'!$B$21,"C","Descarte"))))</f>
        <v>Descarte</v>
      </c>
    </row>
    <row r="1792" ht="15.75" customHeight="1">
      <c r="A1792" s="34">
        <f t="shared" si="1"/>
        <v>1790</v>
      </c>
      <c r="B1792" s="29" t="s">
        <v>138</v>
      </c>
      <c r="C1792" s="29" t="s">
        <v>9947</v>
      </c>
      <c r="D1792" s="29" t="s">
        <v>9948</v>
      </c>
      <c r="E1792" s="29" t="s">
        <v>9949</v>
      </c>
      <c r="F1792" s="30" t="s">
        <v>9950</v>
      </c>
      <c r="G1792" s="30" t="s">
        <v>9951</v>
      </c>
      <c r="H1792" s="42" t="s">
        <v>9952</v>
      </c>
      <c r="I1792" s="29" t="s">
        <v>188</v>
      </c>
      <c r="J1792" s="31">
        <v>3.0</v>
      </c>
      <c r="K1792" s="35"/>
      <c r="L1792" s="35"/>
      <c r="M1792" s="35"/>
      <c r="N1792" s="35"/>
      <c r="O1792" s="35"/>
      <c r="P1792" s="35"/>
      <c r="Q1792" s="35"/>
      <c r="R1792" s="35"/>
      <c r="S1792" s="37">
        <f>IF(B1792="","",IF(ISNUMBER(J1792),IF(J1792&lt;=10,'Configuración'!$B$23,IF(J1792&lt;=50,'Configuración'!$B$24,IF(J1792&lt;=200,'Configuración'!$B$25,0))),0))</f>
        <v>12</v>
      </c>
      <c r="T1792" s="37">
        <f>IF(B1792="","",IF(ISNUMBER(SEARCH("information technology",I1792))+ISNUMBER(SEARCH("software",I1792))+ISNUMBER(SEARCH("internet",I1792))+ISNUMBER(SEARCH("computer",I1792))+ISNUMBER(SEARCH("saas",I1792))+ISNUMBER(SEARCH("fintech",I1792))+ISNUMBER(SEARCH("information services",I1792))+ISNUMBER(SEARCH("telecommunications",I1792))&gt;0,'Configuración'!$B$27,'Configuración'!$B$28))</f>
        <v>4</v>
      </c>
      <c r="U1792" s="25">
        <f>IF(B1792="","",IF(ISNUMBER(SEARCH("CEO",C1792))+ISNUMBER(SEARCH("Founder",C1792))+ISNUMBER(SEARCH("Owner",C1792))+ISNUMBER(SEARCH("Dueño",C1792))+ISNUMBER(SEARCH("Director General",C1792))+ISNUMBER(SEARCH("Presidente",C1792))+ISNUMBER(SEARCH("President",C1792))&gt;0,'Configuración'!$B$31,IF(ISNUMBER(SEARCH("CMO",C1792))+ISNUMBER(SEARCH("Chief Marketing",C1792))+ISNUMBER(SEARCH("VP Marketing",C1792))+ISNUMBER(SEARCH("Director de Marketing",C1792))+ISNUMBER(SEARCH("Director Marketing",C1792))+ISNUMBER(SEARCH("Head of Marketing",C1792))+ISNUMBER(SEARCH("Head Marketing",C1792))&gt;0,'Configuración'!$B$32,IF(ISNUMBER(SEARCH("Marketing Manager",C1792))+ISNUMBER(SEARCH("Gerente de Marketing",C1792))+ISNUMBER(SEARCH("Growth Manager",C1792))+ISNUMBER(SEARCH("Demand Gen",C1792))+ISNUMBER(SEARCH("Marketing Lead",C1792))&gt;0,'Configuración'!$B$33,IF(ISNUMBER(SEARCH("COO",C1792))+ISNUMBER(SEARCH("CFO",C1792))+ISNUMBER(SEARCH("CTO",C1792))+ISNUMBER(SEARCH("Chief Operating",C1792))+ISNUMBER(SEARCH("Chief Financial",C1792))+ISNUMBER(SEARCH("Gerente General",C1792))+ISNUMBER(SEARCH("General Manager",C1792))&gt;0,'Configuración'!$B$34,'Configuración'!$B$35)))))</f>
        <v>4</v>
      </c>
      <c r="V1792" s="38">
        <f>IF(B1792="","",IF(K1792="Sí",'Configuración'!$B$5,0)+IF(L1792="Semanal",'Configuración'!$B$6,IF(L1792="Mensual",'Configuración'!$B$7,0))+IF(M1792="Sí",'Configuración'!$B$8,0)+IF(N1792="Sí",'Configuración'!$B$9,0)+IF(O1792="Sí",'Configuración'!$B$10,0)+IF(P1792="Sí",'Configuración'!$B$11,0)+IF(Q1792="Sí",'Configuración'!$B$12,0)+S1792+T1792+U1792)</f>
        <v>20</v>
      </c>
      <c r="W1792" s="39" t="str">
        <f>IF(B1792="","",IF(V1792&gt;='Configuración'!$B$19,"A",IF(V1792&gt;='Configuración'!$B$20,"B",IF(V1792&gt;='Configuración'!$B$21,"C","Descarte"))))</f>
        <v>Descarte</v>
      </c>
    </row>
    <row r="1793" ht="15.75" customHeight="1">
      <c r="A1793" s="34">
        <f t="shared" si="1"/>
        <v>1791</v>
      </c>
      <c r="B1793" s="29" t="s">
        <v>2396</v>
      </c>
      <c r="C1793" s="29" t="s">
        <v>318</v>
      </c>
      <c r="D1793" s="29" t="s">
        <v>9953</v>
      </c>
      <c r="E1793" s="29" t="s">
        <v>9954</v>
      </c>
      <c r="F1793" s="30" t="s">
        <v>9955</v>
      </c>
      <c r="G1793" s="30" t="s">
        <v>9956</v>
      </c>
      <c r="H1793" s="42" t="s">
        <v>9957</v>
      </c>
      <c r="I1793" s="29" t="s">
        <v>127</v>
      </c>
      <c r="J1793" s="31">
        <v>19.0</v>
      </c>
      <c r="K1793" s="35"/>
      <c r="L1793" s="35"/>
      <c r="M1793" s="35"/>
      <c r="N1793" s="35"/>
      <c r="O1793" s="35"/>
      <c r="P1793" s="35"/>
      <c r="Q1793" s="35"/>
      <c r="R1793" s="35"/>
      <c r="S1793" s="37">
        <f>IF(B1793="","",IF(ISNUMBER(J1793),IF(J1793&lt;=10,'Configuración'!$B$23,IF(J1793&lt;=50,'Configuración'!$B$24,IF(J1793&lt;=200,'Configuración'!$B$25,0))),0))</f>
        <v>4</v>
      </c>
      <c r="T1793" s="37">
        <f>IF(B1793="","",IF(ISNUMBER(SEARCH("information technology",I1793))+ISNUMBER(SEARCH("software",I1793))+ISNUMBER(SEARCH("internet",I1793))+ISNUMBER(SEARCH("computer",I1793))+ISNUMBER(SEARCH("saas",I1793))+ISNUMBER(SEARCH("fintech",I1793))+ISNUMBER(SEARCH("information services",I1793))+ISNUMBER(SEARCH("telecommunications",I1793))&gt;0,'Configuración'!$B$27,'Configuración'!$B$28))</f>
        <v>12</v>
      </c>
      <c r="U1793" s="25">
        <f>IF(B1793="","",IF(ISNUMBER(SEARCH("CEO",C1793))+ISNUMBER(SEARCH("Founder",C1793))+ISNUMBER(SEARCH("Owner",C1793))+ISNUMBER(SEARCH("Dueño",C1793))+ISNUMBER(SEARCH("Director General",C1793))+ISNUMBER(SEARCH("Presidente",C1793))+ISNUMBER(SEARCH("President",C1793))&gt;0,'Configuración'!$B$31,IF(ISNUMBER(SEARCH("CMO",C1793))+ISNUMBER(SEARCH("Chief Marketing",C1793))+ISNUMBER(SEARCH("VP Marketing",C1793))+ISNUMBER(SEARCH("Director de Marketing",C1793))+ISNUMBER(SEARCH("Director Marketing",C1793))+ISNUMBER(SEARCH("Head of Marketing",C1793))+ISNUMBER(SEARCH("Head Marketing",C1793))&gt;0,'Configuración'!$B$32,IF(ISNUMBER(SEARCH("Marketing Manager",C1793))+ISNUMBER(SEARCH("Gerente de Marketing",C1793))+ISNUMBER(SEARCH("Growth Manager",C1793))+ISNUMBER(SEARCH("Demand Gen",C1793))+ISNUMBER(SEARCH("Marketing Lead",C1793))&gt;0,'Configuración'!$B$33,IF(ISNUMBER(SEARCH("COO",C1793))+ISNUMBER(SEARCH("CFO",C1793))+ISNUMBER(SEARCH("CTO",C1793))+ISNUMBER(SEARCH("Chief Operating",C1793))+ISNUMBER(SEARCH("Chief Financial",C1793))+ISNUMBER(SEARCH("Gerente General",C1793))+ISNUMBER(SEARCH("General Manager",C1793))&gt;0,'Configuración'!$B$34,'Configuración'!$B$35)))))</f>
        <v>4</v>
      </c>
      <c r="V1793" s="38">
        <f>IF(B1793="","",IF(K1793="Sí",'Configuración'!$B$5,0)+IF(L1793="Semanal",'Configuración'!$B$6,IF(L1793="Mensual",'Configuración'!$B$7,0))+IF(M1793="Sí",'Configuración'!$B$8,0)+IF(N1793="Sí",'Configuración'!$B$9,0)+IF(O1793="Sí",'Configuración'!$B$10,0)+IF(P1793="Sí",'Configuración'!$B$11,0)+IF(Q1793="Sí",'Configuración'!$B$12,0)+S1793+T1793+U1793)</f>
        <v>20</v>
      </c>
      <c r="W1793" s="39" t="str">
        <f>IF(B1793="","",IF(V1793&gt;='Configuración'!$B$19,"A",IF(V1793&gt;='Configuración'!$B$20,"B",IF(V1793&gt;='Configuración'!$B$21,"C","Descarte"))))</f>
        <v>Descarte</v>
      </c>
    </row>
    <row r="1794" ht="15.75" customHeight="1">
      <c r="A1794" s="34">
        <f t="shared" si="1"/>
        <v>1792</v>
      </c>
      <c r="B1794" s="29" t="s">
        <v>9958</v>
      </c>
      <c r="C1794" s="29" t="s">
        <v>934</v>
      </c>
      <c r="D1794" s="29" t="s">
        <v>9959</v>
      </c>
      <c r="E1794" s="29" t="s">
        <v>9960</v>
      </c>
      <c r="F1794" s="30" t="s">
        <v>9961</v>
      </c>
      <c r="G1794" s="30" t="s">
        <v>9962</v>
      </c>
      <c r="H1794" s="42" t="s">
        <v>9963</v>
      </c>
      <c r="I1794" s="29" t="s">
        <v>659</v>
      </c>
      <c r="J1794" s="31">
        <v>6.0</v>
      </c>
      <c r="K1794" s="35"/>
      <c r="L1794" s="35"/>
      <c r="M1794" s="35"/>
      <c r="N1794" s="35"/>
      <c r="O1794" s="35"/>
      <c r="P1794" s="35"/>
      <c r="Q1794" s="35"/>
      <c r="R1794" s="35"/>
      <c r="S1794" s="37">
        <f>IF(B1794="","",IF(ISNUMBER(J1794),IF(J1794&lt;=10,'Configuración'!$B$23,IF(J1794&lt;=50,'Configuración'!$B$24,IF(J1794&lt;=200,'Configuración'!$B$25,0))),0))</f>
        <v>12</v>
      </c>
      <c r="T1794" s="37">
        <f>IF(B1794="","",IF(ISNUMBER(SEARCH("information technology",I1794))+ISNUMBER(SEARCH("software",I1794))+ISNUMBER(SEARCH("internet",I1794))+ISNUMBER(SEARCH("computer",I1794))+ISNUMBER(SEARCH("saas",I1794))+ISNUMBER(SEARCH("fintech",I1794))+ISNUMBER(SEARCH("information services",I1794))+ISNUMBER(SEARCH("telecommunications",I1794))&gt;0,'Configuración'!$B$27,'Configuración'!$B$28))</f>
        <v>4</v>
      </c>
      <c r="U1794" s="25">
        <f>IF(B1794="","",IF(ISNUMBER(SEARCH("CEO",C1794))+ISNUMBER(SEARCH("Founder",C1794))+ISNUMBER(SEARCH("Owner",C1794))+ISNUMBER(SEARCH("Dueño",C1794))+ISNUMBER(SEARCH("Director General",C1794))+ISNUMBER(SEARCH("Presidente",C1794))+ISNUMBER(SEARCH("President",C1794))&gt;0,'Configuración'!$B$31,IF(ISNUMBER(SEARCH("CMO",C1794))+ISNUMBER(SEARCH("Chief Marketing",C1794))+ISNUMBER(SEARCH("VP Marketing",C1794))+ISNUMBER(SEARCH("Director de Marketing",C1794))+ISNUMBER(SEARCH("Director Marketing",C1794))+ISNUMBER(SEARCH("Head of Marketing",C1794))+ISNUMBER(SEARCH("Head Marketing",C1794))&gt;0,'Configuración'!$B$32,IF(ISNUMBER(SEARCH("Marketing Manager",C1794))+ISNUMBER(SEARCH("Gerente de Marketing",C1794))+ISNUMBER(SEARCH("Growth Manager",C1794))+ISNUMBER(SEARCH("Demand Gen",C1794))+ISNUMBER(SEARCH("Marketing Lead",C1794))&gt;0,'Configuración'!$B$33,IF(ISNUMBER(SEARCH("COO",C1794))+ISNUMBER(SEARCH("CFO",C1794))+ISNUMBER(SEARCH("CTO",C1794))+ISNUMBER(SEARCH("Chief Operating",C1794))+ISNUMBER(SEARCH("Chief Financial",C1794))+ISNUMBER(SEARCH("Gerente General",C1794))+ISNUMBER(SEARCH("General Manager",C1794))&gt;0,'Configuración'!$B$34,'Configuración'!$B$35)))))</f>
        <v>12</v>
      </c>
      <c r="V1794" s="38">
        <f>IF(B1794="","",IF(K1794="Sí",'Configuración'!$B$5,0)+IF(L1794="Semanal",'Configuración'!$B$6,IF(L1794="Mensual",'Configuración'!$B$7,0))+IF(M1794="Sí",'Configuración'!$B$8,0)+IF(N1794="Sí",'Configuración'!$B$9,0)+IF(O1794="Sí",'Configuración'!$B$10,0)+IF(P1794="Sí",'Configuración'!$B$11,0)+IF(Q1794="Sí",'Configuración'!$B$12,0)+S1794+T1794+U1794)</f>
        <v>28</v>
      </c>
      <c r="W1794" s="39" t="str">
        <f>IF(B1794="","",IF(V1794&gt;='Configuración'!$B$19,"A",IF(V1794&gt;='Configuración'!$B$20,"B",IF(V1794&gt;='Configuración'!$B$21,"C","Descarte"))))</f>
        <v>C</v>
      </c>
    </row>
    <row r="1795" ht="15.75" customHeight="1">
      <c r="A1795" s="34">
        <f t="shared" si="1"/>
        <v>1793</v>
      </c>
      <c r="B1795" s="29" t="s">
        <v>9964</v>
      </c>
      <c r="C1795" s="29"/>
      <c r="D1795" s="29" t="s">
        <v>9965</v>
      </c>
      <c r="E1795" s="29"/>
      <c r="F1795" s="30" t="s">
        <v>9966</v>
      </c>
      <c r="G1795" s="30" t="s">
        <v>9967</v>
      </c>
      <c r="H1795" s="42" t="s">
        <v>7804</v>
      </c>
      <c r="I1795" s="29" t="s">
        <v>9968</v>
      </c>
      <c r="J1795" s="31">
        <v>0.0</v>
      </c>
      <c r="K1795" s="35"/>
      <c r="L1795" s="35"/>
      <c r="M1795" s="35"/>
      <c r="N1795" s="35"/>
      <c r="O1795" s="35"/>
      <c r="P1795" s="35"/>
      <c r="Q1795" s="35"/>
      <c r="R1795" s="35"/>
      <c r="S1795" s="37">
        <f>IF(B1795="","",IF(ISNUMBER(J1795),IF(J1795&lt;=10,'Configuración'!$B$23,IF(J1795&lt;=50,'Configuración'!$B$24,IF(J1795&lt;=200,'Configuración'!$B$25,0))),0))</f>
        <v>12</v>
      </c>
      <c r="T1795" s="37">
        <f>IF(B1795="","",IF(ISNUMBER(SEARCH("information technology",I1795))+ISNUMBER(SEARCH("software",I1795))+ISNUMBER(SEARCH("internet",I1795))+ISNUMBER(SEARCH("computer",I1795))+ISNUMBER(SEARCH("saas",I1795))+ISNUMBER(SEARCH("fintech",I1795))+ISNUMBER(SEARCH("information services",I1795))+ISNUMBER(SEARCH("telecommunications",I1795))&gt;0,'Configuración'!$B$27,'Configuración'!$B$28))</f>
        <v>4</v>
      </c>
      <c r="U1795" s="25">
        <f>IF(B1795="","",IF(ISNUMBER(SEARCH("CEO",C1795))+ISNUMBER(SEARCH("Founder",C1795))+ISNUMBER(SEARCH("Owner",C1795))+ISNUMBER(SEARCH("Dueño",C1795))+ISNUMBER(SEARCH("Director General",C1795))+ISNUMBER(SEARCH("Presidente",C1795))+ISNUMBER(SEARCH("President",C1795))&gt;0,'Configuración'!$B$31,IF(ISNUMBER(SEARCH("CMO",C1795))+ISNUMBER(SEARCH("Chief Marketing",C1795))+ISNUMBER(SEARCH("VP Marketing",C1795))+ISNUMBER(SEARCH("Director de Marketing",C1795))+ISNUMBER(SEARCH("Director Marketing",C1795))+ISNUMBER(SEARCH("Head of Marketing",C1795))+ISNUMBER(SEARCH("Head Marketing",C1795))&gt;0,'Configuración'!$B$32,IF(ISNUMBER(SEARCH("Marketing Manager",C1795))+ISNUMBER(SEARCH("Gerente de Marketing",C1795))+ISNUMBER(SEARCH("Growth Manager",C1795))+ISNUMBER(SEARCH("Demand Gen",C1795))+ISNUMBER(SEARCH("Marketing Lead",C1795))&gt;0,'Configuración'!$B$33,IF(ISNUMBER(SEARCH("COO",C1795))+ISNUMBER(SEARCH("CFO",C1795))+ISNUMBER(SEARCH("CTO",C1795))+ISNUMBER(SEARCH("Chief Operating",C1795))+ISNUMBER(SEARCH("Chief Financial",C1795))+ISNUMBER(SEARCH("Gerente General",C1795))+ISNUMBER(SEARCH("General Manager",C1795))&gt;0,'Configuración'!$B$34,'Configuración'!$B$35)))))</f>
        <v>0</v>
      </c>
      <c r="V1795" s="38">
        <f>IF(B1795="","",IF(K1795="Sí",'Configuración'!$B$5,0)+IF(L1795="Semanal",'Configuración'!$B$6,IF(L1795="Mensual",'Configuración'!$B$7,0))+IF(M1795="Sí",'Configuración'!$B$8,0)+IF(N1795="Sí",'Configuración'!$B$9,0)+IF(O1795="Sí",'Configuración'!$B$10,0)+IF(P1795="Sí",'Configuración'!$B$11,0)+IF(Q1795="Sí",'Configuración'!$B$12,0)+S1795+T1795+U1795)</f>
        <v>16</v>
      </c>
      <c r="W1795" s="39" t="str">
        <f>IF(B1795="","",IF(V1795&gt;='Configuración'!$B$19,"A",IF(V1795&gt;='Configuración'!$B$20,"B",IF(V1795&gt;='Configuración'!$B$21,"C","Descarte"))))</f>
        <v>Descarte</v>
      </c>
    </row>
    <row r="1796" ht="15.75" customHeight="1">
      <c r="A1796" s="34">
        <f t="shared" si="1"/>
        <v>1794</v>
      </c>
      <c r="B1796" s="29" t="s">
        <v>2788</v>
      </c>
      <c r="C1796" s="29" t="s">
        <v>597</v>
      </c>
      <c r="D1796" s="29" t="s">
        <v>9969</v>
      </c>
      <c r="E1796" s="29" t="s">
        <v>9970</v>
      </c>
      <c r="F1796" s="30" t="s">
        <v>9971</v>
      </c>
      <c r="G1796" s="30" t="s">
        <v>9972</v>
      </c>
      <c r="H1796" s="42" t="s">
        <v>9973</v>
      </c>
      <c r="I1796" s="29" t="s">
        <v>127</v>
      </c>
      <c r="J1796" s="31">
        <v>12.0</v>
      </c>
      <c r="K1796" s="35"/>
      <c r="L1796" s="35"/>
      <c r="M1796" s="35"/>
      <c r="N1796" s="35"/>
      <c r="O1796" s="35"/>
      <c r="P1796" s="35"/>
      <c r="Q1796" s="35"/>
      <c r="R1796" s="35"/>
      <c r="S1796" s="37">
        <f>IF(B1796="","",IF(ISNUMBER(J1796),IF(J1796&lt;=10,'Configuración'!$B$23,IF(J1796&lt;=50,'Configuración'!$B$24,IF(J1796&lt;=200,'Configuración'!$B$25,0))),0))</f>
        <v>4</v>
      </c>
      <c r="T1796" s="37">
        <f>IF(B1796="","",IF(ISNUMBER(SEARCH("information technology",I1796))+ISNUMBER(SEARCH("software",I1796))+ISNUMBER(SEARCH("internet",I1796))+ISNUMBER(SEARCH("computer",I1796))+ISNUMBER(SEARCH("saas",I1796))+ISNUMBER(SEARCH("fintech",I1796))+ISNUMBER(SEARCH("information services",I1796))+ISNUMBER(SEARCH("telecommunications",I1796))&gt;0,'Configuración'!$B$27,'Configuración'!$B$28))</f>
        <v>12</v>
      </c>
      <c r="U1796" s="25">
        <f>IF(B1796="","",IF(ISNUMBER(SEARCH("CEO",C1796))+ISNUMBER(SEARCH("Founder",C1796))+ISNUMBER(SEARCH("Owner",C1796))+ISNUMBER(SEARCH("Dueño",C1796))+ISNUMBER(SEARCH("Director General",C1796))+ISNUMBER(SEARCH("Presidente",C1796))+ISNUMBER(SEARCH("President",C1796))&gt;0,'Configuración'!$B$31,IF(ISNUMBER(SEARCH("CMO",C1796))+ISNUMBER(SEARCH("Chief Marketing",C1796))+ISNUMBER(SEARCH("VP Marketing",C1796))+ISNUMBER(SEARCH("Director de Marketing",C1796))+ISNUMBER(SEARCH("Director Marketing",C1796))+ISNUMBER(SEARCH("Head of Marketing",C1796))+ISNUMBER(SEARCH("Head Marketing",C1796))&gt;0,'Configuración'!$B$32,IF(ISNUMBER(SEARCH("Marketing Manager",C1796))+ISNUMBER(SEARCH("Gerente de Marketing",C1796))+ISNUMBER(SEARCH("Growth Manager",C1796))+ISNUMBER(SEARCH("Demand Gen",C1796))+ISNUMBER(SEARCH("Marketing Lead",C1796))&gt;0,'Configuración'!$B$33,IF(ISNUMBER(SEARCH("COO",C1796))+ISNUMBER(SEARCH("CFO",C1796))+ISNUMBER(SEARCH("CTO",C1796))+ISNUMBER(SEARCH("Chief Operating",C1796))+ISNUMBER(SEARCH("Chief Financial",C1796))+ISNUMBER(SEARCH("Gerente General",C1796))+ISNUMBER(SEARCH("General Manager",C1796))&gt;0,'Configuración'!$B$34,'Configuración'!$B$35)))))</f>
        <v>12</v>
      </c>
      <c r="V1796" s="38">
        <f>IF(B1796="","",IF(K1796="Sí",'Configuración'!$B$5,0)+IF(L1796="Semanal",'Configuración'!$B$6,IF(L1796="Mensual",'Configuración'!$B$7,0))+IF(M1796="Sí",'Configuración'!$B$8,0)+IF(N1796="Sí",'Configuración'!$B$9,0)+IF(O1796="Sí",'Configuración'!$B$10,0)+IF(P1796="Sí",'Configuración'!$B$11,0)+IF(Q1796="Sí",'Configuración'!$B$12,0)+S1796+T1796+U1796)</f>
        <v>28</v>
      </c>
      <c r="W1796" s="39" t="str">
        <f>IF(B1796="","",IF(V1796&gt;='Configuración'!$B$19,"A",IF(V1796&gt;='Configuración'!$B$20,"B",IF(V1796&gt;='Configuración'!$B$21,"C","Descarte"))))</f>
        <v>C</v>
      </c>
    </row>
    <row r="1797" ht="15.75" customHeight="1">
      <c r="A1797" s="34">
        <f t="shared" si="1"/>
        <v>1795</v>
      </c>
      <c r="B1797" s="29" t="s">
        <v>536</v>
      </c>
      <c r="C1797" s="29" t="s">
        <v>224</v>
      </c>
      <c r="D1797" s="29" t="s">
        <v>9974</v>
      </c>
      <c r="E1797" s="29" t="s">
        <v>9975</v>
      </c>
      <c r="F1797" s="30" t="s">
        <v>9976</v>
      </c>
      <c r="G1797" s="30" t="s">
        <v>9977</v>
      </c>
      <c r="H1797" s="42" t="s">
        <v>9978</v>
      </c>
      <c r="I1797" s="29" t="s">
        <v>350</v>
      </c>
      <c r="J1797" s="31">
        <v>6.0</v>
      </c>
      <c r="K1797" s="35"/>
      <c r="L1797" s="35"/>
      <c r="M1797" s="35"/>
      <c r="N1797" s="35"/>
      <c r="O1797" s="35"/>
      <c r="P1797" s="35"/>
      <c r="Q1797" s="35"/>
      <c r="R1797" s="35"/>
      <c r="S1797" s="37">
        <f>IF(B1797="","",IF(ISNUMBER(J1797),IF(J1797&lt;=10,'Configuración'!$B$23,IF(J1797&lt;=50,'Configuración'!$B$24,IF(J1797&lt;=200,'Configuración'!$B$25,0))),0))</f>
        <v>12</v>
      </c>
      <c r="T1797" s="37">
        <f>IF(B1797="","",IF(ISNUMBER(SEARCH("information technology",I1797))+ISNUMBER(SEARCH("software",I1797))+ISNUMBER(SEARCH("internet",I1797))+ISNUMBER(SEARCH("computer",I1797))+ISNUMBER(SEARCH("saas",I1797))+ISNUMBER(SEARCH("fintech",I1797))+ISNUMBER(SEARCH("information services",I1797))+ISNUMBER(SEARCH("telecommunications",I1797))&gt;0,'Configuración'!$B$27,'Configuración'!$B$28))</f>
        <v>4</v>
      </c>
      <c r="U1797" s="25">
        <f>IF(B1797="","",IF(ISNUMBER(SEARCH("CEO",C1797))+ISNUMBER(SEARCH("Founder",C1797))+ISNUMBER(SEARCH("Owner",C1797))+ISNUMBER(SEARCH("Dueño",C1797))+ISNUMBER(SEARCH("Director General",C1797))+ISNUMBER(SEARCH("Presidente",C1797))+ISNUMBER(SEARCH("President",C1797))&gt;0,'Configuración'!$B$31,IF(ISNUMBER(SEARCH("CMO",C1797))+ISNUMBER(SEARCH("Chief Marketing",C1797))+ISNUMBER(SEARCH("VP Marketing",C1797))+ISNUMBER(SEARCH("Director de Marketing",C1797))+ISNUMBER(SEARCH("Director Marketing",C1797))+ISNUMBER(SEARCH("Head of Marketing",C1797))+ISNUMBER(SEARCH("Head Marketing",C1797))&gt;0,'Configuración'!$B$32,IF(ISNUMBER(SEARCH("Marketing Manager",C1797))+ISNUMBER(SEARCH("Gerente de Marketing",C1797))+ISNUMBER(SEARCH("Growth Manager",C1797))+ISNUMBER(SEARCH("Demand Gen",C1797))+ISNUMBER(SEARCH("Marketing Lead",C1797))&gt;0,'Configuración'!$B$33,IF(ISNUMBER(SEARCH("COO",C1797))+ISNUMBER(SEARCH("CFO",C1797))+ISNUMBER(SEARCH("CTO",C1797))+ISNUMBER(SEARCH("Chief Operating",C1797))+ISNUMBER(SEARCH("Chief Financial",C1797))+ISNUMBER(SEARCH("Gerente General",C1797))+ISNUMBER(SEARCH("General Manager",C1797))&gt;0,'Configuración'!$B$34,'Configuración'!$B$35)))))</f>
        <v>12</v>
      </c>
      <c r="V1797" s="38">
        <f>IF(B1797="","",IF(K1797="Sí",'Configuración'!$B$5,0)+IF(L1797="Semanal",'Configuración'!$B$6,IF(L1797="Mensual",'Configuración'!$B$7,0))+IF(M1797="Sí",'Configuración'!$B$8,0)+IF(N1797="Sí",'Configuración'!$B$9,0)+IF(O1797="Sí",'Configuración'!$B$10,0)+IF(P1797="Sí",'Configuración'!$B$11,0)+IF(Q1797="Sí",'Configuración'!$B$12,0)+S1797+T1797+U1797)</f>
        <v>28</v>
      </c>
      <c r="W1797" s="39" t="str">
        <f>IF(B1797="","",IF(V1797&gt;='Configuración'!$B$19,"A",IF(V1797&gt;='Configuración'!$B$20,"B",IF(V1797&gt;='Configuración'!$B$21,"C","Descarte"))))</f>
        <v>C</v>
      </c>
    </row>
    <row r="1798" ht="15.75" customHeight="1">
      <c r="A1798" s="34">
        <f t="shared" si="1"/>
        <v>1796</v>
      </c>
      <c r="B1798" s="29" t="s">
        <v>1159</v>
      </c>
      <c r="C1798" s="29" t="s">
        <v>1953</v>
      </c>
      <c r="D1798" s="29" t="s">
        <v>3517</v>
      </c>
      <c r="E1798" s="29" t="s">
        <v>9979</v>
      </c>
      <c r="F1798" s="30" t="s">
        <v>9980</v>
      </c>
      <c r="G1798" s="30" t="s">
        <v>3520</v>
      </c>
      <c r="H1798" s="42" t="s">
        <v>3521</v>
      </c>
      <c r="I1798" s="29" t="s">
        <v>337</v>
      </c>
      <c r="J1798" s="31">
        <v>7.0</v>
      </c>
      <c r="K1798" s="35"/>
      <c r="L1798" s="35"/>
      <c r="M1798" s="35"/>
      <c r="N1798" s="35"/>
      <c r="O1798" s="35"/>
      <c r="P1798" s="35"/>
      <c r="Q1798" s="35"/>
      <c r="R1798" s="35"/>
      <c r="S1798" s="37">
        <f>IF(B1798="","",IF(ISNUMBER(J1798),IF(J1798&lt;=10,'Configuración'!$B$23,IF(J1798&lt;=50,'Configuración'!$B$24,IF(J1798&lt;=200,'Configuración'!$B$25,0))),0))</f>
        <v>12</v>
      </c>
      <c r="T1798" s="37">
        <f>IF(B1798="","",IF(ISNUMBER(SEARCH("information technology",I1798))+ISNUMBER(SEARCH("software",I1798))+ISNUMBER(SEARCH("internet",I1798))+ISNUMBER(SEARCH("computer",I1798))+ISNUMBER(SEARCH("saas",I1798))+ISNUMBER(SEARCH("fintech",I1798))+ISNUMBER(SEARCH("information services",I1798))+ISNUMBER(SEARCH("telecommunications",I1798))&gt;0,'Configuración'!$B$27,'Configuración'!$B$28))</f>
        <v>4</v>
      </c>
      <c r="U1798" s="25">
        <f>IF(B1798="","",IF(ISNUMBER(SEARCH("CEO",C1798))+ISNUMBER(SEARCH("Founder",C1798))+ISNUMBER(SEARCH("Owner",C1798))+ISNUMBER(SEARCH("Dueño",C1798))+ISNUMBER(SEARCH("Director General",C1798))+ISNUMBER(SEARCH("Presidente",C1798))+ISNUMBER(SEARCH("President",C1798))&gt;0,'Configuración'!$B$31,IF(ISNUMBER(SEARCH("CMO",C1798))+ISNUMBER(SEARCH("Chief Marketing",C1798))+ISNUMBER(SEARCH("VP Marketing",C1798))+ISNUMBER(SEARCH("Director de Marketing",C1798))+ISNUMBER(SEARCH("Director Marketing",C1798))+ISNUMBER(SEARCH("Head of Marketing",C1798))+ISNUMBER(SEARCH("Head Marketing",C1798))&gt;0,'Configuración'!$B$32,IF(ISNUMBER(SEARCH("Marketing Manager",C1798))+ISNUMBER(SEARCH("Gerente de Marketing",C1798))+ISNUMBER(SEARCH("Growth Manager",C1798))+ISNUMBER(SEARCH("Demand Gen",C1798))+ISNUMBER(SEARCH("Marketing Lead",C1798))&gt;0,'Configuración'!$B$33,IF(ISNUMBER(SEARCH("COO",C1798))+ISNUMBER(SEARCH("CFO",C1798))+ISNUMBER(SEARCH("CTO",C1798))+ISNUMBER(SEARCH("Chief Operating",C1798))+ISNUMBER(SEARCH("Chief Financial",C1798))+ISNUMBER(SEARCH("Gerente General",C1798))+ISNUMBER(SEARCH("General Manager",C1798))&gt;0,'Configuración'!$B$34,'Configuración'!$B$35)))))</f>
        <v>12</v>
      </c>
      <c r="V1798" s="38">
        <f>IF(B1798="","",IF(K1798="Sí",'Configuración'!$B$5,0)+IF(L1798="Semanal",'Configuración'!$B$6,IF(L1798="Mensual",'Configuración'!$B$7,0))+IF(M1798="Sí",'Configuración'!$B$8,0)+IF(N1798="Sí",'Configuración'!$B$9,0)+IF(O1798="Sí",'Configuración'!$B$10,0)+IF(P1798="Sí",'Configuración'!$B$11,0)+IF(Q1798="Sí",'Configuración'!$B$12,0)+S1798+T1798+U1798)</f>
        <v>28</v>
      </c>
      <c r="W1798" s="39" t="str">
        <f>IF(B1798="","",IF(V1798&gt;='Configuración'!$B$19,"A",IF(V1798&gt;='Configuración'!$B$20,"B",IF(V1798&gt;='Configuración'!$B$21,"C","Descarte"))))</f>
        <v>C</v>
      </c>
    </row>
    <row r="1799" ht="15.75" customHeight="1">
      <c r="A1799" s="34">
        <f t="shared" si="1"/>
        <v>1797</v>
      </c>
      <c r="B1799" s="29" t="s">
        <v>351</v>
      </c>
      <c r="C1799" s="29" t="s">
        <v>1325</v>
      </c>
      <c r="D1799" s="29" t="s">
        <v>9981</v>
      </c>
      <c r="E1799" s="29" t="s">
        <v>9982</v>
      </c>
      <c r="F1799" s="30" t="s">
        <v>9983</v>
      </c>
      <c r="G1799" s="30" t="s">
        <v>9984</v>
      </c>
      <c r="H1799" s="42" t="s">
        <v>9985</v>
      </c>
      <c r="I1799" s="29" t="s">
        <v>350</v>
      </c>
      <c r="J1799" s="31">
        <v>15.0</v>
      </c>
      <c r="K1799" s="35"/>
      <c r="L1799" s="35"/>
      <c r="M1799" s="35"/>
      <c r="N1799" s="35"/>
      <c r="O1799" s="35"/>
      <c r="P1799" s="35"/>
      <c r="Q1799" s="35"/>
      <c r="R1799" s="35"/>
      <c r="S1799" s="37">
        <f>IF(B1799="","",IF(ISNUMBER(J1799),IF(J1799&lt;=10,'Configuración'!$B$23,IF(J1799&lt;=50,'Configuración'!$B$24,IF(J1799&lt;=200,'Configuración'!$B$25,0))),0))</f>
        <v>4</v>
      </c>
      <c r="T1799" s="37">
        <f>IF(B1799="","",IF(ISNUMBER(SEARCH("information technology",I1799))+ISNUMBER(SEARCH("software",I1799))+ISNUMBER(SEARCH("internet",I1799))+ISNUMBER(SEARCH("computer",I1799))+ISNUMBER(SEARCH("saas",I1799))+ISNUMBER(SEARCH("fintech",I1799))+ISNUMBER(SEARCH("information services",I1799))+ISNUMBER(SEARCH("telecommunications",I1799))&gt;0,'Configuración'!$B$27,'Configuración'!$B$28))</f>
        <v>4</v>
      </c>
      <c r="U1799" s="25">
        <f>IF(B1799="","",IF(ISNUMBER(SEARCH("CEO",C1799))+ISNUMBER(SEARCH("Founder",C1799))+ISNUMBER(SEARCH("Owner",C1799))+ISNUMBER(SEARCH("Dueño",C1799))+ISNUMBER(SEARCH("Director General",C1799))+ISNUMBER(SEARCH("Presidente",C1799))+ISNUMBER(SEARCH("President",C1799))&gt;0,'Configuración'!$B$31,IF(ISNUMBER(SEARCH("CMO",C1799))+ISNUMBER(SEARCH("Chief Marketing",C1799))+ISNUMBER(SEARCH("VP Marketing",C1799))+ISNUMBER(SEARCH("Director de Marketing",C1799))+ISNUMBER(SEARCH("Director Marketing",C1799))+ISNUMBER(SEARCH("Head of Marketing",C1799))+ISNUMBER(SEARCH("Head Marketing",C1799))&gt;0,'Configuración'!$B$32,IF(ISNUMBER(SEARCH("Marketing Manager",C1799))+ISNUMBER(SEARCH("Gerente de Marketing",C1799))+ISNUMBER(SEARCH("Growth Manager",C1799))+ISNUMBER(SEARCH("Demand Gen",C1799))+ISNUMBER(SEARCH("Marketing Lead",C1799))&gt;0,'Configuración'!$B$33,IF(ISNUMBER(SEARCH("COO",C1799))+ISNUMBER(SEARCH("CFO",C1799))+ISNUMBER(SEARCH("CTO",C1799))+ISNUMBER(SEARCH("Chief Operating",C1799))+ISNUMBER(SEARCH("Chief Financial",C1799))+ISNUMBER(SEARCH("Gerente General",C1799))+ISNUMBER(SEARCH("General Manager",C1799))&gt;0,'Configuración'!$B$34,'Configuración'!$B$35)))))</f>
        <v>12</v>
      </c>
      <c r="V1799" s="38">
        <f>IF(B1799="","",IF(K1799="Sí",'Configuración'!$B$5,0)+IF(L1799="Semanal",'Configuración'!$B$6,IF(L1799="Mensual",'Configuración'!$B$7,0))+IF(M1799="Sí",'Configuración'!$B$8,0)+IF(N1799="Sí",'Configuración'!$B$9,0)+IF(O1799="Sí",'Configuración'!$B$10,0)+IF(P1799="Sí",'Configuración'!$B$11,0)+IF(Q1799="Sí",'Configuración'!$B$12,0)+S1799+T1799+U1799)</f>
        <v>20</v>
      </c>
      <c r="W1799" s="39" t="str">
        <f>IF(B1799="","",IF(V1799&gt;='Configuración'!$B$19,"A",IF(V1799&gt;='Configuración'!$B$20,"B",IF(V1799&gt;='Configuración'!$B$21,"C","Descarte"))))</f>
        <v>Descarte</v>
      </c>
    </row>
    <row r="1800" ht="15.75" customHeight="1">
      <c r="A1800" s="34">
        <f t="shared" si="1"/>
        <v>1798</v>
      </c>
      <c r="B1800" s="29" t="s">
        <v>174</v>
      </c>
      <c r="C1800" s="29" t="s">
        <v>1221</v>
      </c>
      <c r="D1800" s="29" t="s">
        <v>263</v>
      </c>
      <c r="E1800" s="29" t="s">
        <v>9986</v>
      </c>
      <c r="F1800" s="30" t="s">
        <v>9987</v>
      </c>
      <c r="G1800" s="30" t="s">
        <v>266</v>
      </c>
      <c r="H1800" s="42" t="s">
        <v>267</v>
      </c>
      <c r="I1800" s="29" t="s">
        <v>127</v>
      </c>
      <c r="J1800" s="31">
        <v>26.0</v>
      </c>
      <c r="K1800" s="35"/>
      <c r="L1800" s="35"/>
      <c r="M1800" s="35"/>
      <c r="N1800" s="35"/>
      <c r="O1800" s="35"/>
      <c r="P1800" s="35"/>
      <c r="Q1800" s="35"/>
      <c r="R1800" s="35"/>
      <c r="S1800" s="37">
        <f>IF(B1800="","",IF(ISNUMBER(J1800),IF(J1800&lt;=10,'Configuración'!$B$23,IF(J1800&lt;=50,'Configuración'!$B$24,IF(J1800&lt;=200,'Configuración'!$B$25,0))),0))</f>
        <v>4</v>
      </c>
      <c r="T1800" s="37">
        <f>IF(B1800="","",IF(ISNUMBER(SEARCH("information technology",I1800))+ISNUMBER(SEARCH("software",I1800))+ISNUMBER(SEARCH("internet",I1800))+ISNUMBER(SEARCH("computer",I1800))+ISNUMBER(SEARCH("saas",I1800))+ISNUMBER(SEARCH("fintech",I1800))+ISNUMBER(SEARCH("information services",I1800))+ISNUMBER(SEARCH("telecommunications",I1800))&gt;0,'Configuración'!$B$27,'Configuración'!$B$28))</f>
        <v>12</v>
      </c>
      <c r="U1800" s="25">
        <f>IF(B1800="","",IF(ISNUMBER(SEARCH("CEO",C1800))+ISNUMBER(SEARCH("Founder",C1800))+ISNUMBER(SEARCH("Owner",C1800))+ISNUMBER(SEARCH("Dueño",C1800))+ISNUMBER(SEARCH("Director General",C1800))+ISNUMBER(SEARCH("Presidente",C1800))+ISNUMBER(SEARCH("President",C1800))&gt;0,'Configuración'!$B$31,IF(ISNUMBER(SEARCH("CMO",C1800))+ISNUMBER(SEARCH("Chief Marketing",C1800))+ISNUMBER(SEARCH("VP Marketing",C1800))+ISNUMBER(SEARCH("Director de Marketing",C1800))+ISNUMBER(SEARCH("Director Marketing",C1800))+ISNUMBER(SEARCH("Head of Marketing",C1800))+ISNUMBER(SEARCH("Head Marketing",C1800))&gt;0,'Configuración'!$B$32,IF(ISNUMBER(SEARCH("Marketing Manager",C1800))+ISNUMBER(SEARCH("Gerente de Marketing",C1800))+ISNUMBER(SEARCH("Growth Manager",C1800))+ISNUMBER(SEARCH("Demand Gen",C1800))+ISNUMBER(SEARCH("Marketing Lead",C1800))&gt;0,'Configuración'!$B$33,IF(ISNUMBER(SEARCH("COO",C1800))+ISNUMBER(SEARCH("CFO",C1800))+ISNUMBER(SEARCH("CTO",C1800))+ISNUMBER(SEARCH("Chief Operating",C1800))+ISNUMBER(SEARCH("Chief Financial",C1800))+ISNUMBER(SEARCH("Gerente General",C1800))+ISNUMBER(SEARCH("General Manager",C1800))&gt;0,'Configuración'!$B$34,'Configuración'!$B$35)))))</f>
        <v>0</v>
      </c>
      <c r="V1800" s="38">
        <f>IF(B1800="","",IF(K1800="Sí",'Configuración'!$B$5,0)+IF(L1800="Semanal",'Configuración'!$B$6,IF(L1800="Mensual",'Configuración'!$B$7,0))+IF(M1800="Sí",'Configuración'!$B$8,0)+IF(N1800="Sí",'Configuración'!$B$9,0)+IF(O1800="Sí",'Configuración'!$B$10,0)+IF(P1800="Sí",'Configuración'!$B$11,0)+IF(Q1800="Sí",'Configuración'!$B$12,0)+S1800+T1800+U1800)</f>
        <v>16</v>
      </c>
      <c r="W1800" s="39" t="str">
        <f>IF(B1800="","",IF(V1800&gt;='Configuración'!$B$19,"A",IF(V1800&gt;='Configuración'!$B$20,"B",IF(V1800&gt;='Configuración'!$B$21,"C","Descarte"))))</f>
        <v>Descarte</v>
      </c>
    </row>
    <row r="1801" ht="15.75" customHeight="1">
      <c r="A1801" s="34">
        <f t="shared" si="1"/>
        <v>1799</v>
      </c>
      <c r="B1801" s="29" t="s">
        <v>984</v>
      </c>
      <c r="C1801" s="29" t="s">
        <v>131</v>
      </c>
      <c r="D1801" s="29" t="s">
        <v>9988</v>
      </c>
      <c r="E1801" s="29" t="s">
        <v>9989</v>
      </c>
      <c r="F1801" s="30" t="s">
        <v>9990</v>
      </c>
      <c r="G1801" s="30" t="s">
        <v>9991</v>
      </c>
      <c r="H1801" s="42" t="s">
        <v>9992</v>
      </c>
      <c r="I1801" s="29" t="s">
        <v>127</v>
      </c>
      <c r="J1801" s="31">
        <v>5.0</v>
      </c>
      <c r="K1801" s="35"/>
      <c r="L1801" s="35"/>
      <c r="M1801" s="35"/>
      <c r="N1801" s="35"/>
      <c r="O1801" s="35"/>
      <c r="P1801" s="35"/>
      <c r="Q1801" s="35"/>
      <c r="R1801" s="35"/>
      <c r="S1801" s="37">
        <f>IF(B1801="","",IF(ISNUMBER(J1801),IF(J1801&lt;=10,'Configuración'!$B$23,IF(J1801&lt;=50,'Configuración'!$B$24,IF(J1801&lt;=200,'Configuración'!$B$25,0))),0))</f>
        <v>12</v>
      </c>
      <c r="T1801" s="37">
        <f>IF(B1801="","",IF(ISNUMBER(SEARCH("information technology",I1801))+ISNUMBER(SEARCH("software",I1801))+ISNUMBER(SEARCH("internet",I1801))+ISNUMBER(SEARCH("computer",I1801))+ISNUMBER(SEARCH("saas",I1801))+ISNUMBER(SEARCH("fintech",I1801))+ISNUMBER(SEARCH("information services",I1801))+ISNUMBER(SEARCH("telecommunications",I1801))&gt;0,'Configuración'!$B$27,'Configuración'!$B$28))</f>
        <v>12</v>
      </c>
      <c r="U1801" s="25">
        <f>IF(B1801="","",IF(ISNUMBER(SEARCH("CEO",C1801))+ISNUMBER(SEARCH("Founder",C1801))+ISNUMBER(SEARCH("Owner",C1801))+ISNUMBER(SEARCH("Dueño",C1801))+ISNUMBER(SEARCH("Director General",C1801))+ISNUMBER(SEARCH("Presidente",C1801))+ISNUMBER(SEARCH("President",C1801))&gt;0,'Configuración'!$B$31,IF(ISNUMBER(SEARCH("CMO",C1801))+ISNUMBER(SEARCH("Chief Marketing",C1801))+ISNUMBER(SEARCH("VP Marketing",C1801))+ISNUMBER(SEARCH("Director de Marketing",C1801))+ISNUMBER(SEARCH("Director Marketing",C1801))+ISNUMBER(SEARCH("Head of Marketing",C1801))+ISNUMBER(SEARCH("Head Marketing",C1801))&gt;0,'Configuración'!$B$32,IF(ISNUMBER(SEARCH("Marketing Manager",C1801))+ISNUMBER(SEARCH("Gerente de Marketing",C1801))+ISNUMBER(SEARCH("Growth Manager",C1801))+ISNUMBER(SEARCH("Demand Gen",C1801))+ISNUMBER(SEARCH("Marketing Lead",C1801))&gt;0,'Configuración'!$B$33,IF(ISNUMBER(SEARCH("COO",C1801))+ISNUMBER(SEARCH("CFO",C1801))+ISNUMBER(SEARCH("CTO",C1801))+ISNUMBER(SEARCH("Chief Operating",C1801))+ISNUMBER(SEARCH("Chief Financial",C1801))+ISNUMBER(SEARCH("Gerente General",C1801))+ISNUMBER(SEARCH("General Manager",C1801))&gt;0,'Configuración'!$B$34,'Configuración'!$B$35)))))</f>
        <v>12</v>
      </c>
      <c r="V1801" s="38">
        <f>IF(B1801="","",IF(K1801="Sí",'Configuración'!$B$5,0)+IF(L1801="Semanal",'Configuración'!$B$6,IF(L1801="Mensual",'Configuración'!$B$7,0))+IF(M1801="Sí",'Configuración'!$B$8,0)+IF(N1801="Sí",'Configuración'!$B$9,0)+IF(O1801="Sí",'Configuración'!$B$10,0)+IF(P1801="Sí",'Configuración'!$B$11,0)+IF(Q1801="Sí",'Configuración'!$B$12,0)+S1801+T1801+U1801)</f>
        <v>36</v>
      </c>
      <c r="W1801" s="39" t="str">
        <f>IF(B1801="","",IF(V1801&gt;='Configuración'!$B$19,"A",IF(V1801&gt;='Configuración'!$B$20,"B",IF(V1801&gt;='Configuración'!$B$21,"C","Descarte"))))</f>
        <v>C</v>
      </c>
    </row>
    <row r="1802" ht="15.75" customHeight="1">
      <c r="A1802" s="34">
        <f t="shared" si="1"/>
        <v>1800</v>
      </c>
      <c r="B1802" s="29" t="s">
        <v>536</v>
      </c>
      <c r="C1802" s="29" t="s">
        <v>131</v>
      </c>
      <c r="D1802" s="29" t="s">
        <v>9993</v>
      </c>
      <c r="E1802" s="29" t="s">
        <v>9994</v>
      </c>
      <c r="F1802" s="30" t="s">
        <v>9995</v>
      </c>
      <c r="G1802" s="30" t="s">
        <v>9996</v>
      </c>
      <c r="H1802" s="42" t="s">
        <v>9997</v>
      </c>
      <c r="I1802" s="29" t="s">
        <v>188</v>
      </c>
      <c r="J1802" s="31">
        <v>2.0</v>
      </c>
      <c r="K1802" s="35"/>
      <c r="L1802" s="35"/>
      <c r="M1802" s="35"/>
      <c r="N1802" s="35"/>
      <c r="O1802" s="35"/>
      <c r="P1802" s="35"/>
      <c r="Q1802" s="35"/>
      <c r="R1802" s="35"/>
      <c r="S1802" s="37">
        <f>IF(B1802="","",IF(ISNUMBER(J1802),IF(J1802&lt;=10,'Configuración'!$B$23,IF(J1802&lt;=50,'Configuración'!$B$24,IF(J1802&lt;=200,'Configuración'!$B$25,0))),0))</f>
        <v>12</v>
      </c>
      <c r="T1802" s="37">
        <f>IF(B1802="","",IF(ISNUMBER(SEARCH("information technology",I1802))+ISNUMBER(SEARCH("software",I1802))+ISNUMBER(SEARCH("internet",I1802))+ISNUMBER(SEARCH("computer",I1802))+ISNUMBER(SEARCH("saas",I1802))+ISNUMBER(SEARCH("fintech",I1802))+ISNUMBER(SEARCH("information services",I1802))+ISNUMBER(SEARCH("telecommunications",I1802))&gt;0,'Configuración'!$B$27,'Configuración'!$B$28))</f>
        <v>4</v>
      </c>
      <c r="U1802" s="25">
        <f>IF(B1802="","",IF(ISNUMBER(SEARCH("CEO",C1802))+ISNUMBER(SEARCH("Founder",C1802))+ISNUMBER(SEARCH("Owner",C1802))+ISNUMBER(SEARCH("Dueño",C1802))+ISNUMBER(SEARCH("Director General",C1802))+ISNUMBER(SEARCH("Presidente",C1802))+ISNUMBER(SEARCH("President",C1802))&gt;0,'Configuración'!$B$31,IF(ISNUMBER(SEARCH("CMO",C1802))+ISNUMBER(SEARCH("Chief Marketing",C1802))+ISNUMBER(SEARCH("VP Marketing",C1802))+ISNUMBER(SEARCH("Director de Marketing",C1802))+ISNUMBER(SEARCH("Director Marketing",C1802))+ISNUMBER(SEARCH("Head of Marketing",C1802))+ISNUMBER(SEARCH("Head Marketing",C1802))&gt;0,'Configuración'!$B$32,IF(ISNUMBER(SEARCH("Marketing Manager",C1802))+ISNUMBER(SEARCH("Gerente de Marketing",C1802))+ISNUMBER(SEARCH("Growth Manager",C1802))+ISNUMBER(SEARCH("Demand Gen",C1802))+ISNUMBER(SEARCH("Marketing Lead",C1802))&gt;0,'Configuración'!$B$33,IF(ISNUMBER(SEARCH("COO",C1802))+ISNUMBER(SEARCH("CFO",C1802))+ISNUMBER(SEARCH("CTO",C1802))+ISNUMBER(SEARCH("Chief Operating",C1802))+ISNUMBER(SEARCH("Chief Financial",C1802))+ISNUMBER(SEARCH("Gerente General",C1802))+ISNUMBER(SEARCH("General Manager",C1802))&gt;0,'Configuración'!$B$34,'Configuración'!$B$35)))))</f>
        <v>12</v>
      </c>
      <c r="V1802" s="38">
        <f>IF(B1802="","",IF(K1802="Sí",'Configuración'!$B$5,0)+IF(L1802="Semanal",'Configuración'!$B$6,IF(L1802="Mensual",'Configuración'!$B$7,0))+IF(M1802="Sí",'Configuración'!$B$8,0)+IF(N1802="Sí",'Configuración'!$B$9,0)+IF(O1802="Sí",'Configuración'!$B$10,0)+IF(P1802="Sí",'Configuración'!$B$11,0)+IF(Q1802="Sí",'Configuración'!$B$12,0)+S1802+T1802+U1802)</f>
        <v>28</v>
      </c>
      <c r="W1802" s="39" t="str">
        <f>IF(B1802="","",IF(V1802&gt;='Configuración'!$B$19,"A",IF(V1802&gt;='Configuración'!$B$20,"B",IF(V1802&gt;='Configuración'!$B$21,"C","Descarte"))))</f>
        <v>C</v>
      </c>
    </row>
    <row r="1803" ht="15.75" customHeight="1">
      <c r="A1803" s="34">
        <f t="shared" si="1"/>
        <v>1801</v>
      </c>
      <c r="B1803" s="29" t="s">
        <v>1072</v>
      </c>
      <c r="C1803" s="29" t="s">
        <v>175</v>
      </c>
      <c r="D1803" s="29" t="s">
        <v>9998</v>
      </c>
      <c r="E1803" s="29" t="s">
        <v>9999</v>
      </c>
      <c r="F1803" s="30" t="s">
        <v>10000</v>
      </c>
      <c r="G1803" s="30" t="s">
        <v>10001</v>
      </c>
      <c r="H1803" s="42" t="s">
        <v>10002</v>
      </c>
      <c r="I1803" s="29" t="s">
        <v>659</v>
      </c>
      <c r="J1803" s="31">
        <v>14.0</v>
      </c>
      <c r="K1803" s="35"/>
      <c r="L1803" s="35"/>
      <c r="M1803" s="35"/>
      <c r="N1803" s="35"/>
      <c r="O1803" s="35"/>
      <c r="P1803" s="35"/>
      <c r="Q1803" s="35"/>
      <c r="R1803" s="35"/>
      <c r="S1803" s="37">
        <f>IF(B1803="","",IF(ISNUMBER(J1803),IF(J1803&lt;=10,'Configuración'!$B$23,IF(J1803&lt;=50,'Configuración'!$B$24,IF(J1803&lt;=200,'Configuración'!$B$25,0))),0))</f>
        <v>4</v>
      </c>
      <c r="T1803" s="37">
        <f>IF(B1803="","",IF(ISNUMBER(SEARCH("information technology",I1803))+ISNUMBER(SEARCH("software",I1803))+ISNUMBER(SEARCH("internet",I1803))+ISNUMBER(SEARCH("computer",I1803))+ISNUMBER(SEARCH("saas",I1803))+ISNUMBER(SEARCH("fintech",I1803))+ISNUMBER(SEARCH("information services",I1803))+ISNUMBER(SEARCH("telecommunications",I1803))&gt;0,'Configuración'!$B$27,'Configuración'!$B$28))</f>
        <v>4</v>
      </c>
      <c r="U1803" s="25">
        <f>IF(B1803="","",IF(ISNUMBER(SEARCH("CEO",C1803))+ISNUMBER(SEARCH("Founder",C1803))+ISNUMBER(SEARCH("Owner",C1803))+ISNUMBER(SEARCH("Dueño",C1803))+ISNUMBER(SEARCH("Director General",C1803))+ISNUMBER(SEARCH("Presidente",C1803))+ISNUMBER(SEARCH("President",C1803))&gt;0,'Configuración'!$B$31,IF(ISNUMBER(SEARCH("CMO",C1803))+ISNUMBER(SEARCH("Chief Marketing",C1803))+ISNUMBER(SEARCH("VP Marketing",C1803))+ISNUMBER(SEARCH("Director de Marketing",C1803))+ISNUMBER(SEARCH("Director Marketing",C1803))+ISNUMBER(SEARCH("Head of Marketing",C1803))+ISNUMBER(SEARCH("Head Marketing",C1803))&gt;0,'Configuración'!$B$32,IF(ISNUMBER(SEARCH("Marketing Manager",C1803))+ISNUMBER(SEARCH("Gerente de Marketing",C1803))+ISNUMBER(SEARCH("Growth Manager",C1803))+ISNUMBER(SEARCH("Demand Gen",C1803))+ISNUMBER(SEARCH("Marketing Lead",C1803))&gt;0,'Configuración'!$B$33,IF(ISNUMBER(SEARCH("COO",C1803))+ISNUMBER(SEARCH("CFO",C1803))+ISNUMBER(SEARCH("CTO",C1803))+ISNUMBER(SEARCH("Chief Operating",C1803))+ISNUMBER(SEARCH("Chief Financial",C1803))+ISNUMBER(SEARCH("Gerente General",C1803))+ISNUMBER(SEARCH("General Manager",C1803))&gt;0,'Configuración'!$B$34,'Configuración'!$B$35)))))</f>
        <v>12</v>
      </c>
      <c r="V1803" s="38">
        <f>IF(B1803="","",IF(K1803="Sí",'Configuración'!$B$5,0)+IF(L1803="Semanal",'Configuración'!$B$6,IF(L1803="Mensual",'Configuración'!$B$7,0))+IF(M1803="Sí",'Configuración'!$B$8,0)+IF(N1803="Sí",'Configuración'!$B$9,0)+IF(O1803="Sí",'Configuración'!$B$10,0)+IF(P1803="Sí",'Configuración'!$B$11,0)+IF(Q1803="Sí",'Configuración'!$B$12,0)+S1803+T1803+U1803)</f>
        <v>20</v>
      </c>
      <c r="W1803" s="39" t="str">
        <f>IF(B1803="","",IF(V1803&gt;='Configuración'!$B$19,"A",IF(V1803&gt;='Configuración'!$B$20,"B",IF(V1803&gt;='Configuración'!$B$21,"C","Descarte"))))</f>
        <v>Descarte</v>
      </c>
    </row>
    <row r="1804" ht="15.75" customHeight="1">
      <c r="A1804" s="34">
        <f t="shared" si="1"/>
        <v>1802</v>
      </c>
      <c r="B1804" s="29" t="s">
        <v>1103</v>
      </c>
      <c r="C1804" s="29" t="s">
        <v>202</v>
      </c>
      <c r="D1804" s="29" t="s">
        <v>10003</v>
      </c>
      <c r="E1804" s="29" t="s">
        <v>10004</v>
      </c>
      <c r="F1804" s="30" t="s">
        <v>10005</v>
      </c>
      <c r="G1804" s="30" t="s">
        <v>10006</v>
      </c>
      <c r="H1804" s="42" t="s">
        <v>10007</v>
      </c>
      <c r="I1804" s="29" t="s">
        <v>188</v>
      </c>
      <c r="J1804" s="31">
        <v>2.0</v>
      </c>
      <c r="K1804" s="35"/>
      <c r="L1804" s="35"/>
      <c r="M1804" s="35"/>
      <c r="N1804" s="35"/>
      <c r="O1804" s="35"/>
      <c r="P1804" s="35"/>
      <c r="Q1804" s="35"/>
      <c r="R1804" s="35"/>
      <c r="S1804" s="37">
        <f>IF(B1804="","",IF(ISNUMBER(J1804),IF(J1804&lt;=10,'Configuración'!$B$23,IF(J1804&lt;=50,'Configuración'!$B$24,IF(J1804&lt;=200,'Configuración'!$B$25,0))),0))</f>
        <v>12</v>
      </c>
      <c r="T1804" s="37">
        <f>IF(B1804="","",IF(ISNUMBER(SEARCH("information technology",I1804))+ISNUMBER(SEARCH("software",I1804))+ISNUMBER(SEARCH("internet",I1804))+ISNUMBER(SEARCH("computer",I1804))+ISNUMBER(SEARCH("saas",I1804))+ISNUMBER(SEARCH("fintech",I1804))+ISNUMBER(SEARCH("information services",I1804))+ISNUMBER(SEARCH("telecommunications",I1804))&gt;0,'Configuración'!$B$27,'Configuración'!$B$28))</f>
        <v>4</v>
      </c>
      <c r="U1804" s="25">
        <f>IF(B1804="","",IF(ISNUMBER(SEARCH("CEO",C1804))+ISNUMBER(SEARCH("Founder",C1804))+ISNUMBER(SEARCH("Owner",C1804))+ISNUMBER(SEARCH("Dueño",C1804))+ISNUMBER(SEARCH("Director General",C1804))+ISNUMBER(SEARCH("Presidente",C1804))+ISNUMBER(SEARCH("President",C1804))&gt;0,'Configuración'!$B$31,IF(ISNUMBER(SEARCH("CMO",C1804))+ISNUMBER(SEARCH("Chief Marketing",C1804))+ISNUMBER(SEARCH("VP Marketing",C1804))+ISNUMBER(SEARCH("Director de Marketing",C1804))+ISNUMBER(SEARCH("Director Marketing",C1804))+ISNUMBER(SEARCH("Head of Marketing",C1804))+ISNUMBER(SEARCH("Head Marketing",C1804))&gt;0,'Configuración'!$B$32,IF(ISNUMBER(SEARCH("Marketing Manager",C1804))+ISNUMBER(SEARCH("Gerente de Marketing",C1804))+ISNUMBER(SEARCH("Growth Manager",C1804))+ISNUMBER(SEARCH("Demand Gen",C1804))+ISNUMBER(SEARCH("Marketing Lead",C1804))&gt;0,'Configuración'!$B$33,IF(ISNUMBER(SEARCH("COO",C1804))+ISNUMBER(SEARCH("CFO",C1804))+ISNUMBER(SEARCH("CTO",C1804))+ISNUMBER(SEARCH("Chief Operating",C1804))+ISNUMBER(SEARCH("Chief Financial",C1804))+ISNUMBER(SEARCH("Gerente General",C1804))+ISNUMBER(SEARCH("General Manager",C1804))&gt;0,'Configuración'!$B$34,'Configuración'!$B$35)))))</f>
        <v>12</v>
      </c>
      <c r="V1804" s="38">
        <f>IF(B1804="","",IF(K1804="Sí",'Configuración'!$B$5,0)+IF(L1804="Semanal",'Configuración'!$B$6,IF(L1804="Mensual",'Configuración'!$B$7,0))+IF(M1804="Sí",'Configuración'!$B$8,0)+IF(N1804="Sí",'Configuración'!$B$9,0)+IF(O1804="Sí",'Configuración'!$B$10,0)+IF(P1804="Sí",'Configuración'!$B$11,0)+IF(Q1804="Sí",'Configuración'!$B$12,0)+S1804+T1804+U1804)</f>
        <v>28</v>
      </c>
      <c r="W1804" s="39" t="str">
        <f>IF(B1804="","",IF(V1804&gt;='Configuración'!$B$19,"A",IF(V1804&gt;='Configuración'!$B$20,"B",IF(V1804&gt;='Configuración'!$B$21,"C","Descarte"))))</f>
        <v>C</v>
      </c>
    </row>
    <row r="1805" ht="15.75" customHeight="1">
      <c r="A1805" s="34">
        <f t="shared" si="1"/>
        <v>1803</v>
      </c>
      <c r="B1805" s="29" t="s">
        <v>1534</v>
      </c>
      <c r="C1805" s="29" t="s">
        <v>10008</v>
      </c>
      <c r="D1805" s="29" t="s">
        <v>10009</v>
      </c>
      <c r="E1805" s="29" t="s">
        <v>10010</v>
      </c>
      <c r="F1805" s="30" t="s">
        <v>10011</v>
      </c>
      <c r="G1805" s="30" t="s">
        <v>10012</v>
      </c>
      <c r="H1805" s="42" t="s">
        <v>10013</v>
      </c>
      <c r="I1805" s="29" t="s">
        <v>659</v>
      </c>
      <c r="J1805" s="31">
        <v>2.0</v>
      </c>
      <c r="K1805" s="35"/>
      <c r="L1805" s="35"/>
      <c r="M1805" s="35"/>
      <c r="N1805" s="35"/>
      <c r="O1805" s="35"/>
      <c r="P1805" s="35"/>
      <c r="Q1805" s="35"/>
      <c r="R1805" s="35"/>
      <c r="S1805" s="37">
        <f>IF(B1805="","",IF(ISNUMBER(J1805),IF(J1805&lt;=10,'Configuración'!$B$23,IF(J1805&lt;=50,'Configuración'!$B$24,IF(J1805&lt;=200,'Configuración'!$B$25,0))),0))</f>
        <v>12</v>
      </c>
      <c r="T1805" s="37">
        <f>IF(B1805="","",IF(ISNUMBER(SEARCH("information technology",I1805))+ISNUMBER(SEARCH("software",I1805))+ISNUMBER(SEARCH("internet",I1805))+ISNUMBER(SEARCH("computer",I1805))+ISNUMBER(SEARCH("saas",I1805))+ISNUMBER(SEARCH("fintech",I1805))+ISNUMBER(SEARCH("information services",I1805))+ISNUMBER(SEARCH("telecommunications",I1805))&gt;0,'Configuración'!$B$27,'Configuración'!$B$28))</f>
        <v>4</v>
      </c>
      <c r="U1805" s="25">
        <f>IF(B1805="","",IF(ISNUMBER(SEARCH("CEO",C1805))+ISNUMBER(SEARCH("Founder",C1805))+ISNUMBER(SEARCH("Owner",C1805))+ISNUMBER(SEARCH("Dueño",C1805))+ISNUMBER(SEARCH("Director General",C1805))+ISNUMBER(SEARCH("Presidente",C1805))+ISNUMBER(SEARCH("President",C1805))&gt;0,'Configuración'!$B$31,IF(ISNUMBER(SEARCH("CMO",C1805))+ISNUMBER(SEARCH("Chief Marketing",C1805))+ISNUMBER(SEARCH("VP Marketing",C1805))+ISNUMBER(SEARCH("Director de Marketing",C1805))+ISNUMBER(SEARCH("Director Marketing",C1805))+ISNUMBER(SEARCH("Head of Marketing",C1805))+ISNUMBER(SEARCH("Head Marketing",C1805))&gt;0,'Configuración'!$B$32,IF(ISNUMBER(SEARCH("Marketing Manager",C1805))+ISNUMBER(SEARCH("Gerente de Marketing",C1805))+ISNUMBER(SEARCH("Growth Manager",C1805))+ISNUMBER(SEARCH("Demand Gen",C1805))+ISNUMBER(SEARCH("Marketing Lead",C1805))&gt;0,'Configuración'!$B$33,IF(ISNUMBER(SEARCH("COO",C1805))+ISNUMBER(SEARCH("CFO",C1805))+ISNUMBER(SEARCH("CTO",C1805))+ISNUMBER(SEARCH("Chief Operating",C1805))+ISNUMBER(SEARCH("Chief Financial",C1805))+ISNUMBER(SEARCH("Gerente General",C1805))+ISNUMBER(SEARCH("General Manager",C1805))&gt;0,'Configuración'!$B$34,'Configuración'!$B$35)))))</f>
        <v>12</v>
      </c>
      <c r="V1805" s="38">
        <f>IF(B1805="","",IF(K1805="Sí",'Configuración'!$B$5,0)+IF(L1805="Semanal",'Configuración'!$B$6,IF(L1805="Mensual",'Configuración'!$B$7,0))+IF(M1805="Sí",'Configuración'!$B$8,0)+IF(N1805="Sí",'Configuración'!$B$9,0)+IF(O1805="Sí",'Configuración'!$B$10,0)+IF(P1805="Sí",'Configuración'!$B$11,0)+IF(Q1805="Sí",'Configuración'!$B$12,0)+S1805+T1805+U1805)</f>
        <v>28</v>
      </c>
      <c r="W1805" s="39" t="str">
        <f>IF(B1805="","",IF(V1805&gt;='Configuración'!$B$19,"A",IF(V1805&gt;='Configuración'!$B$20,"B",IF(V1805&gt;='Configuración'!$B$21,"C","Descarte"))))</f>
        <v>C</v>
      </c>
    </row>
    <row r="1806" ht="15.75" customHeight="1">
      <c r="A1806" s="34">
        <f t="shared" si="1"/>
        <v>1804</v>
      </c>
      <c r="B1806" s="29" t="s">
        <v>6047</v>
      </c>
      <c r="C1806" s="29" t="s">
        <v>202</v>
      </c>
      <c r="D1806" s="40" t="s">
        <v>2026</v>
      </c>
      <c r="E1806" s="29" t="s">
        <v>10014</v>
      </c>
      <c r="F1806" s="30" t="s">
        <v>10015</v>
      </c>
      <c r="G1806" s="30" t="s">
        <v>2029</v>
      </c>
      <c r="H1806" s="42" t="s">
        <v>2030</v>
      </c>
      <c r="I1806" s="29" t="s">
        <v>2031</v>
      </c>
      <c r="J1806" s="31">
        <v>5.0</v>
      </c>
      <c r="K1806" s="35"/>
      <c r="L1806" s="35"/>
      <c r="M1806" s="35"/>
      <c r="N1806" s="35"/>
      <c r="O1806" s="35"/>
      <c r="P1806" s="35"/>
      <c r="Q1806" s="35"/>
      <c r="R1806" s="35"/>
      <c r="S1806" s="37">
        <f>IF(B1806="","",IF(ISNUMBER(J1806),IF(J1806&lt;=10,'Configuración'!$B$23,IF(J1806&lt;=50,'Configuración'!$B$24,IF(J1806&lt;=200,'Configuración'!$B$25,0))),0))</f>
        <v>12</v>
      </c>
      <c r="T1806" s="37">
        <f>IF(B1806="","",IF(ISNUMBER(SEARCH("information technology",I1806))+ISNUMBER(SEARCH("software",I1806))+ISNUMBER(SEARCH("internet",I1806))+ISNUMBER(SEARCH("computer",I1806))+ISNUMBER(SEARCH("saas",I1806))+ISNUMBER(SEARCH("fintech",I1806))+ISNUMBER(SEARCH("information services",I1806))+ISNUMBER(SEARCH("telecommunications",I1806))&gt;0,'Configuración'!$B$27,'Configuración'!$B$28))</f>
        <v>4</v>
      </c>
      <c r="U1806" s="25">
        <f>IF(B1806="","",IF(ISNUMBER(SEARCH("CEO",C1806))+ISNUMBER(SEARCH("Founder",C1806))+ISNUMBER(SEARCH("Owner",C1806))+ISNUMBER(SEARCH("Dueño",C1806))+ISNUMBER(SEARCH("Director General",C1806))+ISNUMBER(SEARCH("Presidente",C1806))+ISNUMBER(SEARCH("President",C1806))&gt;0,'Configuración'!$B$31,IF(ISNUMBER(SEARCH("CMO",C1806))+ISNUMBER(SEARCH("Chief Marketing",C1806))+ISNUMBER(SEARCH("VP Marketing",C1806))+ISNUMBER(SEARCH("Director de Marketing",C1806))+ISNUMBER(SEARCH("Director Marketing",C1806))+ISNUMBER(SEARCH("Head of Marketing",C1806))+ISNUMBER(SEARCH("Head Marketing",C1806))&gt;0,'Configuración'!$B$32,IF(ISNUMBER(SEARCH("Marketing Manager",C1806))+ISNUMBER(SEARCH("Gerente de Marketing",C1806))+ISNUMBER(SEARCH("Growth Manager",C1806))+ISNUMBER(SEARCH("Demand Gen",C1806))+ISNUMBER(SEARCH("Marketing Lead",C1806))&gt;0,'Configuración'!$B$33,IF(ISNUMBER(SEARCH("COO",C1806))+ISNUMBER(SEARCH("CFO",C1806))+ISNUMBER(SEARCH("CTO",C1806))+ISNUMBER(SEARCH("Chief Operating",C1806))+ISNUMBER(SEARCH("Chief Financial",C1806))+ISNUMBER(SEARCH("Gerente General",C1806))+ISNUMBER(SEARCH("General Manager",C1806))&gt;0,'Configuración'!$B$34,'Configuración'!$B$35)))))</f>
        <v>12</v>
      </c>
      <c r="V1806" s="38">
        <f>IF(B1806="","",IF(K1806="Sí",'Configuración'!$B$5,0)+IF(L1806="Semanal",'Configuración'!$B$6,IF(L1806="Mensual",'Configuración'!$B$7,0))+IF(M1806="Sí",'Configuración'!$B$8,0)+IF(N1806="Sí",'Configuración'!$B$9,0)+IF(O1806="Sí",'Configuración'!$B$10,0)+IF(P1806="Sí",'Configuración'!$B$11,0)+IF(Q1806="Sí",'Configuración'!$B$12,0)+S1806+T1806+U1806)</f>
        <v>28</v>
      </c>
      <c r="W1806" s="39" t="str">
        <f>IF(B1806="","",IF(V1806&gt;='Configuración'!$B$19,"A",IF(V1806&gt;='Configuración'!$B$20,"B",IF(V1806&gt;='Configuración'!$B$21,"C","Descarte"))))</f>
        <v>C</v>
      </c>
    </row>
    <row r="1807" ht="15.75" customHeight="1">
      <c r="A1807" s="34">
        <f t="shared" si="1"/>
        <v>1805</v>
      </c>
      <c r="B1807" s="29" t="s">
        <v>10016</v>
      </c>
      <c r="C1807" s="29" t="s">
        <v>763</v>
      </c>
      <c r="D1807" s="30" t="s">
        <v>10017</v>
      </c>
      <c r="E1807" s="29" t="s">
        <v>10018</v>
      </c>
      <c r="F1807" s="30" t="s">
        <v>10019</v>
      </c>
      <c r="G1807" s="30" t="s">
        <v>10020</v>
      </c>
      <c r="H1807" s="42" t="s">
        <v>10021</v>
      </c>
      <c r="I1807" s="29" t="s">
        <v>116</v>
      </c>
      <c r="J1807" s="31">
        <v>1.0</v>
      </c>
      <c r="K1807" s="35"/>
      <c r="L1807" s="35"/>
      <c r="M1807" s="35"/>
      <c r="N1807" s="35"/>
      <c r="O1807" s="35"/>
      <c r="P1807" s="35"/>
      <c r="Q1807" s="35"/>
      <c r="R1807" s="35"/>
      <c r="S1807" s="37">
        <f>IF(B1807="","",IF(ISNUMBER(J1807),IF(J1807&lt;=10,'Configuración'!$B$23,IF(J1807&lt;=50,'Configuración'!$B$24,IF(J1807&lt;=200,'Configuración'!$B$25,0))),0))</f>
        <v>12</v>
      </c>
      <c r="T1807" s="37">
        <f>IF(B1807="","",IF(ISNUMBER(SEARCH("information technology",I1807))+ISNUMBER(SEARCH("software",I1807))+ISNUMBER(SEARCH("internet",I1807))+ISNUMBER(SEARCH("computer",I1807))+ISNUMBER(SEARCH("saas",I1807))+ISNUMBER(SEARCH("fintech",I1807))+ISNUMBER(SEARCH("information services",I1807))+ISNUMBER(SEARCH("telecommunications",I1807))&gt;0,'Configuración'!$B$27,'Configuración'!$B$28))</f>
        <v>4</v>
      </c>
      <c r="U1807" s="25">
        <f>IF(B1807="","",IF(ISNUMBER(SEARCH("CEO",C1807))+ISNUMBER(SEARCH("Founder",C1807))+ISNUMBER(SEARCH("Owner",C1807))+ISNUMBER(SEARCH("Dueño",C1807))+ISNUMBER(SEARCH("Director General",C1807))+ISNUMBER(SEARCH("Presidente",C1807))+ISNUMBER(SEARCH("President",C1807))&gt;0,'Configuración'!$B$31,IF(ISNUMBER(SEARCH("CMO",C1807))+ISNUMBER(SEARCH("Chief Marketing",C1807))+ISNUMBER(SEARCH("VP Marketing",C1807))+ISNUMBER(SEARCH("Director de Marketing",C1807))+ISNUMBER(SEARCH("Director Marketing",C1807))+ISNUMBER(SEARCH("Head of Marketing",C1807))+ISNUMBER(SEARCH("Head Marketing",C1807))&gt;0,'Configuración'!$B$32,IF(ISNUMBER(SEARCH("Marketing Manager",C1807))+ISNUMBER(SEARCH("Gerente de Marketing",C1807))+ISNUMBER(SEARCH("Growth Manager",C1807))+ISNUMBER(SEARCH("Demand Gen",C1807))+ISNUMBER(SEARCH("Marketing Lead",C1807))&gt;0,'Configuración'!$B$33,IF(ISNUMBER(SEARCH("COO",C1807))+ISNUMBER(SEARCH("CFO",C1807))+ISNUMBER(SEARCH("CTO",C1807))+ISNUMBER(SEARCH("Chief Operating",C1807))+ISNUMBER(SEARCH("Chief Financial",C1807))+ISNUMBER(SEARCH("Gerente General",C1807))+ISNUMBER(SEARCH("General Manager",C1807))&gt;0,'Configuración'!$B$34,'Configuración'!$B$35)))))</f>
        <v>12</v>
      </c>
      <c r="V1807" s="38">
        <f>IF(B1807="","",IF(K1807="Sí",'Configuración'!$B$5,0)+IF(L1807="Semanal",'Configuración'!$B$6,IF(L1807="Mensual",'Configuración'!$B$7,0))+IF(M1807="Sí",'Configuración'!$B$8,0)+IF(N1807="Sí",'Configuración'!$B$9,0)+IF(O1807="Sí",'Configuración'!$B$10,0)+IF(P1807="Sí",'Configuración'!$B$11,0)+IF(Q1807="Sí",'Configuración'!$B$12,0)+S1807+T1807+U1807)</f>
        <v>28</v>
      </c>
      <c r="W1807" s="39" t="str">
        <f>IF(B1807="","",IF(V1807&gt;='Configuración'!$B$19,"A",IF(V1807&gt;='Configuración'!$B$20,"B",IF(V1807&gt;='Configuración'!$B$21,"C","Descarte"))))</f>
        <v>C</v>
      </c>
    </row>
    <row r="1808" ht="15.75" customHeight="1">
      <c r="A1808" s="34">
        <f t="shared" si="1"/>
        <v>1806</v>
      </c>
      <c r="B1808" s="29" t="s">
        <v>1103</v>
      </c>
      <c r="C1808" s="29" t="s">
        <v>494</v>
      </c>
      <c r="D1808" s="29" t="s">
        <v>10022</v>
      </c>
      <c r="E1808" s="29" t="s">
        <v>10023</v>
      </c>
      <c r="F1808" s="30" t="s">
        <v>10024</v>
      </c>
      <c r="G1808" s="30" t="s">
        <v>10025</v>
      </c>
      <c r="H1808" s="42" t="s">
        <v>10026</v>
      </c>
      <c r="I1808" s="29" t="s">
        <v>127</v>
      </c>
      <c r="J1808" s="31">
        <v>26.0</v>
      </c>
      <c r="K1808" s="35"/>
      <c r="L1808" s="35"/>
      <c r="M1808" s="35"/>
      <c r="N1808" s="35"/>
      <c r="O1808" s="35"/>
      <c r="P1808" s="35"/>
      <c r="Q1808" s="35"/>
      <c r="R1808" s="35"/>
      <c r="S1808" s="37">
        <f>IF(B1808="","",IF(ISNUMBER(J1808),IF(J1808&lt;=10,'Configuración'!$B$23,IF(J1808&lt;=50,'Configuración'!$B$24,IF(J1808&lt;=200,'Configuración'!$B$25,0))),0))</f>
        <v>4</v>
      </c>
      <c r="T1808" s="37">
        <f>IF(B1808="","",IF(ISNUMBER(SEARCH("information technology",I1808))+ISNUMBER(SEARCH("software",I1808))+ISNUMBER(SEARCH("internet",I1808))+ISNUMBER(SEARCH("computer",I1808))+ISNUMBER(SEARCH("saas",I1808))+ISNUMBER(SEARCH("fintech",I1808))+ISNUMBER(SEARCH("information services",I1808))+ISNUMBER(SEARCH("telecommunications",I1808))&gt;0,'Configuración'!$B$27,'Configuración'!$B$28))</f>
        <v>12</v>
      </c>
      <c r="U1808" s="25">
        <f>IF(B1808="","",IF(ISNUMBER(SEARCH("CEO",C1808))+ISNUMBER(SEARCH("Founder",C1808))+ISNUMBER(SEARCH("Owner",C1808))+ISNUMBER(SEARCH("Dueño",C1808))+ISNUMBER(SEARCH("Director General",C1808))+ISNUMBER(SEARCH("Presidente",C1808))+ISNUMBER(SEARCH("President",C1808))&gt;0,'Configuración'!$B$31,IF(ISNUMBER(SEARCH("CMO",C1808))+ISNUMBER(SEARCH("Chief Marketing",C1808))+ISNUMBER(SEARCH("VP Marketing",C1808))+ISNUMBER(SEARCH("Director de Marketing",C1808))+ISNUMBER(SEARCH("Director Marketing",C1808))+ISNUMBER(SEARCH("Head of Marketing",C1808))+ISNUMBER(SEARCH("Head Marketing",C1808))&gt;0,'Configuración'!$B$32,IF(ISNUMBER(SEARCH("Marketing Manager",C1808))+ISNUMBER(SEARCH("Gerente de Marketing",C1808))+ISNUMBER(SEARCH("Growth Manager",C1808))+ISNUMBER(SEARCH("Demand Gen",C1808))+ISNUMBER(SEARCH("Marketing Lead",C1808))&gt;0,'Configuración'!$B$33,IF(ISNUMBER(SEARCH("COO",C1808))+ISNUMBER(SEARCH("CFO",C1808))+ISNUMBER(SEARCH("CTO",C1808))+ISNUMBER(SEARCH("Chief Operating",C1808))+ISNUMBER(SEARCH("Chief Financial",C1808))+ISNUMBER(SEARCH("Gerente General",C1808))+ISNUMBER(SEARCH("General Manager",C1808))&gt;0,'Configuración'!$B$34,'Configuración'!$B$35)))))</f>
        <v>4</v>
      </c>
      <c r="V1808" s="38">
        <f>IF(B1808="","",IF(K1808="Sí",'Configuración'!$B$5,0)+IF(L1808="Semanal",'Configuración'!$B$6,IF(L1808="Mensual",'Configuración'!$B$7,0))+IF(M1808="Sí",'Configuración'!$B$8,0)+IF(N1808="Sí",'Configuración'!$B$9,0)+IF(O1808="Sí",'Configuración'!$B$10,0)+IF(P1808="Sí",'Configuración'!$B$11,0)+IF(Q1808="Sí",'Configuración'!$B$12,0)+S1808+T1808+U1808)</f>
        <v>20</v>
      </c>
      <c r="W1808" s="39" t="str">
        <f>IF(B1808="","",IF(V1808&gt;='Configuración'!$B$19,"A",IF(V1808&gt;='Configuración'!$B$20,"B",IF(V1808&gt;='Configuración'!$B$21,"C","Descarte"))))</f>
        <v>Descarte</v>
      </c>
    </row>
    <row r="1809" ht="15.75" customHeight="1">
      <c r="A1809" s="34">
        <f t="shared" si="1"/>
        <v>1807</v>
      </c>
      <c r="B1809" s="29" t="s">
        <v>10027</v>
      </c>
      <c r="C1809" s="29" t="s">
        <v>131</v>
      </c>
      <c r="D1809" s="29" t="s">
        <v>10028</v>
      </c>
      <c r="E1809" s="29" t="s">
        <v>10029</v>
      </c>
      <c r="F1809" s="30" t="s">
        <v>10030</v>
      </c>
      <c r="G1809" s="30" t="s">
        <v>10031</v>
      </c>
      <c r="H1809" s="42" t="s">
        <v>10032</v>
      </c>
      <c r="I1809" s="29" t="s">
        <v>127</v>
      </c>
      <c r="J1809" s="31">
        <v>2.0</v>
      </c>
      <c r="K1809" s="35"/>
      <c r="L1809" s="35"/>
      <c r="M1809" s="35"/>
      <c r="N1809" s="35"/>
      <c r="O1809" s="35"/>
      <c r="P1809" s="35"/>
      <c r="Q1809" s="35"/>
      <c r="R1809" s="35"/>
      <c r="S1809" s="37">
        <f>IF(B1809="","",IF(ISNUMBER(J1809),IF(J1809&lt;=10,'Configuración'!$B$23,IF(J1809&lt;=50,'Configuración'!$B$24,IF(J1809&lt;=200,'Configuración'!$B$25,0))),0))</f>
        <v>12</v>
      </c>
      <c r="T1809" s="37">
        <f>IF(B1809="","",IF(ISNUMBER(SEARCH("information technology",I1809))+ISNUMBER(SEARCH("software",I1809))+ISNUMBER(SEARCH("internet",I1809))+ISNUMBER(SEARCH("computer",I1809))+ISNUMBER(SEARCH("saas",I1809))+ISNUMBER(SEARCH("fintech",I1809))+ISNUMBER(SEARCH("information services",I1809))+ISNUMBER(SEARCH("telecommunications",I1809))&gt;0,'Configuración'!$B$27,'Configuración'!$B$28))</f>
        <v>12</v>
      </c>
      <c r="U1809" s="25">
        <f>IF(B1809="","",IF(ISNUMBER(SEARCH("CEO",C1809))+ISNUMBER(SEARCH("Founder",C1809))+ISNUMBER(SEARCH("Owner",C1809))+ISNUMBER(SEARCH("Dueño",C1809))+ISNUMBER(SEARCH("Director General",C1809))+ISNUMBER(SEARCH("Presidente",C1809))+ISNUMBER(SEARCH("President",C1809))&gt;0,'Configuración'!$B$31,IF(ISNUMBER(SEARCH("CMO",C1809))+ISNUMBER(SEARCH("Chief Marketing",C1809))+ISNUMBER(SEARCH("VP Marketing",C1809))+ISNUMBER(SEARCH("Director de Marketing",C1809))+ISNUMBER(SEARCH("Director Marketing",C1809))+ISNUMBER(SEARCH("Head of Marketing",C1809))+ISNUMBER(SEARCH("Head Marketing",C1809))&gt;0,'Configuración'!$B$32,IF(ISNUMBER(SEARCH("Marketing Manager",C1809))+ISNUMBER(SEARCH("Gerente de Marketing",C1809))+ISNUMBER(SEARCH("Growth Manager",C1809))+ISNUMBER(SEARCH("Demand Gen",C1809))+ISNUMBER(SEARCH("Marketing Lead",C1809))&gt;0,'Configuración'!$B$33,IF(ISNUMBER(SEARCH("COO",C1809))+ISNUMBER(SEARCH("CFO",C1809))+ISNUMBER(SEARCH("CTO",C1809))+ISNUMBER(SEARCH("Chief Operating",C1809))+ISNUMBER(SEARCH("Chief Financial",C1809))+ISNUMBER(SEARCH("Gerente General",C1809))+ISNUMBER(SEARCH("General Manager",C1809))&gt;0,'Configuración'!$B$34,'Configuración'!$B$35)))))</f>
        <v>12</v>
      </c>
      <c r="V1809" s="38">
        <f>IF(B1809="","",IF(K1809="Sí",'Configuración'!$B$5,0)+IF(L1809="Semanal",'Configuración'!$B$6,IF(L1809="Mensual",'Configuración'!$B$7,0))+IF(M1809="Sí",'Configuración'!$B$8,0)+IF(N1809="Sí",'Configuración'!$B$9,0)+IF(O1809="Sí",'Configuración'!$B$10,0)+IF(P1809="Sí",'Configuración'!$B$11,0)+IF(Q1809="Sí",'Configuración'!$B$12,0)+S1809+T1809+U1809)</f>
        <v>36</v>
      </c>
      <c r="W1809" s="39" t="str">
        <f>IF(B1809="","",IF(V1809&gt;='Configuración'!$B$19,"A",IF(V1809&gt;='Configuración'!$B$20,"B",IF(V1809&gt;='Configuración'!$B$21,"C","Descarte"))))</f>
        <v>C</v>
      </c>
    </row>
    <row r="1810" ht="15.75" customHeight="1">
      <c r="A1810" s="34">
        <f t="shared" si="1"/>
        <v>1808</v>
      </c>
      <c r="B1810" s="29" t="s">
        <v>10033</v>
      </c>
      <c r="C1810" s="29" t="s">
        <v>10034</v>
      </c>
      <c r="D1810" s="29" t="s">
        <v>10035</v>
      </c>
      <c r="E1810" s="29" t="s">
        <v>10036</v>
      </c>
      <c r="F1810" s="30" t="s">
        <v>10037</v>
      </c>
      <c r="G1810" s="30" t="s">
        <v>10038</v>
      </c>
      <c r="H1810" s="42" t="s">
        <v>10039</v>
      </c>
      <c r="I1810" s="29" t="s">
        <v>659</v>
      </c>
      <c r="J1810" s="31">
        <v>6.0</v>
      </c>
      <c r="K1810" s="35"/>
      <c r="L1810" s="35"/>
      <c r="M1810" s="35"/>
      <c r="N1810" s="35"/>
      <c r="O1810" s="35"/>
      <c r="P1810" s="35"/>
      <c r="Q1810" s="35"/>
      <c r="R1810" s="35"/>
      <c r="S1810" s="37">
        <f>IF(B1810="","",IF(ISNUMBER(J1810),IF(J1810&lt;=10,'Configuración'!$B$23,IF(J1810&lt;=50,'Configuración'!$B$24,IF(J1810&lt;=200,'Configuración'!$B$25,0))),0))</f>
        <v>12</v>
      </c>
      <c r="T1810" s="37">
        <f>IF(B1810="","",IF(ISNUMBER(SEARCH("information technology",I1810))+ISNUMBER(SEARCH("software",I1810))+ISNUMBER(SEARCH("internet",I1810))+ISNUMBER(SEARCH("computer",I1810))+ISNUMBER(SEARCH("saas",I1810))+ISNUMBER(SEARCH("fintech",I1810))+ISNUMBER(SEARCH("information services",I1810))+ISNUMBER(SEARCH("telecommunications",I1810))&gt;0,'Configuración'!$B$27,'Configuración'!$B$28))</f>
        <v>4</v>
      </c>
      <c r="U1810" s="25">
        <f>IF(B1810="","",IF(ISNUMBER(SEARCH("CEO",C1810))+ISNUMBER(SEARCH("Founder",C1810))+ISNUMBER(SEARCH("Owner",C1810))+ISNUMBER(SEARCH("Dueño",C1810))+ISNUMBER(SEARCH("Director General",C1810))+ISNUMBER(SEARCH("Presidente",C1810))+ISNUMBER(SEARCH("President",C1810))&gt;0,'Configuración'!$B$31,IF(ISNUMBER(SEARCH("CMO",C1810))+ISNUMBER(SEARCH("Chief Marketing",C1810))+ISNUMBER(SEARCH("VP Marketing",C1810))+ISNUMBER(SEARCH("Director de Marketing",C1810))+ISNUMBER(SEARCH("Director Marketing",C1810))+ISNUMBER(SEARCH("Head of Marketing",C1810))+ISNUMBER(SEARCH("Head Marketing",C1810))&gt;0,'Configuración'!$B$32,IF(ISNUMBER(SEARCH("Marketing Manager",C1810))+ISNUMBER(SEARCH("Gerente de Marketing",C1810))+ISNUMBER(SEARCH("Growth Manager",C1810))+ISNUMBER(SEARCH("Demand Gen",C1810))+ISNUMBER(SEARCH("Marketing Lead",C1810))&gt;0,'Configuración'!$B$33,IF(ISNUMBER(SEARCH("COO",C1810))+ISNUMBER(SEARCH("CFO",C1810))+ISNUMBER(SEARCH("CTO",C1810))+ISNUMBER(SEARCH("Chief Operating",C1810))+ISNUMBER(SEARCH("Chief Financial",C1810))+ISNUMBER(SEARCH("Gerente General",C1810))+ISNUMBER(SEARCH("General Manager",C1810))&gt;0,'Configuración'!$B$34,'Configuración'!$B$35)))))</f>
        <v>12</v>
      </c>
      <c r="V1810" s="38">
        <f>IF(B1810="","",IF(K1810="Sí",'Configuración'!$B$5,0)+IF(L1810="Semanal",'Configuración'!$B$6,IF(L1810="Mensual",'Configuración'!$B$7,0))+IF(M1810="Sí",'Configuración'!$B$8,0)+IF(N1810="Sí",'Configuración'!$B$9,0)+IF(O1810="Sí",'Configuración'!$B$10,0)+IF(P1810="Sí",'Configuración'!$B$11,0)+IF(Q1810="Sí",'Configuración'!$B$12,0)+S1810+T1810+U1810)</f>
        <v>28</v>
      </c>
      <c r="W1810" s="39" t="str">
        <f>IF(B1810="","",IF(V1810&gt;='Configuración'!$B$19,"A",IF(V1810&gt;='Configuración'!$B$20,"B",IF(V1810&gt;='Configuración'!$B$21,"C","Descarte"))))</f>
        <v>C</v>
      </c>
    </row>
    <row r="1811" ht="15.75" customHeight="1">
      <c r="A1811" s="34">
        <f t="shared" si="1"/>
        <v>1809</v>
      </c>
      <c r="B1811" s="29" t="s">
        <v>262</v>
      </c>
      <c r="C1811" s="29" t="s">
        <v>2266</v>
      </c>
      <c r="D1811" s="29" t="s">
        <v>4176</v>
      </c>
      <c r="E1811" s="29" t="s">
        <v>10040</v>
      </c>
      <c r="F1811" s="30" t="s">
        <v>10041</v>
      </c>
      <c r="G1811" s="30" t="s">
        <v>4179</v>
      </c>
      <c r="H1811" s="42" t="s">
        <v>4180</v>
      </c>
      <c r="I1811" s="29" t="s">
        <v>116</v>
      </c>
      <c r="J1811" s="31">
        <v>44.0</v>
      </c>
      <c r="K1811" s="35"/>
      <c r="L1811" s="35"/>
      <c r="M1811" s="35"/>
      <c r="N1811" s="35"/>
      <c r="O1811" s="35"/>
      <c r="P1811" s="35"/>
      <c r="Q1811" s="35"/>
      <c r="R1811" s="35"/>
      <c r="S1811" s="37">
        <f>IF(B1811="","",IF(ISNUMBER(J1811),IF(J1811&lt;=10,'Configuración'!$B$23,IF(J1811&lt;=50,'Configuración'!$B$24,IF(J1811&lt;=200,'Configuración'!$B$25,0))),0))</f>
        <v>4</v>
      </c>
      <c r="T1811" s="37">
        <f>IF(B1811="","",IF(ISNUMBER(SEARCH("information technology",I1811))+ISNUMBER(SEARCH("software",I1811))+ISNUMBER(SEARCH("internet",I1811))+ISNUMBER(SEARCH("computer",I1811))+ISNUMBER(SEARCH("saas",I1811))+ISNUMBER(SEARCH("fintech",I1811))+ISNUMBER(SEARCH("information services",I1811))+ISNUMBER(SEARCH("telecommunications",I1811))&gt;0,'Configuración'!$B$27,'Configuración'!$B$28))</f>
        <v>4</v>
      </c>
      <c r="U1811" s="25">
        <f>IF(B1811="","",IF(ISNUMBER(SEARCH("CEO",C1811))+ISNUMBER(SEARCH("Founder",C1811))+ISNUMBER(SEARCH("Owner",C1811))+ISNUMBER(SEARCH("Dueño",C1811))+ISNUMBER(SEARCH("Director General",C1811))+ISNUMBER(SEARCH("Presidente",C1811))+ISNUMBER(SEARCH("President",C1811))&gt;0,'Configuración'!$B$31,IF(ISNUMBER(SEARCH("CMO",C1811))+ISNUMBER(SEARCH("Chief Marketing",C1811))+ISNUMBER(SEARCH("VP Marketing",C1811))+ISNUMBER(SEARCH("Director de Marketing",C1811))+ISNUMBER(SEARCH("Director Marketing",C1811))+ISNUMBER(SEARCH("Head of Marketing",C1811))+ISNUMBER(SEARCH("Head Marketing",C1811))&gt;0,'Configuración'!$B$32,IF(ISNUMBER(SEARCH("Marketing Manager",C1811))+ISNUMBER(SEARCH("Gerente de Marketing",C1811))+ISNUMBER(SEARCH("Growth Manager",C1811))+ISNUMBER(SEARCH("Demand Gen",C1811))+ISNUMBER(SEARCH("Marketing Lead",C1811))&gt;0,'Configuración'!$B$33,IF(ISNUMBER(SEARCH("COO",C1811))+ISNUMBER(SEARCH("CFO",C1811))+ISNUMBER(SEARCH("CTO",C1811))+ISNUMBER(SEARCH("Chief Operating",C1811))+ISNUMBER(SEARCH("Chief Financial",C1811))+ISNUMBER(SEARCH("Gerente General",C1811))+ISNUMBER(SEARCH("General Manager",C1811))&gt;0,'Configuración'!$B$34,'Configuración'!$B$35)))))</f>
        <v>12</v>
      </c>
      <c r="V1811" s="38">
        <f>IF(B1811="","",IF(K1811="Sí",'Configuración'!$B$5,0)+IF(L1811="Semanal",'Configuración'!$B$6,IF(L1811="Mensual",'Configuración'!$B$7,0))+IF(M1811="Sí",'Configuración'!$B$8,0)+IF(N1811="Sí",'Configuración'!$B$9,0)+IF(O1811="Sí",'Configuración'!$B$10,0)+IF(P1811="Sí",'Configuración'!$B$11,0)+IF(Q1811="Sí",'Configuración'!$B$12,0)+S1811+T1811+U1811)</f>
        <v>20</v>
      </c>
      <c r="W1811" s="39" t="str">
        <f>IF(B1811="","",IF(V1811&gt;='Configuración'!$B$19,"A",IF(V1811&gt;='Configuración'!$B$20,"B",IF(V1811&gt;='Configuración'!$B$21,"C","Descarte"))))</f>
        <v>Descarte</v>
      </c>
    </row>
    <row r="1812" ht="15.75" customHeight="1">
      <c r="A1812" s="34">
        <f t="shared" si="1"/>
        <v>1810</v>
      </c>
      <c r="B1812" s="29" t="s">
        <v>181</v>
      </c>
      <c r="C1812" s="29" t="s">
        <v>4145</v>
      </c>
      <c r="D1812" s="29" t="s">
        <v>10042</v>
      </c>
      <c r="E1812" s="29" t="s">
        <v>10043</v>
      </c>
      <c r="F1812" s="30" t="s">
        <v>10044</v>
      </c>
      <c r="G1812" s="30" t="s">
        <v>10045</v>
      </c>
      <c r="H1812" s="42" t="s">
        <v>10046</v>
      </c>
      <c r="I1812" s="29" t="s">
        <v>847</v>
      </c>
      <c r="J1812" s="31">
        <v>16.0</v>
      </c>
      <c r="K1812" s="35"/>
      <c r="L1812" s="35"/>
      <c r="M1812" s="35"/>
      <c r="N1812" s="35"/>
      <c r="O1812" s="35"/>
      <c r="P1812" s="35"/>
      <c r="Q1812" s="35"/>
      <c r="R1812" s="35"/>
      <c r="S1812" s="37">
        <f>IF(B1812="","",IF(ISNUMBER(J1812),IF(J1812&lt;=10,'Configuración'!$B$23,IF(J1812&lt;=50,'Configuración'!$B$24,IF(J1812&lt;=200,'Configuración'!$B$25,0))),0))</f>
        <v>4</v>
      </c>
      <c r="T1812" s="37">
        <f>IF(B1812="","",IF(ISNUMBER(SEARCH("information technology",I1812))+ISNUMBER(SEARCH("software",I1812))+ISNUMBER(SEARCH("internet",I1812))+ISNUMBER(SEARCH("computer",I1812))+ISNUMBER(SEARCH("saas",I1812))+ISNUMBER(SEARCH("fintech",I1812))+ISNUMBER(SEARCH("information services",I1812))+ISNUMBER(SEARCH("telecommunications",I1812))&gt;0,'Configuración'!$B$27,'Configuración'!$B$28))</f>
        <v>4</v>
      </c>
      <c r="U1812" s="25">
        <f>IF(B1812="","",IF(ISNUMBER(SEARCH("CEO",C1812))+ISNUMBER(SEARCH("Founder",C1812))+ISNUMBER(SEARCH("Owner",C1812))+ISNUMBER(SEARCH("Dueño",C1812))+ISNUMBER(SEARCH("Director General",C1812))+ISNUMBER(SEARCH("Presidente",C1812))+ISNUMBER(SEARCH("President",C1812))&gt;0,'Configuración'!$B$31,IF(ISNUMBER(SEARCH("CMO",C1812))+ISNUMBER(SEARCH("Chief Marketing",C1812))+ISNUMBER(SEARCH("VP Marketing",C1812))+ISNUMBER(SEARCH("Director de Marketing",C1812))+ISNUMBER(SEARCH("Director Marketing",C1812))+ISNUMBER(SEARCH("Head of Marketing",C1812))+ISNUMBER(SEARCH("Head Marketing",C1812))&gt;0,'Configuración'!$B$32,IF(ISNUMBER(SEARCH("Marketing Manager",C1812))+ISNUMBER(SEARCH("Gerente de Marketing",C1812))+ISNUMBER(SEARCH("Growth Manager",C1812))+ISNUMBER(SEARCH("Demand Gen",C1812))+ISNUMBER(SEARCH("Marketing Lead",C1812))&gt;0,'Configuración'!$B$33,IF(ISNUMBER(SEARCH("COO",C1812))+ISNUMBER(SEARCH("CFO",C1812))+ISNUMBER(SEARCH("CTO",C1812))+ISNUMBER(SEARCH("Chief Operating",C1812))+ISNUMBER(SEARCH("Chief Financial",C1812))+ISNUMBER(SEARCH("Gerente General",C1812))+ISNUMBER(SEARCH("General Manager",C1812))&gt;0,'Configuración'!$B$34,'Configuración'!$B$35)))))</f>
        <v>4</v>
      </c>
      <c r="V1812" s="38">
        <f>IF(B1812="","",IF(K1812="Sí",'Configuración'!$B$5,0)+IF(L1812="Semanal",'Configuración'!$B$6,IF(L1812="Mensual",'Configuración'!$B$7,0))+IF(M1812="Sí",'Configuración'!$B$8,0)+IF(N1812="Sí",'Configuración'!$B$9,0)+IF(O1812="Sí",'Configuración'!$B$10,0)+IF(P1812="Sí",'Configuración'!$B$11,0)+IF(Q1812="Sí",'Configuración'!$B$12,0)+S1812+T1812+U1812)</f>
        <v>12</v>
      </c>
      <c r="W1812" s="39" t="str">
        <f>IF(B1812="","",IF(V1812&gt;='Configuración'!$B$19,"A",IF(V1812&gt;='Configuración'!$B$20,"B",IF(V1812&gt;='Configuración'!$B$21,"C","Descarte"))))</f>
        <v>Descarte</v>
      </c>
    </row>
    <row r="1813" ht="15.75" customHeight="1">
      <c r="A1813" s="34">
        <f t="shared" si="1"/>
        <v>1811</v>
      </c>
      <c r="B1813" s="29" t="s">
        <v>10047</v>
      </c>
      <c r="C1813" s="29" t="s">
        <v>311</v>
      </c>
      <c r="D1813" s="29" t="s">
        <v>10048</v>
      </c>
      <c r="E1813" s="29" t="s">
        <v>10049</v>
      </c>
      <c r="F1813" s="30" t="s">
        <v>10050</v>
      </c>
      <c r="G1813" s="30" t="s">
        <v>10051</v>
      </c>
      <c r="H1813" s="42" t="s">
        <v>10052</v>
      </c>
      <c r="I1813" s="29" t="s">
        <v>990</v>
      </c>
      <c r="J1813" s="31">
        <v>3.0</v>
      </c>
      <c r="K1813" s="35"/>
      <c r="L1813" s="35"/>
      <c r="M1813" s="35"/>
      <c r="N1813" s="35"/>
      <c r="O1813" s="35"/>
      <c r="P1813" s="35"/>
      <c r="Q1813" s="35"/>
      <c r="R1813" s="35"/>
      <c r="S1813" s="37">
        <f>IF(B1813="","",IF(ISNUMBER(J1813),IF(J1813&lt;=10,'Configuración'!$B$23,IF(J1813&lt;=50,'Configuración'!$B$24,IF(J1813&lt;=200,'Configuración'!$B$25,0))),0))</f>
        <v>12</v>
      </c>
      <c r="T1813" s="37">
        <f>IF(B1813="","",IF(ISNUMBER(SEARCH("information technology",I1813))+ISNUMBER(SEARCH("software",I1813))+ISNUMBER(SEARCH("internet",I1813))+ISNUMBER(SEARCH("computer",I1813))+ISNUMBER(SEARCH("saas",I1813))+ISNUMBER(SEARCH("fintech",I1813))+ISNUMBER(SEARCH("information services",I1813))+ISNUMBER(SEARCH("telecommunications",I1813))&gt;0,'Configuración'!$B$27,'Configuración'!$B$28))</f>
        <v>4</v>
      </c>
      <c r="U1813" s="25">
        <f>IF(B1813="","",IF(ISNUMBER(SEARCH("CEO",C1813))+ISNUMBER(SEARCH("Founder",C1813))+ISNUMBER(SEARCH("Owner",C1813))+ISNUMBER(SEARCH("Dueño",C1813))+ISNUMBER(SEARCH("Director General",C1813))+ISNUMBER(SEARCH("Presidente",C1813))+ISNUMBER(SEARCH("President",C1813))&gt;0,'Configuración'!$B$31,IF(ISNUMBER(SEARCH("CMO",C1813))+ISNUMBER(SEARCH("Chief Marketing",C1813))+ISNUMBER(SEARCH("VP Marketing",C1813))+ISNUMBER(SEARCH("Director de Marketing",C1813))+ISNUMBER(SEARCH("Director Marketing",C1813))+ISNUMBER(SEARCH("Head of Marketing",C1813))+ISNUMBER(SEARCH("Head Marketing",C1813))&gt;0,'Configuración'!$B$32,IF(ISNUMBER(SEARCH("Marketing Manager",C1813))+ISNUMBER(SEARCH("Gerente de Marketing",C1813))+ISNUMBER(SEARCH("Growth Manager",C1813))+ISNUMBER(SEARCH("Demand Gen",C1813))+ISNUMBER(SEARCH("Marketing Lead",C1813))&gt;0,'Configuración'!$B$33,IF(ISNUMBER(SEARCH("COO",C1813))+ISNUMBER(SEARCH("CFO",C1813))+ISNUMBER(SEARCH("CTO",C1813))+ISNUMBER(SEARCH("Chief Operating",C1813))+ISNUMBER(SEARCH("Chief Financial",C1813))+ISNUMBER(SEARCH("Gerente General",C1813))+ISNUMBER(SEARCH("General Manager",C1813))&gt;0,'Configuración'!$B$34,'Configuración'!$B$35)))))</f>
        <v>12</v>
      </c>
      <c r="V1813" s="38">
        <f>IF(B1813="","",IF(K1813="Sí",'Configuración'!$B$5,0)+IF(L1813="Semanal",'Configuración'!$B$6,IF(L1813="Mensual",'Configuración'!$B$7,0))+IF(M1813="Sí",'Configuración'!$B$8,0)+IF(N1813="Sí",'Configuración'!$B$9,0)+IF(O1813="Sí",'Configuración'!$B$10,0)+IF(P1813="Sí",'Configuración'!$B$11,0)+IF(Q1813="Sí",'Configuración'!$B$12,0)+S1813+T1813+U1813)</f>
        <v>28</v>
      </c>
      <c r="W1813" s="39" t="str">
        <f>IF(B1813="","",IF(V1813&gt;='Configuración'!$B$19,"A",IF(V1813&gt;='Configuración'!$B$20,"B",IF(V1813&gt;='Configuración'!$B$21,"C","Descarte"))))</f>
        <v>C</v>
      </c>
    </row>
    <row r="1814" ht="15.75" customHeight="1">
      <c r="A1814" s="34">
        <f t="shared" si="1"/>
        <v>1812</v>
      </c>
      <c r="B1814" s="29" t="s">
        <v>10053</v>
      </c>
      <c r="C1814" s="29" t="s">
        <v>146</v>
      </c>
      <c r="D1814" s="29" t="s">
        <v>10054</v>
      </c>
      <c r="E1814" s="29" t="s">
        <v>10055</v>
      </c>
      <c r="F1814" s="30" t="s">
        <v>10056</v>
      </c>
      <c r="G1814" s="30" t="s">
        <v>10057</v>
      </c>
      <c r="H1814" s="42" t="s">
        <v>10058</v>
      </c>
      <c r="I1814" s="29" t="s">
        <v>1909</v>
      </c>
      <c r="J1814" s="31">
        <v>8.0</v>
      </c>
      <c r="K1814" s="35"/>
      <c r="L1814" s="35"/>
      <c r="M1814" s="35"/>
      <c r="N1814" s="35"/>
      <c r="O1814" s="35"/>
      <c r="P1814" s="35"/>
      <c r="Q1814" s="35"/>
      <c r="R1814" s="35"/>
      <c r="S1814" s="37">
        <f>IF(B1814="","",IF(ISNUMBER(J1814),IF(J1814&lt;=10,'Configuración'!$B$23,IF(J1814&lt;=50,'Configuración'!$B$24,IF(J1814&lt;=200,'Configuración'!$B$25,0))),0))</f>
        <v>12</v>
      </c>
      <c r="T1814" s="37">
        <f>IF(B1814="","",IF(ISNUMBER(SEARCH("information technology",I1814))+ISNUMBER(SEARCH("software",I1814))+ISNUMBER(SEARCH("internet",I1814))+ISNUMBER(SEARCH("computer",I1814))+ISNUMBER(SEARCH("saas",I1814))+ISNUMBER(SEARCH("fintech",I1814))+ISNUMBER(SEARCH("information services",I1814))+ISNUMBER(SEARCH("telecommunications",I1814))&gt;0,'Configuración'!$B$27,'Configuración'!$B$28))</f>
        <v>4</v>
      </c>
      <c r="U1814" s="25">
        <f>IF(B1814="","",IF(ISNUMBER(SEARCH("CEO",C1814))+ISNUMBER(SEARCH("Founder",C1814))+ISNUMBER(SEARCH("Owner",C1814))+ISNUMBER(SEARCH("Dueño",C1814))+ISNUMBER(SEARCH("Director General",C1814))+ISNUMBER(SEARCH("Presidente",C1814))+ISNUMBER(SEARCH("President",C1814))&gt;0,'Configuración'!$B$31,IF(ISNUMBER(SEARCH("CMO",C1814))+ISNUMBER(SEARCH("Chief Marketing",C1814))+ISNUMBER(SEARCH("VP Marketing",C1814))+ISNUMBER(SEARCH("Director de Marketing",C1814))+ISNUMBER(SEARCH("Director Marketing",C1814))+ISNUMBER(SEARCH("Head of Marketing",C1814))+ISNUMBER(SEARCH("Head Marketing",C1814))&gt;0,'Configuración'!$B$32,IF(ISNUMBER(SEARCH("Marketing Manager",C1814))+ISNUMBER(SEARCH("Gerente de Marketing",C1814))+ISNUMBER(SEARCH("Growth Manager",C1814))+ISNUMBER(SEARCH("Demand Gen",C1814))+ISNUMBER(SEARCH("Marketing Lead",C1814))&gt;0,'Configuración'!$B$33,IF(ISNUMBER(SEARCH("COO",C1814))+ISNUMBER(SEARCH("CFO",C1814))+ISNUMBER(SEARCH("CTO",C1814))+ISNUMBER(SEARCH("Chief Operating",C1814))+ISNUMBER(SEARCH("Chief Financial",C1814))+ISNUMBER(SEARCH("Gerente General",C1814))+ISNUMBER(SEARCH("General Manager",C1814))&gt;0,'Configuración'!$B$34,'Configuración'!$B$35)))))</f>
        <v>0</v>
      </c>
      <c r="V1814" s="38">
        <f>IF(B1814="","",IF(K1814="Sí",'Configuración'!$B$5,0)+IF(L1814="Semanal",'Configuración'!$B$6,IF(L1814="Mensual",'Configuración'!$B$7,0))+IF(M1814="Sí",'Configuración'!$B$8,0)+IF(N1814="Sí",'Configuración'!$B$9,0)+IF(O1814="Sí",'Configuración'!$B$10,0)+IF(P1814="Sí",'Configuración'!$B$11,0)+IF(Q1814="Sí",'Configuración'!$B$12,0)+S1814+T1814+U1814)</f>
        <v>16</v>
      </c>
      <c r="W1814" s="39" t="str">
        <f>IF(B1814="","",IF(V1814&gt;='Configuración'!$B$19,"A",IF(V1814&gt;='Configuración'!$B$20,"B",IF(V1814&gt;='Configuración'!$B$21,"C","Descarte"))))</f>
        <v>Descarte</v>
      </c>
    </row>
    <row r="1815" ht="15.75" customHeight="1">
      <c r="A1815" s="34">
        <f t="shared" si="1"/>
        <v>1813</v>
      </c>
      <c r="B1815" s="29" t="s">
        <v>867</v>
      </c>
      <c r="C1815" s="29" t="s">
        <v>131</v>
      </c>
      <c r="D1815" s="29" t="s">
        <v>10059</v>
      </c>
      <c r="E1815" s="29" t="s">
        <v>10060</v>
      </c>
      <c r="F1815" s="30" t="s">
        <v>10061</v>
      </c>
      <c r="G1815" s="30" t="s">
        <v>10062</v>
      </c>
      <c r="H1815" s="42" t="s">
        <v>10063</v>
      </c>
      <c r="I1815" s="29" t="s">
        <v>458</v>
      </c>
      <c r="J1815" s="31">
        <v>15.0</v>
      </c>
      <c r="K1815" s="35"/>
      <c r="L1815" s="35"/>
      <c r="M1815" s="35"/>
      <c r="N1815" s="35"/>
      <c r="O1815" s="35"/>
      <c r="P1815" s="35"/>
      <c r="Q1815" s="35"/>
      <c r="R1815" s="35"/>
      <c r="S1815" s="37">
        <f>IF(B1815="","",IF(ISNUMBER(J1815),IF(J1815&lt;=10,'Configuración'!$B$23,IF(J1815&lt;=50,'Configuración'!$B$24,IF(J1815&lt;=200,'Configuración'!$B$25,0))),0))</f>
        <v>4</v>
      </c>
      <c r="T1815" s="37">
        <f>IF(B1815="","",IF(ISNUMBER(SEARCH("information technology",I1815))+ISNUMBER(SEARCH("software",I1815))+ISNUMBER(SEARCH("internet",I1815))+ISNUMBER(SEARCH("computer",I1815))+ISNUMBER(SEARCH("saas",I1815))+ISNUMBER(SEARCH("fintech",I1815))+ISNUMBER(SEARCH("information services",I1815))+ISNUMBER(SEARCH("telecommunications",I1815))&gt;0,'Configuración'!$B$27,'Configuración'!$B$28))</f>
        <v>4</v>
      </c>
      <c r="U1815" s="25">
        <f>IF(B1815="","",IF(ISNUMBER(SEARCH("CEO",C1815))+ISNUMBER(SEARCH("Founder",C1815))+ISNUMBER(SEARCH("Owner",C1815))+ISNUMBER(SEARCH("Dueño",C1815))+ISNUMBER(SEARCH("Director General",C1815))+ISNUMBER(SEARCH("Presidente",C1815))+ISNUMBER(SEARCH("President",C1815))&gt;0,'Configuración'!$B$31,IF(ISNUMBER(SEARCH("CMO",C1815))+ISNUMBER(SEARCH("Chief Marketing",C1815))+ISNUMBER(SEARCH("VP Marketing",C1815))+ISNUMBER(SEARCH("Director de Marketing",C1815))+ISNUMBER(SEARCH("Director Marketing",C1815))+ISNUMBER(SEARCH("Head of Marketing",C1815))+ISNUMBER(SEARCH("Head Marketing",C1815))&gt;0,'Configuración'!$B$32,IF(ISNUMBER(SEARCH("Marketing Manager",C1815))+ISNUMBER(SEARCH("Gerente de Marketing",C1815))+ISNUMBER(SEARCH("Growth Manager",C1815))+ISNUMBER(SEARCH("Demand Gen",C1815))+ISNUMBER(SEARCH("Marketing Lead",C1815))&gt;0,'Configuración'!$B$33,IF(ISNUMBER(SEARCH("COO",C1815))+ISNUMBER(SEARCH("CFO",C1815))+ISNUMBER(SEARCH("CTO",C1815))+ISNUMBER(SEARCH("Chief Operating",C1815))+ISNUMBER(SEARCH("Chief Financial",C1815))+ISNUMBER(SEARCH("Gerente General",C1815))+ISNUMBER(SEARCH("General Manager",C1815))&gt;0,'Configuración'!$B$34,'Configuración'!$B$35)))))</f>
        <v>12</v>
      </c>
      <c r="V1815" s="38">
        <f>IF(B1815="","",IF(K1815="Sí",'Configuración'!$B$5,0)+IF(L1815="Semanal",'Configuración'!$B$6,IF(L1815="Mensual",'Configuración'!$B$7,0))+IF(M1815="Sí",'Configuración'!$B$8,0)+IF(N1815="Sí",'Configuración'!$B$9,0)+IF(O1815="Sí",'Configuración'!$B$10,0)+IF(P1815="Sí",'Configuración'!$B$11,0)+IF(Q1815="Sí",'Configuración'!$B$12,0)+S1815+T1815+U1815)</f>
        <v>20</v>
      </c>
      <c r="W1815" s="39" t="str">
        <f>IF(B1815="","",IF(V1815&gt;='Configuración'!$B$19,"A",IF(V1815&gt;='Configuración'!$B$20,"B",IF(V1815&gt;='Configuración'!$B$21,"C","Descarte"))))</f>
        <v>Descarte</v>
      </c>
    </row>
    <row r="1816" ht="15.75" customHeight="1">
      <c r="A1816" s="34">
        <f t="shared" si="1"/>
        <v>1814</v>
      </c>
      <c r="B1816" s="29" t="s">
        <v>324</v>
      </c>
      <c r="C1816" s="29" t="s">
        <v>3206</v>
      </c>
      <c r="D1816" s="29" t="s">
        <v>10064</v>
      </c>
      <c r="E1816" s="29" t="s">
        <v>10065</v>
      </c>
      <c r="F1816" s="30" t="s">
        <v>10066</v>
      </c>
      <c r="G1816" s="30" t="s">
        <v>10067</v>
      </c>
      <c r="H1816" s="42" t="s">
        <v>10068</v>
      </c>
      <c r="I1816" s="29" t="s">
        <v>137</v>
      </c>
      <c r="J1816" s="31">
        <v>3.0</v>
      </c>
      <c r="K1816" s="35"/>
      <c r="L1816" s="35"/>
      <c r="M1816" s="35"/>
      <c r="N1816" s="35"/>
      <c r="O1816" s="35"/>
      <c r="P1816" s="35"/>
      <c r="Q1816" s="35"/>
      <c r="R1816" s="35"/>
      <c r="S1816" s="37">
        <f>IF(B1816="","",IF(ISNUMBER(J1816),IF(J1816&lt;=10,'Configuración'!$B$23,IF(J1816&lt;=50,'Configuración'!$B$24,IF(J1816&lt;=200,'Configuración'!$B$25,0))),0))</f>
        <v>12</v>
      </c>
      <c r="T1816" s="37">
        <f>IF(B1816="","",IF(ISNUMBER(SEARCH("information technology",I1816))+ISNUMBER(SEARCH("software",I1816))+ISNUMBER(SEARCH("internet",I1816))+ISNUMBER(SEARCH("computer",I1816))+ISNUMBER(SEARCH("saas",I1816))+ISNUMBER(SEARCH("fintech",I1816))+ISNUMBER(SEARCH("information services",I1816))+ISNUMBER(SEARCH("telecommunications",I1816))&gt;0,'Configuración'!$B$27,'Configuración'!$B$28))</f>
        <v>4</v>
      </c>
      <c r="U1816" s="25">
        <f>IF(B1816="","",IF(ISNUMBER(SEARCH("CEO",C1816))+ISNUMBER(SEARCH("Founder",C1816))+ISNUMBER(SEARCH("Owner",C1816))+ISNUMBER(SEARCH("Dueño",C1816))+ISNUMBER(SEARCH("Director General",C1816))+ISNUMBER(SEARCH("Presidente",C1816))+ISNUMBER(SEARCH("President",C1816))&gt;0,'Configuración'!$B$31,IF(ISNUMBER(SEARCH("CMO",C1816))+ISNUMBER(SEARCH("Chief Marketing",C1816))+ISNUMBER(SEARCH("VP Marketing",C1816))+ISNUMBER(SEARCH("Director de Marketing",C1816))+ISNUMBER(SEARCH("Director Marketing",C1816))+ISNUMBER(SEARCH("Head of Marketing",C1816))+ISNUMBER(SEARCH("Head Marketing",C1816))&gt;0,'Configuración'!$B$32,IF(ISNUMBER(SEARCH("Marketing Manager",C1816))+ISNUMBER(SEARCH("Gerente de Marketing",C1816))+ISNUMBER(SEARCH("Growth Manager",C1816))+ISNUMBER(SEARCH("Demand Gen",C1816))+ISNUMBER(SEARCH("Marketing Lead",C1816))&gt;0,'Configuración'!$B$33,IF(ISNUMBER(SEARCH("COO",C1816))+ISNUMBER(SEARCH("CFO",C1816))+ISNUMBER(SEARCH("CTO",C1816))+ISNUMBER(SEARCH("Chief Operating",C1816))+ISNUMBER(SEARCH("Chief Financial",C1816))+ISNUMBER(SEARCH("Gerente General",C1816))+ISNUMBER(SEARCH("General Manager",C1816))&gt;0,'Configuración'!$B$34,'Configuración'!$B$35)))))</f>
        <v>12</v>
      </c>
      <c r="V1816" s="38">
        <f>IF(B1816="","",IF(K1816="Sí",'Configuración'!$B$5,0)+IF(L1816="Semanal",'Configuración'!$B$6,IF(L1816="Mensual",'Configuración'!$B$7,0))+IF(M1816="Sí",'Configuración'!$B$8,0)+IF(N1816="Sí",'Configuración'!$B$9,0)+IF(O1816="Sí",'Configuración'!$B$10,0)+IF(P1816="Sí",'Configuración'!$B$11,0)+IF(Q1816="Sí",'Configuración'!$B$12,0)+S1816+T1816+U1816)</f>
        <v>28</v>
      </c>
      <c r="W1816" s="39" t="str">
        <f>IF(B1816="","",IF(V1816&gt;='Configuración'!$B$19,"A",IF(V1816&gt;='Configuración'!$B$20,"B",IF(V1816&gt;='Configuración'!$B$21,"C","Descarte"))))</f>
        <v>C</v>
      </c>
    </row>
    <row r="1817" ht="15.75" customHeight="1">
      <c r="A1817" s="34">
        <f t="shared" si="1"/>
        <v>1815</v>
      </c>
      <c r="B1817" s="29" t="s">
        <v>10069</v>
      </c>
      <c r="C1817" s="29" t="s">
        <v>131</v>
      </c>
      <c r="D1817" s="29" t="s">
        <v>10070</v>
      </c>
      <c r="E1817" s="29" t="s">
        <v>10071</v>
      </c>
      <c r="F1817" s="30" t="s">
        <v>10072</v>
      </c>
      <c r="G1817" s="30" t="s">
        <v>10073</v>
      </c>
      <c r="H1817" s="42" t="s">
        <v>10074</v>
      </c>
      <c r="I1817" s="29" t="s">
        <v>188</v>
      </c>
      <c r="J1817" s="31">
        <v>6.0</v>
      </c>
      <c r="K1817" s="35"/>
      <c r="L1817" s="35"/>
      <c r="M1817" s="35"/>
      <c r="N1817" s="35"/>
      <c r="O1817" s="35"/>
      <c r="P1817" s="35"/>
      <c r="Q1817" s="35"/>
      <c r="R1817" s="35"/>
      <c r="S1817" s="37">
        <f>IF(B1817="","",IF(ISNUMBER(J1817),IF(J1817&lt;=10,'Configuración'!$B$23,IF(J1817&lt;=50,'Configuración'!$B$24,IF(J1817&lt;=200,'Configuración'!$B$25,0))),0))</f>
        <v>12</v>
      </c>
      <c r="T1817" s="37">
        <f>IF(B1817="","",IF(ISNUMBER(SEARCH("information technology",I1817))+ISNUMBER(SEARCH("software",I1817))+ISNUMBER(SEARCH("internet",I1817))+ISNUMBER(SEARCH("computer",I1817))+ISNUMBER(SEARCH("saas",I1817))+ISNUMBER(SEARCH("fintech",I1817))+ISNUMBER(SEARCH("information services",I1817))+ISNUMBER(SEARCH("telecommunications",I1817))&gt;0,'Configuración'!$B$27,'Configuración'!$B$28))</f>
        <v>4</v>
      </c>
      <c r="U1817" s="25">
        <f>IF(B1817="","",IF(ISNUMBER(SEARCH("CEO",C1817))+ISNUMBER(SEARCH("Founder",C1817))+ISNUMBER(SEARCH("Owner",C1817))+ISNUMBER(SEARCH("Dueño",C1817))+ISNUMBER(SEARCH("Director General",C1817))+ISNUMBER(SEARCH("Presidente",C1817))+ISNUMBER(SEARCH("President",C1817))&gt;0,'Configuración'!$B$31,IF(ISNUMBER(SEARCH("CMO",C1817))+ISNUMBER(SEARCH("Chief Marketing",C1817))+ISNUMBER(SEARCH("VP Marketing",C1817))+ISNUMBER(SEARCH("Director de Marketing",C1817))+ISNUMBER(SEARCH("Director Marketing",C1817))+ISNUMBER(SEARCH("Head of Marketing",C1817))+ISNUMBER(SEARCH("Head Marketing",C1817))&gt;0,'Configuración'!$B$32,IF(ISNUMBER(SEARCH("Marketing Manager",C1817))+ISNUMBER(SEARCH("Gerente de Marketing",C1817))+ISNUMBER(SEARCH("Growth Manager",C1817))+ISNUMBER(SEARCH("Demand Gen",C1817))+ISNUMBER(SEARCH("Marketing Lead",C1817))&gt;0,'Configuración'!$B$33,IF(ISNUMBER(SEARCH("COO",C1817))+ISNUMBER(SEARCH("CFO",C1817))+ISNUMBER(SEARCH("CTO",C1817))+ISNUMBER(SEARCH("Chief Operating",C1817))+ISNUMBER(SEARCH("Chief Financial",C1817))+ISNUMBER(SEARCH("Gerente General",C1817))+ISNUMBER(SEARCH("General Manager",C1817))&gt;0,'Configuración'!$B$34,'Configuración'!$B$35)))))</f>
        <v>12</v>
      </c>
      <c r="V1817" s="38">
        <f>IF(B1817="","",IF(K1817="Sí",'Configuración'!$B$5,0)+IF(L1817="Semanal",'Configuración'!$B$6,IF(L1817="Mensual",'Configuración'!$B$7,0))+IF(M1817="Sí",'Configuración'!$B$8,0)+IF(N1817="Sí",'Configuración'!$B$9,0)+IF(O1817="Sí",'Configuración'!$B$10,0)+IF(P1817="Sí",'Configuración'!$B$11,0)+IF(Q1817="Sí",'Configuración'!$B$12,0)+S1817+T1817+U1817)</f>
        <v>28</v>
      </c>
      <c r="W1817" s="39" t="str">
        <f>IF(B1817="","",IF(V1817&gt;='Configuración'!$B$19,"A",IF(V1817&gt;='Configuración'!$B$20,"B",IF(V1817&gt;='Configuración'!$B$21,"C","Descarte"))))</f>
        <v>C</v>
      </c>
    </row>
    <row r="1818" ht="15.75" customHeight="1">
      <c r="A1818" s="34">
        <f t="shared" si="1"/>
        <v>1816</v>
      </c>
      <c r="B1818" s="29" t="s">
        <v>755</v>
      </c>
      <c r="C1818" s="29" t="s">
        <v>2112</v>
      </c>
      <c r="D1818" s="29" t="s">
        <v>10075</v>
      </c>
      <c r="E1818" s="29" t="s">
        <v>10076</v>
      </c>
      <c r="F1818" s="30" t="s">
        <v>10077</v>
      </c>
      <c r="G1818" s="30" t="s">
        <v>10078</v>
      </c>
      <c r="H1818" s="42" t="s">
        <v>10079</v>
      </c>
      <c r="I1818" s="29" t="s">
        <v>127</v>
      </c>
      <c r="J1818" s="31">
        <v>39.0</v>
      </c>
      <c r="K1818" s="35"/>
      <c r="L1818" s="35"/>
      <c r="M1818" s="35"/>
      <c r="N1818" s="35"/>
      <c r="O1818" s="35"/>
      <c r="P1818" s="35"/>
      <c r="Q1818" s="35"/>
      <c r="R1818" s="35"/>
      <c r="S1818" s="37">
        <f>IF(B1818="","",IF(ISNUMBER(J1818),IF(J1818&lt;=10,'Configuración'!$B$23,IF(J1818&lt;=50,'Configuración'!$B$24,IF(J1818&lt;=200,'Configuración'!$B$25,0))),0))</f>
        <v>4</v>
      </c>
      <c r="T1818" s="37">
        <f>IF(B1818="","",IF(ISNUMBER(SEARCH("information technology",I1818))+ISNUMBER(SEARCH("software",I1818))+ISNUMBER(SEARCH("internet",I1818))+ISNUMBER(SEARCH("computer",I1818))+ISNUMBER(SEARCH("saas",I1818))+ISNUMBER(SEARCH("fintech",I1818))+ISNUMBER(SEARCH("information services",I1818))+ISNUMBER(SEARCH("telecommunications",I1818))&gt;0,'Configuración'!$B$27,'Configuración'!$B$28))</f>
        <v>12</v>
      </c>
      <c r="U1818" s="25">
        <f>IF(B1818="","",IF(ISNUMBER(SEARCH("CEO",C1818))+ISNUMBER(SEARCH("Founder",C1818))+ISNUMBER(SEARCH("Owner",C1818))+ISNUMBER(SEARCH("Dueño",C1818))+ISNUMBER(SEARCH("Director General",C1818))+ISNUMBER(SEARCH("Presidente",C1818))+ISNUMBER(SEARCH("President",C1818))&gt;0,'Configuración'!$B$31,IF(ISNUMBER(SEARCH("CMO",C1818))+ISNUMBER(SEARCH("Chief Marketing",C1818))+ISNUMBER(SEARCH("VP Marketing",C1818))+ISNUMBER(SEARCH("Director de Marketing",C1818))+ISNUMBER(SEARCH("Director Marketing",C1818))+ISNUMBER(SEARCH("Head of Marketing",C1818))+ISNUMBER(SEARCH("Head Marketing",C1818))&gt;0,'Configuración'!$B$32,IF(ISNUMBER(SEARCH("Marketing Manager",C1818))+ISNUMBER(SEARCH("Gerente de Marketing",C1818))+ISNUMBER(SEARCH("Growth Manager",C1818))+ISNUMBER(SEARCH("Demand Gen",C1818))+ISNUMBER(SEARCH("Marketing Lead",C1818))&gt;0,'Configuración'!$B$33,IF(ISNUMBER(SEARCH("COO",C1818))+ISNUMBER(SEARCH("CFO",C1818))+ISNUMBER(SEARCH("CTO",C1818))+ISNUMBER(SEARCH("Chief Operating",C1818))+ISNUMBER(SEARCH("Chief Financial",C1818))+ISNUMBER(SEARCH("Gerente General",C1818))+ISNUMBER(SEARCH("General Manager",C1818))&gt;0,'Configuración'!$B$34,'Configuración'!$B$35)))))</f>
        <v>12</v>
      </c>
      <c r="V1818" s="38">
        <f>IF(B1818="","",IF(K1818="Sí",'Configuración'!$B$5,0)+IF(L1818="Semanal",'Configuración'!$B$6,IF(L1818="Mensual",'Configuración'!$B$7,0))+IF(M1818="Sí",'Configuración'!$B$8,0)+IF(N1818="Sí",'Configuración'!$B$9,0)+IF(O1818="Sí",'Configuración'!$B$10,0)+IF(P1818="Sí",'Configuración'!$B$11,0)+IF(Q1818="Sí",'Configuración'!$B$12,0)+S1818+T1818+U1818)</f>
        <v>28</v>
      </c>
      <c r="W1818" s="39" t="str">
        <f>IF(B1818="","",IF(V1818&gt;='Configuración'!$B$19,"A",IF(V1818&gt;='Configuración'!$B$20,"B",IF(V1818&gt;='Configuración'!$B$21,"C","Descarte"))))</f>
        <v>C</v>
      </c>
    </row>
    <row r="1819" ht="15.75" customHeight="1">
      <c r="A1819" s="34">
        <f t="shared" si="1"/>
        <v>1817</v>
      </c>
      <c r="B1819" s="29" t="s">
        <v>223</v>
      </c>
      <c r="C1819" s="29" t="s">
        <v>10080</v>
      </c>
      <c r="D1819" s="40" t="s">
        <v>10081</v>
      </c>
      <c r="E1819" s="29" t="s">
        <v>10082</v>
      </c>
      <c r="F1819" s="30" t="s">
        <v>10083</v>
      </c>
      <c r="G1819" s="30" t="s">
        <v>10084</v>
      </c>
      <c r="H1819" s="42" t="s">
        <v>10085</v>
      </c>
      <c r="I1819" s="29" t="s">
        <v>127</v>
      </c>
      <c r="J1819" s="31">
        <v>3.0</v>
      </c>
      <c r="K1819" s="35"/>
      <c r="L1819" s="35"/>
      <c r="M1819" s="35"/>
      <c r="N1819" s="35"/>
      <c r="O1819" s="35"/>
      <c r="P1819" s="35"/>
      <c r="Q1819" s="35"/>
      <c r="R1819" s="35"/>
      <c r="S1819" s="37">
        <f>IF(B1819="","",IF(ISNUMBER(J1819),IF(J1819&lt;=10,'Configuración'!$B$23,IF(J1819&lt;=50,'Configuración'!$B$24,IF(J1819&lt;=200,'Configuración'!$B$25,0))),0))</f>
        <v>12</v>
      </c>
      <c r="T1819" s="37">
        <f>IF(B1819="","",IF(ISNUMBER(SEARCH("information technology",I1819))+ISNUMBER(SEARCH("software",I1819))+ISNUMBER(SEARCH("internet",I1819))+ISNUMBER(SEARCH("computer",I1819))+ISNUMBER(SEARCH("saas",I1819))+ISNUMBER(SEARCH("fintech",I1819))+ISNUMBER(SEARCH("information services",I1819))+ISNUMBER(SEARCH("telecommunications",I1819))&gt;0,'Configuración'!$B$27,'Configuración'!$B$28))</f>
        <v>12</v>
      </c>
      <c r="U1819" s="25">
        <f>IF(B1819="","",IF(ISNUMBER(SEARCH("CEO",C1819))+ISNUMBER(SEARCH("Founder",C1819))+ISNUMBER(SEARCH("Owner",C1819))+ISNUMBER(SEARCH("Dueño",C1819))+ISNUMBER(SEARCH("Director General",C1819))+ISNUMBER(SEARCH("Presidente",C1819))+ISNUMBER(SEARCH("President",C1819))&gt;0,'Configuración'!$B$31,IF(ISNUMBER(SEARCH("CMO",C1819))+ISNUMBER(SEARCH("Chief Marketing",C1819))+ISNUMBER(SEARCH("VP Marketing",C1819))+ISNUMBER(SEARCH("Director de Marketing",C1819))+ISNUMBER(SEARCH("Director Marketing",C1819))+ISNUMBER(SEARCH("Head of Marketing",C1819))+ISNUMBER(SEARCH("Head Marketing",C1819))&gt;0,'Configuración'!$B$32,IF(ISNUMBER(SEARCH("Marketing Manager",C1819))+ISNUMBER(SEARCH("Gerente de Marketing",C1819))+ISNUMBER(SEARCH("Growth Manager",C1819))+ISNUMBER(SEARCH("Demand Gen",C1819))+ISNUMBER(SEARCH("Marketing Lead",C1819))&gt;0,'Configuración'!$B$33,IF(ISNUMBER(SEARCH("COO",C1819))+ISNUMBER(SEARCH("CFO",C1819))+ISNUMBER(SEARCH("CTO",C1819))+ISNUMBER(SEARCH("Chief Operating",C1819))+ISNUMBER(SEARCH("Chief Financial",C1819))+ISNUMBER(SEARCH("Gerente General",C1819))+ISNUMBER(SEARCH("General Manager",C1819))&gt;0,'Configuración'!$B$34,'Configuración'!$B$35)))))</f>
        <v>12</v>
      </c>
      <c r="V1819" s="38">
        <f>IF(B1819="","",IF(K1819="Sí",'Configuración'!$B$5,0)+IF(L1819="Semanal",'Configuración'!$B$6,IF(L1819="Mensual",'Configuración'!$B$7,0))+IF(M1819="Sí",'Configuración'!$B$8,0)+IF(N1819="Sí",'Configuración'!$B$9,0)+IF(O1819="Sí",'Configuración'!$B$10,0)+IF(P1819="Sí",'Configuración'!$B$11,0)+IF(Q1819="Sí",'Configuración'!$B$12,0)+S1819+T1819+U1819)</f>
        <v>36</v>
      </c>
      <c r="W1819" s="39" t="str">
        <f>IF(B1819="","",IF(V1819&gt;='Configuración'!$B$19,"A",IF(V1819&gt;='Configuración'!$B$20,"B",IF(V1819&gt;='Configuración'!$B$21,"C","Descarte"))))</f>
        <v>C</v>
      </c>
    </row>
    <row r="1820" ht="15.75" customHeight="1">
      <c r="A1820" s="34">
        <f t="shared" si="1"/>
        <v>1818</v>
      </c>
      <c r="B1820" s="29" t="s">
        <v>174</v>
      </c>
      <c r="C1820" s="29" t="s">
        <v>10086</v>
      </c>
      <c r="D1820" s="30" t="s">
        <v>10087</v>
      </c>
      <c r="E1820" s="29" t="s">
        <v>10088</v>
      </c>
      <c r="F1820" s="30" t="s">
        <v>10089</v>
      </c>
      <c r="G1820" s="30" t="s">
        <v>10090</v>
      </c>
      <c r="H1820" s="42" t="s">
        <v>10091</v>
      </c>
      <c r="I1820" s="29" t="s">
        <v>116</v>
      </c>
      <c r="J1820" s="31">
        <v>3.0</v>
      </c>
      <c r="K1820" s="35"/>
      <c r="L1820" s="35"/>
      <c r="M1820" s="35"/>
      <c r="N1820" s="35"/>
      <c r="O1820" s="35"/>
      <c r="P1820" s="35"/>
      <c r="Q1820" s="35"/>
      <c r="R1820" s="35"/>
      <c r="S1820" s="37">
        <f>IF(B1820="","",IF(ISNUMBER(J1820),IF(J1820&lt;=10,'Configuración'!$B$23,IF(J1820&lt;=50,'Configuración'!$B$24,IF(J1820&lt;=200,'Configuración'!$B$25,0))),0))</f>
        <v>12</v>
      </c>
      <c r="T1820" s="37">
        <f>IF(B1820="","",IF(ISNUMBER(SEARCH("information technology",I1820))+ISNUMBER(SEARCH("software",I1820))+ISNUMBER(SEARCH("internet",I1820))+ISNUMBER(SEARCH("computer",I1820))+ISNUMBER(SEARCH("saas",I1820))+ISNUMBER(SEARCH("fintech",I1820))+ISNUMBER(SEARCH("information services",I1820))+ISNUMBER(SEARCH("telecommunications",I1820))&gt;0,'Configuración'!$B$27,'Configuración'!$B$28))</f>
        <v>4</v>
      </c>
      <c r="U1820" s="25">
        <f>IF(B1820="","",IF(ISNUMBER(SEARCH("CEO",C1820))+ISNUMBER(SEARCH("Founder",C1820))+ISNUMBER(SEARCH("Owner",C1820))+ISNUMBER(SEARCH("Dueño",C1820))+ISNUMBER(SEARCH("Director General",C1820))+ISNUMBER(SEARCH("Presidente",C1820))+ISNUMBER(SEARCH("President",C1820))&gt;0,'Configuración'!$B$31,IF(ISNUMBER(SEARCH("CMO",C1820))+ISNUMBER(SEARCH("Chief Marketing",C1820))+ISNUMBER(SEARCH("VP Marketing",C1820))+ISNUMBER(SEARCH("Director de Marketing",C1820))+ISNUMBER(SEARCH("Director Marketing",C1820))+ISNUMBER(SEARCH("Head of Marketing",C1820))+ISNUMBER(SEARCH("Head Marketing",C1820))&gt;0,'Configuración'!$B$32,IF(ISNUMBER(SEARCH("Marketing Manager",C1820))+ISNUMBER(SEARCH("Gerente de Marketing",C1820))+ISNUMBER(SEARCH("Growth Manager",C1820))+ISNUMBER(SEARCH("Demand Gen",C1820))+ISNUMBER(SEARCH("Marketing Lead",C1820))&gt;0,'Configuración'!$B$33,IF(ISNUMBER(SEARCH("COO",C1820))+ISNUMBER(SEARCH("CFO",C1820))+ISNUMBER(SEARCH("CTO",C1820))+ISNUMBER(SEARCH("Chief Operating",C1820))+ISNUMBER(SEARCH("Chief Financial",C1820))+ISNUMBER(SEARCH("Gerente General",C1820))+ISNUMBER(SEARCH("General Manager",C1820))&gt;0,'Configuración'!$B$34,'Configuración'!$B$35)))))</f>
        <v>4</v>
      </c>
      <c r="V1820" s="38">
        <f>IF(B1820="","",IF(K1820="Sí",'Configuración'!$B$5,0)+IF(L1820="Semanal",'Configuración'!$B$6,IF(L1820="Mensual",'Configuración'!$B$7,0))+IF(M1820="Sí",'Configuración'!$B$8,0)+IF(N1820="Sí",'Configuración'!$B$9,0)+IF(O1820="Sí",'Configuración'!$B$10,0)+IF(P1820="Sí",'Configuración'!$B$11,0)+IF(Q1820="Sí",'Configuración'!$B$12,0)+S1820+T1820+U1820)</f>
        <v>20</v>
      </c>
      <c r="W1820" s="39" t="str">
        <f>IF(B1820="","",IF(V1820&gt;='Configuración'!$B$19,"A",IF(V1820&gt;='Configuración'!$B$20,"B",IF(V1820&gt;='Configuración'!$B$21,"C","Descarte"))))</f>
        <v>Descarte</v>
      </c>
    </row>
    <row r="1821" ht="15.75" customHeight="1">
      <c r="A1821" s="34">
        <f t="shared" si="1"/>
        <v>1819</v>
      </c>
      <c r="B1821" s="29" t="s">
        <v>174</v>
      </c>
      <c r="C1821" s="29" t="s">
        <v>121</v>
      </c>
      <c r="D1821" s="29" t="s">
        <v>10092</v>
      </c>
      <c r="E1821" s="29" t="s">
        <v>10093</v>
      </c>
      <c r="F1821" s="30" t="s">
        <v>10094</v>
      </c>
      <c r="G1821" s="30" t="s">
        <v>10095</v>
      </c>
      <c r="H1821" s="42" t="s">
        <v>10096</v>
      </c>
      <c r="I1821" s="29" t="s">
        <v>3212</v>
      </c>
      <c r="J1821" s="31">
        <v>7.0</v>
      </c>
      <c r="K1821" s="35"/>
      <c r="L1821" s="35"/>
      <c r="M1821" s="35"/>
      <c r="N1821" s="35"/>
      <c r="O1821" s="35"/>
      <c r="P1821" s="35"/>
      <c r="Q1821" s="35"/>
      <c r="R1821" s="35"/>
      <c r="S1821" s="37">
        <f>IF(B1821="","",IF(ISNUMBER(J1821),IF(J1821&lt;=10,'Configuración'!$B$23,IF(J1821&lt;=50,'Configuración'!$B$24,IF(J1821&lt;=200,'Configuración'!$B$25,0))),0))</f>
        <v>12</v>
      </c>
      <c r="T1821" s="37">
        <f>IF(B1821="","",IF(ISNUMBER(SEARCH("information technology",I1821))+ISNUMBER(SEARCH("software",I1821))+ISNUMBER(SEARCH("internet",I1821))+ISNUMBER(SEARCH("computer",I1821))+ISNUMBER(SEARCH("saas",I1821))+ISNUMBER(SEARCH("fintech",I1821))+ISNUMBER(SEARCH("information services",I1821))+ISNUMBER(SEARCH("telecommunications",I1821))&gt;0,'Configuración'!$B$27,'Configuración'!$B$28))</f>
        <v>4</v>
      </c>
      <c r="U1821" s="25">
        <f>IF(B1821="","",IF(ISNUMBER(SEARCH("CEO",C1821))+ISNUMBER(SEARCH("Founder",C1821))+ISNUMBER(SEARCH("Owner",C1821))+ISNUMBER(SEARCH("Dueño",C1821))+ISNUMBER(SEARCH("Director General",C1821))+ISNUMBER(SEARCH("Presidente",C1821))+ISNUMBER(SEARCH("President",C1821))&gt;0,'Configuración'!$B$31,IF(ISNUMBER(SEARCH("CMO",C1821))+ISNUMBER(SEARCH("Chief Marketing",C1821))+ISNUMBER(SEARCH("VP Marketing",C1821))+ISNUMBER(SEARCH("Director de Marketing",C1821))+ISNUMBER(SEARCH("Director Marketing",C1821))+ISNUMBER(SEARCH("Head of Marketing",C1821))+ISNUMBER(SEARCH("Head Marketing",C1821))&gt;0,'Configuración'!$B$32,IF(ISNUMBER(SEARCH("Marketing Manager",C1821))+ISNUMBER(SEARCH("Gerente de Marketing",C1821))+ISNUMBER(SEARCH("Growth Manager",C1821))+ISNUMBER(SEARCH("Demand Gen",C1821))+ISNUMBER(SEARCH("Marketing Lead",C1821))&gt;0,'Configuración'!$B$33,IF(ISNUMBER(SEARCH("COO",C1821))+ISNUMBER(SEARCH("CFO",C1821))+ISNUMBER(SEARCH("CTO",C1821))+ISNUMBER(SEARCH("Chief Operating",C1821))+ISNUMBER(SEARCH("Chief Financial",C1821))+ISNUMBER(SEARCH("Gerente General",C1821))+ISNUMBER(SEARCH("General Manager",C1821))&gt;0,'Configuración'!$B$34,'Configuración'!$B$35)))))</f>
        <v>12</v>
      </c>
      <c r="V1821" s="38">
        <f>IF(B1821="","",IF(K1821="Sí",'Configuración'!$B$5,0)+IF(L1821="Semanal",'Configuración'!$B$6,IF(L1821="Mensual",'Configuración'!$B$7,0))+IF(M1821="Sí",'Configuración'!$B$8,0)+IF(N1821="Sí",'Configuración'!$B$9,0)+IF(O1821="Sí",'Configuración'!$B$10,0)+IF(P1821="Sí",'Configuración'!$B$11,0)+IF(Q1821="Sí",'Configuración'!$B$12,0)+S1821+T1821+U1821)</f>
        <v>28</v>
      </c>
      <c r="W1821" s="39" t="str">
        <f>IF(B1821="","",IF(V1821&gt;='Configuración'!$B$19,"A",IF(V1821&gt;='Configuración'!$B$20,"B",IF(V1821&gt;='Configuración'!$B$21,"C","Descarte"))))</f>
        <v>C</v>
      </c>
    </row>
    <row r="1822" ht="15.75" customHeight="1">
      <c r="A1822" s="34">
        <f t="shared" si="1"/>
        <v>1820</v>
      </c>
      <c r="B1822" s="29" t="s">
        <v>1109</v>
      </c>
      <c r="C1822" s="29" t="s">
        <v>146</v>
      </c>
      <c r="D1822" s="29" t="s">
        <v>10097</v>
      </c>
      <c r="E1822" s="29" t="s">
        <v>10098</v>
      </c>
      <c r="F1822" s="30" t="s">
        <v>10099</v>
      </c>
      <c r="G1822" s="30" t="s">
        <v>10100</v>
      </c>
      <c r="H1822" s="42" t="s">
        <v>10101</v>
      </c>
      <c r="I1822" s="29" t="s">
        <v>127</v>
      </c>
      <c r="J1822" s="31">
        <v>2.0</v>
      </c>
      <c r="K1822" s="35"/>
      <c r="L1822" s="35"/>
      <c r="M1822" s="35"/>
      <c r="N1822" s="35"/>
      <c r="O1822" s="35"/>
      <c r="P1822" s="35"/>
      <c r="Q1822" s="35"/>
      <c r="R1822" s="35"/>
      <c r="S1822" s="37">
        <f>IF(B1822="","",IF(ISNUMBER(J1822),IF(J1822&lt;=10,'Configuración'!$B$23,IF(J1822&lt;=50,'Configuración'!$B$24,IF(J1822&lt;=200,'Configuración'!$B$25,0))),0))</f>
        <v>12</v>
      </c>
      <c r="T1822" s="37">
        <f>IF(B1822="","",IF(ISNUMBER(SEARCH("information technology",I1822))+ISNUMBER(SEARCH("software",I1822))+ISNUMBER(SEARCH("internet",I1822))+ISNUMBER(SEARCH("computer",I1822))+ISNUMBER(SEARCH("saas",I1822))+ISNUMBER(SEARCH("fintech",I1822))+ISNUMBER(SEARCH("information services",I1822))+ISNUMBER(SEARCH("telecommunications",I1822))&gt;0,'Configuración'!$B$27,'Configuración'!$B$28))</f>
        <v>12</v>
      </c>
      <c r="U1822" s="25">
        <f>IF(B1822="","",IF(ISNUMBER(SEARCH("CEO",C1822))+ISNUMBER(SEARCH("Founder",C1822))+ISNUMBER(SEARCH("Owner",C1822))+ISNUMBER(SEARCH("Dueño",C1822))+ISNUMBER(SEARCH("Director General",C1822))+ISNUMBER(SEARCH("Presidente",C1822))+ISNUMBER(SEARCH("President",C1822))&gt;0,'Configuración'!$B$31,IF(ISNUMBER(SEARCH("CMO",C1822))+ISNUMBER(SEARCH("Chief Marketing",C1822))+ISNUMBER(SEARCH("VP Marketing",C1822))+ISNUMBER(SEARCH("Director de Marketing",C1822))+ISNUMBER(SEARCH("Director Marketing",C1822))+ISNUMBER(SEARCH("Head of Marketing",C1822))+ISNUMBER(SEARCH("Head Marketing",C1822))&gt;0,'Configuración'!$B$32,IF(ISNUMBER(SEARCH("Marketing Manager",C1822))+ISNUMBER(SEARCH("Gerente de Marketing",C1822))+ISNUMBER(SEARCH("Growth Manager",C1822))+ISNUMBER(SEARCH("Demand Gen",C1822))+ISNUMBER(SEARCH("Marketing Lead",C1822))&gt;0,'Configuración'!$B$33,IF(ISNUMBER(SEARCH("COO",C1822))+ISNUMBER(SEARCH("CFO",C1822))+ISNUMBER(SEARCH("CTO",C1822))+ISNUMBER(SEARCH("Chief Operating",C1822))+ISNUMBER(SEARCH("Chief Financial",C1822))+ISNUMBER(SEARCH("Gerente General",C1822))+ISNUMBER(SEARCH("General Manager",C1822))&gt;0,'Configuración'!$B$34,'Configuración'!$B$35)))))</f>
        <v>0</v>
      </c>
      <c r="V1822" s="38">
        <f>IF(B1822="","",IF(K1822="Sí",'Configuración'!$B$5,0)+IF(L1822="Semanal",'Configuración'!$B$6,IF(L1822="Mensual",'Configuración'!$B$7,0))+IF(M1822="Sí",'Configuración'!$B$8,0)+IF(N1822="Sí",'Configuración'!$B$9,0)+IF(O1822="Sí",'Configuración'!$B$10,0)+IF(P1822="Sí",'Configuración'!$B$11,0)+IF(Q1822="Sí",'Configuración'!$B$12,0)+S1822+T1822+U1822)</f>
        <v>24</v>
      </c>
      <c r="W1822" s="39" t="str">
        <f>IF(B1822="","",IF(V1822&gt;='Configuración'!$B$19,"A",IF(V1822&gt;='Configuración'!$B$20,"B",IF(V1822&gt;='Configuración'!$B$21,"C","Descarte"))))</f>
        <v>C</v>
      </c>
    </row>
    <row r="1823" ht="15.75" customHeight="1">
      <c r="A1823" s="34">
        <f t="shared" si="1"/>
        <v>1821</v>
      </c>
      <c r="B1823" s="29" t="s">
        <v>4723</v>
      </c>
      <c r="C1823" s="29" t="s">
        <v>10102</v>
      </c>
      <c r="D1823" s="40" t="s">
        <v>10103</v>
      </c>
      <c r="E1823" s="29" t="s">
        <v>10104</v>
      </c>
      <c r="F1823" s="30" t="s">
        <v>10105</v>
      </c>
      <c r="G1823" s="30" t="s">
        <v>10106</v>
      </c>
      <c r="H1823" s="42" t="s">
        <v>10107</v>
      </c>
      <c r="I1823" s="29" t="s">
        <v>127</v>
      </c>
      <c r="J1823" s="31">
        <v>1.0</v>
      </c>
      <c r="K1823" s="35"/>
      <c r="L1823" s="35"/>
      <c r="M1823" s="35"/>
      <c r="N1823" s="35"/>
      <c r="O1823" s="35"/>
      <c r="P1823" s="35"/>
      <c r="Q1823" s="35"/>
      <c r="R1823" s="35"/>
      <c r="S1823" s="37">
        <f>IF(B1823="","",IF(ISNUMBER(J1823),IF(J1823&lt;=10,'Configuración'!$B$23,IF(J1823&lt;=50,'Configuración'!$B$24,IF(J1823&lt;=200,'Configuración'!$B$25,0))),0))</f>
        <v>12</v>
      </c>
      <c r="T1823" s="37">
        <f>IF(B1823="","",IF(ISNUMBER(SEARCH("information technology",I1823))+ISNUMBER(SEARCH("software",I1823))+ISNUMBER(SEARCH("internet",I1823))+ISNUMBER(SEARCH("computer",I1823))+ISNUMBER(SEARCH("saas",I1823))+ISNUMBER(SEARCH("fintech",I1823))+ISNUMBER(SEARCH("information services",I1823))+ISNUMBER(SEARCH("telecommunications",I1823))&gt;0,'Configuración'!$B$27,'Configuración'!$B$28))</f>
        <v>12</v>
      </c>
      <c r="U1823" s="25">
        <f>IF(B1823="","",IF(ISNUMBER(SEARCH("CEO",C1823))+ISNUMBER(SEARCH("Founder",C1823))+ISNUMBER(SEARCH("Owner",C1823))+ISNUMBER(SEARCH("Dueño",C1823))+ISNUMBER(SEARCH("Director General",C1823))+ISNUMBER(SEARCH("Presidente",C1823))+ISNUMBER(SEARCH("President",C1823))&gt;0,'Configuración'!$B$31,IF(ISNUMBER(SEARCH("CMO",C1823))+ISNUMBER(SEARCH("Chief Marketing",C1823))+ISNUMBER(SEARCH("VP Marketing",C1823))+ISNUMBER(SEARCH("Director de Marketing",C1823))+ISNUMBER(SEARCH("Director Marketing",C1823))+ISNUMBER(SEARCH("Head of Marketing",C1823))+ISNUMBER(SEARCH("Head Marketing",C1823))&gt;0,'Configuración'!$B$32,IF(ISNUMBER(SEARCH("Marketing Manager",C1823))+ISNUMBER(SEARCH("Gerente de Marketing",C1823))+ISNUMBER(SEARCH("Growth Manager",C1823))+ISNUMBER(SEARCH("Demand Gen",C1823))+ISNUMBER(SEARCH("Marketing Lead",C1823))&gt;0,'Configuración'!$B$33,IF(ISNUMBER(SEARCH("COO",C1823))+ISNUMBER(SEARCH("CFO",C1823))+ISNUMBER(SEARCH("CTO",C1823))+ISNUMBER(SEARCH("Chief Operating",C1823))+ISNUMBER(SEARCH("Chief Financial",C1823))+ISNUMBER(SEARCH("Gerente General",C1823))+ISNUMBER(SEARCH("General Manager",C1823))&gt;0,'Configuración'!$B$34,'Configuración'!$B$35)))))</f>
        <v>12</v>
      </c>
      <c r="V1823" s="38">
        <f>IF(B1823="","",IF(K1823="Sí",'Configuración'!$B$5,0)+IF(L1823="Semanal",'Configuración'!$B$6,IF(L1823="Mensual",'Configuración'!$B$7,0))+IF(M1823="Sí",'Configuración'!$B$8,0)+IF(N1823="Sí",'Configuración'!$B$9,0)+IF(O1823="Sí",'Configuración'!$B$10,0)+IF(P1823="Sí",'Configuración'!$B$11,0)+IF(Q1823="Sí",'Configuración'!$B$12,0)+S1823+T1823+U1823)</f>
        <v>36</v>
      </c>
      <c r="W1823" s="39" t="str">
        <f>IF(B1823="","",IF(V1823&gt;='Configuración'!$B$19,"A",IF(V1823&gt;='Configuración'!$B$20,"B",IF(V1823&gt;='Configuración'!$B$21,"C","Descarte"))))</f>
        <v>C</v>
      </c>
    </row>
    <row r="1824" ht="15.75" customHeight="1">
      <c r="A1824" s="34">
        <f t="shared" si="1"/>
        <v>1822</v>
      </c>
      <c r="B1824" s="29" t="s">
        <v>1686</v>
      </c>
      <c r="C1824" s="29" t="s">
        <v>10108</v>
      </c>
      <c r="D1824" s="30" t="s">
        <v>10109</v>
      </c>
      <c r="E1824" s="29" t="s">
        <v>10110</v>
      </c>
      <c r="F1824" s="30" t="s">
        <v>10111</v>
      </c>
      <c r="G1824" s="30" t="s">
        <v>10112</v>
      </c>
      <c r="H1824" s="42" t="s">
        <v>10113</v>
      </c>
      <c r="I1824" s="29" t="s">
        <v>116</v>
      </c>
      <c r="J1824" s="31">
        <v>15.0</v>
      </c>
      <c r="K1824" s="35"/>
      <c r="L1824" s="35"/>
      <c r="M1824" s="35"/>
      <c r="N1824" s="35"/>
      <c r="O1824" s="35"/>
      <c r="P1824" s="35"/>
      <c r="Q1824" s="35"/>
      <c r="R1824" s="35"/>
      <c r="S1824" s="37">
        <f>IF(B1824="","",IF(ISNUMBER(J1824),IF(J1824&lt;=10,'Configuración'!$B$23,IF(J1824&lt;=50,'Configuración'!$B$24,IF(J1824&lt;=200,'Configuración'!$B$25,0))),0))</f>
        <v>4</v>
      </c>
      <c r="T1824" s="37">
        <f>IF(B1824="","",IF(ISNUMBER(SEARCH("information technology",I1824))+ISNUMBER(SEARCH("software",I1824))+ISNUMBER(SEARCH("internet",I1824))+ISNUMBER(SEARCH("computer",I1824))+ISNUMBER(SEARCH("saas",I1824))+ISNUMBER(SEARCH("fintech",I1824))+ISNUMBER(SEARCH("information services",I1824))+ISNUMBER(SEARCH("telecommunications",I1824))&gt;0,'Configuración'!$B$27,'Configuración'!$B$28))</f>
        <v>4</v>
      </c>
      <c r="U1824" s="25">
        <f>IF(B1824="","",IF(ISNUMBER(SEARCH("CEO",C1824))+ISNUMBER(SEARCH("Founder",C1824))+ISNUMBER(SEARCH("Owner",C1824))+ISNUMBER(SEARCH("Dueño",C1824))+ISNUMBER(SEARCH("Director General",C1824))+ISNUMBER(SEARCH("Presidente",C1824))+ISNUMBER(SEARCH("President",C1824))&gt;0,'Configuración'!$B$31,IF(ISNUMBER(SEARCH("CMO",C1824))+ISNUMBER(SEARCH("Chief Marketing",C1824))+ISNUMBER(SEARCH("VP Marketing",C1824))+ISNUMBER(SEARCH("Director de Marketing",C1824))+ISNUMBER(SEARCH("Director Marketing",C1824))+ISNUMBER(SEARCH("Head of Marketing",C1824))+ISNUMBER(SEARCH("Head Marketing",C1824))&gt;0,'Configuración'!$B$32,IF(ISNUMBER(SEARCH("Marketing Manager",C1824))+ISNUMBER(SEARCH("Gerente de Marketing",C1824))+ISNUMBER(SEARCH("Growth Manager",C1824))+ISNUMBER(SEARCH("Demand Gen",C1824))+ISNUMBER(SEARCH("Marketing Lead",C1824))&gt;0,'Configuración'!$B$33,IF(ISNUMBER(SEARCH("COO",C1824))+ISNUMBER(SEARCH("CFO",C1824))+ISNUMBER(SEARCH("CTO",C1824))+ISNUMBER(SEARCH("Chief Operating",C1824))+ISNUMBER(SEARCH("Chief Financial",C1824))+ISNUMBER(SEARCH("Gerente General",C1824))+ISNUMBER(SEARCH("General Manager",C1824))&gt;0,'Configuración'!$B$34,'Configuración'!$B$35)))))</f>
        <v>12</v>
      </c>
      <c r="V1824" s="38">
        <f>IF(B1824="","",IF(K1824="Sí",'Configuración'!$B$5,0)+IF(L1824="Semanal",'Configuración'!$B$6,IF(L1824="Mensual",'Configuración'!$B$7,0))+IF(M1824="Sí",'Configuración'!$B$8,0)+IF(N1824="Sí",'Configuración'!$B$9,0)+IF(O1824="Sí",'Configuración'!$B$10,0)+IF(P1824="Sí",'Configuración'!$B$11,0)+IF(Q1824="Sí",'Configuración'!$B$12,0)+S1824+T1824+U1824)</f>
        <v>20</v>
      </c>
      <c r="W1824" s="39" t="str">
        <f>IF(B1824="","",IF(V1824&gt;='Configuración'!$B$19,"A",IF(V1824&gt;='Configuración'!$B$20,"B",IF(V1824&gt;='Configuración'!$B$21,"C","Descarte"))))</f>
        <v>Descarte</v>
      </c>
    </row>
    <row r="1825" ht="15.75" customHeight="1">
      <c r="A1825" s="34">
        <f t="shared" si="1"/>
        <v>1823</v>
      </c>
      <c r="B1825" s="29" t="s">
        <v>10114</v>
      </c>
      <c r="C1825" s="29" t="s">
        <v>10115</v>
      </c>
      <c r="D1825" s="29" t="s">
        <v>10116</v>
      </c>
      <c r="E1825" s="29" t="s">
        <v>10117</v>
      </c>
      <c r="F1825" s="30" t="s">
        <v>10118</v>
      </c>
      <c r="G1825" s="30" t="s">
        <v>10119</v>
      </c>
      <c r="H1825" s="42" t="s">
        <v>10120</v>
      </c>
      <c r="I1825" s="29" t="s">
        <v>659</v>
      </c>
      <c r="J1825" s="31">
        <v>1.0</v>
      </c>
      <c r="K1825" s="35"/>
      <c r="L1825" s="35"/>
      <c r="M1825" s="35"/>
      <c r="N1825" s="35"/>
      <c r="O1825" s="35"/>
      <c r="P1825" s="35"/>
      <c r="Q1825" s="35"/>
      <c r="R1825" s="35"/>
      <c r="S1825" s="37">
        <f>IF(B1825="","",IF(ISNUMBER(J1825),IF(J1825&lt;=10,'Configuración'!$B$23,IF(J1825&lt;=50,'Configuración'!$B$24,IF(J1825&lt;=200,'Configuración'!$B$25,0))),0))</f>
        <v>12</v>
      </c>
      <c r="T1825" s="37">
        <f>IF(B1825="","",IF(ISNUMBER(SEARCH("information technology",I1825))+ISNUMBER(SEARCH("software",I1825))+ISNUMBER(SEARCH("internet",I1825))+ISNUMBER(SEARCH("computer",I1825))+ISNUMBER(SEARCH("saas",I1825))+ISNUMBER(SEARCH("fintech",I1825))+ISNUMBER(SEARCH("information services",I1825))+ISNUMBER(SEARCH("telecommunications",I1825))&gt;0,'Configuración'!$B$27,'Configuración'!$B$28))</f>
        <v>4</v>
      </c>
      <c r="U1825" s="25">
        <f>IF(B1825="","",IF(ISNUMBER(SEARCH("CEO",C1825))+ISNUMBER(SEARCH("Founder",C1825))+ISNUMBER(SEARCH("Owner",C1825))+ISNUMBER(SEARCH("Dueño",C1825))+ISNUMBER(SEARCH("Director General",C1825))+ISNUMBER(SEARCH("Presidente",C1825))+ISNUMBER(SEARCH("President",C1825))&gt;0,'Configuración'!$B$31,IF(ISNUMBER(SEARCH("CMO",C1825))+ISNUMBER(SEARCH("Chief Marketing",C1825))+ISNUMBER(SEARCH("VP Marketing",C1825))+ISNUMBER(SEARCH("Director de Marketing",C1825))+ISNUMBER(SEARCH("Director Marketing",C1825))+ISNUMBER(SEARCH("Head of Marketing",C1825))+ISNUMBER(SEARCH("Head Marketing",C1825))&gt;0,'Configuración'!$B$32,IF(ISNUMBER(SEARCH("Marketing Manager",C1825))+ISNUMBER(SEARCH("Gerente de Marketing",C1825))+ISNUMBER(SEARCH("Growth Manager",C1825))+ISNUMBER(SEARCH("Demand Gen",C1825))+ISNUMBER(SEARCH("Marketing Lead",C1825))&gt;0,'Configuración'!$B$33,IF(ISNUMBER(SEARCH("COO",C1825))+ISNUMBER(SEARCH("CFO",C1825))+ISNUMBER(SEARCH("CTO",C1825))+ISNUMBER(SEARCH("Chief Operating",C1825))+ISNUMBER(SEARCH("Chief Financial",C1825))+ISNUMBER(SEARCH("Gerente General",C1825))+ISNUMBER(SEARCH("General Manager",C1825))&gt;0,'Configuración'!$B$34,'Configuración'!$B$35)))))</f>
        <v>12</v>
      </c>
      <c r="V1825" s="38">
        <f>IF(B1825="","",IF(K1825="Sí",'Configuración'!$B$5,0)+IF(L1825="Semanal",'Configuración'!$B$6,IF(L1825="Mensual",'Configuración'!$B$7,0))+IF(M1825="Sí",'Configuración'!$B$8,0)+IF(N1825="Sí",'Configuración'!$B$9,0)+IF(O1825="Sí",'Configuración'!$B$10,0)+IF(P1825="Sí",'Configuración'!$B$11,0)+IF(Q1825="Sí",'Configuración'!$B$12,0)+S1825+T1825+U1825)</f>
        <v>28</v>
      </c>
      <c r="W1825" s="39" t="str">
        <f>IF(B1825="","",IF(V1825&gt;='Configuración'!$B$19,"A",IF(V1825&gt;='Configuración'!$B$20,"B",IF(V1825&gt;='Configuración'!$B$21,"C","Descarte"))))</f>
        <v>C</v>
      </c>
    </row>
    <row r="1826" ht="15.75" customHeight="1">
      <c r="A1826" s="34">
        <f t="shared" si="1"/>
        <v>1824</v>
      </c>
      <c r="B1826" s="29" t="s">
        <v>166</v>
      </c>
      <c r="C1826" s="29" t="s">
        <v>10121</v>
      </c>
      <c r="D1826" s="29" t="s">
        <v>10122</v>
      </c>
      <c r="E1826" s="29" t="s">
        <v>10123</v>
      </c>
      <c r="F1826" s="30" t="s">
        <v>10124</v>
      </c>
      <c r="G1826" s="30" t="s">
        <v>10125</v>
      </c>
      <c r="H1826" s="42" t="s">
        <v>10126</v>
      </c>
      <c r="I1826" s="29" t="s">
        <v>127</v>
      </c>
      <c r="J1826" s="31">
        <v>7.0</v>
      </c>
      <c r="K1826" s="35"/>
      <c r="L1826" s="35"/>
      <c r="M1826" s="35"/>
      <c r="N1826" s="35"/>
      <c r="O1826" s="35"/>
      <c r="P1826" s="35"/>
      <c r="Q1826" s="35"/>
      <c r="R1826" s="35"/>
      <c r="S1826" s="37">
        <f>IF(B1826="","",IF(ISNUMBER(J1826),IF(J1826&lt;=10,'Configuración'!$B$23,IF(J1826&lt;=50,'Configuración'!$B$24,IF(J1826&lt;=200,'Configuración'!$B$25,0))),0))</f>
        <v>12</v>
      </c>
      <c r="T1826" s="37">
        <f>IF(B1826="","",IF(ISNUMBER(SEARCH("information technology",I1826))+ISNUMBER(SEARCH("software",I1826))+ISNUMBER(SEARCH("internet",I1826))+ISNUMBER(SEARCH("computer",I1826))+ISNUMBER(SEARCH("saas",I1826))+ISNUMBER(SEARCH("fintech",I1826))+ISNUMBER(SEARCH("information services",I1826))+ISNUMBER(SEARCH("telecommunications",I1826))&gt;0,'Configuración'!$B$27,'Configuración'!$B$28))</f>
        <v>12</v>
      </c>
      <c r="U1826" s="25">
        <f>IF(B1826="","",IF(ISNUMBER(SEARCH("CEO",C1826))+ISNUMBER(SEARCH("Founder",C1826))+ISNUMBER(SEARCH("Owner",C1826))+ISNUMBER(SEARCH("Dueño",C1826))+ISNUMBER(SEARCH("Director General",C1826))+ISNUMBER(SEARCH("Presidente",C1826))+ISNUMBER(SEARCH("President",C1826))&gt;0,'Configuración'!$B$31,IF(ISNUMBER(SEARCH("CMO",C1826))+ISNUMBER(SEARCH("Chief Marketing",C1826))+ISNUMBER(SEARCH("VP Marketing",C1826))+ISNUMBER(SEARCH("Director de Marketing",C1826))+ISNUMBER(SEARCH("Director Marketing",C1826))+ISNUMBER(SEARCH("Head of Marketing",C1826))+ISNUMBER(SEARCH("Head Marketing",C1826))&gt;0,'Configuración'!$B$32,IF(ISNUMBER(SEARCH("Marketing Manager",C1826))+ISNUMBER(SEARCH("Gerente de Marketing",C1826))+ISNUMBER(SEARCH("Growth Manager",C1826))+ISNUMBER(SEARCH("Demand Gen",C1826))+ISNUMBER(SEARCH("Marketing Lead",C1826))&gt;0,'Configuración'!$B$33,IF(ISNUMBER(SEARCH("COO",C1826))+ISNUMBER(SEARCH("CFO",C1826))+ISNUMBER(SEARCH("CTO",C1826))+ISNUMBER(SEARCH("Chief Operating",C1826))+ISNUMBER(SEARCH("Chief Financial",C1826))+ISNUMBER(SEARCH("Gerente General",C1826))+ISNUMBER(SEARCH("General Manager",C1826))&gt;0,'Configuración'!$B$34,'Configuración'!$B$35)))))</f>
        <v>12</v>
      </c>
      <c r="V1826" s="38">
        <f>IF(B1826="","",IF(K1826="Sí",'Configuración'!$B$5,0)+IF(L1826="Semanal",'Configuración'!$B$6,IF(L1826="Mensual",'Configuración'!$B$7,0))+IF(M1826="Sí",'Configuración'!$B$8,0)+IF(N1826="Sí",'Configuración'!$B$9,0)+IF(O1826="Sí",'Configuración'!$B$10,0)+IF(P1826="Sí",'Configuración'!$B$11,0)+IF(Q1826="Sí",'Configuración'!$B$12,0)+S1826+T1826+U1826)</f>
        <v>36</v>
      </c>
      <c r="W1826" s="39" t="str">
        <f>IF(B1826="","",IF(V1826&gt;='Configuración'!$B$19,"A",IF(V1826&gt;='Configuración'!$B$20,"B",IF(V1826&gt;='Configuración'!$B$21,"C","Descarte"))))</f>
        <v>C</v>
      </c>
    </row>
    <row r="1827" ht="15.75" customHeight="1">
      <c r="A1827" s="34">
        <f t="shared" si="1"/>
        <v>1825</v>
      </c>
      <c r="B1827" s="29" t="s">
        <v>3229</v>
      </c>
      <c r="C1827" s="29" t="s">
        <v>131</v>
      </c>
      <c r="D1827" s="29" t="s">
        <v>10127</v>
      </c>
      <c r="E1827" s="29" t="s">
        <v>10128</v>
      </c>
      <c r="F1827" s="30" t="s">
        <v>10129</v>
      </c>
      <c r="G1827" s="30" t="s">
        <v>10130</v>
      </c>
      <c r="H1827" s="42" t="s">
        <v>10131</v>
      </c>
      <c r="I1827" s="29" t="s">
        <v>127</v>
      </c>
      <c r="J1827" s="31">
        <v>15.0</v>
      </c>
      <c r="K1827" s="35"/>
      <c r="L1827" s="35"/>
      <c r="M1827" s="35"/>
      <c r="N1827" s="35"/>
      <c r="O1827" s="35"/>
      <c r="P1827" s="35"/>
      <c r="Q1827" s="35"/>
      <c r="R1827" s="35"/>
      <c r="S1827" s="37">
        <f>IF(B1827="","",IF(ISNUMBER(J1827),IF(J1827&lt;=10,'Configuración'!$B$23,IF(J1827&lt;=50,'Configuración'!$B$24,IF(J1827&lt;=200,'Configuración'!$B$25,0))),0))</f>
        <v>4</v>
      </c>
      <c r="T1827" s="37">
        <f>IF(B1827="","",IF(ISNUMBER(SEARCH("information technology",I1827))+ISNUMBER(SEARCH("software",I1827))+ISNUMBER(SEARCH("internet",I1827))+ISNUMBER(SEARCH("computer",I1827))+ISNUMBER(SEARCH("saas",I1827))+ISNUMBER(SEARCH("fintech",I1827))+ISNUMBER(SEARCH("information services",I1827))+ISNUMBER(SEARCH("telecommunications",I1827))&gt;0,'Configuración'!$B$27,'Configuración'!$B$28))</f>
        <v>12</v>
      </c>
      <c r="U1827" s="25">
        <f>IF(B1827="","",IF(ISNUMBER(SEARCH("CEO",C1827))+ISNUMBER(SEARCH("Founder",C1827))+ISNUMBER(SEARCH("Owner",C1827))+ISNUMBER(SEARCH("Dueño",C1827))+ISNUMBER(SEARCH("Director General",C1827))+ISNUMBER(SEARCH("Presidente",C1827))+ISNUMBER(SEARCH("President",C1827))&gt;0,'Configuración'!$B$31,IF(ISNUMBER(SEARCH("CMO",C1827))+ISNUMBER(SEARCH("Chief Marketing",C1827))+ISNUMBER(SEARCH("VP Marketing",C1827))+ISNUMBER(SEARCH("Director de Marketing",C1827))+ISNUMBER(SEARCH("Director Marketing",C1827))+ISNUMBER(SEARCH("Head of Marketing",C1827))+ISNUMBER(SEARCH("Head Marketing",C1827))&gt;0,'Configuración'!$B$32,IF(ISNUMBER(SEARCH("Marketing Manager",C1827))+ISNUMBER(SEARCH("Gerente de Marketing",C1827))+ISNUMBER(SEARCH("Growth Manager",C1827))+ISNUMBER(SEARCH("Demand Gen",C1827))+ISNUMBER(SEARCH("Marketing Lead",C1827))&gt;0,'Configuración'!$B$33,IF(ISNUMBER(SEARCH("COO",C1827))+ISNUMBER(SEARCH("CFO",C1827))+ISNUMBER(SEARCH("CTO",C1827))+ISNUMBER(SEARCH("Chief Operating",C1827))+ISNUMBER(SEARCH("Chief Financial",C1827))+ISNUMBER(SEARCH("Gerente General",C1827))+ISNUMBER(SEARCH("General Manager",C1827))&gt;0,'Configuración'!$B$34,'Configuración'!$B$35)))))</f>
        <v>12</v>
      </c>
      <c r="V1827" s="38">
        <f>IF(B1827="","",IF(K1827="Sí",'Configuración'!$B$5,0)+IF(L1827="Semanal",'Configuración'!$B$6,IF(L1827="Mensual",'Configuración'!$B$7,0))+IF(M1827="Sí",'Configuración'!$B$8,0)+IF(N1827="Sí",'Configuración'!$B$9,0)+IF(O1827="Sí",'Configuración'!$B$10,0)+IF(P1827="Sí",'Configuración'!$B$11,0)+IF(Q1827="Sí",'Configuración'!$B$12,0)+S1827+T1827+U1827)</f>
        <v>28</v>
      </c>
      <c r="W1827" s="39" t="str">
        <f>IF(B1827="","",IF(V1827&gt;='Configuración'!$B$19,"A",IF(V1827&gt;='Configuración'!$B$20,"B",IF(V1827&gt;='Configuración'!$B$21,"C","Descarte"))))</f>
        <v>C</v>
      </c>
    </row>
    <row r="1828" ht="15.75" customHeight="1">
      <c r="A1828" s="34">
        <f t="shared" si="1"/>
        <v>1826</v>
      </c>
      <c r="B1828" s="29" t="s">
        <v>1814</v>
      </c>
      <c r="C1828" s="29" t="s">
        <v>10132</v>
      </c>
      <c r="D1828" s="29" t="s">
        <v>10133</v>
      </c>
      <c r="E1828" s="29" t="s">
        <v>10134</v>
      </c>
      <c r="F1828" s="30" t="s">
        <v>10135</v>
      </c>
      <c r="G1828" s="30" t="s">
        <v>10136</v>
      </c>
      <c r="H1828" s="42" t="s">
        <v>10137</v>
      </c>
      <c r="I1828" s="29" t="s">
        <v>116</v>
      </c>
      <c r="J1828" s="31">
        <v>4.0</v>
      </c>
      <c r="K1828" s="35"/>
      <c r="L1828" s="35"/>
      <c r="M1828" s="35"/>
      <c r="N1828" s="35"/>
      <c r="O1828" s="35"/>
      <c r="P1828" s="35"/>
      <c r="Q1828" s="35"/>
      <c r="R1828" s="35"/>
      <c r="S1828" s="37">
        <f>IF(B1828="","",IF(ISNUMBER(J1828),IF(J1828&lt;=10,'Configuración'!$B$23,IF(J1828&lt;=50,'Configuración'!$B$24,IF(J1828&lt;=200,'Configuración'!$B$25,0))),0))</f>
        <v>12</v>
      </c>
      <c r="T1828" s="37">
        <f>IF(B1828="","",IF(ISNUMBER(SEARCH("information technology",I1828))+ISNUMBER(SEARCH("software",I1828))+ISNUMBER(SEARCH("internet",I1828))+ISNUMBER(SEARCH("computer",I1828))+ISNUMBER(SEARCH("saas",I1828))+ISNUMBER(SEARCH("fintech",I1828))+ISNUMBER(SEARCH("information services",I1828))+ISNUMBER(SEARCH("telecommunications",I1828))&gt;0,'Configuración'!$B$27,'Configuración'!$B$28))</f>
        <v>4</v>
      </c>
      <c r="U1828" s="25">
        <f>IF(B1828="","",IF(ISNUMBER(SEARCH("CEO",C1828))+ISNUMBER(SEARCH("Founder",C1828))+ISNUMBER(SEARCH("Owner",C1828))+ISNUMBER(SEARCH("Dueño",C1828))+ISNUMBER(SEARCH("Director General",C1828))+ISNUMBER(SEARCH("Presidente",C1828))+ISNUMBER(SEARCH("President",C1828))&gt;0,'Configuración'!$B$31,IF(ISNUMBER(SEARCH("CMO",C1828))+ISNUMBER(SEARCH("Chief Marketing",C1828))+ISNUMBER(SEARCH("VP Marketing",C1828))+ISNUMBER(SEARCH("Director de Marketing",C1828))+ISNUMBER(SEARCH("Director Marketing",C1828))+ISNUMBER(SEARCH("Head of Marketing",C1828))+ISNUMBER(SEARCH("Head Marketing",C1828))&gt;0,'Configuración'!$B$32,IF(ISNUMBER(SEARCH("Marketing Manager",C1828))+ISNUMBER(SEARCH("Gerente de Marketing",C1828))+ISNUMBER(SEARCH("Growth Manager",C1828))+ISNUMBER(SEARCH("Demand Gen",C1828))+ISNUMBER(SEARCH("Marketing Lead",C1828))&gt;0,'Configuración'!$B$33,IF(ISNUMBER(SEARCH("COO",C1828))+ISNUMBER(SEARCH("CFO",C1828))+ISNUMBER(SEARCH("CTO",C1828))+ISNUMBER(SEARCH("Chief Operating",C1828))+ISNUMBER(SEARCH("Chief Financial",C1828))+ISNUMBER(SEARCH("Gerente General",C1828))+ISNUMBER(SEARCH("General Manager",C1828))&gt;0,'Configuración'!$B$34,'Configuración'!$B$35)))))</f>
        <v>12</v>
      </c>
      <c r="V1828" s="38">
        <f>IF(B1828="","",IF(K1828="Sí",'Configuración'!$B$5,0)+IF(L1828="Semanal",'Configuración'!$B$6,IF(L1828="Mensual",'Configuración'!$B$7,0))+IF(M1828="Sí",'Configuración'!$B$8,0)+IF(N1828="Sí",'Configuración'!$B$9,0)+IF(O1828="Sí",'Configuración'!$B$10,0)+IF(P1828="Sí",'Configuración'!$B$11,0)+IF(Q1828="Sí",'Configuración'!$B$12,0)+S1828+T1828+U1828)</f>
        <v>28</v>
      </c>
      <c r="W1828" s="39" t="str">
        <f>IF(B1828="","",IF(V1828&gt;='Configuración'!$B$19,"A",IF(V1828&gt;='Configuración'!$B$20,"B",IF(V1828&gt;='Configuración'!$B$21,"C","Descarte"))))</f>
        <v>C</v>
      </c>
    </row>
    <row r="1829" ht="15.75" customHeight="1">
      <c r="A1829" s="34">
        <f t="shared" si="1"/>
        <v>1827</v>
      </c>
      <c r="B1829" s="29" t="s">
        <v>10138</v>
      </c>
      <c r="C1829" s="29" t="s">
        <v>304</v>
      </c>
      <c r="D1829" s="29" t="s">
        <v>10139</v>
      </c>
      <c r="E1829" s="29" t="s">
        <v>10140</v>
      </c>
      <c r="F1829" s="30" t="s">
        <v>10141</v>
      </c>
      <c r="G1829" s="30" t="s">
        <v>10142</v>
      </c>
      <c r="H1829" s="42" t="s">
        <v>10143</v>
      </c>
      <c r="I1829" s="29" t="s">
        <v>1245</v>
      </c>
      <c r="J1829" s="31">
        <v>29.0</v>
      </c>
      <c r="K1829" s="35"/>
      <c r="L1829" s="35"/>
      <c r="M1829" s="35"/>
      <c r="N1829" s="35"/>
      <c r="O1829" s="35"/>
      <c r="P1829" s="35"/>
      <c r="Q1829" s="35"/>
      <c r="R1829" s="35"/>
      <c r="S1829" s="37">
        <f>IF(B1829="","",IF(ISNUMBER(J1829),IF(J1829&lt;=10,'Configuración'!$B$23,IF(J1829&lt;=50,'Configuración'!$B$24,IF(J1829&lt;=200,'Configuración'!$B$25,0))),0))</f>
        <v>4</v>
      </c>
      <c r="T1829" s="37">
        <f>IF(B1829="","",IF(ISNUMBER(SEARCH("information technology",I1829))+ISNUMBER(SEARCH("software",I1829))+ISNUMBER(SEARCH("internet",I1829))+ISNUMBER(SEARCH("computer",I1829))+ISNUMBER(SEARCH("saas",I1829))+ISNUMBER(SEARCH("fintech",I1829))+ISNUMBER(SEARCH("information services",I1829))+ISNUMBER(SEARCH("telecommunications",I1829))&gt;0,'Configuración'!$B$27,'Configuración'!$B$28))</f>
        <v>4</v>
      </c>
      <c r="U1829" s="25">
        <f>IF(B1829="","",IF(ISNUMBER(SEARCH("CEO",C1829))+ISNUMBER(SEARCH("Founder",C1829))+ISNUMBER(SEARCH("Owner",C1829))+ISNUMBER(SEARCH("Dueño",C1829))+ISNUMBER(SEARCH("Director General",C1829))+ISNUMBER(SEARCH("Presidente",C1829))+ISNUMBER(SEARCH("President",C1829))&gt;0,'Configuración'!$B$31,IF(ISNUMBER(SEARCH("CMO",C1829))+ISNUMBER(SEARCH("Chief Marketing",C1829))+ISNUMBER(SEARCH("VP Marketing",C1829))+ISNUMBER(SEARCH("Director de Marketing",C1829))+ISNUMBER(SEARCH("Director Marketing",C1829))+ISNUMBER(SEARCH("Head of Marketing",C1829))+ISNUMBER(SEARCH("Head Marketing",C1829))&gt;0,'Configuración'!$B$32,IF(ISNUMBER(SEARCH("Marketing Manager",C1829))+ISNUMBER(SEARCH("Gerente de Marketing",C1829))+ISNUMBER(SEARCH("Growth Manager",C1829))+ISNUMBER(SEARCH("Demand Gen",C1829))+ISNUMBER(SEARCH("Marketing Lead",C1829))&gt;0,'Configuración'!$B$33,IF(ISNUMBER(SEARCH("COO",C1829))+ISNUMBER(SEARCH("CFO",C1829))+ISNUMBER(SEARCH("CTO",C1829))+ISNUMBER(SEARCH("Chief Operating",C1829))+ISNUMBER(SEARCH("Chief Financial",C1829))+ISNUMBER(SEARCH("Gerente General",C1829))+ISNUMBER(SEARCH("General Manager",C1829))&gt;0,'Configuración'!$B$34,'Configuración'!$B$35)))))</f>
        <v>4</v>
      </c>
      <c r="V1829" s="38">
        <f>IF(B1829="","",IF(K1829="Sí",'Configuración'!$B$5,0)+IF(L1829="Semanal",'Configuración'!$B$6,IF(L1829="Mensual",'Configuración'!$B$7,0))+IF(M1829="Sí",'Configuración'!$B$8,0)+IF(N1829="Sí",'Configuración'!$B$9,0)+IF(O1829="Sí",'Configuración'!$B$10,0)+IF(P1829="Sí",'Configuración'!$B$11,0)+IF(Q1829="Sí",'Configuración'!$B$12,0)+S1829+T1829+U1829)</f>
        <v>12</v>
      </c>
      <c r="W1829" s="39" t="str">
        <f>IF(B1829="","",IF(V1829&gt;='Configuración'!$B$19,"A",IF(V1829&gt;='Configuración'!$B$20,"B",IF(V1829&gt;='Configuración'!$B$21,"C","Descarte"))))</f>
        <v>Descarte</v>
      </c>
    </row>
    <row r="1830" ht="15.75" customHeight="1">
      <c r="A1830" s="34">
        <f t="shared" si="1"/>
        <v>1828</v>
      </c>
      <c r="B1830" s="29" t="s">
        <v>331</v>
      </c>
      <c r="C1830" s="29" t="s">
        <v>10144</v>
      </c>
      <c r="D1830" s="29" t="s">
        <v>10145</v>
      </c>
      <c r="E1830" s="29" t="s">
        <v>10146</v>
      </c>
      <c r="F1830" s="30" t="s">
        <v>10147</v>
      </c>
      <c r="G1830" s="30" t="s">
        <v>10148</v>
      </c>
      <c r="H1830" s="42" t="s">
        <v>10149</v>
      </c>
      <c r="I1830" s="29" t="s">
        <v>450</v>
      </c>
      <c r="J1830" s="31">
        <v>32.0</v>
      </c>
      <c r="K1830" s="35"/>
      <c r="L1830" s="35"/>
      <c r="M1830" s="35"/>
      <c r="N1830" s="35"/>
      <c r="O1830" s="35"/>
      <c r="P1830" s="35"/>
      <c r="Q1830" s="35"/>
      <c r="R1830" s="35"/>
      <c r="S1830" s="37">
        <f>IF(B1830="","",IF(ISNUMBER(J1830),IF(J1830&lt;=10,'Configuración'!$B$23,IF(J1830&lt;=50,'Configuración'!$B$24,IF(J1830&lt;=200,'Configuración'!$B$25,0))),0))</f>
        <v>4</v>
      </c>
      <c r="T1830" s="37">
        <f>IF(B1830="","",IF(ISNUMBER(SEARCH("information technology",I1830))+ISNUMBER(SEARCH("software",I1830))+ISNUMBER(SEARCH("internet",I1830))+ISNUMBER(SEARCH("computer",I1830))+ISNUMBER(SEARCH("saas",I1830))+ISNUMBER(SEARCH("fintech",I1830))+ISNUMBER(SEARCH("information services",I1830))+ISNUMBER(SEARCH("telecommunications",I1830))&gt;0,'Configuración'!$B$27,'Configuración'!$B$28))</f>
        <v>12</v>
      </c>
      <c r="U1830" s="25">
        <f>IF(B1830="","",IF(ISNUMBER(SEARCH("CEO",C1830))+ISNUMBER(SEARCH("Founder",C1830))+ISNUMBER(SEARCH("Owner",C1830))+ISNUMBER(SEARCH("Dueño",C1830))+ISNUMBER(SEARCH("Director General",C1830))+ISNUMBER(SEARCH("Presidente",C1830))+ISNUMBER(SEARCH("President",C1830))&gt;0,'Configuración'!$B$31,IF(ISNUMBER(SEARCH("CMO",C1830))+ISNUMBER(SEARCH("Chief Marketing",C1830))+ISNUMBER(SEARCH("VP Marketing",C1830))+ISNUMBER(SEARCH("Director de Marketing",C1830))+ISNUMBER(SEARCH("Director Marketing",C1830))+ISNUMBER(SEARCH("Head of Marketing",C1830))+ISNUMBER(SEARCH("Head Marketing",C1830))&gt;0,'Configuración'!$B$32,IF(ISNUMBER(SEARCH("Marketing Manager",C1830))+ISNUMBER(SEARCH("Gerente de Marketing",C1830))+ISNUMBER(SEARCH("Growth Manager",C1830))+ISNUMBER(SEARCH("Demand Gen",C1830))+ISNUMBER(SEARCH("Marketing Lead",C1830))&gt;0,'Configuración'!$B$33,IF(ISNUMBER(SEARCH("COO",C1830))+ISNUMBER(SEARCH("CFO",C1830))+ISNUMBER(SEARCH("CTO",C1830))+ISNUMBER(SEARCH("Chief Operating",C1830))+ISNUMBER(SEARCH("Chief Financial",C1830))+ISNUMBER(SEARCH("Gerente General",C1830))+ISNUMBER(SEARCH("General Manager",C1830))&gt;0,'Configuración'!$B$34,'Configuración'!$B$35)))))</f>
        <v>12</v>
      </c>
      <c r="V1830" s="38">
        <f>IF(B1830="","",IF(K1830="Sí",'Configuración'!$B$5,0)+IF(L1830="Semanal",'Configuración'!$B$6,IF(L1830="Mensual",'Configuración'!$B$7,0))+IF(M1830="Sí",'Configuración'!$B$8,0)+IF(N1830="Sí",'Configuración'!$B$9,0)+IF(O1830="Sí",'Configuración'!$B$10,0)+IF(P1830="Sí",'Configuración'!$B$11,0)+IF(Q1830="Sí",'Configuración'!$B$12,0)+S1830+T1830+U1830)</f>
        <v>28</v>
      </c>
      <c r="W1830" s="39" t="str">
        <f>IF(B1830="","",IF(V1830&gt;='Configuración'!$B$19,"A",IF(V1830&gt;='Configuración'!$B$20,"B",IF(V1830&gt;='Configuración'!$B$21,"C","Descarte"))))</f>
        <v>C</v>
      </c>
    </row>
    <row r="1831" ht="15.75" customHeight="1">
      <c r="A1831" s="34">
        <f t="shared" si="1"/>
        <v>1829</v>
      </c>
      <c r="B1831" s="29" t="s">
        <v>6397</v>
      </c>
      <c r="C1831" s="29" t="s">
        <v>146</v>
      </c>
      <c r="D1831" s="29" t="s">
        <v>10150</v>
      </c>
      <c r="E1831" s="29" t="s">
        <v>10151</v>
      </c>
      <c r="F1831" s="30" t="s">
        <v>10152</v>
      </c>
      <c r="G1831" s="30" t="s">
        <v>10153</v>
      </c>
      <c r="H1831" s="42" t="s">
        <v>10154</v>
      </c>
      <c r="I1831" s="29" t="s">
        <v>127</v>
      </c>
      <c r="J1831" s="31">
        <v>24.0</v>
      </c>
      <c r="K1831" s="35"/>
      <c r="L1831" s="35"/>
      <c r="M1831" s="35"/>
      <c r="N1831" s="35"/>
      <c r="O1831" s="35"/>
      <c r="P1831" s="35"/>
      <c r="Q1831" s="35"/>
      <c r="R1831" s="35"/>
      <c r="S1831" s="37">
        <f>IF(B1831="","",IF(ISNUMBER(J1831),IF(J1831&lt;=10,'Configuración'!$B$23,IF(J1831&lt;=50,'Configuración'!$B$24,IF(J1831&lt;=200,'Configuración'!$B$25,0))),0))</f>
        <v>4</v>
      </c>
      <c r="T1831" s="37">
        <f>IF(B1831="","",IF(ISNUMBER(SEARCH("information technology",I1831))+ISNUMBER(SEARCH("software",I1831))+ISNUMBER(SEARCH("internet",I1831))+ISNUMBER(SEARCH("computer",I1831))+ISNUMBER(SEARCH("saas",I1831))+ISNUMBER(SEARCH("fintech",I1831))+ISNUMBER(SEARCH("information services",I1831))+ISNUMBER(SEARCH("telecommunications",I1831))&gt;0,'Configuración'!$B$27,'Configuración'!$B$28))</f>
        <v>12</v>
      </c>
      <c r="U1831" s="25">
        <f>IF(B1831="","",IF(ISNUMBER(SEARCH("CEO",C1831))+ISNUMBER(SEARCH("Founder",C1831))+ISNUMBER(SEARCH("Owner",C1831))+ISNUMBER(SEARCH("Dueño",C1831))+ISNUMBER(SEARCH("Director General",C1831))+ISNUMBER(SEARCH("Presidente",C1831))+ISNUMBER(SEARCH("President",C1831))&gt;0,'Configuración'!$B$31,IF(ISNUMBER(SEARCH("CMO",C1831))+ISNUMBER(SEARCH("Chief Marketing",C1831))+ISNUMBER(SEARCH("VP Marketing",C1831))+ISNUMBER(SEARCH("Director de Marketing",C1831))+ISNUMBER(SEARCH("Director Marketing",C1831))+ISNUMBER(SEARCH("Head of Marketing",C1831))+ISNUMBER(SEARCH("Head Marketing",C1831))&gt;0,'Configuración'!$B$32,IF(ISNUMBER(SEARCH("Marketing Manager",C1831))+ISNUMBER(SEARCH("Gerente de Marketing",C1831))+ISNUMBER(SEARCH("Growth Manager",C1831))+ISNUMBER(SEARCH("Demand Gen",C1831))+ISNUMBER(SEARCH("Marketing Lead",C1831))&gt;0,'Configuración'!$B$33,IF(ISNUMBER(SEARCH("COO",C1831))+ISNUMBER(SEARCH("CFO",C1831))+ISNUMBER(SEARCH("CTO",C1831))+ISNUMBER(SEARCH("Chief Operating",C1831))+ISNUMBER(SEARCH("Chief Financial",C1831))+ISNUMBER(SEARCH("Gerente General",C1831))+ISNUMBER(SEARCH("General Manager",C1831))&gt;0,'Configuración'!$B$34,'Configuración'!$B$35)))))</f>
        <v>0</v>
      </c>
      <c r="V1831" s="38">
        <f>IF(B1831="","",IF(K1831="Sí",'Configuración'!$B$5,0)+IF(L1831="Semanal",'Configuración'!$B$6,IF(L1831="Mensual",'Configuración'!$B$7,0))+IF(M1831="Sí",'Configuración'!$B$8,0)+IF(N1831="Sí",'Configuración'!$B$9,0)+IF(O1831="Sí",'Configuración'!$B$10,0)+IF(P1831="Sí",'Configuración'!$B$11,0)+IF(Q1831="Sí",'Configuración'!$B$12,0)+S1831+T1831+U1831)</f>
        <v>16</v>
      </c>
      <c r="W1831" s="39" t="str">
        <f>IF(B1831="","",IF(V1831&gt;='Configuración'!$B$19,"A",IF(V1831&gt;='Configuración'!$B$20,"B",IF(V1831&gt;='Configuración'!$B$21,"C","Descarte"))))</f>
        <v>Descarte</v>
      </c>
    </row>
    <row r="1832" ht="15.75" customHeight="1">
      <c r="A1832" s="34">
        <f t="shared" si="1"/>
        <v>1830</v>
      </c>
      <c r="B1832" s="29" t="s">
        <v>501</v>
      </c>
      <c r="C1832" s="29" t="s">
        <v>7554</v>
      </c>
      <c r="D1832" s="29" t="s">
        <v>10155</v>
      </c>
      <c r="E1832" s="29" t="s">
        <v>10156</v>
      </c>
      <c r="F1832" s="30" t="s">
        <v>10157</v>
      </c>
      <c r="G1832" s="30" t="s">
        <v>10158</v>
      </c>
      <c r="H1832" s="42" t="s">
        <v>10159</v>
      </c>
      <c r="I1832" s="29" t="s">
        <v>188</v>
      </c>
      <c r="J1832" s="31">
        <v>9.0</v>
      </c>
      <c r="K1832" s="35"/>
      <c r="L1832" s="35"/>
      <c r="M1832" s="35"/>
      <c r="N1832" s="35"/>
      <c r="O1832" s="35"/>
      <c r="P1832" s="35"/>
      <c r="Q1832" s="35"/>
      <c r="R1832" s="35"/>
      <c r="S1832" s="37">
        <f>IF(B1832="","",IF(ISNUMBER(J1832),IF(J1832&lt;=10,'Configuración'!$B$23,IF(J1832&lt;=50,'Configuración'!$B$24,IF(J1832&lt;=200,'Configuración'!$B$25,0))),0))</f>
        <v>12</v>
      </c>
      <c r="T1832" s="37">
        <f>IF(B1832="","",IF(ISNUMBER(SEARCH("information technology",I1832))+ISNUMBER(SEARCH("software",I1832))+ISNUMBER(SEARCH("internet",I1832))+ISNUMBER(SEARCH("computer",I1832))+ISNUMBER(SEARCH("saas",I1832))+ISNUMBER(SEARCH("fintech",I1832))+ISNUMBER(SEARCH("information services",I1832))+ISNUMBER(SEARCH("telecommunications",I1832))&gt;0,'Configuración'!$B$27,'Configuración'!$B$28))</f>
        <v>4</v>
      </c>
      <c r="U1832" s="25">
        <f>IF(B1832="","",IF(ISNUMBER(SEARCH("CEO",C1832))+ISNUMBER(SEARCH("Founder",C1832))+ISNUMBER(SEARCH("Owner",C1832))+ISNUMBER(SEARCH("Dueño",C1832))+ISNUMBER(SEARCH("Director General",C1832))+ISNUMBER(SEARCH("Presidente",C1832))+ISNUMBER(SEARCH("President",C1832))&gt;0,'Configuración'!$B$31,IF(ISNUMBER(SEARCH("CMO",C1832))+ISNUMBER(SEARCH("Chief Marketing",C1832))+ISNUMBER(SEARCH("VP Marketing",C1832))+ISNUMBER(SEARCH("Director de Marketing",C1832))+ISNUMBER(SEARCH("Director Marketing",C1832))+ISNUMBER(SEARCH("Head of Marketing",C1832))+ISNUMBER(SEARCH("Head Marketing",C1832))&gt;0,'Configuración'!$B$32,IF(ISNUMBER(SEARCH("Marketing Manager",C1832))+ISNUMBER(SEARCH("Gerente de Marketing",C1832))+ISNUMBER(SEARCH("Growth Manager",C1832))+ISNUMBER(SEARCH("Demand Gen",C1832))+ISNUMBER(SEARCH("Marketing Lead",C1832))&gt;0,'Configuración'!$B$33,IF(ISNUMBER(SEARCH("COO",C1832))+ISNUMBER(SEARCH("CFO",C1832))+ISNUMBER(SEARCH("CTO",C1832))+ISNUMBER(SEARCH("Chief Operating",C1832))+ISNUMBER(SEARCH("Chief Financial",C1832))+ISNUMBER(SEARCH("Gerente General",C1832))+ISNUMBER(SEARCH("General Manager",C1832))&gt;0,'Configuración'!$B$34,'Configuración'!$B$35)))))</f>
        <v>12</v>
      </c>
      <c r="V1832" s="38">
        <f>IF(B1832="","",IF(K1832="Sí",'Configuración'!$B$5,0)+IF(L1832="Semanal",'Configuración'!$B$6,IF(L1832="Mensual",'Configuración'!$B$7,0))+IF(M1832="Sí",'Configuración'!$B$8,0)+IF(N1832="Sí",'Configuración'!$B$9,0)+IF(O1832="Sí",'Configuración'!$B$10,0)+IF(P1832="Sí",'Configuración'!$B$11,0)+IF(Q1832="Sí",'Configuración'!$B$12,0)+S1832+T1832+U1832)</f>
        <v>28</v>
      </c>
      <c r="W1832" s="39" t="str">
        <f>IF(B1832="","",IF(V1832&gt;='Configuración'!$B$19,"A",IF(V1832&gt;='Configuración'!$B$20,"B",IF(V1832&gt;='Configuración'!$B$21,"C","Descarte"))))</f>
        <v>C</v>
      </c>
    </row>
    <row r="1833" ht="15.75" customHeight="1">
      <c r="A1833" s="34">
        <f t="shared" si="1"/>
        <v>1831</v>
      </c>
      <c r="B1833" s="29" t="s">
        <v>4628</v>
      </c>
      <c r="C1833" s="29" t="s">
        <v>1177</v>
      </c>
      <c r="D1833" s="29" t="s">
        <v>10160</v>
      </c>
      <c r="E1833" s="29" t="s">
        <v>10161</v>
      </c>
      <c r="F1833" s="30" t="s">
        <v>10162</v>
      </c>
      <c r="G1833" s="30" t="s">
        <v>10163</v>
      </c>
      <c r="H1833" s="42" t="s">
        <v>10164</v>
      </c>
      <c r="I1833" s="29" t="s">
        <v>542</v>
      </c>
      <c r="J1833" s="31">
        <v>8.0</v>
      </c>
      <c r="K1833" s="35"/>
      <c r="L1833" s="35"/>
      <c r="M1833" s="35"/>
      <c r="N1833" s="35"/>
      <c r="O1833" s="35"/>
      <c r="P1833" s="35"/>
      <c r="Q1833" s="35"/>
      <c r="R1833" s="35"/>
      <c r="S1833" s="37">
        <f>IF(B1833="","",IF(ISNUMBER(J1833),IF(J1833&lt;=10,'Configuración'!$B$23,IF(J1833&lt;=50,'Configuración'!$B$24,IF(J1833&lt;=200,'Configuración'!$B$25,0))),0))</f>
        <v>12</v>
      </c>
      <c r="T1833" s="37">
        <f>IF(B1833="","",IF(ISNUMBER(SEARCH("information technology",I1833))+ISNUMBER(SEARCH("software",I1833))+ISNUMBER(SEARCH("internet",I1833))+ISNUMBER(SEARCH("computer",I1833))+ISNUMBER(SEARCH("saas",I1833))+ISNUMBER(SEARCH("fintech",I1833))+ISNUMBER(SEARCH("information services",I1833))+ISNUMBER(SEARCH("telecommunications",I1833))&gt;0,'Configuración'!$B$27,'Configuración'!$B$28))</f>
        <v>4</v>
      </c>
      <c r="U1833" s="25">
        <f>IF(B1833="","",IF(ISNUMBER(SEARCH("CEO",C1833))+ISNUMBER(SEARCH("Founder",C1833))+ISNUMBER(SEARCH("Owner",C1833))+ISNUMBER(SEARCH("Dueño",C1833))+ISNUMBER(SEARCH("Director General",C1833))+ISNUMBER(SEARCH("Presidente",C1833))+ISNUMBER(SEARCH("President",C1833))&gt;0,'Configuración'!$B$31,IF(ISNUMBER(SEARCH("CMO",C1833))+ISNUMBER(SEARCH("Chief Marketing",C1833))+ISNUMBER(SEARCH("VP Marketing",C1833))+ISNUMBER(SEARCH("Director de Marketing",C1833))+ISNUMBER(SEARCH("Director Marketing",C1833))+ISNUMBER(SEARCH("Head of Marketing",C1833))+ISNUMBER(SEARCH("Head Marketing",C1833))&gt;0,'Configuración'!$B$32,IF(ISNUMBER(SEARCH("Marketing Manager",C1833))+ISNUMBER(SEARCH("Gerente de Marketing",C1833))+ISNUMBER(SEARCH("Growth Manager",C1833))+ISNUMBER(SEARCH("Demand Gen",C1833))+ISNUMBER(SEARCH("Marketing Lead",C1833))&gt;0,'Configuración'!$B$33,IF(ISNUMBER(SEARCH("COO",C1833))+ISNUMBER(SEARCH("CFO",C1833))+ISNUMBER(SEARCH("CTO",C1833))+ISNUMBER(SEARCH("Chief Operating",C1833))+ISNUMBER(SEARCH("Chief Financial",C1833))+ISNUMBER(SEARCH("Gerente General",C1833))+ISNUMBER(SEARCH("General Manager",C1833))&gt;0,'Configuración'!$B$34,'Configuración'!$B$35)))))</f>
        <v>12</v>
      </c>
      <c r="V1833" s="38">
        <f>IF(B1833="","",IF(K1833="Sí",'Configuración'!$B$5,0)+IF(L1833="Semanal",'Configuración'!$B$6,IF(L1833="Mensual",'Configuración'!$B$7,0))+IF(M1833="Sí",'Configuración'!$B$8,0)+IF(N1833="Sí",'Configuración'!$B$9,0)+IF(O1833="Sí",'Configuración'!$B$10,0)+IF(P1833="Sí",'Configuración'!$B$11,0)+IF(Q1833="Sí",'Configuración'!$B$12,0)+S1833+T1833+U1833)</f>
        <v>28</v>
      </c>
      <c r="W1833" s="39" t="str">
        <f>IF(B1833="","",IF(V1833&gt;='Configuración'!$B$19,"A",IF(V1833&gt;='Configuración'!$B$20,"B",IF(V1833&gt;='Configuración'!$B$21,"C","Descarte"))))</f>
        <v>C</v>
      </c>
    </row>
    <row r="1834" ht="15.75" customHeight="1">
      <c r="A1834" s="34">
        <f t="shared" si="1"/>
        <v>1832</v>
      </c>
      <c r="B1834" s="29" t="s">
        <v>138</v>
      </c>
      <c r="C1834" s="29" t="s">
        <v>131</v>
      </c>
      <c r="D1834" s="29" t="s">
        <v>10165</v>
      </c>
      <c r="E1834" s="29" t="s">
        <v>10166</v>
      </c>
      <c r="F1834" s="30" t="s">
        <v>10167</v>
      </c>
      <c r="G1834" s="30" t="s">
        <v>10168</v>
      </c>
      <c r="H1834" s="42" t="s">
        <v>10169</v>
      </c>
      <c r="I1834" s="29" t="s">
        <v>659</v>
      </c>
      <c r="J1834" s="31">
        <v>2.0</v>
      </c>
      <c r="K1834" s="35"/>
      <c r="L1834" s="35"/>
      <c r="M1834" s="35"/>
      <c r="N1834" s="35"/>
      <c r="O1834" s="35"/>
      <c r="P1834" s="35"/>
      <c r="Q1834" s="35"/>
      <c r="R1834" s="35"/>
      <c r="S1834" s="37">
        <f>IF(B1834="","",IF(ISNUMBER(J1834),IF(J1834&lt;=10,'Configuración'!$B$23,IF(J1834&lt;=50,'Configuración'!$B$24,IF(J1834&lt;=200,'Configuración'!$B$25,0))),0))</f>
        <v>12</v>
      </c>
      <c r="T1834" s="37">
        <f>IF(B1834="","",IF(ISNUMBER(SEARCH("information technology",I1834))+ISNUMBER(SEARCH("software",I1834))+ISNUMBER(SEARCH("internet",I1834))+ISNUMBER(SEARCH("computer",I1834))+ISNUMBER(SEARCH("saas",I1834))+ISNUMBER(SEARCH("fintech",I1834))+ISNUMBER(SEARCH("information services",I1834))+ISNUMBER(SEARCH("telecommunications",I1834))&gt;0,'Configuración'!$B$27,'Configuración'!$B$28))</f>
        <v>4</v>
      </c>
      <c r="U1834" s="25">
        <f>IF(B1834="","",IF(ISNUMBER(SEARCH("CEO",C1834))+ISNUMBER(SEARCH("Founder",C1834))+ISNUMBER(SEARCH("Owner",C1834))+ISNUMBER(SEARCH("Dueño",C1834))+ISNUMBER(SEARCH("Director General",C1834))+ISNUMBER(SEARCH("Presidente",C1834))+ISNUMBER(SEARCH("President",C1834))&gt;0,'Configuración'!$B$31,IF(ISNUMBER(SEARCH("CMO",C1834))+ISNUMBER(SEARCH("Chief Marketing",C1834))+ISNUMBER(SEARCH("VP Marketing",C1834))+ISNUMBER(SEARCH("Director de Marketing",C1834))+ISNUMBER(SEARCH("Director Marketing",C1834))+ISNUMBER(SEARCH("Head of Marketing",C1834))+ISNUMBER(SEARCH("Head Marketing",C1834))&gt;0,'Configuración'!$B$32,IF(ISNUMBER(SEARCH("Marketing Manager",C1834))+ISNUMBER(SEARCH("Gerente de Marketing",C1834))+ISNUMBER(SEARCH("Growth Manager",C1834))+ISNUMBER(SEARCH("Demand Gen",C1834))+ISNUMBER(SEARCH("Marketing Lead",C1834))&gt;0,'Configuración'!$B$33,IF(ISNUMBER(SEARCH("COO",C1834))+ISNUMBER(SEARCH("CFO",C1834))+ISNUMBER(SEARCH("CTO",C1834))+ISNUMBER(SEARCH("Chief Operating",C1834))+ISNUMBER(SEARCH("Chief Financial",C1834))+ISNUMBER(SEARCH("Gerente General",C1834))+ISNUMBER(SEARCH("General Manager",C1834))&gt;0,'Configuración'!$B$34,'Configuración'!$B$35)))))</f>
        <v>12</v>
      </c>
      <c r="V1834" s="38">
        <f>IF(B1834="","",IF(K1834="Sí",'Configuración'!$B$5,0)+IF(L1834="Semanal",'Configuración'!$B$6,IF(L1834="Mensual",'Configuración'!$B$7,0))+IF(M1834="Sí",'Configuración'!$B$8,0)+IF(N1834="Sí",'Configuración'!$B$9,0)+IF(O1834="Sí",'Configuración'!$B$10,0)+IF(P1834="Sí",'Configuración'!$B$11,0)+IF(Q1834="Sí",'Configuración'!$B$12,0)+S1834+T1834+U1834)</f>
        <v>28</v>
      </c>
      <c r="W1834" s="39" t="str">
        <f>IF(B1834="","",IF(V1834&gt;='Configuración'!$B$19,"A",IF(V1834&gt;='Configuración'!$B$20,"B",IF(V1834&gt;='Configuración'!$B$21,"C","Descarte"))))</f>
        <v>C</v>
      </c>
    </row>
    <row r="1835" ht="15.75" customHeight="1">
      <c r="A1835" s="34">
        <f t="shared" si="1"/>
        <v>1833</v>
      </c>
      <c r="B1835" s="29" t="s">
        <v>166</v>
      </c>
      <c r="C1835" s="29" t="s">
        <v>3892</v>
      </c>
      <c r="D1835" s="29" t="s">
        <v>10170</v>
      </c>
      <c r="E1835" s="29" t="s">
        <v>10171</v>
      </c>
      <c r="F1835" s="30" t="s">
        <v>10172</v>
      </c>
      <c r="G1835" s="30" t="s">
        <v>10173</v>
      </c>
      <c r="H1835" s="42" t="s">
        <v>10174</v>
      </c>
      <c r="I1835" s="29" t="s">
        <v>337</v>
      </c>
      <c r="J1835" s="31">
        <v>17.0</v>
      </c>
      <c r="K1835" s="35"/>
      <c r="L1835" s="35"/>
      <c r="M1835" s="35"/>
      <c r="N1835" s="35"/>
      <c r="O1835" s="35"/>
      <c r="P1835" s="35"/>
      <c r="Q1835" s="35"/>
      <c r="R1835" s="35"/>
      <c r="S1835" s="37">
        <f>IF(B1835="","",IF(ISNUMBER(J1835),IF(J1835&lt;=10,'Configuración'!$B$23,IF(J1835&lt;=50,'Configuración'!$B$24,IF(J1835&lt;=200,'Configuración'!$B$25,0))),0))</f>
        <v>4</v>
      </c>
      <c r="T1835" s="37">
        <f>IF(B1835="","",IF(ISNUMBER(SEARCH("information technology",I1835))+ISNUMBER(SEARCH("software",I1835))+ISNUMBER(SEARCH("internet",I1835))+ISNUMBER(SEARCH("computer",I1835))+ISNUMBER(SEARCH("saas",I1835))+ISNUMBER(SEARCH("fintech",I1835))+ISNUMBER(SEARCH("information services",I1835))+ISNUMBER(SEARCH("telecommunications",I1835))&gt;0,'Configuración'!$B$27,'Configuración'!$B$28))</f>
        <v>4</v>
      </c>
      <c r="U1835" s="25">
        <f>IF(B1835="","",IF(ISNUMBER(SEARCH("CEO",C1835))+ISNUMBER(SEARCH("Founder",C1835))+ISNUMBER(SEARCH("Owner",C1835))+ISNUMBER(SEARCH("Dueño",C1835))+ISNUMBER(SEARCH("Director General",C1835))+ISNUMBER(SEARCH("Presidente",C1835))+ISNUMBER(SEARCH("President",C1835))&gt;0,'Configuración'!$B$31,IF(ISNUMBER(SEARCH("CMO",C1835))+ISNUMBER(SEARCH("Chief Marketing",C1835))+ISNUMBER(SEARCH("VP Marketing",C1835))+ISNUMBER(SEARCH("Director de Marketing",C1835))+ISNUMBER(SEARCH("Director Marketing",C1835))+ISNUMBER(SEARCH("Head of Marketing",C1835))+ISNUMBER(SEARCH("Head Marketing",C1835))&gt;0,'Configuración'!$B$32,IF(ISNUMBER(SEARCH("Marketing Manager",C1835))+ISNUMBER(SEARCH("Gerente de Marketing",C1835))+ISNUMBER(SEARCH("Growth Manager",C1835))+ISNUMBER(SEARCH("Demand Gen",C1835))+ISNUMBER(SEARCH("Marketing Lead",C1835))&gt;0,'Configuración'!$B$33,IF(ISNUMBER(SEARCH("COO",C1835))+ISNUMBER(SEARCH("CFO",C1835))+ISNUMBER(SEARCH("CTO",C1835))+ISNUMBER(SEARCH("Chief Operating",C1835))+ISNUMBER(SEARCH("Chief Financial",C1835))+ISNUMBER(SEARCH("Gerente General",C1835))+ISNUMBER(SEARCH("General Manager",C1835))&gt;0,'Configuración'!$B$34,'Configuración'!$B$35)))))</f>
        <v>0</v>
      </c>
      <c r="V1835" s="38">
        <f>IF(B1835="","",IF(K1835="Sí",'Configuración'!$B$5,0)+IF(L1835="Semanal",'Configuración'!$B$6,IF(L1835="Mensual",'Configuración'!$B$7,0))+IF(M1835="Sí",'Configuración'!$B$8,0)+IF(N1835="Sí",'Configuración'!$B$9,0)+IF(O1835="Sí",'Configuración'!$B$10,0)+IF(P1835="Sí",'Configuración'!$B$11,0)+IF(Q1835="Sí",'Configuración'!$B$12,0)+S1835+T1835+U1835)</f>
        <v>8</v>
      </c>
      <c r="W1835" s="39" t="str">
        <f>IF(B1835="","",IF(V1835&gt;='Configuración'!$B$19,"A",IF(V1835&gt;='Configuración'!$B$20,"B",IF(V1835&gt;='Configuración'!$B$21,"C","Descarte"))))</f>
        <v>Descarte</v>
      </c>
    </row>
    <row r="1836" ht="15.75" customHeight="1">
      <c r="A1836" s="34">
        <f t="shared" si="1"/>
        <v>1834</v>
      </c>
      <c r="B1836" s="29" t="s">
        <v>120</v>
      </c>
      <c r="C1836" s="29" t="s">
        <v>121</v>
      </c>
      <c r="D1836" s="29" t="s">
        <v>10175</v>
      </c>
      <c r="E1836" s="29" t="s">
        <v>10176</v>
      </c>
      <c r="F1836" s="30" t="s">
        <v>10177</v>
      </c>
      <c r="G1836" s="30" t="s">
        <v>10178</v>
      </c>
      <c r="H1836" s="42" t="s">
        <v>10179</v>
      </c>
      <c r="I1836" s="29" t="s">
        <v>127</v>
      </c>
      <c r="J1836" s="31">
        <v>4.0</v>
      </c>
      <c r="K1836" s="35"/>
      <c r="L1836" s="35"/>
      <c r="M1836" s="35"/>
      <c r="N1836" s="35"/>
      <c r="O1836" s="35"/>
      <c r="P1836" s="35"/>
      <c r="Q1836" s="35"/>
      <c r="R1836" s="35"/>
      <c r="S1836" s="37">
        <f>IF(B1836="","",IF(ISNUMBER(J1836),IF(J1836&lt;=10,'Configuración'!$B$23,IF(J1836&lt;=50,'Configuración'!$B$24,IF(J1836&lt;=200,'Configuración'!$B$25,0))),0))</f>
        <v>12</v>
      </c>
      <c r="T1836" s="37">
        <f>IF(B1836="","",IF(ISNUMBER(SEARCH("information technology",I1836))+ISNUMBER(SEARCH("software",I1836))+ISNUMBER(SEARCH("internet",I1836))+ISNUMBER(SEARCH("computer",I1836))+ISNUMBER(SEARCH("saas",I1836))+ISNUMBER(SEARCH("fintech",I1836))+ISNUMBER(SEARCH("information services",I1836))+ISNUMBER(SEARCH("telecommunications",I1836))&gt;0,'Configuración'!$B$27,'Configuración'!$B$28))</f>
        <v>12</v>
      </c>
      <c r="U1836" s="25">
        <f>IF(B1836="","",IF(ISNUMBER(SEARCH("CEO",C1836))+ISNUMBER(SEARCH("Founder",C1836))+ISNUMBER(SEARCH("Owner",C1836))+ISNUMBER(SEARCH("Dueño",C1836))+ISNUMBER(SEARCH("Director General",C1836))+ISNUMBER(SEARCH("Presidente",C1836))+ISNUMBER(SEARCH("President",C1836))&gt;0,'Configuración'!$B$31,IF(ISNUMBER(SEARCH("CMO",C1836))+ISNUMBER(SEARCH("Chief Marketing",C1836))+ISNUMBER(SEARCH("VP Marketing",C1836))+ISNUMBER(SEARCH("Director de Marketing",C1836))+ISNUMBER(SEARCH("Director Marketing",C1836))+ISNUMBER(SEARCH("Head of Marketing",C1836))+ISNUMBER(SEARCH("Head Marketing",C1836))&gt;0,'Configuración'!$B$32,IF(ISNUMBER(SEARCH("Marketing Manager",C1836))+ISNUMBER(SEARCH("Gerente de Marketing",C1836))+ISNUMBER(SEARCH("Growth Manager",C1836))+ISNUMBER(SEARCH("Demand Gen",C1836))+ISNUMBER(SEARCH("Marketing Lead",C1836))&gt;0,'Configuración'!$B$33,IF(ISNUMBER(SEARCH("COO",C1836))+ISNUMBER(SEARCH("CFO",C1836))+ISNUMBER(SEARCH("CTO",C1836))+ISNUMBER(SEARCH("Chief Operating",C1836))+ISNUMBER(SEARCH("Chief Financial",C1836))+ISNUMBER(SEARCH("Gerente General",C1836))+ISNUMBER(SEARCH("General Manager",C1836))&gt;0,'Configuración'!$B$34,'Configuración'!$B$35)))))</f>
        <v>12</v>
      </c>
      <c r="V1836" s="38">
        <f>IF(B1836="","",IF(K1836="Sí",'Configuración'!$B$5,0)+IF(L1836="Semanal",'Configuración'!$B$6,IF(L1836="Mensual",'Configuración'!$B$7,0))+IF(M1836="Sí",'Configuración'!$B$8,0)+IF(N1836="Sí",'Configuración'!$B$9,0)+IF(O1836="Sí",'Configuración'!$B$10,0)+IF(P1836="Sí",'Configuración'!$B$11,0)+IF(Q1836="Sí",'Configuración'!$B$12,0)+S1836+T1836+U1836)</f>
        <v>36</v>
      </c>
      <c r="W1836" s="39" t="str">
        <f>IF(B1836="","",IF(V1836&gt;='Configuración'!$B$19,"A",IF(V1836&gt;='Configuración'!$B$20,"B",IF(V1836&gt;='Configuración'!$B$21,"C","Descarte"))))</f>
        <v>C</v>
      </c>
    </row>
    <row r="1837" ht="15.75" customHeight="1">
      <c r="A1837" s="34">
        <f t="shared" si="1"/>
        <v>1835</v>
      </c>
      <c r="B1837" s="29" t="s">
        <v>665</v>
      </c>
      <c r="C1837" s="29" t="s">
        <v>175</v>
      </c>
      <c r="D1837" s="29" t="s">
        <v>10180</v>
      </c>
      <c r="E1837" s="29" t="s">
        <v>10181</v>
      </c>
      <c r="F1837" s="30" t="s">
        <v>10182</v>
      </c>
      <c r="G1837" s="30" t="s">
        <v>10183</v>
      </c>
      <c r="H1837" s="42" t="s">
        <v>10184</v>
      </c>
      <c r="I1837" s="29" t="s">
        <v>288</v>
      </c>
      <c r="J1837" s="31">
        <v>11.0</v>
      </c>
      <c r="K1837" s="35"/>
      <c r="L1837" s="35"/>
      <c r="M1837" s="35"/>
      <c r="N1837" s="35"/>
      <c r="O1837" s="35"/>
      <c r="P1837" s="35"/>
      <c r="Q1837" s="35"/>
      <c r="R1837" s="35"/>
      <c r="S1837" s="37">
        <f>IF(B1837="","",IF(ISNUMBER(J1837),IF(J1837&lt;=10,'Configuración'!$B$23,IF(J1837&lt;=50,'Configuración'!$B$24,IF(J1837&lt;=200,'Configuración'!$B$25,0))),0))</f>
        <v>4</v>
      </c>
      <c r="T1837" s="37">
        <f>IF(B1837="","",IF(ISNUMBER(SEARCH("information technology",I1837))+ISNUMBER(SEARCH("software",I1837))+ISNUMBER(SEARCH("internet",I1837))+ISNUMBER(SEARCH("computer",I1837))+ISNUMBER(SEARCH("saas",I1837))+ISNUMBER(SEARCH("fintech",I1837))+ISNUMBER(SEARCH("information services",I1837))+ISNUMBER(SEARCH("telecommunications",I1837))&gt;0,'Configuración'!$B$27,'Configuración'!$B$28))</f>
        <v>4</v>
      </c>
      <c r="U1837" s="25">
        <f>IF(B1837="","",IF(ISNUMBER(SEARCH("CEO",C1837))+ISNUMBER(SEARCH("Founder",C1837))+ISNUMBER(SEARCH("Owner",C1837))+ISNUMBER(SEARCH("Dueño",C1837))+ISNUMBER(SEARCH("Director General",C1837))+ISNUMBER(SEARCH("Presidente",C1837))+ISNUMBER(SEARCH("President",C1837))&gt;0,'Configuración'!$B$31,IF(ISNUMBER(SEARCH("CMO",C1837))+ISNUMBER(SEARCH("Chief Marketing",C1837))+ISNUMBER(SEARCH("VP Marketing",C1837))+ISNUMBER(SEARCH("Director de Marketing",C1837))+ISNUMBER(SEARCH("Director Marketing",C1837))+ISNUMBER(SEARCH("Head of Marketing",C1837))+ISNUMBER(SEARCH("Head Marketing",C1837))&gt;0,'Configuración'!$B$32,IF(ISNUMBER(SEARCH("Marketing Manager",C1837))+ISNUMBER(SEARCH("Gerente de Marketing",C1837))+ISNUMBER(SEARCH("Growth Manager",C1837))+ISNUMBER(SEARCH("Demand Gen",C1837))+ISNUMBER(SEARCH("Marketing Lead",C1837))&gt;0,'Configuración'!$B$33,IF(ISNUMBER(SEARCH("COO",C1837))+ISNUMBER(SEARCH("CFO",C1837))+ISNUMBER(SEARCH("CTO",C1837))+ISNUMBER(SEARCH("Chief Operating",C1837))+ISNUMBER(SEARCH("Chief Financial",C1837))+ISNUMBER(SEARCH("Gerente General",C1837))+ISNUMBER(SEARCH("General Manager",C1837))&gt;0,'Configuración'!$B$34,'Configuración'!$B$35)))))</f>
        <v>12</v>
      </c>
      <c r="V1837" s="38">
        <f>IF(B1837="","",IF(K1837="Sí",'Configuración'!$B$5,0)+IF(L1837="Semanal",'Configuración'!$B$6,IF(L1837="Mensual",'Configuración'!$B$7,0))+IF(M1837="Sí",'Configuración'!$B$8,0)+IF(N1837="Sí",'Configuración'!$B$9,0)+IF(O1837="Sí",'Configuración'!$B$10,0)+IF(P1837="Sí",'Configuración'!$B$11,0)+IF(Q1837="Sí",'Configuración'!$B$12,0)+S1837+T1837+U1837)</f>
        <v>20</v>
      </c>
      <c r="W1837" s="39" t="str">
        <f>IF(B1837="","",IF(V1837&gt;='Configuración'!$B$19,"A",IF(V1837&gt;='Configuración'!$B$20,"B",IF(V1837&gt;='Configuración'!$B$21,"C","Descarte"))))</f>
        <v>Descarte</v>
      </c>
    </row>
    <row r="1838" ht="15.75" customHeight="1">
      <c r="A1838" s="34">
        <f t="shared" si="1"/>
        <v>1836</v>
      </c>
      <c r="B1838" s="29" t="s">
        <v>2182</v>
      </c>
      <c r="C1838" s="29" t="s">
        <v>2551</v>
      </c>
      <c r="D1838" s="29" t="s">
        <v>10185</v>
      </c>
      <c r="E1838" s="29" t="s">
        <v>10186</v>
      </c>
      <c r="F1838" s="30" t="s">
        <v>10187</v>
      </c>
      <c r="G1838" s="30" t="s">
        <v>10188</v>
      </c>
      <c r="H1838" s="42" t="s">
        <v>10189</v>
      </c>
      <c r="I1838" s="29" t="s">
        <v>188</v>
      </c>
      <c r="J1838" s="31">
        <v>27.0</v>
      </c>
      <c r="K1838" s="35"/>
      <c r="L1838" s="35"/>
      <c r="M1838" s="35"/>
      <c r="N1838" s="35"/>
      <c r="O1838" s="35"/>
      <c r="P1838" s="35"/>
      <c r="Q1838" s="35"/>
      <c r="R1838" s="35"/>
      <c r="S1838" s="37">
        <f>IF(B1838="","",IF(ISNUMBER(J1838),IF(J1838&lt;=10,'Configuración'!$B$23,IF(J1838&lt;=50,'Configuración'!$B$24,IF(J1838&lt;=200,'Configuración'!$B$25,0))),0))</f>
        <v>4</v>
      </c>
      <c r="T1838" s="37">
        <f>IF(B1838="","",IF(ISNUMBER(SEARCH("information technology",I1838))+ISNUMBER(SEARCH("software",I1838))+ISNUMBER(SEARCH("internet",I1838))+ISNUMBER(SEARCH("computer",I1838))+ISNUMBER(SEARCH("saas",I1838))+ISNUMBER(SEARCH("fintech",I1838))+ISNUMBER(SEARCH("information services",I1838))+ISNUMBER(SEARCH("telecommunications",I1838))&gt;0,'Configuración'!$B$27,'Configuración'!$B$28))</f>
        <v>4</v>
      </c>
      <c r="U1838" s="25">
        <f>IF(B1838="","",IF(ISNUMBER(SEARCH("CEO",C1838))+ISNUMBER(SEARCH("Founder",C1838))+ISNUMBER(SEARCH("Owner",C1838))+ISNUMBER(SEARCH("Dueño",C1838))+ISNUMBER(SEARCH("Director General",C1838))+ISNUMBER(SEARCH("Presidente",C1838))+ISNUMBER(SEARCH("President",C1838))&gt;0,'Configuración'!$B$31,IF(ISNUMBER(SEARCH("CMO",C1838))+ISNUMBER(SEARCH("Chief Marketing",C1838))+ISNUMBER(SEARCH("VP Marketing",C1838))+ISNUMBER(SEARCH("Director de Marketing",C1838))+ISNUMBER(SEARCH("Director Marketing",C1838))+ISNUMBER(SEARCH("Head of Marketing",C1838))+ISNUMBER(SEARCH("Head Marketing",C1838))&gt;0,'Configuración'!$B$32,IF(ISNUMBER(SEARCH("Marketing Manager",C1838))+ISNUMBER(SEARCH("Gerente de Marketing",C1838))+ISNUMBER(SEARCH("Growth Manager",C1838))+ISNUMBER(SEARCH("Demand Gen",C1838))+ISNUMBER(SEARCH("Marketing Lead",C1838))&gt;0,'Configuración'!$B$33,IF(ISNUMBER(SEARCH("COO",C1838))+ISNUMBER(SEARCH("CFO",C1838))+ISNUMBER(SEARCH("CTO",C1838))+ISNUMBER(SEARCH("Chief Operating",C1838))+ISNUMBER(SEARCH("Chief Financial",C1838))+ISNUMBER(SEARCH("Gerente General",C1838))+ISNUMBER(SEARCH("General Manager",C1838))&gt;0,'Configuración'!$B$34,'Configuración'!$B$35)))))</f>
        <v>12</v>
      </c>
      <c r="V1838" s="38">
        <f>IF(B1838="","",IF(K1838="Sí",'Configuración'!$B$5,0)+IF(L1838="Semanal",'Configuración'!$B$6,IF(L1838="Mensual",'Configuración'!$B$7,0))+IF(M1838="Sí",'Configuración'!$B$8,0)+IF(N1838="Sí",'Configuración'!$B$9,0)+IF(O1838="Sí",'Configuración'!$B$10,0)+IF(P1838="Sí",'Configuración'!$B$11,0)+IF(Q1838="Sí",'Configuración'!$B$12,0)+S1838+T1838+U1838)</f>
        <v>20</v>
      </c>
      <c r="W1838" s="39" t="str">
        <f>IF(B1838="","",IF(V1838&gt;='Configuración'!$B$19,"A",IF(V1838&gt;='Configuración'!$B$20,"B",IF(V1838&gt;='Configuración'!$B$21,"C","Descarte"))))</f>
        <v>Descarte</v>
      </c>
    </row>
    <row r="1839" ht="15.75" customHeight="1">
      <c r="A1839" s="34">
        <f t="shared" si="1"/>
        <v>1837</v>
      </c>
      <c r="B1839" s="29" t="s">
        <v>10190</v>
      </c>
      <c r="C1839" s="29" t="s">
        <v>10191</v>
      </c>
      <c r="D1839" s="29" t="s">
        <v>10192</v>
      </c>
      <c r="E1839" s="29" t="s">
        <v>10193</v>
      </c>
      <c r="F1839" s="30" t="s">
        <v>10194</v>
      </c>
      <c r="G1839" s="30" t="s">
        <v>10195</v>
      </c>
      <c r="H1839" s="42" t="s">
        <v>10196</v>
      </c>
      <c r="I1839" s="29" t="s">
        <v>528</v>
      </c>
      <c r="J1839" s="31">
        <v>20.0</v>
      </c>
      <c r="K1839" s="35"/>
      <c r="L1839" s="35"/>
      <c r="M1839" s="35"/>
      <c r="N1839" s="35"/>
      <c r="O1839" s="35"/>
      <c r="P1839" s="35"/>
      <c r="Q1839" s="35"/>
      <c r="R1839" s="35"/>
      <c r="S1839" s="37">
        <f>IF(B1839="","",IF(ISNUMBER(J1839),IF(J1839&lt;=10,'Configuración'!$B$23,IF(J1839&lt;=50,'Configuración'!$B$24,IF(J1839&lt;=200,'Configuración'!$B$25,0))),0))</f>
        <v>4</v>
      </c>
      <c r="T1839" s="37">
        <f>IF(B1839="","",IF(ISNUMBER(SEARCH("information technology",I1839))+ISNUMBER(SEARCH("software",I1839))+ISNUMBER(SEARCH("internet",I1839))+ISNUMBER(SEARCH("computer",I1839))+ISNUMBER(SEARCH("saas",I1839))+ISNUMBER(SEARCH("fintech",I1839))+ISNUMBER(SEARCH("information services",I1839))+ISNUMBER(SEARCH("telecommunications",I1839))&gt;0,'Configuración'!$B$27,'Configuración'!$B$28))</f>
        <v>4</v>
      </c>
      <c r="U1839" s="25">
        <f>IF(B1839="","",IF(ISNUMBER(SEARCH("CEO",C1839))+ISNUMBER(SEARCH("Founder",C1839))+ISNUMBER(SEARCH("Owner",C1839))+ISNUMBER(SEARCH("Dueño",C1839))+ISNUMBER(SEARCH("Director General",C1839))+ISNUMBER(SEARCH("Presidente",C1839))+ISNUMBER(SEARCH("President",C1839))&gt;0,'Configuración'!$B$31,IF(ISNUMBER(SEARCH("CMO",C1839))+ISNUMBER(SEARCH("Chief Marketing",C1839))+ISNUMBER(SEARCH("VP Marketing",C1839))+ISNUMBER(SEARCH("Director de Marketing",C1839))+ISNUMBER(SEARCH("Director Marketing",C1839))+ISNUMBER(SEARCH("Head of Marketing",C1839))+ISNUMBER(SEARCH("Head Marketing",C1839))&gt;0,'Configuración'!$B$32,IF(ISNUMBER(SEARCH("Marketing Manager",C1839))+ISNUMBER(SEARCH("Gerente de Marketing",C1839))+ISNUMBER(SEARCH("Growth Manager",C1839))+ISNUMBER(SEARCH("Demand Gen",C1839))+ISNUMBER(SEARCH("Marketing Lead",C1839))&gt;0,'Configuración'!$B$33,IF(ISNUMBER(SEARCH("COO",C1839))+ISNUMBER(SEARCH("CFO",C1839))+ISNUMBER(SEARCH("CTO",C1839))+ISNUMBER(SEARCH("Chief Operating",C1839))+ISNUMBER(SEARCH("Chief Financial",C1839))+ISNUMBER(SEARCH("Gerente General",C1839))+ISNUMBER(SEARCH("General Manager",C1839))&gt;0,'Configuración'!$B$34,'Configuración'!$B$35)))))</f>
        <v>4</v>
      </c>
      <c r="V1839" s="38">
        <f>IF(B1839="","",IF(K1839="Sí",'Configuración'!$B$5,0)+IF(L1839="Semanal",'Configuración'!$B$6,IF(L1839="Mensual",'Configuración'!$B$7,0))+IF(M1839="Sí",'Configuración'!$B$8,0)+IF(N1839="Sí",'Configuración'!$B$9,0)+IF(O1839="Sí",'Configuración'!$B$10,0)+IF(P1839="Sí",'Configuración'!$B$11,0)+IF(Q1839="Sí",'Configuración'!$B$12,0)+S1839+T1839+U1839)</f>
        <v>12</v>
      </c>
      <c r="W1839" s="39" t="str">
        <f>IF(B1839="","",IF(V1839&gt;='Configuración'!$B$19,"A",IF(V1839&gt;='Configuración'!$B$20,"B",IF(V1839&gt;='Configuración'!$B$21,"C","Descarte"))))</f>
        <v>Descarte</v>
      </c>
    </row>
    <row r="1840" ht="15.75" customHeight="1">
      <c r="A1840" s="34">
        <f t="shared" si="1"/>
        <v>1838</v>
      </c>
      <c r="B1840" s="29" t="s">
        <v>501</v>
      </c>
      <c r="C1840" s="29" t="s">
        <v>131</v>
      </c>
      <c r="D1840" s="29" t="s">
        <v>10197</v>
      </c>
      <c r="E1840" s="29" t="s">
        <v>10198</v>
      </c>
      <c r="F1840" s="30" t="s">
        <v>10199</v>
      </c>
      <c r="G1840" s="30" t="s">
        <v>10200</v>
      </c>
      <c r="H1840" s="42" t="s">
        <v>10201</v>
      </c>
      <c r="I1840" s="29" t="s">
        <v>127</v>
      </c>
      <c r="J1840" s="31">
        <v>4.0</v>
      </c>
      <c r="K1840" s="35"/>
      <c r="L1840" s="35"/>
      <c r="M1840" s="35"/>
      <c r="N1840" s="35"/>
      <c r="O1840" s="35"/>
      <c r="P1840" s="35"/>
      <c r="Q1840" s="35"/>
      <c r="R1840" s="35"/>
      <c r="S1840" s="37">
        <f>IF(B1840="","",IF(ISNUMBER(J1840),IF(J1840&lt;=10,'Configuración'!$B$23,IF(J1840&lt;=50,'Configuración'!$B$24,IF(J1840&lt;=200,'Configuración'!$B$25,0))),0))</f>
        <v>12</v>
      </c>
      <c r="T1840" s="37">
        <f>IF(B1840="","",IF(ISNUMBER(SEARCH("information technology",I1840))+ISNUMBER(SEARCH("software",I1840))+ISNUMBER(SEARCH("internet",I1840))+ISNUMBER(SEARCH("computer",I1840))+ISNUMBER(SEARCH("saas",I1840))+ISNUMBER(SEARCH("fintech",I1840))+ISNUMBER(SEARCH("information services",I1840))+ISNUMBER(SEARCH("telecommunications",I1840))&gt;0,'Configuración'!$B$27,'Configuración'!$B$28))</f>
        <v>12</v>
      </c>
      <c r="U1840" s="25">
        <f>IF(B1840="","",IF(ISNUMBER(SEARCH("CEO",C1840))+ISNUMBER(SEARCH("Founder",C1840))+ISNUMBER(SEARCH("Owner",C1840))+ISNUMBER(SEARCH("Dueño",C1840))+ISNUMBER(SEARCH("Director General",C1840))+ISNUMBER(SEARCH("Presidente",C1840))+ISNUMBER(SEARCH("President",C1840))&gt;0,'Configuración'!$B$31,IF(ISNUMBER(SEARCH("CMO",C1840))+ISNUMBER(SEARCH("Chief Marketing",C1840))+ISNUMBER(SEARCH("VP Marketing",C1840))+ISNUMBER(SEARCH("Director de Marketing",C1840))+ISNUMBER(SEARCH("Director Marketing",C1840))+ISNUMBER(SEARCH("Head of Marketing",C1840))+ISNUMBER(SEARCH("Head Marketing",C1840))&gt;0,'Configuración'!$B$32,IF(ISNUMBER(SEARCH("Marketing Manager",C1840))+ISNUMBER(SEARCH("Gerente de Marketing",C1840))+ISNUMBER(SEARCH("Growth Manager",C1840))+ISNUMBER(SEARCH("Demand Gen",C1840))+ISNUMBER(SEARCH("Marketing Lead",C1840))&gt;0,'Configuración'!$B$33,IF(ISNUMBER(SEARCH("COO",C1840))+ISNUMBER(SEARCH("CFO",C1840))+ISNUMBER(SEARCH("CTO",C1840))+ISNUMBER(SEARCH("Chief Operating",C1840))+ISNUMBER(SEARCH("Chief Financial",C1840))+ISNUMBER(SEARCH("Gerente General",C1840))+ISNUMBER(SEARCH("General Manager",C1840))&gt;0,'Configuración'!$B$34,'Configuración'!$B$35)))))</f>
        <v>12</v>
      </c>
      <c r="V1840" s="38">
        <f>IF(B1840="","",IF(K1840="Sí",'Configuración'!$B$5,0)+IF(L1840="Semanal",'Configuración'!$B$6,IF(L1840="Mensual",'Configuración'!$B$7,0))+IF(M1840="Sí",'Configuración'!$B$8,0)+IF(N1840="Sí",'Configuración'!$B$9,0)+IF(O1840="Sí",'Configuración'!$B$10,0)+IF(P1840="Sí",'Configuración'!$B$11,0)+IF(Q1840="Sí",'Configuración'!$B$12,0)+S1840+T1840+U1840)</f>
        <v>36</v>
      </c>
      <c r="W1840" s="39" t="str">
        <f>IF(B1840="","",IF(V1840&gt;='Configuración'!$B$19,"A",IF(V1840&gt;='Configuración'!$B$20,"B",IF(V1840&gt;='Configuración'!$B$21,"C","Descarte"))))</f>
        <v>C</v>
      </c>
    </row>
    <row r="1841" ht="15.75" customHeight="1">
      <c r="A1841" s="34">
        <f t="shared" si="1"/>
        <v>1839</v>
      </c>
      <c r="B1841" s="29" t="s">
        <v>2042</v>
      </c>
      <c r="C1841" s="29" t="s">
        <v>6780</v>
      </c>
      <c r="D1841" s="29" t="s">
        <v>10202</v>
      </c>
      <c r="E1841" s="29" t="s">
        <v>10203</v>
      </c>
      <c r="F1841" s="30" t="s">
        <v>10204</v>
      </c>
      <c r="G1841" s="30" t="s">
        <v>10205</v>
      </c>
      <c r="H1841" s="42" t="s">
        <v>10206</v>
      </c>
      <c r="I1841" s="29" t="s">
        <v>188</v>
      </c>
      <c r="J1841" s="31">
        <v>6.0</v>
      </c>
      <c r="K1841" s="35"/>
      <c r="L1841" s="35"/>
      <c r="M1841" s="35"/>
      <c r="N1841" s="35"/>
      <c r="O1841" s="35"/>
      <c r="P1841" s="35"/>
      <c r="Q1841" s="35"/>
      <c r="R1841" s="35"/>
      <c r="S1841" s="37">
        <f>IF(B1841="","",IF(ISNUMBER(J1841),IF(J1841&lt;=10,'Configuración'!$B$23,IF(J1841&lt;=50,'Configuración'!$B$24,IF(J1841&lt;=200,'Configuración'!$B$25,0))),0))</f>
        <v>12</v>
      </c>
      <c r="T1841" s="37">
        <f>IF(B1841="","",IF(ISNUMBER(SEARCH("information technology",I1841))+ISNUMBER(SEARCH("software",I1841))+ISNUMBER(SEARCH("internet",I1841))+ISNUMBER(SEARCH("computer",I1841))+ISNUMBER(SEARCH("saas",I1841))+ISNUMBER(SEARCH("fintech",I1841))+ISNUMBER(SEARCH("information services",I1841))+ISNUMBER(SEARCH("telecommunications",I1841))&gt;0,'Configuración'!$B$27,'Configuración'!$B$28))</f>
        <v>4</v>
      </c>
      <c r="U1841" s="25">
        <f>IF(B1841="","",IF(ISNUMBER(SEARCH("CEO",C1841))+ISNUMBER(SEARCH("Founder",C1841))+ISNUMBER(SEARCH("Owner",C1841))+ISNUMBER(SEARCH("Dueño",C1841))+ISNUMBER(SEARCH("Director General",C1841))+ISNUMBER(SEARCH("Presidente",C1841))+ISNUMBER(SEARCH("President",C1841))&gt;0,'Configuración'!$B$31,IF(ISNUMBER(SEARCH("CMO",C1841))+ISNUMBER(SEARCH("Chief Marketing",C1841))+ISNUMBER(SEARCH("VP Marketing",C1841))+ISNUMBER(SEARCH("Director de Marketing",C1841))+ISNUMBER(SEARCH("Director Marketing",C1841))+ISNUMBER(SEARCH("Head of Marketing",C1841))+ISNUMBER(SEARCH("Head Marketing",C1841))&gt;0,'Configuración'!$B$32,IF(ISNUMBER(SEARCH("Marketing Manager",C1841))+ISNUMBER(SEARCH("Gerente de Marketing",C1841))+ISNUMBER(SEARCH("Growth Manager",C1841))+ISNUMBER(SEARCH("Demand Gen",C1841))+ISNUMBER(SEARCH("Marketing Lead",C1841))&gt;0,'Configuración'!$B$33,IF(ISNUMBER(SEARCH("COO",C1841))+ISNUMBER(SEARCH("CFO",C1841))+ISNUMBER(SEARCH("CTO",C1841))+ISNUMBER(SEARCH("Chief Operating",C1841))+ISNUMBER(SEARCH("Chief Financial",C1841))+ISNUMBER(SEARCH("Gerente General",C1841))+ISNUMBER(SEARCH("General Manager",C1841))&gt;0,'Configuración'!$B$34,'Configuración'!$B$35)))))</f>
        <v>12</v>
      </c>
      <c r="V1841" s="38">
        <f>IF(B1841="","",IF(K1841="Sí",'Configuración'!$B$5,0)+IF(L1841="Semanal",'Configuración'!$B$6,IF(L1841="Mensual",'Configuración'!$B$7,0))+IF(M1841="Sí",'Configuración'!$B$8,0)+IF(N1841="Sí",'Configuración'!$B$9,0)+IF(O1841="Sí",'Configuración'!$B$10,0)+IF(P1841="Sí",'Configuración'!$B$11,0)+IF(Q1841="Sí",'Configuración'!$B$12,0)+S1841+T1841+U1841)</f>
        <v>28</v>
      </c>
      <c r="W1841" s="39" t="str">
        <f>IF(B1841="","",IF(V1841&gt;='Configuración'!$B$19,"A",IF(V1841&gt;='Configuración'!$B$20,"B",IF(V1841&gt;='Configuración'!$B$21,"C","Descarte"))))</f>
        <v>C</v>
      </c>
    </row>
    <row r="1842" ht="15.75" customHeight="1">
      <c r="A1842" s="34">
        <f t="shared" si="1"/>
        <v>1840</v>
      </c>
      <c r="B1842" s="29" t="s">
        <v>556</v>
      </c>
      <c r="C1842" s="29" t="s">
        <v>1465</v>
      </c>
      <c r="D1842" s="29" t="s">
        <v>10207</v>
      </c>
      <c r="E1842" s="29" t="s">
        <v>10208</v>
      </c>
      <c r="F1842" s="30" t="s">
        <v>10209</v>
      </c>
      <c r="G1842" s="30" t="s">
        <v>10210</v>
      </c>
      <c r="H1842" s="42" t="s">
        <v>10211</v>
      </c>
      <c r="I1842" s="29"/>
      <c r="J1842" s="31">
        <v>15.0</v>
      </c>
      <c r="K1842" s="35"/>
      <c r="L1842" s="35"/>
      <c r="M1842" s="35"/>
      <c r="N1842" s="35"/>
      <c r="O1842" s="35"/>
      <c r="P1842" s="35"/>
      <c r="Q1842" s="35"/>
      <c r="R1842" s="35"/>
      <c r="S1842" s="37">
        <f>IF(B1842="","",IF(ISNUMBER(J1842),IF(J1842&lt;=10,'Configuración'!$B$23,IF(J1842&lt;=50,'Configuración'!$B$24,IF(J1842&lt;=200,'Configuración'!$B$25,0))),0))</f>
        <v>4</v>
      </c>
      <c r="T1842" s="37">
        <f>IF(B1842="","",IF(ISNUMBER(SEARCH("information technology",I1842))+ISNUMBER(SEARCH("software",I1842))+ISNUMBER(SEARCH("internet",I1842))+ISNUMBER(SEARCH("computer",I1842))+ISNUMBER(SEARCH("saas",I1842))+ISNUMBER(SEARCH("fintech",I1842))+ISNUMBER(SEARCH("information services",I1842))+ISNUMBER(SEARCH("telecommunications",I1842))&gt;0,'Configuración'!$B$27,'Configuración'!$B$28))</f>
        <v>4</v>
      </c>
      <c r="U1842" s="25">
        <f>IF(B1842="","",IF(ISNUMBER(SEARCH("CEO",C1842))+ISNUMBER(SEARCH("Founder",C1842))+ISNUMBER(SEARCH("Owner",C1842))+ISNUMBER(SEARCH("Dueño",C1842))+ISNUMBER(SEARCH("Director General",C1842))+ISNUMBER(SEARCH("Presidente",C1842))+ISNUMBER(SEARCH("President",C1842))&gt;0,'Configuración'!$B$31,IF(ISNUMBER(SEARCH("CMO",C1842))+ISNUMBER(SEARCH("Chief Marketing",C1842))+ISNUMBER(SEARCH("VP Marketing",C1842))+ISNUMBER(SEARCH("Director de Marketing",C1842))+ISNUMBER(SEARCH("Director Marketing",C1842))+ISNUMBER(SEARCH("Head of Marketing",C1842))+ISNUMBER(SEARCH("Head Marketing",C1842))&gt;0,'Configuración'!$B$32,IF(ISNUMBER(SEARCH("Marketing Manager",C1842))+ISNUMBER(SEARCH("Gerente de Marketing",C1842))+ISNUMBER(SEARCH("Growth Manager",C1842))+ISNUMBER(SEARCH("Demand Gen",C1842))+ISNUMBER(SEARCH("Marketing Lead",C1842))&gt;0,'Configuración'!$B$33,IF(ISNUMBER(SEARCH("COO",C1842))+ISNUMBER(SEARCH("CFO",C1842))+ISNUMBER(SEARCH("CTO",C1842))+ISNUMBER(SEARCH("Chief Operating",C1842))+ISNUMBER(SEARCH("Chief Financial",C1842))+ISNUMBER(SEARCH("Gerente General",C1842))+ISNUMBER(SEARCH("General Manager",C1842))&gt;0,'Configuración'!$B$34,'Configuración'!$B$35)))))</f>
        <v>4</v>
      </c>
      <c r="V1842" s="38">
        <f>IF(B1842="","",IF(K1842="Sí",'Configuración'!$B$5,0)+IF(L1842="Semanal",'Configuración'!$B$6,IF(L1842="Mensual",'Configuración'!$B$7,0))+IF(M1842="Sí",'Configuración'!$B$8,0)+IF(N1842="Sí",'Configuración'!$B$9,0)+IF(O1842="Sí",'Configuración'!$B$10,0)+IF(P1842="Sí",'Configuración'!$B$11,0)+IF(Q1842="Sí",'Configuración'!$B$12,0)+S1842+T1842+U1842)</f>
        <v>12</v>
      </c>
      <c r="W1842" s="39" t="str">
        <f>IF(B1842="","",IF(V1842&gt;='Configuración'!$B$19,"A",IF(V1842&gt;='Configuración'!$B$20,"B",IF(V1842&gt;='Configuración'!$B$21,"C","Descarte"))))</f>
        <v>Descarte</v>
      </c>
    </row>
    <row r="1843" ht="15.75" customHeight="1">
      <c r="A1843" s="34">
        <f t="shared" si="1"/>
        <v>1841</v>
      </c>
      <c r="B1843" s="29" t="s">
        <v>120</v>
      </c>
      <c r="C1843" s="29" t="s">
        <v>1839</v>
      </c>
      <c r="D1843" s="29" t="s">
        <v>10212</v>
      </c>
      <c r="E1843" s="29" t="s">
        <v>10213</v>
      </c>
      <c r="F1843" s="30" t="s">
        <v>10214</v>
      </c>
      <c r="G1843" s="30" t="s">
        <v>10215</v>
      </c>
      <c r="H1843" s="42" t="s">
        <v>10216</v>
      </c>
      <c r="I1843" s="29" t="s">
        <v>1693</v>
      </c>
      <c r="J1843" s="31">
        <v>2.0</v>
      </c>
      <c r="K1843" s="35"/>
      <c r="L1843" s="35"/>
      <c r="M1843" s="35"/>
      <c r="N1843" s="35"/>
      <c r="O1843" s="35"/>
      <c r="P1843" s="35"/>
      <c r="Q1843" s="35"/>
      <c r="R1843" s="35"/>
      <c r="S1843" s="37">
        <f>IF(B1843="","",IF(ISNUMBER(J1843),IF(J1843&lt;=10,'Configuración'!$B$23,IF(J1843&lt;=50,'Configuración'!$B$24,IF(J1843&lt;=200,'Configuración'!$B$25,0))),0))</f>
        <v>12</v>
      </c>
      <c r="T1843" s="37">
        <f>IF(B1843="","",IF(ISNUMBER(SEARCH("information technology",I1843))+ISNUMBER(SEARCH("software",I1843))+ISNUMBER(SEARCH("internet",I1843))+ISNUMBER(SEARCH("computer",I1843))+ISNUMBER(SEARCH("saas",I1843))+ISNUMBER(SEARCH("fintech",I1843))+ISNUMBER(SEARCH("information services",I1843))+ISNUMBER(SEARCH("telecommunications",I1843))&gt;0,'Configuración'!$B$27,'Configuración'!$B$28))</f>
        <v>4</v>
      </c>
      <c r="U1843" s="25">
        <f>IF(B1843="","",IF(ISNUMBER(SEARCH("CEO",C1843))+ISNUMBER(SEARCH("Founder",C1843))+ISNUMBER(SEARCH("Owner",C1843))+ISNUMBER(SEARCH("Dueño",C1843))+ISNUMBER(SEARCH("Director General",C1843))+ISNUMBER(SEARCH("Presidente",C1843))+ISNUMBER(SEARCH("President",C1843))&gt;0,'Configuración'!$B$31,IF(ISNUMBER(SEARCH("CMO",C1843))+ISNUMBER(SEARCH("Chief Marketing",C1843))+ISNUMBER(SEARCH("VP Marketing",C1843))+ISNUMBER(SEARCH("Director de Marketing",C1843))+ISNUMBER(SEARCH("Director Marketing",C1843))+ISNUMBER(SEARCH("Head of Marketing",C1843))+ISNUMBER(SEARCH("Head Marketing",C1843))&gt;0,'Configuración'!$B$32,IF(ISNUMBER(SEARCH("Marketing Manager",C1843))+ISNUMBER(SEARCH("Gerente de Marketing",C1843))+ISNUMBER(SEARCH("Growth Manager",C1843))+ISNUMBER(SEARCH("Demand Gen",C1843))+ISNUMBER(SEARCH("Marketing Lead",C1843))&gt;0,'Configuración'!$B$33,IF(ISNUMBER(SEARCH("COO",C1843))+ISNUMBER(SEARCH("CFO",C1843))+ISNUMBER(SEARCH("CTO",C1843))+ISNUMBER(SEARCH("Chief Operating",C1843))+ISNUMBER(SEARCH("Chief Financial",C1843))+ISNUMBER(SEARCH("Gerente General",C1843))+ISNUMBER(SEARCH("General Manager",C1843))&gt;0,'Configuración'!$B$34,'Configuración'!$B$35)))))</f>
        <v>12</v>
      </c>
      <c r="V1843" s="38">
        <f>IF(B1843="","",IF(K1843="Sí",'Configuración'!$B$5,0)+IF(L1843="Semanal",'Configuración'!$B$6,IF(L1843="Mensual",'Configuración'!$B$7,0))+IF(M1843="Sí",'Configuración'!$B$8,0)+IF(N1843="Sí",'Configuración'!$B$9,0)+IF(O1843="Sí",'Configuración'!$B$10,0)+IF(P1843="Sí",'Configuración'!$B$11,0)+IF(Q1843="Sí",'Configuración'!$B$12,0)+S1843+T1843+U1843)</f>
        <v>28</v>
      </c>
      <c r="W1843" s="39" t="str">
        <f>IF(B1843="","",IF(V1843&gt;='Configuración'!$B$19,"A",IF(V1843&gt;='Configuración'!$B$20,"B",IF(V1843&gt;='Configuración'!$B$21,"C","Descarte"))))</f>
        <v>C</v>
      </c>
    </row>
    <row r="1844" ht="15.75" customHeight="1">
      <c r="A1844" s="34">
        <f t="shared" si="1"/>
        <v>1842</v>
      </c>
      <c r="B1844" s="29" t="s">
        <v>556</v>
      </c>
      <c r="C1844" s="29" t="s">
        <v>10217</v>
      </c>
      <c r="D1844" s="29" t="s">
        <v>5146</v>
      </c>
      <c r="E1844" s="29" t="s">
        <v>10218</v>
      </c>
      <c r="F1844" s="30" t="s">
        <v>10219</v>
      </c>
      <c r="G1844" s="30" t="s">
        <v>5149</v>
      </c>
      <c r="H1844" s="42" t="s">
        <v>5150</v>
      </c>
      <c r="I1844" s="29" t="s">
        <v>116</v>
      </c>
      <c r="J1844" s="31">
        <v>16.0</v>
      </c>
      <c r="K1844" s="35"/>
      <c r="L1844" s="35"/>
      <c r="M1844" s="35"/>
      <c r="N1844" s="35"/>
      <c r="O1844" s="35"/>
      <c r="P1844" s="35"/>
      <c r="Q1844" s="35"/>
      <c r="R1844" s="35"/>
      <c r="S1844" s="37">
        <f>IF(B1844="","",IF(ISNUMBER(J1844),IF(J1844&lt;=10,'Configuración'!$B$23,IF(J1844&lt;=50,'Configuración'!$B$24,IF(J1844&lt;=200,'Configuración'!$B$25,0))),0))</f>
        <v>4</v>
      </c>
      <c r="T1844" s="37">
        <f>IF(B1844="","",IF(ISNUMBER(SEARCH("information technology",I1844))+ISNUMBER(SEARCH("software",I1844))+ISNUMBER(SEARCH("internet",I1844))+ISNUMBER(SEARCH("computer",I1844))+ISNUMBER(SEARCH("saas",I1844))+ISNUMBER(SEARCH("fintech",I1844))+ISNUMBER(SEARCH("information services",I1844))+ISNUMBER(SEARCH("telecommunications",I1844))&gt;0,'Configuración'!$B$27,'Configuración'!$B$28))</f>
        <v>4</v>
      </c>
      <c r="U1844" s="25">
        <f>IF(B1844="","",IF(ISNUMBER(SEARCH("CEO",C1844))+ISNUMBER(SEARCH("Founder",C1844))+ISNUMBER(SEARCH("Owner",C1844))+ISNUMBER(SEARCH("Dueño",C1844))+ISNUMBER(SEARCH("Director General",C1844))+ISNUMBER(SEARCH("Presidente",C1844))+ISNUMBER(SEARCH("President",C1844))&gt;0,'Configuración'!$B$31,IF(ISNUMBER(SEARCH("CMO",C1844))+ISNUMBER(SEARCH("Chief Marketing",C1844))+ISNUMBER(SEARCH("VP Marketing",C1844))+ISNUMBER(SEARCH("Director de Marketing",C1844))+ISNUMBER(SEARCH("Director Marketing",C1844))+ISNUMBER(SEARCH("Head of Marketing",C1844))+ISNUMBER(SEARCH("Head Marketing",C1844))&gt;0,'Configuración'!$B$32,IF(ISNUMBER(SEARCH("Marketing Manager",C1844))+ISNUMBER(SEARCH("Gerente de Marketing",C1844))+ISNUMBER(SEARCH("Growth Manager",C1844))+ISNUMBER(SEARCH("Demand Gen",C1844))+ISNUMBER(SEARCH("Marketing Lead",C1844))&gt;0,'Configuración'!$B$33,IF(ISNUMBER(SEARCH("COO",C1844))+ISNUMBER(SEARCH("CFO",C1844))+ISNUMBER(SEARCH("CTO",C1844))+ISNUMBER(SEARCH("Chief Operating",C1844))+ISNUMBER(SEARCH("Chief Financial",C1844))+ISNUMBER(SEARCH("Gerente General",C1844))+ISNUMBER(SEARCH("General Manager",C1844))&gt;0,'Configuración'!$B$34,'Configuración'!$B$35)))))</f>
        <v>12</v>
      </c>
      <c r="V1844" s="38">
        <f>IF(B1844="","",IF(K1844="Sí",'Configuración'!$B$5,0)+IF(L1844="Semanal",'Configuración'!$B$6,IF(L1844="Mensual",'Configuración'!$B$7,0))+IF(M1844="Sí",'Configuración'!$B$8,0)+IF(N1844="Sí",'Configuración'!$B$9,0)+IF(O1844="Sí",'Configuración'!$B$10,0)+IF(P1844="Sí",'Configuración'!$B$11,0)+IF(Q1844="Sí",'Configuración'!$B$12,0)+S1844+T1844+U1844)</f>
        <v>20</v>
      </c>
      <c r="W1844" s="39" t="str">
        <f>IF(B1844="","",IF(V1844&gt;='Configuración'!$B$19,"A",IF(V1844&gt;='Configuración'!$B$20,"B",IF(V1844&gt;='Configuración'!$B$21,"C","Descarte"))))</f>
        <v>Descarte</v>
      </c>
    </row>
    <row r="1845" ht="15.75" customHeight="1">
      <c r="A1845" s="34">
        <f t="shared" si="1"/>
        <v>1843</v>
      </c>
      <c r="B1845" s="29" t="s">
        <v>1510</v>
      </c>
      <c r="C1845" s="29" t="s">
        <v>361</v>
      </c>
      <c r="D1845" s="29" t="s">
        <v>10220</v>
      </c>
      <c r="E1845" s="29" t="s">
        <v>10221</v>
      </c>
      <c r="F1845" s="30" t="s">
        <v>10222</v>
      </c>
      <c r="G1845" s="30" t="s">
        <v>10223</v>
      </c>
      <c r="H1845" s="42" t="s">
        <v>10224</v>
      </c>
      <c r="I1845" s="29" t="s">
        <v>127</v>
      </c>
      <c r="J1845" s="31">
        <v>21.0</v>
      </c>
      <c r="K1845" s="35"/>
      <c r="L1845" s="35"/>
      <c r="M1845" s="35"/>
      <c r="N1845" s="35"/>
      <c r="O1845" s="35"/>
      <c r="P1845" s="35"/>
      <c r="Q1845" s="35"/>
      <c r="R1845" s="35"/>
      <c r="S1845" s="37">
        <f>IF(B1845="","",IF(ISNUMBER(J1845),IF(J1845&lt;=10,'Configuración'!$B$23,IF(J1845&lt;=50,'Configuración'!$B$24,IF(J1845&lt;=200,'Configuración'!$B$25,0))),0))</f>
        <v>4</v>
      </c>
      <c r="T1845" s="37">
        <f>IF(B1845="","",IF(ISNUMBER(SEARCH("information technology",I1845))+ISNUMBER(SEARCH("software",I1845))+ISNUMBER(SEARCH("internet",I1845))+ISNUMBER(SEARCH("computer",I1845))+ISNUMBER(SEARCH("saas",I1845))+ISNUMBER(SEARCH("fintech",I1845))+ISNUMBER(SEARCH("information services",I1845))+ISNUMBER(SEARCH("telecommunications",I1845))&gt;0,'Configuración'!$B$27,'Configuración'!$B$28))</f>
        <v>12</v>
      </c>
      <c r="U1845" s="25">
        <f>IF(B1845="","",IF(ISNUMBER(SEARCH("CEO",C1845))+ISNUMBER(SEARCH("Founder",C1845))+ISNUMBER(SEARCH("Owner",C1845))+ISNUMBER(SEARCH("Dueño",C1845))+ISNUMBER(SEARCH("Director General",C1845))+ISNUMBER(SEARCH("Presidente",C1845))+ISNUMBER(SEARCH("President",C1845))&gt;0,'Configuración'!$B$31,IF(ISNUMBER(SEARCH("CMO",C1845))+ISNUMBER(SEARCH("Chief Marketing",C1845))+ISNUMBER(SEARCH("VP Marketing",C1845))+ISNUMBER(SEARCH("Director de Marketing",C1845))+ISNUMBER(SEARCH("Director Marketing",C1845))+ISNUMBER(SEARCH("Head of Marketing",C1845))+ISNUMBER(SEARCH("Head Marketing",C1845))&gt;0,'Configuración'!$B$32,IF(ISNUMBER(SEARCH("Marketing Manager",C1845))+ISNUMBER(SEARCH("Gerente de Marketing",C1845))+ISNUMBER(SEARCH("Growth Manager",C1845))+ISNUMBER(SEARCH("Demand Gen",C1845))+ISNUMBER(SEARCH("Marketing Lead",C1845))&gt;0,'Configuración'!$B$33,IF(ISNUMBER(SEARCH("COO",C1845))+ISNUMBER(SEARCH("CFO",C1845))+ISNUMBER(SEARCH("CTO",C1845))+ISNUMBER(SEARCH("Chief Operating",C1845))+ISNUMBER(SEARCH("Chief Financial",C1845))+ISNUMBER(SEARCH("Gerente General",C1845))+ISNUMBER(SEARCH("General Manager",C1845))&gt;0,'Configuración'!$B$34,'Configuración'!$B$35)))))</f>
        <v>0</v>
      </c>
      <c r="V1845" s="38">
        <f>IF(B1845="","",IF(K1845="Sí",'Configuración'!$B$5,0)+IF(L1845="Semanal",'Configuración'!$B$6,IF(L1845="Mensual",'Configuración'!$B$7,0))+IF(M1845="Sí",'Configuración'!$B$8,0)+IF(N1845="Sí",'Configuración'!$B$9,0)+IF(O1845="Sí",'Configuración'!$B$10,0)+IF(P1845="Sí",'Configuración'!$B$11,0)+IF(Q1845="Sí",'Configuración'!$B$12,0)+S1845+T1845+U1845)</f>
        <v>16</v>
      </c>
      <c r="W1845" s="39" t="str">
        <f>IF(B1845="","",IF(V1845&gt;='Configuración'!$B$19,"A",IF(V1845&gt;='Configuración'!$B$20,"B",IF(V1845&gt;='Configuración'!$B$21,"C","Descarte"))))</f>
        <v>Descarte</v>
      </c>
    </row>
    <row r="1846" ht="15.75" customHeight="1">
      <c r="A1846" s="34">
        <f t="shared" si="1"/>
        <v>1844</v>
      </c>
      <c r="B1846" s="29" t="s">
        <v>6964</v>
      </c>
      <c r="C1846" s="29" t="s">
        <v>597</v>
      </c>
      <c r="D1846" s="29" t="s">
        <v>10225</v>
      </c>
      <c r="E1846" s="29" t="s">
        <v>10226</v>
      </c>
      <c r="F1846" s="30" t="s">
        <v>10227</v>
      </c>
      <c r="G1846" s="30" t="s">
        <v>10228</v>
      </c>
      <c r="H1846" s="42" t="s">
        <v>10229</v>
      </c>
      <c r="I1846" s="29" t="s">
        <v>127</v>
      </c>
      <c r="J1846" s="31">
        <v>10.0</v>
      </c>
      <c r="K1846" s="35"/>
      <c r="L1846" s="35"/>
      <c r="M1846" s="35"/>
      <c r="N1846" s="35"/>
      <c r="O1846" s="35"/>
      <c r="P1846" s="35"/>
      <c r="Q1846" s="35"/>
      <c r="R1846" s="35"/>
      <c r="S1846" s="37">
        <f>IF(B1846="","",IF(ISNUMBER(J1846),IF(J1846&lt;=10,'Configuración'!$B$23,IF(J1846&lt;=50,'Configuración'!$B$24,IF(J1846&lt;=200,'Configuración'!$B$25,0))),0))</f>
        <v>12</v>
      </c>
      <c r="T1846" s="37">
        <f>IF(B1846="","",IF(ISNUMBER(SEARCH("information technology",I1846))+ISNUMBER(SEARCH("software",I1846))+ISNUMBER(SEARCH("internet",I1846))+ISNUMBER(SEARCH("computer",I1846))+ISNUMBER(SEARCH("saas",I1846))+ISNUMBER(SEARCH("fintech",I1846))+ISNUMBER(SEARCH("information services",I1846))+ISNUMBER(SEARCH("telecommunications",I1846))&gt;0,'Configuración'!$B$27,'Configuración'!$B$28))</f>
        <v>12</v>
      </c>
      <c r="U1846" s="25">
        <f>IF(B1846="","",IF(ISNUMBER(SEARCH("CEO",C1846))+ISNUMBER(SEARCH("Founder",C1846))+ISNUMBER(SEARCH("Owner",C1846))+ISNUMBER(SEARCH("Dueño",C1846))+ISNUMBER(SEARCH("Director General",C1846))+ISNUMBER(SEARCH("Presidente",C1846))+ISNUMBER(SEARCH("President",C1846))&gt;0,'Configuración'!$B$31,IF(ISNUMBER(SEARCH("CMO",C1846))+ISNUMBER(SEARCH("Chief Marketing",C1846))+ISNUMBER(SEARCH("VP Marketing",C1846))+ISNUMBER(SEARCH("Director de Marketing",C1846))+ISNUMBER(SEARCH("Director Marketing",C1846))+ISNUMBER(SEARCH("Head of Marketing",C1846))+ISNUMBER(SEARCH("Head Marketing",C1846))&gt;0,'Configuración'!$B$32,IF(ISNUMBER(SEARCH("Marketing Manager",C1846))+ISNUMBER(SEARCH("Gerente de Marketing",C1846))+ISNUMBER(SEARCH("Growth Manager",C1846))+ISNUMBER(SEARCH("Demand Gen",C1846))+ISNUMBER(SEARCH("Marketing Lead",C1846))&gt;0,'Configuración'!$B$33,IF(ISNUMBER(SEARCH("COO",C1846))+ISNUMBER(SEARCH("CFO",C1846))+ISNUMBER(SEARCH("CTO",C1846))+ISNUMBER(SEARCH("Chief Operating",C1846))+ISNUMBER(SEARCH("Chief Financial",C1846))+ISNUMBER(SEARCH("Gerente General",C1846))+ISNUMBER(SEARCH("General Manager",C1846))&gt;0,'Configuración'!$B$34,'Configuración'!$B$35)))))</f>
        <v>12</v>
      </c>
      <c r="V1846" s="38">
        <f>IF(B1846="","",IF(K1846="Sí",'Configuración'!$B$5,0)+IF(L1846="Semanal",'Configuración'!$B$6,IF(L1846="Mensual",'Configuración'!$B$7,0))+IF(M1846="Sí",'Configuración'!$B$8,0)+IF(N1846="Sí",'Configuración'!$B$9,0)+IF(O1846="Sí",'Configuración'!$B$10,0)+IF(P1846="Sí",'Configuración'!$B$11,0)+IF(Q1846="Sí",'Configuración'!$B$12,0)+S1846+T1846+U1846)</f>
        <v>36</v>
      </c>
      <c r="W1846" s="39" t="str">
        <f>IF(B1846="","",IF(V1846&gt;='Configuración'!$B$19,"A",IF(V1846&gt;='Configuración'!$B$20,"B",IF(V1846&gt;='Configuración'!$B$21,"C","Descarte"))))</f>
        <v>C</v>
      </c>
    </row>
    <row r="1847" ht="15.75" customHeight="1">
      <c r="A1847" s="34">
        <f t="shared" si="1"/>
        <v>1845</v>
      </c>
      <c r="B1847" s="29" t="s">
        <v>1927</v>
      </c>
      <c r="C1847" s="29" t="s">
        <v>10230</v>
      </c>
      <c r="D1847" s="29" t="s">
        <v>4161</v>
      </c>
      <c r="E1847" s="29" t="s">
        <v>10231</v>
      </c>
      <c r="F1847" s="30" t="s">
        <v>10232</v>
      </c>
      <c r="G1847" s="30" t="s">
        <v>4164</v>
      </c>
      <c r="H1847" s="42" t="s">
        <v>4165</v>
      </c>
      <c r="I1847" s="29" t="s">
        <v>127</v>
      </c>
      <c r="J1847" s="31">
        <v>15.0</v>
      </c>
      <c r="K1847" s="35"/>
      <c r="L1847" s="35"/>
      <c r="M1847" s="35"/>
      <c r="N1847" s="35"/>
      <c r="O1847" s="35"/>
      <c r="P1847" s="35"/>
      <c r="Q1847" s="35"/>
      <c r="R1847" s="35"/>
      <c r="S1847" s="37">
        <f>IF(B1847="","",IF(ISNUMBER(J1847),IF(J1847&lt;=10,'Configuración'!$B$23,IF(J1847&lt;=50,'Configuración'!$B$24,IF(J1847&lt;=200,'Configuración'!$B$25,0))),0))</f>
        <v>4</v>
      </c>
      <c r="T1847" s="37">
        <f>IF(B1847="","",IF(ISNUMBER(SEARCH("information technology",I1847))+ISNUMBER(SEARCH("software",I1847))+ISNUMBER(SEARCH("internet",I1847))+ISNUMBER(SEARCH("computer",I1847))+ISNUMBER(SEARCH("saas",I1847))+ISNUMBER(SEARCH("fintech",I1847))+ISNUMBER(SEARCH("information services",I1847))+ISNUMBER(SEARCH("telecommunications",I1847))&gt;0,'Configuración'!$B$27,'Configuración'!$B$28))</f>
        <v>12</v>
      </c>
      <c r="U1847" s="25">
        <f>IF(B1847="","",IF(ISNUMBER(SEARCH("CEO",C1847))+ISNUMBER(SEARCH("Founder",C1847))+ISNUMBER(SEARCH("Owner",C1847))+ISNUMBER(SEARCH("Dueño",C1847))+ISNUMBER(SEARCH("Director General",C1847))+ISNUMBER(SEARCH("Presidente",C1847))+ISNUMBER(SEARCH("President",C1847))&gt;0,'Configuración'!$B$31,IF(ISNUMBER(SEARCH("CMO",C1847))+ISNUMBER(SEARCH("Chief Marketing",C1847))+ISNUMBER(SEARCH("VP Marketing",C1847))+ISNUMBER(SEARCH("Director de Marketing",C1847))+ISNUMBER(SEARCH("Director Marketing",C1847))+ISNUMBER(SEARCH("Head of Marketing",C1847))+ISNUMBER(SEARCH("Head Marketing",C1847))&gt;0,'Configuración'!$B$32,IF(ISNUMBER(SEARCH("Marketing Manager",C1847))+ISNUMBER(SEARCH("Gerente de Marketing",C1847))+ISNUMBER(SEARCH("Growth Manager",C1847))+ISNUMBER(SEARCH("Demand Gen",C1847))+ISNUMBER(SEARCH("Marketing Lead",C1847))&gt;0,'Configuración'!$B$33,IF(ISNUMBER(SEARCH("COO",C1847))+ISNUMBER(SEARCH("CFO",C1847))+ISNUMBER(SEARCH("CTO",C1847))+ISNUMBER(SEARCH("Chief Operating",C1847))+ISNUMBER(SEARCH("Chief Financial",C1847))+ISNUMBER(SEARCH("Gerente General",C1847))+ISNUMBER(SEARCH("General Manager",C1847))&gt;0,'Configuración'!$B$34,'Configuración'!$B$35)))))</f>
        <v>12</v>
      </c>
      <c r="V1847" s="38">
        <f>IF(B1847="","",IF(K1847="Sí",'Configuración'!$B$5,0)+IF(L1847="Semanal",'Configuración'!$B$6,IF(L1847="Mensual",'Configuración'!$B$7,0))+IF(M1847="Sí",'Configuración'!$B$8,0)+IF(N1847="Sí",'Configuración'!$B$9,0)+IF(O1847="Sí",'Configuración'!$B$10,0)+IF(P1847="Sí",'Configuración'!$B$11,0)+IF(Q1847="Sí",'Configuración'!$B$12,0)+S1847+T1847+U1847)</f>
        <v>28</v>
      </c>
      <c r="W1847" s="39" t="str">
        <f>IF(B1847="","",IF(V1847&gt;='Configuración'!$B$19,"A",IF(V1847&gt;='Configuración'!$B$20,"B",IF(V1847&gt;='Configuración'!$B$21,"C","Descarte"))))</f>
        <v>C</v>
      </c>
    </row>
    <row r="1848" ht="15.75" customHeight="1">
      <c r="A1848" s="34">
        <f t="shared" si="1"/>
        <v>1846</v>
      </c>
      <c r="B1848" s="29" t="s">
        <v>9538</v>
      </c>
      <c r="C1848" s="29" t="s">
        <v>467</v>
      </c>
      <c r="D1848" s="29" t="s">
        <v>10233</v>
      </c>
      <c r="E1848" s="29" t="s">
        <v>10234</v>
      </c>
      <c r="F1848" s="30" t="s">
        <v>10235</v>
      </c>
      <c r="G1848" s="30" t="s">
        <v>10236</v>
      </c>
      <c r="H1848" s="42" t="s">
        <v>10237</v>
      </c>
      <c r="I1848" s="29" t="s">
        <v>127</v>
      </c>
      <c r="J1848" s="31">
        <v>35.0</v>
      </c>
      <c r="K1848" s="35"/>
      <c r="L1848" s="35"/>
      <c r="M1848" s="35"/>
      <c r="N1848" s="35"/>
      <c r="O1848" s="35"/>
      <c r="P1848" s="35"/>
      <c r="Q1848" s="35"/>
      <c r="R1848" s="35"/>
      <c r="S1848" s="37">
        <f>IF(B1848="","",IF(ISNUMBER(J1848),IF(J1848&lt;=10,'Configuración'!$B$23,IF(J1848&lt;=50,'Configuración'!$B$24,IF(J1848&lt;=200,'Configuración'!$B$25,0))),0))</f>
        <v>4</v>
      </c>
      <c r="T1848" s="37">
        <f>IF(B1848="","",IF(ISNUMBER(SEARCH("information technology",I1848))+ISNUMBER(SEARCH("software",I1848))+ISNUMBER(SEARCH("internet",I1848))+ISNUMBER(SEARCH("computer",I1848))+ISNUMBER(SEARCH("saas",I1848))+ISNUMBER(SEARCH("fintech",I1848))+ISNUMBER(SEARCH("information services",I1848))+ISNUMBER(SEARCH("telecommunications",I1848))&gt;0,'Configuración'!$B$27,'Configuración'!$B$28))</f>
        <v>12</v>
      </c>
      <c r="U1848" s="25">
        <f>IF(B1848="","",IF(ISNUMBER(SEARCH("CEO",C1848))+ISNUMBER(SEARCH("Founder",C1848))+ISNUMBER(SEARCH("Owner",C1848))+ISNUMBER(SEARCH("Dueño",C1848))+ISNUMBER(SEARCH("Director General",C1848))+ISNUMBER(SEARCH("Presidente",C1848))+ISNUMBER(SEARCH("President",C1848))&gt;0,'Configuración'!$B$31,IF(ISNUMBER(SEARCH("CMO",C1848))+ISNUMBER(SEARCH("Chief Marketing",C1848))+ISNUMBER(SEARCH("VP Marketing",C1848))+ISNUMBER(SEARCH("Director de Marketing",C1848))+ISNUMBER(SEARCH("Director Marketing",C1848))+ISNUMBER(SEARCH("Head of Marketing",C1848))+ISNUMBER(SEARCH("Head Marketing",C1848))&gt;0,'Configuración'!$B$32,IF(ISNUMBER(SEARCH("Marketing Manager",C1848))+ISNUMBER(SEARCH("Gerente de Marketing",C1848))+ISNUMBER(SEARCH("Growth Manager",C1848))+ISNUMBER(SEARCH("Demand Gen",C1848))+ISNUMBER(SEARCH("Marketing Lead",C1848))&gt;0,'Configuración'!$B$33,IF(ISNUMBER(SEARCH("COO",C1848))+ISNUMBER(SEARCH("CFO",C1848))+ISNUMBER(SEARCH("CTO",C1848))+ISNUMBER(SEARCH("Chief Operating",C1848))+ISNUMBER(SEARCH("Chief Financial",C1848))+ISNUMBER(SEARCH("Gerente General",C1848))+ISNUMBER(SEARCH("General Manager",C1848))&gt;0,'Configuración'!$B$34,'Configuración'!$B$35)))))</f>
        <v>0</v>
      </c>
      <c r="V1848" s="38">
        <f>IF(B1848="","",IF(K1848="Sí",'Configuración'!$B$5,0)+IF(L1848="Semanal",'Configuración'!$B$6,IF(L1848="Mensual",'Configuración'!$B$7,0))+IF(M1848="Sí",'Configuración'!$B$8,0)+IF(N1848="Sí",'Configuración'!$B$9,0)+IF(O1848="Sí",'Configuración'!$B$10,0)+IF(P1848="Sí",'Configuración'!$B$11,0)+IF(Q1848="Sí",'Configuración'!$B$12,0)+S1848+T1848+U1848)</f>
        <v>16</v>
      </c>
      <c r="W1848" s="39" t="str">
        <f>IF(B1848="","",IF(V1848&gt;='Configuración'!$B$19,"A",IF(V1848&gt;='Configuración'!$B$20,"B",IF(V1848&gt;='Configuración'!$B$21,"C","Descarte"))))</f>
        <v>Descarte</v>
      </c>
    </row>
    <row r="1849" ht="15.75" customHeight="1">
      <c r="A1849" s="34">
        <f t="shared" si="1"/>
        <v>1847</v>
      </c>
      <c r="B1849" s="29" t="s">
        <v>174</v>
      </c>
      <c r="C1849" s="29" t="s">
        <v>202</v>
      </c>
      <c r="D1849" s="29" t="s">
        <v>10238</v>
      </c>
      <c r="E1849" s="29" t="s">
        <v>10239</v>
      </c>
      <c r="F1849" s="30" t="s">
        <v>10240</v>
      </c>
      <c r="G1849" s="30" t="s">
        <v>10241</v>
      </c>
      <c r="H1849" s="42" t="s">
        <v>10242</v>
      </c>
      <c r="I1849" s="29" t="s">
        <v>337</v>
      </c>
      <c r="J1849" s="31">
        <v>4.0</v>
      </c>
      <c r="K1849" s="35"/>
      <c r="L1849" s="35"/>
      <c r="M1849" s="35"/>
      <c r="N1849" s="35"/>
      <c r="O1849" s="35"/>
      <c r="P1849" s="35"/>
      <c r="Q1849" s="35"/>
      <c r="R1849" s="35"/>
      <c r="S1849" s="37">
        <f>IF(B1849="","",IF(ISNUMBER(J1849),IF(J1849&lt;=10,'Configuración'!$B$23,IF(J1849&lt;=50,'Configuración'!$B$24,IF(J1849&lt;=200,'Configuración'!$B$25,0))),0))</f>
        <v>12</v>
      </c>
      <c r="T1849" s="37">
        <f>IF(B1849="","",IF(ISNUMBER(SEARCH("information technology",I1849))+ISNUMBER(SEARCH("software",I1849))+ISNUMBER(SEARCH("internet",I1849))+ISNUMBER(SEARCH("computer",I1849))+ISNUMBER(SEARCH("saas",I1849))+ISNUMBER(SEARCH("fintech",I1849))+ISNUMBER(SEARCH("information services",I1849))+ISNUMBER(SEARCH("telecommunications",I1849))&gt;0,'Configuración'!$B$27,'Configuración'!$B$28))</f>
        <v>4</v>
      </c>
      <c r="U1849" s="25">
        <f>IF(B1849="","",IF(ISNUMBER(SEARCH("CEO",C1849))+ISNUMBER(SEARCH("Founder",C1849))+ISNUMBER(SEARCH("Owner",C1849))+ISNUMBER(SEARCH("Dueño",C1849))+ISNUMBER(SEARCH("Director General",C1849))+ISNUMBER(SEARCH("Presidente",C1849))+ISNUMBER(SEARCH("President",C1849))&gt;0,'Configuración'!$B$31,IF(ISNUMBER(SEARCH("CMO",C1849))+ISNUMBER(SEARCH("Chief Marketing",C1849))+ISNUMBER(SEARCH("VP Marketing",C1849))+ISNUMBER(SEARCH("Director de Marketing",C1849))+ISNUMBER(SEARCH("Director Marketing",C1849))+ISNUMBER(SEARCH("Head of Marketing",C1849))+ISNUMBER(SEARCH("Head Marketing",C1849))&gt;0,'Configuración'!$B$32,IF(ISNUMBER(SEARCH("Marketing Manager",C1849))+ISNUMBER(SEARCH("Gerente de Marketing",C1849))+ISNUMBER(SEARCH("Growth Manager",C1849))+ISNUMBER(SEARCH("Demand Gen",C1849))+ISNUMBER(SEARCH("Marketing Lead",C1849))&gt;0,'Configuración'!$B$33,IF(ISNUMBER(SEARCH("COO",C1849))+ISNUMBER(SEARCH("CFO",C1849))+ISNUMBER(SEARCH("CTO",C1849))+ISNUMBER(SEARCH("Chief Operating",C1849))+ISNUMBER(SEARCH("Chief Financial",C1849))+ISNUMBER(SEARCH("Gerente General",C1849))+ISNUMBER(SEARCH("General Manager",C1849))&gt;0,'Configuración'!$B$34,'Configuración'!$B$35)))))</f>
        <v>12</v>
      </c>
      <c r="V1849" s="38">
        <f>IF(B1849="","",IF(K1849="Sí",'Configuración'!$B$5,0)+IF(L1849="Semanal",'Configuración'!$B$6,IF(L1849="Mensual",'Configuración'!$B$7,0))+IF(M1849="Sí",'Configuración'!$B$8,0)+IF(N1849="Sí",'Configuración'!$B$9,0)+IF(O1849="Sí",'Configuración'!$B$10,0)+IF(P1849="Sí",'Configuración'!$B$11,0)+IF(Q1849="Sí",'Configuración'!$B$12,0)+S1849+T1849+U1849)</f>
        <v>28</v>
      </c>
      <c r="W1849" s="39" t="str">
        <f>IF(B1849="","",IF(V1849&gt;='Configuración'!$B$19,"A",IF(V1849&gt;='Configuración'!$B$20,"B",IF(V1849&gt;='Configuración'!$B$21,"C","Descarte"))))</f>
        <v>C</v>
      </c>
    </row>
    <row r="1850" ht="15.75" customHeight="1">
      <c r="A1850" s="34">
        <f t="shared" si="1"/>
        <v>1848</v>
      </c>
      <c r="B1850" s="29" t="s">
        <v>4798</v>
      </c>
      <c r="C1850" s="29" t="s">
        <v>10243</v>
      </c>
      <c r="D1850" s="29" t="s">
        <v>10244</v>
      </c>
      <c r="E1850" s="29" t="s">
        <v>10245</v>
      </c>
      <c r="F1850" s="30" t="s">
        <v>10246</v>
      </c>
      <c r="G1850" s="30" t="s">
        <v>10247</v>
      </c>
      <c r="H1850" s="42" t="s">
        <v>10248</v>
      </c>
      <c r="I1850" s="29" t="s">
        <v>127</v>
      </c>
      <c r="J1850" s="31">
        <v>5.0</v>
      </c>
      <c r="K1850" s="35"/>
      <c r="L1850" s="35"/>
      <c r="M1850" s="35"/>
      <c r="N1850" s="35"/>
      <c r="O1850" s="35"/>
      <c r="P1850" s="35"/>
      <c r="Q1850" s="35"/>
      <c r="R1850" s="35"/>
      <c r="S1850" s="37">
        <f>IF(B1850="","",IF(ISNUMBER(J1850),IF(J1850&lt;=10,'Configuración'!$B$23,IF(J1850&lt;=50,'Configuración'!$B$24,IF(J1850&lt;=200,'Configuración'!$B$25,0))),0))</f>
        <v>12</v>
      </c>
      <c r="T1850" s="37">
        <f>IF(B1850="","",IF(ISNUMBER(SEARCH("information technology",I1850))+ISNUMBER(SEARCH("software",I1850))+ISNUMBER(SEARCH("internet",I1850))+ISNUMBER(SEARCH("computer",I1850))+ISNUMBER(SEARCH("saas",I1850))+ISNUMBER(SEARCH("fintech",I1850))+ISNUMBER(SEARCH("information services",I1850))+ISNUMBER(SEARCH("telecommunications",I1850))&gt;0,'Configuración'!$B$27,'Configuración'!$B$28))</f>
        <v>12</v>
      </c>
      <c r="U1850" s="25">
        <f>IF(B1850="","",IF(ISNUMBER(SEARCH("CEO",C1850))+ISNUMBER(SEARCH("Founder",C1850))+ISNUMBER(SEARCH("Owner",C1850))+ISNUMBER(SEARCH("Dueño",C1850))+ISNUMBER(SEARCH("Director General",C1850))+ISNUMBER(SEARCH("Presidente",C1850))+ISNUMBER(SEARCH("President",C1850))&gt;0,'Configuración'!$B$31,IF(ISNUMBER(SEARCH("CMO",C1850))+ISNUMBER(SEARCH("Chief Marketing",C1850))+ISNUMBER(SEARCH("VP Marketing",C1850))+ISNUMBER(SEARCH("Director de Marketing",C1850))+ISNUMBER(SEARCH("Director Marketing",C1850))+ISNUMBER(SEARCH("Head of Marketing",C1850))+ISNUMBER(SEARCH("Head Marketing",C1850))&gt;0,'Configuración'!$B$32,IF(ISNUMBER(SEARCH("Marketing Manager",C1850))+ISNUMBER(SEARCH("Gerente de Marketing",C1850))+ISNUMBER(SEARCH("Growth Manager",C1850))+ISNUMBER(SEARCH("Demand Gen",C1850))+ISNUMBER(SEARCH("Marketing Lead",C1850))&gt;0,'Configuración'!$B$33,IF(ISNUMBER(SEARCH("COO",C1850))+ISNUMBER(SEARCH("CFO",C1850))+ISNUMBER(SEARCH("CTO",C1850))+ISNUMBER(SEARCH("Chief Operating",C1850))+ISNUMBER(SEARCH("Chief Financial",C1850))+ISNUMBER(SEARCH("Gerente General",C1850))+ISNUMBER(SEARCH("General Manager",C1850))&gt;0,'Configuración'!$B$34,'Configuración'!$B$35)))))</f>
        <v>12</v>
      </c>
      <c r="V1850" s="38">
        <f>IF(B1850="","",IF(K1850="Sí",'Configuración'!$B$5,0)+IF(L1850="Semanal",'Configuración'!$B$6,IF(L1850="Mensual",'Configuración'!$B$7,0))+IF(M1850="Sí",'Configuración'!$B$8,0)+IF(N1850="Sí",'Configuración'!$B$9,0)+IF(O1850="Sí",'Configuración'!$B$10,0)+IF(P1850="Sí",'Configuración'!$B$11,0)+IF(Q1850="Sí",'Configuración'!$B$12,0)+S1850+T1850+U1850)</f>
        <v>36</v>
      </c>
      <c r="W1850" s="39" t="str">
        <f>IF(B1850="","",IF(V1850&gt;='Configuración'!$B$19,"A",IF(V1850&gt;='Configuración'!$B$20,"B",IF(V1850&gt;='Configuración'!$B$21,"C","Descarte"))))</f>
        <v>C</v>
      </c>
    </row>
    <row r="1851" ht="15.75" customHeight="1">
      <c r="A1851" s="34">
        <f t="shared" si="1"/>
        <v>1849</v>
      </c>
      <c r="B1851" s="29" t="s">
        <v>10249</v>
      </c>
      <c r="C1851" s="29" t="s">
        <v>487</v>
      </c>
      <c r="D1851" s="29" t="s">
        <v>10250</v>
      </c>
      <c r="E1851" s="29" t="s">
        <v>10251</v>
      </c>
      <c r="F1851" s="30" t="s">
        <v>10252</v>
      </c>
      <c r="G1851" s="30" t="s">
        <v>10253</v>
      </c>
      <c r="H1851" s="42" t="s">
        <v>10254</v>
      </c>
      <c r="I1851" s="29" t="s">
        <v>188</v>
      </c>
      <c r="J1851" s="31">
        <v>7.0</v>
      </c>
      <c r="K1851" s="35"/>
      <c r="L1851" s="35"/>
      <c r="M1851" s="35"/>
      <c r="N1851" s="35"/>
      <c r="O1851" s="35"/>
      <c r="P1851" s="35"/>
      <c r="Q1851" s="35"/>
      <c r="R1851" s="35"/>
      <c r="S1851" s="37">
        <f>IF(B1851="","",IF(ISNUMBER(J1851),IF(J1851&lt;=10,'Configuración'!$B$23,IF(J1851&lt;=50,'Configuración'!$B$24,IF(J1851&lt;=200,'Configuración'!$B$25,0))),0))</f>
        <v>12</v>
      </c>
      <c r="T1851" s="37">
        <f>IF(B1851="","",IF(ISNUMBER(SEARCH("information technology",I1851))+ISNUMBER(SEARCH("software",I1851))+ISNUMBER(SEARCH("internet",I1851))+ISNUMBER(SEARCH("computer",I1851))+ISNUMBER(SEARCH("saas",I1851))+ISNUMBER(SEARCH("fintech",I1851))+ISNUMBER(SEARCH("information services",I1851))+ISNUMBER(SEARCH("telecommunications",I1851))&gt;0,'Configuración'!$B$27,'Configuración'!$B$28))</f>
        <v>4</v>
      </c>
      <c r="U1851" s="25">
        <f>IF(B1851="","",IF(ISNUMBER(SEARCH("CEO",C1851))+ISNUMBER(SEARCH("Founder",C1851))+ISNUMBER(SEARCH("Owner",C1851))+ISNUMBER(SEARCH("Dueño",C1851))+ISNUMBER(SEARCH("Director General",C1851))+ISNUMBER(SEARCH("Presidente",C1851))+ISNUMBER(SEARCH("President",C1851))&gt;0,'Configuración'!$B$31,IF(ISNUMBER(SEARCH("CMO",C1851))+ISNUMBER(SEARCH("Chief Marketing",C1851))+ISNUMBER(SEARCH("VP Marketing",C1851))+ISNUMBER(SEARCH("Director de Marketing",C1851))+ISNUMBER(SEARCH("Director Marketing",C1851))+ISNUMBER(SEARCH("Head of Marketing",C1851))+ISNUMBER(SEARCH("Head Marketing",C1851))&gt;0,'Configuración'!$B$32,IF(ISNUMBER(SEARCH("Marketing Manager",C1851))+ISNUMBER(SEARCH("Gerente de Marketing",C1851))+ISNUMBER(SEARCH("Growth Manager",C1851))+ISNUMBER(SEARCH("Demand Gen",C1851))+ISNUMBER(SEARCH("Marketing Lead",C1851))&gt;0,'Configuración'!$B$33,IF(ISNUMBER(SEARCH("COO",C1851))+ISNUMBER(SEARCH("CFO",C1851))+ISNUMBER(SEARCH("CTO",C1851))+ISNUMBER(SEARCH("Chief Operating",C1851))+ISNUMBER(SEARCH("Chief Financial",C1851))+ISNUMBER(SEARCH("Gerente General",C1851))+ISNUMBER(SEARCH("General Manager",C1851))&gt;0,'Configuración'!$B$34,'Configuración'!$B$35)))))</f>
        <v>12</v>
      </c>
      <c r="V1851" s="38">
        <f>IF(B1851="","",IF(K1851="Sí",'Configuración'!$B$5,0)+IF(L1851="Semanal",'Configuración'!$B$6,IF(L1851="Mensual",'Configuración'!$B$7,0))+IF(M1851="Sí",'Configuración'!$B$8,0)+IF(N1851="Sí",'Configuración'!$B$9,0)+IF(O1851="Sí",'Configuración'!$B$10,0)+IF(P1851="Sí",'Configuración'!$B$11,0)+IF(Q1851="Sí",'Configuración'!$B$12,0)+S1851+T1851+U1851)</f>
        <v>28</v>
      </c>
      <c r="W1851" s="39" t="str">
        <f>IF(B1851="","",IF(V1851&gt;='Configuración'!$B$19,"A",IF(V1851&gt;='Configuración'!$B$20,"B",IF(V1851&gt;='Configuración'!$B$21,"C","Descarte"))))</f>
        <v>C</v>
      </c>
    </row>
    <row r="1852" ht="15.75" customHeight="1">
      <c r="A1852" s="34">
        <f t="shared" si="1"/>
        <v>1850</v>
      </c>
      <c r="B1852" s="29" t="s">
        <v>159</v>
      </c>
      <c r="C1852" s="29" t="s">
        <v>10255</v>
      </c>
      <c r="D1852" s="29" t="s">
        <v>10256</v>
      </c>
      <c r="E1852" s="29" t="s">
        <v>10257</v>
      </c>
      <c r="F1852" s="30" t="s">
        <v>10258</v>
      </c>
      <c r="G1852" s="30" t="s">
        <v>10259</v>
      </c>
      <c r="H1852" s="42" t="s">
        <v>10260</v>
      </c>
      <c r="I1852" s="29" t="s">
        <v>873</v>
      </c>
      <c r="J1852" s="31">
        <v>5.0</v>
      </c>
      <c r="K1852" s="35"/>
      <c r="L1852" s="35"/>
      <c r="M1852" s="35"/>
      <c r="N1852" s="35"/>
      <c r="O1852" s="35"/>
      <c r="P1852" s="35"/>
      <c r="Q1852" s="35"/>
      <c r="R1852" s="35"/>
      <c r="S1852" s="37">
        <f>IF(B1852="","",IF(ISNUMBER(J1852),IF(J1852&lt;=10,'Configuración'!$B$23,IF(J1852&lt;=50,'Configuración'!$B$24,IF(J1852&lt;=200,'Configuración'!$B$25,0))),0))</f>
        <v>12</v>
      </c>
      <c r="T1852" s="37">
        <f>IF(B1852="","",IF(ISNUMBER(SEARCH("information technology",I1852))+ISNUMBER(SEARCH("software",I1852))+ISNUMBER(SEARCH("internet",I1852))+ISNUMBER(SEARCH("computer",I1852))+ISNUMBER(SEARCH("saas",I1852))+ISNUMBER(SEARCH("fintech",I1852))+ISNUMBER(SEARCH("information services",I1852))+ISNUMBER(SEARCH("telecommunications",I1852))&gt;0,'Configuración'!$B$27,'Configuración'!$B$28))</f>
        <v>4</v>
      </c>
      <c r="U1852" s="25">
        <f>IF(B1852="","",IF(ISNUMBER(SEARCH("CEO",C1852))+ISNUMBER(SEARCH("Founder",C1852))+ISNUMBER(SEARCH("Owner",C1852))+ISNUMBER(SEARCH("Dueño",C1852))+ISNUMBER(SEARCH("Director General",C1852))+ISNUMBER(SEARCH("Presidente",C1852))+ISNUMBER(SEARCH("President",C1852))&gt;0,'Configuración'!$B$31,IF(ISNUMBER(SEARCH("CMO",C1852))+ISNUMBER(SEARCH("Chief Marketing",C1852))+ISNUMBER(SEARCH("VP Marketing",C1852))+ISNUMBER(SEARCH("Director de Marketing",C1852))+ISNUMBER(SEARCH("Director Marketing",C1852))+ISNUMBER(SEARCH("Head of Marketing",C1852))+ISNUMBER(SEARCH("Head Marketing",C1852))&gt;0,'Configuración'!$B$32,IF(ISNUMBER(SEARCH("Marketing Manager",C1852))+ISNUMBER(SEARCH("Gerente de Marketing",C1852))+ISNUMBER(SEARCH("Growth Manager",C1852))+ISNUMBER(SEARCH("Demand Gen",C1852))+ISNUMBER(SEARCH("Marketing Lead",C1852))&gt;0,'Configuración'!$B$33,IF(ISNUMBER(SEARCH("COO",C1852))+ISNUMBER(SEARCH("CFO",C1852))+ISNUMBER(SEARCH("CTO",C1852))+ISNUMBER(SEARCH("Chief Operating",C1852))+ISNUMBER(SEARCH("Chief Financial",C1852))+ISNUMBER(SEARCH("Gerente General",C1852))+ISNUMBER(SEARCH("General Manager",C1852))&gt;0,'Configuración'!$B$34,'Configuración'!$B$35)))))</f>
        <v>12</v>
      </c>
      <c r="V1852" s="38">
        <f>IF(B1852="","",IF(K1852="Sí",'Configuración'!$B$5,0)+IF(L1852="Semanal",'Configuración'!$B$6,IF(L1852="Mensual",'Configuración'!$B$7,0))+IF(M1852="Sí",'Configuración'!$B$8,0)+IF(N1852="Sí",'Configuración'!$B$9,0)+IF(O1852="Sí",'Configuración'!$B$10,0)+IF(P1852="Sí",'Configuración'!$B$11,0)+IF(Q1852="Sí",'Configuración'!$B$12,0)+S1852+T1852+U1852)</f>
        <v>28</v>
      </c>
      <c r="W1852" s="39" t="str">
        <f>IF(B1852="","",IF(V1852&gt;='Configuración'!$B$19,"A",IF(V1852&gt;='Configuración'!$B$20,"B",IF(V1852&gt;='Configuración'!$B$21,"C","Descarte"))))</f>
        <v>C</v>
      </c>
    </row>
    <row r="1853" ht="15.75" customHeight="1">
      <c r="A1853" s="34">
        <f t="shared" si="1"/>
        <v>1851</v>
      </c>
      <c r="B1853" s="29" t="s">
        <v>159</v>
      </c>
      <c r="C1853" s="29" t="s">
        <v>10261</v>
      </c>
      <c r="D1853" s="29" t="s">
        <v>10262</v>
      </c>
      <c r="E1853" s="29" t="s">
        <v>10263</v>
      </c>
      <c r="F1853" s="30" t="s">
        <v>10264</v>
      </c>
      <c r="G1853" s="30" t="s">
        <v>10265</v>
      </c>
      <c r="H1853" s="42" t="s">
        <v>10266</v>
      </c>
      <c r="I1853" s="29" t="s">
        <v>127</v>
      </c>
      <c r="J1853" s="31">
        <v>3.0</v>
      </c>
      <c r="K1853" s="35"/>
      <c r="L1853" s="35"/>
      <c r="M1853" s="35"/>
      <c r="N1853" s="35"/>
      <c r="O1853" s="35"/>
      <c r="P1853" s="35"/>
      <c r="Q1853" s="35"/>
      <c r="R1853" s="35"/>
      <c r="S1853" s="37">
        <f>IF(B1853="","",IF(ISNUMBER(J1853),IF(J1853&lt;=10,'Configuración'!$B$23,IF(J1853&lt;=50,'Configuración'!$B$24,IF(J1853&lt;=200,'Configuración'!$B$25,0))),0))</f>
        <v>12</v>
      </c>
      <c r="T1853" s="37">
        <f>IF(B1853="","",IF(ISNUMBER(SEARCH("information technology",I1853))+ISNUMBER(SEARCH("software",I1853))+ISNUMBER(SEARCH("internet",I1853))+ISNUMBER(SEARCH("computer",I1853))+ISNUMBER(SEARCH("saas",I1853))+ISNUMBER(SEARCH("fintech",I1853))+ISNUMBER(SEARCH("information services",I1853))+ISNUMBER(SEARCH("telecommunications",I1853))&gt;0,'Configuración'!$B$27,'Configuración'!$B$28))</f>
        <v>12</v>
      </c>
      <c r="U1853" s="25">
        <f>IF(B1853="","",IF(ISNUMBER(SEARCH("CEO",C1853))+ISNUMBER(SEARCH("Founder",C1853))+ISNUMBER(SEARCH("Owner",C1853))+ISNUMBER(SEARCH("Dueño",C1853))+ISNUMBER(SEARCH("Director General",C1853))+ISNUMBER(SEARCH("Presidente",C1853))+ISNUMBER(SEARCH("President",C1853))&gt;0,'Configuración'!$B$31,IF(ISNUMBER(SEARCH("CMO",C1853))+ISNUMBER(SEARCH("Chief Marketing",C1853))+ISNUMBER(SEARCH("VP Marketing",C1853))+ISNUMBER(SEARCH("Director de Marketing",C1853))+ISNUMBER(SEARCH("Director Marketing",C1853))+ISNUMBER(SEARCH("Head of Marketing",C1853))+ISNUMBER(SEARCH("Head Marketing",C1853))&gt;0,'Configuración'!$B$32,IF(ISNUMBER(SEARCH("Marketing Manager",C1853))+ISNUMBER(SEARCH("Gerente de Marketing",C1853))+ISNUMBER(SEARCH("Growth Manager",C1853))+ISNUMBER(SEARCH("Demand Gen",C1853))+ISNUMBER(SEARCH("Marketing Lead",C1853))&gt;0,'Configuración'!$B$33,IF(ISNUMBER(SEARCH("COO",C1853))+ISNUMBER(SEARCH("CFO",C1853))+ISNUMBER(SEARCH("CTO",C1853))+ISNUMBER(SEARCH("Chief Operating",C1853))+ISNUMBER(SEARCH("Chief Financial",C1853))+ISNUMBER(SEARCH("Gerente General",C1853))+ISNUMBER(SEARCH("General Manager",C1853))&gt;0,'Configuración'!$B$34,'Configuración'!$B$35)))))</f>
        <v>4</v>
      </c>
      <c r="V1853" s="38">
        <f>IF(B1853="","",IF(K1853="Sí",'Configuración'!$B$5,0)+IF(L1853="Semanal",'Configuración'!$B$6,IF(L1853="Mensual",'Configuración'!$B$7,0))+IF(M1853="Sí",'Configuración'!$B$8,0)+IF(N1853="Sí",'Configuración'!$B$9,0)+IF(O1853="Sí",'Configuración'!$B$10,0)+IF(P1853="Sí",'Configuración'!$B$11,0)+IF(Q1853="Sí",'Configuración'!$B$12,0)+S1853+T1853+U1853)</f>
        <v>28</v>
      </c>
      <c r="W1853" s="39" t="str">
        <f>IF(B1853="","",IF(V1853&gt;='Configuración'!$B$19,"A",IF(V1853&gt;='Configuración'!$B$20,"B",IF(V1853&gt;='Configuración'!$B$21,"C","Descarte"))))</f>
        <v>C</v>
      </c>
    </row>
    <row r="1854" ht="15.75" customHeight="1">
      <c r="A1854" s="34">
        <f t="shared" si="1"/>
        <v>1852</v>
      </c>
      <c r="B1854" s="29" t="s">
        <v>4723</v>
      </c>
      <c r="C1854" s="29" t="s">
        <v>131</v>
      </c>
      <c r="D1854" s="29" t="s">
        <v>10267</v>
      </c>
      <c r="E1854" s="29" t="s">
        <v>10268</v>
      </c>
      <c r="F1854" s="30" t="s">
        <v>10269</v>
      </c>
      <c r="G1854" s="30" t="s">
        <v>10270</v>
      </c>
      <c r="H1854" s="42" t="s">
        <v>10271</v>
      </c>
      <c r="I1854" s="29" t="s">
        <v>127</v>
      </c>
      <c r="J1854" s="31">
        <v>26.0</v>
      </c>
      <c r="K1854" s="35"/>
      <c r="L1854" s="35"/>
      <c r="M1854" s="35"/>
      <c r="N1854" s="35"/>
      <c r="O1854" s="35"/>
      <c r="P1854" s="35"/>
      <c r="Q1854" s="35"/>
      <c r="R1854" s="35"/>
      <c r="S1854" s="37">
        <f>IF(B1854="","",IF(ISNUMBER(J1854),IF(J1854&lt;=10,'Configuración'!$B$23,IF(J1854&lt;=50,'Configuración'!$B$24,IF(J1854&lt;=200,'Configuración'!$B$25,0))),0))</f>
        <v>4</v>
      </c>
      <c r="T1854" s="37">
        <f>IF(B1854="","",IF(ISNUMBER(SEARCH("information technology",I1854))+ISNUMBER(SEARCH("software",I1854))+ISNUMBER(SEARCH("internet",I1854))+ISNUMBER(SEARCH("computer",I1854))+ISNUMBER(SEARCH("saas",I1854))+ISNUMBER(SEARCH("fintech",I1854))+ISNUMBER(SEARCH("information services",I1854))+ISNUMBER(SEARCH("telecommunications",I1854))&gt;0,'Configuración'!$B$27,'Configuración'!$B$28))</f>
        <v>12</v>
      </c>
      <c r="U1854" s="25">
        <f>IF(B1854="","",IF(ISNUMBER(SEARCH("CEO",C1854))+ISNUMBER(SEARCH("Founder",C1854))+ISNUMBER(SEARCH("Owner",C1854))+ISNUMBER(SEARCH("Dueño",C1854))+ISNUMBER(SEARCH("Director General",C1854))+ISNUMBER(SEARCH("Presidente",C1854))+ISNUMBER(SEARCH("President",C1854))&gt;0,'Configuración'!$B$31,IF(ISNUMBER(SEARCH("CMO",C1854))+ISNUMBER(SEARCH("Chief Marketing",C1854))+ISNUMBER(SEARCH("VP Marketing",C1854))+ISNUMBER(SEARCH("Director de Marketing",C1854))+ISNUMBER(SEARCH("Director Marketing",C1854))+ISNUMBER(SEARCH("Head of Marketing",C1854))+ISNUMBER(SEARCH("Head Marketing",C1854))&gt;0,'Configuración'!$B$32,IF(ISNUMBER(SEARCH("Marketing Manager",C1854))+ISNUMBER(SEARCH("Gerente de Marketing",C1854))+ISNUMBER(SEARCH("Growth Manager",C1854))+ISNUMBER(SEARCH("Demand Gen",C1854))+ISNUMBER(SEARCH("Marketing Lead",C1854))&gt;0,'Configuración'!$B$33,IF(ISNUMBER(SEARCH("COO",C1854))+ISNUMBER(SEARCH("CFO",C1854))+ISNUMBER(SEARCH("CTO",C1854))+ISNUMBER(SEARCH("Chief Operating",C1854))+ISNUMBER(SEARCH("Chief Financial",C1854))+ISNUMBER(SEARCH("Gerente General",C1854))+ISNUMBER(SEARCH("General Manager",C1854))&gt;0,'Configuración'!$B$34,'Configuración'!$B$35)))))</f>
        <v>12</v>
      </c>
      <c r="V1854" s="38">
        <f>IF(B1854="","",IF(K1854="Sí",'Configuración'!$B$5,0)+IF(L1854="Semanal",'Configuración'!$B$6,IF(L1854="Mensual",'Configuración'!$B$7,0))+IF(M1854="Sí",'Configuración'!$B$8,0)+IF(N1854="Sí",'Configuración'!$B$9,0)+IF(O1854="Sí",'Configuración'!$B$10,0)+IF(P1854="Sí",'Configuración'!$B$11,0)+IF(Q1854="Sí",'Configuración'!$B$12,0)+S1854+T1854+U1854)</f>
        <v>28</v>
      </c>
      <c r="W1854" s="39" t="str">
        <f>IF(B1854="","",IF(V1854&gt;='Configuración'!$B$19,"A",IF(V1854&gt;='Configuración'!$B$20,"B",IF(V1854&gt;='Configuración'!$B$21,"C","Descarte"))))</f>
        <v>C</v>
      </c>
    </row>
    <row r="1855" ht="15.75" customHeight="1">
      <c r="A1855" s="34">
        <f t="shared" si="1"/>
        <v>1853</v>
      </c>
      <c r="B1855" s="29" t="s">
        <v>1171</v>
      </c>
      <c r="C1855" s="29" t="s">
        <v>10272</v>
      </c>
      <c r="D1855" s="29" t="s">
        <v>10273</v>
      </c>
      <c r="E1855" s="29" t="s">
        <v>10274</v>
      </c>
      <c r="F1855" s="30" t="s">
        <v>10275</v>
      </c>
      <c r="G1855" s="30" t="s">
        <v>10276</v>
      </c>
      <c r="H1855" s="42" t="s">
        <v>10277</v>
      </c>
      <c r="I1855" s="29" t="s">
        <v>127</v>
      </c>
      <c r="J1855" s="31">
        <v>12.0</v>
      </c>
      <c r="K1855" s="35"/>
      <c r="L1855" s="35"/>
      <c r="M1855" s="35"/>
      <c r="N1855" s="35"/>
      <c r="O1855" s="35"/>
      <c r="P1855" s="35"/>
      <c r="Q1855" s="35"/>
      <c r="R1855" s="35"/>
      <c r="S1855" s="37">
        <f>IF(B1855="","",IF(ISNUMBER(J1855),IF(J1855&lt;=10,'Configuración'!$B$23,IF(J1855&lt;=50,'Configuración'!$B$24,IF(J1855&lt;=200,'Configuración'!$B$25,0))),0))</f>
        <v>4</v>
      </c>
      <c r="T1855" s="37">
        <f>IF(B1855="","",IF(ISNUMBER(SEARCH("information technology",I1855))+ISNUMBER(SEARCH("software",I1855))+ISNUMBER(SEARCH("internet",I1855))+ISNUMBER(SEARCH("computer",I1855))+ISNUMBER(SEARCH("saas",I1855))+ISNUMBER(SEARCH("fintech",I1855))+ISNUMBER(SEARCH("information services",I1855))+ISNUMBER(SEARCH("telecommunications",I1855))&gt;0,'Configuración'!$B$27,'Configuración'!$B$28))</f>
        <v>12</v>
      </c>
      <c r="U1855" s="25">
        <f>IF(B1855="","",IF(ISNUMBER(SEARCH("CEO",C1855))+ISNUMBER(SEARCH("Founder",C1855))+ISNUMBER(SEARCH("Owner",C1855))+ISNUMBER(SEARCH("Dueño",C1855))+ISNUMBER(SEARCH("Director General",C1855))+ISNUMBER(SEARCH("Presidente",C1855))+ISNUMBER(SEARCH("President",C1855))&gt;0,'Configuración'!$B$31,IF(ISNUMBER(SEARCH("CMO",C1855))+ISNUMBER(SEARCH("Chief Marketing",C1855))+ISNUMBER(SEARCH("VP Marketing",C1855))+ISNUMBER(SEARCH("Director de Marketing",C1855))+ISNUMBER(SEARCH("Director Marketing",C1855))+ISNUMBER(SEARCH("Head of Marketing",C1855))+ISNUMBER(SEARCH("Head Marketing",C1855))&gt;0,'Configuración'!$B$32,IF(ISNUMBER(SEARCH("Marketing Manager",C1855))+ISNUMBER(SEARCH("Gerente de Marketing",C1855))+ISNUMBER(SEARCH("Growth Manager",C1855))+ISNUMBER(SEARCH("Demand Gen",C1855))+ISNUMBER(SEARCH("Marketing Lead",C1855))&gt;0,'Configuración'!$B$33,IF(ISNUMBER(SEARCH("COO",C1855))+ISNUMBER(SEARCH("CFO",C1855))+ISNUMBER(SEARCH("CTO",C1855))+ISNUMBER(SEARCH("Chief Operating",C1855))+ISNUMBER(SEARCH("Chief Financial",C1855))+ISNUMBER(SEARCH("Gerente General",C1855))+ISNUMBER(SEARCH("General Manager",C1855))&gt;0,'Configuración'!$B$34,'Configuración'!$B$35)))))</f>
        <v>12</v>
      </c>
      <c r="V1855" s="38">
        <f>IF(B1855="","",IF(K1855="Sí",'Configuración'!$B$5,0)+IF(L1855="Semanal",'Configuración'!$B$6,IF(L1855="Mensual",'Configuración'!$B$7,0))+IF(M1855="Sí",'Configuración'!$B$8,0)+IF(N1855="Sí",'Configuración'!$B$9,0)+IF(O1855="Sí",'Configuración'!$B$10,0)+IF(P1855="Sí",'Configuración'!$B$11,0)+IF(Q1855="Sí",'Configuración'!$B$12,0)+S1855+T1855+U1855)</f>
        <v>28</v>
      </c>
      <c r="W1855" s="39" t="str">
        <f>IF(B1855="","",IF(V1855&gt;='Configuración'!$B$19,"A",IF(V1855&gt;='Configuración'!$B$20,"B",IF(V1855&gt;='Configuración'!$B$21,"C","Descarte"))))</f>
        <v>C</v>
      </c>
    </row>
    <row r="1856" ht="15.75" customHeight="1">
      <c r="A1856" s="34">
        <f t="shared" si="1"/>
        <v>1854</v>
      </c>
      <c r="B1856" s="29" t="s">
        <v>813</v>
      </c>
      <c r="C1856" s="29" t="s">
        <v>10278</v>
      </c>
      <c r="D1856" s="29" t="s">
        <v>10279</v>
      </c>
      <c r="E1856" s="29" t="s">
        <v>10280</v>
      </c>
      <c r="F1856" s="30" t="s">
        <v>10281</v>
      </c>
      <c r="G1856" s="30" t="s">
        <v>10282</v>
      </c>
      <c r="H1856" s="42" t="s">
        <v>10283</v>
      </c>
      <c r="I1856" s="29" t="s">
        <v>2009</v>
      </c>
      <c r="J1856" s="31">
        <v>2.0</v>
      </c>
      <c r="K1856" s="35"/>
      <c r="L1856" s="35"/>
      <c r="M1856" s="35"/>
      <c r="N1856" s="35"/>
      <c r="O1856" s="35"/>
      <c r="P1856" s="35"/>
      <c r="Q1856" s="35"/>
      <c r="R1856" s="35"/>
      <c r="S1856" s="37">
        <f>IF(B1856="","",IF(ISNUMBER(J1856),IF(J1856&lt;=10,'Configuración'!$B$23,IF(J1856&lt;=50,'Configuración'!$B$24,IF(J1856&lt;=200,'Configuración'!$B$25,0))),0))</f>
        <v>12</v>
      </c>
      <c r="T1856" s="37">
        <f>IF(B1856="","",IF(ISNUMBER(SEARCH("information technology",I1856))+ISNUMBER(SEARCH("software",I1856))+ISNUMBER(SEARCH("internet",I1856))+ISNUMBER(SEARCH("computer",I1856))+ISNUMBER(SEARCH("saas",I1856))+ISNUMBER(SEARCH("fintech",I1856))+ISNUMBER(SEARCH("information services",I1856))+ISNUMBER(SEARCH("telecommunications",I1856))&gt;0,'Configuración'!$B$27,'Configuración'!$B$28))</f>
        <v>4</v>
      </c>
      <c r="U1856" s="25">
        <f>IF(B1856="","",IF(ISNUMBER(SEARCH("CEO",C1856))+ISNUMBER(SEARCH("Founder",C1856))+ISNUMBER(SEARCH("Owner",C1856))+ISNUMBER(SEARCH("Dueño",C1856))+ISNUMBER(SEARCH("Director General",C1856))+ISNUMBER(SEARCH("Presidente",C1856))+ISNUMBER(SEARCH("President",C1856))&gt;0,'Configuración'!$B$31,IF(ISNUMBER(SEARCH("CMO",C1856))+ISNUMBER(SEARCH("Chief Marketing",C1856))+ISNUMBER(SEARCH("VP Marketing",C1856))+ISNUMBER(SEARCH("Director de Marketing",C1856))+ISNUMBER(SEARCH("Director Marketing",C1856))+ISNUMBER(SEARCH("Head of Marketing",C1856))+ISNUMBER(SEARCH("Head Marketing",C1856))&gt;0,'Configuración'!$B$32,IF(ISNUMBER(SEARCH("Marketing Manager",C1856))+ISNUMBER(SEARCH("Gerente de Marketing",C1856))+ISNUMBER(SEARCH("Growth Manager",C1856))+ISNUMBER(SEARCH("Demand Gen",C1856))+ISNUMBER(SEARCH("Marketing Lead",C1856))&gt;0,'Configuración'!$B$33,IF(ISNUMBER(SEARCH("COO",C1856))+ISNUMBER(SEARCH("CFO",C1856))+ISNUMBER(SEARCH("CTO",C1856))+ISNUMBER(SEARCH("Chief Operating",C1856))+ISNUMBER(SEARCH("Chief Financial",C1856))+ISNUMBER(SEARCH("Gerente General",C1856))+ISNUMBER(SEARCH("General Manager",C1856))&gt;0,'Configuración'!$B$34,'Configuración'!$B$35)))))</f>
        <v>12</v>
      </c>
      <c r="V1856" s="38">
        <f>IF(B1856="","",IF(K1856="Sí",'Configuración'!$B$5,0)+IF(L1856="Semanal",'Configuración'!$B$6,IF(L1856="Mensual",'Configuración'!$B$7,0))+IF(M1856="Sí",'Configuración'!$B$8,0)+IF(N1856="Sí",'Configuración'!$B$9,0)+IF(O1856="Sí",'Configuración'!$B$10,0)+IF(P1856="Sí",'Configuración'!$B$11,0)+IF(Q1856="Sí",'Configuración'!$B$12,0)+S1856+T1856+U1856)</f>
        <v>28</v>
      </c>
      <c r="W1856" s="39" t="str">
        <f>IF(B1856="","",IF(V1856&gt;='Configuración'!$B$19,"A",IF(V1856&gt;='Configuración'!$B$20,"B",IF(V1856&gt;='Configuración'!$B$21,"C","Descarte"))))</f>
        <v>C</v>
      </c>
    </row>
    <row r="1857" ht="15.75" customHeight="1">
      <c r="A1857" s="34">
        <f t="shared" si="1"/>
        <v>1855</v>
      </c>
      <c r="B1857" s="29" t="s">
        <v>897</v>
      </c>
      <c r="C1857" s="29" t="s">
        <v>10284</v>
      </c>
      <c r="D1857" s="29" t="s">
        <v>10285</v>
      </c>
      <c r="E1857" s="29" t="s">
        <v>10286</v>
      </c>
      <c r="F1857" s="30" t="s">
        <v>10287</v>
      </c>
      <c r="G1857" s="30" t="s">
        <v>10288</v>
      </c>
      <c r="H1857" s="42" t="s">
        <v>10289</v>
      </c>
      <c r="I1857" s="29" t="s">
        <v>188</v>
      </c>
      <c r="J1857" s="31">
        <v>31.0</v>
      </c>
      <c r="K1857" s="35"/>
      <c r="L1857" s="35"/>
      <c r="M1857" s="35"/>
      <c r="N1857" s="35"/>
      <c r="O1857" s="35"/>
      <c r="P1857" s="35"/>
      <c r="Q1857" s="35"/>
      <c r="R1857" s="35"/>
      <c r="S1857" s="37">
        <f>IF(B1857="","",IF(ISNUMBER(J1857),IF(J1857&lt;=10,'Configuración'!$B$23,IF(J1857&lt;=50,'Configuración'!$B$24,IF(J1857&lt;=200,'Configuración'!$B$25,0))),0))</f>
        <v>4</v>
      </c>
      <c r="T1857" s="37">
        <f>IF(B1857="","",IF(ISNUMBER(SEARCH("information technology",I1857))+ISNUMBER(SEARCH("software",I1857))+ISNUMBER(SEARCH("internet",I1857))+ISNUMBER(SEARCH("computer",I1857))+ISNUMBER(SEARCH("saas",I1857))+ISNUMBER(SEARCH("fintech",I1857))+ISNUMBER(SEARCH("information services",I1857))+ISNUMBER(SEARCH("telecommunications",I1857))&gt;0,'Configuración'!$B$27,'Configuración'!$B$28))</f>
        <v>4</v>
      </c>
      <c r="U1857" s="25">
        <f>IF(B1857="","",IF(ISNUMBER(SEARCH("CEO",C1857))+ISNUMBER(SEARCH("Founder",C1857))+ISNUMBER(SEARCH("Owner",C1857))+ISNUMBER(SEARCH("Dueño",C1857))+ISNUMBER(SEARCH("Director General",C1857))+ISNUMBER(SEARCH("Presidente",C1857))+ISNUMBER(SEARCH("President",C1857))&gt;0,'Configuración'!$B$31,IF(ISNUMBER(SEARCH("CMO",C1857))+ISNUMBER(SEARCH("Chief Marketing",C1857))+ISNUMBER(SEARCH("VP Marketing",C1857))+ISNUMBER(SEARCH("Director de Marketing",C1857))+ISNUMBER(SEARCH("Director Marketing",C1857))+ISNUMBER(SEARCH("Head of Marketing",C1857))+ISNUMBER(SEARCH("Head Marketing",C1857))&gt;0,'Configuración'!$B$32,IF(ISNUMBER(SEARCH("Marketing Manager",C1857))+ISNUMBER(SEARCH("Gerente de Marketing",C1857))+ISNUMBER(SEARCH("Growth Manager",C1857))+ISNUMBER(SEARCH("Demand Gen",C1857))+ISNUMBER(SEARCH("Marketing Lead",C1857))&gt;0,'Configuración'!$B$33,IF(ISNUMBER(SEARCH("COO",C1857))+ISNUMBER(SEARCH("CFO",C1857))+ISNUMBER(SEARCH("CTO",C1857))+ISNUMBER(SEARCH("Chief Operating",C1857))+ISNUMBER(SEARCH("Chief Financial",C1857))+ISNUMBER(SEARCH("Gerente General",C1857))+ISNUMBER(SEARCH("General Manager",C1857))&gt;0,'Configuración'!$B$34,'Configuración'!$B$35)))))</f>
        <v>12</v>
      </c>
      <c r="V1857" s="38">
        <f>IF(B1857="","",IF(K1857="Sí",'Configuración'!$B$5,0)+IF(L1857="Semanal",'Configuración'!$B$6,IF(L1857="Mensual",'Configuración'!$B$7,0))+IF(M1857="Sí",'Configuración'!$B$8,0)+IF(N1857="Sí",'Configuración'!$B$9,0)+IF(O1857="Sí",'Configuración'!$B$10,0)+IF(P1857="Sí",'Configuración'!$B$11,0)+IF(Q1857="Sí",'Configuración'!$B$12,0)+S1857+T1857+U1857)</f>
        <v>20</v>
      </c>
      <c r="W1857" s="39" t="str">
        <f>IF(B1857="","",IF(V1857&gt;='Configuración'!$B$19,"A",IF(V1857&gt;='Configuración'!$B$20,"B",IF(V1857&gt;='Configuración'!$B$21,"C","Descarte"))))</f>
        <v>Descarte</v>
      </c>
    </row>
    <row r="1858" ht="15.75" customHeight="1">
      <c r="A1858" s="34">
        <f t="shared" si="1"/>
        <v>1856</v>
      </c>
      <c r="B1858" s="29" t="s">
        <v>8519</v>
      </c>
      <c r="C1858" s="29" t="s">
        <v>10290</v>
      </c>
      <c r="D1858" s="29" t="s">
        <v>10291</v>
      </c>
      <c r="E1858" s="29" t="s">
        <v>10292</v>
      </c>
      <c r="F1858" s="30" t="s">
        <v>10293</v>
      </c>
      <c r="G1858" s="30" t="s">
        <v>10294</v>
      </c>
      <c r="H1858" s="42" t="s">
        <v>10295</v>
      </c>
      <c r="I1858" s="29" t="s">
        <v>380</v>
      </c>
      <c r="J1858" s="31">
        <v>3.0</v>
      </c>
      <c r="K1858" s="35"/>
      <c r="L1858" s="35"/>
      <c r="M1858" s="35"/>
      <c r="N1858" s="35"/>
      <c r="O1858" s="35"/>
      <c r="P1858" s="35"/>
      <c r="Q1858" s="35"/>
      <c r="R1858" s="35"/>
      <c r="S1858" s="37">
        <f>IF(B1858="","",IF(ISNUMBER(J1858),IF(J1858&lt;=10,'Configuración'!$B$23,IF(J1858&lt;=50,'Configuración'!$B$24,IF(J1858&lt;=200,'Configuración'!$B$25,0))),0))</f>
        <v>12</v>
      </c>
      <c r="T1858" s="37">
        <f>IF(B1858="","",IF(ISNUMBER(SEARCH("information technology",I1858))+ISNUMBER(SEARCH("software",I1858))+ISNUMBER(SEARCH("internet",I1858))+ISNUMBER(SEARCH("computer",I1858))+ISNUMBER(SEARCH("saas",I1858))+ISNUMBER(SEARCH("fintech",I1858))+ISNUMBER(SEARCH("information services",I1858))+ISNUMBER(SEARCH("telecommunications",I1858))&gt;0,'Configuración'!$B$27,'Configuración'!$B$28))</f>
        <v>4</v>
      </c>
      <c r="U1858" s="25">
        <f>IF(B1858="","",IF(ISNUMBER(SEARCH("CEO",C1858))+ISNUMBER(SEARCH("Founder",C1858))+ISNUMBER(SEARCH("Owner",C1858))+ISNUMBER(SEARCH("Dueño",C1858))+ISNUMBER(SEARCH("Director General",C1858))+ISNUMBER(SEARCH("Presidente",C1858))+ISNUMBER(SEARCH("President",C1858))&gt;0,'Configuración'!$B$31,IF(ISNUMBER(SEARCH("CMO",C1858))+ISNUMBER(SEARCH("Chief Marketing",C1858))+ISNUMBER(SEARCH("VP Marketing",C1858))+ISNUMBER(SEARCH("Director de Marketing",C1858))+ISNUMBER(SEARCH("Director Marketing",C1858))+ISNUMBER(SEARCH("Head of Marketing",C1858))+ISNUMBER(SEARCH("Head Marketing",C1858))&gt;0,'Configuración'!$B$32,IF(ISNUMBER(SEARCH("Marketing Manager",C1858))+ISNUMBER(SEARCH("Gerente de Marketing",C1858))+ISNUMBER(SEARCH("Growth Manager",C1858))+ISNUMBER(SEARCH("Demand Gen",C1858))+ISNUMBER(SEARCH("Marketing Lead",C1858))&gt;0,'Configuración'!$B$33,IF(ISNUMBER(SEARCH("COO",C1858))+ISNUMBER(SEARCH("CFO",C1858))+ISNUMBER(SEARCH("CTO",C1858))+ISNUMBER(SEARCH("Chief Operating",C1858))+ISNUMBER(SEARCH("Chief Financial",C1858))+ISNUMBER(SEARCH("Gerente General",C1858))+ISNUMBER(SEARCH("General Manager",C1858))&gt;0,'Configuración'!$B$34,'Configuración'!$B$35)))))</f>
        <v>12</v>
      </c>
      <c r="V1858" s="38">
        <f>IF(B1858="","",IF(K1858="Sí",'Configuración'!$B$5,0)+IF(L1858="Semanal",'Configuración'!$B$6,IF(L1858="Mensual",'Configuración'!$B$7,0))+IF(M1858="Sí",'Configuración'!$B$8,0)+IF(N1858="Sí",'Configuración'!$B$9,0)+IF(O1858="Sí",'Configuración'!$B$10,0)+IF(P1858="Sí",'Configuración'!$B$11,0)+IF(Q1858="Sí",'Configuración'!$B$12,0)+S1858+T1858+U1858)</f>
        <v>28</v>
      </c>
      <c r="W1858" s="39" t="str">
        <f>IF(B1858="","",IF(V1858&gt;='Configuración'!$B$19,"A",IF(V1858&gt;='Configuración'!$B$20,"B",IF(V1858&gt;='Configuración'!$B$21,"C","Descarte"))))</f>
        <v>C</v>
      </c>
    </row>
    <row r="1859" ht="15.75" customHeight="1">
      <c r="A1859" s="34">
        <f t="shared" si="1"/>
        <v>1857</v>
      </c>
      <c r="B1859" s="29" t="s">
        <v>138</v>
      </c>
      <c r="C1859" s="29" t="s">
        <v>10296</v>
      </c>
      <c r="D1859" s="29" t="s">
        <v>10297</v>
      </c>
      <c r="E1859" s="29" t="s">
        <v>10298</v>
      </c>
      <c r="F1859" s="30" t="s">
        <v>10299</v>
      </c>
      <c r="G1859" s="30" t="s">
        <v>10300</v>
      </c>
      <c r="H1859" s="42" t="s">
        <v>10301</v>
      </c>
      <c r="I1859" s="29" t="s">
        <v>2170</v>
      </c>
      <c r="J1859" s="31">
        <v>13.0</v>
      </c>
      <c r="K1859" s="35"/>
      <c r="L1859" s="35"/>
      <c r="M1859" s="35"/>
      <c r="N1859" s="35"/>
      <c r="O1859" s="35"/>
      <c r="P1859" s="35"/>
      <c r="Q1859" s="35"/>
      <c r="R1859" s="35"/>
      <c r="S1859" s="37">
        <f>IF(B1859="","",IF(ISNUMBER(J1859),IF(J1859&lt;=10,'Configuración'!$B$23,IF(J1859&lt;=50,'Configuración'!$B$24,IF(J1859&lt;=200,'Configuración'!$B$25,0))),0))</f>
        <v>4</v>
      </c>
      <c r="T1859" s="37">
        <f>IF(B1859="","",IF(ISNUMBER(SEARCH("information technology",I1859))+ISNUMBER(SEARCH("software",I1859))+ISNUMBER(SEARCH("internet",I1859))+ISNUMBER(SEARCH("computer",I1859))+ISNUMBER(SEARCH("saas",I1859))+ISNUMBER(SEARCH("fintech",I1859))+ISNUMBER(SEARCH("information services",I1859))+ISNUMBER(SEARCH("telecommunications",I1859))&gt;0,'Configuración'!$B$27,'Configuración'!$B$28))</f>
        <v>12</v>
      </c>
      <c r="U1859" s="25">
        <f>IF(B1859="","",IF(ISNUMBER(SEARCH("CEO",C1859))+ISNUMBER(SEARCH("Founder",C1859))+ISNUMBER(SEARCH("Owner",C1859))+ISNUMBER(SEARCH("Dueño",C1859))+ISNUMBER(SEARCH("Director General",C1859))+ISNUMBER(SEARCH("Presidente",C1859))+ISNUMBER(SEARCH("President",C1859))&gt;0,'Configuración'!$B$31,IF(ISNUMBER(SEARCH("CMO",C1859))+ISNUMBER(SEARCH("Chief Marketing",C1859))+ISNUMBER(SEARCH("VP Marketing",C1859))+ISNUMBER(SEARCH("Director de Marketing",C1859))+ISNUMBER(SEARCH("Director Marketing",C1859))+ISNUMBER(SEARCH("Head of Marketing",C1859))+ISNUMBER(SEARCH("Head Marketing",C1859))&gt;0,'Configuración'!$B$32,IF(ISNUMBER(SEARCH("Marketing Manager",C1859))+ISNUMBER(SEARCH("Gerente de Marketing",C1859))+ISNUMBER(SEARCH("Growth Manager",C1859))+ISNUMBER(SEARCH("Demand Gen",C1859))+ISNUMBER(SEARCH("Marketing Lead",C1859))&gt;0,'Configuración'!$B$33,IF(ISNUMBER(SEARCH("COO",C1859))+ISNUMBER(SEARCH("CFO",C1859))+ISNUMBER(SEARCH("CTO",C1859))+ISNUMBER(SEARCH("Chief Operating",C1859))+ISNUMBER(SEARCH("Chief Financial",C1859))+ISNUMBER(SEARCH("Gerente General",C1859))+ISNUMBER(SEARCH("General Manager",C1859))&gt;0,'Configuración'!$B$34,'Configuración'!$B$35)))))</f>
        <v>4</v>
      </c>
      <c r="V1859" s="38">
        <f>IF(B1859="","",IF(K1859="Sí",'Configuración'!$B$5,0)+IF(L1859="Semanal",'Configuración'!$B$6,IF(L1859="Mensual",'Configuración'!$B$7,0))+IF(M1859="Sí",'Configuración'!$B$8,0)+IF(N1859="Sí",'Configuración'!$B$9,0)+IF(O1859="Sí",'Configuración'!$B$10,0)+IF(P1859="Sí",'Configuración'!$B$11,0)+IF(Q1859="Sí",'Configuración'!$B$12,0)+S1859+T1859+U1859)</f>
        <v>20</v>
      </c>
      <c r="W1859" s="39" t="str">
        <f>IF(B1859="","",IF(V1859&gt;='Configuración'!$B$19,"A",IF(V1859&gt;='Configuración'!$B$20,"B",IF(V1859&gt;='Configuración'!$B$21,"C","Descarte"))))</f>
        <v>Descarte</v>
      </c>
    </row>
    <row r="1860" ht="15.75" customHeight="1">
      <c r="A1860" s="34">
        <f t="shared" si="1"/>
        <v>1858</v>
      </c>
      <c r="B1860" s="29" t="s">
        <v>1220</v>
      </c>
      <c r="C1860" s="29" t="s">
        <v>318</v>
      </c>
      <c r="D1860" s="29" t="s">
        <v>10302</v>
      </c>
      <c r="E1860" s="29" t="s">
        <v>10303</v>
      </c>
      <c r="F1860" s="30" t="s">
        <v>10304</v>
      </c>
      <c r="G1860" s="30" t="s">
        <v>10305</v>
      </c>
      <c r="H1860" s="42" t="s">
        <v>10306</v>
      </c>
      <c r="I1860" s="29" t="s">
        <v>127</v>
      </c>
      <c r="J1860" s="31">
        <v>48.0</v>
      </c>
      <c r="K1860" s="35"/>
      <c r="L1860" s="35"/>
      <c r="M1860" s="35"/>
      <c r="N1860" s="35"/>
      <c r="O1860" s="35"/>
      <c r="P1860" s="35"/>
      <c r="Q1860" s="35"/>
      <c r="R1860" s="35"/>
      <c r="S1860" s="37">
        <f>IF(B1860="","",IF(ISNUMBER(J1860),IF(J1860&lt;=10,'Configuración'!$B$23,IF(J1860&lt;=50,'Configuración'!$B$24,IF(J1860&lt;=200,'Configuración'!$B$25,0))),0))</f>
        <v>4</v>
      </c>
      <c r="T1860" s="37">
        <f>IF(B1860="","",IF(ISNUMBER(SEARCH("information technology",I1860))+ISNUMBER(SEARCH("software",I1860))+ISNUMBER(SEARCH("internet",I1860))+ISNUMBER(SEARCH("computer",I1860))+ISNUMBER(SEARCH("saas",I1860))+ISNUMBER(SEARCH("fintech",I1860))+ISNUMBER(SEARCH("information services",I1860))+ISNUMBER(SEARCH("telecommunications",I1860))&gt;0,'Configuración'!$B$27,'Configuración'!$B$28))</f>
        <v>12</v>
      </c>
      <c r="U1860" s="25">
        <f>IF(B1860="","",IF(ISNUMBER(SEARCH("CEO",C1860))+ISNUMBER(SEARCH("Founder",C1860))+ISNUMBER(SEARCH("Owner",C1860))+ISNUMBER(SEARCH("Dueño",C1860))+ISNUMBER(SEARCH("Director General",C1860))+ISNUMBER(SEARCH("Presidente",C1860))+ISNUMBER(SEARCH("President",C1860))&gt;0,'Configuración'!$B$31,IF(ISNUMBER(SEARCH("CMO",C1860))+ISNUMBER(SEARCH("Chief Marketing",C1860))+ISNUMBER(SEARCH("VP Marketing",C1860))+ISNUMBER(SEARCH("Director de Marketing",C1860))+ISNUMBER(SEARCH("Director Marketing",C1860))+ISNUMBER(SEARCH("Head of Marketing",C1860))+ISNUMBER(SEARCH("Head Marketing",C1860))&gt;0,'Configuración'!$B$32,IF(ISNUMBER(SEARCH("Marketing Manager",C1860))+ISNUMBER(SEARCH("Gerente de Marketing",C1860))+ISNUMBER(SEARCH("Growth Manager",C1860))+ISNUMBER(SEARCH("Demand Gen",C1860))+ISNUMBER(SEARCH("Marketing Lead",C1860))&gt;0,'Configuración'!$B$33,IF(ISNUMBER(SEARCH("COO",C1860))+ISNUMBER(SEARCH("CFO",C1860))+ISNUMBER(SEARCH("CTO",C1860))+ISNUMBER(SEARCH("Chief Operating",C1860))+ISNUMBER(SEARCH("Chief Financial",C1860))+ISNUMBER(SEARCH("Gerente General",C1860))+ISNUMBER(SEARCH("General Manager",C1860))&gt;0,'Configuración'!$B$34,'Configuración'!$B$35)))))</f>
        <v>4</v>
      </c>
      <c r="V1860" s="38">
        <f>IF(B1860="","",IF(K1860="Sí",'Configuración'!$B$5,0)+IF(L1860="Semanal",'Configuración'!$B$6,IF(L1860="Mensual",'Configuración'!$B$7,0))+IF(M1860="Sí",'Configuración'!$B$8,0)+IF(N1860="Sí",'Configuración'!$B$9,0)+IF(O1860="Sí",'Configuración'!$B$10,0)+IF(P1860="Sí",'Configuración'!$B$11,0)+IF(Q1860="Sí",'Configuración'!$B$12,0)+S1860+T1860+U1860)</f>
        <v>20</v>
      </c>
      <c r="W1860" s="39" t="str">
        <f>IF(B1860="","",IF(V1860&gt;='Configuración'!$B$19,"A",IF(V1860&gt;='Configuración'!$B$20,"B",IF(V1860&gt;='Configuración'!$B$21,"C","Descarte"))))</f>
        <v>Descarte</v>
      </c>
    </row>
    <row r="1861" ht="15.75" customHeight="1">
      <c r="A1861" s="34">
        <f t="shared" si="1"/>
        <v>1859</v>
      </c>
      <c r="B1861" s="29" t="s">
        <v>236</v>
      </c>
      <c r="C1861" s="29" t="s">
        <v>10307</v>
      </c>
      <c r="D1861" s="29" t="s">
        <v>9644</v>
      </c>
      <c r="E1861" s="29" t="s">
        <v>10308</v>
      </c>
      <c r="F1861" s="30" t="s">
        <v>10309</v>
      </c>
      <c r="G1861" s="30" t="s">
        <v>9647</v>
      </c>
      <c r="H1861" s="42" t="s">
        <v>9648</v>
      </c>
      <c r="I1861" s="29" t="s">
        <v>659</v>
      </c>
      <c r="J1861" s="31">
        <v>5.0</v>
      </c>
      <c r="K1861" s="35"/>
      <c r="L1861" s="35"/>
      <c r="M1861" s="35"/>
      <c r="N1861" s="35"/>
      <c r="O1861" s="35"/>
      <c r="P1861" s="35"/>
      <c r="Q1861" s="35"/>
      <c r="R1861" s="35"/>
      <c r="S1861" s="37">
        <f>IF(B1861="","",IF(ISNUMBER(J1861),IF(J1861&lt;=10,'Configuración'!$B$23,IF(J1861&lt;=50,'Configuración'!$B$24,IF(J1861&lt;=200,'Configuración'!$B$25,0))),0))</f>
        <v>12</v>
      </c>
      <c r="T1861" s="37">
        <f>IF(B1861="","",IF(ISNUMBER(SEARCH("information technology",I1861))+ISNUMBER(SEARCH("software",I1861))+ISNUMBER(SEARCH("internet",I1861))+ISNUMBER(SEARCH("computer",I1861))+ISNUMBER(SEARCH("saas",I1861))+ISNUMBER(SEARCH("fintech",I1861))+ISNUMBER(SEARCH("information services",I1861))+ISNUMBER(SEARCH("telecommunications",I1861))&gt;0,'Configuración'!$B$27,'Configuración'!$B$28))</f>
        <v>4</v>
      </c>
      <c r="U1861" s="25">
        <f>IF(B1861="","",IF(ISNUMBER(SEARCH("CEO",C1861))+ISNUMBER(SEARCH("Founder",C1861))+ISNUMBER(SEARCH("Owner",C1861))+ISNUMBER(SEARCH("Dueño",C1861))+ISNUMBER(SEARCH("Director General",C1861))+ISNUMBER(SEARCH("Presidente",C1861))+ISNUMBER(SEARCH("President",C1861))&gt;0,'Configuración'!$B$31,IF(ISNUMBER(SEARCH("CMO",C1861))+ISNUMBER(SEARCH("Chief Marketing",C1861))+ISNUMBER(SEARCH("VP Marketing",C1861))+ISNUMBER(SEARCH("Director de Marketing",C1861))+ISNUMBER(SEARCH("Director Marketing",C1861))+ISNUMBER(SEARCH("Head of Marketing",C1861))+ISNUMBER(SEARCH("Head Marketing",C1861))&gt;0,'Configuración'!$B$32,IF(ISNUMBER(SEARCH("Marketing Manager",C1861))+ISNUMBER(SEARCH("Gerente de Marketing",C1861))+ISNUMBER(SEARCH("Growth Manager",C1861))+ISNUMBER(SEARCH("Demand Gen",C1861))+ISNUMBER(SEARCH("Marketing Lead",C1861))&gt;0,'Configuración'!$B$33,IF(ISNUMBER(SEARCH("COO",C1861))+ISNUMBER(SEARCH("CFO",C1861))+ISNUMBER(SEARCH("CTO",C1861))+ISNUMBER(SEARCH("Chief Operating",C1861))+ISNUMBER(SEARCH("Chief Financial",C1861))+ISNUMBER(SEARCH("Gerente General",C1861))+ISNUMBER(SEARCH("General Manager",C1861))&gt;0,'Configuración'!$B$34,'Configuración'!$B$35)))))</f>
        <v>12</v>
      </c>
      <c r="V1861" s="38">
        <f>IF(B1861="","",IF(K1861="Sí",'Configuración'!$B$5,0)+IF(L1861="Semanal",'Configuración'!$B$6,IF(L1861="Mensual",'Configuración'!$B$7,0))+IF(M1861="Sí",'Configuración'!$B$8,0)+IF(N1861="Sí",'Configuración'!$B$9,0)+IF(O1861="Sí",'Configuración'!$B$10,0)+IF(P1861="Sí",'Configuración'!$B$11,0)+IF(Q1861="Sí",'Configuración'!$B$12,0)+S1861+T1861+U1861)</f>
        <v>28</v>
      </c>
      <c r="W1861" s="39" t="str">
        <f>IF(B1861="","",IF(V1861&gt;='Configuración'!$B$19,"A",IF(V1861&gt;='Configuración'!$B$20,"B",IF(V1861&gt;='Configuración'!$B$21,"C","Descarte"))))</f>
        <v>C</v>
      </c>
    </row>
    <row r="1862" ht="15.75" customHeight="1">
      <c r="A1862" s="34">
        <f t="shared" si="1"/>
        <v>1860</v>
      </c>
      <c r="B1862" s="29" t="s">
        <v>262</v>
      </c>
      <c r="C1862" s="29" t="s">
        <v>10310</v>
      </c>
      <c r="D1862" s="29" t="s">
        <v>10311</v>
      </c>
      <c r="E1862" s="29" t="s">
        <v>10312</v>
      </c>
      <c r="F1862" s="30" t="s">
        <v>10313</v>
      </c>
      <c r="G1862" s="30" t="s">
        <v>10314</v>
      </c>
      <c r="H1862" s="42" t="s">
        <v>10315</v>
      </c>
      <c r="I1862" s="29" t="s">
        <v>847</v>
      </c>
      <c r="J1862" s="31">
        <v>25.0</v>
      </c>
      <c r="K1862" s="35"/>
      <c r="L1862" s="35"/>
      <c r="M1862" s="35"/>
      <c r="N1862" s="35"/>
      <c r="O1862" s="35"/>
      <c r="P1862" s="35"/>
      <c r="Q1862" s="35"/>
      <c r="R1862" s="35"/>
      <c r="S1862" s="37">
        <f>IF(B1862="","",IF(ISNUMBER(J1862),IF(J1862&lt;=10,'Configuración'!$B$23,IF(J1862&lt;=50,'Configuración'!$B$24,IF(J1862&lt;=200,'Configuración'!$B$25,0))),0))</f>
        <v>4</v>
      </c>
      <c r="T1862" s="37">
        <f>IF(B1862="","",IF(ISNUMBER(SEARCH("information technology",I1862))+ISNUMBER(SEARCH("software",I1862))+ISNUMBER(SEARCH("internet",I1862))+ISNUMBER(SEARCH("computer",I1862))+ISNUMBER(SEARCH("saas",I1862))+ISNUMBER(SEARCH("fintech",I1862))+ISNUMBER(SEARCH("information services",I1862))+ISNUMBER(SEARCH("telecommunications",I1862))&gt;0,'Configuración'!$B$27,'Configuración'!$B$28))</f>
        <v>4</v>
      </c>
      <c r="U1862" s="25">
        <f>IF(B1862="","",IF(ISNUMBER(SEARCH("CEO",C1862))+ISNUMBER(SEARCH("Founder",C1862))+ISNUMBER(SEARCH("Owner",C1862))+ISNUMBER(SEARCH("Dueño",C1862))+ISNUMBER(SEARCH("Director General",C1862))+ISNUMBER(SEARCH("Presidente",C1862))+ISNUMBER(SEARCH("President",C1862))&gt;0,'Configuración'!$B$31,IF(ISNUMBER(SEARCH("CMO",C1862))+ISNUMBER(SEARCH("Chief Marketing",C1862))+ISNUMBER(SEARCH("VP Marketing",C1862))+ISNUMBER(SEARCH("Director de Marketing",C1862))+ISNUMBER(SEARCH("Director Marketing",C1862))+ISNUMBER(SEARCH("Head of Marketing",C1862))+ISNUMBER(SEARCH("Head Marketing",C1862))&gt;0,'Configuración'!$B$32,IF(ISNUMBER(SEARCH("Marketing Manager",C1862))+ISNUMBER(SEARCH("Gerente de Marketing",C1862))+ISNUMBER(SEARCH("Growth Manager",C1862))+ISNUMBER(SEARCH("Demand Gen",C1862))+ISNUMBER(SEARCH("Marketing Lead",C1862))&gt;0,'Configuración'!$B$33,IF(ISNUMBER(SEARCH("COO",C1862))+ISNUMBER(SEARCH("CFO",C1862))+ISNUMBER(SEARCH("CTO",C1862))+ISNUMBER(SEARCH("Chief Operating",C1862))+ISNUMBER(SEARCH("Chief Financial",C1862))+ISNUMBER(SEARCH("Gerente General",C1862))+ISNUMBER(SEARCH("General Manager",C1862))&gt;0,'Configuración'!$B$34,'Configuración'!$B$35)))))</f>
        <v>0</v>
      </c>
      <c r="V1862" s="38">
        <f>IF(B1862="","",IF(K1862="Sí",'Configuración'!$B$5,0)+IF(L1862="Semanal",'Configuración'!$B$6,IF(L1862="Mensual",'Configuración'!$B$7,0))+IF(M1862="Sí",'Configuración'!$B$8,0)+IF(N1862="Sí",'Configuración'!$B$9,0)+IF(O1862="Sí",'Configuración'!$B$10,0)+IF(P1862="Sí",'Configuración'!$B$11,0)+IF(Q1862="Sí",'Configuración'!$B$12,0)+S1862+T1862+U1862)</f>
        <v>8</v>
      </c>
      <c r="W1862" s="39" t="str">
        <f>IF(B1862="","",IF(V1862&gt;='Configuración'!$B$19,"A",IF(V1862&gt;='Configuración'!$B$20,"B",IF(V1862&gt;='Configuración'!$B$21,"C","Descarte"))))</f>
        <v>Descarte</v>
      </c>
    </row>
    <row r="1863" ht="15.75" customHeight="1">
      <c r="A1863" s="34">
        <f t="shared" si="1"/>
        <v>1861</v>
      </c>
      <c r="B1863" s="29" t="s">
        <v>10316</v>
      </c>
      <c r="C1863" s="29" t="s">
        <v>622</v>
      </c>
      <c r="D1863" s="29" t="s">
        <v>10317</v>
      </c>
      <c r="E1863" s="29" t="s">
        <v>10318</v>
      </c>
      <c r="F1863" s="30" t="s">
        <v>10319</v>
      </c>
      <c r="G1863" s="30" t="s">
        <v>10320</v>
      </c>
      <c r="H1863" s="42" t="s">
        <v>10321</v>
      </c>
      <c r="I1863" s="29" t="s">
        <v>158</v>
      </c>
      <c r="J1863" s="31">
        <v>7.0</v>
      </c>
      <c r="K1863" s="35"/>
      <c r="L1863" s="35"/>
      <c r="M1863" s="35"/>
      <c r="N1863" s="35"/>
      <c r="O1863" s="35"/>
      <c r="P1863" s="35"/>
      <c r="Q1863" s="35"/>
      <c r="R1863" s="35"/>
      <c r="S1863" s="37">
        <f>IF(B1863="","",IF(ISNUMBER(J1863),IF(J1863&lt;=10,'Configuración'!$B$23,IF(J1863&lt;=50,'Configuración'!$B$24,IF(J1863&lt;=200,'Configuración'!$B$25,0))),0))</f>
        <v>12</v>
      </c>
      <c r="T1863" s="37">
        <f>IF(B1863="","",IF(ISNUMBER(SEARCH("information technology",I1863))+ISNUMBER(SEARCH("software",I1863))+ISNUMBER(SEARCH("internet",I1863))+ISNUMBER(SEARCH("computer",I1863))+ISNUMBER(SEARCH("saas",I1863))+ISNUMBER(SEARCH("fintech",I1863))+ISNUMBER(SEARCH("information services",I1863))+ISNUMBER(SEARCH("telecommunications",I1863))&gt;0,'Configuración'!$B$27,'Configuración'!$B$28))</f>
        <v>4</v>
      </c>
      <c r="U1863" s="25">
        <f>IF(B1863="","",IF(ISNUMBER(SEARCH("CEO",C1863))+ISNUMBER(SEARCH("Founder",C1863))+ISNUMBER(SEARCH("Owner",C1863))+ISNUMBER(SEARCH("Dueño",C1863))+ISNUMBER(SEARCH("Director General",C1863))+ISNUMBER(SEARCH("Presidente",C1863))+ISNUMBER(SEARCH("President",C1863))&gt;0,'Configuración'!$B$31,IF(ISNUMBER(SEARCH("CMO",C1863))+ISNUMBER(SEARCH("Chief Marketing",C1863))+ISNUMBER(SEARCH("VP Marketing",C1863))+ISNUMBER(SEARCH("Director de Marketing",C1863))+ISNUMBER(SEARCH("Director Marketing",C1863))+ISNUMBER(SEARCH("Head of Marketing",C1863))+ISNUMBER(SEARCH("Head Marketing",C1863))&gt;0,'Configuración'!$B$32,IF(ISNUMBER(SEARCH("Marketing Manager",C1863))+ISNUMBER(SEARCH("Gerente de Marketing",C1863))+ISNUMBER(SEARCH("Growth Manager",C1863))+ISNUMBER(SEARCH("Demand Gen",C1863))+ISNUMBER(SEARCH("Marketing Lead",C1863))&gt;0,'Configuración'!$B$33,IF(ISNUMBER(SEARCH("COO",C1863))+ISNUMBER(SEARCH("CFO",C1863))+ISNUMBER(SEARCH("CTO",C1863))+ISNUMBER(SEARCH("Chief Operating",C1863))+ISNUMBER(SEARCH("Chief Financial",C1863))+ISNUMBER(SEARCH("Gerente General",C1863))+ISNUMBER(SEARCH("General Manager",C1863))&gt;0,'Configuración'!$B$34,'Configuración'!$B$35)))))</f>
        <v>12</v>
      </c>
      <c r="V1863" s="38">
        <f>IF(B1863="","",IF(K1863="Sí",'Configuración'!$B$5,0)+IF(L1863="Semanal",'Configuración'!$B$6,IF(L1863="Mensual",'Configuración'!$B$7,0))+IF(M1863="Sí",'Configuración'!$B$8,0)+IF(N1863="Sí",'Configuración'!$B$9,0)+IF(O1863="Sí",'Configuración'!$B$10,0)+IF(P1863="Sí",'Configuración'!$B$11,0)+IF(Q1863="Sí",'Configuración'!$B$12,0)+S1863+T1863+U1863)</f>
        <v>28</v>
      </c>
      <c r="W1863" s="39" t="str">
        <f>IF(B1863="","",IF(V1863&gt;='Configuración'!$B$19,"A",IF(V1863&gt;='Configuración'!$B$20,"B",IF(V1863&gt;='Configuración'!$B$21,"C","Descarte"))))</f>
        <v>C</v>
      </c>
    </row>
    <row r="1864" ht="15.75" customHeight="1">
      <c r="A1864" s="34">
        <f t="shared" si="1"/>
        <v>1862</v>
      </c>
      <c r="B1864" s="29" t="s">
        <v>2351</v>
      </c>
      <c r="C1864" s="29" t="s">
        <v>146</v>
      </c>
      <c r="D1864" s="29" t="s">
        <v>10322</v>
      </c>
      <c r="E1864" s="29" t="s">
        <v>10323</v>
      </c>
      <c r="F1864" s="30" t="s">
        <v>10324</v>
      </c>
      <c r="G1864" s="30" t="s">
        <v>10325</v>
      </c>
      <c r="H1864" s="42" t="s">
        <v>10326</v>
      </c>
      <c r="I1864" s="29" t="s">
        <v>832</v>
      </c>
      <c r="J1864" s="31">
        <v>33.0</v>
      </c>
      <c r="K1864" s="35"/>
      <c r="L1864" s="35"/>
      <c r="M1864" s="35"/>
      <c r="N1864" s="35"/>
      <c r="O1864" s="35"/>
      <c r="P1864" s="35"/>
      <c r="Q1864" s="35"/>
      <c r="R1864" s="35"/>
      <c r="S1864" s="37">
        <f>IF(B1864="","",IF(ISNUMBER(J1864),IF(J1864&lt;=10,'Configuración'!$B$23,IF(J1864&lt;=50,'Configuración'!$B$24,IF(J1864&lt;=200,'Configuración'!$B$25,0))),0))</f>
        <v>4</v>
      </c>
      <c r="T1864" s="37">
        <f>IF(B1864="","",IF(ISNUMBER(SEARCH("information technology",I1864))+ISNUMBER(SEARCH("software",I1864))+ISNUMBER(SEARCH("internet",I1864))+ISNUMBER(SEARCH("computer",I1864))+ISNUMBER(SEARCH("saas",I1864))+ISNUMBER(SEARCH("fintech",I1864))+ISNUMBER(SEARCH("information services",I1864))+ISNUMBER(SEARCH("telecommunications",I1864))&gt;0,'Configuración'!$B$27,'Configuración'!$B$28))</f>
        <v>4</v>
      </c>
      <c r="U1864" s="25">
        <f>IF(B1864="","",IF(ISNUMBER(SEARCH("CEO",C1864))+ISNUMBER(SEARCH("Founder",C1864))+ISNUMBER(SEARCH("Owner",C1864))+ISNUMBER(SEARCH("Dueño",C1864))+ISNUMBER(SEARCH("Director General",C1864))+ISNUMBER(SEARCH("Presidente",C1864))+ISNUMBER(SEARCH("President",C1864))&gt;0,'Configuración'!$B$31,IF(ISNUMBER(SEARCH("CMO",C1864))+ISNUMBER(SEARCH("Chief Marketing",C1864))+ISNUMBER(SEARCH("VP Marketing",C1864))+ISNUMBER(SEARCH("Director de Marketing",C1864))+ISNUMBER(SEARCH("Director Marketing",C1864))+ISNUMBER(SEARCH("Head of Marketing",C1864))+ISNUMBER(SEARCH("Head Marketing",C1864))&gt;0,'Configuración'!$B$32,IF(ISNUMBER(SEARCH("Marketing Manager",C1864))+ISNUMBER(SEARCH("Gerente de Marketing",C1864))+ISNUMBER(SEARCH("Growth Manager",C1864))+ISNUMBER(SEARCH("Demand Gen",C1864))+ISNUMBER(SEARCH("Marketing Lead",C1864))&gt;0,'Configuración'!$B$33,IF(ISNUMBER(SEARCH("COO",C1864))+ISNUMBER(SEARCH("CFO",C1864))+ISNUMBER(SEARCH("CTO",C1864))+ISNUMBER(SEARCH("Chief Operating",C1864))+ISNUMBER(SEARCH("Chief Financial",C1864))+ISNUMBER(SEARCH("Gerente General",C1864))+ISNUMBER(SEARCH("General Manager",C1864))&gt;0,'Configuración'!$B$34,'Configuración'!$B$35)))))</f>
        <v>0</v>
      </c>
      <c r="V1864" s="38">
        <f>IF(B1864="","",IF(K1864="Sí",'Configuración'!$B$5,0)+IF(L1864="Semanal",'Configuración'!$B$6,IF(L1864="Mensual",'Configuración'!$B$7,0))+IF(M1864="Sí",'Configuración'!$B$8,0)+IF(N1864="Sí",'Configuración'!$B$9,0)+IF(O1864="Sí",'Configuración'!$B$10,0)+IF(P1864="Sí",'Configuración'!$B$11,0)+IF(Q1864="Sí",'Configuración'!$B$12,0)+S1864+T1864+U1864)</f>
        <v>8</v>
      </c>
      <c r="W1864" s="39" t="str">
        <f>IF(B1864="","",IF(V1864&gt;='Configuración'!$B$19,"A",IF(V1864&gt;='Configuración'!$B$20,"B",IF(V1864&gt;='Configuración'!$B$21,"C","Descarte"))))</f>
        <v>Descarte</v>
      </c>
    </row>
    <row r="1865" ht="15.75" customHeight="1">
      <c r="A1865" s="34">
        <f t="shared" si="1"/>
        <v>1863</v>
      </c>
      <c r="B1865" s="29" t="s">
        <v>4872</v>
      </c>
      <c r="C1865" s="29" t="s">
        <v>131</v>
      </c>
      <c r="D1865" s="29" t="s">
        <v>10327</v>
      </c>
      <c r="E1865" s="29" t="s">
        <v>10328</v>
      </c>
      <c r="F1865" s="30" t="s">
        <v>10329</v>
      </c>
      <c r="G1865" s="30" t="s">
        <v>10330</v>
      </c>
      <c r="H1865" s="42" t="s">
        <v>10331</v>
      </c>
      <c r="I1865" s="29" t="s">
        <v>127</v>
      </c>
      <c r="J1865" s="31">
        <v>8.0</v>
      </c>
      <c r="K1865" s="35"/>
      <c r="L1865" s="35"/>
      <c r="M1865" s="35"/>
      <c r="N1865" s="35"/>
      <c r="O1865" s="35"/>
      <c r="P1865" s="35"/>
      <c r="Q1865" s="35"/>
      <c r="R1865" s="35"/>
      <c r="S1865" s="37">
        <f>IF(B1865="","",IF(ISNUMBER(J1865),IF(J1865&lt;=10,'Configuración'!$B$23,IF(J1865&lt;=50,'Configuración'!$B$24,IF(J1865&lt;=200,'Configuración'!$B$25,0))),0))</f>
        <v>12</v>
      </c>
      <c r="T1865" s="37">
        <f>IF(B1865="","",IF(ISNUMBER(SEARCH("information technology",I1865))+ISNUMBER(SEARCH("software",I1865))+ISNUMBER(SEARCH("internet",I1865))+ISNUMBER(SEARCH("computer",I1865))+ISNUMBER(SEARCH("saas",I1865))+ISNUMBER(SEARCH("fintech",I1865))+ISNUMBER(SEARCH("information services",I1865))+ISNUMBER(SEARCH("telecommunications",I1865))&gt;0,'Configuración'!$B$27,'Configuración'!$B$28))</f>
        <v>12</v>
      </c>
      <c r="U1865" s="25">
        <f>IF(B1865="","",IF(ISNUMBER(SEARCH("CEO",C1865))+ISNUMBER(SEARCH("Founder",C1865))+ISNUMBER(SEARCH("Owner",C1865))+ISNUMBER(SEARCH("Dueño",C1865))+ISNUMBER(SEARCH("Director General",C1865))+ISNUMBER(SEARCH("Presidente",C1865))+ISNUMBER(SEARCH("President",C1865))&gt;0,'Configuración'!$B$31,IF(ISNUMBER(SEARCH("CMO",C1865))+ISNUMBER(SEARCH("Chief Marketing",C1865))+ISNUMBER(SEARCH("VP Marketing",C1865))+ISNUMBER(SEARCH("Director de Marketing",C1865))+ISNUMBER(SEARCH("Director Marketing",C1865))+ISNUMBER(SEARCH("Head of Marketing",C1865))+ISNUMBER(SEARCH("Head Marketing",C1865))&gt;0,'Configuración'!$B$32,IF(ISNUMBER(SEARCH("Marketing Manager",C1865))+ISNUMBER(SEARCH("Gerente de Marketing",C1865))+ISNUMBER(SEARCH("Growth Manager",C1865))+ISNUMBER(SEARCH("Demand Gen",C1865))+ISNUMBER(SEARCH("Marketing Lead",C1865))&gt;0,'Configuración'!$B$33,IF(ISNUMBER(SEARCH("COO",C1865))+ISNUMBER(SEARCH("CFO",C1865))+ISNUMBER(SEARCH("CTO",C1865))+ISNUMBER(SEARCH("Chief Operating",C1865))+ISNUMBER(SEARCH("Chief Financial",C1865))+ISNUMBER(SEARCH("Gerente General",C1865))+ISNUMBER(SEARCH("General Manager",C1865))&gt;0,'Configuración'!$B$34,'Configuración'!$B$35)))))</f>
        <v>12</v>
      </c>
      <c r="V1865" s="38">
        <f>IF(B1865="","",IF(K1865="Sí",'Configuración'!$B$5,0)+IF(L1865="Semanal",'Configuración'!$B$6,IF(L1865="Mensual",'Configuración'!$B$7,0))+IF(M1865="Sí",'Configuración'!$B$8,0)+IF(N1865="Sí",'Configuración'!$B$9,0)+IF(O1865="Sí",'Configuración'!$B$10,0)+IF(P1865="Sí",'Configuración'!$B$11,0)+IF(Q1865="Sí",'Configuración'!$B$12,0)+S1865+T1865+U1865)</f>
        <v>36</v>
      </c>
      <c r="W1865" s="39" t="str">
        <f>IF(B1865="","",IF(V1865&gt;='Configuración'!$B$19,"A",IF(V1865&gt;='Configuración'!$B$20,"B",IF(V1865&gt;='Configuración'!$B$21,"C","Descarte"))))</f>
        <v>C</v>
      </c>
    </row>
    <row r="1866" ht="15.75" customHeight="1">
      <c r="A1866" s="34">
        <f t="shared" si="1"/>
        <v>1864</v>
      </c>
      <c r="B1866" s="29" t="s">
        <v>4622</v>
      </c>
      <c r="C1866" s="29" t="s">
        <v>121</v>
      </c>
      <c r="D1866" s="29" t="s">
        <v>10332</v>
      </c>
      <c r="E1866" s="29" t="s">
        <v>10333</v>
      </c>
      <c r="F1866" s="30" t="s">
        <v>10334</v>
      </c>
      <c r="G1866" s="30" t="s">
        <v>10335</v>
      </c>
      <c r="H1866" s="42" t="s">
        <v>10336</v>
      </c>
      <c r="I1866" s="29" t="s">
        <v>508</v>
      </c>
      <c r="J1866" s="31">
        <v>1.0</v>
      </c>
      <c r="K1866" s="35"/>
      <c r="L1866" s="35"/>
      <c r="M1866" s="35"/>
      <c r="N1866" s="35"/>
      <c r="O1866" s="35"/>
      <c r="P1866" s="35"/>
      <c r="Q1866" s="35"/>
      <c r="R1866" s="35"/>
      <c r="S1866" s="37">
        <f>IF(B1866="","",IF(ISNUMBER(J1866),IF(J1866&lt;=10,'Configuración'!$B$23,IF(J1866&lt;=50,'Configuración'!$B$24,IF(J1866&lt;=200,'Configuración'!$B$25,0))),0))</f>
        <v>12</v>
      </c>
      <c r="T1866" s="37">
        <f>IF(B1866="","",IF(ISNUMBER(SEARCH("information technology",I1866))+ISNUMBER(SEARCH("software",I1866))+ISNUMBER(SEARCH("internet",I1866))+ISNUMBER(SEARCH("computer",I1866))+ISNUMBER(SEARCH("saas",I1866))+ISNUMBER(SEARCH("fintech",I1866))+ISNUMBER(SEARCH("information services",I1866))+ISNUMBER(SEARCH("telecommunications",I1866))&gt;0,'Configuración'!$B$27,'Configuración'!$B$28))</f>
        <v>4</v>
      </c>
      <c r="U1866" s="25">
        <f>IF(B1866="","",IF(ISNUMBER(SEARCH("CEO",C1866))+ISNUMBER(SEARCH("Founder",C1866))+ISNUMBER(SEARCH("Owner",C1866))+ISNUMBER(SEARCH("Dueño",C1866))+ISNUMBER(SEARCH("Director General",C1866))+ISNUMBER(SEARCH("Presidente",C1866))+ISNUMBER(SEARCH("President",C1866))&gt;0,'Configuración'!$B$31,IF(ISNUMBER(SEARCH("CMO",C1866))+ISNUMBER(SEARCH("Chief Marketing",C1866))+ISNUMBER(SEARCH("VP Marketing",C1866))+ISNUMBER(SEARCH("Director de Marketing",C1866))+ISNUMBER(SEARCH("Director Marketing",C1866))+ISNUMBER(SEARCH("Head of Marketing",C1866))+ISNUMBER(SEARCH("Head Marketing",C1866))&gt;0,'Configuración'!$B$32,IF(ISNUMBER(SEARCH("Marketing Manager",C1866))+ISNUMBER(SEARCH("Gerente de Marketing",C1866))+ISNUMBER(SEARCH("Growth Manager",C1866))+ISNUMBER(SEARCH("Demand Gen",C1866))+ISNUMBER(SEARCH("Marketing Lead",C1866))&gt;0,'Configuración'!$B$33,IF(ISNUMBER(SEARCH("COO",C1866))+ISNUMBER(SEARCH("CFO",C1866))+ISNUMBER(SEARCH("CTO",C1866))+ISNUMBER(SEARCH("Chief Operating",C1866))+ISNUMBER(SEARCH("Chief Financial",C1866))+ISNUMBER(SEARCH("Gerente General",C1866))+ISNUMBER(SEARCH("General Manager",C1866))&gt;0,'Configuración'!$B$34,'Configuración'!$B$35)))))</f>
        <v>12</v>
      </c>
      <c r="V1866" s="38">
        <f>IF(B1866="","",IF(K1866="Sí",'Configuración'!$B$5,0)+IF(L1866="Semanal",'Configuración'!$B$6,IF(L1866="Mensual",'Configuración'!$B$7,0))+IF(M1866="Sí",'Configuración'!$B$8,0)+IF(N1866="Sí",'Configuración'!$B$9,0)+IF(O1866="Sí",'Configuración'!$B$10,0)+IF(P1866="Sí",'Configuración'!$B$11,0)+IF(Q1866="Sí",'Configuración'!$B$12,0)+S1866+T1866+U1866)</f>
        <v>28</v>
      </c>
      <c r="W1866" s="39" t="str">
        <f>IF(B1866="","",IF(V1866&gt;='Configuración'!$B$19,"A",IF(V1866&gt;='Configuración'!$B$20,"B",IF(V1866&gt;='Configuración'!$B$21,"C","Descarte"))))</f>
        <v>C</v>
      </c>
    </row>
    <row r="1867" ht="15.75" customHeight="1">
      <c r="A1867" s="34">
        <f t="shared" si="1"/>
        <v>1865</v>
      </c>
      <c r="B1867" s="29" t="s">
        <v>159</v>
      </c>
      <c r="C1867" s="29" t="s">
        <v>131</v>
      </c>
      <c r="D1867" s="29" t="s">
        <v>10337</v>
      </c>
      <c r="E1867" s="29" t="s">
        <v>10338</v>
      </c>
      <c r="F1867" s="30" t="s">
        <v>10339</v>
      </c>
      <c r="G1867" s="30" t="s">
        <v>10340</v>
      </c>
      <c r="H1867" s="42" t="s">
        <v>10341</v>
      </c>
      <c r="I1867" s="29" t="s">
        <v>127</v>
      </c>
      <c r="J1867" s="31">
        <v>24.0</v>
      </c>
      <c r="K1867" s="35"/>
      <c r="L1867" s="35"/>
      <c r="M1867" s="35"/>
      <c r="N1867" s="35"/>
      <c r="O1867" s="35"/>
      <c r="P1867" s="35"/>
      <c r="Q1867" s="35"/>
      <c r="R1867" s="35"/>
      <c r="S1867" s="37">
        <f>IF(B1867="","",IF(ISNUMBER(J1867),IF(J1867&lt;=10,'Configuración'!$B$23,IF(J1867&lt;=50,'Configuración'!$B$24,IF(J1867&lt;=200,'Configuración'!$B$25,0))),0))</f>
        <v>4</v>
      </c>
      <c r="T1867" s="37">
        <f>IF(B1867="","",IF(ISNUMBER(SEARCH("information technology",I1867))+ISNUMBER(SEARCH("software",I1867))+ISNUMBER(SEARCH("internet",I1867))+ISNUMBER(SEARCH("computer",I1867))+ISNUMBER(SEARCH("saas",I1867))+ISNUMBER(SEARCH("fintech",I1867))+ISNUMBER(SEARCH("information services",I1867))+ISNUMBER(SEARCH("telecommunications",I1867))&gt;0,'Configuración'!$B$27,'Configuración'!$B$28))</f>
        <v>12</v>
      </c>
      <c r="U1867" s="25">
        <f>IF(B1867="","",IF(ISNUMBER(SEARCH("CEO",C1867))+ISNUMBER(SEARCH("Founder",C1867))+ISNUMBER(SEARCH("Owner",C1867))+ISNUMBER(SEARCH("Dueño",C1867))+ISNUMBER(SEARCH("Director General",C1867))+ISNUMBER(SEARCH("Presidente",C1867))+ISNUMBER(SEARCH("President",C1867))&gt;0,'Configuración'!$B$31,IF(ISNUMBER(SEARCH("CMO",C1867))+ISNUMBER(SEARCH("Chief Marketing",C1867))+ISNUMBER(SEARCH("VP Marketing",C1867))+ISNUMBER(SEARCH("Director de Marketing",C1867))+ISNUMBER(SEARCH("Director Marketing",C1867))+ISNUMBER(SEARCH("Head of Marketing",C1867))+ISNUMBER(SEARCH("Head Marketing",C1867))&gt;0,'Configuración'!$B$32,IF(ISNUMBER(SEARCH("Marketing Manager",C1867))+ISNUMBER(SEARCH("Gerente de Marketing",C1867))+ISNUMBER(SEARCH("Growth Manager",C1867))+ISNUMBER(SEARCH("Demand Gen",C1867))+ISNUMBER(SEARCH("Marketing Lead",C1867))&gt;0,'Configuración'!$B$33,IF(ISNUMBER(SEARCH("COO",C1867))+ISNUMBER(SEARCH("CFO",C1867))+ISNUMBER(SEARCH("CTO",C1867))+ISNUMBER(SEARCH("Chief Operating",C1867))+ISNUMBER(SEARCH("Chief Financial",C1867))+ISNUMBER(SEARCH("Gerente General",C1867))+ISNUMBER(SEARCH("General Manager",C1867))&gt;0,'Configuración'!$B$34,'Configuración'!$B$35)))))</f>
        <v>12</v>
      </c>
      <c r="V1867" s="38">
        <f>IF(B1867="","",IF(K1867="Sí",'Configuración'!$B$5,0)+IF(L1867="Semanal",'Configuración'!$B$6,IF(L1867="Mensual",'Configuración'!$B$7,0))+IF(M1867="Sí",'Configuración'!$B$8,0)+IF(N1867="Sí",'Configuración'!$B$9,0)+IF(O1867="Sí",'Configuración'!$B$10,0)+IF(P1867="Sí",'Configuración'!$B$11,0)+IF(Q1867="Sí",'Configuración'!$B$12,0)+S1867+T1867+U1867)</f>
        <v>28</v>
      </c>
      <c r="W1867" s="39" t="str">
        <f>IF(B1867="","",IF(V1867&gt;='Configuración'!$B$19,"A",IF(V1867&gt;='Configuración'!$B$20,"B",IF(V1867&gt;='Configuración'!$B$21,"C","Descarte"))))</f>
        <v>C</v>
      </c>
    </row>
    <row r="1868" ht="15.75" customHeight="1">
      <c r="A1868" s="34">
        <f t="shared" si="1"/>
        <v>1866</v>
      </c>
      <c r="B1868" s="29" t="s">
        <v>281</v>
      </c>
      <c r="C1868" s="29" t="s">
        <v>304</v>
      </c>
      <c r="D1868" s="29" t="s">
        <v>10342</v>
      </c>
      <c r="E1868" s="29" t="s">
        <v>10343</v>
      </c>
      <c r="F1868" s="30" t="s">
        <v>10344</v>
      </c>
      <c r="G1868" s="30" t="s">
        <v>10345</v>
      </c>
      <c r="H1868" s="42" t="s">
        <v>10346</v>
      </c>
      <c r="I1868" s="29" t="s">
        <v>127</v>
      </c>
      <c r="J1868" s="31">
        <v>33.0</v>
      </c>
      <c r="K1868" s="35"/>
      <c r="L1868" s="35"/>
      <c r="M1868" s="35"/>
      <c r="N1868" s="35"/>
      <c r="O1868" s="35"/>
      <c r="P1868" s="35"/>
      <c r="Q1868" s="35"/>
      <c r="R1868" s="35"/>
      <c r="S1868" s="37">
        <f>IF(B1868="","",IF(ISNUMBER(J1868),IF(J1868&lt;=10,'Configuración'!$B$23,IF(J1868&lt;=50,'Configuración'!$B$24,IF(J1868&lt;=200,'Configuración'!$B$25,0))),0))</f>
        <v>4</v>
      </c>
      <c r="T1868" s="37">
        <f>IF(B1868="","",IF(ISNUMBER(SEARCH("information technology",I1868))+ISNUMBER(SEARCH("software",I1868))+ISNUMBER(SEARCH("internet",I1868))+ISNUMBER(SEARCH("computer",I1868))+ISNUMBER(SEARCH("saas",I1868))+ISNUMBER(SEARCH("fintech",I1868))+ISNUMBER(SEARCH("information services",I1868))+ISNUMBER(SEARCH("telecommunications",I1868))&gt;0,'Configuración'!$B$27,'Configuración'!$B$28))</f>
        <v>12</v>
      </c>
      <c r="U1868" s="25">
        <f>IF(B1868="","",IF(ISNUMBER(SEARCH("CEO",C1868))+ISNUMBER(SEARCH("Founder",C1868))+ISNUMBER(SEARCH("Owner",C1868))+ISNUMBER(SEARCH("Dueño",C1868))+ISNUMBER(SEARCH("Director General",C1868))+ISNUMBER(SEARCH("Presidente",C1868))+ISNUMBER(SEARCH("President",C1868))&gt;0,'Configuración'!$B$31,IF(ISNUMBER(SEARCH("CMO",C1868))+ISNUMBER(SEARCH("Chief Marketing",C1868))+ISNUMBER(SEARCH("VP Marketing",C1868))+ISNUMBER(SEARCH("Director de Marketing",C1868))+ISNUMBER(SEARCH("Director Marketing",C1868))+ISNUMBER(SEARCH("Head of Marketing",C1868))+ISNUMBER(SEARCH("Head Marketing",C1868))&gt;0,'Configuración'!$B$32,IF(ISNUMBER(SEARCH("Marketing Manager",C1868))+ISNUMBER(SEARCH("Gerente de Marketing",C1868))+ISNUMBER(SEARCH("Growth Manager",C1868))+ISNUMBER(SEARCH("Demand Gen",C1868))+ISNUMBER(SEARCH("Marketing Lead",C1868))&gt;0,'Configuración'!$B$33,IF(ISNUMBER(SEARCH("COO",C1868))+ISNUMBER(SEARCH("CFO",C1868))+ISNUMBER(SEARCH("CTO",C1868))+ISNUMBER(SEARCH("Chief Operating",C1868))+ISNUMBER(SEARCH("Chief Financial",C1868))+ISNUMBER(SEARCH("Gerente General",C1868))+ISNUMBER(SEARCH("General Manager",C1868))&gt;0,'Configuración'!$B$34,'Configuración'!$B$35)))))</f>
        <v>4</v>
      </c>
      <c r="V1868" s="38">
        <f>IF(B1868="","",IF(K1868="Sí",'Configuración'!$B$5,0)+IF(L1868="Semanal",'Configuración'!$B$6,IF(L1868="Mensual",'Configuración'!$B$7,0))+IF(M1868="Sí",'Configuración'!$B$8,0)+IF(N1868="Sí",'Configuración'!$B$9,0)+IF(O1868="Sí",'Configuración'!$B$10,0)+IF(P1868="Sí",'Configuración'!$B$11,0)+IF(Q1868="Sí",'Configuración'!$B$12,0)+S1868+T1868+U1868)</f>
        <v>20</v>
      </c>
      <c r="W1868" s="39" t="str">
        <f>IF(B1868="","",IF(V1868&gt;='Configuración'!$B$19,"A",IF(V1868&gt;='Configuración'!$B$20,"B",IF(V1868&gt;='Configuración'!$B$21,"C","Descarte"))))</f>
        <v>Descarte</v>
      </c>
    </row>
    <row r="1869" ht="15.75" customHeight="1">
      <c r="A1869" s="34">
        <f t="shared" si="1"/>
        <v>1867</v>
      </c>
      <c r="B1869" s="29" t="s">
        <v>159</v>
      </c>
      <c r="C1869" s="29" t="s">
        <v>10347</v>
      </c>
      <c r="D1869" s="29" t="s">
        <v>10348</v>
      </c>
      <c r="E1869" s="29" t="s">
        <v>10349</v>
      </c>
      <c r="F1869" s="30" t="s">
        <v>10350</v>
      </c>
      <c r="G1869" s="30" t="s">
        <v>10351</v>
      </c>
      <c r="H1869" s="42" t="s">
        <v>10352</v>
      </c>
      <c r="I1869" s="29" t="s">
        <v>188</v>
      </c>
      <c r="J1869" s="31">
        <v>5.0</v>
      </c>
      <c r="K1869" s="35"/>
      <c r="L1869" s="35"/>
      <c r="M1869" s="35"/>
      <c r="N1869" s="35"/>
      <c r="O1869" s="35"/>
      <c r="P1869" s="35"/>
      <c r="Q1869" s="35"/>
      <c r="R1869" s="35"/>
      <c r="S1869" s="37">
        <f>IF(B1869="","",IF(ISNUMBER(J1869),IF(J1869&lt;=10,'Configuración'!$B$23,IF(J1869&lt;=50,'Configuración'!$B$24,IF(J1869&lt;=200,'Configuración'!$B$25,0))),0))</f>
        <v>12</v>
      </c>
      <c r="T1869" s="37">
        <f>IF(B1869="","",IF(ISNUMBER(SEARCH("information technology",I1869))+ISNUMBER(SEARCH("software",I1869))+ISNUMBER(SEARCH("internet",I1869))+ISNUMBER(SEARCH("computer",I1869))+ISNUMBER(SEARCH("saas",I1869))+ISNUMBER(SEARCH("fintech",I1869))+ISNUMBER(SEARCH("information services",I1869))+ISNUMBER(SEARCH("telecommunications",I1869))&gt;0,'Configuración'!$B$27,'Configuración'!$B$28))</f>
        <v>4</v>
      </c>
      <c r="U1869" s="25">
        <f>IF(B1869="","",IF(ISNUMBER(SEARCH("CEO",C1869))+ISNUMBER(SEARCH("Founder",C1869))+ISNUMBER(SEARCH("Owner",C1869))+ISNUMBER(SEARCH("Dueño",C1869))+ISNUMBER(SEARCH("Director General",C1869))+ISNUMBER(SEARCH("Presidente",C1869))+ISNUMBER(SEARCH("President",C1869))&gt;0,'Configuración'!$B$31,IF(ISNUMBER(SEARCH("CMO",C1869))+ISNUMBER(SEARCH("Chief Marketing",C1869))+ISNUMBER(SEARCH("VP Marketing",C1869))+ISNUMBER(SEARCH("Director de Marketing",C1869))+ISNUMBER(SEARCH("Director Marketing",C1869))+ISNUMBER(SEARCH("Head of Marketing",C1869))+ISNUMBER(SEARCH("Head Marketing",C1869))&gt;0,'Configuración'!$B$32,IF(ISNUMBER(SEARCH("Marketing Manager",C1869))+ISNUMBER(SEARCH("Gerente de Marketing",C1869))+ISNUMBER(SEARCH("Growth Manager",C1869))+ISNUMBER(SEARCH("Demand Gen",C1869))+ISNUMBER(SEARCH("Marketing Lead",C1869))&gt;0,'Configuración'!$B$33,IF(ISNUMBER(SEARCH("COO",C1869))+ISNUMBER(SEARCH("CFO",C1869))+ISNUMBER(SEARCH("CTO",C1869))+ISNUMBER(SEARCH("Chief Operating",C1869))+ISNUMBER(SEARCH("Chief Financial",C1869))+ISNUMBER(SEARCH("Gerente General",C1869))+ISNUMBER(SEARCH("General Manager",C1869))&gt;0,'Configuración'!$B$34,'Configuración'!$B$35)))))</f>
        <v>12</v>
      </c>
      <c r="V1869" s="38">
        <f>IF(B1869="","",IF(K1869="Sí",'Configuración'!$B$5,0)+IF(L1869="Semanal",'Configuración'!$B$6,IF(L1869="Mensual",'Configuración'!$B$7,0))+IF(M1869="Sí",'Configuración'!$B$8,0)+IF(N1869="Sí",'Configuración'!$B$9,0)+IF(O1869="Sí",'Configuración'!$B$10,0)+IF(P1869="Sí",'Configuración'!$B$11,0)+IF(Q1869="Sí",'Configuración'!$B$12,0)+S1869+T1869+U1869)</f>
        <v>28</v>
      </c>
      <c r="W1869" s="39" t="str">
        <f>IF(B1869="","",IF(V1869&gt;='Configuración'!$B$19,"A",IF(V1869&gt;='Configuración'!$B$20,"B",IF(V1869&gt;='Configuración'!$B$21,"C","Descarte"))))</f>
        <v>C</v>
      </c>
    </row>
    <row r="1870" ht="15.75" customHeight="1">
      <c r="A1870" s="34">
        <f t="shared" si="1"/>
        <v>1868</v>
      </c>
      <c r="B1870" s="29" t="s">
        <v>578</v>
      </c>
      <c r="C1870" s="29" t="s">
        <v>131</v>
      </c>
      <c r="D1870" s="29" t="s">
        <v>10353</v>
      </c>
      <c r="E1870" s="29" t="s">
        <v>10354</v>
      </c>
      <c r="F1870" s="30" t="s">
        <v>10355</v>
      </c>
      <c r="G1870" s="30" t="s">
        <v>10356</v>
      </c>
      <c r="H1870" s="42" t="s">
        <v>10357</v>
      </c>
      <c r="I1870" s="29" t="s">
        <v>6786</v>
      </c>
      <c r="J1870" s="31">
        <v>7.0</v>
      </c>
      <c r="K1870" s="35"/>
      <c r="L1870" s="35"/>
      <c r="M1870" s="35"/>
      <c r="N1870" s="35"/>
      <c r="O1870" s="35"/>
      <c r="P1870" s="35"/>
      <c r="Q1870" s="35"/>
      <c r="R1870" s="35"/>
      <c r="S1870" s="37">
        <f>IF(B1870="","",IF(ISNUMBER(J1870),IF(J1870&lt;=10,'Configuración'!$B$23,IF(J1870&lt;=50,'Configuración'!$B$24,IF(J1870&lt;=200,'Configuración'!$B$25,0))),0))</f>
        <v>12</v>
      </c>
      <c r="T1870" s="37">
        <f>IF(B1870="","",IF(ISNUMBER(SEARCH("information technology",I1870))+ISNUMBER(SEARCH("software",I1870))+ISNUMBER(SEARCH("internet",I1870))+ISNUMBER(SEARCH("computer",I1870))+ISNUMBER(SEARCH("saas",I1870))+ISNUMBER(SEARCH("fintech",I1870))+ISNUMBER(SEARCH("information services",I1870))+ISNUMBER(SEARCH("telecommunications",I1870))&gt;0,'Configuración'!$B$27,'Configuración'!$B$28))</f>
        <v>4</v>
      </c>
      <c r="U1870" s="25">
        <f>IF(B1870="","",IF(ISNUMBER(SEARCH("CEO",C1870))+ISNUMBER(SEARCH("Founder",C1870))+ISNUMBER(SEARCH("Owner",C1870))+ISNUMBER(SEARCH("Dueño",C1870))+ISNUMBER(SEARCH("Director General",C1870))+ISNUMBER(SEARCH("Presidente",C1870))+ISNUMBER(SEARCH("President",C1870))&gt;0,'Configuración'!$B$31,IF(ISNUMBER(SEARCH("CMO",C1870))+ISNUMBER(SEARCH("Chief Marketing",C1870))+ISNUMBER(SEARCH("VP Marketing",C1870))+ISNUMBER(SEARCH("Director de Marketing",C1870))+ISNUMBER(SEARCH("Director Marketing",C1870))+ISNUMBER(SEARCH("Head of Marketing",C1870))+ISNUMBER(SEARCH("Head Marketing",C1870))&gt;0,'Configuración'!$B$32,IF(ISNUMBER(SEARCH("Marketing Manager",C1870))+ISNUMBER(SEARCH("Gerente de Marketing",C1870))+ISNUMBER(SEARCH("Growth Manager",C1870))+ISNUMBER(SEARCH("Demand Gen",C1870))+ISNUMBER(SEARCH("Marketing Lead",C1870))&gt;0,'Configuración'!$B$33,IF(ISNUMBER(SEARCH("COO",C1870))+ISNUMBER(SEARCH("CFO",C1870))+ISNUMBER(SEARCH("CTO",C1870))+ISNUMBER(SEARCH("Chief Operating",C1870))+ISNUMBER(SEARCH("Chief Financial",C1870))+ISNUMBER(SEARCH("Gerente General",C1870))+ISNUMBER(SEARCH("General Manager",C1870))&gt;0,'Configuración'!$B$34,'Configuración'!$B$35)))))</f>
        <v>12</v>
      </c>
      <c r="V1870" s="38">
        <f>IF(B1870="","",IF(K1870="Sí",'Configuración'!$B$5,0)+IF(L1870="Semanal",'Configuración'!$B$6,IF(L1870="Mensual",'Configuración'!$B$7,0))+IF(M1870="Sí",'Configuración'!$B$8,0)+IF(N1870="Sí",'Configuración'!$B$9,0)+IF(O1870="Sí",'Configuración'!$B$10,0)+IF(P1870="Sí",'Configuración'!$B$11,0)+IF(Q1870="Sí",'Configuración'!$B$12,0)+S1870+T1870+U1870)</f>
        <v>28</v>
      </c>
      <c r="W1870" s="39" t="str">
        <f>IF(B1870="","",IF(V1870&gt;='Configuración'!$B$19,"A",IF(V1870&gt;='Configuración'!$B$20,"B",IF(V1870&gt;='Configuración'!$B$21,"C","Descarte"))))</f>
        <v>C</v>
      </c>
    </row>
    <row r="1871" ht="15.75" customHeight="1">
      <c r="A1871" s="34">
        <f t="shared" si="1"/>
        <v>1869</v>
      </c>
      <c r="B1871" s="29" t="s">
        <v>174</v>
      </c>
      <c r="C1871" s="29" t="s">
        <v>10358</v>
      </c>
      <c r="D1871" s="29" t="s">
        <v>10359</v>
      </c>
      <c r="E1871" s="29" t="s">
        <v>10360</v>
      </c>
      <c r="F1871" s="30" t="s">
        <v>10361</v>
      </c>
      <c r="G1871" s="30" t="s">
        <v>10362</v>
      </c>
      <c r="H1871" s="42" t="s">
        <v>10363</v>
      </c>
      <c r="I1871" s="29" t="s">
        <v>350</v>
      </c>
      <c r="J1871" s="31">
        <v>37.0</v>
      </c>
      <c r="K1871" s="35"/>
      <c r="L1871" s="35"/>
      <c r="M1871" s="35"/>
      <c r="N1871" s="35"/>
      <c r="O1871" s="35"/>
      <c r="P1871" s="35"/>
      <c r="Q1871" s="35"/>
      <c r="R1871" s="35"/>
      <c r="S1871" s="37">
        <f>IF(B1871="","",IF(ISNUMBER(J1871),IF(J1871&lt;=10,'Configuración'!$B$23,IF(J1871&lt;=50,'Configuración'!$B$24,IF(J1871&lt;=200,'Configuración'!$B$25,0))),0))</f>
        <v>4</v>
      </c>
      <c r="T1871" s="37">
        <f>IF(B1871="","",IF(ISNUMBER(SEARCH("information technology",I1871))+ISNUMBER(SEARCH("software",I1871))+ISNUMBER(SEARCH("internet",I1871))+ISNUMBER(SEARCH("computer",I1871))+ISNUMBER(SEARCH("saas",I1871))+ISNUMBER(SEARCH("fintech",I1871))+ISNUMBER(SEARCH("information services",I1871))+ISNUMBER(SEARCH("telecommunications",I1871))&gt;0,'Configuración'!$B$27,'Configuración'!$B$28))</f>
        <v>4</v>
      </c>
      <c r="U1871" s="25">
        <f>IF(B1871="","",IF(ISNUMBER(SEARCH("CEO",C1871))+ISNUMBER(SEARCH("Founder",C1871))+ISNUMBER(SEARCH("Owner",C1871))+ISNUMBER(SEARCH("Dueño",C1871))+ISNUMBER(SEARCH("Director General",C1871))+ISNUMBER(SEARCH("Presidente",C1871))+ISNUMBER(SEARCH("President",C1871))&gt;0,'Configuración'!$B$31,IF(ISNUMBER(SEARCH("CMO",C1871))+ISNUMBER(SEARCH("Chief Marketing",C1871))+ISNUMBER(SEARCH("VP Marketing",C1871))+ISNUMBER(SEARCH("Director de Marketing",C1871))+ISNUMBER(SEARCH("Director Marketing",C1871))+ISNUMBER(SEARCH("Head of Marketing",C1871))+ISNUMBER(SEARCH("Head Marketing",C1871))&gt;0,'Configuración'!$B$32,IF(ISNUMBER(SEARCH("Marketing Manager",C1871))+ISNUMBER(SEARCH("Gerente de Marketing",C1871))+ISNUMBER(SEARCH("Growth Manager",C1871))+ISNUMBER(SEARCH("Demand Gen",C1871))+ISNUMBER(SEARCH("Marketing Lead",C1871))&gt;0,'Configuración'!$B$33,IF(ISNUMBER(SEARCH("COO",C1871))+ISNUMBER(SEARCH("CFO",C1871))+ISNUMBER(SEARCH("CTO",C1871))+ISNUMBER(SEARCH("Chief Operating",C1871))+ISNUMBER(SEARCH("Chief Financial",C1871))+ISNUMBER(SEARCH("Gerente General",C1871))+ISNUMBER(SEARCH("General Manager",C1871))&gt;0,'Configuración'!$B$34,'Configuración'!$B$35)))))</f>
        <v>0</v>
      </c>
      <c r="V1871" s="38">
        <f>IF(B1871="","",IF(K1871="Sí",'Configuración'!$B$5,0)+IF(L1871="Semanal",'Configuración'!$B$6,IF(L1871="Mensual",'Configuración'!$B$7,0))+IF(M1871="Sí",'Configuración'!$B$8,0)+IF(N1871="Sí",'Configuración'!$B$9,0)+IF(O1871="Sí",'Configuración'!$B$10,0)+IF(P1871="Sí",'Configuración'!$B$11,0)+IF(Q1871="Sí",'Configuración'!$B$12,0)+S1871+T1871+U1871)</f>
        <v>8</v>
      </c>
      <c r="W1871" s="39" t="str">
        <f>IF(B1871="","",IF(V1871&gt;='Configuración'!$B$19,"A",IF(V1871&gt;='Configuración'!$B$20,"B",IF(V1871&gt;='Configuración'!$B$21,"C","Descarte"))))</f>
        <v>Descarte</v>
      </c>
    </row>
    <row r="1872" ht="15.75" customHeight="1">
      <c r="A1872" s="34">
        <f t="shared" si="1"/>
        <v>1870</v>
      </c>
      <c r="B1872" s="29" t="s">
        <v>9186</v>
      </c>
      <c r="C1872" s="29" t="s">
        <v>6504</v>
      </c>
      <c r="D1872" s="29" t="s">
        <v>10364</v>
      </c>
      <c r="E1872" s="29" t="s">
        <v>10365</v>
      </c>
      <c r="F1872" s="30" t="s">
        <v>10366</v>
      </c>
      <c r="G1872" s="30" t="s">
        <v>10367</v>
      </c>
      <c r="H1872" s="42" t="s">
        <v>10368</v>
      </c>
      <c r="I1872" s="29" t="s">
        <v>188</v>
      </c>
      <c r="J1872" s="31">
        <v>3.0</v>
      </c>
      <c r="K1872" s="35"/>
      <c r="L1872" s="35"/>
      <c r="M1872" s="35"/>
      <c r="N1872" s="35"/>
      <c r="O1872" s="35"/>
      <c r="P1872" s="35"/>
      <c r="Q1872" s="35"/>
      <c r="R1872" s="35"/>
      <c r="S1872" s="37">
        <f>IF(B1872="","",IF(ISNUMBER(J1872),IF(J1872&lt;=10,'Configuración'!$B$23,IF(J1872&lt;=50,'Configuración'!$B$24,IF(J1872&lt;=200,'Configuración'!$B$25,0))),0))</f>
        <v>12</v>
      </c>
      <c r="T1872" s="37">
        <f>IF(B1872="","",IF(ISNUMBER(SEARCH("information technology",I1872))+ISNUMBER(SEARCH("software",I1872))+ISNUMBER(SEARCH("internet",I1872))+ISNUMBER(SEARCH("computer",I1872))+ISNUMBER(SEARCH("saas",I1872))+ISNUMBER(SEARCH("fintech",I1872))+ISNUMBER(SEARCH("information services",I1872))+ISNUMBER(SEARCH("telecommunications",I1872))&gt;0,'Configuración'!$B$27,'Configuración'!$B$28))</f>
        <v>4</v>
      </c>
      <c r="U1872" s="25">
        <f>IF(B1872="","",IF(ISNUMBER(SEARCH("CEO",C1872))+ISNUMBER(SEARCH("Founder",C1872))+ISNUMBER(SEARCH("Owner",C1872))+ISNUMBER(SEARCH("Dueño",C1872))+ISNUMBER(SEARCH("Director General",C1872))+ISNUMBER(SEARCH("Presidente",C1872))+ISNUMBER(SEARCH("President",C1872))&gt;0,'Configuración'!$B$31,IF(ISNUMBER(SEARCH("CMO",C1872))+ISNUMBER(SEARCH("Chief Marketing",C1872))+ISNUMBER(SEARCH("VP Marketing",C1872))+ISNUMBER(SEARCH("Director de Marketing",C1872))+ISNUMBER(SEARCH("Director Marketing",C1872))+ISNUMBER(SEARCH("Head of Marketing",C1872))+ISNUMBER(SEARCH("Head Marketing",C1872))&gt;0,'Configuración'!$B$32,IF(ISNUMBER(SEARCH("Marketing Manager",C1872))+ISNUMBER(SEARCH("Gerente de Marketing",C1872))+ISNUMBER(SEARCH("Growth Manager",C1872))+ISNUMBER(SEARCH("Demand Gen",C1872))+ISNUMBER(SEARCH("Marketing Lead",C1872))&gt;0,'Configuración'!$B$33,IF(ISNUMBER(SEARCH("COO",C1872))+ISNUMBER(SEARCH("CFO",C1872))+ISNUMBER(SEARCH("CTO",C1872))+ISNUMBER(SEARCH("Chief Operating",C1872))+ISNUMBER(SEARCH("Chief Financial",C1872))+ISNUMBER(SEARCH("Gerente General",C1872))+ISNUMBER(SEARCH("General Manager",C1872))&gt;0,'Configuración'!$B$34,'Configuración'!$B$35)))))</f>
        <v>12</v>
      </c>
      <c r="V1872" s="38">
        <f>IF(B1872="","",IF(K1872="Sí",'Configuración'!$B$5,0)+IF(L1872="Semanal",'Configuración'!$B$6,IF(L1872="Mensual",'Configuración'!$B$7,0))+IF(M1872="Sí",'Configuración'!$B$8,0)+IF(N1872="Sí",'Configuración'!$B$9,0)+IF(O1872="Sí",'Configuración'!$B$10,0)+IF(P1872="Sí",'Configuración'!$B$11,0)+IF(Q1872="Sí",'Configuración'!$B$12,0)+S1872+T1872+U1872)</f>
        <v>28</v>
      </c>
      <c r="W1872" s="39" t="str">
        <f>IF(B1872="","",IF(V1872&gt;='Configuración'!$B$19,"A",IF(V1872&gt;='Configuración'!$B$20,"B",IF(V1872&gt;='Configuración'!$B$21,"C","Descarte"))))</f>
        <v>C</v>
      </c>
    </row>
    <row r="1873" ht="15.75" customHeight="1">
      <c r="A1873" s="34">
        <f t="shared" si="1"/>
        <v>1871</v>
      </c>
      <c r="B1873" s="29" t="s">
        <v>10369</v>
      </c>
      <c r="C1873" s="29" t="s">
        <v>10370</v>
      </c>
      <c r="D1873" s="29" t="s">
        <v>10371</v>
      </c>
      <c r="E1873" s="29" t="s">
        <v>10372</v>
      </c>
      <c r="F1873" s="30" t="s">
        <v>10373</v>
      </c>
      <c r="G1873" s="30" t="s">
        <v>10374</v>
      </c>
      <c r="H1873" s="42" t="s">
        <v>10375</v>
      </c>
      <c r="I1873" s="29" t="s">
        <v>380</v>
      </c>
      <c r="J1873" s="31">
        <v>23.0</v>
      </c>
      <c r="K1873" s="35"/>
      <c r="L1873" s="35"/>
      <c r="M1873" s="35"/>
      <c r="N1873" s="35"/>
      <c r="O1873" s="35"/>
      <c r="P1873" s="35"/>
      <c r="Q1873" s="35"/>
      <c r="R1873" s="35"/>
      <c r="S1873" s="37">
        <f>IF(B1873="","",IF(ISNUMBER(J1873),IF(J1873&lt;=10,'Configuración'!$B$23,IF(J1873&lt;=50,'Configuración'!$B$24,IF(J1873&lt;=200,'Configuración'!$B$25,0))),0))</f>
        <v>4</v>
      </c>
      <c r="T1873" s="37">
        <f>IF(B1873="","",IF(ISNUMBER(SEARCH("information technology",I1873))+ISNUMBER(SEARCH("software",I1873))+ISNUMBER(SEARCH("internet",I1873))+ISNUMBER(SEARCH("computer",I1873))+ISNUMBER(SEARCH("saas",I1873))+ISNUMBER(SEARCH("fintech",I1873))+ISNUMBER(SEARCH("information services",I1873))+ISNUMBER(SEARCH("telecommunications",I1873))&gt;0,'Configuración'!$B$27,'Configuración'!$B$28))</f>
        <v>4</v>
      </c>
      <c r="U1873" s="25">
        <f>IF(B1873="","",IF(ISNUMBER(SEARCH("CEO",C1873))+ISNUMBER(SEARCH("Founder",C1873))+ISNUMBER(SEARCH("Owner",C1873))+ISNUMBER(SEARCH("Dueño",C1873))+ISNUMBER(SEARCH("Director General",C1873))+ISNUMBER(SEARCH("Presidente",C1873))+ISNUMBER(SEARCH("President",C1873))&gt;0,'Configuración'!$B$31,IF(ISNUMBER(SEARCH("CMO",C1873))+ISNUMBER(SEARCH("Chief Marketing",C1873))+ISNUMBER(SEARCH("VP Marketing",C1873))+ISNUMBER(SEARCH("Director de Marketing",C1873))+ISNUMBER(SEARCH("Director Marketing",C1873))+ISNUMBER(SEARCH("Head of Marketing",C1873))+ISNUMBER(SEARCH("Head Marketing",C1873))&gt;0,'Configuración'!$B$32,IF(ISNUMBER(SEARCH("Marketing Manager",C1873))+ISNUMBER(SEARCH("Gerente de Marketing",C1873))+ISNUMBER(SEARCH("Growth Manager",C1873))+ISNUMBER(SEARCH("Demand Gen",C1873))+ISNUMBER(SEARCH("Marketing Lead",C1873))&gt;0,'Configuración'!$B$33,IF(ISNUMBER(SEARCH("COO",C1873))+ISNUMBER(SEARCH("CFO",C1873))+ISNUMBER(SEARCH("CTO",C1873))+ISNUMBER(SEARCH("Chief Operating",C1873))+ISNUMBER(SEARCH("Chief Financial",C1873))+ISNUMBER(SEARCH("Gerente General",C1873))+ISNUMBER(SEARCH("General Manager",C1873))&gt;0,'Configuración'!$B$34,'Configuración'!$B$35)))))</f>
        <v>4</v>
      </c>
      <c r="V1873" s="38">
        <f>IF(B1873="","",IF(K1873="Sí",'Configuración'!$B$5,0)+IF(L1873="Semanal",'Configuración'!$B$6,IF(L1873="Mensual",'Configuración'!$B$7,0))+IF(M1873="Sí",'Configuración'!$B$8,0)+IF(N1873="Sí",'Configuración'!$B$9,0)+IF(O1873="Sí",'Configuración'!$B$10,0)+IF(P1873="Sí",'Configuración'!$B$11,0)+IF(Q1873="Sí",'Configuración'!$B$12,0)+S1873+T1873+U1873)</f>
        <v>12</v>
      </c>
      <c r="W1873" s="39" t="str">
        <f>IF(B1873="","",IF(V1873&gt;='Configuración'!$B$19,"A",IF(V1873&gt;='Configuración'!$B$20,"B",IF(V1873&gt;='Configuración'!$B$21,"C","Descarte"))))</f>
        <v>Descarte</v>
      </c>
    </row>
    <row r="1874" ht="15.75" customHeight="1">
      <c r="A1874" s="34">
        <f t="shared" si="1"/>
        <v>1872</v>
      </c>
      <c r="B1874" s="29" t="s">
        <v>578</v>
      </c>
      <c r="C1874" s="29" t="s">
        <v>146</v>
      </c>
      <c r="D1874" s="29" t="s">
        <v>10376</v>
      </c>
      <c r="E1874" s="29" t="s">
        <v>10377</v>
      </c>
      <c r="F1874" s="30" t="s">
        <v>10378</v>
      </c>
      <c r="G1874" s="30" t="s">
        <v>10379</v>
      </c>
      <c r="H1874" s="42" t="s">
        <v>10380</v>
      </c>
      <c r="I1874" s="29" t="s">
        <v>3820</v>
      </c>
      <c r="J1874" s="31">
        <v>11.0</v>
      </c>
      <c r="K1874" s="35"/>
      <c r="L1874" s="35"/>
      <c r="M1874" s="35"/>
      <c r="N1874" s="35"/>
      <c r="O1874" s="35"/>
      <c r="P1874" s="35"/>
      <c r="Q1874" s="35"/>
      <c r="R1874" s="35"/>
      <c r="S1874" s="37">
        <f>IF(B1874="","",IF(ISNUMBER(J1874),IF(J1874&lt;=10,'Configuración'!$B$23,IF(J1874&lt;=50,'Configuración'!$B$24,IF(J1874&lt;=200,'Configuración'!$B$25,0))),0))</f>
        <v>4</v>
      </c>
      <c r="T1874" s="37">
        <f>IF(B1874="","",IF(ISNUMBER(SEARCH("information technology",I1874))+ISNUMBER(SEARCH("software",I1874))+ISNUMBER(SEARCH("internet",I1874))+ISNUMBER(SEARCH("computer",I1874))+ISNUMBER(SEARCH("saas",I1874))+ISNUMBER(SEARCH("fintech",I1874))+ISNUMBER(SEARCH("information services",I1874))+ISNUMBER(SEARCH("telecommunications",I1874))&gt;0,'Configuración'!$B$27,'Configuración'!$B$28))</f>
        <v>4</v>
      </c>
      <c r="U1874" s="25">
        <f>IF(B1874="","",IF(ISNUMBER(SEARCH("CEO",C1874))+ISNUMBER(SEARCH("Founder",C1874))+ISNUMBER(SEARCH("Owner",C1874))+ISNUMBER(SEARCH("Dueño",C1874))+ISNUMBER(SEARCH("Director General",C1874))+ISNUMBER(SEARCH("Presidente",C1874))+ISNUMBER(SEARCH("President",C1874))&gt;0,'Configuración'!$B$31,IF(ISNUMBER(SEARCH("CMO",C1874))+ISNUMBER(SEARCH("Chief Marketing",C1874))+ISNUMBER(SEARCH("VP Marketing",C1874))+ISNUMBER(SEARCH("Director de Marketing",C1874))+ISNUMBER(SEARCH("Director Marketing",C1874))+ISNUMBER(SEARCH("Head of Marketing",C1874))+ISNUMBER(SEARCH("Head Marketing",C1874))&gt;0,'Configuración'!$B$32,IF(ISNUMBER(SEARCH("Marketing Manager",C1874))+ISNUMBER(SEARCH("Gerente de Marketing",C1874))+ISNUMBER(SEARCH("Growth Manager",C1874))+ISNUMBER(SEARCH("Demand Gen",C1874))+ISNUMBER(SEARCH("Marketing Lead",C1874))&gt;0,'Configuración'!$B$33,IF(ISNUMBER(SEARCH("COO",C1874))+ISNUMBER(SEARCH("CFO",C1874))+ISNUMBER(SEARCH("CTO",C1874))+ISNUMBER(SEARCH("Chief Operating",C1874))+ISNUMBER(SEARCH("Chief Financial",C1874))+ISNUMBER(SEARCH("Gerente General",C1874))+ISNUMBER(SEARCH("General Manager",C1874))&gt;0,'Configuración'!$B$34,'Configuración'!$B$35)))))</f>
        <v>0</v>
      </c>
      <c r="V1874" s="38">
        <f>IF(B1874="","",IF(K1874="Sí",'Configuración'!$B$5,0)+IF(L1874="Semanal",'Configuración'!$B$6,IF(L1874="Mensual",'Configuración'!$B$7,0))+IF(M1874="Sí",'Configuración'!$B$8,0)+IF(N1874="Sí",'Configuración'!$B$9,0)+IF(O1874="Sí",'Configuración'!$B$10,0)+IF(P1874="Sí",'Configuración'!$B$11,0)+IF(Q1874="Sí",'Configuración'!$B$12,0)+S1874+T1874+U1874)</f>
        <v>8</v>
      </c>
      <c r="W1874" s="39" t="str">
        <f>IF(B1874="","",IF(V1874&gt;='Configuración'!$B$19,"A",IF(V1874&gt;='Configuración'!$B$20,"B",IF(V1874&gt;='Configuración'!$B$21,"C","Descarte"))))</f>
        <v>Descarte</v>
      </c>
    </row>
    <row r="1875" ht="15.75" customHeight="1">
      <c r="A1875" s="34">
        <f t="shared" si="1"/>
        <v>1873</v>
      </c>
      <c r="B1875" s="29" t="s">
        <v>181</v>
      </c>
      <c r="C1875" s="29" t="s">
        <v>597</v>
      </c>
      <c r="D1875" s="40" t="s">
        <v>10381</v>
      </c>
      <c r="E1875" s="29" t="s">
        <v>10382</v>
      </c>
      <c r="F1875" s="30" t="s">
        <v>10383</v>
      </c>
      <c r="G1875" s="30" t="s">
        <v>10384</v>
      </c>
      <c r="H1875" s="42" t="s">
        <v>10385</v>
      </c>
      <c r="I1875" s="29" t="s">
        <v>127</v>
      </c>
      <c r="J1875" s="31">
        <v>5.0</v>
      </c>
      <c r="K1875" s="35"/>
      <c r="L1875" s="35"/>
      <c r="M1875" s="35"/>
      <c r="N1875" s="35"/>
      <c r="O1875" s="35"/>
      <c r="P1875" s="35"/>
      <c r="Q1875" s="35"/>
      <c r="R1875" s="35"/>
      <c r="S1875" s="37">
        <f>IF(B1875="","",IF(ISNUMBER(J1875),IF(J1875&lt;=10,'Configuración'!$B$23,IF(J1875&lt;=50,'Configuración'!$B$24,IF(J1875&lt;=200,'Configuración'!$B$25,0))),0))</f>
        <v>12</v>
      </c>
      <c r="T1875" s="37">
        <f>IF(B1875="","",IF(ISNUMBER(SEARCH("information technology",I1875))+ISNUMBER(SEARCH("software",I1875))+ISNUMBER(SEARCH("internet",I1875))+ISNUMBER(SEARCH("computer",I1875))+ISNUMBER(SEARCH("saas",I1875))+ISNUMBER(SEARCH("fintech",I1875))+ISNUMBER(SEARCH("information services",I1875))+ISNUMBER(SEARCH("telecommunications",I1875))&gt;0,'Configuración'!$B$27,'Configuración'!$B$28))</f>
        <v>12</v>
      </c>
      <c r="U1875" s="25">
        <f>IF(B1875="","",IF(ISNUMBER(SEARCH("CEO",C1875))+ISNUMBER(SEARCH("Founder",C1875))+ISNUMBER(SEARCH("Owner",C1875))+ISNUMBER(SEARCH("Dueño",C1875))+ISNUMBER(SEARCH("Director General",C1875))+ISNUMBER(SEARCH("Presidente",C1875))+ISNUMBER(SEARCH("President",C1875))&gt;0,'Configuración'!$B$31,IF(ISNUMBER(SEARCH("CMO",C1875))+ISNUMBER(SEARCH("Chief Marketing",C1875))+ISNUMBER(SEARCH("VP Marketing",C1875))+ISNUMBER(SEARCH("Director de Marketing",C1875))+ISNUMBER(SEARCH("Director Marketing",C1875))+ISNUMBER(SEARCH("Head of Marketing",C1875))+ISNUMBER(SEARCH("Head Marketing",C1875))&gt;0,'Configuración'!$B$32,IF(ISNUMBER(SEARCH("Marketing Manager",C1875))+ISNUMBER(SEARCH("Gerente de Marketing",C1875))+ISNUMBER(SEARCH("Growth Manager",C1875))+ISNUMBER(SEARCH("Demand Gen",C1875))+ISNUMBER(SEARCH("Marketing Lead",C1875))&gt;0,'Configuración'!$B$33,IF(ISNUMBER(SEARCH("COO",C1875))+ISNUMBER(SEARCH("CFO",C1875))+ISNUMBER(SEARCH("CTO",C1875))+ISNUMBER(SEARCH("Chief Operating",C1875))+ISNUMBER(SEARCH("Chief Financial",C1875))+ISNUMBER(SEARCH("Gerente General",C1875))+ISNUMBER(SEARCH("General Manager",C1875))&gt;0,'Configuración'!$B$34,'Configuración'!$B$35)))))</f>
        <v>12</v>
      </c>
      <c r="V1875" s="38">
        <f>IF(B1875="","",IF(K1875="Sí",'Configuración'!$B$5,0)+IF(L1875="Semanal",'Configuración'!$B$6,IF(L1875="Mensual",'Configuración'!$B$7,0))+IF(M1875="Sí",'Configuración'!$B$8,0)+IF(N1875="Sí",'Configuración'!$B$9,0)+IF(O1875="Sí",'Configuración'!$B$10,0)+IF(P1875="Sí",'Configuración'!$B$11,0)+IF(Q1875="Sí",'Configuración'!$B$12,0)+S1875+T1875+U1875)</f>
        <v>36</v>
      </c>
      <c r="W1875" s="39" t="str">
        <f>IF(B1875="","",IF(V1875&gt;='Configuración'!$B$19,"A",IF(V1875&gt;='Configuración'!$B$20,"B",IF(V1875&gt;='Configuración'!$B$21,"C","Descarte"))))</f>
        <v>C</v>
      </c>
    </row>
    <row r="1876" ht="15.75" customHeight="1">
      <c r="A1876" s="34">
        <f t="shared" si="1"/>
        <v>1874</v>
      </c>
      <c r="B1876" s="29" t="s">
        <v>10386</v>
      </c>
      <c r="C1876" s="29" t="s">
        <v>763</v>
      </c>
      <c r="D1876" s="30" t="s">
        <v>10387</v>
      </c>
      <c r="E1876" s="29" t="s">
        <v>10388</v>
      </c>
      <c r="F1876" s="30" t="s">
        <v>10389</v>
      </c>
      <c r="G1876" s="30" t="s">
        <v>10390</v>
      </c>
      <c r="H1876" s="42" t="s">
        <v>10391</v>
      </c>
      <c r="I1876" s="29" t="s">
        <v>137</v>
      </c>
      <c r="J1876" s="31">
        <v>5.0</v>
      </c>
      <c r="K1876" s="35"/>
      <c r="L1876" s="35"/>
      <c r="M1876" s="35"/>
      <c r="N1876" s="35"/>
      <c r="O1876" s="35"/>
      <c r="P1876" s="35"/>
      <c r="Q1876" s="35"/>
      <c r="R1876" s="35"/>
      <c r="S1876" s="37">
        <f>IF(B1876="","",IF(ISNUMBER(J1876),IF(J1876&lt;=10,'Configuración'!$B$23,IF(J1876&lt;=50,'Configuración'!$B$24,IF(J1876&lt;=200,'Configuración'!$B$25,0))),0))</f>
        <v>12</v>
      </c>
      <c r="T1876" s="37">
        <f>IF(B1876="","",IF(ISNUMBER(SEARCH("information technology",I1876))+ISNUMBER(SEARCH("software",I1876))+ISNUMBER(SEARCH("internet",I1876))+ISNUMBER(SEARCH("computer",I1876))+ISNUMBER(SEARCH("saas",I1876))+ISNUMBER(SEARCH("fintech",I1876))+ISNUMBER(SEARCH("information services",I1876))+ISNUMBER(SEARCH("telecommunications",I1876))&gt;0,'Configuración'!$B$27,'Configuración'!$B$28))</f>
        <v>4</v>
      </c>
      <c r="U1876" s="25">
        <f>IF(B1876="","",IF(ISNUMBER(SEARCH("CEO",C1876))+ISNUMBER(SEARCH("Founder",C1876))+ISNUMBER(SEARCH("Owner",C1876))+ISNUMBER(SEARCH("Dueño",C1876))+ISNUMBER(SEARCH("Director General",C1876))+ISNUMBER(SEARCH("Presidente",C1876))+ISNUMBER(SEARCH("President",C1876))&gt;0,'Configuración'!$B$31,IF(ISNUMBER(SEARCH("CMO",C1876))+ISNUMBER(SEARCH("Chief Marketing",C1876))+ISNUMBER(SEARCH("VP Marketing",C1876))+ISNUMBER(SEARCH("Director de Marketing",C1876))+ISNUMBER(SEARCH("Director Marketing",C1876))+ISNUMBER(SEARCH("Head of Marketing",C1876))+ISNUMBER(SEARCH("Head Marketing",C1876))&gt;0,'Configuración'!$B$32,IF(ISNUMBER(SEARCH("Marketing Manager",C1876))+ISNUMBER(SEARCH("Gerente de Marketing",C1876))+ISNUMBER(SEARCH("Growth Manager",C1876))+ISNUMBER(SEARCH("Demand Gen",C1876))+ISNUMBER(SEARCH("Marketing Lead",C1876))&gt;0,'Configuración'!$B$33,IF(ISNUMBER(SEARCH("COO",C1876))+ISNUMBER(SEARCH("CFO",C1876))+ISNUMBER(SEARCH("CTO",C1876))+ISNUMBER(SEARCH("Chief Operating",C1876))+ISNUMBER(SEARCH("Chief Financial",C1876))+ISNUMBER(SEARCH("Gerente General",C1876))+ISNUMBER(SEARCH("General Manager",C1876))&gt;0,'Configuración'!$B$34,'Configuración'!$B$35)))))</f>
        <v>12</v>
      </c>
      <c r="V1876" s="38">
        <f>IF(B1876="","",IF(K1876="Sí",'Configuración'!$B$5,0)+IF(L1876="Semanal",'Configuración'!$B$6,IF(L1876="Mensual",'Configuración'!$B$7,0))+IF(M1876="Sí",'Configuración'!$B$8,0)+IF(N1876="Sí",'Configuración'!$B$9,0)+IF(O1876="Sí",'Configuración'!$B$10,0)+IF(P1876="Sí",'Configuración'!$B$11,0)+IF(Q1876="Sí",'Configuración'!$B$12,0)+S1876+T1876+U1876)</f>
        <v>28</v>
      </c>
      <c r="W1876" s="39" t="str">
        <f>IF(B1876="","",IF(V1876&gt;='Configuración'!$B$19,"A",IF(V1876&gt;='Configuración'!$B$20,"B",IF(V1876&gt;='Configuración'!$B$21,"C","Descarte"))))</f>
        <v>C</v>
      </c>
    </row>
    <row r="1877" ht="15.75" customHeight="1">
      <c r="A1877" s="34">
        <f t="shared" si="1"/>
        <v>1875</v>
      </c>
      <c r="B1877" s="29" t="s">
        <v>10392</v>
      </c>
      <c r="C1877" s="29" t="s">
        <v>10393</v>
      </c>
      <c r="D1877" s="29" t="s">
        <v>10394</v>
      </c>
      <c r="E1877" s="29" t="s">
        <v>10395</v>
      </c>
      <c r="F1877" s="30" t="s">
        <v>10396</v>
      </c>
      <c r="G1877" s="30" t="s">
        <v>10397</v>
      </c>
      <c r="H1877" s="42" t="s">
        <v>10398</v>
      </c>
      <c r="I1877" s="29" t="s">
        <v>350</v>
      </c>
      <c r="J1877" s="31">
        <v>14.0</v>
      </c>
      <c r="K1877" s="35"/>
      <c r="L1877" s="35"/>
      <c r="M1877" s="35"/>
      <c r="N1877" s="35"/>
      <c r="O1877" s="35"/>
      <c r="P1877" s="35"/>
      <c r="Q1877" s="35"/>
      <c r="R1877" s="35"/>
      <c r="S1877" s="37">
        <f>IF(B1877="","",IF(ISNUMBER(J1877),IF(J1877&lt;=10,'Configuración'!$B$23,IF(J1877&lt;=50,'Configuración'!$B$24,IF(J1877&lt;=200,'Configuración'!$B$25,0))),0))</f>
        <v>4</v>
      </c>
      <c r="T1877" s="37">
        <f>IF(B1877="","",IF(ISNUMBER(SEARCH("information technology",I1877))+ISNUMBER(SEARCH("software",I1877))+ISNUMBER(SEARCH("internet",I1877))+ISNUMBER(SEARCH("computer",I1877))+ISNUMBER(SEARCH("saas",I1877))+ISNUMBER(SEARCH("fintech",I1877))+ISNUMBER(SEARCH("information services",I1877))+ISNUMBER(SEARCH("telecommunications",I1877))&gt;0,'Configuración'!$B$27,'Configuración'!$B$28))</f>
        <v>4</v>
      </c>
      <c r="U1877" s="25">
        <f>IF(B1877="","",IF(ISNUMBER(SEARCH("CEO",C1877))+ISNUMBER(SEARCH("Founder",C1877))+ISNUMBER(SEARCH("Owner",C1877))+ISNUMBER(SEARCH("Dueño",C1877))+ISNUMBER(SEARCH("Director General",C1877))+ISNUMBER(SEARCH("Presidente",C1877))+ISNUMBER(SEARCH("President",C1877))&gt;0,'Configuración'!$B$31,IF(ISNUMBER(SEARCH("CMO",C1877))+ISNUMBER(SEARCH("Chief Marketing",C1877))+ISNUMBER(SEARCH("VP Marketing",C1877))+ISNUMBER(SEARCH("Director de Marketing",C1877))+ISNUMBER(SEARCH("Director Marketing",C1877))+ISNUMBER(SEARCH("Head of Marketing",C1877))+ISNUMBER(SEARCH("Head Marketing",C1877))&gt;0,'Configuración'!$B$32,IF(ISNUMBER(SEARCH("Marketing Manager",C1877))+ISNUMBER(SEARCH("Gerente de Marketing",C1877))+ISNUMBER(SEARCH("Growth Manager",C1877))+ISNUMBER(SEARCH("Demand Gen",C1877))+ISNUMBER(SEARCH("Marketing Lead",C1877))&gt;0,'Configuración'!$B$33,IF(ISNUMBER(SEARCH("COO",C1877))+ISNUMBER(SEARCH("CFO",C1877))+ISNUMBER(SEARCH("CTO",C1877))+ISNUMBER(SEARCH("Chief Operating",C1877))+ISNUMBER(SEARCH("Chief Financial",C1877))+ISNUMBER(SEARCH("Gerente General",C1877))+ISNUMBER(SEARCH("General Manager",C1877))&gt;0,'Configuración'!$B$34,'Configuración'!$B$35)))))</f>
        <v>12</v>
      </c>
      <c r="V1877" s="38">
        <f>IF(B1877="","",IF(K1877="Sí",'Configuración'!$B$5,0)+IF(L1877="Semanal",'Configuración'!$B$6,IF(L1877="Mensual",'Configuración'!$B$7,0))+IF(M1877="Sí",'Configuración'!$B$8,0)+IF(N1877="Sí",'Configuración'!$B$9,0)+IF(O1877="Sí",'Configuración'!$B$10,0)+IF(P1877="Sí",'Configuración'!$B$11,0)+IF(Q1877="Sí",'Configuración'!$B$12,0)+S1877+T1877+U1877)</f>
        <v>20</v>
      </c>
      <c r="W1877" s="39" t="str">
        <f>IF(B1877="","",IF(V1877&gt;='Configuración'!$B$19,"A",IF(V1877&gt;='Configuración'!$B$20,"B",IF(V1877&gt;='Configuración'!$B$21,"C","Descarte"))))</f>
        <v>Descarte</v>
      </c>
    </row>
    <row r="1878" ht="15.75" customHeight="1">
      <c r="A1878" s="34">
        <f t="shared" si="1"/>
        <v>1876</v>
      </c>
      <c r="B1878" s="29" t="s">
        <v>166</v>
      </c>
      <c r="C1878" s="29" t="s">
        <v>131</v>
      </c>
      <c r="D1878" s="29" t="s">
        <v>10399</v>
      </c>
      <c r="E1878" s="29" t="s">
        <v>10400</v>
      </c>
      <c r="F1878" s="30" t="s">
        <v>10401</v>
      </c>
      <c r="G1878" s="30" t="s">
        <v>10402</v>
      </c>
      <c r="H1878" s="42" t="s">
        <v>10403</v>
      </c>
      <c r="I1878" s="29" t="s">
        <v>188</v>
      </c>
      <c r="J1878" s="31">
        <v>1.0</v>
      </c>
      <c r="K1878" s="35"/>
      <c r="L1878" s="35"/>
      <c r="M1878" s="35"/>
      <c r="N1878" s="35"/>
      <c r="O1878" s="35"/>
      <c r="P1878" s="35"/>
      <c r="Q1878" s="35"/>
      <c r="R1878" s="35"/>
      <c r="S1878" s="37">
        <f>IF(B1878="","",IF(ISNUMBER(J1878),IF(J1878&lt;=10,'Configuración'!$B$23,IF(J1878&lt;=50,'Configuración'!$B$24,IF(J1878&lt;=200,'Configuración'!$B$25,0))),0))</f>
        <v>12</v>
      </c>
      <c r="T1878" s="37">
        <f>IF(B1878="","",IF(ISNUMBER(SEARCH("information technology",I1878))+ISNUMBER(SEARCH("software",I1878))+ISNUMBER(SEARCH("internet",I1878))+ISNUMBER(SEARCH("computer",I1878))+ISNUMBER(SEARCH("saas",I1878))+ISNUMBER(SEARCH("fintech",I1878))+ISNUMBER(SEARCH("information services",I1878))+ISNUMBER(SEARCH("telecommunications",I1878))&gt;0,'Configuración'!$B$27,'Configuración'!$B$28))</f>
        <v>4</v>
      </c>
      <c r="U1878" s="25">
        <f>IF(B1878="","",IF(ISNUMBER(SEARCH("CEO",C1878))+ISNUMBER(SEARCH("Founder",C1878))+ISNUMBER(SEARCH("Owner",C1878))+ISNUMBER(SEARCH("Dueño",C1878))+ISNUMBER(SEARCH("Director General",C1878))+ISNUMBER(SEARCH("Presidente",C1878))+ISNUMBER(SEARCH("President",C1878))&gt;0,'Configuración'!$B$31,IF(ISNUMBER(SEARCH("CMO",C1878))+ISNUMBER(SEARCH("Chief Marketing",C1878))+ISNUMBER(SEARCH("VP Marketing",C1878))+ISNUMBER(SEARCH("Director de Marketing",C1878))+ISNUMBER(SEARCH("Director Marketing",C1878))+ISNUMBER(SEARCH("Head of Marketing",C1878))+ISNUMBER(SEARCH("Head Marketing",C1878))&gt;0,'Configuración'!$B$32,IF(ISNUMBER(SEARCH("Marketing Manager",C1878))+ISNUMBER(SEARCH("Gerente de Marketing",C1878))+ISNUMBER(SEARCH("Growth Manager",C1878))+ISNUMBER(SEARCH("Demand Gen",C1878))+ISNUMBER(SEARCH("Marketing Lead",C1878))&gt;0,'Configuración'!$B$33,IF(ISNUMBER(SEARCH("COO",C1878))+ISNUMBER(SEARCH("CFO",C1878))+ISNUMBER(SEARCH("CTO",C1878))+ISNUMBER(SEARCH("Chief Operating",C1878))+ISNUMBER(SEARCH("Chief Financial",C1878))+ISNUMBER(SEARCH("Gerente General",C1878))+ISNUMBER(SEARCH("General Manager",C1878))&gt;0,'Configuración'!$B$34,'Configuración'!$B$35)))))</f>
        <v>12</v>
      </c>
      <c r="V1878" s="38">
        <f>IF(B1878="","",IF(K1878="Sí",'Configuración'!$B$5,0)+IF(L1878="Semanal",'Configuración'!$B$6,IF(L1878="Mensual",'Configuración'!$B$7,0))+IF(M1878="Sí",'Configuración'!$B$8,0)+IF(N1878="Sí",'Configuración'!$B$9,0)+IF(O1878="Sí",'Configuración'!$B$10,0)+IF(P1878="Sí",'Configuración'!$B$11,0)+IF(Q1878="Sí",'Configuración'!$B$12,0)+S1878+T1878+U1878)</f>
        <v>28</v>
      </c>
      <c r="W1878" s="39" t="str">
        <f>IF(B1878="","",IF(V1878&gt;='Configuración'!$B$19,"A",IF(V1878&gt;='Configuración'!$B$20,"B",IF(V1878&gt;='Configuración'!$B$21,"C","Descarte"))))</f>
        <v>C</v>
      </c>
    </row>
    <row r="1879" ht="15.75" customHeight="1">
      <c r="A1879" s="34">
        <f t="shared" si="1"/>
        <v>1877</v>
      </c>
      <c r="B1879" s="29" t="s">
        <v>10404</v>
      </c>
      <c r="C1879" s="29" t="s">
        <v>251</v>
      </c>
      <c r="D1879" s="29" t="s">
        <v>10405</v>
      </c>
      <c r="E1879" s="29" t="s">
        <v>10406</v>
      </c>
      <c r="F1879" s="30" t="s">
        <v>10407</v>
      </c>
      <c r="G1879" s="30" t="s">
        <v>10408</v>
      </c>
      <c r="H1879" s="42" t="s">
        <v>10409</v>
      </c>
      <c r="I1879" s="29" t="s">
        <v>188</v>
      </c>
      <c r="J1879" s="31">
        <v>1.0</v>
      </c>
      <c r="K1879" s="35"/>
      <c r="L1879" s="35"/>
      <c r="M1879" s="35"/>
      <c r="N1879" s="35"/>
      <c r="O1879" s="35"/>
      <c r="P1879" s="35"/>
      <c r="Q1879" s="35"/>
      <c r="R1879" s="35"/>
      <c r="S1879" s="37">
        <f>IF(B1879="","",IF(ISNUMBER(J1879),IF(J1879&lt;=10,'Configuración'!$B$23,IF(J1879&lt;=50,'Configuración'!$B$24,IF(J1879&lt;=200,'Configuración'!$B$25,0))),0))</f>
        <v>12</v>
      </c>
      <c r="T1879" s="37">
        <f>IF(B1879="","",IF(ISNUMBER(SEARCH("information technology",I1879))+ISNUMBER(SEARCH("software",I1879))+ISNUMBER(SEARCH("internet",I1879))+ISNUMBER(SEARCH("computer",I1879))+ISNUMBER(SEARCH("saas",I1879))+ISNUMBER(SEARCH("fintech",I1879))+ISNUMBER(SEARCH("information services",I1879))+ISNUMBER(SEARCH("telecommunications",I1879))&gt;0,'Configuración'!$B$27,'Configuración'!$B$28))</f>
        <v>4</v>
      </c>
      <c r="U1879" s="25">
        <f>IF(B1879="","",IF(ISNUMBER(SEARCH("CEO",C1879))+ISNUMBER(SEARCH("Founder",C1879))+ISNUMBER(SEARCH("Owner",C1879))+ISNUMBER(SEARCH("Dueño",C1879))+ISNUMBER(SEARCH("Director General",C1879))+ISNUMBER(SEARCH("Presidente",C1879))+ISNUMBER(SEARCH("President",C1879))&gt;0,'Configuración'!$B$31,IF(ISNUMBER(SEARCH("CMO",C1879))+ISNUMBER(SEARCH("Chief Marketing",C1879))+ISNUMBER(SEARCH("VP Marketing",C1879))+ISNUMBER(SEARCH("Director de Marketing",C1879))+ISNUMBER(SEARCH("Director Marketing",C1879))+ISNUMBER(SEARCH("Head of Marketing",C1879))+ISNUMBER(SEARCH("Head Marketing",C1879))&gt;0,'Configuración'!$B$32,IF(ISNUMBER(SEARCH("Marketing Manager",C1879))+ISNUMBER(SEARCH("Gerente de Marketing",C1879))+ISNUMBER(SEARCH("Growth Manager",C1879))+ISNUMBER(SEARCH("Demand Gen",C1879))+ISNUMBER(SEARCH("Marketing Lead",C1879))&gt;0,'Configuración'!$B$33,IF(ISNUMBER(SEARCH("COO",C1879))+ISNUMBER(SEARCH("CFO",C1879))+ISNUMBER(SEARCH("CTO",C1879))+ISNUMBER(SEARCH("Chief Operating",C1879))+ISNUMBER(SEARCH("Chief Financial",C1879))+ISNUMBER(SEARCH("Gerente General",C1879))+ISNUMBER(SEARCH("General Manager",C1879))&gt;0,'Configuración'!$B$34,'Configuración'!$B$35)))))</f>
        <v>12</v>
      </c>
      <c r="V1879" s="38">
        <f>IF(B1879="","",IF(K1879="Sí",'Configuración'!$B$5,0)+IF(L1879="Semanal",'Configuración'!$B$6,IF(L1879="Mensual",'Configuración'!$B$7,0))+IF(M1879="Sí",'Configuración'!$B$8,0)+IF(N1879="Sí",'Configuración'!$B$9,0)+IF(O1879="Sí",'Configuración'!$B$10,0)+IF(P1879="Sí",'Configuración'!$B$11,0)+IF(Q1879="Sí",'Configuración'!$B$12,0)+S1879+T1879+U1879)</f>
        <v>28</v>
      </c>
      <c r="W1879" s="39" t="str">
        <f>IF(B1879="","",IF(V1879&gt;='Configuración'!$B$19,"A",IF(V1879&gt;='Configuración'!$B$20,"B",IF(V1879&gt;='Configuración'!$B$21,"C","Descarte"))))</f>
        <v>C</v>
      </c>
    </row>
    <row r="1880" ht="15.75" customHeight="1">
      <c r="A1880" s="34">
        <f t="shared" si="1"/>
        <v>1878</v>
      </c>
      <c r="B1880" s="29" t="s">
        <v>4122</v>
      </c>
      <c r="C1880" s="29" t="s">
        <v>9346</v>
      </c>
      <c r="D1880" s="29" t="s">
        <v>10410</v>
      </c>
      <c r="E1880" s="29" t="s">
        <v>10411</v>
      </c>
      <c r="F1880" s="30" t="s">
        <v>10412</v>
      </c>
      <c r="G1880" s="30" t="s">
        <v>10413</v>
      </c>
      <c r="H1880" s="42" t="s">
        <v>10414</v>
      </c>
      <c r="I1880" s="29" t="s">
        <v>127</v>
      </c>
      <c r="J1880" s="31">
        <v>1.0</v>
      </c>
      <c r="K1880" s="35"/>
      <c r="L1880" s="35"/>
      <c r="M1880" s="35"/>
      <c r="N1880" s="35"/>
      <c r="O1880" s="35"/>
      <c r="P1880" s="35"/>
      <c r="Q1880" s="35"/>
      <c r="R1880" s="35"/>
      <c r="S1880" s="37">
        <f>IF(B1880="","",IF(ISNUMBER(J1880),IF(J1880&lt;=10,'Configuración'!$B$23,IF(J1880&lt;=50,'Configuración'!$B$24,IF(J1880&lt;=200,'Configuración'!$B$25,0))),0))</f>
        <v>12</v>
      </c>
      <c r="T1880" s="37">
        <f>IF(B1880="","",IF(ISNUMBER(SEARCH("information technology",I1880))+ISNUMBER(SEARCH("software",I1880))+ISNUMBER(SEARCH("internet",I1880))+ISNUMBER(SEARCH("computer",I1880))+ISNUMBER(SEARCH("saas",I1880))+ISNUMBER(SEARCH("fintech",I1880))+ISNUMBER(SEARCH("information services",I1880))+ISNUMBER(SEARCH("telecommunications",I1880))&gt;0,'Configuración'!$B$27,'Configuración'!$B$28))</f>
        <v>12</v>
      </c>
      <c r="U1880" s="25">
        <f>IF(B1880="","",IF(ISNUMBER(SEARCH("CEO",C1880))+ISNUMBER(SEARCH("Founder",C1880))+ISNUMBER(SEARCH("Owner",C1880))+ISNUMBER(SEARCH("Dueño",C1880))+ISNUMBER(SEARCH("Director General",C1880))+ISNUMBER(SEARCH("Presidente",C1880))+ISNUMBER(SEARCH("President",C1880))&gt;0,'Configuración'!$B$31,IF(ISNUMBER(SEARCH("CMO",C1880))+ISNUMBER(SEARCH("Chief Marketing",C1880))+ISNUMBER(SEARCH("VP Marketing",C1880))+ISNUMBER(SEARCH("Director de Marketing",C1880))+ISNUMBER(SEARCH("Director Marketing",C1880))+ISNUMBER(SEARCH("Head of Marketing",C1880))+ISNUMBER(SEARCH("Head Marketing",C1880))&gt;0,'Configuración'!$B$32,IF(ISNUMBER(SEARCH("Marketing Manager",C1880))+ISNUMBER(SEARCH("Gerente de Marketing",C1880))+ISNUMBER(SEARCH("Growth Manager",C1880))+ISNUMBER(SEARCH("Demand Gen",C1880))+ISNUMBER(SEARCH("Marketing Lead",C1880))&gt;0,'Configuración'!$B$33,IF(ISNUMBER(SEARCH("COO",C1880))+ISNUMBER(SEARCH("CFO",C1880))+ISNUMBER(SEARCH("CTO",C1880))+ISNUMBER(SEARCH("Chief Operating",C1880))+ISNUMBER(SEARCH("Chief Financial",C1880))+ISNUMBER(SEARCH("Gerente General",C1880))+ISNUMBER(SEARCH("General Manager",C1880))&gt;0,'Configuración'!$B$34,'Configuración'!$B$35)))))</f>
        <v>12</v>
      </c>
      <c r="V1880" s="38">
        <f>IF(B1880="","",IF(K1880="Sí",'Configuración'!$B$5,0)+IF(L1880="Semanal",'Configuración'!$B$6,IF(L1880="Mensual",'Configuración'!$B$7,0))+IF(M1880="Sí",'Configuración'!$B$8,0)+IF(N1880="Sí",'Configuración'!$B$9,0)+IF(O1880="Sí",'Configuración'!$B$10,0)+IF(P1880="Sí",'Configuración'!$B$11,0)+IF(Q1880="Sí",'Configuración'!$B$12,0)+S1880+T1880+U1880)</f>
        <v>36</v>
      </c>
      <c r="W1880" s="39" t="str">
        <f>IF(B1880="","",IF(V1880&gt;='Configuración'!$B$19,"A",IF(V1880&gt;='Configuración'!$B$20,"B",IF(V1880&gt;='Configuración'!$B$21,"C","Descarte"))))</f>
        <v>C</v>
      </c>
    </row>
    <row r="1881" ht="15.75" customHeight="1">
      <c r="A1881" s="34">
        <f t="shared" si="1"/>
        <v>1879</v>
      </c>
      <c r="B1881" s="29" t="s">
        <v>10415</v>
      </c>
      <c r="C1881" s="29" t="s">
        <v>10416</v>
      </c>
      <c r="D1881" s="29" t="s">
        <v>10417</v>
      </c>
      <c r="E1881" s="29" t="s">
        <v>10418</v>
      </c>
      <c r="F1881" s="30" t="s">
        <v>10419</v>
      </c>
      <c r="G1881" s="30" t="s">
        <v>10420</v>
      </c>
      <c r="H1881" s="42" t="s">
        <v>10421</v>
      </c>
      <c r="I1881" s="29" t="s">
        <v>10422</v>
      </c>
      <c r="J1881" s="31">
        <v>5.0</v>
      </c>
      <c r="K1881" s="35"/>
      <c r="L1881" s="35"/>
      <c r="M1881" s="35"/>
      <c r="N1881" s="35"/>
      <c r="O1881" s="35"/>
      <c r="P1881" s="35"/>
      <c r="Q1881" s="35"/>
      <c r="R1881" s="35"/>
      <c r="S1881" s="37">
        <f>IF(B1881="","",IF(ISNUMBER(J1881),IF(J1881&lt;=10,'Configuración'!$B$23,IF(J1881&lt;=50,'Configuración'!$B$24,IF(J1881&lt;=200,'Configuración'!$B$25,0))),0))</f>
        <v>12</v>
      </c>
      <c r="T1881" s="37">
        <f>IF(B1881="","",IF(ISNUMBER(SEARCH("information technology",I1881))+ISNUMBER(SEARCH("software",I1881))+ISNUMBER(SEARCH("internet",I1881))+ISNUMBER(SEARCH("computer",I1881))+ISNUMBER(SEARCH("saas",I1881))+ISNUMBER(SEARCH("fintech",I1881))+ISNUMBER(SEARCH("information services",I1881))+ISNUMBER(SEARCH("telecommunications",I1881))&gt;0,'Configuración'!$B$27,'Configuración'!$B$28))</f>
        <v>4</v>
      </c>
      <c r="U1881" s="25">
        <f>IF(B1881="","",IF(ISNUMBER(SEARCH("CEO",C1881))+ISNUMBER(SEARCH("Founder",C1881))+ISNUMBER(SEARCH("Owner",C1881))+ISNUMBER(SEARCH("Dueño",C1881))+ISNUMBER(SEARCH("Director General",C1881))+ISNUMBER(SEARCH("Presidente",C1881))+ISNUMBER(SEARCH("President",C1881))&gt;0,'Configuración'!$B$31,IF(ISNUMBER(SEARCH("CMO",C1881))+ISNUMBER(SEARCH("Chief Marketing",C1881))+ISNUMBER(SEARCH("VP Marketing",C1881))+ISNUMBER(SEARCH("Director de Marketing",C1881))+ISNUMBER(SEARCH("Director Marketing",C1881))+ISNUMBER(SEARCH("Head of Marketing",C1881))+ISNUMBER(SEARCH("Head Marketing",C1881))&gt;0,'Configuración'!$B$32,IF(ISNUMBER(SEARCH("Marketing Manager",C1881))+ISNUMBER(SEARCH("Gerente de Marketing",C1881))+ISNUMBER(SEARCH("Growth Manager",C1881))+ISNUMBER(SEARCH("Demand Gen",C1881))+ISNUMBER(SEARCH("Marketing Lead",C1881))&gt;0,'Configuración'!$B$33,IF(ISNUMBER(SEARCH("COO",C1881))+ISNUMBER(SEARCH("CFO",C1881))+ISNUMBER(SEARCH("CTO",C1881))+ISNUMBER(SEARCH("Chief Operating",C1881))+ISNUMBER(SEARCH("Chief Financial",C1881))+ISNUMBER(SEARCH("Gerente General",C1881))+ISNUMBER(SEARCH("General Manager",C1881))&gt;0,'Configuración'!$B$34,'Configuración'!$B$35)))))</f>
        <v>4</v>
      </c>
      <c r="V1881" s="38">
        <f>IF(B1881="","",IF(K1881="Sí",'Configuración'!$B$5,0)+IF(L1881="Semanal",'Configuración'!$B$6,IF(L1881="Mensual",'Configuración'!$B$7,0))+IF(M1881="Sí",'Configuración'!$B$8,0)+IF(N1881="Sí",'Configuración'!$B$9,0)+IF(O1881="Sí",'Configuración'!$B$10,0)+IF(P1881="Sí",'Configuración'!$B$11,0)+IF(Q1881="Sí",'Configuración'!$B$12,0)+S1881+T1881+U1881)</f>
        <v>20</v>
      </c>
      <c r="W1881" s="39" t="str">
        <f>IF(B1881="","",IF(V1881&gt;='Configuración'!$B$19,"A",IF(V1881&gt;='Configuración'!$B$20,"B",IF(V1881&gt;='Configuración'!$B$21,"C","Descarte"))))</f>
        <v>Descarte</v>
      </c>
    </row>
    <row r="1882" ht="15.75" customHeight="1">
      <c r="A1882" s="34">
        <f t="shared" si="1"/>
        <v>1880</v>
      </c>
      <c r="B1882" s="29" t="s">
        <v>10423</v>
      </c>
      <c r="C1882" s="29" t="s">
        <v>10424</v>
      </c>
      <c r="D1882" s="29" t="s">
        <v>10425</v>
      </c>
      <c r="E1882" s="29" t="s">
        <v>10426</v>
      </c>
      <c r="F1882" s="30" t="s">
        <v>10427</v>
      </c>
      <c r="G1882" s="30" t="s">
        <v>10428</v>
      </c>
      <c r="H1882" s="42" t="s">
        <v>10429</v>
      </c>
      <c r="I1882" s="29" t="s">
        <v>450</v>
      </c>
      <c r="J1882" s="31">
        <v>23.0</v>
      </c>
      <c r="K1882" s="35"/>
      <c r="L1882" s="35"/>
      <c r="M1882" s="35"/>
      <c r="N1882" s="35"/>
      <c r="O1882" s="35"/>
      <c r="P1882" s="35"/>
      <c r="Q1882" s="35"/>
      <c r="R1882" s="35"/>
      <c r="S1882" s="37">
        <f>IF(B1882="","",IF(ISNUMBER(J1882),IF(J1882&lt;=10,'Configuración'!$B$23,IF(J1882&lt;=50,'Configuración'!$B$24,IF(J1882&lt;=200,'Configuración'!$B$25,0))),0))</f>
        <v>4</v>
      </c>
      <c r="T1882" s="37">
        <f>IF(B1882="","",IF(ISNUMBER(SEARCH("information technology",I1882))+ISNUMBER(SEARCH("software",I1882))+ISNUMBER(SEARCH("internet",I1882))+ISNUMBER(SEARCH("computer",I1882))+ISNUMBER(SEARCH("saas",I1882))+ISNUMBER(SEARCH("fintech",I1882))+ISNUMBER(SEARCH("information services",I1882))+ISNUMBER(SEARCH("telecommunications",I1882))&gt;0,'Configuración'!$B$27,'Configuración'!$B$28))</f>
        <v>12</v>
      </c>
      <c r="U1882" s="25">
        <f>IF(B1882="","",IF(ISNUMBER(SEARCH("CEO",C1882))+ISNUMBER(SEARCH("Founder",C1882))+ISNUMBER(SEARCH("Owner",C1882))+ISNUMBER(SEARCH("Dueño",C1882))+ISNUMBER(SEARCH("Director General",C1882))+ISNUMBER(SEARCH("Presidente",C1882))+ISNUMBER(SEARCH("President",C1882))&gt;0,'Configuración'!$B$31,IF(ISNUMBER(SEARCH("CMO",C1882))+ISNUMBER(SEARCH("Chief Marketing",C1882))+ISNUMBER(SEARCH("VP Marketing",C1882))+ISNUMBER(SEARCH("Director de Marketing",C1882))+ISNUMBER(SEARCH("Director Marketing",C1882))+ISNUMBER(SEARCH("Head of Marketing",C1882))+ISNUMBER(SEARCH("Head Marketing",C1882))&gt;0,'Configuración'!$B$32,IF(ISNUMBER(SEARCH("Marketing Manager",C1882))+ISNUMBER(SEARCH("Gerente de Marketing",C1882))+ISNUMBER(SEARCH("Growth Manager",C1882))+ISNUMBER(SEARCH("Demand Gen",C1882))+ISNUMBER(SEARCH("Marketing Lead",C1882))&gt;0,'Configuración'!$B$33,IF(ISNUMBER(SEARCH("COO",C1882))+ISNUMBER(SEARCH("CFO",C1882))+ISNUMBER(SEARCH("CTO",C1882))+ISNUMBER(SEARCH("Chief Operating",C1882))+ISNUMBER(SEARCH("Chief Financial",C1882))+ISNUMBER(SEARCH("Gerente General",C1882))+ISNUMBER(SEARCH("General Manager",C1882))&gt;0,'Configuración'!$B$34,'Configuración'!$B$35)))))</f>
        <v>12</v>
      </c>
      <c r="V1882" s="38">
        <f>IF(B1882="","",IF(K1882="Sí",'Configuración'!$B$5,0)+IF(L1882="Semanal",'Configuración'!$B$6,IF(L1882="Mensual",'Configuración'!$B$7,0))+IF(M1882="Sí",'Configuración'!$B$8,0)+IF(N1882="Sí",'Configuración'!$B$9,0)+IF(O1882="Sí",'Configuración'!$B$10,0)+IF(P1882="Sí",'Configuración'!$B$11,0)+IF(Q1882="Sí",'Configuración'!$B$12,0)+S1882+T1882+U1882)</f>
        <v>28</v>
      </c>
      <c r="W1882" s="39" t="str">
        <f>IF(B1882="","",IF(V1882&gt;='Configuración'!$B$19,"A",IF(V1882&gt;='Configuración'!$B$20,"B",IF(V1882&gt;='Configuración'!$B$21,"C","Descarte"))))</f>
        <v>C</v>
      </c>
    </row>
    <row r="1883" ht="15.75" customHeight="1">
      <c r="A1883" s="34">
        <f t="shared" si="1"/>
        <v>1881</v>
      </c>
      <c r="B1883" s="29" t="s">
        <v>610</v>
      </c>
      <c r="C1883" s="29" t="s">
        <v>10430</v>
      </c>
      <c r="D1883" s="29" t="s">
        <v>10431</v>
      </c>
      <c r="E1883" s="29" t="s">
        <v>10432</v>
      </c>
      <c r="F1883" s="30" t="s">
        <v>10433</v>
      </c>
      <c r="G1883" s="30" t="s">
        <v>10434</v>
      </c>
      <c r="H1883" s="42" t="s">
        <v>10435</v>
      </c>
      <c r="I1883" s="29" t="s">
        <v>508</v>
      </c>
      <c r="J1883" s="31">
        <v>1.0</v>
      </c>
      <c r="K1883" s="35"/>
      <c r="L1883" s="35"/>
      <c r="M1883" s="35"/>
      <c r="N1883" s="35"/>
      <c r="O1883" s="35"/>
      <c r="P1883" s="35"/>
      <c r="Q1883" s="35"/>
      <c r="R1883" s="35"/>
      <c r="S1883" s="37">
        <f>IF(B1883="","",IF(ISNUMBER(J1883),IF(J1883&lt;=10,'Configuración'!$B$23,IF(J1883&lt;=50,'Configuración'!$B$24,IF(J1883&lt;=200,'Configuración'!$B$25,0))),0))</f>
        <v>12</v>
      </c>
      <c r="T1883" s="37">
        <f>IF(B1883="","",IF(ISNUMBER(SEARCH("information technology",I1883))+ISNUMBER(SEARCH("software",I1883))+ISNUMBER(SEARCH("internet",I1883))+ISNUMBER(SEARCH("computer",I1883))+ISNUMBER(SEARCH("saas",I1883))+ISNUMBER(SEARCH("fintech",I1883))+ISNUMBER(SEARCH("information services",I1883))+ISNUMBER(SEARCH("telecommunications",I1883))&gt;0,'Configuración'!$B$27,'Configuración'!$B$28))</f>
        <v>4</v>
      </c>
      <c r="U1883" s="25">
        <f>IF(B1883="","",IF(ISNUMBER(SEARCH("CEO",C1883))+ISNUMBER(SEARCH("Founder",C1883))+ISNUMBER(SEARCH("Owner",C1883))+ISNUMBER(SEARCH("Dueño",C1883))+ISNUMBER(SEARCH("Director General",C1883))+ISNUMBER(SEARCH("Presidente",C1883))+ISNUMBER(SEARCH("President",C1883))&gt;0,'Configuración'!$B$31,IF(ISNUMBER(SEARCH("CMO",C1883))+ISNUMBER(SEARCH("Chief Marketing",C1883))+ISNUMBER(SEARCH("VP Marketing",C1883))+ISNUMBER(SEARCH("Director de Marketing",C1883))+ISNUMBER(SEARCH("Director Marketing",C1883))+ISNUMBER(SEARCH("Head of Marketing",C1883))+ISNUMBER(SEARCH("Head Marketing",C1883))&gt;0,'Configuración'!$B$32,IF(ISNUMBER(SEARCH("Marketing Manager",C1883))+ISNUMBER(SEARCH("Gerente de Marketing",C1883))+ISNUMBER(SEARCH("Growth Manager",C1883))+ISNUMBER(SEARCH("Demand Gen",C1883))+ISNUMBER(SEARCH("Marketing Lead",C1883))&gt;0,'Configuración'!$B$33,IF(ISNUMBER(SEARCH("COO",C1883))+ISNUMBER(SEARCH("CFO",C1883))+ISNUMBER(SEARCH("CTO",C1883))+ISNUMBER(SEARCH("Chief Operating",C1883))+ISNUMBER(SEARCH("Chief Financial",C1883))+ISNUMBER(SEARCH("Gerente General",C1883))+ISNUMBER(SEARCH("General Manager",C1883))&gt;0,'Configuración'!$B$34,'Configuración'!$B$35)))))</f>
        <v>12</v>
      </c>
      <c r="V1883" s="38">
        <f>IF(B1883="","",IF(K1883="Sí",'Configuración'!$B$5,0)+IF(L1883="Semanal",'Configuración'!$B$6,IF(L1883="Mensual",'Configuración'!$B$7,0))+IF(M1883="Sí",'Configuración'!$B$8,0)+IF(N1883="Sí",'Configuración'!$B$9,0)+IF(O1883="Sí",'Configuración'!$B$10,0)+IF(P1883="Sí",'Configuración'!$B$11,0)+IF(Q1883="Sí",'Configuración'!$B$12,0)+S1883+T1883+U1883)</f>
        <v>28</v>
      </c>
      <c r="W1883" s="39" t="str">
        <f>IF(B1883="","",IF(V1883&gt;='Configuración'!$B$19,"A",IF(V1883&gt;='Configuración'!$B$20,"B",IF(V1883&gt;='Configuración'!$B$21,"C","Descarte"))))</f>
        <v>C</v>
      </c>
    </row>
    <row r="1884" ht="15.75" customHeight="1">
      <c r="A1884" s="34">
        <f t="shared" si="1"/>
        <v>1882</v>
      </c>
      <c r="B1884" s="29" t="s">
        <v>174</v>
      </c>
      <c r="C1884" s="29" t="s">
        <v>121</v>
      </c>
      <c r="D1884" s="29" t="s">
        <v>10436</v>
      </c>
      <c r="E1884" s="29" t="s">
        <v>10437</v>
      </c>
      <c r="F1884" s="30" t="s">
        <v>10438</v>
      </c>
      <c r="G1884" s="30" t="s">
        <v>10439</v>
      </c>
      <c r="H1884" s="42" t="s">
        <v>10440</v>
      </c>
      <c r="I1884" s="29" t="s">
        <v>127</v>
      </c>
      <c r="J1884" s="31">
        <v>23.0</v>
      </c>
      <c r="K1884" s="35"/>
      <c r="L1884" s="35"/>
      <c r="M1884" s="35"/>
      <c r="N1884" s="35"/>
      <c r="O1884" s="35"/>
      <c r="P1884" s="35"/>
      <c r="Q1884" s="35"/>
      <c r="R1884" s="35"/>
      <c r="S1884" s="37">
        <f>IF(B1884="","",IF(ISNUMBER(J1884),IF(J1884&lt;=10,'Configuración'!$B$23,IF(J1884&lt;=50,'Configuración'!$B$24,IF(J1884&lt;=200,'Configuración'!$B$25,0))),0))</f>
        <v>4</v>
      </c>
      <c r="T1884" s="37">
        <f>IF(B1884="","",IF(ISNUMBER(SEARCH("information technology",I1884))+ISNUMBER(SEARCH("software",I1884))+ISNUMBER(SEARCH("internet",I1884))+ISNUMBER(SEARCH("computer",I1884))+ISNUMBER(SEARCH("saas",I1884))+ISNUMBER(SEARCH("fintech",I1884))+ISNUMBER(SEARCH("information services",I1884))+ISNUMBER(SEARCH("telecommunications",I1884))&gt;0,'Configuración'!$B$27,'Configuración'!$B$28))</f>
        <v>12</v>
      </c>
      <c r="U1884" s="25">
        <f>IF(B1884="","",IF(ISNUMBER(SEARCH("CEO",C1884))+ISNUMBER(SEARCH("Founder",C1884))+ISNUMBER(SEARCH("Owner",C1884))+ISNUMBER(SEARCH("Dueño",C1884))+ISNUMBER(SEARCH("Director General",C1884))+ISNUMBER(SEARCH("Presidente",C1884))+ISNUMBER(SEARCH("President",C1884))&gt;0,'Configuración'!$B$31,IF(ISNUMBER(SEARCH("CMO",C1884))+ISNUMBER(SEARCH("Chief Marketing",C1884))+ISNUMBER(SEARCH("VP Marketing",C1884))+ISNUMBER(SEARCH("Director de Marketing",C1884))+ISNUMBER(SEARCH("Director Marketing",C1884))+ISNUMBER(SEARCH("Head of Marketing",C1884))+ISNUMBER(SEARCH("Head Marketing",C1884))&gt;0,'Configuración'!$B$32,IF(ISNUMBER(SEARCH("Marketing Manager",C1884))+ISNUMBER(SEARCH("Gerente de Marketing",C1884))+ISNUMBER(SEARCH("Growth Manager",C1884))+ISNUMBER(SEARCH("Demand Gen",C1884))+ISNUMBER(SEARCH("Marketing Lead",C1884))&gt;0,'Configuración'!$B$33,IF(ISNUMBER(SEARCH("COO",C1884))+ISNUMBER(SEARCH("CFO",C1884))+ISNUMBER(SEARCH("CTO",C1884))+ISNUMBER(SEARCH("Chief Operating",C1884))+ISNUMBER(SEARCH("Chief Financial",C1884))+ISNUMBER(SEARCH("Gerente General",C1884))+ISNUMBER(SEARCH("General Manager",C1884))&gt;0,'Configuración'!$B$34,'Configuración'!$B$35)))))</f>
        <v>12</v>
      </c>
      <c r="V1884" s="38">
        <f>IF(B1884="","",IF(K1884="Sí",'Configuración'!$B$5,0)+IF(L1884="Semanal",'Configuración'!$B$6,IF(L1884="Mensual",'Configuración'!$B$7,0))+IF(M1884="Sí",'Configuración'!$B$8,0)+IF(N1884="Sí",'Configuración'!$B$9,0)+IF(O1884="Sí",'Configuración'!$B$10,0)+IF(P1884="Sí",'Configuración'!$B$11,0)+IF(Q1884="Sí",'Configuración'!$B$12,0)+S1884+T1884+U1884)</f>
        <v>28</v>
      </c>
      <c r="W1884" s="39" t="str">
        <f>IF(B1884="","",IF(V1884&gt;='Configuración'!$B$19,"A",IF(V1884&gt;='Configuración'!$B$20,"B",IF(V1884&gt;='Configuración'!$B$21,"C","Descarte"))))</f>
        <v>C</v>
      </c>
    </row>
    <row r="1885" ht="15.75" customHeight="1">
      <c r="A1885" s="34">
        <f t="shared" si="1"/>
        <v>1883</v>
      </c>
      <c r="B1885" s="29" t="s">
        <v>10441</v>
      </c>
      <c r="C1885" s="29" t="s">
        <v>763</v>
      </c>
      <c r="D1885" s="29" t="s">
        <v>10442</v>
      </c>
      <c r="E1885" s="29" t="s">
        <v>10443</v>
      </c>
      <c r="F1885" s="30" t="s">
        <v>10444</v>
      </c>
      <c r="G1885" s="30" t="s">
        <v>10445</v>
      </c>
      <c r="H1885" s="42" t="s">
        <v>10446</v>
      </c>
      <c r="I1885" s="29" t="s">
        <v>188</v>
      </c>
      <c r="J1885" s="31">
        <v>5.0</v>
      </c>
      <c r="K1885" s="35"/>
      <c r="L1885" s="35"/>
      <c r="M1885" s="35"/>
      <c r="N1885" s="35"/>
      <c r="O1885" s="35"/>
      <c r="P1885" s="35"/>
      <c r="Q1885" s="35"/>
      <c r="R1885" s="35"/>
      <c r="S1885" s="37">
        <f>IF(B1885="","",IF(ISNUMBER(J1885),IF(J1885&lt;=10,'Configuración'!$B$23,IF(J1885&lt;=50,'Configuración'!$B$24,IF(J1885&lt;=200,'Configuración'!$B$25,0))),0))</f>
        <v>12</v>
      </c>
      <c r="T1885" s="37">
        <f>IF(B1885="","",IF(ISNUMBER(SEARCH("information technology",I1885))+ISNUMBER(SEARCH("software",I1885))+ISNUMBER(SEARCH("internet",I1885))+ISNUMBER(SEARCH("computer",I1885))+ISNUMBER(SEARCH("saas",I1885))+ISNUMBER(SEARCH("fintech",I1885))+ISNUMBER(SEARCH("information services",I1885))+ISNUMBER(SEARCH("telecommunications",I1885))&gt;0,'Configuración'!$B$27,'Configuración'!$B$28))</f>
        <v>4</v>
      </c>
      <c r="U1885" s="25">
        <f>IF(B1885="","",IF(ISNUMBER(SEARCH("CEO",C1885))+ISNUMBER(SEARCH("Founder",C1885))+ISNUMBER(SEARCH("Owner",C1885))+ISNUMBER(SEARCH("Dueño",C1885))+ISNUMBER(SEARCH("Director General",C1885))+ISNUMBER(SEARCH("Presidente",C1885))+ISNUMBER(SEARCH("President",C1885))&gt;0,'Configuración'!$B$31,IF(ISNUMBER(SEARCH("CMO",C1885))+ISNUMBER(SEARCH("Chief Marketing",C1885))+ISNUMBER(SEARCH("VP Marketing",C1885))+ISNUMBER(SEARCH("Director de Marketing",C1885))+ISNUMBER(SEARCH("Director Marketing",C1885))+ISNUMBER(SEARCH("Head of Marketing",C1885))+ISNUMBER(SEARCH("Head Marketing",C1885))&gt;0,'Configuración'!$B$32,IF(ISNUMBER(SEARCH("Marketing Manager",C1885))+ISNUMBER(SEARCH("Gerente de Marketing",C1885))+ISNUMBER(SEARCH("Growth Manager",C1885))+ISNUMBER(SEARCH("Demand Gen",C1885))+ISNUMBER(SEARCH("Marketing Lead",C1885))&gt;0,'Configuración'!$B$33,IF(ISNUMBER(SEARCH("COO",C1885))+ISNUMBER(SEARCH("CFO",C1885))+ISNUMBER(SEARCH("CTO",C1885))+ISNUMBER(SEARCH("Chief Operating",C1885))+ISNUMBER(SEARCH("Chief Financial",C1885))+ISNUMBER(SEARCH("Gerente General",C1885))+ISNUMBER(SEARCH("General Manager",C1885))&gt;0,'Configuración'!$B$34,'Configuración'!$B$35)))))</f>
        <v>12</v>
      </c>
      <c r="V1885" s="38">
        <f>IF(B1885="","",IF(K1885="Sí",'Configuración'!$B$5,0)+IF(L1885="Semanal",'Configuración'!$B$6,IF(L1885="Mensual",'Configuración'!$B$7,0))+IF(M1885="Sí",'Configuración'!$B$8,0)+IF(N1885="Sí",'Configuración'!$B$9,0)+IF(O1885="Sí",'Configuración'!$B$10,0)+IF(P1885="Sí",'Configuración'!$B$11,0)+IF(Q1885="Sí",'Configuración'!$B$12,0)+S1885+T1885+U1885)</f>
        <v>28</v>
      </c>
      <c r="W1885" s="39" t="str">
        <f>IF(B1885="","",IF(V1885&gt;='Configuración'!$B$19,"A",IF(V1885&gt;='Configuración'!$B$20,"B",IF(V1885&gt;='Configuración'!$B$21,"C","Descarte"))))</f>
        <v>C</v>
      </c>
    </row>
    <row r="1886" ht="15.75" customHeight="1">
      <c r="A1886" s="34">
        <f t="shared" si="1"/>
        <v>1884</v>
      </c>
      <c r="B1886" s="29" t="s">
        <v>250</v>
      </c>
      <c r="C1886" s="29" t="s">
        <v>10447</v>
      </c>
      <c r="D1886" s="29" t="s">
        <v>10448</v>
      </c>
      <c r="E1886" s="29" t="s">
        <v>10449</v>
      </c>
      <c r="F1886" s="30" t="s">
        <v>10450</v>
      </c>
      <c r="G1886" s="30" t="s">
        <v>10451</v>
      </c>
      <c r="H1886" s="42" t="s">
        <v>10452</v>
      </c>
      <c r="I1886" s="29" t="s">
        <v>127</v>
      </c>
      <c r="J1886" s="31">
        <v>1.0</v>
      </c>
      <c r="K1886" s="35"/>
      <c r="L1886" s="35"/>
      <c r="M1886" s="35"/>
      <c r="N1886" s="35"/>
      <c r="O1886" s="35"/>
      <c r="P1886" s="35"/>
      <c r="Q1886" s="35"/>
      <c r="R1886" s="35"/>
      <c r="S1886" s="37">
        <f>IF(B1886="","",IF(ISNUMBER(J1886),IF(J1886&lt;=10,'Configuración'!$B$23,IF(J1886&lt;=50,'Configuración'!$B$24,IF(J1886&lt;=200,'Configuración'!$B$25,0))),0))</f>
        <v>12</v>
      </c>
      <c r="T1886" s="37">
        <f>IF(B1886="","",IF(ISNUMBER(SEARCH("information technology",I1886))+ISNUMBER(SEARCH("software",I1886))+ISNUMBER(SEARCH("internet",I1886))+ISNUMBER(SEARCH("computer",I1886))+ISNUMBER(SEARCH("saas",I1886))+ISNUMBER(SEARCH("fintech",I1886))+ISNUMBER(SEARCH("information services",I1886))+ISNUMBER(SEARCH("telecommunications",I1886))&gt;0,'Configuración'!$B$27,'Configuración'!$B$28))</f>
        <v>12</v>
      </c>
      <c r="U1886" s="25">
        <f>IF(B1886="","",IF(ISNUMBER(SEARCH("CEO",C1886))+ISNUMBER(SEARCH("Founder",C1886))+ISNUMBER(SEARCH("Owner",C1886))+ISNUMBER(SEARCH("Dueño",C1886))+ISNUMBER(SEARCH("Director General",C1886))+ISNUMBER(SEARCH("Presidente",C1886))+ISNUMBER(SEARCH("President",C1886))&gt;0,'Configuración'!$B$31,IF(ISNUMBER(SEARCH("CMO",C1886))+ISNUMBER(SEARCH("Chief Marketing",C1886))+ISNUMBER(SEARCH("VP Marketing",C1886))+ISNUMBER(SEARCH("Director de Marketing",C1886))+ISNUMBER(SEARCH("Director Marketing",C1886))+ISNUMBER(SEARCH("Head of Marketing",C1886))+ISNUMBER(SEARCH("Head Marketing",C1886))&gt;0,'Configuración'!$B$32,IF(ISNUMBER(SEARCH("Marketing Manager",C1886))+ISNUMBER(SEARCH("Gerente de Marketing",C1886))+ISNUMBER(SEARCH("Growth Manager",C1886))+ISNUMBER(SEARCH("Demand Gen",C1886))+ISNUMBER(SEARCH("Marketing Lead",C1886))&gt;0,'Configuración'!$B$33,IF(ISNUMBER(SEARCH("COO",C1886))+ISNUMBER(SEARCH("CFO",C1886))+ISNUMBER(SEARCH("CTO",C1886))+ISNUMBER(SEARCH("Chief Operating",C1886))+ISNUMBER(SEARCH("Chief Financial",C1886))+ISNUMBER(SEARCH("Gerente General",C1886))+ISNUMBER(SEARCH("General Manager",C1886))&gt;0,'Configuración'!$B$34,'Configuración'!$B$35)))))</f>
        <v>4</v>
      </c>
      <c r="V1886" s="38">
        <f>IF(B1886="","",IF(K1886="Sí",'Configuración'!$B$5,0)+IF(L1886="Semanal",'Configuración'!$B$6,IF(L1886="Mensual",'Configuración'!$B$7,0))+IF(M1886="Sí",'Configuración'!$B$8,0)+IF(N1886="Sí",'Configuración'!$B$9,0)+IF(O1886="Sí",'Configuración'!$B$10,0)+IF(P1886="Sí",'Configuración'!$B$11,0)+IF(Q1886="Sí",'Configuración'!$B$12,0)+S1886+T1886+U1886)</f>
        <v>28</v>
      </c>
      <c r="W1886" s="39" t="str">
        <f>IF(B1886="","",IF(V1886&gt;='Configuración'!$B$19,"A",IF(V1886&gt;='Configuración'!$B$20,"B",IF(V1886&gt;='Configuración'!$B$21,"C","Descarte"))))</f>
        <v>C</v>
      </c>
    </row>
    <row r="1887" ht="15.75" customHeight="1">
      <c r="A1887" s="34">
        <f t="shared" si="1"/>
        <v>1885</v>
      </c>
      <c r="B1887" s="29" t="s">
        <v>536</v>
      </c>
      <c r="C1887" s="29" t="s">
        <v>622</v>
      </c>
      <c r="D1887" s="29" t="s">
        <v>10453</v>
      </c>
      <c r="E1887" s="29" t="s">
        <v>10454</v>
      </c>
      <c r="F1887" s="30" t="s">
        <v>10455</v>
      </c>
      <c r="G1887" s="30" t="s">
        <v>10456</v>
      </c>
      <c r="H1887" s="42" t="s">
        <v>10457</v>
      </c>
      <c r="I1887" s="29" t="s">
        <v>172</v>
      </c>
      <c r="J1887" s="31">
        <v>7.0</v>
      </c>
      <c r="K1887" s="35"/>
      <c r="L1887" s="35"/>
      <c r="M1887" s="35"/>
      <c r="N1887" s="35"/>
      <c r="O1887" s="35"/>
      <c r="P1887" s="35"/>
      <c r="Q1887" s="35"/>
      <c r="R1887" s="35"/>
      <c r="S1887" s="37">
        <f>IF(B1887="","",IF(ISNUMBER(J1887),IF(J1887&lt;=10,'Configuración'!$B$23,IF(J1887&lt;=50,'Configuración'!$B$24,IF(J1887&lt;=200,'Configuración'!$B$25,0))),0))</f>
        <v>12</v>
      </c>
      <c r="T1887" s="37">
        <f>IF(B1887="","",IF(ISNUMBER(SEARCH("information technology",I1887))+ISNUMBER(SEARCH("software",I1887))+ISNUMBER(SEARCH("internet",I1887))+ISNUMBER(SEARCH("computer",I1887))+ISNUMBER(SEARCH("saas",I1887))+ISNUMBER(SEARCH("fintech",I1887))+ISNUMBER(SEARCH("information services",I1887))+ISNUMBER(SEARCH("telecommunications",I1887))&gt;0,'Configuración'!$B$27,'Configuración'!$B$28))</f>
        <v>4</v>
      </c>
      <c r="U1887" s="25">
        <f>IF(B1887="","",IF(ISNUMBER(SEARCH("CEO",C1887))+ISNUMBER(SEARCH("Founder",C1887))+ISNUMBER(SEARCH("Owner",C1887))+ISNUMBER(SEARCH("Dueño",C1887))+ISNUMBER(SEARCH("Director General",C1887))+ISNUMBER(SEARCH("Presidente",C1887))+ISNUMBER(SEARCH("President",C1887))&gt;0,'Configuración'!$B$31,IF(ISNUMBER(SEARCH("CMO",C1887))+ISNUMBER(SEARCH("Chief Marketing",C1887))+ISNUMBER(SEARCH("VP Marketing",C1887))+ISNUMBER(SEARCH("Director de Marketing",C1887))+ISNUMBER(SEARCH("Director Marketing",C1887))+ISNUMBER(SEARCH("Head of Marketing",C1887))+ISNUMBER(SEARCH("Head Marketing",C1887))&gt;0,'Configuración'!$B$32,IF(ISNUMBER(SEARCH("Marketing Manager",C1887))+ISNUMBER(SEARCH("Gerente de Marketing",C1887))+ISNUMBER(SEARCH("Growth Manager",C1887))+ISNUMBER(SEARCH("Demand Gen",C1887))+ISNUMBER(SEARCH("Marketing Lead",C1887))&gt;0,'Configuración'!$B$33,IF(ISNUMBER(SEARCH("COO",C1887))+ISNUMBER(SEARCH("CFO",C1887))+ISNUMBER(SEARCH("CTO",C1887))+ISNUMBER(SEARCH("Chief Operating",C1887))+ISNUMBER(SEARCH("Chief Financial",C1887))+ISNUMBER(SEARCH("Gerente General",C1887))+ISNUMBER(SEARCH("General Manager",C1887))&gt;0,'Configuración'!$B$34,'Configuración'!$B$35)))))</f>
        <v>12</v>
      </c>
      <c r="V1887" s="38">
        <f>IF(B1887="","",IF(K1887="Sí",'Configuración'!$B$5,0)+IF(L1887="Semanal",'Configuración'!$B$6,IF(L1887="Mensual",'Configuración'!$B$7,0))+IF(M1887="Sí",'Configuración'!$B$8,0)+IF(N1887="Sí",'Configuración'!$B$9,0)+IF(O1887="Sí",'Configuración'!$B$10,0)+IF(P1887="Sí",'Configuración'!$B$11,0)+IF(Q1887="Sí",'Configuración'!$B$12,0)+S1887+T1887+U1887)</f>
        <v>28</v>
      </c>
      <c r="W1887" s="39" t="str">
        <f>IF(B1887="","",IF(V1887&gt;='Configuración'!$B$19,"A",IF(V1887&gt;='Configuración'!$B$20,"B",IF(V1887&gt;='Configuración'!$B$21,"C","Descarte"))))</f>
        <v>C</v>
      </c>
    </row>
    <row r="1888" ht="15.75" customHeight="1">
      <c r="A1888" s="34">
        <f t="shared" si="1"/>
        <v>1886</v>
      </c>
      <c r="B1888" s="29" t="s">
        <v>10458</v>
      </c>
      <c r="C1888" s="29" t="s">
        <v>175</v>
      </c>
      <c r="D1888" s="29" t="s">
        <v>10459</v>
      </c>
      <c r="E1888" s="29" t="s">
        <v>10460</v>
      </c>
      <c r="F1888" s="30" t="s">
        <v>10461</v>
      </c>
      <c r="G1888" s="30" t="s">
        <v>10462</v>
      </c>
      <c r="H1888" s="42" t="s">
        <v>10463</v>
      </c>
      <c r="I1888" s="29" t="s">
        <v>628</v>
      </c>
      <c r="J1888" s="31">
        <v>3.0</v>
      </c>
      <c r="K1888" s="35"/>
      <c r="L1888" s="35"/>
      <c r="M1888" s="35"/>
      <c r="N1888" s="35"/>
      <c r="O1888" s="35"/>
      <c r="P1888" s="35"/>
      <c r="Q1888" s="35"/>
      <c r="R1888" s="35"/>
      <c r="S1888" s="37">
        <f>IF(B1888="","",IF(ISNUMBER(J1888),IF(J1888&lt;=10,'Configuración'!$B$23,IF(J1888&lt;=50,'Configuración'!$B$24,IF(J1888&lt;=200,'Configuración'!$B$25,0))),0))</f>
        <v>12</v>
      </c>
      <c r="T1888" s="37">
        <f>IF(B1888="","",IF(ISNUMBER(SEARCH("information technology",I1888))+ISNUMBER(SEARCH("software",I1888))+ISNUMBER(SEARCH("internet",I1888))+ISNUMBER(SEARCH("computer",I1888))+ISNUMBER(SEARCH("saas",I1888))+ISNUMBER(SEARCH("fintech",I1888))+ISNUMBER(SEARCH("information services",I1888))+ISNUMBER(SEARCH("telecommunications",I1888))&gt;0,'Configuración'!$B$27,'Configuración'!$B$28))</f>
        <v>4</v>
      </c>
      <c r="U1888" s="25">
        <f>IF(B1888="","",IF(ISNUMBER(SEARCH("CEO",C1888))+ISNUMBER(SEARCH("Founder",C1888))+ISNUMBER(SEARCH("Owner",C1888))+ISNUMBER(SEARCH("Dueño",C1888))+ISNUMBER(SEARCH("Director General",C1888))+ISNUMBER(SEARCH("Presidente",C1888))+ISNUMBER(SEARCH("President",C1888))&gt;0,'Configuración'!$B$31,IF(ISNUMBER(SEARCH("CMO",C1888))+ISNUMBER(SEARCH("Chief Marketing",C1888))+ISNUMBER(SEARCH("VP Marketing",C1888))+ISNUMBER(SEARCH("Director de Marketing",C1888))+ISNUMBER(SEARCH("Director Marketing",C1888))+ISNUMBER(SEARCH("Head of Marketing",C1888))+ISNUMBER(SEARCH("Head Marketing",C1888))&gt;0,'Configuración'!$B$32,IF(ISNUMBER(SEARCH("Marketing Manager",C1888))+ISNUMBER(SEARCH("Gerente de Marketing",C1888))+ISNUMBER(SEARCH("Growth Manager",C1888))+ISNUMBER(SEARCH("Demand Gen",C1888))+ISNUMBER(SEARCH("Marketing Lead",C1888))&gt;0,'Configuración'!$B$33,IF(ISNUMBER(SEARCH("COO",C1888))+ISNUMBER(SEARCH("CFO",C1888))+ISNUMBER(SEARCH("CTO",C1888))+ISNUMBER(SEARCH("Chief Operating",C1888))+ISNUMBER(SEARCH("Chief Financial",C1888))+ISNUMBER(SEARCH("Gerente General",C1888))+ISNUMBER(SEARCH("General Manager",C1888))&gt;0,'Configuración'!$B$34,'Configuración'!$B$35)))))</f>
        <v>12</v>
      </c>
      <c r="V1888" s="38">
        <f>IF(B1888="","",IF(K1888="Sí",'Configuración'!$B$5,0)+IF(L1888="Semanal",'Configuración'!$B$6,IF(L1888="Mensual",'Configuración'!$B$7,0))+IF(M1888="Sí",'Configuración'!$B$8,0)+IF(N1888="Sí",'Configuración'!$B$9,0)+IF(O1888="Sí",'Configuración'!$B$10,0)+IF(P1888="Sí",'Configuración'!$B$11,0)+IF(Q1888="Sí",'Configuración'!$B$12,0)+S1888+T1888+U1888)</f>
        <v>28</v>
      </c>
      <c r="W1888" s="39" t="str">
        <f>IF(B1888="","",IF(V1888&gt;='Configuración'!$B$19,"A",IF(V1888&gt;='Configuración'!$B$20,"B",IF(V1888&gt;='Configuración'!$B$21,"C","Descarte"))))</f>
        <v>C</v>
      </c>
    </row>
    <row r="1889" ht="15.75" customHeight="1">
      <c r="A1889" s="34">
        <f t="shared" si="1"/>
        <v>1887</v>
      </c>
      <c r="B1889" s="29" t="s">
        <v>262</v>
      </c>
      <c r="C1889" s="29" t="s">
        <v>146</v>
      </c>
      <c r="D1889" s="29" t="s">
        <v>10464</v>
      </c>
      <c r="E1889" s="29" t="s">
        <v>10465</v>
      </c>
      <c r="F1889" s="30" t="s">
        <v>10466</v>
      </c>
      <c r="G1889" s="30" t="s">
        <v>10467</v>
      </c>
      <c r="H1889" s="42" t="s">
        <v>10468</v>
      </c>
      <c r="I1889" s="29" t="s">
        <v>127</v>
      </c>
      <c r="J1889" s="31">
        <v>7.0</v>
      </c>
      <c r="K1889" s="35"/>
      <c r="L1889" s="35"/>
      <c r="M1889" s="35"/>
      <c r="N1889" s="35"/>
      <c r="O1889" s="35"/>
      <c r="P1889" s="35"/>
      <c r="Q1889" s="35"/>
      <c r="R1889" s="35"/>
      <c r="S1889" s="37">
        <f>IF(B1889="","",IF(ISNUMBER(J1889),IF(J1889&lt;=10,'Configuración'!$B$23,IF(J1889&lt;=50,'Configuración'!$B$24,IF(J1889&lt;=200,'Configuración'!$B$25,0))),0))</f>
        <v>12</v>
      </c>
      <c r="T1889" s="37">
        <f>IF(B1889="","",IF(ISNUMBER(SEARCH("information technology",I1889))+ISNUMBER(SEARCH("software",I1889))+ISNUMBER(SEARCH("internet",I1889))+ISNUMBER(SEARCH("computer",I1889))+ISNUMBER(SEARCH("saas",I1889))+ISNUMBER(SEARCH("fintech",I1889))+ISNUMBER(SEARCH("information services",I1889))+ISNUMBER(SEARCH("telecommunications",I1889))&gt;0,'Configuración'!$B$27,'Configuración'!$B$28))</f>
        <v>12</v>
      </c>
      <c r="U1889" s="25">
        <f>IF(B1889="","",IF(ISNUMBER(SEARCH("CEO",C1889))+ISNUMBER(SEARCH("Founder",C1889))+ISNUMBER(SEARCH("Owner",C1889))+ISNUMBER(SEARCH("Dueño",C1889))+ISNUMBER(SEARCH("Director General",C1889))+ISNUMBER(SEARCH("Presidente",C1889))+ISNUMBER(SEARCH("President",C1889))&gt;0,'Configuración'!$B$31,IF(ISNUMBER(SEARCH("CMO",C1889))+ISNUMBER(SEARCH("Chief Marketing",C1889))+ISNUMBER(SEARCH("VP Marketing",C1889))+ISNUMBER(SEARCH("Director de Marketing",C1889))+ISNUMBER(SEARCH("Director Marketing",C1889))+ISNUMBER(SEARCH("Head of Marketing",C1889))+ISNUMBER(SEARCH("Head Marketing",C1889))&gt;0,'Configuración'!$B$32,IF(ISNUMBER(SEARCH("Marketing Manager",C1889))+ISNUMBER(SEARCH("Gerente de Marketing",C1889))+ISNUMBER(SEARCH("Growth Manager",C1889))+ISNUMBER(SEARCH("Demand Gen",C1889))+ISNUMBER(SEARCH("Marketing Lead",C1889))&gt;0,'Configuración'!$B$33,IF(ISNUMBER(SEARCH("COO",C1889))+ISNUMBER(SEARCH("CFO",C1889))+ISNUMBER(SEARCH("CTO",C1889))+ISNUMBER(SEARCH("Chief Operating",C1889))+ISNUMBER(SEARCH("Chief Financial",C1889))+ISNUMBER(SEARCH("Gerente General",C1889))+ISNUMBER(SEARCH("General Manager",C1889))&gt;0,'Configuración'!$B$34,'Configuración'!$B$35)))))</f>
        <v>0</v>
      </c>
      <c r="V1889" s="38">
        <f>IF(B1889="","",IF(K1889="Sí",'Configuración'!$B$5,0)+IF(L1889="Semanal",'Configuración'!$B$6,IF(L1889="Mensual",'Configuración'!$B$7,0))+IF(M1889="Sí",'Configuración'!$B$8,0)+IF(N1889="Sí",'Configuración'!$B$9,0)+IF(O1889="Sí",'Configuración'!$B$10,0)+IF(P1889="Sí",'Configuración'!$B$11,0)+IF(Q1889="Sí",'Configuración'!$B$12,0)+S1889+T1889+U1889)</f>
        <v>24</v>
      </c>
      <c r="W1889" s="39" t="str">
        <f>IF(B1889="","",IF(V1889&gt;='Configuración'!$B$19,"A",IF(V1889&gt;='Configuración'!$B$20,"B",IF(V1889&gt;='Configuración'!$B$21,"C","Descarte"))))</f>
        <v>C</v>
      </c>
    </row>
    <row r="1890" ht="15.75" customHeight="1">
      <c r="A1890" s="34">
        <f t="shared" si="1"/>
        <v>1888</v>
      </c>
      <c r="B1890" s="29" t="s">
        <v>10369</v>
      </c>
      <c r="C1890" s="29" t="s">
        <v>10469</v>
      </c>
      <c r="D1890" s="29" t="s">
        <v>10470</v>
      </c>
      <c r="E1890" s="29" t="s">
        <v>10471</v>
      </c>
      <c r="F1890" s="30" t="s">
        <v>10472</v>
      </c>
      <c r="G1890" s="30" t="s">
        <v>10473</v>
      </c>
      <c r="H1890" s="42" t="s">
        <v>10474</v>
      </c>
      <c r="I1890" s="29" t="s">
        <v>137</v>
      </c>
      <c r="J1890" s="31">
        <v>1.0</v>
      </c>
      <c r="K1890" s="35"/>
      <c r="L1890" s="35"/>
      <c r="M1890" s="35"/>
      <c r="N1890" s="35"/>
      <c r="O1890" s="35"/>
      <c r="P1890" s="35"/>
      <c r="Q1890" s="35"/>
      <c r="R1890" s="35"/>
      <c r="S1890" s="37">
        <f>IF(B1890="","",IF(ISNUMBER(J1890),IF(J1890&lt;=10,'Configuración'!$B$23,IF(J1890&lt;=50,'Configuración'!$B$24,IF(J1890&lt;=200,'Configuración'!$B$25,0))),0))</f>
        <v>12</v>
      </c>
      <c r="T1890" s="37">
        <f>IF(B1890="","",IF(ISNUMBER(SEARCH("information technology",I1890))+ISNUMBER(SEARCH("software",I1890))+ISNUMBER(SEARCH("internet",I1890))+ISNUMBER(SEARCH("computer",I1890))+ISNUMBER(SEARCH("saas",I1890))+ISNUMBER(SEARCH("fintech",I1890))+ISNUMBER(SEARCH("information services",I1890))+ISNUMBER(SEARCH("telecommunications",I1890))&gt;0,'Configuración'!$B$27,'Configuración'!$B$28))</f>
        <v>4</v>
      </c>
      <c r="U1890" s="25">
        <f>IF(B1890="","",IF(ISNUMBER(SEARCH("CEO",C1890))+ISNUMBER(SEARCH("Founder",C1890))+ISNUMBER(SEARCH("Owner",C1890))+ISNUMBER(SEARCH("Dueño",C1890))+ISNUMBER(SEARCH("Director General",C1890))+ISNUMBER(SEARCH("Presidente",C1890))+ISNUMBER(SEARCH("President",C1890))&gt;0,'Configuración'!$B$31,IF(ISNUMBER(SEARCH("CMO",C1890))+ISNUMBER(SEARCH("Chief Marketing",C1890))+ISNUMBER(SEARCH("VP Marketing",C1890))+ISNUMBER(SEARCH("Director de Marketing",C1890))+ISNUMBER(SEARCH("Director Marketing",C1890))+ISNUMBER(SEARCH("Head of Marketing",C1890))+ISNUMBER(SEARCH("Head Marketing",C1890))&gt;0,'Configuración'!$B$32,IF(ISNUMBER(SEARCH("Marketing Manager",C1890))+ISNUMBER(SEARCH("Gerente de Marketing",C1890))+ISNUMBER(SEARCH("Growth Manager",C1890))+ISNUMBER(SEARCH("Demand Gen",C1890))+ISNUMBER(SEARCH("Marketing Lead",C1890))&gt;0,'Configuración'!$B$33,IF(ISNUMBER(SEARCH("COO",C1890))+ISNUMBER(SEARCH("CFO",C1890))+ISNUMBER(SEARCH("CTO",C1890))+ISNUMBER(SEARCH("Chief Operating",C1890))+ISNUMBER(SEARCH("Chief Financial",C1890))+ISNUMBER(SEARCH("Gerente General",C1890))+ISNUMBER(SEARCH("General Manager",C1890))&gt;0,'Configuración'!$B$34,'Configuración'!$B$35)))))</f>
        <v>12</v>
      </c>
      <c r="V1890" s="38">
        <f>IF(B1890="","",IF(K1890="Sí",'Configuración'!$B$5,0)+IF(L1890="Semanal",'Configuración'!$B$6,IF(L1890="Mensual",'Configuración'!$B$7,0))+IF(M1890="Sí",'Configuración'!$B$8,0)+IF(N1890="Sí",'Configuración'!$B$9,0)+IF(O1890="Sí",'Configuración'!$B$10,0)+IF(P1890="Sí",'Configuración'!$B$11,0)+IF(Q1890="Sí",'Configuración'!$B$12,0)+S1890+T1890+U1890)</f>
        <v>28</v>
      </c>
      <c r="W1890" s="39" t="str">
        <f>IF(B1890="","",IF(V1890&gt;='Configuración'!$B$19,"A",IF(V1890&gt;='Configuración'!$B$20,"B",IF(V1890&gt;='Configuración'!$B$21,"C","Descarte"))))</f>
        <v>C</v>
      </c>
    </row>
    <row r="1891" ht="15.75" customHeight="1">
      <c r="A1891" s="34">
        <f t="shared" si="1"/>
        <v>1889</v>
      </c>
      <c r="B1891" s="29" t="s">
        <v>2677</v>
      </c>
      <c r="C1891" s="29" t="s">
        <v>1325</v>
      </c>
      <c r="D1891" s="29" t="s">
        <v>10475</v>
      </c>
      <c r="E1891" s="29" t="s">
        <v>10476</v>
      </c>
      <c r="F1891" s="30" t="s">
        <v>10477</v>
      </c>
      <c r="G1891" s="30" t="s">
        <v>10478</v>
      </c>
      <c r="H1891" s="42" t="s">
        <v>10479</v>
      </c>
      <c r="I1891" s="29" t="s">
        <v>288</v>
      </c>
      <c r="J1891" s="31">
        <v>4.0</v>
      </c>
      <c r="K1891" s="35"/>
      <c r="L1891" s="35"/>
      <c r="M1891" s="35"/>
      <c r="N1891" s="35"/>
      <c r="O1891" s="35"/>
      <c r="P1891" s="35"/>
      <c r="Q1891" s="35"/>
      <c r="R1891" s="35"/>
      <c r="S1891" s="37">
        <f>IF(B1891="","",IF(ISNUMBER(J1891),IF(J1891&lt;=10,'Configuración'!$B$23,IF(J1891&lt;=50,'Configuración'!$B$24,IF(J1891&lt;=200,'Configuración'!$B$25,0))),0))</f>
        <v>12</v>
      </c>
      <c r="T1891" s="37">
        <f>IF(B1891="","",IF(ISNUMBER(SEARCH("information technology",I1891))+ISNUMBER(SEARCH("software",I1891))+ISNUMBER(SEARCH("internet",I1891))+ISNUMBER(SEARCH("computer",I1891))+ISNUMBER(SEARCH("saas",I1891))+ISNUMBER(SEARCH("fintech",I1891))+ISNUMBER(SEARCH("information services",I1891))+ISNUMBER(SEARCH("telecommunications",I1891))&gt;0,'Configuración'!$B$27,'Configuración'!$B$28))</f>
        <v>4</v>
      </c>
      <c r="U1891" s="25">
        <f>IF(B1891="","",IF(ISNUMBER(SEARCH("CEO",C1891))+ISNUMBER(SEARCH("Founder",C1891))+ISNUMBER(SEARCH("Owner",C1891))+ISNUMBER(SEARCH("Dueño",C1891))+ISNUMBER(SEARCH("Director General",C1891))+ISNUMBER(SEARCH("Presidente",C1891))+ISNUMBER(SEARCH("President",C1891))&gt;0,'Configuración'!$B$31,IF(ISNUMBER(SEARCH("CMO",C1891))+ISNUMBER(SEARCH("Chief Marketing",C1891))+ISNUMBER(SEARCH("VP Marketing",C1891))+ISNUMBER(SEARCH("Director de Marketing",C1891))+ISNUMBER(SEARCH("Director Marketing",C1891))+ISNUMBER(SEARCH("Head of Marketing",C1891))+ISNUMBER(SEARCH("Head Marketing",C1891))&gt;0,'Configuración'!$B$32,IF(ISNUMBER(SEARCH("Marketing Manager",C1891))+ISNUMBER(SEARCH("Gerente de Marketing",C1891))+ISNUMBER(SEARCH("Growth Manager",C1891))+ISNUMBER(SEARCH("Demand Gen",C1891))+ISNUMBER(SEARCH("Marketing Lead",C1891))&gt;0,'Configuración'!$B$33,IF(ISNUMBER(SEARCH("COO",C1891))+ISNUMBER(SEARCH("CFO",C1891))+ISNUMBER(SEARCH("CTO",C1891))+ISNUMBER(SEARCH("Chief Operating",C1891))+ISNUMBER(SEARCH("Chief Financial",C1891))+ISNUMBER(SEARCH("Gerente General",C1891))+ISNUMBER(SEARCH("General Manager",C1891))&gt;0,'Configuración'!$B$34,'Configuración'!$B$35)))))</f>
        <v>12</v>
      </c>
      <c r="V1891" s="38">
        <f>IF(B1891="","",IF(K1891="Sí",'Configuración'!$B$5,0)+IF(L1891="Semanal",'Configuración'!$B$6,IF(L1891="Mensual",'Configuración'!$B$7,0))+IF(M1891="Sí",'Configuración'!$B$8,0)+IF(N1891="Sí",'Configuración'!$B$9,0)+IF(O1891="Sí",'Configuración'!$B$10,0)+IF(P1891="Sí",'Configuración'!$B$11,0)+IF(Q1891="Sí",'Configuración'!$B$12,0)+S1891+T1891+U1891)</f>
        <v>28</v>
      </c>
      <c r="W1891" s="39" t="str">
        <f>IF(B1891="","",IF(V1891&gt;='Configuración'!$B$19,"A",IF(V1891&gt;='Configuración'!$B$20,"B",IF(V1891&gt;='Configuración'!$B$21,"C","Descarte"))))</f>
        <v>C</v>
      </c>
    </row>
    <row r="1892" ht="15.75" customHeight="1">
      <c r="A1892" s="34">
        <f t="shared" si="1"/>
        <v>1890</v>
      </c>
      <c r="B1892" s="29" t="s">
        <v>2384</v>
      </c>
      <c r="C1892" s="29" t="s">
        <v>311</v>
      </c>
      <c r="D1892" s="29" t="s">
        <v>382</v>
      </c>
      <c r="E1892" s="29" t="s">
        <v>10480</v>
      </c>
      <c r="F1892" s="30" t="s">
        <v>10481</v>
      </c>
      <c r="G1892" s="30" t="s">
        <v>385</v>
      </c>
      <c r="H1892" s="42" t="s">
        <v>386</v>
      </c>
      <c r="I1892" s="29" t="s">
        <v>380</v>
      </c>
      <c r="J1892" s="31">
        <v>8.0</v>
      </c>
      <c r="K1892" s="35"/>
      <c r="L1892" s="35"/>
      <c r="M1892" s="35"/>
      <c r="N1892" s="35"/>
      <c r="O1892" s="35"/>
      <c r="P1892" s="35"/>
      <c r="Q1892" s="35"/>
      <c r="R1892" s="35"/>
      <c r="S1892" s="37">
        <f>IF(B1892="","",IF(ISNUMBER(J1892),IF(J1892&lt;=10,'Configuración'!$B$23,IF(J1892&lt;=50,'Configuración'!$B$24,IF(J1892&lt;=200,'Configuración'!$B$25,0))),0))</f>
        <v>12</v>
      </c>
      <c r="T1892" s="37">
        <f>IF(B1892="","",IF(ISNUMBER(SEARCH("information technology",I1892))+ISNUMBER(SEARCH("software",I1892))+ISNUMBER(SEARCH("internet",I1892))+ISNUMBER(SEARCH("computer",I1892))+ISNUMBER(SEARCH("saas",I1892))+ISNUMBER(SEARCH("fintech",I1892))+ISNUMBER(SEARCH("information services",I1892))+ISNUMBER(SEARCH("telecommunications",I1892))&gt;0,'Configuración'!$B$27,'Configuración'!$B$28))</f>
        <v>4</v>
      </c>
      <c r="U1892" s="25">
        <f>IF(B1892="","",IF(ISNUMBER(SEARCH("CEO",C1892))+ISNUMBER(SEARCH("Founder",C1892))+ISNUMBER(SEARCH("Owner",C1892))+ISNUMBER(SEARCH("Dueño",C1892))+ISNUMBER(SEARCH("Director General",C1892))+ISNUMBER(SEARCH("Presidente",C1892))+ISNUMBER(SEARCH("President",C1892))&gt;0,'Configuración'!$B$31,IF(ISNUMBER(SEARCH("CMO",C1892))+ISNUMBER(SEARCH("Chief Marketing",C1892))+ISNUMBER(SEARCH("VP Marketing",C1892))+ISNUMBER(SEARCH("Director de Marketing",C1892))+ISNUMBER(SEARCH("Director Marketing",C1892))+ISNUMBER(SEARCH("Head of Marketing",C1892))+ISNUMBER(SEARCH("Head Marketing",C1892))&gt;0,'Configuración'!$B$32,IF(ISNUMBER(SEARCH("Marketing Manager",C1892))+ISNUMBER(SEARCH("Gerente de Marketing",C1892))+ISNUMBER(SEARCH("Growth Manager",C1892))+ISNUMBER(SEARCH("Demand Gen",C1892))+ISNUMBER(SEARCH("Marketing Lead",C1892))&gt;0,'Configuración'!$B$33,IF(ISNUMBER(SEARCH("COO",C1892))+ISNUMBER(SEARCH("CFO",C1892))+ISNUMBER(SEARCH("CTO",C1892))+ISNUMBER(SEARCH("Chief Operating",C1892))+ISNUMBER(SEARCH("Chief Financial",C1892))+ISNUMBER(SEARCH("Gerente General",C1892))+ISNUMBER(SEARCH("General Manager",C1892))&gt;0,'Configuración'!$B$34,'Configuración'!$B$35)))))</f>
        <v>12</v>
      </c>
      <c r="V1892" s="38">
        <f>IF(B1892="","",IF(K1892="Sí",'Configuración'!$B$5,0)+IF(L1892="Semanal",'Configuración'!$B$6,IF(L1892="Mensual",'Configuración'!$B$7,0))+IF(M1892="Sí",'Configuración'!$B$8,0)+IF(N1892="Sí",'Configuración'!$B$9,0)+IF(O1892="Sí",'Configuración'!$B$10,0)+IF(P1892="Sí",'Configuración'!$B$11,0)+IF(Q1892="Sí",'Configuración'!$B$12,0)+S1892+T1892+U1892)</f>
        <v>28</v>
      </c>
      <c r="W1892" s="39" t="str">
        <f>IF(B1892="","",IF(V1892&gt;='Configuración'!$B$19,"A",IF(V1892&gt;='Configuración'!$B$20,"B",IF(V1892&gt;='Configuración'!$B$21,"C","Descarte"))))</f>
        <v>C</v>
      </c>
    </row>
    <row r="1893" ht="15.75" customHeight="1">
      <c r="A1893" s="34">
        <f t="shared" si="1"/>
        <v>1891</v>
      </c>
      <c r="B1893" s="29" t="s">
        <v>174</v>
      </c>
      <c r="C1893" s="29" t="s">
        <v>444</v>
      </c>
      <c r="D1893" s="29" t="s">
        <v>6593</v>
      </c>
      <c r="E1893" s="29" t="s">
        <v>10482</v>
      </c>
      <c r="F1893" s="30" t="s">
        <v>10483</v>
      </c>
      <c r="G1893" s="30" t="s">
        <v>6596</v>
      </c>
      <c r="H1893" s="42" t="s">
        <v>6597</v>
      </c>
      <c r="I1893" s="29" t="s">
        <v>116</v>
      </c>
      <c r="J1893" s="31">
        <v>44.0</v>
      </c>
      <c r="K1893" s="35"/>
      <c r="L1893" s="35"/>
      <c r="M1893" s="35"/>
      <c r="N1893" s="35"/>
      <c r="O1893" s="35"/>
      <c r="P1893" s="35"/>
      <c r="Q1893" s="35"/>
      <c r="R1893" s="35"/>
      <c r="S1893" s="37">
        <f>IF(B1893="","",IF(ISNUMBER(J1893),IF(J1893&lt;=10,'Configuración'!$B$23,IF(J1893&lt;=50,'Configuración'!$B$24,IF(J1893&lt;=200,'Configuración'!$B$25,0))),0))</f>
        <v>4</v>
      </c>
      <c r="T1893" s="37">
        <f>IF(B1893="","",IF(ISNUMBER(SEARCH("information technology",I1893))+ISNUMBER(SEARCH("software",I1893))+ISNUMBER(SEARCH("internet",I1893))+ISNUMBER(SEARCH("computer",I1893))+ISNUMBER(SEARCH("saas",I1893))+ISNUMBER(SEARCH("fintech",I1893))+ISNUMBER(SEARCH("information services",I1893))+ISNUMBER(SEARCH("telecommunications",I1893))&gt;0,'Configuración'!$B$27,'Configuración'!$B$28))</f>
        <v>4</v>
      </c>
      <c r="U1893" s="25">
        <f>IF(B1893="","",IF(ISNUMBER(SEARCH("CEO",C1893))+ISNUMBER(SEARCH("Founder",C1893))+ISNUMBER(SEARCH("Owner",C1893))+ISNUMBER(SEARCH("Dueño",C1893))+ISNUMBER(SEARCH("Director General",C1893))+ISNUMBER(SEARCH("Presidente",C1893))+ISNUMBER(SEARCH("President",C1893))&gt;0,'Configuración'!$B$31,IF(ISNUMBER(SEARCH("CMO",C1893))+ISNUMBER(SEARCH("Chief Marketing",C1893))+ISNUMBER(SEARCH("VP Marketing",C1893))+ISNUMBER(SEARCH("Director de Marketing",C1893))+ISNUMBER(SEARCH("Director Marketing",C1893))+ISNUMBER(SEARCH("Head of Marketing",C1893))+ISNUMBER(SEARCH("Head Marketing",C1893))&gt;0,'Configuración'!$B$32,IF(ISNUMBER(SEARCH("Marketing Manager",C1893))+ISNUMBER(SEARCH("Gerente de Marketing",C1893))+ISNUMBER(SEARCH("Growth Manager",C1893))+ISNUMBER(SEARCH("Demand Gen",C1893))+ISNUMBER(SEARCH("Marketing Lead",C1893))&gt;0,'Configuración'!$B$33,IF(ISNUMBER(SEARCH("COO",C1893))+ISNUMBER(SEARCH("CFO",C1893))+ISNUMBER(SEARCH("CTO",C1893))+ISNUMBER(SEARCH("Chief Operating",C1893))+ISNUMBER(SEARCH("Chief Financial",C1893))+ISNUMBER(SEARCH("Gerente General",C1893))+ISNUMBER(SEARCH("General Manager",C1893))&gt;0,'Configuración'!$B$34,'Configuración'!$B$35)))))</f>
        <v>12</v>
      </c>
      <c r="V1893" s="38">
        <f>IF(B1893="","",IF(K1893="Sí",'Configuración'!$B$5,0)+IF(L1893="Semanal",'Configuración'!$B$6,IF(L1893="Mensual",'Configuración'!$B$7,0))+IF(M1893="Sí",'Configuración'!$B$8,0)+IF(N1893="Sí",'Configuración'!$B$9,0)+IF(O1893="Sí",'Configuración'!$B$10,0)+IF(P1893="Sí",'Configuración'!$B$11,0)+IF(Q1893="Sí",'Configuración'!$B$12,0)+S1893+T1893+U1893)</f>
        <v>20</v>
      </c>
      <c r="W1893" s="39" t="str">
        <f>IF(B1893="","",IF(V1893&gt;='Configuración'!$B$19,"A",IF(V1893&gt;='Configuración'!$B$20,"B",IF(V1893&gt;='Configuración'!$B$21,"C","Descarte"))))</f>
        <v>Descarte</v>
      </c>
    </row>
    <row r="1894" ht="15.75" customHeight="1">
      <c r="A1894" s="34">
        <f t="shared" si="1"/>
        <v>1892</v>
      </c>
      <c r="B1894" s="29" t="s">
        <v>201</v>
      </c>
      <c r="C1894" s="29" t="s">
        <v>10484</v>
      </c>
      <c r="D1894" s="29" t="s">
        <v>10485</v>
      </c>
      <c r="E1894" s="29" t="s">
        <v>10486</v>
      </c>
      <c r="F1894" s="30" t="s">
        <v>10487</v>
      </c>
      <c r="G1894" s="30" t="s">
        <v>10488</v>
      </c>
      <c r="H1894" s="42" t="s">
        <v>10489</v>
      </c>
      <c r="I1894" s="29" t="s">
        <v>4697</v>
      </c>
      <c r="J1894" s="31">
        <v>12.0</v>
      </c>
      <c r="K1894" s="35"/>
      <c r="L1894" s="35"/>
      <c r="M1894" s="35"/>
      <c r="N1894" s="35"/>
      <c r="O1894" s="35"/>
      <c r="P1894" s="35"/>
      <c r="Q1894" s="35"/>
      <c r="R1894" s="35"/>
      <c r="S1894" s="37">
        <f>IF(B1894="","",IF(ISNUMBER(J1894),IF(J1894&lt;=10,'Configuración'!$B$23,IF(J1894&lt;=50,'Configuración'!$B$24,IF(J1894&lt;=200,'Configuración'!$B$25,0))),0))</f>
        <v>4</v>
      </c>
      <c r="T1894" s="37">
        <f>IF(B1894="","",IF(ISNUMBER(SEARCH("information technology",I1894))+ISNUMBER(SEARCH("software",I1894))+ISNUMBER(SEARCH("internet",I1894))+ISNUMBER(SEARCH("computer",I1894))+ISNUMBER(SEARCH("saas",I1894))+ISNUMBER(SEARCH("fintech",I1894))+ISNUMBER(SEARCH("information services",I1894))+ISNUMBER(SEARCH("telecommunications",I1894))&gt;0,'Configuración'!$B$27,'Configuración'!$B$28))</f>
        <v>4</v>
      </c>
      <c r="U1894" s="25">
        <f>IF(B1894="","",IF(ISNUMBER(SEARCH("CEO",C1894))+ISNUMBER(SEARCH("Founder",C1894))+ISNUMBER(SEARCH("Owner",C1894))+ISNUMBER(SEARCH("Dueño",C1894))+ISNUMBER(SEARCH("Director General",C1894))+ISNUMBER(SEARCH("Presidente",C1894))+ISNUMBER(SEARCH("President",C1894))&gt;0,'Configuración'!$B$31,IF(ISNUMBER(SEARCH("CMO",C1894))+ISNUMBER(SEARCH("Chief Marketing",C1894))+ISNUMBER(SEARCH("VP Marketing",C1894))+ISNUMBER(SEARCH("Director de Marketing",C1894))+ISNUMBER(SEARCH("Director Marketing",C1894))+ISNUMBER(SEARCH("Head of Marketing",C1894))+ISNUMBER(SEARCH("Head Marketing",C1894))&gt;0,'Configuración'!$B$32,IF(ISNUMBER(SEARCH("Marketing Manager",C1894))+ISNUMBER(SEARCH("Gerente de Marketing",C1894))+ISNUMBER(SEARCH("Growth Manager",C1894))+ISNUMBER(SEARCH("Demand Gen",C1894))+ISNUMBER(SEARCH("Marketing Lead",C1894))&gt;0,'Configuración'!$B$33,IF(ISNUMBER(SEARCH("COO",C1894))+ISNUMBER(SEARCH("CFO",C1894))+ISNUMBER(SEARCH("CTO",C1894))+ISNUMBER(SEARCH("Chief Operating",C1894))+ISNUMBER(SEARCH("Chief Financial",C1894))+ISNUMBER(SEARCH("Gerente General",C1894))+ISNUMBER(SEARCH("General Manager",C1894))&gt;0,'Configuración'!$B$34,'Configuración'!$B$35)))))</f>
        <v>12</v>
      </c>
      <c r="V1894" s="38">
        <f>IF(B1894="","",IF(K1894="Sí",'Configuración'!$B$5,0)+IF(L1894="Semanal",'Configuración'!$B$6,IF(L1894="Mensual",'Configuración'!$B$7,0))+IF(M1894="Sí",'Configuración'!$B$8,0)+IF(N1894="Sí",'Configuración'!$B$9,0)+IF(O1894="Sí",'Configuración'!$B$10,0)+IF(P1894="Sí",'Configuración'!$B$11,0)+IF(Q1894="Sí",'Configuración'!$B$12,0)+S1894+T1894+U1894)</f>
        <v>20</v>
      </c>
      <c r="W1894" s="39" t="str">
        <f>IF(B1894="","",IF(V1894&gt;='Configuración'!$B$19,"A",IF(V1894&gt;='Configuración'!$B$20,"B",IF(V1894&gt;='Configuración'!$B$21,"C","Descarte"))))</f>
        <v>Descarte</v>
      </c>
    </row>
    <row r="1895" ht="15.75" customHeight="1">
      <c r="A1895" s="34">
        <f t="shared" si="1"/>
        <v>1893</v>
      </c>
      <c r="B1895" s="29" t="s">
        <v>166</v>
      </c>
      <c r="C1895" s="29" t="s">
        <v>10490</v>
      </c>
      <c r="D1895" s="29" t="s">
        <v>10491</v>
      </c>
      <c r="E1895" s="29" t="s">
        <v>10492</v>
      </c>
      <c r="F1895" s="30" t="s">
        <v>10493</v>
      </c>
      <c r="G1895" s="30" t="s">
        <v>10494</v>
      </c>
      <c r="H1895" s="42" t="s">
        <v>10495</v>
      </c>
      <c r="I1895" s="29" t="s">
        <v>127</v>
      </c>
      <c r="J1895" s="31">
        <v>17.0</v>
      </c>
      <c r="K1895" s="35"/>
      <c r="L1895" s="35"/>
      <c r="M1895" s="35"/>
      <c r="N1895" s="35"/>
      <c r="O1895" s="35"/>
      <c r="P1895" s="35"/>
      <c r="Q1895" s="35"/>
      <c r="R1895" s="35"/>
      <c r="S1895" s="37">
        <f>IF(B1895="","",IF(ISNUMBER(J1895),IF(J1895&lt;=10,'Configuración'!$B$23,IF(J1895&lt;=50,'Configuración'!$B$24,IF(J1895&lt;=200,'Configuración'!$B$25,0))),0))</f>
        <v>4</v>
      </c>
      <c r="T1895" s="37">
        <f>IF(B1895="","",IF(ISNUMBER(SEARCH("information technology",I1895))+ISNUMBER(SEARCH("software",I1895))+ISNUMBER(SEARCH("internet",I1895))+ISNUMBER(SEARCH("computer",I1895))+ISNUMBER(SEARCH("saas",I1895))+ISNUMBER(SEARCH("fintech",I1895))+ISNUMBER(SEARCH("information services",I1895))+ISNUMBER(SEARCH("telecommunications",I1895))&gt;0,'Configuración'!$B$27,'Configuración'!$B$28))</f>
        <v>12</v>
      </c>
      <c r="U1895" s="25">
        <f>IF(B1895="","",IF(ISNUMBER(SEARCH("CEO",C1895))+ISNUMBER(SEARCH("Founder",C1895))+ISNUMBER(SEARCH("Owner",C1895))+ISNUMBER(SEARCH("Dueño",C1895))+ISNUMBER(SEARCH("Director General",C1895))+ISNUMBER(SEARCH("Presidente",C1895))+ISNUMBER(SEARCH("President",C1895))&gt;0,'Configuración'!$B$31,IF(ISNUMBER(SEARCH("CMO",C1895))+ISNUMBER(SEARCH("Chief Marketing",C1895))+ISNUMBER(SEARCH("VP Marketing",C1895))+ISNUMBER(SEARCH("Director de Marketing",C1895))+ISNUMBER(SEARCH("Director Marketing",C1895))+ISNUMBER(SEARCH("Head of Marketing",C1895))+ISNUMBER(SEARCH("Head Marketing",C1895))&gt;0,'Configuración'!$B$32,IF(ISNUMBER(SEARCH("Marketing Manager",C1895))+ISNUMBER(SEARCH("Gerente de Marketing",C1895))+ISNUMBER(SEARCH("Growth Manager",C1895))+ISNUMBER(SEARCH("Demand Gen",C1895))+ISNUMBER(SEARCH("Marketing Lead",C1895))&gt;0,'Configuración'!$B$33,IF(ISNUMBER(SEARCH("COO",C1895))+ISNUMBER(SEARCH("CFO",C1895))+ISNUMBER(SEARCH("CTO",C1895))+ISNUMBER(SEARCH("Chief Operating",C1895))+ISNUMBER(SEARCH("Chief Financial",C1895))+ISNUMBER(SEARCH("Gerente General",C1895))+ISNUMBER(SEARCH("General Manager",C1895))&gt;0,'Configuración'!$B$34,'Configuración'!$B$35)))))</f>
        <v>4</v>
      </c>
      <c r="V1895" s="38">
        <f>IF(B1895="","",IF(K1895="Sí",'Configuración'!$B$5,0)+IF(L1895="Semanal",'Configuración'!$B$6,IF(L1895="Mensual",'Configuración'!$B$7,0))+IF(M1895="Sí",'Configuración'!$B$8,0)+IF(N1895="Sí",'Configuración'!$B$9,0)+IF(O1895="Sí",'Configuración'!$B$10,0)+IF(P1895="Sí",'Configuración'!$B$11,0)+IF(Q1895="Sí",'Configuración'!$B$12,0)+S1895+T1895+U1895)</f>
        <v>20</v>
      </c>
      <c r="W1895" s="39" t="str">
        <f>IF(B1895="","",IF(V1895&gt;='Configuración'!$B$19,"A",IF(V1895&gt;='Configuración'!$B$20,"B",IF(V1895&gt;='Configuración'!$B$21,"C","Descarte"))))</f>
        <v>Descarte</v>
      </c>
    </row>
    <row r="1896" ht="15.75" customHeight="1">
      <c r="A1896" s="34">
        <f t="shared" si="1"/>
        <v>1894</v>
      </c>
      <c r="B1896" s="29" t="s">
        <v>166</v>
      </c>
      <c r="C1896" s="29" t="s">
        <v>131</v>
      </c>
      <c r="D1896" s="29" t="s">
        <v>10496</v>
      </c>
      <c r="E1896" s="29" t="s">
        <v>10497</v>
      </c>
      <c r="F1896" s="30" t="s">
        <v>10498</v>
      </c>
      <c r="G1896" s="30" t="s">
        <v>10499</v>
      </c>
      <c r="H1896" s="42" t="s">
        <v>10500</v>
      </c>
      <c r="I1896" s="29" t="s">
        <v>116</v>
      </c>
      <c r="J1896" s="31">
        <v>1.0</v>
      </c>
      <c r="K1896" s="35"/>
      <c r="L1896" s="35"/>
      <c r="M1896" s="35"/>
      <c r="N1896" s="35"/>
      <c r="O1896" s="35"/>
      <c r="P1896" s="35"/>
      <c r="Q1896" s="35"/>
      <c r="R1896" s="35"/>
      <c r="S1896" s="37">
        <f>IF(B1896="","",IF(ISNUMBER(J1896),IF(J1896&lt;=10,'Configuración'!$B$23,IF(J1896&lt;=50,'Configuración'!$B$24,IF(J1896&lt;=200,'Configuración'!$B$25,0))),0))</f>
        <v>12</v>
      </c>
      <c r="T1896" s="37">
        <f>IF(B1896="","",IF(ISNUMBER(SEARCH("information technology",I1896))+ISNUMBER(SEARCH("software",I1896))+ISNUMBER(SEARCH("internet",I1896))+ISNUMBER(SEARCH("computer",I1896))+ISNUMBER(SEARCH("saas",I1896))+ISNUMBER(SEARCH("fintech",I1896))+ISNUMBER(SEARCH("information services",I1896))+ISNUMBER(SEARCH("telecommunications",I1896))&gt;0,'Configuración'!$B$27,'Configuración'!$B$28))</f>
        <v>4</v>
      </c>
      <c r="U1896" s="25">
        <f>IF(B1896="","",IF(ISNUMBER(SEARCH("CEO",C1896))+ISNUMBER(SEARCH("Founder",C1896))+ISNUMBER(SEARCH("Owner",C1896))+ISNUMBER(SEARCH("Dueño",C1896))+ISNUMBER(SEARCH("Director General",C1896))+ISNUMBER(SEARCH("Presidente",C1896))+ISNUMBER(SEARCH("President",C1896))&gt;0,'Configuración'!$B$31,IF(ISNUMBER(SEARCH("CMO",C1896))+ISNUMBER(SEARCH("Chief Marketing",C1896))+ISNUMBER(SEARCH("VP Marketing",C1896))+ISNUMBER(SEARCH("Director de Marketing",C1896))+ISNUMBER(SEARCH("Director Marketing",C1896))+ISNUMBER(SEARCH("Head of Marketing",C1896))+ISNUMBER(SEARCH("Head Marketing",C1896))&gt;0,'Configuración'!$B$32,IF(ISNUMBER(SEARCH("Marketing Manager",C1896))+ISNUMBER(SEARCH("Gerente de Marketing",C1896))+ISNUMBER(SEARCH("Growth Manager",C1896))+ISNUMBER(SEARCH("Demand Gen",C1896))+ISNUMBER(SEARCH("Marketing Lead",C1896))&gt;0,'Configuración'!$B$33,IF(ISNUMBER(SEARCH("COO",C1896))+ISNUMBER(SEARCH("CFO",C1896))+ISNUMBER(SEARCH("CTO",C1896))+ISNUMBER(SEARCH("Chief Operating",C1896))+ISNUMBER(SEARCH("Chief Financial",C1896))+ISNUMBER(SEARCH("Gerente General",C1896))+ISNUMBER(SEARCH("General Manager",C1896))&gt;0,'Configuración'!$B$34,'Configuración'!$B$35)))))</f>
        <v>12</v>
      </c>
      <c r="V1896" s="38">
        <f>IF(B1896="","",IF(K1896="Sí",'Configuración'!$B$5,0)+IF(L1896="Semanal",'Configuración'!$B$6,IF(L1896="Mensual",'Configuración'!$B$7,0))+IF(M1896="Sí",'Configuración'!$B$8,0)+IF(N1896="Sí",'Configuración'!$B$9,0)+IF(O1896="Sí",'Configuración'!$B$10,0)+IF(P1896="Sí",'Configuración'!$B$11,0)+IF(Q1896="Sí",'Configuración'!$B$12,0)+S1896+T1896+U1896)</f>
        <v>28</v>
      </c>
      <c r="W1896" s="39" t="str">
        <f>IF(B1896="","",IF(V1896&gt;='Configuración'!$B$19,"A",IF(V1896&gt;='Configuración'!$B$20,"B",IF(V1896&gt;='Configuración'!$B$21,"C","Descarte"))))</f>
        <v>C</v>
      </c>
    </row>
    <row r="1897" ht="15.75" customHeight="1">
      <c r="A1897" s="34">
        <f t="shared" si="1"/>
        <v>1895</v>
      </c>
      <c r="B1897" s="29" t="s">
        <v>4541</v>
      </c>
      <c r="C1897" s="29" t="s">
        <v>202</v>
      </c>
      <c r="D1897" s="29" t="s">
        <v>10501</v>
      </c>
      <c r="E1897" s="29" t="s">
        <v>10502</v>
      </c>
      <c r="F1897" s="30" t="s">
        <v>10503</v>
      </c>
      <c r="G1897" s="30" t="s">
        <v>10504</v>
      </c>
      <c r="H1897" s="42" t="s">
        <v>10505</v>
      </c>
      <c r="I1897" s="29" t="s">
        <v>137</v>
      </c>
      <c r="J1897" s="31">
        <v>15.0</v>
      </c>
      <c r="K1897" s="35"/>
      <c r="L1897" s="35"/>
      <c r="M1897" s="35"/>
      <c r="N1897" s="35"/>
      <c r="O1897" s="35"/>
      <c r="P1897" s="35"/>
      <c r="Q1897" s="35"/>
      <c r="R1897" s="35"/>
      <c r="S1897" s="37">
        <f>IF(B1897="","",IF(ISNUMBER(J1897),IF(J1897&lt;=10,'Configuración'!$B$23,IF(J1897&lt;=50,'Configuración'!$B$24,IF(J1897&lt;=200,'Configuración'!$B$25,0))),0))</f>
        <v>4</v>
      </c>
      <c r="T1897" s="37">
        <f>IF(B1897="","",IF(ISNUMBER(SEARCH("information technology",I1897))+ISNUMBER(SEARCH("software",I1897))+ISNUMBER(SEARCH("internet",I1897))+ISNUMBER(SEARCH("computer",I1897))+ISNUMBER(SEARCH("saas",I1897))+ISNUMBER(SEARCH("fintech",I1897))+ISNUMBER(SEARCH("information services",I1897))+ISNUMBER(SEARCH("telecommunications",I1897))&gt;0,'Configuración'!$B$27,'Configuración'!$B$28))</f>
        <v>4</v>
      </c>
      <c r="U1897" s="25">
        <f>IF(B1897="","",IF(ISNUMBER(SEARCH("CEO",C1897))+ISNUMBER(SEARCH("Founder",C1897))+ISNUMBER(SEARCH("Owner",C1897))+ISNUMBER(SEARCH("Dueño",C1897))+ISNUMBER(SEARCH("Director General",C1897))+ISNUMBER(SEARCH("Presidente",C1897))+ISNUMBER(SEARCH("President",C1897))&gt;0,'Configuración'!$B$31,IF(ISNUMBER(SEARCH("CMO",C1897))+ISNUMBER(SEARCH("Chief Marketing",C1897))+ISNUMBER(SEARCH("VP Marketing",C1897))+ISNUMBER(SEARCH("Director de Marketing",C1897))+ISNUMBER(SEARCH("Director Marketing",C1897))+ISNUMBER(SEARCH("Head of Marketing",C1897))+ISNUMBER(SEARCH("Head Marketing",C1897))&gt;0,'Configuración'!$B$32,IF(ISNUMBER(SEARCH("Marketing Manager",C1897))+ISNUMBER(SEARCH("Gerente de Marketing",C1897))+ISNUMBER(SEARCH("Growth Manager",C1897))+ISNUMBER(SEARCH("Demand Gen",C1897))+ISNUMBER(SEARCH("Marketing Lead",C1897))&gt;0,'Configuración'!$B$33,IF(ISNUMBER(SEARCH("COO",C1897))+ISNUMBER(SEARCH("CFO",C1897))+ISNUMBER(SEARCH("CTO",C1897))+ISNUMBER(SEARCH("Chief Operating",C1897))+ISNUMBER(SEARCH("Chief Financial",C1897))+ISNUMBER(SEARCH("Gerente General",C1897))+ISNUMBER(SEARCH("General Manager",C1897))&gt;0,'Configuración'!$B$34,'Configuración'!$B$35)))))</f>
        <v>12</v>
      </c>
      <c r="V1897" s="38">
        <f>IF(B1897="","",IF(K1897="Sí",'Configuración'!$B$5,0)+IF(L1897="Semanal",'Configuración'!$B$6,IF(L1897="Mensual",'Configuración'!$B$7,0))+IF(M1897="Sí",'Configuración'!$B$8,0)+IF(N1897="Sí",'Configuración'!$B$9,0)+IF(O1897="Sí",'Configuración'!$B$10,0)+IF(P1897="Sí",'Configuración'!$B$11,0)+IF(Q1897="Sí",'Configuración'!$B$12,0)+S1897+T1897+U1897)</f>
        <v>20</v>
      </c>
      <c r="W1897" s="39" t="str">
        <f>IF(B1897="","",IF(V1897&gt;='Configuración'!$B$19,"A",IF(V1897&gt;='Configuración'!$B$20,"B",IF(V1897&gt;='Configuración'!$B$21,"C","Descarte"))))</f>
        <v>Descarte</v>
      </c>
    </row>
    <row r="1898" ht="15.75" customHeight="1">
      <c r="A1898" s="34">
        <f t="shared" si="1"/>
        <v>1896</v>
      </c>
      <c r="B1898" s="29" t="s">
        <v>1821</v>
      </c>
      <c r="C1898" s="29" t="s">
        <v>10506</v>
      </c>
      <c r="D1898" s="29" t="s">
        <v>10507</v>
      </c>
      <c r="E1898" s="29" t="s">
        <v>10508</v>
      </c>
      <c r="F1898" s="30" t="s">
        <v>10509</v>
      </c>
      <c r="G1898" s="30" t="s">
        <v>10510</v>
      </c>
      <c r="H1898" s="42" t="s">
        <v>10511</v>
      </c>
      <c r="I1898" s="29" t="s">
        <v>3212</v>
      </c>
      <c r="J1898" s="31">
        <v>39.0</v>
      </c>
      <c r="K1898" s="35"/>
      <c r="L1898" s="35"/>
      <c r="M1898" s="35"/>
      <c r="N1898" s="35"/>
      <c r="O1898" s="35"/>
      <c r="P1898" s="35"/>
      <c r="Q1898" s="35"/>
      <c r="R1898" s="35"/>
      <c r="S1898" s="37">
        <f>IF(B1898="","",IF(ISNUMBER(J1898),IF(J1898&lt;=10,'Configuración'!$B$23,IF(J1898&lt;=50,'Configuración'!$B$24,IF(J1898&lt;=200,'Configuración'!$B$25,0))),0))</f>
        <v>4</v>
      </c>
      <c r="T1898" s="37">
        <f>IF(B1898="","",IF(ISNUMBER(SEARCH("information technology",I1898))+ISNUMBER(SEARCH("software",I1898))+ISNUMBER(SEARCH("internet",I1898))+ISNUMBER(SEARCH("computer",I1898))+ISNUMBER(SEARCH("saas",I1898))+ISNUMBER(SEARCH("fintech",I1898))+ISNUMBER(SEARCH("information services",I1898))+ISNUMBER(SEARCH("telecommunications",I1898))&gt;0,'Configuración'!$B$27,'Configuración'!$B$28))</f>
        <v>4</v>
      </c>
      <c r="U1898" s="25">
        <f>IF(B1898="","",IF(ISNUMBER(SEARCH("CEO",C1898))+ISNUMBER(SEARCH("Founder",C1898))+ISNUMBER(SEARCH("Owner",C1898))+ISNUMBER(SEARCH("Dueño",C1898))+ISNUMBER(SEARCH("Director General",C1898))+ISNUMBER(SEARCH("Presidente",C1898))+ISNUMBER(SEARCH("President",C1898))&gt;0,'Configuración'!$B$31,IF(ISNUMBER(SEARCH("CMO",C1898))+ISNUMBER(SEARCH("Chief Marketing",C1898))+ISNUMBER(SEARCH("VP Marketing",C1898))+ISNUMBER(SEARCH("Director de Marketing",C1898))+ISNUMBER(SEARCH("Director Marketing",C1898))+ISNUMBER(SEARCH("Head of Marketing",C1898))+ISNUMBER(SEARCH("Head Marketing",C1898))&gt;0,'Configuración'!$B$32,IF(ISNUMBER(SEARCH("Marketing Manager",C1898))+ISNUMBER(SEARCH("Gerente de Marketing",C1898))+ISNUMBER(SEARCH("Growth Manager",C1898))+ISNUMBER(SEARCH("Demand Gen",C1898))+ISNUMBER(SEARCH("Marketing Lead",C1898))&gt;0,'Configuración'!$B$33,IF(ISNUMBER(SEARCH("COO",C1898))+ISNUMBER(SEARCH("CFO",C1898))+ISNUMBER(SEARCH("CTO",C1898))+ISNUMBER(SEARCH("Chief Operating",C1898))+ISNUMBER(SEARCH("Chief Financial",C1898))+ISNUMBER(SEARCH("Gerente General",C1898))+ISNUMBER(SEARCH("General Manager",C1898))&gt;0,'Configuración'!$B$34,'Configuración'!$B$35)))))</f>
        <v>12</v>
      </c>
      <c r="V1898" s="38">
        <f>IF(B1898="","",IF(K1898="Sí",'Configuración'!$B$5,0)+IF(L1898="Semanal",'Configuración'!$B$6,IF(L1898="Mensual",'Configuración'!$B$7,0))+IF(M1898="Sí",'Configuración'!$B$8,0)+IF(N1898="Sí",'Configuración'!$B$9,0)+IF(O1898="Sí",'Configuración'!$B$10,0)+IF(P1898="Sí",'Configuración'!$B$11,0)+IF(Q1898="Sí",'Configuración'!$B$12,0)+S1898+T1898+U1898)</f>
        <v>20</v>
      </c>
      <c r="W1898" s="39" t="str">
        <f>IF(B1898="","",IF(V1898&gt;='Configuración'!$B$19,"A",IF(V1898&gt;='Configuración'!$B$20,"B",IF(V1898&gt;='Configuración'!$B$21,"C","Descarte"))))</f>
        <v>Descarte</v>
      </c>
    </row>
    <row r="1899" ht="15.75" customHeight="1">
      <c r="A1899" s="34">
        <f t="shared" si="1"/>
        <v>1897</v>
      </c>
      <c r="B1899" s="29" t="s">
        <v>481</v>
      </c>
      <c r="C1899" s="29" t="s">
        <v>175</v>
      </c>
      <c r="D1899" s="29" t="s">
        <v>10512</v>
      </c>
      <c r="E1899" s="29" t="s">
        <v>10513</v>
      </c>
      <c r="F1899" s="30" t="s">
        <v>10514</v>
      </c>
      <c r="G1899" s="30" t="s">
        <v>10515</v>
      </c>
      <c r="H1899" s="42" t="s">
        <v>10516</v>
      </c>
      <c r="I1899" s="29" t="s">
        <v>500</v>
      </c>
      <c r="J1899" s="31">
        <v>16.0</v>
      </c>
      <c r="K1899" s="35"/>
      <c r="L1899" s="35"/>
      <c r="M1899" s="35"/>
      <c r="N1899" s="35"/>
      <c r="O1899" s="35"/>
      <c r="P1899" s="35"/>
      <c r="Q1899" s="35"/>
      <c r="R1899" s="35"/>
      <c r="S1899" s="37">
        <f>IF(B1899="","",IF(ISNUMBER(J1899),IF(J1899&lt;=10,'Configuración'!$B$23,IF(J1899&lt;=50,'Configuración'!$B$24,IF(J1899&lt;=200,'Configuración'!$B$25,0))),0))</f>
        <v>4</v>
      </c>
      <c r="T1899" s="37">
        <f>IF(B1899="","",IF(ISNUMBER(SEARCH("information technology",I1899))+ISNUMBER(SEARCH("software",I1899))+ISNUMBER(SEARCH("internet",I1899))+ISNUMBER(SEARCH("computer",I1899))+ISNUMBER(SEARCH("saas",I1899))+ISNUMBER(SEARCH("fintech",I1899))+ISNUMBER(SEARCH("information services",I1899))+ISNUMBER(SEARCH("telecommunications",I1899))&gt;0,'Configuración'!$B$27,'Configuración'!$B$28))</f>
        <v>4</v>
      </c>
      <c r="U1899" s="25">
        <f>IF(B1899="","",IF(ISNUMBER(SEARCH("CEO",C1899))+ISNUMBER(SEARCH("Founder",C1899))+ISNUMBER(SEARCH("Owner",C1899))+ISNUMBER(SEARCH("Dueño",C1899))+ISNUMBER(SEARCH("Director General",C1899))+ISNUMBER(SEARCH("Presidente",C1899))+ISNUMBER(SEARCH("President",C1899))&gt;0,'Configuración'!$B$31,IF(ISNUMBER(SEARCH("CMO",C1899))+ISNUMBER(SEARCH("Chief Marketing",C1899))+ISNUMBER(SEARCH("VP Marketing",C1899))+ISNUMBER(SEARCH("Director de Marketing",C1899))+ISNUMBER(SEARCH("Director Marketing",C1899))+ISNUMBER(SEARCH("Head of Marketing",C1899))+ISNUMBER(SEARCH("Head Marketing",C1899))&gt;0,'Configuración'!$B$32,IF(ISNUMBER(SEARCH("Marketing Manager",C1899))+ISNUMBER(SEARCH("Gerente de Marketing",C1899))+ISNUMBER(SEARCH("Growth Manager",C1899))+ISNUMBER(SEARCH("Demand Gen",C1899))+ISNUMBER(SEARCH("Marketing Lead",C1899))&gt;0,'Configuración'!$B$33,IF(ISNUMBER(SEARCH("COO",C1899))+ISNUMBER(SEARCH("CFO",C1899))+ISNUMBER(SEARCH("CTO",C1899))+ISNUMBER(SEARCH("Chief Operating",C1899))+ISNUMBER(SEARCH("Chief Financial",C1899))+ISNUMBER(SEARCH("Gerente General",C1899))+ISNUMBER(SEARCH("General Manager",C1899))&gt;0,'Configuración'!$B$34,'Configuración'!$B$35)))))</f>
        <v>12</v>
      </c>
      <c r="V1899" s="38">
        <f>IF(B1899="","",IF(K1899="Sí",'Configuración'!$B$5,0)+IF(L1899="Semanal",'Configuración'!$B$6,IF(L1899="Mensual",'Configuración'!$B$7,0))+IF(M1899="Sí",'Configuración'!$B$8,0)+IF(N1899="Sí",'Configuración'!$B$9,0)+IF(O1899="Sí",'Configuración'!$B$10,0)+IF(P1899="Sí",'Configuración'!$B$11,0)+IF(Q1899="Sí",'Configuración'!$B$12,0)+S1899+T1899+U1899)</f>
        <v>20</v>
      </c>
      <c r="W1899" s="39" t="str">
        <f>IF(B1899="","",IF(V1899&gt;='Configuración'!$B$19,"A",IF(V1899&gt;='Configuración'!$B$20,"B",IF(V1899&gt;='Configuración'!$B$21,"C","Descarte"))))</f>
        <v>Descarte</v>
      </c>
    </row>
    <row r="1900" ht="15.75" customHeight="1">
      <c r="A1900" s="34">
        <f t="shared" si="1"/>
        <v>1898</v>
      </c>
      <c r="B1900" s="29" t="s">
        <v>236</v>
      </c>
      <c r="C1900" s="29" t="s">
        <v>2459</v>
      </c>
      <c r="D1900" s="29" t="s">
        <v>10517</v>
      </c>
      <c r="E1900" s="29" t="s">
        <v>10518</v>
      </c>
      <c r="F1900" s="30" t="s">
        <v>10519</v>
      </c>
      <c r="G1900" s="30" t="s">
        <v>10520</v>
      </c>
      <c r="H1900" s="42" t="s">
        <v>10521</v>
      </c>
      <c r="I1900" s="29" t="s">
        <v>1343</v>
      </c>
      <c r="J1900" s="31">
        <v>3.0</v>
      </c>
      <c r="K1900" s="35"/>
      <c r="L1900" s="35"/>
      <c r="M1900" s="35"/>
      <c r="N1900" s="35"/>
      <c r="O1900" s="35"/>
      <c r="P1900" s="35"/>
      <c r="Q1900" s="35"/>
      <c r="R1900" s="35"/>
      <c r="S1900" s="37">
        <f>IF(B1900="","",IF(ISNUMBER(J1900),IF(J1900&lt;=10,'Configuración'!$B$23,IF(J1900&lt;=50,'Configuración'!$B$24,IF(J1900&lt;=200,'Configuración'!$B$25,0))),0))</f>
        <v>12</v>
      </c>
      <c r="T1900" s="37">
        <f>IF(B1900="","",IF(ISNUMBER(SEARCH("information technology",I1900))+ISNUMBER(SEARCH("software",I1900))+ISNUMBER(SEARCH("internet",I1900))+ISNUMBER(SEARCH("computer",I1900))+ISNUMBER(SEARCH("saas",I1900))+ISNUMBER(SEARCH("fintech",I1900))+ISNUMBER(SEARCH("information services",I1900))+ISNUMBER(SEARCH("telecommunications",I1900))&gt;0,'Configuración'!$B$27,'Configuración'!$B$28))</f>
        <v>4</v>
      </c>
      <c r="U1900" s="25">
        <f>IF(B1900="","",IF(ISNUMBER(SEARCH("CEO",C1900))+ISNUMBER(SEARCH("Founder",C1900))+ISNUMBER(SEARCH("Owner",C1900))+ISNUMBER(SEARCH("Dueño",C1900))+ISNUMBER(SEARCH("Director General",C1900))+ISNUMBER(SEARCH("Presidente",C1900))+ISNUMBER(SEARCH("President",C1900))&gt;0,'Configuración'!$B$31,IF(ISNUMBER(SEARCH("CMO",C1900))+ISNUMBER(SEARCH("Chief Marketing",C1900))+ISNUMBER(SEARCH("VP Marketing",C1900))+ISNUMBER(SEARCH("Director de Marketing",C1900))+ISNUMBER(SEARCH("Director Marketing",C1900))+ISNUMBER(SEARCH("Head of Marketing",C1900))+ISNUMBER(SEARCH("Head Marketing",C1900))&gt;0,'Configuración'!$B$32,IF(ISNUMBER(SEARCH("Marketing Manager",C1900))+ISNUMBER(SEARCH("Gerente de Marketing",C1900))+ISNUMBER(SEARCH("Growth Manager",C1900))+ISNUMBER(SEARCH("Demand Gen",C1900))+ISNUMBER(SEARCH("Marketing Lead",C1900))&gt;0,'Configuración'!$B$33,IF(ISNUMBER(SEARCH("COO",C1900))+ISNUMBER(SEARCH("CFO",C1900))+ISNUMBER(SEARCH("CTO",C1900))+ISNUMBER(SEARCH("Chief Operating",C1900))+ISNUMBER(SEARCH("Chief Financial",C1900))+ISNUMBER(SEARCH("Gerente General",C1900))+ISNUMBER(SEARCH("General Manager",C1900))&gt;0,'Configuración'!$B$34,'Configuración'!$B$35)))))</f>
        <v>12</v>
      </c>
      <c r="V1900" s="38">
        <f>IF(B1900="","",IF(K1900="Sí",'Configuración'!$B$5,0)+IF(L1900="Semanal",'Configuración'!$B$6,IF(L1900="Mensual",'Configuración'!$B$7,0))+IF(M1900="Sí",'Configuración'!$B$8,0)+IF(N1900="Sí",'Configuración'!$B$9,0)+IF(O1900="Sí",'Configuración'!$B$10,0)+IF(P1900="Sí",'Configuración'!$B$11,0)+IF(Q1900="Sí",'Configuración'!$B$12,0)+S1900+T1900+U1900)</f>
        <v>28</v>
      </c>
      <c r="W1900" s="39" t="str">
        <f>IF(B1900="","",IF(V1900&gt;='Configuración'!$B$19,"A",IF(V1900&gt;='Configuración'!$B$20,"B",IF(V1900&gt;='Configuración'!$B$21,"C","Descarte"))))</f>
        <v>C</v>
      </c>
    </row>
    <row r="1901" ht="15.75" customHeight="1">
      <c r="A1901" s="34">
        <f t="shared" si="1"/>
        <v>1899</v>
      </c>
      <c r="B1901" s="29" t="s">
        <v>174</v>
      </c>
      <c r="C1901" s="29" t="s">
        <v>202</v>
      </c>
      <c r="D1901" s="29" t="s">
        <v>10522</v>
      </c>
      <c r="E1901" s="29" t="s">
        <v>10523</v>
      </c>
      <c r="F1901" s="30" t="s">
        <v>10524</v>
      </c>
      <c r="G1901" s="30" t="s">
        <v>10525</v>
      </c>
      <c r="H1901" s="42" t="s">
        <v>10526</v>
      </c>
      <c r="I1901" s="29" t="s">
        <v>310</v>
      </c>
      <c r="J1901" s="31">
        <v>11.0</v>
      </c>
      <c r="K1901" s="35"/>
      <c r="L1901" s="35"/>
      <c r="M1901" s="35"/>
      <c r="N1901" s="35"/>
      <c r="O1901" s="35"/>
      <c r="P1901" s="35"/>
      <c r="Q1901" s="35"/>
      <c r="R1901" s="35"/>
      <c r="S1901" s="37">
        <f>IF(B1901="","",IF(ISNUMBER(J1901),IF(J1901&lt;=10,'Configuración'!$B$23,IF(J1901&lt;=50,'Configuración'!$B$24,IF(J1901&lt;=200,'Configuración'!$B$25,0))),0))</f>
        <v>4</v>
      </c>
      <c r="T1901" s="37">
        <f>IF(B1901="","",IF(ISNUMBER(SEARCH("information technology",I1901))+ISNUMBER(SEARCH("software",I1901))+ISNUMBER(SEARCH("internet",I1901))+ISNUMBER(SEARCH("computer",I1901))+ISNUMBER(SEARCH("saas",I1901))+ISNUMBER(SEARCH("fintech",I1901))+ISNUMBER(SEARCH("information services",I1901))+ISNUMBER(SEARCH("telecommunications",I1901))&gt;0,'Configuración'!$B$27,'Configuración'!$B$28))</f>
        <v>4</v>
      </c>
      <c r="U1901" s="25">
        <f>IF(B1901="","",IF(ISNUMBER(SEARCH("CEO",C1901))+ISNUMBER(SEARCH("Founder",C1901))+ISNUMBER(SEARCH("Owner",C1901))+ISNUMBER(SEARCH("Dueño",C1901))+ISNUMBER(SEARCH("Director General",C1901))+ISNUMBER(SEARCH("Presidente",C1901))+ISNUMBER(SEARCH("President",C1901))&gt;0,'Configuración'!$B$31,IF(ISNUMBER(SEARCH("CMO",C1901))+ISNUMBER(SEARCH("Chief Marketing",C1901))+ISNUMBER(SEARCH("VP Marketing",C1901))+ISNUMBER(SEARCH("Director de Marketing",C1901))+ISNUMBER(SEARCH("Director Marketing",C1901))+ISNUMBER(SEARCH("Head of Marketing",C1901))+ISNUMBER(SEARCH("Head Marketing",C1901))&gt;0,'Configuración'!$B$32,IF(ISNUMBER(SEARCH("Marketing Manager",C1901))+ISNUMBER(SEARCH("Gerente de Marketing",C1901))+ISNUMBER(SEARCH("Growth Manager",C1901))+ISNUMBER(SEARCH("Demand Gen",C1901))+ISNUMBER(SEARCH("Marketing Lead",C1901))&gt;0,'Configuración'!$B$33,IF(ISNUMBER(SEARCH("COO",C1901))+ISNUMBER(SEARCH("CFO",C1901))+ISNUMBER(SEARCH("CTO",C1901))+ISNUMBER(SEARCH("Chief Operating",C1901))+ISNUMBER(SEARCH("Chief Financial",C1901))+ISNUMBER(SEARCH("Gerente General",C1901))+ISNUMBER(SEARCH("General Manager",C1901))&gt;0,'Configuración'!$B$34,'Configuración'!$B$35)))))</f>
        <v>12</v>
      </c>
      <c r="V1901" s="38">
        <f>IF(B1901="","",IF(K1901="Sí",'Configuración'!$B$5,0)+IF(L1901="Semanal",'Configuración'!$B$6,IF(L1901="Mensual",'Configuración'!$B$7,0))+IF(M1901="Sí",'Configuración'!$B$8,0)+IF(N1901="Sí",'Configuración'!$B$9,0)+IF(O1901="Sí",'Configuración'!$B$10,0)+IF(P1901="Sí",'Configuración'!$B$11,0)+IF(Q1901="Sí",'Configuración'!$B$12,0)+S1901+T1901+U1901)</f>
        <v>20</v>
      </c>
      <c r="W1901" s="39" t="str">
        <f>IF(B1901="","",IF(V1901&gt;='Configuración'!$B$19,"A",IF(V1901&gt;='Configuración'!$B$20,"B",IF(V1901&gt;='Configuración'!$B$21,"C","Descarte"))))</f>
        <v>Descarte</v>
      </c>
    </row>
    <row r="1902" ht="15.75" customHeight="1">
      <c r="A1902" s="34">
        <f t="shared" si="1"/>
        <v>1900</v>
      </c>
      <c r="B1902" s="29" t="s">
        <v>10527</v>
      </c>
      <c r="C1902" s="29" t="s">
        <v>202</v>
      </c>
      <c r="D1902" s="40" t="s">
        <v>10528</v>
      </c>
      <c r="E1902" s="29" t="s">
        <v>10529</v>
      </c>
      <c r="F1902" s="30" t="s">
        <v>10530</v>
      </c>
      <c r="G1902" s="30" t="s">
        <v>10531</v>
      </c>
      <c r="H1902" s="42" t="s">
        <v>10532</v>
      </c>
      <c r="I1902" s="29" t="s">
        <v>127</v>
      </c>
      <c r="J1902" s="31">
        <v>8.0</v>
      </c>
      <c r="K1902" s="35"/>
      <c r="L1902" s="35"/>
      <c r="M1902" s="35"/>
      <c r="N1902" s="35"/>
      <c r="O1902" s="35"/>
      <c r="P1902" s="35"/>
      <c r="Q1902" s="35"/>
      <c r="R1902" s="35"/>
      <c r="S1902" s="37">
        <f>IF(B1902="","",IF(ISNUMBER(J1902),IF(J1902&lt;=10,'Configuración'!$B$23,IF(J1902&lt;=50,'Configuración'!$B$24,IF(J1902&lt;=200,'Configuración'!$B$25,0))),0))</f>
        <v>12</v>
      </c>
      <c r="T1902" s="37">
        <f>IF(B1902="","",IF(ISNUMBER(SEARCH("information technology",I1902))+ISNUMBER(SEARCH("software",I1902))+ISNUMBER(SEARCH("internet",I1902))+ISNUMBER(SEARCH("computer",I1902))+ISNUMBER(SEARCH("saas",I1902))+ISNUMBER(SEARCH("fintech",I1902))+ISNUMBER(SEARCH("information services",I1902))+ISNUMBER(SEARCH("telecommunications",I1902))&gt;0,'Configuración'!$B$27,'Configuración'!$B$28))</f>
        <v>12</v>
      </c>
      <c r="U1902" s="25">
        <f>IF(B1902="","",IF(ISNUMBER(SEARCH("CEO",C1902))+ISNUMBER(SEARCH("Founder",C1902))+ISNUMBER(SEARCH("Owner",C1902))+ISNUMBER(SEARCH("Dueño",C1902))+ISNUMBER(SEARCH("Director General",C1902))+ISNUMBER(SEARCH("Presidente",C1902))+ISNUMBER(SEARCH("President",C1902))&gt;0,'Configuración'!$B$31,IF(ISNUMBER(SEARCH("CMO",C1902))+ISNUMBER(SEARCH("Chief Marketing",C1902))+ISNUMBER(SEARCH("VP Marketing",C1902))+ISNUMBER(SEARCH("Director de Marketing",C1902))+ISNUMBER(SEARCH("Director Marketing",C1902))+ISNUMBER(SEARCH("Head of Marketing",C1902))+ISNUMBER(SEARCH("Head Marketing",C1902))&gt;0,'Configuración'!$B$32,IF(ISNUMBER(SEARCH("Marketing Manager",C1902))+ISNUMBER(SEARCH("Gerente de Marketing",C1902))+ISNUMBER(SEARCH("Growth Manager",C1902))+ISNUMBER(SEARCH("Demand Gen",C1902))+ISNUMBER(SEARCH("Marketing Lead",C1902))&gt;0,'Configuración'!$B$33,IF(ISNUMBER(SEARCH("COO",C1902))+ISNUMBER(SEARCH("CFO",C1902))+ISNUMBER(SEARCH("CTO",C1902))+ISNUMBER(SEARCH("Chief Operating",C1902))+ISNUMBER(SEARCH("Chief Financial",C1902))+ISNUMBER(SEARCH("Gerente General",C1902))+ISNUMBER(SEARCH("General Manager",C1902))&gt;0,'Configuración'!$B$34,'Configuración'!$B$35)))))</f>
        <v>12</v>
      </c>
      <c r="V1902" s="38">
        <f>IF(B1902="","",IF(K1902="Sí",'Configuración'!$B$5,0)+IF(L1902="Semanal",'Configuración'!$B$6,IF(L1902="Mensual",'Configuración'!$B$7,0))+IF(M1902="Sí",'Configuración'!$B$8,0)+IF(N1902="Sí",'Configuración'!$B$9,0)+IF(O1902="Sí",'Configuración'!$B$10,0)+IF(P1902="Sí",'Configuración'!$B$11,0)+IF(Q1902="Sí",'Configuración'!$B$12,0)+S1902+T1902+U1902)</f>
        <v>36</v>
      </c>
      <c r="W1902" s="39" t="str">
        <f>IF(B1902="","",IF(V1902&gt;='Configuración'!$B$19,"A",IF(V1902&gt;='Configuración'!$B$20,"B",IF(V1902&gt;='Configuración'!$B$21,"C","Descarte"))))</f>
        <v>C</v>
      </c>
    </row>
    <row r="1903" ht="15.75" customHeight="1">
      <c r="A1903" s="34">
        <f t="shared" si="1"/>
        <v>1901</v>
      </c>
      <c r="B1903" s="29" t="s">
        <v>2897</v>
      </c>
      <c r="C1903" s="29" t="s">
        <v>131</v>
      </c>
      <c r="D1903" s="30" t="s">
        <v>10533</v>
      </c>
      <c r="E1903" s="29" t="s">
        <v>10534</v>
      </c>
      <c r="F1903" s="30" t="s">
        <v>10535</v>
      </c>
      <c r="G1903" s="30" t="s">
        <v>10536</v>
      </c>
      <c r="H1903" s="42" t="s">
        <v>10537</v>
      </c>
      <c r="I1903" s="29" t="s">
        <v>127</v>
      </c>
      <c r="J1903" s="31">
        <v>6.0</v>
      </c>
      <c r="K1903" s="35"/>
      <c r="L1903" s="35"/>
      <c r="M1903" s="35"/>
      <c r="N1903" s="35"/>
      <c r="O1903" s="35"/>
      <c r="P1903" s="35"/>
      <c r="Q1903" s="35"/>
      <c r="R1903" s="35"/>
      <c r="S1903" s="37">
        <f>IF(B1903="","",IF(ISNUMBER(J1903),IF(J1903&lt;=10,'Configuración'!$B$23,IF(J1903&lt;=50,'Configuración'!$B$24,IF(J1903&lt;=200,'Configuración'!$B$25,0))),0))</f>
        <v>12</v>
      </c>
      <c r="T1903" s="37">
        <f>IF(B1903="","",IF(ISNUMBER(SEARCH("information technology",I1903))+ISNUMBER(SEARCH("software",I1903))+ISNUMBER(SEARCH("internet",I1903))+ISNUMBER(SEARCH("computer",I1903))+ISNUMBER(SEARCH("saas",I1903))+ISNUMBER(SEARCH("fintech",I1903))+ISNUMBER(SEARCH("information services",I1903))+ISNUMBER(SEARCH("telecommunications",I1903))&gt;0,'Configuración'!$B$27,'Configuración'!$B$28))</f>
        <v>12</v>
      </c>
      <c r="U1903" s="25">
        <f>IF(B1903="","",IF(ISNUMBER(SEARCH("CEO",C1903))+ISNUMBER(SEARCH("Founder",C1903))+ISNUMBER(SEARCH("Owner",C1903))+ISNUMBER(SEARCH("Dueño",C1903))+ISNUMBER(SEARCH("Director General",C1903))+ISNUMBER(SEARCH("Presidente",C1903))+ISNUMBER(SEARCH("President",C1903))&gt;0,'Configuración'!$B$31,IF(ISNUMBER(SEARCH("CMO",C1903))+ISNUMBER(SEARCH("Chief Marketing",C1903))+ISNUMBER(SEARCH("VP Marketing",C1903))+ISNUMBER(SEARCH("Director de Marketing",C1903))+ISNUMBER(SEARCH("Director Marketing",C1903))+ISNUMBER(SEARCH("Head of Marketing",C1903))+ISNUMBER(SEARCH("Head Marketing",C1903))&gt;0,'Configuración'!$B$32,IF(ISNUMBER(SEARCH("Marketing Manager",C1903))+ISNUMBER(SEARCH("Gerente de Marketing",C1903))+ISNUMBER(SEARCH("Growth Manager",C1903))+ISNUMBER(SEARCH("Demand Gen",C1903))+ISNUMBER(SEARCH("Marketing Lead",C1903))&gt;0,'Configuración'!$B$33,IF(ISNUMBER(SEARCH("COO",C1903))+ISNUMBER(SEARCH("CFO",C1903))+ISNUMBER(SEARCH("CTO",C1903))+ISNUMBER(SEARCH("Chief Operating",C1903))+ISNUMBER(SEARCH("Chief Financial",C1903))+ISNUMBER(SEARCH("Gerente General",C1903))+ISNUMBER(SEARCH("General Manager",C1903))&gt;0,'Configuración'!$B$34,'Configuración'!$B$35)))))</f>
        <v>12</v>
      </c>
      <c r="V1903" s="38">
        <f>IF(B1903="","",IF(K1903="Sí",'Configuración'!$B$5,0)+IF(L1903="Semanal",'Configuración'!$B$6,IF(L1903="Mensual",'Configuración'!$B$7,0))+IF(M1903="Sí",'Configuración'!$B$8,0)+IF(N1903="Sí",'Configuración'!$B$9,0)+IF(O1903="Sí",'Configuración'!$B$10,0)+IF(P1903="Sí",'Configuración'!$B$11,0)+IF(Q1903="Sí",'Configuración'!$B$12,0)+S1903+T1903+U1903)</f>
        <v>36</v>
      </c>
      <c r="W1903" s="39" t="str">
        <f>IF(B1903="","",IF(V1903&gt;='Configuración'!$B$19,"A",IF(V1903&gt;='Configuración'!$B$20,"B",IF(V1903&gt;='Configuración'!$B$21,"C","Descarte"))))</f>
        <v>C</v>
      </c>
    </row>
    <row r="1904" ht="15.75" customHeight="1">
      <c r="A1904" s="34">
        <f t="shared" si="1"/>
        <v>1902</v>
      </c>
      <c r="B1904" s="29" t="s">
        <v>10538</v>
      </c>
      <c r="C1904" s="29" t="s">
        <v>10284</v>
      </c>
      <c r="D1904" s="29" t="s">
        <v>10539</v>
      </c>
      <c r="E1904" s="29" t="s">
        <v>10540</v>
      </c>
      <c r="F1904" s="30" t="s">
        <v>10541</v>
      </c>
      <c r="G1904" s="30" t="s">
        <v>10542</v>
      </c>
      <c r="H1904" s="42" t="s">
        <v>10543</v>
      </c>
      <c r="I1904" s="29" t="s">
        <v>380</v>
      </c>
      <c r="J1904" s="31">
        <v>3.0</v>
      </c>
      <c r="K1904" s="35"/>
      <c r="L1904" s="35"/>
      <c r="M1904" s="35"/>
      <c r="N1904" s="35"/>
      <c r="O1904" s="35"/>
      <c r="P1904" s="35"/>
      <c r="Q1904" s="35"/>
      <c r="R1904" s="35"/>
      <c r="S1904" s="37">
        <f>IF(B1904="","",IF(ISNUMBER(J1904),IF(J1904&lt;=10,'Configuración'!$B$23,IF(J1904&lt;=50,'Configuración'!$B$24,IF(J1904&lt;=200,'Configuración'!$B$25,0))),0))</f>
        <v>12</v>
      </c>
      <c r="T1904" s="37">
        <f>IF(B1904="","",IF(ISNUMBER(SEARCH("information technology",I1904))+ISNUMBER(SEARCH("software",I1904))+ISNUMBER(SEARCH("internet",I1904))+ISNUMBER(SEARCH("computer",I1904))+ISNUMBER(SEARCH("saas",I1904))+ISNUMBER(SEARCH("fintech",I1904))+ISNUMBER(SEARCH("information services",I1904))+ISNUMBER(SEARCH("telecommunications",I1904))&gt;0,'Configuración'!$B$27,'Configuración'!$B$28))</f>
        <v>4</v>
      </c>
      <c r="U1904" s="25">
        <f>IF(B1904="","",IF(ISNUMBER(SEARCH("CEO",C1904))+ISNUMBER(SEARCH("Founder",C1904))+ISNUMBER(SEARCH("Owner",C1904))+ISNUMBER(SEARCH("Dueño",C1904))+ISNUMBER(SEARCH("Director General",C1904))+ISNUMBER(SEARCH("Presidente",C1904))+ISNUMBER(SEARCH("President",C1904))&gt;0,'Configuración'!$B$31,IF(ISNUMBER(SEARCH("CMO",C1904))+ISNUMBER(SEARCH("Chief Marketing",C1904))+ISNUMBER(SEARCH("VP Marketing",C1904))+ISNUMBER(SEARCH("Director de Marketing",C1904))+ISNUMBER(SEARCH("Director Marketing",C1904))+ISNUMBER(SEARCH("Head of Marketing",C1904))+ISNUMBER(SEARCH("Head Marketing",C1904))&gt;0,'Configuración'!$B$32,IF(ISNUMBER(SEARCH("Marketing Manager",C1904))+ISNUMBER(SEARCH("Gerente de Marketing",C1904))+ISNUMBER(SEARCH("Growth Manager",C1904))+ISNUMBER(SEARCH("Demand Gen",C1904))+ISNUMBER(SEARCH("Marketing Lead",C1904))&gt;0,'Configuración'!$B$33,IF(ISNUMBER(SEARCH("COO",C1904))+ISNUMBER(SEARCH("CFO",C1904))+ISNUMBER(SEARCH("CTO",C1904))+ISNUMBER(SEARCH("Chief Operating",C1904))+ISNUMBER(SEARCH("Chief Financial",C1904))+ISNUMBER(SEARCH("Gerente General",C1904))+ISNUMBER(SEARCH("General Manager",C1904))&gt;0,'Configuración'!$B$34,'Configuración'!$B$35)))))</f>
        <v>12</v>
      </c>
      <c r="V1904" s="38">
        <f>IF(B1904="","",IF(K1904="Sí",'Configuración'!$B$5,0)+IF(L1904="Semanal",'Configuración'!$B$6,IF(L1904="Mensual",'Configuración'!$B$7,0))+IF(M1904="Sí",'Configuración'!$B$8,0)+IF(N1904="Sí",'Configuración'!$B$9,0)+IF(O1904="Sí",'Configuración'!$B$10,0)+IF(P1904="Sí",'Configuración'!$B$11,0)+IF(Q1904="Sí",'Configuración'!$B$12,0)+S1904+T1904+U1904)</f>
        <v>28</v>
      </c>
      <c r="W1904" s="39" t="str">
        <f>IF(B1904="","",IF(V1904&gt;='Configuración'!$B$19,"A",IF(V1904&gt;='Configuración'!$B$20,"B",IF(V1904&gt;='Configuración'!$B$21,"C","Descarte"))))</f>
        <v>C</v>
      </c>
    </row>
    <row r="1905" ht="15.75" customHeight="1">
      <c r="A1905" s="34">
        <f t="shared" si="1"/>
        <v>1903</v>
      </c>
      <c r="B1905" s="29" t="s">
        <v>174</v>
      </c>
      <c r="C1905" s="29" t="s">
        <v>131</v>
      </c>
      <c r="D1905" s="29" t="s">
        <v>10544</v>
      </c>
      <c r="E1905" s="29" t="s">
        <v>10545</v>
      </c>
      <c r="F1905" s="30" t="s">
        <v>10546</v>
      </c>
      <c r="G1905" s="30" t="s">
        <v>10547</v>
      </c>
      <c r="H1905" s="42" t="s">
        <v>10548</v>
      </c>
      <c r="I1905" s="29" t="s">
        <v>127</v>
      </c>
      <c r="J1905" s="31">
        <v>6.0</v>
      </c>
      <c r="K1905" s="35"/>
      <c r="L1905" s="35"/>
      <c r="M1905" s="35"/>
      <c r="N1905" s="35"/>
      <c r="O1905" s="35"/>
      <c r="P1905" s="35"/>
      <c r="Q1905" s="35"/>
      <c r="R1905" s="35"/>
      <c r="S1905" s="37">
        <f>IF(B1905="","",IF(ISNUMBER(J1905),IF(J1905&lt;=10,'Configuración'!$B$23,IF(J1905&lt;=50,'Configuración'!$B$24,IF(J1905&lt;=200,'Configuración'!$B$25,0))),0))</f>
        <v>12</v>
      </c>
      <c r="T1905" s="37">
        <f>IF(B1905="","",IF(ISNUMBER(SEARCH("information technology",I1905))+ISNUMBER(SEARCH("software",I1905))+ISNUMBER(SEARCH("internet",I1905))+ISNUMBER(SEARCH("computer",I1905))+ISNUMBER(SEARCH("saas",I1905))+ISNUMBER(SEARCH("fintech",I1905))+ISNUMBER(SEARCH("information services",I1905))+ISNUMBER(SEARCH("telecommunications",I1905))&gt;0,'Configuración'!$B$27,'Configuración'!$B$28))</f>
        <v>12</v>
      </c>
      <c r="U1905" s="25">
        <f>IF(B1905="","",IF(ISNUMBER(SEARCH("CEO",C1905))+ISNUMBER(SEARCH("Founder",C1905))+ISNUMBER(SEARCH("Owner",C1905))+ISNUMBER(SEARCH("Dueño",C1905))+ISNUMBER(SEARCH("Director General",C1905))+ISNUMBER(SEARCH("Presidente",C1905))+ISNUMBER(SEARCH("President",C1905))&gt;0,'Configuración'!$B$31,IF(ISNUMBER(SEARCH("CMO",C1905))+ISNUMBER(SEARCH("Chief Marketing",C1905))+ISNUMBER(SEARCH("VP Marketing",C1905))+ISNUMBER(SEARCH("Director de Marketing",C1905))+ISNUMBER(SEARCH("Director Marketing",C1905))+ISNUMBER(SEARCH("Head of Marketing",C1905))+ISNUMBER(SEARCH("Head Marketing",C1905))&gt;0,'Configuración'!$B$32,IF(ISNUMBER(SEARCH("Marketing Manager",C1905))+ISNUMBER(SEARCH("Gerente de Marketing",C1905))+ISNUMBER(SEARCH("Growth Manager",C1905))+ISNUMBER(SEARCH("Demand Gen",C1905))+ISNUMBER(SEARCH("Marketing Lead",C1905))&gt;0,'Configuración'!$B$33,IF(ISNUMBER(SEARCH("COO",C1905))+ISNUMBER(SEARCH("CFO",C1905))+ISNUMBER(SEARCH("CTO",C1905))+ISNUMBER(SEARCH("Chief Operating",C1905))+ISNUMBER(SEARCH("Chief Financial",C1905))+ISNUMBER(SEARCH("Gerente General",C1905))+ISNUMBER(SEARCH("General Manager",C1905))&gt;0,'Configuración'!$B$34,'Configuración'!$B$35)))))</f>
        <v>12</v>
      </c>
      <c r="V1905" s="38">
        <f>IF(B1905="","",IF(K1905="Sí",'Configuración'!$B$5,0)+IF(L1905="Semanal",'Configuración'!$B$6,IF(L1905="Mensual",'Configuración'!$B$7,0))+IF(M1905="Sí",'Configuración'!$B$8,0)+IF(N1905="Sí",'Configuración'!$B$9,0)+IF(O1905="Sí",'Configuración'!$B$10,0)+IF(P1905="Sí",'Configuración'!$B$11,0)+IF(Q1905="Sí",'Configuración'!$B$12,0)+S1905+T1905+U1905)</f>
        <v>36</v>
      </c>
      <c r="W1905" s="39" t="str">
        <f>IF(B1905="","",IF(V1905&gt;='Configuración'!$B$19,"A",IF(V1905&gt;='Configuración'!$B$20,"B",IF(V1905&gt;='Configuración'!$B$21,"C","Descarte"))))</f>
        <v>C</v>
      </c>
    </row>
    <row r="1906" ht="15.75" customHeight="1">
      <c r="A1906" s="34">
        <f t="shared" si="1"/>
        <v>1904</v>
      </c>
      <c r="B1906" s="29" t="s">
        <v>138</v>
      </c>
      <c r="C1906" s="29" t="s">
        <v>311</v>
      </c>
      <c r="D1906" s="29" t="s">
        <v>10549</v>
      </c>
      <c r="E1906" s="29" t="s">
        <v>10550</v>
      </c>
      <c r="F1906" s="30" t="s">
        <v>10551</v>
      </c>
      <c r="G1906" s="30" t="s">
        <v>10552</v>
      </c>
      <c r="H1906" s="42" t="s">
        <v>10553</v>
      </c>
      <c r="I1906" s="29" t="s">
        <v>127</v>
      </c>
      <c r="J1906" s="31">
        <v>2.0</v>
      </c>
      <c r="K1906" s="35"/>
      <c r="L1906" s="35"/>
      <c r="M1906" s="35"/>
      <c r="N1906" s="35"/>
      <c r="O1906" s="35"/>
      <c r="P1906" s="35"/>
      <c r="Q1906" s="35"/>
      <c r="R1906" s="35"/>
      <c r="S1906" s="37">
        <f>IF(B1906="","",IF(ISNUMBER(J1906),IF(J1906&lt;=10,'Configuración'!$B$23,IF(J1906&lt;=50,'Configuración'!$B$24,IF(J1906&lt;=200,'Configuración'!$B$25,0))),0))</f>
        <v>12</v>
      </c>
      <c r="T1906" s="37">
        <f>IF(B1906="","",IF(ISNUMBER(SEARCH("information technology",I1906))+ISNUMBER(SEARCH("software",I1906))+ISNUMBER(SEARCH("internet",I1906))+ISNUMBER(SEARCH("computer",I1906))+ISNUMBER(SEARCH("saas",I1906))+ISNUMBER(SEARCH("fintech",I1906))+ISNUMBER(SEARCH("information services",I1906))+ISNUMBER(SEARCH("telecommunications",I1906))&gt;0,'Configuración'!$B$27,'Configuración'!$B$28))</f>
        <v>12</v>
      </c>
      <c r="U1906" s="25">
        <f>IF(B1906="","",IF(ISNUMBER(SEARCH("CEO",C1906))+ISNUMBER(SEARCH("Founder",C1906))+ISNUMBER(SEARCH("Owner",C1906))+ISNUMBER(SEARCH("Dueño",C1906))+ISNUMBER(SEARCH("Director General",C1906))+ISNUMBER(SEARCH("Presidente",C1906))+ISNUMBER(SEARCH("President",C1906))&gt;0,'Configuración'!$B$31,IF(ISNUMBER(SEARCH("CMO",C1906))+ISNUMBER(SEARCH("Chief Marketing",C1906))+ISNUMBER(SEARCH("VP Marketing",C1906))+ISNUMBER(SEARCH("Director de Marketing",C1906))+ISNUMBER(SEARCH("Director Marketing",C1906))+ISNUMBER(SEARCH("Head of Marketing",C1906))+ISNUMBER(SEARCH("Head Marketing",C1906))&gt;0,'Configuración'!$B$32,IF(ISNUMBER(SEARCH("Marketing Manager",C1906))+ISNUMBER(SEARCH("Gerente de Marketing",C1906))+ISNUMBER(SEARCH("Growth Manager",C1906))+ISNUMBER(SEARCH("Demand Gen",C1906))+ISNUMBER(SEARCH("Marketing Lead",C1906))&gt;0,'Configuración'!$B$33,IF(ISNUMBER(SEARCH("COO",C1906))+ISNUMBER(SEARCH("CFO",C1906))+ISNUMBER(SEARCH("CTO",C1906))+ISNUMBER(SEARCH("Chief Operating",C1906))+ISNUMBER(SEARCH("Chief Financial",C1906))+ISNUMBER(SEARCH("Gerente General",C1906))+ISNUMBER(SEARCH("General Manager",C1906))&gt;0,'Configuración'!$B$34,'Configuración'!$B$35)))))</f>
        <v>12</v>
      </c>
      <c r="V1906" s="38">
        <f>IF(B1906="","",IF(K1906="Sí",'Configuración'!$B$5,0)+IF(L1906="Semanal",'Configuración'!$B$6,IF(L1906="Mensual",'Configuración'!$B$7,0))+IF(M1906="Sí",'Configuración'!$B$8,0)+IF(N1906="Sí",'Configuración'!$B$9,0)+IF(O1906="Sí",'Configuración'!$B$10,0)+IF(P1906="Sí",'Configuración'!$B$11,0)+IF(Q1906="Sí",'Configuración'!$B$12,0)+S1906+T1906+U1906)</f>
        <v>36</v>
      </c>
      <c r="W1906" s="39" t="str">
        <f>IF(B1906="","",IF(V1906&gt;='Configuración'!$B$19,"A",IF(V1906&gt;='Configuración'!$B$20,"B",IF(V1906&gt;='Configuración'!$B$21,"C","Descarte"))))</f>
        <v>C</v>
      </c>
    </row>
    <row r="1907" ht="15.75" customHeight="1">
      <c r="A1907" s="34">
        <f t="shared" si="1"/>
        <v>1905</v>
      </c>
      <c r="B1907" s="29" t="s">
        <v>174</v>
      </c>
      <c r="C1907" s="29" t="s">
        <v>622</v>
      </c>
      <c r="D1907" s="29" t="s">
        <v>10554</v>
      </c>
      <c r="E1907" s="29" t="s">
        <v>10555</v>
      </c>
      <c r="F1907" s="30" t="s">
        <v>10556</v>
      </c>
      <c r="G1907" s="30" t="s">
        <v>10557</v>
      </c>
      <c r="H1907" s="42" t="s">
        <v>10558</v>
      </c>
      <c r="I1907" s="29" t="s">
        <v>480</v>
      </c>
      <c r="J1907" s="31">
        <v>1.0</v>
      </c>
      <c r="K1907" s="35"/>
      <c r="L1907" s="35"/>
      <c r="M1907" s="35"/>
      <c r="N1907" s="35"/>
      <c r="O1907" s="35"/>
      <c r="P1907" s="35"/>
      <c r="Q1907" s="35"/>
      <c r="R1907" s="35"/>
      <c r="S1907" s="37">
        <f>IF(B1907="","",IF(ISNUMBER(J1907),IF(J1907&lt;=10,'Configuración'!$B$23,IF(J1907&lt;=50,'Configuración'!$B$24,IF(J1907&lt;=200,'Configuración'!$B$25,0))),0))</f>
        <v>12</v>
      </c>
      <c r="T1907" s="37">
        <f>IF(B1907="","",IF(ISNUMBER(SEARCH("information technology",I1907))+ISNUMBER(SEARCH("software",I1907))+ISNUMBER(SEARCH("internet",I1907))+ISNUMBER(SEARCH("computer",I1907))+ISNUMBER(SEARCH("saas",I1907))+ISNUMBER(SEARCH("fintech",I1907))+ISNUMBER(SEARCH("information services",I1907))+ISNUMBER(SEARCH("telecommunications",I1907))&gt;0,'Configuración'!$B$27,'Configuración'!$B$28))</f>
        <v>4</v>
      </c>
      <c r="U1907" s="25">
        <f>IF(B1907="","",IF(ISNUMBER(SEARCH("CEO",C1907))+ISNUMBER(SEARCH("Founder",C1907))+ISNUMBER(SEARCH("Owner",C1907))+ISNUMBER(SEARCH("Dueño",C1907))+ISNUMBER(SEARCH("Director General",C1907))+ISNUMBER(SEARCH("Presidente",C1907))+ISNUMBER(SEARCH("President",C1907))&gt;0,'Configuración'!$B$31,IF(ISNUMBER(SEARCH("CMO",C1907))+ISNUMBER(SEARCH("Chief Marketing",C1907))+ISNUMBER(SEARCH("VP Marketing",C1907))+ISNUMBER(SEARCH("Director de Marketing",C1907))+ISNUMBER(SEARCH("Director Marketing",C1907))+ISNUMBER(SEARCH("Head of Marketing",C1907))+ISNUMBER(SEARCH("Head Marketing",C1907))&gt;0,'Configuración'!$B$32,IF(ISNUMBER(SEARCH("Marketing Manager",C1907))+ISNUMBER(SEARCH("Gerente de Marketing",C1907))+ISNUMBER(SEARCH("Growth Manager",C1907))+ISNUMBER(SEARCH("Demand Gen",C1907))+ISNUMBER(SEARCH("Marketing Lead",C1907))&gt;0,'Configuración'!$B$33,IF(ISNUMBER(SEARCH("COO",C1907))+ISNUMBER(SEARCH("CFO",C1907))+ISNUMBER(SEARCH("CTO",C1907))+ISNUMBER(SEARCH("Chief Operating",C1907))+ISNUMBER(SEARCH("Chief Financial",C1907))+ISNUMBER(SEARCH("Gerente General",C1907))+ISNUMBER(SEARCH("General Manager",C1907))&gt;0,'Configuración'!$B$34,'Configuración'!$B$35)))))</f>
        <v>12</v>
      </c>
      <c r="V1907" s="38">
        <f>IF(B1907="","",IF(K1907="Sí",'Configuración'!$B$5,0)+IF(L1907="Semanal",'Configuración'!$B$6,IF(L1907="Mensual",'Configuración'!$B$7,0))+IF(M1907="Sí",'Configuración'!$B$8,0)+IF(N1907="Sí",'Configuración'!$B$9,0)+IF(O1907="Sí",'Configuración'!$B$10,0)+IF(P1907="Sí",'Configuración'!$B$11,0)+IF(Q1907="Sí",'Configuración'!$B$12,0)+S1907+T1907+U1907)</f>
        <v>28</v>
      </c>
      <c r="W1907" s="39" t="str">
        <f>IF(B1907="","",IF(V1907&gt;='Configuración'!$B$19,"A",IF(V1907&gt;='Configuración'!$B$20,"B",IF(V1907&gt;='Configuración'!$B$21,"C","Descarte"))))</f>
        <v>C</v>
      </c>
    </row>
    <row r="1908" ht="15.75" customHeight="1">
      <c r="A1908" s="34">
        <f t="shared" si="1"/>
        <v>1906</v>
      </c>
      <c r="B1908" s="29" t="s">
        <v>120</v>
      </c>
      <c r="C1908" s="29" t="s">
        <v>487</v>
      </c>
      <c r="D1908" s="29" t="s">
        <v>10559</v>
      </c>
      <c r="E1908" s="29" t="s">
        <v>10560</v>
      </c>
      <c r="F1908" s="30" t="s">
        <v>10561</v>
      </c>
      <c r="G1908" s="30" t="s">
        <v>10562</v>
      </c>
      <c r="H1908" s="42" t="s">
        <v>10563</v>
      </c>
      <c r="I1908" s="29" t="s">
        <v>288</v>
      </c>
      <c r="J1908" s="31">
        <v>3.0</v>
      </c>
      <c r="K1908" s="35"/>
      <c r="L1908" s="35"/>
      <c r="M1908" s="35"/>
      <c r="N1908" s="35"/>
      <c r="O1908" s="35"/>
      <c r="P1908" s="35"/>
      <c r="Q1908" s="35"/>
      <c r="R1908" s="35"/>
      <c r="S1908" s="37">
        <f>IF(B1908="","",IF(ISNUMBER(J1908),IF(J1908&lt;=10,'Configuración'!$B$23,IF(J1908&lt;=50,'Configuración'!$B$24,IF(J1908&lt;=200,'Configuración'!$B$25,0))),0))</f>
        <v>12</v>
      </c>
      <c r="T1908" s="37">
        <f>IF(B1908="","",IF(ISNUMBER(SEARCH("information technology",I1908))+ISNUMBER(SEARCH("software",I1908))+ISNUMBER(SEARCH("internet",I1908))+ISNUMBER(SEARCH("computer",I1908))+ISNUMBER(SEARCH("saas",I1908))+ISNUMBER(SEARCH("fintech",I1908))+ISNUMBER(SEARCH("information services",I1908))+ISNUMBER(SEARCH("telecommunications",I1908))&gt;0,'Configuración'!$B$27,'Configuración'!$B$28))</f>
        <v>4</v>
      </c>
      <c r="U1908" s="25">
        <f>IF(B1908="","",IF(ISNUMBER(SEARCH("CEO",C1908))+ISNUMBER(SEARCH("Founder",C1908))+ISNUMBER(SEARCH("Owner",C1908))+ISNUMBER(SEARCH("Dueño",C1908))+ISNUMBER(SEARCH("Director General",C1908))+ISNUMBER(SEARCH("Presidente",C1908))+ISNUMBER(SEARCH("President",C1908))&gt;0,'Configuración'!$B$31,IF(ISNUMBER(SEARCH("CMO",C1908))+ISNUMBER(SEARCH("Chief Marketing",C1908))+ISNUMBER(SEARCH("VP Marketing",C1908))+ISNUMBER(SEARCH("Director de Marketing",C1908))+ISNUMBER(SEARCH("Director Marketing",C1908))+ISNUMBER(SEARCH("Head of Marketing",C1908))+ISNUMBER(SEARCH("Head Marketing",C1908))&gt;0,'Configuración'!$B$32,IF(ISNUMBER(SEARCH("Marketing Manager",C1908))+ISNUMBER(SEARCH("Gerente de Marketing",C1908))+ISNUMBER(SEARCH("Growth Manager",C1908))+ISNUMBER(SEARCH("Demand Gen",C1908))+ISNUMBER(SEARCH("Marketing Lead",C1908))&gt;0,'Configuración'!$B$33,IF(ISNUMBER(SEARCH("COO",C1908))+ISNUMBER(SEARCH("CFO",C1908))+ISNUMBER(SEARCH("CTO",C1908))+ISNUMBER(SEARCH("Chief Operating",C1908))+ISNUMBER(SEARCH("Chief Financial",C1908))+ISNUMBER(SEARCH("Gerente General",C1908))+ISNUMBER(SEARCH("General Manager",C1908))&gt;0,'Configuración'!$B$34,'Configuración'!$B$35)))))</f>
        <v>12</v>
      </c>
      <c r="V1908" s="38">
        <f>IF(B1908="","",IF(K1908="Sí",'Configuración'!$B$5,0)+IF(L1908="Semanal",'Configuración'!$B$6,IF(L1908="Mensual",'Configuración'!$B$7,0))+IF(M1908="Sí",'Configuración'!$B$8,0)+IF(N1908="Sí",'Configuración'!$B$9,0)+IF(O1908="Sí",'Configuración'!$B$10,0)+IF(P1908="Sí",'Configuración'!$B$11,0)+IF(Q1908="Sí",'Configuración'!$B$12,0)+S1908+T1908+U1908)</f>
        <v>28</v>
      </c>
      <c r="W1908" s="39" t="str">
        <f>IF(B1908="","",IF(V1908&gt;='Configuración'!$B$19,"A",IF(V1908&gt;='Configuración'!$B$20,"B",IF(V1908&gt;='Configuración'!$B$21,"C","Descarte"))))</f>
        <v>C</v>
      </c>
    </row>
    <row r="1909" ht="15.75" customHeight="1">
      <c r="A1909" s="34">
        <f t="shared" si="1"/>
        <v>1907</v>
      </c>
      <c r="B1909" s="29" t="s">
        <v>897</v>
      </c>
      <c r="C1909" s="29" t="s">
        <v>131</v>
      </c>
      <c r="D1909" s="29" t="s">
        <v>10564</v>
      </c>
      <c r="E1909" s="29" t="s">
        <v>10565</v>
      </c>
      <c r="F1909" s="30" t="s">
        <v>10566</v>
      </c>
      <c r="G1909" s="30" t="s">
        <v>10567</v>
      </c>
      <c r="H1909" s="42" t="s">
        <v>10568</v>
      </c>
      <c r="I1909" s="29" t="s">
        <v>2694</v>
      </c>
      <c r="J1909" s="31">
        <v>23.0</v>
      </c>
      <c r="K1909" s="35"/>
      <c r="L1909" s="35"/>
      <c r="M1909" s="35"/>
      <c r="N1909" s="35"/>
      <c r="O1909" s="35"/>
      <c r="P1909" s="35"/>
      <c r="Q1909" s="35"/>
      <c r="R1909" s="35"/>
      <c r="S1909" s="37">
        <f>IF(B1909="","",IF(ISNUMBER(J1909),IF(J1909&lt;=10,'Configuración'!$B$23,IF(J1909&lt;=50,'Configuración'!$B$24,IF(J1909&lt;=200,'Configuración'!$B$25,0))),0))</f>
        <v>4</v>
      </c>
      <c r="T1909" s="37">
        <f>IF(B1909="","",IF(ISNUMBER(SEARCH("information technology",I1909))+ISNUMBER(SEARCH("software",I1909))+ISNUMBER(SEARCH("internet",I1909))+ISNUMBER(SEARCH("computer",I1909))+ISNUMBER(SEARCH("saas",I1909))+ISNUMBER(SEARCH("fintech",I1909))+ISNUMBER(SEARCH("information services",I1909))+ISNUMBER(SEARCH("telecommunications",I1909))&gt;0,'Configuración'!$B$27,'Configuración'!$B$28))</f>
        <v>4</v>
      </c>
      <c r="U1909" s="25">
        <f>IF(B1909="","",IF(ISNUMBER(SEARCH("CEO",C1909))+ISNUMBER(SEARCH("Founder",C1909))+ISNUMBER(SEARCH("Owner",C1909))+ISNUMBER(SEARCH("Dueño",C1909))+ISNUMBER(SEARCH("Director General",C1909))+ISNUMBER(SEARCH("Presidente",C1909))+ISNUMBER(SEARCH("President",C1909))&gt;0,'Configuración'!$B$31,IF(ISNUMBER(SEARCH("CMO",C1909))+ISNUMBER(SEARCH("Chief Marketing",C1909))+ISNUMBER(SEARCH("VP Marketing",C1909))+ISNUMBER(SEARCH("Director de Marketing",C1909))+ISNUMBER(SEARCH("Director Marketing",C1909))+ISNUMBER(SEARCH("Head of Marketing",C1909))+ISNUMBER(SEARCH("Head Marketing",C1909))&gt;0,'Configuración'!$B$32,IF(ISNUMBER(SEARCH("Marketing Manager",C1909))+ISNUMBER(SEARCH("Gerente de Marketing",C1909))+ISNUMBER(SEARCH("Growth Manager",C1909))+ISNUMBER(SEARCH("Demand Gen",C1909))+ISNUMBER(SEARCH("Marketing Lead",C1909))&gt;0,'Configuración'!$B$33,IF(ISNUMBER(SEARCH("COO",C1909))+ISNUMBER(SEARCH("CFO",C1909))+ISNUMBER(SEARCH("CTO",C1909))+ISNUMBER(SEARCH("Chief Operating",C1909))+ISNUMBER(SEARCH("Chief Financial",C1909))+ISNUMBER(SEARCH("Gerente General",C1909))+ISNUMBER(SEARCH("General Manager",C1909))&gt;0,'Configuración'!$B$34,'Configuración'!$B$35)))))</f>
        <v>12</v>
      </c>
      <c r="V1909" s="38">
        <f>IF(B1909="","",IF(K1909="Sí",'Configuración'!$B$5,0)+IF(L1909="Semanal",'Configuración'!$B$6,IF(L1909="Mensual",'Configuración'!$B$7,0))+IF(M1909="Sí",'Configuración'!$B$8,0)+IF(N1909="Sí",'Configuración'!$B$9,0)+IF(O1909="Sí",'Configuración'!$B$10,0)+IF(P1909="Sí",'Configuración'!$B$11,0)+IF(Q1909="Sí",'Configuración'!$B$12,0)+S1909+T1909+U1909)</f>
        <v>20</v>
      </c>
      <c r="W1909" s="39" t="str">
        <f>IF(B1909="","",IF(V1909&gt;='Configuración'!$B$19,"A",IF(V1909&gt;='Configuración'!$B$20,"B",IF(V1909&gt;='Configuración'!$B$21,"C","Descarte"))))</f>
        <v>Descarte</v>
      </c>
    </row>
    <row r="1910" ht="15.75" customHeight="1">
      <c r="A1910" s="34">
        <f t="shared" si="1"/>
        <v>1908</v>
      </c>
      <c r="B1910" s="29" t="s">
        <v>10569</v>
      </c>
      <c r="C1910" s="29" t="s">
        <v>131</v>
      </c>
      <c r="D1910" s="29" t="s">
        <v>10570</v>
      </c>
      <c r="E1910" s="29" t="s">
        <v>10571</v>
      </c>
      <c r="F1910" s="30" t="s">
        <v>10572</v>
      </c>
      <c r="G1910" s="30" t="s">
        <v>10573</v>
      </c>
      <c r="H1910" s="42" t="s">
        <v>10574</v>
      </c>
      <c r="I1910" s="29" t="s">
        <v>127</v>
      </c>
      <c r="J1910" s="31">
        <v>6.0</v>
      </c>
      <c r="K1910" s="35"/>
      <c r="L1910" s="35"/>
      <c r="M1910" s="35"/>
      <c r="N1910" s="35"/>
      <c r="O1910" s="35"/>
      <c r="P1910" s="35"/>
      <c r="Q1910" s="35"/>
      <c r="R1910" s="35"/>
      <c r="S1910" s="37">
        <f>IF(B1910="","",IF(ISNUMBER(J1910),IF(J1910&lt;=10,'Configuración'!$B$23,IF(J1910&lt;=50,'Configuración'!$B$24,IF(J1910&lt;=200,'Configuración'!$B$25,0))),0))</f>
        <v>12</v>
      </c>
      <c r="T1910" s="37">
        <f>IF(B1910="","",IF(ISNUMBER(SEARCH("information technology",I1910))+ISNUMBER(SEARCH("software",I1910))+ISNUMBER(SEARCH("internet",I1910))+ISNUMBER(SEARCH("computer",I1910))+ISNUMBER(SEARCH("saas",I1910))+ISNUMBER(SEARCH("fintech",I1910))+ISNUMBER(SEARCH("information services",I1910))+ISNUMBER(SEARCH("telecommunications",I1910))&gt;0,'Configuración'!$B$27,'Configuración'!$B$28))</f>
        <v>12</v>
      </c>
      <c r="U1910" s="25">
        <f>IF(B1910="","",IF(ISNUMBER(SEARCH("CEO",C1910))+ISNUMBER(SEARCH("Founder",C1910))+ISNUMBER(SEARCH("Owner",C1910))+ISNUMBER(SEARCH("Dueño",C1910))+ISNUMBER(SEARCH("Director General",C1910))+ISNUMBER(SEARCH("Presidente",C1910))+ISNUMBER(SEARCH("President",C1910))&gt;0,'Configuración'!$B$31,IF(ISNUMBER(SEARCH("CMO",C1910))+ISNUMBER(SEARCH("Chief Marketing",C1910))+ISNUMBER(SEARCH("VP Marketing",C1910))+ISNUMBER(SEARCH("Director de Marketing",C1910))+ISNUMBER(SEARCH("Director Marketing",C1910))+ISNUMBER(SEARCH("Head of Marketing",C1910))+ISNUMBER(SEARCH("Head Marketing",C1910))&gt;0,'Configuración'!$B$32,IF(ISNUMBER(SEARCH("Marketing Manager",C1910))+ISNUMBER(SEARCH("Gerente de Marketing",C1910))+ISNUMBER(SEARCH("Growth Manager",C1910))+ISNUMBER(SEARCH("Demand Gen",C1910))+ISNUMBER(SEARCH("Marketing Lead",C1910))&gt;0,'Configuración'!$B$33,IF(ISNUMBER(SEARCH("COO",C1910))+ISNUMBER(SEARCH("CFO",C1910))+ISNUMBER(SEARCH("CTO",C1910))+ISNUMBER(SEARCH("Chief Operating",C1910))+ISNUMBER(SEARCH("Chief Financial",C1910))+ISNUMBER(SEARCH("Gerente General",C1910))+ISNUMBER(SEARCH("General Manager",C1910))&gt;0,'Configuración'!$B$34,'Configuración'!$B$35)))))</f>
        <v>12</v>
      </c>
      <c r="V1910" s="38">
        <f>IF(B1910="","",IF(K1910="Sí",'Configuración'!$B$5,0)+IF(L1910="Semanal",'Configuración'!$B$6,IF(L1910="Mensual",'Configuración'!$B$7,0))+IF(M1910="Sí",'Configuración'!$B$8,0)+IF(N1910="Sí",'Configuración'!$B$9,0)+IF(O1910="Sí",'Configuración'!$B$10,0)+IF(P1910="Sí",'Configuración'!$B$11,0)+IF(Q1910="Sí",'Configuración'!$B$12,0)+S1910+T1910+U1910)</f>
        <v>36</v>
      </c>
      <c r="W1910" s="39" t="str">
        <f>IF(B1910="","",IF(V1910&gt;='Configuración'!$B$19,"A",IF(V1910&gt;='Configuración'!$B$20,"B",IF(V1910&gt;='Configuración'!$B$21,"C","Descarte"))))</f>
        <v>C</v>
      </c>
    </row>
    <row r="1911" ht="15.75" customHeight="1">
      <c r="A1911" s="34">
        <f t="shared" si="1"/>
        <v>1909</v>
      </c>
      <c r="B1911" s="29" t="s">
        <v>174</v>
      </c>
      <c r="C1911" s="29" t="s">
        <v>131</v>
      </c>
      <c r="D1911" s="29" t="s">
        <v>10575</v>
      </c>
      <c r="E1911" s="29" t="s">
        <v>10576</v>
      </c>
      <c r="F1911" s="30" t="s">
        <v>10577</v>
      </c>
      <c r="G1911" s="30" t="s">
        <v>10578</v>
      </c>
      <c r="H1911" s="42" t="s">
        <v>10579</v>
      </c>
      <c r="I1911" s="29" t="s">
        <v>188</v>
      </c>
      <c r="J1911" s="31">
        <v>47.0</v>
      </c>
      <c r="K1911" s="35"/>
      <c r="L1911" s="35"/>
      <c r="M1911" s="35"/>
      <c r="N1911" s="35"/>
      <c r="O1911" s="35"/>
      <c r="P1911" s="35"/>
      <c r="Q1911" s="35"/>
      <c r="R1911" s="35"/>
      <c r="S1911" s="37">
        <f>IF(B1911="","",IF(ISNUMBER(J1911),IF(J1911&lt;=10,'Configuración'!$B$23,IF(J1911&lt;=50,'Configuración'!$B$24,IF(J1911&lt;=200,'Configuración'!$B$25,0))),0))</f>
        <v>4</v>
      </c>
      <c r="T1911" s="37">
        <f>IF(B1911="","",IF(ISNUMBER(SEARCH("information technology",I1911))+ISNUMBER(SEARCH("software",I1911))+ISNUMBER(SEARCH("internet",I1911))+ISNUMBER(SEARCH("computer",I1911))+ISNUMBER(SEARCH("saas",I1911))+ISNUMBER(SEARCH("fintech",I1911))+ISNUMBER(SEARCH("information services",I1911))+ISNUMBER(SEARCH("telecommunications",I1911))&gt;0,'Configuración'!$B$27,'Configuración'!$B$28))</f>
        <v>4</v>
      </c>
      <c r="U1911" s="25">
        <f>IF(B1911="","",IF(ISNUMBER(SEARCH("CEO",C1911))+ISNUMBER(SEARCH("Founder",C1911))+ISNUMBER(SEARCH("Owner",C1911))+ISNUMBER(SEARCH("Dueño",C1911))+ISNUMBER(SEARCH("Director General",C1911))+ISNUMBER(SEARCH("Presidente",C1911))+ISNUMBER(SEARCH("President",C1911))&gt;0,'Configuración'!$B$31,IF(ISNUMBER(SEARCH("CMO",C1911))+ISNUMBER(SEARCH("Chief Marketing",C1911))+ISNUMBER(SEARCH("VP Marketing",C1911))+ISNUMBER(SEARCH("Director de Marketing",C1911))+ISNUMBER(SEARCH("Director Marketing",C1911))+ISNUMBER(SEARCH("Head of Marketing",C1911))+ISNUMBER(SEARCH("Head Marketing",C1911))&gt;0,'Configuración'!$B$32,IF(ISNUMBER(SEARCH("Marketing Manager",C1911))+ISNUMBER(SEARCH("Gerente de Marketing",C1911))+ISNUMBER(SEARCH("Growth Manager",C1911))+ISNUMBER(SEARCH("Demand Gen",C1911))+ISNUMBER(SEARCH("Marketing Lead",C1911))&gt;0,'Configuración'!$B$33,IF(ISNUMBER(SEARCH("COO",C1911))+ISNUMBER(SEARCH("CFO",C1911))+ISNUMBER(SEARCH("CTO",C1911))+ISNUMBER(SEARCH("Chief Operating",C1911))+ISNUMBER(SEARCH("Chief Financial",C1911))+ISNUMBER(SEARCH("Gerente General",C1911))+ISNUMBER(SEARCH("General Manager",C1911))&gt;0,'Configuración'!$B$34,'Configuración'!$B$35)))))</f>
        <v>12</v>
      </c>
      <c r="V1911" s="38">
        <f>IF(B1911="","",IF(K1911="Sí",'Configuración'!$B$5,0)+IF(L1911="Semanal",'Configuración'!$B$6,IF(L1911="Mensual",'Configuración'!$B$7,0))+IF(M1911="Sí",'Configuración'!$B$8,0)+IF(N1911="Sí",'Configuración'!$B$9,0)+IF(O1911="Sí",'Configuración'!$B$10,0)+IF(P1911="Sí",'Configuración'!$B$11,0)+IF(Q1911="Sí",'Configuración'!$B$12,0)+S1911+T1911+U1911)</f>
        <v>20</v>
      </c>
      <c r="W1911" s="39" t="str">
        <f>IF(B1911="","",IF(V1911&gt;='Configuración'!$B$19,"A",IF(V1911&gt;='Configuración'!$B$20,"B",IF(V1911&gt;='Configuración'!$B$21,"C","Descarte"))))</f>
        <v>Descarte</v>
      </c>
    </row>
    <row r="1912" ht="15.75" customHeight="1">
      <c r="A1912" s="34">
        <f t="shared" si="1"/>
        <v>1910</v>
      </c>
      <c r="B1912" s="29" t="s">
        <v>556</v>
      </c>
      <c r="C1912" s="29" t="s">
        <v>10580</v>
      </c>
      <c r="D1912" s="29" t="s">
        <v>10581</v>
      </c>
      <c r="E1912" s="29" t="s">
        <v>10582</v>
      </c>
      <c r="F1912" s="30" t="s">
        <v>10583</v>
      </c>
      <c r="G1912" s="30" t="s">
        <v>10584</v>
      </c>
      <c r="H1912" s="42" t="s">
        <v>10585</v>
      </c>
      <c r="I1912" s="29" t="s">
        <v>116</v>
      </c>
      <c r="J1912" s="31">
        <v>7.0</v>
      </c>
      <c r="K1912" s="35"/>
      <c r="L1912" s="35"/>
      <c r="M1912" s="35"/>
      <c r="N1912" s="35"/>
      <c r="O1912" s="35"/>
      <c r="P1912" s="35"/>
      <c r="Q1912" s="35"/>
      <c r="R1912" s="35"/>
      <c r="S1912" s="37">
        <f>IF(B1912="","",IF(ISNUMBER(J1912),IF(J1912&lt;=10,'Configuración'!$B$23,IF(J1912&lt;=50,'Configuración'!$B$24,IF(J1912&lt;=200,'Configuración'!$B$25,0))),0))</f>
        <v>12</v>
      </c>
      <c r="T1912" s="37">
        <f>IF(B1912="","",IF(ISNUMBER(SEARCH("information technology",I1912))+ISNUMBER(SEARCH("software",I1912))+ISNUMBER(SEARCH("internet",I1912))+ISNUMBER(SEARCH("computer",I1912))+ISNUMBER(SEARCH("saas",I1912))+ISNUMBER(SEARCH("fintech",I1912))+ISNUMBER(SEARCH("information services",I1912))+ISNUMBER(SEARCH("telecommunications",I1912))&gt;0,'Configuración'!$B$27,'Configuración'!$B$28))</f>
        <v>4</v>
      </c>
      <c r="U1912" s="25">
        <f>IF(B1912="","",IF(ISNUMBER(SEARCH("CEO",C1912))+ISNUMBER(SEARCH("Founder",C1912))+ISNUMBER(SEARCH("Owner",C1912))+ISNUMBER(SEARCH("Dueño",C1912))+ISNUMBER(SEARCH("Director General",C1912))+ISNUMBER(SEARCH("Presidente",C1912))+ISNUMBER(SEARCH("President",C1912))&gt;0,'Configuración'!$B$31,IF(ISNUMBER(SEARCH("CMO",C1912))+ISNUMBER(SEARCH("Chief Marketing",C1912))+ISNUMBER(SEARCH("VP Marketing",C1912))+ISNUMBER(SEARCH("Director de Marketing",C1912))+ISNUMBER(SEARCH("Director Marketing",C1912))+ISNUMBER(SEARCH("Head of Marketing",C1912))+ISNUMBER(SEARCH("Head Marketing",C1912))&gt;0,'Configuración'!$B$32,IF(ISNUMBER(SEARCH("Marketing Manager",C1912))+ISNUMBER(SEARCH("Gerente de Marketing",C1912))+ISNUMBER(SEARCH("Growth Manager",C1912))+ISNUMBER(SEARCH("Demand Gen",C1912))+ISNUMBER(SEARCH("Marketing Lead",C1912))&gt;0,'Configuración'!$B$33,IF(ISNUMBER(SEARCH("COO",C1912))+ISNUMBER(SEARCH("CFO",C1912))+ISNUMBER(SEARCH("CTO",C1912))+ISNUMBER(SEARCH("Chief Operating",C1912))+ISNUMBER(SEARCH("Chief Financial",C1912))+ISNUMBER(SEARCH("Gerente General",C1912))+ISNUMBER(SEARCH("General Manager",C1912))&gt;0,'Configuración'!$B$34,'Configuración'!$B$35)))))</f>
        <v>12</v>
      </c>
      <c r="V1912" s="38">
        <f>IF(B1912="","",IF(K1912="Sí",'Configuración'!$B$5,0)+IF(L1912="Semanal",'Configuración'!$B$6,IF(L1912="Mensual",'Configuración'!$B$7,0))+IF(M1912="Sí",'Configuración'!$B$8,0)+IF(N1912="Sí",'Configuración'!$B$9,0)+IF(O1912="Sí",'Configuración'!$B$10,0)+IF(P1912="Sí",'Configuración'!$B$11,0)+IF(Q1912="Sí",'Configuración'!$B$12,0)+S1912+T1912+U1912)</f>
        <v>28</v>
      </c>
      <c r="W1912" s="39" t="str">
        <f>IF(B1912="","",IF(V1912&gt;='Configuración'!$B$19,"A",IF(V1912&gt;='Configuración'!$B$20,"B",IF(V1912&gt;='Configuración'!$B$21,"C","Descarte"))))</f>
        <v>C</v>
      </c>
    </row>
    <row r="1913" ht="15.75" customHeight="1">
      <c r="A1913" s="34">
        <f t="shared" si="1"/>
        <v>1911</v>
      </c>
      <c r="B1913" s="29" t="s">
        <v>556</v>
      </c>
      <c r="C1913" s="29" t="s">
        <v>202</v>
      </c>
      <c r="D1913" s="29" t="s">
        <v>10586</v>
      </c>
      <c r="E1913" s="29" t="s">
        <v>10587</v>
      </c>
      <c r="F1913" s="30" t="s">
        <v>10588</v>
      </c>
      <c r="G1913" s="30" t="s">
        <v>10589</v>
      </c>
      <c r="H1913" s="42" t="s">
        <v>10590</v>
      </c>
      <c r="I1913" s="29" t="s">
        <v>127</v>
      </c>
      <c r="J1913" s="31">
        <v>1.0</v>
      </c>
      <c r="K1913" s="35"/>
      <c r="L1913" s="35"/>
      <c r="M1913" s="35"/>
      <c r="N1913" s="35"/>
      <c r="O1913" s="35"/>
      <c r="P1913" s="35"/>
      <c r="Q1913" s="35"/>
      <c r="R1913" s="35"/>
      <c r="S1913" s="37">
        <f>IF(B1913="","",IF(ISNUMBER(J1913),IF(J1913&lt;=10,'Configuración'!$B$23,IF(J1913&lt;=50,'Configuración'!$B$24,IF(J1913&lt;=200,'Configuración'!$B$25,0))),0))</f>
        <v>12</v>
      </c>
      <c r="T1913" s="37">
        <f>IF(B1913="","",IF(ISNUMBER(SEARCH("information technology",I1913))+ISNUMBER(SEARCH("software",I1913))+ISNUMBER(SEARCH("internet",I1913))+ISNUMBER(SEARCH("computer",I1913))+ISNUMBER(SEARCH("saas",I1913))+ISNUMBER(SEARCH("fintech",I1913))+ISNUMBER(SEARCH("information services",I1913))+ISNUMBER(SEARCH("telecommunications",I1913))&gt;0,'Configuración'!$B$27,'Configuración'!$B$28))</f>
        <v>12</v>
      </c>
      <c r="U1913" s="25">
        <f>IF(B1913="","",IF(ISNUMBER(SEARCH("CEO",C1913))+ISNUMBER(SEARCH("Founder",C1913))+ISNUMBER(SEARCH("Owner",C1913))+ISNUMBER(SEARCH("Dueño",C1913))+ISNUMBER(SEARCH("Director General",C1913))+ISNUMBER(SEARCH("Presidente",C1913))+ISNUMBER(SEARCH("President",C1913))&gt;0,'Configuración'!$B$31,IF(ISNUMBER(SEARCH("CMO",C1913))+ISNUMBER(SEARCH("Chief Marketing",C1913))+ISNUMBER(SEARCH("VP Marketing",C1913))+ISNUMBER(SEARCH("Director de Marketing",C1913))+ISNUMBER(SEARCH("Director Marketing",C1913))+ISNUMBER(SEARCH("Head of Marketing",C1913))+ISNUMBER(SEARCH("Head Marketing",C1913))&gt;0,'Configuración'!$B$32,IF(ISNUMBER(SEARCH("Marketing Manager",C1913))+ISNUMBER(SEARCH("Gerente de Marketing",C1913))+ISNUMBER(SEARCH("Growth Manager",C1913))+ISNUMBER(SEARCH("Demand Gen",C1913))+ISNUMBER(SEARCH("Marketing Lead",C1913))&gt;0,'Configuración'!$B$33,IF(ISNUMBER(SEARCH("COO",C1913))+ISNUMBER(SEARCH("CFO",C1913))+ISNUMBER(SEARCH("CTO",C1913))+ISNUMBER(SEARCH("Chief Operating",C1913))+ISNUMBER(SEARCH("Chief Financial",C1913))+ISNUMBER(SEARCH("Gerente General",C1913))+ISNUMBER(SEARCH("General Manager",C1913))&gt;0,'Configuración'!$B$34,'Configuración'!$B$35)))))</f>
        <v>12</v>
      </c>
      <c r="V1913" s="38">
        <f>IF(B1913="","",IF(K1913="Sí",'Configuración'!$B$5,0)+IF(L1913="Semanal",'Configuración'!$B$6,IF(L1913="Mensual",'Configuración'!$B$7,0))+IF(M1913="Sí",'Configuración'!$B$8,0)+IF(N1913="Sí",'Configuración'!$B$9,0)+IF(O1913="Sí",'Configuración'!$B$10,0)+IF(P1913="Sí",'Configuración'!$B$11,0)+IF(Q1913="Sí",'Configuración'!$B$12,0)+S1913+T1913+U1913)</f>
        <v>36</v>
      </c>
      <c r="W1913" s="39" t="str">
        <f>IF(B1913="","",IF(V1913&gt;='Configuración'!$B$19,"A",IF(V1913&gt;='Configuración'!$B$20,"B",IF(V1913&gt;='Configuración'!$B$21,"C","Descarte"))))</f>
        <v>C</v>
      </c>
    </row>
    <row r="1914" ht="15.75" customHeight="1">
      <c r="A1914" s="34">
        <f t="shared" si="1"/>
        <v>1912</v>
      </c>
      <c r="B1914" s="29" t="s">
        <v>725</v>
      </c>
      <c r="C1914" s="29" t="s">
        <v>131</v>
      </c>
      <c r="D1914" s="29" t="s">
        <v>6180</v>
      </c>
      <c r="E1914" s="29" t="s">
        <v>10591</v>
      </c>
      <c r="F1914" s="30" t="s">
        <v>10592</v>
      </c>
      <c r="G1914" s="30" t="s">
        <v>6183</v>
      </c>
      <c r="H1914" s="42" t="s">
        <v>6184</v>
      </c>
      <c r="I1914" s="29" t="s">
        <v>127</v>
      </c>
      <c r="J1914" s="31">
        <v>11.0</v>
      </c>
      <c r="K1914" s="35"/>
      <c r="L1914" s="35"/>
      <c r="M1914" s="35"/>
      <c r="N1914" s="35"/>
      <c r="O1914" s="35"/>
      <c r="P1914" s="35"/>
      <c r="Q1914" s="35"/>
      <c r="R1914" s="35"/>
      <c r="S1914" s="37">
        <f>IF(B1914="","",IF(ISNUMBER(J1914),IF(J1914&lt;=10,'Configuración'!$B$23,IF(J1914&lt;=50,'Configuración'!$B$24,IF(J1914&lt;=200,'Configuración'!$B$25,0))),0))</f>
        <v>4</v>
      </c>
      <c r="T1914" s="37">
        <f>IF(B1914="","",IF(ISNUMBER(SEARCH("information technology",I1914))+ISNUMBER(SEARCH("software",I1914))+ISNUMBER(SEARCH("internet",I1914))+ISNUMBER(SEARCH("computer",I1914))+ISNUMBER(SEARCH("saas",I1914))+ISNUMBER(SEARCH("fintech",I1914))+ISNUMBER(SEARCH("information services",I1914))+ISNUMBER(SEARCH("telecommunications",I1914))&gt;0,'Configuración'!$B$27,'Configuración'!$B$28))</f>
        <v>12</v>
      </c>
      <c r="U1914" s="25">
        <f>IF(B1914="","",IF(ISNUMBER(SEARCH("CEO",C1914))+ISNUMBER(SEARCH("Founder",C1914))+ISNUMBER(SEARCH("Owner",C1914))+ISNUMBER(SEARCH("Dueño",C1914))+ISNUMBER(SEARCH("Director General",C1914))+ISNUMBER(SEARCH("Presidente",C1914))+ISNUMBER(SEARCH("President",C1914))&gt;0,'Configuración'!$B$31,IF(ISNUMBER(SEARCH("CMO",C1914))+ISNUMBER(SEARCH("Chief Marketing",C1914))+ISNUMBER(SEARCH("VP Marketing",C1914))+ISNUMBER(SEARCH("Director de Marketing",C1914))+ISNUMBER(SEARCH("Director Marketing",C1914))+ISNUMBER(SEARCH("Head of Marketing",C1914))+ISNUMBER(SEARCH("Head Marketing",C1914))&gt;0,'Configuración'!$B$32,IF(ISNUMBER(SEARCH("Marketing Manager",C1914))+ISNUMBER(SEARCH("Gerente de Marketing",C1914))+ISNUMBER(SEARCH("Growth Manager",C1914))+ISNUMBER(SEARCH("Demand Gen",C1914))+ISNUMBER(SEARCH("Marketing Lead",C1914))&gt;0,'Configuración'!$B$33,IF(ISNUMBER(SEARCH("COO",C1914))+ISNUMBER(SEARCH("CFO",C1914))+ISNUMBER(SEARCH("CTO",C1914))+ISNUMBER(SEARCH("Chief Operating",C1914))+ISNUMBER(SEARCH("Chief Financial",C1914))+ISNUMBER(SEARCH("Gerente General",C1914))+ISNUMBER(SEARCH("General Manager",C1914))&gt;0,'Configuración'!$B$34,'Configuración'!$B$35)))))</f>
        <v>12</v>
      </c>
      <c r="V1914" s="38">
        <f>IF(B1914="","",IF(K1914="Sí",'Configuración'!$B$5,0)+IF(L1914="Semanal",'Configuración'!$B$6,IF(L1914="Mensual",'Configuración'!$B$7,0))+IF(M1914="Sí",'Configuración'!$B$8,0)+IF(N1914="Sí",'Configuración'!$B$9,0)+IF(O1914="Sí",'Configuración'!$B$10,0)+IF(P1914="Sí",'Configuración'!$B$11,0)+IF(Q1914="Sí",'Configuración'!$B$12,0)+S1914+T1914+U1914)</f>
        <v>28</v>
      </c>
      <c r="W1914" s="39" t="str">
        <f>IF(B1914="","",IF(V1914&gt;='Configuración'!$B$19,"A",IF(V1914&gt;='Configuración'!$B$20,"B",IF(V1914&gt;='Configuración'!$B$21,"C","Descarte"))))</f>
        <v>C</v>
      </c>
    </row>
    <row r="1915" ht="15.75" customHeight="1">
      <c r="A1915" s="34">
        <f t="shared" si="1"/>
        <v>1913</v>
      </c>
      <c r="B1915" s="29" t="s">
        <v>181</v>
      </c>
      <c r="C1915" s="29" t="s">
        <v>131</v>
      </c>
      <c r="D1915" s="29" t="s">
        <v>10593</v>
      </c>
      <c r="E1915" s="29" t="s">
        <v>10594</v>
      </c>
      <c r="F1915" s="30" t="s">
        <v>10595</v>
      </c>
      <c r="G1915" s="30" t="s">
        <v>10596</v>
      </c>
      <c r="H1915" s="42" t="s">
        <v>10597</v>
      </c>
      <c r="I1915" s="29" t="s">
        <v>137</v>
      </c>
      <c r="J1915" s="31">
        <v>12.0</v>
      </c>
      <c r="K1915" s="35"/>
      <c r="L1915" s="35"/>
      <c r="M1915" s="35"/>
      <c r="N1915" s="35"/>
      <c r="O1915" s="35"/>
      <c r="P1915" s="35"/>
      <c r="Q1915" s="35"/>
      <c r="R1915" s="35"/>
      <c r="S1915" s="37">
        <f>IF(B1915="","",IF(ISNUMBER(J1915),IF(J1915&lt;=10,'Configuración'!$B$23,IF(J1915&lt;=50,'Configuración'!$B$24,IF(J1915&lt;=200,'Configuración'!$B$25,0))),0))</f>
        <v>4</v>
      </c>
      <c r="T1915" s="37">
        <f>IF(B1915="","",IF(ISNUMBER(SEARCH("information technology",I1915))+ISNUMBER(SEARCH("software",I1915))+ISNUMBER(SEARCH("internet",I1915))+ISNUMBER(SEARCH("computer",I1915))+ISNUMBER(SEARCH("saas",I1915))+ISNUMBER(SEARCH("fintech",I1915))+ISNUMBER(SEARCH("information services",I1915))+ISNUMBER(SEARCH("telecommunications",I1915))&gt;0,'Configuración'!$B$27,'Configuración'!$B$28))</f>
        <v>4</v>
      </c>
      <c r="U1915" s="25">
        <f>IF(B1915="","",IF(ISNUMBER(SEARCH("CEO",C1915))+ISNUMBER(SEARCH("Founder",C1915))+ISNUMBER(SEARCH("Owner",C1915))+ISNUMBER(SEARCH("Dueño",C1915))+ISNUMBER(SEARCH("Director General",C1915))+ISNUMBER(SEARCH("Presidente",C1915))+ISNUMBER(SEARCH("President",C1915))&gt;0,'Configuración'!$B$31,IF(ISNUMBER(SEARCH("CMO",C1915))+ISNUMBER(SEARCH("Chief Marketing",C1915))+ISNUMBER(SEARCH("VP Marketing",C1915))+ISNUMBER(SEARCH("Director de Marketing",C1915))+ISNUMBER(SEARCH("Director Marketing",C1915))+ISNUMBER(SEARCH("Head of Marketing",C1915))+ISNUMBER(SEARCH("Head Marketing",C1915))&gt;0,'Configuración'!$B$32,IF(ISNUMBER(SEARCH("Marketing Manager",C1915))+ISNUMBER(SEARCH("Gerente de Marketing",C1915))+ISNUMBER(SEARCH("Growth Manager",C1915))+ISNUMBER(SEARCH("Demand Gen",C1915))+ISNUMBER(SEARCH("Marketing Lead",C1915))&gt;0,'Configuración'!$B$33,IF(ISNUMBER(SEARCH("COO",C1915))+ISNUMBER(SEARCH("CFO",C1915))+ISNUMBER(SEARCH("CTO",C1915))+ISNUMBER(SEARCH("Chief Operating",C1915))+ISNUMBER(SEARCH("Chief Financial",C1915))+ISNUMBER(SEARCH("Gerente General",C1915))+ISNUMBER(SEARCH("General Manager",C1915))&gt;0,'Configuración'!$B$34,'Configuración'!$B$35)))))</f>
        <v>12</v>
      </c>
      <c r="V1915" s="38">
        <f>IF(B1915="","",IF(K1915="Sí",'Configuración'!$B$5,0)+IF(L1915="Semanal",'Configuración'!$B$6,IF(L1915="Mensual",'Configuración'!$B$7,0))+IF(M1915="Sí",'Configuración'!$B$8,0)+IF(N1915="Sí",'Configuración'!$B$9,0)+IF(O1915="Sí",'Configuración'!$B$10,0)+IF(P1915="Sí",'Configuración'!$B$11,0)+IF(Q1915="Sí",'Configuración'!$B$12,0)+S1915+T1915+U1915)</f>
        <v>20</v>
      </c>
      <c r="W1915" s="39" t="str">
        <f>IF(B1915="","",IF(V1915&gt;='Configuración'!$B$19,"A",IF(V1915&gt;='Configuración'!$B$20,"B",IF(V1915&gt;='Configuración'!$B$21,"C","Descarte"))))</f>
        <v>Descarte</v>
      </c>
    </row>
    <row r="1916" ht="15.75" customHeight="1">
      <c r="A1916" s="34">
        <f t="shared" si="1"/>
        <v>1914</v>
      </c>
      <c r="B1916" s="29" t="s">
        <v>641</v>
      </c>
      <c r="C1916" s="29" t="s">
        <v>10598</v>
      </c>
      <c r="D1916" s="29" t="s">
        <v>10599</v>
      </c>
      <c r="E1916" s="29"/>
      <c r="F1916" s="30" t="s">
        <v>10600</v>
      </c>
      <c r="G1916" s="30" t="s">
        <v>10601</v>
      </c>
      <c r="H1916" s="42" t="s">
        <v>7804</v>
      </c>
      <c r="I1916" s="29" t="s">
        <v>337</v>
      </c>
      <c r="J1916" s="31">
        <v>4.0</v>
      </c>
      <c r="K1916" s="35"/>
      <c r="L1916" s="35"/>
      <c r="M1916" s="35"/>
      <c r="N1916" s="35"/>
      <c r="O1916" s="35"/>
      <c r="P1916" s="35"/>
      <c r="Q1916" s="35"/>
      <c r="R1916" s="35"/>
      <c r="S1916" s="37">
        <f>IF(B1916="","",IF(ISNUMBER(J1916),IF(J1916&lt;=10,'Configuración'!$B$23,IF(J1916&lt;=50,'Configuración'!$B$24,IF(J1916&lt;=200,'Configuración'!$B$25,0))),0))</f>
        <v>12</v>
      </c>
      <c r="T1916" s="37">
        <f>IF(B1916="","",IF(ISNUMBER(SEARCH("information technology",I1916))+ISNUMBER(SEARCH("software",I1916))+ISNUMBER(SEARCH("internet",I1916))+ISNUMBER(SEARCH("computer",I1916))+ISNUMBER(SEARCH("saas",I1916))+ISNUMBER(SEARCH("fintech",I1916))+ISNUMBER(SEARCH("information services",I1916))+ISNUMBER(SEARCH("telecommunications",I1916))&gt;0,'Configuración'!$B$27,'Configuración'!$B$28))</f>
        <v>4</v>
      </c>
      <c r="U1916" s="25">
        <f>IF(B1916="","",IF(ISNUMBER(SEARCH("CEO",C1916))+ISNUMBER(SEARCH("Founder",C1916))+ISNUMBER(SEARCH("Owner",C1916))+ISNUMBER(SEARCH("Dueño",C1916))+ISNUMBER(SEARCH("Director General",C1916))+ISNUMBER(SEARCH("Presidente",C1916))+ISNUMBER(SEARCH("President",C1916))&gt;0,'Configuración'!$B$31,IF(ISNUMBER(SEARCH("CMO",C1916))+ISNUMBER(SEARCH("Chief Marketing",C1916))+ISNUMBER(SEARCH("VP Marketing",C1916))+ISNUMBER(SEARCH("Director de Marketing",C1916))+ISNUMBER(SEARCH("Director Marketing",C1916))+ISNUMBER(SEARCH("Head of Marketing",C1916))+ISNUMBER(SEARCH("Head Marketing",C1916))&gt;0,'Configuración'!$B$32,IF(ISNUMBER(SEARCH("Marketing Manager",C1916))+ISNUMBER(SEARCH("Gerente de Marketing",C1916))+ISNUMBER(SEARCH("Growth Manager",C1916))+ISNUMBER(SEARCH("Demand Gen",C1916))+ISNUMBER(SEARCH("Marketing Lead",C1916))&gt;0,'Configuración'!$B$33,IF(ISNUMBER(SEARCH("COO",C1916))+ISNUMBER(SEARCH("CFO",C1916))+ISNUMBER(SEARCH("CTO",C1916))+ISNUMBER(SEARCH("Chief Operating",C1916))+ISNUMBER(SEARCH("Chief Financial",C1916))+ISNUMBER(SEARCH("Gerente General",C1916))+ISNUMBER(SEARCH("General Manager",C1916))&gt;0,'Configuración'!$B$34,'Configuración'!$B$35)))))</f>
        <v>12</v>
      </c>
      <c r="V1916" s="38">
        <f>IF(B1916="","",IF(K1916="Sí",'Configuración'!$B$5,0)+IF(L1916="Semanal",'Configuración'!$B$6,IF(L1916="Mensual",'Configuración'!$B$7,0))+IF(M1916="Sí",'Configuración'!$B$8,0)+IF(N1916="Sí",'Configuración'!$B$9,0)+IF(O1916="Sí",'Configuración'!$B$10,0)+IF(P1916="Sí",'Configuración'!$B$11,0)+IF(Q1916="Sí",'Configuración'!$B$12,0)+S1916+T1916+U1916)</f>
        <v>28</v>
      </c>
      <c r="W1916" s="39" t="str">
        <f>IF(B1916="","",IF(V1916&gt;='Configuración'!$B$19,"A",IF(V1916&gt;='Configuración'!$B$20,"B",IF(V1916&gt;='Configuración'!$B$21,"C","Descarte"))))</f>
        <v>C</v>
      </c>
    </row>
    <row r="1917" ht="15.75" customHeight="1">
      <c r="A1917" s="34">
        <f t="shared" si="1"/>
        <v>1915</v>
      </c>
      <c r="B1917" s="29" t="s">
        <v>529</v>
      </c>
      <c r="C1917" s="29" t="s">
        <v>131</v>
      </c>
      <c r="D1917" s="29" t="s">
        <v>10602</v>
      </c>
      <c r="E1917" s="29" t="s">
        <v>10603</v>
      </c>
      <c r="F1917" s="30" t="s">
        <v>10604</v>
      </c>
      <c r="G1917" s="30" t="s">
        <v>10605</v>
      </c>
      <c r="H1917" s="42" t="s">
        <v>10606</v>
      </c>
      <c r="I1917" s="29" t="s">
        <v>1429</v>
      </c>
      <c r="J1917" s="31">
        <v>8.0</v>
      </c>
      <c r="K1917" s="35"/>
      <c r="L1917" s="35"/>
      <c r="M1917" s="35"/>
      <c r="N1917" s="35"/>
      <c r="O1917" s="35"/>
      <c r="P1917" s="35"/>
      <c r="Q1917" s="35"/>
      <c r="R1917" s="35"/>
      <c r="S1917" s="37">
        <f>IF(B1917="","",IF(ISNUMBER(J1917),IF(J1917&lt;=10,'Configuración'!$B$23,IF(J1917&lt;=50,'Configuración'!$B$24,IF(J1917&lt;=200,'Configuración'!$B$25,0))),0))</f>
        <v>12</v>
      </c>
      <c r="T1917" s="37">
        <f>IF(B1917="","",IF(ISNUMBER(SEARCH("information technology",I1917))+ISNUMBER(SEARCH("software",I1917))+ISNUMBER(SEARCH("internet",I1917))+ISNUMBER(SEARCH("computer",I1917))+ISNUMBER(SEARCH("saas",I1917))+ISNUMBER(SEARCH("fintech",I1917))+ISNUMBER(SEARCH("information services",I1917))+ISNUMBER(SEARCH("telecommunications",I1917))&gt;0,'Configuración'!$B$27,'Configuración'!$B$28))</f>
        <v>4</v>
      </c>
      <c r="U1917" s="25">
        <f>IF(B1917="","",IF(ISNUMBER(SEARCH("CEO",C1917))+ISNUMBER(SEARCH("Founder",C1917))+ISNUMBER(SEARCH("Owner",C1917))+ISNUMBER(SEARCH("Dueño",C1917))+ISNUMBER(SEARCH("Director General",C1917))+ISNUMBER(SEARCH("Presidente",C1917))+ISNUMBER(SEARCH("President",C1917))&gt;0,'Configuración'!$B$31,IF(ISNUMBER(SEARCH("CMO",C1917))+ISNUMBER(SEARCH("Chief Marketing",C1917))+ISNUMBER(SEARCH("VP Marketing",C1917))+ISNUMBER(SEARCH("Director de Marketing",C1917))+ISNUMBER(SEARCH("Director Marketing",C1917))+ISNUMBER(SEARCH("Head of Marketing",C1917))+ISNUMBER(SEARCH("Head Marketing",C1917))&gt;0,'Configuración'!$B$32,IF(ISNUMBER(SEARCH("Marketing Manager",C1917))+ISNUMBER(SEARCH("Gerente de Marketing",C1917))+ISNUMBER(SEARCH("Growth Manager",C1917))+ISNUMBER(SEARCH("Demand Gen",C1917))+ISNUMBER(SEARCH("Marketing Lead",C1917))&gt;0,'Configuración'!$B$33,IF(ISNUMBER(SEARCH("COO",C1917))+ISNUMBER(SEARCH("CFO",C1917))+ISNUMBER(SEARCH("CTO",C1917))+ISNUMBER(SEARCH("Chief Operating",C1917))+ISNUMBER(SEARCH("Chief Financial",C1917))+ISNUMBER(SEARCH("Gerente General",C1917))+ISNUMBER(SEARCH("General Manager",C1917))&gt;0,'Configuración'!$B$34,'Configuración'!$B$35)))))</f>
        <v>12</v>
      </c>
      <c r="V1917" s="38">
        <f>IF(B1917="","",IF(K1917="Sí",'Configuración'!$B$5,0)+IF(L1917="Semanal",'Configuración'!$B$6,IF(L1917="Mensual",'Configuración'!$B$7,0))+IF(M1917="Sí",'Configuración'!$B$8,0)+IF(N1917="Sí",'Configuración'!$B$9,0)+IF(O1917="Sí",'Configuración'!$B$10,0)+IF(P1917="Sí",'Configuración'!$B$11,0)+IF(Q1917="Sí",'Configuración'!$B$12,0)+S1917+T1917+U1917)</f>
        <v>28</v>
      </c>
      <c r="W1917" s="39" t="str">
        <f>IF(B1917="","",IF(V1917&gt;='Configuración'!$B$19,"A",IF(V1917&gt;='Configuración'!$B$20,"B",IF(V1917&gt;='Configuración'!$B$21,"C","Descarte"))))</f>
        <v>C</v>
      </c>
    </row>
    <row r="1918" ht="15.75" customHeight="1">
      <c r="A1918" s="34">
        <f t="shared" si="1"/>
        <v>1916</v>
      </c>
      <c r="B1918" s="29" t="s">
        <v>610</v>
      </c>
      <c r="C1918" s="29" t="s">
        <v>502</v>
      </c>
      <c r="D1918" s="29" t="s">
        <v>10607</v>
      </c>
      <c r="E1918" s="29" t="s">
        <v>10608</v>
      </c>
      <c r="F1918" s="30" t="s">
        <v>10609</v>
      </c>
      <c r="G1918" s="30" t="s">
        <v>10610</v>
      </c>
      <c r="H1918" s="42" t="s">
        <v>10611</v>
      </c>
      <c r="I1918" s="29" t="s">
        <v>428</v>
      </c>
      <c r="J1918" s="31">
        <v>3.0</v>
      </c>
      <c r="K1918" s="35"/>
      <c r="L1918" s="35"/>
      <c r="M1918" s="35"/>
      <c r="N1918" s="35"/>
      <c r="O1918" s="35"/>
      <c r="P1918" s="35"/>
      <c r="Q1918" s="35"/>
      <c r="R1918" s="35"/>
      <c r="S1918" s="37">
        <f>IF(B1918="","",IF(ISNUMBER(J1918),IF(J1918&lt;=10,'Configuración'!$B$23,IF(J1918&lt;=50,'Configuración'!$B$24,IF(J1918&lt;=200,'Configuración'!$B$25,0))),0))</f>
        <v>12</v>
      </c>
      <c r="T1918" s="37">
        <f>IF(B1918="","",IF(ISNUMBER(SEARCH("information technology",I1918))+ISNUMBER(SEARCH("software",I1918))+ISNUMBER(SEARCH("internet",I1918))+ISNUMBER(SEARCH("computer",I1918))+ISNUMBER(SEARCH("saas",I1918))+ISNUMBER(SEARCH("fintech",I1918))+ISNUMBER(SEARCH("information services",I1918))+ISNUMBER(SEARCH("telecommunications",I1918))&gt;0,'Configuración'!$B$27,'Configuración'!$B$28))</f>
        <v>12</v>
      </c>
      <c r="U1918" s="25">
        <f>IF(B1918="","",IF(ISNUMBER(SEARCH("CEO",C1918))+ISNUMBER(SEARCH("Founder",C1918))+ISNUMBER(SEARCH("Owner",C1918))+ISNUMBER(SEARCH("Dueño",C1918))+ISNUMBER(SEARCH("Director General",C1918))+ISNUMBER(SEARCH("Presidente",C1918))+ISNUMBER(SEARCH("President",C1918))&gt;0,'Configuración'!$B$31,IF(ISNUMBER(SEARCH("CMO",C1918))+ISNUMBER(SEARCH("Chief Marketing",C1918))+ISNUMBER(SEARCH("VP Marketing",C1918))+ISNUMBER(SEARCH("Director de Marketing",C1918))+ISNUMBER(SEARCH("Director Marketing",C1918))+ISNUMBER(SEARCH("Head of Marketing",C1918))+ISNUMBER(SEARCH("Head Marketing",C1918))&gt;0,'Configuración'!$B$32,IF(ISNUMBER(SEARCH("Marketing Manager",C1918))+ISNUMBER(SEARCH("Gerente de Marketing",C1918))+ISNUMBER(SEARCH("Growth Manager",C1918))+ISNUMBER(SEARCH("Demand Gen",C1918))+ISNUMBER(SEARCH("Marketing Lead",C1918))&gt;0,'Configuración'!$B$33,IF(ISNUMBER(SEARCH("COO",C1918))+ISNUMBER(SEARCH("CFO",C1918))+ISNUMBER(SEARCH("CTO",C1918))+ISNUMBER(SEARCH("Chief Operating",C1918))+ISNUMBER(SEARCH("Chief Financial",C1918))+ISNUMBER(SEARCH("Gerente General",C1918))+ISNUMBER(SEARCH("General Manager",C1918))&gt;0,'Configuración'!$B$34,'Configuración'!$B$35)))))</f>
        <v>0</v>
      </c>
      <c r="V1918" s="38">
        <f>IF(B1918="","",IF(K1918="Sí",'Configuración'!$B$5,0)+IF(L1918="Semanal",'Configuración'!$B$6,IF(L1918="Mensual",'Configuración'!$B$7,0))+IF(M1918="Sí",'Configuración'!$B$8,0)+IF(N1918="Sí",'Configuración'!$B$9,0)+IF(O1918="Sí",'Configuración'!$B$10,0)+IF(P1918="Sí",'Configuración'!$B$11,0)+IF(Q1918="Sí",'Configuración'!$B$12,0)+S1918+T1918+U1918)</f>
        <v>24</v>
      </c>
      <c r="W1918" s="39" t="str">
        <f>IF(B1918="","",IF(V1918&gt;='Configuración'!$B$19,"A",IF(V1918&gt;='Configuración'!$B$20,"B",IF(V1918&gt;='Configuración'!$B$21,"C","Descarte"))))</f>
        <v>C</v>
      </c>
    </row>
    <row r="1919" ht="15.75" customHeight="1">
      <c r="A1919" s="34">
        <f t="shared" si="1"/>
        <v>1917</v>
      </c>
      <c r="B1919" s="29" t="s">
        <v>10612</v>
      </c>
      <c r="C1919" s="29" t="s">
        <v>10613</v>
      </c>
      <c r="D1919" s="29" t="s">
        <v>10614</v>
      </c>
      <c r="E1919" s="29" t="s">
        <v>10615</v>
      </c>
      <c r="F1919" s="30" t="s">
        <v>10616</v>
      </c>
      <c r="G1919" s="30" t="s">
        <v>10617</v>
      </c>
      <c r="H1919" s="42" t="s">
        <v>10618</v>
      </c>
      <c r="I1919" s="29" t="s">
        <v>127</v>
      </c>
      <c r="J1919" s="31">
        <v>28.0</v>
      </c>
      <c r="K1919" s="35"/>
      <c r="L1919" s="35"/>
      <c r="M1919" s="35"/>
      <c r="N1919" s="35"/>
      <c r="O1919" s="35"/>
      <c r="P1919" s="35"/>
      <c r="Q1919" s="35"/>
      <c r="R1919" s="35"/>
      <c r="S1919" s="37">
        <f>IF(B1919="","",IF(ISNUMBER(J1919),IF(J1919&lt;=10,'Configuración'!$B$23,IF(J1919&lt;=50,'Configuración'!$B$24,IF(J1919&lt;=200,'Configuración'!$B$25,0))),0))</f>
        <v>4</v>
      </c>
      <c r="T1919" s="37">
        <f>IF(B1919="","",IF(ISNUMBER(SEARCH("information technology",I1919))+ISNUMBER(SEARCH("software",I1919))+ISNUMBER(SEARCH("internet",I1919))+ISNUMBER(SEARCH("computer",I1919))+ISNUMBER(SEARCH("saas",I1919))+ISNUMBER(SEARCH("fintech",I1919))+ISNUMBER(SEARCH("information services",I1919))+ISNUMBER(SEARCH("telecommunications",I1919))&gt;0,'Configuración'!$B$27,'Configuración'!$B$28))</f>
        <v>12</v>
      </c>
      <c r="U1919" s="25">
        <f>IF(B1919="","",IF(ISNUMBER(SEARCH("CEO",C1919))+ISNUMBER(SEARCH("Founder",C1919))+ISNUMBER(SEARCH("Owner",C1919))+ISNUMBER(SEARCH("Dueño",C1919))+ISNUMBER(SEARCH("Director General",C1919))+ISNUMBER(SEARCH("Presidente",C1919))+ISNUMBER(SEARCH("President",C1919))&gt;0,'Configuración'!$B$31,IF(ISNUMBER(SEARCH("CMO",C1919))+ISNUMBER(SEARCH("Chief Marketing",C1919))+ISNUMBER(SEARCH("VP Marketing",C1919))+ISNUMBER(SEARCH("Director de Marketing",C1919))+ISNUMBER(SEARCH("Director Marketing",C1919))+ISNUMBER(SEARCH("Head of Marketing",C1919))+ISNUMBER(SEARCH("Head Marketing",C1919))&gt;0,'Configuración'!$B$32,IF(ISNUMBER(SEARCH("Marketing Manager",C1919))+ISNUMBER(SEARCH("Gerente de Marketing",C1919))+ISNUMBER(SEARCH("Growth Manager",C1919))+ISNUMBER(SEARCH("Demand Gen",C1919))+ISNUMBER(SEARCH("Marketing Lead",C1919))&gt;0,'Configuración'!$B$33,IF(ISNUMBER(SEARCH("COO",C1919))+ISNUMBER(SEARCH("CFO",C1919))+ISNUMBER(SEARCH("CTO",C1919))+ISNUMBER(SEARCH("Chief Operating",C1919))+ISNUMBER(SEARCH("Chief Financial",C1919))+ISNUMBER(SEARCH("Gerente General",C1919))+ISNUMBER(SEARCH("General Manager",C1919))&gt;0,'Configuración'!$B$34,'Configuración'!$B$35)))))</f>
        <v>12</v>
      </c>
      <c r="V1919" s="38">
        <f>IF(B1919="","",IF(K1919="Sí",'Configuración'!$B$5,0)+IF(L1919="Semanal",'Configuración'!$B$6,IF(L1919="Mensual",'Configuración'!$B$7,0))+IF(M1919="Sí",'Configuración'!$B$8,0)+IF(N1919="Sí",'Configuración'!$B$9,0)+IF(O1919="Sí",'Configuración'!$B$10,0)+IF(P1919="Sí",'Configuración'!$B$11,0)+IF(Q1919="Sí",'Configuración'!$B$12,0)+S1919+T1919+U1919)</f>
        <v>28</v>
      </c>
      <c r="W1919" s="39" t="str">
        <f>IF(B1919="","",IF(V1919&gt;='Configuración'!$B$19,"A",IF(V1919&gt;='Configuración'!$B$20,"B",IF(V1919&gt;='Configuración'!$B$21,"C","Descarte"))))</f>
        <v>C</v>
      </c>
    </row>
    <row r="1920" ht="15.75" customHeight="1">
      <c r="A1920" s="34">
        <f t="shared" si="1"/>
        <v>1918</v>
      </c>
      <c r="B1920" s="29" t="s">
        <v>10619</v>
      </c>
      <c r="C1920" s="29" t="s">
        <v>10620</v>
      </c>
      <c r="D1920" s="29" t="s">
        <v>10621</v>
      </c>
      <c r="E1920" s="29" t="s">
        <v>10622</v>
      </c>
      <c r="F1920" s="30" t="s">
        <v>10623</v>
      </c>
      <c r="G1920" s="30" t="s">
        <v>10624</v>
      </c>
      <c r="H1920" s="42" t="s">
        <v>10625</v>
      </c>
      <c r="I1920" s="29" t="s">
        <v>127</v>
      </c>
      <c r="J1920" s="31">
        <v>10.0</v>
      </c>
      <c r="K1920" s="35"/>
      <c r="L1920" s="35"/>
      <c r="M1920" s="35"/>
      <c r="N1920" s="35"/>
      <c r="O1920" s="35"/>
      <c r="P1920" s="35"/>
      <c r="Q1920" s="35"/>
      <c r="R1920" s="35"/>
      <c r="S1920" s="37">
        <f>IF(B1920="","",IF(ISNUMBER(J1920),IF(J1920&lt;=10,'Configuración'!$B$23,IF(J1920&lt;=50,'Configuración'!$B$24,IF(J1920&lt;=200,'Configuración'!$B$25,0))),0))</f>
        <v>12</v>
      </c>
      <c r="T1920" s="37">
        <f>IF(B1920="","",IF(ISNUMBER(SEARCH("information technology",I1920))+ISNUMBER(SEARCH("software",I1920))+ISNUMBER(SEARCH("internet",I1920))+ISNUMBER(SEARCH("computer",I1920))+ISNUMBER(SEARCH("saas",I1920))+ISNUMBER(SEARCH("fintech",I1920))+ISNUMBER(SEARCH("information services",I1920))+ISNUMBER(SEARCH("telecommunications",I1920))&gt;0,'Configuración'!$B$27,'Configuración'!$B$28))</f>
        <v>12</v>
      </c>
      <c r="U1920" s="25">
        <f>IF(B1920="","",IF(ISNUMBER(SEARCH("CEO",C1920))+ISNUMBER(SEARCH("Founder",C1920))+ISNUMBER(SEARCH("Owner",C1920))+ISNUMBER(SEARCH("Dueño",C1920))+ISNUMBER(SEARCH("Director General",C1920))+ISNUMBER(SEARCH("Presidente",C1920))+ISNUMBER(SEARCH("President",C1920))&gt;0,'Configuración'!$B$31,IF(ISNUMBER(SEARCH("CMO",C1920))+ISNUMBER(SEARCH("Chief Marketing",C1920))+ISNUMBER(SEARCH("VP Marketing",C1920))+ISNUMBER(SEARCH("Director de Marketing",C1920))+ISNUMBER(SEARCH("Director Marketing",C1920))+ISNUMBER(SEARCH("Head of Marketing",C1920))+ISNUMBER(SEARCH("Head Marketing",C1920))&gt;0,'Configuración'!$B$32,IF(ISNUMBER(SEARCH("Marketing Manager",C1920))+ISNUMBER(SEARCH("Gerente de Marketing",C1920))+ISNUMBER(SEARCH("Growth Manager",C1920))+ISNUMBER(SEARCH("Demand Gen",C1920))+ISNUMBER(SEARCH("Marketing Lead",C1920))&gt;0,'Configuración'!$B$33,IF(ISNUMBER(SEARCH("COO",C1920))+ISNUMBER(SEARCH("CFO",C1920))+ISNUMBER(SEARCH("CTO",C1920))+ISNUMBER(SEARCH("Chief Operating",C1920))+ISNUMBER(SEARCH("Chief Financial",C1920))+ISNUMBER(SEARCH("Gerente General",C1920))+ISNUMBER(SEARCH("General Manager",C1920))&gt;0,'Configuración'!$B$34,'Configuración'!$B$35)))))</f>
        <v>12</v>
      </c>
      <c r="V1920" s="38">
        <f>IF(B1920="","",IF(K1920="Sí",'Configuración'!$B$5,0)+IF(L1920="Semanal",'Configuración'!$B$6,IF(L1920="Mensual",'Configuración'!$B$7,0))+IF(M1920="Sí",'Configuración'!$B$8,0)+IF(N1920="Sí",'Configuración'!$B$9,0)+IF(O1920="Sí",'Configuración'!$B$10,0)+IF(P1920="Sí",'Configuración'!$B$11,0)+IF(Q1920="Sí",'Configuración'!$B$12,0)+S1920+T1920+U1920)</f>
        <v>36</v>
      </c>
      <c r="W1920" s="39" t="str">
        <f>IF(B1920="","",IF(V1920&gt;='Configuración'!$B$19,"A",IF(V1920&gt;='Configuración'!$B$20,"B",IF(V1920&gt;='Configuración'!$B$21,"C","Descarte"))))</f>
        <v>C</v>
      </c>
    </row>
    <row r="1921" ht="15.75" customHeight="1">
      <c r="A1921" s="34">
        <f t="shared" si="1"/>
        <v>1919</v>
      </c>
      <c r="B1921" s="29" t="s">
        <v>2042</v>
      </c>
      <c r="C1921" s="29" t="s">
        <v>10626</v>
      </c>
      <c r="D1921" s="29" t="s">
        <v>10627</v>
      </c>
      <c r="E1921" s="29" t="s">
        <v>10628</v>
      </c>
      <c r="F1921" s="30" t="s">
        <v>10629</v>
      </c>
      <c r="G1921" s="30" t="s">
        <v>10630</v>
      </c>
      <c r="H1921" s="42" t="s">
        <v>10631</v>
      </c>
      <c r="I1921" s="29" t="s">
        <v>659</v>
      </c>
      <c r="J1921" s="31">
        <v>3.0</v>
      </c>
      <c r="K1921" s="35"/>
      <c r="L1921" s="35"/>
      <c r="M1921" s="35"/>
      <c r="N1921" s="35"/>
      <c r="O1921" s="35"/>
      <c r="P1921" s="35"/>
      <c r="Q1921" s="35"/>
      <c r="R1921" s="35"/>
      <c r="S1921" s="37">
        <f>IF(B1921="","",IF(ISNUMBER(J1921),IF(J1921&lt;=10,'Configuración'!$B$23,IF(J1921&lt;=50,'Configuración'!$B$24,IF(J1921&lt;=200,'Configuración'!$B$25,0))),0))</f>
        <v>12</v>
      </c>
      <c r="T1921" s="37">
        <f>IF(B1921="","",IF(ISNUMBER(SEARCH("information technology",I1921))+ISNUMBER(SEARCH("software",I1921))+ISNUMBER(SEARCH("internet",I1921))+ISNUMBER(SEARCH("computer",I1921))+ISNUMBER(SEARCH("saas",I1921))+ISNUMBER(SEARCH("fintech",I1921))+ISNUMBER(SEARCH("information services",I1921))+ISNUMBER(SEARCH("telecommunications",I1921))&gt;0,'Configuración'!$B$27,'Configuración'!$B$28))</f>
        <v>4</v>
      </c>
      <c r="U1921" s="25">
        <f>IF(B1921="","",IF(ISNUMBER(SEARCH("CEO",C1921))+ISNUMBER(SEARCH("Founder",C1921))+ISNUMBER(SEARCH("Owner",C1921))+ISNUMBER(SEARCH("Dueño",C1921))+ISNUMBER(SEARCH("Director General",C1921))+ISNUMBER(SEARCH("Presidente",C1921))+ISNUMBER(SEARCH("President",C1921))&gt;0,'Configuración'!$B$31,IF(ISNUMBER(SEARCH("CMO",C1921))+ISNUMBER(SEARCH("Chief Marketing",C1921))+ISNUMBER(SEARCH("VP Marketing",C1921))+ISNUMBER(SEARCH("Director de Marketing",C1921))+ISNUMBER(SEARCH("Director Marketing",C1921))+ISNUMBER(SEARCH("Head of Marketing",C1921))+ISNUMBER(SEARCH("Head Marketing",C1921))&gt;0,'Configuración'!$B$32,IF(ISNUMBER(SEARCH("Marketing Manager",C1921))+ISNUMBER(SEARCH("Gerente de Marketing",C1921))+ISNUMBER(SEARCH("Growth Manager",C1921))+ISNUMBER(SEARCH("Demand Gen",C1921))+ISNUMBER(SEARCH("Marketing Lead",C1921))&gt;0,'Configuración'!$B$33,IF(ISNUMBER(SEARCH("COO",C1921))+ISNUMBER(SEARCH("CFO",C1921))+ISNUMBER(SEARCH("CTO",C1921))+ISNUMBER(SEARCH("Chief Operating",C1921))+ISNUMBER(SEARCH("Chief Financial",C1921))+ISNUMBER(SEARCH("Gerente General",C1921))+ISNUMBER(SEARCH("General Manager",C1921))&gt;0,'Configuración'!$B$34,'Configuración'!$B$35)))))</f>
        <v>12</v>
      </c>
      <c r="V1921" s="38">
        <f>IF(B1921="","",IF(K1921="Sí",'Configuración'!$B$5,0)+IF(L1921="Semanal",'Configuración'!$B$6,IF(L1921="Mensual",'Configuración'!$B$7,0))+IF(M1921="Sí",'Configuración'!$B$8,0)+IF(N1921="Sí",'Configuración'!$B$9,0)+IF(O1921="Sí",'Configuración'!$B$10,0)+IF(P1921="Sí",'Configuración'!$B$11,0)+IF(Q1921="Sí",'Configuración'!$B$12,0)+S1921+T1921+U1921)</f>
        <v>28</v>
      </c>
      <c r="W1921" s="39" t="str">
        <f>IF(B1921="","",IF(V1921&gt;='Configuración'!$B$19,"A",IF(V1921&gt;='Configuración'!$B$20,"B",IF(V1921&gt;='Configuración'!$B$21,"C","Descarte"))))</f>
        <v>C</v>
      </c>
    </row>
    <row r="1922" ht="15.75" customHeight="1">
      <c r="A1922" s="34">
        <f t="shared" si="1"/>
        <v>1920</v>
      </c>
      <c r="B1922" s="29" t="s">
        <v>1227</v>
      </c>
      <c r="C1922" s="29" t="s">
        <v>10632</v>
      </c>
      <c r="D1922" s="29" t="s">
        <v>10633</v>
      </c>
      <c r="E1922" s="29" t="s">
        <v>10634</v>
      </c>
      <c r="F1922" s="30" t="s">
        <v>10635</v>
      </c>
      <c r="G1922" s="30" t="s">
        <v>10636</v>
      </c>
      <c r="H1922" s="42" t="s">
        <v>10637</v>
      </c>
      <c r="I1922" s="29" t="s">
        <v>188</v>
      </c>
      <c r="J1922" s="31">
        <v>4.0</v>
      </c>
      <c r="K1922" s="35"/>
      <c r="L1922" s="35"/>
      <c r="M1922" s="35"/>
      <c r="N1922" s="35"/>
      <c r="O1922" s="35"/>
      <c r="P1922" s="35"/>
      <c r="Q1922" s="35"/>
      <c r="R1922" s="35"/>
      <c r="S1922" s="37">
        <f>IF(B1922="","",IF(ISNUMBER(J1922),IF(J1922&lt;=10,'Configuración'!$B$23,IF(J1922&lt;=50,'Configuración'!$B$24,IF(J1922&lt;=200,'Configuración'!$B$25,0))),0))</f>
        <v>12</v>
      </c>
      <c r="T1922" s="37">
        <f>IF(B1922="","",IF(ISNUMBER(SEARCH("information technology",I1922))+ISNUMBER(SEARCH("software",I1922))+ISNUMBER(SEARCH("internet",I1922))+ISNUMBER(SEARCH("computer",I1922))+ISNUMBER(SEARCH("saas",I1922))+ISNUMBER(SEARCH("fintech",I1922))+ISNUMBER(SEARCH("information services",I1922))+ISNUMBER(SEARCH("telecommunications",I1922))&gt;0,'Configuración'!$B$27,'Configuración'!$B$28))</f>
        <v>4</v>
      </c>
      <c r="U1922" s="25">
        <f>IF(B1922="","",IF(ISNUMBER(SEARCH("CEO",C1922))+ISNUMBER(SEARCH("Founder",C1922))+ISNUMBER(SEARCH("Owner",C1922))+ISNUMBER(SEARCH("Dueño",C1922))+ISNUMBER(SEARCH("Director General",C1922))+ISNUMBER(SEARCH("Presidente",C1922))+ISNUMBER(SEARCH("President",C1922))&gt;0,'Configuración'!$B$31,IF(ISNUMBER(SEARCH("CMO",C1922))+ISNUMBER(SEARCH("Chief Marketing",C1922))+ISNUMBER(SEARCH("VP Marketing",C1922))+ISNUMBER(SEARCH("Director de Marketing",C1922))+ISNUMBER(SEARCH("Director Marketing",C1922))+ISNUMBER(SEARCH("Head of Marketing",C1922))+ISNUMBER(SEARCH("Head Marketing",C1922))&gt;0,'Configuración'!$B$32,IF(ISNUMBER(SEARCH("Marketing Manager",C1922))+ISNUMBER(SEARCH("Gerente de Marketing",C1922))+ISNUMBER(SEARCH("Growth Manager",C1922))+ISNUMBER(SEARCH("Demand Gen",C1922))+ISNUMBER(SEARCH("Marketing Lead",C1922))&gt;0,'Configuración'!$B$33,IF(ISNUMBER(SEARCH("COO",C1922))+ISNUMBER(SEARCH("CFO",C1922))+ISNUMBER(SEARCH("CTO",C1922))+ISNUMBER(SEARCH("Chief Operating",C1922))+ISNUMBER(SEARCH("Chief Financial",C1922))+ISNUMBER(SEARCH("Gerente General",C1922))+ISNUMBER(SEARCH("General Manager",C1922))&gt;0,'Configuración'!$B$34,'Configuración'!$B$35)))))</f>
        <v>12</v>
      </c>
      <c r="V1922" s="38">
        <f>IF(B1922="","",IF(K1922="Sí",'Configuración'!$B$5,0)+IF(L1922="Semanal",'Configuración'!$B$6,IF(L1922="Mensual",'Configuración'!$B$7,0))+IF(M1922="Sí",'Configuración'!$B$8,0)+IF(N1922="Sí",'Configuración'!$B$9,0)+IF(O1922="Sí",'Configuración'!$B$10,0)+IF(P1922="Sí",'Configuración'!$B$11,0)+IF(Q1922="Sí",'Configuración'!$B$12,0)+S1922+T1922+U1922)</f>
        <v>28</v>
      </c>
      <c r="W1922" s="39" t="str">
        <f>IF(B1922="","",IF(V1922&gt;='Configuración'!$B$19,"A",IF(V1922&gt;='Configuración'!$B$20,"B",IF(V1922&gt;='Configuración'!$B$21,"C","Descarte"))))</f>
        <v>C</v>
      </c>
    </row>
    <row r="1923" ht="15.75" customHeight="1">
      <c r="A1923" s="34">
        <f t="shared" si="1"/>
        <v>1921</v>
      </c>
      <c r="B1923" s="29" t="s">
        <v>1220</v>
      </c>
      <c r="C1923" s="29" t="s">
        <v>224</v>
      </c>
      <c r="D1923" s="29" t="s">
        <v>10638</v>
      </c>
      <c r="E1923" s="29" t="s">
        <v>10639</v>
      </c>
      <c r="F1923" s="30" t="s">
        <v>10640</v>
      </c>
      <c r="G1923" s="30" t="s">
        <v>10641</v>
      </c>
      <c r="H1923" s="42" t="s">
        <v>10642</v>
      </c>
      <c r="I1923" s="29" t="s">
        <v>2834</v>
      </c>
      <c r="J1923" s="31">
        <v>23.0</v>
      </c>
      <c r="K1923" s="35"/>
      <c r="L1923" s="35"/>
      <c r="M1923" s="35"/>
      <c r="N1923" s="35"/>
      <c r="O1923" s="35"/>
      <c r="P1923" s="35"/>
      <c r="Q1923" s="35"/>
      <c r="R1923" s="35"/>
      <c r="S1923" s="37">
        <f>IF(B1923="","",IF(ISNUMBER(J1923),IF(J1923&lt;=10,'Configuración'!$B$23,IF(J1923&lt;=50,'Configuración'!$B$24,IF(J1923&lt;=200,'Configuración'!$B$25,0))),0))</f>
        <v>4</v>
      </c>
      <c r="T1923" s="37">
        <f>IF(B1923="","",IF(ISNUMBER(SEARCH("information technology",I1923))+ISNUMBER(SEARCH("software",I1923))+ISNUMBER(SEARCH("internet",I1923))+ISNUMBER(SEARCH("computer",I1923))+ISNUMBER(SEARCH("saas",I1923))+ISNUMBER(SEARCH("fintech",I1923))+ISNUMBER(SEARCH("information services",I1923))+ISNUMBER(SEARCH("telecommunications",I1923))&gt;0,'Configuración'!$B$27,'Configuración'!$B$28))</f>
        <v>4</v>
      </c>
      <c r="U1923" s="25">
        <f>IF(B1923="","",IF(ISNUMBER(SEARCH("CEO",C1923))+ISNUMBER(SEARCH("Founder",C1923))+ISNUMBER(SEARCH("Owner",C1923))+ISNUMBER(SEARCH("Dueño",C1923))+ISNUMBER(SEARCH("Director General",C1923))+ISNUMBER(SEARCH("Presidente",C1923))+ISNUMBER(SEARCH("President",C1923))&gt;0,'Configuración'!$B$31,IF(ISNUMBER(SEARCH("CMO",C1923))+ISNUMBER(SEARCH("Chief Marketing",C1923))+ISNUMBER(SEARCH("VP Marketing",C1923))+ISNUMBER(SEARCH("Director de Marketing",C1923))+ISNUMBER(SEARCH("Director Marketing",C1923))+ISNUMBER(SEARCH("Head of Marketing",C1923))+ISNUMBER(SEARCH("Head Marketing",C1923))&gt;0,'Configuración'!$B$32,IF(ISNUMBER(SEARCH("Marketing Manager",C1923))+ISNUMBER(SEARCH("Gerente de Marketing",C1923))+ISNUMBER(SEARCH("Growth Manager",C1923))+ISNUMBER(SEARCH("Demand Gen",C1923))+ISNUMBER(SEARCH("Marketing Lead",C1923))&gt;0,'Configuración'!$B$33,IF(ISNUMBER(SEARCH("COO",C1923))+ISNUMBER(SEARCH("CFO",C1923))+ISNUMBER(SEARCH("CTO",C1923))+ISNUMBER(SEARCH("Chief Operating",C1923))+ISNUMBER(SEARCH("Chief Financial",C1923))+ISNUMBER(SEARCH("Gerente General",C1923))+ISNUMBER(SEARCH("General Manager",C1923))&gt;0,'Configuración'!$B$34,'Configuración'!$B$35)))))</f>
        <v>12</v>
      </c>
      <c r="V1923" s="38">
        <f>IF(B1923="","",IF(K1923="Sí",'Configuración'!$B$5,0)+IF(L1923="Semanal",'Configuración'!$B$6,IF(L1923="Mensual",'Configuración'!$B$7,0))+IF(M1923="Sí",'Configuración'!$B$8,0)+IF(N1923="Sí",'Configuración'!$B$9,0)+IF(O1923="Sí",'Configuración'!$B$10,0)+IF(P1923="Sí",'Configuración'!$B$11,0)+IF(Q1923="Sí",'Configuración'!$B$12,0)+S1923+T1923+U1923)</f>
        <v>20</v>
      </c>
      <c r="W1923" s="39" t="str">
        <f>IF(B1923="","",IF(V1923&gt;='Configuración'!$B$19,"A",IF(V1923&gt;='Configuración'!$B$20,"B",IF(V1923&gt;='Configuración'!$B$21,"C","Descarte"))))</f>
        <v>Descarte</v>
      </c>
    </row>
    <row r="1924" ht="15.75" customHeight="1">
      <c r="A1924" s="34">
        <f t="shared" si="1"/>
        <v>1922</v>
      </c>
      <c r="B1924" s="29" t="s">
        <v>1048</v>
      </c>
      <c r="C1924" s="29" t="s">
        <v>121</v>
      </c>
      <c r="D1924" s="29" t="s">
        <v>10643</v>
      </c>
      <c r="E1924" s="29" t="s">
        <v>10644</v>
      </c>
      <c r="F1924" s="30" t="s">
        <v>10645</v>
      </c>
      <c r="G1924" s="30" t="s">
        <v>10646</v>
      </c>
      <c r="H1924" s="42" t="s">
        <v>10647</v>
      </c>
      <c r="I1924" s="29" t="s">
        <v>127</v>
      </c>
      <c r="J1924" s="31">
        <v>28.0</v>
      </c>
      <c r="K1924" s="35"/>
      <c r="L1924" s="35"/>
      <c r="M1924" s="35"/>
      <c r="N1924" s="35"/>
      <c r="O1924" s="35"/>
      <c r="P1924" s="35"/>
      <c r="Q1924" s="35"/>
      <c r="R1924" s="35"/>
      <c r="S1924" s="37">
        <f>IF(B1924="","",IF(ISNUMBER(J1924),IF(J1924&lt;=10,'Configuración'!$B$23,IF(J1924&lt;=50,'Configuración'!$B$24,IF(J1924&lt;=200,'Configuración'!$B$25,0))),0))</f>
        <v>4</v>
      </c>
      <c r="T1924" s="37">
        <f>IF(B1924="","",IF(ISNUMBER(SEARCH("information technology",I1924))+ISNUMBER(SEARCH("software",I1924))+ISNUMBER(SEARCH("internet",I1924))+ISNUMBER(SEARCH("computer",I1924))+ISNUMBER(SEARCH("saas",I1924))+ISNUMBER(SEARCH("fintech",I1924))+ISNUMBER(SEARCH("information services",I1924))+ISNUMBER(SEARCH("telecommunications",I1924))&gt;0,'Configuración'!$B$27,'Configuración'!$B$28))</f>
        <v>12</v>
      </c>
      <c r="U1924" s="25">
        <f>IF(B1924="","",IF(ISNUMBER(SEARCH("CEO",C1924))+ISNUMBER(SEARCH("Founder",C1924))+ISNUMBER(SEARCH("Owner",C1924))+ISNUMBER(SEARCH("Dueño",C1924))+ISNUMBER(SEARCH("Director General",C1924))+ISNUMBER(SEARCH("Presidente",C1924))+ISNUMBER(SEARCH("President",C1924))&gt;0,'Configuración'!$B$31,IF(ISNUMBER(SEARCH("CMO",C1924))+ISNUMBER(SEARCH("Chief Marketing",C1924))+ISNUMBER(SEARCH("VP Marketing",C1924))+ISNUMBER(SEARCH("Director de Marketing",C1924))+ISNUMBER(SEARCH("Director Marketing",C1924))+ISNUMBER(SEARCH("Head of Marketing",C1924))+ISNUMBER(SEARCH("Head Marketing",C1924))&gt;0,'Configuración'!$B$32,IF(ISNUMBER(SEARCH("Marketing Manager",C1924))+ISNUMBER(SEARCH("Gerente de Marketing",C1924))+ISNUMBER(SEARCH("Growth Manager",C1924))+ISNUMBER(SEARCH("Demand Gen",C1924))+ISNUMBER(SEARCH("Marketing Lead",C1924))&gt;0,'Configuración'!$B$33,IF(ISNUMBER(SEARCH("COO",C1924))+ISNUMBER(SEARCH("CFO",C1924))+ISNUMBER(SEARCH("CTO",C1924))+ISNUMBER(SEARCH("Chief Operating",C1924))+ISNUMBER(SEARCH("Chief Financial",C1924))+ISNUMBER(SEARCH("Gerente General",C1924))+ISNUMBER(SEARCH("General Manager",C1924))&gt;0,'Configuración'!$B$34,'Configuración'!$B$35)))))</f>
        <v>12</v>
      </c>
      <c r="V1924" s="38">
        <f>IF(B1924="","",IF(K1924="Sí",'Configuración'!$B$5,0)+IF(L1924="Semanal",'Configuración'!$B$6,IF(L1924="Mensual",'Configuración'!$B$7,0))+IF(M1924="Sí",'Configuración'!$B$8,0)+IF(N1924="Sí",'Configuración'!$B$9,0)+IF(O1924="Sí",'Configuración'!$B$10,0)+IF(P1924="Sí",'Configuración'!$B$11,0)+IF(Q1924="Sí",'Configuración'!$B$12,0)+S1924+T1924+U1924)</f>
        <v>28</v>
      </c>
      <c r="W1924" s="39" t="str">
        <f>IF(B1924="","",IF(V1924&gt;='Configuración'!$B$19,"A",IF(V1924&gt;='Configuración'!$B$20,"B",IF(V1924&gt;='Configuración'!$B$21,"C","Descarte"))))</f>
        <v>C</v>
      </c>
    </row>
    <row r="1925" ht="15.75" customHeight="1">
      <c r="A1925" s="34">
        <f t="shared" si="1"/>
        <v>1923</v>
      </c>
      <c r="B1925" s="29" t="s">
        <v>10648</v>
      </c>
      <c r="C1925" s="29" t="s">
        <v>10649</v>
      </c>
      <c r="D1925" s="29" t="s">
        <v>10650</v>
      </c>
      <c r="E1925" s="29" t="s">
        <v>10651</v>
      </c>
      <c r="F1925" s="30" t="s">
        <v>10652</v>
      </c>
      <c r="G1925" s="30" t="s">
        <v>10653</v>
      </c>
      <c r="H1925" s="42" t="s">
        <v>10654</v>
      </c>
      <c r="I1925" s="29" t="s">
        <v>450</v>
      </c>
      <c r="J1925" s="31">
        <v>39.0</v>
      </c>
      <c r="K1925" s="35"/>
      <c r="L1925" s="35"/>
      <c r="M1925" s="35"/>
      <c r="N1925" s="35"/>
      <c r="O1925" s="35"/>
      <c r="P1925" s="35"/>
      <c r="Q1925" s="35"/>
      <c r="R1925" s="35"/>
      <c r="S1925" s="37">
        <f>IF(B1925="","",IF(ISNUMBER(J1925),IF(J1925&lt;=10,'Configuración'!$B$23,IF(J1925&lt;=50,'Configuración'!$B$24,IF(J1925&lt;=200,'Configuración'!$B$25,0))),0))</f>
        <v>4</v>
      </c>
      <c r="T1925" s="37">
        <f>IF(B1925="","",IF(ISNUMBER(SEARCH("information technology",I1925))+ISNUMBER(SEARCH("software",I1925))+ISNUMBER(SEARCH("internet",I1925))+ISNUMBER(SEARCH("computer",I1925))+ISNUMBER(SEARCH("saas",I1925))+ISNUMBER(SEARCH("fintech",I1925))+ISNUMBER(SEARCH("information services",I1925))+ISNUMBER(SEARCH("telecommunications",I1925))&gt;0,'Configuración'!$B$27,'Configuración'!$B$28))</f>
        <v>12</v>
      </c>
      <c r="U1925" s="25">
        <f>IF(B1925="","",IF(ISNUMBER(SEARCH("CEO",C1925))+ISNUMBER(SEARCH("Founder",C1925))+ISNUMBER(SEARCH("Owner",C1925))+ISNUMBER(SEARCH("Dueño",C1925))+ISNUMBER(SEARCH("Director General",C1925))+ISNUMBER(SEARCH("Presidente",C1925))+ISNUMBER(SEARCH("President",C1925))&gt;0,'Configuración'!$B$31,IF(ISNUMBER(SEARCH("CMO",C1925))+ISNUMBER(SEARCH("Chief Marketing",C1925))+ISNUMBER(SEARCH("VP Marketing",C1925))+ISNUMBER(SEARCH("Director de Marketing",C1925))+ISNUMBER(SEARCH("Director Marketing",C1925))+ISNUMBER(SEARCH("Head of Marketing",C1925))+ISNUMBER(SEARCH("Head Marketing",C1925))&gt;0,'Configuración'!$B$32,IF(ISNUMBER(SEARCH("Marketing Manager",C1925))+ISNUMBER(SEARCH("Gerente de Marketing",C1925))+ISNUMBER(SEARCH("Growth Manager",C1925))+ISNUMBER(SEARCH("Demand Gen",C1925))+ISNUMBER(SEARCH("Marketing Lead",C1925))&gt;0,'Configuración'!$B$33,IF(ISNUMBER(SEARCH("COO",C1925))+ISNUMBER(SEARCH("CFO",C1925))+ISNUMBER(SEARCH("CTO",C1925))+ISNUMBER(SEARCH("Chief Operating",C1925))+ISNUMBER(SEARCH("Chief Financial",C1925))+ISNUMBER(SEARCH("Gerente General",C1925))+ISNUMBER(SEARCH("General Manager",C1925))&gt;0,'Configuración'!$B$34,'Configuración'!$B$35)))))</f>
        <v>12</v>
      </c>
      <c r="V1925" s="38">
        <f>IF(B1925="","",IF(K1925="Sí",'Configuración'!$B$5,0)+IF(L1925="Semanal",'Configuración'!$B$6,IF(L1925="Mensual",'Configuración'!$B$7,0))+IF(M1925="Sí",'Configuración'!$B$8,0)+IF(N1925="Sí",'Configuración'!$B$9,0)+IF(O1925="Sí",'Configuración'!$B$10,0)+IF(P1925="Sí",'Configuración'!$B$11,0)+IF(Q1925="Sí",'Configuración'!$B$12,0)+S1925+T1925+U1925)</f>
        <v>28</v>
      </c>
      <c r="W1925" s="39" t="str">
        <f>IF(B1925="","",IF(V1925&gt;='Configuración'!$B$19,"A",IF(V1925&gt;='Configuración'!$B$20,"B",IF(V1925&gt;='Configuración'!$B$21,"C","Descarte"))))</f>
        <v>C</v>
      </c>
    </row>
    <row r="1926" ht="15.75" customHeight="1">
      <c r="A1926" s="34">
        <f t="shared" si="1"/>
        <v>1924</v>
      </c>
      <c r="B1926" s="29" t="s">
        <v>481</v>
      </c>
      <c r="C1926" s="29" t="s">
        <v>3045</v>
      </c>
      <c r="D1926" s="29" t="s">
        <v>10655</v>
      </c>
      <c r="E1926" s="29" t="s">
        <v>10656</v>
      </c>
      <c r="F1926" s="30" t="s">
        <v>10657</v>
      </c>
      <c r="G1926" s="30" t="s">
        <v>10658</v>
      </c>
      <c r="H1926" s="42" t="s">
        <v>10659</v>
      </c>
      <c r="I1926" s="29" t="s">
        <v>127</v>
      </c>
      <c r="J1926" s="31">
        <v>10.0</v>
      </c>
      <c r="K1926" s="35"/>
      <c r="L1926" s="35"/>
      <c r="M1926" s="35"/>
      <c r="N1926" s="35"/>
      <c r="O1926" s="35"/>
      <c r="P1926" s="35"/>
      <c r="Q1926" s="35"/>
      <c r="R1926" s="35"/>
      <c r="S1926" s="37">
        <f>IF(B1926="","",IF(ISNUMBER(J1926),IF(J1926&lt;=10,'Configuración'!$B$23,IF(J1926&lt;=50,'Configuración'!$B$24,IF(J1926&lt;=200,'Configuración'!$B$25,0))),0))</f>
        <v>12</v>
      </c>
      <c r="T1926" s="37">
        <f>IF(B1926="","",IF(ISNUMBER(SEARCH("information technology",I1926))+ISNUMBER(SEARCH("software",I1926))+ISNUMBER(SEARCH("internet",I1926))+ISNUMBER(SEARCH("computer",I1926))+ISNUMBER(SEARCH("saas",I1926))+ISNUMBER(SEARCH("fintech",I1926))+ISNUMBER(SEARCH("information services",I1926))+ISNUMBER(SEARCH("telecommunications",I1926))&gt;0,'Configuración'!$B$27,'Configuración'!$B$28))</f>
        <v>12</v>
      </c>
      <c r="U1926" s="25">
        <f>IF(B1926="","",IF(ISNUMBER(SEARCH("CEO",C1926))+ISNUMBER(SEARCH("Founder",C1926))+ISNUMBER(SEARCH("Owner",C1926))+ISNUMBER(SEARCH("Dueño",C1926))+ISNUMBER(SEARCH("Director General",C1926))+ISNUMBER(SEARCH("Presidente",C1926))+ISNUMBER(SEARCH("President",C1926))&gt;0,'Configuración'!$B$31,IF(ISNUMBER(SEARCH("CMO",C1926))+ISNUMBER(SEARCH("Chief Marketing",C1926))+ISNUMBER(SEARCH("VP Marketing",C1926))+ISNUMBER(SEARCH("Director de Marketing",C1926))+ISNUMBER(SEARCH("Director Marketing",C1926))+ISNUMBER(SEARCH("Head of Marketing",C1926))+ISNUMBER(SEARCH("Head Marketing",C1926))&gt;0,'Configuración'!$B$32,IF(ISNUMBER(SEARCH("Marketing Manager",C1926))+ISNUMBER(SEARCH("Gerente de Marketing",C1926))+ISNUMBER(SEARCH("Growth Manager",C1926))+ISNUMBER(SEARCH("Demand Gen",C1926))+ISNUMBER(SEARCH("Marketing Lead",C1926))&gt;0,'Configuración'!$B$33,IF(ISNUMBER(SEARCH("COO",C1926))+ISNUMBER(SEARCH("CFO",C1926))+ISNUMBER(SEARCH("CTO",C1926))+ISNUMBER(SEARCH("Chief Operating",C1926))+ISNUMBER(SEARCH("Chief Financial",C1926))+ISNUMBER(SEARCH("Gerente General",C1926))+ISNUMBER(SEARCH("General Manager",C1926))&gt;0,'Configuración'!$B$34,'Configuración'!$B$35)))))</f>
        <v>12</v>
      </c>
      <c r="V1926" s="38">
        <f>IF(B1926="","",IF(K1926="Sí",'Configuración'!$B$5,0)+IF(L1926="Semanal",'Configuración'!$B$6,IF(L1926="Mensual",'Configuración'!$B$7,0))+IF(M1926="Sí",'Configuración'!$B$8,0)+IF(N1926="Sí",'Configuración'!$B$9,0)+IF(O1926="Sí",'Configuración'!$B$10,0)+IF(P1926="Sí",'Configuración'!$B$11,0)+IF(Q1926="Sí",'Configuración'!$B$12,0)+S1926+T1926+U1926)</f>
        <v>36</v>
      </c>
      <c r="W1926" s="39" t="str">
        <f>IF(B1926="","",IF(V1926&gt;='Configuración'!$B$19,"A",IF(V1926&gt;='Configuración'!$B$20,"B",IF(V1926&gt;='Configuración'!$B$21,"C","Descarte"))))</f>
        <v>C</v>
      </c>
    </row>
    <row r="1927" ht="15.75" customHeight="1">
      <c r="A1927" s="34">
        <f t="shared" si="1"/>
        <v>1925</v>
      </c>
      <c r="B1927" s="29" t="s">
        <v>181</v>
      </c>
      <c r="C1927" s="29" t="s">
        <v>175</v>
      </c>
      <c r="D1927" s="29" t="s">
        <v>10660</v>
      </c>
      <c r="E1927" s="29" t="s">
        <v>10661</v>
      </c>
      <c r="F1927" s="30" t="s">
        <v>10662</v>
      </c>
      <c r="G1927" s="30" t="s">
        <v>10663</v>
      </c>
      <c r="H1927" s="42" t="s">
        <v>10664</v>
      </c>
      <c r="I1927" s="29" t="s">
        <v>127</v>
      </c>
      <c r="J1927" s="31">
        <v>4.0</v>
      </c>
      <c r="K1927" s="35"/>
      <c r="L1927" s="35"/>
      <c r="M1927" s="35"/>
      <c r="N1927" s="35"/>
      <c r="O1927" s="35"/>
      <c r="P1927" s="35"/>
      <c r="Q1927" s="35"/>
      <c r="R1927" s="35"/>
      <c r="S1927" s="37">
        <f>IF(B1927="","",IF(ISNUMBER(J1927),IF(J1927&lt;=10,'Configuración'!$B$23,IF(J1927&lt;=50,'Configuración'!$B$24,IF(J1927&lt;=200,'Configuración'!$B$25,0))),0))</f>
        <v>12</v>
      </c>
      <c r="T1927" s="37">
        <f>IF(B1927="","",IF(ISNUMBER(SEARCH("information technology",I1927))+ISNUMBER(SEARCH("software",I1927))+ISNUMBER(SEARCH("internet",I1927))+ISNUMBER(SEARCH("computer",I1927))+ISNUMBER(SEARCH("saas",I1927))+ISNUMBER(SEARCH("fintech",I1927))+ISNUMBER(SEARCH("information services",I1927))+ISNUMBER(SEARCH("telecommunications",I1927))&gt;0,'Configuración'!$B$27,'Configuración'!$B$28))</f>
        <v>12</v>
      </c>
      <c r="U1927" s="25">
        <f>IF(B1927="","",IF(ISNUMBER(SEARCH("CEO",C1927))+ISNUMBER(SEARCH("Founder",C1927))+ISNUMBER(SEARCH("Owner",C1927))+ISNUMBER(SEARCH("Dueño",C1927))+ISNUMBER(SEARCH("Director General",C1927))+ISNUMBER(SEARCH("Presidente",C1927))+ISNUMBER(SEARCH("President",C1927))&gt;0,'Configuración'!$B$31,IF(ISNUMBER(SEARCH("CMO",C1927))+ISNUMBER(SEARCH("Chief Marketing",C1927))+ISNUMBER(SEARCH("VP Marketing",C1927))+ISNUMBER(SEARCH("Director de Marketing",C1927))+ISNUMBER(SEARCH("Director Marketing",C1927))+ISNUMBER(SEARCH("Head of Marketing",C1927))+ISNUMBER(SEARCH("Head Marketing",C1927))&gt;0,'Configuración'!$B$32,IF(ISNUMBER(SEARCH("Marketing Manager",C1927))+ISNUMBER(SEARCH("Gerente de Marketing",C1927))+ISNUMBER(SEARCH("Growth Manager",C1927))+ISNUMBER(SEARCH("Demand Gen",C1927))+ISNUMBER(SEARCH("Marketing Lead",C1927))&gt;0,'Configuración'!$B$33,IF(ISNUMBER(SEARCH("COO",C1927))+ISNUMBER(SEARCH("CFO",C1927))+ISNUMBER(SEARCH("CTO",C1927))+ISNUMBER(SEARCH("Chief Operating",C1927))+ISNUMBER(SEARCH("Chief Financial",C1927))+ISNUMBER(SEARCH("Gerente General",C1927))+ISNUMBER(SEARCH("General Manager",C1927))&gt;0,'Configuración'!$B$34,'Configuración'!$B$35)))))</f>
        <v>12</v>
      </c>
      <c r="V1927" s="38">
        <f>IF(B1927="","",IF(K1927="Sí",'Configuración'!$B$5,0)+IF(L1927="Semanal",'Configuración'!$B$6,IF(L1927="Mensual",'Configuración'!$B$7,0))+IF(M1927="Sí",'Configuración'!$B$8,0)+IF(N1927="Sí",'Configuración'!$B$9,0)+IF(O1927="Sí",'Configuración'!$B$10,0)+IF(P1927="Sí",'Configuración'!$B$11,0)+IF(Q1927="Sí",'Configuración'!$B$12,0)+S1927+T1927+U1927)</f>
        <v>36</v>
      </c>
      <c r="W1927" s="39" t="str">
        <f>IF(B1927="","",IF(V1927&gt;='Configuración'!$B$19,"A",IF(V1927&gt;='Configuración'!$B$20,"B",IF(V1927&gt;='Configuración'!$B$21,"C","Descarte"))))</f>
        <v>C</v>
      </c>
    </row>
    <row r="1928" ht="15.75" customHeight="1">
      <c r="A1928" s="34">
        <f t="shared" si="1"/>
        <v>1926</v>
      </c>
      <c r="B1928" s="29" t="s">
        <v>1227</v>
      </c>
      <c r="C1928" s="29" t="s">
        <v>131</v>
      </c>
      <c r="D1928" s="29" t="s">
        <v>10665</v>
      </c>
      <c r="E1928" s="29" t="s">
        <v>10666</v>
      </c>
      <c r="F1928" s="30" t="s">
        <v>10667</v>
      </c>
      <c r="G1928" s="30" t="s">
        <v>10668</v>
      </c>
      <c r="H1928" s="42" t="s">
        <v>10669</v>
      </c>
      <c r="I1928" s="29" t="s">
        <v>1245</v>
      </c>
      <c r="J1928" s="31">
        <v>4.0</v>
      </c>
      <c r="K1928" s="35"/>
      <c r="L1928" s="35"/>
      <c r="M1928" s="35"/>
      <c r="N1928" s="35"/>
      <c r="O1928" s="35"/>
      <c r="P1928" s="35"/>
      <c r="Q1928" s="35"/>
      <c r="R1928" s="35"/>
      <c r="S1928" s="37">
        <f>IF(B1928="","",IF(ISNUMBER(J1928),IF(J1928&lt;=10,'Configuración'!$B$23,IF(J1928&lt;=50,'Configuración'!$B$24,IF(J1928&lt;=200,'Configuración'!$B$25,0))),0))</f>
        <v>12</v>
      </c>
      <c r="T1928" s="37">
        <f>IF(B1928="","",IF(ISNUMBER(SEARCH("information technology",I1928))+ISNUMBER(SEARCH("software",I1928))+ISNUMBER(SEARCH("internet",I1928))+ISNUMBER(SEARCH("computer",I1928))+ISNUMBER(SEARCH("saas",I1928))+ISNUMBER(SEARCH("fintech",I1928))+ISNUMBER(SEARCH("information services",I1928))+ISNUMBER(SEARCH("telecommunications",I1928))&gt;0,'Configuración'!$B$27,'Configuración'!$B$28))</f>
        <v>4</v>
      </c>
      <c r="U1928" s="25">
        <f>IF(B1928="","",IF(ISNUMBER(SEARCH("CEO",C1928))+ISNUMBER(SEARCH("Founder",C1928))+ISNUMBER(SEARCH("Owner",C1928))+ISNUMBER(SEARCH("Dueño",C1928))+ISNUMBER(SEARCH("Director General",C1928))+ISNUMBER(SEARCH("Presidente",C1928))+ISNUMBER(SEARCH("President",C1928))&gt;0,'Configuración'!$B$31,IF(ISNUMBER(SEARCH("CMO",C1928))+ISNUMBER(SEARCH("Chief Marketing",C1928))+ISNUMBER(SEARCH("VP Marketing",C1928))+ISNUMBER(SEARCH("Director de Marketing",C1928))+ISNUMBER(SEARCH("Director Marketing",C1928))+ISNUMBER(SEARCH("Head of Marketing",C1928))+ISNUMBER(SEARCH("Head Marketing",C1928))&gt;0,'Configuración'!$B$32,IF(ISNUMBER(SEARCH("Marketing Manager",C1928))+ISNUMBER(SEARCH("Gerente de Marketing",C1928))+ISNUMBER(SEARCH("Growth Manager",C1928))+ISNUMBER(SEARCH("Demand Gen",C1928))+ISNUMBER(SEARCH("Marketing Lead",C1928))&gt;0,'Configuración'!$B$33,IF(ISNUMBER(SEARCH("COO",C1928))+ISNUMBER(SEARCH("CFO",C1928))+ISNUMBER(SEARCH("CTO",C1928))+ISNUMBER(SEARCH("Chief Operating",C1928))+ISNUMBER(SEARCH("Chief Financial",C1928))+ISNUMBER(SEARCH("Gerente General",C1928))+ISNUMBER(SEARCH("General Manager",C1928))&gt;0,'Configuración'!$B$34,'Configuración'!$B$35)))))</f>
        <v>12</v>
      </c>
      <c r="V1928" s="38">
        <f>IF(B1928="","",IF(K1928="Sí",'Configuración'!$B$5,0)+IF(L1928="Semanal",'Configuración'!$B$6,IF(L1928="Mensual",'Configuración'!$B$7,0))+IF(M1928="Sí",'Configuración'!$B$8,0)+IF(N1928="Sí",'Configuración'!$B$9,0)+IF(O1928="Sí",'Configuración'!$B$10,0)+IF(P1928="Sí",'Configuración'!$B$11,0)+IF(Q1928="Sí",'Configuración'!$B$12,0)+S1928+T1928+U1928)</f>
        <v>28</v>
      </c>
      <c r="W1928" s="39" t="str">
        <f>IF(B1928="","",IF(V1928&gt;='Configuración'!$B$19,"A",IF(V1928&gt;='Configuración'!$B$20,"B",IF(V1928&gt;='Configuración'!$B$21,"C","Descarte"))))</f>
        <v>C</v>
      </c>
    </row>
    <row r="1929" ht="15.75" customHeight="1">
      <c r="A1929" s="34">
        <f t="shared" si="1"/>
        <v>1927</v>
      </c>
      <c r="B1929" s="29" t="s">
        <v>1137</v>
      </c>
      <c r="C1929" s="29" t="s">
        <v>494</v>
      </c>
      <c r="D1929" s="29" t="s">
        <v>10670</v>
      </c>
      <c r="E1929" s="29" t="s">
        <v>10671</v>
      </c>
      <c r="F1929" s="30" t="s">
        <v>10672</v>
      </c>
      <c r="G1929" s="30" t="s">
        <v>10673</v>
      </c>
      <c r="H1929" s="42" t="s">
        <v>10674</v>
      </c>
      <c r="I1929" s="29" t="s">
        <v>310</v>
      </c>
      <c r="J1929" s="31">
        <v>12.0</v>
      </c>
      <c r="K1929" s="35"/>
      <c r="L1929" s="35"/>
      <c r="M1929" s="35"/>
      <c r="N1929" s="35"/>
      <c r="O1929" s="35"/>
      <c r="P1929" s="35"/>
      <c r="Q1929" s="35"/>
      <c r="R1929" s="35"/>
      <c r="S1929" s="37">
        <f>IF(B1929="","",IF(ISNUMBER(J1929),IF(J1929&lt;=10,'Configuración'!$B$23,IF(J1929&lt;=50,'Configuración'!$B$24,IF(J1929&lt;=200,'Configuración'!$B$25,0))),0))</f>
        <v>4</v>
      </c>
      <c r="T1929" s="37">
        <f>IF(B1929="","",IF(ISNUMBER(SEARCH("information technology",I1929))+ISNUMBER(SEARCH("software",I1929))+ISNUMBER(SEARCH("internet",I1929))+ISNUMBER(SEARCH("computer",I1929))+ISNUMBER(SEARCH("saas",I1929))+ISNUMBER(SEARCH("fintech",I1929))+ISNUMBER(SEARCH("information services",I1929))+ISNUMBER(SEARCH("telecommunications",I1929))&gt;0,'Configuración'!$B$27,'Configuración'!$B$28))</f>
        <v>4</v>
      </c>
      <c r="U1929" s="25">
        <f>IF(B1929="","",IF(ISNUMBER(SEARCH("CEO",C1929))+ISNUMBER(SEARCH("Founder",C1929))+ISNUMBER(SEARCH("Owner",C1929))+ISNUMBER(SEARCH("Dueño",C1929))+ISNUMBER(SEARCH("Director General",C1929))+ISNUMBER(SEARCH("Presidente",C1929))+ISNUMBER(SEARCH("President",C1929))&gt;0,'Configuración'!$B$31,IF(ISNUMBER(SEARCH("CMO",C1929))+ISNUMBER(SEARCH("Chief Marketing",C1929))+ISNUMBER(SEARCH("VP Marketing",C1929))+ISNUMBER(SEARCH("Director de Marketing",C1929))+ISNUMBER(SEARCH("Director Marketing",C1929))+ISNUMBER(SEARCH("Head of Marketing",C1929))+ISNUMBER(SEARCH("Head Marketing",C1929))&gt;0,'Configuración'!$B$32,IF(ISNUMBER(SEARCH("Marketing Manager",C1929))+ISNUMBER(SEARCH("Gerente de Marketing",C1929))+ISNUMBER(SEARCH("Growth Manager",C1929))+ISNUMBER(SEARCH("Demand Gen",C1929))+ISNUMBER(SEARCH("Marketing Lead",C1929))&gt;0,'Configuración'!$B$33,IF(ISNUMBER(SEARCH("COO",C1929))+ISNUMBER(SEARCH("CFO",C1929))+ISNUMBER(SEARCH("CTO",C1929))+ISNUMBER(SEARCH("Chief Operating",C1929))+ISNUMBER(SEARCH("Chief Financial",C1929))+ISNUMBER(SEARCH("Gerente General",C1929))+ISNUMBER(SEARCH("General Manager",C1929))&gt;0,'Configuración'!$B$34,'Configuración'!$B$35)))))</f>
        <v>4</v>
      </c>
      <c r="V1929" s="38">
        <f>IF(B1929="","",IF(K1929="Sí",'Configuración'!$B$5,0)+IF(L1929="Semanal",'Configuración'!$B$6,IF(L1929="Mensual",'Configuración'!$B$7,0))+IF(M1929="Sí",'Configuración'!$B$8,0)+IF(N1929="Sí",'Configuración'!$B$9,0)+IF(O1929="Sí",'Configuración'!$B$10,0)+IF(P1929="Sí",'Configuración'!$B$11,0)+IF(Q1929="Sí",'Configuración'!$B$12,0)+S1929+T1929+U1929)</f>
        <v>12</v>
      </c>
      <c r="W1929" s="39" t="str">
        <f>IF(B1929="","",IF(V1929&gt;='Configuración'!$B$19,"A",IF(V1929&gt;='Configuración'!$B$20,"B",IF(V1929&gt;='Configuración'!$B$21,"C","Descarte"))))</f>
        <v>Descarte</v>
      </c>
    </row>
    <row r="1930" ht="15.75" customHeight="1">
      <c r="A1930" s="34">
        <f t="shared" si="1"/>
        <v>1928</v>
      </c>
      <c r="B1930" s="29" t="s">
        <v>236</v>
      </c>
      <c r="C1930" s="29" t="s">
        <v>175</v>
      </c>
      <c r="D1930" s="29" t="s">
        <v>10675</v>
      </c>
      <c r="E1930" s="29" t="s">
        <v>10676</v>
      </c>
      <c r="F1930" s="30" t="s">
        <v>10677</v>
      </c>
      <c r="G1930" s="30" t="s">
        <v>10678</v>
      </c>
      <c r="H1930" s="42" t="s">
        <v>10679</v>
      </c>
      <c r="I1930" s="29" t="s">
        <v>116</v>
      </c>
      <c r="J1930" s="31">
        <v>2.0</v>
      </c>
      <c r="K1930" s="35"/>
      <c r="L1930" s="35"/>
      <c r="M1930" s="35"/>
      <c r="N1930" s="35"/>
      <c r="O1930" s="35"/>
      <c r="P1930" s="35"/>
      <c r="Q1930" s="35"/>
      <c r="R1930" s="35"/>
      <c r="S1930" s="37">
        <f>IF(B1930="","",IF(ISNUMBER(J1930),IF(J1930&lt;=10,'Configuración'!$B$23,IF(J1930&lt;=50,'Configuración'!$B$24,IF(J1930&lt;=200,'Configuración'!$B$25,0))),0))</f>
        <v>12</v>
      </c>
      <c r="T1930" s="37">
        <f>IF(B1930="","",IF(ISNUMBER(SEARCH("information technology",I1930))+ISNUMBER(SEARCH("software",I1930))+ISNUMBER(SEARCH("internet",I1930))+ISNUMBER(SEARCH("computer",I1930))+ISNUMBER(SEARCH("saas",I1930))+ISNUMBER(SEARCH("fintech",I1930))+ISNUMBER(SEARCH("information services",I1930))+ISNUMBER(SEARCH("telecommunications",I1930))&gt;0,'Configuración'!$B$27,'Configuración'!$B$28))</f>
        <v>4</v>
      </c>
      <c r="U1930" s="25">
        <f>IF(B1930="","",IF(ISNUMBER(SEARCH("CEO",C1930))+ISNUMBER(SEARCH("Founder",C1930))+ISNUMBER(SEARCH("Owner",C1930))+ISNUMBER(SEARCH("Dueño",C1930))+ISNUMBER(SEARCH("Director General",C1930))+ISNUMBER(SEARCH("Presidente",C1930))+ISNUMBER(SEARCH("President",C1930))&gt;0,'Configuración'!$B$31,IF(ISNUMBER(SEARCH("CMO",C1930))+ISNUMBER(SEARCH("Chief Marketing",C1930))+ISNUMBER(SEARCH("VP Marketing",C1930))+ISNUMBER(SEARCH("Director de Marketing",C1930))+ISNUMBER(SEARCH("Director Marketing",C1930))+ISNUMBER(SEARCH("Head of Marketing",C1930))+ISNUMBER(SEARCH("Head Marketing",C1930))&gt;0,'Configuración'!$B$32,IF(ISNUMBER(SEARCH("Marketing Manager",C1930))+ISNUMBER(SEARCH("Gerente de Marketing",C1930))+ISNUMBER(SEARCH("Growth Manager",C1930))+ISNUMBER(SEARCH("Demand Gen",C1930))+ISNUMBER(SEARCH("Marketing Lead",C1930))&gt;0,'Configuración'!$B$33,IF(ISNUMBER(SEARCH("COO",C1930))+ISNUMBER(SEARCH("CFO",C1930))+ISNUMBER(SEARCH("CTO",C1930))+ISNUMBER(SEARCH("Chief Operating",C1930))+ISNUMBER(SEARCH("Chief Financial",C1930))+ISNUMBER(SEARCH("Gerente General",C1930))+ISNUMBER(SEARCH("General Manager",C1930))&gt;0,'Configuración'!$B$34,'Configuración'!$B$35)))))</f>
        <v>12</v>
      </c>
      <c r="V1930" s="38">
        <f>IF(B1930="","",IF(K1930="Sí",'Configuración'!$B$5,0)+IF(L1930="Semanal",'Configuración'!$B$6,IF(L1930="Mensual",'Configuración'!$B$7,0))+IF(M1930="Sí",'Configuración'!$B$8,0)+IF(N1930="Sí",'Configuración'!$B$9,0)+IF(O1930="Sí",'Configuración'!$B$10,0)+IF(P1930="Sí",'Configuración'!$B$11,0)+IF(Q1930="Sí",'Configuración'!$B$12,0)+S1930+T1930+U1930)</f>
        <v>28</v>
      </c>
      <c r="W1930" s="39" t="str">
        <f>IF(B1930="","",IF(V1930&gt;='Configuración'!$B$19,"A",IF(V1930&gt;='Configuración'!$B$20,"B",IF(V1930&gt;='Configuración'!$B$21,"C","Descarte"))))</f>
        <v>C</v>
      </c>
    </row>
    <row r="1931" ht="15.75" customHeight="1">
      <c r="A1931" s="34">
        <f t="shared" si="1"/>
        <v>1929</v>
      </c>
      <c r="B1931" s="29" t="s">
        <v>1028</v>
      </c>
      <c r="C1931" s="29" t="s">
        <v>622</v>
      </c>
      <c r="D1931" s="29" t="s">
        <v>10680</v>
      </c>
      <c r="E1931" s="29" t="s">
        <v>10681</v>
      </c>
      <c r="F1931" s="30" t="s">
        <v>10682</v>
      </c>
      <c r="G1931" s="30" t="s">
        <v>10683</v>
      </c>
      <c r="H1931" s="42" t="s">
        <v>10684</v>
      </c>
      <c r="I1931" s="29" t="s">
        <v>127</v>
      </c>
      <c r="J1931" s="31">
        <v>2.0</v>
      </c>
      <c r="K1931" s="35"/>
      <c r="L1931" s="35"/>
      <c r="M1931" s="35"/>
      <c r="N1931" s="35"/>
      <c r="O1931" s="35"/>
      <c r="P1931" s="35"/>
      <c r="Q1931" s="35"/>
      <c r="R1931" s="35"/>
      <c r="S1931" s="37">
        <f>IF(B1931="","",IF(ISNUMBER(J1931),IF(J1931&lt;=10,'Configuración'!$B$23,IF(J1931&lt;=50,'Configuración'!$B$24,IF(J1931&lt;=200,'Configuración'!$B$25,0))),0))</f>
        <v>12</v>
      </c>
      <c r="T1931" s="37">
        <f>IF(B1931="","",IF(ISNUMBER(SEARCH("information technology",I1931))+ISNUMBER(SEARCH("software",I1931))+ISNUMBER(SEARCH("internet",I1931))+ISNUMBER(SEARCH("computer",I1931))+ISNUMBER(SEARCH("saas",I1931))+ISNUMBER(SEARCH("fintech",I1931))+ISNUMBER(SEARCH("information services",I1931))+ISNUMBER(SEARCH("telecommunications",I1931))&gt;0,'Configuración'!$B$27,'Configuración'!$B$28))</f>
        <v>12</v>
      </c>
      <c r="U1931" s="25">
        <f>IF(B1931="","",IF(ISNUMBER(SEARCH("CEO",C1931))+ISNUMBER(SEARCH("Founder",C1931))+ISNUMBER(SEARCH("Owner",C1931))+ISNUMBER(SEARCH("Dueño",C1931))+ISNUMBER(SEARCH("Director General",C1931))+ISNUMBER(SEARCH("Presidente",C1931))+ISNUMBER(SEARCH("President",C1931))&gt;0,'Configuración'!$B$31,IF(ISNUMBER(SEARCH("CMO",C1931))+ISNUMBER(SEARCH("Chief Marketing",C1931))+ISNUMBER(SEARCH("VP Marketing",C1931))+ISNUMBER(SEARCH("Director de Marketing",C1931))+ISNUMBER(SEARCH("Director Marketing",C1931))+ISNUMBER(SEARCH("Head of Marketing",C1931))+ISNUMBER(SEARCH("Head Marketing",C1931))&gt;0,'Configuración'!$B$32,IF(ISNUMBER(SEARCH("Marketing Manager",C1931))+ISNUMBER(SEARCH("Gerente de Marketing",C1931))+ISNUMBER(SEARCH("Growth Manager",C1931))+ISNUMBER(SEARCH("Demand Gen",C1931))+ISNUMBER(SEARCH("Marketing Lead",C1931))&gt;0,'Configuración'!$B$33,IF(ISNUMBER(SEARCH("COO",C1931))+ISNUMBER(SEARCH("CFO",C1931))+ISNUMBER(SEARCH("CTO",C1931))+ISNUMBER(SEARCH("Chief Operating",C1931))+ISNUMBER(SEARCH("Chief Financial",C1931))+ISNUMBER(SEARCH("Gerente General",C1931))+ISNUMBER(SEARCH("General Manager",C1931))&gt;0,'Configuración'!$B$34,'Configuración'!$B$35)))))</f>
        <v>12</v>
      </c>
      <c r="V1931" s="38">
        <f>IF(B1931="","",IF(K1931="Sí",'Configuración'!$B$5,0)+IF(L1931="Semanal",'Configuración'!$B$6,IF(L1931="Mensual",'Configuración'!$B$7,0))+IF(M1931="Sí",'Configuración'!$B$8,0)+IF(N1931="Sí",'Configuración'!$B$9,0)+IF(O1931="Sí",'Configuración'!$B$10,0)+IF(P1931="Sí",'Configuración'!$B$11,0)+IF(Q1931="Sí",'Configuración'!$B$12,0)+S1931+T1931+U1931)</f>
        <v>36</v>
      </c>
      <c r="W1931" s="39" t="str">
        <f>IF(B1931="","",IF(V1931&gt;='Configuración'!$B$19,"A",IF(V1931&gt;='Configuración'!$B$20,"B",IF(V1931&gt;='Configuración'!$B$21,"C","Descarte"))))</f>
        <v>C</v>
      </c>
    </row>
    <row r="1932" ht="15.75" customHeight="1">
      <c r="A1932" s="34">
        <f t="shared" si="1"/>
        <v>1930</v>
      </c>
      <c r="B1932" s="29" t="s">
        <v>3492</v>
      </c>
      <c r="C1932" s="29" t="s">
        <v>10685</v>
      </c>
      <c r="D1932" s="29" t="s">
        <v>10686</v>
      </c>
      <c r="E1932" s="29" t="s">
        <v>10687</v>
      </c>
      <c r="F1932" s="30" t="s">
        <v>10688</v>
      </c>
      <c r="G1932" s="30" t="s">
        <v>10689</v>
      </c>
      <c r="H1932" s="42" t="s">
        <v>10690</v>
      </c>
      <c r="I1932" s="29" t="s">
        <v>659</v>
      </c>
      <c r="J1932" s="31">
        <v>13.0</v>
      </c>
      <c r="K1932" s="35"/>
      <c r="L1932" s="35"/>
      <c r="M1932" s="35"/>
      <c r="N1932" s="35"/>
      <c r="O1932" s="35"/>
      <c r="P1932" s="35"/>
      <c r="Q1932" s="35"/>
      <c r="R1932" s="35"/>
      <c r="S1932" s="37">
        <f>IF(B1932="","",IF(ISNUMBER(J1932),IF(J1932&lt;=10,'Configuración'!$B$23,IF(J1932&lt;=50,'Configuración'!$B$24,IF(J1932&lt;=200,'Configuración'!$B$25,0))),0))</f>
        <v>4</v>
      </c>
      <c r="T1932" s="37">
        <f>IF(B1932="","",IF(ISNUMBER(SEARCH("information technology",I1932))+ISNUMBER(SEARCH("software",I1932))+ISNUMBER(SEARCH("internet",I1932))+ISNUMBER(SEARCH("computer",I1932))+ISNUMBER(SEARCH("saas",I1932))+ISNUMBER(SEARCH("fintech",I1932))+ISNUMBER(SEARCH("information services",I1932))+ISNUMBER(SEARCH("telecommunications",I1932))&gt;0,'Configuración'!$B$27,'Configuración'!$B$28))</f>
        <v>4</v>
      </c>
      <c r="U1932" s="25">
        <f>IF(B1932="","",IF(ISNUMBER(SEARCH("CEO",C1932))+ISNUMBER(SEARCH("Founder",C1932))+ISNUMBER(SEARCH("Owner",C1932))+ISNUMBER(SEARCH("Dueño",C1932))+ISNUMBER(SEARCH("Director General",C1932))+ISNUMBER(SEARCH("Presidente",C1932))+ISNUMBER(SEARCH("President",C1932))&gt;0,'Configuración'!$B$31,IF(ISNUMBER(SEARCH("CMO",C1932))+ISNUMBER(SEARCH("Chief Marketing",C1932))+ISNUMBER(SEARCH("VP Marketing",C1932))+ISNUMBER(SEARCH("Director de Marketing",C1932))+ISNUMBER(SEARCH("Director Marketing",C1932))+ISNUMBER(SEARCH("Head of Marketing",C1932))+ISNUMBER(SEARCH("Head Marketing",C1932))&gt;0,'Configuración'!$B$32,IF(ISNUMBER(SEARCH("Marketing Manager",C1932))+ISNUMBER(SEARCH("Gerente de Marketing",C1932))+ISNUMBER(SEARCH("Growth Manager",C1932))+ISNUMBER(SEARCH("Demand Gen",C1932))+ISNUMBER(SEARCH("Marketing Lead",C1932))&gt;0,'Configuración'!$B$33,IF(ISNUMBER(SEARCH("COO",C1932))+ISNUMBER(SEARCH("CFO",C1932))+ISNUMBER(SEARCH("CTO",C1932))+ISNUMBER(SEARCH("Chief Operating",C1932))+ISNUMBER(SEARCH("Chief Financial",C1932))+ISNUMBER(SEARCH("Gerente General",C1932))+ISNUMBER(SEARCH("General Manager",C1932))&gt;0,'Configuración'!$B$34,'Configuración'!$B$35)))))</f>
        <v>12</v>
      </c>
      <c r="V1932" s="38">
        <f>IF(B1932="","",IF(K1932="Sí",'Configuración'!$B$5,0)+IF(L1932="Semanal",'Configuración'!$B$6,IF(L1932="Mensual",'Configuración'!$B$7,0))+IF(M1932="Sí",'Configuración'!$B$8,0)+IF(N1932="Sí",'Configuración'!$B$9,0)+IF(O1932="Sí",'Configuración'!$B$10,0)+IF(P1932="Sí",'Configuración'!$B$11,0)+IF(Q1932="Sí",'Configuración'!$B$12,0)+S1932+T1932+U1932)</f>
        <v>20</v>
      </c>
      <c r="W1932" s="39" t="str">
        <f>IF(B1932="","",IF(V1932&gt;='Configuración'!$B$19,"A",IF(V1932&gt;='Configuración'!$B$20,"B",IF(V1932&gt;='Configuración'!$B$21,"C","Descarte"))))</f>
        <v>Descarte</v>
      </c>
    </row>
    <row r="1933" ht="15.75" customHeight="1">
      <c r="A1933" s="34">
        <f t="shared" si="1"/>
        <v>1931</v>
      </c>
      <c r="B1933" s="29" t="s">
        <v>501</v>
      </c>
      <c r="C1933" s="29" t="s">
        <v>146</v>
      </c>
      <c r="D1933" s="29" t="s">
        <v>10691</v>
      </c>
      <c r="E1933" s="29" t="s">
        <v>10692</v>
      </c>
      <c r="F1933" s="30" t="s">
        <v>10693</v>
      </c>
      <c r="G1933" s="30" t="s">
        <v>10694</v>
      </c>
      <c r="H1933" s="42" t="s">
        <v>10695</v>
      </c>
      <c r="I1933" s="29" t="s">
        <v>127</v>
      </c>
      <c r="J1933" s="31">
        <v>21.0</v>
      </c>
      <c r="K1933" s="35"/>
      <c r="L1933" s="35"/>
      <c r="M1933" s="35"/>
      <c r="N1933" s="35"/>
      <c r="O1933" s="35"/>
      <c r="P1933" s="35"/>
      <c r="Q1933" s="35"/>
      <c r="R1933" s="35"/>
      <c r="S1933" s="37">
        <f>IF(B1933="","",IF(ISNUMBER(J1933),IF(J1933&lt;=10,'Configuración'!$B$23,IF(J1933&lt;=50,'Configuración'!$B$24,IF(J1933&lt;=200,'Configuración'!$B$25,0))),0))</f>
        <v>4</v>
      </c>
      <c r="T1933" s="37">
        <f>IF(B1933="","",IF(ISNUMBER(SEARCH("information technology",I1933))+ISNUMBER(SEARCH("software",I1933))+ISNUMBER(SEARCH("internet",I1933))+ISNUMBER(SEARCH("computer",I1933))+ISNUMBER(SEARCH("saas",I1933))+ISNUMBER(SEARCH("fintech",I1933))+ISNUMBER(SEARCH("information services",I1933))+ISNUMBER(SEARCH("telecommunications",I1933))&gt;0,'Configuración'!$B$27,'Configuración'!$B$28))</f>
        <v>12</v>
      </c>
      <c r="U1933" s="25">
        <f>IF(B1933="","",IF(ISNUMBER(SEARCH("CEO",C1933))+ISNUMBER(SEARCH("Founder",C1933))+ISNUMBER(SEARCH("Owner",C1933))+ISNUMBER(SEARCH("Dueño",C1933))+ISNUMBER(SEARCH("Director General",C1933))+ISNUMBER(SEARCH("Presidente",C1933))+ISNUMBER(SEARCH("President",C1933))&gt;0,'Configuración'!$B$31,IF(ISNUMBER(SEARCH("CMO",C1933))+ISNUMBER(SEARCH("Chief Marketing",C1933))+ISNUMBER(SEARCH("VP Marketing",C1933))+ISNUMBER(SEARCH("Director de Marketing",C1933))+ISNUMBER(SEARCH("Director Marketing",C1933))+ISNUMBER(SEARCH("Head of Marketing",C1933))+ISNUMBER(SEARCH("Head Marketing",C1933))&gt;0,'Configuración'!$B$32,IF(ISNUMBER(SEARCH("Marketing Manager",C1933))+ISNUMBER(SEARCH("Gerente de Marketing",C1933))+ISNUMBER(SEARCH("Growth Manager",C1933))+ISNUMBER(SEARCH("Demand Gen",C1933))+ISNUMBER(SEARCH("Marketing Lead",C1933))&gt;0,'Configuración'!$B$33,IF(ISNUMBER(SEARCH("COO",C1933))+ISNUMBER(SEARCH("CFO",C1933))+ISNUMBER(SEARCH("CTO",C1933))+ISNUMBER(SEARCH("Chief Operating",C1933))+ISNUMBER(SEARCH("Chief Financial",C1933))+ISNUMBER(SEARCH("Gerente General",C1933))+ISNUMBER(SEARCH("General Manager",C1933))&gt;0,'Configuración'!$B$34,'Configuración'!$B$35)))))</f>
        <v>0</v>
      </c>
      <c r="V1933" s="38">
        <f>IF(B1933="","",IF(K1933="Sí",'Configuración'!$B$5,0)+IF(L1933="Semanal",'Configuración'!$B$6,IF(L1933="Mensual",'Configuración'!$B$7,0))+IF(M1933="Sí",'Configuración'!$B$8,0)+IF(N1933="Sí",'Configuración'!$B$9,0)+IF(O1933="Sí",'Configuración'!$B$10,0)+IF(P1933="Sí",'Configuración'!$B$11,0)+IF(Q1933="Sí",'Configuración'!$B$12,0)+S1933+T1933+U1933)</f>
        <v>16</v>
      </c>
      <c r="W1933" s="39" t="str">
        <f>IF(B1933="","",IF(V1933&gt;='Configuración'!$B$19,"A",IF(V1933&gt;='Configuración'!$B$20,"B",IF(V1933&gt;='Configuración'!$B$21,"C","Descarte"))))</f>
        <v>Descarte</v>
      </c>
    </row>
    <row r="1934" ht="15.75" customHeight="1">
      <c r="A1934" s="34">
        <f t="shared" si="1"/>
        <v>1932</v>
      </c>
      <c r="B1934" s="29" t="s">
        <v>174</v>
      </c>
      <c r="C1934" s="29" t="s">
        <v>146</v>
      </c>
      <c r="D1934" s="29" t="s">
        <v>2730</v>
      </c>
      <c r="E1934" s="29" t="s">
        <v>10696</v>
      </c>
      <c r="F1934" s="30" t="s">
        <v>10697</v>
      </c>
      <c r="G1934" s="30" t="s">
        <v>2733</v>
      </c>
      <c r="H1934" s="42" t="s">
        <v>2734</v>
      </c>
      <c r="I1934" s="29" t="s">
        <v>337</v>
      </c>
      <c r="J1934" s="31">
        <v>24.0</v>
      </c>
      <c r="K1934" s="35"/>
      <c r="L1934" s="35"/>
      <c r="M1934" s="35"/>
      <c r="N1934" s="35"/>
      <c r="O1934" s="35"/>
      <c r="P1934" s="35"/>
      <c r="Q1934" s="35"/>
      <c r="R1934" s="35"/>
      <c r="S1934" s="37">
        <f>IF(B1934="","",IF(ISNUMBER(J1934),IF(J1934&lt;=10,'Configuración'!$B$23,IF(J1934&lt;=50,'Configuración'!$B$24,IF(J1934&lt;=200,'Configuración'!$B$25,0))),0))</f>
        <v>4</v>
      </c>
      <c r="T1934" s="37">
        <f>IF(B1934="","",IF(ISNUMBER(SEARCH("information technology",I1934))+ISNUMBER(SEARCH("software",I1934))+ISNUMBER(SEARCH("internet",I1934))+ISNUMBER(SEARCH("computer",I1934))+ISNUMBER(SEARCH("saas",I1934))+ISNUMBER(SEARCH("fintech",I1934))+ISNUMBER(SEARCH("information services",I1934))+ISNUMBER(SEARCH("telecommunications",I1934))&gt;0,'Configuración'!$B$27,'Configuración'!$B$28))</f>
        <v>4</v>
      </c>
      <c r="U1934" s="25">
        <f>IF(B1934="","",IF(ISNUMBER(SEARCH("CEO",C1934))+ISNUMBER(SEARCH("Founder",C1934))+ISNUMBER(SEARCH("Owner",C1934))+ISNUMBER(SEARCH("Dueño",C1934))+ISNUMBER(SEARCH("Director General",C1934))+ISNUMBER(SEARCH("Presidente",C1934))+ISNUMBER(SEARCH("President",C1934))&gt;0,'Configuración'!$B$31,IF(ISNUMBER(SEARCH("CMO",C1934))+ISNUMBER(SEARCH("Chief Marketing",C1934))+ISNUMBER(SEARCH("VP Marketing",C1934))+ISNUMBER(SEARCH("Director de Marketing",C1934))+ISNUMBER(SEARCH("Director Marketing",C1934))+ISNUMBER(SEARCH("Head of Marketing",C1934))+ISNUMBER(SEARCH("Head Marketing",C1934))&gt;0,'Configuración'!$B$32,IF(ISNUMBER(SEARCH("Marketing Manager",C1934))+ISNUMBER(SEARCH("Gerente de Marketing",C1934))+ISNUMBER(SEARCH("Growth Manager",C1934))+ISNUMBER(SEARCH("Demand Gen",C1934))+ISNUMBER(SEARCH("Marketing Lead",C1934))&gt;0,'Configuración'!$B$33,IF(ISNUMBER(SEARCH("COO",C1934))+ISNUMBER(SEARCH("CFO",C1934))+ISNUMBER(SEARCH("CTO",C1934))+ISNUMBER(SEARCH("Chief Operating",C1934))+ISNUMBER(SEARCH("Chief Financial",C1934))+ISNUMBER(SEARCH("Gerente General",C1934))+ISNUMBER(SEARCH("General Manager",C1934))&gt;0,'Configuración'!$B$34,'Configuración'!$B$35)))))</f>
        <v>0</v>
      </c>
      <c r="V1934" s="38">
        <f>IF(B1934="","",IF(K1934="Sí",'Configuración'!$B$5,0)+IF(L1934="Semanal",'Configuración'!$B$6,IF(L1934="Mensual",'Configuración'!$B$7,0))+IF(M1934="Sí",'Configuración'!$B$8,0)+IF(N1934="Sí",'Configuración'!$B$9,0)+IF(O1934="Sí",'Configuración'!$B$10,0)+IF(P1934="Sí",'Configuración'!$B$11,0)+IF(Q1934="Sí",'Configuración'!$B$12,0)+S1934+T1934+U1934)</f>
        <v>8</v>
      </c>
      <c r="W1934" s="39" t="str">
        <f>IF(B1934="","",IF(V1934&gt;='Configuración'!$B$19,"A",IF(V1934&gt;='Configuración'!$B$20,"B",IF(V1934&gt;='Configuración'!$B$21,"C","Descarte"))))</f>
        <v>Descarte</v>
      </c>
    </row>
    <row r="1935" ht="15.75" customHeight="1">
      <c r="A1935" s="34">
        <f t="shared" si="1"/>
        <v>1933</v>
      </c>
      <c r="B1935" s="29" t="s">
        <v>10698</v>
      </c>
      <c r="C1935" s="29" t="s">
        <v>175</v>
      </c>
      <c r="D1935" s="29" t="s">
        <v>10699</v>
      </c>
      <c r="E1935" s="29" t="s">
        <v>10700</v>
      </c>
      <c r="F1935" s="30" t="s">
        <v>10701</v>
      </c>
      <c r="G1935" s="30" t="s">
        <v>10702</v>
      </c>
      <c r="H1935" s="42" t="s">
        <v>10703</v>
      </c>
      <c r="I1935" s="29" t="s">
        <v>249</v>
      </c>
      <c r="J1935" s="31">
        <v>34.0</v>
      </c>
      <c r="K1935" s="35"/>
      <c r="L1935" s="35"/>
      <c r="M1935" s="35"/>
      <c r="N1935" s="35"/>
      <c r="O1935" s="35"/>
      <c r="P1935" s="35"/>
      <c r="Q1935" s="35"/>
      <c r="R1935" s="35"/>
      <c r="S1935" s="37">
        <f>IF(B1935="","",IF(ISNUMBER(J1935),IF(J1935&lt;=10,'Configuración'!$B$23,IF(J1935&lt;=50,'Configuración'!$B$24,IF(J1935&lt;=200,'Configuración'!$B$25,0))),0))</f>
        <v>4</v>
      </c>
      <c r="T1935" s="37">
        <f>IF(B1935="","",IF(ISNUMBER(SEARCH("information technology",I1935))+ISNUMBER(SEARCH("software",I1935))+ISNUMBER(SEARCH("internet",I1935))+ISNUMBER(SEARCH("computer",I1935))+ISNUMBER(SEARCH("saas",I1935))+ISNUMBER(SEARCH("fintech",I1935))+ISNUMBER(SEARCH("information services",I1935))+ISNUMBER(SEARCH("telecommunications",I1935))&gt;0,'Configuración'!$B$27,'Configuración'!$B$28))</f>
        <v>4</v>
      </c>
      <c r="U1935" s="25">
        <f>IF(B1935="","",IF(ISNUMBER(SEARCH("CEO",C1935))+ISNUMBER(SEARCH("Founder",C1935))+ISNUMBER(SEARCH("Owner",C1935))+ISNUMBER(SEARCH("Dueño",C1935))+ISNUMBER(SEARCH("Director General",C1935))+ISNUMBER(SEARCH("Presidente",C1935))+ISNUMBER(SEARCH("President",C1935))&gt;0,'Configuración'!$B$31,IF(ISNUMBER(SEARCH("CMO",C1935))+ISNUMBER(SEARCH("Chief Marketing",C1935))+ISNUMBER(SEARCH("VP Marketing",C1935))+ISNUMBER(SEARCH("Director de Marketing",C1935))+ISNUMBER(SEARCH("Director Marketing",C1935))+ISNUMBER(SEARCH("Head of Marketing",C1935))+ISNUMBER(SEARCH("Head Marketing",C1935))&gt;0,'Configuración'!$B$32,IF(ISNUMBER(SEARCH("Marketing Manager",C1935))+ISNUMBER(SEARCH("Gerente de Marketing",C1935))+ISNUMBER(SEARCH("Growth Manager",C1935))+ISNUMBER(SEARCH("Demand Gen",C1935))+ISNUMBER(SEARCH("Marketing Lead",C1935))&gt;0,'Configuración'!$B$33,IF(ISNUMBER(SEARCH("COO",C1935))+ISNUMBER(SEARCH("CFO",C1935))+ISNUMBER(SEARCH("CTO",C1935))+ISNUMBER(SEARCH("Chief Operating",C1935))+ISNUMBER(SEARCH("Chief Financial",C1935))+ISNUMBER(SEARCH("Gerente General",C1935))+ISNUMBER(SEARCH("General Manager",C1935))&gt;0,'Configuración'!$B$34,'Configuración'!$B$35)))))</f>
        <v>12</v>
      </c>
      <c r="V1935" s="38">
        <f>IF(B1935="","",IF(K1935="Sí",'Configuración'!$B$5,0)+IF(L1935="Semanal",'Configuración'!$B$6,IF(L1935="Mensual",'Configuración'!$B$7,0))+IF(M1935="Sí",'Configuración'!$B$8,0)+IF(N1935="Sí",'Configuración'!$B$9,0)+IF(O1935="Sí",'Configuración'!$B$10,0)+IF(P1935="Sí",'Configuración'!$B$11,0)+IF(Q1935="Sí",'Configuración'!$B$12,0)+S1935+T1935+U1935)</f>
        <v>20</v>
      </c>
      <c r="W1935" s="39" t="str">
        <f>IF(B1935="","",IF(V1935&gt;='Configuración'!$B$19,"A",IF(V1935&gt;='Configuración'!$B$20,"B",IF(V1935&gt;='Configuración'!$B$21,"C","Descarte"))))</f>
        <v>Descarte</v>
      </c>
    </row>
    <row r="1936" ht="15.75" customHeight="1">
      <c r="A1936" s="34">
        <f t="shared" si="1"/>
        <v>1934</v>
      </c>
      <c r="B1936" s="29" t="s">
        <v>10704</v>
      </c>
      <c r="C1936" s="29" t="s">
        <v>622</v>
      </c>
      <c r="D1936" s="29" t="s">
        <v>10705</v>
      </c>
      <c r="E1936" s="29" t="s">
        <v>10706</v>
      </c>
      <c r="F1936" s="30" t="s">
        <v>10707</v>
      </c>
      <c r="G1936" s="30" t="s">
        <v>10708</v>
      </c>
      <c r="H1936" s="42" t="s">
        <v>10709</v>
      </c>
      <c r="I1936" s="29" t="s">
        <v>1429</v>
      </c>
      <c r="J1936" s="31">
        <v>4.0</v>
      </c>
      <c r="K1936" s="35"/>
      <c r="L1936" s="35"/>
      <c r="M1936" s="35"/>
      <c r="N1936" s="35"/>
      <c r="O1936" s="35"/>
      <c r="P1936" s="35"/>
      <c r="Q1936" s="35"/>
      <c r="R1936" s="35"/>
      <c r="S1936" s="37">
        <f>IF(B1936="","",IF(ISNUMBER(J1936),IF(J1936&lt;=10,'Configuración'!$B$23,IF(J1936&lt;=50,'Configuración'!$B$24,IF(J1936&lt;=200,'Configuración'!$B$25,0))),0))</f>
        <v>12</v>
      </c>
      <c r="T1936" s="37">
        <f>IF(B1936="","",IF(ISNUMBER(SEARCH("information technology",I1936))+ISNUMBER(SEARCH("software",I1936))+ISNUMBER(SEARCH("internet",I1936))+ISNUMBER(SEARCH("computer",I1936))+ISNUMBER(SEARCH("saas",I1936))+ISNUMBER(SEARCH("fintech",I1936))+ISNUMBER(SEARCH("information services",I1936))+ISNUMBER(SEARCH("telecommunications",I1936))&gt;0,'Configuración'!$B$27,'Configuración'!$B$28))</f>
        <v>4</v>
      </c>
      <c r="U1936" s="25">
        <f>IF(B1936="","",IF(ISNUMBER(SEARCH("CEO",C1936))+ISNUMBER(SEARCH("Founder",C1936))+ISNUMBER(SEARCH("Owner",C1936))+ISNUMBER(SEARCH("Dueño",C1936))+ISNUMBER(SEARCH("Director General",C1936))+ISNUMBER(SEARCH("Presidente",C1936))+ISNUMBER(SEARCH("President",C1936))&gt;0,'Configuración'!$B$31,IF(ISNUMBER(SEARCH("CMO",C1936))+ISNUMBER(SEARCH("Chief Marketing",C1936))+ISNUMBER(SEARCH("VP Marketing",C1936))+ISNUMBER(SEARCH("Director de Marketing",C1936))+ISNUMBER(SEARCH("Director Marketing",C1936))+ISNUMBER(SEARCH("Head of Marketing",C1936))+ISNUMBER(SEARCH("Head Marketing",C1936))&gt;0,'Configuración'!$B$32,IF(ISNUMBER(SEARCH("Marketing Manager",C1936))+ISNUMBER(SEARCH("Gerente de Marketing",C1936))+ISNUMBER(SEARCH("Growth Manager",C1936))+ISNUMBER(SEARCH("Demand Gen",C1936))+ISNUMBER(SEARCH("Marketing Lead",C1936))&gt;0,'Configuración'!$B$33,IF(ISNUMBER(SEARCH("COO",C1936))+ISNUMBER(SEARCH("CFO",C1936))+ISNUMBER(SEARCH("CTO",C1936))+ISNUMBER(SEARCH("Chief Operating",C1936))+ISNUMBER(SEARCH("Chief Financial",C1936))+ISNUMBER(SEARCH("Gerente General",C1936))+ISNUMBER(SEARCH("General Manager",C1936))&gt;0,'Configuración'!$B$34,'Configuración'!$B$35)))))</f>
        <v>12</v>
      </c>
      <c r="V1936" s="38">
        <f>IF(B1936="","",IF(K1936="Sí",'Configuración'!$B$5,0)+IF(L1936="Semanal",'Configuración'!$B$6,IF(L1936="Mensual",'Configuración'!$B$7,0))+IF(M1936="Sí",'Configuración'!$B$8,0)+IF(N1936="Sí",'Configuración'!$B$9,0)+IF(O1936="Sí",'Configuración'!$B$10,0)+IF(P1936="Sí",'Configuración'!$B$11,0)+IF(Q1936="Sí",'Configuración'!$B$12,0)+S1936+T1936+U1936)</f>
        <v>28</v>
      </c>
      <c r="W1936" s="39" t="str">
        <f>IF(B1936="","",IF(V1936&gt;='Configuración'!$B$19,"A",IF(V1936&gt;='Configuración'!$B$20,"B",IF(V1936&gt;='Configuración'!$B$21,"C","Descarte"))))</f>
        <v>C</v>
      </c>
    </row>
    <row r="1937" ht="15.75" customHeight="1">
      <c r="A1937" s="34">
        <f t="shared" si="1"/>
        <v>1935</v>
      </c>
      <c r="B1937" s="29" t="s">
        <v>223</v>
      </c>
      <c r="C1937" s="29" t="s">
        <v>10710</v>
      </c>
      <c r="D1937" s="29" t="s">
        <v>10711</v>
      </c>
      <c r="E1937" s="29" t="s">
        <v>10712</v>
      </c>
      <c r="F1937" s="30" t="s">
        <v>10713</v>
      </c>
      <c r="G1937" s="30" t="s">
        <v>10714</v>
      </c>
      <c r="H1937" s="42" t="s">
        <v>10715</v>
      </c>
      <c r="I1937" s="29" t="s">
        <v>776</v>
      </c>
      <c r="J1937" s="31">
        <v>11.0</v>
      </c>
      <c r="K1937" s="35"/>
      <c r="L1937" s="35"/>
      <c r="M1937" s="35"/>
      <c r="N1937" s="35"/>
      <c r="O1937" s="35"/>
      <c r="P1937" s="35"/>
      <c r="Q1937" s="35"/>
      <c r="R1937" s="35"/>
      <c r="S1937" s="37">
        <f>IF(B1937="","",IF(ISNUMBER(J1937),IF(J1937&lt;=10,'Configuración'!$B$23,IF(J1937&lt;=50,'Configuración'!$B$24,IF(J1937&lt;=200,'Configuración'!$B$25,0))),0))</f>
        <v>4</v>
      </c>
      <c r="T1937" s="37">
        <f>IF(B1937="","",IF(ISNUMBER(SEARCH("information technology",I1937))+ISNUMBER(SEARCH("software",I1937))+ISNUMBER(SEARCH("internet",I1937))+ISNUMBER(SEARCH("computer",I1937))+ISNUMBER(SEARCH("saas",I1937))+ISNUMBER(SEARCH("fintech",I1937))+ISNUMBER(SEARCH("information services",I1937))+ISNUMBER(SEARCH("telecommunications",I1937))&gt;0,'Configuración'!$B$27,'Configuración'!$B$28))</f>
        <v>4</v>
      </c>
      <c r="U1937" s="25">
        <f>IF(B1937="","",IF(ISNUMBER(SEARCH("CEO",C1937))+ISNUMBER(SEARCH("Founder",C1937))+ISNUMBER(SEARCH("Owner",C1937))+ISNUMBER(SEARCH("Dueño",C1937))+ISNUMBER(SEARCH("Director General",C1937))+ISNUMBER(SEARCH("Presidente",C1937))+ISNUMBER(SEARCH("President",C1937))&gt;0,'Configuración'!$B$31,IF(ISNUMBER(SEARCH("CMO",C1937))+ISNUMBER(SEARCH("Chief Marketing",C1937))+ISNUMBER(SEARCH("VP Marketing",C1937))+ISNUMBER(SEARCH("Director de Marketing",C1937))+ISNUMBER(SEARCH("Director Marketing",C1937))+ISNUMBER(SEARCH("Head of Marketing",C1937))+ISNUMBER(SEARCH("Head Marketing",C1937))&gt;0,'Configuración'!$B$32,IF(ISNUMBER(SEARCH("Marketing Manager",C1937))+ISNUMBER(SEARCH("Gerente de Marketing",C1937))+ISNUMBER(SEARCH("Growth Manager",C1937))+ISNUMBER(SEARCH("Demand Gen",C1937))+ISNUMBER(SEARCH("Marketing Lead",C1937))&gt;0,'Configuración'!$B$33,IF(ISNUMBER(SEARCH("COO",C1937))+ISNUMBER(SEARCH("CFO",C1937))+ISNUMBER(SEARCH("CTO",C1937))+ISNUMBER(SEARCH("Chief Operating",C1937))+ISNUMBER(SEARCH("Chief Financial",C1937))+ISNUMBER(SEARCH("Gerente General",C1937))+ISNUMBER(SEARCH("General Manager",C1937))&gt;0,'Configuración'!$B$34,'Configuración'!$B$35)))))</f>
        <v>12</v>
      </c>
      <c r="V1937" s="38">
        <f>IF(B1937="","",IF(K1937="Sí",'Configuración'!$B$5,0)+IF(L1937="Semanal",'Configuración'!$B$6,IF(L1937="Mensual",'Configuración'!$B$7,0))+IF(M1937="Sí",'Configuración'!$B$8,0)+IF(N1937="Sí",'Configuración'!$B$9,0)+IF(O1937="Sí",'Configuración'!$B$10,0)+IF(P1937="Sí",'Configuración'!$B$11,0)+IF(Q1937="Sí",'Configuración'!$B$12,0)+S1937+T1937+U1937)</f>
        <v>20</v>
      </c>
      <c r="W1937" s="39" t="str">
        <f>IF(B1937="","",IF(V1937&gt;='Configuración'!$B$19,"A",IF(V1937&gt;='Configuración'!$B$20,"B",IF(V1937&gt;='Configuración'!$B$21,"C","Descarte"))))</f>
        <v>Descarte</v>
      </c>
    </row>
    <row r="1938" ht="15.75" customHeight="1">
      <c r="A1938" s="34">
        <f t="shared" si="1"/>
        <v>1936</v>
      </c>
      <c r="B1938" s="29" t="s">
        <v>4872</v>
      </c>
      <c r="C1938" s="29" t="s">
        <v>1214</v>
      </c>
      <c r="D1938" s="29" t="s">
        <v>10716</v>
      </c>
      <c r="E1938" s="29" t="s">
        <v>10717</v>
      </c>
      <c r="F1938" s="30" t="s">
        <v>10718</v>
      </c>
      <c r="G1938" s="30" t="s">
        <v>10719</v>
      </c>
      <c r="H1938" s="42" t="s">
        <v>10720</v>
      </c>
      <c r="I1938" s="29" t="s">
        <v>188</v>
      </c>
      <c r="J1938" s="31">
        <v>4.0</v>
      </c>
      <c r="K1938" s="35"/>
      <c r="L1938" s="35"/>
      <c r="M1938" s="35"/>
      <c r="N1938" s="35"/>
      <c r="O1938" s="35"/>
      <c r="P1938" s="35"/>
      <c r="Q1938" s="35"/>
      <c r="R1938" s="35"/>
      <c r="S1938" s="37">
        <f>IF(B1938="","",IF(ISNUMBER(J1938),IF(J1938&lt;=10,'Configuración'!$B$23,IF(J1938&lt;=50,'Configuración'!$B$24,IF(J1938&lt;=200,'Configuración'!$B$25,0))),0))</f>
        <v>12</v>
      </c>
      <c r="T1938" s="37">
        <f>IF(B1938="","",IF(ISNUMBER(SEARCH("information technology",I1938))+ISNUMBER(SEARCH("software",I1938))+ISNUMBER(SEARCH("internet",I1938))+ISNUMBER(SEARCH("computer",I1938))+ISNUMBER(SEARCH("saas",I1938))+ISNUMBER(SEARCH("fintech",I1938))+ISNUMBER(SEARCH("information services",I1938))+ISNUMBER(SEARCH("telecommunications",I1938))&gt;0,'Configuración'!$B$27,'Configuración'!$B$28))</f>
        <v>4</v>
      </c>
      <c r="U1938" s="25">
        <f>IF(B1938="","",IF(ISNUMBER(SEARCH("CEO",C1938))+ISNUMBER(SEARCH("Founder",C1938))+ISNUMBER(SEARCH("Owner",C1938))+ISNUMBER(SEARCH("Dueño",C1938))+ISNUMBER(SEARCH("Director General",C1938))+ISNUMBER(SEARCH("Presidente",C1938))+ISNUMBER(SEARCH("President",C1938))&gt;0,'Configuración'!$B$31,IF(ISNUMBER(SEARCH("CMO",C1938))+ISNUMBER(SEARCH("Chief Marketing",C1938))+ISNUMBER(SEARCH("VP Marketing",C1938))+ISNUMBER(SEARCH("Director de Marketing",C1938))+ISNUMBER(SEARCH("Director Marketing",C1938))+ISNUMBER(SEARCH("Head of Marketing",C1938))+ISNUMBER(SEARCH("Head Marketing",C1938))&gt;0,'Configuración'!$B$32,IF(ISNUMBER(SEARCH("Marketing Manager",C1938))+ISNUMBER(SEARCH("Gerente de Marketing",C1938))+ISNUMBER(SEARCH("Growth Manager",C1938))+ISNUMBER(SEARCH("Demand Gen",C1938))+ISNUMBER(SEARCH("Marketing Lead",C1938))&gt;0,'Configuración'!$B$33,IF(ISNUMBER(SEARCH("COO",C1938))+ISNUMBER(SEARCH("CFO",C1938))+ISNUMBER(SEARCH("CTO",C1938))+ISNUMBER(SEARCH("Chief Operating",C1938))+ISNUMBER(SEARCH("Chief Financial",C1938))+ISNUMBER(SEARCH("Gerente General",C1938))+ISNUMBER(SEARCH("General Manager",C1938))&gt;0,'Configuración'!$B$34,'Configuración'!$B$35)))))</f>
        <v>12</v>
      </c>
      <c r="V1938" s="38">
        <f>IF(B1938="","",IF(K1938="Sí",'Configuración'!$B$5,0)+IF(L1938="Semanal",'Configuración'!$B$6,IF(L1938="Mensual",'Configuración'!$B$7,0))+IF(M1938="Sí",'Configuración'!$B$8,0)+IF(N1938="Sí",'Configuración'!$B$9,0)+IF(O1938="Sí",'Configuración'!$B$10,0)+IF(P1938="Sí",'Configuración'!$B$11,0)+IF(Q1938="Sí",'Configuración'!$B$12,0)+S1938+T1938+U1938)</f>
        <v>28</v>
      </c>
      <c r="W1938" s="39" t="str">
        <f>IF(B1938="","",IF(V1938&gt;='Configuración'!$B$19,"A",IF(V1938&gt;='Configuración'!$B$20,"B",IF(V1938&gt;='Configuración'!$B$21,"C","Descarte"))))</f>
        <v>C</v>
      </c>
    </row>
    <row r="1939" ht="15.75" customHeight="1">
      <c r="A1939" s="34">
        <f t="shared" si="1"/>
        <v>1937</v>
      </c>
      <c r="B1939" s="29" t="s">
        <v>7163</v>
      </c>
      <c r="C1939" s="29" t="s">
        <v>597</v>
      </c>
      <c r="D1939" s="29" t="s">
        <v>10721</v>
      </c>
      <c r="E1939" s="29" t="s">
        <v>10722</v>
      </c>
      <c r="F1939" s="30" t="s">
        <v>10723</v>
      </c>
      <c r="G1939" s="30" t="s">
        <v>10724</v>
      </c>
      <c r="H1939" s="42" t="s">
        <v>10725</v>
      </c>
      <c r="I1939" s="29" t="s">
        <v>127</v>
      </c>
      <c r="J1939" s="31">
        <v>6.0</v>
      </c>
      <c r="K1939" s="35"/>
      <c r="L1939" s="35"/>
      <c r="M1939" s="35"/>
      <c r="N1939" s="35"/>
      <c r="O1939" s="35"/>
      <c r="P1939" s="35"/>
      <c r="Q1939" s="35"/>
      <c r="R1939" s="35"/>
      <c r="S1939" s="37">
        <f>IF(B1939="","",IF(ISNUMBER(J1939),IF(J1939&lt;=10,'Configuración'!$B$23,IF(J1939&lt;=50,'Configuración'!$B$24,IF(J1939&lt;=200,'Configuración'!$B$25,0))),0))</f>
        <v>12</v>
      </c>
      <c r="T1939" s="37">
        <f>IF(B1939="","",IF(ISNUMBER(SEARCH("information technology",I1939))+ISNUMBER(SEARCH("software",I1939))+ISNUMBER(SEARCH("internet",I1939))+ISNUMBER(SEARCH("computer",I1939))+ISNUMBER(SEARCH("saas",I1939))+ISNUMBER(SEARCH("fintech",I1939))+ISNUMBER(SEARCH("information services",I1939))+ISNUMBER(SEARCH("telecommunications",I1939))&gt;0,'Configuración'!$B$27,'Configuración'!$B$28))</f>
        <v>12</v>
      </c>
      <c r="U1939" s="25">
        <f>IF(B1939="","",IF(ISNUMBER(SEARCH("CEO",C1939))+ISNUMBER(SEARCH("Founder",C1939))+ISNUMBER(SEARCH("Owner",C1939))+ISNUMBER(SEARCH("Dueño",C1939))+ISNUMBER(SEARCH("Director General",C1939))+ISNUMBER(SEARCH("Presidente",C1939))+ISNUMBER(SEARCH("President",C1939))&gt;0,'Configuración'!$B$31,IF(ISNUMBER(SEARCH("CMO",C1939))+ISNUMBER(SEARCH("Chief Marketing",C1939))+ISNUMBER(SEARCH("VP Marketing",C1939))+ISNUMBER(SEARCH("Director de Marketing",C1939))+ISNUMBER(SEARCH("Director Marketing",C1939))+ISNUMBER(SEARCH("Head of Marketing",C1939))+ISNUMBER(SEARCH("Head Marketing",C1939))&gt;0,'Configuración'!$B$32,IF(ISNUMBER(SEARCH("Marketing Manager",C1939))+ISNUMBER(SEARCH("Gerente de Marketing",C1939))+ISNUMBER(SEARCH("Growth Manager",C1939))+ISNUMBER(SEARCH("Demand Gen",C1939))+ISNUMBER(SEARCH("Marketing Lead",C1939))&gt;0,'Configuración'!$B$33,IF(ISNUMBER(SEARCH("COO",C1939))+ISNUMBER(SEARCH("CFO",C1939))+ISNUMBER(SEARCH("CTO",C1939))+ISNUMBER(SEARCH("Chief Operating",C1939))+ISNUMBER(SEARCH("Chief Financial",C1939))+ISNUMBER(SEARCH("Gerente General",C1939))+ISNUMBER(SEARCH("General Manager",C1939))&gt;0,'Configuración'!$B$34,'Configuración'!$B$35)))))</f>
        <v>12</v>
      </c>
      <c r="V1939" s="38">
        <f>IF(B1939="","",IF(K1939="Sí",'Configuración'!$B$5,0)+IF(L1939="Semanal",'Configuración'!$B$6,IF(L1939="Mensual",'Configuración'!$B$7,0))+IF(M1939="Sí",'Configuración'!$B$8,0)+IF(N1939="Sí",'Configuración'!$B$9,0)+IF(O1939="Sí",'Configuración'!$B$10,0)+IF(P1939="Sí",'Configuración'!$B$11,0)+IF(Q1939="Sí",'Configuración'!$B$12,0)+S1939+T1939+U1939)</f>
        <v>36</v>
      </c>
      <c r="W1939" s="39" t="str">
        <f>IF(B1939="","",IF(V1939&gt;='Configuración'!$B$19,"A",IF(V1939&gt;='Configuración'!$B$20,"B",IF(V1939&gt;='Configuración'!$B$21,"C","Descarte"))))</f>
        <v>C</v>
      </c>
    </row>
    <row r="1940" ht="15.75" customHeight="1">
      <c r="A1940" s="34">
        <f t="shared" si="1"/>
        <v>1938</v>
      </c>
      <c r="B1940" s="29" t="s">
        <v>2396</v>
      </c>
      <c r="C1940" s="29" t="s">
        <v>10726</v>
      </c>
      <c r="D1940" s="29" t="s">
        <v>10727</v>
      </c>
      <c r="E1940" s="29" t="s">
        <v>10728</v>
      </c>
      <c r="F1940" s="30" t="s">
        <v>10729</v>
      </c>
      <c r="G1940" s="30" t="s">
        <v>10730</v>
      </c>
      <c r="H1940" s="42" t="s">
        <v>10731</v>
      </c>
      <c r="I1940" s="29" t="s">
        <v>1785</v>
      </c>
      <c r="J1940" s="31">
        <v>6.0</v>
      </c>
      <c r="K1940" s="35"/>
      <c r="L1940" s="35"/>
      <c r="M1940" s="35"/>
      <c r="N1940" s="35"/>
      <c r="O1940" s="35"/>
      <c r="P1940" s="35"/>
      <c r="Q1940" s="35"/>
      <c r="R1940" s="35"/>
      <c r="S1940" s="37">
        <f>IF(B1940="","",IF(ISNUMBER(J1940),IF(J1940&lt;=10,'Configuración'!$B$23,IF(J1940&lt;=50,'Configuración'!$B$24,IF(J1940&lt;=200,'Configuración'!$B$25,0))),0))</f>
        <v>12</v>
      </c>
      <c r="T1940" s="37">
        <f>IF(B1940="","",IF(ISNUMBER(SEARCH("information technology",I1940))+ISNUMBER(SEARCH("software",I1940))+ISNUMBER(SEARCH("internet",I1940))+ISNUMBER(SEARCH("computer",I1940))+ISNUMBER(SEARCH("saas",I1940))+ISNUMBER(SEARCH("fintech",I1940))+ISNUMBER(SEARCH("information services",I1940))+ISNUMBER(SEARCH("telecommunications",I1940))&gt;0,'Configuración'!$B$27,'Configuración'!$B$28))</f>
        <v>4</v>
      </c>
      <c r="U1940" s="25">
        <f>IF(B1940="","",IF(ISNUMBER(SEARCH("CEO",C1940))+ISNUMBER(SEARCH("Founder",C1940))+ISNUMBER(SEARCH("Owner",C1940))+ISNUMBER(SEARCH("Dueño",C1940))+ISNUMBER(SEARCH("Director General",C1940))+ISNUMBER(SEARCH("Presidente",C1940))+ISNUMBER(SEARCH("President",C1940))&gt;0,'Configuración'!$B$31,IF(ISNUMBER(SEARCH("CMO",C1940))+ISNUMBER(SEARCH("Chief Marketing",C1940))+ISNUMBER(SEARCH("VP Marketing",C1940))+ISNUMBER(SEARCH("Director de Marketing",C1940))+ISNUMBER(SEARCH("Director Marketing",C1940))+ISNUMBER(SEARCH("Head of Marketing",C1940))+ISNUMBER(SEARCH("Head Marketing",C1940))&gt;0,'Configuración'!$B$32,IF(ISNUMBER(SEARCH("Marketing Manager",C1940))+ISNUMBER(SEARCH("Gerente de Marketing",C1940))+ISNUMBER(SEARCH("Growth Manager",C1940))+ISNUMBER(SEARCH("Demand Gen",C1940))+ISNUMBER(SEARCH("Marketing Lead",C1940))&gt;0,'Configuración'!$B$33,IF(ISNUMBER(SEARCH("COO",C1940))+ISNUMBER(SEARCH("CFO",C1940))+ISNUMBER(SEARCH("CTO",C1940))+ISNUMBER(SEARCH("Chief Operating",C1940))+ISNUMBER(SEARCH("Chief Financial",C1940))+ISNUMBER(SEARCH("Gerente General",C1940))+ISNUMBER(SEARCH("General Manager",C1940))&gt;0,'Configuración'!$B$34,'Configuración'!$B$35)))))</f>
        <v>12</v>
      </c>
      <c r="V1940" s="38">
        <f>IF(B1940="","",IF(K1940="Sí",'Configuración'!$B$5,0)+IF(L1940="Semanal",'Configuración'!$B$6,IF(L1940="Mensual",'Configuración'!$B$7,0))+IF(M1940="Sí",'Configuración'!$B$8,0)+IF(N1940="Sí",'Configuración'!$B$9,0)+IF(O1940="Sí",'Configuración'!$B$10,0)+IF(P1940="Sí",'Configuración'!$B$11,0)+IF(Q1940="Sí",'Configuración'!$B$12,0)+S1940+T1940+U1940)</f>
        <v>28</v>
      </c>
      <c r="W1940" s="39" t="str">
        <f>IF(B1940="","",IF(V1940&gt;='Configuración'!$B$19,"A",IF(V1940&gt;='Configuración'!$B$20,"B",IF(V1940&gt;='Configuración'!$B$21,"C","Descarte"))))</f>
        <v>C</v>
      </c>
    </row>
    <row r="1941" ht="15.75" customHeight="1">
      <c r="A1941" s="34">
        <f t="shared" si="1"/>
        <v>1939</v>
      </c>
      <c r="B1941" s="29" t="s">
        <v>10732</v>
      </c>
      <c r="C1941" s="29" t="s">
        <v>297</v>
      </c>
      <c r="D1941" s="29" t="s">
        <v>10733</v>
      </c>
      <c r="E1941" s="29" t="s">
        <v>10734</v>
      </c>
      <c r="F1941" s="30" t="s">
        <v>10735</v>
      </c>
      <c r="G1941" s="30" t="s">
        <v>10736</v>
      </c>
      <c r="H1941" s="42" t="s">
        <v>10737</v>
      </c>
      <c r="I1941" s="29" t="s">
        <v>127</v>
      </c>
      <c r="J1941" s="31">
        <v>13.0</v>
      </c>
      <c r="K1941" s="35"/>
      <c r="L1941" s="35"/>
      <c r="M1941" s="35"/>
      <c r="N1941" s="35"/>
      <c r="O1941" s="35"/>
      <c r="P1941" s="35"/>
      <c r="Q1941" s="35"/>
      <c r="R1941" s="35"/>
      <c r="S1941" s="37">
        <f>IF(B1941="","",IF(ISNUMBER(J1941),IF(J1941&lt;=10,'Configuración'!$B$23,IF(J1941&lt;=50,'Configuración'!$B$24,IF(J1941&lt;=200,'Configuración'!$B$25,0))),0))</f>
        <v>4</v>
      </c>
      <c r="T1941" s="37">
        <f>IF(B1941="","",IF(ISNUMBER(SEARCH("information technology",I1941))+ISNUMBER(SEARCH("software",I1941))+ISNUMBER(SEARCH("internet",I1941))+ISNUMBER(SEARCH("computer",I1941))+ISNUMBER(SEARCH("saas",I1941))+ISNUMBER(SEARCH("fintech",I1941))+ISNUMBER(SEARCH("information services",I1941))+ISNUMBER(SEARCH("telecommunications",I1941))&gt;0,'Configuración'!$B$27,'Configuración'!$B$28))</f>
        <v>12</v>
      </c>
      <c r="U1941" s="25">
        <f>IF(B1941="","",IF(ISNUMBER(SEARCH("CEO",C1941))+ISNUMBER(SEARCH("Founder",C1941))+ISNUMBER(SEARCH("Owner",C1941))+ISNUMBER(SEARCH("Dueño",C1941))+ISNUMBER(SEARCH("Director General",C1941))+ISNUMBER(SEARCH("Presidente",C1941))+ISNUMBER(SEARCH("President",C1941))&gt;0,'Configuración'!$B$31,IF(ISNUMBER(SEARCH("CMO",C1941))+ISNUMBER(SEARCH("Chief Marketing",C1941))+ISNUMBER(SEARCH("VP Marketing",C1941))+ISNUMBER(SEARCH("Director de Marketing",C1941))+ISNUMBER(SEARCH("Director Marketing",C1941))+ISNUMBER(SEARCH("Head of Marketing",C1941))+ISNUMBER(SEARCH("Head Marketing",C1941))&gt;0,'Configuración'!$B$32,IF(ISNUMBER(SEARCH("Marketing Manager",C1941))+ISNUMBER(SEARCH("Gerente de Marketing",C1941))+ISNUMBER(SEARCH("Growth Manager",C1941))+ISNUMBER(SEARCH("Demand Gen",C1941))+ISNUMBER(SEARCH("Marketing Lead",C1941))&gt;0,'Configuración'!$B$33,IF(ISNUMBER(SEARCH("COO",C1941))+ISNUMBER(SEARCH("CFO",C1941))+ISNUMBER(SEARCH("CTO",C1941))+ISNUMBER(SEARCH("Chief Operating",C1941))+ISNUMBER(SEARCH("Chief Financial",C1941))+ISNUMBER(SEARCH("Gerente General",C1941))+ISNUMBER(SEARCH("General Manager",C1941))&gt;0,'Configuración'!$B$34,'Configuración'!$B$35)))))</f>
        <v>0</v>
      </c>
      <c r="V1941" s="38">
        <f>IF(B1941="","",IF(K1941="Sí",'Configuración'!$B$5,0)+IF(L1941="Semanal",'Configuración'!$B$6,IF(L1941="Mensual",'Configuración'!$B$7,0))+IF(M1941="Sí",'Configuración'!$B$8,0)+IF(N1941="Sí",'Configuración'!$B$9,0)+IF(O1941="Sí",'Configuración'!$B$10,0)+IF(P1941="Sí",'Configuración'!$B$11,0)+IF(Q1941="Sí",'Configuración'!$B$12,0)+S1941+T1941+U1941)</f>
        <v>16</v>
      </c>
      <c r="W1941" s="39" t="str">
        <f>IF(B1941="","",IF(V1941&gt;='Configuración'!$B$19,"A",IF(V1941&gt;='Configuración'!$B$20,"B",IF(V1941&gt;='Configuración'!$B$21,"C","Descarte"))))</f>
        <v>Descarte</v>
      </c>
    </row>
    <row r="1942" ht="15.75" customHeight="1">
      <c r="A1942" s="34">
        <f t="shared" si="1"/>
        <v>1940</v>
      </c>
      <c r="B1942" s="29" t="s">
        <v>1079</v>
      </c>
      <c r="C1942" s="29" t="s">
        <v>6030</v>
      </c>
      <c r="D1942" s="29" t="s">
        <v>10738</v>
      </c>
      <c r="E1942" s="29" t="s">
        <v>10739</v>
      </c>
      <c r="F1942" s="30" t="s">
        <v>10740</v>
      </c>
      <c r="G1942" s="30" t="s">
        <v>10741</v>
      </c>
      <c r="H1942" s="42" t="s">
        <v>10742</v>
      </c>
      <c r="I1942" s="29" t="s">
        <v>3820</v>
      </c>
      <c r="J1942" s="31">
        <v>46.0</v>
      </c>
      <c r="K1942" s="35"/>
      <c r="L1942" s="35"/>
      <c r="M1942" s="35"/>
      <c r="N1942" s="35"/>
      <c r="O1942" s="35"/>
      <c r="P1942" s="35"/>
      <c r="Q1942" s="35"/>
      <c r="R1942" s="35"/>
      <c r="S1942" s="37">
        <f>IF(B1942="","",IF(ISNUMBER(J1942),IF(J1942&lt;=10,'Configuración'!$B$23,IF(J1942&lt;=50,'Configuración'!$B$24,IF(J1942&lt;=200,'Configuración'!$B$25,0))),0))</f>
        <v>4</v>
      </c>
      <c r="T1942" s="37">
        <f>IF(B1942="","",IF(ISNUMBER(SEARCH("information technology",I1942))+ISNUMBER(SEARCH("software",I1942))+ISNUMBER(SEARCH("internet",I1942))+ISNUMBER(SEARCH("computer",I1942))+ISNUMBER(SEARCH("saas",I1942))+ISNUMBER(SEARCH("fintech",I1942))+ISNUMBER(SEARCH("information services",I1942))+ISNUMBER(SEARCH("telecommunications",I1942))&gt;0,'Configuración'!$B$27,'Configuración'!$B$28))</f>
        <v>4</v>
      </c>
      <c r="U1942" s="25">
        <f>IF(B1942="","",IF(ISNUMBER(SEARCH("CEO",C1942))+ISNUMBER(SEARCH("Founder",C1942))+ISNUMBER(SEARCH("Owner",C1942))+ISNUMBER(SEARCH("Dueño",C1942))+ISNUMBER(SEARCH("Director General",C1942))+ISNUMBER(SEARCH("Presidente",C1942))+ISNUMBER(SEARCH("President",C1942))&gt;0,'Configuración'!$B$31,IF(ISNUMBER(SEARCH("CMO",C1942))+ISNUMBER(SEARCH("Chief Marketing",C1942))+ISNUMBER(SEARCH("VP Marketing",C1942))+ISNUMBER(SEARCH("Director de Marketing",C1942))+ISNUMBER(SEARCH("Director Marketing",C1942))+ISNUMBER(SEARCH("Head of Marketing",C1942))+ISNUMBER(SEARCH("Head Marketing",C1942))&gt;0,'Configuración'!$B$32,IF(ISNUMBER(SEARCH("Marketing Manager",C1942))+ISNUMBER(SEARCH("Gerente de Marketing",C1942))+ISNUMBER(SEARCH("Growth Manager",C1942))+ISNUMBER(SEARCH("Demand Gen",C1942))+ISNUMBER(SEARCH("Marketing Lead",C1942))&gt;0,'Configuración'!$B$33,IF(ISNUMBER(SEARCH("COO",C1942))+ISNUMBER(SEARCH("CFO",C1942))+ISNUMBER(SEARCH("CTO",C1942))+ISNUMBER(SEARCH("Chief Operating",C1942))+ISNUMBER(SEARCH("Chief Financial",C1942))+ISNUMBER(SEARCH("Gerente General",C1942))+ISNUMBER(SEARCH("General Manager",C1942))&gt;0,'Configuración'!$B$34,'Configuración'!$B$35)))))</f>
        <v>4</v>
      </c>
      <c r="V1942" s="38">
        <f>IF(B1942="","",IF(K1942="Sí",'Configuración'!$B$5,0)+IF(L1942="Semanal",'Configuración'!$B$6,IF(L1942="Mensual",'Configuración'!$B$7,0))+IF(M1942="Sí",'Configuración'!$B$8,0)+IF(N1942="Sí",'Configuración'!$B$9,0)+IF(O1942="Sí",'Configuración'!$B$10,0)+IF(P1942="Sí",'Configuración'!$B$11,0)+IF(Q1942="Sí",'Configuración'!$B$12,0)+S1942+T1942+U1942)</f>
        <v>12</v>
      </c>
      <c r="W1942" s="39" t="str">
        <f>IF(B1942="","",IF(V1942&gt;='Configuración'!$B$19,"A",IF(V1942&gt;='Configuración'!$B$20,"B",IF(V1942&gt;='Configuración'!$B$21,"C","Descarte"))))</f>
        <v>Descarte</v>
      </c>
    </row>
    <row r="1943" ht="15.75" customHeight="1">
      <c r="A1943" s="34">
        <f t="shared" si="1"/>
        <v>1941</v>
      </c>
      <c r="B1943" s="29" t="s">
        <v>120</v>
      </c>
      <c r="C1943" s="29" t="s">
        <v>121</v>
      </c>
      <c r="D1943" s="29" t="s">
        <v>10743</v>
      </c>
      <c r="E1943" s="29" t="s">
        <v>10744</v>
      </c>
      <c r="F1943" s="30" t="s">
        <v>10745</v>
      </c>
      <c r="G1943" s="30" t="s">
        <v>10746</v>
      </c>
      <c r="H1943" s="42" t="s">
        <v>10747</v>
      </c>
      <c r="I1943" s="29" t="s">
        <v>542</v>
      </c>
      <c r="J1943" s="31">
        <v>16.0</v>
      </c>
      <c r="K1943" s="35"/>
      <c r="L1943" s="35"/>
      <c r="M1943" s="35"/>
      <c r="N1943" s="35"/>
      <c r="O1943" s="35"/>
      <c r="P1943" s="35"/>
      <c r="Q1943" s="35"/>
      <c r="R1943" s="35"/>
      <c r="S1943" s="37">
        <f>IF(B1943="","",IF(ISNUMBER(J1943),IF(J1943&lt;=10,'Configuración'!$B$23,IF(J1943&lt;=50,'Configuración'!$B$24,IF(J1943&lt;=200,'Configuración'!$B$25,0))),0))</f>
        <v>4</v>
      </c>
      <c r="T1943" s="37">
        <f>IF(B1943="","",IF(ISNUMBER(SEARCH("information technology",I1943))+ISNUMBER(SEARCH("software",I1943))+ISNUMBER(SEARCH("internet",I1943))+ISNUMBER(SEARCH("computer",I1943))+ISNUMBER(SEARCH("saas",I1943))+ISNUMBER(SEARCH("fintech",I1943))+ISNUMBER(SEARCH("information services",I1943))+ISNUMBER(SEARCH("telecommunications",I1943))&gt;0,'Configuración'!$B$27,'Configuración'!$B$28))</f>
        <v>4</v>
      </c>
      <c r="U1943" s="25">
        <f>IF(B1943="","",IF(ISNUMBER(SEARCH("CEO",C1943))+ISNUMBER(SEARCH("Founder",C1943))+ISNUMBER(SEARCH("Owner",C1943))+ISNUMBER(SEARCH("Dueño",C1943))+ISNUMBER(SEARCH("Director General",C1943))+ISNUMBER(SEARCH("Presidente",C1943))+ISNUMBER(SEARCH("President",C1943))&gt;0,'Configuración'!$B$31,IF(ISNUMBER(SEARCH("CMO",C1943))+ISNUMBER(SEARCH("Chief Marketing",C1943))+ISNUMBER(SEARCH("VP Marketing",C1943))+ISNUMBER(SEARCH("Director de Marketing",C1943))+ISNUMBER(SEARCH("Director Marketing",C1943))+ISNUMBER(SEARCH("Head of Marketing",C1943))+ISNUMBER(SEARCH("Head Marketing",C1943))&gt;0,'Configuración'!$B$32,IF(ISNUMBER(SEARCH("Marketing Manager",C1943))+ISNUMBER(SEARCH("Gerente de Marketing",C1943))+ISNUMBER(SEARCH("Growth Manager",C1943))+ISNUMBER(SEARCH("Demand Gen",C1943))+ISNUMBER(SEARCH("Marketing Lead",C1943))&gt;0,'Configuración'!$B$33,IF(ISNUMBER(SEARCH("COO",C1943))+ISNUMBER(SEARCH("CFO",C1943))+ISNUMBER(SEARCH("CTO",C1943))+ISNUMBER(SEARCH("Chief Operating",C1943))+ISNUMBER(SEARCH("Chief Financial",C1943))+ISNUMBER(SEARCH("Gerente General",C1943))+ISNUMBER(SEARCH("General Manager",C1943))&gt;0,'Configuración'!$B$34,'Configuración'!$B$35)))))</f>
        <v>12</v>
      </c>
      <c r="V1943" s="38">
        <f>IF(B1943="","",IF(K1943="Sí",'Configuración'!$B$5,0)+IF(L1943="Semanal",'Configuración'!$B$6,IF(L1943="Mensual",'Configuración'!$B$7,0))+IF(M1943="Sí",'Configuración'!$B$8,0)+IF(N1943="Sí",'Configuración'!$B$9,0)+IF(O1943="Sí",'Configuración'!$B$10,0)+IF(P1943="Sí",'Configuración'!$B$11,0)+IF(Q1943="Sí",'Configuración'!$B$12,0)+S1943+T1943+U1943)</f>
        <v>20</v>
      </c>
      <c r="W1943" s="39" t="str">
        <f>IF(B1943="","",IF(V1943&gt;='Configuración'!$B$19,"A",IF(V1943&gt;='Configuración'!$B$20,"B",IF(V1943&gt;='Configuración'!$B$21,"C","Descarte"))))</f>
        <v>Descarte</v>
      </c>
    </row>
    <row r="1944" ht="15.75" customHeight="1">
      <c r="A1944" s="34">
        <f t="shared" si="1"/>
        <v>1942</v>
      </c>
      <c r="B1944" s="29" t="s">
        <v>10748</v>
      </c>
      <c r="C1944" s="29" t="s">
        <v>131</v>
      </c>
      <c r="D1944" s="29" t="s">
        <v>10749</v>
      </c>
      <c r="E1944" s="29" t="s">
        <v>10750</v>
      </c>
      <c r="F1944" s="30" t="s">
        <v>10751</v>
      </c>
      <c r="G1944" s="30" t="s">
        <v>10752</v>
      </c>
      <c r="H1944" s="42" t="s">
        <v>10753</v>
      </c>
      <c r="I1944" s="29" t="s">
        <v>188</v>
      </c>
      <c r="J1944" s="31">
        <v>34.0</v>
      </c>
      <c r="K1944" s="35"/>
      <c r="L1944" s="35"/>
      <c r="M1944" s="35"/>
      <c r="N1944" s="35"/>
      <c r="O1944" s="35"/>
      <c r="P1944" s="35"/>
      <c r="Q1944" s="35"/>
      <c r="R1944" s="35"/>
      <c r="S1944" s="37">
        <f>IF(B1944="","",IF(ISNUMBER(J1944),IF(J1944&lt;=10,'Configuración'!$B$23,IF(J1944&lt;=50,'Configuración'!$B$24,IF(J1944&lt;=200,'Configuración'!$B$25,0))),0))</f>
        <v>4</v>
      </c>
      <c r="T1944" s="37">
        <f>IF(B1944="","",IF(ISNUMBER(SEARCH("information technology",I1944))+ISNUMBER(SEARCH("software",I1944))+ISNUMBER(SEARCH("internet",I1944))+ISNUMBER(SEARCH("computer",I1944))+ISNUMBER(SEARCH("saas",I1944))+ISNUMBER(SEARCH("fintech",I1944))+ISNUMBER(SEARCH("information services",I1944))+ISNUMBER(SEARCH("telecommunications",I1944))&gt;0,'Configuración'!$B$27,'Configuración'!$B$28))</f>
        <v>4</v>
      </c>
      <c r="U1944" s="25">
        <f>IF(B1944="","",IF(ISNUMBER(SEARCH("CEO",C1944))+ISNUMBER(SEARCH("Founder",C1944))+ISNUMBER(SEARCH("Owner",C1944))+ISNUMBER(SEARCH("Dueño",C1944))+ISNUMBER(SEARCH("Director General",C1944))+ISNUMBER(SEARCH("Presidente",C1944))+ISNUMBER(SEARCH("President",C1944))&gt;0,'Configuración'!$B$31,IF(ISNUMBER(SEARCH("CMO",C1944))+ISNUMBER(SEARCH("Chief Marketing",C1944))+ISNUMBER(SEARCH("VP Marketing",C1944))+ISNUMBER(SEARCH("Director de Marketing",C1944))+ISNUMBER(SEARCH("Director Marketing",C1944))+ISNUMBER(SEARCH("Head of Marketing",C1944))+ISNUMBER(SEARCH("Head Marketing",C1944))&gt;0,'Configuración'!$B$32,IF(ISNUMBER(SEARCH("Marketing Manager",C1944))+ISNUMBER(SEARCH("Gerente de Marketing",C1944))+ISNUMBER(SEARCH("Growth Manager",C1944))+ISNUMBER(SEARCH("Demand Gen",C1944))+ISNUMBER(SEARCH("Marketing Lead",C1944))&gt;0,'Configuración'!$B$33,IF(ISNUMBER(SEARCH("COO",C1944))+ISNUMBER(SEARCH("CFO",C1944))+ISNUMBER(SEARCH("CTO",C1944))+ISNUMBER(SEARCH("Chief Operating",C1944))+ISNUMBER(SEARCH("Chief Financial",C1944))+ISNUMBER(SEARCH("Gerente General",C1944))+ISNUMBER(SEARCH("General Manager",C1944))&gt;0,'Configuración'!$B$34,'Configuración'!$B$35)))))</f>
        <v>12</v>
      </c>
      <c r="V1944" s="38">
        <f>IF(B1944="","",IF(K1944="Sí",'Configuración'!$B$5,0)+IF(L1944="Semanal",'Configuración'!$B$6,IF(L1944="Mensual",'Configuración'!$B$7,0))+IF(M1944="Sí",'Configuración'!$B$8,0)+IF(N1944="Sí",'Configuración'!$B$9,0)+IF(O1944="Sí",'Configuración'!$B$10,0)+IF(P1944="Sí",'Configuración'!$B$11,0)+IF(Q1944="Sí",'Configuración'!$B$12,0)+S1944+T1944+U1944)</f>
        <v>20</v>
      </c>
      <c r="W1944" s="39" t="str">
        <f>IF(B1944="","",IF(V1944&gt;='Configuración'!$B$19,"A",IF(V1944&gt;='Configuración'!$B$20,"B",IF(V1944&gt;='Configuración'!$B$21,"C","Descarte"))))</f>
        <v>Descarte</v>
      </c>
    </row>
    <row r="1945" ht="15.75" customHeight="1">
      <c r="A1945" s="34">
        <f t="shared" si="1"/>
        <v>1943</v>
      </c>
      <c r="B1945" s="29" t="s">
        <v>3560</v>
      </c>
      <c r="C1945" s="29" t="s">
        <v>131</v>
      </c>
      <c r="D1945" s="29" t="s">
        <v>10754</v>
      </c>
      <c r="E1945" s="29" t="s">
        <v>10755</v>
      </c>
      <c r="F1945" s="30" t="s">
        <v>10756</v>
      </c>
      <c r="G1945" s="30" t="s">
        <v>10757</v>
      </c>
      <c r="H1945" s="42" t="s">
        <v>10758</v>
      </c>
      <c r="I1945" s="29" t="s">
        <v>116</v>
      </c>
      <c r="J1945" s="31">
        <v>24.0</v>
      </c>
      <c r="K1945" s="35"/>
      <c r="L1945" s="35"/>
      <c r="M1945" s="35"/>
      <c r="N1945" s="35"/>
      <c r="O1945" s="35"/>
      <c r="P1945" s="35"/>
      <c r="Q1945" s="35"/>
      <c r="R1945" s="35"/>
      <c r="S1945" s="37">
        <f>IF(B1945="","",IF(ISNUMBER(J1945),IF(J1945&lt;=10,'Configuración'!$B$23,IF(J1945&lt;=50,'Configuración'!$B$24,IF(J1945&lt;=200,'Configuración'!$B$25,0))),0))</f>
        <v>4</v>
      </c>
      <c r="T1945" s="37">
        <f>IF(B1945="","",IF(ISNUMBER(SEARCH("information technology",I1945))+ISNUMBER(SEARCH("software",I1945))+ISNUMBER(SEARCH("internet",I1945))+ISNUMBER(SEARCH("computer",I1945))+ISNUMBER(SEARCH("saas",I1945))+ISNUMBER(SEARCH("fintech",I1945))+ISNUMBER(SEARCH("information services",I1945))+ISNUMBER(SEARCH("telecommunications",I1945))&gt;0,'Configuración'!$B$27,'Configuración'!$B$28))</f>
        <v>4</v>
      </c>
      <c r="U1945" s="25">
        <f>IF(B1945="","",IF(ISNUMBER(SEARCH("CEO",C1945))+ISNUMBER(SEARCH("Founder",C1945))+ISNUMBER(SEARCH("Owner",C1945))+ISNUMBER(SEARCH("Dueño",C1945))+ISNUMBER(SEARCH("Director General",C1945))+ISNUMBER(SEARCH("Presidente",C1945))+ISNUMBER(SEARCH("President",C1945))&gt;0,'Configuración'!$B$31,IF(ISNUMBER(SEARCH("CMO",C1945))+ISNUMBER(SEARCH("Chief Marketing",C1945))+ISNUMBER(SEARCH("VP Marketing",C1945))+ISNUMBER(SEARCH("Director de Marketing",C1945))+ISNUMBER(SEARCH("Director Marketing",C1945))+ISNUMBER(SEARCH("Head of Marketing",C1945))+ISNUMBER(SEARCH("Head Marketing",C1945))&gt;0,'Configuración'!$B$32,IF(ISNUMBER(SEARCH("Marketing Manager",C1945))+ISNUMBER(SEARCH("Gerente de Marketing",C1945))+ISNUMBER(SEARCH("Growth Manager",C1945))+ISNUMBER(SEARCH("Demand Gen",C1945))+ISNUMBER(SEARCH("Marketing Lead",C1945))&gt;0,'Configuración'!$B$33,IF(ISNUMBER(SEARCH("COO",C1945))+ISNUMBER(SEARCH("CFO",C1945))+ISNUMBER(SEARCH("CTO",C1945))+ISNUMBER(SEARCH("Chief Operating",C1945))+ISNUMBER(SEARCH("Chief Financial",C1945))+ISNUMBER(SEARCH("Gerente General",C1945))+ISNUMBER(SEARCH("General Manager",C1945))&gt;0,'Configuración'!$B$34,'Configuración'!$B$35)))))</f>
        <v>12</v>
      </c>
      <c r="V1945" s="38">
        <f>IF(B1945="","",IF(K1945="Sí",'Configuración'!$B$5,0)+IF(L1945="Semanal",'Configuración'!$B$6,IF(L1945="Mensual",'Configuración'!$B$7,0))+IF(M1945="Sí",'Configuración'!$B$8,0)+IF(N1945="Sí",'Configuración'!$B$9,0)+IF(O1945="Sí",'Configuración'!$B$10,0)+IF(P1945="Sí",'Configuración'!$B$11,0)+IF(Q1945="Sí",'Configuración'!$B$12,0)+S1945+T1945+U1945)</f>
        <v>20</v>
      </c>
      <c r="W1945" s="39" t="str">
        <f>IF(B1945="","",IF(V1945&gt;='Configuración'!$B$19,"A",IF(V1945&gt;='Configuración'!$B$20,"B",IF(V1945&gt;='Configuración'!$B$21,"C","Descarte"))))</f>
        <v>Descarte</v>
      </c>
    </row>
    <row r="1946" ht="15.75" customHeight="1">
      <c r="A1946" s="34">
        <f t="shared" si="1"/>
        <v>1944</v>
      </c>
      <c r="B1946" s="29" t="s">
        <v>1882</v>
      </c>
      <c r="C1946" s="29" t="s">
        <v>318</v>
      </c>
      <c r="D1946" s="29" t="s">
        <v>10759</v>
      </c>
      <c r="E1946" s="29" t="s">
        <v>10760</v>
      </c>
      <c r="F1946" s="30" t="s">
        <v>10761</v>
      </c>
      <c r="G1946" s="30" t="s">
        <v>10762</v>
      </c>
      <c r="H1946" s="42" t="s">
        <v>10763</v>
      </c>
      <c r="I1946" s="29" t="s">
        <v>116</v>
      </c>
      <c r="J1946" s="31">
        <v>24.0</v>
      </c>
      <c r="K1946" s="35"/>
      <c r="L1946" s="35"/>
      <c r="M1946" s="35"/>
      <c r="N1946" s="35"/>
      <c r="O1946" s="35"/>
      <c r="P1946" s="35"/>
      <c r="Q1946" s="35"/>
      <c r="R1946" s="35"/>
      <c r="S1946" s="37">
        <f>IF(B1946="","",IF(ISNUMBER(J1946),IF(J1946&lt;=10,'Configuración'!$B$23,IF(J1946&lt;=50,'Configuración'!$B$24,IF(J1946&lt;=200,'Configuración'!$B$25,0))),0))</f>
        <v>4</v>
      </c>
      <c r="T1946" s="37">
        <f>IF(B1946="","",IF(ISNUMBER(SEARCH("information technology",I1946))+ISNUMBER(SEARCH("software",I1946))+ISNUMBER(SEARCH("internet",I1946))+ISNUMBER(SEARCH("computer",I1946))+ISNUMBER(SEARCH("saas",I1946))+ISNUMBER(SEARCH("fintech",I1946))+ISNUMBER(SEARCH("information services",I1946))+ISNUMBER(SEARCH("telecommunications",I1946))&gt;0,'Configuración'!$B$27,'Configuración'!$B$28))</f>
        <v>4</v>
      </c>
      <c r="U1946" s="25">
        <f>IF(B1946="","",IF(ISNUMBER(SEARCH("CEO",C1946))+ISNUMBER(SEARCH("Founder",C1946))+ISNUMBER(SEARCH("Owner",C1946))+ISNUMBER(SEARCH("Dueño",C1946))+ISNUMBER(SEARCH("Director General",C1946))+ISNUMBER(SEARCH("Presidente",C1946))+ISNUMBER(SEARCH("President",C1946))&gt;0,'Configuración'!$B$31,IF(ISNUMBER(SEARCH("CMO",C1946))+ISNUMBER(SEARCH("Chief Marketing",C1946))+ISNUMBER(SEARCH("VP Marketing",C1946))+ISNUMBER(SEARCH("Director de Marketing",C1946))+ISNUMBER(SEARCH("Director Marketing",C1946))+ISNUMBER(SEARCH("Head of Marketing",C1946))+ISNUMBER(SEARCH("Head Marketing",C1946))&gt;0,'Configuración'!$B$32,IF(ISNUMBER(SEARCH("Marketing Manager",C1946))+ISNUMBER(SEARCH("Gerente de Marketing",C1946))+ISNUMBER(SEARCH("Growth Manager",C1946))+ISNUMBER(SEARCH("Demand Gen",C1946))+ISNUMBER(SEARCH("Marketing Lead",C1946))&gt;0,'Configuración'!$B$33,IF(ISNUMBER(SEARCH("COO",C1946))+ISNUMBER(SEARCH("CFO",C1946))+ISNUMBER(SEARCH("CTO",C1946))+ISNUMBER(SEARCH("Chief Operating",C1946))+ISNUMBER(SEARCH("Chief Financial",C1946))+ISNUMBER(SEARCH("Gerente General",C1946))+ISNUMBER(SEARCH("General Manager",C1946))&gt;0,'Configuración'!$B$34,'Configuración'!$B$35)))))</f>
        <v>4</v>
      </c>
      <c r="V1946" s="38">
        <f>IF(B1946="","",IF(K1946="Sí",'Configuración'!$B$5,0)+IF(L1946="Semanal",'Configuración'!$B$6,IF(L1946="Mensual",'Configuración'!$B$7,0))+IF(M1946="Sí",'Configuración'!$B$8,0)+IF(N1946="Sí",'Configuración'!$B$9,0)+IF(O1946="Sí",'Configuración'!$B$10,0)+IF(P1946="Sí",'Configuración'!$B$11,0)+IF(Q1946="Sí",'Configuración'!$B$12,0)+S1946+T1946+U1946)</f>
        <v>12</v>
      </c>
      <c r="W1946" s="39" t="str">
        <f>IF(B1946="","",IF(V1946&gt;='Configuración'!$B$19,"A",IF(V1946&gt;='Configuración'!$B$20,"B",IF(V1946&gt;='Configuración'!$B$21,"C","Descarte"))))</f>
        <v>Descarte</v>
      </c>
    </row>
    <row r="1947" ht="15.75" customHeight="1">
      <c r="A1947" s="34">
        <f t="shared" si="1"/>
        <v>1945</v>
      </c>
      <c r="B1947" s="29" t="s">
        <v>1510</v>
      </c>
      <c r="C1947" s="29" t="s">
        <v>131</v>
      </c>
      <c r="D1947" s="29" t="s">
        <v>10764</v>
      </c>
      <c r="E1947" s="29" t="s">
        <v>10765</v>
      </c>
      <c r="F1947" s="30" t="s">
        <v>10766</v>
      </c>
      <c r="G1947" s="30" t="s">
        <v>10767</v>
      </c>
      <c r="H1947" s="42" t="s">
        <v>10768</v>
      </c>
      <c r="I1947" s="29" t="s">
        <v>137</v>
      </c>
      <c r="J1947" s="31">
        <v>26.0</v>
      </c>
      <c r="K1947" s="35"/>
      <c r="L1947" s="35"/>
      <c r="M1947" s="35"/>
      <c r="N1947" s="35"/>
      <c r="O1947" s="35"/>
      <c r="P1947" s="35"/>
      <c r="Q1947" s="35"/>
      <c r="R1947" s="35"/>
      <c r="S1947" s="37">
        <f>IF(B1947="","",IF(ISNUMBER(J1947),IF(J1947&lt;=10,'Configuración'!$B$23,IF(J1947&lt;=50,'Configuración'!$B$24,IF(J1947&lt;=200,'Configuración'!$B$25,0))),0))</f>
        <v>4</v>
      </c>
      <c r="T1947" s="37">
        <f>IF(B1947="","",IF(ISNUMBER(SEARCH("information technology",I1947))+ISNUMBER(SEARCH("software",I1947))+ISNUMBER(SEARCH("internet",I1947))+ISNUMBER(SEARCH("computer",I1947))+ISNUMBER(SEARCH("saas",I1947))+ISNUMBER(SEARCH("fintech",I1947))+ISNUMBER(SEARCH("information services",I1947))+ISNUMBER(SEARCH("telecommunications",I1947))&gt;0,'Configuración'!$B$27,'Configuración'!$B$28))</f>
        <v>4</v>
      </c>
      <c r="U1947" s="25">
        <f>IF(B1947="","",IF(ISNUMBER(SEARCH("CEO",C1947))+ISNUMBER(SEARCH("Founder",C1947))+ISNUMBER(SEARCH("Owner",C1947))+ISNUMBER(SEARCH("Dueño",C1947))+ISNUMBER(SEARCH("Director General",C1947))+ISNUMBER(SEARCH("Presidente",C1947))+ISNUMBER(SEARCH("President",C1947))&gt;0,'Configuración'!$B$31,IF(ISNUMBER(SEARCH("CMO",C1947))+ISNUMBER(SEARCH("Chief Marketing",C1947))+ISNUMBER(SEARCH("VP Marketing",C1947))+ISNUMBER(SEARCH("Director de Marketing",C1947))+ISNUMBER(SEARCH("Director Marketing",C1947))+ISNUMBER(SEARCH("Head of Marketing",C1947))+ISNUMBER(SEARCH("Head Marketing",C1947))&gt;0,'Configuración'!$B$32,IF(ISNUMBER(SEARCH("Marketing Manager",C1947))+ISNUMBER(SEARCH("Gerente de Marketing",C1947))+ISNUMBER(SEARCH("Growth Manager",C1947))+ISNUMBER(SEARCH("Demand Gen",C1947))+ISNUMBER(SEARCH("Marketing Lead",C1947))&gt;0,'Configuración'!$B$33,IF(ISNUMBER(SEARCH("COO",C1947))+ISNUMBER(SEARCH("CFO",C1947))+ISNUMBER(SEARCH("CTO",C1947))+ISNUMBER(SEARCH("Chief Operating",C1947))+ISNUMBER(SEARCH("Chief Financial",C1947))+ISNUMBER(SEARCH("Gerente General",C1947))+ISNUMBER(SEARCH("General Manager",C1947))&gt;0,'Configuración'!$B$34,'Configuración'!$B$35)))))</f>
        <v>12</v>
      </c>
      <c r="V1947" s="38">
        <f>IF(B1947="","",IF(K1947="Sí",'Configuración'!$B$5,0)+IF(L1947="Semanal",'Configuración'!$B$6,IF(L1947="Mensual",'Configuración'!$B$7,0))+IF(M1947="Sí",'Configuración'!$B$8,0)+IF(N1947="Sí",'Configuración'!$B$9,0)+IF(O1947="Sí",'Configuración'!$B$10,0)+IF(P1947="Sí",'Configuración'!$B$11,0)+IF(Q1947="Sí",'Configuración'!$B$12,0)+S1947+T1947+U1947)</f>
        <v>20</v>
      </c>
      <c r="W1947" s="39" t="str">
        <f>IF(B1947="","",IF(V1947&gt;='Configuración'!$B$19,"A",IF(V1947&gt;='Configuración'!$B$20,"B",IF(V1947&gt;='Configuración'!$B$21,"C","Descarte"))))</f>
        <v>Descarte</v>
      </c>
    </row>
    <row r="1948" ht="15.75" customHeight="1">
      <c r="A1948" s="34">
        <f t="shared" si="1"/>
        <v>1946</v>
      </c>
      <c r="B1948" s="29" t="s">
        <v>209</v>
      </c>
      <c r="C1948" s="29" t="s">
        <v>10769</v>
      </c>
      <c r="D1948" s="29" t="s">
        <v>10770</v>
      </c>
      <c r="E1948" s="29" t="s">
        <v>10771</v>
      </c>
      <c r="F1948" s="30" t="s">
        <v>10772</v>
      </c>
      <c r="G1948" s="30" t="s">
        <v>10773</v>
      </c>
      <c r="H1948" s="42" t="s">
        <v>10774</v>
      </c>
      <c r="I1948" s="29" t="s">
        <v>137</v>
      </c>
      <c r="J1948" s="31">
        <v>27.0</v>
      </c>
      <c r="K1948" s="35"/>
      <c r="L1948" s="35"/>
      <c r="M1948" s="35"/>
      <c r="N1948" s="35"/>
      <c r="O1948" s="35"/>
      <c r="P1948" s="35"/>
      <c r="Q1948" s="35"/>
      <c r="R1948" s="35"/>
      <c r="S1948" s="37">
        <f>IF(B1948="","",IF(ISNUMBER(J1948),IF(J1948&lt;=10,'Configuración'!$B$23,IF(J1948&lt;=50,'Configuración'!$B$24,IF(J1948&lt;=200,'Configuración'!$B$25,0))),0))</f>
        <v>4</v>
      </c>
      <c r="T1948" s="37">
        <f>IF(B1948="","",IF(ISNUMBER(SEARCH("information technology",I1948))+ISNUMBER(SEARCH("software",I1948))+ISNUMBER(SEARCH("internet",I1948))+ISNUMBER(SEARCH("computer",I1948))+ISNUMBER(SEARCH("saas",I1948))+ISNUMBER(SEARCH("fintech",I1948))+ISNUMBER(SEARCH("information services",I1948))+ISNUMBER(SEARCH("telecommunications",I1948))&gt;0,'Configuración'!$B$27,'Configuración'!$B$28))</f>
        <v>4</v>
      </c>
      <c r="U1948" s="25">
        <f>IF(B1948="","",IF(ISNUMBER(SEARCH("CEO",C1948))+ISNUMBER(SEARCH("Founder",C1948))+ISNUMBER(SEARCH("Owner",C1948))+ISNUMBER(SEARCH("Dueño",C1948))+ISNUMBER(SEARCH("Director General",C1948))+ISNUMBER(SEARCH("Presidente",C1948))+ISNUMBER(SEARCH("President",C1948))&gt;0,'Configuración'!$B$31,IF(ISNUMBER(SEARCH("CMO",C1948))+ISNUMBER(SEARCH("Chief Marketing",C1948))+ISNUMBER(SEARCH("VP Marketing",C1948))+ISNUMBER(SEARCH("Director de Marketing",C1948))+ISNUMBER(SEARCH("Director Marketing",C1948))+ISNUMBER(SEARCH("Head of Marketing",C1948))+ISNUMBER(SEARCH("Head Marketing",C1948))&gt;0,'Configuración'!$B$32,IF(ISNUMBER(SEARCH("Marketing Manager",C1948))+ISNUMBER(SEARCH("Gerente de Marketing",C1948))+ISNUMBER(SEARCH("Growth Manager",C1948))+ISNUMBER(SEARCH("Demand Gen",C1948))+ISNUMBER(SEARCH("Marketing Lead",C1948))&gt;0,'Configuración'!$B$33,IF(ISNUMBER(SEARCH("COO",C1948))+ISNUMBER(SEARCH("CFO",C1948))+ISNUMBER(SEARCH("CTO",C1948))+ISNUMBER(SEARCH("Chief Operating",C1948))+ISNUMBER(SEARCH("Chief Financial",C1948))+ISNUMBER(SEARCH("Gerente General",C1948))+ISNUMBER(SEARCH("General Manager",C1948))&gt;0,'Configuración'!$B$34,'Configuración'!$B$35)))))</f>
        <v>12</v>
      </c>
      <c r="V1948" s="38">
        <f>IF(B1948="","",IF(K1948="Sí",'Configuración'!$B$5,0)+IF(L1948="Semanal",'Configuración'!$B$6,IF(L1948="Mensual",'Configuración'!$B$7,0))+IF(M1948="Sí",'Configuración'!$B$8,0)+IF(N1948="Sí",'Configuración'!$B$9,0)+IF(O1948="Sí",'Configuración'!$B$10,0)+IF(P1948="Sí",'Configuración'!$B$11,0)+IF(Q1948="Sí",'Configuración'!$B$12,0)+S1948+T1948+U1948)</f>
        <v>20</v>
      </c>
      <c r="W1948" s="39" t="str">
        <f>IF(B1948="","",IF(V1948&gt;='Configuración'!$B$19,"A",IF(V1948&gt;='Configuración'!$B$20,"B",IF(V1948&gt;='Configuración'!$B$21,"C","Descarte"))))</f>
        <v>Descarte</v>
      </c>
    </row>
    <row r="1949" ht="15.75" customHeight="1">
      <c r="A1949" s="34">
        <f t="shared" si="1"/>
        <v>1947</v>
      </c>
      <c r="B1949" s="29" t="s">
        <v>10775</v>
      </c>
      <c r="C1949" s="29" t="s">
        <v>131</v>
      </c>
      <c r="D1949" s="29" t="s">
        <v>10776</v>
      </c>
      <c r="E1949" s="29" t="s">
        <v>10777</v>
      </c>
      <c r="F1949" s="30" t="s">
        <v>10778</v>
      </c>
      <c r="G1949" s="30" t="s">
        <v>10779</v>
      </c>
      <c r="H1949" s="42" t="s">
        <v>10780</v>
      </c>
      <c r="I1949" s="29" t="s">
        <v>946</v>
      </c>
      <c r="J1949" s="31">
        <v>14.0</v>
      </c>
      <c r="K1949" s="35"/>
      <c r="L1949" s="35"/>
      <c r="M1949" s="35"/>
      <c r="N1949" s="35"/>
      <c r="O1949" s="35"/>
      <c r="P1949" s="35"/>
      <c r="Q1949" s="35"/>
      <c r="R1949" s="35"/>
      <c r="S1949" s="37">
        <f>IF(B1949="","",IF(ISNUMBER(J1949),IF(J1949&lt;=10,'Configuración'!$B$23,IF(J1949&lt;=50,'Configuración'!$B$24,IF(J1949&lt;=200,'Configuración'!$B$25,0))),0))</f>
        <v>4</v>
      </c>
      <c r="T1949" s="37">
        <f>IF(B1949="","",IF(ISNUMBER(SEARCH("information technology",I1949))+ISNUMBER(SEARCH("software",I1949))+ISNUMBER(SEARCH("internet",I1949))+ISNUMBER(SEARCH("computer",I1949))+ISNUMBER(SEARCH("saas",I1949))+ISNUMBER(SEARCH("fintech",I1949))+ISNUMBER(SEARCH("information services",I1949))+ISNUMBER(SEARCH("telecommunications",I1949))&gt;0,'Configuración'!$B$27,'Configuración'!$B$28))</f>
        <v>4</v>
      </c>
      <c r="U1949" s="25">
        <f>IF(B1949="","",IF(ISNUMBER(SEARCH("CEO",C1949))+ISNUMBER(SEARCH("Founder",C1949))+ISNUMBER(SEARCH("Owner",C1949))+ISNUMBER(SEARCH("Dueño",C1949))+ISNUMBER(SEARCH("Director General",C1949))+ISNUMBER(SEARCH("Presidente",C1949))+ISNUMBER(SEARCH("President",C1949))&gt;0,'Configuración'!$B$31,IF(ISNUMBER(SEARCH("CMO",C1949))+ISNUMBER(SEARCH("Chief Marketing",C1949))+ISNUMBER(SEARCH("VP Marketing",C1949))+ISNUMBER(SEARCH("Director de Marketing",C1949))+ISNUMBER(SEARCH("Director Marketing",C1949))+ISNUMBER(SEARCH("Head of Marketing",C1949))+ISNUMBER(SEARCH("Head Marketing",C1949))&gt;0,'Configuración'!$B$32,IF(ISNUMBER(SEARCH("Marketing Manager",C1949))+ISNUMBER(SEARCH("Gerente de Marketing",C1949))+ISNUMBER(SEARCH("Growth Manager",C1949))+ISNUMBER(SEARCH("Demand Gen",C1949))+ISNUMBER(SEARCH("Marketing Lead",C1949))&gt;0,'Configuración'!$B$33,IF(ISNUMBER(SEARCH("COO",C1949))+ISNUMBER(SEARCH("CFO",C1949))+ISNUMBER(SEARCH("CTO",C1949))+ISNUMBER(SEARCH("Chief Operating",C1949))+ISNUMBER(SEARCH("Chief Financial",C1949))+ISNUMBER(SEARCH("Gerente General",C1949))+ISNUMBER(SEARCH("General Manager",C1949))&gt;0,'Configuración'!$B$34,'Configuración'!$B$35)))))</f>
        <v>12</v>
      </c>
      <c r="V1949" s="38">
        <f>IF(B1949="","",IF(K1949="Sí",'Configuración'!$B$5,0)+IF(L1949="Semanal",'Configuración'!$B$6,IF(L1949="Mensual",'Configuración'!$B$7,0))+IF(M1949="Sí",'Configuración'!$B$8,0)+IF(N1949="Sí",'Configuración'!$B$9,0)+IF(O1949="Sí",'Configuración'!$B$10,0)+IF(P1949="Sí",'Configuración'!$B$11,0)+IF(Q1949="Sí",'Configuración'!$B$12,0)+S1949+T1949+U1949)</f>
        <v>20</v>
      </c>
      <c r="W1949" s="39" t="str">
        <f>IF(B1949="","",IF(V1949&gt;='Configuración'!$B$19,"A",IF(V1949&gt;='Configuración'!$B$20,"B",IF(V1949&gt;='Configuración'!$B$21,"C","Descarte"))))</f>
        <v>Descarte</v>
      </c>
    </row>
    <row r="1950" ht="15.75" customHeight="1">
      <c r="A1950" s="34">
        <f t="shared" si="1"/>
        <v>1948</v>
      </c>
      <c r="B1950" s="29" t="s">
        <v>1821</v>
      </c>
      <c r="C1950" s="29" t="s">
        <v>131</v>
      </c>
      <c r="D1950" s="29" t="s">
        <v>10781</v>
      </c>
      <c r="E1950" s="29" t="s">
        <v>10782</v>
      </c>
      <c r="F1950" s="30" t="s">
        <v>10783</v>
      </c>
      <c r="G1950" s="30" t="s">
        <v>10784</v>
      </c>
      <c r="H1950" s="42" t="s">
        <v>10785</v>
      </c>
      <c r="I1950" s="29" t="s">
        <v>1034</v>
      </c>
      <c r="J1950" s="31">
        <v>16.0</v>
      </c>
      <c r="K1950" s="35"/>
      <c r="L1950" s="35"/>
      <c r="M1950" s="35"/>
      <c r="N1950" s="35"/>
      <c r="O1950" s="35"/>
      <c r="P1950" s="35"/>
      <c r="Q1950" s="35"/>
      <c r="R1950" s="35"/>
      <c r="S1950" s="37">
        <f>IF(B1950="","",IF(ISNUMBER(J1950),IF(J1950&lt;=10,'Configuración'!$B$23,IF(J1950&lt;=50,'Configuración'!$B$24,IF(J1950&lt;=200,'Configuración'!$B$25,0))),0))</f>
        <v>4</v>
      </c>
      <c r="T1950" s="37">
        <f>IF(B1950="","",IF(ISNUMBER(SEARCH("information technology",I1950))+ISNUMBER(SEARCH("software",I1950))+ISNUMBER(SEARCH("internet",I1950))+ISNUMBER(SEARCH("computer",I1950))+ISNUMBER(SEARCH("saas",I1950))+ISNUMBER(SEARCH("fintech",I1950))+ISNUMBER(SEARCH("information services",I1950))+ISNUMBER(SEARCH("telecommunications",I1950))&gt;0,'Configuración'!$B$27,'Configuración'!$B$28))</f>
        <v>4</v>
      </c>
      <c r="U1950" s="25">
        <f>IF(B1950="","",IF(ISNUMBER(SEARCH("CEO",C1950))+ISNUMBER(SEARCH("Founder",C1950))+ISNUMBER(SEARCH("Owner",C1950))+ISNUMBER(SEARCH("Dueño",C1950))+ISNUMBER(SEARCH("Director General",C1950))+ISNUMBER(SEARCH("Presidente",C1950))+ISNUMBER(SEARCH("President",C1950))&gt;0,'Configuración'!$B$31,IF(ISNUMBER(SEARCH("CMO",C1950))+ISNUMBER(SEARCH("Chief Marketing",C1950))+ISNUMBER(SEARCH("VP Marketing",C1950))+ISNUMBER(SEARCH("Director de Marketing",C1950))+ISNUMBER(SEARCH("Director Marketing",C1950))+ISNUMBER(SEARCH("Head of Marketing",C1950))+ISNUMBER(SEARCH("Head Marketing",C1950))&gt;0,'Configuración'!$B$32,IF(ISNUMBER(SEARCH("Marketing Manager",C1950))+ISNUMBER(SEARCH("Gerente de Marketing",C1950))+ISNUMBER(SEARCH("Growth Manager",C1950))+ISNUMBER(SEARCH("Demand Gen",C1950))+ISNUMBER(SEARCH("Marketing Lead",C1950))&gt;0,'Configuración'!$B$33,IF(ISNUMBER(SEARCH("COO",C1950))+ISNUMBER(SEARCH("CFO",C1950))+ISNUMBER(SEARCH("CTO",C1950))+ISNUMBER(SEARCH("Chief Operating",C1950))+ISNUMBER(SEARCH("Chief Financial",C1950))+ISNUMBER(SEARCH("Gerente General",C1950))+ISNUMBER(SEARCH("General Manager",C1950))&gt;0,'Configuración'!$B$34,'Configuración'!$B$35)))))</f>
        <v>12</v>
      </c>
      <c r="V1950" s="38">
        <f>IF(B1950="","",IF(K1950="Sí",'Configuración'!$B$5,0)+IF(L1950="Semanal",'Configuración'!$B$6,IF(L1950="Mensual",'Configuración'!$B$7,0))+IF(M1950="Sí",'Configuración'!$B$8,0)+IF(N1950="Sí",'Configuración'!$B$9,0)+IF(O1950="Sí",'Configuración'!$B$10,0)+IF(P1950="Sí",'Configuración'!$B$11,0)+IF(Q1950="Sí",'Configuración'!$B$12,0)+S1950+T1950+U1950)</f>
        <v>20</v>
      </c>
      <c r="W1950" s="39" t="str">
        <f>IF(B1950="","",IF(V1950&gt;='Configuración'!$B$19,"A",IF(V1950&gt;='Configuración'!$B$20,"B",IF(V1950&gt;='Configuración'!$B$21,"C","Descarte"))))</f>
        <v>Descarte</v>
      </c>
    </row>
    <row r="1951" ht="15.75" customHeight="1">
      <c r="A1951" s="34">
        <f t="shared" si="1"/>
        <v>1949</v>
      </c>
      <c r="B1951" s="29" t="s">
        <v>1072</v>
      </c>
      <c r="C1951" s="29" t="s">
        <v>131</v>
      </c>
      <c r="D1951" s="29" t="s">
        <v>10786</v>
      </c>
      <c r="E1951" s="29" t="s">
        <v>10787</v>
      </c>
      <c r="F1951" s="30" t="s">
        <v>10788</v>
      </c>
      <c r="G1951" s="30" t="s">
        <v>10789</v>
      </c>
      <c r="H1951" s="42" t="s">
        <v>10790</v>
      </c>
      <c r="I1951" s="29" t="s">
        <v>1196</v>
      </c>
      <c r="J1951" s="31">
        <v>13.0</v>
      </c>
      <c r="K1951" s="35"/>
      <c r="L1951" s="35"/>
      <c r="M1951" s="35"/>
      <c r="N1951" s="35"/>
      <c r="O1951" s="35"/>
      <c r="P1951" s="35"/>
      <c r="Q1951" s="35"/>
      <c r="R1951" s="35"/>
      <c r="S1951" s="37">
        <f>IF(B1951="","",IF(ISNUMBER(J1951),IF(J1951&lt;=10,'Configuración'!$B$23,IF(J1951&lt;=50,'Configuración'!$B$24,IF(J1951&lt;=200,'Configuración'!$B$25,0))),0))</f>
        <v>4</v>
      </c>
      <c r="T1951" s="37">
        <f>IF(B1951="","",IF(ISNUMBER(SEARCH("information technology",I1951))+ISNUMBER(SEARCH("software",I1951))+ISNUMBER(SEARCH("internet",I1951))+ISNUMBER(SEARCH("computer",I1951))+ISNUMBER(SEARCH("saas",I1951))+ISNUMBER(SEARCH("fintech",I1951))+ISNUMBER(SEARCH("information services",I1951))+ISNUMBER(SEARCH("telecommunications",I1951))&gt;0,'Configuración'!$B$27,'Configuración'!$B$28))</f>
        <v>4</v>
      </c>
      <c r="U1951" s="25">
        <f>IF(B1951="","",IF(ISNUMBER(SEARCH("CEO",C1951))+ISNUMBER(SEARCH("Founder",C1951))+ISNUMBER(SEARCH("Owner",C1951))+ISNUMBER(SEARCH("Dueño",C1951))+ISNUMBER(SEARCH("Director General",C1951))+ISNUMBER(SEARCH("Presidente",C1951))+ISNUMBER(SEARCH("President",C1951))&gt;0,'Configuración'!$B$31,IF(ISNUMBER(SEARCH("CMO",C1951))+ISNUMBER(SEARCH("Chief Marketing",C1951))+ISNUMBER(SEARCH("VP Marketing",C1951))+ISNUMBER(SEARCH("Director de Marketing",C1951))+ISNUMBER(SEARCH("Director Marketing",C1951))+ISNUMBER(SEARCH("Head of Marketing",C1951))+ISNUMBER(SEARCH("Head Marketing",C1951))&gt;0,'Configuración'!$B$32,IF(ISNUMBER(SEARCH("Marketing Manager",C1951))+ISNUMBER(SEARCH("Gerente de Marketing",C1951))+ISNUMBER(SEARCH("Growth Manager",C1951))+ISNUMBER(SEARCH("Demand Gen",C1951))+ISNUMBER(SEARCH("Marketing Lead",C1951))&gt;0,'Configuración'!$B$33,IF(ISNUMBER(SEARCH("COO",C1951))+ISNUMBER(SEARCH("CFO",C1951))+ISNUMBER(SEARCH("CTO",C1951))+ISNUMBER(SEARCH("Chief Operating",C1951))+ISNUMBER(SEARCH("Chief Financial",C1951))+ISNUMBER(SEARCH("Gerente General",C1951))+ISNUMBER(SEARCH("General Manager",C1951))&gt;0,'Configuración'!$B$34,'Configuración'!$B$35)))))</f>
        <v>12</v>
      </c>
      <c r="V1951" s="38">
        <f>IF(B1951="","",IF(K1951="Sí",'Configuración'!$B$5,0)+IF(L1951="Semanal",'Configuración'!$B$6,IF(L1951="Mensual",'Configuración'!$B$7,0))+IF(M1951="Sí",'Configuración'!$B$8,0)+IF(N1951="Sí",'Configuración'!$B$9,0)+IF(O1951="Sí",'Configuración'!$B$10,0)+IF(P1951="Sí",'Configuración'!$B$11,0)+IF(Q1951="Sí",'Configuración'!$B$12,0)+S1951+T1951+U1951)</f>
        <v>20</v>
      </c>
      <c r="W1951" s="39" t="str">
        <f>IF(B1951="","",IF(V1951&gt;='Configuración'!$B$19,"A",IF(V1951&gt;='Configuración'!$B$20,"B",IF(V1951&gt;='Configuración'!$B$21,"C","Descarte"))))</f>
        <v>Descarte</v>
      </c>
    </row>
    <row r="1952" ht="15.75" customHeight="1">
      <c r="A1952" s="34">
        <f t="shared" si="1"/>
        <v>1950</v>
      </c>
      <c r="B1952" s="29" t="s">
        <v>1778</v>
      </c>
      <c r="C1952" s="29" t="s">
        <v>10791</v>
      </c>
      <c r="D1952" s="29" t="s">
        <v>10792</v>
      </c>
      <c r="E1952" s="29" t="s">
        <v>10793</v>
      </c>
      <c r="F1952" s="30" t="s">
        <v>10794</v>
      </c>
      <c r="G1952" s="30" t="s">
        <v>10795</v>
      </c>
      <c r="H1952" s="42" t="s">
        <v>10796</v>
      </c>
      <c r="I1952" s="29" t="s">
        <v>188</v>
      </c>
      <c r="J1952" s="31">
        <v>1.0</v>
      </c>
      <c r="K1952" s="35"/>
      <c r="L1952" s="35"/>
      <c r="M1952" s="35"/>
      <c r="N1952" s="35"/>
      <c r="O1952" s="35"/>
      <c r="P1952" s="35"/>
      <c r="Q1952" s="35"/>
      <c r="R1952" s="35"/>
      <c r="S1952" s="37">
        <f>IF(B1952="","",IF(ISNUMBER(J1952),IF(J1952&lt;=10,'Configuración'!$B$23,IF(J1952&lt;=50,'Configuración'!$B$24,IF(J1952&lt;=200,'Configuración'!$B$25,0))),0))</f>
        <v>12</v>
      </c>
      <c r="T1952" s="37">
        <f>IF(B1952="","",IF(ISNUMBER(SEARCH("information technology",I1952))+ISNUMBER(SEARCH("software",I1952))+ISNUMBER(SEARCH("internet",I1952))+ISNUMBER(SEARCH("computer",I1952))+ISNUMBER(SEARCH("saas",I1952))+ISNUMBER(SEARCH("fintech",I1952))+ISNUMBER(SEARCH("information services",I1952))+ISNUMBER(SEARCH("telecommunications",I1952))&gt;0,'Configuración'!$B$27,'Configuración'!$B$28))</f>
        <v>4</v>
      </c>
      <c r="U1952" s="25">
        <f>IF(B1952="","",IF(ISNUMBER(SEARCH("CEO",C1952))+ISNUMBER(SEARCH("Founder",C1952))+ISNUMBER(SEARCH("Owner",C1952))+ISNUMBER(SEARCH("Dueño",C1952))+ISNUMBER(SEARCH("Director General",C1952))+ISNUMBER(SEARCH("Presidente",C1952))+ISNUMBER(SEARCH("President",C1952))&gt;0,'Configuración'!$B$31,IF(ISNUMBER(SEARCH("CMO",C1952))+ISNUMBER(SEARCH("Chief Marketing",C1952))+ISNUMBER(SEARCH("VP Marketing",C1952))+ISNUMBER(SEARCH("Director de Marketing",C1952))+ISNUMBER(SEARCH("Director Marketing",C1952))+ISNUMBER(SEARCH("Head of Marketing",C1952))+ISNUMBER(SEARCH("Head Marketing",C1952))&gt;0,'Configuración'!$B$32,IF(ISNUMBER(SEARCH("Marketing Manager",C1952))+ISNUMBER(SEARCH("Gerente de Marketing",C1952))+ISNUMBER(SEARCH("Growth Manager",C1952))+ISNUMBER(SEARCH("Demand Gen",C1952))+ISNUMBER(SEARCH("Marketing Lead",C1952))&gt;0,'Configuración'!$B$33,IF(ISNUMBER(SEARCH("COO",C1952))+ISNUMBER(SEARCH("CFO",C1952))+ISNUMBER(SEARCH("CTO",C1952))+ISNUMBER(SEARCH("Chief Operating",C1952))+ISNUMBER(SEARCH("Chief Financial",C1952))+ISNUMBER(SEARCH("Gerente General",C1952))+ISNUMBER(SEARCH("General Manager",C1952))&gt;0,'Configuración'!$B$34,'Configuración'!$B$35)))))</f>
        <v>12</v>
      </c>
      <c r="V1952" s="38">
        <f>IF(B1952="","",IF(K1952="Sí",'Configuración'!$B$5,0)+IF(L1952="Semanal",'Configuración'!$B$6,IF(L1952="Mensual",'Configuración'!$B$7,0))+IF(M1952="Sí",'Configuración'!$B$8,0)+IF(N1952="Sí",'Configuración'!$B$9,0)+IF(O1952="Sí",'Configuración'!$B$10,0)+IF(P1952="Sí",'Configuración'!$B$11,0)+IF(Q1952="Sí",'Configuración'!$B$12,0)+S1952+T1952+U1952)</f>
        <v>28</v>
      </c>
      <c r="W1952" s="39" t="str">
        <f>IF(B1952="","",IF(V1952&gt;='Configuración'!$B$19,"A",IF(V1952&gt;='Configuración'!$B$20,"B",IF(V1952&gt;='Configuración'!$B$21,"C","Descarte"))))</f>
        <v>C</v>
      </c>
    </row>
    <row r="1953" ht="15.75" customHeight="1">
      <c r="A1953" s="34">
        <f t="shared" si="1"/>
        <v>1951</v>
      </c>
      <c r="B1953" s="29" t="s">
        <v>1331</v>
      </c>
      <c r="C1953" s="29" t="s">
        <v>224</v>
      </c>
      <c r="D1953" s="29" t="s">
        <v>10797</v>
      </c>
      <c r="E1953" s="29" t="s">
        <v>10798</v>
      </c>
      <c r="F1953" s="30" t="s">
        <v>10799</v>
      </c>
      <c r="G1953" s="30" t="s">
        <v>10800</v>
      </c>
      <c r="H1953" s="42" t="s">
        <v>10801</v>
      </c>
      <c r="I1953" s="29" t="s">
        <v>249</v>
      </c>
      <c r="J1953" s="31">
        <v>1.0</v>
      </c>
      <c r="K1953" s="35"/>
      <c r="L1953" s="35"/>
      <c r="M1953" s="35"/>
      <c r="N1953" s="35"/>
      <c r="O1953" s="35"/>
      <c r="P1953" s="35"/>
      <c r="Q1953" s="35"/>
      <c r="R1953" s="35"/>
      <c r="S1953" s="37">
        <f>IF(B1953="","",IF(ISNUMBER(J1953),IF(J1953&lt;=10,'Configuración'!$B$23,IF(J1953&lt;=50,'Configuración'!$B$24,IF(J1953&lt;=200,'Configuración'!$B$25,0))),0))</f>
        <v>12</v>
      </c>
      <c r="T1953" s="37">
        <f>IF(B1953="","",IF(ISNUMBER(SEARCH("information technology",I1953))+ISNUMBER(SEARCH("software",I1953))+ISNUMBER(SEARCH("internet",I1953))+ISNUMBER(SEARCH("computer",I1953))+ISNUMBER(SEARCH("saas",I1953))+ISNUMBER(SEARCH("fintech",I1953))+ISNUMBER(SEARCH("information services",I1953))+ISNUMBER(SEARCH("telecommunications",I1953))&gt;0,'Configuración'!$B$27,'Configuración'!$B$28))</f>
        <v>4</v>
      </c>
      <c r="U1953" s="25">
        <f>IF(B1953="","",IF(ISNUMBER(SEARCH("CEO",C1953))+ISNUMBER(SEARCH("Founder",C1953))+ISNUMBER(SEARCH("Owner",C1953))+ISNUMBER(SEARCH("Dueño",C1953))+ISNUMBER(SEARCH("Director General",C1953))+ISNUMBER(SEARCH("Presidente",C1953))+ISNUMBER(SEARCH("President",C1953))&gt;0,'Configuración'!$B$31,IF(ISNUMBER(SEARCH("CMO",C1953))+ISNUMBER(SEARCH("Chief Marketing",C1953))+ISNUMBER(SEARCH("VP Marketing",C1953))+ISNUMBER(SEARCH("Director de Marketing",C1953))+ISNUMBER(SEARCH("Director Marketing",C1953))+ISNUMBER(SEARCH("Head of Marketing",C1953))+ISNUMBER(SEARCH("Head Marketing",C1953))&gt;0,'Configuración'!$B$32,IF(ISNUMBER(SEARCH("Marketing Manager",C1953))+ISNUMBER(SEARCH("Gerente de Marketing",C1953))+ISNUMBER(SEARCH("Growth Manager",C1953))+ISNUMBER(SEARCH("Demand Gen",C1953))+ISNUMBER(SEARCH("Marketing Lead",C1953))&gt;0,'Configuración'!$B$33,IF(ISNUMBER(SEARCH("COO",C1953))+ISNUMBER(SEARCH("CFO",C1953))+ISNUMBER(SEARCH("CTO",C1953))+ISNUMBER(SEARCH("Chief Operating",C1953))+ISNUMBER(SEARCH("Chief Financial",C1953))+ISNUMBER(SEARCH("Gerente General",C1953))+ISNUMBER(SEARCH("General Manager",C1953))&gt;0,'Configuración'!$B$34,'Configuración'!$B$35)))))</f>
        <v>12</v>
      </c>
      <c r="V1953" s="38">
        <f>IF(B1953="","",IF(K1953="Sí",'Configuración'!$B$5,0)+IF(L1953="Semanal",'Configuración'!$B$6,IF(L1953="Mensual",'Configuración'!$B$7,0))+IF(M1953="Sí",'Configuración'!$B$8,0)+IF(N1953="Sí",'Configuración'!$B$9,0)+IF(O1953="Sí",'Configuración'!$B$10,0)+IF(P1953="Sí",'Configuración'!$B$11,0)+IF(Q1953="Sí",'Configuración'!$B$12,0)+S1953+T1953+U1953)</f>
        <v>28</v>
      </c>
      <c r="W1953" s="39" t="str">
        <f>IF(B1953="","",IF(V1953&gt;='Configuración'!$B$19,"A",IF(V1953&gt;='Configuración'!$B$20,"B",IF(V1953&gt;='Configuración'!$B$21,"C","Descarte"))))</f>
        <v>C</v>
      </c>
    </row>
    <row r="1954" ht="15.75" customHeight="1">
      <c r="A1954" s="34">
        <f t="shared" si="1"/>
        <v>1952</v>
      </c>
      <c r="B1954" s="29" t="s">
        <v>10802</v>
      </c>
      <c r="C1954" s="29" t="s">
        <v>597</v>
      </c>
      <c r="D1954" s="29" t="s">
        <v>10803</v>
      </c>
      <c r="E1954" s="29" t="s">
        <v>10804</v>
      </c>
      <c r="F1954" s="30" t="s">
        <v>10805</v>
      </c>
      <c r="G1954" s="30" t="s">
        <v>10806</v>
      </c>
      <c r="H1954" s="42" t="s">
        <v>10807</v>
      </c>
      <c r="I1954" s="29" t="s">
        <v>127</v>
      </c>
      <c r="J1954" s="31">
        <v>10.0</v>
      </c>
      <c r="K1954" s="35"/>
      <c r="L1954" s="35"/>
      <c r="M1954" s="35"/>
      <c r="N1954" s="35"/>
      <c r="O1954" s="35"/>
      <c r="P1954" s="35"/>
      <c r="Q1954" s="35"/>
      <c r="R1954" s="35"/>
      <c r="S1954" s="37">
        <f>IF(B1954="","",IF(ISNUMBER(J1954),IF(J1954&lt;=10,'Configuración'!$B$23,IF(J1954&lt;=50,'Configuración'!$B$24,IF(J1954&lt;=200,'Configuración'!$B$25,0))),0))</f>
        <v>12</v>
      </c>
      <c r="T1954" s="37">
        <f>IF(B1954="","",IF(ISNUMBER(SEARCH("information technology",I1954))+ISNUMBER(SEARCH("software",I1954))+ISNUMBER(SEARCH("internet",I1954))+ISNUMBER(SEARCH("computer",I1954))+ISNUMBER(SEARCH("saas",I1954))+ISNUMBER(SEARCH("fintech",I1954))+ISNUMBER(SEARCH("information services",I1954))+ISNUMBER(SEARCH("telecommunications",I1954))&gt;0,'Configuración'!$B$27,'Configuración'!$B$28))</f>
        <v>12</v>
      </c>
      <c r="U1954" s="25">
        <f>IF(B1954="","",IF(ISNUMBER(SEARCH("CEO",C1954))+ISNUMBER(SEARCH("Founder",C1954))+ISNUMBER(SEARCH("Owner",C1954))+ISNUMBER(SEARCH("Dueño",C1954))+ISNUMBER(SEARCH("Director General",C1954))+ISNUMBER(SEARCH("Presidente",C1954))+ISNUMBER(SEARCH("President",C1954))&gt;0,'Configuración'!$B$31,IF(ISNUMBER(SEARCH("CMO",C1954))+ISNUMBER(SEARCH("Chief Marketing",C1954))+ISNUMBER(SEARCH("VP Marketing",C1954))+ISNUMBER(SEARCH("Director de Marketing",C1954))+ISNUMBER(SEARCH("Director Marketing",C1954))+ISNUMBER(SEARCH("Head of Marketing",C1954))+ISNUMBER(SEARCH("Head Marketing",C1954))&gt;0,'Configuración'!$B$32,IF(ISNUMBER(SEARCH("Marketing Manager",C1954))+ISNUMBER(SEARCH("Gerente de Marketing",C1954))+ISNUMBER(SEARCH("Growth Manager",C1954))+ISNUMBER(SEARCH("Demand Gen",C1954))+ISNUMBER(SEARCH("Marketing Lead",C1954))&gt;0,'Configuración'!$B$33,IF(ISNUMBER(SEARCH("COO",C1954))+ISNUMBER(SEARCH("CFO",C1954))+ISNUMBER(SEARCH("CTO",C1954))+ISNUMBER(SEARCH("Chief Operating",C1954))+ISNUMBER(SEARCH("Chief Financial",C1954))+ISNUMBER(SEARCH("Gerente General",C1954))+ISNUMBER(SEARCH("General Manager",C1954))&gt;0,'Configuración'!$B$34,'Configuración'!$B$35)))))</f>
        <v>12</v>
      </c>
      <c r="V1954" s="38">
        <f>IF(B1954="","",IF(K1954="Sí",'Configuración'!$B$5,0)+IF(L1954="Semanal",'Configuración'!$B$6,IF(L1954="Mensual",'Configuración'!$B$7,0))+IF(M1954="Sí",'Configuración'!$B$8,0)+IF(N1954="Sí",'Configuración'!$B$9,0)+IF(O1954="Sí",'Configuración'!$B$10,0)+IF(P1954="Sí",'Configuración'!$B$11,0)+IF(Q1954="Sí",'Configuración'!$B$12,0)+S1954+T1954+U1954)</f>
        <v>36</v>
      </c>
      <c r="W1954" s="39" t="str">
        <f>IF(B1954="","",IF(V1954&gt;='Configuración'!$B$19,"A",IF(V1954&gt;='Configuración'!$B$20,"B",IF(V1954&gt;='Configuración'!$B$21,"C","Descarte"))))</f>
        <v>C</v>
      </c>
    </row>
    <row r="1955" ht="15.75" customHeight="1">
      <c r="A1955" s="34">
        <f t="shared" si="1"/>
        <v>1953</v>
      </c>
      <c r="B1955" s="29" t="s">
        <v>174</v>
      </c>
      <c r="C1955" s="29" t="s">
        <v>10808</v>
      </c>
      <c r="D1955" s="29" t="s">
        <v>10809</v>
      </c>
      <c r="E1955" s="29" t="s">
        <v>10810</v>
      </c>
      <c r="F1955" s="30" t="s">
        <v>10811</v>
      </c>
      <c r="G1955" s="30" t="s">
        <v>10812</v>
      </c>
      <c r="H1955" s="42" t="s">
        <v>10813</v>
      </c>
      <c r="I1955" s="29" t="s">
        <v>188</v>
      </c>
      <c r="J1955" s="31">
        <v>24.0</v>
      </c>
      <c r="K1955" s="35"/>
      <c r="L1955" s="35"/>
      <c r="M1955" s="35"/>
      <c r="N1955" s="35"/>
      <c r="O1955" s="35"/>
      <c r="P1955" s="35"/>
      <c r="Q1955" s="35"/>
      <c r="R1955" s="35"/>
      <c r="S1955" s="37">
        <f>IF(B1955="","",IF(ISNUMBER(J1955),IF(J1955&lt;=10,'Configuración'!$B$23,IF(J1955&lt;=50,'Configuración'!$B$24,IF(J1955&lt;=200,'Configuración'!$B$25,0))),0))</f>
        <v>4</v>
      </c>
      <c r="T1955" s="37">
        <f>IF(B1955="","",IF(ISNUMBER(SEARCH("information technology",I1955))+ISNUMBER(SEARCH("software",I1955))+ISNUMBER(SEARCH("internet",I1955))+ISNUMBER(SEARCH("computer",I1955))+ISNUMBER(SEARCH("saas",I1955))+ISNUMBER(SEARCH("fintech",I1955))+ISNUMBER(SEARCH("information services",I1955))+ISNUMBER(SEARCH("telecommunications",I1955))&gt;0,'Configuración'!$B$27,'Configuración'!$B$28))</f>
        <v>4</v>
      </c>
      <c r="U1955" s="25">
        <f>IF(B1955="","",IF(ISNUMBER(SEARCH("CEO",C1955))+ISNUMBER(SEARCH("Founder",C1955))+ISNUMBER(SEARCH("Owner",C1955))+ISNUMBER(SEARCH("Dueño",C1955))+ISNUMBER(SEARCH("Director General",C1955))+ISNUMBER(SEARCH("Presidente",C1955))+ISNUMBER(SEARCH("President",C1955))&gt;0,'Configuración'!$B$31,IF(ISNUMBER(SEARCH("CMO",C1955))+ISNUMBER(SEARCH("Chief Marketing",C1955))+ISNUMBER(SEARCH("VP Marketing",C1955))+ISNUMBER(SEARCH("Director de Marketing",C1955))+ISNUMBER(SEARCH("Director Marketing",C1955))+ISNUMBER(SEARCH("Head of Marketing",C1955))+ISNUMBER(SEARCH("Head Marketing",C1955))&gt;0,'Configuración'!$B$32,IF(ISNUMBER(SEARCH("Marketing Manager",C1955))+ISNUMBER(SEARCH("Gerente de Marketing",C1955))+ISNUMBER(SEARCH("Growth Manager",C1955))+ISNUMBER(SEARCH("Demand Gen",C1955))+ISNUMBER(SEARCH("Marketing Lead",C1955))&gt;0,'Configuración'!$B$33,IF(ISNUMBER(SEARCH("COO",C1955))+ISNUMBER(SEARCH("CFO",C1955))+ISNUMBER(SEARCH("CTO",C1955))+ISNUMBER(SEARCH("Chief Operating",C1955))+ISNUMBER(SEARCH("Chief Financial",C1955))+ISNUMBER(SEARCH("Gerente General",C1955))+ISNUMBER(SEARCH("General Manager",C1955))&gt;0,'Configuración'!$B$34,'Configuración'!$B$35)))))</f>
        <v>12</v>
      </c>
      <c r="V1955" s="38">
        <f>IF(B1955="","",IF(K1955="Sí",'Configuración'!$B$5,0)+IF(L1955="Semanal",'Configuración'!$B$6,IF(L1955="Mensual",'Configuración'!$B$7,0))+IF(M1955="Sí",'Configuración'!$B$8,0)+IF(N1955="Sí",'Configuración'!$B$9,0)+IF(O1955="Sí",'Configuración'!$B$10,0)+IF(P1955="Sí",'Configuración'!$B$11,0)+IF(Q1955="Sí",'Configuración'!$B$12,0)+S1955+T1955+U1955)</f>
        <v>20</v>
      </c>
      <c r="W1955" s="39" t="str">
        <f>IF(B1955="","",IF(V1955&gt;='Configuración'!$B$19,"A",IF(V1955&gt;='Configuración'!$B$20,"B",IF(V1955&gt;='Configuración'!$B$21,"C","Descarte"))))</f>
        <v>Descarte</v>
      </c>
    </row>
    <row r="1956" ht="15.75" customHeight="1">
      <c r="A1956" s="34">
        <f t="shared" si="1"/>
        <v>1954</v>
      </c>
      <c r="B1956" s="29" t="s">
        <v>296</v>
      </c>
      <c r="C1956" s="29" t="s">
        <v>175</v>
      </c>
      <c r="D1956" s="29" t="s">
        <v>10814</v>
      </c>
      <c r="E1956" s="29" t="s">
        <v>10815</v>
      </c>
      <c r="F1956" s="30" t="s">
        <v>10816</v>
      </c>
      <c r="G1956" s="30" t="s">
        <v>10817</v>
      </c>
      <c r="H1956" s="42" t="s">
        <v>10818</v>
      </c>
      <c r="I1956" s="29" t="s">
        <v>542</v>
      </c>
      <c r="J1956" s="31">
        <v>4.0</v>
      </c>
      <c r="K1956" s="35"/>
      <c r="L1956" s="35"/>
      <c r="M1956" s="35"/>
      <c r="N1956" s="35"/>
      <c r="O1956" s="35"/>
      <c r="P1956" s="35"/>
      <c r="Q1956" s="35"/>
      <c r="R1956" s="35"/>
      <c r="S1956" s="37">
        <f>IF(B1956="","",IF(ISNUMBER(J1956),IF(J1956&lt;=10,'Configuración'!$B$23,IF(J1956&lt;=50,'Configuración'!$B$24,IF(J1956&lt;=200,'Configuración'!$B$25,0))),0))</f>
        <v>12</v>
      </c>
      <c r="T1956" s="37">
        <f>IF(B1956="","",IF(ISNUMBER(SEARCH("information technology",I1956))+ISNUMBER(SEARCH("software",I1956))+ISNUMBER(SEARCH("internet",I1956))+ISNUMBER(SEARCH("computer",I1956))+ISNUMBER(SEARCH("saas",I1956))+ISNUMBER(SEARCH("fintech",I1956))+ISNUMBER(SEARCH("information services",I1956))+ISNUMBER(SEARCH("telecommunications",I1956))&gt;0,'Configuración'!$B$27,'Configuración'!$B$28))</f>
        <v>4</v>
      </c>
      <c r="U1956" s="25">
        <f>IF(B1956="","",IF(ISNUMBER(SEARCH("CEO",C1956))+ISNUMBER(SEARCH("Founder",C1956))+ISNUMBER(SEARCH("Owner",C1956))+ISNUMBER(SEARCH("Dueño",C1956))+ISNUMBER(SEARCH("Director General",C1956))+ISNUMBER(SEARCH("Presidente",C1956))+ISNUMBER(SEARCH("President",C1956))&gt;0,'Configuración'!$B$31,IF(ISNUMBER(SEARCH("CMO",C1956))+ISNUMBER(SEARCH("Chief Marketing",C1956))+ISNUMBER(SEARCH("VP Marketing",C1956))+ISNUMBER(SEARCH("Director de Marketing",C1956))+ISNUMBER(SEARCH("Director Marketing",C1956))+ISNUMBER(SEARCH("Head of Marketing",C1956))+ISNUMBER(SEARCH("Head Marketing",C1956))&gt;0,'Configuración'!$B$32,IF(ISNUMBER(SEARCH("Marketing Manager",C1956))+ISNUMBER(SEARCH("Gerente de Marketing",C1956))+ISNUMBER(SEARCH("Growth Manager",C1956))+ISNUMBER(SEARCH("Demand Gen",C1956))+ISNUMBER(SEARCH("Marketing Lead",C1956))&gt;0,'Configuración'!$B$33,IF(ISNUMBER(SEARCH("COO",C1956))+ISNUMBER(SEARCH("CFO",C1956))+ISNUMBER(SEARCH("CTO",C1956))+ISNUMBER(SEARCH("Chief Operating",C1956))+ISNUMBER(SEARCH("Chief Financial",C1956))+ISNUMBER(SEARCH("Gerente General",C1956))+ISNUMBER(SEARCH("General Manager",C1956))&gt;0,'Configuración'!$B$34,'Configuración'!$B$35)))))</f>
        <v>12</v>
      </c>
      <c r="V1956" s="38">
        <f>IF(B1956="","",IF(K1956="Sí",'Configuración'!$B$5,0)+IF(L1956="Semanal",'Configuración'!$B$6,IF(L1956="Mensual",'Configuración'!$B$7,0))+IF(M1956="Sí",'Configuración'!$B$8,0)+IF(N1956="Sí",'Configuración'!$B$9,0)+IF(O1956="Sí",'Configuración'!$B$10,0)+IF(P1956="Sí",'Configuración'!$B$11,0)+IF(Q1956="Sí",'Configuración'!$B$12,0)+S1956+T1956+U1956)</f>
        <v>28</v>
      </c>
      <c r="W1956" s="39" t="str">
        <f>IF(B1956="","",IF(V1956&gt;='Configuración'!$B$19,"A",IF(V1956&gt;='Configuración'!$B$20,"B",IF(V1956&gt;='Configuración'!$B$21,"C","Descarte"))))</f>
        <v>C</v>
      </c>
    </row>
    <row r="1957" ht="15.75" customHeight="1">
      <c r="A1957" s="34">
        <f t="shared" si="1"/>
        <v>1955</v>
      </c>
      <c r="B1957" s="29" t="s">
        <v>174</v>
      </c>
      <c r="C1957" s="29" t="s">
        <v>10819</v>
      </c>
      <c r="D1957" s="29" t="s">
        <v>10820</v>
      </c>
      <c r="E1957" s="29"/>
      <c r="F1957" s="30" t="s">
        <v>10821</v>
      </c>
      <c r="G1957" s="30" t="s">
        <v>10822</v>
      </c>
      <c r="H1957" s="42" t="s">
        <v>7804</v>
      </c>
      <c r="I1957" s="29" t="s">
        <v>616</v>
      </c>
      <c r="J1957" s="31">
        <v>9.0</v>
      </c>
      <c r="K1957" s="35"/>
      <c r="L1957" s="35"/>
      <c r="M1957" s="35"/>
      <c r="N1957" s="35"/>
      <c r="O1957" s="35"/>
      <c r="P1957" s="35"/>
      <c r="Q1957" s="35"/>
      <c r="R1957" s="35"/>
      <c r="S1957" s="37">
        <f>IF(B1957="","",IF(ISNUMBER(J1957),IF(J1957&lt;=10,'Configuración'!$B$23,IF(J1957&lt;=50,'Configuración'!$B$24,IF(J1957&lt;=200,'Configuración'!$B$25,0))),0))</f>
        <v>12</v>
      </c>
      <c r="T1957" s="37">
        <f>IF(B1957="","",IF(ISNUMBER(SEARCH("information technology",I1957))+ISNUMBER(SEARCH("software",I1957))+ISNUMBER(SEARCH("internet",I1957))+ISNUMBER(SEARCH("computer",I1957))+ISNUMBER(SEARCH("saas",I1957))+ISNUMBER(SEARCH("fintech",I1957))+ISNUMBER(SEARCH("information services",I1957))+ISNUMBER(SEARCH("telecommunications",I1957))&gt;0,'Configuración'!$B$27,'Configuración'!$B$28))</f>
        <v>4</v>
      </c>
      <c r="U1957" s="25">
        <f>IF(B1957="","",IF(ISNUMBER(SEARCH("CEO",C1957))+ISNUMBER(SEARCH("Founder",C1957))+ISNUMBER(SEARCH("Owner",C1957))+ISNUMBER(SEARCH("Dueño",C1957))+ISNUMBER(SEARCH("Director General",C1957))+ISNUMBER(SEARCH("Presidente",C1957))+ISNUMBER(SEARCH("President",C1957))&gt;0,'Configuración'!$B$31,IF(ISNUMBER(SEARCH("CMO",C1957))+ISNUMBER(SEARCH("Chief Marketing",C1957))+ISNUMBER(SEARCH("VP Marketing",C1957))+ISNUMBER(SEARCH("Director de Marketing",C1957))+ISNUMBER(SEARCH("Director Marketing",C1957))+ISNUMBER(SEARCH("Head of Marketing",C1957))+ISNUMBER(SEARCH("Head Marketing",C1957))&gt;0,'Configuración'!$B$32,IF(ISNUMBER(SEARCH("Marketing Manager",C1957))+ISNUMBER(SEARCH("Gerente de Marketing",C1957))+ISNUMBER(SEARCH("Growth Manager",C1957))+ISNUMBER(SEARCH("Demand Gen",C1957))+ISNUMBER(SEARCH("Marketing Lead",C1957))&gt;0,'Configuración'!$B$33,IF(ISNUMBER(SEARCH("COO",C1957))+ISNUMBER(SEARCH("CFO",C1957))+ISNUMBER(SEARCH("CTO",C1957))+ISNUMBER(SEARCH("Chief Operating",C1957))+ISNUMBER(SEARCH("Chief Financial",C1957))+ISNUMBER(SEARCH("Gerente General",C1957))+ISNUMBER(SEARCH("General Manager",C1957))&gt;0,'Configuración'!$B$34,'Configuración'!$B$35)))))</f>
        <v>4</v>
      </c>
      <c r="V1957" s="38">
        <f>IF(B1957="","",IF(K1957="Sí",'Configuración'!$B$5,0)+IF(L1957="Semanal",'Configuración'!$B$6,IF(L1957="Mensual",'Configuración'!$B$7,0))+IF(M1957="Sí",'Configuración'!$B$8,0)+IF(N1957="Sí",'Configuración'!$B$9,0)+IF(O1957="Sí",'Configuración'!$B$10,0)+IF(P1957="Sí",'Configuración'!$B$11,0)+IF(Q1957="Sí",'Configuración'!$B$12,0)+S1957+T1957+U1957)</f>
        <v>20</v>
      </c>
      <c r="W1957" s="39" t="str">
        <f>IF(B1957="","",IF(V1957&gt;='Configuración'!$B$19,"A",IF(V1957&gt;='Configuración'!$B$20,"B",IF(V1957&gt;='Configuración'!$B$21,"C","Descarte"))))</f>
        <v>Descarte</v>
      </c>
    </row>
    <row r="1958" ht="15.75" customHeight="1">
      <c r="A1958" s="34">
        <f t="shared" si="1"/>
        <v>1956</v>
      </c>
      <c r="B1958" s="29" t="s">
        <v>324</v>
      </c>
      <c r="C1958" s="29" t="s">
        <v>10823</v>
      </c>
      <c r="D1958" s="29" t="s">
        <v>10824</v>
      </c>
      <c r="E1958" s="29" t="s">
        <v>10825</v>
      </c>
      <c r="F1958" s="30" t="s">
        <v>10826</v>
      </c>
      <c r="G1958" s="30" t="s">
        <v>10827</v>
      </c>
      <c r="H1958" s="42" t="s">
        <v>10828</v>
      </c>
      <c r="I1958" s="29" t="s">
        <v>127</v>
      </c>
      <c r="J1958" s="31">
        <v>19.0</v>
      </c>
      <c r="K1958" s="35"/>
      <c r="L1958" s="35"/>
      <c r="M1958" s="35"/>
      <c r="N1958" s="35"/>
      <c r="O1958" s="35"/>
      <c r="P1958" s="35"/>
      <c r="Q1958" s="35"/>
      <c r="R1958" s="35"/>
      <c r="S1958" s="37">
        <f>IF(B1958="","",IF(ISNUMBER(J1958),IF(J1958&lt;=10,'Configuración'!$B$23,IF(J1958&lt;=50,'Configuración'!$B$24,IF(J1958&lt;=200,'Configuración'!$B$25,0))),0))</f>
        <v>4</v>
      </c>
      <c r="T1958" s="37">
        <f>IF(B1958="","",IF(ISNUMBER(SEARCH("information technology",I1958))+ISNUMBER(SEARCH("software",I1958))+ISNUMBER(SEARCH("internet",I1958))+ISNUMBER(SEARCH("computer",I1958))+ISNUMBER(SEARCH("saas",I1958))+ISNUMBER(SEARCH("fintech",I1958))+ISNUMBER(SEARCH("information services",I1958))+ISNUMBER(SEARCH("telecommunications",I1958))&gt;0,'Configuración'!$B$27,'Configuración'!$B$28))</f>
        <v>12</v>
      </c>
      <c r="U1958" s="25">
        <f>IF(B1958="","",IF(ISNUMBER(SEARCH("CEO",C1958))+ISNUMBER(SEARCH("Founder",C1958))+ISNUMBER(SEARCH("Owner",C1958))+ISNUMBER(SEARCH("Dueño",C1958))+ISNUMBER(SEARCH("Director General",C1958))+ISNUMBER(SEARCH("Presidente",C1958))+ISNUMBER(SEARCH("President",C1958))&gt;0,'Configuración'!$B$31,IF(ISNUMBER(SEARCH("CMO",C1958))+ISNUMBER(SEARCH("Chief Marketing",C1958))+ISNUMBER(SEARCH("VP Marketing",C1958))+ISNUMBER(SEARCH("Director de Marketing",C1958))+ISNUMBER(SEARCH("Director Marketing",C1958))+ISNUMBER(SEARCH("Head of Marketing",C1958))+ISNUMBER(SEARCH("Head Marketing",C1958))&gt;0,'Configuración'!$B$32,IF(ISNUMBER(SEARCH("Marketing Manager",C1958))+ISNUMBER(SEARCH("Gerente de Marketing",C1958))+ISNUMBER(SEARCH("Growth Manager",C1958))+ISNUMBER(SEARCH("Demand Gen",C1958))+ISNUMBER(SEARCH("Marketing Lead",C1958))&gt;0,'Configuración'!$B$33,IF(ISNUMBER(SEARCH("COO",C1958))+ISNUMBER(SEARCH("CFO",C1958))+ISNUMBER(SEARCH("CTO",C1958))+ISNUMBER(SEARCH("Chief Operating",C1958))+ISNUMBER(SEARCH("Chief Financial",C1958))+ISNUMBER(SEARCH("Gerente General",C1958))+ISNUMBER(SEARCH("General Manager",C1958))&gt;0,'Configuración'!$B$34,'Configuración'!$B$35)))))</f>
        <v>12</v>
      </c>
      <c r="V1958" s="38">
        <f>IF(B1958="","",IF(K1958="Sí",'Configuración'!$B$5,0)+IF(L1958="Semanal",'Configuración'!$B$6,IF(L1958="Mensual",'Configuración'!$B$7,0))+IF(M1958="Sí",'Configuración'!$B$8,0)+IF(N1958="Sí",'Configuración'!$B$9,0)+IF(O1958="Sí",'Configuración'!$B$10,0)+IF(P1958="Sí",'Configuración'!$B$11,0)+IF(Q1958="Sí",'Configuración'!$B$12,0)+S1958+T1958+U1958)</f>
        <v>28</v>
      </c>
      <c r="W1958" s="39" t="str">
        <f>IF(B1958="","",IF(V1958&gt;='Configuración'!$B$19,"A",IF(V1958&gt;='Configuración'!$B$20,"B",IF(V1958&gt;='Configuración'!$B$21,"C","Descarte"))))</f>
        <v>C</v>
      </c>
    </row>
    <row r="1959" ht="15.75" customHeight="1">
      <c r="A1959" s="34">
        <f t="shared" si="1"/>
        <v>1957</v>
      </c>
      <c r="B1959" s="29" t="s">
        <v>324</v>
      </c>
      <c r="C1959" s="29" t="s">
        <v>934</v>
      </c>
      <c r="D1959" s="29" t="s">
        <v>10829</v>
      </c>
      <c r="E1959" s="29" t="s">
        <v>10830</v>
      </c>
      <c r="F1959" s="30" t="s">
        <v>10831</v>
      </c>
      <c r="G1959" s="30" t="s">
        <v>10832</v>
      </c>
      <c r="H1959" s="42" t="s">
        <v>10833</v>
      </c>
      <c r="I1959" s="29" t="s">
        <v>188</v>
      </c>
      <c r="J1959" s="31">
        <v>14.0</v>
      </c>
      <c r="K1959" s="35"/>
      <c r="L1959" s="35"/>
      <c r="M1959" s="35"/>
      <c r="N1959" s="35"/>
      <c r="O1959" s="35"/>
      <c r="P1959" s="35"/>
      <c r="Q1959" s="35"/>
      <c r="R1959" s="35"/>
      <c r="S1959" s="37">
        <f>IF(B1959="","",IF(ISNUMBER(J1959),IF(J1959&lt;=10,'Configuración'!$B$23,IF(J1959&lt;=50,'Configuración'!$B$24,IF(J1959&lt;=200,'Configuración'!$B$25,0))),0))</f>
        <v>4</v>
      </c>
      <c r="T1959" s="37">
        <f>IF(B1959="","",IF(ISNUMBER(SEARCH("information technology",I1959))+ISNUMBER(SEARCH("software",I1959))+ISNUMBER(SEARCH("internet",I1959))+ISNUMBER(SEARCH("computer",I1959))+ISNUMBER(SEARCH("saas",I1959))+ISNUMBER(SEARCH("fintech",I1959))+ISNUMBER(SEARCH("information services",I1959))+ISNUMBER(SEARCH("telecommunications",I1959))&gt;0,'Configuración'!$B$27,'Configuración'!$B$28))</f>
        <v>4</v>
      </c>
      <c r="U1959" s="25">
        <f>IF(B1959="","",IF(ISNUMBER(SEARCH("CEO",C1959))+ISNUMBER(SEARCH("Founder",C1959))+ISNUMBER(SEARCH("Owner",C1959))+ISNUMBER(SEARCH("Dueño",C1959))+ISNUMBER(SEARCH("Director General",C1959))+ISNUMBER(SEARCH("Presidente",C1959))+ISNUMBER(SEARCH("President",C1959))&gt;0,'Configuración'!$B$31,IF(ISNUMBER(SEARCH("CMO",C1959))+ISNUMBER(SEARCH("Chief Marketing",C1959))+ISNUMBER(SEARCH("VP Marketing",C1959))+ISNUMBER(SEARCH("Director de Marketing",C1959))+ISNUMBER(SEARCH("Director Marketing",C1959))+ISNUMBER(SEARCH("Head of Marketing",C1959))+ISNUMBER(SEARCH("Head Marketing",C1959))&gt;0,'Configuración'!$B$32,IF(ISNUMBER(SEARCH("Marketing Manager",C1959))+ISNUMBER(SEARCH("Gerente de Marketing",C1959))+ISNUMBER(SEARCH("Growth Manager",C1959))+ISNUMBER(SEARCH("Demand Gen",C1959))+ISNUMBER(SEARCH("Marketing Lead",C1959))&gt;0,'Configuración'!$B$33,IF(ISNUMBER(SEARCH("COO",C1959))+ISNUMBER(SEARCH("CFO",C1959))+ISNUMBER(SEARCH("CTO",C1959))+ISNUMBER(SEARCH("Chief Operating",C1959))+ISNUMBER(SEARCH("Chief Financial",C1959))+ISNUMBER(SEARCH("Gerente General",C1959))+ISNUMBER(SEARCH("General Manager",C1959))&gt;0,'Configuración'!$B$34,'Configuración'!$B$35)))))</f>
        <v>12</v>
      </c>
      <c r="V1959" s="38">
        <f>IF(B1959="","",IF(K1959="Sí",'Configuración'!$B$5,0)+IF(L1959="Semanal",'Configuración'!$B$6,IF(L1959="Mensual",'Configuración'!$B$7,0))+IF(M1959="Sí",'Configuración'!$B$8,0)+IF(N1959="Sí",'Configuración'!$B$9,0)+IF(O1959="Sí",'Configuración'!$B$10,0)+IF(P1959="Sí",'Configuración'!$B$11,0)+IF(Q1959="Sí",'Configuración'!$B$12,0)+S1959+T1959+U1959)</f>
        <v>20</v>
      </c>
      <c r="W1959" s="39" t="str">
        <f>IF(B1959="","",IF(V1959&gt;='Configuración'!$B$19,"A",IF(V1959&gt;='Configuración'!$B$20,"B",IF(V1959&gt;='Configuración'!$B$21,"C","Descarte"))))</f>
        <v>Descarte</v>
      </c>
    </row>
    <row r="1960" ht="15.75" customHeight="1">
      <c r="A1960" s="34">
        <f t="shared" si="1"/>
        <v>1958</v>
      </c>
      <c r="B1960" s="29" t="s">
        <v>777</v>
      </c>
      <c r="C1960" s="29" t="s">
        <v>131</v>
      </c>
      <c r="D1960" s="29" t="s">
        <v>10834</v>
      </c>
      <c r="E1960" s="29" t="s">
        <v>10835</v>
      </c>
      <c r="F1960" s="30" t="s">
        <v>10836</v>
      </c>
      <c r="G1960" s="30" t="s">
        <v>10837</v>
      </c>
      <c r="H1960" s="42" t="s">
        <v>10838</v>
      </c>
      <c r="I1960" s="29" t="s">
        <v>116</v>
      </c>
      <c r="J1960" s="31">
        <v>5.0</v>
      </c>
      <c r="K1960" s="35"/>
      <c r="L1960" s="35"/>
      <c r="M1960" s="35"/>
      <c r="N1960" s="35"/>
      <c r="O1960" s="35"/>
      <c r="P1960" s="35"/>
      <c r="Q1960" s="35"/>
      <c r="R1960" s="35"/>
      <c r="S1960" s="37">
        <f>IF(B1960="","",IF(ISNUMBER(J1960),IF(J1960&lt;=10,'Configuración'!$B$23,IF(J1960&lt;=50,'Configuración'!$B$24,IF(J1960&lt;=200,'Configuración'!$B$25,0))),0))</f>
        <v>12</v>
      </c>
      <c r="T1960" s="37">
        <f>IF(B1960="","",IF(ISNUMBER(SEARCH("information technology",I1960))+ISNUMBER(SEARCH("software",I1960))+ISNUMBER(SEARCH("internet",I1960))+ISNUMBER(SEARCH("computer",I1960))+ISNUMBER(SEARCH("saas",I1960))+ISNUMBER(SEARCH("fintech",I1960))+ISNUMBER(SEARCH("information services",I1960))+ISNUMBER(SEARCH("telecommunications",I1960))&gt;0,'Configuración'!$B$27,'Configuración'!$B$28))</f>
        <v>4</v>
      </c>
      <c r="U1960" s="25">
        <f>IF(B1960="","",IF(ISNUMBER(SEARCH("CEO",C1960))+ISNUMBER(SEARCH("Founder",C1960))+ISNUMBER(SEARCH("Owner",C1960))+ISNUMBER(SEARCH("Dueño",C1960))+ISNUMBER(SEARCH("Director General",C1960))+ISNUMBER(SEARCH("Presidente",C1960))+ISNUMBER(SEARCH("President",C1960))&gt;0,'Configuración'!$B$31,IF(ISNUMBER(SEARCH("CMO",C1960))+ISNUMBER(SEARCH("Chief Marketing",C1960))+ISNUMBER(SEARCH("VP Marketing",C1960))+ISNUMBER(SEARCH("Director de Marketing",C1960))+ISNUMBER(SEARCH("Director Marketing",C1960))+ISNUMBER(SEARCH("Head of Marketing",C1960))+ISNUMBER(SEARCH("Head Marketing",C1960))&gt;0,'Configuración'!$B$32,IF(ISNUMBER(SEARCH("Marketing Manager",C1960))+ISNUMBER(SEARCH("Gerente de Marketing",C1960))+ISNUMBER(SEARCH("Growth Manager",C1960))+ISNUMBER(SEARCH("Demand Gen",C1960))+ISNUMBER(SEARCH("Marketing Lead",C1960))&gt;0,'Configuración'!$B$33,IF(ISNUMBER(SEARCH("COO",C1960))+ISNUMBER(SEARCH("CFO",C1960))+ISNUMBER(SEARCH("CTO",C1960))+ISNUMBER(SEARCH("Chief Operating",C1960))+ISNUMBER(SEARCH("Chief Financial",C1960))+ISNUMBER(SEARCH("Gerente General",C1960))+ISNUMBER(SEARCH("General Manager",C1960))&gt;0,'Configuración'!$B$34,'Configuración'!$B$35)))))</f>
        <v>12</v>
      </c>
      <c r="V1960" s="38">
        <f>IF(B1960="","",IF(K1960="Sí",'Configuración'!$B$5,0)+IF(L1960="Semanal",'Configuración'!$B$6,IF(L1960="Mensual",'Configuración'!$B$7,0))+IF(M1960="Sí",'Configuración'!$B$8,0)+IF(N1960="Sí",'Configuración'!$B$9,0)+IF(O1960="Sí",'Configuración'!$B$10,0)+IF(P1960="Sí",'Configuración'!$B$11,0)+IF(Q1960="Sí",'Configuración'!$B$12,0)+S1960+T1960+U1960)</f>
        <v>28</v>
      </c>
      <c r="W1960" s="39" t="str">
        <f>IF(B1960="","",IF(V1960&gt;='Configuración'!$B$19,"A",IF(V1960&gt;='Configuración'!$B$20,"B",IF(V1960&gt;='Configuración'!$B$21,"C","Descarte"))))</f>
        <v>C</v>
      </c>
    </row>
    <row r="1961" ht="15.75" customHeight="1">
      <c r="A1961" s="34">
        <f t="shared" si="1"/>
        <v>1959</v>
      </c>
      <c r="B1961" s="29" t="s">
        <v>138</v>
      </c>
      <c r="C1961" s="29" t="s">
        <v>10839</v>
      </c>
      <c r="D1961" s="29" t="s">
        <v>5917</v>
      </c>
      <c r="E1961" s="29" t="s">
        <v>10840</v>
      </c>
      <c r="F1961" s="30" t="s">
        <v>10841</v>
      </c>
      <c r="G1961" s="30" t="s">
        <v>5920</v>
      </c>
      <c r="H1961" s="42" t="s">
        <v>5921</v>
      </c>
      <c r="I1961" s="29" t="s">
        <v>127</v>
      </c>
      <c r="J1961" s="31">
        <v>24.0</v>
      </c>
      <c r="K1961" s="35"/>
      <c r="L1961" s="35"/>
      <c r="M1961" s="35"/>
      <c r="N1961" s="35"/>
      <c r="O1961" s="35"/>
      <c r="P1961" s="35"/>
      <c r="Q1961" s="35"/>
      <c r="R1961" s="35"/>
      <c r="S1961" s="37">
        <f>IF(B1961="","",IF(ISNUMBER(J1961),IF(J1961&lt;=10,'Configuración'!$B$23,IF(J1961&lt;=50,'Configuración'!$B$24,IF(J1961&lt;=200,'Configuración'!$B$25,0))),0))</f>
        <v>4</v>
      </c>
      <c r="T1961" s="37">
        <f>IF(B1961="","",IF(ISNUMBER(SEARCH("information technology",I1961))+ISNUMBER(SEARCH("software",I1961))+ISNUMBER(SEARCH("internet",I1961))+ISNUMBER(SEARCH("computer",I1961))+ISNUMBER(SEARCH("saas",I1961))+ISNUMBER(SEARCH("fintech",I1961))+ISNUMBER(SEARCH("information services",I1961))+ISNUMBER(SEARCH("telecommunications",I1961))&gt;0,'Configuración'!$B$27,'Configuración'!$B$28))</f>
        <v>12</v>
      </c>
      <c r="U1961" s="25">
        <f>IF(B1961="","",IF(ISNUMBER(SEARCH("CEO",C1961))+ISNUMBER(SEARCH("Founder",C1961))+ISNUMBER(SEARCH("Owner",C1961))+ISNUMBER(SEARCH("Dueño",C1961))+ISNUMBER(SEARCH("Director General",C1961))+ISNUMBER(SEARCH("Presidente",C1961))+ISNUMBER(SEARCH("President",C1961))&gt;0,'Configuración'!$B$31,IF(ISNUMBER(SEARCH("CMO",C1961))+ISNUMBER(SEARCH("Chief Marketing",C1961))+ISNUMBER(SEARCH("VP Marketing",C1961))+ISNUMBER(SEARCH("Director de Marketing",C1961))+ISNUMBER(SEARCH("Director Marketing",C1961))+ISNUMBER(SEARCH("Head of Marketing",C1961))+ISNUMBER(SEARCH("Head Marketing",C1961))&gt;0,'Configuración'!$B$32,IF(ISNUMBER(SEARCH("Marketing Manager",C1961))+ISNUMBER(SEARCH("Gerente de Marketing",C1961))+ISNUMBER(SEARCH("Growth Manager",C1961))+ISNUMBER(SEARCH("Demand Gen",C1961))+ISNUMBER(SEARCH("Marketing Lead",C1961))&gt;0,'Configuración'!$B$33,IF(ISNUMBER(SEARCH("COO",C1961))+ISNUMBER(SEARCH("CFO",C1961))+ISNUMBER(SEARCH("CTO",C1961))+ISNUMBER(SEARCH("Chief Operating",C1961))+ISNUMBER(SEARCH("Chief Financial",C1961))+ISNUMBER(SEARCH("Gerente General",C1961))+ISNUMBER(SEARCH("General Manager",C1961))&gt;0,'Configuración'!$B$34,'Configuración'!$B$35)))))</f>
        <v>12</v>
      </c>
      <c r="V1961" s="38">
        <f>IF(B1961="","",IF(K1961="Sí",'Configuración'!$B$5,0)+IF(L1961="Semanal",'Configuración'!$B$6,IF(L1961="Mensual",'Configuración'!$B$7,0))+IF(M1961="Sí",'Configuración'!$B$8,0)+IF(N1961="Sí",'Configuración'!$B$9,0)+IF(O1961="Sí",'Configuración'!$B$10,0)+IF(P1961="Sí",'Configuración'!$B$11,0)+IF(Q1961="Sí",'Configuración'!$B$12,0)+S1961+T1961+U1961)</f>
        <v>28</v>
      </c>
      <c r="W1961" s="39" t="str">
        <f>IF(B1961="","",IF(V1961&gt;='Configuración'!$B$19,"A",IF(V1961&gt;='Configuración'!$B$20,"B",IF(V1961&gt;='Configuración'!$B$21,"C","Descarte"))))</f>
        <v>C</v>
      </c>
    </row>
    <row r="1962" ht="15.75" customHeight="1">
      <c r="A1962" s="34">
        <f t="shared" si="1"/>
        <v>1960</v>
      </c>
      <c r="B1962" s="29" t="s">
        <v>501</v>
      </c>
      <c r="C1962" s="29" t="s">
        <v>10842</v>
      </c>
      <c r="D1962" s="29" t="s">
        <v>10843</v>
      </c>
      <c r="E1962" s="29" t="s">
        <v>10844</v>
      </c>
      <c r="F1962" s="30" t="s">
        <v>10845</v>
      </c>
      <c r="G1962" s="30" t="s">
        <v>10846</v>
      </c>
      <c r="H1962" s="42" t="s">
        <v>10847</v>
      </c>
      <c r="I1962" s="29" t="s">
        <v>946</v>
      </c>
      <c r="J1962" s="31">
        <v>2.0</v>
      </c>
      <c r="K1962" s="35"/>
      <c r="L1962" s="35"/>
      <c r="M1962" s="35"/>
      <c r="N1962" s="35"/>
      <c r="O1962" s="35"/>
      <c r="P1962" s="35"/>
      <c r="Q1962" s="35"/>
      <c r="R1962" s="35"/>
      <c r="S1962" s="37">
        <f>IF(B1962="","",IF(ISNUMBER(J1962),IF(J1962&lt;=10,'Configuración'!$B$23,IF(J1962&lt;=50,'Configuración'!$B$24,IF(J1962&lt;=200,'Configuración'!$B$25,0))),0))</f>
        <v>12</v>
      </c>
      <c r="T1962" s="37">
        <f>IF(B1962="","",IF(ISNUMBER(SEARCH("information technology",I1962))+ISNUMBER(SEARCH("software",I1962))+ISNUMBER(SEARCH("internet",I1962))+ISNUMBER(SEARCH("computer",I1962))+ISNUMBER(SEARCH("saas",I1962))+ISNUMBER(SEARCH("fintech",I1962))+ISNUMBER(SEARCH("information services",I1962))+ISNUMBER(SEARCH("telecommunications",I1962))&gt;0,'Configuración'!$B$27,'Configuración'!$B$28))</f>
        <v>4</v>
      </c>
      <c r="U1962" s="25">
        <f>IF(B1962="","",IF(ISNUMBER(SEARCH("CEO",C1962))+ISNUMBER(SEARCH("Founder",C1962))+ISNUMBER(SEARCH("Owner",C1962))+ISNUMBER(SEARCH("Dueño",C1962))+ISNUMBER(SEARCH("Director General",C1962))+ISNUMBER(SEARCH("Presidente",C1962))+ISNUMBER(SEARCH("President",C1962))&gt;0,'Configuración'!$B$31,IF(ISNUMBER(SEARCH("CMO",C1962))+ISNUMBER(SEARCH("Chief Marketing",C1962))+ISNUMBER(SEARCH("VP Marketing",C1962))+ISNUMBER(SEARCH("Director de Marketing",C1962))+ISNUMBER(SEARCH("Director Marketing",C1962))+ISNUMBER(SEARCH("Head of Marketing",C1962))+ISNUMBER(SEARCH("Head Marketing",C1962))&gt;0,'Configuración'!$B$32,IF(ISNUMBER(SEARCH("Marketing Manager",C1962))+ISNUMBER(SEARCH("Gerente de Marketing",C1962))+ISNUMBER(SEARCH("Growth Manager",C1962))+ISNUMBER(SEARCH("Demand Gen",C1962))+ISNUMBER(SEARCH("Marketing Lead",C1962))&gt;0,'Configuración'!$B$33,IF(ISNUMBER(SEARCH("COO",C1962))+ISNUMBER(SEARCH("CFO",C1962))+ISNUMBER(SEARCH("CTO",C1962))+ISNUMBER(SEARCH("Chief Operating",C1962))+ISNUMBER(SEARCH("Chief Financial",C1962))+ISNUMBER(SEARCH("Gerente General",C1962))+ISNUMBER(SEARCH("General Manager",C1962))&gt;0,'Configuración'!$B$34,'Configuración'!$B$35)))))</f>
        <v>12</v>
      </c>
      <c r="V1962" s="38">
        <f>IF(B1962="","",IF(K1962="Sí",'Configuración'!$B$5,0)+IF(L1962="Semanal",'Configuración'!$B$6,IF(L1962="Mensual",'Configuración'!$B$7,0))+IF(M1962="Sí",'Configuración'!$B$8,0)+IF(N1962="Sí",'Configuración'!$B$9,0)+IF(O1962="Sí",'Configuración'!$B$10,0)+IF(P1962="Sí",'Configuración'!$B$11,0)+IF(Q1962="Sí",'Configuración'!$B$12,0)+S1962+T1962+U1962)</f>
        <v>28</v>
      </c>
      <c r="W1962" s="39" t="str">
        <f>IF(B1962="","",IF(V1962&gt;='Configuración'!$B$19,"A",IF(V1962&gt;='Configuración'!$B$20,"B",IF(V1962&gt;='Configuración'!$B$21,"C","Descarte"))))</f>
        <v>C</v>
      </c>
    </row>
    <row r="1963" ht="15.75" customHeight="1">
      <c r="A1963" s="34">
        <f t="shared" si="1"/>
        <v>1961</v>
      </c>
      <c r="B1963" s="29" t="s">
        <v>725</v>
      </c>
      <c r="C1963" s="29" t="s">
        <v>487</v>
      </c>
      <c r="D1963" s="40" t="s">
        <v>4215</v>
      </c>
      <c r="E1963" s="29" t="s">
        <v>10848</v>
      </c>
      <c r="F1963" s="30" t="s">
        <v>10849</v>
      </c>
      <c r="G1963" s="30" t="s">
        <v>4218</v>
      </c>
      <c r="H1963" s="42" t="s">
        <v>4219</v>
      </c>
      <c r="I1963" s="29" t="s">
        <v>127</v>
      </c>
      <c r="J1963" s="31">
        <v>4.0</v>
      </c>
      <c r="K1963" s="35"/>
      <c r="L1963" s="35"/>
      <c r="M1963" s="35"/>
      <c r="N1963" s="35"/>
      <c r="O1963" s="35"/>
      <c r="P1963" s="35"/>
      <c r="Q1963" s="35"/>
      <c r="R1963" s="35"/>
      <c r="S1963" s="37">
        <f>IF(B1963="","",IF(ISNUMBER(J1963),IF(J1963&lt;=10,'Configuración'!$B$23,IF(J1963&lt;=50,'Configuración'!$B$24,IF(J1963&lt;=200,'Configuración'!$B$25,0))),0))</f>
        <v>12</v>
      </c>
      <c r="T1963" s="37">
        <f>IF(B1963="","",IF(ISNUMBER(SEARCH("information technology",I1963))+ISNUMBER(SEARCH("software",I1963))+ISNUMBER(SEARCH("internet",I1963))+ISNUMBER(SEARCH("computer",I1963))+ISNUMBER(SEARCH("saas",I1963))+ISNUMBER(SEARCH("fintech",I1963))+ISNUMBER(SEARCH("information services",I1963))+ISNUMBER(SEARCH("telecommunications",I1963))&gt;0,'Configuración'!$B$27,'Configuración'!$B$28))</f>
        <v>12</v>
      </c>
      <c r="U1963" s="25">
        <f>IF(B1963="","",IF(ISNUMBER(SEARCH("CEO",C1963))+ISNUMBER(SEARCH("Founder",C1963))+ISNUMBER(SEARCH("Owner",C1963))+ISNUMBER(SEARCH("Dueño",C1963))+ISNUMBER(SEARCH("Director General",C1963))+ISNUMBER(SEARCH("Presidente",C1963))+ISNUMBER(SEARCH("President",C1963))&gt;0,'Configuración'!$B$31,IF(ISNUMBER(SEARCH("CMO",C1963))+ISNUMBER(SEARCH("Chief Marketing",C1963))+ISNUMBER(SEARCH("VP Marketing",C1963))+ISNUMBER(SEARCH("Director de Marketing",C1963))+ISNUMBER(SEARCH("Director Marketing",C1963))+ISNUMBER(SEARCH("Head of Marketing",C1963))+ISNUMBER(SEARCH("Head Marketing",C1963))&gt;0,'Configuración'!$B$32,IF(ISNUMBER(SEARCH("Marketing Manager",C1963))+ISNUMBER(SEARCH("Gerente de Marketing",C1963))+ISNUMBER(SEARCH("Growth Manager",C1963))+ISNUMBER(SEARCH("Demand Gen",C1963))+ISNUMBER(SEARCH("Marketing Lead",C1963))&gt;0,'Configuración'!$B$33,IF(ISNUMBER(SEARCH("COO",C1963))+ISNUMBER(SEARCH("CFO",C1963))+ISNUMBER(SEARCH("CTO",C1963))+ISNUMBER(SEARCH("Chief Operating",C1963))+ISNUMBER(SEARCH("Chief Financial",C1963))+ISNUMBER(SEARCH("Gerente General",C1963))+ISNUMBER(SEARCH("General Manager",C1963))&gt;0,'Configuración'!$B$34,'Configuración'!$B$35)))))</f>
        <v>12</v>
      </c>
      <c r="V1963" s="38">
        <f>IF(B1963="","",IF(K1963="Sí",'Configuración'!$B$5,0)+IF(L1963="Semanal",'Configuración'!$B$6,IF(L1963="Mensual",'Configuración'!$B$7,0))+IF(M1963="Sí",'Configuración'!$B$8,0)+IF(N1963="Sí",'Configuración'!$B$9,0)+IF(O1963="Sí",'Configuración'!$B$10,0)+IF(P1963="Sí",'Configuración'!$B$11,0)+IF(Q1963="Sí",'Configuración'!$B$12,0)+S1963+T1963+U1963)</f>
        <v>36</v>
      </c>
      <c r="W1963" s="39" t="str">
        <f>IF(B1963="","",IF(V1963&gt;='Configuración'!$B$19,"A",IF(V1963&gt;='Configuración'!$B$20,"B",IF(V1963&gt;='Configuración'!$B$21,"C","Descarte"))))</f>
        <v>C</v>
      </c>
    </row>
    <row r="1964" ht="15.75" customHeight="1">
      <c r="A1964" s="34">
        <f t="shared" si="1"/>
        <v>1962</v>
      </c>
      <c r="B1964" s="29" t="s">
        <v>578</v>
      </c>
      <c r="C1964" s="29" t="s">
        <v>311</v>
      </c>
      <c r="D1964" s="30" t="s">
        <v>9599</v>
      </c>
      <c r="E1964" s="29" t="s">
        <v>10850</v>
      </c>
      <c r="F1964" s="30" t="s">
        <v>10851</v>
      </c>
      <c r="G1964" s="30" t="s">
        <v>9602</v>
      </c>
      <c r="H1964" s="42" t="s">
        <v>9603</v>
      </c>
      <c r="I1964" s="29" t="s">
        <v>127</v>
      </c>
      <c r="J1964" s="31">
        <v>3.0</v>
      </c>
      <c r="K1964" s="35"/>
      <c r="L1964" s="35"/>
      <c r="M1964" s="35"/>
      <c r="N1964" s="35"/>
      <c r="O1964" s="35"/>
      <c r="P1964" s="35"/>
      <c r="Q1964" s="35"/>
      <c r="R1964" s="35"/>
      <c r="S1964" s="37">
        <f>IF(B1964="","",IF(ISNUMBER(J1964),IF(J1964&lt;=10,'Configuración'!$B$23,IF(J1964&lt;=50,'Configuración'!$B$24,IF(J1964&lt;=200,'Configuración'!$B$25,0))),0))</f>
        <v>12</v>
      </c>
      <c r="T1964" s="37">
        <f>IF(B1964="","",IF(ISNUMBER(SEARCH("information technology",I1964))+ISNUMBER(SEARCH("software",I1964))+ISNUMBER(SEARCH("internet",I1964))+ISNUMBER(SEARCH("computer",I1964))+ISNUMBER(SEARCH("saas",I1964))+ISNUMBER(SEARCH("fintech",I1964))+ISNUMBER(SEARCH("information services",I1964))+ISNUMBER(SEARCH("telecommunications",I1964))&gt;0,'Configuración'!$B$27,'Configuración'!$B$28))</f>
        <v>12</v>
      </c>
      <c r="U1964" s="25">
        <f>IF(B1964="","",IF(ISNUMBER(SEARCH("CEO",C1964))+ISNUMBER(SEARCH("Founder",C1964))+ISNUMBER(SEARCH("Owner",C1964))+ISNUMBER(SEARCH("Dueño",C1964))+ISNUMBER(SEARCH("Director General",C1964))+ISNUMBER(SEARCH("Presidente",C1964))+ISNUMBER(SEARCH("President",C1964))&gt;0,'Configuración'!$B$31,IF(ISNUMBER(SEARCH("CMO",C1964))+ISNUMBER(SEARCH("Chief Marketing",C1964))+ISNUMBER(SEARCH("VP Marketing",C1964))+ISNUMBER(SEARCH("Director de Marketing",C1964))+ISNUMBER(SEARCH("Director Marketing",C1964))+ISNUMBER(SEARCH("Head of Marketing",C1964))+ISNUMBER(SEARCH("Head Marketing",C1964))&gt;0,'Configuración'!$B$32,IF(ISNUMBER(SEARCH("Marketing Manager",C1964))+ISNUMBER(SEARCH("Gerente de Marketing",C1964))+ISNUMBER(SEARCH("Growth Manager",C1964))+ISNUMBER(SEARCH("Demand Gen",C1964))+ISNUMBER(SEARCH("Marketing Lead",C1964))&gt;0,'Configuración'!$B$33,IF(ISNUMBER(SEARCH("COO",C1964))+ISNUMBER(SEARCH("CFO",C1964))+ISNUMBER(SEARCH("CTO",C1964))+ISNUMBER(SEARCH("Chief Operating",C1964))+ISNUMBER(SEARCH("Chief Financial",C1964))+ISNUMBER(SEARCH("Gerente General",C1964))+ISNUMBER(SEARCH("General Manager",C1964))&gt;0,'Configuración'!$B$34,'Configuración'!$B$35)))))</f>
        <v>12</v>
      </c>
      <c r="V1964" s="38">
        <f>IF(B1964="","",IF(K1964="Sí",'Configuración'!$B$5,0)+IF(L1964="Semanal",'Configuración'!$B$6,IF(L1964="Mensual",'Configuración'!$B$7,0))+IF(M1964="Sí",'Configuración'!$B$8,0)+IF(N1964="Sí",'Configuración'!$B$9,0)+IF(O1964="Sí",'Configuración'!$B$10,0)+IF(P1964="Sí",'Configuración'!$B$11,0)+IF(Q1964="Sí",'Configuración'!$B$12,0)+S1964+T1964+U1964)</f>
        <v>36</v>
      </c>
      <c r="W1964" s="39" t="str">
        <f>IF(B1964="","",IF(V1964&gt;='Configuración'!$B$19,"A",IF(V1964&gt;='Configuración'!$B$20,"B",IF(V1964&gt;='Configuración'!$B$21,"C","Descarte"))))</f>
        <v>C</v>
      </c>
    </row>
    <row r="1965" ht="15.75" customHeight="1">
      <c r="A1965" s="34">
        <f t="shared" si="1"/>
        <v>1963</v>
      </c>
      <c r="B1965" s="29" t="s">
        <v>10852</v>
      </c>
      <c r="C1965" s="29" t="s">
        <v>224</v>
      </c>
      <c r="D1965" s="29" t="s">
        <v>10853</v>
      </c>
      <c r="E1965" s="29" t="s">
        <v>10854</v>
      </c>
      <c r="F1965" s="30" t="s">
        <v>10855</v>
      </c>
      <c r="G1965" s="30" t="s">
        <v>10856</v>
      </c>
      <c r="H1965" s="42" t="s">
        <v>10857</v>
      </c>
      <c r="I1965" s="29" t="s">
        <v>4621</v>
      </c>
      <c r="J1965" s="31">
        <v>1.0</v>
      </c>
      <c r="K1965" s="35"/>
      <c r="L1965" s="35"/>
      <c r="M1965" s="35"/>
      <c r="N1965" s="35"/>
      <c r="O1965" s="35"/>
      <c r="P1965" s="35"/>
      <c r="Q1965" s="35"/>
      <c r="R1965" s="35"/>
      <c r="S1965" s="37">
        <f>IF(B1965="","",IF(ISNUMBER(J1965),IF(J1965&lt;=10,'Configuración'!$B$23,IF(J1965&lt;=50,'Configuración'!$B$24,IF(J1965&lt;=200,'Configuración'!$B$25,0))),0))</f>
        <v>12</v>
      </c>
      <c r="T1965" s="37">
        <f>IF(B1965="","",IF(ISNUMBER(SEARCH("information technology",I1965))+ISNUMBER(SEARCH("software",I1965))+ISNUMBER(SEARCH("internet",I1965))+ISNUMBER(SEARCH("computer",I1965))+ISNUMBER(SEARCH("saas",I1965))+ISNUMBER(SEARCH("fintech",I1965))+ISNUMBER(SEARCH("information services",I1965))+ISNUMBER(SEARCH("telecommunications",I1965))&gt;0,'Configuración'!$B$27,'Configuración'!$B$28))</f>
        <v>4</v>
      </c>
      <c r="U1965" s="25">
        <f>IF(B1965="","",IF(ISNUMBER(SEARCH("CEO",C1965))+ISNUMBER(SEARCH("Founder",C1965))+ISNUMBER(SEARCH("Owner",C1965))+ISNUMBER(SEARCH("Dueño",C1965))+ISNUMBER(SEARCH("Director General",C1965))+ISNUMBER(SEARCH("Presidente",C1965))+ISNUMBER(SEARCH("President",C1965))&gt;0,'Configuración'!$B$31,IF(ISNUMBER(SEARCH("CMO",C1965))+ISNUMBER(SEARCH("Chief Marketing",C1965))+ISNUMBER(SEARCH("VP Marketing",C1965))+ISNUMBER(SEARCH("Director de Marketing",C1965))+ISNUMBER(SEARCH("Director Marketing",C1965))+ISNUMBER(SEARCH("Head of Marketing",C1965))+ISNUMBER(SEARCH("Head Marketing",C1965))&gt;0,'Configuración'!$B$32,IF(ISNUMBER(SEARCH("Marketing Manager",C1965))+ISNUMBER(SEARCH("Gerente de Marketing",C1965))+ISNUMBER(SEARCH("Growth Manager",C1965))+ISNUMBER(SEARCH("Demand Gen",C1965))+ISNUMBER(SEARCH("Marketing Lead",C1965))&gt;0,'Configuración'!$B$33,IF(ISNUMBER(SEARCH("COO",C1965))+ISNUMBER(SEARCH("CFO",C1965))+ISNUMBER(SEARCH("CTO",C1965))+ISNUMBER(SEARCH("Chief Operating",C1965))+ISNUMBER(SEARCH("Chief Financial",C1965))+ISNUMBER(SEARCH("Gerente General",C1965))+ISNUMBER(SEARCH("General Manager",C1965))&gt;0,'Configuración'!$B$34,'Configuración'!$B$35)))))</f>
        <v>12</v>
      </c>
      <c r="V1965" s="38">
        <f>IF(B1965="","",IF(K1965="Sí",'Configuración'!$B$5,0)+IF(L1965="Semanal",'Configuración'!$B$6,IF(L1965="Mensual",'Configuración'!$B$7,0))+IF(M1965="Sí",'Configuración'!$B$8,0)+IF(N1965="Sí",'Configuración'!$B$9,0)+IF(O1965="Sí",'Configuración'!$B$10,0)+IF(P1965="Sí",'Configuración'!$B$11,0)+IF(Q1965="Sí",'Configuración'!$B$12,0)+S1965+T1965+U1965)</f>
        <v>28</v>
      </c>
      <c r="W1965" s="39" t="str">
        <f>IF(B1965="","",IF(V1965&gt;='Configuración'!$B$19,"A",IF(V1965&gt;='Configuración'!$B$20,"B",IF(V1965&gt;='Configuración'!$B$21,"C","Descarte"))))</f>
        <v>C</v>
      </c>
    </row>
    <row r="1966" ht="15.75" customHeight="1">
      <c r="A1966" s="34">
        <f t="shared" si="1"/>
        <v>1964</v>
      </c>
      <c r="B1966" s="29" t="s">
        <v>1306</v>
      </c>
      <c r="C1966" s="29" t="s">
        <v>175</v>
      </c>
      <c r="D1966" s="29" t="s">
        <v>10858</v>
      </c>
      <c r="E1966" s="29" t="s">
        <v>10859</v>
      </c>
      <c r="F1966" s="30" t="s">
        <v>10860</v>
      </c>
      <c r="G1966" s="30" t="s">
        <v>10861</v>
      </c>
      <c r="H1966" s="42" t="s">
        <v>10862</v>
      </c>
      <c r="I1966" s="29" t="s">
        <v>10863</v>
      </c>
      <c r="J1966" s="31">
        <v>4.0</v>
      </c>
      <c r="K1966" s="35"/>
      <c r="L1966" s="35"/>
      <c r="M1966" s="35"/>
      <c r="N1966" s="35"/>
      <c r="O1966" s="35"/>
      <c r="P1966" s="35"/>
      <c r="Q1966" s="35"/>
      <c r="R1966" s="35"/>
      <c r="S1966" s="37">
        <f>IF(B1966="","",IF(ISNUMBER(J1966),IF(J1966&lt;=10,'Configuración'!$B$23,IF(J1966&lt;=50,'Configuración'!$B$24,IF(J1966&lt;=200,'Configuración'!$B$25,0))),0))</f>
        <v>12</v>
      </c>
      <c r="T1966" s="37">
        <f>IF(B1966="","",IF(ISNUMBER(SEARCH("information technology",I1966))+ISNUMBER(SEARCH("software",I1966))+ISNUMBER(SEARCH("internet",I1966))+ISNUMBER(SEARCH("computer",I1966))+ISNUMBER(SEARCH("saas",I1966))+ISNUMBER(SEARCH("fintech",I1966))+ISNUMBER(SEARCH("information services",I1966))+ISNUMBER(SEARCH("telecommunications",I1966))&gt;0,'Configuración'!$B$27,'Configuración'!$B$28))</f>
        <v>4</v>
      </c>
      <c r="U1966" s="25">
        <f>IF(B1966="","",IF(ISNUMBER(SEARCH("CEO",C1966))+ISNUMBER(SEARCH("Founder",C1966))+ISNUMBER(SEARCH("Owner",C1966))+ISNUMBER(SEARCH("Dueño",C1966))+ISNUMBER(SEARCH("Director General",C1966))+ISNUMBER(SEARCH("Presidente",C1966))+ISNUMBER(SEARCH("President",C1966))&gt;0,'Configuración'!$B$31,IF(ISNUMBER(SEARCH("CMO",C1966))+ISNUMBER(SEARCH("Chief Marketing",C1966))+ISNUMBER(SEARCH("VP Marketing",C1966))+ISNUMBER(SEARCH("Director de Marketing",C1966))+ISNUMBER(SEARCH("Director Marketing",C1966))+ISNUMBER(SEARCH("Head of Marketing",C1966))+ISNUMBER(SEARCH("Head Marketing",C1966))&gt;0,'Configuración'!$B$32,IF(ISNUMBER(SEARCH("Marketing Manager",C1966))+ISNUMBER(SEARCH("Gerente de Marketing",C1966))+ISNUMBER(SEARCH("Growth Manager",C1966))+ISNUMBER(SEARCH("Demand Gen",C1966))+ISNUMBER(SEARCH("Marketing Lead",C1966))&gt;0,'Configuración'!$B$33,IF(ISNUMBER(SEARCH("COO",C1966))+ISNUMBER(SEARCH("CFO",C1966))+ISNUMBER(SEARCH("CTO",C1966))+ISNUMBER(SEARCH("Chief Operating",C1966))+ISNUMBER(SEARCH("Chief Financial",C1966))+ISNUMBER(SEARCH("Gerente General",C1966))+ISNUMBER(SEARCH("General Manager",C1966))&gt;0,'Configuración'!$B$34,'Configuración'!$B$35)))))</f>
        <v>12</v>
      </c>
      <c r="V1966" s="38">
        <f>IF(B1966="","",IF(K1966="Sí",'Configuración'!$B$5,0)+IF(L1966="Semanal",'Configuración'!$B$6,IF(L1966="Mensual",'Configuración'!$B$7,0))+IF(M1966="Sí",'Configuración'!$B$8,0)+IF(N1966="Sí",'Configuración'!$B$9,0)+IF(O1966="Sí",'Configuración'!$B$10,0)+IF(P1966="Sí",'Configuración'!$B$11,0)+IF(Q1966="Sí",'Configuración'!$B$12,0)+S1966+T1966+U1966)</f>
        <v>28</v>
      </c>
      <c r="W1966" s="39" t="str">
        <f>IF(B1966="","",IF(V1966&gt;='Configuración'!$B$19,"A",IF(V1966&gt;='Configuración'!$B$20,"B",IF(V1966&gt;='Configuración'!$B$21,"C","Descarte"))))</f>
        <v>C</v>
      </c>
    </row>
    <row r="1967" ht="15.75" customHeight="1">
      <c r="A1967" s="34">
        <f t="shared" si="1"/>
        <v>1965</v>
      </c>
      <c r="B1967" s="29" t="s">
        <v>5993</v>
      </c>
      <c r="C1967" s="29" t="s">
        <v>131</v>
      </c>
      <c r="D1967" s="29" t="s">
        <v>10864</v>
      </c>
      <c r="E1967" s="29" t="s">
        <v>10865</v>
      </c>
      <c r="F1967" s="30" t="s">
        <v>10866</v>
      </c>
      <c r="G1967" s="30" t="s">
        <v>10867</v>
      </c>
      <c r="H1967" s="42" t="s">
        <v>10868</v>
      </c>
      <c r="I1967" s="29" t="s">
        <v>616</v>
      </c>
      <c r="J1967" s="31">
        <v>29.0</v>
      </c>
      <c r="K1967" s="35"/>
      <c r="L1967" s="35"/>
      <c r="M1967" s="35"/>
      <c r="N1967" s="35"/>
      <c r="O1967" s="35"/>
      <c r="P1967" s="35"/>
      <c r="Q1967" s="35"/>
      <c r="R1967" s="35"/>
      <c r="S1967" s="37">
        <f>IF(B1967="","",IF(ISNUMBER(J1967),IF(J1967&lt;=10,'Configuración'!$B$23,IF(J1967&lt;=50,'Configuración'!$B$24,IF(J1967&lt;=200,'Configuración'!$B$25,0))),0))</f>
        <v>4</v>
      </c>
      <c r="T1967" s="37">
        <f>IF(B1967="","",IF(ISNUMBER(SEARCH("information technology",I1967))+ISNUMBER(SEARCH("software",I1967))+ISNUMBER(SEARCH("internet",I1967))+ISNUMBER(SEARCH("computer",I1967))+ISNUMBER(SEARCH("saas",I1967))+ISNUMBER(SEARCH("fintech",I1967))+ISNUMBER(SEARCH("information services",I1967))+ISNUMBER(SEARCH("telecommunications",I1967))&gt;0,'Configuración'!$B$27,'Configuración'!$B$28))</f>
        <v>4</v>
      </c>
      <c r="U1967" s="25">
        <f>IF(B1967="","",IF(ISNUMBER(SEARCH("CEO",C1967))+ISNUMBER(SEARCH("Founder",C1967))+ISNUMBER(SEARCH("Owner",C1967))+ISNUMBER(SEARCH("Dueño",C1967))+ISNUMBER(SEARCH("Director General",C1967))+ISNUMBER(SEARCH("Presidente",C1967))+ISNUMBER(SEARCH("President",C1967))&gt;0,'Configuración'!$B$31,IF(ISNUMBER(SEARCH("CMO",C1967))+ISNUMBER(SEARCH("Chief Marketing",C1967))+ISNUMBER(SEARCH("VP Marketing",C1967))+ISNUMBER(SEARCH("Director de Marketing",C1967))+ISNUMBER(SEARCH("Director Marketing",C1967))+ISNUMBER(SEARCH("Head of Marketing",C1967))+ISNUMBER(SEARCH("Head Marketing",C1967))&gt;0,'Configuración'!$B$32,IF(ISNUMBER(SEARCH("Marketing Manager",C1967))+ISNUMBER(SEARCH("Gerente de Marketing",C1967))+ISNUMBER(SEARCH("Growth Manager",C1967))+ISNUMBER(SEARCH("Demand Gen",C1967))+ISNUMBER(SEARCH("Marketing Lead",C1967))&gt;0,'Configuración'!$B$33,IF(ISNUMBER(SEARCH("COO",C1967))+ISNUMBER(SEARCH("CFO",C1967))+ISNUMBER(SEARCH("CTO",C1967))+ISNUMBER(SEARCH("Chief Operating",C1967))+ISNUMBER(SEARCH("Chief Financial",C1967))+ISNUMBER(SEARCH("Gerente General",C1967))+ISNUMBER(SEARCH("General Manager",C1967))&gt;0,'Configuración'!$B$34,'Configuración'!$B$35)))))</f>
        <v>12</v>
      </c>
      <c r="V1967" s="38">
        <f>IF(B1967="","",IF(K1967="Sí",'Configuración'!$B$5,0)+IF(L1967="Semanal",'Configuración'!$B$6,IF(L1967="Mensual",'Configuración'!$B$7,0))+IF(M1967="Sí",'Configuración'!$B$8,0)+IF(N1967="Sí",'Configuración'!$B$9,0)+IF(O1967="Sí",'Configuración'!$B$10,0)+IF(P1967="Sí",'Configuración'!$B$11,0)+IF(Q1967="Sí",'Configuración'!$B$12,0)+S1967+T1967+U1967)</f>
        <v>20</v>
      </c>
      <c r="W1967" s="39" t="str">
        <f>IF(B1967="","",IF(V1967&gt;='Configuración'!$B$19,"A",IF(V1967&gt;='Configuración'!$B$20,"B",IF(V1967&gt;='Configuración'!$B$21,"C","Descarte"))))</f>
        <v>Descarte</v>
      </c>
    </row>
    <row r="1968" ht="15.75" customHeight="1">
      <c r="A1968" s="34">
        <f t="shared" si="1"/>
        <v>1966</v>
      </c>
      <c r="B1968" s="29" t="s">
        <v>1814</v>
      </c>
      <c r="C1968" s="29" t="s">
        <v>10869</v>
      </c>
      <c r="D1968" s="29" t="s">
        <v>10870</v>
      </c>
      <c r="E1968" s="29" t="s">
        <v>10871</v>
      </c>
      <c r="F1968" s="30" t="s">
        <v>10872</v>
      </c>
      <c r="G1968" s="30" t="s">
        <v>10873</v>
      </c>
      <c r="H1968" s="42" t="s">
        <v>10874</v>
      </c>
      <c r="I1968" s="29" t="s">
        <v>528</v>
      </c>
      <c r="J1968" s="31">
        <v>26.0</v>
      </c>
      <c r="K1968" s="35"/>
      <c r="L1968" s="35"/>
      <c r="M1968" s="35"/>
      <c r="N1968" s="35"/>
      <c r="O1968" s="35"/>
      <c r="P1968" s="35"/>
      <c r="Q1968" s="35"/>
      <c r="R1968" s="35"/>
      <c r="S1968" s="37">
        <f>IF(B1968="","",IF(ISNUMBER(J1968),IF(J1968&lt;=10,'Configuración'!$B$23,IF(J1968&lt;=50,'Configuración'!$B$24,IF(J1968&lt;=200,'Configuración'!$B$25,0))),0))</f>
        <v>4</v>
      </c>
      <c r="T1968" s="37">
        <f>IF(B1968="","",IF(ISNUMBER(SEARCH("information technology",I1968))+ISNUMBER(SEARCH("software",I1968))+ISNUMBER(SEARCH("internet",I1968))+ISNUMBER(SEARCH("computer",I1968))+ISNUMBER(SEARCH("saas",I1968))+ISNUMBER(SEARCH("fintech",I1968))+ISNUMBER(SEARCH("information services",I1968))+ISNUMBER(SEARCH("telecommunications",I1968))&gt;0,'Configuración'!$B$27,'Configuración'!$B$28))</f>
        <v>4</v>
      </c>
      <c r="U1968" s="25">
        <f>IF(B1968="","",IF(ISNUMBER(SEARCH("CEO",C1968))+ISNUMBER(SEARCH("Founder",C1968))+ISNUMBER(SEARCH("Owner",C1968))+ISNUMBER(SEARCH("Dueño",C1968))+ISNUMBER(SEARCH("Director General",C1968))+ISNUMBER(SEARCH("Presidente",C1968))+ISNUMBER(SEARCH("President",C1968))&gt;0,'Configuración'!$B$31,IF(ISNUMBER(SEARCH("CMO",C1968))+ISNUMBER(SEARCH("Chief Marketing",C1968))+ISNUMBER(SEARCH("VP Marketing",C1968))+ISNUMBER(SEARCH("Director de Marketing",C1968))+ISNUMBER(SEARCH("Director Marketing",C1968))+ISNUMBER(SEARCH("Head of Marketing",C1968))+ISNUMBER(SEARCH("Head Marketing",C1968))&gt;0,'Configuración'!$B$32,IF(ISNUMBER(SEARCH("Marketing Manager",C1968))+ISNUMBER(SEARCH("Gerente de Marketing",C1968))+ISNUMBER(SEARCH("Growth Manager",C1968))+ISNUMBER(SEARCH("Demand Gen",C1968))+ISNUMBER(SEARCH("Marketing Lead",C1968))&gt;0,'Configuración'!$B$33,IF(ISNUMBER(SEARCH("COO",C1968))+ISNUMBER(SEARCH("CFO",C1968))+ISNUMBER(SEARCH("CTO",C1968))+ISNUMBER(SEARCH("Chief Operating",C1968))+ISNUMBER(SEARCH("Chief Financial",C1968))+ISNUMBER(SEARCH("Gerente General",C1968))+ISNUMBER(SEARCH("General Manager",C1968))&gt;0,'Configuración'!$B$34,'Configuración'!$B$35)))))</f>
        <v>12</v>
      </c>
      <c r="V1968" s="38">
        <f>IF(B1968="","",IF(K1968="Sí",'Configuración'!$B$5,0)+IF(L1968="Semanal",'Configuración'!$B$6,IF(L1968="Mensual",'Configuración'!$B$7,0))+IF(M1968="Sí",'Configuración'!$B$8,0)+IF(N1968="Sí",'Configuración'!$B$9,0)+IF(O1968="Sí",'Configuración'!$B$10,0)+IF(P1968="Sí",'Configuración'!$B$11,0)+IF(Q1968="Sí",'Configuración'!$B$12,0)+S1968+T1968+U1968)</f>
        <v>20</v>
      </c>
      <c r="W1968" s="39" t="str">
        <f>IF(B1968="","",IF(V1968&gt;='Configuración'!$B$19,"A",IF(V1968&gt;='Configuración'!$B$20,"B",IF(V1968&gt;='Configuración'!$B$21,"C","Descarte"))))</f>
        <v>Descarte</v>
      </c>
    </row>
    <row r="1969" ht="15.75" customHeight="1">
      <c r="A1969" s="34">
        <f t="shared" si="1"/>
        <v>1967</v>
      </c>
      <c r="B1969" s="29" t="s">
        <v>556</v>
      </c>
      <c r="C1969" s="29" t="s">
        <v>10875</v>
      </c>
      <c r="D1969" s="29" t="s">
        <v>10876</v>
      </c>
      <c r="E1969" s="29" t="s">
        <v>10877</v>
      </c>
      <c r="F1969" s="30" t="s">
        <v>10878</v>
      </c>
      <c r="G1969" s="30" t="s">
        <v>10879</v>
      </c>
      <c r="H1969" s="42" t="s">
        <v>10880</v>
      </c>
      <c r="I1969" s="29" t="s">
        <v>145</v>
      </c>
      <c r="J1969" s="31">
        <v>8.0</v>
      </c>
      <c r="K1969" s="35"/>
      <c r="L1969" s="35"/>
      <c r="M1969" s="35"/>
      <c r="N1969" s="35"/>
      <c r="O1969" s="35"/>
      <c r="P1969" s="35"/>
      <c r="Q1969" s="35"/>
      <c r="R1969" s="35"/>
      <c r="S1969" s="37">
        <f>IF(B1969="","",IF(ISNUMBER(J1969),IF(J1969&lt;=10,'Configuración'!$B$23,IF(J1969&lt;=50,'Configuración'!$B$24,IF(J1969&lt;=200,'Configuración'!$B$25,0))),0))</f>
        <v>12</v>
      </c>
      <c r="T1969" s="37">
        <f>IF(B1969="","",IF(ISNUMBER(SEARCH("information technology",I1969))+ISNUMBER(SEARCH("software",I1969))+ISNUMBER(SEARCH("internet",I1969))+ISNUMBER(SEARCH("computer",I1969))+ISNUMBER(SEARCH("saas",I1969))+ISNUMBER(SEARCH("fintech",I1969))+ISNUMBER(SEARCH("information services",I1969))+ISNUMBER(SEARCH("telecommunications",I1969))&gt;0,'Configuración'!$B$27,'Configuración'!$B$28))</f>
        <v>4</v>
      </c>
      <c r="U1969" s="25">
        <f>IF(B1969="","",IF(ISNUMBER(SEARCH("CEO",C1969))+ISNUMBER(SEARCH("Founder",C1969))+ISNUMBER(SEARCH("Owner",C1969))+ISNUMBER(SEARCH("Dueño",C1969))+ISNUMBER(SEARCH("Director General",C1969))+ISNUMBER(SEARCH("Presidente",C1969))+ISNUMBER(SEARCH("President",C1969))&gt;0,'Configuración'!$B$31,IF(ISNUMBER(SEARCH("CMO",C1969))+ISNUMBER(SEARCH("Chief Marketing",C1969))+ISNUMBER(SEARCH("VP Marketing",C1969))+ISNUMBER(SEARCH("Director de Marketing",C1969))+ISNUMBER(SEARCH("Director Marketing",C1969))+ISNUMBER(SEARCH("Head of Marketing",C1969))+ISNUMBER(SEARCH("Head Marketing",C1969))&gt;0,'Configuración'!$B$32,IF(ISNUMBER(SEARCH("Marketing Manager",C1969))+ISNUMBER(SEARCH("Gerente de Marketing",C1969))+ISNUMBER(SEARCH("Growth Manager",C1969))+ISNUMBER(SEARCH("Demand Gen",C1969))+ISNUMBER(SEARCH("Marketing Lead",C1969))&gt;0,'Configuración'!$B$33,IF(ISNUMBER(SEARCH("COO",C1969))+ISNUMBER(SEARCH("CFO",C1969))+ISNUMBER(SEARCH("CTO",C1969))+ISNUMBER(SEARCH("Chief Operating",C1969))+ISNUMBER(SEARCH("Chief Financial",C1969))+ISNUMBER(SEARCH("Gerente General",C1969))+ISNUMBER(SEARCH("General Manager",C1969))&gt;0,'Configuración'!$B$34,'Configuración'!$B$35)))))</f>
        <v>12</v>
      </c>
      <c r="V1969" s="38">
        <f>IF(B1969="","",IF(K1969="Sí",'Configuración'!$B$5,0)+IF(L1969="Semanal",'Configuración'!$B$6,IF(L1969="Mensual",'Configuración'!$B$7,0))+IF(M1969="Sí",'Configuración'!$B$8,0)+IF(N1969="Sí",'Configuración'!$B$9,0)+IF(O1969="Sí",'Configuración'!$B$10,0)+IF(P1969="Sí",'Configuración'!$B$11,0)+IF(Q1969="Sí",'Configuración'!$B$12,0)+S1969+T1969+U1969)</f>
        <v>28</v>
      </c>
      <c r="W1969" s="39" t="str">
        <f>IF(B1969="","",IF(V1969&gt;='Configuración'!$B$19,"A",IF(V1969&gt;='Configuración'!$B$20,"B",IF(V1969&gt;='Configuración'!$B$21,"C","Descarte"))))</f>
        <v>C</v>
      </c>
    </row>
    <row r="1970" ht="15.75" customHeight="1">
      <c r="A1970" s="34">
        <f t="shared" si="1"/>
        <v>1968</v>
      </c>
      <c r="B1970" s="29" t="s">
        <v>529</v>
      </c>
      <c r="C1970" s="29" t="s">
        <v>131</v>
      </c>
      <c r="D1970" s="29" t="s">
        <v>10881</v>
      </c>
      <c r="E1970" s="29" t="s">
        <v>10882</v>
      </c>
      <c r="F1970" s="30" t="s">
        <v>10883</v>
      </c>
      <c r="G1970" s="30" t="s">
        <v>10884</v>
      </c>
      <c r="H1970" s="42" t="s">
        <v>10885</v>
      </c>
      <c r="I1970" s="29" t="s">
        <v>5129</v>
      </c>
      <c r="J1970" s="31">
        <v>24.0</v>
      </c>
      <c r="K1970" s="35"/>
      <c r="L1970" s="35"/>
      <c r="M1970" s="35"/>
      <c r="N1970" s="35"/>
      <c r="O1970" s="35"/>
      <c r="P1970" s="35"/>
      <c r="Q1970" s="35"/>
      <c r="R1970" s="35"/>
      <c r="S1970" s="37">
        <f>IF(B1970="","",IF(ISNUMBER(J1970),IF(J1970&lt;=10,'Configuración'!$B$23,IF(J1970&lt;=50,'Configuración'!$B$24,IF(J1970&lt;=200,'Configuración'!$B$25,0))),0))</f>
        <v>4</v>
      </c>
      <c r="T1970" s="37">
        <f>IF(B1970="","",IF(ISNUMBER(SEARCH("information technology",I1970))+ISNUMBER(SEARCH("software",I1970))+ISNUMBER(SEARCH("internet",I1970))+ISNUMBER(SEARCH("computer",I1970))+ISNUMBER(SEARCH("saas",I1970))+ISNUMBER(SEARCH("fintech",I1970))+ISNUMBER(SEARCH("information services",I1970))+ISNUMBER(SEARCH("telecommunications",I1970))&gt;0,'Configuración'!$B$27,'Configuración'!$B$28))</f>
        <v>12</v>
      </c>
      <c r="U1970" s="25">
        <f>IF(B1970="","",IF(ISNUMBER(SEARCH("CEO",C1970))+ISNUMBER(SEARCH("Founder",C1970))+ISNUMBER(SEARCH("Owner",C1970))+ISNUMBER(SEARCH("Dueño",C1970))+ISNUMBER(SEARCH("Director General",C1970))+ISNUMBER(SEARCH("Presidente",C1970))+ISNUMBER(SEARCH("President",C1970))&gt;0,'Configuración'!$B$31,IF(ISNUMBER(SEARCH("CMO",C1970))+ISNUMBER(SEARCH("Chief Marketing",C1970))+ISNUMBER(SEARCH("VP Marketing",C1970))+ISNUMBER(SEARCH("Director de Marketing",C1970))+ISNUMBER(SEARCH("Director Marketing",C1970))+ISNUMBER(SEARCH("Head of Marketing",C1970))+ISNUMBER(SEARCH("Head Marketing",C1970))&gt;0,'Configuración'!$B$32,IF(ISNUMBER(SEARCH("Marketing Manager",C1970))+ISNUMBER(SEARCH("Gerente de Marketing",C1970))+ISNUMBER(SEARCH("Growth Manager",C1970))+ISNUMBER(SEARCH("Demand Gen",C1970))+ISNUMBER(SEARCH("Marketing Lead",C1970))&gt;0,'Configuración'!$B$33,IF(ISNUMBER(SEARCH("COO",C1970))+ISNUMBER(SEARCH("CFO",C1970))+ISNUMBER(SEARCH("CTO",C1970))+ISNUMBER(SEARCH("Chief Operating",C1970))+ISNUMBER(SEARCH("Chief Financial",C1970))+ISNUMBER(SEARCH("Gerente General",C1970))+ISNUMBER(SEARCH("General Manager",C1970))&gt;0,'Configuración'!$B$34,'Configuración'!$B$35)))))</f>
        <v>12</v>
      </c>
      <c r="V1970" s="38">
        <f>IF(B1970="","",IF(K1970="Sí",'Configuración'!$B$5,0)+IF(L1970="Semanal",'Configuración'!$B$6,IF(L1970="Mensual",'Configuración'!$B$7,0))+IF(M1970="Sí",'Configuración'!$B$8,0)+IF(N1970="Sí",'Configuración'!$B$9,0)+IF(O1970="Sí",'Configuración'!$B$10,0)+IF(P1970="Sí",'Configuración'!$B$11,0)+IF(Q1970="Sí",'Configuración'!$B$12,0)+S1970+T1970+U1970)</f>
        <v>28</v>
      </c>
      <c r="W1970" s="39" t="str">
        <f>IF(B1970="","",IF(V1970&gt;='Configuración'!$B$19,"A",IF(V1970&gt;='Configuración'!$B$20,"B",IF(V1970&gt;='Configuración'!$B$21,"C","Descarte"))))</f>
        <v>C</v>
      </c>
    </row>
    <row r="1971" ht="15.75" customHeight="1">
      <c r="A1971" s="34">
        <f t="shared" si="1"/>
        <v>1969</v>
      </c>
      <c r="B1971" s="29" t="s">
        <v>2677</v>
      </c>
      <c r="C1971" s="29" t="s">
        <v>597</v>
      </c>
      <c r="D1971" s="29" t="s">
        <v>6437</v>
      </c>
      <c r="E1971" s="29" t="s">
        <v>10886</v>
      </c>
      <c r="F1971" s="30" t="s">
        <v>10887</v>
      </c>
      <c r="G1971" s="30" t="s">
        <v>6440</v>
      </c>
      <c r="H1971" s="42" t="s">
        <v>6441</v>
      </c>
      <c r="I1971" s="29" t="s">
        <v>127</v>
      </c>
      <c r="J1971" s="31">
        <v>9.0</v>
      </c>
      <c r="K1971" s="35"/>
      <c r="L1971" s="35"/>
      <c r="M1971" s="35"/>
      <c r="N1971" s="35"/>
      <c r="O1971" s="35"/>
      <c r="P1971" s="35"/>
      <c r="Q1971" s="35"/>
      <c r="R1971" s="35"/>
      <c r="S1971" s="37">
        <f>IF(B1971="","",IF(ISNUMBER(J1971),IF(J1971&lt;=10,'Configuración'!$B$23,IF(J1971&lt;=50,'Configuración'!$B$24,IF(J1971&lt;=200,'Configuración'!$B$25,0))),0))</f>
        <v>12</v>
      </c>
      <c r="T1971" s="37">
        <f>IF(B1971="","",IF(ISNUMBER(SEARCH("information technology",I1971))+ISNUMBER(SEARCH("software",I1971))+ISNUMBER(SEARCH("internet",I1971))+ISNUMBER(SEARCH("computer",I1971))+ISNUMBER(SEARCH("saas",I1971))+ISNUMBER(SEARCH("fintech",I1971))+ISNUMBER(SEARCH("information services",I1971))+ISNUMBER(SEARCH("telecommunications",I1971))&gt;0,'Configuración'!$B$27,'Configuración'!$B$28))</f>
        <v>12</v>
      </c>
      <c r="U1971" s="25">
        <f>IF(B1971="","",IF(ISNUMBER(SEARCH("CEO",C1971))+ISNUMBER(SEARCH("Founder",C1971))+ISNUMBER(SEARCH("Owner",C1971))+ISNUMBER(SEARCH("Dueño",C1971))+ISNUMBER(SEARCH("Director General",C1971))+ISNUMBER(SEARCH("Presidente",C1971))+ISNUMBER(SEARCH("President",C1971))&gt;0,'Configuración'!$B$31,IF(ISNUMBER(SEARCH("CMO",C1971))+ISNUMBER(SEARCH("Chief Marketing",C1971))+ISNUMBER(SEARCH("VP Marketing",C1971))+ISNUMBER(SEARCH("Director de Marketing",C1971))+ISNUMBER(SEARCH("Director Marketing",C1971))+ISNUMBER(SEARCH("Head of Marketing",C1971))+ISNUMBER(SEARCH("Head Marketing",C1971))&gt;0,'Configuración'!$B$32,IF(ISNUMBER(SEARCH("Marketing Manager",C1971))+ISNUMBER(SEARCH("Gerente de Marketing",C1971))+ISNUMBER(SEARCH("Growth Manager",C1971))+ISNUMBER(SEARCH("Demand Gen",C1971))+ISNUMBER(SEARCH("Marketing Lead",C1971))&gt;0,'Configuración'!$B$33,IF(ISNUMBER(SEARCH("COO",C1971))+ISNUMBER(SEARCH("CFO",C1971))+ISNUMBER(SEARCH("CTO",C1971))+ISNUMBER(SEARCH("Chief Operating",C1971))+ISNUMBER(SEARCH("Chief Financial",C1971))+ISNUMBER(SEARCH("Gerente General",C1971))+ISNUMBER(SEARCH("General Manager",C1971))&gt;0,'Configuración'!$B$34,'Configuración'!$B$35)))))</f>
        <v>12</v>
      </c>
      <c r="V1971" s="38">
        <f>IF(B1971="","",IF(K1971="Sí",'Configuración'!$B$5,0)+IF(L1971="Semanal",'Configuración'!$B$6,IF(L1971="Mensual",'Configuración'!$B$7,0))+IF(M1971="Sí",'Configuración'!$B$8,0)+IF(N1971="Sí",'Configuración'!$B$9,0)+IF(O1971="Sí",'Configuración'!$B$10,0)+IF(P1971="Sí",'Configuración'!$B$11,0)+IF(Q1971="Sí",'Configuración'!$B$12,0)+S1971+T1971+U1971)</f>
        <v>36</v>
      </c>
      <c r="W1971" s="39" t="str">
        <f>IF(B1971="","",IF(V1971&gt;='Configuración'!$B$19,"A",IF(V1971&gt;='Configuración'!$B$20,"B",IF(V1971&gt;='Configuración'!$B$21,"C","Descarte"))))</f>
        <v>C</v>
      </c>
    </row>
    <row r="1972" ht="15.75" customHeight="1">
      <c r="A1972" s="34">
        <f t="shared" si="1"/>
        <v>1970</v>
      </c>
      <c r="B1972" s="29" t="s">
        <v>174</v>
      </c>
      <c r="C1972" s="29" t="s">
        <v>10888</v>
      </c>
      <c r="D1972" s="29" t="s">
        <v>10889</v>
      </c>
      <c r="E1972" s="29" t="s">
        <v>10890</v>
      </c>
      <c r="F1972" s="30" t="s">
        <v>10891</v>
      </c>
      <c r="G1972" s="30" t="s">
        <v>10892</v>
      </c>
      <c r="H1972" s="42" t="s">
        <v>10893</v>
      </c>
      <c r="I1972" s="29" t="s">
        <v>116</v>
      </c>
      <c r="J1972" s="31">
        <v>1.0</v>
      </c>
      <c r="K1972" s="35"/>
      <c r="L1972" s="35"/>
      <c r="M1972" s="35"/>
      <c r="N1972" s="35"/>
      <c r="O1972" s="35"/>
      <c r="P1972" s="35"/>
      <c r="Q1972" s="35"/>
      <c r="R1972" s="35"/>
      <c r="S1972" s="37">
        <f>IF(B1972="","",IF(ISNUMBER(J1972),IF(J1972&lt;=10,'Configuración'!$B$23,IF(J1972&lt;=50,'Configuración'!$B$24,IF(J1972&lt;=200,'Configuración'!$B$25,0))),0))</f>
        <v>12</v>
      </c>
      <c r="T1972" s="37">
        <f>IF(B1972="","",IF(ISNUMBER(SEARCH("information technology",I1972))+ISNUMBER(SEARCH("software",I1972))+ISNUMBER(SEARCH("internet",I1972))+ISNUMBER(SEARCH("computer",I1972))+ISNUMBER(SEARCH("saas",I1972))+ISNUMBER(SEARCH("fintech",I1972))+ISNUMBER(SEARCH("information services",I1972))+ISNUMBER(SEARCH("telecommunications",I1972))&gt;0,'Configuración'!$B$27,'Configuración'!$B$28))</f>
        <v>4</v>
      </c>
      <c r="U1972" s="25">
        <f>IF(B1972="","",IF(ISNUMBER(SEARCH("CEO",C1972))+ISNUMBER(SEARCH("Founder",C1972))+ISNUMBER(SEARCH("Owner",C1972))+ISNUMBER(SEARCH("Dueño",C1972))+ISNUMBER(SEARCH("Director General",C1972))+ISNUMBER(SEARCH("Presidente",C1972))+ISNUMBER(SEARCH("President",C1972))&gt;0,'Configuración'!$B$31,IF(ISNUMBER(SEARCH("CMO",C1972))+ISNUMBER(SEARCH("Chief Marketing",C1972))+ISNUMBER(SEARCH("VP Marketing",C1972))+ISNUMBER(SEARCH("Director de Marketing",C1972))+ISNUMBER(SEARCH("Director Marketing",C1972))+ISNUMBER(SEARCH("Head of Marketing",C1972))+ISNUMBER(SEARCH("Head Marketing",C1972))&gt;0,'Configuración'!$B$32,IF(ISNUMBER(SEARCH("Marketing Manager",C1972))+ISNUMBER(SEARCH("Gerente de Marketing",C1972))+ISNUMBER(SEARCH("Growth Manager",C1972))+ISNUMBER(SEARCH("Demand Gen",C1972))+ISNUMBER(SEARCH("Marketing Lead",C1972))&gt;0,'Configuración'!$B$33,IF(ISNUMBER(SEARCH("COO",C1972))+ISNUMBER(SEARCH("CFO",C1972))+ISNUMBER(SEARCH("CTO",C1972))+ISNUMBER(SEARCH("Chief Operating",C1972))+ISNUMBER(SEARCH("Chief Financial",C1972))+ISNUMBER(SEARCH("Gerente General",C1972))+ISNUMBER(SEARCH("General Manager",C1972))&gt;0,'Configuración'!$B$34,'Configuración'!$B$35)))))</f>
        <v>12</v>
      </c>
      <c r="V1972" s="38">
        <f>IF(B1972="","",IF(K1972="Sí",'Configuración'!$B$5,0)+IF(L1972="Semanal",'Configuración'!$B$6,IF(L1972="Mensual",'Configuración'!$B$7,0))+IF(M1972="Sí",'Configuración'!$B$8,0)+IF(N1972="Sí",'Configuración'!$B$9,0)+IF(O1972="Sí",'Configuración'!$B$10,0)+IF(P1972="Sí",'Configuración'!$B$11,0)+IF(Q1972="Sí",'Configuración'!$B$12,0)+S1972+T1972+U1972)</f>
        <v>28</v>
      </c>
      <c r="W1972" s="39" t="str">
        <f>IF(B1972="","",IF(V1972&gt;='Configuración'!$B$19,"A",IF(V1972&gt;='Configuración'!$B$20,"B",IF(V1972&gt;='Configuración'!$B$21,"C","Descarte"))))</f>
        <v>C</v>
      </c>
    </row>
    <row r="1973" ht="15.75" customHeight="1">
      <c r="A1973" s="34">
        <f t="shared" si="1"/>
        <v>1971</v>
      </c>
      <c r="B1973" s="29" t="s">
        <v>1534</v>
      </c>
      <c r="C1973" s="29" t="s">
        <v>1617</v>
      </c>
      <c r="D1973" s="29" t="s">
        <v>10894</v>
      </c>
      <c r="E1973" s="29" t="s">
        <v>10895</v>
      </c>
      <c r="F1973" s="30" t="s">
        <v>10896</v>
      </c>
      <c r="G1973" s="30" t="s">
        <v>10897</v>
      </c>
      <c r="H1973" s="42" t="s">
        <v>10898</v>
      </c>
      <c r="I1973" s="29" t="s">
        <v>188</v>
      </c>
      <c r="J1973" s="31">
        <v>6.0</v>
      </c>
      <c r="K1973" s="35"/>
      <c r="L1973" s="35"/>
      <c r="M1973" s="35"/>
      <c r="N1973" s="35"/>
      <c r="O1973" s="35"/>
      <c r="P1973" s="35"/>
      <c r="Q1973" s="35"/>
      <c r="R1973" s="35"/>
      <c r="S1973" s="37">
        <f>IF(B1973="","",IF(ISNUMBER(J1973),IF(J1973&lt;=10,'Configuración'!$B$23,IF(J1973&lt;=50,'Configuración'!$B$24,IF(J1973&lt;=200,'Configuración'!$B$25,0))),0))</f>
        <v>12</v>
      </c>
      <c r="T1973" s="37">
        <f>IF(B1973="","",IF(ISNUMBER(SEARCH("information technology",I1973))+ISNUMBER(SEARCH("software",I1973))+ISNUMBER(SEARCH("internet",I1973))+ISNUMBER(SEARCH("computer",I1973))+ISNUMBER(SEARCH("saas",I1973))+ISNUMBER(SEARCH("fintech",I1973))+ISNUMBER(SEARCH("information services",I1973))+ISNUMBER(SEARCH("telecommunications",I1973))&gt;0,'Configuración'!$B$27,'Configuración'!$B$28))</f>
        <v>4</v>
      </c>
      <c r="U1973" s="25">
        <f>IF(B1973="","",IF(ISNUMBER(SEARCH("CEO",C1973))+ISNUMBER(SEARCH("Founder",C1973))+ISNUMBER(SEARCH("Owner",C1973))+ISNUMBER(SEARCH("Dueño",C1973))+ISNUMBER(SEARCH("Director General",C1973))+ISNUMBER(SEARCH("Presidente",C1973))+ISNUMBER(SEARCH("President",C1973))&gt;0,'Configuración'!$B$31,IF(ISNUMBER(SEARCH("CMO",C1973))+ISNUMBER(SEARCH("Chief Marketing",C1973))+ISNUMBER(SEARCH("VP Marketing",C1973))+ISNUMBER(SEARCH("Director de Marketing",C1973))+ISNUMBER(SEARCH("Director Marketing",C1973))+ISNUMBER(SEARCH("Head of Marketing",C1973))+ISNUMBER(SEARCH("Head Marketing",C1973))&gt;0,'Configuración'!$B$32,IF(ISNUMBER(SEARCH("Marketing Manager",C1973))+ISNUMBER(SEARCH("Gerente de Marketing",C1973))+ISNUMBER(SEARCH("Growth Manager",C1973))+ISNUMBER(SEARCH("Demand Gen",C1973))+ISNUMBER(SEARCH("Marketing Lead",C1973))&gt;0,'Configuración'!$B$33,IF(ISNUMBER(SEARCH("COO",C1973))+ISNUMBER(SEARCH("CFO",C1973))+ISNUMBER(SEARCH("CTO",C1973))+ISNUMBER(SEARCH("Chief Operating",C1973))+ISNUMBER(SEARCH("Chief Financial",C1973))+ISNUMBER(SEARCH("Gerente General",C1973))+ISNUMBER(SEARCH("General Manager",C1973))&gt;0,'Configuración'!$B$34,'Configuración'!$B$35)))))</f>
        <v>12</v>
      </c>
      <c r="V1973" s="38">
        <f>IF(B1973="","",IF(K1973="Sí",'Configuración'!$B$5,0)+IF(L1973="Semanal",'Configuración'!$B$6,IF(L1973="Mensual",'Configuración'!$B$7,0))+IF(M1973="Sí",'Configuración'!$B$8,0)+IF(N1973="Sí",'Configuración'!$B$9,0)+IF(O1973="Sí",'Configuración'!$B$10,0)+IF(P1973="Sí",'Configuración'!$B$11,0)+IF(Q1973="Sí",'Configuración'!$B$12,0)+S1973+T1973+U1973)</f>
        <v>28</v>
      </c>
      <c r="W1973" s="39" t="str">
        <f>IF(B1973="","",IF(V1973&gt;='Configuración'!$B$19,"A",IF(V1973&gt;='Configuración'!$B$20,"B",IF(V1973&gt;='Configuración'!$B$21,"C","Descarte"))))</f>
        <v>C</v>
      </c>
    </row>
    <row r="1974" ht="15.75" customHeight="1">
      <c r="A1974" s="34">
        <f t="shared" si="1"/>
        <v>1972</v>
      </c>
      <c r="B1974" s="29" t="s">
        <v>174</v>
      </c>
      <c r="C1974" s="29" t="s">
        <v>2266</v>
      </c>
      <c r="D1974" s="29" t="s">
        <v>10899</v>
      </c>
      <c r="E1974" s="29" t="s">
        <v>10900</v>
      </c>
      <c r="F1974" s="30" t="s">
        <v>10901</v>
      </c>
      <c r="G1974" s="30" t="s">
        <v>10902</v>
      </c>
      <c r="H1974" s="42" t="s">
        <v>10903</v>
      </c>
      <c r="I1974" s="29" t="s">
        <v>127</v>
      </c>
      <c r="J1974" s="31">
        <v>3.0</v>
      </c>
      <c r="K1974" s="35"/>
      <c r="L1974" s="35"/>
      <c r="M1974" s="35"/>
      <c r="N1974" s="35"/>
      <c r="O1974" s="35"/>
      <c r="P1974" s="35"/>
      <c r="Q1974" s="35"/>
      <c r="R1974" s="35"/>
      <c r="S1974" s="37">
        <f>IF(B1974="","",IF(ISNUMBER(J1974),IF(J1974&lt;=10,'Configuración'!$B$23,IF(J1974&lt;=50,'Configuración'!$B$24,IF(J1974&lt;=200,'Configuración'!$B$25,0))),0))</f>
        <v>12</v>
      </c>
      <c r="T1974" s="37">
        <f>IF(B1974="","",IF(ISNUMBER(SEARCH("information technology",I1974))+ISNUMBER(SEARCH("software",I1974))+ISNUMBER(SEARCH("internet",I1974))+ISNUMBER(SEARCH("computer",I1974))+ISNUMBER(SEARCH("saas",I1974))+ISNUMBER(SEARCH("fintech",I1974))+ISNUMBER(SEARCH("information services",I1974))+ISNUMBER(SEARCH("telecommunications",I1974))&gt;0,'Configuración'!$B$27,'Configuración'!$B$28))</f>
        <v>12</v>
      </c>
      <c r="U1974" s="25">
        <f>IF(B1974="","",IF(ISNUMBER(SEARCH("CEO",C1974))+ISNUMBER(SEARCH("Founder",C1974))+ISNUMBER(SEARCH("Owner",C1974))+ISNUMBER(SEARCH("Dueño",C1974))+ISNUMBER(SEARCH("Director General",C1974))+ISNUMBER(SEARCH("Presidente",C1974))+ISNUMBER(SEARCH("President",C1974))&gt;0,'Configuración'!$B$31,IF(ISNUMBER(SEARCH("CMO",C1974))+ISNUMBER(SEARCH("Chief Marketing",C1974))+ISNUMBER(SEARCH("VP Marketing",C1974))+ISNUMBER(SEARCH("Director de Marketing",C1974))+ISNUMBER(SEARCH("Director Marketing",C1974))+ISNUMBER(SEARCH("Head of Marketing",C1974))+ISNUMBER(SEARCH("Head Marketing",C1974))&gt;0,'Configuración'!$B$32,IF(ISNUMBER(SEARCH("Marketing Manager",C1974))+ISNUMBER(SEARCH("Gerente de Marketing",C1974))+ISNUMBER(SEARCH("Growth Manager",C1974))+ISNUMBER(SEARCH("Demand Gen",C1974))+ISNUMBER(SEARCH("Marketing Lead",C1974))&gt;0,'Configuración'!$B$33,IF(ISNUMBER(SEARCH("COO",C1974))+ISNUMBER(SEARCH("CFO",C1974))+ISNUMBER(SEARCH("CTO",C1974))+ISNUMBER(SEARCH("Chief Operating",C1974))+ISNUMBER(SEARCH("Chief Financial",C1974))+ISNUMBER(SEARCH("Gerente General",C1974))+ISNUMBER(SEARCH("General Manager",C1974))&gt;0,'Configuración'!$B$34,'Configuración'!$B$35)))))</f>
        <v>12</v>
      </c>
      <c r="V1974" s="38">
        <f>IF(B1974="","",IF(K1974="Sí",'Configuración'!$B$5,0)+IF(L1974="Semanal",'Configuración'!$B$6,IF(L1974="Mensual",'Configuración'!$B$7,0))+IF(M1974="Sí",'Configuración'!$B$8,0)+IF(N1974="Sí",'Configuración'!$B$9,0)+IF(O1974="Sí",'Configuración'!$B$10,0)+IF(P1974="Sí",'Configuración'!$B$11,0)+IF(Q1974="Sí",'Configuración'!$B$12,0)+S1974+T1974+U1974)</f>
        <v>36</v>
      </c>
      <c r="W1974" s="39" t="str">
        <f>IF(B1974="","",IF(V1974&gt;='Configuración'!$B$19,"A",IF(V1974&gt;='Configuración'!$B$20,"B",IF(V1974&gt;='Configuración'!$B$21,"C","Descarte"))))</f>
        <v>C</v>
      </c>
    </row>
    <row r="1975" ht="15.75" customHeight="1">
      <c r="A1975" s="34">
        <f t="shared" si="1"/>
        <v>1973</v>
      </c>
      <c r="B1975" s="29" t="s">
        <v>120</v>
      </c>
      <c r="C1975" s="29" t="s">
        <v>10904</v>
      </c>
      <c r="D1975" s="29" t="s">
        <v>10905</v>
      </c>
      <c r="E1975" s="29" t="s">
        <v>10906</v>
      </c>
      <c r="F1975" s="30" t="s">
        <v>10907</v>
      </c>
      <c r="G1975" s="30" t="s">
        <v>10908</v>
      </c>
      <c r="H1975" s="42" t="s">
        <v>10909</v>
      </c>
      <c r="I1975" s="29" t="s">
        <v>1196</v>
      </c>
      <c r="J1975" s="31">
        <v>4.0</v>
      </c>
      <c r="K1975" s="35"/>
      <c r="L1975" s="35"/>
      <c r="M1975" s="35"/>
      <c r="N1975" s="35"/>
      <c r="O1975" s="35"/>
      <c r="P1975" s="35"/>
      <c r="Q1975" s="35"/>
      <c r="R1975" s="35"/>
      <c r="S1975" s="37">
        <f>IF(B1975="","",IF(ISNUMBER(J1975),IF(J1975&lt;=10,'Configuración'!$B$23,IF(J1975&lt;=50,'Configuración'!$B$24,IF(J1975&lt;=200,'Configuración'!$B$25,0))),0))</f>
        <v>12</v>
      </c>
      <c r="T1975" s="37">
        <f>IF(B1975="","",IF(ISNUMBER(SEARCH("information technology",I1975))+ISNUMBER(SEARCH("software",I1975))+ISNUMBER(SEARCH("internet",I1975))+ISNUMBER(SEARCH("computer",I1975))+ISNUMBER(SEARCH("saas",I1975))+ISNUMBER(SEARCH("fintech",I1975))+ISNUMBER(SEARCH("information services",I1975))+ISNUMBER(SEARCH("telecommunications",I1975))&gt;0,'Configuración'!$B$27,'Configuración'!$B$28))</f>
        <v>4</v>
      </c>
      <c r="U1975" s="25">
        <f>IF(B1975="","",IF(ISNUMBER(SEARCH("CEO",C1975))+ISNUMBER(SEARCH("Founder",C1975))+ISNUMBER(SEARCH("Owner",C1975))+ISNUMBER(SEARCH("Dueño",C1975))+ISNUMBER(SEARCH("Director General",C1975))+ISNUMBER(SEARCH("Presidente",C1975))+ISNUMBER(SEARCH("President",C1975))&gt;0,'Configuración'!$B$31,IF(ISNUMBER(SEARCH("CMO",C1975))+ISNUMBER(SEARCH("Chief Marketing",C1975))+ISNUMBER(SEARCH("VP Marketing",C1975))+ISNUMBER(SEARCH("Director de Marketing",C1975))+ISNUMBER(SEARCH("Director Marketing",C1975))+ISNUMBER(SEARCH("Head of Marketing",C1975))+ISNUMBER(SEARCH("Head Marketing",C1975))&gt;0,'Configuración'!$B$32,IF(ISNUMBER(SEARCH("Marketing Manager",C1975))+ISNUMBER(SEARCH("Gerente de Marketing",C1975))+ISNUMBER(SEARCH("Growth Manager",C1975))+ISNUMBER(SEARCH("Demand Gen",C1975))+ISNUMBER(SEARCH("Marketing Lead",C1975))&gt;0,'Configuración'!$B$33,IF(ISNUMBER(SEARCH("COO",C1975))+ISNUMBER(SEARCH("CFO",C1975))+ISNUMBER(SEARCH("CTO",C1975))+ISNUMBER(SEARCH("Chief Operating",C1975))+ISNUMBER(SEARCH("Chief Financial",C1975))+ISNUMBER(SEARCH("Gerente General",C1975))+ISNUMBER(SEARCH("General Manager",C1975))&gt;0,'Configuración'!$B$34,'Configuración'!$B$35)))))</f>
        <v>12</v>
      </c>
      <c r="V1975" s="38">
        <f>IF(B1975="","",IF(K1975="Sí",'Configuración'!$B$5,0)+IF(L1975="Semanal",'Configuración'!$B$6,IF(L1975="Mensual",'Configuración'!$B$7,0))+IF(M1975="Sí",'Configuración'!$B$8,0)+IF(N1975="Sí",'Configuración'!$B$9,0)+IF(O1975="Sí",'Configuración'!$B$10,0)+IF(P1975="Sí",'Configuración'!$B$11,0)+IF(Q1975="Sí",'Configuración'!$B$12,0)+S1975+T1975+U1975)</f>
        <v>28</v>
      </c>
      <c r="W1975" s="39" t="str">
        <f>IF(B1975="","",IF(V1975&gt;='Configuración'!$B$19,"A",IF(V1975&gt;='Configuración'!$B$20,"B",IF(V1975&gt;='Configuración'!$B$21,"C","Descarte"))))</f>
        <v>C</v>
      </c>
    </row>
    <row r="1976" ht="15.75" customHeight="1">
      <c r="A1976" s="34">
        <f t="shared" si="1"/>
        <v>1974</v>
      </c>
      <c r="B1976" s="29" t="s">
        <v>3167</v>
      </c>
      <c r="C1976" s="29" t="s">
        <v>131</v>
      </c>
      <c r="D1976" s="29" t="s">
        <v>10910</v>
      </c>
      <c r="E1976" s="29" t="s">
        <v>10911</v>
      </c>
      <c r="F1976" s="30" t="s">
        <v>10912</v>
      </c>
      <c r="G1976" s="30" t="s">
        <v>10913</v>
      </c>
      <c r="H1976" s="42" t="s">
        <v>10914</v>
      </c>
      <c r="I1976" s="29" t="s">
        <v>188</v>
      </c>
      <c r="J1976" s="31">
        <v>3.0</v>
      </c>
      <c r="K1976" s="35"/>
      <c r="L1976" s="35"/>
      <c r="M1976" s="35"/>
      <c r="N1976" s="35"/>
      <c r="O1976" s="35"/>
      <c r="P1976" s="35"/>
      <c r="Q1976" s="35"/>
      <c r="R1976" s="35"/>
      <c r="S1976" s="37">
        <f>IF(B1976="","",IF(ISNUMBER(J1976),IF(J1976&lt;=10,'Configuración'!$B$23,IF(J1976&lt;=50,'Configuración'!$B$24,IF(J1976&lt;=200,'Configuración'!$B$25,0))),0))</f>
        <v>12</v>
      </c>
      <c r="T1976" s="37">
        <f>IF(B1976="","",IF(ISNUMBER(SEARCH("information technology",I1976))+ISNUMBER(SEARCH("software",I1976))+ISNUMBER(SEARCH("internet",I1976))+ISNUMBER(SEARCH("computer",I1976))+ISNUMBER(SEARCH("saas",I1976))+ISNUMBER(SEARCH("fintech",I1976))+ISNUMBER(SEARCH("information services",I1976))+ISNUMBER(SEARCH("telecommunications",I1976))&gt;0,'Configuración'!$B$27,'Configuración'!$B$28))</f>
        <v>4</v>
      </c>
      <c r="U1976" s="25">
        <f>IF(B1976="","",IF(ISNUMBER(SEARCH("CEO",C1976))+ISNUMBER(SEARCH("Founder",C1976))+ISNUMBER(SEARCH("Owner",C1976))+ISNUMBER(SEARCH("Dueño",C1976))+ISNUMBER(SEARCH("Director General",C1976))+ISNUMBER(SEARCH("Presidente",C1976))+ISNUMBER(SEARCH("President",C1976))&gt;0,'Configuración'!$B$31,IF(ISNUMBER(SEARCH("CMO",C1976))+ISNUMBER(SEARCH("Chief Marketing",C1976))+ISNUMBER(SEARCH("VP Marketing",C1976))+ISNUMBER(SEARCH("Director de Marketing",C1976))+ISNUMBER(SEARCH("Director Marketing",C1976))+ISNUMBER(SEARCH("Head of Marketing",C1976))+ISNUMBER(SEARCH("Head Marketing",C1976))&gt;0,'Configuración'!$B$32,IF(ISNUMBER(SEARCH("Marketing Manager",C1976))+ISNUMBER(SEARCH("Gerente de Marketing",C1976))+ISNUMBER(SEARCH("Growth Manager",C1976))+ISNUMBER(SEARCH("Demand Gen",C1976))+ISNUMBER(SEARCH("Marketing Lead",C1976))&gt;0,'Configuración'!$B$33,IF(ISNUMBER(SEARCH("COO",C1976))+ISNUMBER(SEARCH("CFO",C1976))+ISNUMBER(SEARCH("CTO",C1976))+ISNUMBER(SEARCH("Chief Operating",C1976))+ISNUMBER(SEARCH("Chief Financial",C1976))+ISNUMBER(SEARCH("Gerente General",C1976))+ISNUMBER(SEARCH("General Manager",C1976))&gt;0,'Configuración'!$B$34,'Configuración'!$B$35)))))</f>
        <v>12</v>
      </c>
      <c r="V1976" s="38">
        <f>IF(B1976="","",IF(K1976="Sí",'Configuración'!$B$5,0)+IF(L1976="Semanal",'Configuración'!$B$6,IF(L1976="Mensual",'Configuración'!$B$7,0))+IF(M1976="Sí",'Configuración'!$B$8,0)+IF(N1976="Sí",'Configuración'!$B$9,0)+IF(O1976="Sí",'Configuración'!$B$10,0)+IF(P1976="Sí",'Configuración'!$B$11,0)+IF(Q1976="Sí",'Configuración'!$B$12,0)+S1976+T1976+U1976)</f>
        <v>28</v>
      </c>
      <c r="W1976" s="39" t="str">
        <f>IF(B1976="","",IF(V1976&gt;='Configuración'!$B$19,"A",IF(V1976&gt;='Configuración'!$B$20,"B",IF(V1976&gt;='Configuración'!$B$21,"C","Descarte"))))</f>
        <v>C</v>
      </c>
    </row>
    <row r="1977" ht="15.75" customHeight="1">
      <c r="A1977" s="34">
        <f t="shared" si="1"/>
        <v>1975</v>
      </c>
      <c r="B1977" s="29" t="s">
        <v>536</v>
      </c>
      <c r="C1977" s="29" t="s">
        <v>202</v>
      </c>
      <c r="D1977" s="29" t="s">
        <v>10915</v>
      </c>
      <c r="E1977" s="29" t="s">
        <v>10916</v>
      </c>
      <c r="F1977" s="30" t="s">
        <v>10917</v>
      </c>
      <c r="G1977" s="30" t="s">
        <v>10918</v>
      </c>
      <c r="H1977" s="42" t="s">
        <v>10919</v>
      </c>
      <c r="I1977" s="29" t="s">
        <v>127</v>
      </c>
      <c r="J1977" s="31">
        <v>7.0</v>
      </c>
      <c r="K1977" s="35"/>
      <c r="L1977" s="35"/>
      <c r="M1977" s="35"/>
      <c r="N1977" s="35"/>
      <c r="O1977" s="35"/>
      <c r="P1977" s="35"/>
      <c r="Q1977" s="35"/>
      <c r="R1977" s="35"/>
      <c r="S1977" s="37">
        <f>IF(B1977="","",IF(ISNUMBER(J1977),IF(J1977&lt;=10,'Configuración'!$B$23,IF(J1977&lt;=50,'Configuración'!$B$24,IF(J1977&lt;=200,'Configuración'!$B$25,0))),0))</f>
        <v>12</v>
      </c>
      <c r="T1977" s="37">
        <f>IF(B1977="","",IF(ISNUMBER(SEARCH("information technology",I1977))+ISNUMBER(SEARCH("software",I1977))+ISNUMBER(SEARCH("internet",I1977))+ISNUMBER(SEARCH("computer",I1977))+ISNUMBER(SEARCH("saas",I1977))+ISNUMBER(SEARCH("fintech",I1977))+ISNUMBER(SEARCH("information services",I1977))+ISNUMBER(SEARCH("telecommunications",I1977))&gt;0,'Configuración'!$B$27,'Configuración'!$B$28))</f>
        <v>12</v>
      </c>
      <c r="U1977" s="25">
        <f>IF(B1977="","",IF(ISNUMBER(SEARCH("CEO",C1977))+ISNUMBER(SEARCH("Founder",C1977))+ISNUMBER(SEARCH("Owner",C1977))+ISNUMBER(SEARCH("Dueño",C1977))+ISNUMBER(SEARCH("Director General",C1977))+ISNUMBER(SEARCH("Presidente",C1977))+ISNUMBER(SEARCH("President",C1977))&gt;0,'Configuración'!$B$31,IF(ISNUMBER(SEARCH("CMO",C1977))+ISNUMBER(SEARCH("Chief Marketing",C1977))+ISNUMBER(SEARCH("VP Marketing",C1977))+ISNUMBER(SEARCH("Director de Marketing",C1977))+ISNUMBER(SEARCH("Director Marketing",C1977))+ISNUMBER(SEARCH("Head of Marketing",C1977))+ISNUMBER(SEARCH("Head Marketing",C1977))&gt;0,'Configuración'!$B$32,IF(ISNUMBER(SEARCH("Marketing Manager",C1977))+ISNUMBER(SEARCH("Gerente de Marketing",C1977))+ISNUMBER(SEARCH("Growth Manager",C1977))+ISNUMBER(SEARCH("Demand Gen",C1977))+ISNUMBER(SEARCH("Marketing Lead",C1977))&gt;0,'Configuración'!$B$33,IF(ISNUMBER(SEARCH("COO",C1977))+ISNUMBER(SEARCH("CFO",C1977))+ISNUMBER(SEARCH("CTO",C1977))+ISNUMBER(SEARCH("Chief Operating",C1977))+ISNUMBER(SEARCH("Chief Financial",C1977))+ISNUMBER(SEARCH("Gerente General",C1977))+ISNUMBER(SEARCH("General Manager",C1977))&gt;0,'Configuración'!$B$34,'Configuración'!$B$35)))))</f>
        <v>12</v>
      </c>
      <c r="V1977" s="38">
        <f>IF(B1977="","",IF(K1977="Sí",'Configuración'!$B$5,0)+IF(L1977="Semanal",'Configuración'!$B$6,IF(L1977="Mensual",'Configuración'!$B$7,0))+IF(M1977="Sí",'Configuración'!$B$8,0)+IF(N1977="Sí",'Configuración'!$B$9,0)+IF(O1977="Sí",'Configuración'!$B$10,0)+IF(P1977="Sí",'Configuración'!$B$11,0)+IF(Q1977="Sí",'Configuración'!$B$12,0)+S1977+T1977+U1977)</f>
        <v>36</v>
      </c>
      <c r="W1977" s="39" t="str">
        <f>IF(B1977="","",IF(V1977&gt;='Configuración'!$B$19,"A",IF(V1977&gt;='Configuración'!$B$20,"B",IF(V1977&gt;='Configuración'!$B$21,"C","Descarte"))))</f>
        <v>C</v>
      </c>
    </row>
    <row r="1978" ht="15.75" customHeight="1">
      <c r="A1978" s="34">
        <f t="shared" si="1"/>
        <v>1976</v>
      </c>
      <c r="B1978" s="29" t="s">
        <v>5993</v>
      </c>
      <c r="C1978" s="29" t="s">
        <v>934</v>
      </c>
      <c r="D1978" s="29" t="s">
        <v>10920</v>
      </c>
      <c r="E1978" s="29" t="s">
        <v>10921</v>
      </c>
      <c r="F1978" s="30" t="s">
        <v>10922</v>
      </c>
      <c r="G1978" s="30" t="s">
        <v>10923</v>
      </c>
      <c r="H1978" s="42" t="s">
        <v>10924</v>
      </c>
      <c r="I1978" s="29" t="s">
        <v>137</v>
      </c>
      <c r="J1978" s="31">
        <v>2.0</v>
      </c>
      <c r="K1978" s="35"/>
      <c r="L1978" s="35"/>
      <c r="M1978" s="35"/>
      <c r="N1978" s="35"/>
      <c r="O1978" s="35"/>
      <c r="P1978" s="35"/>
      <c r="Q1978" s="35"/>
      <c r="R1978" s="35"/>
      <c r="S1978" s="37">
        <f>IF(B1978="","",IF(ISNUMBER(J1978),IF(J1978&lt;=10,'Configuración'!$B$23,IF(J1978&lt;=50,'Configuración'!$B$24,IF(J1978&lt;=200,'Configuración'!$B$25,0))),0))</f>
        <v>12</v>
      </c>
      <c r="T1978" s="37">
        <f>IF(B1978="","",IF(ISNUMBER(SEARCH("information technology",I1978))+ISNUMBER(SEARCH("software",I1978))+ISNUMBER(SEARCH("internet",I1978))+ISNUMBER(SEARCH("computer",I1978))+ISNUMBER(SEARCH("saas",I1978))+ISNUMBER(SEARCH("fintech",I1978))+ISNUMBER(SEARCH("information services",I1978))+ISNUMBER(SEARCH("telecommunications",I1978))&gt;0,'Configuración'!$B$27,'Configuración'!$B$28))</f>
        <v>4</v>
      </c>
      <c r="U1978" s="25">
        <f>IF(B1978="","",IF(ISNUMBER(SEARCH("CEO",C1978))+ISNUMBER(SEARCH("Founder",C1978))+ISNUMBER(SEARCH("Owner",C1978))+ISNUMBER(SEARCH("Dueño",C1978))+ISNUMBER(SEARCH("Director General",C1978))+ISNUMBER(SEARCH("Presidente",C1978))+ISNUMBER(SEARCH("President",C1978))&gt;0,'Configuración'!$B$31,IF(ISNUMBER(SEARCH("CMO",C1978))+ISNUMBER(SEARCH("Chief Marketing",C1978))+ISNUMBER(SEARCH("VP Marketing",C1978))+ISNUMBER(SEARCH("Director de Marketing",C1978))+ISNUMBER(SEARCH("Director Marketing",C1978))+ISNUMBER(SEARCH("Head of Marketing",C1978))+ISNUMBER(SEARCH("Head Marketing",C1978))&gt;0,'Configuración'!$B$32,IF(ISNUMBER(SEARCH("Marketing Manager",C1978))+ISNUMBER(SEARCH("Gerente de Marketing",C1978))+ISNUMBER(SEARCH("Growth Manager",C1978))+ISNUMBER(SEARCH("Demand Gen",C1978))+ISNUMBER(SEARCH("Marketing Lead",C1978))&gt;0,'Configuración'!$B$33,IF(ISNUMBER(SEARCH("COO",C1978))+ISNUMBER(SEARCH("CFO",C1978))+ISNUMBER(SEARCH("CTO",C1978))+ISNUMBER(SEARCH("Chief Operating",C1978))+ISNUMBER(SEARCH("Chief Financial",C1978))+ISNUMBER(SEARCH("Gerente General",C1978))+ISNUMBER(SEARCH("General Manager",C1978))&gt;0,'Configuración'!$B$34,'Configuración'!$B$35)))))</f>
        <v>12</v>
      </c>
      <c r="V1978" s="38">
        <f>IF(B1978="","",IF(K1978="Sí",'Configuración'!$B$5,0)+IF(L1978="Semanal",'Configuración'!$B$6,IF(L1978="Mensual",'Configuración'!$B$7,0))+IF(M1978="Sí",'Configuración'!$B$8,0)+IF(N1978="Sí",'Configuración'!$B$9,0)+IF(O1978="Sí",'Configuración'!$B$10,0)+IF(P1978="Sí",'Configuración'!$B$11,0)+IF(Q1978="Sí",'Configuración'!$B$12,0)+S1978+T1978+U1978)</f>
        <v>28</v>
      </c>
      <c r="W1978" s="39" t="str">
        <f>IF(B1978="","",IF(V1978&gt;='Configuración'!$B$19,"A",IF(V1978&gt;='Configuración'!$B$20,"B",IF(V1978&gt;='Configuración'!$B$21,"C","Descarte"))))</f>
        <v>C</v>
      </c>
    </row>
    <row r="1979" ht="15.75" customHeight="1">
      <c r="A1979" s="34">
        <f t="shared" si="1"/>
        <v>1977</v>
      </c>
      <c r="B1979" s="29" t="s">
        <v>2677</v>
      </c>
      <c r="C1979" s="29" t="s">
        <v>10925</v>
      </c>
      <c r="D1979" s="29" t="s">
        <v>10926</v>
      </c>
      <c r="E1979" s="29" t="s">
        <v>10927</v>
      </c>
      <c r="F1979" s="30" t="s">
        <v>10928</v>
      </c>
      <c r="G1979" s="30" t="s">
        <v>10929</v>
      </c>
      <c r="H1979" s="42" t="s">
        <v>10930</v>
      </c>
      <c r="I1979" s="29" t="s">
        <v>116</v>
      </c>
      <c r="J1979" s="31">
        <v>2.0</v>
      </c>
      <c r="K1979" s="35"/>
      <c r="L1979" s="35"/>
      <c r="M1979" s="35"/>
      <c r="N1979" s="35"/>
      <c r="O1979" s="35"/>
      <c r="P1979" s="35"/>
      <c r="Q1979" s="35"/>
      <c r="R1979" s="35"/>
      <c r="S1979" s="37">
        <f>IF(B1979="","",IF(ISNUMBER(J1979),IF(J1979&lt;=10,'Configuración'!$B$23,IF(J1979&lt;=50,'Configuración'!$B$24,IF(J1979&lt;=200,'Configuración'!$B$25,0))),0))</f>
        <v>12</v>
      </c>
      <c r="T1979" s="37">
        <f>IF(B1979="","",IF(ISNUMBER(SEARCH("information technology",I1979))+ISNUMBER(SEARCH("software",I1979))+ISNUMBER(SEARCH("internet",I1979))+ISNUMBER(SEARCH("computer",I1979))+ISNUMBER(SEARCH("saas",I1979))+ISNUMBER(SEARCH("fintech",I1979))+ISNUMBER(SEARCH("information services",I1979))+ISNUMBER(SEARCH("telecommunications",I1979))&gt;0,'Configuración'!$B$27,'Configuración'!$B$28))</f>
        <v>4</v>
      </c>
      <c r="U1979" s="25">
        <f>IF(B1979="","",IF(ISNUMBER(SEARCH("CEO",C1979))+ISNUMBER(SEARCH("Founder",C1979))+ISNUMBER(SEARCH("Owner",C1979))+ISNUMBER(SEARCH("Dueño",C1979))+ISNUMBER(SEARCH("Director General",C1979))+ISNUMBER(SEARCH("Presidente",C1979))+ISNUMBER(SEARCH("President",C1979))&gt;0,'Configuración'!$B$31,IF(ISNUMBER(SEARCH("CMO",C1979))+ISNUMBER(SEARCH("Chief Marketing",C1979))+ISNUMBER(SEARCH("VP Marketing",C1979))+ISNUMBER(SEARCH("Director de Marketing",C1979))+ISNUMBER(SEARCH("Director Marketing",C1979))+ISNUMBER(SEARCH("Head of Marketing",C1979))+ISNUMBER(SEARCH("Head Marketing",C1979))&gt;0,'Configuración'!$B$32,IF(ISNUMBER(SEARCH("Marketing Manager",C1979))+ISNUMBER(SEARCH("Gerente de Marketing",C1979))+ISNUMBER(SEARCH("Growth Manager",C1979))+ISNUMBER(SEARCH("Demand Gen",C1979))+ISNUMBER(SEARCH("Marketing Lead",C1979))&gt;0,'Configuración'!$B$33,IF(ISNUMBER(SEARCH("COO",C1979))+ISNUMBER(SEARCH("CFO",C1979))+ISNUMBER(SEARCH("CTO",C1979))+ISNUMBER(SEARCH("Chief Operating",C1979))+ISNUMBER(SEARCH("Chief Financial",C1979))+ISNUMBER(SEARCH("Gerente General",C1979))+ISNUMBER(SEARCH("General Manager",C1979))&gt;0,'Configuración'!$B$34,'Configuración'!$B$35)))))</f>
        <v>12</v>
      </c>
      <c r="V1979" s="38">
        <f>IF(B1979="","",IF(K1979="Sí",'Configuración'!$B$5,0)+IF(L1979="Semanal",'Configuración'!$B$6,IF(L1979="Mensual",'Configuración'!$B$7,0))+IF(M1979="Sí",'Configuración'!$B$8,0)+IF(N1979="Sí",'Configuración'!$B$9,0)+IF(O1979="Sí",'Configuración'!$B$10,0)+IF(P1979="Sí",'Configuración'!$B$11,0)+IF(Q1979="Sí",'Configuración'!$B$12,0)+S1979+T1979+U1979)</f>
        <v>28</v>
      </c>
      <c r="W1979" s="39" t="str">
        <f>IF(B1979="","",IF(V1979&gt;='Configuración'!$B$19,"A",IF(V1979&gt;='Configuración'!$B$20,"B",IF(V1979&gt;='Configuración'!$B$21,"C","Descarte"))))</f>
        <v>C</v>
      </c>
    </row>
    <row r="1980" ht="15.75" customHeight="1">
      <c r="A1980" s="34">
        <f t="shared" si="1"/>
        <v>1978</v>
      </c>
      <c r="B1980" s="29" t="s">
        <v>493</v>
      </c>
      <c r="C1980" s="29" t="s">
        <v>10931</v>
      </c>
      <c r="D1980" s="29" t="s">
        <v>10932</v>
      </c>
      <c r="E1980" s="29" t="s">
        <v>10933</v>
      </c>
      <c r="F1980" s="30" t="s">
        <v>10934</v>
      </c>
      <c r="G1980" s="30" t="s">
        <v>10935</v>
      </c>
      <c r="H1980" s="42" t="s">
        <v>10936</v>
      </c>
      <c r="I1980" s="29" t="s">
        <v>1034</v>
      </c>
      <c r="J1980" s="31">
        <v>21.0</v>
      </c>
      <c r="K1980" s="35"/>
      <c r="L1980" s="35"/>
      <c r="M1980" s="35"/>
      <c r="N1980" s="35"/>
      <c r="O1980" s="35"/>
      <c r="P1980" s="35"/>
      <c r="Q1980" s="35"/>
      <c r="R1980" s="35"/>
      <c r="S1980" s="37">
        <f>IF(B1980="","",IF(ISNUMBER(J1980),IF(J1980&lt;=10,'Configuración'!$B$23,IF(J1980&lt;=50,'Configuración'!$B$24,IF(J1980&lt;=200,'Configuración'!$B$25,0))),0))</f>
        <v>4</v>
      </c>
      <c r="T1980" s="37">
        <f>IF(B1980="","",IF(ISNUMBER(SEARCH("information technology",I1980))+ISNUMBER(SEARCH("software",I1980))+ISNUMBER(SEARCH("internet",I1980))+ISNUMBER(SEARCH("computer",I1980))+ISNUMBER(SEARCH("saas",I1980))+ISNUMBER(SEARCH("fintech",I1980))+ISNUMBER(SEARCH("information services",I1980))+ISNUMBER(SEARCH("telecommunications",I1980))&gt;0,'Configuración'!$B$27,'Configuración'!$B$28))</f>
        <v>4</v>
      </c>
      <c r="U1980" s="25">
        <f>IF(B1980="","",IF(ISNUMBER(SEARCH("CEO",C1980))+ISNUMBER(SEARCH("Founder",C1980))+ISNUMBER(SEARCH("Owner",C1980))+ISNUMBER(SEARCH("Dueño",C1980))+ISNUMBER(SEARCH("Director General",C1980))+ISNUMBER(SEARCH("Presidente",C1980))+ISNUMBER(SEARCH("President",C1980))&gt;0,'Configuración'!$B$31,IF(ISNUMBER(SEARCH("CMO",C1980))+ISNUMBER(SEARCH("Chief Marketing",C1980))+ISNUMBER(SEARCH("VP Marketing",C1980))+ISNUMBER(SEARCH("Director de Marketing",C1980))+ISNUMBER(SEARCH("Director Marketing",C1980))+ISNUMBER(SEARCH("Head of Marketing",C1980))+ISNUMBER(SEARCH("Head Marketing",C1980))&gt;0,'Configuración'!$B$32,IF(ISNUMBER(SEARCH("Marketing Manager",C1980))+ISNUMBER(SEARCH("Gerente de Marketing",C1980))+ISNUMBER(SEARCH("Growth Manager",C1980))+ISNUMBER(SEARCH("Demand Gen",C1980))+ISNUMBER(SEARCH("Marketing Lead",C1980))&gt;0,'Configuración'!$B$33,IF(ISNUMBER(SEARCH("COO",C1980))+ISNUMBER(SEARCH("CFO",C1980))+ISNUMBER(SEARCH("CTO",C1980))+ISNUMBER(SEARCH("Chief Operating",C1980))+ISNUMBER(SEARCH("Chief Financial",C1980))+ISNUMBER(SEARCH("Gerente General",C1980))+ISNUMBER(SEARCH("General Manager",C1980))&gt;0,'Configuración'!$B$34,'Configuración'!$B$35)))))</f>
        <v>4</v>
      </c>
      <c r="V1980" s="38">
        <f>IF(B1980="","",IF(K1980="Sí",'Configuración'!$B$5,0)+IF(L1980="Semanal",'Configuración'!$B$6,IF(L1980="Mensual",'Configuración'!$B$7,0))+IF(M1980="Sí",'Configuración'!$B$8,0)+IF(N1980="Sí",'Configuración'!$B$9,0)+IF(O1980="Sí",'Configuración'!$B$10,0)+IF(P1980="Sí",'Configuración'!$B$11,0)+IF(Q1980="Sí",'Configuración'!$B$12,0)+S1980+T1980+U1980)</f>
        <v>12</v>
      </c>
      <c r="W1980" s="39" t="str">
        <f>IF(B1980="","",IF(V1980&gt;='Configuración'!$B$19,"A",IF(V1980&gt;='Configuración'!$B$20,"B",IF(V1980&gt;='Configuración'!$B$21,"C","Descarte"))))</f>
        <v>Descarte</v>
      </c>
    </row>
    <row r="1981" ht="15.75" customHeight="1">
      <c r="A1981" s="34">
        <f t="shared" si="1"/>
        <v>1979</v>
      </c>
      <c r="B1981" s="29" t="s">
        <v>262</v>
      </c>
      <c r="C1981" s="29" t="s">
        <v>10937</v>
      </c>
      <c r="D1981" s="29" t="s">
        <v>10938</v>
      </c>
      <c r="E1981" s="29" t="s">
        <v>10939</v>
      </c>
      <c r="F1981" s="30" t="s">
        <v>10940</v>
      </c>
      <c r="G1981" s="30" t="s">
        <v>10941</v>
      </c>
      <c r="H1981" s="42" t="s">
        <v>10942</v>
      </c>
      <c r="I1981" s="29" t="s">
        <v>2694</v>
      </c>
      <c r="J1981" s="31">
        <v>6.0</v>
      </c>
      <c r="K1981" s="35"/>
      <c r="L1981" s="35"/>
      <c r="M1981" s="35"/>
      <c r="N1981" s="35"/>
      <c r="O1981" s="35"/>
      <c r="P1981" s="35"/>
      <c r="Q1981" s="35"/>
      <c r="R1981" s="35"/>
      <c r="S1981" s="37">
        <f>IF(B1981="","",IF(ISNUMBER(J1981),IF(J1981&lt;=10,'Configuración'!$B$23,IF(J1981&lt;=50,'Configuración'!$B$24,IF(J1981&lt;=200,'Configuración'!$B$25,0))),0))</f>
        <v>12</v>
      </c>
      <c r="T1981" s="37">
        <f>IF(B1981="","",IF(ISNUMBER(SEARCH("information technology",I1981))+ISNUMBER(SEARCH("software",I1981))+ISNUMBER(SEARCH("internet",I1981))+ISNUMBER(SEARCH("computer",I1981))+ISNUMBER(SEARCH("saas",I1981))+ISNUMBER(SEARCH("fintech",I1981))+ISNUMBER(SEARCH("information services",I1981))+ISNUMBER(SEARCH("telecommunications",I1981))&gt;0,'Configuración'!$B$27,'Configuración'!$B$28))</f>
        <v>4</v>
      </c>
      <c r="U1981" s="25">
        <f>IF(B1981="","",IF(ISNUMBER(SEARCH("CEO",C1981))+ISNUMBER(SEARCH("Founder",C1981))+ISNUMBER(SEARCH("Owner",C1981))+ISNUMBER(SEARCH("Dueño",C1981))+ISNUMBER(SEARCH("Director General",C1981))+ISNUMBER(SEARCH("Presidente",C1981))+ISNUMBER(SEARCH("President",C1981))&gt;0,'Configuración'!$B$31,IF(ISNUMBER(SEARCH("CMO",C1981))+ISNUMBER(SEARCH("Chief Marketing",C1981))+ISNUMBER(SEARCH("VP Marketing",C1981))+ISNUMBER(SEARCH("Director de Marketing",C1981))+ISNUMBER(SEARCH("Director Marketing",C1981))+ISNUMBER(SEARCH("Head of Marketing",C1981))+ISNUMBER(SEARCH("Head Marketing",C1981))&gt;0,'Configuración'!$B$32,IF(ISNUMBER(SEARCH("Marketing Manager",C1981))+ISNUMBER(SEARCH("Gerente de Marketing",C1981))+ISNUMBER(SEARCH("Growth Manager",C1981))+ISNUMBER(SEARCH("Demand Gen",C1981))+ISNUMBER(SEARCH("Marketing Lead",C1981))&gt;0,'Configuración'!$B$33,IF(ISNUMBER(SEARCH("COO",C1981))+ISNUMBER(SEARCH("CFO",C1981))+ISNUMBER(SEARCH("CTO",C1981))+ISNUMBER(SEARCH("Chief Operating",C1981))+ISNUMBER(SEARCH("Chief Financial",C1981))+ISNUMBER(SEARCH("Gerente General",C1981))+ISNUMBER(SEARCH("General Manager",C1981))&gt;0,'Configuración'!$B$34,'Configuración'!$B$35)))))</f>
        <v>0</v>
      </c>
      <c r="V1981" s="38">
        <f>IF(B1981="","",IF(K1981="Sí",'Configuración'!$B$5,0)+IF(L1981="Semanal",'Configuración'!$B$6,IF(L1981="Mensual",'Configuración'!$B$7,0))+IF(M1981="Sí",'Configuración'!$B$8,0)+IF(N1981="Sí",'Configuración'!$B$9,0)+IF(O1981="Sí",'Configuración'!$B$10,0)+IF(P1981="Sí",'Configuración'!$B$11,0)+IF(Q1981="Sí",'Configuración'!$B$12,0)+S1981+T1981+U1981)</f>
        <v>16</v>
      </c>
      <c r="W1981" s="39" t="str">
        <f>IF(B1981="","",IF(V1981&gt;='Configuración'!$B$19,"A",IF(V1981&gt;='Configuración'!$B$20,"B",IF(V1981&gt;='Configuración'!$B$21,"C","Descarte"))))</f>
        <v>Descarte</v>
      </c>
    </row>
    <row r="1982" ht="15.75" customHeight="1">
      <c r="A1982" s="34">
        <f t="shared" si="1"/>
        <v>1980</v>
      </c>
      <c r="B1982" s="29" t="s">
        <v>2429</v>
      </c>
      <c r="C1982" s="29" t="s">
        <v>318</v>
      </c>
      <c r="D1982" s="29" t="s">
        <v>10943</v>
      </c>
      <c r="E1982" s="29" t="s">
        <v>10944</v>
      </c>
      <c r="F1982" s="30" t="s">
        <v>10945</v>
      </c>
      <c r="G1982" s="30" t="s">
        <v>10946</v>
      </c>
      <c r="H1982" s="42" t="s">
        <v>10947</v>
      </c>
      <c r="I1982" s="29" t="s">
        <v>127</v>
      </c>
      <c r="J1982" s="31">
        <v>6.0</v>
      </c>
      <c r="K1982" s="35"/>
      <c r="L1982" s="35"/>
      <c r="M1982" s="35"/>
      <c r="N1982" s="35"/>
      <c r="O1982" s="35"/>
      <c r="P1982" s="35"/>
      <c r="Q1982" s="35"/>
      <c r="R1982" s="35"/>
      <c r="S1982" s="37">
        <f>IF(B1982="","",IF(ISNUMBER(J1982),IF(J1982&lt;=10,'Configuración'!$B$23,IF(J1982&lt;=50,'Configuración'!$B$24,IF(J1982&lt;=200,'Configuración'!$B$25,0))),0))</f>
        <v>12</v>
      </c>
      <c r="T1982" s="37">
        <f>IF(B1982="","",IF(ISNUMBER(SEARCH("information technology",I1982))+ISNUMBER(SEARCH("software",I1982))+ISNUMBER(SEARCH("internet",I1982))+ISNUMBER(SEARCH("computer",I1982))+ISNUMBER(SEARCH("saas",I1982))+ISNUMBER(SEARCH("fintech",I1982))+ISNUMBER(SEARCH("information services",I1982))+ISNUMBER(SEARCH("telecommunications",I1982))&gt;0,'Configuración'!$B$27,'Configuración'!$B$28))</f>
        <v>12</v>
      </c>
      <c r="U1982" s="25">
        <f>IF(B1982="","",IF(ISNUMBER(SEARCH("CEO",C1982))+ISNUMBER(SEARCH("Founder",C1982))+ISNUMBER(SEARCH("Owner",C1982))+ISNUMBER(SEARCH("Dueño",C1982))+ISNUMBER(SEARCH("Director General",C1982))+ISNUMBER(SEARCH("Presidente",C1982))+ISNUMBER(SEARCH("President",C1982))&gt;0,'Configuración'!$B$31,IF(ISNUMBER(SEARCH("CMO",C1982))+ISNUMBER(SEARCH("Chief Marketing",C1982))+ISNUMBER(SEARCH("VP Marketing",C1982))+ISNUMBER(SEARCH("Director de Marketing",C1982))+ISNUMBER(SEARCH("Director Marketing",C1982))+ISNUMBER(SEARCH("Head of Marketing",C1982))+ISNUMBER(SEARCH("Head Marketing",C1982))&gt;0,'Configuración'!$B$32,IF(ISNUMBER(SEARCH("Marketing Manager",C1982))+ISNUMBER(SEARCH("Gerente de Marketing",C1982))+ISNUMBER(SEARCH("Growth Manager",C1982))+ISNUMBER(SEARCH("Demand Gen",C1982))+ISNUMBER(SEARCH("Marketing Lead",C1982))&gt;0,'Configuración'!$B$33,IF(ISNUMBER(SEARCH("COO",C1982))+ISNUMBER(SEARCH("CFO",C1982))+ISNUMBER(SEARCH("CTO",C1982))+ISNUMBER(SEARCH("Chief Operating",C1982))+ISNUMBER(SEARCH("Chief Financial",C1982))+ISNUMBER(SEARCH("Gerente General",C1982))+ISNUMBER(SEARCH("General Manager",C1982))&gt;0,'Configuración'!$B$34,'Configuración'!$B$35)))))</f>
        <v>4</v>
      </c>
      <c r="V1982" s="38">
        <f>IF(B1982="","",IF(K1982="Sí",'Configuración'!$B$5,0)+IF(L1982="Semanal",'Configuración'!$B$6,IF(L1982="Mensual",'Configuración'!$B$7,0))+IF(M1982="Sí",'Configuración'!$B$8,0)+IF(N1982="Sí",'Configuración'!$B$9,0)+IF(O1982="Sí",'Configuración'!$B$10,0)+IF(P1982="Sí",'Configuración'!$B$11,0)+IF(Q1982="Sí",'Configuración'!$B$12,0)+S1982+T1982+U1982)</f>
        <v>28</v>
      </c>
      <c r="W1982" s="39" t="str">
        <f>IF(B1982="","",IF(V1982&gt;='Configuración'!$B$19,"A",IF(V1982&gt;='Configuración'!$B$20,"B",IF(V1982&gt;='Configuración'!$B$21,"C","Descarte"))))</f>
        <v>C</v>
      </c>
    </row>
    <row r="1983" ht="15.75" customHeight="1">
      <c r="A1983" s="34">
        <f t="shared" si="1"/>
        <v>1981</v>
      </c>
      <c r="B1983" s="29" t="s">
        <v>10948</v>
      </c>
      <c r="C1983" s="29" t="s">
        <v>10949</v>
      </c>
      <c r="D1983" s="29" t="s">
        <v>10950</v>
      </c>
      <c r="E1983" s="29" t="s">
        <v>10951</v>
      </c>
      <c r="F1983" s="30" t="s">
        <v>10952</v>
      </c>
      <c r="G1983" s="30" t="s">
        <v>10953</v>
      </c>
      <c r="H1983" s="42" t="s">
        <v>10954</v>
      </c>
      <c r="I1983" s="29" t="s">
        <v>127</v>
      </c>
      <c r="J1983" s="31">
        <v>16.0</v>
      </c>
      <c r="K1983" s="35"/>
      <c r="L1983" s="35"/>
      <c r="M1983" s="35"/>
      <c r="N1983" s="35"/>
      <c r="O1983" s="35"/>
      <c r="P1983" s="35"/>
      <c r="Q1983" s="35"/>
      <c r="R1983" s="35"/>
      <c r="S1983" s="37">
        <f>IF(B1983="","",IF(ISNUMBER(J1983),IF(J1983&lt;=10,'Configuración'!$B$23,IF(J1983&lt;=50,'Configuración'!$B$24,IF(J1983&lt;=200,'Configuración'!$B$25,0))),0))</f>
        <v>4</v>
      </c>
      <c r="T1983" s="37">
        <f>IF(B1983="","",IF(ISNUMBER(SEARCH("information technology",I1983))+ISNUMBER(SEARCH("software",I1983))+ISNUMBER(SEARCH("internet",I1983))+ISNUMBER(SEARCH("computer",I1983))+ISNUMBER(SEARCH("saas",I1983))+ISNUMBER(SEARCH("fintech",I1983))+ISNUMBER(SEARCH("information services",I1983))+ISNUMBER(SEARCH("telecommunications",I1983))&gt;0,'Configuración'!$B$27,'Configuración'!$B$28))</f>
        <v>12</v>
      </c>
      <c r="U1983" s="25">
        <f>IF(B1983="","",IF(ISNUMBER(SEARCH("CEO",C1983))+ISNUMBER(SEARCH("Founder",C1983))+ISNUMBER(SEARCH("Owner",C1983))+ISNUMBER(SEARCH("Dueño",C1983))+ISNUMBER(SEARCH("Director General",C1983))+ISNUMBER(SEARCH("Presidente",C1983))+ISNUMBER(SEARCH("President",C1983))&gt;0,'Configuración'!$B$31,IF(ISNUMBER(SEARCH("CMO",C1983))+ISNUMBER(SEARCH("Chief Marketing",C1983))+ISNUMBER(SEARCH("VP Marketing",C1983))+ISNUMBER(SEARCH("Director de Marketing",C1983))+ISNUMBER(SEARCH("Director Marketing",C1983))+ISNUMBER(SEARCH("Head of Marketing",C1983))+ISNUMBER(SEARCH("Head Marketing",C1983))&gt;0,'Configuración'!$B$32,IF(ISNUMBER(SEARCH("Marketing Manager",C1983))+ISNUMBER(SEARCH("Gerente de Marketing",C1983))+ISNUMBER(SEARCH("Growth Manager",C1983))+ISNUMBER(SEARCH("Demand Gen",C1983))+ISNUMBER(SEARCH("Marketing Lead",C1983))&gt;0,'Configuración'!$B$33,IF(ISNUMBER(SEARCH("COO",C1983))+ISNUMBER(SEARCH("CFO",C1983))+ISNUMBER(SEARCH("CTO",C1983))+ISNUMBER(SEARCH("Chief Operating",C1983))+ISNUMBER(SEARCH("Chief Financial",C1983))+ISNUMBER(SEARCH("Gerente General",C1983))+ISNUMBER(SEARCH("General Manager",C1983))&gt;0,'Configuración'!$B$34,'Configuración'!$B$35)))))</f>
        <v>4</v>
      </c>
      <c r="V1983" s="38">
        <f>IF(B1983="","",IF(K1983="Sí",'Configuración'!$B$5,0)+IF(L1983="Semanal",'Configuración'!$B$6,IF(L1983="Mensual",'Configuración'!$B$7,0))+IF(M1983="Sí",'Configuración'!$B$8,0)+IF(N1983="Sí",'Configuración'!$B$9,0)+IF(O1983="Sí",'Configuración'!$B$10,0)+IF(P1983="Sí",'Configuración'!$B$11,0)+IF(Q1983="Sí",'Configuración'!$B$12,0)+S1983+T1983+U1983)</f>
        <v>20</v>
      </c>
      <c r="W1983" s="39" t="str">
        <f>IF(B1983="","",IF(V1983&gt;='Configuración'!$B$19,"A",IF(V1983&gt;='Configuración'!$B$20,"B",IF(V1983&gt;='Configuración'!$B$21,"C","Descarte"))))</f>
        <v>Descarte</v>
      </c>
    </row>
    <row r="1984" ht="15.75" customHeight="1">
      <c r="A1984" s="34">
        <f t="shared" si="1"/>
        <v>1982</v>
      </c>
      <c r="B1984" s="29" t="s">
        <v>481</v>
      </c>
      <c r="C1984" s="29" t="s">
        <v>2875</v>
      </c>
      <c r="D1984" s="29" t="s">
        <v>10955</v>
      </c>
      <c r="E1984" s="29" t="s">
        <v>10956</v>
      </c>
      <c r="F1984" s="30" t="s">
        <v>10957</v>
      </c>
      <c r="G1984" s="30" t="s">
        <v>10958</v>
      </c>
      <c r="H1984" s="42" t="s">
        <v>10959</v>
      </c>
      <c r="I1984" s="29" t="s">
        <v>2170</v>
      </c>
      <c r="J1984" s="31">
        <v>16.0</v>
      </c>
      <c r="K1984" s="35"/>
      <c r="L1984" s="35"/>
      <c r="M1984" s="35"/>
      <c r="N1984" s="35"/>
      <c r="O1984" s="35"/>
      <c r="P1984" s="35"/>
      <c r="Q1984" s="35"/>
      <c r="R1984" s="35"/>
      <c r="S1984" s="37">
        <f>IF(B1984="","",IF(ISNUMBER(J1984),IF(J1984&lt;=10,'Configuración'!$B$23,IF(J1984&lt;=50,'Configuración'!$B$24,IF(J1984&lt;=200,'Configuración'!$B$25,0))),0))</f>
        <v>4</v>
      </c>
      <c r="T1984" s="37">
        <f>IF(B1984="","",IF(ISNUMBER(SEARCH("information technology",I1984))+ISNUMBER(SEARCH("software",I1984))+ISNUMBER(SEARCH("internet",I1984))+ISNUMBER(SEARCH("computer",I1984))+ISNUMBER(SEARCH("saas",I1984))+ISNUMBER(SEARCH("fintech",I1984))+ISNUMBER(SEARCH("information services",I1984))+ISNUMBER(SEARCH("telecommunications",I1984))&gt;0,'Configuración'!$B$27,'Configuración'!$B$28))</f>
        <v>12</v>
      </c>
      <c r="U1984" s="25">
        <f>IF(B1984="","",IF(ISNUMBER(SEARCH("CEO",C1984))+ISNUMBER(SEARCH("Founder",C1984))+ISNUMBER(SEARCH("Owner",C1984))+ISNUMBER(SEARCH("Dueño",C1984))+ISNUMBER(SEARCH("Director General",C1984))+ISNUMBER(SEARCH("Presidente",C1984))+ISNUMBER(SEARCH("President",C1984))&gt;0,'Configuración'!$B$31,IF(ISNUMBER(SEARCH("CMO",C1984))+ISNUMBER(SEARCH("Chief Marketing",C1984))+ISNUMBER(SEARCH("VP Marketing",C1984))+ISNUMBER(SEARCH("Director de Marketing",C1984))+ISNUMBER(SEARCH("Director Marketing",C1984))+ISNUMBER(SEARCH("Head of Marketing",C1984))+ISNUMBER(SEARCH("Head Marketing",C1984))&gt;0,'Configuración'!$B$32,IF(ISNUMBER(SEARCH("Marketing Manager",C1984))+ISNUMBER(SEARCH("Gerente de Marketing",C1984))+ISNUMBER(SEARCH("Growth Manager",C1984))+ISNUMBER(SEARCH("Demand Gen",C1984))+ISNUMBER(SEARCH("Marketing Lead",C1984))&gt;0,'Configuración'!$B$33,IF(ISNUMBER(SEARCH("COO",C1984))+ISNUMBER(SEARCH("CFO",C1984))+ISNUMBER(SEARCH("CTO",C1984))+ISNUMBER(SEARCH("Chief Operating",C1984))+ISNUMBER(SEARCH("Chief Financial",C1984))+ISNUMBER(SEARCH("Gerente General",C1984))+ISNUMBER(SEARCH("General Manager",C1984))&gt;0,'Configuración'!$B$34,'Configuración'!$B$35)))))</f>
        <v>12</v>
      </c>
      <c r="V1984" s="38">
        <f>IF(B1984="","",IF(K1984="Sí",'Configuración'!$B$5,0)+IF(L1984="Semanal",'Configuración'!$B$6,IF(L1984="Mensual",'Configuración'!$B$7,0))+IF(M1984="Sí",'Configuración'!$B$8,0)+IF(N1984="Sí",'Configuración'!$B$9,0)+IF(O1984="Sí",'Configuración'!$B$10,0)+IF(P1984="Sí",'Configuración'!$B$11,0)+IF(Q1984="Sí",'Configuración'!$B$12,0)+S1984+T1984+U1984)</f>
        <v>28</v>
      </c>
      <c r="W1984" s="39" t="str">
        <f>IF(B1984="","",IF(V1984&gt;='Configuración'!$B$19,"A",IF(V1984&gt;='Configuración'!$B$20,"B",IF(V1984&gt;='Configuración'!$B$21,"C","Descarte"))))</f>
        <v>C</v>
      </c>
    </row>
    <row r="1985" ht="15.75" customHeight="1">
      <c r="A1985" s="34">
        <f t="shared" si="1"/>
        <v>1983</v>
      </c>
      <c r="B1985" s="29" t="s">
        <v>174</v>
      </c>
      <c r="C1985" s="29" t="s">
        <v>131</v>
      </c>
      <c r="D1985" s="29" t="s">
        <v>10960</v>
      </c>
      <c r="E1985" s="29" t="s">
        <v>10961</v>
      </c>
      <c r="F1985" s="30" t="s">
        <v>10962</v>
      </c>
      <c r="G1985" s="30" t="s">
        <v>10963</v>
      </c>
      <c r="H1985" s="42" t="s">
        <v>10964</v>
      </c>
      <c r="I1985" s="29" t="s">
        <v>769</v>
      </c>
      <c r="J1985" s="31">
        <v>6.0</v>
      </c>
      <c r="K1985" s="35"/>
      <c r="L1985" s="35"/>
      <c r="M1985" s="35"/>
      <c r="N1985" s="35"/>
      <c r="O1985" s="35"/>
      <c r="P1985" s="35"/>
      <c r="Q1985" s="35"/>
      <c r="R1985" s="35"/>
      <c r="S1985" s="37">
        <f>IF(B1985="","",IF(ISNUMBER(J1985),IF(J1985&lt;=10,'Configuración'!$B$23,IF(J1985&lt;=50,'Configuración'!$B$24,IF(J1985&lt;=200,'Configuración'!$B$25,0))),0))</f>
        <v>12</v>
      </c>
      <c r="T1985" s="37">
        <f>IF(B1985="","",IF(ISNUMBER(SEARCH("information technology",I1985))+ISNUMBER(SEARCH("software",I1985))+ISNUMBER(SEARCH("internet",I1985))+ISNUMBER(SEARCH("computer",I1985))+ISNUMBER(SEARCH("saas",I1985))+ISNUMBER(SEARCH("fintech",I1985))+ISNUMBER(SEARCH("information services",I1985))+ISNUMBER(SEARCH("telecommunications",I1985))&gt;0,'Configuración'!$B$27,'Configuración'!$B$28))</f>
        <v>4</v>
      </c>
      <c r="U1985" s="25">
        <f>IF(B1985="","",IF(ISNUMBER(SEARCH("CEO",C1985))+ISNUMBER(SEARCH("Founder",C1985))+ISNUMBER(SEARCH("Owner",C1985))+ISNUMBER(SEARCH("Dueño",C1985))+ISNUMBER(SEARCH("Director General",C1985))+ISNUMBER(SEARCH("Presidente",C1985))+ISNUMBER(SEARCH("President",C1985))&gt;0,'Configuración'!$B$31,IF(ISNUMBER(SEARCH("CMO",C1985))+ISNUMBER(SEARCH("Chief Marketing",C1985))+ISNUMBER(SEARCH("VP Marketing",C1985))+ISNUMBER(SEARCH("Director de Marketing",C1985))+ISNUMBER(SEARCH("Director Marketing",C1985))+ISNUMBER(SEARCH("Head of Marketing",C1985))+ISNUMBER(SEARCH("Head Marketing",C1985))&gt;0,'Configuración'!$B$32,IF(ISNUMBER(SEARCH("Marketing Manager",C1985))+ISNUMBER(SEARCH("Gerente de Marketing",C1985))+ISNUMBER(SEARCH("Growth Manager",C1985))+ISNUMBER(SEARCH("Demand Gen",C1985))+ISNUMBER(SEARCH("Marketing Lead",C1985))&gt;0,'Configuración'!$B$33,IF(ISNUMBER(SEARCH("COO",C1985))+ISNUMBER(SEARCH("CFO",C1985))+ISNUMBER(SEARCH("CTO",C1985))+ISNUMBER(SEARCH("Chief Operating",C1985))+ISNUMBER(SEARCH("Chief Financial",C1985))+ISNUMBER(SEARCH("Gerente General",C1985))+ISNUMBER(SEARCH("General Manager",C1985))&gt;0,'Configuración'!$B$34,'Configuración'!$B$35)))))</f>
        <v>12</v>
      </c>
      <c r="V1985" s="38">
        <f>IF(B1985="","",IF(K1985="Sí",'Configuración'!$B$5,0)+IF(L1985="Semanal",'Configuración'!$B$6,IF(L1985="Mensual",'Configuración'!$B$7,0))+IF(M1985="Sí",'Configuración'!$B$8,0)+IF(N1985="Sí",'Configuración'!$B$9,0)+IF(O1985="Sí",'Configuración'!$B$10,0)+IF(P1985="Sí",'Configuración'!$B$11,0)+IF(Q1985="Sí",'Configuración'!$B$12,0)+S1985+T1985+U1985)</f>
        <v>28</v>
      </c>
      <c r="W1985" s="39" t="str">
        <f>IF(B1985="","",IF(V1985&gt;='Configuración'!$B$19,"A",IF(V1985&gt;='Configuración'!$B$20,"B",IF(V1985&gt;='Configuración'!$B$21,"C","Descarte"))))</f>
        <v>C</v>
      </c>
    </row>
    <row r="1986" ht="15.75" customHeight="1">
      <c r="A1986" s="34">
        <f t="shared" si="1"/>
        <v>1984</v>
      </c>
      <c r="B1986" s="29" t="s">
        <v>10965</v>
      </c>
      <c r="C1986" s="29" t="s">
        <v>1325</v>
      </c>
      <c r="D1986" s="29" t="s">
        <v>1222</v>
      </c>
      <c r="E1986" s="29" t="s">
        <v>10966</v>
      </c>
      <c r="F1986" s="30" t="s">
        <v>10967</v>
      </c>
      <c r="G1986" s="30" t="s">
        <v>1225</v>
      </c>
      <c r="H1986" s="42" t="s">
        <v>1226</v>
      </c>
      <c r="I1986" s="29" t="s">
        <v>127</v>
      </c>
      <c r="J1986" s="31">
        <v>43.0</v>
      </c>
      <c r="K1986" s="35"/>
      <c r="L1986" s="35"/>
      <c r="M1986" s="35"/>
      <c r="N1986" s="35"/>
      <c r="O1986" s="35"/>
      <c r="P1986" s="35"/>
      <c r="Q1986" s="35"/>
      <c r="R1986" s="35"/>
      <c r="S1986" s="37">
        <f>IF(B1986="","",IF(ISNUMBER(J1986),IF(J1986&lt;=10,'Configuración'!$B$23,IF(J1986&lt;=50,'Configuración'!$B$24,IF(J1986&lt;=200,'Configuración'!$B$25,0))),0))</f>
        <v>4</v>
      </c>
      <c r="T1986" s="37">
        <f>IF(B1986="","",IF(ISNUMBER(SEARCH("information technology",I1986))+ISNUMBER(SEARCH("software",I1986))+ISNUMBER(SEARCH("internet",I1986))+ISNUMBER(SEARCH("computer",I1986))+ISNUMBER(SEARCH("saas",I1986))+ISNUMBER(SEARCH("fintech",I1986))+ISNUMBER(SEARCH("information services",I1986))+ISNUMBER(SEARCH("telecommunications",I1986))&gt;0,'Configuración'!$B$27,'Configuración'!$B$28))</f>
        <v>12</v>
      </c>
      <c r="U1986" s="25">
        <f>IF(B1986="","",IF(ISNUMBER(SEARCH("CEO",C1986))+ISNUMBER(SEARCH("Founder",C1986))+ISNUMBER(SEARCH("Owner",C1986))+ISNUMBER(SEARCH("Dueño",C1986))+ISNUMBER(SEARCH("Director General",C1986))+ISNUMBER(SEARCH("Presidente",C1986))+ISNUMBER(SEARCH("President",C1986))&gt;0,'Configuración'!$B$31,IF(ISNUMBER(SEARCH("CMO",C1986))+ISNUMBER(SEARCH("Chief Marketing",C1986))+ISNUMBER(SEARCH("VP Marketing",C1986))+ISNUMBER(SEARCH("Director de Marketing",C1986))+ISNUMBER(SEARCH("Director Marketing",C1986))+ISNUMBER(SEARCH("Head of Marketing",C1986))+ISNUMBER(SEARCH("Head Marketing",C1986))&gt;0,'Configuración'!$B$32,IF(ISNUMBER(SEARCH("Marketing Manager",C1986))+ISNUMBER(SEARCH("Gerente de Marketing",C1986))+ISNUMBER(SEARCH("Growth Manager",C1986))+ISNUMBER(SEARCH("Demand Gen",C1986))+ISNUMBER(SEARCH("Marketing Lead",C1986))&gt;0,'Configuración'!$B$33,IF(ISNUMBER(SEARCH("COO",C1986))+ISNUMBER(SEARCH("CFO",C1986))+ISNUMBER(SEARCH("CTO",C1986))+ISNUMBER(SEARCH("Chief Operating",C1986))+ISNUMBER(SEARCH("Chief Financial",C1986))+ISNUMBER(SEARCH("Gerente General",C1986))+ISNUMBER(SEARCH("General Manager",C1986))&gt;0,'Configuración'!$B$34,'Configuración'!$B$35)))))</f>
        <v>12</v>
      </c>
      <c r="V1986" s="38">
        <f>IF(B1986="","",IF(K1986="Sí",'Configuración'!$B$5,0)+IF(L1986="Semanal",'Configuración'!$B$6,IF(L1986="Mensual",'Configuración'!$B$7,0))+IF(M1986="Sí",'Configuración'!$B$8,0)+IF(N1986="Sí",'Configuración'!$B$9,0)+IF(O1986="Sí",'Configuración'!$B$10,0)+IF(P1986="Sí",'Configuración'!$B$11,0)+IF(Q1986="Sí",'Configuración'!$B$12,0)+S1986+T1986+U1986)</f>
        <v>28</v>
      </c>
      <c r="W1986" s="39" t="str">
        <f>IF(B1986="","",IF(V1986&gt;='Configuración'!$B$19,"A",IF(V1986&gt;='Configuración'!$B$20,"B",IF(V1986&gt;='Configuración'!$B$21,"C","Descarte"))))</f>
        <v>C</v>
      </c>
    </row>
    <row r="1987" ht="15.75" customHeight="1">
      <c r="A1987" s="34">
        <f t="shared" si="1"/>
        <v>1985</v>
      </c>
      <c r="B1987" s="29" t="s">
        <v>4584</v>
      </c>
      <c r="C1987" s="29" t="s">
        <v>10968</v>
      </c>
      <c r="D1987" s="29" t="s">
        <v>5282</v>
      </c>
      <c r="E1987" s="29" t="s">
        <v>10969</v>
      </c>
      <c r="F1987" s="30" t="s">
        <v>10970</v>
      </c>
      <c r="G1987" s="30" t="s">
        <v>5285</v>
      </c>
      <c r="H1987" s="42" t="s">
        <v>5286</v>
      </c>
      <c r="I1987" s="29" t="s">
        <v>116</v>
      </c>
      <c r="J1987" s="31">
        <v>50.0</v>
      </c>
      <c r="K1987" s="35"/>
      <c r="L1987" s="35"/>
      <c r="M1987" s="35"/>
      <c r="N1987" s="35"/>
      <c r="O1987" s="35"/>
      <c r="P1987" s="35"/>
      <c r="Q1987" s="35"/>
      <c r="R1987" s="35"/>
      <c r="S1987" s="37">
        <f>IF(B1987="","",IF(ISNUMBER(J1987),IF(J1987&lt;=10,'Configuración'!$B$23,IF(J1987&lt;=50,'Configuración'!$B$24,IF(J1987&lt;=200,'Configuración'!$B$25,0))),0))</f>
        <v>4</v>
      </c>
      <c r="T1987" s="37">
        <f>IF(B1987="","",IF(ISNUMBER(SEARCH("information technology",I1987))+ISNUMBER(SEARCH("software",I1987))+ISNUMBER(SEARCH("internet",I1987))+ISNUMBER(SEARCH("computer",I1987))+ISNUMBER(SEARCH("saas",I1987))+ISNUMBER(SEARCH("fintech",I1987))+ISNUMBER(SEARCH("information services",I1987))+ISNUMBER(SEARCH("telecommunications",I1987))&gt;0,'Configuración'!$B$27,'Configuración'!$B$28))</f>
        <v>4</v>
      </c>
      <c r="U1987" s="25">
        <f>IF(B1987="","",IF(ISNUMBER(SEARCH("CEO",C1987))+ISNUMBER(SEARCH("Founder",C1987))+ISNUMBER(SEARCH("Owner",C1987))+ISNUMBER(SEARCH("Dueño",C1987))+ISNUMBER(SEARCH("Director General",C1987))+ISNUMBER(SEARCH("Presidente",C1987))+ISNUMBER(SEARCH("President",C1987))&gt;0,'Configuración'!$B$31,IF(ISNUMBER(SEARCH("CMO",C1987))+ISNUMBER(SEARCH("Chief Marketing",C1987))+ISNUMBER(SEARCH("VP Marketing",C1987))+ISNUMBER(SEARCH("Director de Marketing",C1987))+ISNUMBER(SEARCH("Director Marketing",C1987))+ISNUMBER(SEARCH("Head of Marketing",C1987))+ISNUMBER(SEARCH("Head Marketing",C1987))&gt;0,'Configuración'!$B$32,IF(ISNUMBER(SEARCH("Marketing Manager",C1987))+ISNUMBER(SEARCH("Gerente de Marketing",C1987))+ISNUMBER(SEARCH("Growth Manager",C1987))+ISNUMBER(SEARCH("Demand Gen",C1987))+ISNUMBER(SEARCH("Marketing Lead",C1987))&gt;0,'Configuración'!$B$33,IF(ISNUMBER(SEARCH("COO",C1987))+ISNUMBER(SEARCH("CFO",C1987))+ISNUMBER(SEARCH("CTO",C1987))+ISNUMBER(SEARCH("Chief Operating",C1987))+ISNUMBER(SEARCH("Chief Financial",C1987))+ISNUMBER(SEARCH("Gerente General",C1987))+ISNUMBER(SEARCH("General Manager",C1987))&gt;0,'Configuración'!$B$34,'Configuración'!$B$35)))))</f>
        <v>12</v>
      </c>
      <c r="V1987" s="38">
        <f>IF(B1987="","",IF(K1987="Sí",'Configuración'!$B$5,0)+IF(L1987="Semanal",'Configuración'!$B$6,IF(L1987="Mensual",'Configuración'!$B$7,0))+IF(M1987="Sí",'Configuración'!$B$8,0)+IF(N1987="Sí",'Configuración'!$B$9,0)+IF(O1987="Sí",'Configuración'!$B$10,0)+IF(P1987="Sí",'Configuración'!$B$11,0)+IF(Q1987="Sí",'Configuración'!$B$12,0)+S1987+T1987+U1987)</f>
        <v>20</v>
      </c>
      <c r="W1987" s="39" t="str">
        <f>IF(B1987="","",IF(V1987&gt;='Configuración'!$B$19,"A",IF(V1987&gt;='Configuración'!$B$20,"B",IF(V1987&gt;='Configuración'!$B$21,"C","Descarte"))))</f>
        <v>Descarte</v>
      </c>
    </row>
    <row r="1988" ht="15.75" customHeight="1">
      <c r="A1988" s="34">
        <f t="shared" si="1"/>
        <v>1986</v>
      </c>
      <c r="B1988" s="29" t="s">
        <v>6431</v>
      </c>
      <c r="C1988" s="29" t="s">
        <v>6742</v>
      </c>
      <c r="D1988" s="29" t="s">
        <v>10971</v>
      </c>
      <c r="E1988" s="29" t="s">
        <v>10972</v>
      </c>
      <c r="F1988" s="30" t="s">
        <v>10973</v>
      </c>
      <c r="G1988" s="30" t="s">
        <v>10974</v>
      </c>
      <c r="H1988" s="42" t="s">
        <v>10975</v>
      </c>
      <c r="I1988" s="29" t="s">
        <v>188</v>
      </c>
      <c r="J1988" s="31">
        <v>4.0</v>
      </c>
      <c r="K1988" s="35"/>
      <c r="L1988" s="35"/>
      <c r="M1988" s="35"/>
      <c r="N1988" s="35"/>
      <c r="O1988" s="35"/>
      <c r="P1988" s="35"/>
      <c r="Q1988" s="35"/>
      <c r="R1988" s="35"/>
      <c r="S1988" s="37">
        <f>IF(B1988="","",IF(ISNUMBER(J1988),IF(J1988&lt;=10,'Configuración'!$B$23,IF(J1988&lt;=50,'Configuración'!$B$24,IF(J1988&lt;=200,'Configuración'!$B$25,0))),0))</f>
        <v>12</v>
      </c>
      <c r="T1988" s="37">
        <f>IF(B1988="","",IF(ISNUMBER(SEARCH("information technology",I1988))+ISNUMBER(SEARCH("software",I1988))+ISNUMBER(SEARCH("internet",I1988))+ISNUMBER(SEARCH("computer",I1988))+ISNUMBER(SEARCH("saas",I1988))+ISNUMBER(SEARCH("fintech",I1988))+ISNUMBER(SEARCH("information services",I1988))+ISNUMBER(SEARCH("telecommunications",I1988))&gt;0,'Configuración'!$B$27,'Configuración'!$B$28))</f>
        <v>4</v>
      </c>
      <c r="U1988" s="25">
        <f>IF(B1988="","",IF(ISNUMBER(SEARCH("CEO",C1988))+ISNUMBER(SEARCH("Founder",C1988))+ISNUMBER(SEARCH("Owner",C1988))+ISNUMBER(SEARCH("Dueño",C1988))+ISNUMBER(SEARCH("Director General",C1988))+ISNUMBER(SEARCH("Presidente",C1988))+ISNUMBER(SEARCH("President",C1988))&gt;0,'Configuración'!$B$31,IF(ISNUMBER(SEARCH("CMO",C1988))+ISNUMBER(SEARCH("Chief Marketing",C1988))+ISNUMBER(SEARCH("VP Marketing",C1988))+ISNUMBER(SEARCH("Director de Marketing",C1988))+ISNUMBER(SEARCH("Director Marketing",C1988))+ISNUMBER(SEARCH("Head of Marketing",C1988))+ISNUMBER(SEARCH("Head Marketing",C1988))&gt;0,'Configuración'!$B$32,IF(ISNUMBER(SEARCH("Marketing Manager",C1988))+ISNUMBER(SEARCH("Gerente de Marketing",C1988))+ISNUMBER(SEARCH("Growth Manager",C1988))+ISNUMBER(SEARCH("Demand Gen",C1988))+ISNUMBER(SEARCH("Marketing Lead",C1988))&gt;0,'Configuración'!$B$33,IF(ISNUMBER(SEARCH("COO",C1988))+ISNUMBER(SEARCH("CFO",C1988))+ISNUMBER(SEARCH("CTO",C1988))+ISNUMBER(SEARCH("Chief Operating",C1988))+ISNUMBER(SEARCH("Chief Financial",C1988))+ISNUMBER(SEARCH("Gerente General",C1988))+ISNUMBER(SEARCH("General Manager",C1988))&gt;0,'Configuración'!$B$34,'Configuración'!$B$35)))))</f>
        <v>12</v>
      </c>
      <c r="V1988" s="38">
        <f>IF(B1988="","",IF(K1988="Sí",'Configuración'!$B$5,0)+IF(L1988="Semanal",'Configuración'!$B$6,IF(L1988="Mensual",'Configuración'!$B$7,0))+IF(M1988="Sí",'Configuración'!$B$8,0)+IF(N1988="Sí",'Configuración'!$B$9,0)+IF(O1988="Sí",'Configuración'!$B$10,0)+IF(P1988="Sí",'Configuración'!$B$11,0)+IF(Q1988="Sí",'Configuración'!$B$12,0)+S1988+T1988+U1988)</f>
        <v>28</v>
      </c>
      <c r="W1988" s="39" t="str">
        <f>IF(B1988="","",IF(V1988&gt;='Configuración'!$B$19,"A",IF(V1988&gt;='Configuración'!$B$20,"B",IF(V1988&gt;='Configuración'!$B$21,"C","Descarte"))))</f>
        <v>C</v>
      </c>
    </row>
    <row r="1989" ht="15.75" customHeight="1">
      <c r="A1989" s="34">
        <f t="shared" si="1"/>
        <v>1987</v>
      </c>
      <c r="B1989" s="29" t="s">
        <v>610</v>
      </c>
      <c r="C1989" s="29" t="s">
        <v>2112</v>
      </c>
      <c r="D1989" s="29" t="s">
        <v>10976</v>
      </c>
      <c r="E1989" s="29" t="s">
        <v>10977</v>
      </c>
      <c r="F1989" s="30" t="s">
        <v>10978</v>
      </c>
      <c r="G1989" s="30" t="s">
        <v>10979</v>
      </c>
      <c r="H1989" s="42" t="s">
        <v>10980</v>
      </c>
      <c r="I1989" s="29" t="s">
        <v>127</v>
      </c>
      <c r="J1989" s="31">
        <v>32.0</v>
      </c>
      <c r="K1989" s="35"/>
      <c r="L1989" s="35"/>
      <c r="M1989" s="35"/>
      <c r="N1989" s="35"/>
      <c r="O1989" s="35"/>
      <c r="P1989" s="35"/>
      <c r="Q1989" s="35"/>
      <c r="R1989" s="35"/>
      <c r="S1989" s="37">
        <f>IF(B1989="","",IF(ISNUMBER(J1989),IF(J1989&lt;=10,'Configuración'!$B$23,IF(J1989&lt;=50,'Configuración'!$B$24,IF(J1989&lt;=200,'Configuración'!$B$25,0))),0))</f>
        <v>4</v>
      </c>
      <c r="T1989" s="37">
        <f>IF(B1989="","",IF(ISNUMBER(SEARCH("information technology",I1989))+ISNUMBER(SEARCH("software",I1989))+ISNUMBER(SEARCH("internet",I1989))+ISNUMBER(SEARCH("computer",I1989))+ISNUMBER(SEARCH("saas",I1989))+ISNUMBER(SEARCH("fintech",I1989))+ISNUMBER(SEARCH("information services",I1989))+ISNUMBER(SEARCH("telecommunications",I1989))&gt;0,'Configuración'!$B$27,'Configuración'!$B$28))</f>
        <v>12</v>
      </c>
      <c r="U1989" s="25">
        <f>IF(B1989="","",IF(ISNUMBER(SEARCH("CEO",C1989))+ISNUMBER(SEARCH("Founder",C1989))+ISNUMBER(SEARCH("Owner",C1989))+ISNUMBER(SEARCH("Dueño",C1989))+ISNUMBER(SEARCH("Director General",C1989))+ISNUMBER(SEARCH("Presidente",C1989))+ISNUMBER(SEARCH("President",C1989))&gt;0,'Configuración'!$B$31,IF(ISNUMBER(SEARCH("CMO",C1989))+ISNUMBER(SEARCH("Chief Marketing",C1989))+ISNUMBER(SEARCH("VP Marketing",C1989))+ISNUMBER(SEARCH("Director de Marketing",C1989))+ISNUMBER(SEARCH("Director Marketing",C1989))+ISNUMBER(SEARCH("Head of Marketing",C1989))+ISNUMBER(SEARCH("Head Marketing",C1989))&gt;0,'Configuración'!$B$32,IF(ISNUMBER(SEARCH("Marketing Manager",C1989))+ISNUMBER(SEARCH("Gerente de Marketing",C1989))+ISNUMBER(SEARCH("Growth Manager",C1989))+ISNUMBER(SEARCH("Demand Gen",C1989))+ISNUMBER(SEARCH("Marketing Lead",C1989))&gt;0,'Configuración'!$B$33,IF(ISNUMBER(SEARCH("COO",C1989))+ISNUMBER(SEARCH("CFO",C1989))+ISNUMBER(SEARCH("CTO",C1989))+ISNUMBER(SEARCH("Chief Operating",C1989))+ISNUMBER(SEARCH("Chief Financial",C1989))+ISNUMBER(SEARCH("Gerente General",C1989))+ISNUMBER(SEARCH("General Manager",C1989))&gt;0,'Configuración'!$B$34,'Configuración'!$B$35)))))</f>
        <v>12</v>
      </c>
      <c r="V1989" s="38">
        <f>IF(B1989="","",IF(K1989="Sí",'Configuración'!$B$5,0)+IF(L1989="Semanal",'Configuración'!$B$6,IF(L1989="Mensual",'Configuración'!$B$7,0))+IF(M1989="Sí",'Configuración'!$B$8,0)+IF(N1989="Sí",'Configuración'!$B$9,0)+IF(O1989="Sí",'Configuración'!$B$10,0)+IF(P1989="Sí",'Configuración'!$B$11,0)+IF(Q1989="Sí",'Configuración'!$B$12,0)+S1989+T1989+U1989)</f>
        <v>28</v>
      </c>
      <c r="W1989" s="39" t="str">
        <f>IF(B1989="","",IF(V1989&gt;='Configuración'!$B$19,"A",IF(V1989&gt;='Configuración'!$B$20,"B",IF(V1989&gt;='Configuración'!$B$21,"C","Descarte"))))</f>
        <v>C</v>
      </c>
    </row>
    <row r="1990" ht="15.75" customHeight="1">
      <c r="A1990" s="34">
        <f t="shared" si="1"/>
        <v>1988</v>
      </c>
      <c r="B1990" s="29" t="s">
        <v>501</v>
      </c>
      <c r="C1990" s="29" t="s">
        <v>121</v>
      </c>
      <c r="D1990" s="29" t="s">
        <v>10981</v>
      </c>
      <c r="E1990" s="29" t="s">
        <v>10982</v>
      </c>
      <c r="F1990" s="30" t="s">
        <v>10983</v>
      </c>
      <c r="G1990" s="30" t="s">
        <v>10984</v>
      </c>
      <c r="H1990" s="42" t="s">
        <v>10985</v>
      </c>
      <c r="I1990" s="29" t="s">
        <v>127</v>
      </c>
      <c r="J1990" s="31">
        <v>8.0</v>
      </c>
      <c r="K1990" s="35"/>
      <c r="L1990" s="35"/>
      <c r="M1990" s="35"/>
      <c r="N1990" s="35"/>
      <c r="O1990" s="35"/>
      <c r="P1990" s="35"/>
      <c r="Q1990" s="35"/>
      <c r="R1990" s="35"/>
      <c r="S1990" s="37">
        <f>IF(B1990="","",IF(ISNUMBER(J1990),IF(J1990&lt;=10,'Configuración'!$B$23,IF(J1990&lt;=50,'Configuración'!$B$24,IF(J1990&lt;=200,'Configuración'!$B$25,0))),0))</f>
        <v>12</v>
      </c>
      <c r="T1990" s="37">
        <f>IF(B1990="","",IF(ISNUMBER(SEARCH("information technology",I1990))+ISNUMBER(SEARCH("software",I1990))+ISNUMBER(SEARCH("internet",I1990))+ISNUMBER(SEARCH("computer",I1990))+ISNUMBER(SEARCH("saas",I1990))+ISNUMBER(SEARCH("fintech",I1990))+ISNUMBER(SEARCH("information services",I1990))+ISNUMBER(SEARCH("telecommunications",I1990))&gt;0,'Configuración'!$B$27,'Configuración'!$B$28))</f>
        <v>12</v>
      </c>
      <c r="U1990" s="25">
        <f>IF(B1990="","",IF(ISNUMBER(SEARCH("CEO",C1990))+ISNUMBER(SEARCH("Founder",C1990))+ISNUMBER(SEARCH("Owner",C1990))+ISNUMBER(SEARCH("Dueño",C1990))+ISNUMBER(SEARCH("Director General",C1990))+ISNUMBER(SEARCH("Presidente",C1990))+ISNUMBER(SEARCH("President",C1990))&gt;0,'Configuración'!$B$31,IF(ISNUMBER(SEARCH("CMO",C1990))+ISNUMBER(SEARCH("Chief Marketing",C1990))+ISNUMBER(SEARCH("VP Marketing",C1990))+ISNUMBER(SEARCH("Director de Marketing",C1990))+ISNUMBER(SEARCH("Director Marketing",C1990))+ISNUMBER(SEARCH("Head of Marketing",C1990))+ISNUMBER(SEARCH("Head Marketing",C1990))&gt;0,'Configuración'!$B$32,IF(ISNUMBER(SEARCH("Marketing Manager",C1990))+ISNUMBER(SEARCH("Gerente de Marketing",C1990))+ISNUMBER(SEARCH("Growth Manager",C1990))+ISNUMBER(SEARCH("Demand Gen",C1990))+ISNUMBER(SEARCH("Marketing Lead",C1990))&gt;0,'Configuración'!$B$33,IF(ISNUMBER(SEARCH("COO",C1990))+ISNUMBER(SEARCH("CFO",C1990))+ISNUMBER(SEARCH("CTO",C1990))+ISNUMBER(SEARCH("Chief Operating",C1990))+ISNUMBER(SEARCH("Chief Financial",C1990))+ISNUMBER(SEARCH("Gerente General",C1990))+ISNUMBER(SEARCH("General Manager",C1990))&gt;0,'Configuración'!$B$34,'Configuración'!$B$35)))))</f>
        <v>12</v>
      </c>
      <c r="V1990" s="38">
        <f>IF(B1990="","",IF(K1990="Sí",'Configuración'!$B$5,0)+IF(L1990="Semanal",'Configuración'!$B$6,IF(L1990="Mensual",'Configuración'!$B$7,0))+IF(M1990="Sí",'Configuración'!$B$8,0)+IF(N1990="Sí",'Configuración'!$B$9,0)+IF(O1990="Sí",'Configuración'!$B$10,0)+IF(P1990="Sí",'Configuración'!$B$11,0)+IF(Q1990="Sí",'Configuración'!$B$12,0)+S1990+T1990+U1990)</f>
        <v>36</v>
      </c>
      <c r="W1990" s="39" t="str">
        <f>IF(B1990="","",IF(V1990&gt;='Configuración'!$B$19,"A",IF(V1990&gt;='Configuración'!$B$20,"B",IF(V1990&gt;='Configuración'!$B$21,"C","Descarte"))))</f>
        <v>C</v>
      </c>
    </row>
    <row r="1991" ht="15.75" customHeight="1">
      <c r="A1991" s="34">
        <f t="shared" si="1"/>
        <v>1989</v>
      </c>
      <c r="B1991" s="29" t="s">
        <v>2740</v>
      </c>
      <c r="C1991" s="29" t="s">
        <v>10986</v>
      </c>
      <c r="D1991" s="29" t="s">
        <v>10987</v>
      </c>
      <c r="E1991" s="29" t="s">
        <v>10988</v>
      </c>
      <c r="F1991" s="30" t="s">
        <v>10989</v>
      </c>
      <c r="G1991" s="30" t="s">
        <v>10990</v>
      </c>
      <c r="H1991" s="42" t="s">
        <v>10991</v>
      </c>
      <c r="I1991" s="29" t="s">
        <v>4697</v>
      </c>
      <c r="J1991" s="31">
        <v>9.0</v>
      </c>
      <c r="K1991" s="35"/>
      <c r="L1991" s="35"/>
      <c r="M1991" s="35"/>
      <c r="N1991" s="35"/>
      <c r="O1991" s="35"/>
      <c r="P1991" s="35"/>
      <c r="Q1991" s="35"/>
      <c r="R1991" s="35"/>
      <c r="S1991" s="37">
        <f>IF(B1991="","",IF(ISNUMBER(J1991),IF(J1991&lt;=10,'Configuración'!$B$23,IF(J1991&lt;=50,'Configuración'!$B$24,IF(J1991&lt;=200,'Configuración'!$B$25,0))),0))</f>
        <v>12</v>
      </c>
      <c r="T1991" s="37">
        <f>IF(B1991="","",IF(ISNUMBER(SEARCH("information technology",I1991))+ISNUMBER(SEARCH("software",I1991))+ISNUMBER(SEARCH("internet",I1991))+ISNUMBER(SEARCH("computer",I1991))+ISNUMBER(SEARCH("saas",I1991))+ISNUMBER(SEARCH("fintech",I1991))+ISNUMBER(SEARCH("information services",I1991))+ISNUMBER(SEARCH("telecommunications",I1991))&gt;0,'Configuración'!$B$27,'Configuración'!$B$28))</f>
        <v>4</v>
      </c>
      <c r="U1991" s="25">
        <f>IF(B1991="","",IF(ISNUMBER(SEARCH("CEO",C1991))+ISNUMBER(SEARCH("Founder",C1991))+ISNUMBER(SEARCH("Owner",C1991))+ISNUMBER(SEARCH("Dueño",C1991))+ISNUMBER(SEARCH("Director General",C1991))+ISNUMBER(SEARCH("Presidente",C1991))+ISNUMBER(SEARCH("President",C1991))&gt;0,'Configuración'!$B$31,IF(ISNUMBER(SEARCH("CMO",C1991))+ISNUMBER(SEARCH("Chief Marketing",C1991))+ISNUMBER(SEARCH("VP Marketing",C1991))+ISNUMBER(SEARCH("Director de Marketing",C1991))+ISNUMBER(SEARCH("Director Marketing",C1991))+ISNUMBER(SEARCH("Head of Marketing",C1991))+ISNUMBER(SEARCH("Head Marketing",C1991))&gt;0,'Configuración'!$B$32,IF(ISNUMBER(SEARCH("Marketing Manager",C1991))+ISNUMBER(SEARCH("Gerente de Marketing",C1991))+ISNUMBER(SEARCH("Growth Manager",C1991))+ISNUMBER(SEARCH("Demand Gen",C1991))+ISNUMBER(SEARCH("Marketing Lead",C1991))&gt;0,'Configuración'!$B$33,IF(ISNUMBER(SEARCH("COO",C1991))+ISNUMBER(SEARCH("CFO",C1991))+ISNUMBER(SEARCH("CTO",C1991))+ISNUMBER(SEARCH("Chief Operating",C1991))+ISNUMBER(SEARCH("Chief Financial",C1991))+ISNUMBER(SEARCH("Gerente General",C1991))+ISNUMBER(SEARCH("General Manager",C1991))&gt;0,'Configuración'!$B$34,'Configuración'!$B$35)))))</f>
        <v>12</v>
      </c>
      <c r="V1991" s="38">
        <f>IF(B1991="","",IF(K1991="Sí",'Configuración'!$B$5,0)+IF(L1991="Semanal",'Configuración'!$B$6,IF(L1991="Mensual",'Configuración'!$B$7,0))+IF(M1991="Sí",'Configuración'!$B$8,0)+IF(N1991="Sí",'Configuración'!$B$9,0)+IF(O1991="Sí",'Configuración'!$B$10,0)+IF(P1991="Sí",'Configuración'!$B$11,0)+IF(Q1991="Sí",'Configuración'!$B$12,0)+S1991+T1991+U1991)</f>
        <v>28</v>
      </c>
      <c r="W1991" s="39" t="str">
        <f>IF(B1991="","",IF(V1991&gt;='Configuración'!$B$19,"A",IF(V1991&gt;='Configuración'!$B$20,"B",IF(V1991&gt;='Configuración'!$B$21,"C","Descarte"))))</f>
        <v>C</v>
      </c>
    </row>
    <row r="1992" ht="15.75" customHeight="1">
      <c r="A1992" s="34">
        <f t="shared" si="1"/>
        <v>1990</v>
      </c>
      <c r="B1992" s="29" t="s">
        <v>1686</v>
      </c>
      <c r="C1992" s="29" t="s">
        <v>10992</v>
      </c>
      <c r="D1992" s="29" t="s">
        <v>10993</v>
      </c>
      <c r="E1992" s="29" t="s">
        <v>10994</v>
      </c>
      <c r="F1992" s="30" t="s">
        <v>10995</v>
      </c>
      <c r="G1992" s="30" t="s">
        <v>10996</v>
      </c>
      <c r="H1992" s="42" t="s">
        <v>10997</v>
      </c>
      <c r="I1992" s="29" t="s">
        <v>188</v>
      </c>
      <c r="J1992" s="31">
        <v>20.0</v>
      </c>
      <c r="K1992" s="35"/>
      <c r="L1992" s="35"/>
      <c r="M1992" s="35"/>
      <c r="N1992" s="35"/>
      <c r="O1992" s="35"/>
      <c r="P1992" s="35"/>
      <c r="Q1992" s="35"/>
      <c r="R1992" s="35"/>
      <c r="S1992" s="37">
        <f>IF(B1992="","",IF(ISNUMBER(J1992),IF(J1992&lt;=10,'Configuración'!$B$23,IF(J1992&lt;=50,'Configuración'!$B$24,IF(J1992&lt;=200,'Configuración'!$B$25,0))),0))</f>
        <v>4</v>
      </c>
      <c r="T1992" s="37">
        <f>IF(B1992="","",IF(ISNUMBER(SEARCH("information technology",I1992))+ISNUMBER(SEARCH("software",I1992))+ISNUMBER(SEARCH("internet",I1992))+ISNUMBER(SEARCH("computer",I1992))+ISNUMBER(SEARCH("saas",I1992))+ISNUMBER(SEARCH("fintech",I1992))+ISNUMBER(SEARCH("information services",I1992))+ISNUMBER(SEARCH("telecommunications",I1992))&gt;0,'Configuración'!$B$27,'Configuración'!$B$28))</f>
        <v>4</v>
      </c>
      <c r="U1992" s="25">
        <f>IF(B1992="","",IF(ISNUMBER(SEARCH("CEO",C1992))+ISNUMBER(SEARCH("Founder",C1992))+ISNUMBER(SEARCH("Owner",C1992))+ISNUMBER(SEARCH("Dueño",C1992))+ISNUMBER(SEARCH("Director General",C1992))+ISNUMBER(SEARCH("Presidente",C1992))+ISNUMBER(SEARCH("President",C1992))&gt;0,'Configuración'!$B$31,IF(ISNUMBER(SEARCH("CMO",C1992))+ISNUMBER(SEARCH("Chief Marketing",C1992))+ISNUMBER(SEARCH("VP Marketing",C1992))+ISNUMBER(SEARCH("Director de Marketing",C1992))+ISNUMBER(SEARCH("Director Marketing",C1992))+ISNUMBER(SEARCH("Head of Marketing",C1992))+ISNUMBER(SEARCH("Head Marketing",C1992))&gt;0,'Configuración'!$B$32,IF(ISNUMBER(SEARCH("Marketing Manager",C1992))+ISNUMBER(SEARCH("Gerente de Marketing",C1992))+ISNUMBER(SEARCH("Growth Manager",C1992))+ISNUMBER(SEARCH("Demand Gen",C1992))+ISNUMBER(SEARCH("Marketing Lead",C1992))&gt;0,'Configuración'!$B$33,IF(ISNUMBER(SEARCH("COO",C1992))+ISNUMBER(SEARCH("CFO",C1992))+ISNUMBER(SEARCH("CTO",C1992))+ISNUMBER(SEARCH("Chief Operating",C1992))+ISNUMBER(SEARCH("Chief Financial",C1992))+ISNUMBER(SEARCH("Gerente General",C1992))+ISNUMBER(SEARCH("General Manager",C1992))&gt;0,'Configuración'!$B$34,'Configuración'!$B$35)))))</f>
        <v>12</v>
      </c>
      <c r="V1992" s="38">
        <f>IF(B1992="","",IF(K1992="Sí",'Configuración'!$B$5,0)+IF(L1992="Semanal",'Configuración'!$B$6,IF(L1992="Mensual",'Configuración'!$B$7,0))+IF(M1992="Sí",'Configuración'!$B$8,0)+IF(N1992="Sí",'Configuración'!$B$9,0)+IF(O1992="Sí",'Configuración'!$B$10,0)+IF(P1992="Sí",'Configuración'!$B$11,0)+IF(Q1992="Sí",'Configuración'!$B$12,0)+S1992+T1992+U1992)</f>
        <v>20</v>
      </c>
      <c r="W1992" s="39" t="str">
        <f>IF(B1992="","",IF(V1992&gt;='Configuración'!$B$19,"A",IF(V1992&gt;='Configuración'!$B$20,"B",IF(V1992&gt;='Configuración'!$B$21,"C","Descarte"))))</f>
        <v>Descarte</v>
      </c>
    </row>
    <row r="1993" ht="15.75" customHeight="1">
      <c r="A1993" s="34">
        <f t="shared" si="1"/>
        <v>1991</v>
      </c>
      <c r="B1993" s="29" t="s">
        <v>10998</v>
      </c>
      <c r="C1993" s="29" t="s">
        <v>131</v>
      </c>
      <c r="D1993" s="29" t="s">
        <v>10999</v>
      </c>
      <c r="E1993" s="29" t="s">
        <v>11000</v>
      </c>
      <c r="F1993" s="30" t="s">
        <v>11001</v>
      </c>
      <c r="G1993" s="30" t="s">
        <v>11002</v>
      </c>
      <c r="H1993" s="42" t="s">
        <v>11003</v>
      </c>
      <c r="I1993" s="29" t="s">
        <v>2170</v>
      </c>
      <c r="J1993" s="31">
        <v>8.0</v>
      </c>
      <c r="K1993" s="35"/>
      <c r="L1993" s="35"/>
      <c r="M1993" s="35"/>
      <c r="N1993" s="35"/>
      <c r="O1993" s="35"/>
      <c r="P1993" s="35"/>
      <c r="Q1993" s="35"/>
      <c r="R1993" s="35"/>
      <c r="S1993" s="37">
        <f>IF(B1993="","",IF(ISNUMBER(J1993),IF(J1993&lt;=10,'Configuración'!$B$23,IF(J1993&lt;=50,'Configuración'!$B$24,IF(J1993&lt;=200,'Configuración'!$B$25,0))),0))</f>
        <v>12</v>
      </c>
      <c r="T1993" s="37">
        <f>IF(B1993="","",IF(ISNUMBER(SEARCH("information technology",I1993))+ISNUMBER(SEARCH("software",I1993))+ISNUMBER(SEARCH("internet",I1993))+ISNUMBER(SEARCH("computer",I1993))+ISNUMBER(SEARCH("saas",I1993))+ISNUMBER(SEARCH("fintech",I1993))+ISNUMBER(SEARCH("information services",I1993))+ISNUMBER(SEARCH("telecommunications",I1993))&gt;0,'Configuración'!$B$27,'Configuración'!$B$28))</f>
        <v>12</v>
      </c>
      <c r="U1993" s="25">
        <f>IF(B1993="","",IF(ISNUMBER(SEARCH("CEO",C1993))+ISNUMBER(SEARCH("Founder",C1993))+ISNUMBER(SEARCH("Owner",C1993))+ISNUMBER(SEARCH("Dueño",C1993))+ISNUMBER(SEARCH("Director General",C1993))+ISNUMBER(SEARCH("Presidente",C1993))+ISNUMBER(SEARCH("President",C1993))&gt;0,'Configuración'!$B$31,IF(ISNUMBER(SEARCH("CMO",C1993))+ISNUMBER(SEARCH("Chief Marketing",C1993))+ISNUMBER(SEARCH("VP Marketing",C1993))+ISNUMBER(SEARCH("Director de Marketing",C1993))+ISNUMBER(SEARCH("Director Marketing",C1993))+ISNUMBER(SEARCH("Head of Marketing",C1993))+ISNUMBER(SEARCH("Head Marketing",C1993))&gt;0,'Configuración'!$B$32,IF(ISNUMBER(SEARCH("Marketing Manager",C1993))+ISNUMBER(SEARCH("Gerente de Marketing",C1993))+ISNUMBER(SEARCH("Growth Manager",C1993))+ISNUMBER(SEARCH("Demand Gen",C1993))+ISNUMBER(SEARCH("Marketing Lead",C1993))&gt;0,'Configuración'!$B$33,IF(ISNUMBER(SEARCH("COO",C1993))+ISNUMBER(SEARCH("CFO",C1993))+ISNUMBER(SEARCH("CTO",C1993))+ISNUMBER(SEARCH("Chief Operating",C1993))+ISNUMBER(SEARCH("Chief Financial",C1993))+ISNUMBER(SEARCH("Gerente General",C1993))+ISNUMBER(SEARCH("General Manager",C1993))&gt;0,'Configuración'!$B$34,'Configuración'!$B$35)))))</f>
        <v>12</v>
      </c>
      <c r="V1993" s="38">
        <f>IF(B1993="","",IF(K1993="Sí",'Configuración'!$B$5,0)+IF(L1993="Semanal",'Configuración'!$B$6,IF(L1993="Mensual",'Configuración'!$B$7,0))+IF(M1993="Sí",'Configuración'!$B$8,0)+IF(N1993="Sí",'Configuración'!$B$9,0)+IF(O1993="Sí",'Configuración'!$B$10,0)+IF(P1993="Sí",'Configuración'!$B$11,0)+IF(Q1993="Sí",'Configuración'!$B$12,0)+S1993+T1993+U1993)</f>
        <v>36</v>
      </c>
      <c r="W1993" s="39" t="str">
        <f>IF(B1993="","",IF(V1993&gt;='Configuración'!$B$19,"A",IF(V1993&gt;='Configuración'!$B$20,"B",IF(V1993&gt;='Configuración'!$B$21,"C","Descarte"))))</f>
        <v>C</v>
      </c>
    </row>
    <row r="1994" ht="15.75" customHeight="1">
      <c r="A1994" s="34">
        <f t="shared" si="1"/>
        <v>1992</v>
      </c>
      <c r="B1994" s="29" t="s">
        <v>1814</v>
      </c>
      <c r="C1994" s="29" t="s">
        <v>146</v>
      </c>
      <c r="D1994" s="29" t="s">
        <v>11004</v>
      </c>
      <c r="E1994" s="29" t="s">
        <v>11005</v>
      </c>
      <c r="F1994" s="30" t="s">
        <v>11006</v>
      </c>
      <c r="G1994" s="30" t="s">
        <v>11007</v>
      </c>
      <c r="H1994" s="42" t="s">
        <v>11008</v>
      </c>
      <c r="I1994" s="29" t="s">
        <v>127</v>
      </c>
      <c r="J1994" s="31">
        <v>9.0</v>
      </c>
      <c r="K1994" s="35"/>
      <c r="L1994" s="35"/>
      <c r="M1994" s="35"/>
      <c r="N1994" s="35"/>
      <c r="O1994" s="35"/>
      <c r="P1994" s="35"/>
      <c r="Q1994" s="35"/>
      <c r="R1994" s="35"/>
      <c r="S1994" s="37">
        <f>IF(B1994="","",IF(ISNUMBER(J1994),IF(J1994&lt;=10,'Configuración'!$B$23,IF(J1994&lt;=50,'Configuración'!$B$24,IF(J1994&lt;=200,'Configuración'!$B$25,0))),0))</f>
        <v>12</v>
      </c>
      <c r="T1994" s="37">
        <f>IF(B1994="","",IF(ISNUMBER(SEARCH("information technology",I1994))+ISNUMBER(SEARCH("software",I1994))+ISNUMBER(SEARCH("internet",I1994))+ISNUMBER(SEARCH("computer",I1994))+ISNUMBER(SEARCH("saas",I1994))+ISNUMBER(SEARCH("fintech",I1994))+ISNUMBER(SEARCH("information services",I1994))+ISNUMBER(SEARCH("telecommunications",I1994))&gt;0,'Configuración'!$B$27,'Configuración'!$B$28))</f>
        <v>12</v>
      </c>
      <c r="U1994" s="25">
        <f>IF(B1994="","",IF(ISNUMBER(SEARCH("CEO",C1994))+ISNUMBER(SEARCH("Founder",C1994))+ISNUMBER(SEARCH("Owner",C1994))+ISNUMBER(SEARCH("Dueño",C1994))+ISNUMBER(SEARCH("Director General",C1994))+ISNUMBER(SEARCH("Presidente",C1994))+ISNUMBER(SEARCH("President",C1994))&gt;0,'Configuración'!$B$31,IF(ISNUMBER(SEARCH("CMO",C1994))+ISNUMBER(SEARCH("Chief Marketing",C1994))+ISNUMBER(SEARCH("VP Marketing",C1994))+ISNUMBER(SEARCH("Director de Marketing",C1994))+ISNUMBER(SEARCH("Director Marketing",C1994))+ISNUMBER(SEARCH("Head of Marketing",C1994))+ISNUMBER(SEARCH("Head Marketing",C1994))&gt;0,'Configuración'!$B$32,IF(ISNUMBER(SEARCH("Marketing Manager",C1994))+ISNUMBER(SEARCH("Gerente de Marketing",C1994))+ISNUMBER(SEARCH("Growth Manager",C1994))+ISNUMBER(SEARCH("Demand Gen",C1994))+ISNUMBER(SEARCH("Marketing Lead",C1994))&gt;0,'Configuración'!$B$33,IF(ISNUMBER(SEARCH("COO",C1994))+ISNUMBER(SEARCH("CFO",C1994))+ISNUMBER(SEARCH("CTO",C1994))+ISNUMBER(SEARCH("Chief Operating",C1994))+ISNUMBER(SEARCH("Chief Financial",C1994))+ISNUMBER(SEARCH("Gerente General",C1994))+ISNUMBER(SEARCH("General Manager",C1994))&gt;0,'Configuración'!$B$34,'Configuración'!$B$35)))))</f>
        <v>0</v>
      </c>
      <c r="V1994" s="38">
        <f>IF(B1994="","",IF(K1994="Sí",'Configuración'!$B$5,0)+IF(L1994="Semanal",'Configuración'!$B$6,IF(L1994="Mensual",'Configuración'!$B$7,0))+IF(M1994="Sí",'Configuración'!$B$8,0)+IF(N1994="Sí",'Configuración'!$B$9,0)+IF(O1994="Sí",'Configuración'!$B$10,0)+IF(P1994="Sí",'Configuración'!$B$11,0)+IF(Q1994="Sí",'Configuración'!$B$12,0)+S1994+T1994+U1994)</f>
        <v>24</v>
      </c>
      <c r="W1994" s="39" t="str">
        <f>IF(B1994="","",IF(V1994&gt;='Configuración'!$B$19,"A",IF(V1994&gt;='Configuración'!$B$20,"B",IF(V1994&gt;='Configuración'!$B$21,"C","Descarte"))))</f>
        <v>C</v>
      </c>
    </row>
    <row r="1995" ht="15.75" customHeight="1">
      <c r="A1995" s="34">
        <f t="shared" si="1"/>
        <v>1993</v>
      </c>
      <c r="B1995" s="29" t="s">
        <v>324</v>
      </c>
      <c r="C1995" s="29" t="s">
        <v>11009</v>
      </c>
      <c r="D1995" s="29" t="s">
        <v>11010</v>
      </c>
      <c r="E1995" s="29" t="s">
        <v>11011</v>
      </c>
      <c r="F1995" s="30" t="s">
        <v>11012</v>
      </c>
      <c r="G1995" s="30" t="s">
        <v>11013</v>
      </c>
      <c r="H1995" s="42" t="s">
        <v>11014</v>
      </c>
      <c r="I1995" s="29" t="s">
        <v>310</v>
      </c>
      <c r="J1995" s="31">
        <v>13.0</v>
      </c>
      <c r="K1995" s="35"/>
      <c r="L1995" s="35"/>
      <c r="M1995" s="35"/>
      <c r="N1995" s="35"/>
      <c r="O1995" s="35"/>
      <c r="P1995" s="35"/>
      <c r="Q1995" s="35"/>
      <c r="R1995" s="35"/>
      <c r="S1995" s="37">
        <f>IF(B1995="","",IF(ISNUMBER(J1995),IF(J1995&lt;=10,'Configuración'!$B$23,IF(J1995&lt;=50,'Configuración'!$B$24,IF(J1995&lt;=200,'Configuración'!$B$25,0))),0))</f>
        <v>4</v>
      </c>
      <c r="T1995" s="37">
        <f>IF(B1995="","",IF(ISNUMBER(SEARCH("information technology",I1995))+ISNUMBER(SEARCH("software",I1995))+ISNUMBER(SEARCH("internet",I1995))+ISNUMBER(SEARCH("computer",I1995))+ISNUMBER(SEARCH("saas",I1995))+ISNUMBER(SEARCH("fintech",I1995))+ISNUMBER(SEARCH("information services",I1995))+ISNUMBER(SEARCH("telecommunications",I1995))&gt;0,'Configuración'!$B$27,'Configuración'!$B$28))</f>
        <v>4</v>
      </c>
      <c r="U1995" s="25">
        <f>IF(B1995="","",IF(ISNUMBER(SEARCH("CEO",C1995))+ISNUMBER(SEARCH("Founder",C1995))+ISNUMBER(SEARCH("Owner",C1995))+ISNUMBER(SEARCH("Dueño",C1995))+ISNUMBER(SEARCH("Director General",C1995))+ISNUMBER(SEARCH("Presidente",C1995))+ISNUMBER(SEARCH("President",C1995))&gt;0,'Configuración'!$B$31,IF(ISNUMBER(SEARCH("CMO",C1995))+ISNUMBER(SEARCH("Chief Marketing",C1995))+ISNUMBER(SEARCH("VP Marketing",C1995))+ISNUMBER(SEARCH("Director de Marketing",C1995))+ISNUMBER(SEARCH("Director Marketing",C1995))+ISNUMBER(SEARCH("Head of Marketing",C1995))+ISNUMBER(SEARCH("Head Marketing",C1995))&gt;0,'Configuración'!$B$32,IF(ISNUMBER(SEARCH("Marketing Manager",C1995))+ISNUMBER(SEARCH("Gerente de Marketing",C1995))+ISNUMBER(SEARCH("Growth Manager",C1995))+ISNUMBER(SEARCH("Demand Gen",C1995))+ISNUMBER(SEARCH("Marketing Lead",C1995))&gt;0,'Configuración'!$B$33,IF(ISNUMBER(SEARCH("COO",C1995))+ISNUMBER(SEARCH("CFO",C1995))+ISNUMBER(SEARCH("CTO",C1995))+ISNUMBER(SEARCH("Chief Operating",C1995))+ISNUMBER(SEARCH("Chief Financial",C1995))+ISNUMBER(SEARCH("Gerente General",C1995))+ISNUMBER(SEARCH("General Manager",C1995))&gt;0,'Configuración'!$B$34,'Configuración'!$B$35)))))</f>
        <v>12</v>
      </c>
      <c r="V1995" s="38">
        <f>IF(B1995="","",IF(K1995="Sí",'Configuración'!$B$5,0)+IF(L1995="Semanal",'Configuración'!$B$6,IF(L1995="Mensual",'Configuración'!$B$7,0))+IF(M1995="Sí",'Configuración'!$B$8,0)+IF(N1995="Sí",'Configuración'!$B$9,0)+IF(O1995="Sí",'Configuración'!$B$10,0)+IF(P1995="Sí",'Configuración'!$B$11,0)+IF(Q1995="Sí",'Configuración'!$B$12,0)+S1995+T1995+U1995)</f>
        <v>20</v>
      </c>
      <c r="W1995" s="39" t="str">
        <f>IF(B1995="","",IF(V1995&gt;='Configuración'!$B$19,"A",IF(V1995&gt;='Configuración'!$B$20,"B",IF(V1995&gt;='Configuración'!$B$21,"C","Descarte"))))</f>
        <v>Descarte</v>
      </c>
    </row>
    <row r="1996" ht="15.75" customHeight="1">
      <c r="A1996" s="34">
        <f t="shared" si="1"/>
        <v>1994</v>
      </c>
      <c r="B1996" s="29" t="s">
        <v>11015</v>
      </c>
      <c r="C1996" s="29" t="s">
        <v>175</v>
      </c>
      <c r="D1996" s="29" t="s">
        <v>11016</v>
      </c>
      <c r="E1996" s="29" t="s">
        <v>11017</v>
      </c>
      <c r="F1996" s="30" t="s">
        <v>11018</v>
      </c>
      <c r="G1996" s="30" t="s">
        <v>11019</v>
      </c>
      <c r="H1996" s="42" t="s">
        <v>11020</v>
      </c>
      <c r="I1996" s="29" t="s">
        <v>188</v>
      </c>
      <c r="J1996" s="31">
        <v>1.0</v>
      </c>
      <c r="K1996" s="35"/>
      <c r="L1996" s="35"/>
      <c r="M1996" s="35"/>
      <c r="N1996" s="35"/>
      <c r="O1996" s="35"/>
      <c r="P1996" s="35"/>
      <c r="Q1996" s="35"/>
      <c r="R1996" s="35"/>
      <c r="S1996" s="37">
        <f>IF(B1996="","",IF(ISNUMBER(J1996),IF(J1996&lt;=10,'Configuración'!$B$23,IF(J1996&lt;=50,'Configuración'!$B$24,IF(J1996&lt;=200,'Configuración'!$B$25,0))),0))</f>
        <v>12</v>
      </c>
      <c r="T1996" s="37">
        <f>IF(B1996="","",IF(ISNUMBER(SEARCH("information technology",I1996))+ISNUMBER(SEARCH("software",I1996))+ISNUMBER(SEARCH("internet",I1996))+ISNUMBER(SEARCH("computer",I1996))+ISNUMBER(SEARCH("saas",I1996))+ISNUMBER(SEARCH("fintech",I1996))+ISNUMBER(SEARCH("information services",I1996))+ISNUMBER(SEARCH("telecommunications",I1996))&gt;0,'Configuración'!$B$27,'Configuración'!$B$28))</f>
        <v>4</v>
      </c>
      <c r="U1996" s="25">
        <f>IF(B1996="","",IF(ISNUMBER(SEARCH("CEO",C1996))+ISNUMBER(SEARCH("Founder",C1996))+ISNUMBER(SEARCH("Owner",C1996))+ISNUMBER(SEARCH("Dueño",C1996))+ISNUMBER(SEARCH("Director General",C1996))+ISNUMBER(SEARCH("Presidente",C1996))+ISNUMBER(SEARCH("President",C1996))&gt;0,'Configuración'!$B$31,IF(ISNUMBER(SEARCH("CMO",C1996))+ISNUMBER(SEARCH("Chief Marketing",C1996))+ISNUMBER(SEARCH("VP Marketing",C1996))+ISNUMBER(SEARCH("Director de Marketing",C1996))+ISNUMBER(SEARCH("Director Marketing",C1996))+ISNUMBER(SEARCH("Head of Marketing",C1996))+ISNUMBER(SEARCH("Head Marketing",C1996))&gt;0,'Configuración'!$B$32,IF(ISNUMBER(SEARCH("Marketing Manager",C1996))+ISNUMBER(SEARCH("Gerente de Marketing",C1996))+ISNUMBER(SEARCH("Growth Manager",C1996))+ISNUMBER(SEARCH("Demand Gen",C1996))+ISNUMBER(SEARCH("Marketing Lead",C1996))&gt;0,'Configuración'!$B$33,IF(ISNUMBER(SEARCH("COO",C1996))+ISNUMBER(SEARCH("CFO",C1996))+ISNUMBER(SEARCH("CTO",C1996))+ISNUMBER(SEARCH("Chief Operating",C1996))+ISNUMBER(SEARCH("Chief Financial",C1996))+ISNUMBER(SEARCH("Gerente General",C1996))+ISNUMBER(SEARCH("General Manager",C1996))&gt;0,'Configuración'!$B$34,'Configuración'!$B$35)))))</f>
        <v>12</v>
      </c>
      <c r="V1996" s="38">
        <f>IF(B1996="","",IF(K1996="Sí",'Configuración'!$B$5,0)+IF(L1996="Semanal",'Configuración'!$B$6,IF(L1996="Mensual",'Configuración'!$B$7,0))+IF(M1996="Sí",'Configuración'!$B$8,0)+IF(N1996="Sí",'Configuración'!$B$9,0)+IF(O1996="Sí",'Configuración'!$B$10,0)+IF(P1996="Sí",'Configuración'!$B$11,0)+IF(Q1996="Sí",'Configuración'!$B$12,0)+S1996+T1996+U1996)</f>
        <v>28</v>
      </c>
      <c r="W1996" s="39" t="str">
        <f>IF(B1996="","",IF(V1996&gt;='Configuración'!$B$19,"A",IF(V1996&gt;='Configuración'!$B$20,"B",IF(V1996&gt;='Configuración'!$B$21,"C","Descarte"))))</f>
        <v>C</v>
      </c>
    </row>
    <row r="1997" ht="15.75" customHeight="1">
      <c r="A1997" s="34">
        <f t="shared" si="1"/>
        <v>1995</v>
      </c>
      <c r="B1997" s="29" t="s">
        <v>138</v>
      </c>
      <c r="C1997" s="29" t="s">
        <v>11021</v>
      </c>
      <c r="D1997" s="29" t="s">
        <v>11022</v>
      </c>
      <c r="E1997" s="29" t="s">
        <v>11023</v>
      </c>
      <c r="F1997" s="30" t="s">
        <v>11024</v>
      </c>
      <c r="G1997" s="30" t="s">
        <v>11025</v>
      </c>
      <c r="H1997" s="42" t="s">
        <v>11026</v>
      </c>
      <c r="I1997" s="29" t="s">
        <v>127</v>
      </c>
      <c r="J1997" s="31">
        <v>4.0</v>
      </c>
      <c r="K1997" s="35"/>
      <c r="L1997" s="35"/>
      <c r="M1997" s="35"/>
      <c r="N1997" s="35"/>
      <c r="O1997" s="35"/>
      <c r="P1997" s="35"/>
      <c r="Q1997" s="35"/>
      <c r="R1997" s="35"/>
      <c r="S1997" s="37">
        <f>IF(B1997="","",IF(ISNUMBER(J1997),IF(J1997&lt;=10,'Configuración'!$B$23,IF(J1997&lt;=50,'Configuración'!$B$24,IF(J1997&lt;=200,'Configuración'!$B$25,0))),0))</f>
        <v>12</v>
      </c>
      <c r="T1997" s="37">
        <f>IF(B1997="","",IF(ISNUMBER(SEARCH("information technology",I1997))+ISNUMBER(SEARCH("software",I1997))+ISNUMBER(SEARCH("internet",I1997))+ISNUMBER(SEARCH("computer",I1997))+ISNUMBER(SEARCH("saas",I1997))+ISNUMBER(SEARCH("fintech",I1997))+ISNUMBER(SEARCH("information services",I1997))+ISNUMBER(SEARCH("telecommunications",I1997))&gt;0,'Configuración'!$B$27,'Configuración'!$B$28))</f>
        <v>12</v>
      </c>
      <c r="U1997" s="25">
        <f>IF(B1997="","",IF(ISNUMBER(SEARCH("CEO",C1997))+ISNUMBER(SEARCH("Founder",C1997))+ISNUMBER(SEARCH("Owner",C1997))+ISNUMBER(SEARCH("Dueño",C1997))+ISNUMBER(SEARCH("Director General",C1997))+ISNUMBER(SEARCH("Presidente",C1997))+ISNUMBER(SEARCH("President",C1997))&gt;0,'Configuración'!$B$31,IF(ISNUMBER(SEARCH("CMO",C1997))+ISNUMBER(SEARCH("Chief Marketing",C1997))+ISNUMBER(SEARCH("VP Marketing",C1997))+ISNUMBER(SEARCH("Director de Marketing",C1997))+ISNUMBER(SEARCH("Director Marketing",C1997))+ISNUMBER(SEARCH("Head of Marketing",C1997))+ISNUMBER(SEARCH("Head Marketing",C1997))&gt;0,'Configuración'!$B$32,IF(ISNUMBER(SEARCH("Marketing Manager",C1997))+ISNUMBER(SEARCH("Gerente de Marketing",C1997))+ISNUMBER(SEARCH("Growth Manager",C1997))+ISNUMBER(SEARCH("Demand Gen",C1997))+ISNUMBER(SEARCH("Marketing Lead",C1997))&gt;0,'Configuración'!$B$33,IF(ISNUMBER(SEARCH("COO",C1997))+ISNUMBER(SEARCH("CFO",C1997))+ISNUMBER(SEARCH("CTO",C1997))+ISNUMBER(SEARCH("Chief Operating",C1997))+ISNUMBER(SEARCH("Chief Financial",C1997))+ISNUMBER(SEARCH("Gerente General",C1997))+ISNUMBER(SEARCH("General Manager",C1997))&gt;0,'Configuración'!$B$34,'Configuración'!$B$35)))))</f>
        <v>12</v>
      </c>
      <c r="V1997" s="38">
        <f>IF(B1997="","",IF(K1997="Sí",'Configuración'!$B$5,0)+IF(L1997="Semanal",'Configuración'!$B$6,IF(L1997="Mensual",'Configuración'!$B$7,0))+IF(M1997="Sí",'Configuración'!$B$8,0)+IF(N1997="Sí",'Configuración'!$B$9,0)+IF(O1997="Sí",'Configuración'!$B$10,0)+IF(P1997="Sí",'Configuración'!$B$11,0)+IF(Q1997="Sí",'Configuración'!$B$12,0)+S1997+T1997+U1997)</f>
        <v>36</v>
      </c>
      <c r="W1997" s="39" t="str">
        <f>IF(B1997="","",IF(V1997&gt;='Configuración'!$B$19,"A",IF(V1997&gt;='Configuración'!$B$20,"B",IF(V1997&gt;='Configuración'!$B$21,"C","Descarte"))))</f>
        <v>C</v>
      </c>
    </row>
    <row r="1998" ht="15.75" customHeight="1">
      <c r="A1998" s="34">
        <f t="shared" si="1"/>
        <v>1996</v>
      </c>
      <c r="B1998" s="29" t="s">
        <v>1623</v>
      </c>
      <c r="C1998" s="29" t="s">
        <v>1465</v>
      </c>
      <c r="D1998" s="29" t="s">
        <v>11027</v>
      </c>
      <c r="E1998" s="29" t="s">
        <v>11028</v>
      </c>
      <c r="F1998" s="30" t="s">
        <v>11029</v>
      </c>
      <c r="G1998" s="30" t="s">
        <v>11030</v>
      </c>
      <c r="H1998" s="42" t="s">
        <v>11031</v>
      </c>
      <c r="I1998" s="29" t="s">
        <v>2170</v>
      </c>
      <c r="J1998" s="31">
        <v>33.0</v>
      </c>
      <c r="K1998" s="35"/>
      <c r="L1998" s="35"/>
      <c r="M1998" s="35"/>
      <c r="N1998" s="35"/>
      <c r="O1998" s="35"/>
      <c r="P1998" s="35"/>
      <c r="Q1998" s="35"/>
      <c r="R1998" s="35"/>
      <c r="S1998" s="37">
        <f>IF(B1998="","",IF(ISNUMBER(J1998),IF(J1998&lt;=10,'Configuración'!$B$23,IF(J1998&lt;=50,'Configuración'!$B$24,IF(J1998&lt;=200,'Configuración'!$B$25,0))),0))</f>
        <v>4</v>
      </c>
      <c r="T1998" s="37">
        <f>IF(B1998="","",IF(ISNUMBER(SEARCH("information technology",I1998))+ISNUMBER(SEARCH("software",I1998))+ISNUMBER(SEARCH("internet",I1998))+ISNUMBER(SEARCH("computer",I1998))+ISNUMBER(SEARCH("saas",I1998))+ISNUMBER(SEARCH("fintech",I1998))+ISNUMBER(SEARCH("information services",I1998))+ISNUMBER(SEARCH("telecommunications",I1998))&gt;0,'Configuración'!$B$27,'Configuración'!$B$28))</f>
        <v>12</v>
      </c>
      <c r="U1998" s="25">
        <f>IF(B1998="","",IF(ISNUMBER(SEARCH("CEO",C1998))+ISNUMBER(SEARCH("Founder",C1998))+ISNUMBER(SEARCH("Owner",C1998))+ISNUMBER(SEARCH("Dueño",C1998))+ISNUMBER(SEARCH("Director General",C1998))+ISNUMBER(SEARCH("Presidente",C1998))+ISNUMBER(SEARCH("President",C1998))&gt;0,'Configuración'!$B$31,IF(ISNUMBER(SEARCH("CMO",C1998))+ISNUMBER(SEARCH("Chief Marketing",C1998))+ISNUMBER(SEARCH("VP Marketing",C1998))+ISNUMBER(SEARCH("Director de Marketing",C1998))+ISNUMBER(SEARCH("Director Marketing",C1998))+ISNUMBER(SEARCH("Head of Marketing",C1998))+ISNUMBER(SEARCH("Head Marketing",C1998))&gt;0,'Configuración'!$B$32,IF(ISNUMBER(SEARCH("Marketing Manager",C1998))+ISNUMBER(SEARCH("Gerente de Marketing",C1998))+ISNUMBER(SEARCH("Growth Manager",C1998))+ISNUMBER(SEARCH("Demand Gen",C1998))+ISNUMBER(SEARCH("Marketing Lead",C1998))&gt;0,'Configuración'!$B$33,IF(ISNUMBER(SEARCH("COO",C1998))+ISNUMBER(SEARCH("CFO",C1998))+ISNUMBER(SEARCH("CTO",C1998))+ISNUMBER(SEARCH("Chief Operating",C1998))+ISNUMBER(SEARCH("Chief Financial",C1998))+ISNUMBER(SEARCH("Gerente General",C1998))+ISNUMBER(SEARCH("General Manager",C1998))&gt;0,'Configuración'!$B$34,'Configuración'!$B$35)))))</f>
        <v>4</v>
      </c>
      <c r="V1998" s="38">
        <f>IF(B1998="","",IF(K1998="Sí",'Configuración'!$B$5,0)+IF(L1998="Semanal",'Configuración'!$B$6,IF(L1998="Mensual",'Configuración'!$B$7,0))+IF(M1998="Sí",'Configuración'!$B$8,0)+IF(N1998="Sí",'Configuración'!$B$9,0)+IF(O1998="Sí",'Configuración'!$B$10,0)+IF(P1998="Sí",'Configuración'!$B$11,0)+IF(Q1998="Sí",'Configuración'!$B$12,0)+S1998+T1998+U1998)</f>
        <v>20</v>
      </c>
      <c r="W1998" s="39" t="str">
        <f>IF(B1998="","",IF(V1998&gt;='Configuración'!$B$19,"A",IF(V1998&gt;='Configuración'!$B$20,"B",IF(V1998&gt;='Configuración'!$B$21,"C","Descarte"))))</f>
        <v>Descarte</v>
      </c>
    </row>
    <row r="1999" ht="15.75" customHeight="1">
      <c r="A1999" s="34">
        <f t="shared" si="1"/>
        <v>1997</v>
      </c>
      <c r="B1999" s="29" t="s">
        <v>1635</v>
      </c>
      <c r="C1999" s="29" t="s">
        <v>1839</v>
      </c>
      <c r="D1999" s="29" t="s">
        <v>10122</v>
      </c>
      <c r="E1999" s="29" t="s">
        <v>11032</v>
      </c>
      <c r="F1999" s="30" t="s">
        <v>11033</v>
      </c>
      <c r="G1999" s="30" t="s">
        <v>10125</v>
      </c>
      <c r="H1999" s="42" t="s">
        <v>10126</v>
      </c>
      <c r="I1999" s="29" t="s">
        <v>127</v>
      </c>
      <c r="J1999" s="31">
        <v>7.0</v>
      </c>
      <c r="K1999" s="35"/>
      <c r="L1999" s="35"/>
      <c r="M1999" s="35"/>
      <c r="N1999" s="35"/>
      <c r="O1999" s="35"/>
      <c r="P1999" s="35"/>
      <c r="Q1999" s="35"/>
      <c r="R1999" s="35"/>
      <c r="S1999" s="37">
        <f>IF(B1999="","",IF(ISNUMBER(J1999),IF(J1999&lt;=10,'Configuración'!$B$23,IF(J1999&lt;=50,'Configuración'!$B$24,IF(J1999&lt;=200,'Configuración'!$B$25,0))),0))</f>
        <v>12</v>
      </c>
      <c r="T1999" s="37">
        <f>IF(B1999="","",IF(ISNUMBER(SEARCH("information technology",I1999))+ISNUMBER(SEARCH("software",I1999))+ISNUMBER(SEARCH("internet",I1999))+ISNUMBER(SEARCH("computer",I1999))+ISNUMBER(SEARCH("saas",I1999))+ISNUMBER(SEARCH("fintech",I1999))+ISNUMBER(SEARCH("information services",I1999))+ISNUMBER(SEARCH("telecommunications",I1999))&gt;0,'Configuración'!$B$27,'Configuración'!$B$28))</f>
        <v>12</v>
      </c>
      <c r="U1999" s="25">
        <f>IF(B1999="","",IF(ISNUMBER(SEARCH("CEO",C1999))+ISNUMBER(SEARCH("Founder",C1999))+ISNUMBER(SEARCH("Owner",C1999))+ISNUMBER(SEARCH("Dueño",C1999))+ISNUMBER(SEARCH("Director General",C1999))+ISNUMBER(SEARCH("Presidente",C1999))+ISNUMBER(SEARCH("President",C1999))&gt;0,'Configuración'!$B$31,IF(ISNUMBER(SEARCH("CMO",C1999))+ISNUMBER(SEARCH("Chief Marketing",C1999))+ISNUMBER(SEARCH("VP Marketing",C1999))+ISNUMBER(SEARCH("Director de Marketing",C1999))+ISNUMBER(SEARCH("Director Marketing",C1999))+ISNUMBER(SEARCH("Head of Marketing",C1999))+ISNUMBER(SEARCH("Head Marketing",C1999))&gt;0,'Configuración'!$B$32,IF(ISNUMBER(SEARCH("Marketing Manager",C1999))+ISNUMBER(SEARCH("Gerente de Marketing",C1999))+ISNUMBER(SEARCH("Growth Manager",C1999))+ISNUMBER(SEARCH("Demand Gen",C1999))+ISNUMBER(SEARCH("Marketing Lead",C1999))&gt;0,'Configuración'!$B$33,IF(ISNUMBER(SEARCH("COO",C1999))+ISNUMBER(SEARCH("CFO",C1999))+ISNUMBER(SEARCH("CTO",C1999))+ISNUMBER(SEARCH("Chief Operating",C1999))+ISNUMBER(SEARCH("Chief Financial",C1999))+ISNUMBER(SEARCH("Gerente General",C1999))+ISNUMBER(SEARCH("General Manager",C1999))&gt;0,'Configuración'!$B$34,'Configuración'!$B$35)))))</f>
        <v>12</v>
      </c>
      <c r="V1999" s="38">
        <f>IF(B1999="","",IF(K1999="Sí",'Configuración'!$B$5,0)+IF(L1999="Semanal",'Configuración'!$B$6,IF(L1999="Mensual",'Configuración'!$B$7,0))+IF(M1999="Sí",'Configuración'!$B$8,0)+IF(N1999="Sí",'Configuración'!$B$9,0)+IF(O1999="Sí",'Configuración'!$B$10,0)+IF(P1999="Sí",'Configuración'!$B$11,0)+IF(Q1999="Sí",'Configuración'!$B$12,0)+S1999+T1999+U1999)</f>
        <v>36</v>
      </c>
      <c r="W1999" s="39" t="str">
        <f>IF(B1999="","",IF(V1999&gt;='Configuración'!$B$19,"A",IF(V1999&gt;='Configuración'!$B$20,"B",IF(V1999&gt;='Configuración'!$B$21,"C","Descarte"))))</f>
        <v>C</v>
      </c>
    </row>
    <row r="2000" ht="15.75" customHeight="1">
      <c r="A2000" s="34">
        <f t="shared" si="1"/>
        <v>1998</v>
      </c>
      <c r="B2000" s="29" t="s">
        <v>138</v>
      </c>
      <c r="C2000" s="29" t="s">
        <v>11034</v>
      </c>
      <c r="D2000" s="29" t="s">
        <v>8136</v>
      </c>
      <c r="E2000" s="29" t="s">
        <v>11035</v>
      </c>
      <c r="F2000" s="30" t="s">
        <v>11036</v>
      </c>
      <c r="G2000" s="30" t="s">
        <v>8139</v>
      </c>
      <c r="H2000" s="42" t="s">
        <v>8140</v>
      </c>
      <c r="I2000" s="29" t="s">
        <v>310</v>
      </c>
      <c r="J2000" s="31">
        <v>3.0</v>
      </c>
      <c r="K2000" s="35"/>
      <c r="L2000" s="35"/>
      <c r="M2000" s="35"/>
      <c r="N2000" s="35"/>
      <c r="O2000" s="35"/>
      <c r="P2000" s="35"/>
      <c r="Q2000" s="35"/>
      <c r="R2000" s="35"/>
      <c r="S2000" s="37">
        <f>IF(B2000="","",IF(ISNUMBER(J2000),IF(J2000&lt;=10,'Configuración'!$B$23,IF(J2000&lt;=50,'Configuración'!$B$24,IF(J2000&lt;=200,'Configuración'!$B$25,0))),0))</f>
        <v>12</v>
      </c>
      <c r="T2000" s="37">
        <f>IF(B2000="","",IF(ISNUMBER(SEARCH("information technology",I2000))+ISNUMBER(SEARCH("software",I2000))+ISNUMBER(SEARCH("internet",I2000))+ISNUMBER(SEARCH("computer",I2000))+ISNUMBER(SEARCH("saas",I2000))+ISNUMBER(SEARCH("fintech",I2000))+ISNUMBER(SEARCH("information services",I2000))+ISNUMBER(SEARCH("telecommunications",I2000))&gt;0,'Configuración'!$B$27,'Configuración'!$B$28))</f>
        <v>4</v>
      </c>
      <c r="U2000" s="25">
        <f>IF(B2000="","",IF(ISNUMBER(SEARCH("CEO",C2000))+ISNUMBER(SEARCH("Founder",C2000))+ISNUMBER(SEARCH("Owner",C2000))+ISNUMBER(SEARCH("Dueño",C2000))+ISNUMBER(SEARCH("Director General",C2000))+ISNUMBER(SEARCH("Presidente",C2000))+ISNUMBER(SEARCH("President",C2000))&gt;0,'Configuración'!$B$31,IF(ISNUMBER(SEARCH("CMO",C2000))+ISNUMBER(SEARCH("Chief Marketing",C2000))+ISNUMBER(SEARCH("VP Marketing",C2000))+ISNUMBER(SEARCH("Director de Marketing",C2000))+ISNUMBER(SEARCH("Director Marketing",C2000))+ISNUMBER(SEARCH("Head of Marketing",C2000))+ISNUMBER(SEARCH("Head Marketing",C2000))&gt;0,'Configuración'!$B$32,IF(ISNUMBER(SEARCH("Marketing Manager",C2000))+ISNUMBER(SEARCH("Gerente de Marketing",C2000))+ISNUMBER(SEARCH("Growth Manager",C2000))+ISNUMBER(SEARCH("Demand Gen",C2000))+ISNUMBER(SEARCH("Marketing Lead",C2000))&gt;0,'Configuración'!$B$33,IF(ISNUMBER(SEARCH("COO",C2000))+ISNUMBER(SEARCH("CFO",C2000))+ISNUMBER(SEARCH("CTO",C2000))+ISNUMBER(SEARCH("Chief Operating",C2000))+ISNUMBER(SEARCH("Chief Financial",C2000))+ISNUMBER(SEARCH("Gerente General",C2000))+ISNUMBER(SEARCH("General Manager",C2000))&gt;0,'Configuración'!$B$34,'Configuración'!$B$35)))))</f>
        <v>12</v>
      </c>
      <c r="V2000" s="38">
        <f>IF(B2000="","",IF(K2000="Sí",'Configuración'!$B$5,0)+IF(L2000="Semanal",'Configuración'!$B$6,IF(L2000="Mensual",'Configuración'!$B$7,0))+IF(M2000="Sí",'Configuración'!$B$8,0)+IF(N2000="Sí",'Configuración'!$B$9,0)+IF(O2000="Sí",'Configuración'!$B$10,0)+IF(P2000="Sí",'Configuración'!$B$11,0)+IF(Q2000="Sí",'Configuración'!$B$12,0)+S2000+T2000+U2000)</f>
        <v>28</v>
      </c>
      <c r="W2000" s="39" t="str">
        <f>IF(B2000="","",IF(V2000&gt;='Configuración'!$B$19,"A",IF(V2000&gt;='Configuración'!$B$20,"B",IF(V2000&gt;='Configuración'!$B$21,"C","Descarte"))))</f>
        <v>C</v>
      </c>
    </row>
    <row r="2001" ht="15.75" customHeight="1">
      <c r="A2001" s="34">
        <f t="shared" si="1"/>
        <v>1999</v>
      </c>
      <c r="B2001" s="29" t="s">
        <v>4584</v>
      </c>
      <c r="C2001" s="29" t="s">
        <v>11037</v>
      </c>
      <c r="D2001" s="29" t="s">
        <v>11038</v>
      </c>
      <c r="E2001" s="29" t="s">
        <v>11039</v>
      </c>
      <c r="F2001" s="30" t="s">
        <v>11040</v>
      </c>
      <c r="G2001" s="30" t="s">
        <v>11041</v>
      </c>
      <c r="H2001" s="42" t="s">
        <v>11042</v>
      </c>
      <c r="I2001" s="29" t="s">
        <v>188</v>
      </c>
      <c r="J2001" s="31">
        <v>11.0</v>
      </c>
      <c r="K2001" s="35"/>
      <c r="L2001" s="35"/>
      <c r="M2001" s="35"/>
      <c r="N2001" s="35"/>
      <c r="O2001" s="35"/>
      <c r="P2001" s="35"/>
      <c r="Q2001" s="35"/>
      <c r="R2001" s="35"/>
      <c r="S2001" s="37">
        <f>IF(B2001="","",IF(ISNUMBER(J2001),IF(J2001&lt;=10,'Configuración'!$B$23,IF(J2001&lt;=50,'Configuración'!$B$24,IF(J2001&lt;=200,'Configuración'!$B$25,0))),0))</f>
        <v>4</v>
      </c>
      <c r="T2001" s="37">
        <f>IF(B2001="","",IF(ISNUMBER(SEARCH("information technology",I2001))+ISNUMBER(SEARCH("software",I2001))+ISNUMBER(SEARCH("internet",I2001))+ISNUMBER(SEARCH("computer",I2001))+ISNUMBER(SEARCH("saas",I2001))+ISNUMBER(SEARCH("fintech",I2001))+ISNUMBER(SEARCH("information services",I2001))+ISNUMBER(SEARCH("telecommunications",I2001))&gt;0,'Configuración'!$B$27,'Configuración'!$B$28))</f>
        <v>4</v>
      </c>
      <c r="U2001" s="25">
        <f>IF(B2001="","",IF(ISNUMBER(SEARCH("CEO",C2001))+ISNUMBER(SEARCH("Founder",C2001))+ISNUMBER(SEARCH("Owner",C2001))+ISNUMBER(SEARCH("Dueño",C2001))+ISNUMBER(SEARCH("Director General",C2001))+ISNUMBER(SEARCH("Presidente",C2001))+ISNUMBER(SEARCH("President",C2001))&gt;0,'Configuración'!$B$31,IF(ISNUMBER(SEARCH("CMO",C2001))+ISNUMBER(SEARCH("Chief Marketing",C2001))+ISNUMBER(SEARCH("VP Marketing",C2001))+ISNUMBER(SEARCH("Director de Marketing",C2001))+ISNUMBER(SEARCH("Director Marketing",C2001))+ISNUMBER(SEARCH("Head of Marketing",C2001))+ISNUMBER(SEARCH("Head Marketing",C2001))&gt;0,'Configuración'!$B$32,IF(ISNUMBER(SEARCH("Marketing Manager",C2001))+ISNUMBER(SEARCH("Gerente de Marketing",C2001))+ISNUMBER(SEARCH("Growth Manager",C2001))+ISNUMBER(SEARCH("Demand Gen",C2001))+ISNUMBER(SEARCH("Marketing Lead",C2001))&gt;0,'Configuración'!$B$33,IF(ISNUMBER(SEARCH("COO",C2001))+ISNUMBER(SEARCH("CFO",C2001))+ISNUMBER(SEARCH("CTO",C2001))+ISNUMBER(SEARCH("Chief Operating",C2001))+ISNUMBER(SEARCH("Chief Financial",C2001))+ISNUMBER(SEARCH("Gerente General",C2001))+ISNUMBER(SEARCH("General Manager",C2001))&gt;0,'Configuración'!$B$34,'Configuración'!$B$35)))))</f>
        <v>12</v>
      </c>
      <c r="V2001" s="38">
        <f>IF(B2001="","",IF(K2001="Sí",'Configuración'!$B$5,0)+IF(L2001="Semanal",'Configuración'!$B$6,IF(L2001="Mensual",'Configuración'!$B$7,0))+IF(M2001="Sí",'Configuración'!$B$8,0)+IF(N2001="Sí",'Configuración'!$B$9,0)+IF(O2001="Sí",'Configuración'!$B$10,0)+IF(P2001="Sí",'Configuración'!$B$11,0)+IF(Q2001="Sí",'Configuración'!$B$12,0)+S2001+T2001+U2001)</f>
        <v>20</v>
      </c>
      <c r="W2001" s="39" t="str">
        <f>IF(B2001="","",IF(V2001&gt;='Configuración'!$B$19,"A",IF(V2001&gt;='Configuración'!$B$20,"B",IF(V2001&gt;='Configuración'!$B$21,"C","Descarte"))))</f>
        <v>Descarte</v>
      </c>
    </row>
    <row r="2002" ht="15.75" customHeight="1">
      <c r="A2002" s="34">
        <f t="shared" si="1"/>
        <v>2000</v>
      </c>
      <c r="B2002" s="29" t="s">
        <v>903</v>
      </c>
      <c r="C2002" s="29" t="s">
        <v>6173</v>
      </c>
      <c r="D2002" s="29" t="s">
        <v>11043</v>
      </c>
      <c r="E2002" s="29" t="s">
        <v>11044</v>
      </c>
      <c r="F2002" s="30" t="s">
        <v>11045</v>
      </c>
      <c r="G2002" s="30" t="s">
        <v>11046</v>
      </c>
      <c r="H2002" s="42" t="s">
        <v>11047</v>
      </c>
      <c r="I2002" s="29" t="s">
        <v>1356</v>
      </c>
      <c r="J2002" s="31">
        <v>19.0</v>
      </c>
      <c r="K2002" s="35"/>
      <c r="L2002" s="35"/>
      <c r="M2002" s="35"/>
      <c r="N2002" s="35"/>
      <c r="O2002" s="35"/>
      <c r="P2002" s="35"/>
      <c r="Q2002" s="35"/>
      <c r="R2002" s="35"/>
      <c r="S2002" s="37">
        <f>IF(B2002="","",IF(ISNUMBER(J2002),IF(J2002&lt;=10,'Configuración'!$B$23,IF(J2002&lt;=50,'Configuración'!$B$24,IF(J2002&lt;=200,'Configuración'!$B$25,0))),0))</f>
        <v>4</v>
      </c>
      <c r="T2002" s="37">
        <f>IF(B2002="","",IF(ISNUMBER(SEARCH("information technology",I2002))+ISNUMBER(SEARCH("software",I2002))+ISNUMBER(SEARCH("internet",I2002))+ISNUMBER(SEARCH("computer",I2002))+ISNUMBER(SEARCH("saas",I2002))+ISNUMBER(SEARCH("fintech",I2002))+ISNUMBER(SEARCH("information services",I2002))+ISNUMBER(SEARCH("telecommunications",I2002))&gt;0,'Configuración'!$B$27,'Configuración'!$B$28))</f>
        <v>4</v>
      </c>
      <c r="U2002" s="25">
        <f>IF(B2002="","",IF(ISNUMBER(SEARCH("CEO",C2002))+ISNUMBER(SEARCH("Founder",C2002))+ISNUMBER(SEARCH("Owner",C2002))+ISNUMBER(SEARCH("Dueño",C2002))+ISNUMBER(SEARCH("Director General",C2002))+ISNUMBER(SEARCH("Presidente",C2002))+ISNUMBER(SEARCH("President",C2002))&gt;0,'Configuración'!$B$31,IF(ISNUMBER(SEARCH("CMO",C2002))+ISNUMBER(SEARCH("Chief Marketing",C2002))+ISNUMBER(SEARCH("VP Marketing",C2002))+ISNUMBER(SEARCH("Director de Marketing",C2002))+ISNUMBER(SEARCH("Director Marketing",C2002))+ISNUMBER(SEARCH("Head of Marketing",C2002))+ISNUMBER(SEARCH("Head Marketing",C2002))&gt;0,'Configuración'!$B$32,IF(ISNUMBER(SEARCH("Marketing Manager",C2002))+ISNUMBER(SEARCH("Gerente de Marketing",C2002))+ISNUMBER(SEARCH("Growth Manager",C2002))+ISNUMBER(SEARCH("Demand Gen",C2002))+ISNUMBER(SEARCH("Marketing Lead",C2002))&gt;0,'Configuración'!$B$33,IF(ISNUMBER(SEARCH("COO",C2002))+ISNUMBER(SEARCH("CFO",C2002))+ISNUMBER(SEARCH("CTO",C2002))+ISNUMBER(SEARCH("Chief Operating",C2002))+ISNUMBER(SEARCH("Chief Financial",C2002))+ISNUMBER(SEARCH("Gerente General",C2002))+ISNUMBER(SEARCH("General Manager",C2002))&gt;0,'Configuración'!$B$34,'Configuración'!$B$35)))))</f>
        <v>12</v>
      </c>
      <c r="V2002" s="38">
        <f>IF(B2002="","",IF(K2002="Sí",'Configuración'!$B$5,0)+IF(L2002="Semanal",'Configuración'!$B$6,IF(L2002="Mensual",'Configuración'!$B$7,0))+IF(M2002="Sí",'Configuración'!$B$8,0)+IF(N2002="Sí",'Configuración'!$B$9,0)+IF(O2002="Sí",'Configuración'!$B$10,0)+IF(P2002="Sí",'Configuración'!$B$11,0)+IF(Q2002="Sí",'Configuración'!$B$12,0)+S2002+T2002+U2002)</f>
        <v>20</v>
      </c>
      <c r="W2002" s="39" t="str">
        <f>IF(B2002="","",IF(V2002&gt;='Configuración'!$B$19,"A",IF(V2002&gt;='Configuración'!$B$20,"B",IF(V2002&gt;='Configuración'!$B$21,"C","Descarte"))))</f>
        <v>Descarte</v>
      </c>
    </row>
    <row r="2003" ht="15.75" customHeight="1">
      <c r="A2003" s="34">
        <f t="shared" si="1"/>
        <v>2001</v>
      </c>
      <c r="B2003" s="29" t="s">
        <v>281</v>
      </c>
      <c r="C2003" s="29" t="s">
        <v>11048</v>
      </c>
      <c r="D2003" s="29" t="s">
        <v>11049</v>
      </c>
      <c r="E2003" s="29" t="s">
        <v>11050</v>
      </c>
      <c r="F2003" s="30" t="s">
        <v>11051</v>
      </c>
      <c r="G2003" s="30" t="s">
        <v>11052</v>
      </c>
      <c r="H2003" s="42" t="s">
        <v>11053</v>
      </c>
      <c r="I2003" s="29" t="s">
        <v>3843</v>
      </c>
      <c r="J2003" s="31">
        <v>16.0</v>
      </c>
      <c r="K2003" s="35"/>
      <c r="L2003" s="35"/>
      <c r="M2003" s="35"/>
      <c r="N2003" s="35"/>
      <c r="O2003" s="35"/>
      <c r="P2003" s="35"/>
      <c r="Q2003" s="35"/>
      <c r="R2003" s="35"/>
      <c r="S2003" s="37">
        <f>IF(B2003="","",IF(ISNUMBER(J2003),IF(J2003&lt;=10,'Configuración'!$B$23,IF(J2003&lt;=50,'Configuración'!$B$24,IF(J2003&lt;=200,'Configuración'!$B$25,0))),0))</f>
        <v>4</v>
      </c>
      <c r="T2003" s="37">
        <f>IF(B2003="","",IF(ISNUMBER(SEARCH("information technology",I2003))+ISNUMBER(SEARCH("software",I2003))+ISNUMBER(SEARCH("internet",I2003))+ISNUMBER(SEARCH("computer",I2003))+ISNUMBER(SEARCH("saas",I2003))+ISNUMBER(SEARCH("fintech",I2003))+ISNUMBER(SEARCH("information services",I2003))+ISNUMBER(SEARCH("telecommunications",I2003))&gt;0,'Configuración'!$B$27,'Configuración'!$B$28))</f>
        <v>4</v>
      </c>
      <c r="U2003" s="25">
        <f>IF(B2003="","",IF(ISNUMBER(SEARCH("CEO",C2003))+ISNUMBER(SEARCH("Founder",C2003))+ISNUMBER(SEARCH("Owner",C2003))+ISNUMBER(SEARCH("Dueño",C2003))+ISNUMBER(SEARCH("Director General",C2003))+ISNUMBER(SEARCH("Presidente",C2003))+ISNUMBER(SEARCH("President",C2003))&gt;0,'Configuración'!$B$31,IF(ISNUMBER(SEARCH("CMO",C2003))+ISNUMBER(SEARCH("Chief Marketing",C2003))+ISNUMBER(SEARCH("VP Marketing",C2003))+ISNUMBER(SEARCH("Director de Marketing",C2003))+ISNUMBER(SEARCH("Director Marketing",C2003))+ISNUMBER(SEARCH("Head of Marketing",C2003))+ISNUMBER(SEARCH("Head Marketing",C2003))&gt;0,'Configuración'!$B$32,IF(ISNUMBER(SEARCH("Marketing Manager",C2003))+ISNUMBER(SEARCH("Gerente de Marketing",C2003))+ISNUMBER(SEARCH("Growth Manager",C2003))+ISNUMBER(SEARCH("Demand Gen",C2003))+ISNUMBER(SEARCH("Marketing Lead",C2003))&gt;0,'Configuración'!$B$33,IF(ISNUMBER(SEARCH("COO",C2003))+ISNUMBER(SEARCH("CFO",C2003))+ISNUMBER(SEARCH("CTO",C2003))+ISNUMBER(SEARCH("Chief Operating",C2003))+ISNUMBER(SEARCH("Chief Financial",C2003))+ISNUMBER(SEARCH("Gerente General",C2003))+ISNUMBER(SEARCH("General Manager",C2003))&gt;0,'Configuración'!$B$34,'Configuración'!$B$35)))))</f>
        <v>12</v>
      </c>
      <c r="V2003" s="38">
        <f>IF(B2003="","",IF(K2003="Sí",'Configuración'!$B$5,0)+IF(L2003="Semanal",'Configuración'!$B$6,IF(L2003="Mensual",'Configuración'!$B$7,0))+IF(M2003="Sí",'Configuración'!$B$8,0)+IF(N2003="Sí",'Configuración'!$B$9,0)+IF(O2003="Sí",'Configuración'!$B$10,0)+IF(P2003="Sí",'Configuración'!$B$11,0)+IF(Q2003="Sí",'Configuración'!$B$12,0)+S2003+T2003+U2003)</f>
        <v>20</v>
      </c>
      <c r="W2003" s="39" t="str">
        <f>IF(B2003="","",IF(V2003&gt;='Configuración'!$B$19,"A",IF(V2003&gt;='Configuración'!$B$20,"B",IF(V2003&gt;='Configuración'!$B$21,"C","Descarte"))))</f>
        <v>Descarte</v>
      </c>
    </row>
    <row r="2004" ht="15.75" customHeight="1">
      <c r="A2004" s="34">
        <f t="shared" si="1"/>
        <v>2002</v>
      </c>
      <c r="B2004" s="29" t="s">
        <v>529</v>
      </c>
      <c r="C2004" s="29" t="s">
        <v>361</v>
      </c>
      <c r="D2004" s="29" t="s">
        <v>11054</v>
      </c>
      <c r="E2004" s="29" t="s">
        <v>11055</v>
      </c>
      <c r="F2004" s="30" t="s">
        <v>11056</v>
      </c>
      <c r="G2004" s="30" t="s">
        <v>11057</v>
      </c>
      <c r="H2004" s="42" t="s">
        <v>11058</v>
      </c>
      <c r="I2004" s="29" t="s">
        <v>11059</v>
      </c>
      <c r="J2004" s="31">
        <v>4.0</v>
      </c>
      <c r="K2004" s="35"/>
      <c r="L2004" s="35"/>
      <c r="M2004" s="35"/>
      <c r="N2004" s="35"/>
      <c r="O2004" s="35"/>
      <c r="P2004" s="35"/>
      <c r="Q2004" s="35"/>
      <c r="R2004" s="35"/>
      <c r="S2004" s="37">
        <f>IF(B2004="","",IF(ISNUMBER(J2004),IF(J2004&lt;=10,'Configuración'!$B$23,IF(J2004&lt;=50,'Configuración'!$B$24,IF(J2004&lt;=200,'Configuración'!$B$25,0))),0))</f>
        <v>12</v>
      </c>
      <c r="T2004" s="37">
        <f>IF(B2004="","",IF(ISNUMBER(SEARCH("information technology",I2004))+ISNUMBER(SEARCH("software",I2004))+ISNUMBER(SEARCH("internet",I2004))+ISNUMBER(SEARCH("computer",I2004))+ISNUMBER(SEARCH("saas",I2004))+ISNUMBER(SEARCH("fintech",I2004))+ISNUMBER(SEARCH("information services",I2004))+ISNUMBER(SEARCH("telecommunications",I2004))&gt;0,'Configuración'!$B$27,'Configuración'!$B$28))</f>
        <v>4</v>
      </c>
      <c r="U2004" s="25">
        <f>IF(B2004="","",IF(ISNUMBER(SEARCH("CEO",C2004))+ISNUMBER(SEARCH("Founder",C2004))+ISNUMBER(SEARCH("Owner",C2004))+ISNUMBER(SEARCH("Dueño",C2004))+ISNUMBER(SEARCH("Director General",C2004))+ISNUMBER(SEARCH("Presidente",C2004))+ISNUMBER(SEARCH("President",C2004))&gt;0,'Configuración'!$B$31,IF(ISNUMBER(SEARCH("CMO",C2004))+ISNUMBER(SEARCH("Chief Marketing",C2004))+ISNUMBER(SEARCH("VP Marketing",C2004))+ISNUMBER(SEARCH("Director de Marketing",C2004))+ISNUMBER(SEARCH("Director Marketing",C2004))+ISNUMBER(SEARCH("Head of Marketing",C2004))+ISNUMBER(SEARCH("Head Marketing",C2004))&gt;0,'Configuración'!$B$32,IF(ISNUMBER(SEARCH("Marketing Manager",C2004))+ISNUMBER(SEARCH("Gerente de Marketing",C2004))+ISNUMBER(SEARCH("Growth Manager",C2004))+ISNUMBER(SEARCH("Demand Gen",C2004))+ISNUMBER(SEARCH("Marketing Lead",C2004))&gt;0,'Configuración'!$B$33,IF(ISNUMBER(SEARCH("COO",C2004))+ISNUMBER(SEARCH("CFO",C2004))+ISNUMBER(SEARCH("CTO",C2004))+ISNUMBER(SEARCH("Chief Operating",C2004))+ISNUMBER(SEARCH("Chief Financial",C2004))+ISNUMBER(SEARCH("Gerente General",C2004))+ISNUMBER(SEARCH("General Manager",C2004))&gt;0,'Configuración'!$B$34,'Configuración'!$B$35)))))</f>
        <v>0</v>
      </c>
      <c r="V2004" s="38">
        <f>IF(B2004="","",IF(K2004="Sí",'Configuración'!$B$5,0)+IF(L2004="Semanal",'Configuración'!$B$6,IF(L2004="Mensual",'Configuración'!$B$7,0))+IF(M2004="Sí",'Configuración'!$B$8,0)+IF(N2004="Sí",'Configuración'!$B$9,0)+IF(O2004="Sí",'Configuración'!$B$10,0)+IF(P2004="Sí",'Configuración'!$B$11,0)+IF(Q2004="Sí",'Configuración'!$B$12,0)+S2004+T2004+U2004)</f>
        <v>16</v>
      </c>
      <c r="W2004" s="39" t="str">
        <f>IF(B2004="","",IF(V2004&gt;='Configuración'!$B$19,"A",IF(V2004&gt;='Configuración'!$B$20,"B",IF(V2004&gt;='Configuración'!$B$21,"C","Descarte"))))</f>
        <v>Descarte</v>
      </c>
    </row>
    <row r="2005" ht="15.75" customHeight="1">
      <c r="A2005" s="34">
        <f t="shared" si="1"/>
        <v>2003</v>
      </c>
      <c r="B2005" s="29" t="s">
        <v>11060</v>
      </c>
      <c r="C2005" s="29" t="s">
        <v>11061</v>
      </c>
      <c r="D2005" s="29" t="s">
        <v>11062</v>
      </c>
      <c r="E2005" s="29" t="s">
        <v>11063</v>
      </c>
      <c r="F2005" s="30" t="s">
        <v>11064</v>
      </c>
      <c r="G2005" s="30" t="s">
        <v>11065</v>
      </c>
      <c r="H2005" s="42" t="s">
        <v>11066</v>
      </c>
      <c r="I2005" s="29" t="s">
        <v>127</v>
      </c>
      <c r="J2005" s="31">
        <v>10.0</v>
      </c>
      <c r="K2005" s="35"/>
      <c r="L2005" s="35"/>
      <c r="M2005" s="35"/>
      <c r="N2005" s="35"/>
      <c r="O2005" s="35"/>
      <c r="P2005" s="35"/>
      <c r="Q2005" s="35"/>
      <c r="R2005" s="35"/>
      <c r="S2005" s="37">
        <f>IF(B2005="","",IF(ISNUMBER(J2005),IF(J2005&lt;=10,'Configuración'!$B$23,IF(J2005&lt;=50,'Configuración'!$B$24,IF(J2005&lt;=200,'Configuración'!$B$25,0))),0))</f>
        <v>12</v>
      </c>
      <c r="T2005" s="37">
        <f>IF(B2005="","",IF(ISNUMBER(SEARCH("information technology",I2005))+ISNUMBER(SEARCH("software",I2005))+ISNUMBER(SEARCH("internet",I2005))+ISNUMBER(SEARCH("computer",I2005))+ISNUMBER(SEARCH("saas",I2005))+ISNUMBER(SEARCH("fintech",I2005))+ISNUMBER(SEARCH("information services",I2005))+ISNUMBER(SEARCH("telecommunications",I2005))&gt;0,'Configuración'!$B$27,'Configuración'!$B$28))</f>
        <v>12</v>
      </c>
      <c r="U2005" s="25">
        <f>IF(B2005="","",IF(ISNUMBER(SEARCH("CEO",C2005))+ISNUMBER(SEARCH("Founder",C2005))+ISNUMBER(SEARCH("Owner",C2005))+ISNUMBER(SEARCH("Dueño",C2005))+ISNUMBER(SEARCH("Director General",C2005))+ISNUMBER(SEARCH("Presidente",C2005))+ISNUMBER(SEARCH("President",C2005))&gt;0,'Configuración'!$B$31,IF(ISNUMBER(SEARCH("CMO",C2005))+ISNUMBER(SEARCH("Chief Marketing",C2005))+ISNUMBER(SEARCH("VP Marketing",C2005))+ISNUMBER(SEARCH("Director de Marketing",C2005))+ISNUMBER(SEARCH("Director Marketing",C2005))+ISNUMBER(SEARCH("Head of Marketing",C2005))+ISNUMBER(SEARCH("Head Marketing",C2005))&gt;0,'Configuración'!$B$32,IF(ISNUMBER(SEARCH("Marketing Manager",C2005))+ISNUMBER(SEARCH("Gerente de Marketing",C2005))+ISNUMBER(SEARCH("Growth Manager",C2005))+ISNUMBER(SEARCH("Demand Gen",C2005))+ISNUMBER(SEARCH("Marketing Lead",C2005))&gt;0,'Configuración'!$B$33,IF(ISNUMBER(SEARCH("COO",C2005))+ISNUMBER(SEARCH("CFO",C2005))+ISNUMBER(SEARCH("CTO",C2005))+ISNUMBER(SEARCH("Chief Operating",C2005))+ISNUMBER(SEARCH("Chief Financial",C2005))+ISNUMBER(SEARCH("Gerente General",C2005))+ISNUMBER(SEARCH("General Manager",C2005))&gt;0,'Configuración'!$B$34,'Configuración'!$B$35)))))</f>
        <v>12</v>
      </c>
      <c r="V2005" s="38">
        <f>IF(B2005="","",IF(K2005="Sí",'Configuración'!$B$5,0)+IF(L2005="Semanal",'Configuración'!$B$6,IF(L2005="Mensual",'Configuración'!$B$7,0))+IF(M2005="Sí",'Configuración'!$B$8,0)+IF(N2005="Sí",'Configuración'!$B$9,0)+IF(O2005="Sí",'Configuración'!$B$10,0)+IF(P2005="Sí",'Configuración'!$B$11,0)+IF(Q2005="Sí",'Configuración'!$B$12,0)+S2005+T2005+U2005)</f>
        <v>36</v>
      </c>
      <c r="W2005" s="39" t="str">
        <f>IF(B2005="","",IF(V2005&gt;='Configuración'!$B$19,"A",IF(V2005&gt;='Configuración'!$B$20,"B",IF(V2005&gt;='Configuración'!$B$21,"C","Descarte"))))</f>
        <v>C</v>
      </c>
    </row>
    <row r="2006" ht="15.75" customHeight="1">
      <c r="A2006" s="34">
        <f t="shared" si="1"/>
        <v>2004</v>
      </c>
      <c r="B2006" s="29" t="s">
        <v>7670</v>
      </c>
      <c r="C2006" s="29" t="s">
        <v>10626</v>
      </c>
      <c r="D2006" s="29" t="s">
        <v>11067</v>
      </c>
      <c r="E2006" s="29" t="s">
        <v>11068</v>
      </c>
      <c r="F2006" s="30" t="s">
        <v>11069</v>
      </c>
      <c r="G2006" s="30" t="s">
        <v>11070</v>
      </c>
      <c r="H2006" s="42" t="s">
        <v>11071</v>
      </c>
      <c r="I2006" s="29" t="s">
        <v>127</v>
      </c>
      <c r="J2006" s="31">
        <v>3.0</v>
      </c>
      <c r="K2006" s="35"/>
      <c r="L2006" s="35"/>
      <c r="M2006" s="35"/>
      <c r="N2006" s="35"/>
      <c r="O2006" s="35"/>
      <c r="P2006" s="35"/>
      <c r="Q2006" s="35"/>
      <c r="R2006" s="35"/>
      <c r="S2006" s="37">
        <f>IF(B2006="","",IF(ISNUMBER(J2006),IF(J2006&lt;=10,'Configuración'!$B$23,IF(J2006&lt;=50,'Configuración'!$B$24,IF(J2006&lt;=200,'Configuración'!$B$25,0))),0))</f>
        <v>12</v>
      </c>
      <c r="T2006" s="37">
        <f>IF(B2006="","",IF(ISNUMBER(SEARCH("information technology",I2006))+ISNUMBER(SEARCH("software",I2006))+ISNUMBER(SEARCH("internet",I2006))+ISNUMBER(SEARCH("computer",I2006))+ISNUMBER(SEARCH("saas",I2006))+ISNUMBER(SEARCH("fintech",I2006))+ISNUMBER(SEARCH("information services",I2006))+ISNUMBER(SEARCH("telecommunications",I2006))&gt;0,'Configuración'!$B$27,'Configuración'!$B$28))</f>
        <v>12</v>
      </c>
      <c r="U2006" s="25">
        <f>IF(B2006="","",IF(ISNUMBER(SEARCH("CEO",C2006))+ISNUMBER(SEARCH("Founder",C2006))+ISNUMBER(SEARCH("Owner",C2006))+ISNUMBER(SEARCH("Dueño",C2006))+ISNUMBER(SEARCH("Director General",C2006))+ISNUMBER(SEARCH("Presidente",C2006))+ISNUMBER(SEARCH("President",C2006))&gt;0,'Configuración'!$B$31,IF(ISNUMBER(SEARCH("CMO",C2006))+ISNUMBER(SEARCH("Chief Marketing",C2006))+ISNUMBER(SEARCH("VP Marketing",C2006))+ISNUMBER(SEARCH("Director de Marketing",C2006))+ISNUMBER(SEARCH("Director Marketing",C2006))+ISNUMBER(SEARCH("Head of Marketing",C2006))+ISNUMBER(SEARCH("Head Marketing",C2006))&gt;0,'Configuración'!$B$32,IF(ISNUMBER(SEARCH("Marketing Manager",C2006))+ISNUMBER(SEARCH("Gerente de Marketing",C2006))+ISNUMBER(SEARCH("Growth Manager",C2006))+ISNUMBER(SEARCH("Demand Gen",C2006))+ISNUMBER(SEARCH("Marketing Lead",C2006))&gt;0,'Configuración'!$B$33,IF(ISNUMBER(SEARCH("COO",C2006))+ISNUMBER(SEARCH("CFO",C2006))+ISNUMBER(SEARCH("CTO",C2006))+ISNUMBER(SEARCH("Chief Operating",C2006))+ISNUMBER(SEARCH("Chief Financial",C2006))+ISNUMBER(SEARCH("Gerente General",C2006))+ISNUMBER(SEARCH("General Manager",C2006))&gt;0,'Configuración'!$B$34,'Configuración'!$B$35)))))</f>
        <v>12</v>
      </c>
      <c r="V2006" s="38">
        <f>IF(B2006="","",IF(K2006="Sí",'Configuración'!$B$5,0)+IF(L2006="Semanal",'Configuración'!$B$6,IF(L2006="Mensual",'Configuración'!$B$7,0))+IF(M2006="Sí",'Configuración'!$B$8,0)+IF(N2006="Sí",'Configuración'!$B$9,0)+IF(O2006="Sí",'Configuración'!$B$10,0)+IF(P2006="Sí",'Configuración'!$B$11,0)+IF(Q2006="Sí",'Configuración'!$B$12,0)+S2006+T2006+U2006)</f>
        <v>36</v>
      </c>
      <c r="W2006" s="39" t="str">
        <f>IF(B2006="","",IF(V2006&gt;='Configuración'!$B$19,"A",IF(V2006&gt;='Configuración'!$B$20,"B",IF(V2006&gt;='Configuración'!$B$21,"C","Descarte"))))</f>
        <v>C</v>
      </c>
    </row>
    <row r="2007" ht="15.75" customHeight="1">
      <c r="A2007" s="34">
        <f t="shared" si="1"/>
        <v>2005</v>
      </c>
      <c r="B2007" s="29" t="s">
        <v>11072</v>
      </c>
      <c r="C2007" s="29" t="s">
        <v>11073</v>
      </c>
      <c r="D2007" s="29" t="s">
        <v>11074</v>
      </c>
      <c r="E2007" s="29" t="s">
        <v>11075</v>
      </c>
      <c r="F2007" s="30" t="s">
        <v>11076</v>
      </c>
      <c r="G2007" s="30" t="s">
        <v>11077</v>
      </c>
      <c r="H2007" s="42" t="s">
        <v>11078</v>
      </c>
      <c r="I2007" s="29" t="s">
        <v>188</v>
      </c>
      <c r="J2007" s="31">
        <v>1.0</v>
      </c>
      <c r="K2007" s="35"/>
      <c r="L2007" s="35"/>
      <c r="M2007" s="35"/>
      <c r="N2007" s="35"/>
      <c r="O2007" s="35"/>
      <c r="P2007" s="35"/>
      <c r="Q2007" s="35"/>
      <c r="R2007" s="35"/>
      <c r="S2007" s="37">
        <f>IF(B2007="","",IF(ISNUMBER(J2007),IF(J2007&lt;=10,'Configuración'!$B$23,IF(J2007&lt;=50,'Configuración'!$B$24,IF(J2007&lt;=200,'Configuración'!$B$25,0))),0))</f>
        <v>12</v>
      </c>
      <c r="T2007" s="37">
        <f>IF(B2007="","",IF(ISNUMBER(SEARCH("information technology",I2007))+ISNUMBER(SEARCH("software",I2007))+ISNUMBER(SEARCH("internet",I2007))+ISNUMBER(SEARCH("computer",I2007))+ISNUMBER(SEARCH("saas",I2007))+ISNUMBER(SEARCH("fintech",I2007))+ISNUMBER(SEARCH("information services",I2007))+ISNUMBER(SEARCH("telecommunications",I2007))&gt;0,'Configuración'!$B$27,'Configuración'!$B$28))</f>
        <v>4</v>
      </c>
      <c r="U2007" s="25">
        <f>IF(B2007="","",IF(ISNUMBER(SEARCH("CEO",C2007))+ISNUMBER(SEARCH("Founder",C2007))+ISNUMBER(SEARCH("Owner",C2007))+ISNUMBER(SEARCH("Dueño",C2007))+ISNUMBER(SEARCH("Director General",C2007))+ISNUMBER(SEARCH("Presidente",C2007))+ISNUMBER(SEARCH("President",C2007))&gt;0,'Configuración'!$B$31,IF(ISNUMBER(SEARCH("CMO",C2007))+ISNUMBER(SEARCH("Chief Marketing",C2007))+ISNUMBER(SEARCH("VP Marketing",C2007))+ISNUMBER(SEARCH("Director de Marketing",C2007))+ISNUMBER(SEARCH("Director Marketing",C2007))+ISNUMBER(SEARCH("Head of Marketing",C2007))+ISNUMBER(SEARCH("Head Marketing",C2007))&gt;0,'Configuración'!$B$32,IF(ISNUMBER(SEARCH("Marketing Manager",C2007))+ISNUMBER(SEARCH("Gerente de Marketing",C2007))+ISNUMBER(SEARCH("Growth Manager",C2007))+ISNUMBER(SEARCH("Demand Gen",C2007))+ISNUMBER(SEARCH("Marketing Lead",C2007))&gt;0,'Configuración'!$B$33,IF(ISNUMBER(SEARCH("COO",C2007))+ISNUMBER(SEARCH("CFO",C2007))+ISNUMBER(SEARCH("CTO",C2007))+ISNUMBER(SEARCH("Chief Operating",C2007))+ISNUMBER(SEARCH("Chief Financial",C2007))+ISNUMBER(SEARCH("Gerente General",C2007))+ISNUMBER(SEARCH("General Manager",C2007))&gt;0,'Configuración'!$B$34,'Configuración'!$B$35)))))</f>
        <v>12</v>
      </c>
      <c r="V2007" s="38">
        <f>IF(B2007="","",IF(K2007="Sí",'Configuración'!$B$5,0)+IF(L2007="Semanal",'Configuración'!$B$6,IF(L2007="Mensual",'Configuración'!$B$7,0))+IF(M2007="Sí",'Configuración'!$B$8,0)+IF(N2007="Sí",'Configuración'!$B$9,0)+IF(O2007="Sí",'Configuración'!$B$10,0)+IF(P2007="Sí",'Configuración'!$B$11,0)+IF(Q2007="Sí",'Configuración'!$B$12,0)+S2007+T2007+U2007)</f>
        <v>28</v>
      </c>
      <c r="W2007" s="39" t="str">
        <f>IF(B2007="","",IF(V2007&gt;='Configuración'!$B$19,"A",IF(V2007&gt;='Configuración'!$B$20,"B",IF(V2007&gt;='Configuración'!$B$21,"C","Descarte"))))</f>
        <v>C</v>
      </c>
    </row>
    <row r="2008" ht="15.75" customHeight="1">
      <c r="A2008" s="34">
        <f t="shared" si="1"/>
        <v>2006</v>
      </c>
      <c r="B2008" s="29" t="s">
        <v>529</v>
      </c>
      <c r="C2008" s="29" t="s">
        <v>202</v>
      </c>
      <c r="D2008" s="29" t="s">
        <v>11079</v>
      </c>
      <c r="E2008" s="29" t="s">
        <v>11080</v>
      </c>
      <c r="F2008" s="30" t="s">
        <v>11081</v>
      </c>
      <c r="G2008" s="30" t="s">
        <v>11082</v>
      </c>
      <c r="H2008" s="42" t="s">
        <v>11083</v>
      </c>
      <c r="I2008" s="29" t="s">
        <v>188</v>
      </c>
      <c r="J2008" s="31">
        <v>15.0</v>
      </c>
      <c r="K2008" s="35"/>
      <c r="L2008" s="35"/>
      <c r="M2008" s="35"/>
      <c r="N2008" s="35"/>
      <c r="O2008" s="35"/>
      <c r="P2008" s="35"/>
      <c r="Q2008" s="35"/>
      <c r="R2008" s="35"/>
      <c r="S2008" s="37">
        <f>IF(B2008="","",IF(ISNUMBER(J2008),IF(J2008&lt;=10,'Configuración'!$B$23,IF(J2008&lt;=50,'Configuración'!$B$24,IF(J2008&lt;=200,'Configuración'!$B$25,0))),0))</f>
        <v>4</v>
      </c>
      <c r="T2008" s="37">
        <f>IF(B2008="","",IF(ISNUMBER(SEARCH("information technology",I2008))+ISNUMBER(SEARCH("software",I2008))+ISNUMBER(SEARCH("internet",I2008))+ISNUMBER(SEARCH("computer",I2008))+ISNUMBER(SEARCH("saas",I2008))+ISNUMBER(SEARCH("fintech",I2008))+ISNUMBER(SEARCH("information services",I2008))+ISNUMBER(SEARCH("telecommunications",I2008))&gt;0,'Configuración'!$B$27,'Configuración'!$B$28))</f>
        <v>4</v>
      </c>
      <c r="U2008" s="25">
        <f>IF(B2008="","",IF(ISNUMBER(SEARCH("CEO",C2008))+ISNUMBER(SEARCH("Founder",C2008))+ISNUMBER(SEARCH("Owner",C2008))+ISNUMBER(SEARCH("Dueño",C2008))+ISNUMBER(SEARCH("Director General",C2008))+ISNUMBER(SEARCH("Presidente",C2008))+ISNUMBER(SEARCH("President",C2008))&gt;0,'Configuración'!$B$31,IF(ISNUMBER(SEARCH("CMO",C2008))+ISNUMBER(SEARCH("Chief Marketing",C2008))+ISNUMBER(SEARCH("VP Marketing",C2008))+ISNUMBER(SEARCH("Director de Marketing",C2008))+ISNUMBER(SEARCH("Director Marketing",C2008))+ISNUMBER(SEARCH("Head of Marketing",C2008))+ISNUMBER(SEARCH("Head Marketing",C2008))&gt;0,'Configuración'!$B$32,IF(ISNUMBER(SEARCH("Marketing Manager",C2008))+ISNUMBER(SEARCH("Gerente de Marketing",C2008))+ISNUMBER(SEARCH("Growth Manager",C2008))+ISNUMBER(SEARCH("Demand Gen",C2008))+ISNUMBER(SEARCH("Marketing Lead",C2008))&gt;0,'Configuración'!$B$33,IF(ISNUMBER(SEARCH("COO",C2008))+ISNUMBER(SEARCH("CFO",C2008))+ISNUMBER(SEARCH("CTO",C2008))+ISNUMBER(SEARCH("Chief Operating",C2008))+ISNUMBER(SEARCH("Chief Financial",C2008))+ISNUMBER(SEARCH("Gerente General",C2008))+ISNUMBER(SEARCH("General Manager",C2008))&gt;0,'Configuración'!$B$34,'Configuración'!$B$35)))))</f>
        <v>12</v>
      </c>
      <c r="V2008" s="38">
        <f>IF(B2008="","",IF(K2008="Sí",'Configuración'!$B$5,0)+IF(L2008="Semanal",'Configuración'!$B$6,IF(L2008="Mensual",'Configuración'!$B$7,0))+IF(M2008="Sí",'Configuración'!$B$8,0)+IF(N2008="Sí",'Configuración'!$B$9,0)+IF(O2008="Sí",'Configuración'!$B$10,0)+IF(P2008="Sí",'Configuración'!$B$11,0)+IF(Q2008="Sí",'Configuración'!$B$12,0)+S2008+T2008+U2008)</f>
        <v>20</v>
      </c>
      <c r="W2008" s="39" t="str">
        <f>IF(B2008="","",IF(V2008&gt;='Configuración'!$B$19,"A",IF(V2008&gt;='Configuración'!$B$20,"B",IF(V2008&gt;='Configuración'!$B$21,"C","Descarte"))))</f>
        <v>Descarte</v>
      </c>
    </row>
    <row r="2009" ht="15.75" customHeight="1">
      <c r="A2009" s="34">
        <f t="shared" si="1"/>
        <v>2007</v>
      </c>
      <c r="B2009" s="29" t="s">
        <v>181</v>
      </c>
      <c r="C2009" s="29" t="s">
        <v>11084</v>
      </c>
      <c r="D2009" s="29" t="s">
        <v>11085</v>
      </c>
      <c r="E2009" s="29" t="s">
        <v>11086</v>
      </c>
      <c r="F2009" s="30" t="s">
        <v>11087</v>
      </c>
      <c r="G2009" s="30" t="s">
        <v>11088</v>
      </c>
      <c r="H2009" s="42" t="s">
        <v>11089</v>
      </c>
      <c r="I2009" s="29" t="s">
        <v>616</v>
      </c>
      <c r="J2009" s="31">
        <v>50.0</v>
      </c>
      <c r="K2009" s="35"/>
      <c r="L2009" s="35"/>
      <c r="M2009" s="35"/>
      <c r="N2009" s="35"/>
      <c r="O2009" s="35"/>
      <c r="P2009" s="35"/>
      <c r="Q2009" s="35"/>
      <c r="R2009" s="35"/>
      <c r="S2009" s="37">
        <f>IF(B2009="","",IF(ISNUMBER(J2009),IF(J2009&lt;=10,'Configuración'!$B$23,IF(J2009&lt;=50,'Configuración'!$B$24,IF(J2009&lt;=200,'Configuración'!$B$25,0))),0))</f>
        <v>4</v>
      </c>
      <c r="T2009" s="37">
        <f>IF(B2009="","",IF(ISNUMBER(SEARCH("information technology",I2009))+ISNUMBER(SEARCH("software",I2009))+ISNUMBER(SEARCH("internet",I2009))+ISNUMBER(SEARCH("computer",I2009))+ISNUMBER(SEARCH("saas",I2009))+ISNUMBER(SEARCH("fintech",I2009))+ISNUMBER(SEARCH("information services",I2009))+ISNUMBER(SEARCH("telecommunications",I2009))&gt;0,'Configuración'!$B$27,'Configuración'!$B$28))</f>
        <v>4</v>
      </c>
      <c r="U2009" s="25">
        <f>IF(B2009="","",IF(ISNUMBER(SEARCH("CEO",C2009))+ISNUMBER(SEARCH("Founder",C2009))+ISNUMBER(SEARCH("Owner",C2009))+ISNUMBER(SEARCH("Dueño",C2009))+ISNUMBER(SEARCH("Director General",C2009))+ISNUMBER(SEARCH("Presidente",C2009))+ISNUMBER(SEARCH("President",C2009))&gt;0,'Configuración'!$B$31,IF(ISNUMBER(SEARCH("CMO",C2009))+ISNUMBER(SEARCH("Chief Marketing",C2009))+ISNUMBER(SEARCH("VP Marketing",C2009))+ISNUMBER(SEARCH("Director de Marketing",C2009))+ISNUMBER(SEARCH("Director Marketing",C2009))+ISNUMBER(SEARCH("Head of Marketing",C2009))+ISNUMBER(SEARCH("Head Marketing",C2009))&gt;0,'Configuración'!$B$32,IF(ISNUMBER(SEARCH("Marketing Manager",C2009))+ISNUMBER(SEARCH("Gerente de Marketing",C2009))+ISNUMBER(SEARCH("Growth Manager",C2009))+ISNUMBER(SEARCH("Demand Gen",C2009))+ISNUMBER(SEARCH("Marketing Lead",C2009))&gt;0,'Configuración'!$B$33,IF(ISNUMBER(SEARCH("COO",C2009))+ISNUMBER(SEARCH("CFO",C2009))+ISNUMBER(SEARCH("CTO",C2009))+ISNUMBER(SEARCH("Chief Operating",C2009))+ISNUMBER(SEARCH("Chief Financial",C2009))+ISNUMBER(SEARCH("Gerente General",C2009))+ISNUMBER(SEARCH("General Manager",C2009))&gt;0,'Configuración'!$B$34,'Configuración'!$B$35)))))</f>
        <v>4</v>
      </c>
      <c r="V2009" s="38">
        <f>IF(B2009="","",IF(K2009="Sí",'Configuración'!$B$5,0)+IF(L2009="Semanal",'Configuración'!$B$6,IF(L2009="Mensual",'Configuración'!$B$7,0))+IF(M2009="Sí",'Configuración'!$B$8,0)+IF(N2009="Sí",'Configuración'!$B$9,0)+IF(O2009="Sí",'Configuración'!$B$10,0)+IF(P2009="Sí",'Configuración'!$B$11,0)+IF(Q2009="Sí",'Configuración'!$B$12,0)+S2009+T2009+U2009)</f>
        <v>12</v>
      </c>
      <c r="W2009" s="39" t="str">
        <f>IF(B2009="","",IF(V2009&gt;='Configuración'!$B$19,"A",IF(V2009&gt;='Configuración'!$B$20,"B",IF(V2009&gt;='Configuración'!$B$21,"C","Descarte"))))</f>
        <v>Descarte</v>
      </c>
    </row>
    <row r="2010" ht="15.75" customHeight="1">
      <c r="A2010" s="34">
        <f t="shared" si="1"/>
        <v>2008</v>
      </c>
      <c r="B2010" s="29" t="s">
        <v>262</v>
      </c>
      <c r="C2010" s="29" t="s">
        <v>131</v>
      </c>
      <c r="D2010" s="29" t="s">
        <v>10207</v>
      </c>
      <c r="E2010" s="29" t="s">
        <v>11090</v>
      </c>
      <c r="F2010" s="30" t="s">
        <v>11091</v>
      </c>
      <c r="G2010" s="30" t="s">
        <v>10210</v>
      </c>
      <c r="H2010" s="42" t="s">
        <v>10211</v>
      </c>
      <c r="I2010" s="29"/>
      <c r="J2010" s="31">
        <v>15.0</v>
      </c>
      <c r="K2010" s="35"/>
      <c r="L2010" s="35"/>
      <c r="M2010" s="35"/>
      <c r="N2010" s="35"/>
      <c r="O2010" s="35"/>
      <c r="P2010" s="35"/>
      <c r="Q2010" s="35"/>
      <c r="R2010" s="35"/>
      <c r="S2010" s="37">
        <f>IF(B2010="","",IF(ISNUMBER(J2010),IF(J2010&lt;=10,'Configuración'!$B$23,IF(J2010&lt;=50,'Configuración'!$B$24,IF(J2010&lt;=200,'Configuración'!$B$25,0))),0))</f>
        <v>4</v>
      </c>
      <c r="T2010" s="37">
        <f>IF(B2010="","",IF(ISNUMBER(SEARCH("information technology",I2010))+ISNUMBER(SEARCH("software",I2010))+ISNUMBER(SEARCH("internet",I2010))+ISNUMBER(SEARCH("computer",I2010))+ISNUMBER(SEARCH("saas",I2010))+ISNUMBER(SEARCH("fintech",I2010))+ISNUMBER(SEARCH("information services",I2010))+ISNUMBER(SEARCH("telecommunications",I2010))&gt;0,'Configuración'!$B$27,'Configuración'!$B$28))</f>
        <v>4</v>
      </c>
      <c r="U2010" s="25">
        <f>IF(B2010="","",IF(ISNUMBER(SEARCH("CEO",C2010))+ISNUMBER(SEARCH("Founder",C2010))+ISNUMBER(SEARCH("Owner",C2010))+ISNUMBER(SEARCH("Dueño",C2010))+ISNUMBER(SEARCH("Director General",C2010))+ISNUMBER(SEARCH("Presidente",C2010))+ISNUMBER(SEARCH("President",C2010))&gt;0,'Configuración'!$B$31,IF(ISNUMBER(SEARCH("CMO",C2010))+ISNUMBER(SEARCH("Chief Marketing",C2010))+ISNUMBER(SEARCH("VP Marketing",C2010))+ISNUMBER(SEARCH("Director de Marketing",C2010))+ISNUMBER(SEARCH("Director Marketing",C2010))+ISNUMBER(SEARCH("Head of Marketing",C2010))+ISNUMBER(SEARCH("Head Marketing",C2010))&gt;0,'Configuración'!$B$32,IF(ISNUMBER(SEARCH("Marketing Manager",C2010))+ISNUMBER(SEARCH("Gerente de Marketing",C2010))+ISNUMBER(SEARCH("Growth Manager",C2010))+ISNUMBER(SEARCH("Demand Gen",C2010))+ISNUMBER(SEARCH("Marketing Lead",C2010))&gt;0,'Configuración'!$B$33,IF(ISNUMBER(SEARCH("COO",C2010))+ISNUMBER(SEARCH("CFO",C2010))+ISNUMBER(SEARCH("CTO",C2010))+ISNUMBER(SEARCH("Chief Operating",C2010))+ISNUMBER(SEARCH("Chief Financial",C2010))+ISNUMBER(SEARCH("Gerente General",C2010))+ISNUMBER(SEARCH("General Manager",C2010))&gt;0,'Configuración'!$B$34,'Configuración'!$B$35)))))</f>
        <v>12</v>
      </c>
      <c r="V2010" s="38">
        <f>IF(B2010="","",IF(K2010="Sí",'Configuración'!$B$5,0)+IF(L2010="Semanal",'Configuración'!$B$6,IF(L2010="Mensual",'Configuración'!$B$7,0))+IF(M2010="Sí",'Configuración'!$B$8,0)+IF(N2010="Sí",'Configuración'!$B$9,0)+IF(O2010="Sí",'Configuración'!$B$10,0)+IF(P2010="Sí",'Configuración'!$B$11,0)+IF(Q2010="Sí",'Configuración'!$B$12,0)+S2010+T2010+U2010)</f>
        <v>20</v>
      </c>
      <c r="W2010" s="39" t="str">
        <f>IF(B2010="","",IF(V2010&gt;='Configuración'!$B$19,"A",IF(V2010&gt;='Configuración'!$B$20,"B",IF(V2010&gt;='Configuración'!$B$21,"C","Descarte"))))</f>
        <v>Descarte</v>
      </c>
    </row>
    <row r="2011" ht="15.75" customHeight="1">
      <c r="A2011" s="34">
        <f t="shared" si="1"/>
        <v>2009</v>
      </c>
      <c r="B2011" s="29" t="s">
        <v>236</v>
      </c>
      <c r="C2011" s="29" t="s">
        <v>11092</v>
      </c>
      <c r="D2011" s="29" t="s">
        <v>11093</v>
      </c>
      <c r="E2011" s="29" t="s">
        <v>11094</v>
      </c>
      <c r="F2011" s="30" t="s">
        <v>11095</v>
      </c>
      <c r="G2011" s="30" t="s">
        <v>11096</v>
      </c>
      <c r="H2011" s="42" t="s">
        <v>11097</v>
      </c>
      <c r="I2011" s="29" t="s">
        <v>127</v>
      </c>
      <c r="J2011" s="31">
        <v>6.0</v>
      </c>
      <c r="K2011" s="35"/>
      <c r="L2011" s="35"/>
      <c r="M2011" s="35"/>
      <c r="N2011" s="35"/>
      <c r="O2011" s="35"/>
      <c r="P2011" s="35"/>
      <c r="Q2011" s="35"/>
      <c r="R2011" s="35"/>
      <c r="S2011" s="37">
        <f>IF(B2011="","",IF(ISNUMBER(J2011),IF(J2011&lt;=10,'Configuración'!$B$23,IF(J2011&lt;=50,'Configuración'!$B$24,IF(J2011&lt;=200,'Configuración'!$B$25,0))),0))</f>
        <v>12</v>
      </c>
      <c r="T2011" s="37">
        <f>IF(B2011="","",IF(ISNUMBER(SEARCH("information technology",I2011))+ISNUMBER(SEARCH("software",I2011))+ISNUMBER(SEARCH("internet",I2011))+ISNUMBER(SEARCH("computer",I2011))+ISNUMBER(SEARCH("saas",I2011))+ISNUMBER(SEARCH("fintech",I2011))+ISNUMBER(SEARCH("information services",I2011))+ISNUMBER(SEARCH("telecommunications",I2011))&gt;0,'Configuración'!$B$27,'Configuración'!$B$28))</f>
        <v>12</v>
      </c>
      <c r="U2011" s="25">
        <f>IF(B2011="","",IF(ISNUMBER(SEARCH("CEO",C2011))+ISNUMBER(SEARCH("Founder",C2011))+ISNUMBER(SEARCH("Owner",C2011))+ISNUMBER(SEARCH("Dueño",C2011))+ISNUMBER(SEARCH("Director General",C2011))+ISNUMBER(SEARCH("Presidente",C2011))+ISNUMBER(SEARCH("President",C2011))&gt;0,'Configuración'!$B$31,IF(ISNUMBER(SEARCH("CMO",C2011))+ISNUMBER(SEARCH("Chief Marketing",C2011))+ISNUMBER(SEARCH("VP Marketing",C2011))+ISNUMBER(SEARCH("Director de Marketing",C2011))+ISNUMBER(SEARCH("Director Marketing",C2011))+ISNUMBER(SEARCH("Head of Marketing",C2011))+ISNUMBER(SEARCH("Head Marketing",C2011))&gt;0,'Configuración'!$B$32,IF(ISNUMBER(SEARCH("Marketing Manager",C2011))+ISNUMBER(SEARCH("Gerente de Marketing",C2011))+ISNUMBER(SEARCH("Growth Manager",C2011))+ISNUMBER(SEARCH("Demand Gen",C2011))+ISNUMBER(SEARCH("Marketing Lead",C2011))&gt;0,'Configuración'!$B$33,IF(ISNUMBER(SEARCH("COO",C2011))+ISNUMBER(SEARCH("CFO",C2011))+ISNUMBER(SEARCH("CTO",C2011))+ISNUMBER(SEARCH("Chief Operating",C2011))+ISNUMBER(SEARCH("Chief Financial",C2011))+ISNUMBER(SEARCH("Gerente General",C2011))+ISNUMBER(SEARCH("General Manager",C2011))&gt;0,'Configuración'!$B$34,'Configuración'!$B$35)))))</f>
        <v>12</v>
      </c>
      <c r="V2011" s="38">
        <f>IF(B2011="","",IF(K2011="Sí",'Configuración'!$B$5,0)+IF(L2011="Semanal",'Configuración'!$B$6,IF(L2011="Mensual",'Configuración'!$B$7,0))+IF(M2011="Sí",'Configuración'!$B$8,0)+IF(N2011="Sí",'Configuración'!$B$9,0)+IF(O2011="Sí",'Configuración'!$B$10,0)+IF(P2011="Sí",'Configuración'!$B$11,0)+IF(Q2011="Sí",'Configuración'!$B$12,0)+S2011+T2011+U2011)</f>
        <v>36</v>
      </c>
      <c r="W2011" s="39" t="str">
        <f>IF(B2011="","",IF(V2011&gt;='Configuración'!$B$19,"A",IF(V2011&gt;='Configuración'!$B$20,"B",IF(V2011&gt;='Configuración'!$B$21,"C","Descarte"))))</f>
        <v>C</v>
      </c>
    </row>
    <row r="2012" ht="15.75" customHeight="1">
      <c r="A2012" s="34">
        <f t="shared" si="1"/>
        <v>2010</v>
      </c>
      <c r="B2012" s="29" t="s">
        <v>1103</v>
      </c>
      <c r="C2012" s="29" t="s">
        <v>6742</v>
      </c>
      <c r="D2012" s="29" t="s">
        <v>11098</v>
      </c>
      <c r="E2012" s="29" t="s">
        <v>11099</v>
      </c>
      <c r="F2012" s="30" t="s">
        <v>11100</v>
      </c>
      <c r="G2012" s="30" t="s">
        <v>11101</v>
      </c>
      <c r="H2012" s="42" t="s">
        <v>11102</v>
      </c>
      <c r="I2012" s="29" t="s">
        <v>3212</v>
      </c>
      <c r="J2012" s="31">
        <v>37.0</v>
      </c>
      <c r="K2012" s="35"/>
      <c r="L2012" s="35"/>
      <c r="M2012" s="35"/>
      <c r="N2012" s="35"/>
      <c r="O2012" s="35"/>
      <c r="P2012" s="35"/>
      <c r="Q2012" s="35"/>
      <c r="R2012" s="35"/>
      <c r="S2012" s="37">
        <f>IF(B2012="","",IF(ISNUMBER(J2012),IF(J2012&lt;=10,'Configuración'!$B$23,IF(J2012&lt;=50,'Configuración'!$B$24,IF(J2012&lt;=200,'Configuración'!$B$25,0))),0))</f>
        <v>4</v>
      </c>
      <c r="T2012" s="37">
        <f>IF(B2012="","",IF(ISNUMBER(SEARCH("information technology",I2012))+ISNUMBER(SEARCH("software",I2012))+ISNUMBER(SEARCH("internet",I2012))+ISNUMBER(SEARCH("computer",I2012))+ISNUMBER(SEARCH("saas",I2012))+ISNUMBER(SEARCH("fintech",I2012))+ISNUMBER(SEARCH("information services",I2012))+ISNUMBER(SEARCH("telecommunications",I2012))&gt;0,'Configuración'!$B$27,'Configuración'!$B$28))</f>
        <v>4</v>
      </c>
      <c r="U2012" s="25">
        <f>IF(B2012="","",IF(ISNUMBER(SEARCH("CEO",C2012))+ISNUMBER(SEARCH("Founder",C2012))+ISNUMBER(SEARCH("Owner",C2012))+ISNUMBER(SEARCH("Dueño",C2012))+ISNUMBER(SEARCH("Director General",C2012))+ISNUMBER(SEARCH("Presidente",C2012))+ISNUMBER(SEARCH("President",C2012))&gt;0,'Configuración'!$B$31,IF(ISNUMBER(SEARCH("CMO",C2012))+ISNUMBER(SEARCH("Chief Marketing",C2012))+ISNUMBER(SEARCH("VP Marketing",C2012))+ISNUMBER(SEARCH("Director de Marketing",C2012))+ISNUMBER(SEARCH("Director Marketing",C2012))+ISNUMBER(SEARCH("Head of Marketing",C2012))+ISNUMBER(SEARCH("Head Marketing",C2012))&gt;0,'Configuración'!$B$32,IF(ISNUMBER(SEARCH("Marketing Manager",C2012))+ISNUMBER(SEARCH("Gerente de Marketing",C2012))+ISNUMBER(SEARCH("Growth Manager",C2012))+ISNUMBER(SEARCH("Demand Gen",C2012))+ISNUMBER(SEARCH("Marketing Lead",C2012))&gt;0,'Configuración'!$B$33,IF(ISNUMBER(SEARCH("COO",C2012))+ISNUMBER(SEARCH("CFO",C2012))+ISNUMBER(SEARCH("CTO",C2012))+ISNUMBER(SEARCH("Chief Operating",C2012))+ISNUMBER(SEARCH("Chief Financial",C2012))+ISNUMBER(SEARCH("Gerente General",C2012))+ISNUMBER(SEARCH("General Manager",C2012))&gt;0,'Configuración'!$B$34,'Configuración'!$B$35)))))</f>
        <v>12</v>
      </c>
      <c r="V2012" s="38">
        <f>IF(B2012="","",IF(K2012="Sí",'Configuración'!$B$5,0)+IF(L2012="Semanal",'Configuración'!$B$6,IF(L2012="Mensual",'Configuración'!$B$7,0))+IF(M2012="Sí",'Configuración'!$B$8,0)+IF(N2012="Sí",'Configuración'!$B$9,0)+IF(O2012="Sí",'Configuración'!$B$10,0)+IF(P2012="Sí",'Configuración'!$B$11,0)+IF(Q2012="Sí",'Configuración'!$B$12,0)+S2012+T2012+U2012)</f>
        <v>20</v>
      </c>
      <c r="W2012" s="39" t="str">
        <f>IF(B2012="","",IF(V2012&gt;='Configuración'!$B$19,"A",IF(V2012&gt;='Configuración'!$B$20,"B",IF(V2012&gt;='Configuración'!$B$21,"C","Descarte"))))</f>
        <v>Descarte</v>
      </c>
    </row>
    <row r="2013" ht="15.75" customHeight="1">
      <c r="A2013" s="34">
        <f t="shared" si="1"/>
        <v>2011</v>
      </c>
      <c r="B2013" s="29" t="s">
        <v>466</v>
      </c>
      <c r="C2013" s="29" t="s">
        <v>11103</v>
      </c>
      <c r="D2013" s="29" t="s">
        <v>11104</v>
      </c>
      <c r="E2013" s="29" t="s">
        <v>11105</v>
      </c>
      <c r="F2013" s="30" t="s">
        <v>11106</v>
      </c>
      <c r="G2013" s="30" t="s">
        <v>11107</v>
      </c>
      <c r="H2013" s="42" t="s">
        <v>11108</v>
      </c>
      <c r="I2013" s="29" t="s">
        <v>659</v>
      </c>
      <c r="J2013" s="31">
        <v>8.0</v>
      </c>
      <c r="K2013" s="35"/>
      <c r="L2013" s="35"/>
      <c r="M2013" s="35"/>
      <c r="N2013" s="35"/>
      <c r="O2013" s="35"/>
      <c r="P2013" s="35"/>
      <c r="Q2013" s="35"/>
      <c r="R2013" s="35"/>
      <c r="S2013" s="37">
        <f>IF(B2013="","",IF(ISNUMBER(J2013),IF(J2013&lt;=10,'Configuración'!$B$23,IF(J2013&lt;=50,'Configuración'!$B$24,IF(J2013&lt;=200,'Configuración'!$B$25,0))),0))</f>
        <v>12</v>
      </c>
      <c r="T2013" s="37">
        <f>IF(B2013="","",IF(ISNUMBER(SEARCH("information technology",I2013))+ISNUMBER(SEARCH("software",I2013))+ISNUMBER(SEARCH("internet",I2013))+ISNUMBER(SEARCH("computer",I2013))+ISNUMBER(SEARCH("saas",I2013))+ISNUMBER(SEARCH("fintech",I2013))+ISNUMBER(SEARCH("information services",I2013))+ISNUMBER(SEARCH("telecommunications",I2013))&gt;0,'Configuración'!$B$27,'Configuración'!$B$28))</f>
        <v>4</v>
      </c>
      <c r="U2013" s="25">
        <f>IF(B2013="","",IF(ISNUMBER(SEARCH("CEO",C2013))+ISNUMBER(SEARCH("Founder",C2013))+ISNUMBER(SEARCH("Owner",C2013))+ISNUMBER(SEARCH("Dueño",C2013))+ISNUMBER(SEARCH("Director General",C2013))+ISNUMBER(SEARCH("Presidente",C2013))+ISNUMBER(SEARCH("President",C2013))&gt;0,'Configuración'!$B$31,IF(ISNUMBER(SEARCH("CMO",C2013))+ISNUMBER(SEARCH("Chief Marketing",C2013))+ISNUMBER(SEARCH("VP Marketing",C2013))+ISNUMBER(SEARCH("Director de Marketing",C2013))+ISNUMBER(SEARCH("Director Marketing",C2013))+ISNUMBER(SEARCH("Head of Marketing",C2013))+ISNUMBER(SEARCH("Head Marketing",C2013))&gt;0,'Configuración'!$B$32,IF(ISNUMBER(SEARCH("Marketing Manager",C2013))+ISNUMBER(SEARCH("Gerente de Marketing",C2013))+ISNUMBER(SEARCH("Growth Manager",C2013))+ISNUMBER(SEARCH("Demand Gen",C2013))+ISNUMBER(SEARCH("Marketing Lead",C2013))&gt;0,'Configuración'!$B$33,IF(ISNUMBER(SEARCH("COO",C2013))+ISNUMBER(SEARCH("CFO",C2013))+ISNUMBER(SEARCH("CTO",C2013))+ISNUMBER(SEARCH("Chief Operating",C2013))+ISNUMBER(SEARCH("Chief Financial",C2013))+ISNUMBER(SEARCH("Gerente General",C2013))+ISNUMBER(SEARCH("General Manager",C2013))&gt;0,'Configuración'!$B$34,'Configuración'!$B$35)))))</f>
        <v>12</v>
      </c>
      <c r="V2013" s="38">
        <f>IF(B2013="","",IF(K2013="Sí",'Configuración'!$B$5,0)+IF(L2013="Semanal",'Configuración'!$B$6,IF(L2013="Mensual",'Configuración'!$B$7,0))+IF(M2013="Sí",'Configuración'!$B$8,0)+IF(N2013="Sí",'Configuración'!$B$9,0)+IF(O2013="Sí",'Configuración'!$B$10,0)+IF(P2013="Sí",'Configuración'!$B$11,0)+IF(Q2013="Sí",'Configuración'!$B$12,0)+S2013+T2013+U2013)</f>
        <v>28</v>
      </c>
      <c r="W2013" s="39" t="str">
        <f>IF(B2013="","",IF(V2013&gt;='Configuración'!$B$19,"A",IF(V2013&gt;='Configuración'!$B$20,"B",IF(V2013&gt;='Configuración'!$B$21,"C","Descarte"))))</f>
        <v>C</v>
      </c>
    </row>
    <row r="2014" ht="15.75" customHeight="1">
      <c r="A2014" s="34"/>
      <c r="B2014" s="29" t="s">
        <v>7475</v>
      </c>
      <c r="C2014" s="29" t="s">
        <v>311</v>
      </c>
      <c r="D2014" s="29" t="s">
        <v>11109</v>
      </c>
      <c r="E2014" s="29" t="s">
        <v>11110</v>
      </c>
      <c r="F2014" s="30" t="s">
        <v>11111</v>
      </c>
      <c r="G2014" s="30" t="s">
        <v>11112</v>
      </c>
      <c r="H2014" s="43" t="s">
        <v>11113</v>
      </c>
      <c r="I2014" s="29" t="s">
        <v>188</v>
      </c>
      <c r="J2014" s="31">
        <v>13.0</v>
      </c>
      <c r="K2014" s="44"/>
      <c r="L2014" s="44"/>
      <c r="M2014" s="44"/>
      <c r="N2014" s="44"/>
      <c r="O2014" s="44"/>
      <c r="P2014" s="44"/>
      <c r="Q2014" s="44"/>
      <c r="R2014" s="44"/>
      <c r="S2014" s="37">
        <f>IF(B2014="","",IF(ISNUMBER(J2014),IF(J2014&lt;=10,'Configuración'!$B$23,IF(J2014&lt;=50,'Configuración'!$B$24,IF(J2014&lt;=200,'Configuración'!$B$25,0))),0))</f>
        <v>4</v>
      </c>
      <c r="T2014" s="37">
        <f>IF(B2014="","",IF(ISNUMBER(SEARCH("information technology",I2014))+ISNUMBER(SEARCH("software",I2014))+ISNUMBER(SEARCH("internet",I2014))+ISNUMBER(SEARCH("computer",I2014))+ISNUMBER(SEARCH("saas",I2014))+ISNUMBER(SEARCH("fintech",I2014))+ISNUMBER(SEARCH("information services",I2014))+ISNUMBER(SEARCH("telecommunications",I2014))&gt;0,'Configuración'!$B$27,'Configuración'!$B$28))</f>
        <v>4</v>
      </c>
      <c r="U2014" s="25">
        <f>IF(B2014="","",IF(ISNUMBER(SEARCH("CEO",C2014))+ISNUMBER(SEARCH("Founder",C2014))+ISNUMBER(SEARCH("Owner",C2014))+ISNUMBER(SEARCH("Dueño",C2014))+ISNUMBER(SEARCH("Director General",C2014))+ISNUMBER(SEARCH("Presidente",C2014))+ISNUMBER(SEARCH("President",C2014))&gt;0,'Configuración'!$B$31,IF(ISNUMBER(SEARCH("CMO",C2014))+ISNUMBER(SEARCH("Chief Marketing",C2014))+ISNUMBER(SEARCH("VP Marketing",C2014))+ISNUMBER(SEARCH("Director de Marketing",C2014))+ISNUMBER(SEARCH("Director Marketing",C2014))+ISNUMBER(SEARCH("Head of Marketing",C2014))+ISNUMBER(SEARCH("Head Marketing",C2014))&gt;0,'Configuración'!$B$32,IF(ISNUMBER(SEARCH("Marketing Manager",C2014))+ISNUMBER(SEARCH("Gerente de Marketing",C2014))+ISNUMBER(SEARCH("Growth Manager",C2014))+ISNUMBER(SEARCH("Demand Gen",C2014))+ISNUMBER(SEARCH("Marketing Lead",C2014))&gt;0,'Configuración'!$B$33,IF(ISNUMBER(SEARCH("COO",C2014))+ISNUMBER(SEARCH("CFO",C2014))+ISNUMBER(SEARCH("CTO",C2014))+ISNUMBER(SEARCH("Chief Operating",C2014))+ISNUMBER(SEARCH("Chief Financial",C2014))+ISNUMBER(SEARCH("Gerente General",C2014))+ISNUMBER(SEARCH("General Manager",C2014))&gt;0,'Configuración'!$B$34,'Configuración'!$B$35)))))</f>
        <v>12</v>
      </c>
      <c r="V2014" s="20"/>
      <c r="W2014" s="20"/>
    </row>
    <row r="2015" ht="15.75" customHeight="1">
      <c r="A2015" s="34"/>
      <c r="B2015" s="29" t="s">
        <v>120</v>
      </c>
      <c r="C2015" s="29" t="s">
        <v>175</v>
      </c>
      <c r="D2015" s="29" t="s">
        <v>4997</v>
      </c>
      <c r="E2015" s="29" t="s">
        <v>11114</v>
      </c>
      <c r="F2015" s="30" t="s">
        <v>11115</v>
      </c>
      <c r="G2015" s="30" t="s">
        <v>5000</v>
      </c>
      <c r="H2015" s="43" t="s">
        <v>5001</v>
      </c>
      <c r="I2015" s="29" t="s">
        <v>1245</v>
      </c>
      <c r="J2015" s="31">
        <v>13.0</v>
      </c>
      <c r="K2015" s="44"/>
      <c r="L2015" s="44"/>
      <c r="M2015" s="44"/>
      <c r="N2015" s="44"/>
      <c r="O2015" s="44"/>
      <c r="P2015" s="44"/>
      <c r="Q2015" s="44"/>
      <c r="R2015" s="44"/>
      <c r="S2015" s="37">
        <f>IF(B2015="","",IF(ISNUMBER(J2015),IF(J2015&lt;=10,'Configuración'!$B$23,IF(J2015&lt;=50,'Configuración'!$B$24,IF(J2015&lt;=200,'Configuración'!$B$25,0))),0))</f>
        <v>4</v>
      </c>
      <c r="T2015" s="37">
        <f>IF(B2015="","",IF(ISNUMBER(SEARCH("information technology",I2015))+ISNUMBER(SEARCH("software",I2015))+ISNUMBER(SEARCH("internet",I2015))+ISNUMBER(SEARCH("computer",I2015))+ISNUMBER(SEARCH("saas",I2015))+ISNUMBER(SEARCH("fintech",I2015))+ISNUMBER(SEARCH("information services",I2015))+ISNUMBER(SEARCH("telecommunications",I2015))&gt;0,'Configuración'!$B$27,'Configuración'!$B$28))</f>
        <v>4</v>
      </c>
      <c r="U2015" s="25">
        <f>IF(B2015="","",IF(ISNUMBER(SEARCH("CEO",C2015))+ISNUMBER(SEARCH("Founder",C2015))+ISNUMBER(SEARCH("Owner",C2015))+ISNUMBER(SEARCH("Dueño",C2015))+ISNUMBER(SEARCH("Director General",C2015))+ISNUMBER(SEARCH("Presidente",C2015))+ISNUMBER(SEARCH("President",C2015))&gt;0,'Configuración'!$B$31,IF(ISNUMBER(SEARCH("CMO",C2015))+ISNUMBER(SEARCH("Chief Marketing",C2015))+ISNUMBER(SEARCH("VP Marketing",C2015))+ISNUMBER(SEARCH("Director de Marketing",C2015))+ISNUMBER(SEARCH("Director Marketing",C2015))+ISNUMBER(SEARCH("Head of Marketing",C2015))+ISNUMBER(SEARCH("Head Marketing",C2015))&gt;0,'Configuración'!$B$32,IF(ISNUMBER(SEARCH("Marketing Manager",C2015))+ISNUMBER(SEARCH("Gerente de Marketing",C2015))+ISNUMBER(SEARCH("Growth Manager",C2015))+ISNUMBER(SEARCH("Demand Gen",C2015))+ISNUMBER(SEARCH("Marketing Lead",C2015))&gt;0,'Configuración'!$B$33,IF(ISNUMBER(SEARCH("COO",C2015))+ISNUMBER(SEARCH("CFO",C2015))+ISNUMBER(SEARCH("CTO",C2015))+ISNUMBER(SEARCH("Chief Operating",C2015))+ISNUMBER(SEARCH("Chief Financial",C2015))+ISNUMBER(SEARCH("Gerente General",C2015))+ISNUMBER(SEARCH("General Manager",C2015))&gt;0,'Configuración'!$B$34,'Configuración'!$B$35)))))</f>
        <v>12</v>
      </c>
      <c r="V2015" s="20"/>
      <c r="W2015" s="20"/>
    </row>
    <row r="2016" ht="15.75" customHeight="1">
      <c r="A2016" s="34"/>
      <c r="B2016" s="29" t="s">
        <v>343</v>
      </c>
      <c r="C2016" s="29" t="s">
        <v>202</v>
      </c>
      <c r="D2016" s="29" t="s">
        <v>5737</v>
      </c>
      <c r="E2016" s="29" t="s">
        <v>11116</v>
      </c>
      <c r="F2016" s="30" t="s">
        <v>11117</v>
      </c>
      <c r="G2016" s="30" t="s">
        <v>5740</v>
      </c>
      <c r="H2016" s="43" t="s">
        <v>5741</v>
      </c>
      <c r="I2016" s="29" t="s">
        <v>116</v>
      </c>
      <c r="J2016" s="31">
        <v>10.0</v>
      </c>
      <c r="K2016" s="44"/>
      <c r="L2016" s="44"/>
      <c r="M2016" s="44"/>
      <c r="N2016" s="44"/>
      <c r="O2016" s="44"/>
      <c r="P2016" s="44"/>
      <c r="Q2016" s="44"/>
      <c r="R2016" s="44"/>
      <c r="S2016" s="37">
        <f>IF(B2016="","",IF(ISNUMBER(J2016),IF(J2016&lt;=10,'Configuración'!$B$23,IF(J2016&lt;=50,'Configuración'!$B$24,IF(J2016&lt;=200,'Configuración'!$B$25,0))),0))</f>
        <v>12</v>
      </c>
      <c r="T2016" s="37">
        <f>IF(B2016="","",IF(ISNUMBER(SEARCH("information technology",I2016))+ISNUMBER(SEARCH("software",I2016))+ISNUMBER(SEARCH("internet",I2016))+ISNUMBER(SEARCH("computer",I2016))+ISNUMBER(SEARCH("saas",I2016))+ISNUMBER(SEARCH("fintech",I2016))+ISNUMBER(SEARCH("information services",I2016))+ISNUMBER(SEARCH("telecommunications",I2016))&gt;0,'Configuración'!$B$27,'Configuración'!$B$28))</f>
        <v>4</v>
      </c>
      <c r="U2016" s="25">
        <f>IF(B2016="","",IF(ISNUMBER(SEARCH("CEO",C2016))+ISNUMBER(SEARCH("Founder",C2016))+ISNUMBER(SEARCH("Owner",C2016))+ISNUMBER(SEARCH("Dueño",C2016))+ISNUMBER(SEARCH("Director General",C2016))+ISNUMBER(SEARCH("Presidente",C2016))+ISNUMBER(SEARCH("President",C2016))&gt;0,'Configuración'!$B$31,IF(ISNUMBER(SEARCH("CMO",C2016))+ISNUMBER(SEARCH("Chief Marketing",C2016))+ISNUMBER(SEARCH("VP Marketing",C2016))+ISNUMBER(SEARCH("Director de Marketing",C2016))+ISNUMBER(SEARCH("Director Marketing",C2016))+ISNUMBER(SEARCH("Head of Marketing",C2016))+ISNUMBER(SEARCH("Head Marketing",C2016))&gt;0,'Configuración'!$B$32,IF(ISNUMBER(SEARCH("Marketing Manager",C2016))+ISNUMBER(SEARCH("Gerente de Marketing",C2016))+ISNUMBER(SEARCH("Growth Manager",C2016))+ISNUMBER(SEARCH("Demand Gen",C2016))+ISNUMBER(SEARCH("Marketing Lead",C2016))&gt;0,'Configuración'!$B$33,IF(ISNUMBER(SEARCH("COO",C2016))+ISNUMBER(SEARCH("CFO",C2016))+ISNUMBER(SEARCH("CTO",C2016))+ISNUMBER(SEARCH("Chief Operating",C2016))+ISNUMBER(SEARCH("Chief Financial",C2016))+ISNUMBER(SEARCH("Gerente General",C2016))+ISNUMBER(SEARCH("General Manager",C2016))&gt;0,'Configuración'!$B$34,'Configuración'!$B$35)))))</f>
        <v>12</v>
      </c>
      <c r="V2016" s="20"/>
      <c r="W2016" s="20"/>
    </row>
    <row r="2017" ht="15.75" customHeight="1">
      <c r="A2017" s="34"/>
      <c r="B2017" s="29" t="s">
        <v>398</v>
      </c>
      <c r="C2017" s="29" t="s">
        <v>444</v>
      </c>
      <c r="D2017" s="29" t="s">
        <v>11118</v>
      </c>
      <c r="E2017" s="29" t="s">
        <v>11119</v>
      </c>
      <c r="F2017" s="30" t="s">
        <v>11120</v>
      </c>
      <c r="G2017" s="30" t="s">
        <v>11121</v>
      </c>
      <c r="H2017" s="43" t="s">
        <v>11122</v>
      </c>
      <c r="I2017" s="29" t="s">
        <v>310</v>
      </c>
      <c r="J2017" s="31">
        <v>4.0</v>
      </c>
      <c r="K2017" s="44"/>
      <c r="L2017" s="44"/>
      <c r="M2017" s="44"/>
      <c r="N2017" s="44"/>
      <c r="O2017" s="44"/>
      <c r="P2017" s="44"/>
      <c r="Q2017" s="44"/>
      <c r="R2017" s="44"/>
      <c r="S2017" s="37">
        <f>IF(B2017="","",IF(ISNUMBER(J2017),IF(J2017&lt;=10,'Configuración'!$B$23,IF(J2017&lt;=50,'Configuración'!$B$24,IF(J2017&lt;=200,'Configuración'!$B$25,0))),0))</f>
        <v>12</v>
      </c>
      <c r="T2017" s="37">
        <f>IF(B2017="","",IF(ISNUMBER(SEARCH("information technology",I2017))+ISNUMBER(SEARCH("software",I2017))+ISNUMBER(SEARCH("internet",I2017))+ISNUMBER(SEARCH("computer",I2017))+ISNUMBER(SEARCH("saas",I2017))+ISNUMBER(SEARCH("fintech",I2017))+ISNUMBER(SEARCH("information services",I2017))+ISNUMBER(SEARCH("telecommunications",I2017))&gt;0,'Configuración'!$B$27,'Configuración'!$B$28))</f>
        <v>4</v>
      </c>
      <c r="U2017" s="25">
        <f>IF(B2017="","",IF(ISNUMBER(SEARCH("CEO",C2017))+ISNUMBER(SEARCH("Founder",C2017))+ISNUMBER(SEARCH("Owner",C2017))+ISNUMBER(SEARCH("Dueño",C2017))+ISNUMBER(SEARCH("Director General",C2017))+ISNUMBER(SEARCH("Presidente",C2017))+ISNUMBER(SEARCH("President",C2017))&gt;0,'Configuración'!$B$31,IF(ISNUMBER(SEARCH("CMO",C2017))+ISNUMBER(SEARCH("Chief Marketing",C2017))+ISNUMBER(SEARCH("VP Marketing",C2017))+ISNUMBER(SEARCH("Director de Marketing",C2017))+ISNUMBER(SEARCH("Director Marketing",C2017))+ISNUMBER(SEARCH("Head of Marketing",C2017))+ISNUMBER(SEARCH("Head Marketing",C2017))&gt;0,'Configuración'!$B$32,IF(ISNUMBER(SEARCH("Marketing Manager",C2017))+ISNUMBER(SEARCH("Gerente de Marketing",C2017))+ISNUMBER(SEARCH("Growth Manager",C2017))+ISNUMBER(SEARCH("Demand Gen",C2017))+ISNUMBER(SEARCH("Marketing Lead",C2017))&gt;0,'Configuración'!$B$33,IF(ISNUMBER(SEARCH("COO",C2017))+ISNUMBER(SEARCH("CFO",C2017))+ISNUMBER(SEARCH("CTO",C2017))+ISNUMBER(SEARCH("Chief Operating",C2017))+ISNUMBER(SEARCH("Chief Financial",C2017))+ISNUMBER(SEARCH("Gerente General",C2017))+ISNUMBER(SEARCH("General Manager",C2017))&gt;0,'Configuración'!$B$34,'Configuración'!$B$35)))))</f>
        <v>12</v>
      </c>
      <c r="V2017" s="20"/>
      <c r="W2017" s="20"/>
    </row>
    <row r="2018" ht="15.75" customHeight="1">
      <c r="A2018" s="34"/>
      <c r="B2018" s="29" t="s">
        <v>11123</v>
      </c>
      <c r="C2018" s="29" t="s">
        <v>622</v>
      </c>
      <c r="D2018" s="29" t="s">
        <v>11124</v>
      </c>
      <c r="E2018" s="29" t="s">
        <v>11125</v>
      </c>
      <c r="F2018" s="30" t="s">
        <v>11126</v>
      </c>
      <c r="G2018" s="30" t="s">
        <v>11127</v>
      </c>
      <c r="H2018" s="43" t="s">
        <v>11128</v>
      </c>
      <c r="I2018" s="29" t="s">
        <v>222</v>
      </c>
      <c r="J2018" s="31">
        <v>8.0</v>
      </c>
      <c r="K2018" s="44"/>
      <c r="L2018" s="44"/>
      <c r="M2018" s="44"/>
      <c r="N2018" s="44"/>
      <c r="O2018" s="44"/>
      <c r="P2018" s="44"/>
      <c r="Q2018" s="44"/>
      <c r="R2018" s="44"/>
      <c r="S2018" s="37">
        <f>IF(B2018="","",IF(ISNUMBER(J2018),IF(J2018&lt;=10,'Configuración'!$B$23,IF(J2018&lt;=50,'Configuración'!$B$24,IF(J2018&lt;=200,'Configuración'!$B$25,0))),0))</f>
        <v>12</v>
      </c>
      <c r="T2018" s="37">
        <f>IF(B2018="","",IF(ISNUMBER(SEARCH("information technology",I2018))+ISNUMBER(SEARCH("software",I2018))+ISNUMBER(SEARCH("internet",I2018))+ISNUMBER(SEARCH("computer",I2018))+ISNUMBER(SEARCH("saas",I2018))+ISNUMBER(SEARCH("fintech",I2018))+ISNUMBER(SEARCH("information services",I2018))+ISNUMBER(SEARCH("telecommunications",I2018))&gt;0,'Configuración'!$B$27,'Configuración'!$B$28))</f>
        <v>4</v>
      </c>
      <c r="U2018" s="25">
        <f>IF(B2018="","",IF(ISNUMBER(SEARCH("CEO",C2018))+ISNUMBER(SEARCH("Founder",C2018))+ISNUMBER(SEARCH("Owner",C2018))+ISNUMBER(SEARCH("Dueño",C2018))+ISNUMBER(SEARCH("Director General",C2018))+ISNUMBER(SEARCH("Presidente",C2018))+ISNUMBER(SEARCH("President",C2018))&gt;0,'Configuración'!$B$31,IF(ISNUMBER(SEARCH("CMO",C2018))+ISNUMBER(SEARCH("Chief Marketing",C2018))+ISNUMBER(SEARCH("VP Marketing",C2018))+ISNUMBER(SEARCH("Director de Marketing",C2018))+ISNUMBER(SEARCH("Director Marketing",C2018))+ISNUMBER(SEARCH("Head of Marketing",C2018))+ISNUMBER(SEARCH("Head Marketing",C2018))&gt;0,'Configuración'!$B$32,IF(ISNUMBER(SEARCH("Marketing Manager",C2018))+ISNUMBER(SEARCH("Gerente de Marketing",C2018))+ISNUMBER(SEARCH("Growth Manager",C2018))+ISNUMBER(SEARCH("Demand Gen",C2018))+ISNUMBER(SEARCH("Marketing Lead",C2018))&gt;0,'Configuración'!$B$33,IF(ISNUMBER(SEARCH("COO",C2018))+ISNUMBER(SEARCH("CFO",C2018))+ISNUMBER(SEARCH("CTO",C2018))+ISNUMBER(SEARCH("Chief Operating",C2018))+ISNUMBER(SEARCH("Chief Financial",C2018))+ISNUMBER(SEARCH("Gerente General",C2018))+ISNUMBER(SEARCH("General Manager",C2018))&gt;0,'Configuración'!$B$34,'Configuración'!$B$35)))))</f>
        <v>12</v>
      </c>
      <c r="V2018" s="20"/>
      <c r="W2018" s="20"/>
    </row>
    <row r="2019" ht="15.75" customHeight="1">
      <c r="A2019" s="34"/>
      <c r="B2019" s="29" t="s">
        <v>11129</v>
      </c>
      <c r="C2019" s="29" t="s">
        <v>11130</v>
      </c>
      <c r="D2019" s="29" t="s">
        <v>2546</v>
      </c>
      <c r="E2019" s="29" t="s">
        <v>11131</v>
      </c>
      <c r="F2019" s="30" t="s">
        <v>11132</v>
      </c>
      <c r="G2019" s="30" t="s">
        <v>2549</v>
      </c>
      <c r="H2019" s="43" t="s">
        <v>2550</v>
      </c>
      <c r="I2019" s="29" t="s">
        <v>127</v>
      </c>
      <c r="J2019" s="31">
        <v>3.0</v>
      </c>
      <c r="K2019" s="44"/>
      <c r="L2019" s="44"/>
      <c r="M2019" s="44"/>
      <c r="N2019" s="44"/>
      <c r="O2019" s="44"/>
      <c r="P2019" s="44"/>
      <c r="Q2019" s="44"/>
      <c r="R2019" s="44"/>
      <c r="S2019" s="37">
        <f>IF(B2019="","",IF(ISNUMBER(J2019),IF(J2019&lt;=10,'Configuración'!$B$23,IF(J2019&lt;=50,'Configuración'!$B$24,IF(J2019&lt;=200,'Configuración'!$B$25,0))),0))</f>
        <v>12</v>
      </c>
      <c r="T2019" s="37">
        <f>IF(B2019="","",IF(ISNUMBER(SEARCH("information technology",I2019))+ISNUMBER(SEARCH("software",I2019))+ISNUMBER(SEARCH("internet",I2019))+ISNUMBER(SEARCH("computer",I2019))+ISNUMBER(SEARCH("saas",I2019))+ISNUMBER(SEARCH("fintech",I2019))+ISNUMBER(SEARCH("information services",I2019))+ISNUMBER(SEARCH("telecommunications",I2019))&gt;0,'Configuración'!$B$27,'Configuración'!$B$28))</f>
        <v>12</v>
      </c>
      <c r="U2019" s="25">
        <f>IF(B2019="","",IF(ISNUMBER(SEARCH("CEO",C2019))+ISNUMBER(SEARCH("Founder",C2019))+ISNUMBER(SEARCH("Owner",C2019))+ISNUMBER(SEARCH("Dueño",C2019))+ISNUMBER(SEARCH("Director General",C2019))+ISNUMBER(SEARCH("Presidente",C2019))+ISNUMBER(SEARCH("President",C2019))&gt;0,'Configuración'!$B$31,IF(ISNUMBER(SEARCH("CMO",C2019))+ISNUMBER(SEARCH("Chief Marketing",C2019))+ISNUMBER(SEARCH("VP Marketing",C2019))+ISNUMBER(SEARCH("Director de Marketing",C2019))+ISNUMBER(SEARCH("Director Marketing",C2019))+ISNUMBER(SEARCH("Head of Marketing",C2019))+ISNUMBER(SEARCH("Head Marketing",C2019))&gt;0,'Configuración'!$B$32,IF(ISNUMBER(SEARCH("Marketing Manager",C2019))+ISNUMBER(SEARCH("Gerente de Marketing",C2019))+ISNUMBER(SEARCH("Growth Manager",C2019))+ISNUMBER(SEARCH("Demand Gen",C2019))+ISNUMBER(SEARCH("Marketing Lead",C2019))&gt;0,'Configuración'!$B$33,IF(ISNUMBER(SEARCH("COO",C2019))+ISNUMBER(SEARCH("CFO",C2019))+ISNUMBER(SEARCH("CTO",C2019))+ISNUMBER(SEARCH("Chief Operating",C2019))+ISNUMBER(SEARCH("Chief Financial",C2019))+ISNUMBER(SEARCH("Gerente General",C2019))+ISNUMBER(SEARCH("General Manager",C2019))&gt;0,'Configuración'!$B$34,'Configuración'!$B$35)))))</f>
        <v>12</v>
      </c>
      <c r="V2019" s="20"/>
      <c r="W2019" s="20"/>
    </row>
    <row r="2020" ht="15.75" customHeight="1">
      <c r="A2020" s="34"/>
      <c r="B2020" s="29" t="s">
        <v>536</v>
      </c>
      <c r="C2020" s="29" t="s">
        <v>11133</v>
      </c>
      <c r="D2020" s="29" t="s">
        <v>11134</v>
      </c>
      <c r="E2020" s="29" t="s">
        <v>11135</v>
      </c>
      <c r="F2020" s="30" t="s">
        <v>11136</v>
      </c>
      <c r="G2020" s="30" t="s">
        <v>11137</v>
      </c>
      <c r="H2020" s="43" t="s">
        <v>11138</v>
      </c>
      <c r="I2020" s="29" t="s">
        <v>1245</v>
      </c>
      <c r="J2020" s="31">
        <v>3.0</v>
      </c>
      <c r="K2020" s="44"/>
      <c r="L2020" s="44"/>
      <c r="M2020" s="44"/>
      <c r="N2020" s="44"/>
      <c r="O2020" s="44"/>
      <c r="P2020" s="44"/>
      <c r="Q2020" s="44"/>
      <c r="R2020" s="44"/>
      <c r="S2020" s="37">
        <f>IF(B2020="","",IF(ISNUMBER(J2020),IF(J2020&lt;=10,'Configuración'!$B$23,IF(J2020&lt;=50,'Configuración'!$B$24,IF(J2020&lt;=200,'Configuración'!$B$25,0))),0))</f>
        <v>12</v>
      </c>
      <c r="T2020" s="37">
        <f>IF(B2020="","",IF(ISNUMBER(SEARCH("information technology",I2020))+ISNUMBER(SEARCH("software",I2020))+ISNUMBER(SEARCH("internet",I2020))+ISNUMBER(SEARCH("computer",I2020))+ISNUMBER(SEARCH("saas",I2020))+ISNUMBER(SEARCH("fintech",I2020))+ISNUMBER(SEARCH("information services",I2020))+ISNUMBER(SEARCH("telecommunications",I2020))&gt;0,'Configuración'!$B$27,'Configuración'!$B$28))</f>
        <v>4</v>
      </c>
      <c r="U2020" s="25">
        <f>IF(B2020="","",IF(ISNUMBER(SEARCH("CEO",C2020))+ISNUMBER(SEARCH("Founder",C2020))+ISNUMBER(SEARCH("Owner",C2020))+ISNUMBER(SEARCH("Dueño",C2020))+ISNUMBER(SEARCH("Director General",C2020))+ISNUMBER(SEARCH("Presidente",C2020))+ISNUMBER(SEARCH("President",C2020))&gt;0,'Configuración'!$B$31,IF(ISNUMBER(SEARCH("CMO",C2020))+ISNUMBER(SEARCH("Chief Marketing",C2020))+ISNUMBER(SEARCH("VP Marketing",C2020))+ISNUMBER(SEARCH("Director de Marketing",C2020))+ISNUMBER(SEARCH("Director Marketing",C2020))+ISNUMBER(SEARCH("Head of Marketing",C2020))+ISNUMBER(SEARCH("Head Marketing",C2020))&gt;0,'Configuración'!$B$32,IF(ISNUMBER(SEARCH("Marketing Manager",C2020))+ISNUMBER(SEARCH("Gerente de Marketing",C2020))+ISNUMBER(SEARCH("Growth Manager",C2020))+ISNUMBER(SEARCH("Demand Gen",C2020))+ISNUMBER(SEARCH("Marketing Lead",C2020))&gt;0,'Configuración'!$B$33,IF(ISNUMBER(SEARCH("COO",C2020))+ISNUMBER(SEARCH("CFO",C2020))+ISNUMBER(SEARCH("CTO",C2020))+ISNUMBER(SEARCH("Chief Operating",C2020))+ISNUMBER(SEARCH("Chief Financial",C2020))+ISNUMBER(SEARCH("Gerente General",C2020))+ISNUMBER(SEARCH("General Manager",C2020))&gt;0,'Configuración'!$B$34,'Configuración'!$B$35)))))</f>
        <v>12</v>
      </c>
      <c r="V2020" s="20"/>
      <c r="W2020" s="20"/>
    </row>
    <row r="2021" ht="15.75" customHeight="1">
      <c r="A2021" s="34"/>
      <c r="B2021" s="29" t="s">
        <v>1510</v>
      </c>
      <c r="C2021" s="29" t="s">
        <v>146</v>
      </c>
      <c r="D2021" s="29" t="s">
        <v>11139</v>
      </c>
      <c r="E2021" s="29" t="s">
        <v>11140</v>
      </c>
      <c r="F2021" s="30" t="s">
        <v>11141</v>
      </c>
      <c r="G2021" s="30" t="s">
        <v>11142</v>
      </c>
      <c r="H2021" s="43" t="s">
        <v>11143</v>
      </c>
      <c r="I2021" s="29" t="s">
        <v>127</v>
      </c>
      <c r="J2021" s="31">
        <v>37.0</v>
      </c>
      <c r="K2021" s="44"/>
      <c r="L2021" s="44"/>
      <c r="M2021" s="44"/>
      <c r="N2021" s="44"/>
      <c r="O2021" s="44"/>
      <c r="P2021" s="44"/>
      <c r="Q2021" s="44"/>
      <c r="R2021" s="44"/>
      <c r="S2021" s="37">
        <f>IF(B2021="","",IF(ISNUMBER(J2021),IF(J2021&lt;=10,'Configuración'!$B$23,IF(J2021&lt;=50,'Configuración'!$B$24,IF(J2021&lt;=200,'Configuración'!$B$25,0))),0))</f>
        <v>4</v>
      </c>
      <c r="T2021" s="37">
        <f>IF(B2021="","",IF(ISNUMBER(SEARCH("information technology",I2021))+ISNUMBER(SEARCH("software",I2021))+ISNUMBER(SEARCH("internet",I2021))+ISNUMBER(SEARCH("computer",I2021))+ISNUMBER(SEARCH("saas",I2021))+ISNUMBER(SEARCH("fintech",I2021))+ISNUMBER(SEARCH("information services",I2021))+ISNUMBER(SEARCH("telecommunications",I2021))&gt;0,'Configuración'!$B$27,'Configuración'!$B$28))</f>
        <v>12</v>
      </c>
      <c r="U2021" s="25">
        <f>IF(B2021="","",IF(ISNUMBER(SEARCH("CEO",C2021))+ISNUMBER(SEARCH("Founder",C2021))+ISNUMBER(SEARCH("Owner",C2021))+ISNUMBER(SEARCH("Dueño",C2021))+ISNUMBER(SEARCH("Director General",C2021))+ISNUMBER(SEARCH("Presidente",C2021))+ISNUMBER(SEARCH("President",C2021))&gt;0,'Configuración'!$B$31,IF(ISNUMBER(SEARCH("CMO",C2021))+ISNUMBER(SEARCH("Chief Marketing",C2021))+ISNUMBER(SEARCH("VP Marketing",C2021))+ISNUMBER(SEARCH("Director de Marketing",C2021))+ISNUMBER(SEARCH("Director Marketing",C2021))+ISNUMBER(SEARCH("Head of Marketing",C2021))+ISNUMBER(SEARCH("Head Marketing",C2021))&gt;0,'Configuración'!$B$32,IF(ISNUMBER(SEARCH("Marketing Manager",C2021))+ISNUMBER(SEARCH("Gerente de Marketing",C2021))+ISNUMBER(SEARCH("Growth Manager",C2021))+ISNUMBER(SEARCH("Demand Gen",C2021))+ISNUMBER(SEARCH("Marketing Lead",C2021))&gt;0,'Configuración'!$B$33,IF(ISNUMBER(SEARCH("COO",C2021))+ISNUMBER(SEARCH("CFO",C2021))+ISNUMBER(SEARCH("CTO",C2021))+ISNUMBER(SEARCH("Chief Operating",C2021))+ISNUMBER(SEARCH("Chief Financial",C2021))+ISNUMBER(SEARCH("Gerente General",C2021))+ISNUMBER(SEARCH("General Manager",C2021))&gt;0,'Configuración'!$B$34,'Configuración'!$B$35)))))</f>
        <v>0</v>
      </c>
      <c r="V2021" s="20"/>
      <c r="W2021" s="20"/>
    </row>
    <row r="2022" ht="15.75" customHeight="1">
      <c r="A2022" s="34"/>
      <c r="B2022" s="29" t="s">
        <v>2199</v>
      </c>
      <c r="C2022" s="29" t="s">
        <v>146</v>
      </c>
      <c r="D2022" s="29" t="s">
        <v>11144</v>
      </c>
      <c r="E2022" s="29" t="s">
        <v>11145</v>
      </c>
      <c r="F2022" s="30" t="s">
        <v>11146</v>
      </c>
      <c r="G2022" s="30" t="s">
        <v>11147</v>
      </c>
      <c r="H2022" s="43" t="s">
        <v>11148</v>
      </c>
      <c r="I2022" s="29" t="s">
        <v>127</v>
      </c>
      <c r="J2022" s="31">
        <v>6.0</v>
      </c>
      <c r="K2022" s="44"/>
      <c r="L2022" s="44"/>
      <c r="M2022" s="44"/>
      <c r="N2022" s="44"/>
      <c r="O2022" s="44"/>
      <c r="P2022" s="44"/>
      <c r="Q2022" s="44"/>
      <c r="R2022" s="44"/>
      <c r="S2022" s="37">
        <f>IF(B2022="","",IF(ISNUMBER(J2022),IF(J2022&lt;=10,'Configuración'!$B$23,IF(J2022&lt;=50,'Configuración'!$B$24,IF(J2022&lt;=200,'Configuración'!$B$25,0))),0))</f>
        <v>12</v>
      </c>
      <c r="T2022" s="37">
        <f>IF(B2022="","",IF(ISNUMBER(SEARCH("information technology",I2022))+ISNUMBER(SEARCH("software",I2022))+ISNUMBER(SEARCH("internet",I2022))+ISNUMBER(SEARCH("computer",I2022))+ISNUMBER(SEARCH("saas",I2022))+ISNUMBER(SEARCH("fintech",I2022))+ISNUMBER(SEARCH("information services",I2022))+ISNUMBER(SEARCH("telecommunications",I2022))&gt;0,'Configuración'!$B$27,'Configuración'!$B$28))</f>
        <v>12</v>
      </c>
      <c r="U2022" s="25">
        <f>IF(B2022="","",IF(ISNUMBER(SEARCH("CEO",C2022))+ISNUMBER(SEARCH("Founder",C2022))+ISNUMBER(SEARCH("Owner",C2022))+ISNUMBER(SEARCH("Dueño",C2022))+ISNUMBER(SEARCH("Director General",C2022))+ISNUMBER(SEARCH("Presidente",C2022))+ISNUMBER(SEARCH("President",C2022))&gt;0,'Configuración'!$B$31,IF(ISNUMBER(SEARCH("CMO",C2022))+ISNUMBER(SEARCH("Chief Marketing",C2022))+ISNUMBER(SEARCH("VP Marketing",C2022))+ISNUMBER(SEARCH("Director de Marketing",C2022))+ISNUMBER(SEARCH("Director Marketing",C2022))+ISNUMBER(SEARCH("Head of Marketing",C2022))+ISNUMBER(SEARCH("Head Marketing",C2022))&gt;0,'Configuración'!$B$32,IF(ISNUMBER(SEARCH("Marketing Manager",C2022))+ISNUMBER(SEARCH("Gerente de Marketing",C2022))+ISNUMBER(SEARCH("Growth Manager",C2022))+ISNUMBER(SEARCH("Demand Gen",C2022))+ISNUMBER(SEARCH("Marketing Lead",C2022))&gt;0,'Configuración'!$B$33,IF(ISNUMBER(SEARCH("COO",C2022))+ISNUMBER(SEARCH("CFO",C2022))+ISNUMBER(SEARCH("CTO",C2022))+ISNUMBER(SEARCH("Chief Operating",C2022))+ISNUMBER(SEARCH("Chief Financial",C2022))+ISNUMBER(SEARCH("Gerente General",C2022))+ISNUMBER(SEARCH("General Manager",C2022))&gt;0,'Configuración'!$B$34,'Configuración'!$B$35)))))</f>
        <v>0</v>
      </c>
      <c r="V2022" s="20"/>
      <c r="W2022" s="20"/>
    </row>
    <row r="2023" ht="15.75" customHeight="1">
      <c r="A2023" s="34"/>
      <c r="B2023" s="29" t="s">
        <v>603</v>
      </c>
      <c r="C2023" s="29" t="s">
        <v>146</v>
      </c>
      <c r="D2023" s="29" t="s">
        <v>10950</v>
      </c>
      <c r="E2023" s="29" t="s">
        <v>11149</v>
      </c>
      <c r="F2023" s="30" t="s">
        <v>11150</v>
      </c>
      <c r="G2023" s="30" t="s">
        <v>10953</v>
      </c>
      <c r="H2023" s="43" t="s">
        <v>10954</v>
      </c>
      <c r="I2023" s="29" t="s">
        <v>127</v>
      </c>
      <c r="J2023" s="31">
        <v>16.0</v>
      </c>
      <c r="K2023" s="44"/>
      <c r="L2023" s="44"/>
      <c r="M2023" s="44"/>
      <c r="N2023" s="44"/>
      <c r="O2023" s="44"/>
      <c r="P2023" s="44"/>
      <c r="Q2023" s="44"/>
      <c r="R2023" s="44"/>
      <c r="S2023" s="37">
        <f>IF(B2023="","",IF(ISNUMBER(J2023),IF(J2023&lt;=10,'Configuración'!$B$23,IF(J2023&lt;=50,'Configuración'!$B$24,IF(J2023&lt;=200,'Configuración'!$B$25,0))),0))</f>
        <v>4</v>
      </c>
      <c r="T2023" s="37">
        <f>IF(B2023="","",IF(ISNUMBER(SEARCH("information technology",I2023))+ISNUMBER(SEARCH("software",I2023))+ISNUMBER(SEARCH("internet",I2023))+ISNUMBER(SEARCH("computer",I2023))+ISNUMBER(SEARCH("saas",I2023))+ISNUMBER(SEARCH("fintech",I2023))+ISNUMBER(SEARCH("information services",I2023))+ISNUMBER(SEARCH("telecommunications",I2023))&gt;0,'Configuración'!$B$27,'Configuración'!$B$28))</f>
        <v>12</v>
      </c>
      <c r="U2023" s="25">
        <f>IF(B2023="","",IF(ISNUMBER(SEARCH("CEO",C2023))+ISNUMBER(SEARCH("Founder",C2023))+ISNUMBER(SEARCH("Owner",C2023))+ISNUMBER(SEARCH("Dueño",C2023))+ISNUMBER(SEARCH("Director General",C2023))+ISNUMBER(SEARCH("Presidente",C2023))+ISNUMBER(SEARCH("President",C2023))&gt;0,'Configuración'!$B$31,IF(ISNUMBER(SEARCH("CMO",C2023))+ISNUMBER(SEARCH("Chief Marketing",C2023))+ISNUMBER(SEARCH("VP Marketing",C2023))+ISNUMBER(SEARCH("Director de Marketing",C2023))+ISNUMBER(SEARCH("Director Marketing",C2023))+ISNUMBER(SEARCH("Head of Marketing",C2023))+ISNUMBER(SEARCH("Head Marketing",C2023))&gt;0,'Configuración'!$B$32,IF(ISNUMBER(SEARCH("Marketing Manager",C2023))+ISNUMBER(SEARCH("Gerente de Marketing",C2023))+ISNUMBER(SEARCH("Growth Manager",C2023))+ISNUMBER(SEARCH("Demand Gen",C2023))+ISNUMBER(SEARCH("Marketing Lead",C2023))&gt;0,'Configuración'!$B$33,IF(ISNUMBER(SEARCH("COO",C2023))+ISNUMBER(SEARCH("CFO",C2023))+ISNUMBER(SEARCH("CTO",C2023))+ISNUMBER(SEARCH("Chief Operating",C2023))+ISNUMBER(SEARCH("Chief Financial",C2023))+ISNUMBER(SEARCH("Gerente General",C2023))+ISNUMBER(SEARCH("General Manager",C2023))&gt;0,'Configuración'!$B$34,'Configuración'!$B$35)))))</f>
        <v>0</v>
      </c>
      <c r="V2023" s="20"/>
      <c r="W2023" s="20"/>
    </row>
    <row r="2024" ht="15.75" customHeight="1">
      <c r="A2024" s="34"/>
      <c r="B2024" s="29" t="s">
        <v>174</v>
      </c>
      <c r="C2024" s="29" t="s">
        <v>131</v>
      </c>
      <c r="D2024" s="29" t="s">
        <v>11151</v>
      </c>
      <c r="E2024" s="29" t="s">
        <v>11152</v>
      </c>
      <c r="F2024" s="30" t="s">
        <v>11153</v>
      </c>
      <c r="G2024" s="30" t="s">
        <v>11154</v>
      </c>
      <c r="H2024" s="43" t="s">
        <v>11155</v>
      </c>
      <c r="I2024" s="29" t="s">
        <v>1042</v>
      </c>
      <c r="J2024" s="31">
        <v>11.0</v>
      </c>
      <c r="K2024" s="44"/>
      <c r="L2024" s="44"/>
      <c r="M2024" s="44"/>
      <c r="N2024" s="44"/>
      <c r="O2024" s="44"/>
      <c r="P2024" s="44"/>
      <c r="Q2024" s="44"/>
      <c r="R2024" s="44"/>
      <c r="S2024" s="37">
        <f>IF(B2024="","",IF(ISNUMBER(J2024),IF(J2024&lt;=10,'Configuración'!$B$23,IF(J2024&lt;=50,'Configuración'!$B$24,IF(J2024&lt;=200,'Configuración'!$B$25,0))),0))</f>
        <v>4</v>
      </c>
      <c r="T2024" s="37">
        <f>IF(B2024="","",IF(ISNUMBER(SEARCH("information technology",I2024))+ISNUMBER(SEARCH("software",I2024))+ISNUMBER(SEARCH("internet",I2024))+ISNUMBER(SEARCH("computer",I2024))+ISNUMBER(SEARCH("saas",I2024))+ISNUMBER(SEARCH("fintech",I2024))+ISNUMBER(SEARCH("information services",I2024))+ISNUMBER(SEARCH("telecommunications",I2024))&gt;0,'Configuración'!$B$27,'Configuración'!$B$28))</f>
        <v>4</v>
      </c>
      <c r="U2024" s="25">
        <f>IF(B2024="","",IF(ISNUMBER(SEARCH("CEO",C2024))+ISNUMBER(SEARCH("Founder",C2024))+ISNUMBER(SEARCH("Owner",C2024))+ISNUMBER(SEARCH("Dueño",C2024))+ISNUMBER(SEARCH("Director General",C2024))+ISNUMBER(SEARCH("Presidente",C2024))+ISNUMBER(SEARCH("President",C2024))&gt;0,'Configuración'!$B$31,IF(ISNUMBER(SEARCH("CMO",C2024))+ISNUMBER(SEARCH("Chief Marketing",C2024))+ISNUMBER(SEARCH("VP Marketing",C2024))+ISNUMBER(SEARCH("Director de Marketing",C2024))+ISNUMBER(SEARCH("Director Marketing",C2024))+ISNUMBER(SEARCH("Head of Marketing",C2024))+ISNUMBER(SEARCH("Head Marketing",C2024))&gt;0,'Configuración'!$B$32,IF(ISNUMBER(SEARCH("Marketing Manager",C2024))+ISNUMBER(SEARCH("Gerente de Marketing",C2024))+ISNUMBER(SEARCH("Growth Manager",C2024))+ISNUMBER(SEARCH("Demand Gen",C2024))+ISNUMBER(SEARCH("Marketing Lead",C2024))&gt;0,'Configuración'!$B$33,IF(ISNUMBER(SEARCH("COO",C2024))+ISNUMBER(SEARCH("CFO",C2024))+ISNUMBER(SEARCH("CTO",C2024))+ISNUMBER(SEARCH("Chief Operating",C2024))+ISNUMBER(SEARCH("Chief Financial",C2024))+ISNUMBER(SEARCH("Gerente General",C2024))+ISNUMBER(SEARCH("General Manager",C2024))&gt;0,'Configuración'!$B$34,'Configuración'!$B$35)))))</f>
        <v>12</v>
      </c>
      <c r="V2024" s="20"/>
      <c r="W2024" s="20"/>
    </row>
    <row r="2025" ht="15.75" customHeight="1">
      <c r="A2025" s="34"/>
      <c r="B2025" s="29" t="s">
        <v>610</v>
      </c>
      <c r="C2025" s="29"/>
      <c r="D2025" s="29" t="s">
        <v>11156</v>
      </c>
      <c r="E2025" s="29" t="s">
        <v>11157</v>
      </c>
      <c r="F2025" s="30" t="s">
        <v>11158</v>
      </c>
      <c r="G2025" s="30" t="s">
        <v>11159</v>
      </c>
      <c r="H2025" s="43" t="s">
        <v>11160</v>
      </c>
      <c r="I2025" s="29" t="s">
        <v>4186</v>
      </c>
      <c r="J2025" s="31">
        <v>46.0</v>
      </c>
      <c r="K2025" s="44"/>
      <c r="L2025" s="44"/>
      <c r="M2025" s="44"/>
      <c r="N2025" s="44"/>
      <c r="O2025" s="44"/>
      <c r="P2025" s="44"/>
      <c r="Q2025" s="44"/>
      <c r="R2025" s="44"/>
      <c r="S2025" s="37">
        <f>IF(B2025="","",IF(ISNUMBER(J2025),IF(J2025&lt;=10,'Configuración'!$B$23,IF(J2025&lt;=50,'Configuración'!$B$24,IF(J2025&lt;=200,'Configuración'!$B$25,0))),0))</f>
        <v>4</v>
      </c>
      <c r="T2025" s="37">
        <f>IF(B2025="","",IF(ISNUMBER(SEARCH("information technology",I2025))+ISNUMBER(SEARCH("software",I2025))+ISNUMBER(SEARCH("internet",I2025))+ISNUMBER(SEARCH("computer",I2025))+ISNUMBER(SEARCH("saas",I2025))+ISNUMBER(SEARCH("fintech",I2025))+ISNUMBER(SEARCH("information services",I2025))+ISNUMBER(SEARCH("telecommunications",I2025))&gt;0,'Configuración'!$B$27,'Configuración'!$B$28))</f>
        <v>12</v>
      </c>
      <c r="U2025" s="25">
        <f>IF(B2025="","",IF(ISNUMBER(SEARCH("CEO",C2025))+ISNUMBER(SEARCH("Founder",C2025))+ISNUMBER(SEARCH("Owner",C2025))+ISNUMBER(SEARCH("Dueño",C2025))+ISNUMBER(SEARCH("Director General",C2025))+ISNUMBER(SEARCH("Presidente",C2025))+ISNUMBER(SEARCH("President",C2025))&gt;0,'Configuración'!$B$31,IF(ISNUMBER(SEARCH("CMO",C2025))+ISNUMBER(SEARCH("Chief Marketing",C2025))+ISNUMBER(SEARCH("VP Marketing",C2025))+ISNUMBER(SEARCH("Director de Marketing",C2025))+ISNUMBER(SEARCH("Director Marketing",C2025))+ISNUMBER(SEARCH("Head of Marketing",C2025))+ISNUMBER(SEARCH("Head Marketing",C2025))&gt;0,'Configuración'!$B$32,IF(ISNUMBER(SEARCH("Marketing Manager",C2025))+ISNUMBER(SEARCH("Gerente de Marketing",C2025))+ISNUMBER(SEARCH("Growth Manager",C2025))+ISNUMBER(SEARCH("Demand Gen",C2025))+ISNUMBER(SEARCH("Marketing Lead",C2025))&gt;0,'Configuración'!$B$33,IF(ISNUMBER(SEARCH("COO",C2025))+ISNUMBER(SEARCH("CFO",C2025))+ISNUMBER(SEARCH("CTO",C2025))+ISNUMBER(SEARCH("Chief Operating",C2025))+ISNUMBER(SEARCH("Chief Financial",C2025))+ISNUMBER(SEARCH("Gerente General",C2025))+ISNUMBER(SEARCH("General Manager",C2025))&gt;0,'Configuración'!$B$34,'Configuración'!$B$35)))))</f>
        <v>0</v>
      </c>
      <c r="V2025" s="20"/>
      <c r="W2025" s="20"/>
    </row>
    <row r="2026" ht="15.75" customHeight="1">
      <c r="A2026" s="34"/>
      <c r="B2026" s="29" t="s">
        <v>1927</v>
      </c>
      <c r="C2026" s="29" t="s">
        <v>11161</v>
      </c>
      <c r="D2026" s="29" t="s">
        <v>11162</v>
      </c>
      <c r="E2026" s="29" t="s">
        <v>11163</v>
      </c>
      <c r="F2026" s="30" t="s">
        <v>11164</v>
      </c>
      <c r="G2026" s="30" t="s">
        <v>11165</v>
      </c>
      <c r="H2026" s="43" t="s">
        <v>11166</v>
      </c>
      <c r="I2026" s="29" t="s">
        <v>127</v>
      </c>
      <c r="J2026" s="31">
        <v>5.0</v>
      </c>
      <c r="K2026" s="44"/>
      <c r="L2026" s="44"/>
      <c r="M2026" s="44"/>
      <c r="N2026" s="44"/>
      <c r="O2026" s="44"/>
      <c r="P2026" s="44"/>
      <c r="Q2026" s="44"/>
      <c r="R2026" s="44"/>
      <c r="S2026" s="37">
        <f>IF(B2026="","",IF(ISNUMBER(J2026),IF(J2026&lt;=10,'Configuración'!$B$23,IF(J2026&lt;=50,'Configuración'!$B$24,IF(J2026&lt;=200,'Configuración'!$B$25,0))),0))</f>
        <v>12</v>
      </c>
      <c r="T2026" s="37">
        <f>IF(B2026="","",IF(ISNUMBER(SEARCH("information technology",I2026))+ISNUMBER(SEARCH("software",I2026))+ISNUMBER(SEARCH("internet",I2026))+ISNUMBER(SEARCH("computer",I2026))+ISNUMBER(SEARCH("saas",I2026))+ISNUMBER(SEARCH("fintech",I2026))+ISNUMBER(SEARCH("information services",I2026))+ISNUMBER(SEARCH("telecommunications",I2026))&gt;0,'Configuración'!$B$27,'Configuración'!$B$28))</f>
        <v>12</v>
      </c>
      <c r="U2026" s="25">
        <f>IF(B2026="","",IF(ISNUMBER(SEARCH("CEO",C2026))+ISNUMBER(SEARCH("Founder",C2026))+ISNUMBER(SEARCH("Owner",C2026))+ISNUMBER(SEARCH("Dueño",C2026))+ISNUMBER(SEARCH("Director General",C2026))+ISNUMBER(SEARCH("Presidente",C2026))+ISNUMBER(SEARCH("President",C2026))&gt;0,'Configuración'!$B$31,IF(ISNUMBER(SEARCH("CMO",C2026))+ISNUMBER(SEARCH("Chief Marketing",C2026))+ISNUMBER(SEARCH("VP Marketing",C2026))+ISNUMBER(SEARCH("Director de Marketing",C2026))+ISNUMBER(SEARCH("Director Marketing",C2026))+ISNUMBER(SEARCH("Head of Marketing",C2026))+ISNUMBER(SEARCH("Head Marketing",C2026))&gt;0,'Configuración'!$B$32,IF(ISNUMBER(SEARCH("Marketing Manager",C2026))+ISNUMBER(SEARCH("Gerente de Marketing",C2026))+ISNUMBER(SEARCH("Growth Manager",C2026))+ISNUMBER(SEARCH("Demand Gen",C2026))+ISNUMBER(SEARCH("Marketing Lead",C2026))&gt;0,'Configuración'!$B$33,IF(ISNUMBER(SEARCH("COO",C2026))+ISNUMBER(SEARCH("CFO",C2026))+ISNUMBER(SEARCH("CTO",C2026))+ISNUMBER(SEARCH("Chief Operating",C2026))+ISNUMBER(SEARCH("Chief Financial",C2026))+ISNUMBER(SEARCH("Gerente General",C2026))+ISNUMBER(SEARCH("General Manager",C2026))&gt;0,'Configuración'!$B$34,'Configuración'!$B$35)))))</f>
        <v>12</v>
      </c>
      <c r="V2026" s="20"/>
      <c r="W2026" s="20"/>
    </row>
    <row r="2027" ht="15.75" customHeight="1">
      <c r="A2027" s="34"/>
      <c r="B2027" s="29" t="s">
        <v>223</v>
      </c>
      <c r="C2027" s="29" t="s">
        <v>719</v>
      </c>
      <c r="D2027" s="29" t="s">
        <v>11167</v>
      </c>
      <c r="E2027" s="29" t="s">
        <v>11168</v>
      </c>
      <c r="F2027" s="30" t="s">
        <v>11169</v>
      </c>
      <c r="G2027" s="30" t="s">
        <v>11170</v>
      </c>
      <c r="H2027" s="43" t="s">
        <v>11171</v>
      </c>
      <c r="I2027" s="29" t="s">
        <v>127</v>
      </c>
      <c r="J2027" s="31">
        <v>16.0</v>
      </c>
      <c r="K2027" s="44"/>
      <c r="L2027" s="44"/>
      <c r="M2027" s="44"/>
      <c r="N2027" s="44"/>
      <c r="O2027" s="44"/>
      <c r="P2027" s="44"/>
      <c r="Q2027" s="44"/>
      <c r="R2027" s="44"/>
      <c r="S2027" s="37">
        <f>IF(B2027="","",IF(ISNUMBER(J2027),IF(J2027&lt;=10,'Configuración'!$B$23,IF(J2027&lt;=50,'Configuración'!$B$24,IF(J2027&lt;=200,'Configuración'!$B$25,0))),0))</f>
        <v>4</v>
      </c>
      <c r="T2027" s="37">
        <f>IF(B2027="","",IF(ISNUMBER(SEARCH("information technology",I2027))+ISNUMBER(SEARCH("software",I2027))+ISNUMBER(SEARCH("internet",I2027))+ISNUMBER(SEARCH("computer",I2027))+ISNUMBER(SEARCH("saas",I2027))+ISNUMBER(SEARCH("fintech",I2027))+ISNUMBER(SEARCH("information services",I2027))+ISNUMBER(SEARCH("telecommunications",I2027))&gt;0,'Configuración'!$B$27,'Configuración'!$B$28))</f>
        <v>12</v>
      </c>
      <c r="U2027" s="25">
        <f>IF(B2027="","",IF(ISNUMBER(SEARCH("CEO",C2027))+ISNUMBER(SEARCH("Founder",C2027))+ISNUMBER(SEARCH("Owner",C2027))+ISNUMBER(SEARCH("Dueño",C2027))+ISNUMBER(SEARCH("Director General",C2027))+ISNUMBER(SEARCH("Presidente",C2027))+ISNUMBER(SEARCH("President",C2027))&gt;0,'Configuración'!$B$31,IF(ISNUMBER(SEARCH("CMO",C2027))+ISNUMBER(SEARCH("Chief Marketing",C2027))+ISNUMBER(SEARCH("VP Marketing",C2027))+ISNUMBER(SEARCH("Director de Marketing",C2027))+ISNUMBER(SEARCH("Director Marketing",C2027))+ISNUMBER(SEARCH("Head of Marketing",C2027))+ISNUMBER(SEARCH("Head Marketing",C2027))&gt;0,'Configuración'!$B$32,IF(ISNUMBER(SEARCH("Marketing Manager",C2027))+ISNUMBER(SEARCH("Gerente de Marketing",C2027))+ISNUMBER(SEARCH("Growth Manager",C2027))+ISNUMBER(SEARCH("Demand Gen",C2027))+ISNUMBER(SEARCH("Marketing Lead",C2027))&gt;0,'Configuración'!$B$33,IF(ISNUMBER(SEARCH("COO",C2027))+ISNUMBER(SEARCH("CFO",C2027))+ISNUMBER(SEARCH("CTO",C2027))+ISNUMBER(SEARCH("Chief Operating",C2027))+ISNUMBER(SEARCH("Chief Financial",C2027))+ISNUMBER(SEARCH("Gerente General",C2027))+ISNUMBER(SEARCH("General Manager",C2027))&gt;0,'Configuración'!$B$34,'Configuración'!$B$35)))))</f>
        <v>12</v>
      </c>
      <c r="V2027" s="20"/>
      <c r="W2027" s="20"/>
    </row>
    <row r="2028" ht="15.75" customHeight="1">
      <c r="A2028" s="34"/>
      <c r="B2028" s="29" t="s">
        <v>223</v>
      </c>
      <c r="C2028" s="29" t="s">
        <v>175</v>
      </c>
      <c r="D2028" s="29" t="s">
        <v>11172</v>
      </c>
      <c r="E2028" s="29" t="s">
        <v>11173</v>
      </c>
      <c r="F2028" s="30" t="s">
        <v>11174</v>
      </c>
      <c r="G2028" s="30" t="s">
        <v>11175</v>
      </c>
      <c r="H2028" s="43" t="s">
        <v>11176</v>
      </c>
      <c r="I2028" s="29" t="s">
        <v>1446</v>
      </c>
      <c r="J2028" s="31">
        <v>2.0</v>
      </c>
      <c r="K2028" s="44"/>
      <c r="L2028" s="44"/>
      <c r="M2028" s="44"/>
      <c r="N2028" s="44"/>
      <c r="O2028" s="44"/>
      <c r="P2028" s="44"/>
      <c r="Q2028" s="44"/>
      <c r="R2028" s="44"/>
      <c r="S2028" s="37">
        <f>IF(B2028="","",IF(ISNUMBER(J2028),IF(J2028&lt;=10,'Configuración'!$B$23,IF(J2028&lt;=50,'Configuración'!$B$24,IF(J2028&lt;=200,'Configuración'!$B$25,0))),0))</f>
        <v>12</v>
      </c>
      <c r="T2028" s="37">
        <f>IF(B2028="","",IF(ISNUMBER(SEARCH("information technology",I2028))+ISNUMBER(SEARCH("software",I2028))+ISNUMBER(SEARCH("internet",I2028))+ISNUMBER(SEARCH("computer",I2028))+ISNUMBER(SEARCH("saas",I2028))+ISNUMBER(SEARCH("fintech",I2028))+ISNUMBER(SEARCH("information services",I2028))+ISNUMBER(SEARCH("telecommunications",I2028))&gt;0,'Configuración'!$B$27,'Configuración'!$B$28))</f>
        <v>4</v>
      </c>
      <c r="U2028" s="25">
        <f>IF(B2028="","",IF(ISNUMBER(SEARCH("CEO",C2028))+ISNUMBER(SEARCH("Founder",C2028))+ISNUMBER(SEARCH("Owner",C2028))+ISNUMBER(SEARCH("Dueño",C2028))+ISNUMBER(SEARCH("Director General",C2028))+ISNUMBER(SEARCH("Presidente",C2028))+ISNUMBER(SEARCH("President",C2028))&gt;0,'Configuración'!$B$31,IF(ISNUMBER(SEARCH("CMO",C2028))+ISNUMBER(SEARCH("Chief Marketing",C2028))+ISNUMBER(SEARCH("VP Marketing",C2028))+ISNUMBER(SEARCH("Director de Marketing",C2028))+ISNUMBER(SEARCH("Director Marketing",C2028))+ISNUMBER(SEARCH("Head of Marketing",C2028))+ISNUMBER(SEARCH("Head Marketing",C2028))&gt;0,'Configuración'!$B$32,IF(ISNUMBER(SEARCH("Marketing Manager",C2028))+ISNUMBER(SEARCH("Gerente de Marketing",C2028))+ISNUMBER(SEARCH("Growth Manager",C2028))+ISNUMBER(SEARCH("Demand Gen",C2028))+ISNUMBER(SEARCH("Marketing Lead",C2028))&gt;0,'Configuración'!$B$33,IF(ISNUMBER(SEARCH("COO",C2028))+ISNUMBER(SEARCH("CFO",C2028))+ISNUMBER(SEARCH("CTO",C2028))+ISNUMBER(SEARCH("Chief Operating",C2028))+ISNUMBER(SEARCH("Chief Financial",C2028))+ISNUMBER(SEARCH("Gerente General",C2028))+ISNUMBER(SEARCH("General Manager",C2028))&gt;0,'Configuración'!$B$34,'Configuración'!$B$35)))))</f>
        <v>12</v>
      </c>
      <c r="V2028" s="20"/>
      <c r="W2028" s="20"/>
    </row>
    <row r="2029" ht="15.75" customHeight="1">
      <c r="A2029" s="34"/>
      <c r="B2029" s="29" t="s">
        <v>501</v>
      </c>
      <c r="C2029" s="29" t="s">
        <v>131</v>
      </c>
      <c r="D2029" s="29" t="s">
        <v>11177</v>
      </c>
      <c r="E2029" s="29" t="s">
        <v>11178</v>
      </c>
      <c r="F2029" s="30" t="s">
        <v>11179</v>
      </c>
      <c r="G2029" s="30" t="s">
        <v>11180</v>
      </c>
      <c r="H2029" s="43" t="s">
        <v>11181</v>
      </c>
      <c r="I2029" s="29" t="s">
        <v>188</v>
      </c>
      <c r="J2029" s="31">
        <v>2.0</v>
      </c>
      <c r="K2029" s="44"/>
      <c r="L2029" s="44"/>
      <c r="M2029" s="44"/>
      <c r="N2029" s="44"/>
      <c r="O2029" s="44"/>
      <c r="P2029" s="44"/>
      <c r="Q2029" s="44"/>
      <c r="R2029" s="44"/>
      <c r="S2029" s="37">
        <f>IF(B2029="","",IF(ISNUMBER(J2029),IF(J2029&lt;=10,'Configuración'!$B$23,IF(J2029&lt;=50,'Configuración'!$B$24,IF(J2029&lt;=200,'Configuración'!$B$25,0))),0))</f>
        <v>12</v>
      </c>
      <c r="T2029" s="37">
        <f>IF(B2029="","",IF(ISNUMBER(SEARCH("information technology",I2029))+ISNUMBER(SEARCH("software",I2029))+ISNUMBER(SEARCH("internet",I2029))+ISNUMBER(SEARCH("computer",I2029))+ISNUMBER(SEARCH("saas",I2029))+ISNUMBER(SEARCH("fintech",I2029))+ISNUMBER(SEARCH("information services",I2029))+ISNUMBER(SEARCH("telecommunications",I2029))&gt;0,'Configuración'!$B$27,'Configuración'!$B$28))</f>
        <v>4</v>
      </c>
      <c r="U2029" s="25">
        <f>IF(B2029="","",IF(ISNUMBER(SEARCH("CEO",C2029))+ISNUMBER(SEARCH("Founder",C2029))+ISNUMBER(SEARCH("Owner",C2029))+ISNUMBER(SEARCH("Dueño",C2029))+ISNUMBER(SEARCH("Director General",C2029))+ISNUMBER(SEARCH("Presidente",C2029))+ISNUMBER(SEARCH("President",C2029))&gt;0,'Configuración'!$B$31,IF(ISNUMBER(SEARCH("CMO",C2029))+ISNUMBER(SEARCH("Chief Marketing",C2029))+ISNUMBER(SEARCH("VP Marketing",C2029))+ISNUMBER(SEARCH("Director de Marketing",C2029))+ISNUMBER(SEARCH("Director Marketing",C2029))+ISNUMBER(SEARCH("Head of Marketing",C2029))+ISNUMBER(SEARCH("Head Marketing",C2029))&gt;0,'Configuración'!$B$32,IF(ISNUMBER(SEARCH("Marketing Manager",C2029))+ISNUMBER(SEARCH("Gerente de Marketing",C2029))+ISNUMBER(SEARCH("Growth Manager",C2029))+ISNUMBER(SEARCH("Demand Gen",C2029))+ISNUMBER(SEARCH("Marketing Lead",C2029))&gt;0,'Configuración'!$B$33,IF(ISNUMBER(SEARCH("COO",C2029))+ISNUMBER(SEARCH("CFO",C2029))+ISNUMBER(SEARCH("CTO",C2029))+ISNUMBER(SEARCH("Chief Operating",C2029))+ISNUMBER(SEARCH("Chief Financial",C2029))+ISNUMBER(SEARCH("Gerente General",C2029))+ISNUMBER(SEARCH("General Manager",C2029))&gt;0,'Configuración'!$B$34,'Configuración'!$B$35)))))</f>
        <v>12</v>
      </c>
      <c r="V2029" s="20"/>
      <c r="W2029" s="20"/>
    </row>
    <row r="2030" ht="15.75" customHeight="1">
      <c r="A2030" s="34"/>
      <c r="B2030" s="29" t="s">
        <v>11182</v>
      </c>
      <c r="C2030" s="29" t="s">
        <v>175</v>
      </c>
      <c r="D2030" s="29" t="s">
        <v>11183</v>
      </c>
      <c r="E2030" s="29" t="s">
        <v>11184</v>
      </c>
      <c r="F2030" s="30" t="s">
        <v>11185</v>
      </c>
      <c r="G2030" s="30" t="s">
        <v>11186</v>
      </c>
      <c r="H2030" s="43" t="s">
        <v>11187</v>
      </c>
      <c r="I2030" s="29" t="s">
        <v>188</v>
      </c>
      <c r="J2030" s="31">
        <v>1.0</v>
      </c>
      <c r="K2030" s="44"/>
      <c r="L2030" s="44"/>
      <c r="M2030" s="44"/>
      <c r="N2030" s="44"/>
      <c r="O2030" s="44"/>
      <c r="P2030" s="44"/>
      <c r="Q2030" s="44"/>
      <c r="R2030" s="44"/>
      <c r="S2030" s="37">
        <f>IF(B2030="","",IF(ISNUMBER(J2030),IF(J2030&lt;=10,'Configuración'!$B$23,IF(J2030&lt;=50,'Configuración'!$B$24,IF(J2030&lt;=200,'Configuración'!$B$25,0))),0))</f>
        <v>12</v>
      </c>
      <c r="T2030" s="37">
        <f>IF(B2030="","",IF(ISNUMBER(SEARCH("information technology",I2030))+ISNUMBER(SEARCH("software",I2030))+ISNUMBER(SEARCH("internet",I2030))+ISNUMBER(SEARCH("computer",I2030))+ISNUMBER(SEARCH("saas",I2030))+ISNUMBER(SEARCH("fintech",I2030))+ISNUMBER(SEARCH("information services",I2030))+ISNUMBER(SEARCH("telecommunications",I2030))&gt;0,'Configuración'!$B$27,'Configuración'!$B$28))</f>
        <v>4</v>
      </c>
      <c r="U2030" s="25">
        <f>IF(B2030="","",IF(ISNUMBER(SEARCH("CEO",C2030))+ISNUMBER(SEARCH("Founder",C2030))+ISNUMBER(SEARCH("Owner",C2030))+ISNUMBER(SEARCH("Dueño",C2030))+ISNUMBER(SEARCH("Director General",C2030))+ISNUMBER(SEARCH("Presidente",C2030))+ISNUMBER(SEARCH("President",C2030))&gt;0,'Configuración'!$B$31,IF(ISNUMBER(SEARCH("CMO",C2030))+ISNUMBER(SEARCH("Chief Marketing",C2030))+ISNUMBER(SEARCH("VP Marketing",C2030))+ISNUMBER(SEARCH("Director de Marketing",C2030))+ISNUMBER(SEARCH("Director Marketing",C2030))+ISNUMBER(SEARCH("Head of Marketing",C2030))+ISNUMBER(SEARCH("Head Marketing",C2030))&gt;0,'Configuración'!$B$32,IF(ISNUMBER(SEARCH("Marketing Manager",C2030))+ISNUMBER(SEARCH("Gerente de Marketing",C2030))+ISNUMBER(SEARCH("Growth Manager",C2030))+ISNUMBER(SEARCH("Demand Gen",C2030))+ISNUMBER(SEARCH("Marketing Lead",C2030))&gt;0,'Configuración'!$B$33,IF(ISNUMBER(SEARCH("COO",C2030))+ISNUMBER(SEARCH("CFO",C2030))+ISNUMBER(SEARCH("CTO",C2030))+ISNUMBER(SEARCH("Chief Operating",C2030))+ISNUMBER(SEARCH("Chief Financial",C2030))+ISNUMBER(SEARCH("Gerente General",C2030))+ISNUMBER(SEARCH("General Manager",C2030))&gt;0,'Configuración'!$B$34,'Configuración'!$B$35)))))</f>
        <v>12</v>
      </c>
      <c r="V2030" s="20"/>
      <c r="W2030" s="20"/>
    </row>
    <row r="2031" ht="15.75" customHeight="1">
      <c r="A2031" s="34"/>
      <c r="B2031" s="29" t="s">
        <v>181</v>
      </c>
      <c r="C2031" s="29" t="s">
        <v>11188</v>
      </c>
      <c r="D2031" s="29" t="s">
        <v>11189</v>
      </c>
      <c r="E2031" s="29" t="s">
        <v>11190</v>
      </c>
      <c r="F2031" s="30" t="s">
        <v>11191</v>
      </c>
      <c r="G2031" s="30" t="s">
        <v>11192</v>
      </c>
      <c r="H2031" s="43" t="s">
        <v>11193</v>
      </c>
      <c r="I2031" s="29" t="s">
        <v>188</v>
      </c>
      <c r="J2031" s="31">
        <v>2.0</v>
      </c>
      <c r="K2031" s="44"/>
      <c r="L2031" s="44"/>
      <c r="M2031" s="44"/>
      <c r="N2031" s="44"/>
      <c r="O2031" s="44"/>
      <c r="P2031" s="44"/>
      <c r="Q2031" s="44"/>
      <c r="R2031" s="44"/>
      <c r="S2031" s="37">
        <f>IF(B2031="","",IF(ISNUMBER(J2031),IF(J2031&lt;=10,'Configuración'!$B$23,IF(J2031&lt;=50,'Configuración'!$B$24,IF(J2031&lt;=200,'Configuración'!$B$25,0))),0))</f>
        <v>12</v>
      </c>
      <c r="T2031" s="37">
        <f>IF(B2031="","",IF(ISNUMBER(SEARCH("information technology",I2031))+ISNUMBER(SEARCH("software",I2031))+ISNUMBER(SEARCH("internet",I2031))+ISNUMBER(SEARCH("computer",I2031))+ISNUMBER(SEARCH("saas",I2031))+ISNUMBER(SEARCH("fintech",I2031))+ISNUMBER(SEARCH("information services",I2031))+ISNUMBER(SEARCH("telecommunications",I2031))&gt;0,'Configuración'!$B$27,'Configuración'!$B$28))</f>
        <v>4</v>
      </c>
      <c r="U2031" s="25">
        <f>IF(B2031="","",IF(ISNUMBER(SEARCH("CEO",C2031))+ISNUMBER(SEARCH("Founder",C2031))+ISNUMBER(SEARCH("Owner",C2031))+ISNUMBER(SEARCH("Dueño",C2031))+ISNUMBER(SEARCH("Director General",C2031))+ISNUMBER(SEARCH("Presidente",C2031))+ISNUMBER(SEARCH("President",C2031))&gt;0,'Configuración'!$B$31,IF(ISNUMBER(SEARCH("CMO",C2031))+ISNUMBER(SEARCH("Chief Marketing",C2031))+ISNUMBER(SEARCH("VP Marketing",C2031))+ISNUMBER(SEARCH("Director de Marketing",C2031))+ISNUMBER(SEARCH("Director Marketing",C2031))+ISNUMBER(SEARCH("Head of Marketing",C2031))+ISNUMBER(SEARCH("Head Marketing",C2031))&gt;0,'Configuración'!$B$32,IF(ISNUMBER(SEARCH("Marketing Manager",C2031))+ISNUMBER(SEARCH("Gerente de Marketing",C2031))+ISNUMBER(SEARCH("Growth Manager",C2031))+ISNUMBER(SEARCH("Demand Gen",C2031))+ISNUMBER(SEARCH("Marketing Lead",C2031))&gt;0,'Configuración'!$B$33,IF(ISNUMBER(SEARCH("COO",C2031))+ISNUMBER(SEARCH("CFO",C2031))+ISNUMBER(SEARCH("CTO",C2031))+ISNUMBER(SEARCH("Chief Operating",C2031))+ISNUMBER(SEARCH("Chief Financial",C2031))+ISNUMBER(SEARCH("Gerente General",C2031))+ISNUMBER(SEARCH("General Manager",C2031))&gt;0,'Configuración'!$B$34,'Configuración'!$B$35)))))</f>
        <v>12</v>
      </c>
      <c r="V2031" s="20"/>
      <c r="W2031" s="20"/>
    </row>
    <row r="2032" ht="15.75" customHeight="1">
      <c r="A2032" s="34"/>
      <c r="B2032" s="29" t="s">
        <v>7468</v>
      </c>
      <c r="C2032" s="29" t="s">
        <v>597</v>
      </c>
      <c r="D2032" s="29" t="s">
        <v>11194</v>
      </c>
      <c r="E2032" s="29" t="s">
        <v>11195</v>
      </c>
      <c r="F2032" s="30" t="s">
        <v>11196</v>
      </c>
      <c r="G2032" s="30" t="s">
        <v>11197</v>
      </c>
      <c r="H2032" s="43" t="s">
        <v>11198</v>
      </c>
      <c r="I2032" s="29" t="s">
        <v>659</v>
      </c>
      <c r="J2032" s="31">
        <v>2.0</v>
      </c>
      <c r="K2032" s="44"/>
      <c r="L2032" s="44"/>
      <c r="M2032" s="44"/>
      <c r="N2032" s="44"/>
      <c r="O2032" s="44"/>
      <c r="P2032" s="44"/>
      <c r="Q2032" s="44"/>
      <c r="R2032" s="44"/>
      <c r="S2032" s="37">
        <f>IF(B2032="","",IF(ISNUMBER(J2032),IF(J2032&lt;=10,'Configuración'!$B$23,IF(J2032&lt;=50,'Configuración'!$B$24,IF(J2032&lt;=200,'Configuración'!$B$25,0))),0))</f>
        <v>12</v>
      </c>
      <c r="T2032" s="37">
        <f>IF(B2032="","",IF(ISNUMBER(SEARCH("information technology",I2032))+ISNUMBER(SEARCH("software",I2032))+ISNUMBER(SEARCH("internet",I2032))+ISNUMBER(SEARCH("computer",I2032))+ISNUMBER(SEARCH("saas",I2032))+ISNUMBER(SEARCH("fintech",I2032))+ISNUMBER(SEARCH("information services",I2032))+ISNUMBER(SEARCH("telecommunications",I2032))&gt;0,'Configuración'!$B$27,'Configuración'!$B$28))</f>
        <v>4</v>
      </c>
      <c r="U2032" s="25">
        <f>IF(B2032="","",IF(ISNUMBER(SEARCH("CEO",C2032))+ISNUMBER(SEARCH("Founder",C2032))+ISNUMBER(SEARCH("Owner",C2032))+ISNUMBER(SEARCH("Dueño",C2032))+ISNUMBER(SEARCH("Director General",C2032))+ISNUMBER(SEARCH("Presidente",C2032))+ISNUMBER(SEARCH("President",C2032))&gt;0,'Configuración'!$B$31,IF(ISNUMBER(SEARCH("CMO",C2032))+ISNUMBER(SEARCH("Chief Marketing",C2032))+ISNUMBER(SEARCH("VP Marketing",C2032))+ISNUMBER(SEARCH("Director de Marketing",C2032))+ISNUMBER(SEARCH("Director Marketing",C2032))+ISNUMBER(SEARCH("Head of Marketing",C2032))+ISNUMBER(SEARCH("Head Marketing",C2032))&gt;0,'Configuración'!$B$32,IF(ISNUMBER(SEARCH("Marketing Manager",C2032))+ISNUMBER(SEARCH("Gerente de Marketing",C2032))+ISNUMBER(SEARCH("Growth Manager",C2032))+ISNUMBER(SEARCH("Demand Gen",C2032))+ISNUMBER(SEARCH("Marketing Lead",C2032))&gt;0,'Configuración'!$B$33,IF(ISNUMBER(SEARCH("COO",C2032))+ISNUMBER(SEARCH("CFO",C2032))+ISNUMBER(SEARCH("CTO",C2032))+ISNUMBER(SEARCH("Chief Operating",C2032))+ISNUMBER(SEARCH("Chief Financial",C2032))+ISNUMBER(SEARCH("Gerente General",C2032))+ISNUMBER(SEARCH("General Manager",C2032))&gt;0,'Configuración'!$B$34,'Configuración'!$B$35)))))</f>
        <v>12</v>
      </c>
      <c r="V2032" s="20"/>
      <c r="W2032" s="20"/>
    </row>
    <row r="2033" ht="15.75" customHeight="1">
      <c r="A2033" s="34"/>
      <c r="B2033" s="29" t="s">
        <v>1028</v>
      </c>
      <c r="C2033" s="29" t="s">
        <v>622</v>
      </c>
      <c r="D2033" s="29" t="s">
        <v>11199</v>
      </c>
      <c r="E2033" s="29" t="s">
        <v>11200</v>
      </c>
      <c r="F2033" s="30" t="s">
        <v>11201</v>
      </c>
      <c r="G2033" s="30" t="s">
        <v>11202</v>
      </c>
      <c r="H2033" s="43" t="s">
        <v>11203</v>
      </c>
      <c r="I2033" s="29" t="s">
        <v>127</v>
      </c>
      <c r="J2033" s="31">
        <v>8.0</v>
      </c>
      <c r="K2033" s="44"/>
      <c r="L2033" s="44"/>
      <c r="M2033" s="44"/>
      <c r="N2033" s="44"/>
      <c r="O2033" s="44"/>
      <c r="P2033" s="44"/>
      <c r="Q2033" s="44"/>
      <c r="R2033" s="44"/>
      <c r="S2033" s="37">
        <f>IF(B2033="","",IF(ISNUMBER(J2033),IF(J2033&lt;=10,'Configuración'!$B$23,IF(J2033&lt;=50,'Configuración'!$B$24,IF(J2033&lt;=200,'Configuración'!$B$25,0))),0))</f>
        <v>12</v>
      </c>
      <c r="T2033" s="37">
        <f>IF(B2033="","",IF(ISNUMBER(SEARCH("information technology",I2033))+ISNUMBER(SEARCH("software",I2033))+ISNUMBER(SEARCH("internet",I2033))+ISNUMBER(SEARCH("computer",I2033))+ISNUMBER(SEARCH("saas",I2033))+ISNUMBER(SEARCH("fintech",I2033))+ISNUMBER(SEARCH("information services",I2033))+ISNUMBER(SEARCH("telecommunications",I2033))&gt;0,'Configuración'!$B$27,'Configuración'!$B$28))</f>
        <v>12</v>
      </c>
      <c r="U2033" s="25">
        <f>IF(B2033="","",IF(ISNUMBER(SEARCH("CEO",C2033))+ISNUMBER(SEARCH("Founder",C2033))+ISNUMBER(SEARCH("Owner",C2033))+ISNUMBER(SEARCH("Dueño",C2033))+ISNUMBER(SEARCH("Director General",C2033))+ISNUMBER(SEARCH("Presidente",C2033))+ISNUMBER(SEARCH("President",C2033))&gt;0,'Configuración'!$B$31,IF(ISNUMBER(SEARCH("CMO",C2033))+ISNUMBER(SEARCH("Chief Marketing",C2033))+ISNUMBER(SEARCH("VP Marketing",C2033))+ISNUMBER(SEARCH("Director de Marketing",C2033))+ISNUMBER(SEARCH("Director Marketing",C2033))+ISNUMBER(SEARCH("Head of Marketing",C2033))+ISNUMBER(SEARCH("Head Marketing",C2033))&gt;0,'Configuración'!$B$32,IF(ISNUMBER(SEARCH("Marketing Manager",C2033))+ISNUMBER(SEARCH("Gerente de Marketing",C2033))+ISNUMBER(SEARCH("Growth Manager",C2033))+ISNUMBER(SEARCH("Demand Gen",C2033))+ISNUMBER(SEARCH("Marketing Lead",C2033))&gt;0,'Configuración'!$B$33,IF(ISNUMBER(SEARCH("COO",C2033))+ISNUMBER(SEARCH("CFO",C2033))+ISNUMBER(SEARCH("CTO",C2033))+ISNUMBER(SEARCH("Chief Operating",C2033))+ISNUMBER(SEARCH("Chief Financial",C2033))+ISNUMBER(SEARCH("Gerente General",C2033))+ISNUMBER(SEARCH("General Manager",C2033))&gt;0,'Configuración'!$B$34,'Configuración'!$B$35)))))</f>
        <v>12</v>
      </c>
      <c r="V2033" s="20"/>
      <c r="W2033" s="20"/>
    </row>
    <row r="2034" ht="15.75" customHeight="1">
      <c r="A2034" s="34"/>
      <c r="B2034" s="29" t="s">
        <v>223</v>
      </c>
      <c r="C2034" s="29" t="s">
        <v>131</v>
      </c>
      <c r="D2034" s="29" t="s">
        <v>11204</v>
      </c>
      <c r="E2034" s="29" t="s">
        <v>11205</v>
      </c>
      <c r="F2034" s="30" t="s">
        <v>11206</v>
      </c>
      <c r="G2034" s="30" t="s">
        <v>11207</v>
      </c>
      <c r="H2034" s="43" t="s">
        <v>11208</v>
      </c>
      <c r="I2034" s="29" t="s">
        <v>350</v>
      </c>
      <c r="J2034" s="31">
        <v>4.0</v>
      </c>
      <c r="K2034" s="44"/>
      <c r="L2034" s="44"/>
      <c r="M2034" s="44"/>
      <c r="N2034" s="44"/>
      <c r="O2034" s="44"/>
      <c r="P2034" s="44"/>
      <c r="Q2034" s="44"/>
      <c r="R2034" s="44"/>
      <c r="S2034" s="37">
        <f>IF(B2034="","",IF(ISNUMBER(J2034),IF(J2034&lt;=10,'Configuración'!$B$23,IF(J2034&lt;=50,'Configuración'!$B$24,IF(J2034&lt;=200,'Configuración'!$B$25,0))),0))</f>
        <v>12</v>
      </c>
      <c r="T2034" s="37">
        <f>IF(B2034="","",IF(ISNUMBER(SEARCH("information technology",I2034))+ISNUMBER(SEARCH("software",I2034))+ISNUMBER(SEARCH("internet",I2034))+ISNUMBER(SEARCH("computer",I2034))+ISNUMBER(SEARCH("saas",I2034))+ISNUMBER(SEARCH("fintech",I2034))+ISNUMBER(SEARCH("information services",I2034))+ISNUMBER(SEARCH("telecommunications",I2034))&gt;0,'Configuración'!$B$27,'Configuración'!$B$28))</f>
        <v>4</v>
      </c>
      <c r="U2034" s="25">
        <f>IF(B2034="","",IF(ISNUMBER(SEARCH("CEO",C2034))+ISNUMBER(SEARCH("Founder",C2034))+ISNUMBER(SEARCH("Owner",C2034))+ISNUMBER(SEARCH("Dueño",C2034))+ISNUMBER(SEARCH("Director General",C2034))+ISNUMBER(SEARCH("Presidente",C2034))+ISNUMBER(SEARCH("President",C2034))&gt;0,'Configuración'!$B$31,IF(ISNUMBER(SEARCH("CMO",C2034))+ISNUMBER(SEARCH("Chief Marketing",C2034))+ISNUMBER(SEARCH("VP Marketing",C2034))+ISNUMBER(SEARCH("Director de Marketing",C2034))+ISNUMBER(SEARCH("Director Marketing",C2034))+ISNUMBER(SEARCH("Head of Marketing",C2034))+ISNUMBER(SEARCH("Head Marketing",C2034))&gt;0,'Configuración'!$B$32,IF(ISNUMBER(SEARCH("Marketing Manager",C2034))+ISNUMBER(SEARCH("Gerente de Marketing",C2034))+ISNUMBER(SEARCH("Growth Manager",C2034))+ISNUMBER(SEARCH("Demand Gen",C2034))+ISNUMBER(SEARCH("Marketing Lead",C2034))&gt;0,'Configuración'!$B$33,IF(ISNUMBER(SEARCH("COO",C2034))+ISNUMBER(SEARCH("CFO",C2034))+ISNUMBER(SEARCH("CTO",C2034))+ISNUMBER(SEARCH("Chief Operating",C2034))+ISNUMBER(SEARCH("Chief Financial",C2034))+ISNUMBER(SEARCH("Gerente General",C2034))+ISNUMBER(SEARCH("General Manager",C2034))&gt;0,'Configuración'!$B$34,'Configuración'!$B$35)))))</f>
        <v>12</v>
      </c>
      <c r="V2034" s="20"/>
      <c r="W2034" s="20"/>
    </row>
    <row r="2035" ht="15.75" customHeight="1">
      <c r="A2035" s="34"/>
      <c r="B2035" s="29" t="s">
        <v>223</v>
      </c>
      <c r="C2035" s="29" t="s">
        <v>175</v>
      </c>
      <c r="D2035" s="29" t="s">
        <v>11209</v>
      </c>
      <c r="E2035" s="29" t="s">
        <v>11210</v>
      </c>
      <c r="F2035" s="30" t="s">
        <v>11211</v>
      </c>
      <c r="G2035" s="30" t="s">
        <v>11212</v>
      </c>
      <c r="H2035" s="43" t="s">
        <v>11213</v>
      </c>
      <c r="I2035" s="29" t="s">
        <v>1393</v>
      </c>
      <c r="J2035" s="31">
        <v>4.0</v>
      </c>
      <c r="K2035" s="44"/>
      <c r="L2035" s="44"/>
      <c r="M2035" s="44"/>
      <c r="N2035" s="44"/>
      <c r="O2035" s="44"/>
      <c r="P2035" s="44"/>
      <c r="Q2035" s="44"/>
      <c r="R2035" s="44"/>
      <c r="S2035" s="37">
        <f>IF(B2035="","",IF(ISNUMBER(J2035),IF(J2035&lt;=10,'Configuración'!$B$23,IF(J2035&lt;=50,'Configuración'!$B$24,IF(J2035&lt;=200,'Configuración'!$B$25,0))),0))</f>
        <v>12</v>
      </c>
      <c r="T2035" s="37">
        <f>IF(B2035="","",IF(ISNUMBER(SEARCH("information technology",I2035))+ISNUMBER(SEARCH("software",I2035))+ISNUMBER(SEARCH("internet",I2035))+ISNUMBER(SEARCH("computer",I2035))+ISNUMBER(SEARCH("saas",I2035))+ISNUMBER(SEARCH("fintech",I2035))+ISNUMBER(SEARCH("information services",I2035))+ISNUMBER(SEARCH("telecommunications",I2035))&gt;0,'Configuración'!$B$27,'Configuración'!$B$28))</f>
        <v>4</v>
      </c>
      <c r="U2035" s="25">
        <f>IF(B2035="","",IF(ISNUMBER(SEARCH("CEO",C2035))+ISNUMBER(SEARCH("Founder",C2035))+ISNUMBER(SEARCH("Owner",C2035))+ISNUMBER(SEARCH("Dueño",C2035))+ISNUMBER(SEARCH("Director General",C2035))+ISNUMBER(SEARCH("Presidente",C2035))+ISNUMBER(SEARCH("President",C2035))&gt;0,'Configuración'!$B$31,IF(ISNUMBER(SEARCH("CMO",C2035))+ISNUMBER(SEARCH("Chief Marketing",C2035))+ISNUMBER(SEARCH("VP Marketing",C2035))+ISNUMBER(SEARCH("Director de Marketing",C2035))+ISNUMBER(SEARCH("Director Marketing",C2035))+ISNUMBER(SEARCH("Head of Marketing",C2035))+ISNUMBER(SEARCH("Head Marketing",C2035))&gt;0,'Configuración'!$B$32,IF(ISNUMBER(SEARCH("Marketing Manager",C2035))+ISNUMBER(SEARCH("Gerente de Marketing",C2035))+ISNUMBER(SEARCH("Growth Manager",C2035))+ISNUMBER(SEARCH("Demand Gen",C2035))+ISNUMBER(SEARCH("Marketing Lead",C2035))&gt;0,'Configuración'!$B$33,IF(ISNUMBER(SEARCH("COO",C2035))+ISNUMBER(SEARCH("CFO",C2035))+ISNUMBER(SEARCH("CTO",C2035))+ISNUMBER(SEARCH("Chief Operating",C2035))+ISNUMBER(SEARCH("Chief Financial",C2035))+ISNUMBER(SEARCH("Gerente General",C2035))+ISNUMBER(SEARCH("General Manager",C2035))&gt;0,'Configuración'!$B$34,'Configuración'!$B$35)))))</f>
        <v>12</v>
      </c>
      <c r="V2035" s="20"/>
      <c r="W2035" s="20"/>
    </row>
    <row r="2036" ht="15.75" customHeight="1">
      <c r="A2036" s="34"/>
      <c r="B2036" s="29" t="s">
        <v>629</v>
      </c>
      <c r="C2036" s="29" t="s">
        <v>2334</v>
      </c>
      <c r="D2036" s="29" t="s">
        <v>11214</v>
      </c>
      <c r="E2036" s="29" t="s">
        <v>11215</v>
      </c>
      <c r="F2036" s="30" t="s">
        <v>11216</v>
      </c>
      <c r="G2036" s="30" t="s">
        <v>11217</v>
      </c>
      <c r="H2036" s="43" t="s">
        <v>11218</v>
      </c>
      <c r="I2036" s="29" t="s">
        <v>127</v>
      </c>
      <c r="J2036" s="31">
        <v>4.0</v>
      </c>
      <c r="K2036" s="44"/>
      <c r="L2036" s="44"/>
      <c r="M2036" s="44"/>
      <c r="N2036" s="44"/>
      <c r="O2036" s="44"/>
      <c r="P2036" s="44"/>
      <c r="Q2036" s="44"/>
      <c r="R2036" s="44"/>
      <c r="S2036" s="37">
        <f>IF(B2036="","",IF(ISNUMBER(J2036),IF(J2036&lt;=10,'Configuración'!$B$23,IF(J2036&lt;=50,'Configuración'!$B$24,IF(J2036&lt;=200,'Configuración'!$B$25,0))),0))</f>
        <v>12</v>
      </c>
      <c r="T2036" s="37">
        <f>IF(B2036="","",IF(ISNUMBER(SEARCH("information technology",I2036))+ISNUMBER(SEARCH("software",I2036))+ISNUMBER(SEARCH("internet",I2036))+ISNUMBER(SEARCH("computer",I2036))+ISNUMBER(SEARCH("saas",I2036))+ISNUMBER(SEARCH("fintech",I2036))+ISNUMBER(SEARCH("information services",I2036))+ISNUMBER(SEARCH("telecommunications",I2036))&gt;0,'Configuración'!$B$27,'Configuración'!$B$28))</f>
        <v>12</v>
      </c>
      <c r="U2036" s="25">
        <f>IF(B2036="","",IF(ISNUMBER(SEARCH("CEO",C2036))+ISNUMBER(SEARCH("Founder",C2036))+ISNUMBER(SEARCH("Owner",C2036))+ISNUMBER(SEARCH("Dueño",C2036))+ISNUMBER(SEARCH("Director General",C2036))+ISNUMBER(SEARCH("Presidente",C2036))+ISNUMBER(SEARCH("President",C2036))&gt;0,'Configuración'!$B$31,IF(ISNUMBER(SEARCH("CMO",C2036))+ISNUMBER(SEARCH("Chief Marketing",C2036))+ISNUMBER(SEARCH("VP Marketing",C2036))+ISNUMBER(SEARCH("Director de Marketing",C2036))+ISNUMBER(SEARCH("Director Marketing",C2036))+ISNUMBER(SEARCH("Head of Marketing",C2036))+ISNUMBER(SEARCH("Head Marketing",C2036))&gt;0,'Configuración'!$B$32,IF(ISNUMBER(SEARCH("Marketing Manager",C2036))+ISNUMBER(SEARCH("Gerente de Marketing",C2036))+ISNUMBER(SEARCH("Growth Manager",C2036))+ISNUMBER(SEARCH("Demand Gen",C2036))+ISNUMBER(SEARCH("Marketing Lead",C2036))&gt;0,'Configuración'!$B$33,IF(ISNUMBER(SEARCH("COO",C2036))+ISNUMBER(SEARCH("CFO",C2036))+ISNUMBER(SEARCH("CTO",C2036))+ISNUMBER(SEARCH("Chief Operating",C2036))+ISNUMBER(SEARCH("Chief Financial",C2036))+ISNUMBER(SEARCH("Gerente General",C2036))+ISNUMBER(SEARCH("General Manager",C2036))&gt;0,'Configuración'!$B$34,'Configuración'!$B$35)))))</f>
        <v>12</v>
      </c>
      <c r="V2036" s="20"/>
      <c r="W2036" s="20"/>
    </row>
    <row r="2037" ht="15.75" customHeight="1">
      <c r="A2037" s="34"/>
      <c r="B2037" s="29" t="s">
        <v>324</v>
      </c>
      <c r="C2037" s="29" t="s">
        <v>121</v>
      </c>
      <c r="D2037" s="29" t="s">
        <v>7937</v>
      </c>
      <c r="E2037" s="29" t="s">
        <v>11219</v>
      </c>
      <c r="F2037" s="30" t="s">
        <v>11220</v>
      </c>
      <c r="G2037" s="30" t="s">
        <v>7940</v>
      </c>
      <c r="H2037" s="43" t="s">
        <v>7941</v>
      </c>
      <c r="I2037" s="29" t="s">
        <v>127</v>
      </c>
      <c r="J2037" s="31">
        <v>19.0</v>
      </c>
      <c r="K2037" s="44"/>
      <c r="L2037" s="44"/>
      <c r="M2037" s="44"/>
      <c r="N2037" s="44"/>
      <c r="O2037" s="44"/>
      <c r="P2037" s="44"/>
      <c r="Q2037" s="44"/>
      <c r="R2037" s="44"/>
      <c r="S2037" s="37">
        <f>IF(B2037="","",IF(ISNUMBER(J2037),IF(J2037&lt;=10,'Configuración'!$B$23,IF(J2037&lt;=50,'Configuración'!$B$24,IF(J2037&lt;=200,'Configuración'!$B$25,0))),0))</f>
        <v>4</v>
      </c>
      <c r="T2037" s="37">
        <f>IF(B2037="","",IF(ISNUMBER(SEARCH("information technology",I2037))+ISNUMBER(SEARCH("software",I2037))+ISNUMBER(SEARCH("internet",I2037))+ISNUMBER(SEARCH("computer",I2037))+ISNUMBER(SEARCH("saas",I2037))+ISNUMBER(SEARCH("fintech",I2037))+ISNUMBER(SEARCH("information services",I2037))+ISNUMBER(SEARCH("telecommunications",I2037))&gt;0,'Configuración'!$B$27,'Configuración'!$B$28))</f>
        <v>12</v>
      </c>
      <c r="U2037" s="25">
        <f>IF(B2037="","",IF(ISNUMBER(SEARCH("CEO",C2037))+ISNUMBER(SEARCH("Founder",C2037))+ISNUMBER(SEARCH("Owner",C2037))+ISNUMBER(SEARCH("Dueño",C2037))+ISNUMBER(SEARCH("Director General",C2037))+ISNUMBER(SEARCH("Presidente",C2037))+ISNUMBER(SEARCH("President",C2037))&gt;0,'Configuración'!$B$31,IF(ISNUMBER(SEARCH("CMO",C2037))+ISNUMBER(SEARCH("Chief Marketing",C2037))+ISNUMBER(SEARCH("VP Marketing",C2037))+ISNUMBER(SEARCH("Director de Marketing",C2037))+ISNUMBER(SEARCH("Director Marketing",C2037))+ISNUMBER(SEARCH("Head of Marketing",C2037))+ISNUMBER(SEARCH("Head Marketing",C2037))&gt;0,'Configuración'!$B$32,IF(ISNUMBER(SEARCH("Marketing Manager",C2037))+ISNUMBER(SEARCH("Gerente de Marketing",C2037))+ISNUMBER(SEARCH("Growth Manager",C2037))+ISNUMBER(SEARCH("Demand Gen",C2037))+ISNUMBER(SEARCH("Marketing Lead",C2037))&gt;0,'Configuración'!$B$33,IF(ISNUMBER(SEARCH("COO",C2037))+ISNUMBER(SEARCH("CFO",C2037))+ISNUMBER(SEARCH("CTO",C2037))+ISNUMBER(SEARCH("Chief Operating",C2037))+ISNUMBER(SEARCH("Chief Financial",C2037))+ISNUMBER(SEARCH("Gerente General",C2037))+ISNUMBER(SEARCH("General Manager",C2037))&gt;0,'Configuración'!$B$34,'Configuración'!$B$35)))))</f>
        <v>12</v>
      </c>
      <c r="V2037" s="20"/>
      <c r="W2037" s="20"/>
    </row>
    <row r="2038" ht="15.75" customHeight="1">
      <c r="A2038" s="34"/>
      <c r="B2038" s="29" t="s">
        <v>324</v>
      </c>
      <c r="C2038" s="29" t="s">
        <v>2129</v>
      </c>
      <c r="D2038" s="29" t="s">
        <v>10655</v>
      </c>
      <c r="E2038" s="29" t="s">
        <v>11221</v>
      </c>
      <c r="F2038" s="30" t="s">
        <v>11222</v>
      </c>
      <c r="G2038" s="30" t="s">
        <v>10658</v>
      </c>
      <c r="H2038" s="43" t="s">
        <v>10659</v>
      </c>
      <c r="I2038" s="29" t="s">
        <v>127</v>
      </c>
      <c r="J2038" s="31">
        <v>10.0</v>
      </c>
      <c r="K2038" s="44"/>
      <c r="L2038" s="44"/>
      <c r="M2038" s="44"/>
      <c r="N2038" s="44"/>
      <c r="O2038" s="44"/>
      <c r="P2038" s="44"/>
      <c r="Q2038" s="44"/>
      <c r="R2038" s="44"/>
      <c r="S2038" s="37">
        <f>IF(B2038="","",IF(ISNUMBER(J2038),IF(J2038&lt;=10,'Configuración'!$B$23,IF(J2038&lt;=50,'Configuración'!$B$24,IF(J2038&lt;=200,'Configuración'!$B$25,0))),0))</f>
        <v>12</v>
      </c>
      <c r="T2038" s="37">
        <f>IF(B2038="","",IF(ISNUMBER(SEARCH("information technology",I2038))+ISNUMBER(SEARCH("software",I2038))+ISNUMBER(SEARCH("internet",I2038))+ISNUMBER(SEARCH("computer",I2038))+ISNUMBER(SEARCH("saas",I2038))+ISNUMBER(SEARCH("fintech",I2038))+ISNUMBER(SEARCH("information services",I2038))+ISNUMBER(SEARCH("telecommunications",I2038))&gt;0,'Configuración'!$B$27,'Configuración'!$B$28))</f>
        <v>12</v>
      </c>
      <c r="U2038" s="25">
        <f>IF(B2038="","",IF(ISNUMBER(SEARCH("CEO",C2038))+ISNUMBER(SEARCH("Founder",C2038))+ISNUMBER(SEARCH("Owner",C2038))+ISNUMBER(SEARCH("Dueño",C2038))+ISNUMBER(SEARCH("Director General",C2038))+ISNUMBER(SEARCH("Presidente",C2038))+ISNUMBER(SEARCH("President",C2038))&gt;0,'Configuración'!$B$31,IF(ISNUMBER(SEARCH("CMO",C2038))+ISNUMBER(SEARCH("Chief Marketing",C2038))+ISNUMBER(SEARCH("VP Marketing",C2038))+ISNUMBER(SEARCH("Director de Marketing",C2038))+ISNUMBER(SEARCH("Director Marketing",C2038))+ISNUMBER(SEARCH("Head of Marketing",C2038))+ISNUMBER(SEARCH("Head Marketing",C2038))&gt;0,'Configuración'!$B$32,IF(ISNUMBER(SEARCH("Marketing Manager",C2038))+ISNUMBER(SEARCH("Gerente de Marketing",C2038))+ISNUMBER(SEARCH("Growth Manager",C2038))+ISNUMBER(SEARCH("Demand Gen",C2038))+ISNUMBER(SEARCH("Marketing Lead",C2038))&gt;0,'Configuración'!$B$33,IF(ISNUMBER(SEARCH("COO",C2038))+ISNUMBER(SEARCH("CFO",C2038))+ISNUMBER(SEARCH("CTO",C2038))+ISNUMBER(SEARCH("Chief Operating",C2038))+ISNUMBER(SEARCH("Chief Financial",C2038))+ISNUMBER(SEARCH("Gerente General",C2038))+ISNUMBER(SEARCH("General Manager",C2038))&gt;0,'Configuración'!$B$34,'Configuración'!$B$35)))))</f>
        <v>12</v>
      </c>
      <c r="V2038" s="20"/>
      <c r="W2038" s="20"/>
    </row>
    <row r="2039" ht="15.75" customHeight="1">
      <c r="A2039" s="34"/>
      <c r="B2039" s="29" t="s">
        <v>4584</v>
      </c>
      <c r="C2039" s="29" t="s">
        <v>6742</v>
      </c>
      <c r="D2039" s="29" t="s">
        <v>11223</v>
      </c>
      <c r="E2039" s="29" t="s">
        <v>11224</v>
      </c>
      <c r="F2039" s="30" t="s">
        <v>11225</v>
      </c>
      <c r="G2039" s="30" t="s">
        <v>11226</v>
      </c>
      <c r="H2039" s="43" t="s">
        <v>11227</v>
      </c>
      <c r="I2039" s="29" t="s">
        <v>188</v>
      </c>
      <c r="J2039" s="31">
        <v>7.0</v>
      </c>
      <c r="K2039" s="44"/>
      <c r="L2039" s="44"/>
      <c r="M2039" s="44"/>
      <c r="N2039" s="44"/>
      <c r="O2039" s="44"/>
      <c r="P2039" s="44"/>
      <c r="Q2039" s="44"/>
      <c r="R2039" s="44"/>
      <c r="S2039" s="37">
        <f>IF(B2039="","",IF(ISNUMBER(J2039),IF(J2039&lt;=10,'Configuración'!$B$23,IF(J2039&lt;=50,'Configuración'!$B$24,IF(J2039&lt;=200,'Configuración'!$B$25,0))),0))</f>
        <v>12</v>
      </c>
      <c r="T2039" s="37">
        <f>IF(B2039="","",IF(ISNUMBER(SEARCH("information technology",I2039))+ISNUMBER(SEARCH("software",I2039))+ISNUMBER(SEARCH("internet",I2039))+ISNUMBER(SEARCH("computer",I2039))+ISNUMBER(SEARCH("saas",I2039))+ISNUMBER(SEARCH("fintech",I2039))+ISNUMBER(SEARCH("information services",I2039))+ISNUMBER(SEARCH("telecommunications",I2039))&gt;0,'Configuración'!$B$27,'Configuración'!$B$28))</f>
        <v>4</v>
      </c>
      <c r="U2039" s="25">
        <f>IF(B2039="","",IF(ISNUMBER(SEARCH("CEO",C2039))+ISNUMBER(SEARCH("Founder",C2039))+ISNUMBER(SEARCH("Owner",C2039))+ISNUMBER(SEARCH("Dueño",C2039))+ISNUMBER(SEARCH("Director General",C2039))+ISNUMBER(SEARCH("Presidente",C2039))+ISNUMBER(SEARCH("President",C2039))&gt;0,'Configuración'!$B$31,IF(ISNUMBER(SEARCH("CMO",C2039))+ISNUMBER(SEARCH("Chief Marketing",C2039))+ISNUMBER(SEARCH("VP Marketing",C2039))+ISNUMBER(SEARCH("Director de Marketing",C2039))+ISNUMBER(SEARCH("Director Marketing",C2039))+ISNUMBER(SEARCH("Head of Marketing",C2039))+ISNUMBER(SEARCH("Head Marketing",C2039))&gt;0,'Configuración'!$B$32,IF(ISNUMBER(SEARCH("Marketing Manager",C2039))+ISNUMBER(SEARCH("Gerente de Marketing",C2039))+ISNUMBER(SEARCH("Growth Manager",C2039))+ISNUMBER(SEARCH("Demand Gen",C2039))+ISNUMBER(SEARCH("Marketing Lead",C2039))&gt;0,'Configuración'!$B$33,IF(ISNUMBER(SEARCH("COO",C2039))+ISNUMBER(SEARCH("CFO",C2039))+ISNUMBER(SEARCH("CTO",C2039))+ISNUMBER(SEARCH("Chief Operating",C2039))+ISNUMBER(SEARCH("Chief Financial",C2039))+ISNUMBER(SEARCH("Gerente General",C2039))+ISNUMBER(SEARCH("General Manager",C2039))&gt;0,'Configuración'!$B$34,'Configuración'!$B$35)))))</f>
        <v>12</v>
      </c>
      <c r="V2039" s="20"/>
      <c r="W2039" s="20"/>
    </row>
    <row r="2040" ht="15.75" customHeight="1">
      <c r="A2040" s="34"/>
      <c r="B2040" s="29" t="s">
        <v>629</v>
      </c>
      <c r="C2040" s="29" t="s">
        <v>11228</v>
      </c>
      <c r="D2040" s="29" t="s">
        <v>5282</v>
      </c>
      <c r="E2040" s="29" t="s">
        <v>11229</v>
      </c>
      <c r="F2040" s="30" t="s">
        <v>11230</v>
      </c>
      <c r="G2040" s="30" t="s">
        <v>5285</v>
      </c>
      <c r="H2040" s="43" t="s">
        <v>5286</v>
      </c>
      <c r="I2040" s="29" t="s">
        <v>116</v>
      </c>
      <c r="J2040" s="31">
        <v>50.0</v>
      </c>
      <c r="K2040" s="44"/>
      <c r="L2040" s="44"/>
      <c r="M2040" s="44"/>
      <c r="N2040" s="44"/>
      <c r="O2040" s="44"/>
      <c r="P2040" s="44"/>
      <c r="Q2040" s="44"/>
      <c r="R2040" s="44"/>
      <c r="S2040" s="37">
        <f>IF(B2040="","",IF(ISNUMBER(J2040),IF(J2040&lt;=10,'Configuración'!$B$23,IF(J2040&lt;=50,'Configuración'!$B$24,IF(J2040&lt;=200,'Configuración'!$B$25,0))),0))</f>
        <v>4</v>
      </c>
      <c r="T2040" s="37">
        <f>IF(B2040="","",IF(ISNUMBER(SEARCH("information technology",I2040))+ISNUMBER(SEARCH("software",I2040))+ISNUMBER(SEARCH("internet",I2040))+ISNUMBER(SEARCH("computer",I2040))+ISNUMBER(SEARCH("saas",I2040))+ISNUMBER(SEARCH("fintech",I2040))+ISNUMBER(SEARCH("information services",I2040))+ISNUMBER(SEARCH("telecommunications",I2040))&gt;0,'Configuración'!$B$27,'Configuración'!$B$28))</f>
        <v>4</v>
      </c>
      <c r="U2040" s="25">
        <f>IF(B2040="","",IF(ISNUMBER(SEARCH("CEO",C2040))+ISNUMBER(SEARCH("Founder",C2040))+ISNUMBER(SEARCH("Owner",C2040))+ISNUMBER(SEARCH("Dueño",C2040))+ISNUMBER(SEARCH("Director General",C2040))+ISNUMBER(SEARCH("Presidente",C2040))+ISNUMBER(SEARCH("President",C2040))&gt;0,'Configuración'!$B$31,IF(ISNUMBER(SEARCH("CMO",C2040))+ISNUMBER(SEARCH("Chief Marketing",C2040))+ISNUMBER(SEARCH("VP Marketing",C2040))+ISNUMBER(SEARCH("Director de Marketing",C2040))+ISNUMBER(SEARCH("Director Marketing",C2040))+ISNUMBER(SEARCH("Head of Marketing",C2040))+ISNUMBER(SEARCH("Head Marketing",C2040))&gt;0,'Configuración'!$B$32,IF(ISNUMBER(SEARCH("Marketing Manager",C2040))+ISNUMBER(SEARCH("Gerente de Marketing",C2040))+ISNUMBER(SEARCH("Growth Manager",C2040))+ISNUMBER(SEARCH("Demand Gen",C2040))+ISNUMBER(SEARCH("Marketing Lead",C2040))&gt;0,'Configuración'!$B$33,IF(ISNUMBER(SEARCH("COO",C2040))+ISNUMBER(SEARCH("CFO",C2040))+ISNUMBER(SEARCH("CTO",C2040))+ISNUMBER(SEARCH("Chief Operating",C2040))+ISNUMBER(SEARCH("Chief Financial",C2040))+ISNUMBER(SEARCH("Gerente General",C2040))+ISNUMBER(SEARCH("General Manager",C2040))&gt;0,'Configuración'!$B$34,'Configuración'!$B$35)))))</f>
        <v>12</v>
      </c>
      <c r="V2040" s="20"/>
      <c r="W2040" s="20"/>
    </row>
    <row r="2041" ht="15.75" customHeight="1">
      <c r="A2041" s="34"/>
      <c r="B2041" s="29" t="s">
        <v>1306</v>
      </c>
      <c r="C2041" s="29" t="s">
        <v>224</v>
      </c>
      <c r="D2041" s="29" t="s">
        <v>11109</v>
      </c>
      <c r="E2041" s="29" t="s">
        <v>11231</v>
      </c>
      <c r="F2041" s="30" t="s">
        <v>11232</v>
      </c>
      <c r="G2041" s="30" t="s">
        <v>11112</v>
      </c>
      <c r="H2041" s="43" t="s">
        <v>11113</v>
      </c>
      <c r="I2041" s="29" t="s">
        <v>188</v>
      </c>
      <c r="J2041" s="31">
        <v>13.0</v>
      </c>
      <c r="K2041" s="44"/>
      <c r="L2041" s="44"/>
      <c r="M2041" s="44"/>
      <c r="N2041" s="44"/>
      <c r="O2041" s="44"/>
      <c r="P2041" s="44"/>
      <c r="Q2041" s="44"/>
      <c r="R2041" s="44"/>
      <c r="S2041" s="37">
        <f>IF(B2041="","",IF(ISNUMBER(J2041),IF(J2041&lt;=10,'Configuración'!$B$23,IF(J2041&lt;=50,'Configuración'!$B$24,IF(J2041&lt;=200,'Configuración'!$B$25,0))),0))</f>
        <v>4</v>
      </c>
      <c r="T2041" s="37">
        <f>IF(B2041="","",IF(ISNUMBER(SEARCH("information technology",I2041))+ISNUMBER(SEARCH("software",I2041))+ISNUMBER(SEARCH("internet",I2041))+ISNUMBER(SEARCH("computer",I2041))+ISNUMBER(SEARCH("saas",I2041))+ISNUMBER(SEARCH("fintech",I2041))+ISNUMBER(SEARCH("information services",I2041))+ISNUMBER(SEARCH("telecommunications",I2041))&gt;0,'Configuración'!$B$27,'Configuración'!$B$28))</f>
        <v>4</v>
      </c>
      <c r="U2041" s="25">
        <f>IF(B2041="","",IF(ISNUMBER(SEARCH("CEO",C2041))+ISNUMBER(SEARCH("Founder",C2041))+ISNUMBER(SEARCH("Owner",C2041))+ISNUMBER(SEARCH("Dueño",C2041))+ISNUMBER(SEARCH("Director General",C2041))+ISNUMBER(SEARCH("Presidente",C2041))+ISNUMBER(SEARCH("President",C2041))&gt;0,'Configuración'!$B$31,IF(ISNUMBER(SEARCH("CMO",C2041))+ISNUMBER(SEARCH("Chief Marketing",C2041))+ISNUMBER(SEARCH("VP Marketing",C2041))+ISNUMBER(SEARCH("Director de Marketing",C2041))+ISNUMBER(SEARCH("Director Marketing",C2041))+ISNUMBER(SEARCH("Head of Marketing",C2041))+ISNUMBER(SEARCH("Head Marketing",C2041))&gt;0,'Configuración'!$B$32,IF(ISNUMBER(SEARCH("Marketing Manager",C2041))+ISNUMBER(SEARCH("Gerente de Marketing",C2041))+ISNUMBER(SEARCH("Growth Manager",C2041))+ISNUMBER(SEARCH("Demand Gen",C2041))+ISNUMBER(SEARCH("Marketing Lead",C2041))&gt;0,'Configuración'!$B$33,IF(ISNUMBER(SEARCH("COO",C2041))+ISNUMBER(SEARCH("CFO",C2041))+ISNUMBER(SEARCH("CTO",C2041))+ISNUMBER(SEARCH("Chief Operating",C2041))+ISNUMBER(SEARCH("Chief Financial",C2041))+ISNUMBER(SEARCH("Gerente General",C2041))+ISNUMBER(SEARCH("General Manager",C2041))&gt;0,'Configuración'!$B$34,'Configuración'!$B$35)))))</f>
        <v>12</v>
      </c>
      <c r="V2041" s="20"/>
      <c r="W2041" s="20"/>
    </row>
    <row r="2042" ht="15.75" customHeight="1">
      <c r="A2042" s="34"/>
      <c r="B2042" s="29" t="s">
        <v>166</v>
      </c>
      <c r="C2042" s="29" t="s">
        <v>368</v>
      </c>
      <c r="D2042" s="29" t="s">
        <v>11233</v>
      </c>
      <c r="E2042" s="29" t="s">
        <v>11234</v>
      </c>
      <c r="F2042" s="30" t="s">
        <v>11235</v>
      </c>
      <c r="G2042" s="30" t="s">
        <v>11236</v>
      </c>
      <c r="H2042" s="43" t="s">
        <v>11237</v>
      </c>
      <c r="I2042" s="29" t="s">
        <v>116</v>
      </c>
      <c r="J2042" s="31">
        <v>3.0</v>
      </c>
      <c r="K2042" s="44"/>
      <c r="L2042" s="44"/>
      <c r="M2042" s="44"/>
      <c r="N2042" s="44"/>
      <c r="O2042" s="44"/>
      <c r="P2042" s="44"/>
      <c r="Q2042" s="44"/>
      <c r="R2042" s="44"/>
      <c r="S2042" s="37">
        <f>IF(B2042="","",IF(ISNUMBER(J2042),IF(J2042&lt;=10,'Configuración'!$B$23,IF(J2042&lt;=50,'Configuración'!$B$24,IF(J2042&lt;=200,'Configuración'!$B$25,0))),0))</f>
        <v>12</v>
      </c>
      <c r="T2042" s="37">
        <f>IF(B2042="","",IF(ISNUMBER(SEARCH("information technology",I2042))+ISNUMBER(SEARCH("software",I2042))+ISNUMBER(SEARCH("internet",I2042))+ISNUMBER(SEARCH("computer",I2042))+ISNUMBER(SEARCH("saas",I2042))+ISNUMBER(SEARCH("fintech",I2042))+ISNUMBER(SEARCH("information services",I2042))+ISNUMBER(SEARCH("telecommunications",I2042))&gt;0,'Configuración'!$B$27,'Configuración'!$B$28))</f>
        <v>4</v>
      </c>
      <c r="U2042" s="25">
        <f>IF(B2042="","",IF(ISNUMBER(SEARCH("CEO",C2042))+ISNUMBER(SEARCH("Founder",C2042))+ISNUMBER(SEARCH("Owner",C2042))+ISNUMBER(SEARCH("Dueño",C2042))+ISNUMBER(SEARCH("Director General",C2042))+ISNUMBER(SEARCH("Presidente",C2042))+ISNUMBER(SEARCH("President",C2042))&gt;0,'Configuración'!$B$31,IF(ISNUMBER(SEARCH("CMO",C2042))+ISNUMBER(SEARCH("Chief Marketing",C2042))+ISNUMBER(SEARCH("VP Marketing",C2042))+ISNUMBER(SEARCH("Director de Marketing",C2042))+ISNUMBER(SEARCH("Director Marketing",C2042))+ISNUMBER(SEARCH("Head of Marketing",C2042))+ISNUMBER(SEARCH("Head Marketing",C2042))&gt;0,'Configuración'!$B$32,IF(ISNUMBER(SEARCH("Marketing Manager",C2042))+ISNUMBER(SEARCH("Gerente de Marketing",C2042))+ISNUMBER(SEARCH("Growth Manager",C2042))+ISNUMBER(SEARCH("Demand Gen",C2042))+ISNUMBER(SEARCH("Marketing Lead",C2042))&gt;0,'Configuración'!$B$33,IF(ISNUMBER(SEARCH("COO",C2042))+ISNUMBER(SEARCH("CFO",C2042))+ISNUMBER(SEARCH("CTO",C2042))+ISNUMBER(SEARCH("Chief Operating",C2042))+ISNUMBER(SEARCH("Chief Financial",C2042))+ISNUMBER(SEARCH("Gerente General",C2042))+ISNUMBER(SEARCH("General Manager",C2042))&gt;0,'Configuración'!$B$34,'Configuración'!$B$35)))))</f>
        <v>12</v>
      </c>
      <c r="V2042" s="20"/>
      <c r="W2042" s="20"/>
    </row>
    <row r="2043" ht="15.75" customHeight="1">
      <c r="A2043" s="34"/>
      <c r="B2043" s="29" t="s">
        <v>1072</v>
      </c>
      <c r="C2043" s="29" t="s">
        <v>131</v>
      </c>
      <c r="D2043" s="29" t="s">
        <v>11238</v>
      </c>
      <c r="E2043" s="29" t="s">
        <v>11239</v>
      </c>
      <c r="F2043" s="30" t="s">
        <v>11240</v>
      </c>
      <c r="G2043" s="30" t="s">
        <v>11241</v>
      </c>
      <c r="H2043" s="43" t="s">
        <v>11242</v>
      </c>
      <c r="I2043" s="29" t="s">
        <v>616</v>
      </c>
      <c r="J2043" s="31">
        <v>5.0</v>
      </c>
      <c r="K2043" s="44"/>
      <c r="L2043" s="44"/>
      <c r="M2043" s="44"/>
      <c r="N2043" s="44"/>
      <c r="O2043" s="44"/>
      <c r="P2043" s="44"/>
      <c r="Q2043" s="44"/>
      <c r="R2043" s="44"/>
      <c r="S2043" s="37">
        <f>IF(B2043="","",IF(ISNUMBER(J2043),IF(J2043&lt;=10,'Configuración'!$B$23,IF(J2043&lt;=50,'Configuración'!$B$24,IF(J2043&lt;=200,'Configuración'!$B$25,0))),0))</f>
        <v>12</v>
      </c>
      <c r="T2043" s="37">
        <f>IF(B2043="","",IF(ISNUMBER(SEARCH("information technology",I2043))+ISNUMBER(SEARCH("software",I2043))+ISNUMBER(SEARCH("internet",I2043))+ISNUMBER(SEARCH("computer",I2043))+ISNUMBER(SEARCH("saas",I2043))+ISNUMBER(SEARCH("fintech",I2043))+ISNUMBER(SEARCH("information services",I2043))+ISNUMBER(SEARCH("telecommunications",I2043))&gt;0,'Configuración'!$B$27,'Configuración'!$B$28))</f>
        <v>4</v>
      </c>
      <c r="U2043" s="25">
        <f>IF(B2043="","",IF(ISNUMBER(SEARCH("CEO",C2043))+ISNUMBER(SEARCH("Founder",C2043))+ISNUMBER(SEARCH("Owner",C2043))+ISNUMBER(SEARCH("Dueño",C2043))+ISNUMBER(SEARCH("Director General",C2043))+ISNUMBER(SEARCH("Presidente",C2043))+ISNUMBER(SEARCH("President",C2043))&gt;0,'Configuración'!$B$31,IF(ISNUMBER(SEARCH("CMO",C2043))+ISNUMBER(SEARCH("Chief Marketing",C2043))+ISNUMBER(SEARCH("VP Marketing",C2043))+ISNUMBER(SEARCH("Director de Marketing",C2043))+ISNUMBER(SEARCH("Director Marketing",C2043))+ISNUMBER(SEARCH("Head of Marketing",C2043))+ISNUMBER(SEARCH("Head Marketing",C2043))&gt;0,'Configuración'!$B$32,IF(ISNUMBER(SEARCH("Marketing Manager",C2043))+ISNUMBER(SEARCH("Gerente de Marketing",C2043))+ISNUMBER(SEARCH("Growth Manager",C2043))+ISNUMBER(SEARCH("Demand Gen",C2043))+ISNUMBER(SEARCH("Marketing Lead",C2043))&gt;0,'Configuración'!$B$33,IF(ISNUMBER(SEARCH("COO",C2043))+ISNUMBER(SEARCH("CFO",C2043))+ISNUMBER(SEARCH("CTO",C2043))+ISNUMBER(SEARCH("Chief Operating",C2043))+ISNUMBER(SEARCH("Chief Financial",C2043))+ISNUMBER(SEARCH("Gerente General",C2043))+ISNUMBER(SEARCH("General Manager",C2043))&gt;0,'Configuración'!$B$34,'Configuración'!$B$35)))))</f>
        <v>12</v>
      </c>
      <c r="V2043" s="20"/>
      <c r="W2043" s="20"/>
    </row>
    <row r="2044" ht="15.75" customHeight="1">
      <c r="A2044" s="34"/>
      <c r="B2044" s="29" t="s">
        <v>564</v>
      </c>
      <c r="C2044" s="29" t="s">
        <v>11243</v>
      </c>
      <c r="D2044" s="29" t="s">
        <v>11244</v>
      </c>
      <c r="E2044" s="29" t="s">
        <v>11245</v>
      </c>
      <c r="F2044" s="30" t="s">
        <v>11246</v>
      </c>
      <c r="G2044" s="30" t="s">
        <v>11247</v>
      </c>
      <c r="H2044" s="43" t="s">
        <v>11248</v>
      </c>
      <c r="I2044" s="29" t="s">
        <v>127</v>
      </c>
      <c r="J2044" s="31">
        <v>13.0</v>
      </c>
      <c r="K2044" s="44"/>
      <c r="L2044" s="44"/>
      <c r="M2044" s="44"/>
      <c r="N2044" s="44"/>
      <c r="O2044" s="44"/>
      <c r="P2044" s="44"/>
      <c r="Q2044" s="44"/>
      <c r="R2044" s="44"/>
      <c r="S2044" s="37">
        <f>IF(B2044="","",IF(ISNUMBER(J2044),IF(J2044&lt;=10,'Configuración'!$B$23,IF(J2044&lt;=50,'Configuración'!$B$24,IF(J2044&lt;=200,'Configuración'!$B$25,0))),0))</f>
        <v>4</v>
      </c>
      <c r="T2044" s="37">
        <f>IF(B2044="","",IF(ISNUMBER(SEARCH("information technology",I2044))+ISNUMBER(SEARCH("software",I2044))+ISNUMBER(SEARCH("internet",I2044))+ISNUMBER(SEARCH("computer",I2044))+ISNUMBER(SEARCH("saas",I2044))+ISNUMBER(SEARCH("fintech",I2044))+ISNUMBER(SEARCH("information services",I2044))+ISNUMBER(SEARCH("telecommunications",I2044))&gt;0,'Configuración'!$B$27,'Configuración'!$B$28))</f>
        <v>12</v>
      </c>
      <c r="U2044" s="25">
        <f>IF(B2044="","",IF(ISNUMBER(SEARCH("CEO",C2044))+ISNUMBER(SEARCH("Founder",C2044))+ISNUMBER(SEARCH("Owner",C2044))+ISNUMBER(SEARCH("Dueño",C2044))+ISNUMBER(SEARCH("Director General",C2044))+ISNUMBER(SEARCH("Presidente",C2044))+ISNUMBER(SEARCH("President",C2044))&gt;0,'Configuración'!$B$31,IF(ISNUMBER(SEARCH("CMO",C2044))+ISNUMBER(SEARCH("Chief Marketing",C2044))+ISNUMBER(SEARCH("VP Marketing",C2044))+ISNUMBER(SEARCH("Director de Marketing",C2044))+ISNUMBER(SEARCH("Director Marketing",C2044))+ISNUMBER(SEARCH("Head of Marketing",C2044))+ISNUMBER(SEARCH("Head Marketing",C2044))&gt;0,'Configuración'!$B$32,IF(ISNUMBER(SEARCH("Marketing Manager",C2044))+ISNUMBER(SEARCH("Gerente de Marketing",C2044))+ISNUMBER(SEARCH("Growth Manager",C2044))+ISNUMBER(SEARCH("Demand Gen",C2044))+ISNUMBER(SEARCH("Marketing Lead",C2044))&gt;0,'Configuración'!$B$33,IF(ISNUMBER(SEARCH("COO",C2044))+ISNUMBER(SEARCH("CFO",C2044))+ISNUMBER(SEARCH("CTO",C2044))+ISNUMBER(SEARCH("Chief Operating",C2044))+ISNUMBER(SEARCH("Chief Financial",C2044))+ISNUMBER(SEARCH("Gerente General",C2044))+ISNUMBER(SEARCH("General Manager",C2044))&gt;0,'Configuración'!$B$34,'Configuración'!$B$35)))))</f>
        <v>12</v>
      </c>
      <c r="V2044" s="20"/>
      <c r="W2044" s="20"/>
    </row>
    <row r="2045" ht="15.75" customHeight="1">
      <c r="A2045" s="34"/>
      <c r="B2045" s="29" t="s">
        <v>1567</v>
      </c>
      <c r="C2045" s="29" t="s">
        <v>11249</v>
      </c>
      <c r="D2045" s="40" t="s">
        <v>11250</v>
      </c>
      <c r="E2045" s="29" t="s">
        <v>11251</v>
      </c>
      <c r="F2045" s="30" t="s">
        <v>11252</v>
      </c>
      <c r="G2045" s="30" t="s">
        <v>11253</v>
      </c>
      <c r="H2045" s="43" t="s">
        <v>11254</v>
      </c>
      <c r="I2045" s="29" t="s">
        <v>127</v>
      </c>
      <c r="J2045" s="31">
        <v>8.0</v>
      </c>
      <c r="K2045" s="44"/>
      <c r="L2045" s="44"/>
      <c r="M2045" s="44"/>
      <c r="N2045" s="44"/>
      <c r="O2045" s="44"/>
      <c r="P2045" s="44"/>
      <c r="Q2045" s="44"/>
      <c r="R2045" s="44"/>
      <c r="S2045" s="37">
        <f>IF(B2045="","",IF(ISNUMBER(J2045),IF(J2045&lt;=10,'Configuración'!$B$23,IF(J2045&lt;=50,'Configuración'!$B$24,IF(J2045&lt;=200,'Configuración'!$B$25,0))),0))</f>
        <v>12</v>
      </c>
      <c r="T2045" s="37">
        <f>IF(B2045="","",IF(ISNUMBER(SEARCH("information technology",I2045))+ISNUMBER(SEARCH("software",I2045))+ISNUMBER(SEARCH("internet",I2045))+ISNUMBER(SEARCH("computer",I2045))+ISNUMBER(SEARCH("saas",I2045))+ISNUMBER(SEARCH("fintech",I2045))+ISNUMBER(SEARCH("information services",I2045))+ISNUMBER(SEARCH("telecommunications",I2045))&gt;0,'Configuración'!$B$27,'Configuración'!$B$28))</f>
        <v>12</v>
      </c>
      <c r="U2045" s="25">
        <f>IF(B2045="","",IF(ISNUMBER(SEARCH("CEO",C2045))+ISNUMBER(SEARCH("Founder",C2045))+ISNUMBER(SEARCH("Owner",C2045))+ISNUMBER(SEARCH("Dueño",C2045))+ISNUMBER(SEARCH("Director General",C2045))+ISNUMBER(SEARCH("Presidente",C2045))+ISNUMBER(SEARCH("President",C2045))&gt;0,'Configuración'!$B$31,IF(ISNUMBER(SEARCH("CMO",C2045))+ISNUMBER(SEARCH("Chief Marketing",C2045))+ISNUMBER(SEARCH("VP Marketing",C2045))+ISNUMBER(SEARCH("Director de Marketing",C2045))+ISNUMBER(SEARCH("Director Marketing",C2045))+ISNUMBER(SEARCH("Head of Marketing",C2045))+ISNUMBER(SEARCH("Head Marketing",C2045))&gt;0,'Configuración'!$B$32,IF(ISNUMBER(SEARCH("Marketing Manager",C2045))+ISNUMBER(SEARCH("Gerente de Marketing",C2045))+ISNUMBER(SEARCH("Growth Manager",C2045))+ISNUMBER(SEARCH("Demand Gen",C2045))+ISNUMBER(SEARCH("Marketing Lead",C2045))&gt;0,'Configuración'!$B$33,IF(ISNUMBER(SEARCH("COO",C2045))+ISNUMBER(SEARCH("CFO",C2045))+ISNUMBER(SEARCH("CTO",C2045))+ISNUMBER(SEARCH("Chief Operating",C2045))+ISNUMBER(SEARCH("Chief Financial",C2045))+ISNUMBER(SEARCH("Gerente General",C2045))+ISNUMBER(SEARCH("General Manager",C2045))&gt;0,'Configuración'!$B$34,'Configuración'!$B$35)))))</f>
        <v>12</v>
      </c>
      <c r="V2045" s="20"/>
      <c r="W2045" s="20"/>
    </row>
    <row r="2046" ht="15.75" customHeight="1">
      <c r="A2046" s="34"/>
      <c r="B2046" s="29" t="s">
        <v>11255</v>
      </c>
      <c r="C2046" s="29" t="s">
        <v>11256</v>
      </c>
      <c r="D2046" s="30" t="s">
        <v>11257</v>
      </c>
      <c r="E2046" s="29" t="s">
        <v>11258</v>
      </c>
      <c r="F2046" s="30" t="s">
        <v>11259</v>
      </c>
      <c r="G2046" s="30" t="s">
        <v>11260</v>
      </c>
      <c r="H2046" s="43" t="s">
        <v>11261</v>
      </c>
      <c r="I2046" s="29" t="s">
        <v>127</v>
      </c>
      <c r="J2046" s="31">
        <v>9.0</v>
      </c>
      <c r="K2046" s="44"/>
      <c r="L2046" s="44"/>
      <c r="M2046" s="44"/>
      <c r="N2046" s="44"/>
      <c r="O2046" s="44"/>
      <c r="P2046" s="44"/>
      <c r="Q2046" s="44"/>
      <c r="R2046" s="44"/>
      <c r="S2046" s="37">
        <f>IF(B2046="","",IF(ISNUMBER(J2046),IF(J2046&lt;=10,'Configuración'!$B$23,IF(J2046&lt;=50,'Configuración'!$B$24,IF(J2046&lt;=200,'Configuración'!$B$25,0))),0))</f>
        <v>12</v>
      </c>
      <c r="T2046" s="37">
        <f>IF(B2046="","",IF(ISNUMBER(SEARCH("information technology",I2046))+ISNUMBER(SEARCH("software",I2046))+ISNUMBER(SEARCH("internet",I2046))+ISNUMBER(SEARCH("computer",I2046))+ISNUMBER(SEARCH("saas",I2046))+ISNUMBER(SEARCH("fintech",I2046))+ISNUMBER(SEARCH("information services",I2046))+ISNUMBER(SEARCH("telecommunications",I2046))&gt;0,'Configuración'!$B$27,'Configuración'!$B$28))</f>
        <v>12</v>
      </c>
      <c r="U2046" s="25">
        <f>IF(B2046="","",IF(ISNUMBER(SEARCH("CEO",C2046))+ISNUMBER(SEARCH("Founder",C2046))+ISNUMBER(SEARCH("Owner",C2046))+ISNUMBER(SEARCH("Dueño",C2046))+ISNUMBER(SEARCH("Director General",C2046))+ISNUMBER(SEARCH("Presidente",C2046))+ISNUMBER(SEARCH("President",C2046))&gt;0,'Configuración'!$B$31,IF(ISNUMBER(SEARCH("CMO",C2046))+ISNUMBER(SEARCH("Chief Marketing",C2046))+ISNUMBER(SEARCH("VP Marketing",C2046))+ISNUMBER(SEARCH("Director de Marketing",C2046))+ISNUMBER(SEARCH("Director Marketing",C2046))+ISNUMBER(SEARCH("Head of Marketing",C2046))+ISNUMBER(SEARCH("Head Marketing",C2046))&gt;0,'Configuración'!$B$32,IF(ISNUMBER(SEARCH("Marketing Manager",C2046))+ISNUMBER(SEARCH("Gerente de Marketing",C2046))+ISNUMBER(SEARCH("Growth Manager",C2046))+ISNUMBER(SEARCH("Demand Gen",C2046))+ISNUMBER(SEARCH("Marketing Lead",C2046))&gt;0,'Configuración'!$B$33,IF(ISNUMBER(SEARCH("COO",C2046))+ISNUMBER(SEARCH("CFO",C2046))+ISNUMBER(SEARCH("CTO",C2046))+ISNUMBER(SEARCH("Chief Operating",C2046))+ISNUMBER(SEARCH("Chief Financial",C2046))+ISNUMBER(SEARCH("Gerente General",C2046))+ISNUMBER(SEARCH("General Manager",C2046))&gt;0,'Configuración'!$B$34,'Configuración'!$B$35)))))</f>
        <v>12</v>
      </c>
      <c r="V2046" s="20"/>
      <c r="W2046" s="20"/>
    </row>
    <row r="2047" ht="15.75" customHeight="1">
      <c r="A2047" s="34"/>
      <c r="B2047" s="29" t="s">
        <v>223</v>
      </c>
      <c r="C2047" s="29" t="s">
        <v>202</v>
      </c>
      <c r="D2047" s="29" t="s">
        <v>5354</v>
      </c>
      <c r="E2047" s="29" t="s">
        <v>11262</v>
      </c>
      <c r="F2047" s="30" t="s">
        <v>11263</v>
      </c>
      <c r="G2047" s="30" t="s">
        <v>5357</v>
      </c>
      <c r="H2047" s="43" t="s">
        <v>5358</v>
      </c>
      <c r="I2047" s="29" t="s">
        <v>116</v>
      </c>
      <c r="J2047" s="31">
        <v>12.0</v>
      </c>
      <c r="K2047" s="44"/>
      <c r="L2047" s="44"/>
      <c r="M2047" s="44"/>
      <c r="N2047" s="44"/>
      <c r="O2047" s="44"/>
      <c r="P2047" s="44"/>
      <c r="Q2047" s="44"/>
      <c r="R2047" s="44"/>
      <c r="S2047" s="37">
        <f>IF(B2047="","",IF(ISNUMBER(J2047),IF(J2047&lt;=10,'Configuración'!$B$23,IF(J2047&lt;=50,'Configuración'!$B$24,IF(J2047&lt;=200,'Configuración'!$B$25,0))),0))</f>
        <v>4</v>
      </c>
      <c r="T2047" s="37">
        <f>IF(B2047="","",IF(ISNUMBER(SEARCH("information technology",I2047))+ISNUMBER(SEARCH("software",I2047))+ISNUMBER(SEARCH("internet",I2047))+ISNUMBER(SEARCH("computer",I2047))+ISNUMBER(SEARCH("saas",I2047))+ISNUMBER(SEARCH("fintech",I2047))+ISNUMBER(SEARCH("information services",I2047))+ISNUMBER(SEARCH("telecommunications",I2047))&gt;0,'Configuración'!$B$27,'Configuración'!$B$28))</f>
        <v>4</v>
      </c>
      <c r="U2047" s="25">
        <f>IF(B2047="","",IF(ISNUMBER(SEARCH("CEO",C2047))+ISNUMBER(SEARCH("Founder",C2047))+ISNUMBER(SEARCH("Owner",C2047))+ISNUMBER(SEARCH("Dueño",C2047))+ISNUMBER(SEARCH("Director General",C2047))+ISNUMBER(SEARCH("Presidente",C2047))+ISNUMBER(SEARCH("President",C2047))&gt;0,'Configuración'!$B$31,IF(ISNUMBER(SEARCH("CMO",C2047))+ISNUMBER(SEARCH("Chief Marketing",C2047))+ISNUMBER(SEARCH("VP Marketing",C2047))+ISNUMBER(SEARCH("Director de Marketing",C2047))+ISNUMBER(SEARCH("Director Marketing",C2047))+ISNUMBER(SEARCH("Head of Marketing",C2047))+ISNUMBER(SEARCH("Head Marketing",C2047))&gt;0,'Configuración'!$B$32,IF(ISNUMBER(SEARCH("Marketing Manager",C2047))+ISNUMBER(SEARCH("Gerente de Marketing",C2047))+ISNUMBER(SEARCH("Growth Manager",C2047))+ISNUMBER(SEARCH("Demand Gen",C2047))+ISNUMBER(SEARCH("Marketing Lead",C2047))&gt;0,'Configuración'!$B$33,IF(ISNUMBER(SEARCH("COO",C2047))+ISNUMBER(SEARCH("CFO",C2047))+ISNUMBER(SEARCH("CTO",C2047))+ISNUMBER(SEARCH("Chief Operating",C2047))+ISNUMBER(SEARCH("Chief Financial",C2047))+ISNUMBER(SEARCH("Gerente General",C2047))+ISNUMBER(SEARCH("General Manager",C2047))&gt;0,'Configuración'!$B$34,'Configuración'!$B$35)))))</f>
        <v>12</v>
      </c>
      <c r="V2047" s="20"/>
      <c r="W2047" s="20"/>
    </row>
    <row r="2048" ht="15.75" customHeight="1">
      <c r="A2048" s="34"/>
      <c r="B2048" s="29" t="s">
        <v>174</v>
      </c>
      <c r="C2048" s="29" t="s">
        <v>131</v>
      </c>
      <c r="D2048" s="29" t="s">
        <v>11264</v>
      </c>
      <c r="E2048" s="29" t="s">
        <v>11265</v>
      </c>
      <c r="F2048" s="30" t="s">
        <v>11266</v>
      </c>
      <c r="G2048" s="30" t="s">
        <v>11267</v>
      </c>
      <c r="H2048" s="43" t="s">
        <v>11268</v>
      </c>
      <c r="I2048" s="29" t="s">
        <v>776</v>
      </c>
      <c r="J2048" s="31">
        <v>6.0</v>
      </c>
      <c r="K2048" s="44"/>
      <c r="L2048" s="44"/>
      <c r="M2048" s="44"/>
      <c r="N2048" s="44"/>
      <c r="O2048" s="44"/>
      <c r="P2048" s="44"/>
      <c r="Q2048" s="44"/>
      <c r="R2048" s="44"/>
      <c r="S2048" s="37">
        <f>IF(B2048="","",IF(ISNUMBER(J2048),IF(J2048&lt;=10,'Configuración'!$B$23,IF(J2048&lt;=50,'Configuración'!$B$24,IF(J2048&lt;=200,'Configuración'!$B$25,0))),0))</f>
        <v>12</v>
      </c>
      <c r="T2048" s="37">
        <f>IF(B2048="","",IF(ISNUMBER(SEARCH("information technology",I2048))+ISNUMBER(SEARCH("software",I2048))+ISNUMBER(SEARCH("internet",I2048))+ISNUMBER(SEARCH("computer",I2048))+ISNUMBER(SEARCH("saas",I2048))+ISNUMBER(SEARCH("fintech",I2048))+ISNUMBER(SEARCH("information services",I2048))+ISNUMBER(SEARCH("telecommunications",I2048))&gt;0,'Configuración'!$B$27,'Configuración'!$B$28))</f>
        <v>4</v>
      </c>
      <c r="U2048" s="25">
        <f>IF(B2048="","",IF(ISNUMBER(SEARCH("CEO",C2048))+ISNUMBER(SEARCH("Founder",C2048))+ISNUMBER(SEARCH("Owner",C2048))+ISNUMBER(SEARCH("Dueño",C2048))+ISNUMBER(SEARCH("Director General",C2048))+ISNUMBER(SEARCH("Presidente",C2048))+ISNUMBER(SEARCH("President",C2048))&gt;0,'Configuración'!$B$31,IF(ISNUMBER(SEARCH("CMO",C2048))+ISNUMBER(SEARCH("Chief Marketing",C2048))+ISNUMBER(SEARCH("VP Marketing",C2048))+ISNUMBER(SEARCH("Director de Marketing",C2048))+ISNUMBER(SEARCH("Director Marketing",C2048))+ISNUMBER(SEARCH("Head of Marketing",C2048))+ISNUMBER(SEARCH("Head Marketing",C2048))&gt;0,'Configuración'!$B$32,IF(ISNUMBER(SEARCH("Marketing Manager",C2048))+ISNUMBER(SEARCH("Gerente de Marketing",C2048))+ISNUMBER(SEARCH("Growth Manager",C2048))+ISNUMBER(SEARCH("Demand Gen",C2048))+ISNUMBER(SEARCH("Marketing Lead",C2048))&gt;0,'Configuración'!$B$33,IF(ISNUMBER(SEARCH("COO",C2048))+ISNUMBER(SEARCH("CFO",C2048))+ISNUMBER(SEARCH("CTO",C2048))+ISNUMBER(SEARCH("Chief Operating",C2048))+ISNUMBER(SEARCH("Chief Financial",C2048))+ISNUMBER(SEARCH("Gerente General",C2048))+ISNUMBER(SEARCH("General Manager",C2048))&gt;0,'Configuración'!$B$34,'Configuración'!$B$35)))))</f>
        <v>12</v>
      </c>
      <c r="V2048" s="20"/>
      <c r="W2048" s="20"/>
    </row>
    <row r="2049" ht="15.75" customHeight="1">
      <c r="A2049" s="34"/>
      <c r="B2049" s="29" t="s">
        <v>3229</v>
      </c>
      <c r="C2049" s="29" t="s">
        <v>487</v>
      </c>
      <c r="D2049" s="40" t="s">
        <v>11269</v>
      </c>
      <c r="E2049" s="29" t="s">
        <v>11270</v>
      </c>
      <c r="F2049" s="30" t="s">
        <v>11271</v>
      </c>
      <c r="G2049" s="30" t="s">
        <v>11272</v>
      </c>
      <c r="H2049" s="43" t="s">
        <v>11273</v>
      </c>
      <c r="I2049" s="29" t="s">
        <v>2651</v>
      </c>
      <c r="J2049" s="31">
        <v>1.0</v>
      </c>
      <c r="K2049" s="44"/>
      <c r="L2049" s="44"/>
      <c r="M2049" s="44"/>
      <c r="N2049" s="44"/>
      <c r="O2049" s="44"/>
      <c r="P2049" s="44"/>
      <c r="Q2049" s="44"/>
      <c r="R2049" s="44"/>
      <c r="S2049" s="37">
        <f>IF(B2049="","",IF(ISNUMBER(J2049),IF(J2049&lt;=10,'Configuración'!$B$23,IF(J2049&lt;=50,'Configuración'!$B$24,IF(J2049&lt;=200,'Configuración'!$B$25,0))),0))</f>
        <v>12</v>
      </c>
      <c r="T2049" s="37">
        <f>IF(B2049="","",IF(ISNUMBER(SEARCH("information technology",I2049))+ISNUMBER(SEARCH("software",I2049))+ISNUMBER(SEARCH("internet",I2049))+ISNUMBER(SEARCH("computer",I2049))+ISNUMBER(SEARCH("saas",I2049))+ISNUMBER(SEARCH("fintech",I2049))+ISNUMBER(SEARCH("information services",I2049))+ISNUMBER(SEARCH("telecommunications",I2049))&gt;0,'Configuración'!$B$27,'Configuración'!$B$28))</f>
        <v>4</v>
      </c>
      <c r="U2049" s="25">
        <f>IF(B2049="","",IF(ISNUMBER(SEARCH("CEO",C2049))+ISNUMBER(SEARCH("Founder",C2049))+ISNUMBER(SEARCH("Owner",C2049))+ISNUMBER(SEARCH("Dueño",C2049))+ISNUMBER(SEARCH("Director General",C2049))+ISNUMBER(SEARCH("Presidente",C2049))+ISNUMBER(SEARCH("President",C2049))&gt;0,'Configuración'!$B$31,IF(ISNUMBER(SEARCH("CMO",C2049))+ISNUMBER(SEARCH("Chief Marketing",C2049))+ISNUMBER(SEARCH("VP Marketing",C2049))+ISNUMBER(SEARCH("Director de Marketing",C2049))+ISNUMBER(SEARCH("Director Marketing",C2049))+ISNUMBER(SEARCH("Head of Marketing",C2049))+ISNUMBER(SEARCH("Head Marketing",C2049))&gt;0,'Configuración'!$B$32,IF(ISNUMBER(SEARCH("Marketing Manager",C2049))+ISNUMBER(SEARCH("Gerente de Marketing",C2049))+ISNUMBER(SEARCH("Growth Manager",C2049))+ISNUMBER(SEARCH("Demand Gen",C2049))+ISNUMBER(SEARCH("Marketing Lead",C2049))&gt;0,'Configuración'!$B$33,IF(ISNUMBER(SEARCH("COO",C2049))+ISNUMBER(SEARCH("CFO",C2049))+ISNUMBER(SEARCH("CTO",C2049))+ISNUMBER(SEARCH("Chief Operating",C2049))+ISNUMBER(SEARCH("Chief Financial",C2049))+ISNUMBER(SEARCH("Gerente General",C2049))+ISNUMBER(SEARCH("General Manager",C2049))&gt;0,'Configuración'!$B$34,'Configuración'!$B$35)))))</f>
        <v>12</v>
      </c>
      <c r="V2049" s="20"/>
      <c r="W2049" s="20"/>
    </row>
    <row r="2050" ht="15.75" customHeight="1">
      <c r="A2050" s="34"/>
      <c r="B2050" s="29" t="s">
        <v>9210</v>
      </c>
      <c r="C2050" s="29" t="s">
        <v>11274</v>
      </c>
      <c r="D2050" s="30" t="s">
        <v>11275</v>
      </c>
      <c r="E2050" s="29" t="s">
        <v>11276</v>
      </c>
      <c r="F2050" s="30" t="s">
        <v>11277</v>
      </c>
      <c r="G2050" s="30" t="s">
        <v>11278</v>
      </c>
      <c r="H2050" s="43" t="s">
        <v>11279</v>
      </c>
      <c r="I2050" s="29" t="s">
        <v>127</v>
      </c>
      <c r="J2050" s="31">
        <v>1.0</v>
      </c>
      <c r="K2050" s="44"/>
      <c r="L2050" s="44"/>
      <c r="M2050" s="44"/>
      <c r="N2050" s="44"/>
      <c r="O2050" s="44"/>
      <c r="P2050" s="44"/>
      <c r="Q2050" s="44"/>
      <c r="R2050" s="44"/>
      <c r="S2050" s="37">
        <f>IF(B2050="","",IF(ISNUMBER(J2050),IF(J2050&lt;=10,'Configuración'!$B$23,IF(J2050&lt;=50,'Configuración'!$B$24,IF(J2050&lt;=200,'Configuración'!$B$25,0))),0))</f>
        <v>12</v>
      </c>
      <c r="T2050" s="37">
        <f>IF(B2050="","",IF(ISNUMBER(SEARCH("information technology",I2050))+ISNUMBER(SEARCH("software",I2050))+ISNUMBER(SEARCH("internet",I2050))+ISNUMBER(SEARCH("computer",I2050))+ISNUMBER(SEARCH("saas",I2050))+ISNUMBER(SEARCH("fintech",I2050))+ISNUMBER(SEARCH("information services",I2050))+ISNUMBER(SEARCH("telecommunications",I2050))&gt;0,'Configuración'!$B$27,'Configuración'!$B$28))</f>
        <v>12</v>
      </c>
      <c r="U2050" s="25">
        <f>IF(B2050="","",IF(ISNUMBER(SEARCH("CEO",C2050))+ISNUMBER(SEARCH("Founder",C2050))+ISNUMBER(SEARCH("Owner",C2050))+ISNUMBER(SEARCH("Dueño",C2050))+ISNUMBER(SEARCH("Director General",C2050))+ISNUMBER(SEARCH("Presidente",C2050))+ISNUMBER(SEARCH("President",C2050))&gt;0,'Configuración'!$B$31,IF(ISNUMBER(SEARCH("CMO",C2050))+ISNUMBER(SEARCH("Chief Marketing",C2050))+ISNUMBER(SEARCH("VP Marketing",C2050))+ISNUMBER(SEARCH("Director de Marketing",C2050))+ISNUMBER(SEARCH("Director Marketing",C2050))+ISNUMBER(SEARCH("Head of Marketing",C2050))+ISNUMBER(SEARCH("Head Marketing",C2050))&gt;0,'Configuración'!$B$32,IF(ISNUMBER(SEARCH("Marketing Manager",C2050))+ISNUMBER(SEARCH("Gerente de Marketing",C2050))+ISNUMBER(SEARCH("Growth Manager",C2050))+ISNUMBER(SEARCH("Demand Gen",C2050))+ISNUMBER(SEARCH("Marketing Lead",C2050))&gt;0,'Configuración'!$B$33,IF(ISNUMBER(SEARCH("COO",C2050))+ISNUMBER(SEARCH("CFO",C2050))+ISNUMBER(SEARCH("CTO",C2050))+ISNUMBER(SEARCH("Chief Operating",C2050))+ISNUMBER(SEARCH("Chief Financial",C2050))+ISNUMBER(SEARCH("Gerente General",C2050))+ISNUMBER(SEARCH("General Manager",C2050))&gt;0,'Configuración'!$B$34,'Configuración'!$B$35)))))</f>
        <v>12</v>
      </c>
      <c r="V2050" s="20"/>
      <c r="W2050" s="20"/>
    </row>
    <row r="2051" ht="15.75" customHeight="1">
      <c r="A2051" s="34"/>
      <c r="B2051" s="29" t="s">
        <v>120</v>
      </c>
      <c r="C2051" s="29" t="s">
        <v>131</v>
      </c>
      <c r="D2051" s="29" t="s">
        <v>11280</v>
      </c>
      <c r="E2051" s="29" t="s">
        <v>11281</v>
      </c>
      <c r="F2051" s="30" t="s">
        <v>11282</v>
      </c>
      <c r="G2051" s="30" t="s">
        <v>11283</v>
      </c>
      <c r="H2051" s="43" t="s">
        <v>11284</v>
      </c>
      <c r="I2051" s="29" t="s">
        <v>350</v>
      </c>
      <c r="J2051" s="31">
        <v>24.0</v>
      </c>
      <c r="K2051" s="44"/>
      <c r="L2051" s="44"/>
      <c r="M2051" s="44"/>
      <c r="N2051" s="44"/>
      <c r="O2051" s="44"/>
      <c r="P2051" s="44"/>
      <c r="Q2051" s="44"/>
      <c r="R2051" s="44"/>
      <c r="S2051" s="37">
        <f>IF(B2051="","",IF(ISNUMBER(J2051),IF(J2051&lt;=10,'Configuración'!$B$23,IF(J2051&lt;=50,'Configuración'!$B$24,IF(J2051&lt;=200,'Configuración'!$B$25,0))),0))</f>
        <v>4</v>
      </c>
      <c r="T2051" s="37">
        <f>IF(B2051="","",IF(ISNUMBER(SEARCH("information technology",I2051))+ISNUMBER(SEARCH("software",I2051))+ISNUMBER(SEARCH("internet",I2051))+ISNUMBER(SEARCH("computer",I2051))+ISNUMBER(SEARCH("saas",I2051))+ISNUMBER(SEARCH("fintech",I2051))+ISNUMBER(SEARCH("information services",I2051))+ISNUMBER(SEARCH("telecommunications",I2051))&gt;0,'Configuración'!$B$27,'Configuración'!$B$28))</f>
        <v>4</v>
      </c>
      <c r="U2051" s="25">
        <f>IF(B2051="","",IF(ISNUMBER(SEARCH("CEO",C2051))+ISNUMBER(SEARCH("Founder",C2051))+ISNUMBER(SEARCH("Owner",C2051))+ISNUMBER(SEARCH("Dueño",C2051))+ISNUMBER(SEARCH("Director General",C2051))+ISNUMBER(SEARCH("Presidente",C2051))+ISNUMBER(SEARCH("President",C2051))&gt;0,'Configuración'!$B$31,IF(ISNUMBER(SEARCH("CMO",C2051))+ISNUMBER(SEARCH("Chief Marketing",C2051))+ISNUMBER(SEARCH("VP Marketing",C2051))+ISNUMBER(SEARCH("Director de Marketing",C2051))+ISNUMBER(SEARCH("Director Marketing",C2051))+ISNUMBER(SEARCH("Head of Marketing",C2051))+ISNUMBER(SEARCH("Head Marketing",C2051))&gt;0,'Configuración'!$B$32,IF(ISNUMBER(SEARCH("Marketing Manager",C2051))+ISNUMBER(SEARCH("Gerente de Marketing",C2051))+ISNUMBER(SEARCH("Growth Manager",C2051))+ISNUMBER(SEARCH("Demand Gen",C2051))+ISNUMBER(SEARCH("Marketing Lead",C2051))&gt;0,'Configuración'!$B$33,IF(ISNUMBER(SEARCH("COO",C2051))+ISNUMBER(SEARCH("CFO",C2051))+ISNUMBER(SEARCH("CTO",C2051))+ISNUMBER(SEARCH("Chief Operating",C2051))+ISNUMBER(SEARCH("Chief Financial",C2051))+ISNUMBER(SEARCH("Gerente General",C2051))+ISNUMBER(SEARCH("General Manager",C2051))&gt;0,'Configuración'!$B$34,'Configuración'!$B$35)))))</f>
        <v>12</v>
      </c>
      <c r="V2051" s="20"/>
      <c r="W2051" s="20"/>
    </row>
    <row r="2052" ht="15.75" customHeight="1">
      <c r="A2052" s="34"/>
      <c r="B2052" s="29" t="s">
        <v>8625</v>
      </c>
      <c r="C2052" s="29" t="s">
        <v>131</v>
      </c>
      <c r="D2052" s="29" t="s">
        <v>11285</v>
      </c>
      <c r="E2052" s="29" t="s">
        <v>11286</v>
      </c>
      <c r="F2052" s="30" t="s">
        <v>11287</v>
      </c>
      <c r="G2052" s="30" t="s">
        <v>11288</v>
      </c>
      <c r="H2052" s="43" t="s">
        <v>11289</v>
      </c>
      <c r="I2052" s="29" t="s">
        <v>127</v>
      </c>
      <c r="J2052" s="31">
        <v>3.0</v>
      </c>
      <c r="K2052" s="44"/>
      <c r="L2052" s="44"/>
      <c r="M2052" s="44"/>
      <c r="N2052" s="44"/>
      <c r="O2052" s="44"/>
      <c r="P2052" s="44"/>
      <c r="Q2052" s="44"/>
      <c r="R2052" s="44"/>
      <c r="S2052" s="37">
        <f>IF(B2052="","",IF(ISNUMBER(J2052),IF(J2052&lt;=10,'Configuración'!$B$23,IF(J2052&lt;=50,'Configuración'!$B$24,IF(J2052&lt;=200,'Configuración'!$B$25,0))),0))</f>
        <v>12</v>
      </c>
      <c r="T2052" s="37">
        <f>IF(B2052="","",IF(ISNUMBER(SEARCH("information technology",I2052))+ISNUMBER(SEARCH("software",I2052))+ISNUMBER(SEARCH("internet",I2052))+ISNUMBER(SEARCH("computer",I2052))+ISNUMBER(SEARCH("saas",I2052))+ISNUMBER(SEARCH("fintech",I2052))+ISNUMBER(SEARCH("information services",I2052))+ISNUMBER(SEARCH("telecommunications",I2052))&gt;0,'Configuración'!$B$27,'Configuración'!$B$28))</f>
        <v>12</v>
      </c>
      <c r="U2052" s="25">
        <f>IF(B2052="","",IF(ISNUMBER(SEARCH("CEO",C2052))+ISNUMBER(SEARCH("Founder",C2052))+ISNUMBER(SEARCH("Owner",C2052))+ISNUMBER(SEARCH("Dueño",C2052))+ISNUMBER(SEARCH("Director General",C2052))+ISNUMBER(SEARCH("Presidente",C2052))+ISNUMBER(SEARCH("President",C2052))&gt;0,'Configuración'!$B$31,IF(ISNUMBER(SEARCH("CMO",C2052))+ISNUMBER(SEARCH("Chief Marketing",C2052))+ISNUMBER(SEARCH("VP Marketing",C2052))+ISNUMBER(SEARCH("Director de Marketing",C2052))+ISNUMBER(SEARCH("Director Marketing",C2052))+ISNUMBER(SEARCH("Head of Marketing",C2052))+ISNUMBER(SEARCH("Head Marketing",C2052))&gt;0,'Configuración'!$B$32,IF(ISNUMBER(SEARCH("Marketing Manager",C2052))+ISNUMBER(SEARCH("Gerente de Marketing",C2052))+ISNUMBER(SEARCH("Growth Manager",C2052))+ISNUMBER(SEARCH("Demand Gen",C2052))+ISNUMBER(SEARCH("Marketing Lead",C2052))&gt;0,'Configuración'!$B$33,IF(ISNUMBER(SEARCH("COO",C2052))+ISNUMBER(SEARCH("CFO",C2052))+ISNUMBER(SEARCH("CTO",C2052))+ISNUMBER(SEARCH("Chief Operating",C2052))+ISNUMBER(SEARCH("Chief Financial",C2052))+ISNUMBER(SEARCH("Gerente General",C2052))+ISNUMBER(SEARCH("General Manager",C2052))&gt;0,'Configuración'!$B$34,'Configuración'!$B$35)))))</f>
        <v>12</v>
      </c>
      <c r="V2052" s="20"/>
      <c r="W2052" s="20"/>
    </row>
    <row r="2053" ht="15.75" customHeight="1">
      <c r="A2053" s="34"/>
      <c r="B2053" s="29" t="s">
        <v>120</v>
      </c>
      <c r="C2053" s="29" t="s">
        <v>202</v>
      </c>
      <c r="D2053" s="29" t="s">
        <v>11290</v>
      </c>
      <c r="E2053" s="29" t="s">
        <v>11291</v>
      </c>
      <c r="F2053" s="30" t="s">
        <v>11292</v>
      </c>
      <c r="G2053" s="30" t="s">
        <v>11293</v>
      </c>
      <c r="H2053" s="43" t="s">
        <v>11294</v>
      </c>
      <c r="I2053" s="29" t="s">
        <v>127</v>
      </c>
      <c r="J2053" s="31">
        <v>1.0</v>
      </c>
      <c r="K2053" s="44"/>
      <c r="L2053" s="44"/>
      <c r="M2053" s="44"/>
      <c r="N2053" s="44"/>
      <c r="O2053" s="44"/>
      <c r="P2053" s="44"/>
      <c r="Q2053" s="44"/>
      <c r="R2053" s="44"/>
      <c r="S2053" s="37">
        <f>IF(B2053="","",IF(ISNUMBER(J2053),IF(J2053&lt;=10,'Configuración'!$B$23,IF(J2053&lt;=50,'Configuración'!$B$24,IF(J2053&lt;=200,'Configuración'!$B$25,0))),0))</f>
        <v>12</v>
      </c>
      <c r="T2053" s="37">
        <f>IF(B2053="","",IF(ISNUMBER(SEARCH("information technology",I2053))+ISNUMBER(SEARCH("software",I2053))+ISNUMBER(SEARCH("internet",I2053))+ISNUMBER(SEARCH("computer",I2053))+ISNUMBER(SEARCH("saas",I2053))+ISNUMBER(SEARCH("fintech",I2053))+ISNUMBER(SEARCH("information services",I2053))+ISNUMBER(SEARCH("telecommunications",I2053))&gt;0,'Configuración'!$B$27,'Configuración'!$B$28))</f>
        <v>12</v>
      </c>
      <c r="U2053" s="25">
        <f>IF(B2053="","",IF(ISNUMBER(SEARCH("CEO",C2053))+ISNUMBER(SEARCH("Founder",C2053))+ISNUMBER(SEARCH("Owner",C2053))+ISNUMBER(SEARCH("Dueño",C2053))+ISNUMBER(SEARCH("Director General",C2053))+ISNUMBER(SEARCH("Presidente",C2053))+ISNUMBER(SEARCH("President",C2053))&gt;0,'Configuración'!$B$31,IF(ISNUMBER(SEARCH("CMO",C2053))+ISNUMBER(SEARCH("Chief Marketing",C2053))+ISNUMBER(SEARCH("VP Marketing",C2053))+ISNUMBER(SEARCH("Director de Marketing",C2053))+ISNUMBER(SEARCH("Director Marketing",C2053))+ISNUMBER(SEARCH("Head of Marketing",C2053))+ISNUMBER(SEARCH("Head Marketing",C2053))&gt;0,'Configuración'!$B$32,IF(ISNUMBER(SEARCH("Marketing Manager",C2053))+ISNUMBER(SEARCH("Gerente de Marketing",C2053))+ISNUMBER(SEARCH("Growth Manager",C2053))+ISNUMBER(SEARCH("Demand Gen",C2053))+ISNUMBER(SEARCH("Marketing Lead",C2053))&gt;0,'Configuración'!$B$33,IF(ISNUMBER(SEARCH("COO",C2053))+ISNUMBER(SEARCH("CFO",C2053))+ISNUMBER(SEARCH("CTO",C2053))+ISNUMBER(SEARCH("Chief Operating",C2053))+ISNUMBER(SEARCH("Chief Financial",C2053))+ISNUMBER(SEARCH("Gerente General",C2053))+ISNUMBER(SEARCH("General Manager",C2053))&gt;0,'Configuración'!$B$34,'Configuración'!$B$35)))))</f>
        <v>12</v>
      </c>
      <c r="V2053" s="20"/>
      <c r="W2053" s="20"/>
    </row>
    <row r="2054" ht="15.75" customHeight="1">
      <c r="A2054" s="34"/>
      <c r="B2054" s="29" t="s">
        <v>1008</v>
      </c>
      <c r="C2054" s="29" t="s">
        <v>11295</v>
      </c>
      <c r="D2054" s="29" t="s">
        <v>11296</v>
      </c>
      <c r="E2054" s="29" t="s">
        <v>11297</v>
      </c>
      <c r="F2054" s="30" t="s">
        <v>11298</v>
      </c>
      <c r="G2054" s="30" t="s">
        <v>11299</v>
      </c>
      <c r="H2054" s="43" t="s">
        <v>11300</v>
      </c>
      <c r="I2054" s="29" t="s">
        <v>127</v>
      </c>
      <c r="J2054" s="31">
        <v>16.0</v>
      </c>
      <c r="K2054" s="44"/>
      <c r="L2054" s="44"/>
      <c r="M2054" s="44"/>
      <c r="N2054" s="44"/>
      <c r="O2054" s="44"/>
      <c r="P2054" s="44"/>
      <c r="Q2054" s="44"/>
      <c r="R2054" s="44"/>
      <c r="S2054" s="37">
        <f>IF(B2054="","",IF(ISNUMBER(J2054),IF(J2054&lt;=10,'Configuración'!$B$23,IF(J2054&lt;=50,'Configuración'!$B$24,IF(J2054&lt;=200,'Configuración'!$B$25,0))),0))</f>
        <v>4</v>
      </c>
      <c r="T2054" s="37">
        <f>IF(B2054="","",IF(ISNUMBER(SEARCH("information technology",I2054))+ISNUMBER(SEARCH("software",I2054))+ISNUMBER(SEARCH("internet",I2054))+ISNUMBER(SEARCH("computer",I2054))+ISNUMBER(SEARCH("saas",I2054))+ISNUMBER(SEARCH("fintech",I2054))+ISNUMBER(SEARCH("information services",I2054))+ISNUMBER(SEARCH("telecommunications",I2054))&gt;0,'Configuración'!$B$27,'Configuración'!$B$28))</f>
        <v>12</v>
      </c>
      <c r="U2054" s="25">
        <f>IF(B2054="","",IF(ISNUMBER(SEARCH("CEO",C2054))+ISNUMBER(SEARCH("Founder",C2054))+ISNUMBER(SEARCH("Owner",C2054))+ISNUMBER(SEARCH("Dueño",C2054))+ISNUMBER(SEARCH("Director General",C2054))+ISNUMBER(SEARCH("Presidente",C2054))+ISNUMBER(SEARCH("President",C2054))&gt;0,'Configuración'!$B$31,IF(ISNUMBER(SEARCH("CMO",C2054))+ISNUMBER(SEARCH("Chief Marketing",C2054))+ISNUMBER(SEARCH("VP Marketing",C2054))+ISNUMBER(SEARCH("Director de Marketing",C2054))+ISNUMBER(SEARCH("Director Marketing",C2054))+ISNUMBER(SEARCH("Head of Marketing",C2054))+ISNUMBER(SEARCH("Head Marketing",C2054))&gt;0,'Configuración'!$B$32,IF(ISNUMBER(SEARCH("Marketing Manager",C2054))+ISNUMBER(SEARCH("Gerente de Marketing",C2054))+ISNUMBER(SEARCH("Growth Manager",C2054))+ISNUMBER(SEARCH("Demand Gen",C2054))+ISNUMBER(SEARCH("Marketing Lead",C2054))&gt;0,'Configuración'!$B$33,IF(ISNUMBER(SEARCH("COO",C2054))+ISNUMBER(SEARCH("CFO",C2054))+ISNUMBER(SEARCH("CTO",C2054))+ISNUMBER(SEARCH("Chief Operating",C2054))+ISNUMBER(SEARCH("Chief Financial",C2054))+ISNUMBER(SEARCH("Gerente General",C2054))+ISNUMBER(SEARCH("General Manager",C2054))&gt;0,'Configuración'!$B$34,'Configuración'!$B$35)))))</f>
        <v>4</v>
      </c>
      <c r="V2054" s="20"/>
      <c r="W2054" s="20"/>
    </row>
    <row r="2055" ht="15.75" customHeight="1">
      <c r="A2055" s="34"/>
      <c r="B2055" s="29" t="s">
        <v>762</v>
      </c>
      <c r="C2055" s="29" t="s">
        <v>11301</v>
      </c>
      <c r="D2055" s="29" t="s">
        <v>11302</v>
      </c>
      <c r="E2055" s="29" t="s">
        <v>11303</v>
      </c>
      <c r="F2055" s="30" t="s">
        <v>11304</v>
      </c>
      <c r="G2055" s="30" t="s">
        <v>11305</v>
      </c>
      <c r="H2055" s="43" t="s">
        <v>11306</v>
      </c>
      <c r="I2055" s="29" t="s">
        <v>659</v>
      </c>
      <c r="J2055" s="31">
        <v>30.0</v>
      </c>
      <c r="K2055" s="44"/>
      <c r="L2055" s="44"/>
      <c r="M2055" s="44"/>
      <c r="N2055" s="44"/>
      <c r="O2055" s="44"/>
      <c r="P2055" s="44"/>
      <c r="Q2055" s="44"/>
      <c r="R2055" s="44"/>
      <c r="S2055" s="37">
        <f>IF(B2055="","",IF(ISNUMBER(J2055),IF(J2055&lt;=10,'Configuración'!$B$23,IF(J2055&lt;=50,'Configuración'!$B$24,IF(J2055&lt;=200,'Configuración'!$B$25,0))),0))</f>
        <v>4</v>
      </c>
      <c r="T2055" s="37">
        <f>IF(B2055="","",IF(ISNUMBER(SEARCH("information technology",I2055))+ISNUMBER(SEARCH("software",I2055))+ISNUMBER(SEARCH("internet",I2055))+ISNUMBER(SEARCH("computer",I2055))+ISNUMBER(SEARCH("saas",I2055))+ISNUMBER(SEARCH("fintech",I2055))+ISNUMBER(SEARCH("information services",I2055))+ISNUMBER(SEARCH("telecommunications",I2055))&gt;0,'Configuración'!$B$27,'Configuración'!$B$28))</f>
        <v>4</v>
      </c>
      <c r="U2055" s="25">
        <f>IF(B2055="","",IF(ISNUMBER(SEARCH("CEO",C2055))+ISNUMBER(SEARCH("Founder",C2055))+ISNUMBER(SEARCH("Owner",C2055))+ISNUMBER(SEARCH("Dueño",C2055))+ISNUMBER(SEARCH("Director General",C2055))+ISNUMBER(SEARCH("Presidente",C2055))+ISNUMBER(SEARCH("President",C2055))&gt;0,'Configuración'!$B$31,IF(ISNUMBER(SEARCH("CMO",C2055))+ISNUMBER(SEARCH("Chief Marketing",C2055))+ISNUMBER(SEARCH("VP Marketing",C2055))+ISNUMBER(SEARCH("Director de Marketing",C2055))+ISNUMBER(SEARCH("Director Marketing",C2055))+ISNUMBER(SEARCH("Head of Marketing",C2055))+ISNUMBER(SEARCH("Head Marketing",C2055))&gt;0,'Configuración'!$B$32,IF(ISNUMBER(SEARCH("Marketing Manager",C2055))+ISNUMBER(SEARCH("Gerente de Marketing",C2055))+ISNUMBER(SEARCH("Growth Manager",C2055))+ISNUMBER(SEARCH("Demand Gen",C2055))+ISNUMBER(SEARCH("Marketing Lead",C2055))&gt;0,'Configuración'!$B$33,IF(ISNUMBER(SEARCH("COO",C2055))+ISNUMBER(SEARCH("CFO",C2055))+ISNUMBER(SEARCH("CTO",C2055))+ISNUMBER(SEARCH("Chief Operating",C2055))+ISNUMBER(SEARCH("Chief Financial",C2055))+ISNUMBER(SEARCH("Gerente General",C2055))+ISNUMBER(SEARCH("General Manager",C2055))&gt;0,'Configuración'!$B$34,'Configuración'!$B$35)))))</f>
        <v>4</v>
      </c>
      <c r="V2055" s="20"/>
      <c r="W2055" s="20"/>
    </row>
    <row r="2056" ht="15.75" customHeight="1">
      <c r="A2056" s="34"/>
      <c r="B2056" s="29" t="s">
        <v>1534</v>
      </c>
      <c r="C2056" s="29" t="s">
        <v>11307</v>
      </c>
      <c r="D2056" s="29" t="s">
        <v>11308</v>
      </c>
      <c r="E2056" s="29" t="s">
        <v>11309</v>
      </c>
      <c r="F2056" s="30" t="s">
        <v>11310</v>
      </c>
      <c r="G2056" s="30" t="s">
        <v>11311</v>
      </c>
      <c r="H2056" s="43" t="s">
        <v>11312</v>
      </c>
      <c r="I2056" s="29" t="s">
        <v>946</v>
      </c>
      <c r="J2056" s="31">
        <v>34.0</v>
      </c>
      <c r="K2056" s="44"/>
      <c r="L2056" s="44"/>
      <c r="M2056" s="44"/>
      <c r="N2056" s="44"/>
      <c r="O2056" s="44"/>
      <c r="P2056" s="44"/>
      <c r="Q2056" s="44"/>
      <c r="R2056" s="44"/>
      <c r="S2056" s="37">
        <f>IF(B2056="","",IF(ISNUMBER(J2056),IF(J2056&lt;=10,'Configuración'!$B$23,IF(J2056&lt;=50,'Configuración'!$B$24,IF(J2056&lt;=200,'Configuración'!$B$25,0))),0))</f>
        <v>4</v>
      </c>
      <c r="T2056" s="37">
        <f>IF(B2056="","",IF(ISNUMBER(SEARCH("information technology",I2056))+ISNUMBER(SEARCH("software",I2056))+ISNUMBER(SEARCH("internet",I2056))+ISNUMBER(SEARCH("computer",I2056))+ISNUMBER(SEARCH("saas",I2056))+ISNUMBER(SEARCH("fintech",I2056))+ISNUMBER(SEARCH("information services",I2056))+ISNUMBER(SEARCH("telecommunications",I2056))&gt;0,'Configuración'!$B$27,'Configuración'!$B$28))</f>
        <v>4</v>
      </c>
      <c r="U2056" s="25">
        <f>IF(B2056="","",IF(ISNUMBER(SEARCH("CEO",C2056))+ISNUMBER(SEARCH("Founder",C2056))+ISNUMBER(SEARCH("Owner",C2056))+ISNUMBER(SEARCH("Dueño",C2056))+ISNUMBER(SEARCH("Director General",C2056))+ISNUMBER(SEARCH("Presidente",C2056))+ISNUMBER(SEARCH("President",C2056))&gt;0,'Configuración'!$B$31,IF(ISNUMBER(SEARCH("CMO",C2056))+ISNUMBER(SEARCH("Chief Marketing",C2056))+ISNUMBER(SEARCH("VP Marketing",C2056))+ISNUMBER(SEARCH("Director de Marketing",C2056))+ISNUMBER(SEARCH("Director Marketing",C2056))+ISNUMBER(SEARCH("Head of Marketing",C2056))+ISNUMBER(SEARCH("Head Marketing",C2056))&gt;0,'Configuración'!$B$32,IF(ISNUMBER(SEARCH("Marketing Manager",C2056))+ISNUMBER(SEARCH("Gerente de Marketing",C2056))+ISNUMBER(SEARCH("Growth Manager",C2056))+ISNUMBER(SEARCH("Demand Gen",C2056))+ISNUMBER(SEARCH("Marketing Lead",C2056))&gt;0,'Configuración'!$B$33,IF(ISNUMBER(SEARCH("COO",C2056))+ISNUMBER(SEARCH("CFO",C2056))+ISNUMBER(SEARCH("CTO",C2056))+ISNUMBER(SEARCH("Chief Operating",C2056))+ISNUMBER(SEARCH("Chief Financial",C2056))+ISNUMBER(SEARCH("Gerente General",C2056))+ISNUMBER(SEARCH("General Manager",C2056))&gt;0,'Configuración'!$B$34,'Configuración'!$B$35)))))</f>
        <v>4</v>
      </c>
      <c r="V2056" s="20"/>
      <c r="W2056" s="20"/>
    </row>
    <row r="2057" ht="15.75" customHeight="1">
      <c r="A2057" s="34"/>
      <c r="B2057" s="29" t="s">
        <v>556</v>
      </c>
      <c r="C2057" s="29" t="s">
        <v>175</v>
      </c>
      <c r="D2057" s="29" t="s">
        <v>11313</v>
      </c>
      <c r="E2057" s="29" t="s">
        <v>11314</v>
      </c>
      <c r="F2057" s="30" t="s">
        <v>11315</v>
      </c>
      <c r="G2057" s="30" t="s">
        <v>11316</v>
      </c>
      <c r="H2057" s="43" t="s">
        <v>11317</v>
      </c>
      <c r="I2057" s="29" t="s">
        <v>127</v>
      </c>
      <c r="J2057" s="31">
        <v>3.0</v>
      </c>
      <c r="K2057" s="44"/>
      <c r="L2057" s="44"/>
      <c r="M2057" s="44"/>
      <c r="N2057" s="44"/>
      <c r="O2057" s="44"/>
      <c r="P2057" s="44"/>
      <c r="Q2057" s="44"/>
      <c r="R2057" s="44"/>
      <c r="S2057" s="37">
        <f>IF(B2057="","",IF(ISNUMBER(J2057),IF(J2057&lt;=10,'Configuración'!$B$23,IF(J2057&lt;=50,'Configuración'!$B$24,IF(J2057&lt;=200,'Configuración'!$B$25,0))),0))</f>
        <v>12</v>
      </c>
      <c r="T2057" s="37">
        <f>IF(B2057="","",IF(ISNUMBER(SEARCH("information technology",I2057))+ISNUMBER(SEARCH("software",I2057))+ISNUMBER(SEARCH("internet",I2057))+ISNUMBER(SEARCH("computer",I2057))+ISNUMBER(SEARCH("saas",I2057))+ISNUMBER(SEARCH("fintech",I2057))+ISNUMBER(SEARCH("information services",I2057))+ISNUMBER(SEARCH("telecommunications",I2057))&gt;0,'Configuración'!$B$27,'Configuración'!$B$28))</f>
        <v>12</v>
      </c>
      <c r="U2057" s="25">
        <f>IF(B2057="","",IF(ISNUMBER(SEARCH("CEO",C2057))+ISNUMBER(SEARCH("Founder",C2057))+ISNUMBER(SEARCH("Owner",C2057))+ISNUMBER(SEARCH("Dueño",C2057))+ISNUMBER(SEARCH("Director General",C2057))+ISNUMBER(SEARCH("Presidente",C2057))+ISNUMBER(SEARCH("President",C2057))&gt;0,'Configuración'!$B$31,IF(ISNUMBER(SEARCH("CMO",C2057))+ISNUMBER(SEARCH("Chief Marketing",C2057))+ISNUMBER(SEARCH("VP Marketing",C2057))+ISNUMBER(SEARCH("Director de Marketing",C2057))+ISNUMBER(SEARCH("Director Marketing",C2057))+ISNUMBER(SEARCH("Head of Marketing",C2057))+ISNUMBER(SEARCH("Head Marketing",C2057))&gt;0,'Configuración'!$B$32,IF(ISNUMBER(SEARCH("Marketing Manager",C2057))+ISNUMBER(SEARCH("Gerente de Marketing",C2057))+ISNUMBER(SEARCH("Growth Manager",C2057))+ISNUMBER(SEARCH("Demand Gen",C2057))+ISNUMBER(SEARCH("Marketing Lead",C2057))&gt;0,'Configuración'!$B$33,IF(ISNUMBER(SEARCH("COO",C2057))+ISNUMBER(SEARCH("CFO",C2057))+ISNUMBER(SEARCH("CTO",C2057))+ISNUMBER(SEARCH("Chief Operating",C2057))+ISNUMBER(SEARCH("Chief Financial",C2057))+ISNUMBER(SEARCH("Gerente General",C2057))+ISNUMBER(SEARCH("General Manager",C2057))&gt;0,'Configuración'!$B$34,'Configuración'!$B$35)))))</f>
        <v>12</v>
      </c>
      <c r="V2057" s="20"/>
      <c r="W2057" s="20"/>
    </row>
    <row r="2058" ht="15.75" customHeight="1">
      <c r="A2058" s="34"/>
      <c r="B2058" s="29" t="s">
        <v>1079</v>
      </c>
      <c r="C2058" s="29" t="s">
        <v>304</v>
      </c>
      <c r="D2058" s="29" t="s">
        <v>11318</v>
      </c>
      <c r="E2058" s="29" t="s">
        <v>11319</v>
      </c>
      <c r="F2058" s="30" t="s">
        <v>11320</v>
      </c>
      <c r="G2058" s="30" t="s">
        <v>11321</v>
      </c>
      <c r="H2058" s="43" t="s">
        <v>11322</v>
      </c>
      <c r="I2058" s="29" t="s">
        <v>1343</v>
      </c>
      <c r="J2058" s="31">
        <v>13.0</v>
      </c>
      <c r="K2058" s="44"/>
      <c r="L2058" s="44"/>
      <c r="M2058" s="44"/>
      <c r="N2058" s="44"/>
      <c r="O2058" s="44"/>
      <c r="P2058" s="44"/>
      <c r="Q2058" s="44"/>
      <c r="R2058" s="44"/>
      <c r="S2058" s="37">
        <f>IF(B2058="","",IF(ISNUMBER(J2058),IF(J2058&lt;=10,'Configuración'!$B$23,IF(J2058&lt;=50,'Configuración'!$B$24,IF(J2058&lt;=200,'Configuración'!$B$25,0))),0))</f>
        <v>4</v>
      </c>
      <c r="T2058" s="37">
        <f>IF(B2058="","",IF(ISNUMBER(SEARCH("information technology",I2058))+ISNUMBER(SEARCH("software",I2058))+ISNUMBER(SEARCH("internet",I2058))+ISNUMBER(SEARCH("computer",I2058))+ISNUMBER(SEARCH("saas",I2058))+ISNUMBER(SEARCH("fintech",I2058))+ISNUMBER(SEARCH("information services",I2058))+ISNUMBER(SEARCH("telecommunications",I2058))&gt;0,'Configuración'!$B$27,'Configuración'!$B$28))</f>
        <v>4</v>
      </c>
      <c r="U2058" s="25">
        <f>IF(B2058="","",IF(ISNUMBER(SEARCH("CEO",C2058))+ISNUMBER(SEARCH("Founder",C2058))+ISNUMBER(SEARCH("Owner",C2058))+ISNUMBER(SEARCH("Dueño",C2058))+ISNUMBER(SEARCH("Director General",C2058))+ISNUMBER(SEARCH("Presidente",C2058))+ISNUMBER(SEARCH("President",C2058))&gt;0,'Configuración'!$B$31,IF(ISNUMBER(SEARCH("CMO",C2058))+ISNUMBER(SEARCH("Chief Marketing",C2058))+ISNUMBER(SEARCH("VP Marketing",C2058))+ISNUMBER(SEARCH("Director de Marketing",C2058))+ISNUMBER(SEARCH("Director Marketing",C2058))+ISNUMBER(SEARCH("Head of Marketing",C2058))+ISNUMBER(SEARCH("Head Marketing",C2058))&gt;0,'Configuración'!$B$32,IF(ISNUMBER(SEARCH("Marketing Manager",C2058))+ISNUMBER(SEARCH("Gerente de Marketing",C2058))+ISNUMBER(SEARCH("Growth Manager",C2058))+ISNUMBER(SEARCH("Demand Gen",C2058))+ISNUMBER(SEARCH("Marketing Lead",C2058))&gt;0,'Configuración'!$B$33,IF(ISNUMBER(SEARCH("COO",C2058))+ISNUMBER(SEARCH("CFO",C2058))+ISNUMBER(SEARCH("CTO",C2058))+ISNUMBER(SEARCH("Chief Operating",C2058))+ISNUMBER(SEARCH("Chief Financial",C2058))+ISNUMBER(SEARCH("Gerente General",C2058))+ISNUMBER(SEARCH("General Manager",C2058))&gt;0,'Configuración'!$B$34,'Configuración'!$B$35)))))</f>
        <v>4</v>
      </c>
      <c r="V2058" s="20"/>
      <c r="W2058" s="20"/>
    </row>
    <row r="2059" ht="15.75" customHeight="1">
      <c r="A2059" s="34"/>
      <c r="B2059" s="29" t="s">
        <v>5890</v>
      </c>
      <c r="C2059" s="29" t="s">
        <v>131</v>
      </c>
      <c r="D2059" s="29" t="s">
        <v>11323</v>
      </c>
      <c r="E2059" s="29" t="s">
        <v>11324</v>
      </c>
      <c r="F2059" s="30" t="s">
        <v>11325</v>
      </c>
      <c r="G2059" s="30" t="s">
        <v>11326</v>
      </c>
      <c r="H2059" s="43" t="s">
        <v>11327</v>
      </c>
      <c r="I2059" s="29" t="s">
        <v>3843</v>
      </c>
      <c r="J2059" s="31">
        <v>48.0</v>
      </c>
      <c r="K2059" s="44"/>
      <c r="L2059" s="44"/>
      <c r="M2059" s="44"/>
      <c r="N2059" s="44"/>
      <c r="O2059" s="44"/>
      <c r="P2059" s="44"/>
      <c r="Q2059" s="44"/>
      <c r="R2059" s="44"/>
      <c r="S2059" s="37">
        <f>IF(B2059="","",IF(ISNUMBER(J2059),IF(J2059&lt;=10,'Configuración'!$B$23,IF(J2059&lt;=50,'Configuración'!$B$24,IF(J2059&lt;=200,'Configuración'!$B$25,0))),0))</f>
        <v>4</v>
      </c>
      <c r="T2059" s="37">
        <f>IF(B2059="","",IF(ISNUMBER(SEARCH("information technology",I2059))+ISNUMBER(SEARCH("software",I2059))+ISNUMBER(SEARCH("internet",I2059))+ISNUMBER(SEARCH("computer",I2059))+ISNUMBER(SEARCH("saas",I2059))+ISNUMBER(SEARCH("fintech",I2059))+ISNUMBER(SEARCH("information services",I2059))+ISNUMBER(SEARCH("telecommunications",I2059))&gt;0,'Configuración'!$B$27,'Configuración'!$B$28))</f>
        <v>4</v>
      </c>
      <c r="U2059" s="25">
        <f>IF(B2059="","",IF(ISNUMBER(SEARCH("CEO",C2059))+ISNUMBER(SEARCH("Founder",C2059))+ISNUMBER(SEARCH("Owner",C2059))+ISNUMBER(SEARCH("Dueño",C2059))+ISNUMBER(SEARCH("Director General",C2059))+ISNUMBER(SEARCH("Presidente",C2059))+ISNUMBER(SEARCH("President",C2059))&gt;0,'Configuración'!$B$31,IF(ISNUMBER(SEARCH("CMO",C2059))+ISNUMBER(SEARCH("Chief Marketing",C2059))+ISNUMBER(SEARCH("VP Marketing",C2059))+ISNUMBER(SEARCH("Director de Marketing",C2059))+ISNUMBER(SEARCH("Director Marketing",C2059))+ISNUMBER(SEARCH("Head of Marketing",C2059))+ISNUMBER(SEARCH("Head Marketing",C2059))&gt;0,'Configuración'!$B$32,IF(ISNUMBER(SEARCH("Marketing Manager",C2059))+ISNUMBER(SEARCH("Gerente de Marketing",C2059))+ISNUMBER(SEARCH("Growth Manager",C2059))+ISNUMBER(SEARCH("Demand Gen",C2059))+ISNUMBER(SEARCH("Marketing Lead",C2059))&gt;0,'Configuración'!$B$33,IF(ISNUMBER(SEARCH("COO",C2059))+ISNUMBER(SEARCH("CFO",C2059))+ISNUMBER(SEARCH("CTO",C2059))+ISNUMBER(SEARCH("Chief Operating",C2059))+ISNUMBER(SEARCH("Chief Financial",C2059))+ISNUMBER(SEARCH("Gerente General",C2059))+ISNUMBER(SEARCH("General Manager",C2059))&gt;0,'Configuración'!$B$34,'Configuración'!$B$35)))))</f>
        <v>12</v>
      </c>
      <c r="V2059" s="20"/>
      <c r="W2059" s="20"/>
    </row>
    <row r="2060" ht="15.75" customHeight="1">
      <c r="A2060" s="34"/>
      <c r="B2060" s="29" t="s">
        <v>166</v>
      </c>
      <c r="C2060" s="29" t="s">
        <v>202</v>
      </c>
      <c r="D2060" s="29" t="s">
        <v>11328</v>
      </c>
      <c r="E2060" s="29" t="s">
        <v>11329</v>
      </c>
      <c r="F2060" s="30" t="s">
        <v>11330</v>
      </c>
      <c r="G2060" s="30" t="s">
        <v>11331</v>
      </c>
      <c r="H2060" s="43" t="s">
        <v>11332</v>
      </c>
      <c r="I2060" s="29" t="s">
        <v>116</v>
      </c>
      <c r="J2060" s="31">
        <v>27.0</v>
      </c>
      <c r="K2060" s="44"/>
      <c r="L2060" s="44"/>
      <c r="M2060" s="44"/>
      <c r="N2060" s="44"/>
      <c r="O2060" s="44"/>
      <c r="P2060" s="44"/>
      <c r="Q2060" s="44"/>
      <c r="R2060" s="44"/>
      <c r="S2060" s="37">
        <f>IF(B2060="","",IF(ISNUMBER(J2060),IF(J2060&lt;=10,'Configuración'!$B$23,IF(J2060&lt;=50,'Configuración'!$B$24,IF(J2060&lt;=200,'Configuración'!$B$25,0))),0))</f>
        <v>4</v>
      </c>
      <c r="T2060" s="37">
        <f>IF(B2060="","",IF(ISNUMBER(SEARCH("information technology",I2060))+ISNUMBER(SEARCH("software",I2060))+ISNUMBER(SEARCH("internet",I2060))+ISNUMBER(SEARCH("computer",I2060))+ISNUMBER(SEARCH("saas",I2060))+ISNUMBER(SEARCH("fintech",I2060))+ISNUMBER(SEARCH("information services",I2060))+ISNUMBER(SEARCH("telecommunications",I2060))&gt;0,'Configuración'!$B$27,'Configuración'!$B$28))</f>
        <v>4</v>
      </c>
      <c r="U2060" s="25">
        <f>IF(B2060="","",IF(ISNUMBER(SEARCH("CEO",C2060))+ISNUMBER(SEARCH("Founder",C2060))+ISNUMBER(SEARCH("Owner",C2060))+ISNUMBER(SEARCH("Dueño",C2060))+ISNUMBER(SEARCH("Director General",C2060))+ISNUMBER(SEARCH("Presidente",C2060))+ISNUMBER(SEARCH("President",C2060))&gt;0,'Configuración'!$B$31,IF(ISNUMBER(SEARCH("CMO",C2060))+ISNUMBER(SEARCH("Chief Marketing",C2060))+ISNUMBER(SEARCH("VP Marketing",C2060))+ISNUMBER(SEARCH("Director de Marketing",C2060))+ISNUMBER(SEARCH("Director Marketing",C2060))+ISNUMBER(SEARCH("Head of Marketing",C2060))+ISNUMBER(SEARCH("Head Marketing",C2060))&gt;0,'Configuración'!$B$32,IF(ISNUMBER(SEARCH("Marketing Manager",C2060))+ISNUMBER(SEARCH("Gerente de Marketing",C2060))+ISNUMBER(SEARCH("Growth Manager",C2060))+ISNUMBER(SEARCH("Demand Gen",C2060))+ISNUMBER(SEARCH("Marketing Lead",C2060))&gt;0,'Configuración'!$B$33,IF(ISNUMBER(SEARCH("COO",C2060))+ISNUMBER(SEARCH("CFO",C2060))+ISNUMBER(SEARCH("CTO",C2060))+ISNUMBER(SEARCH("Chief Operating",C2060))+ISNUMBER(SEARCH("Chief Financial",C2060))+ISNUMBER(SEARCH("Gerente General",C2060))+ISNUMBER(SEARCH("General Manager",C2060))&gt;0,'Configuración'!$B$34,'Configuración'!$B$35)))))</f>
        <v>12</v>
      </c>
      <c r="V2060" s="20"/>
      <c r="W2060" s="20"/>
    </row>
    <row r="2061" ht="15.75" customHeight="1">
      <c r="A2061" s="34"/>
      <c r="B2061" s="29" t="s">
        <v>1227</v>
      </c>
      <c r="C2061" s="29" t="s">
        <v>146</v>
      </c>
      <c r="D2061" s="40" t="s">
        <v>10943</v>
      </c>
      <c r="E2061" s="29" t="s">
        <v>11333</v>
      </c>
      <c r="F2061" s="30" t="s">
        <v>11334</v>
      </c>
      <c r="G2061" s="30" t="s">
        <v>10946</v>
      </c>
      <c r="H2061" s="43" t="s">
        <v>10947</v>
      </c>
      <c r="I2061" s="29" t="s">
        <v>127</v>
      </c>
      <c r="J2061" s="31">
        <v>6.0</v>
      </c>
      <c r="K2061" s="44"/>
      <c r="L2061" s="44"/>
      <c r="M2061" s="44"/>
      <c r="N2061" s="44"/>
      <c r="O2061" s="44"/>
      <c r="P2061" s="44"/>
      <c r="Q2061" s="44"/>
      <c r="R2061" s="44"/>
      <c r="S2061" s="37">
        <f>IF(B2061="","",IF(ISNUMBER(J2061),IF(J2061&lt;=10,'Configuración'!$B$23,IF(J2061&lt;=50,'Configuración'!$B$24,IF(J2061&lt;=200,'Configuración'!$B$25,0))),0))</f>
        <v>12</v>
      </c>
      <c r="T2061" s="37">
        <f>IF(B2061="","",IF(ISNUMBER(SEARCH("information technology",I2061))+ISNUMBER(SEARCH("software",I2061))+ISNUMBER(SEARCH("internet",I2061))+ISNUMBER(SEARCH("computer",I2061))+ISNUMBER(SEARCH("saas",I2061))+ISNUMBER(SEARCH("fintech",I2061))+ISNUMBER(SEARCH("information services",I2061))+ISNUMBER(SEARCH("telecommunications",I2061))&gt;0,'Configuración'!$B$27,'Configuración'!$B$28))</f>
        <v>12</v>
      </c>
      <c r="U2061" s="25">
        <f>IF(B2061="","",IF(ISNUMBER(SEARCH("CEO",C2061))+ISNUMBER(SEARCH("Founder",C2061))+ISNUMBER(SEARCH("Owner",C2061))+ISNUMBER(SEARCH("Dueño",C2061))+ISNUMBER(SEARCH("Director General",C2061))+ISNUMBER(SEARCH("Presidente",C2061))+ISNUMBER(SEARCH("President",C2061))&gt;0,'Configuración'!$B$31,IF(ISNUMBER(SEARCH("CMO",C2061))+ISNUMBER(SEARCH("Chief Marketing",C2061))+ISNUMBER(SEARCH("VP Marketing",C2061))+ISNUMBER(SEARCH("Director de Marketing",C2061))+ISNUMBER(SEARCH("Director Marketing",C2061))+ISNUMBER(SEARCH("Head of Marketing",C2061))+ISNUMBER(SEARCH("Head Marketing",C2061))&gt;0,'Configuración'!$B$32,IF(ISNUMBER(SEARCH("Marketing Manager",C2061))+ISNUMBER(SEARCH("Gerente de Marketing",C2061))+ISNUMBER(SEARCH("Growth Manager",C2061))+ISNUMBER(SEARCH("Demand Gen",C2061))+ISNUMBER(SEARCH("Marketing Lead",C2061))&gt;0,'Configuración'!$B$33,IF(ISNUMBER(SEARCH("COO",C2061))+ISNUMBER(SEARCH("CFO",C2061))+ISNUMBER(SEARCH("CTO",C2061))+ISNUMBER(SEARCH("Chief Operating",C2061))+ISNUMBER(SEARCH("Chief Financial",C2061))+ISNUMBER(SEARCH("Gerente General",C2061))+ISNUMBER(SEARCH("General Manager",C2061))&gt;0,'Configuración'!$B$34,'Configuración'!$B$35)))))</f>
        <v>0</v>
      </c>
      <c r="V2061" s="20"/>
      <c r="W2061" s="20"/>
    </row>
    <row r="2062" ht="15.75" customHeight="1">
      <c r="A2062" s="34"/>
      <c r="B2062" s="29" t="s">
        <v>236</v>
      </c>
      <c r="C2062" s="29" t="s">
        <v>597</v>
      </c>
      <c r="D2062" s="30" t="s">
        <v>11335</v>
      </c>
      <c r="E2062" s="29" t="s">
        <v>11336</v>
      </c>
      <c r="F2062" s="30" t="s">
        <v>11337</v>
      </c>
      <c r="G2062" s="30" t="s">
        <v>11338</v>
      </c>
      <c r="H2062" s="43" t="s">
        <v>11339</v>
      </c>
      <c r="I2062" s="29" t="s">
        <v>127</v>
      </c>
      <c r="J2062" s="31">
        <v>2.0</v>
      </c>
      <c r="K2062" s="44"/>
      <c r="L2062" s="44"/>
      <c r="M2062" s="44"/>
      <c r="N2062" s="44"/>
      <c r="O2062" s="44"/>
      <c r="P2062" s="44"/>
      <c r="Q2062" s="44"/>
      <c r="R2062" s="44"/>
      <c r="S2062" s="37">
        <f>IF(B2062="","",IF(ISNUMBER(J2062),IF(J2062&lt;=10,'Configuración'!$B$23,IF(J2062&lt;=50,'Configuración'!$B$24,IF(J2062&lt;=200,'Configuración'!$B$25,0))),0))</f>
        <v>12</v>
      </c>
      <c r="T2062" s="37">
        <f>IF(B2062="","",IF(ISNUMBER(SEARCH("information technology",I2062))+ISNUMBER(SEARCH("software",I2062))+ISNUMBER(SEARCH("internet",I2062))+ISNUMBER(SEARCH("computer",I2062))+ISNUMBER(SEARCH("saas",I2062))+ISNUMBER(SEARCH("fintech",I2062))+ISNUMBER(SEARCH("information services",I2062))+ISNUMBER(SEARCH("telecommunications",I2062))&gt;0,'Configuración'!$B$27,'Configuración'!$B$28))</f>
        <v>12</v>
      </c>
      <c r="U2062" s="25">
        <f>IF(B2062="","",IF(ISNUMBER(SEARCH("CEO",C2062))+ISNUMBER(SEARCH("Founder",C2062))+ISNUMBER(SEARCH("Owner",C2062))+ISNUMBER(SEARCH("Dueño",C2062))+ISNUMBER(SEARCH("Director General",C2062))+ISNUMBER(SEARCH("Presidente",C2062))+ISNUMBER(SEARCH("President",C2062))&gt;0,'Configuración'!$B$31,IF(ISNUMBER(SEARCH("CMO",C2062))+ISNUMBER(SEARCH("Chief Marketing",C2062))+ISNUMBER(SEARCH("VP Marketing",C2062))+ISNUMBER(SEARCH("Director de Marketing",C2062))+ISNUMBER(SEARCH("Director Marketing",C2062))+ISNUMBER(SEARCH("Head of Marketing",C2062))+ISNUMBER(SEARCH("Head Marketing",C2062))&gt;0,'Configuración'!$B$32,IF(ISNUMBER(SEARCH("Marketing Manager",C2062))+ISNUMBER(SEARCH("Gerente de Marketing",C2062))+ISNUMBER(SEARCH("Growth Manager",C2062))+ISNUMBER(SEARCH("Demand Gen",C2062))+ISNUMBER(SEARCH("Marketing Lead",C2062))&gt;0,'Configuración'!$B$33,IF(ISNUMBER(SEARCH("COO",C2062))+ISNUMBER(SEARCH("CFO",C2062))+ISNUMBER(SEARCH("CTO",C2062))+ISNUMBER(SEARCH("Chief Operating",C2062))+ISNUMBER(SEARCH("Chief Financial",C2062))+ISNUMBER(SEARCH("Gerente General",C2062))+ISNUMBER(SEARCH("General Manager",C2062))&gt;0,'Configuración'!$B$34,'Configuración'!$B$35)))))</f>
        <v>12</v>
      </c>
      <c r="V2062" s="20"/>
      <c r="W2062" s="20"/>
    </row>
    <row r="2063" ht="15.75" customHeight="1">
      <c r="A2063" s="34"/>
      <c r="B2063" s="29" t="s">
        <v>367</v>
      </c>
      <c r="C2063" s="29" t="s">
        <v>778</v>
      </c>
      <c r="D2063" s="29" t="s">
        <v>11340</v>
      </c>
      <c r="E2063" s="29" t="s">
        <v>11341</v>
      </c>
      <c r="F2063" s="30" t="s">
        <v>11342</v>
      </c>
      <c r="G2063" s="30" t="s">
        <v>11343</v>
      </c>
      <c r="H2063" s="43" t="s">
        <v>11344</v>
      </c>
      <c r="I2063" s="29" t="s">
        <v>990</v>
      </c>
      <c r="J2063" s="31">
        <v>14.0</v>
      </c>
      <c r="K2063" s="44"/>
      <c r="L2063" s="44"/>
      <c r="M2063" s="44"/>
      <c r="N2063" s="44"/>
      <c r="O2063" s="44"/>
      <c r="P2063" s="44"/>
      <c r="Q2063" s="44"/>
      <c r="R2063" s="44"/>
      <c r="S2063" s="37">
        <f>IF(B2063="","",IF(ISNUMBER(J2063),IF(J2063&lt;=10,'Configuración'!$B$23,IF(J2063&lt;=50,'Configuración'!$B$24,IF(J2063&lt;=200,'Configuración'!$B$25,0))),0))</f>
        <v>4</v>
      </c>
      <c r="T2063" s="37">
        <f>IF(B2063="","",IF(ISNUMBER(SEARCH("information technology",I2063))+ISNUMBER(SEARCH("software",I2063))+ISNUMBER(SEARCH("internet",I2063))+ISNUMBER(SEARCH("computer",I2063))+ISNUMBER(SEARCH("saas",I2063))+ISNUMBER(SEARCH("fintech",I2063))+ISNUMBER(SEARCH("information services",I2063))+ISNUMBER(SEARCH("telecommunications",I2063))&gt;0,'Configuración'!$B$27,'Configuración'!$B$28))</f>
        <v>4</v>
      </c>
      <c r="U2063" s="25">
        <f>IF(B2063="","",IF(ISNUMBER(SEARCH("CEO",C2063))+ISNUMBER(SEARCH("Founder",C2063))+ISNUMBER(SEARCH("Owner",C2063))+ISNUMBER(SEARCH("Dueño",C2063))+ISNUMBER(SEARCH("Director General",C2063))+ISNUMBER(SEARCH("Presidente",C2063))+ISNUMBER(SEARCH("President",C2063))&gt;0,'Configuración'!$B$31,IF(ISNUMBER(SEARCH("CMO",C2063))+ISNUMBER(SEARCH("Chief Marketing",C2063))+ISNUMBER(SEARCH("VP Marketing",C2063))+ISNUMBER(SEARCH("Director de Marketing",C2063))+ISNUMBER(SEARCH("Director Marketing",C2063))+ISNUMBER(SEARCH("Head of Marketing",C2063))+ISNUMBER(SEARCH("Head Marketing",C2063))&gt;0,'Configuración'!$B$32,IF(ISNUMBER(SEARCH("Marketing Manager",C2063))+ISNUMBER(SEARCH("Gerente de Marketing",C2063))+ISNUMBER(SEARCH("Growth Manager",C2063))+ISNUMBER(SEARCH("Demand Gen",C2063))+ISNUMBER(SEARCH("Marketing Lead",C2063))&gt;0,'Configuración'!$B$33,IF(ISNUMBER(SEARCH("COO",C2063))+ISNUMBER(SEARCH("CFO",C2063))+ISNUMBER(SEARCH("CTO",C2063))+ISNUMBER(SEARCH("Chief Operating",C2063))+ISNUMBER(SEARCH("Chief Financial",C2063))+ISNUMBER(SEARCH("Gerente General",C2063))+ISNUMBER(SEARCH("General Manager",C2063))&gt;0,'Configuración'!$B$34,'Configuración'!$B$35)))))</f>
        <v>12</v>
      </c>
      <c r="V2063" s="20"/>
      <c r="W2063" s="20"/>
    </row>
    <row r="2064" ht="15.75" customHeight="1">
      <c r="A2064" s="34"/>
      <c r="B2064" s="29" t="s">
        <v>174</v>
      </c>
      <c r="C2064" s="29" t="s">
        <v>11345</v>
      </c>
      <c r="D2064" s="29" t="s">
        <v>10976</v>
      </c>
      <c r="E2064" s="29" t="s">
        <v>11346</v>
      </c>
      <c r="F2064" s="30" t="s">
        <v>11347</v>
      </c>
      <c r="G2064" s="30" t="s">
        <v>10979</v>
      </c>
      <c r="H2064" s="43" t="s">
        <v>10980</v>
      </c>
      <c r="I2064" s="29" t="s">
        <v>127</v>
      </c>
      <c r="J2064" s="31">
        <v>32.0</v>
      </c>
      <c r="K2064" s="44"/>
      <c r="L2064" s="44"/>
      <c r="M2064" s="44"/>
      <c r="N2064" s="44"/>
      <c r="O2064" s="44"/>
      <c r="P2064" s="44"/>
      <c r="Q2064" s="44"/>
      <c r="R2064" s="44"/>
      <c r="S2064" s="37">
        <f>IF(B2064="","",IF(ISNUMBER(J2064),IF(J2064&lt;=10,'Configuración'!$B$23,IF(J2064&lt;=50,'Configuración'!$B$24,IF(J2064&lt;=200,'Configuración'!$B$25,0))),0))</f>
        <v>4</v>
      </c>
      <c r="T2064" s="37">
        <f>IF(B2064="","",IF(ISNUMBER(SEARCH("information technology",I2064))+ISNUMBER(SEARCH("software",I2064))+ISNUMBER(SEARCH("internet",I2064))+ISNUMBER(SEARCH("computer",I2064))+ISNUMBER(SEARCH("saas",I2064))+ISNUMBER(SEARCH("fintech",I2064))+ISNUMBER(SEARCH("information services",I2064))+ISNUMBER(SEARCH("telecommunications",I2064))&gt;0,'Configuración'!$B$27,'Configuración'!$B$28))</f>
        <v>12</v>
      </c>
      <c r="U2064" s="25">
        <f>IF(B2064="","",IF(ISNUMBER(SEARCH("CEO",C2064))+ISNUMBER(SEARCH("Founder",C2064))+ISNUMBER(SEARCH("Owner",C2064))+ISNUMBER(SEARCH("Dueño",C2064))+ISNUMBER(SEARCH("Director General",C2064))+ISNUMBER(SEARCH("Presidente",C2064))+ISNUMBER(SEARCH("President",C2064))&gt;0,'Configuración'!$B$31,IF(ISNUMBER(SEARCH("CMO",C2064))+ISNUMBER(SEARCH("Chief Marketing",C2064))+ISNUMBER(SEARCH("VP Marketing",C2064))+ISNUMBER(SEARCH("Director de Marketing",C2064))+ISNUMBER(SEARCH("Director Marketing",C2064))+ISNUMBER(SEARCH("Head of Marketing",C2064))+ISNUMBER(SEARCH("Head Marketing",C2064))&gt;0,'Configuración'!$B$32,IF(ISNUMBER(SEARCH("Marketing Manager",C2064))+ISNUMBER(SEARCH("Gerente de Marketing",C2064))+ISNUMBER(SEARCH("Growth Manager",C2064))+ISNUMBER(SEARCH("Demand Gen",C2064))+ISNUMBER(SEARCH("Marketing Lead",C2064))&gt;0,'Configuración'!$B$33,IF(ISNUMBER(SEARCH("COO",C2064))+ISNUMBER(SEARCH("CFO",C2064))+ISNUMBER(SEARCH("CTO",C2064))+ISNUMBER(SEARCH("Chief Operating",C2064))+ISNUMBER(SEARCH("Chief Financial",C2064))+ISNUMBER(SEARCH("Gerente General",C2064))+ISNUMBER(SEARCH("General Manager",C2064))&gt;0,'Configuración'!$B$34,'Configuración'!$B$35)))))</f>
        <v>4</v>
      </c>
      <c r="V2064" s="20"/>
      <c r="W2064" s="20"/>
    </row>
    <row r="2065" ht="15.75" customHeight="1">
      <c r="A2065" s="34"/>
      <c r="B2065" s="29" t="s">
        <v>223</v>
      </c>
      <c r="C2065" s="29" t="s">
        <v>175</v>
      </c>
      <c r="D2065" s="29" t="s">
        <v>11348</v>
      </c>
      <c r="E2065" s="29" t="s">
        <v>11349</v>
      </c>
      <c r="F2065" s="30" t="s">
        <v>11350</v>
      </c>
      <c r="G2065" s="30" t="s">
        <v>11351</v>
      </c>
      <c r="H2065" s="43" t="s">
        <v>11352</v>
      </c>
      <c r="I2065" s="29" t="s">
        <v>127</v>
      </c>
      <c r="J2065" s="31">
        <v>5.0</v>
      </c>
      <c r="K2065" s="44"/>
      <c r="L2065" s="44"/>
      <c r="M2065" s="44"/>
      <c r="N2065" s="44"/>
      <c r="O2065" s="44"/>
      <c r="P2065" s="44"/>
      <c r="Q2065" s="44"/>
      <c r="R2065" s="44"/>
      <c r="S2065" s="37">
        <f>IF(B2065="","",IF(ISNUMBER(J2065),IF(J2065&lt;=10,'Configuración'!$B$23,IF(J2065&lt;=50,'Configuración'!$B$24,IF(J2065&lt;=200,'Configuración'!$B$25,0))),0))</f>
        <v>12</v>
      </c>
      <c r="T2065" s="37">
        <f>IF(B2065="","",IF(ISNUMBER(SEARCH("information technology",I2065))+ISNUMBER(SEARCH("software",I2065))+ISNUMBER(SEARCH("internet",I2065))+ISNUMBER(SEARCH("computer",I2065))+ISNUMBER(SEARCH("saas",I2065))+ISNUMBER(SEARCH("fintech",I2065))+ISNUMBER(SEARCH("information services",I2065))+ISNUMBER(SEARCH("telecommunications",I2065))&gt;0,'Configuración'!$B$27,'Configuración'!$B$28))</f>
        <v>12</v>
      </c>
      <c r="U2065" s="25">
        <f>IF(B2065="","",IF(ISNUMBER(SEARCH("CEO",C2065))+ISNUMBER(SEARCH("Founder",C2065))+ISNUMBER(SEARCH("Owner",C2065))+ISNUMBER(SEARCH("Dueño",C2065))+ISNUMBER(SEARCH("Director General",C2065))+ISNUMBER(SEARCH("Presidente",C2065))+ISNUMBER(SEARCH("President",C2065))&gt;0,'Configuración'!$B$31,IF(ISNUMBER(SEARCH("CMO",C2065))+ISNUMBER(SEARCH("Chief Marketing",C2065))+ISNUMBER(SEARCH("VP Marketing",C2065))+ISNUMBER(SEARCH("Director de Marketing",C2065))+ISNUMBER(SEARCH("Director Marketing",C2065))+ISNUMBER(SEARCH("Head of Marketing",C2065))+ISNUMBER(SEARCH("Head Marketing",C2065))&gt;0,'Configuración'!$B$32,IF(ISNUMBER(SEARCH("Marketing Manager",C2065))+ISNUMBER(SEARCH("Gerente de Marketing",C2065))+ISNUMBER(SEARCH("Growth Manager",C2065))+ISNUMBER(SEARCH("Demand Gen",C2065))+ISNUMBER(SEARCH("Marketing Lead",C2065))&gt;0,'Configuración'!$B$33,IF(ISNUMBER(SEARCH("COO",C2065))+ISNUMBER(SEARCH("CFO",C2065))+ISNUMBER(SEARCH("CTO",C2065))+ISNUMBER(SEARCH("Chief Operating",C2065))+ISNUMBER(SEARCH("Chief Financial",C2065))+ISNUMBER(SEARCH("Gerente General",C2065))+ISNUMBER(SEARCH("General Manager",C2065))&gt;0,'Configuración'!$B$34,'Configuración'!$B$35)))))</f>
        <v>12</v>
      </c>
      <c r="V2065" s="20"/>
      <c r="W2065" s="20"/>
    </row>
    <row r="2066" ht="15.75" customHeight="1">
      <c r="A2066" s="34"/>
      <c r="B2066" s="29" t="s">
        <v>11353</v>
      </c>
      <c r="C2066" s="29" t="s">
        <v>487</v>
      </c>
      <c r="D2066" s="29" t="s">
        <v>11354</v>
      </c>
      <c r="E2066" s="29" t="s">
        <v>11355</v>
      </c>
      <c r="F2066" s="30" t="s">
        <v>11356</v>
      </c>
      <c r="G2066" s="30" t="s">
        <v>11357</v>
      </c>
      <c r="H2066" s="43" t="s">
        <v>11358</v>
      </c>
      <c r="I2066" s="29" t="s">
        <v>127</v>
      </c>
      <c r="J2066" s="31">
        <v>25.0</v>
      </c>
      <c r="K2066" s="44"/>
      <c r="L2066" s="44"/>
      <c r="M2066" s="44"/>
      <c r="N2066" s="44"/>
      <c r="O2066" s="44"/>
      <c r="P2066" s="44"/>
      <c r="Q2066" s="44"/>
      <c r="R2066" s="44"/>
      <c r="S2066" s="37">
        <f>IF(B2066="","",IF(ISNUMBER(J2066),IF(J2066&lt;=10,'Configuración'!$B$23,IF(J2066&lt;=50,'Configuración'!$B$24,IF(J2066&lt;=200,'Configuración'!$B$25,0))),0))</f>
        <v>4</v>
      </c>
      <c r="T2066" s="37">
        <f>IF(B2066="","",IF(ISNUMBER(SEARCH("information technology",I2066))+ISNUMBER(SEARCH("software",I2066))+ISNUMBER(SEARCH("internet",I2066))+ISNUMBER(SEARCH("computer",I2066))+ISNUMBER(SEARCH("saas",I2066))+ISNUMBER(SEARCH("fintech",I2066))+ISNUMBER(SEARCH("information services",I2066))+ISNUMBER(SEARCH("telecommunications",I2066))&gt;0,'Configuración'!$B$27,'Configuración'!$B$28))</f>
        <v>12</v>
      </c>
      <c r="U2066" s="25">
        <f>IF(B2066="","",IF(ISNUMBER(SEARCH("CEO",C2066))+ISNUMBER(SEARCH("Founder",C2066))+ISNUMBER(SEARCH("Owner",C2066))+ISNUMBER(SEARCH("Dueño",C2066))+ISNUMBER(SEARCH("Director General",C2066))+ISNUMBER(SEARCH("Presidente",C2066))+ISNUMBER(SEARCH("President",C2066))&gt;0,'Configuración'!$B$31,IF(ISNUMBER(SEARCH("CMO",C2066))+ISNUMBER(SEARCH("Chief Marketing",C2066))+ISNUMBER(SEARCH("VP Marketing",C2066))+ISNUMBER(SEARCH("Director de Marketing",C2066))+ISNUMBER(SEARCH("Director Marketing",C2066))+ISNUMBER(SEARCH("Head of Marketing",C2066))+ISNUMBER(SEARCH("Head Marketing",C2066))&gt;0,'Configuración'!$B$32,IF(ISNUMBER(SEARCH("Marketing Manager",C2066))+ISNUMBER(SEARCH("Gerente de Marketing",C2066))+ISNUMBER(SEARCH("Growth Manager",C2066))+ISNUMBER(SEARCH("Demand Gen",C2066))+ISNUMBER(SEARCH("Marketing Lead",C2066))&gt;0,'Configuración'!$B$33,IF(ISNUMBER(SEARCH("COO",C2066))+ISNUMBER(SEARCH("CFO",C2066))+ISNUMBER(SEARCH("CTO",C2066))+ISNUMBER(SEARCH("Chief Operating",C2066))+ISNUMBER(SEARCH("Chief Financial",C2066))+ISNUMBER(SEARCH("Gerente General",C2066))+ISNUMBER(SEARCH("General Manager",C2066))&gt;0,'Configuración'!$B$34,'Configuración'!$B$35)))))</f>
        <v>12</v>
      </c>
      <c r="V2066" s="20"/>
      <c r="W2066" s="20"/>
    </row>
    <row r="2067" ht="15.75" customHeight="1">
      <c r="A2067" s="34"/>
      <c r="B2067" s="29" t="s">
        <v>296</v>
      </c>
      <c r="C2067" s="29" t="s">
        <v>11359</v>
      </c>
      <c r="D2067" s="29" t="s">
        <v>11360</v>
      </c>
      <c r="E2067" s="29" t="s">
        <v>11361</v>
      </c>
      <c r="F2067" s="30" t="s">
        <v>11362</v>
      </c>
      <c r="G2067" s="30" t="s">
        <v>11363</v>
      </c>
      <c r="H2067" s="43" t="s">
        <v>11364</v>
      </c>
      <c r="I2067" s="29" t="s">
        <v>127</v>
      </c>
      <c r="J2067" s="31">
        <v>3.0</v>
      </c>
      <c r="K2067" s="44"/>
      <c r="L2067" s="44"/>
      <c r="M2067" s="44"/>
      <c r="N2067" s="44"/>
      <c r="O2067" s="44"/>
      <c r="P2067" s="44"/>
      <c r="Q2067" s="44"/>
      <c r="R2067" s="44"/>
      <c r="S2067" s="37">
        <f>IF(B2067="","",IF(ISNUMBER(J2067),IF(J2067&lt;=10,'Configuración'!$B$23,IF(J2067&lt;=50,'Configuración'!$B$24,IF(J2067&lt;=200,'Configuración'!$B$25,0))),0))</f>
        <v>12</v>
      </c>
      <c r="T2067" s="37">
        <f>IF(B2067="","",IF(ISNUMBER(SEARCH("information technology",I2067))+ISNUMBER(SEARCH("software",I2067))+ISNUMBER(SEARCH("internet",I2067))+ISNUMBER(SEARCH("computer",I2067))+ISNUMBER(SEARCH("saas",I2067))+ISNUMBER(SEARCH("fintech",I2067))+ISNUMBER(SEARCH("information services",I2067))+ISNUMBER(SEARCH("telecommunications",I2067))&gt;0,'Configuración'!$B$27,'Configuración'!$B$28))</f>
        <v>12</v>
      </c>
      <c r="U2067" s="25">
        <f>IF(B2067="","",IF(ISNUMBER(SEARCH("CEO",C2067))+ISNUMBER(SEARCH("Founder",C2067))+ISNUMBER(SEARCH("Owner",C2067))+ISNUMBER(SEARCH("Dueño",C2067))+ISNUMBER(SEARCH("Director General",C2067))+ISNUMBER(SEARCH("Presidente",C2067))+ISNUMBER(SEARCH("President",C2067))&gt;0,'Configuración'!$B$31,IF(ISNUMBER(SEARCH("CMO",C2067))+ISNUMBER(SEARCH("Chief Marketing",C2067))+ISNUMBER(SEARCH("VP Marketing",C2067))+ISNUMBER(SEARCH("Director de Marketing",C2067))+ISNUMBER(SEARCH("Director Marketing",C2067))+ISNUMBER(SEARCH("Head of Marketing",C2067))+ISNUMBER(SEARCH("Head Marketing",C2067))&gt;0,'Configuración'!$B$32,IF(ISNUMBER(SEARCH("Marketing Manager",C2067))+ISNUMBER(SEARCH("Gerente de Marketing",C2067))+ISNUMBER(SEARCH("Growth Manager",C2067))+ISNUMBER(SEARCH("Demand Gen",C2067))+ISNUMBER(SEARCH("Marketing Lead",C2067))&gt;0,'Configuración'!$B$33,IF(ISNUMBER(SEARCH("COO",C2067))+ISNUMBER(SEARCH("CFO",C2067))+ISNUMBER(SEARCH("CTO",C2067))+ISNUMBER(SEARCH("Chief Operating",C2067))+ISNUMBER(SEARCH("Chief Financial",C2067))+ISNUMBER(SEARCH("Gerente General",C2067))+ISNUMBER(SEARCH("General Manager",C2067))&gt;0,'Configuración'!$B$34,'Configuración'!$B$35)))))</f>
        <v>12</v>
      </c>
      <c r="V2067" s="20"/>
      <c r="W2067" s="20"/>
    </row>
    <row r="2068" ht="15.75" customHeight="1">
      <c r="A2068" s="34"/>
      <c r="B2068" s="29" t="s">
        <v>209</v>
      </c>
      <c r="C2068" s="29" t="s">
        <v>11365</v>
      </c>
      <c r="D2068" s="29" t="s">
        <v>11366</v>
      </c>
      <c r="E2068" s="29" t="s">
        <v>11367</v>
      </c>
      <c r="F2068" s="30" t="s">
        <v>11368</v>
      </c>
      <c r="G2068" s="30" t="s">
        <v>11369</v>
      </c>
      <c r="H2068" s="43" t="s">
        <v>11370</v>
      </c>
      <c r="I2068" s="29" t="s">
        <v>188</v>
      </c>
      <c r="J2068" s="31">
        <v>1.0</v>
      </c>
      <c r="K2068" s="44"/>
      <c r="L2068" s="44"/>
      <c r="M2068" s="44"/>
      <c r="N2068" s="44"/>
      <c r="O2068" s="44"/>
      <c r="P2068" s="44"/>
      <c r="Q2068" s="44"/>
      <c r="R2068" s="44"/>
      <c r="S2068" s="37">
        <f>IF(B2068="","",IF(ISNUMBER(J2068),IF(J2068&lt;=10,'Configuración'!$B$23,IF(J2068&lt;=50,'Configuración'!$B$24,IF(J2068&lt;=200,'Configuración'!$B$25,0))),0))</f>
        <v>12</v>
      </c>
      <c r="T2068" s="37">
        <f>IF(B2068="","",IF(ISNUMBER(SEARCH("information technology",I2068))+ISNUMBER(SEARCH("software",I2068))+ISNUMBER(SEARCH("internet",I2068))+ISNUMBER(SEARCH("computer",I2068))+ISNUMBER(SEARCH("saas",I2068))+ISNUMBER(SEARCH("fintech",I2068))+ISNUMBER(SEARCH("information services",I2068))+ISNUMBER(SEARCH("telecommunications",I2068))&gt;0,'Configuración'!$B$27,'Configuración'!$B$28))</f>
        <v>4</v>
      </c>
      <c r="U2068" s="25">
        <f>IF(B2068="","",IF(ISNUMBER(SEARCH("CEO",C2068))+ISNUMBER(SEARCH("Founder",C2068))+ISNUMBER(SEARCH("Owner",C2068))+ISNUMBER(SEARCH("Dueño",C2068))+ISNUMBER(SEARCH("Director General",C2068))+ISNUMBER(SEARCH("Presidente",C2068))+ISNUMBER(SEARCH("President",C2068))&gt;0,'Configuración'!$B$31,IF(ISNUMBER(SEARCH("CMO",C2068))+ISNUMBER(SEARCH("Chief Marketing",C2068))+ISNUMBER(SEARCH("VP Marketing",C2068))+ISNUMBER(SEARCH("Director de Marketing",C2068))+ISNUMBER(SEARCH("Director Marketing",C2068))+ISNUMBER(SEARCH("Head of Marketing",C2068))+ISNUMBER(SEARCH("Head Marketing",C2068))&gt;0,'Configuración'!$B$32,IF(ISNUMBER(SEARCH("Marketing Manager",C2068))+ISNUMBER(SEARCH("Gerente de Marketing",C2068))+ISNUMBER(SEARCH("Growth Manager",C2068))+ISNUMBER(SEARCH("Demand Gen",C2068))+ISNUMBER(SEARCH("Marketing Lead",C2068))&gt;0,'Configuración'!$B$33,IF(ISNUMBER(SEARCH("COO",C2068))+ISNUMBER(SEARCH("CFO",C2068))+ISNUMBER(SEARCH("CTO",C2068))+ISNUMBER(SEARCH("Chief Operating",C2068))+ISNUMBER(SEARCH("Chief Financial",C2068))+ISNUMBER(SEARCH("Gerente General",C2068))+ISNUMBER(SEARCH("General Manager",C2068))&gt;0,'Configuración'!$B$34,'Configuración'!$B$35)))))</f>
        <v>4</v>
      </c>
      <c r="V2068" s="20"/>
      <c r="W2068" s="20"/>
    </row>
    <row r="2069" ht="15.75" customHeight="1">
      <c r="A2069" s="34"/>
      <c r="B2069" s="29" t="s">
        <v>2757</v>
      </c>
      <c r="C2069" s="29" t="s">
        <v>11371</v>
      </c>
      <c r="D2069" s="29" t="s">
        <v>11372</v>
      </c>
      <c r="E2069" s="29" t="s">
        <v>11373</v>
      </c>
      <c r="F2069" s="30" t="s">
        <v>11374</v>
      </c>
      <c r="G2069" s="30" t="s">
        <v>11375</v>
      </c>
      <c r="H2069" s="43" t="s">
        <v>11376</v>
      </c>
      <c r="I2069" s="29" t="s">
        <v>2694</v>
      </c>
      <c r="J2069" s="31">
        <v>2.0</v>
      </c>
      <c r="K2069" s="44"/>
      <c r="L2069" s="44"/>
      <c r="M2069" s="44"/>
      <c r="N2069" s="44"/>
      <c r="O2069" s="44"/>
      <c r="P2069" s="44"/>
      <c r="Q2069" s="44"/>
      <c r="R2069" s="44"/>
      <c r="S2069" s="37">
        <f>IF(B2069="","",IF(ISNUMBER(J2069),IF(J2069&lt;=10,'Configuración'!$B$23,IF(J2069&lt;=50,'Configuración'!$B$24,IF(J2069&lt;=200,'Configuración'!$B$25,0))),0))</f>
        <v>12</v>
      </c>
      <c r="T2069" s="37">
        <f>IF(B2069="","",IF(ISNUMBER(SEARCH("information technology",I2069))+ISNUMBER(SEARCH("software",I2069))+ISNUMBER(SEARCH("internet",I2069))+ISNUMBER(SEARCH("computer",I2069))+ISNUMBER(SEARCH("saas",I2069))+ISNUMBER(SEARCH("fintech",I2069))+ISNUMBER(SEARCH("information services",I2069))+ISNUMBER(SEARCH("telecommunications",I2069))&gt;0,'Configuración'!$B$27,'Configuración'!$B$28))</f>
        <v>4</v>
      </c>
      <c r="U2069" s="25">
        <f>IF(B2069="","",IF(ISNUMBER(SEARCH("CEO",C2069))+ISNUMBER(SEARCH("Founder",C2069))+ISNUMBER(SEARCH("Owner",C2069))+ISNUMBER(SEARCH("Dueño",C2069))+ISNUMBER(SEARCH("Director General",C2069))+ISNUMBER(SEARCH("Presidente",C2069))+ISNUMBER(SEARCH("President",C2069))&gt;0,'Configuración'!$B$31,IF(ISNUMBER(SEARCH("CMO",C2069))+ISNUMBER(SEARCH("Chief Marketing",C2069))+ISNUMBER(SEARCH("VP Marketing",C2069))+ISNUMBER(SEARCH("Director de Marketing",C2069))+ISNUMBER(SEARCH("Director Marketing",C2069))+ISNUMBER(SEARCH("Head of Marketing",C2069))+ISNUMBER(SEARCH("Head Marketing",C2069))&gt;0,'Configuración'!$B$32,IF(ISNUMBER(SEARCH("Marketing Manager",C2069))+ISNUMBER(SEARCH("Gerente de Marketing",C2069))+ISNUMBER(SEARCH("Growth Manager",C2069))+ISNUMBER(SEARCH("Demand Gen",C2069))+ISNUMBER(SEARCH("Marketing Lead",C2069))&gt;0,'Configuración'!$B$33,IF(ISNUMBER(SEARCH("COO",C2069))+ISNUMBER(SEARCH("CFO",C2069))+ISNUMBER(SEARCH("CTO",C2069))+ISNUMBER(SEARCH("Chief Operating",C2069))+ISNUMBER(SEARCH("Chief Financial",C2069))+ISNUMBER(SEARCH("Gerente General",C2069))+ISNUMBER(SEARCH("General Manager",C2069))&gt;0,'Configuración'!$B$34,'Configuración'!$B$35)))))</f>
        <v>12</v>
      </c>
      <c r="V2069" s="20"/>
      <c r="W2069" s="20"/>
    </row>
    <row r="2070" ht="15.75" customHeight="1">
      <c r="A2070" s="34"/>
      <c r="B2070" s="29" t="s">
        <v>11377</v>
      </c>
      <c r="C2070" s="29" t="s">
        <v>487</v>
      </c>
      <c r="D2070" s="29" t="s">
        <v>11378</v>
      </c>
      <c r="E2070" s="29" t="s">
        <v>11379</v>
      </c>
      <c r="F2070" s="30" t="s">
        <v>11380</v>
      </c>
      <c r="G2070" s="30" t="s">
        <v>11381</v>
      </c>
      <c r="H2070" s="43" t="s">
        <v>11382</v>
      </c>
      <c r="I2070" s="29" t="s">
        <v>847</v>
      </c>
      <c r="J2070" s="31">
        <v>5.0</v>
      </c>
      <c r="K2070" s="44"/>
      <c r="L2070" s="44"/>
      <c r="M2070" s="44"/>
      <c r="N2070" s="44"/>
      <c r="O2070" s="44"/>
      <c r="P2070" s="44"/>
      <c r="Q2070" s="44"/>
      <c r="R2070" s="44"/>
      <c r="S2070" s="37">
        <f>IF(B2070="","",IF(ISNUMBER(J2070),IF(J2070&lt;=10,'Configuración'!$B$23,IF(J2070&lt;=50,'Configuración'!$B$24,IF(J2070&lt;=200,'Configuración'!$B$25,0))),0))</f>
        <v>12</v>
      </c>
      <c r="T2070" s="37">
        <f>IF(B2070="","",IF(ISNUMBER(SEARCH("information technology",I2070))+ISNUMBER(SEARCH("software",I2070))+ISNUMBER(SEARCH("internet",I2070))+ISNUMBER(SEARCH("computer",I2070))+ISNUMBER(SEARCH("saas",I2070))+ISNUMBER(SEARCH("fintech",I2070))+ISNUMBER(SEARCH("information services",I2070))+ISNUMBER(SEARCH("telecommunications",I2070))&gt;0,'Configuración'!$B$27,'Configuración'!$B$28))</f>
        <v>4</v>
      </c>
      <c r="U2070" s="25">
        <f>IF(B2070="","",IF(ISNUMBER(SEARCH("CEO",C2070))+ISNUMBER(SEARCH("Founder",C2070))+ISNUMBER(SEARCH("Owner",C2070))+ISNUMBER(SEARCH("Dueño",C2070))+ISNUMBER(SEARCH("Director General",C2070))+ISNUMBER(SEARCH("Presidente",C2070))+ISNUMBER(SEARCH("President",C2070))&gt;0,'Configuración'!$B$31,IF(ISNUMBER(SEARCH("CMO",C2070))+ISNUMBER(SEARCH("Chief Marketing",C2070))+ISNUMBER(SEARCH("VP Marketing",C2070))+ISNUMBER(SEARCH("Director de Marketing",C2070))+ISNUMBER(SEARCH("Director Marketing",C2070))+ISNUMBER(SEARCH("Head of Marketing",C2070))+ISNUMBER(SEARCH("Head Marketing",C2070))&gt;0,'Configuración'!$B$32,IF(ISNUMBER(SEARCH("Marketing Manager",C2070))+ISNUMBER(SEARCH("Gerente de Marketing",C2070))+ISNUMBER(SEARCH("Growth Manager",C2070))+ISNUMBER(SEARCH("Demand Gen",C2070))+ISNUMBER(SEARCH("Marketing Lead",C2070))&gt;0,'Configuración'!$B$33,IF(ISNUMBER(SEARCH("COO",C2070))+ISNUMBER(SEARCH("CFO",C2070))+ISNUMBER(SEARCH("CTO",C2070))+ISNUMBER(SEARCH("Chief Operating",C2070))+ISNUMBER(SEARCH("Chief Financial",C2070))+ISNUMBER(SEARCH("Gerente General",C2070))+ISNUMBER(SEARCH("General Manager",C2070))&gt;0,'Configuración'!$B$34,'Configuración'!$B$35)))))</f>
        <v>12</v>
      </c>
      <c r="V2070" s="20"/>
      <c r="W2070" s="20"/>
    </row>
    <row r="2071" ht="15.75" customHeight="1">
      <c r="A2071" s="34"/>
      <c r="B2071" s="29" t="s">
        <v>11383</v>
      </c>
      <c r="C2071" s="29" t="s">
        <v>381</v>
      </c>
      <c r="D2071" s="29" t="s">
        <v>11384</v>
      </c>
      <c r="E2071" s="29" t="s">
        <v>11385</v>
      </c>
      <c r="F2071" s="30" t="s">
        <v>11386</v>
      </c>
      <c r="G2071" s="30" t="s">
        <v>11387</v>
      </c>
      <c r="H2071" s="43" t="s">
        <v>11388</v>
      </c>
      <c r="I2071" s="29" t="s">
        <v>127</v>
      </c>
      <c r="J2071" s="31">
        <v>9.0</v>
      </c>
      <c r="K2071" s="44"/>
      <c r="L2071" s="44"/>
      <c r="M2071" s="44"/>
      <c r="N2071" s="44"/>
      <c r="O2071" s="44"/>
      <c r="P2071" s="44"/>
      <c r="Q2071" s="44"/>
      <c r="R2071" s="44"/>
      <c r="S2071" s="37">
        <f>IF(B2071="","",IF(ISNUMBER(J2071),IF(J2071&lt;=10,'Configuración'!$B$23,IF(J2071&lt;=50,'Configuración'!$B$24,IF(J2071&lt;=200,'Configuración'!$B$25,0))),0))</f>
        <v>12</v>
      </c>
      <c r="T2071" s="37">
        <f>IF(B2071="","",IF(ISNUMBER(SEARCH("information technology",I2071))+ISNUMBER(SEARCH("software",I2071))+ISNUMBER(SEARCH("internet",I2071))+ISNUMBER(SEARCH("computer",I2071))+ISNUMBER(SEARCH("saas",I2071))+ISNUMBER(SEARCH("fintech",I2071))+ISNUMBER(SEARCH("information services",I2071))+ISNUMBER(SEARCH("telecommunications",I2071))&gt;0,'Configuración'!$B$27,'Configuración'!$B$28))</f>
        <v>12</v>
      </c>
      <c r="U2071" s="25">
        <f>IF(B2071="","",IF(ISNUMBER(SEARCH("CEO",C2071))+ISNUMBER(SEARCH("Founder",C2071))+ISNUMBER(SEARCH("Owner",C2071))+ISNUMBER(SEARCH("Dueño",C2071))+ISNUMBER(SEARCH("Director General",C2071))+ISNUMBER(SEARCH("Presidente",C2071))+ISNUMBER(SEARCH("President",C2071))&gt;0,'Configuración'!$B$31,IF(ISNUMBER(SEARCH("CMO",C2071))+ISNUMBER(SEARCH("Chief Marketing",C2071))+ISNUMBER(SEARCH("VP Marketing",C2071))+ISNUMBER(SEARCH("Director de Marketing",C2071))+ISNUMBER(SEARCH("Director Marketing",C2071))+ISNUMBER(SEARCH("Head of Marketing",C2071))+ISNUMBER(SEARCH("Head Marketing",C2071))&gt;0,'Configuración'!$B$32,IF(ISNUMBER(SEARCH("Marketing Manager",C2071))+ISNUMBER(SEARCH("Gerente de Marketing",C2071))+ISNUMBER(SEARCH("Growth Manager",C2071))+ISNUMBER(SEARCH("Demand Gen",C2071))+ISNUMBER(SEARCH("Marketing Lead",C2071))&gt;0,'Configuración'!$B$33,IF(ISNUMBER(SEARCH("COO",C2071))+ISNUMBER(SEARCH("CFO",C2071))+ISNUMBER(SEARCH("CTO",C2071))+ISNUMBER(SEARCH("Chief Operating",C2071))+ISNUMBER(SEARCH("Chief Financial",C2071))+ISNUMBER(SEARCH("Gerente General",C2071))+ISNUMBER(SEARCH("General Manager",C2071))&gt;0,'Configuración'!$B$34,'Configuración'!$B$35)))))</f>
        <v>0</v>
      </c>
      <c r="V2071" s="20"/>
      <c r="W2071" s="20"/>
    </row>
    <row r="2072" ht="15.75" customHeight="1">
      <c r="A2072" s="34"/>
      <c r="B2072" s="29" t="s">
        <v>262</v>
      </c>
      <c r="C2072" s="29" t="s">
        <v>11389</v>
      </c>
      <c r="D2072" s="29" t="s">
        <v>11390</v>
      </c>
      <c r="E2072" s="29" t="s">
        <v>11391</v>
      </c>
      <c r="F2072" s="30" t="s">
        <v>11392</v>
      </c>
      <c r="G2072" s="30" t="s">
        <v>11393</v>
      </c>
      <c r="H2072" s="43" t="s">
        <v>11394</v>
      </c>
      <c r="I2072" s="29" t="s">
        <v>188</v>
      </c>
      <c r="J2072" s="31">
        <v>12.0</v>
      </c>
      <c r="K2072" s="44"/>
      <c r="L2072" s="44"/>
      <c r="M2072" s="44"/>
      <c r="N2072" s="44"/>
      <c r="O2072" s="44"/>
      <c r="P2072" s="44"/>
      <c r="Q2072" s="44"/>
      <c r="R2072" s="44"/>
      <c r="S2072" s="37">
        <f>IF(B2072="","",IF(ISNUMBER(J2072),IF(J2072&lt;=10,'Configuración'!$B$23,IF(J2072&lt;=50,'Configuración'!$B$24,IF(J2072&lt;=200,'Configuración'!$B$25,0))),0))</f>
        <v>4</v>
      </c>
      <c r="T2072" s="37">
        <f>IF(B2072="","",IF(ISNUMBER(SEARCH("information technology",I2072))+ISNUMBER(SEARCH("software",I2072))+ISNUMBER(SEARCH("internet",I2072))+ISNUMBER(SEARCH("computer",I2072))+ISNUMBER(SEARCH("saas",I2072))+ISNUMBER(SEARCH("fintech",I2072))+ISNUMBER(SEARCH("information services",I2072))+ISNUMBER(SEARCH("telecommunications",I2072))&gt;0,'Configuración'!$B$27,'Configuración'!$B$28))</f>
        <v>4</v>
      </c>
      <c r="U2072" s="25">
        <f>IF(B2072="","",IF(ISNUMBER(SEARCH("CEO",C2072))+ISNUMBER(SEARCH("Founder",C2072))+ISNUMBER(SEARCH("Owner",C2072))+ISNUMBER(SEARCH("Dueño",C2072))+ISNUMBER(SEARCH("Director General",C2072))+ISNUMBER(SEARCH("Presidente",C2072))+ISNUMBER(SEARCH("President",C2072))&gt;0,'Configuración'!$B$31,IF(ISNUMBER(SEARCH("CMO",C2072))+ISNUMBER(SEARCH("Chief Marketing",C2072))+ISNUMBER(SEARCH("VP Marketing",C2072))+ISNUMBER(SEARCH("Director de Marketing",C2072))+ISNUMBER(SEARCH("Director Marketing",C2072))+ISNUMBER(SEARCH("Head of Marketing",C2072))+ISNUMBER(SEARCH("Head Marketing",C2072))&gt;0,'Configuración'!$B$32,IF(ISNUMBER(SEARCH("Marketing Manager",C2072))+ISNUMBER(SEARCH("Gerente de Marketing",C2072))+ISNUMBER(SEARCH("Growth Manager",C2072))+ISNUMBER(SEARCH("Demand Gen",C2072))+ISNUMBER(SEARCH("Marketing Lead",C2072))&gt;0,'Configuración'!$B$33,IF(ISNUMBER(SEARCH("COO",C2072))+ISNUMBER(SEARCH("CFO",C2072))+ISNUMBER(SEARCH("CTO",C2072))+ISNUMBER(SEARCH("Chief Operating",C2072))+ISNUMBER(SEARCH("Chief Financial",C2072))+ISNUMBER(SEARCH("Gerente General",C2072))+ISNUMBER(SEARCH("General Manager",C2072))&gt;0,'Configuración'!$B$34,'Configuración'!$B$35)))))</f>
        <v>0</v>
      </c>
      <c r="V2072" s="20"/>
      <c r="W2072" s="20"/>
    </row>
    <row r="2073" ht="15.75" customHeight="1">
      <c r="A2073" s="34"/>
      <c r="B2073" s="29" t="s">
        <v>11395</v>
      </c>
      <c r="C2073" s="29" t="s">
        <v>11396</v>
      </c>
      <c r="D2073" s="29" t="s">
        <v>11397</v>
      </c>
      <c r="E2073" s="29" t="s">
        <v>11398</v>
      </c>
      <c r="F2073" s="30" t="s">
        <v>11399</v>
      </c>
      <c r="G2073" s="30" t="s">
        <v>11400</v>
      </c>
      <c r="H2073" s="43" t="s">
        <v>11401</v>
      </c>
      <c r="I2073" s="29" t="s">
        <v>249</v>
      </c>
      <c r="J2073" s="31">
        <v>2.0</v>
      </c>
      <c r="K2073" s="44"/>
      <c r="L2073" s="44"/>
      <c r="M2073" s="44"/>
      <c r="N2073" s="44"/>
      <c r="O2073" s="44"/>
      <c r="P2073" s="44"/>
      <c r="Q2073" s="44"/>
      <c r="R2073" s="44"/>
      <c r="S2073" s="37">
        <f>IF(B2073="","",IF(ISNUMBER(J2073),IF(J2073&lt;=10,'Configuración'!$B$23,IF(J2073&lt;=50,'Configuración'!$B$24,IF(J2073&lt;=200,'Configuración'!$B$25,0))),0))</f>
        <v>12</v>
      </c>
      <c r="T2073" s="37">
        <f>IF(B2073="","",IF(ISNUMBER(SEARCH("information technology",I2073))+ISNUMBER(SEARCH("software",I2073))+ISNUMBER(SEARCH("internet",I2073))+ISNUMBER(SEARCH("computer",I2073))+ISNUMBER(SEARCH("saas",I2073))+ISNUMBER(SEARCH("fintech",I2073))+ISNUMBER(SEARCH("information services",I2073))+ISNUMBER(SEARCH("telecommunications",I2073))&gt;0,'Configuración'!$B$27,'Configuración'!$B$28))</f>
        <v>4</v>
      </c>
      <c r="U2073" s="25">
        <f>IF(B2073="","",IF(ISNUMBER(SEARCH("CEO",C2073))+ISNUMBER(SEARCH("Founder",C2073))+ISNUMBER(SEARCH("Owner",C2073))+ISNUMBER(SEARCH("Dueño",C2073))+ISNUMBER(SEARCH("Director General",C2073))+ISNUMBER(SEARCH("Presidente",C2073))+ISNUMBER(SEARCH("President",C2073))&gt;0,'Configuración'!$B$31,IF(ISNUMBER(SEARCH("CMO",C2073))+ISNUMBER(SEARCH("Chief Marketing",C2073))+ISNUMBER(SEARCH("VP Marketing",C2073))+ISNUMBER(SEARCH("Director de Marketing",C2073))+ISNUMBER(SEARCH("Director Marketing",C2073))+ISNUMBER(SEARCH("Head of Marketing",C2073))+ISNUMBER(SEARCH("Head Marketing",C2073))&gt;0,'Configuración'!$B$32,IF(ISNUMBER(SEARCH("Marketing Manager",C2073))+ISNUMBER(SEARCH("Gerente de Marketing",C2073))+ISNUMBER(SEARCH("Growth Manager",C2073))+ISNUMBER(SEARCH("Demand Gen",C2073))+ISNUMBER(SEARCH("Marketing Lead",C2073))&gt;0,'Configuración'!$B$33,IF(ISNUMBER(SEARCH("COO",C2073))+ISNUMBER(SEARCH("CFO",C2073))+ISNUMBER(SEARCH("CTO",C2073))+ISNUMBER(SEARCH("Chief Operating",C2073))+ISNUMBER(SEARCH("Chief Financial",C2073))+ISNUMBER(SEARCH("Gerente General",C2073))+ISNUMBER(SEARCH("General Manager",C2073))&gt;0,'Configuración'!$B$34,'Configuración'!$B$35)))))</f>
        <v>12</v>
      </c>
      <c r="V2073" s="20"/>
      <c r="W2073" s="20"/>
    </row>
    <row r="2074" ht="15.75" customHeight="1">
      <c r="A2074" s="34"/>
      <c r="B2074" s="29" t="s">
        <v>262</v>
      </c>
      <c r="C2074" s="29" t="s">
        <v>175</v>
      </c>
      <c r="D2074" s="29" t="s">
        <v>2564</v>
      </c>
      <c r="E2074" s="29" t="s">
        <v>11402</v>
      </c>
      <c r="F2074" s="30" t="s">
        <v>11403</v>
      </c>
      <c r="G2074" s="30" t="s">
        <v>2567</v>
      </c>
      <c r="H2074" s="43" t="s">
        <v>2568</v>
      </c>
      <c r="I2074" s="29" t="s">
        <v>127</v>
      </c>
      <c r="J2074" s="31">
        <v>46.0</v>
      </c>
      <c r="K2074" s="44"/>
      <c r="L2074" s="44"/>
      <c r="M2074" s="44"/>
      <c r="N2074" s="44"/>
      <c r="O2074" s="44"/>
      <c r="P2074" s="44"/>
      <c r="Q2074" s="44"/>
      <c r="R2074" s="44"/>
      <c r="S2074" s="37">
        <f>IF(B2074="","",IF(ISNUMBER(J2074),IF(J2074&lt;=10,'Configuración'!$B$23,IF(J2074&lt;=50,'Configuración'!$B$24,IF(J2074&lt;=200,'Configuración'!$B$25,0))),0))</f>
        <v>4</v>
      </c>
      <c r="T2074" s="37">
        <f>IF(B2074="","",IF(ISNUMBER(SEARCH("information technology",I2074))+ISNUMBER(SEARCH("software",I2074))+ISNUMBER(SEARCH("internet",I2074))+ISNUMBER(SEARCH("computer",I2074))+ISNUMBER(SEARCH("saas",I2074))+ISNUMBER(SEARCH("fintech",I2074))+ISNUMBER(SEARCH("information services",I2074))+ISNUMBER(SEARCH("telecommunications",I2074))&gt;0,'Configuración'!$B$27,'Configuración'!$B$28))</f>
        <v>12</v>
      </c>
      <c r="U2074" s="25">
        <f>IF(B2074="","",IF(ISNUMBER(SEARCH("CEO",C2074))+ISNUMBER(SEARCH("Founder",C2074))+ISNUMBER(SEARCH("Owner",C2074))+ISNUMBER(SEARCH("Dueño",C2074))+ISNUMBER(SEARCH("Director General",C2074))+ISNUMBER(SEARCH("Presidente",C2074))+ISNUMBER(SEARCH("President",C2074))&gt;0,'Configuración'!$B$31,IF(ISNUMBER(SEARCH("CMO",C2074))+ISNUMBER(SEARCH("Chief Marketing",C2074))+ISNUMBER(SEARCH("VP Marketing",C2074))+ISNUMBER(SEARCH("Director de Marketing",C2074))+ISNUMBER(SEARCH("Director Marketing",C2074))+ISNUMBER(SEARCH("Head of Marketing",C2074))+ISNUMBER(SEARCH("Head Marketing",C2074))&gt;0,'Configuración'!$B$32,IF(ISNUMBER(SEARCH("Marketing Manager",C2074))+ISNUMBER(SEARCH("Gerente de Marketing",C2074))+ISNUMBER(SEARCH("Growth Manager",C2074))+ISNUMBER(SEARCH("Demand Gen",C2074))+ISNUMBER(SEARCH("Marketing Lead",C2074))&gt;0,'Configuración'!$B$33,IF(ISNUMBER(SEARCH("COO",C2074))+ISNUMBER(SEARCH("CFO",C2074))+ISNUMBER(SEARCH("CTO",C2074))+ISNUMBER(SEARCH("Chief Operating",C2074))+ISNUMBER(SEARCH("Chief Financial",C2074))+ISNUMBER(SEARCH("Gerente General",C2074))+ISNUMBER(SEARCH("General Manager",C2074))&gt;0,'Configuración'!$B$34,'Configuración'!$B$35)))))</f>
        <v>12</v>
      </c>
      <c r="V2074" s="20"/>
      <c r="W2074" s="20"/>
    </row>
    <row r="2075" ht="15.75" customHeight="1">
      <c r="A2075" s="34"/>
      <c r="B2075" s="29" t="s">
        <v>324</v>
      </c>
      <c r="C2075" s="29" t="s">
        <v>11404</v>
      </c>
      <c r="D2075" s="29" t="s">
        <v>11405</v>
      </c>
      <c r="E2075" s="29" t="s">
        <v>11406</v>
      </c>
      <c r="F2075" s="30" t="s">
        <v>11407</v>
      </c>
      <c r="G2075" s="30" t="s">
        <v>11408</v>
      </c>
      <c r="H2075" s="43" t="s">
        <v>11409</v>
      </c>
      <c r="I2075" s="29" t="s">
        <v>1706</v>
      </c>
      <c r="J2075" s="31">
        <v>5.0</v>
      </c>
      <c r="K2075" s="44"/>
      <c r="L2075" s="44"/>
      <c r="M2075" s="44"/>
      <c r="N2075" s="44"/>
      <c r="O2075" s="44"/>
      <c r="P2075" s="44"/>
      <c r="Q2075" s="44"/>
      <c r="R2075" s="44"/>
      <c r="S2075" s="37">
        <f>IF(B2075="","",IF(ISNUMBER(J2075),IF(J2075&lt;=10,'Configuración'!$B$23,IF(J2075&lt;=50,'Configuración'!$B$24,IF(J2075&lt;=200,'Configuración'!$B$25,0))),0))</f>
        <v>12</v>
      </c>
      <c r="T2075" s="37">
        <f>IF(B2075="","",IF(ISNUMBER(SEARCH("information technology",I2075))+ISNUMBER(SEARCH("software",I2075))+ISNUMBER(SEARCH("internet",I2075))+ISNUMBER(SEARCH("computer",I2075))+ISNUMBER(SEARCH("saas",I2075))+ISNUMBER(SEARCH("fintech",I2075))+ISNUMBER(SEARCH("information services",I2075))+ISNUMBER(SEARCH("telecommunications",I2075))&gt;0,'Configuración'!$B$27,'Configuración'!$B$28))</f>
        <v>4</v>
      </c>
      <c r="U2075" s="25">
        <f>IF(B2075="","",IF(ISNUMBER(SEARCH("CEO",C2075))+ISNUMBER(SEARCH("Founder",C2075))+ISNUMBER(SEARCH("Owner",C2075))+ISNUMBER(SEARCH("Dueño",C2075))+ISNUMBER(SEARCH("Director General",C2075))+ISNUMBER(SEARCH("Presidente",C2075))+ISNUMBER(SEARCH("President",C2075))&gt;0,'Configuración'!$B$31,IF(ISNUMBER(SEARCH("CMO",C2075))+ISNUMBER(SEARCH("Chief Marketing",C2075))+ISNUMBER(SEARCH("VP Marketing",C2075))+ISNUMBER(SEARCH("Director de Marketing",C2075))+ISNUMBER(SEARCH("Director Marketing",C2075))+ISNUMBER(SEARCH("Head of Marketing",C2075))+ISNUMBER(SEARCH("Head Marketing",C2075))&gt;0,'Configuración'!$B$32,IF(ISNUMBER(SEARCH("Marketing Manager",C2075))+ISNUMBER(SEARCH("Gerente de Marketing",C2075))+ISNUMBER(SEARCH("Growth Manager",C2075))+ISNUMBER(SEARCH("Demand Gen",C2075))+ISNUMBER(SEARCH("Marketing Lead",C2075))&gt;0,'Configuración'!$B$33,IF(ISNUMBER(SEARCH("COO",C2075))+ISNUMBER(SEARCH("CFO",C2075))+ISNUMBER(SEARCH("CTO",C2075))+ISNUMBER(SEARCH("Chief Operating",C2075))+ISNUMBER(SEARCH("Chief Financial",C2075))+ISNUMBER(SEARCH("Gerente General",C2075))+ISNUMBER(SEARCH("General Manager",C2075))&gt;0,'Configuración'!$B$34,'Configuración'!$B$35)))))</f>
        <v>12</v>
      </c>
      <c r="V2075" s="20"/>
      <c r="W2075" s="20"/>
    </row>
    <row r="2076" ht="15.75" customHeight="1">
      <c r="A2076" s="34"/>
      <c r="B2076" s="29" t="s">
        <v>529</v>
      </c>
      <c r="C2076" s="29" t="s">
        <v>11410</v>
      </c>
      <c r="D2076" s="29" t="s">
        <v>11411</v>
      </c>
      <c r="E2076" s="29" t="s">
        <v>11412</v>
      </c>
      <c r="F2076" s="30" t="s">
        <v>11413</v>
      </c>
      <c r="G2076" s="30" t="s">
        <v>11414</v>
      </c>
      <c r="H2076" s="43" t="s">
        <v>11415</v>
      </c>
      <c r="I2076" s="29" t="s">
        <v>1706</v>
      </c>
      <c r="J2076" s="31">
        <v>17.0</v>
      </c>
      <c r="K2076" s="44"/>
      <c r="L2076" s="44"/>
      <c r="M2076" s="44"/>
      <c r="N2076" s="44"/>
      <c r="O2076" s="44"/>
      <c r="P2076" s="44"/>
      <c r="Q2076" s="44"/>
      <c r="R2076" s="44"/>
      <c r="S2076" s="37">
        <f>IF(B2076="","",IF(ISNUMBER(J2076),IF(J2076&lt;=10,'Configuración'!$B$23,IF(J2076&lt;=50,'Configuración'!$B$24,IF(J2076&lt;=200,'Configuración'!$B$25,0))),0))</f>
        <v>4</v>
      </c>
      <c r="T2076" s="37">
        <f>IF(B2076="","",IF(ISNUMBER(SEARCH("information technology",I2076))+ISNUMBER(SEARCH("software",I2076))+ISNUMBER(SEARCH("internet",I2076))+ISNUMBER(SEARCH("computer",I2076))+ISNUMBER(SEARCH("saas",I2076))+ISNUMBER(SEARCH("fintech",I2076))+ISNUMBER(SEARCH("information services",I2076))+ISNUMBER(SEARCH("telecommunications",I2076))&gt;0,'Configuración'!$B$27,'Configuración'!$B$28))</f>
        <v>4</v>
      </c>
      <c r="U2076" s="25">
        <f>IF(B2076="","",IF(ISNUMBER(SEARCH("CEO",C2076))+ISNUMBER(SEARCH("Founder",C2076))+ISNUMBER(SEARCH("Owner",C2076))+ISNUMBER(SEARCH("Dueño",C2076))+ISNUMBER(SEARCH("Director General",C2076))+ISNUMBER(SEARCH("Presidente",C2076))+ISNUMBER(SEARCH("President",C2076))&gt;0,'Configuración'!$B$31,IF(ISNUMBER(SEARCH("CMO",C2076))+ISNUMBER(SEARCH("Chief Marketing",C2076))+ISNUMBER(SEARCH("VP Marketing",C2076))+ISNUMBER(SEARCH("Director de Marketing",C2076))+ISNUMBER(SEARCH("Director Marketing",C2076))+ISNUMBER(SEARCH("Head of Marketing",C2076))+ISNUMBER(SEARCH("Head Marketing",C2076))&gt;0,'Configuración'!$B$32,IF(ISNUMBER(SEARCH("Marketing Manager",C2076))+ISNUMBER(SEARCH("Gerente de Marketing",C2076))+ISNUMBER(SEARCH("Growth Manager",C2076))+ISNUMBER(SEARCH("Demand Gen",C2076))+ISNUMBER(SEARCH("Marketing Lead",C2076))&gt;0,'Configuración'!$B$33,IF(ISNUMBER(SEARCH("COO",C2076))+ISNUMBER(SEARCH("CFO",C2076))+ISNUMBER(SEARCH("CTO",C2076))+ISNUMBER(SEARCH("Chief Operating",C2076))+ISNUMBER(SEARCH("Chief Financial",C2076))+ISNUMBER(SEARCH("Gerente General",C2076))+ISNUMBER(SEARCH("General Manager",C2076))&gt;0,'Configuración'!$B$34,'Configuración'!$B$35)))))</f>
        <v>12</v>
      </c>
      <c r="V2076" s="20"/>
      <c r="W2076" s="20"/>
    </row>
    <row r="2077" ht="15.75" customHeight="1">
      <c r="A2077" s="34"/>
      <c r="B2077" s="29" t="s">
        <v>2740</v>
      </c>
      <c r="C2077" s="29" t="s">
        <v>3647</v>
      </c>
      <c r="D2077" s="29" t="s">
        <v>11416</v>
      </c>
      <c r="E2077" s="29" t="s">
        <v>11417</v>
      </c>
      <c r="F2077" s="30" t="s">
        <v>11418</v>
      </c>
      <c r="G2077" s="30" t="s">
        <v>11419</v>
      </c>
      <c r="H2077" s="43" t="s">
        <v>11420</v>
      </c>
      <c r="I2077" s="29" t="s">
        <v>616</v>
      </c>
      <c r="J2077" s="31">
        <v>5.0</v>
      </c>
      <c r="K2077" s="44"/>
      <c r="L2077" s="44"/>
      <c r="M2077" s="44"/>
      <c r="N2077" s="44"/>
      <c r="O2077" s="44"/>
      <c r="P2077" s="44"/>
      <c r="Q2077" s="44"/>
      <c r="R2077" s="44"/>
      <c r="S2077" s="37">
        <f>IF(B2077="","",IF(ISNUMBER(J2077),IF(J2077&lt;=10,'Configuración'!$B$23,IF(J2077&lt;=50,'Configuración'!$B$24,IF(J2077&lt;=200,'Configuración'!$B$25,0))),0))</f>
        <v>12</v>
      </c>
      <c r="T2077" s="37">
        <f>IF(B2077="","",IF(ISNUMBER(SEARCH("information technology",I2077))+ISNUMBER(SEARCH("software",I2077))+ISNUMBER(SEARCH("internet",I2077))+ISNUMBER(SEARCH("computer",I2077))+ISNUMBER(SEARCH("saas",I2077))+ISNUMBER(SEARCH("fintech",I2077))+ISNUMBER(SEARCH("information services",I2077))+ISNUMBER(SEARCH("telecommunications",I2077))&gt;0,'Configuración'!$B$27,'Configuración'!$B$28))</f>
        <v>4</v>
      </c>
      <c r="U2077" s="25">
        <f>IF(B2077="","",IF(ISNUMBER(SEARCH("CEO",C2077))+ISNUMBER(SEARCH("Founder",C2077))+ISNUMBER(SEARCH("Owner",C2077))+ISNUMBER(SEARCH("Dueño",C2077))+ISNUMBER(SEARCH("Director General",C2077))+ISNUMBER(SEARCH("Presidente",C2077))+ISNUMBER(SEARCH("President",C2077))&gt;0,'Configuración'!$B$31,IF(ISNUMBER(SEARCH("CMO",C2077))+ISNUMBER(SEARCH("Chief Marketing",C2077))+ISNUMBER(SEARCH("VP Marketing",C2077))+ISNUMBER(SEARCH("Director de Marketing",C2077))+ISNUMBER(SEARCH("Director Marketing",C2077))+ISNUMBER(SEARCH("Head of Marketing",C2077))+ISNUMBER(SEARCH("Head Marketing",C2077))&gt;0,'Configuración'!$B$32,IF(ISNUMBER(SEARCH("Marketing Manager",C2077))+ISNUMBER(SEARCH("Gerente de Marketing",C2077))+ISNUMBER(SEARCH("Growth Manager",C2077))+ISNUMBER(SEARCH("Demand Gen",C2077))+ISNUMBER(SEARCH("Marketing Lead",C2077))&gt;0,'Configuración'!$B$33,IF(ISNUMBER(SEARCH("COO",C2077))+ISNUMBER(SEARCH("CFO",C2077))+ISNUMBER(SEARCH("CTO",C2077))+ISNUMBER(SEARCH("Chief Operating",C2077))+ISNUMBER(SEARCH("Chief Financial",C2077))+ISNUMBER(SEARCH("Gerente General",C2077))+ISNUMBER(SEARCH("General Manager",C2077))&gt;0,'Configuración'!$B$34,'Configuración'!$B$35)))))</f>
        <v>12</v>
      </c>
      <c r="V2077" s="20"/>
      <c r="W2077" s="20"/>
    </row>
    <row r="2078" ht="15.75" customHeight="1">
      <c r="A2078" s="34"/>
      <c r="B2078" s="29" t="s">
        <v>755</v>
      </c>
      <c r="C2078" s="29" t="s">
        <v>131</v>
      </c>
      <c r="D2078" s="29" t="s">
        <v>11421</v>
      </c>
      <c r="E2078" s="29" t="s">
        <v>11422</v>
      </c>
      <c r="F2078" s="30" t="s">
        <v>11423</v>
      </c>
      <c r="G2078" s="30" t="s">
        <v>11424</v>
      </c>
      <c r="H2078" s="43" t="s">
        <v>11425</v>
      </c>
      <c r="I2078" s="29" t="s">
        <v>127</v>
      </c>
      <c r="J2078" s="31">
        <v>6.0</v>
      </c>
      <c r="K2078" s="44"/>
      <c r="L2078" s="44"/>
      <c r="M2078" s="44"/>
      <c r="N2078" s="44"/>
      <c r="O2078" s="44"/>
      <c r="P2078" s="44"/>
      <c r="Q2078" s="44"/>
      <c r="R2078" s="44"/>
      <c r="S2078" s="37">
        <f>IF(B2078="","",IF(ISNUMBER(J2078),IF(J2078&lt;=10,'Configuración'!$B$23,IF(J2078&lt;=50,'Configuración'!$B$24,IF(J2078&lt;=200,'Configuración'!$B$25,0))),0))</f>
        <v>12</v>
      </c>
      <c r="T2078" s="37">
        <f>IF(B2078="","",IF(ISNUMBER(SEARCH("information technology",I2078))+ISNUMBER(SEARCH("software",I2078))+ISNUMBER(SEARCH("internet",I2078))+ISNUMBER(SEARCH("computer",I2078))+ISNUMBER(SEARCH("saas",I2078))+ISNUMBER(SEARCH("fintech",I2078))+ISNUMBER(SEARCH("information services",I2078))+ISNUMBER(SEARCH("telecommunications",I2078))&gt;0,'Configuración'!$B$27,'Configuración'!$B$28))</f>
        <v>12</v>
      </c>
      <c r="U2078" s="25">
        <f>IF(B2078="","",IF(ISNUMBER(SEARCH("CEO",C2078))+ISNUMBER(SEARCH("Founder",C2078))+ISNUMBER(SEARCH("Owner",C2078))+ISNUMBER(SEARCH("Dueño",C2078))+ISNUMBER(SEARCH("Director General",C2078))+ISNUMBER(SEARCH("Presidente",C2078))+ISNUMBER(SEARCH("President",C2078))&gt;0,'Configuración'!$B$31,IF(ISNUMBER(SEARCH("CMO",C2078))+ISNUMBER(SEARCH("Chief Marketing",C2078))+ISNUMBER(SEARCH("VP Marketing",C2078))+ISNUMBER(SEARCH("Director de Marketing",C2078))+ISNUMBER(SEARCH("Director Marketing",C2078))+ISNUMBER(SEARCH("Head of Marketing",C2078))+ISNUMBER(SEARCH("Head Marketing",C2078))&gt;0,'Configuración'!$B$32,IF(ISNUMBER(SEARCH("Marketing Manager",C2078))+ISNUMBER(SEARCH("Gerente de Marketing",C2078))+ISNUMBER(SEARCH("Growth Manager",C2078))+ISNUMBER(SEARCH("Demand Gen",C2078))+ISNUMBER(SEARCH("Marketing Lead",C2078))&gt;0,'Configuración'!$B$33,IF(ISNUMBER(SEARCH("COO",C2078))+ISNUMBER(SEARCH("CFO",C2078))+ISNUMBER(SEARCH("CTO",C2078))+ISNUMBER(SEARCH("Chief Operating",C2078))+ISNUMBER(SEARCH("Chief Financial",C2078))+ISNUMBER(SEARCH("Gerente General",C2078))+ISNUMBER(SEARCH("General Manager",C2078))&gt;0,'Configuración'!$B$34,'Configuración'!$B$35)))))</f>
        <v>12</v>
      </c>
      <c r="V2078" s="20"/>
      <c r="W2078" s="20"/>
    </row>
    <row r="2079" ht="15.75" customHeight="1">
      <c r="A2079" s="34"/>
      <c r="B2079" s="29" t="s">
        <v>324</v>
      </c>
      <c r="C2079" s="29" t="s">
        <v>719</v>
      </c>
      <c r="D2079" s="29" t="s">
        <v>11426</v>
      </c>
      <c r="E2079" s="29" t="s">
        <v>11427</v>
      </c>
      <c r="F2079" s="30" t="s">
        <v>11428</v>
      </c>
      <c r="G2079" s="30" t="s">
        <v>11429</v>
      </c>
      <c r="H2079" s="43" t="s">
        <v>11430</v>
      </c>
      <c r="I2079" s="29" t="s">
        <v>116</v>
      </c>
      <c r="J2079" s="31">
        <v>21.0</v>
      </c>
      <c r="K2079" s="44"/>
      <c r="L2079" s="44"/>
      <c r="M2079" s="44"/>
      <c r="N2079" s="44"/>
      <c r="O2079" s="44"/>
      <c r="P2079" s="44"/>
      <c r="Q2079" s="44"/>
      <c r="R2079" s="44"/>
      <c r="S2079" s="37">
        <f>IF(B2079="","",IF(ISNUMBER(J2079),IF(J2079&lt;=10,'Configuración'!$B$23,IF(J2079&lt;=50,'Configuración'!$B$24,IF(J2079&lt;=200,'Configuración'!$B$25,0))),0))</f>
        <v>4</v>
      </c>
      <c r="T2079" s="37">
        <f>IF(B2079="","",IF(ISNUMBER(SEARCH("information technology",I2079))+ISNUMBER(SEARCH("software",I2079))+ISNUMBER(SEARCH("internet",I2079))+ISNUMBER(SEARCH("computer",I2079))+ISNUMBER(SEARCH("saas",I2079))+ISNUMBER(SEARCH("fintech",I2079))+ISNUMBER(SEARCH("information services",I2079))+ISNUMBER(SEARCH("telecommunications",I2079))&gt;0,'Configuración'!$B$27,'Configuración'!$B$28))</f>
        <v>4</v>
      </c>
      <c r="U2079" s="25">
        <f>IF(B2079="","",IF(ISNUMBER(SEARCH("CEO",C2079))+ISNUMBER(SEARCH("Founder",C2079))+ISNUMBER(SEARCH("Owner",C2079))+ISNUMBER(SEARCH("Dueño",C2079))+ISNUMBER(SEARCH("Director General",C2079))+ISNUMBER(SEARCH("Presidente",C2079))+ISNUMBER(SEARCH("President",C2079))&gt;0,'Configuración'!$B$31,IF(ISNUMBER(SEARCH("CMO",C2079))+ISNUMBER(SEARCH("Chief Marketing",C2079))+ISNUMBER(SEARCH("VP Marketing",C2079))+ISNUMBER(SEARCH("Director de Marketing",C2079))+ISNUMBER(SEARCH("Director Marketing",C2079))+ISNUMBER(SEARCH("Head of Marketing",C2079))+ISNUMBER(SEARCH("Head Marketing",C2079))&gt;0,'Configuración'!$B$32,IF(ISNUMBER(SEARCH("Marketing Manager",C2079))+ISNUMBER(SEARCH("Gerente de Marketing",C2079))+ISNUMBER(SEARCH("Growth Manager",C2079))+ISNUMBER(SEARCH("Demand Gen",C2079))+ISNUMBER(SEARCH("Marketing Lead",C2079))&gt;0,'Configuración'!$B$33,IF(ISNUMBER(SEARCH("COO",C2079))+ISNUMBER(SEARCH("CFO",C2079))+ISNUMBER(SEARCH("CTO",C2079))+ISNUMBER(SEARCH("Chief Operating",C2079))+ISNUMBER(SEARCH("Chief Financial",C2079))+ISNUMBER(SEARCH("Gerente General",C2079))+ISNUMBER(SEARCH("General Manager",C2079))&gt;0,'Configuración'!$B$34,'Configuración'!$B$35)))))</f>
        <v>12</v>
      </c>
      <c r="V2079" s="20"/>
      <c r="W2079" s="20"/>
    </row>
    <row r="2080" ht="15.75" customHeight="1">
      <c r="A2080" s="34"/>
      <c r="B2080" s="29" t="s">
        <v>11431</v>
      </c>
      <c r="C2080" s="29" t="s">
        <v>11432</v>
      </c>
      <c r="D2080" s="29" t="s">
        <v>11433</v>
      </c>
      <c r="E2080" s="29" t="s">
        <v>11434</v>
      </c>
      <c r="F2080" s="30" t="s">
        <v>11435</v>
      </c>
      <c r="G2080" s="30" t="s">
        <v>11436</v>
      </c>
      <c r="H2080" s="43" t="s">
        <v>11437</v>
      </c>
      <c r="I2080" s="29" t="s">
        <v>946</v>
      </c>
      <c r="J2080" s="31">
        <v>4.0</v>
      </c>
      <c r="K2080" s="44"/>
      <c r="L2080" s="44"/>
      <c r="M2080" s="44"/>
      <c r="N2080" s="44"/>
      <c r="O2080" s="44"/>
      <c r="P2080" s="44"/>
      <c r="Q2080" s="44"/>
      <c r="R2080" s="44"/>
      <c r="S2080" s="37">
        <f>IF(B2080="","",IF(ISNUMBER(J2080),IF(J2080&lt;=10,'Configuración'!$B$23,IF(J2080&lt;=50,'Configuración'!$B$24,IF(J2080&lt;=200,'Configuración'!$B$25,0))),0))</f>
        <v>12</v>
      </c>
      <c r="T2080" s="37">
        <f>IF(B2080="","",IF(ISNUMBER(SEARCH("information technology",I2080))+ISNUMBER(SEARCH("software",I2080))+ISNUMBER(SEARCH("internet",I2080))+ISNUMBER(SEARCH("computer",I2080))+ISNUMBER(SEARCH("saas",I2080))+ISNUMBER(SEARCH("fintech",I2080))+ISNUMBER(SEARCH("information services",I2080))+ISNUMBER(SEARCH("telecommunications",I2080))&gt;0,'Configuración'!$B$27,'Configuración'!$B$28))</f>
        <v>4</v>
      </c>
      <c r="U2080" s="25">
        <f>IF(B2080="","",IF(ISNUMBER(SEARCH("CEO",C2080))+ISNUMBER(SEARCH("Founder",C2080))+ISNUMBER(SEARCH("Owner",C2080))+ISNUMBER(SEARCH("Dueño",C2080))+ISNUMBER(SEARCH("Director General",C2080))+ISNUMBER(SEARCH("Presidente",C2080))+ISNUMBER(SEARCH("President",C2080))&gt;0,'Configuración'!$B$31,IF(ISNUMBER(SEARCH("CMO",C2080))+ISNUMBER(SEARCH("Chief Marketing",C2080))+ISNUMBER(SEARCH("VP Marketing",C2080))+ISNUMBER(SEARCH("Director de Marketing",C2080))+ISNUMBER(SEARCH("Director Marketing",C2080))+ISNUMBER(SEARCH("Head of Marketing",C2080))+ISNUMBER(SEARCH("Head Marketing",C2080))&gt;0,'Configuración'!$B$32,IF(ISNUMBER(SEARCH("Marketing Manager",C2080))+ISNUMBER(SEARCH("Gerente de Marketing",C2080))+ISNUMBER(SEARCH("Growth Manager",C2080))+ISNUMBER(SEARCH("Demand Gen",C2080))+ISNUMBER(SEARCH("Marketing Lead",C2080))&gt;0,'Configuración'!$B$33,IF(ISNUMBER(SEARCH("COO",C2080))+ISNUMBER(SEARCH("CFO",C2080))+ISNUMBER(SEARCH("CTO",C2080))+ISNUMBER(SEARCH("Chief Operating",C2080))+ISNUMBER(SEARCH("Chief Financial",C2080))+ISNUMBER(SEARCH("Gerente General",C2080))+ISNUMBER(SEARCH("General Manager",C2080))&gt;0,'Configuración'!$B$34,'Configuración'!$B$35)))))</f>
        <v>12</v>
      </c>
      <c r="V2080" s="20"/>
      <c r="W2080" s="20"/>
    </row>
    <row r="2081" ht="15.75" customHeight="1">
      <c r="A2081" s="34"/>
      <c r="B2081" s="29" t="s">
        <v>174</v>
      </c>
      <c r="C2081" s="29" t="s">
        <v>11438</v>
      </c>
      <c r="D2081" s="29" t="s">
        <v>2124</v>
      </c>
      <c r="E2081" s="29" t="s">
        <v>11439</v>
      </c>
      <c r="F2081" s="30" t="s">
        <v>11440</v>
      </c>
      <c r="G2081" s="30" t="s">
        <v>2127</v>
      </c>
      <c r="H2081" s="43" t="s">
        <v>2128</v>
      </c>
      <c r="I2081" s="29" t="s">
        <v>310</v>
      </c>
      <c r="J2081" s="31">
        <v>50.0</v>
      </c>
      <c r="K2081" s="44"/>
      <c r="L2081" s="44"/>
      <c r="M2081" s="44"/>
      <c r="N2081" s="44"/>
      <c r="O2081" s="44"/>
      <c r="P2081" s="44"/>
      <c r="Q2081" s="44"/>
      <c r="R2081" s="44"/>
      <c r="S2081" s="37">
        <f>IF(B2081="","",IF(ISNUMBER(J2081),IF(J2081&lt;=10,'Configuración'!$B$23,IF(J2081&lt;=50,'Configuración'!$B$24,IF(J2081&lt;=200,'Configuración'!$B$25,0))),0))</f>
        <v>4</v>
      </c>
      <c r="T2081" s="37">
        <f>IF(B2081="","",IF(ISNUMBER(SEARCH("information technology",I2081))+ISNUMBER(SEARCH("software",I2081))+ISNUMBER(SEARCH("internet",I2081))+ISNUMBER(SEARCH("computer",I2081))+ISNUMBER(SEARCH("saas",I2081))+ISNUMBER(SEARCH("fintech",I2081))+ISNUMBER(SEARCH("information services",I2081))+ISNUMBER(SEARCH("telecommunications",I2081))&gt;0,'Configuración'!$B$27,'Configuración'!$B$28))</f>
        <v>4</v>
      </c>
      <c r="U2081" s="25">
        <f>IF(B2081="","",IF(ISNUMBER(SEARCH("CEO",C2081))+ISNUMBER(SEARCH("Founder",C2081))+ISNUMBER(SEARCH("Owner",C2081))+ISNUMBER(SEARCH("Dueño",C2081))+ISNUMBER(SEARCH("Director General",C2081))+ISNUMBER(SEARCH("Presidente",C2081))+ISNUMBER(SEARCH("President",C2081))&gt;0,'Configuración'!$B$31,IF(ISNUMBER(SEARCH("CMO",C2081))+ISNUMBER(SEARCH("Chief Marketing",C2081))+ISNUMBER(SEARCH("VP Marketing",C2081))+ISNUMBER(SEARCH("Director de Marketing",C2081))+ISNUMBER(SEARCH("Director Marketing",C2081))+ISNUMBER(SEARCH("Head of Marketing",C2081))+ISNUMBER(SEARCH("Head Marketing",C2081))&gt;0,'Configuración'!$B$32,IF(ISNUMBER(SEARCH("Marketing Manager",C2081))+ISNUMBER(SEARCH("Gerente de Marketing",C2081))+ISNUMBER(SEARCH("Growth Manager",C2081))+ISNUMBER(SEARCH("Demand Gen",C2081))+ISNUMBER(SEARCH("Marketing Lead",C2081))&gt;0,'Configuración'!$B$33,IF(ISNUMBER(SEARCH("COO",C2081))+ISNUMBER(SEARCH("CFO",C2081))+ISNUMBER(SEARCH("CTO",C2081))+ISNUMBER(SEARCH("Chief Operating",C2081))+ISNUMBER(SEARCH("Chief Financial",C2081))+ISNUMBER(SEARCH("Gerente General",C2081))+ISNUMBER(SEARCH("General Manager",C2081))&gt;0,'Configuración'!$B$34,'Configuración'!$B$35)))))</f>
        <v>12</v>
      </c>
      <c r="V2081" s="20"/>
      <c r="W2081" s="20"/>
    </row>
    <row r="2082" ht="15.75" customHeight="1">
      <c r="A2082" s="34"/>
      <c r="B2082" s="29" t="s">
        <v>11441</v>
      </c>
      <c r="C2082" s="29" t="s">
        <v>131</v>
      </c>
      <c r="D2082" s="29" t="s">
        <v>11442</v>
      </c>
      <c r="E2082" s="29" t="s">
        <v>11443</v>
      </c>
      <c r="F2082" s="30" t="s">
        <v>11444</v>
      </c>
      <c r="G2082" s="30" t="s">
        <v>11445</v>
      </c>
      <c r="H2082" s="43" t="s">
        <v>11446</v>
      </c>
      <c r="I2082" s="29" t="s">
        <v>6786</v>
      </c>
      <c r="J2082" s="31">
        <v>10.0</v>
      </c>
      <c r="K2082" s="44"/>
      <c r="L2082" s="44"/>
      <c r="M2082" s="44"/>
      <c r="N2082" s="44"/>
      <c r="O2082" s="44"/>
      <c r="P2082" s="44"/>
      <c r="Q2082" s="44"/>
      <c r="R2082" s="44"/>
      <c r="S2082" s="37">
        <f>IF(B2082="","",IF(ISNUMBER(J2082),IF(J2082&lt;=10,'Configuración'!$B$23,IF(J2082&lt;=50,'Configuración'!$B$24,IF(J2082&lt;=200,'Configuración'!$B$25,0))),0))</f>
        <v>12</v>
      </c>
      <c r="T2082" s="37">
        <f>IF(B2082="","",IF(ISNUMBER(SEARCH("information technology",I2082))+ISNUMBER(SEARCH("software",I2082))+ISNUMBER(SEARCH("internet",I2082))+ISNUMBER(SEARCH("computer",I2082))+ISNUMBER(SEARCH("saas",I2082))+ISNUMBER(SEARCH("fintech",I2082))+ISNUMBER(SEARCH("information services",I2082))+ISNUMBER(SEARCH("telecommunications",I2082))&gt;0,'Configuración'!$B$27,'Configuración'!$B$28))</f>
        <v>4</v>
      </c>
      <c r="U2082" s="25">
        <f>IF(B2082="","",IF(ISNUMBER(SEARCH("CEO",C2082))+ISNUMBER(SEARCH("Founder",C2082))+ISNUMBER(SEARCH("Owner",C2082))+ISNUMBER(SEARCH("Dueño",C2082))+ISNUMBER(SEARCH("Director General",C2082))+ISNUMBER(SEARCH("Presidente",C2082))+ISNUMBER(SEARCH("President",C2082))&gt;0,'Configuración'!$B$31,IF(ISNUMBER(SEARCH("CMO",C2082))+ISNUMBER(SEARCH("Chief Marketing",C2082))+ISNUMBER(SEARCH("VP Marketing",C2082))+ISNUMBER(SEARCH("Director de Marketing",C2082))+ISNUMBER(SEARCH("Director Marketing",C2082))+ISNUMBER(SEARCH("Head of Marketing",C2082))+ISNUMBER(SEARCH("Head Marketing",C2082))&gt;0,'Configuración'!$B$32,IF(ISNUMBER(SEARCH("Marketing Manager",C2082))+ISNUMBER(SEARCH("Gerente de Marketing",C2082))+ISNUMBER(SEARCH("Growth Manager",C2082))+ISNUMBER(SEARCH("Demand Gen",C2082))+ISNUMBER(SEARCH("Marketing Lead",C2082))&gt;0,'Configuración'!$B$33,IF(ISNUMBER(SEARCH("COO",C2082))+ISNUMBER(SEARCH("CFO",C2082))+ISNUMBER(SEARCH("CTO",C2082))+ISNUMBER(SEARCH("Chief Operating",C2082))+ISNUMBER(SEARCH("Chief Financial",C2082))+ISNUMBER(SEARCH("Gerente General",C2082))+ISNUMBER(SEARCH("General Manager",C2082))&gt;0,'Configuración'!$B$34,'Configuración'!$B$35)))))</f>
        <v>12</v>
      </c>
      <c r="V2082" s="20"/>
      <c r="W2082" s="20"/>
    </row>
    <row r="2083" ht="15.75" customHeight="1">
      <c r="A2083" s="34"/>
      <c r="B2083" s="29" t="s">
        <v>1510</v>
      </c>
      <c r="C2083" s="29" t="s">
        <v>11447</v>
      </c>
      <c r="D2083" s="29" t="s">
        <v>11448</v>
      </c>
      <c r="E2083" s="29" t="s">
        <v>11449</v>
      </c>
      <c r="F2083" s="30" t="s">
        <v>11450</v>
      </c>
      <c r="G2083" s="30" t="s">
        <v>11451</v>
      </c>
      <c r="H2083" s="43" t="s">
        <v>11452</v>
      </c>
      <c r="I2083" s="29" t="s">
        <v>310</v>
      </c>
      <c r="J2083" s="31">
        <v>4.0</v>
      </c>
      <c r="K2083" s="44"/>
      <c r="L2083" s="44"/>
      <c r="M2083" s="44"/>
      <c r="N2083" s="44"/>
      <c r="O2083" s="44"/>
      <c r="P2083" s="44"/>
      <c r="Q2083" s="44"/>
      <c r="R2083" s="44"/>
      <c r="S2083" s="37">
        <f>IF(B2083="","",IF(ISNUMBER(J2083),IF(J2083&lt;=10,'Configuración'!$B$23,IF(J2083&lt;=50,'Configuración'!$B$24,IF(J2083&lt;=200,'Configuración'!$B$25,0))),0))</f>
        <v>12</v>
      </c>
      <c r="T2083" s="37">
        <f>IF(B2083="","",IF(ISNUMBER(SEARCH("information technology",I2083))+ISNUMBER(SEARCH("software",I2083))+ISNUMBER(SEARCH("internet",I2083))+ISNUMBER(SEARCH("computer",I2083))+ISNUMBER(SEARCH("saas",I2083))+ISNUMBER(SEARCH("fintech",I2083))+ISNUMBER(SEARCH("information services",I2083))+ISNUMBER(SEARCH("telecommunications",I2083))&gt;0,'Configuración'!$B$27,'Configuración'!$B$28))</f>
        <v>4</v>
      </c>
      <c r="U2083" s="25">
        <f>IF(B2083="","",IF(ISNUMBER(SEARCH("CEO",C2083))+ISNUMBER(SEARCH("Founder",C2083))+ISNUMBER(SEARCH("Owner",C2083))+ISNUMBER(SEARCH("Dueño",C2083))+ISNUMBER(SEARCH("Director General",C2083))+ISNUMBER(SEARCH("Presidente",C2083))+ISNUMBER(SEARCH("President",C2083))&gt;0,'Configuración'!$B$31,IF(ISNUMBER(SEARCH("CMO",C2083))+ISNUMBER(SEARCH("Chief Marketing",C2083))+ISNUMBER(SEARCH("VP Marketing",C2083))+ISNUMBER(SEARCH("Director de Marketing",C2083))+ISNUMBER(SEARCH("Director Marketing",C2083))+ISNUMBER(SEARCH("Head of Marketing",C2083))+ISNUMBER(SEARCH("Head Marketing",C2083))&gt;0,'Configuración'!$B$32,IF(ISNUMBER(SEARCH("Marketing Manager",C2083))+ISNUMBER(SEARCH("Gerente de Marketing",C2083))+ISNUMBER(SEARCH("Growth Manager",C2083))+ISNUMBER(SEARCH("Demand Gen",C2083))+ISNUMBER(SEARCH("Marketing Lead",C2083))&gt;0,'Configuración'!$B$33,IF(ISNUMBER(SEARCH("COO",C2083))+ISNUMBER(SEARCH("CFO",C2083))+ISNUMBER(SEARCH("CTO",C2083))+ISNUMBER(SEARCH("Chief Operating",C2083))+ISNUMBER(SEARCH("Chief Financial",C2083))+ISNUMBER(SEARCH("Gerente General",C2083))+ISNUMBER(SEARCH("General Manager",C2083))&gt;0,'Configuración'!$B$34,'Configuración'!$B$35)))))</f>
        <v>12</v>
      </c>
      <c r="V2083" s="20"/>
      <c r="W2083" s="20"/>
    </row>
    <row r="2084" ht="15.75" customHeight="1">
      <c r="A2084" s="34"/>
      <c r="B2084" s="29" t="s">
        <v>201</v>
      </c>
      <c r="C2084" s="29" t="s">
        <v>11453</v>
      </c>
      <c r="D2084" s="29" t="s">
        <v>11454</v>
      </c>
      <c r="E2084" s="29" t="s">
        <v>11455</v>
      </c>
      <c r="F2084" s="30" t="s">
        <v>11456</v>
      </c>
      <c r="G2084" s="30" t="s">
        <v>11457</v>
      </c>
      <c r="H2084" s="43" t="s">
        <v>11458</v>
      </c>
      <c r="I2084" s="29" t="s">
        <v>1446</v>
      </c>
      <c r="J2084" s="31">
        <v>17.0</v>
      </c>
      <c r="K2084" s="44"/>
      <c r="L2084" s="44"/>
      <c r="M2084" s="44"/>
      <c r="N2084" s="44"/>
      <c r="O2084" s="44"/>
      <c r="P2084" s="44"/>
      <c r="Q2084" s="44"/>
      <c r="R2084" s="44"/>
      <c r="S2084" s="37">
        <f>IF(B2084="","",IF(ISNUMBER(J2084),IF(J2084&lt;=10,'Configuración'!$B$23,IF(J2084&lt;=50,'Configuración'!$B$24,IF(J2084&lt;=200,'Configuración'!$B$25,0))),0))</f>
        <v>4</v>
      </c>
      <c r="T2084" s="37">
        <f>IF(B2084="","",IF(ISNUMBER(SEARCH("information technology",I2084))+ISNUMBER(SEARCH("software",I2084))+ISNUMBER(SEARCH("internet",I2084))+ISNUMBER(SEARCH("computer",I2084))+ISNUMBER(SEARCH("saas",I2084))+ISNUMBER(SEARCH("fintech",I2084))+ISNUMBER(SEARCH("information services",I2084))+ISNUMBER(SEARCH("telecommunications",I2084))&gt;0,'Configuración'!$B$27,'Configuración'!$B$28))</f>
        <v>4</v>
      </c>
      <c r="U2084" s="25">
        <f>IF(B2084="","",IF(ISNUMBER(SEARCH("CEO",C2084))+ISNUMBER(SEARCH("Founder",C2084))+ISNUMBER(SEARCH("Owner",C2084))+ISNUMBER(SEARCH("Dueño",C2084))+ISNUMBER(SEARCH("Director General",C2084))+ISNUMBER(SEARCH("Presidente",C2084))+ISNUMBER(SEARCH("President",C2084))&gt;0,'Configuración'!$B$31,IF(ISNUMBER(SEARCH("CMO",C2084))+ISNUMBER(SEARCH("Chief Marketing",C2084))+ISNUMBER(SEARCH("VP Marketing",C2084))+ISNUMBER(SEARCH("Director de Marketing",C2084))+ISNUMBER(SEARCH("Director Marketing",C2084))+ISNUMBER(SEARCH("Head of Marketing",C2084))+ISNUMBER(SEARCH("Head Marketing",C2084))&gt;0,'Configuración'!$B$32,IF(ISNUMBER(SEARCH("Marketing Manager",C2084))+ISNUMBER(SEARCH("Gerente de Marketing",C2084))+ISNUMBER(SEARCH("Growth Manager",C2084))+ISNUMBER(SEARCH("Demand Gen",C2084))+ISNUMBER(SEARCH("Marketing Lead",C2084))&gt;0,'Configuración'!$B$33,IF(ISNUMBER(SEARCH("COO",C2084))+ISNUMBER(SEARCH("CFO",C2084))+ISNUMBER(SEARCH("CTO",C2084))+ISNUMBER(SEARCH("Chief Operating",C2084))+ISNUMBER(SEARCH("Chief Financial",C2084))+ISNUMBER(SEARCH("Gerente General",C2084))+ISNUMBER(SEARCH("General Manager",C2084))&gt;0,'Configuración'!$B$34,'Configuración'!$B$35)))))</f>
        <v>12</v>
      </c>
      <c r="V2084" s="20"/>
      <c r="W2084" s="20"/>
    </row>
    <row r="2085" ht="15.75" customHeight="1">
      <c r="A2085" s="34"/>
      <c r="B2085" s="29" t="s">
        <v>1103</v>
      </c>
      <c r="C2085" s="29" t="s">
        <v>11459</v>
      </c>
      <c r="D2085" s="29" t="s">
        <v>8400</v>
      </c>
      <c r="E2085" s="29" t="s">
        <v>11460</v>
      </c>
      <c r="F2085" s="30" t="s">
        <v>11461</v>
      </c>
      <c r="G2085" s="30" t="s">
        <v>8403</v>
      </c>
      <c r="H2085" s="43" t="s">
        <v>8404</v>
      </c>
      <c r="I2085" s="29" t="s">
        <v>428</v>
      </c>
      <c r="J2085" s="31">
        <v>25.0</v>
      </c>
      <c r="K2085" s="44"/>
      <c r="L2085" s="44"/>
      <c r="M2085" s="44"/>
      <c r="N2085" s="44"/>
      <c r="O2085" s="44"/>
      <c r="P2085" s="44"/>
      <c r="Q2085" s="44"/>
      <c r="R2085" s="44"/>
      <c r="S2085" s="37">
        <f>IF(B2085="","",IF(ISNUMBER(J2085),IF(J2085&lt;=10,'Configuración'!$B$23,IF(J2085&lt;=50,'Configuración'!$B$24,IF(J2085&lt;=200,'Configuración'!$B$25,0))),0))</f>
        <v>4</v>
      </c>
      <c r="T2085" s="37">
        <f>IF(B2085="","",IF(ISNUMBER(SEARCH("information technology",I2085))+ISNUMBER(SEARCH("software",I2085))+ISNUMBER(SEARCH("internet",I2085))+ISNUMBER(SEARCH("computer",I2085))+ISNUMBER(SEARCH("saas",I2085))+ISNUMBER(SEARCH("fintech",I2085))+ISNUMBER(SEARCH("information services",I2085))+ISNUMBER(SEARCH("telecommunications",I2085))&gt;0,'Configuración'!$B$27,'Configuración'!$B$28))</f>
        <v>12</v>
      </c>
      <c r="U2085" s="25">
        <f>IF(B2085="","",IF(ISNUMBER(SEARCH("CEO",C2085))+ISNUMBER(SEARCH("Founder",C2085))+ISNUMBER(SEARCH("Owner",C2085))+ISNUMBER(SEARCH("Dueño",C2085))+ISNUMBER(SEARCH("Director General",C2085))+ISNUMBER(SEARCH("Presidente",C2085))+ISNUMBER(SEARCH("President",C2085))&gt;0,'Configuración'!$B$31,IF(ISNUMBER(SEARCH("CMO",C2085))+ISNUMBER(SEARCH("Chief Marketing",C2085))+ISNUMBER(SEARCH("VP Marketing",C2085))+ISNUMBER(SEARCH("Director de Marketing",C2085))+ISNUMBER(SEARCH("Director Marketing",C2085))+ISNUMBER(SEARCH("Head of Marketing",C2085))+ISNUMBER(SEARCH("Head Marketing",C2085))&gt;0,'Configuración'!$B$32,IF(ISNUMBER(SEARCH("Marketing Manager",C2085))+ISNUMBER(SEARCH("Gerente de Marketing",C2085))+ISNUMBER(SEARCH("Growth Manager",C2085))+ISNUMBER(SEARCH("Demand Gen",C2085))+ISNUMBER(SEARCH("Marketing Lead",C2085))&gt;0,'Configuración'!$B$33,IF(ISNUMBER(SEARCH("COO",C2085))+ISNUMBER(SEARCH("CFO",C2085))+ISNUMBER(SEARCH("CTO",C2085))+ISNUMBER(SEARCH("Chief Operating",C2085))+ISNUMBER(SEARCH("Chief Financial",C2085))+ISNUMBER(SEARCH("Gerente General",C2085))+ISNUMBER(SEARCH("General Manager",C2085))&gt;0,'Configuración'!$B$34,'Configuración'!$B$35)))))</f>
        <v>4</v>
      </c>
      <c r="V2085" s="20"/>
      <c r="W2085" s="20"/>
    </row>
    <row r="2086" ht="15.75" customHeight="1">
      <c r="A2086" s="34"/>
      <c r="B2086" s="29" t="s">
        <v>5219</v>
      </c>
      <c r="C2086" s="29" t="s">
        <v>467</v>
      </c>
      <c r="D2086" s="29" t="s">
        <v>11462</v>
      </c>
      <c r="E2086" s="29" t="s">
        <v>11463</v>
      </c>
      <c r="F2086" s="30" t="s">
        <v>11464</v>
      </c>
      <c r="G2086" s="30" t="s">
        <v>11465</v>
      </c>
      <c r="H2086" s="43" t="s">
        <v>11466</v>
      </c>
      <c r="I2086" s="29" t="s">
        <v>127</v>
      </c>
      <c r="J2086" s="31">
        <v>25.0</v>
      </c>
      <c r="K2086" s="44"/>
      <c r="L2086" s="44"/>
      <c r="M2086" s="44"/>
      <c r="N2086" s="44"/>
      <c r="O2086" s="44"/>
      <c r="P2086" s="44"/>
      <c r="Q2086" s="44"/>
      <c r="R2086" s="44"/>
      <c r="S2086" s="37">
        <f>IF(B2086="","",IF(ISNUMBER(J2086),IF(J2086&lt;=10,'Configuración'!$B$23,IF(J2086&lt;=50,'Configuración'!$B$24,IF(J2086&lt;=200,'Configuración'!$B$25,0))),0))</f>
        <v>4</v>
      </c>
      <c r="T2086" s="37">
        <f>IF(B2086="","",IF(ISNUMBER(SEARCH("information technology",I2086))+ISNUMBER(SEARCH("software",I2086))+ISNUMBER(SEARCH("internet",I2086))+ISNUMBER(SEARCH("computer",I2086))+ISNUMBER(SEARCH("saas",I2086))+ISNUMBER(SEARCH("fintech",I2086))+ISNUMBER(SEARCH("information services",I2086))+ISNUMBER(SEARCH("telecommunications",I2086))&gt;0,'Configuración'!$B$27,'Configuración'!$B$28))</f>
        <v>12</v>
      </c>
      <c r="U2086" s="25">
        <f>IF(B2086="","",IF(ISNUMBER(SEARCH("CEO",C2086))+ISNUMBER(SEARCH("Founder",C2086))+ISNUMBER(SEARCH("Owner",C2086))+ISNUMBER(SEARCH("Dueño",C2086))+ISNUMBER(SEARCH("Director General",C2086))+ISNUMBER(SEARCH("Presidente",C2086))+ISNUMBER(SEARCH("President",C2086))&gt;0,'Configuración'!$B$31,IF(ISNUMBER(SEARCH("CMO",C2086))+ISNUMBER(SEARCH("Chief Marketing",C2086))+ISNUMBER(SEARCH("VP Marketing",C2086))+ISNUMBER(SEARCH("Director de Marketing",C2086))+ISNUMBER(SEARCH("Director Marketing",C2086))+ISNUMBER(SEARCH("Head of Marketing",C2086))+ISNUMBER(SEARCH("Head Marketing",C2086))&gt;0,'Configuración'!$B$32,IF(ISNUMBER(SEARCH("Marketing Manager",C2086))+ISNUMBER(SEARCH("Gerente de Marketing",C2086))+ISNUMBER(SEARCH("Growth Manager",C2086))+ISNUMBER(SEARCH("Demand Gen",C2086))+ISNUMBER(SEARCH("Marketing Lead",C2086))&gt;0,'Configuración'!$B$33,IF(ISNUMBER(SEARCH("COO",C2086))+ISNUMBER(SEARCH("CFO",C2086))+ISNUMBER(SEARCH("CTO",C2086))+ISNUMBER(SEARCH("Chief Operating",C2086))+ISNUMBER(SEARCH("Chief Financial",C2086))+ISNUMBER(SEARCH("Gerente General",C2086))+ISNUMBER(SEARCH("General Manager",C2086))&gt;0,'Configuración'!$B$34,'Configuración'!$B$35)))))</f>
        <v>0</v>
      </c>
      <c r="V2086" s="20"/>
      <c r="W2086" s="20"/>
    </row>
    <row r="2087" ht="15.75" customHeight="1">
      <c r="A2087" s="34"/>
      <c r="B2087" s="29" t="s">
        <v>2897</v>
      </c>
      <c r="C2087" s="29" t="s">
        <v>11467</v>
      </c>
      <c r="D2087" s="29" t="s">
        <v>11468</v>
      </c>
      <c r="E2087" s="29" t="s">
        <v>11469</v>
      </c>
      <c r="F2087" s="30" t="s">
        <v>11470</v>
      </c>
      <c r="G2087" s="30" t="s">
        <v>11471</v>
      </c>
      <c r="H2087" s="43" t="s">
        <v>11472</v>
      </c>
      <c r="I2087" s="29" t="s">
        <v>127</v>
      </c>
      <c r="J2087" s="31">
        <v>35.0</v>
      </c>
      <c r="K2087" s="44"/>
      <c r="L2087" s="44"/>
      <c r="M2087" s="44"/>
      <c r="N2087" s="44"/>
      <c r="O2087" s="44"/>
      <c r="P2087" s="44"/>
      <c r="Q2087" s="44"/>
      <c r="R2087" s="44"/>
      <c r="S2087" s="37">
        <f>IF(B2087="","",IF(ISNUMBER(J2087),IF(J2087&lt;=10,'Configuración'!$B$23,IF(J2087&lt;=50,'Configuración'!$B$24,IF(J2087&lt;=200,'Configuración'!$B$25,0))),0))</f>
        <v>4</v>
      </c>
      <c r="T2087" s="37">
        <f>IF(B2087="","",IF(ISNUMBER(SEARCH("information technology",I2087))+ISNUMBER(SEARCH("software",I2087))+ISNUMBER(SEARCH("internet",I2087))+ISNUMBER(SEARCH("computer",I2087))+ISNUMBER(SEARCH("saas",I2087))+ISNUMBER(SEARCH("fintech",I2087))+ISNUMBER(SEARCH("information services",I2087))+ISNUMBER(SEARCH("telecommunications",I2087))&gt;0,'Configuración'!$B$27,'Configuración'!$B$28))</f>
        <v>12</v>
      </c>
      <c r="U2087" s="25">
        <f>IF(B2087="","",IF(ISNUMBER(SEARCH("CEO",C2087))+ISNUMBER(SEARCH("Founder",C2087))+ISNUMBER(SEARCH("Owner",C2087))+ISNUMBER(SEARCH("Dueño",C2087))+ISNUMBER(SEARCH("Director General",C2087))+ISNUMBER(SEARCH("Presidente",C2087))+ISNUMBER(SEARCH("President",C2087))&gt;0,'Configuración'!$B$31,IF(ISNUMBER(SEARCH("CMO",C2087))+ISNUMBER(SEARCH("Chief Marketing",C2087))+ISNUMBER(SEARCH("VP Marketing",C2087))+ISNUMBER(SEARCH("Director de Marketing",C2087))+ISNUMBER(SEARCH("Director Marketing",C2087))+ISNUMBER(SEARCH("Head of Marketing",C2087))+ISNUMBER(SEARCH("Head Marketing",C2087))&gt;0,'Configuración'!$B$32,IF(ISNUMBER(SEARCH("Marketing Manager",C2087))+ISNUMBER(SEARCH("Gerente de Marketing",C2087))+ISNUMBER(SEARCH("Growth Manager",C2087))+ISNUMBER(SEARCH("Demand Gen",C2087))+ISNUMBER(SEARCH("Marketing Lead",C2087))&gt;0,'Configuración'!$B$33,IF(ISNUMBER(SEARCH("COO",C2087))+ISNUMBER(SEARCH("CFO",C2087))+ISNUMBER(SEARCH("CTO",C2087))+ISNUMBER(SEARCH("Chief Operating",C2087))+ISNUMBER(SEARCH("Chief Financial",C2087))+ISNUMBER(SEARCH("Gerente General",C2087))+ISNUMBER(SEARCH("General Manager",C2087))&gt;0,'Configuración'!$B$34,'Configuración'!$B$35)))))</f>
        <v>4</v>
      </c>
      <c r="V2087" s="20"/>
      <c r="W2087" s="20"/>
    </row>
    <row r="2088" ht="15.75" customHeight="1">
      <c r="A2088" s="34"/>
      <c r="B2088" s="29" t="s">
        <v>120</v>
      </c>
      <c r="C2088" s="29" t="s">
        <v>202</v>
      </c>
      <c r="D2088" s="29" t="s">
        <v>11473</v>
      </c>
      <c r="E2088" s="29" t="s">
        <v>11474</v>
      </c>
      <c r="F2088" s="30" t="s">
        <v>11475</v>
      </c>
      <c r="G2088" s="30" t="s">
        <v>11476</v>
      </c>
      <c r="H2088" s="43" t="s">
        <v>11477</v>
      </c>
      <c r="I2088" s="29" t="s">
        <v>659</v>
      </c>
      <c r="J2088" s="31">
        <v>4.0</v>
      </c>
      <c r="K2088" s="44"/>
      <c r="L2088" s="44"/>
      <c r="M2088" s="44"/>
      <c r="N2088" s="44"/>
      <c r="O2088" s="44"/>
      <c r="P2088" s="44"/>
      <c r="Q2088" s="44"/>
      <c r="R2088" s="44"/>
      <c r="S2088" s="37">
        <f>IF(B2088="","",IF(ISNUMBER(J2088),IF(J2088&lt;=10,'Configuración'!$B$23,IF(J2088&lt;=50,'Configuración'!$B$24,IF(J2088&lt;=200,'Configuración'!$B$25,0))),0))</f>
        <v>12</v>
      </c>
      <c r="T2088" s="37">
        <f>IF(B2088="","",IF(ISNUMBER(SEARCH("information technology",I2088))+ISNUMBER(SEARCH("software",I2088))+ISNUMBER(SEARCH("internet",I2088))+ISNUMBER(SEARCH("computer",I2088))+ISNUMBER(SEARCH("saas",I2088))+ISNUMBER(SEARCH("fintech",I2088))+ISNUMBER(SEARCH("information services",I2088))+ISNUMBER(SEARCH("telecommunications",I2088))&gt;0,'Configuración'!$B$27,'Configuración'!$B$28))</f>
        <v>4</v>
      </c>
      <c r="U2088" s="25">
        <f>IF(B2088="","",IF(ISNUMBER(SEARCH("CEO",C2088))+ISNUMBER(SEARCH("Founder",C2088))+ISNUMBER(SEARCH("Owner",C2088))+ISNUMBER(SEARCH("Dueño",C2088))+ISNUMBER(SEARCH("Director General",C2088))+ISNUMBER(SEARCH("Presidente",C2088))+ISNUMBER(SEARCH("President",C2088))&gt;0,'Configuración'!$B$31,IF(ISNUMBER(SEARCH("CMO",C2088))+ISNUMBER(SEARCH("Chief Marketing",C2088))+ISNUMBER(SEARCH("VP Marketing",C2088))+ISNUMBER(SEARCH("Director de Marketing",C2088))+ISNUMBER(SEARCH("Director Marketing",C2088))+ISNUMBER(SEARCH("Head of Marketing",C2088))+ISNUMBER(SEARCH("Head Marketing",C2088))&gt;0,'Configuración'!$B$32,IF(ISNUMBER(SEARCH("Marketing Manager",C2088))+ISNUMBER(SEARCH("Gerente de Marketing",C2088))+ISNUMBER(SEARCH("Growth Manager",C2088))+ISNUMBER(SEARCH("Demand Gen",C2088))+ISNUMBER(SEARCH("Marketing Lead",C2088))&gt;0,'Configuración'!$B$33,IF(ISNUMBER(SEARCH("COO",C2088))+ISNUMBER(SEARCH("CFO",C2088))+ISNUMBER(SEARCH("CTO",C2088))+ISNUMBER(SEARCH("Chief Operating",C2088))+ISNUMBER(SEARCH("Chief Financial",C2088))+ISNUMBER(SEARCH("Gerente General",C2088))+ISNUMBER(SEARCH("General Manager",C2088))&gt;0,'Configuración'!$B$34,'Configuración'!$B$35)))))</f>
        <v>12</v>
      </c>
      <c r="V2088" s="20"/>
      <c r="W2088" s="20"/>
    </row>
    <row r="2089" ht="15.75" customHeight="1">
      <c r="A2089" s="34"/>
      <c r="B2089" s="29" t="s">
        <v>181</v>
      </c>
      <c r="C2089" s="29" t="s">
        <v>622</v>
      </c>
      <c r="D2089" s="29" t="s">
        <v>11478</v>
      </c>
      <c r="E2089" s="29" t="s">
        <v>11479</v>
      </c>
      <c r="F2089" s="30" t="s">
        <v>11480</v>
      </c>
      <c r="G2089" s="30" t="s">
        <v>11481</v>
      </c>
      <c r="H2089" s="43" t="s">
        <v>11482</v>
      </c>
      <c r="I2089" s="29" t="s">
        <v>127</v>
      </c>
      <c r="J2089" s="31">
        <v>10.0</v>
      </c>
      <c r="K2089" s="44"/>
      <c r="L2089" s="44"/>
      <c r="M2089" s="44"/>
      <c r="N2089" s="44"/>
      <c r="O2089" s="44"/>
      <c r="P2089" s="44"/>
      <c r="Q2089" s="44"/>
      <c r="R2089" s="44"/>
      <c r="S2089" s="37">
        <f>IF(B2089="","",IF(ISNUMBER(J2089),IF(J2089&lt;=10,'Configuración'!$B$23,IF(J2089&lt;=50,'Configuración'!$B$24,IF(J2089&lt;=200,'Configuración'!$B$25,0))),0))</f>
        <v>12</v>
      </c>
      <c r="T2089" s="37">
        <f>IF(B2089="","",IF(ISNUMBER(SEARCH("information technology",I2089))+ISNUMBER(SEARCH("software",I2089))+ISNUMBER(SEARCH("internet",I2089))+ISNUMBER(SEARCH("computer",I2089))+ISNUMBER(SEARCH("saas",I2089))+ISNUMBER(SEARCH("fintech",I2089))+ISNUMBER(SEARCH("information services",I2089))+ISNUMBER(SEARCH("telecommunications",I2089))&gt;0,'Configuración'!$B$27,'Configuración'!$B$28))</f>
        <v>12</v>
      </c>
      <c r="U2089" s="25">
        <f>IF(B2089="","",IF(ISNUMBER(SEARCH("CEO",C2089))+ISNUMBER(SEARCH("Founder",C2089))+ISNUMBER(SEARCH("Owner",C2089))+ISNUMBER(SEARCH("Dueño",C2089))+ISNUMBER(SEARCH("Director General",C2089))+ISNUMBER(SEARCH("Presidente",C2089))+ISNUMBER(SEARCH("President",C2089))&gt;0,'Configuración'!$B$31,IF(ISNUMBER(SEARCH("CMO",C2089))+ISNUMBER(SEARCH("Chief Marketing",C2089))+ISNUMBER(SEARCH("VP Marketing",C2089))+ISNUMBER(SEARCH("Director de Marketing",C2089))+ISNUMBER(SEARCH("Director Marketing",C2089))+ISNUMBER(SEARCH("Head of Marketing",C2089))+ISNUMBER(SEARCH("Head Marketing",C2089))&gt;0,'Configuración'!$B$32,IF(ISNUMBER(SEARCH("Marketing Manager",C2089))+ISNUMBER(SEARCH("Gerente de Marketing",C2089))+ISNUMBER(SEARCH("Growth Manager",C2089))+ISNUMBER(SEARCH("Demand Gen",C2089))+ISNUMBER(SEARCH("Marketing Lead",C2089))&gt;0,'Configuración'!$B$33,IF(ISNUMBER(SEARCH("COO",C2089))+ISNUMBER(SEARCH("CFO",C2089))+ISNUMBER(SEARCH("CTO",C2089))+ISNUMBER(SEARCH("Chief Operating",C2089))+ISNUMBER(SEARCH("Chief Financial",C2089))+ISNUMBER(SEARCH("Gerente General",C2089))+ISNUMBER(SEARCH("General Manager",C2089))&gt;0,'Configuración'!$B$34,'Configuración'!$B$35)))))</f>
        <v>12</v>
      </c>
      <c r="V2089" s="20"/>
      <c r="W2089" s="20"/>
    </row>
    <row r="2090" ht="15.75" customHeight="1">
      <c r="A2090" s="34"/>
      <c r="B2090" s="29" t="s">
        <v>11483</v>
      </c>
      <c r="C2090" s="29" t="s">
        <v>11484</v>
      </c>
      <c r="D2090" s="29" t="s">
        <v>11485</v>
      </c>
      <c r="E2090" s="29" t="s">
        <v>11486</v>
      </c>
      <c r="F2090" s="30" t="s">
        <v>11487</v>
      </c>
      <c r="G2090" s="30" t="s">
        <v>11488</v>
      </c>
      <c r="H2090" s="43" t="s">
        <v>11489</v>
      </c>
      <c r="I2090" s="29" t="s">
        <v>188</v>
      </c>
      <c r="J2090" s="31">
        <v>2.0</v>
      </c>
      <c r="K2090" s="44"/>
      <c r="L2090" s="44"/>
      <c r="M2090" s="44"/>
      <c r="N2090" s="44"/>
      <c r="O2090" s="44"/>
      <c r="P2090" s="44"/>
      <c r="Q2090" s="44"/>
      <c r="R2090" s="44"/>
      <c r="S2090" s="37">
        <f>IF(B2090="","",IF(ISNUMBER(J2090),IF(J2090&lt;=10,'Configuración'!$B$23,IF(J2090&lt;=50,'Configuración'!$B$24,IF(J2090&lt;=200,'Configuración'!$B$25,0))),0))</f>
        <v>12</v>
      </c>
      <c r="T2090" s="37">
        <f>IF(B2090="","",IF(ISNUMBER(SEARCH("information technology",I2090))+ISNUMBER(SEARCH("software",I2090))+ISNUMBER(SEARCH("internet",I2090))+ISNUMBER(SEARCH("computer",I2090))+ISNUMBER(SEARCH("saas",I2090))+ISNUMBER(SEARCH("fintech",I2090))+ISNUMBER(SEARCH("information services",I2090))+ISNUMBER(SEARCH("telecommunications",I2090))&gt;0,'Configuración'!$B$27,'Configuración'!$B$28))</f>
        <v>4</v>
      </c>
      <c r="U2090" s="25">
        <f>IF(B2090="","",IF(ISNUMBER(SEARCH("CEO",C2090))+ISNUMBER(SEARCH("Founder",C2090))+ISNUMBER(SEARCH("Owner",C2090))+ISNUMBER(SEARCH("Dueño",C2090))+ISNUMBER(SEARCH("Director General",C2090))+ISNUMBER(SEARCH("Presidente",C2090))+ISNUMBER(SEARCH("President",C2090))&gt;0,'Configuración'!$B$31,IF(ISNUMBER(SEARCH("CMO",C2090))+ISNUMBER(SEARCH("Chief Marketing",C2090))+ISNUMBER(SEARCH("VP Marketing",C2090))+ISNUMBER(SEARCH("Director de Marketing",C2090))+ISNUMBER(SEARCH("Director Marketing",C2090))+ISNUMBER(SEARCH("Head of Marketing",C2090))+ISNUMBER(SEARCH("Head Marketing",C2090))&gt;0,'Configuración'!$B$32,IF(ISNUMBER(SEARCH("Marketing Manager",C2090))+ISNUMBER(SEARCH("Gerente de Marketing",C2090))+ISNUMBER(SEARCH("Growth Manager",C2090))+ISNUMBER(SEARCH("Demand Gen",C2090))+ISNUMBER(SEARCH("Marketing Lead",C2090))&gt;0,'Configuración'!$B$33,IF(ISNUMBER(SEARCH("COO",C2090))+ISNUMBER(SEARCH("CFO",C2090))+ISNUMBER(SEARCH("CTO",C2090))+ISNUMBER(SEARCH("Chief Operating",C2090))+ISNUMBER(SEARCH("Chief Financial",C2090))+ISNUMBER(SEARCH("Gerente General",C2090))+ISNUMBER(SEARCH("General Manager",C2090))&gt;0,'Configuración'!$B$34,'Configuración'!$B$35)))))</f>
        <v>12</v>
      </c>
      <c r="V2090" s="20"/>
      <c r="W2090" s="20"/>
    </row>
    <row r="2091" ht="15.75" customHeight="1">
      <c r="A2091" s="34"/>
      <c r="B2091" s="29" t="s">
        <v>1686</v>
      </c>
      <c r="C2091" s="29" t="s">
        <v>131</v>
      </c>
      <c r="D2091" s="29" t="s">
        <v>11490</v>
      </c>
      <c r="E2091" s="29" t="s">
        <v>11491</v>
      </c>
      <c r="F2091" s="30" t="s">
        <v>11492</v>
      </c>
      <c r="G2091" s="30" t="s">
        <v>11493</v>
      </c>
      <c r="H2091" s="43" t="s">
        <v>11494</v>
      </c>
      <c r="I2091" s="29" t="s">
        <v>1922</v>
      </c>
      <c r="J2091" s="31">
        <v>24.0</v>
      </c>
      <c r="K2091" s="44"/>
      <c r="L2091" s="44"/>
      <c r="M2091" s="44"/>
      <c r="N2091" s="44"/>
      <c r="O2091" s="44"/>
      <c r="P2091" s="44"/>
      <c r="Q2091" s="44"/>
      <c r="R2091" s="44"/>
      <c r="S2091" s="37">
        <f>IF(B2091="","",IF(ISNUMBER(J2091),IF(J2091&lt;=10,'Configuración'!$B$23,IF(J2091&lt;=50,'Configuración'!$B$24,IF(J2091&lt;=200,'Configuración'!$B$25,0))),0))</f>
        <v>4</v>
      </c>
      <c r="T2091" s="37">
        <f>IF(B2091="","",IF(ISNUMBER(SEARCH("information technology",I2091))+ISNUMBER(SEARCH("software",I2091))+ISNUMBER(SEARCH("internet",I2091))+ISNUMBER(SEARCH("computer",I2091))+ISNUMBER(SEARCH("saas",I2091))+ISNUMBER(SEARCH("fintech",I2091))+ISNUMBER(SEARCH("information services",I2091))+ISNUMBER(SEARCH("telecommunications",I2091))&gt;0,'Configuración'!$B$27,'Configuración'!$B$28))</f>
        <v>4</v>
      </c>
      <c r="U2091" s="25">
        <f>IF(B2091="","",IF(ISNUMBER(SEARCH("CEO",C2091))+ISNUMBER(SEARCH("Founder",C2091))+ISNUMBER(SEARCH("Owner",C2091))+ISNUMBER(SEARCH("Dueño",C2091))+ISNUMBER(SEARCH("Director General",C2091))+ISNUMBER(SEARCH("Presidente",C2091))+ISNUMBER(SEARCH("President",C2091))&gt;0,'Configuración'!$B$31,IF(ISNUMBER(SEARCH("CMO",C2091))+ISNUMBER(SEARCH("Chief Marketing",C2091))+ISNUMBER(SEARCH("VP Marketing",C2091))+ISNUMBER(SEARCH("Director de Marketing",C2091))+ISNUMBER(SEARCH("Director Marketing",C2091))+ISNUMBER(SEARCH("Head of Marketing",C2091))+ISNUMBER(SEARCH("Head Marketing",C2091))&gt;0,'Configuración'!$B$32,IF(ISNUMBER(SEARCH("Marketing Manager",C2091))+ISNUMBER(SEARCH("Gerente de Marketing",C2091))+ISNUMBER(SEARCH("Growth Manager",C2091))+ISNUMBER(SEARCH("Demand Gen",C2091))+ISNUMBER(SEARCH("Marketing Lead",C2091))&gt;0,'Configuración'!$B$33,IF(ISNUMBER(SEARCH("COO",C2091))+ISNUMBER(SEARCH("CFO",C2091))+ISNUMBER(SEARCH("CTO",C2091))+ISNUMBER(SEARCH("Chief Operating",C2091))+ISNUMBER(SEARCH("Chief Financial",C2091))+ISNUMBER(SEARCH("Gerente General",C2091))+ISNUMBER(SEARCH("General Manager",C2091))&gt;0,'Configuración'!$B$34,'Configuración'!$B$35)))))</f>
        <v>12</v>
      </c>
      <c r="V2091" s="20"/>
      <c r="W2091" s="20"/>
    </row>
    <row r="2092" ht="15.75" customHeight="1">
      <c r="A2092" s="34"/>
      <c r="B2092" s="29" t="s">
        <v>3826</v>
      </c>
      <c r="C2092" s="29" t="s">
        <v>597</v>
      </c>
      <c r="D2092" s="29" t="s">
        <v>11495</v>
      </c>
      <c r="E2092" s="29" t="s">
        <v>11496</v>
      </c>
      <c r="F2092" s="30" t="s">
        <v>11497</v>
      </c>
      <c r="G2092" s="30" t="s">
        <v>11498</v>
      </c>
      <c r="H2092" s="43" t="s">
        <v>11499</v>
      </c>
      <c r="I2092" s="29" t="s">
        <v>127</v>
      </c>
      <c r="J2092" s="31">
        <v>2.0</v>
      </c>
      <c r="K2092" s="44"/>
      <c r="L2092" s="44"/>
      <c r="M2092" s="44"/>
      <c r="N2092" s="44"/>
      <c r="O2092" s="44"/>
      <c r="P2092" s="44"/>
      <c r="Q2092" s="44"/>
      <c r="R2092" s="44"/>
      <c r="S2092" s="37">
        <f>IF(B2092="","",IF(ISNUMBER(J2092),IF(J2092&lt;=10,'Configuración'!$B$23,IF(J2092&lt;=50,'Configuración'!$B$24,IF(J2092&lt;=200,'Configuración'!$B$25,0))),0))</f>
        <v>12</v>
      </c>
      <c r="T2092" s="37">
        <f>IF(B2092="","",IF(ISNUMBER(SEARCH("information technology",I2092))+ISNUMBER(SEARCH("software",I2092))+ISNUMBER(SEARCH("internet",I2092))+ISNUMBER(SEARCH("computer",I2092))+ISNUMBER(SEARCH("saas",I2092))+ISNUMBER(SEARCH("fintech",I2092))+ISNUMBER(SEARCH("information services",I2092))+ISNUMBER(SEARCH("telecommunications",I2092))&gt;0,'Configuración'!$B$27,'Configuración'!$B$28))</f>
        <v>12</v>
      </c>
      <c r="U2092" s="25">
        <f>IF(B2092="","",IF(ISNUMBER(SEARCH("CEO",C2092))+ISNUMBER(SEARCH("Founder",C2092))+ISNUMBER(SEARCH("Owner",C2092))+ISNUMBER(SEARCH("Dueño",C2092))+ISNUMBER(SEARCH("Director General",C2092))+ISNUMBER(SEARCH("Presidente",C2092))+ISNUMBER(SEARCH("President",C2092))&gt;0,'Configuración'!$B$31,IF(ISNUMBER(SEARCH("CMO",C2092))+ISNUMBER(SEARCH("Chief Marketing",C2092))+ISNUMBER(SEARCH("VP Marketing",C2092))+ISNUMBER(SEARCH("Director de Marketing",C2092))+ISNUMBER(SEARCH("Director Marketing",C2092))+ISNUMBER(SEARCH("Head of Marketing",C2092))+ISNUMBER(SEARCH("Head Marketing",C2092))&gt;0,'Configuración'!$B$32,IF(ISNUMBER(SEARCH("Marketing Manager",C2092))+ISNUMBER(SEARCH("Gerente de Marketing",C2092))+ISNUMBER(SEARCH("Growth Manager",C2092))+ISNUMBER(SEARCH("Demand Gen",C2092))+ISNUMBER(SEARCH("Marketing Lead",C2092))&gt;0,'Configuración'!$B$33,IF(ISNUMBER(SEARCH("COO",C2092))+ISNUMBER(SEARCH("CFO",C2092))+ISNUMBER(SEARCH("CTO",C2092))+ISNUMBER(SEARCH("Chief Operating",C2092))+ISNUMBER(SEARCH("Chief Financial",C2092))+ISNUMBER(SEARCH("Gerente General",C2092))+ISNUMBER(SEARCH("General Manager",C2092))&gt;0,'Configuración'!$B$34,'Configuración'!$B$35)))))</f>
        <v>12</v>
      </c>
      <c r="V2092" s="20"/>
      <c r="W2092" s="20"/>
    </row>
    <row r="2093" ht="15.75" customHeight="1">
      <c r="A2093" s="34"/>
      <c r="B2093" s="29" t="s">
        <v>181</v>
      </c>
      <c r="C2093" s="29" t="s">
        <v>311</v>
      </c>
      <c r="D2093" s="29" t="s">
        <v>11500</v>
      </c>
      <c r="E2093" s="29" t="s">
        <v>11501</v>
      </c>
      <c r="F2093" s="30" t="s">
        <v>11502</v>
      </c>
      <c r="G2093" s="30" t="s">
        <v>11503</v>
      </c>
      <c r="H2093" s="43" t="s">
        <v>11504</v>
      </c>
      <c r="I2093" s="29" t="s">
        <v>337</v>
      </c>
      <c r="J2093" s="31">
        <v>2.0</v>
      </c>
      <c r="K2093" s="44"/>
      <c r="L2093" s="44"/>
      <c r="M2093" s="44"/>
      <c r="N2093" s="44"/>
      <c r="O2093" s="44"/>
      <c r="P2093" s="44"/>
      <c r="Q2093" s="44"/>
      <c r="R2093" s="44"/>
      <c r="S2093" s="37">
        <f>IF(B2093="","",IF(ISNUMBER(J2093),IF(J2093&lt;=10,'Configuración'!$B$23,IF(J2093&lt;=50,'Configuración'!$B$24,IF(J2093&lt;=200,'Configuración'!$B$25,0))),0))</f>
        <v>12</v>
      </c>
      <c r="T2093" s="37">
        <f>IF(B2093="","",IF(ISNUMBER(SEARCH("information technology",I2093))+ISNUMBER(SEARCH("software",I2093))+ISNUMBER(SEARCH("internet",I2093))+ISNUMBER(SEARCH("computer",I2093))+ISNUMBER(SEARCH("saas",I2093))+ISNUMBER(SEARCH("fintech",I2093))+ISNUMBER(SEARCH("information services",I2093))+ISNUMBER(SEARCH("telecommunications",I2093))&gt;0,'Configuración'!$B$27,'Configuración'!$B$28))</f>
        <v>4</v>
      </c>
      <c r="U2093" s="25">
        <f>IF(B2093="","",IF(ISNUMBER(SEARCH("CEO",C2093))+ISNUMBER(SEARCH("Founder",C2093))+ISNUMBER(SEARCH("Owner",C2093))+ISNUMBER(SEARCH("Dueño",C2093))+ISNUMBER(SEARCH("Director General",C2093))+ISNUMBER(SEARCH("Presidente",C2093))+ISNUMBER(SEARCH("President",C2093))&gt;0,'Configuración'!$B$31,IF(ISNUMBER(SEARCH("CMO",C2093))+ISNUMBER(SEARCH("Chief Marketing",C2093))+ISNUMBER(SEARCH("VP Marketing",C2093))+ISNUMBER(SEARCH("Director de Marketing",C2093))+ISNUMBER(SEARCH("Director Marketing",C2093))+ISNUMBER(SEARCH("Head of Marketing",C2093))+ISNUMBER(SEARCH("Head Marketing",C2093))&gt;0,'Configuración'!$B$32,IF(ISNUMBER(SEARCH("Marketing Manager",C2093))+ISNUMBER(SEARCH("Gerente de Marketing",C2093))+ISNUMBER(SEARCH("Growth Manager",C2093))+ISNUMBER(SEARCH("Demand Gen",C2093))+ISNUMBER(SEARCH("Marketing Lead",C2093))&gt;0,'Configuración'!$B$33,IF(ISNUMBER(SEARCH("COO",C2093))+ISNUMBER(SEARCH("CFO",C2093))+ISNUMBER(SEARCH("CTO",C2093))+ISNUMBER(SEARCH("Chief Operating",C2093))+ISNUMBER(SEARCH("Chief Financial",C2093))+ISNUMBER(SEARCH("Gerente General",C2093))+ISNUMBER(SEARCH("General Manager",C2093))&gt;0,'Configuración'!$B$34,'Configuración'!$B$35)))))</f>
        <v>12</v>
      </c>
      <c r="V2093" s="20"/>
      <c r="W2093" s="20"/>
    </row>
    <row r="2094" ht="15.75" customHeight="1">
      <c r="A2094" s="34"/>
      <c r="B2094" s="29" t="s">
        <v>236</v>
      </c>
      <c r="C2094" s="29" t="s">
        <v>175</v>
      </c>
      <c r="D2094" s="29" t="s">
        <v>11505</v>
      </c>
      <c r="E2094" s="29" t="s">
        <v>11506</v>
      </c>
      <c r="F2094" s="30" t="s">
        <v>11507</v>
      </c>
      <c r="G2094" s="30" t="s">
        <v>11508</v>
      </c>
      <c r="H2094" s="43" t="s">
        <v>11509</v>
      </c>
      <c r="I2094" s="29" t="s">
        <v>1404</v>
      </c>
      <c r="J2094" s="31">
        <v>1.0</v>
      </c>
      <c r="K2094" s="44"/>
      <c r="L2094" s="44"/>
      <c r="M2094" s="44"/>
      <c r="N2094" s="44"/>
      <c r="O2094" s="44"/>
      <c r="P2094" s="44"/>
      <c r="Q2094" s="44"/>
      <c r="R2094" s="44"/>
      <c r="S2094" s="37">
        <f>IF(B2094="","",IF(ISNUMBER(J2094),IF(J2094&lt;=10,'Configuración'!$B$23,IF(J2094&lt;=50,'Configuración'!$B$24,IF(J2094&lt;=200,'Configuración'!$B$25,0))),0))</f>
        <v>12</v>
      </c>
      <c r="T2094" s="37">
        <f>IF(B2094="","",IF(ISNUMBER(SEARCH("information technology",I2094))+ISNUMBER(SEARCH("software",I2094))+ISNUMBER(SEARCH("internet",I2094))+ISNUMBER(SEARCH("computer",I2094))+ISNUMBER(SEARCH("saas",I2094))+ISNUMBER(SEARCH("fintech",I2094))+ISNUMBER(SEARCH("information services",I2094))+ISNUMBER(SEARCH("telecommunications",I2094))&gt;0,'Configuración'!$B$27,'Configuración'!$B$28))</f>
        <v>4</v>
      </c>
      <c r="U2094" s="25">
        <f>IF(B2094="","",IF(ISNUMBER(SEARCH("CEO",C2094))+ISNUMBER(SEARCH("Founder",C2094))+ISNUMBER(SEARCH("Owner",C2094))+ISNUMBER(SEARCH("Dueño",C2094))+ISNUMBER(SEARCH("Director General",C2094))+ISNUMBER(SEARCH("Presidente",C2094))+ISNUMBER(SEARCH("President",C2094))&gt;0,'Configuración'!$B$31,IF(ISNUMBER(SEARCH("CMO",C2094))+ISNUMBER(SEARCH("Chief Marketing",C2094))+ISNUMBER(SEARCH("VP Marketing",C2094))+ISNUMBER(SEARCH("Director de Marketing",C2094))+ISNUMBER(SEARCH("Director Marketing",C2094))+ISNUMBER(SEARCH("Head of Marketing",C2094))+ISNUMBER(SEARCH("Head Marketing",C2094))&gt;0,'Configuración'!$B$32,IF(ISNUMBER(SEARCH("Marketing Manager",C2094))+ISNUMBER(SEARCH("Gerente de Marketing",C2094))+ISNUMBER(SEARCH("Growth Manager",C2094))+ISNUMBER(SEARCH("Demand Gen",C2094))+ISNUMBER(SEARCH("Marketing Lead",C2094))&gt;0,'Configuración'!$B$33,IF(ISNUMBER(SEARCH("COO",C2094))+ISNUMBER(SEARCH("CFO",C2094))+ISNUMBER(SEARCH("CTO",C2094))+ISNUMBER(SEARCH("Chief Operating",C2094))+ISNUMBER(SEARCH("Chief Financial",C2094))+ISNUMBER(SEARCH("Gerente General",C2094))+ISNUMBER(SEARCH("General Manager",C2094))&gt;0,'Configuración'!$B$34,'Configuración'!$B$35)))))</f>
        <v>12</v>
      </c>
      <c r="V2094" s="20"/>
      <c r="W2094" s="20"/>
    </row>
    <row r="2095" ht="15.75" customHeight="1">
      <c r="A2095" s="34"/>
      <c r="B2095" s="29" t="s">
        <v>556</v>
      </c>
      <c r="C2095" s="29" t="s">
        <v>131</v>
      </c>
      <c r="D2095" s="29" t="s">
        <v>11510</v>
      </c>
      <c r="E2095" s="29" t="s">
        <v>11511</v>
      </c>
      <c r="F2095" s="30" t="s">
        <v>11512</v>
      </c>
      <c r="G2095" s="30" t="s">
        <v>11513</v>
      </c>
      <c r="H2095" s="43" t="s">
        <v>11514</v>
      </c>
      <c r="I2095" s="29" t="s">
        <v>127</v>
      </c>
      <c r="J2095" s="31">
        <v>3.0</v>
      </c>
      <c r="K2095" s="44"/>
      <c r="L2095" s="44"/>
      <c r="M2095" s="44"/>
      <c r="N2095" s="44"/>
      <c r="O2095" s="44"/>
      <c r="P2095" s="44"/>
      <c r="Q2095" s="44"/>
      <c r="R2095" s="44"/>
      <c r="S2095" s="37">
        <f>IF(B2095="","",IF(ISNUMBER(J2095),IF(J2095&lt;=10,'Configuración'!$B$23,IF(J2095&lt;=50,'Configuración'!$B$24,IF(J2095&lt;=200,'Configuración'!$B$25,0))),0))</f>
        <v>12</v>
      </c>
      <c r="T2095" s="37">
        <f>IF(B2095="","",IF(ISNUMBER(SEARCH("information technology",I2095))+ISNUMBER(SEARCH("software",I2095))+ISNUMBER(SEARCH("internet",I2095))+ISNUMBER(SEARCH("computer",I2095))+ISNUMBER(SEARCH("saas",I2095))+ISNUMBER(SEARCH("fintech",I2095))+ISNUMBER(SEARCH("information services",I2095))+ISNUMBER(SEARCH("telecommunications",I2095))&gt;0,'Configuración'!$B$27,'Configuración'!$B$28))</f>
        <v>12</v>
      </c>
      <c r="U2095" s="25">
        <f>IF(B2095="","",IF(ISNUMBER(SEARCH("CEO",C2095))+ISNUMBER(SEARCH("Founder",C2095))+ISNUMBER(SEARCH("Owner",C2095))+ISNUMBER(SEARCH("Dueño",C2095))+ISNUMBER(SEARCH("Director General",C2095))+ISNUMBER(SEARCH("Presidente",C2095))+ISNUMBER(SEARCH("President",C2095))&gt;0,'Configuración'!$B$31,IF(ISNUMBER(SEARCH("CMO",C2095))+ISNUMBER(SEARCH("Chief Marketing",C2095))+ISNUMBER(SEARCH("VP Marketing",C2095))+ISNUMBER(SEARCH("Director de Marketing",C2095))+ISNUMBER(SEARCH("Director Marketing",C2095))+ISNUMBER(SEARCH("Head of Marketing",C2095))+ISNUMBER(SEARCH("Head Marketing",C2095))&gt;0,'Configuración'!$B$32,IF(ISNUMBER(SEARCH("Marketing Manager",C2095))+ISNUMBER(SEARCH("Gerente de Marketing",C2095))+ISNUMBER(SEARCH("Growth Manager",C2095))+ISNUMBER(SEARCH("Demand Gen",C2095))+ISNUMBER(SEARCH("Marketing Lead",C2095))&gt;0,'Configuración'!$B$33,IF(ISNUMBER(SEARCH("COO",C2095))+ISNUMBER(SEARCH("CFO",C2095))+ISNUMBER(SEARCH("CTO",C2095))+ISNUMBER(SEARCH("Chief Operating",C2095))+ISNUMBER(SEARCH("Chief Financial",C2095))+ISNUMBER(SEARCH("Gerente General",C2095))+ISNUMBER(SEARCH("General Manager",C2095))&gt;0,'Configuración'!$B$34,'Configuración'!$B$35)))))</f>
        <v>12</v>
      </c>
      <c r="V2095" s="20"/>
      <c r="W2095" s="20"/>
    </row>
    <row r="2096" ht="15.75" customHeight="1">
      <c r="A2096" s="34"/>
      <c r="B2096" s="29" t="s">
        <v>1294</v>
      </c>
      <c r="C2096" s="29" t="s">
        <v>175</v>
      </c>
      <c r="D2096" s="29" t="s">
        <v>11515</v>
      </c>
      <c r="E2096" s="29" t="s">
        <v>11516</v>
      </c>
      <c r="F2096" s="30" t="s">
        <v>11517</v>
      </c>
      <c r="G2096" s="30" t="s">
        <v>11518</v>
      </c>
      <c r="H2096" s="43" t="s">
        <v>11519</v>
      </c>
      <c r="I2096" s="29" t="s">
        <v>127</v>
      </c>
      <c r="J2096" s="31">
        <v>6.0</v>
      </c>
      <c r="K2096" s="44"/>
      <c r="L2096" s="44"/>
      <c r="M2096" s="44"/>
      <c r="N2096" s="44"/>
      <c r="O2096" s="44"/>
      <c r="P2096" s="44"/>
      <c r="Q2096" s="44"/>
      <c r="R2096" s="44"/>
      <c r="S2096" s="37">
        <f>IF(B2096="","",IF(ISNUMBER(J2096),IF(J2096&lt;=10,'Configuración'!$B$23,IF(J2096&lt;=50,'Configuración'!$B$24,IF(J2096&lt;=200,'Configuración'!$B$25,0))),0))</f>
        <v>12</v>
      </c>
      <c r="T2096" s="37">
        <f>IF(B2096="","",IF(ISNUMBER(SEARCH("information technology",I2096))+ISNUMBER(SEARCH("software",I2096))+ISNUMBER(SEARCH("internet",I2096))+ISNUMBER(SEARCH("computer",I2096))+ISNUMBER(SEARCH("saas",I2096))+ISNUMBER(SEARCH("fintech",I2096))+ISNUMBER(SEARCH("information services",I2096))+ISNUMBER(SEARCH("telecommunications",I2096))&gt;0,'Configuración'!$B$27,'Configuración'!$B$28))</f>
        <v>12</v>
      </c>
      <c r="U2096" s="25">
        <f>IF(B2096="","",IF(ISNUMBER(SEARCH("CEO",C2096))+ISNUMBER(SEARCH("Founder",C2096))+ISNUMBER(SEARCH("Owner",C2096))+ISNUMBER(SEARCH("Dueño",C2096))+ISNUMBER(SEARCH("Director General",C2096))+ISNUMBER(SEARCH("Presidente",C2096))+ISNUMBER(SEARCH("President",C2096))&gt;0,'Configuración'!$B$31,IF(ISNUMBER(SEARCH("CMO",C2096))+ISNUMBER(SEARCH("Chief Marketing",C2096))+ISNUMBER(SEARCH("VP Marketing",C2096))+ISNUMBER(SEARCH("Director de Marketing",C2096))+ISNUMBER(SEARCH("Director Marketing",C2096))+ISNUMBER(SEARCH("Head of Marketing",C2096))+ISNUMBER(SEARCH("Head Marketing",C2096))&gt;0,'Configuración'!$B$32,IF(ISNUMBER(SEARCH("Marketing Manager",C2096))+ISNUMBER(SEARCH("Gerente de Marketing",C2096))+ISNUMBER(SEARCH("Growth Manager",C2096))+ISNUMBER(SEARCH("Demand Gen",C2096))+ISNUMBER(SEARCH("Marketing Lead",C2096))&gt;0,'Configuración'!$B$33,IF(ISNUMBER(SEARCH("COO",C2096))+ISNUMBER(SEARCH("CFO",C2096))+ISNUMBER(SEARCH("CTO",C2096))+ISNUMBER(SEARCH("Chief Operating",C2096))+ISNUMBER(SEARCH("Chief Financial",C2096))+ISNUMBER(SEARCH("Gerente General",C2096))+ISNUMBER(SEARCH("General Manager",C2096))&gt;0,'Configuración'!$B$34,'Configuración'!$B$35)))))</f>
        <v>12</v>
      </c>
      <c r="V2096" s="20"/>
      <c r="W2096" s="20"/>
    </row>
    <row r="2097" ht="15.75" customHeight="1">
      <c r="A2097" s="34"/>
      <c r="B2097" s="29" t="s">
        <v>9776</v>
      </c>
      <c r="C2097" s="29" t="s">
        <v>131</v>
      </c>
      <c r="D2097" s="29" t="s">
        <v>8245</v>
      </c>
      <c r="E2097" s="29" t="s">
        <v>11520</v>
      </c>
      <c r="F2097" s="30" t="s">
        <v>11521</v>
      </c>
      <c r="G2097" s="30" t="s">
        <v>8248</v>
      </c>
      <c r="H2097" s="43" t="s">
        <v>8249</v>
      </c>
      <c r="I2097" s="29" t="s">
        <v>127</v>
      </c>
      <c r="J2097" s="31">
        <v>50.0</v>
      </c>
      <c r="K2097" s="44"/>
      <c r="L2097" s="44"/>
      <c r="M2097" s="44"/>
      <c r="N2097" s="44"/>
      <c r="O2097" s="44"/>
      <c r="P2097" s="44"/>
      <c r="Q2097" s="44"/>
      <c r="R2097" s="44"/>
      <c r="S2097" s="37">
        <f>IF(B2097="","",IF(ISNUMBER(J2097),IF(J2097&lt;=10,'Configuración'!$B$23,IF(J2097&lt;=50,'Configuración'!$B$24,IF(J2097&lt;=200,'Configuración'!$B$25,0))),0))</f>
        <v>4</v>
      </c>
      <c r="T2097" s="37">
        <f>IF(B2097="","",IF(ISNUMBER(SEARCH("information technology",I2097))+ISNUMBER(SEARCH("software",I2097))+ISNUMBER(SEARCH("internet",I2097))+ISNUMBER(SEARCH("computer",I2097))+ISNUMBER(SEARCH("saas",I2097))+ISNUMBER(SEARCH("fintech",I2097))+ISNUMBER(SEARCH("information services",I2097))+ISNUMBER(SEARCH("telecommunications",I2097))&gt;0,'Configuración'!$B$27,'Configuración'!$B$28))</f>
        <v>12</v>
      </c>
      <c r="U2097" s="25">
        <f>IF(B2097="","",IF(ISNUMBER(SEARCH("CEO",C2097))+ISNUMBER(SEARCH("Founder",C2097))+ISNUMBER(SEARCH("Owner",C2097))+ISNUMBER(SEARCH("Dueño",C2097))+ISNUMBER(SEARCH("Director General",C2097))+ISNUMBER(SEARCH("Presidente",C2097))+ISNUMBER(SEARCH("President",C2097))&gt;0,'Configuración'!$B$31,IF(ISNUMBER(SEARCH("CMO",C2097))+ISNUMBER(SEARCH("Chief Marketing",C2097))+ISNUMBER(SEARCH("VP Marketing",C2097))+ISNUMBER(SEARCH("Director de Marketing",C2097))+ISNUMBER(SEARCH("Director Marketing",C2097))+ISNUMBER(SEARCH("Head of Marketing",C2097))+ISNUMBER(SEARCH("Head Marketing",C2097))&gt;0,'Configuración'!$B$32,IF(ISNUMBER(SEARCH("Marketing Manager",C2097))+ISNUMBER(SEARCH("Gerente de Marketing",C2097))+ISNUMBER(SEARCH("Growth Manager",C2097))+ISNUMBER(SEARCH("Demand Gen",C2097))+ISNUMBER(SEARCH("Marketing Lead",C2097))&gt;0,'Configuración'!$B$33,IF(ISNUMBER(SEARCH("COO",C2097))+ISNUMBER(SEARCH("CFO",C2097))+ISNUMBER(SEARCH("CTO",C2097))+ISNUMBER(SEARCH("Chief Operating",C2097))+ISNUMBER(SEARCH("Chief Financial",C2097))+ISNUMBER(SEARCH("Gerente General",C2097))+ISNUMBER(SEARCH("General Manager",C2097))&gt;0,'Configuración'!$B$34,'Configuración'!$B$35)))))</f>
        <v>12</v>
      </c>
      <c r="V2097" s="20"/>
      <c r="W2097" s="20"/>
    </row>
    <row r="2098" ht="15.75" customHeight="1">
      <c r="A2098" s="34"/>
      <c r="B2098" s="29" t="s">
        <v>1109</v>
      </c>
      <c r="C2098" s="29" t="s">
        <v>121</v>
      </c>
      <c r="D2098" s="29" t="s">
        <v>7044</v>
      </c>
      <c r="E2098" s="29" t="s">
        <v>11522</v>
      </c>
      <c r="F2098" s="30" t="s">
        <v>11523</v>
      </c>
      <c r="G2098" s="30" t="s">
        <v>7047</v>
      </c>
      <c r="H2098" s="43" t="s">
        <v>7048</v>
      </c>
      <c r="I2098" s="29" t="s">
        <v>1027</v>
      </c>
      <c r="J2098" s="31">
        <v>12.0</v>
      </c>
      <c r="K2098" s="44"/>
      <c r="L2098" s="44"/>
      <c r="M2098" s="44"/>
      <c r="N2098" s="44"/>
      <c r="O2098" s="44"/>
      <c r="P2098" s="44"/>
      <c r="Q2098" s="44"/>
      <c r="R2098" s="44"/>
      <c r="S2098" s="37">
        <f>IF(B2098="","",IF(ISNUMBER(J2098),IF(J2098&lt;=10,'Configuración'!$B$23,IF(J2098&lt;=50,'Configuración'!$B$24,IF(J2098&lt;=200,'Configuración'!$B$25,0))),0))</f>
        <v>4</v>
      </c>
      <c r="T2098" s="37">
        <f>IF(B2098="","",IF(ISNUMBER(SEARCH("information technology",I2098))+ISNUMBER(SEARCH("software",I2098))+ISNUMBER(SEARCH("internet",I2098))+ISNUMBER(SEARCH("computer",I2098))+ISNUMBER(SEARCH("saas",I2098))+ISNUMBER(SEARCH("fintech",I2098))+ISNUMBER(SEARCH("information services",I2098))+ISNUMBER(SEARCH("telecommunications",I2098))&gt;0,'Configuración'!$B$27,'Configuración'!$B$28))</f>
        <v>4</v>
      </c>
      <c r="U2098" s="25">
        <f>IF(B2098="","",IF(ISNUMBER(SEARCH("CEO",C2098))+ISNUMBER(SEARCH("Founder",C2098))+ISNUMBER(SEARCH("Owner",C2098))+ISNUMBER(SEARCH("Dueño",C2098))+ISNUMBER(SEARCH("Director General",C2098))+ISNUMBER(SEARCH("Presidente",C2098))+ISNUMBER(SEARCH("President",C2098))&gt;0,'Configuración'!$B$31,IF(ISNUMBER(SEARCH("CMO",C2098))+ISNUMBER(SEARCH("Chief Marketing",C2098))+ISNUMBER(SEARCH("VP Marketing",C2098))+ISNUMBER(SEARCH("Director de Marketing",C2098))+ISNUMBER(SEARCH("Director Marketing",C2098))+ISNUMBER(SEARCH("Head of Marketing",C2098))+ISNUMBER(SEARCH("Head Marketing",C2098))&gt;0,'Configuración'!$B$32,IF(ISNUMBER(SEARCH("Marketing Manager",C2098))+ISNUMBER(SEARCH("Gerente de Marketing",C2098))+ISNUMBER(SEARCH("Growth Manager",C2098))+ISNUMBER(SEARCH("Demand Gen",C2098))+ISNUMBER(SEARCH("Marketing Lead",C2098))&gt;0,'Configuración'!$B$33,IF(ISNUMBER(SEARCH("COO",C2098))+ISNUMBER(SEARCH("CFO",C2098))+ISNUMBER(SEARCH("CTO",C2098))+ISNUMBER(SEARCH("Chief Operating",C2098))+ISNUMBER(SEARCH("Chief Financial",C2098))+ISNUMBER(SEARCH("Gerente General",C2098))+ISNUMBER(SEARCH("General Manager",C2098))&gt;0,'Configuración'!$B$34,'Configuración'!$B$35)))))</f>
        <v>12</v>
      </c>
      <c r="V2098" s="20"/>
      <c r="W2098" s="20"/>
    </row>
    <row r="2099" ht="15.75" customHeight="1">
      <c r="A2099" s="34"/>
      <c r="B2099" s="29" t="s">
        <v>138</v>
      </c>
      <c r="C2099" s="29" t="s">
        <v>297</v>
      </c>
      <c r="D2099" s="29" t="s">
        <v>11524</v>
      </c>
      <c r="E2099" s="29" t="s">
        <v>11525</v>
      </c>
      <c r="F2099" s="30" t="s">
        <v>11526</v>
      </c>
      <c r="G2099" s="30" t="s">
        <v>11527</v>
      </c>
      <c r="H2099" s="43" t="s">
        <v>11528</v>
      </c>
      <c r="I2099" s="29" t="s">
        <v>127</v>
      </c>
      <c r="J2099" s="31">
        <v>6.0</v>
      </c>
      <c r="K2099" s="44"/>
      <c r="L2099" s="44"/>
      <c r="M2099" s="44"/>
      <c r="N2099" s="44"/>
      <c r="O2099" s="44"/>
      <c r="P2099" s="44"/>
      <c r="Q2099" s="44"/>
      <c r="R2099" s="44"/>
      <c r="S2099" s="37">
        <f>IF(B2099="","",IF(ISNUMBER(J2099),IF(J2099&lt;=10,'Configuración'!$B$23,IF(J2099&lt;=50,'Configuración'!$B$24,IF(J2099&lt;=200,'Configuración'!$B$25,0))),0))</f>
        <v>12</v>
      </c>
      <c r="T2099" s="37">
        <f>IF(B2099="","",IF(ISNUMBER(SEARCH("information technology",I2099))+ISNUMBER(SEARCH("software",I2099))+ISNUMBER(SEARCH("internet",I2099))+ISNUMBER(SEARCH("computer",I2099))+ISNUMBER(SEARCH("saas",I2099))+ISNUMBER(SEARCH("fintech",I2099))+ISNUMBER(SEARCH("information services",I2099))+ISNUMBER(SEARCH("telecommunications",I2099))&gt;0,'Configuración'!$B$27,'Configuración'!$B$28))</f>
        <v>12</v>
      </c>
      <c r="U2099" s="25">
        <f>IF(B2099="","",IF(ISNUMBER(SEARCH("CEO",C2099))+ISNUMBER(SEARCH("Founder",C2099))+ISNUMBER(SEARCH("Owner",C2099))+ISNUMBER(SEARCH("Dueño",C2099))+ISNUMBER(SEARCH("Director General",C2099))+ISNUMBER(SEARCH("Presidente",C2099))+ISNUMBER(SEARCH("President",C2099))&gt;0,'Configuración'!$B$31,IF(ISNUMBER(SEARCH("CMO",C2099))+ISNUMBER(SEARCH("Chief Marketing",C2099))+ISNUMBER(SEARCH("VP Marketing",C2099))+ISNUMBER(SEARCH("Director de Marketing",C2099))+ISNUMBER(SEARCH("Director Marketing",C2099))+ISNUMBER(SEARCH("Head of Marketing",C2099))+ISNUMBER(SEARCH("Head Marketing",C2099))&gt;0,'Configuración'!$B$32,IF(ISNUMBER(SEARCH("Marketing Manager",C2099))+ISNUMBER(SEARCH("Gerente de Marketing",C2099))+ISNUMBER(SEARCH("Growth Manager",C2099))+ISNUMBER(SEARCH("Demand Gen",C2099))+ISNUMBER(SEARCH("Marketing Lead",C2099))&gt;0,'Configuración'!$B$33,IF(ISNUMBER(SEARCH("COO",C2099))+ISNUMBER(SEARCH("CFO",C2099))+ISNUMBER(SEARCH("CTO",C2099))+ISNUMBER(SEARCH("Chief Operating",C2099))+ISNUMBER(SEARCH("Chief Financial",C2099))+ISNUMBER(SEARCH("Gerente General",C2099))+ISNUMBER(SEARCH("General Manager",C2099))&gt;0,'Configuración'!$B$34,'Configuración'!$B$35)))))</f>
        <v>0</v>
      </c>
      <c r="V2099" s="20"/>
      <c r="W2099" s="20"/>
    </row>
    <row r="2100" ht="15.75" customHeight="1">
      <c r="A2100" s="34"/>
      <c r="B2100" s="29" t="s">
        <v>2616</v>
      </c>
      <c r="C2100" s="29" t="s">
        <v>11529</v>
      </c>
      <c r="D2100" s="29" t="s">
        <v>4123</v>
      </c>
      <c r="E2100" s="29" t="s">
        <v>11530</v>
      </c>
      <c r="F2100" s="30" t="s">
        <v>11531</v>
      </c>
      <c r="G2100" s="30" t="s">
        <v>11532</v>
      </c>
      <c r="H2100" s="43" t="s">
        <v>4127</v>
      </c>
      <c r="I2100" s="29" t="s">
        <v>659</v>
      </c>
      <c r="J2100" s="31">
        <v>28.0</v>
      </c>
      <c r="K2100" s="44"/>
      <c r="L2100" s="44"/>
      <c r="M2100" s="44"/>
      <c r="N2100" s="44"/>
      <c r="O2100" s="44"/>
      <c r="P2100" s="44"/>
      <c r="Q2100" s="44"/>
      <c r="R2100" s="44"/>
      <c r="S2100" s="37">
        <f>IF(B2100="","",IF(ISNUMBER(J2100),IF(J2100&lt;=10,'Configuración'!$B$23,IF(J2100&lt;=50,'Configuración'!$B$24,IF(J2100&lt;=200,'Configuración'!$B$25,0))),0))</f>
        <v>4</v>
      </c>
      <c r="T2100" s="37">
        <f>IF(B2100="","",IF(ISNUMBER(SEARCH("information technology",I2100))+ISNUMBER(SEARCH("software",I2100))+ISNUMBER(SEARCH("internet",I2100))+ISNUMBER(SEARCH("computer",I2100))+ISNUMBER(SEARCH("saas",I2100))+ISNUMBER(SEARCH("fintech",I2100))+ISNUMBER(SEARCH("information services",I2100))+ISNUMBER(SEARCH("telecommunications",I2100))&gt;0,'Configuración'!$B$27,'Configuración'!$B$28))</f>
        <v>4</v>
      </c>
      <c r="U2100" s="25">
        <f>IF(B2100="","",IF(ISNUMBER(SEARCH("CEO",C2100))+ISNUMBER(SEARCH("Founder",C2100))+ISNUMBER(SEARCH("Owner",C2100))+ISNUMBER(SEARCH("Dueño",C2100))+ISNUMBER(SEARCH("Director General",C2100))+ISNUMBER(SEARCH("Presidente",C2100))+ISNUMBER(SEARCH("President",C2100))&gt;0,'Configuración'!$B$31,IF(ISNUMBER(SEARCH("CMO",C2100))+ISNUMBER(SEARCH("Chief Marketing",C2100))+ISNUMBER(SEARCH("VP Marketing",C2100))+ISNUMBER(SEARCH("Director de Marketing",C2100))+ISNUMBER(SEARCH("Director Marketing",C2100))+ISNUMBER(SEARCH("Head of Marketing",C2100))+ISNUMBER(SEARCH("Head Marketing",C2100))&gt;0,'Configuración'!$B$32,IF(ISNUMBER(SEARCH("Marketing Manager",C2100))+ISNUMBER(SEARCH("Gerente de Marketing",C2100))+ISNUMBER(SEARCH("Growth Manager",C2100))+ISNUMBER(SEARCH("Demand Gen",C2100))+ISNUMBER(SEARCH("Marketing Lead",C2100))&gt;0,'Configuración'!$B$33,IF(ISNUMBER(SEARCH("COO",C2100))+ISNUMBER(SEARCH("CFO",C2100))+ISNUMBER(SEARCH("CTO",C2100))+ISNUMBER(SEARCH("Chief Operating",C2100))+ISNUMBER(SEARCH("Chief Financial",C2100))+ISNUMBER(SEARCH("Gerente General",C2100))+ISNUMBER(SEARCH("General Manager",C2100))&gt;0,'Configuración'!$B$34,'Configuración'!$B$35)))))</f>
        <v>12</v>
      </c>
      <c r="V2100" s="20"/>
      <c r="W2100" s="20"/>
    </row>
    <row r="2101" ht="15.75" customHeight="1">
      <c r="A2101" s="34"/>
      <c r="B2101" s="29" t="s">
        <v>138</v>
      </c>
      <c r="C2101" s="29" t="s">
        <v>121</v>
      </c>
      <c r="D2101" s="29" t="s">
        <v>11533</v>
      </c>
      <c r="E2101" s="29" t="s">
        <v>11534</v>
      </c>
      <c r="F2101" s="30" t="s">
        <v>11535</v>
      </c>
      <c r="G2101" s="30" t="s">
        <v>11536</v>
      </c>
      <c r="H2101" s="43" t="s">
        <v>11537</v>
      </c>
      <c r="I2101" s="29" t="s">
        <v>127</v>
      </c>
      <c r="J2101" s="31">
        <v>30.0</v>
      </c>
      <c r="K2101" s="44"/>
      <c r="L2101" s="44"/>
      <c r="M2101" s="44"/>
      <c r="N2101" s="44"/>
      <c r="O2101" s="44"/>
      <c r="P2101" s="44"/>
      <c r="Q2101" s="44"/>
      <c r="R2101" s="44"/>
      <c r="S2101" s="37">
        <f>IF(B2101="","",IF(ISNUMBER(J2101),IF(J2101&lt;=10,'Configuración'!$B$23,IF(J2101&lt;=50,'Configuración'!$B$24,IF(J2101&lt;=200,'Configuración'!$B$25,0))),0))</f>
        <v>4</v>
      </c>
      <c r="T2101" s="37">
        <f>IF(B2101="","",IF(ISNUMBER(SEARCH("information technology",I2101))+ISNUMBER(SEARCH("software",I2101))+ISNUMBER(SEARCH("internet",I2101))+ISNUMBER(SEARCH("computer",I2101))+ISNUMBER(SEARCH("saas",I2101))+ISNUMBER(SEARCH("fintech",I2101))+ISNUMBER(SEARCH("information services",I2101))+ISNUMBER(SEARCH("telecommunications",I2101))&gt;0,'Configuración'!$B$27,'Configuración'!$B$28))</f>
        <v>12</v>
      </c>
      <c r="U2101" s="25">
        <f>IF(B2101="","",IF(ISNUMBER(SEARCH("CEO",C2101))+ISNUMBER(SEARCH("Founder",C2101))+ISNUMBER(SEARCH("Owner",C2101))+ISNUMBER(SEARCH("Dueño",C2101))+ISNUMBER(SEARCH("Director General",C2101))+ISNUMBER(SEARCH("Presidente",C2101))+ISNUMBER(SEARCH("President",C2101))&gt;0,'Configuración'!$B$31,IF(ISNUMBER(SEARCH("CMO",C2101))+ISNUMBER(SEARCH("Chief Marketing",C2101))+ISNUMBER(SEARCH("VP Marketing",C2101))+ISNUMBER(SEARCH("Director de Marketing",C2101))+ISNUMBER(SEARCH("Director Marketing",C2101))+ISNUMBER(SEARCH("Head of Marketing",C2101))+ISNUMBER(SEARCH("Head Marketing",C2101))&gt;0,'Configuración'!$B$32,IF(ISNUMBER(SEARCH("Marketing Manager",C2101))+ISNUMBER(SEARCH("Gerente de Marketing",C2101))+ISNUMBER(SEARCH("Growth Manager",C2101))+ISNUMBER(SEARCH("Demand Gen",C2101))+ISNUMBER(SEARCH("Marketing Lead",C2101))&gt;0,'Configuración'!$B$33,IF(ISNUMBER(SEARCH("COO",C2101))+ISNUMBER(SEARCH("CFO",C2101))+ISNUMBER(SEARCH("CTO",C2101))+ISNUMBER(SEARCH("Chief Operating",C2101))+ISNUMBER(SEARCH("Chief Financial",C2101))+ISNUMBER(SEARCH("Gerente General",C2101))+ISNUMBER(SEARCH("General Manager",C2101))&gt;0,'Configuración'!$B$34,'Configuración'!$B$35)))))</f>
        <v>12</v>
      </c>
      <c r="V2101" s="20"/>
      <c r="W2101" s="20"/>
    </row>
    <row r="2102" ht="15.75" customHeight="1">
      <c r="A2102" s="34"/>
      <c r="B2102" s="29" t="s">
        <v>343</v>
      </c>
      <c r="C2102" s="29" t="s">
        <v>679</v>
      </c>
      <c r="D2102" s="29" t="s">
        <v>11538</v>
      </c>
      <c r="E2102" s="29" t="s">
        <v>11539</v>
      </c>
      <c r="F2102" s="30" t="s">
        <v>11540</v>
      </c>
      <c r="G2102" s="30" t="s">
        <v>11541</v>
      </c>
      <c r="H2102" s="43" t="s">
        <v>11542</v>
      </c>
      <c r="I2102" s="29" t="s">
        <v>127</v>
      </c>
      <c r="J2102" s="31">
        <v>1.0</v>
      </c>
      <c r="K2102" s="44"/>
      <c r="L2102" s="44"/>
      <c r="M2102" s="44"/>
      <c r="N2102" s="44"/>
      <c r="O2102" s="44"/>
      <c r="P2102" s="44"/>
      <c r="Q2102" s="44"/>
      <c r="R2102" s="44"/>
      <c r="S2102" s="37">
        <f>IF(B2102="","",IF(ISNUMBER(J2102),IF(J2102&lt;=10,'Configuración'!$B$23,IF(J2102&lt;=50,'Configuración'!$B$24,IF(J2102&lt;=200,'Configuración'!$B$25,0))),0))</f>
        <v>12</v>
      </c>
      <c r="T2102" s="37">
        <f>IF(B2102="","",IF(ISNUMBER(SEARCH("information technology",I2102))+ISNUMBER(SEARCH("software",I2102))+ISNUMBER(SEARCH("internet",I2102))+ISNUMBER(SEARCH("computer",I2102))+ISNUMBER(SEARCH("saas",I2102))+ISNUMBER(SEARCH("fintech",I2102))+ISNUMBER(SEARCH("information services",I2102))+ISNUMBER(SEARCH("telecommunications",I2102))&gt;0,'Configuración'!$B$27,'Configuración'!$B$28))</f>
        <v>12</v>
      </c>
      <c r="U2102" s="25">
        <f>IF(B2102="","",IF(ISNUMBER(SEARCH("CEO",C2102))+ISNUMBER(SEARCH("Founder",C2102))+ISNUMBER(SEARCH("Owner",C2102))+ISNUMBER(SEARCH("Dueño",C2102))+ISNUMBER(SEARCH("Director General",C2102))+ISNUMBER(SEARCH("Presidente",C2102))+ISNUMBER(SEARCH("President",C2102))&gt;0,'Configuración'!$B$31,IF(ISNUMBER(SEARCH("CMO",C2102))+ISNUMBER(SEARCH("Chief Marketing",C2102))+ISNUMBER(SEARCH("VP Marketing",C2102))+ISNUMBER(SEARCH("Director de Marketing",C2102))+ISNUMBER(SEARCH("Director Marketing",C2102))+ISNUMBER(SEARCH("Head of Marketing",C2102))+ISNUMBER(SEARCH("Head Marketing",C2102))&gt;0,'Configuración'!$B$32,IF(ISNUMBER(SEARCH("Marketing Manager",C2102))+ISNUMBER(SEARCH("Gerente de Marketing",C2102))+ISNUMBER(SEARCH("Growth Manager",C2102))+ISNUMBER(SEARCH("Demand Gen",C2102))+ISNUMBER(SEARCH("Marketing Lead",C2102))&gt;0,'Configuración'!$B$33,IF(ISNUMBER(SEARCH("COO",C2102))+ISNUMBER(SEARCH("CFO",C2102))+ISNUMBER(SEARCH("CTO",C2102))+ISNUMBER(SEARCH("Chief Operating",C2102))+ISNUMBER(SEARCH("Chief Financial",C2102))+ISNUMBER(SEARCH("Gerente General",C2102))+ISNUMBER(SEARCH("General Manager",C2102))&gt;0,'Configuración'!$B$34,'Configuración'!$B$35)))))</f>
        <v>12</v>
      </c>
      <c r="V2102" s="20"/>
      <c r="W2102" s="20"/>
    </row>
    <row r="2103" ht="15.75" customHeight="1">
      <c r="A2103" s="34"/>
      <c r="B2103" s="29" t="s">
        <v>1567</v>
      </c>
      <c r="C2103" s="29" t="s">
        <v>202</v>
      </c>
      <c r="D2103" s="29" t="s">
        <v>7414</v>
      </c>
      <c r="E2103" s="29" t="s">
        <v>11543</v>
      </c>
      <c r="F2103" s="30" t="s">
        <v>11544</v>
      </c>
      <c r="G2103" s="30" t="s">
        <v>7417</v>
      </c>
      <c r="H2103" s="43" t="s">
        <v>7418</v>
      </c>
      <c r="I2103" s="29" t="s">
        <v>127</v>
      </c>
      <c r="J2103" s="31">
        <v>31.0</v>
      </c>
      <c r="K2103" s="44"/>
      <c r="L2103" s="44"/>
      <c r="M2103" s="44"/>
      <c r="N2103" s="44"/>
      <c r="O2103" s="44"/>
      <c r="P2103" s="44"/>
      <c r="Q2103" s="44"/>
      <c r="R2103" s="44"/>
      <c r="S2103" s="37">
        <f>IF(B2103="","",IF(ISNUMBER(J2103),IF(J2103&lt;=10,'Configuración'!$B$23,IF(J2103&lt;=50,'Configuración'!$B$24,IF(J2103&lt;=200,'Configuración'!$B$25,0))),0))</f>
        <v>4</v>
      </c>
      <c r="T2103" s="37">
        <f>IF(B2103="","",IF(ISNUMBER(SEARCH("information technology",I2103))+ISNUMBER(SEARCH("software",I2103))+ISNUMBER(SEARCH("internet",I2103))+ISNUMBER(SEARCH("computer",I2103))+ISNUMBER(SEARCH("saas",I2103))+ISNUMBER(SEARCH("fintech",I2103))+ISNUMBER(SEARCH("information services",I2103))+ISNUMBER(SEARCH("telecommunications",I2103))&gt;0,'Configuración'!$B$27,'Configuración'!$B$28))</f>
        <v>12</v>
      </c>
      <c r="U2103" s="25">
        <f>IF(B2103="","",IF(ISNUMBER(SEARCH("CEO",C2103))+ISNUMBER(SEARCH("Founder",C2103))+ISNUMBER(SEARCH("Owner",C2103))+ISNUMBER(SEARCH("Dueño",C2103))+ISNUMBER(SEARCH("Director General",C2103))+ISNUMBER(SEARCH("Presidente",C2103))+ISNUMBER(SEARCH("President",C2103))&gt;0,'Configuración'!$B$31,IF(ISNUMBER(SEARCH("CMO",C2103))+ISNUMBER(SEARCH("Chief Marketing",C2103))+ISNUMBER(SEARCH("VP Marketing",C2103))+ISNUMBER(SEARCH("Director de Marketing",C2103))+ISNUMBER(SEARCH("Director Marketing",C2103))+ISNUMBER(SEARCH("Head of Marketing",C2103))+ISNUMBER(SEARCH("Head Marketing",C2103))&gt;0,'Configuración'!$B$32,IF(ISNUMBER(SEARCH("Marketing Manager",C2103))+ISNUMBER(SEARCH("Gerente de Marketing",C2103))+ISNUMBER(SEARCH("Growth Manager",C2103))+ISNUMBER(SEARCH("Demand Gen",C2103))+ISNUMBER(SEARCH("Marketing Lead",C2103))&gt;0,'Configuración'!$B$33,IF(ISNUMBER(SEARCH("COO",C2103))+ISNUMBER(SEARCH("CFO",C2103))+ISNUMBER(SEARCH("CTO",C2103))+ISNUMBER(SEARCH("Chief Operating",C2103))+ISNUMBER(SEARCH("Chief Financial",C2103))+ISNUMBER(SEARCH("Gerente General",C2103))+ISNUMBER(SEARCH("General Manager",C2103))&gt;0,'Configuración'!$B$34,'Configuración'!$B$35)))))</f>
        <v>12</v>
      </c>
      <c r="V2103" s="20"/>
      <c r="W2103" s="20"/>
    </row>
    <row r="2104" ht="15.75" customHeight="1">
      <c r="A2104" s="34"/>
      <c r="B2104" s="29" t="s">
        <v>984</v>
      </c>
      <c r="C2104" s="29" t="s">
        <v>11545</v>
      </c>
      <c r="D2104" s="29" t="s">
        <v>11546</v>
      </c>
      <c r="E2104" s="29" t="s">
        <v>11547</v>
      </c>
      <c r="F2104" s="30" t="s">
        <v>11548</v>
      </c>
      <c r="G2104" s="30" t="s">
        <v>11549</v>
      </c>
      <c r="H2104" s="43" t="s">
        <v>11550</v>
      </c>
      <c r="I2104" s="29" t="s">
        <v>188</v>
      </c>
      <c r="J2104" s="31">
        <v>8.0</v>
      </c>
      <c r="K2104" s="44"/>
      <c r="L2104" s="44"/>
      <c r="M2104" s="44"/>
      <c r="N2104" s="44"/>
      <c r="O2104" s="44"/>
      <c r="P2104" s="44"/>
      <c r="Q2104" s="44"/>
      <c r="R2104" s="44"/>
      <c r="S2104" s="37">
        <f>IF(B2104="","",IF(ISNUMBER(J2104),IF(J2104&lt;=10,'Configuración'!$B$23,IF(J2104&lt;=50,'Configuración'!$B$24,IF(J2104&lt;=200,'Configuración'!$B$25,0))),0))</f>
        <v>12</v>
      </c>
      <c r="T2104" s="37">
        <f>IF(B2104="","",IF(ISNUMBER(SEARCH("information technology",I2104))+ISNUMBER(SEARCH("software",I2104))+ISNUMBER(SEARCH("internet",I2104))+ISNUMBER(SEARCH("computer",I2104))+ISNUMBER(SEARCH("saas",I2104))+ISNUMBER(SEARCH("fintech",I2104))+ISNUMBER(SEARCH("information services",I2104))+ISNUMBER(SEARCH("telecommunications",I2104))&gt;0,'Configuración'!$B$27,'Configuración'!$B$28))</f>
        <v>4</v>
      </c>
      <c r="U2104" s="25">
        <f>IF(B2104="","",IF(ISNUMBER(SEARCH("CEO",C2104))+ISNUMBER(SEARCH("Founder",C2104))+ISNUMBER(SEARCH("Owner",C2104))+ISNUMBER(SEARCH("Dueño",C2104))+ISNUMBER(SEARCH("Director General",C2104))+ISNUMBER(SEARCH("Presidente",C2104))+ISNUMBER(SEARCH("President",C2104))&gt;0,'Configuración'!$B$31,IF(ISNUMBER(SEARCH("CMO",C2104))+ISNUMBER(SEARCH("Chief Marketing",C2104))+ISNUMBER(SEARCH("VP Marketing",C2104))+ISNUMBER(SEARCH("Director de Marketing",C2104))+ISNUMBER(SEARCH("Director Marketing",C2104))+ISNUMBER(SEARCH("Head of Marketing",C2104))+ISNUMBER(SEARCH("Head Marketing",C2104))&gt;0,'Configuración'!$B$32,IF(ISNUMBER(SEARCH("Marketing Manager",C2104))+ISNUMBER(SEARCH("Gerente de Marketing",C2104))+ISNUMBER(SEARCH("Growth Manager",C2104))+ISNUMBER(SEARCH("Demand Gen",C2104))+ISNUMBER(SEARCH("Marketing Lead",C2104))&gt;0,'Configuración'!$B$33,IF(ISNUMBER(SEARCH("COO",C2104))+ISNUMBER(SEARCH("CFO",C2104))+ISNUMBER(SEARCH("CTO",C2104))+ISNUMBER(SEARCH("Chief Operating",C2104))+ISNUMBER(SEARCH("Chief Financial",C2104))+ISNUMBER(SEARCH("Gerente General",C2104))+ISNUMBER(SEARCH("General Manager",C2104))&gt;0,'Configuración'!$B$34,'Configuración'!$B$35)))))</f>
        <v>12</v>
      </c>
      <c r="V2104" s="20"/>
      <c r="W2104" s="20"/>
    </row>
    <row r="2105" ht="15.75" customHeight="1">
      <c r="A2105" s="34"/>
      <c r="B2105" s="29" t="s">
        <v>109</v>
      </c>
      <c r="C2105" s="29" t="s">
        <v>622</v>
      </c>
      <c r="D2105" s="29" t="s">
        <v>11551</v>
      </c>
      <c r="E2105" s="29" t="s">
        <v>11552</v>
      </c>
      <c r="F2105" s="30" t="s">
        <v>11553</v>
      </c>
      <c r="G2105" s="30" t="s">
        <v>11554</v>
      </c>
      <c r="H2105" s="43" t="s">
        <v>11555</v>
      </c>
      <c r="I2105" s="29" t="s">
        <v>317</v>
      </c>
      <c r="J2105" s="31">
        <v>1.0</v>
      </c>
      <c r="K2105" s="44"/>
      <c r="L2105" s="44"/>
      <c r="M2105" s="44"/>
      <c r="N2105" s="44"/>
      <c r="O2105" s="44"/>
      <c r="P2105" s="44"/>
      <c r="Q2105" s="44"/>
      <c r="R2105" s="44"/>
      <c r="S2105" s="37">
        <f>IF(B2105="","",IF(ISNUMBER(J2105),IF(J2105&lt;=10,'Configuración'!$B$23,IF(J2105&lt;=50,'Configuración'!$B$24,IF(J2105&lt;=200,'Configuración'!$B$25,0))),0))</f>
        <v>12</v>
      </c>
      <c r="T2105" s="37">
        <f>IF(B2105="","",IF(ISNUMBER(SEARCH("information technology",I2105))+ISNUMBER(SEARCH("software",I2105))+ISNUMBER(SEARCH("internet",I2105))+ISNUMBER(SEARCH("computer",I2105))+ISNUMBER(SEARCH("saas",I2105))+ISNUMBER(SEARCH("fintech",I2105))+ISNUMBER(SEARCH("information services",I2105))+ISNUMBER(SEARCH("telecommunications",I2105))&gt;0,'Configuración'!$B$27,'Configuración'!$B$28))</f>
        <v>4</v>
      </c>
      <c r="U2105" s="25">
        <f>IF(B2105="","",IF(ISNUMBER(SEARCH("CEO",C2105))+ISNUMBER(SEARCH("Founder",C2105))+ISNUMBER(SEARCH("Owner",C2105))+ISNUMBER(SEARCH("Dueño",C2105))+ISNUMBER(SEARCH("Director General",C2105))+ISNUMBER(SEARCH("Presidente",C2105))+ISNUMBER(SEARCH("President",C2105))&gt;0,'Configuración'!$B$31,IF(ISNUMBER(SEARCH("CMO",C2105))+ISNUMBER(SEARCH("Chief Marketing",C2105))+ISNUMBER(SEARCH("VP Marketing",C2105))+ISNUMBER(SEARCH("Director de Marketing",C2105))+ISNUMBER(SEARCH("Director Marketing",C2105))+ISNUMBER(SEARCH("Head of Marketing",C2105))+ISNUMBER(SEARCH("Head Marketing",C2105))&gt;0,'Configuración'!$B$32,IF(ISNUMBER(SEARCH("Marketing Manager",C2105))+ISNUMBER(SEARCH("Gerente de Marketing",C2105))+ISNUMBER(SEARCH("Growth Manager",C2105))+ISNUMBER(SEARCH("Demand Gen",C2105))+ISNUMBER(SEARCH("Marketing Lead",C2105))&gt;0,'Configuración'!$B$33,IF(ISNUMBER(SEARCH("COO",C2105))+ISNUMBER(SEARCH("CFO",C2105))+ISNUMBER(SEARCH("CTO",C2105))+ISNUMBER(SEARCH("Chief Operating",C2105))+ISNUMBER(SEARCH("Chief Financial",C2105))+ISNUMBER(SEARCH("Gerente General",C2105))+ISNUMBER(SEARCH("General Manager",C2105))&gt;0,'Configuración'!$B$34,'Configuración'!$B$35)))))</f>
        <v>12</v>
      </c>
      <c r="V2105" s="20"/>
      <c r="W2105" s="20"/>
    </row>
    <row r="2106" ht="15.75" customHeight="1">
      <c r="A2106" s="34"/>
      <c r="B2106" s="29" t="s">
        <v>296</v>
      </c>
      <c r="C2106" s="29" t="s">
        <v>11556</v>
      </c>
      <c r="D2106" s="29" t="s">
        <v>11557</v>
      </c>
      <c r="E2106" s="29" t="s">
        <v>11558</v>
      </c>
      <c r="F2106" s="30" t="s">
        <v>11559</v>
      </c>
      <c r="G2106" s="30" t="s">
        <v>11560</v>
      </c>
      <c r="H2106" s="43" t="s">
        <v>11561</v>
      </c>
      <c r="I2106" s="29" t="s">
        <v>172</v>
      </c>
      <c r="J2106" s="31">
        <v>14.0</v>
      </c>
      <c r="K2106" s="44"/>
      <c r="L2106" s="44"/>
      <c r="M2106" s="44"/>
      <c r="N2106" s="44"/>
      <c r="O2106" s="44"/>
      <c r="P2106" s="44"/>
      <c r="Q2106" s="44"/>
      <c r="R2106" s="44"/>
      <c r="S2106" s="37">
        <f>IF(B2106="","",IF(ISNUMBER(J2106),IF(J2106&lt;=10,'Configuración'!$B$23,IF(J2106&lt;=50,'Configuración'!$B$24,IF(J2106&lt;=200,'Configuración'!$B$25,0))),0))</f>
        <v>4</v>
      </c>
      <c r="T2106" s="37">
        <f>IF(B2106="","",IF(ISNUMBER(SEARCH("information technology",I2106))+ISNUMBER(SEARCH("software",I2106))+ISNUMBER(SEARCH("internet",I2106))+ISNUMBER(SEARCH("computer",I2106))+ISNUMBER(SEARCH("saas",I2106))+ISNUMBER(SEARCH("fintech",I2106))+ISNUMBER(SEARCH("information services",I2106))+ISNUMBER(SEARCH("telecommunications",I2106))&gt;0,'Configuración'!$B$27,'Configuración'!$B$28))</f>
        <v>4</v>
      </c>
      <c r="U2106" s="25">
        <f>IF(B2106="","",IF(ISNUMBER(SEARCH("CEO",C2106))+ISNUMBER(SEARCH("Founder",C2106))+ISNUMBER(SEARCH("Owner",C2106))+ISNUMBER(SEARCH("Dueño",C2106))+ISNUMBER(SEARCH("Director General",C2106))+ISNUMBER(SEARCH("Presidente",C2106))+ISNUMBER(SEARCH("President",C2106))&gt;0,'Configuración'!$B$31,IF(ISNUMBER(SEARCH("CMO",C2106))+ISNUMBER(SEARCH("Chief Marketing",C2106))+ISNUMBER(SEARCH("VP Marketing",C2106))+ISNUMBER(SEARCH("Director de Marketing",C2106))+ISNUMBER(SEARCH("Director Marketing",C2106))+ISNUMBER(SEARCH("Head of Marketing",C2106))+ISNUMBER(SEARCH("Head Marketing",C2106))&gt;0,'Configuración'!$B$32,IF(ISNUMBER(SEARCH("Marketing Manager",C2106))+ISNUMBER(SEARCH("Gerente de Marketing",C2106))+ISNUMBER(SEARCH("Growth Manager",C2106))+ISNUMBER(SEARCH("Demand Gen",C2106))+ISNUMBER(SEARCH("Marketing Lead",C2106))&gt;0,'Configuración'!$B$33,IF(ISNUMBER(SEARCH("COO",C2106))+ISNUMBER(SEARCH("CFO",C2106))+ISNUMBER(SEARCH("CTO",C2106))+ISNUMBER(SEARCH("Chief Operating",C2106))+ISNUMBER(SEARCH("Chief Financial",C2106))+ISNUMBER(SEARCH("Gerente General",C2106))+ISNUMBER(SEARCH("General Manager",C2106))&gt;0,'Configuración'!$B$34,'Configuración'!$B$35)))))</f>
        <v>12</v>
      </c>
      <c r="V2106" s="20"/>
      <c r="W2106" s="20"/>
    </row>
    <row r="2107" ht="15.75" customHeight="1">
      <c r="A2107" s="34"/>
      <c r="B2107" s="29" t="s">
        <v>120</v>
      </c>
      <c r="C2107" s="29" t="s">
        <v>202</v>
      </c>
      <c r="D2107" s="29" t="s">
        <v>11562</v>
      </c>
      <c r="E2107" s="29" t="s">
        <v>11563</v>
      </c>
      <c r="F2107" s="30" t="s">
        <v>11564</v>
      </c>
      <c r="G2107" s="30" t="s">
        <v>11565</v>
      </c>
      <c r="H2107" s="43" t="s">
        <v>11566</v>
      </c>
      <c r="I2107" s="29" t="s">
        <v>3843</v>
      </c>
      <c r="J2107" s="31">
        <v>1.0</v>
      </c>
      <c r="K2107" s="44"/>
      <c r="L2107" s="44"/>
      <c r="M2107" s="44"/>
      <c r="N2107" s="44"/>
      <c r="O2107" s="44"/>
      <c r="P2107" s="44"/>
      <c r="Q2107" s="44"/>
      <c r="R2107" s="44"/>
      <c r="S2107" s="37">
        <f>IF(B2107="","",IF(ISNUMBER(J2107),IF(J2107&lt;=10,'Configuración'!$B$23,IF(J2107&lt;=50,'Configuración'!$B$24,IF(J2107&lt;=200,'Configuración'!$B$25,0))),0))</f>
        <v>12</v>
      </c>
      <c r="T2107" s="37">
        <f>IF(B2107="","",IF(ISNUMBER(SEARCH("information technology",I2107))+ISNUMBER(SEARCH("software",I2107))+ISNUMBER(SEARCH("internet",I2107))+ISNUMBER(SEARCH("computer",I2107))+ISNUMBER(SEARCH("saas",I2107))+ISNUMBER(SEARCH("fintech",I2107))+ISNUMBER(SEARCH("information services",I2107))+ISNUMBER(SEARCH("telecommunications",I2107))&gt;0,'Configuración'!$B$27,'Configuración'!$B$28))</f>
        <v>4</v>
      </c>
      <c r="U2107" s="25">
        <f>IF(B2107="","",IF(ISNUMBER(SEARCH("CEO",C2107))+ISNUMBER(SEARCH("Founder",C2107))+ISNUMBER(SEARCH("Owner",C2107))+ISNUMBER(SEARCH("Dueño",C2107))+ISNUMBER(SEARCH("Director General",C2107))+ISNUMBER(SEARCH("Presidente",C2107))+ISNUMBER(SEARCH("President",C2107))&gt;0,'Configuración'!$B$31,IF(ISNUMBER(SEARCH("CMO",C2107))+ISNUMBER(SEARCH("Chief Marketing",C2107))+ISNUMBER(SEARCH("VP Marketing",C2107))+ISNUMBER(SEARCH("Director de Marketing",C2107))+ISNUMBER(SEARCH("Director Marketing",C2107))+ISNUMBER(SEARCH("Head of Marketing",C2107))+ISNUMBER(SEARCH("Head Marketing",C2107))&gt;0,'Configuración'!$B$32,IF(ISNUMBER(SEARCH("Marketing Manager",C2107))+ISNUMBER(SEARCH("Gerente de Marketing",C2107))+ISNUMBER(SEARCH("Growth Manager",C2107))+ISNUMBER(SEARCH("Demand Gen",C2107))+ISNUMBER(SEARCH("Marketing Lead",C2107))&gt;0,'Configuración'!$B$33,IF(ISNUMBER(SEARCH("COO",C2107))+ISNUMBER(SEARCH("CFO",C2107))+ISNUMBER(SEARCH("CTO",C2107))+ISNUMBER(SEARCH("Chief Operating",C2107))+ISNUMBER(SEARCH("Chief Financial",C2107))+ISNUMBER(SEARCH("Gerente General",C2107))+ISNUMBER(SEARCH("General Manager",C2107))&gt;0,'Configuración'!$B$34,'Configuración'!$B$35)))))</f>
        <v>12</v>
      </c>
      <c r="V2107" s="20"/>
      <c r="W2107" s="20"/>
    </row>
    <row r="2108" ht="15.75" customHeight="1">
      <c r="A2108" s="34"/>
      <c r="B2108" s="29" t="s">
        <v>11567</v>
      </c>
      <c r="C2108" s="29" t="s">
        <v>516</v>
      </c>
      <c r="D2108" s="29" t="s">
        <v>11568</v>
      </c>
      <c r="E2108" s="29" t="s">
        <v>11569</v>
      </c>
      <c r="F2108" s="30" t="s">
        <v>11570</v>
      </c>
      <c r="G2108" s="30" t="s">
        <v>11571</v>
      </c>
      <c r="H2108" s="43" t="s">
        <v>11572</v>
      </c>
      <c r="I2108" s="29" t="s">
        <v>127</v>
      </c>
      <c r="J2108" s="31">
        <v>5.0</v>
      </c>
      <c r="K2108" s="44"/>
      <c r="L2108" s="44"/>
      <c r="M2108" s="44"/>
      <c r="N2108" s="44"/>
      <c r="O2108" s="44"/>
      <c r="P2108" s="44"/>
      <c r="Q2108" s="44"/>
      <c r="R2108" s="44"/>
      <c r="S2108" s="37">
        <f>IF(B2108="","",IF(ISNUMBER(J2108),IF(J2108&lt;=10,'Configuración'!$B$23,IF(J2108&lt;=50,'Configuración'!$B$24,IF(J2108&lt;=200,'Configuración'!$B$25,0))),0))</f>
        <v>12</v>
      </c>
      <c r="T2108" s="37">
        <f>IF(B2108="","",IF(ISNUMBER(SEARCH("information technology",I2108))+ISNUMBER(SEARCH("software",I2108))+ISNUMBER(SEARCH("internet",I2108))+ISNUMBER(SEARCH("computer",I2108))+ISNUMBER(SEARCH("saas",I2108))+ISNUMBER(SEARCH("fintech",I2108))+ISNUMBER(SEARCH("information services",I2108))+ISNUMBER(SEARCH("telecommunications",I2108))&gt;0,'Configuración'!$B$27,'Configuración'!$B$28))</f>
        <v>12</v>
      </c>
      <c r="U2108" s="25">
        <f>IF(B2108="","",IF(ISNUMBER(SEARCH("CEO",C2108))+ISNUMBER(SEARCH("Founder",C2108))+ISNUMBER(SEARCH("Owner",C2108))+ISNUMBER(SEARCH("Dueño",C2108))+ISNUMBER(SEARCH("Director General",C2108))+ISNUMBER(SEARCH("Presidente",C2108))+ISNUMBER(SEARCH("President",C2108))&gt;0,'Configuración'!$B$31,IF(ISNUMBER(SEARCH("CMO",C2108))+ISNUMBER(SEARCH("Chief Marketing",C2108))+ISNUMBER(SEARCH("VP Marketing",C2108))+ISNUMBER(SEARCH("Director de Marketing",C2108))+ISNUMBER(SEARCH("Director Marketing",C2108))+ISNUMBER(SEARCH("Head of Marketing",C2108))+ISNUMBER(SEARCH("Head Marketing",C2108))&gt;0,'Configuración'!$B$32,IF(ISNUMBER(SEARCH("Marketing Manager",C2108))+ISNUMBER(SEARCH("Gerente de Marketing",C2108))+ISNUMBER(SEARCH("Growth Manager",C2108))+ISNUMBER(SEARCH("Demand Gen",C2108))+ISNUMBER(SEARCH("Marketing Lead",C2108))&gt;0,'Configuración'!$B$33,IF(ISNUMBER(SEARCH("COO",C2108))+ISNUMBER(SEARCH("CFO",C2108))+ISNUMBER(SEARCH("CTO",C2108))+ISNUMBER(SEARCH("Chief Operating",C2108))+ISNUMBER(SEARCH("Chief Financial",C2108))+ISNUMBER(SEARCH("Gerente General",C2108))+ISNUMBER(SEARCH("General Manager",C2108))&gt;0,'Configuración'!$B$34,'Configuración'!$B$35)))))</f>
        <v>0</v>
      </c>
      <c r="V2108" s="20"/>
      <c r="W2108" s="20"/>
    </row>
    <row r="2109" ht="15.75" customHeight="1">
      <c r="A2109" s="34"/>
      <c r="B2109" s="29" t="s">
        <v>1882</v>
      </c>
      <c r="C2109" s="29" t="s">
        <v>622</v>
      </c>
      <c r="D2109" s="29" t="s">
        <v>11573</v>
      </c>
      <c r="E2109" s="29" t="s">
        <v>11574</v>
      </c>
      <c r="F2109" s="30" t="s">
        <v>11575</v>
      </c>
      <c r="G2109" s="30" t="s">
        <v>11576</v>
      </c>
      <c r="H2109" s="43" t="s">
        <v>11577</v>
      </c>
      <c r="I2109" s="29" t="s">
        <v>127</v>
      </c>
      <c r="J2109" s="31">
        <v>7.0</v>
      </c>
      <c r="K2109" s="44"/>
      <c r="L2109" s="44"/>
      <c r="M2109" s="44"/>
      <c r="N2109" s="44"/>
      <c r="O2109" s="44"/>
      <c r="P2109" s="44"/>
      <c r="Q2109" s="44"/>
      <c r="R2109" s="44"/>
      <c r="S2109" s="37">
        <f>IF(B2109="","",IF(ISNUMBER(J2109),IF(J2109&lt;=10,'Configuración'!$B$23,IF(J2109&lt;=50,'Configuración'!$B$24,IF(J2109&lt;=200,'Configuración'!$B$25,0))),0))</f>
        <v>12</v>
      </c>
      <c r="T2109" s="37">
        <f>IF(B2109="","",IF(ISNUMBER(SEARCH("information technology",I2109))+ISNUMBER(SEARCH("software",I2109))+ISNUMBER(SEARCH("internet",I2109))+ISNUMBER(SEARCH("computer",I2109))+ISNUMBER(SEARCH("saas",I2109))+ISNUMBER(SEARCH("fintech",I2109))+ISNUMBER(SEARCH("information services",I2109))+ISNUMBER(SEARCH("telecommunications",I2109))&gt;0,'Configuración'!$B$27,'Configuración'!$B$28))</f>
        <v>12</v>
      </c>
      <c r="U2109" s="25">
        <f>IF(B2109="","",IF(ISNUMBER(SEARCH("CEO",C2109))+ISNUMBER(SEARCH("Founder",C2109))+ISNUMBER(SEARCH("Owner",C2109))+ISNUMBER(SEARCH("Dueño",C2109))+ISNUMBER(SEARCH("Director General",C2109))+ISNUMBER(SEARCH("Presidente",C2109))+ISNUMBER(SEARCH("President",C2109))&gt;0,'Configuración'!$B$31,IF(ISNUMBER(SEARCH("CMO",C2109))+ISNUMBER(SEARCH("Chief Marketing",C2109))+ISNUMBER(SEARCH("VP Marketing",C2109))+ISNUMBER(SEARCH("Director de Marketing",C2109))+ISNUMBER(SEARCH("Director Marketing",C2109))+ISNUMBER(SEARCH("Head of Marketing",C2109))+ISNUMBER(SEARCH("Head Marketing",C2109))&gt;0,'Configuración'!$B$32,IF(ISNUMBER(SEARCH("Marketing Manager",C2109))+ISNUMBER(SEARCH("Gerente de Marketing",C2109))+ISNUMBER(SEARCH("Growth Manager",C2109))+ISNUMBER(SEARCH("Demand Gen",C2109))+ISNUMBER(SEARCH("Marketing Lead",C2109))&gt;0,'Configuración'!$B$33,IF(ISNUMBER(SEARCH("COO",C2109))+ISNUMBER(SEARCH("CFO",C2109))+ISNUMBER(SEARCH("CTO",C2109))+ISNUMBER(SEARCH("Chief Operating",C2109))+ISNUMBER(SEARCH("Chief Financial",C2109))+ISNUMBER(SEARCH("Gerente General",C2109))+ISNUMBER(SEARCH("General Manager",C2109))&gt;0,'Configuración'!$B$34,'Configuración'!$B$35)))))</f>
        <v>12</v>
      </c>
      <c r="V2109" s="20"/>
      <c r="W2109" s="20"/>
    </row>
    <row r="2110" ht="15.75" customHeight="1">
      <c r="A2110" s="34"/>
      <c r="B2110" s="29" t="s">
        <v>1528</v>
      </c>
      <c r="C2110" s="29" t="s">
        <v>991</v>
      </c>
      <c r="D2110" s="29" t="s">
        <v>11578</v>
      </c>
      <c r="E2110" s="29" t="s">
        <v>11579</v>
      </c>
      <c r="F2110" s="30" t="s">
        <v>11580</v>
      </c>
      <c r="G2110" s="30" t="s">
        <v>11581</v>
      </c>
      <c r="H2110" s="43" t="s">
        <v>11582</v>
      </c>
      <c r="I2110" s="29" t="s">
        <v>188</v>
      </c>
      <c r="J2110" s="31">
        <v>2.0</v>
      </c>
      <c r="K2110" s="44"/>
      <c r="L2110" s="44"/>
      <c r="M2110" s="44"/>
      <c r="N2110" s="44"/>
      <c r="O2110" s="44"/>
      <c r="P2110" s="44"/>
      <c r="Q2110" s="44"/>
      <c r="R2110" s="44"/>
      <c r="S2110" s="37">
        <f>IF(B2110="","",IF(ISNUMBER(J2110),IF(J2110&lt;=10,'Configuración'!$B$23,IF(J2110&lt;=50,'Configuración'!$B$24,IF(J2110&lt;=200,'Configuración'!$B$25,0))),0))</f>
        <v>12</v>
      </c>
      <c r="T2110" s="37">
        <f>IF(B2110="","",IF(ISNUMBER(SEARCH("information technology",I2110))+ISNUMBER(SEARCH("software",I2110))+ISNUMBER(SEARCH("internet",I2110))+ISNUMBER(SEARCH("computer",I2110))+ISNUMBER(SEARCH("saas",I2110))+ISNUMBER(SEARCH("fintech",I2110))+ISNUMBER(SEARCH("information services",I2110))+ISNUMBER(SEARCH("telecommunications",I2110))&gt;0,'Configuración'!$B$27,'Configuración'!$B$28))</f>
        <v>4</v>
      </c>
      <c r="U2110" s="25">
        <f>IF(B2110="","",IF(ISNUMBER(SEARCH("CEO",C2110))+ISNUMBER(SEARCH("Founder",C2110))+ISNUMBER(SEARCH("Owner",C2110))+ISNUMBER(SEARCH("Dueño",C2110))+ISNUMBER(SEARCH("Director General",C2110))+ISNUMBER(SEARCH("Presidente",C2110))+ISNUMBER(SEARCH("President",C2110))&gt;0,'Configuración'!$B$31,IF(ISNUMBER(SEARCH("CMO",C2110))+ISNUMBER(SEARCH("Chief Marketing",C2110))+ISNUMBER(SEARCH("VP Marketing",C2110))+ISNUMBER(SEARCH("Director de Marketing",C2110))+ISNUMBER(SEARCH("Director Marketing",C2110))+ISNUMBER(SEARCH("Head of Marketing",C2110))+ISNUMBER(SEARCH("Head Marketing",C2110))&gt;0,'Configuración'!$B$32,IF(ISNUMBER(SEARCH("Marketing Manager",C2110))+ISNUMBER(SEARCH("Gerente de Marketing",C2110))+ISNUMBER(SEARCH("Growth Manager",C2110))+ISNUMBER(SEARCH("Demand Gen",C2110))+ISNUMBER(SEARCH("Marketing Lead",C2110))&gt;0,'Configuración'!$B$33,IF(ISNUMBER(SEARCH("COO",C2110))+ISNUMBER(SEARCH("CFO",C2110))+ISNUMBER(SEARCH("CTO",C2110))+ISNUMBER(SEARCH("Chief Operating",C2110))+ISNUMBER(SEARCH("Chief Financial",C2110))+ISNUMBER(SEARCH("Gerente General",C2110))+ISNUMBER(SEARCH("General Manager",C2110))&gt;0,'Configuración'!$B$34,'Configuración'!$B$35)))))</f>
        <v>12</v>
      </c>
      <c r="V2110" s="20"/>
      <c r="W2110" s="20"/>
    </row>
    <row r="2111" ht="15.75" customHeight="1">
      <c r="A2111" s="34"/>
      <c r="B2111" s="29" t="s">
        <v>473</v>
      </c>
      <c r="C2111" s="29" t="s">
        <v>11583</v>
      </c>
      <c r="D2111" s="29" t="s">
        <v>11584</v>
      </c>
      <c r="E2111" s="29" t="s">
        <v>11585</v>
      </c>
      <c r="F2111" s="30" t="s">
        <v>11586</v>
      </c>
      <c r="G2111" s="30" t="s">
        <v>11587</v>
      </c>
      <c r="H2111" s="43" t="s">
        <v>11588</v>
      </c>
      <c r="I2111" s="29" t="s">
        <v>116</v>
      </c>
      <c r="J2111" s="31">
        <v>25.0</v>
      </c>
      <c r="K2111" s="44"/>
      <c r="L2111" s="44"/>
      <c r="M2111" s="44"/>
      <c r="N2111" s="44"/>
      <c r="O2111" s="44"/>
      <c r="P2111" s="44"/>
      <c r="Q2111" s="44"/>
      <c r="R2111" s="44"/>
      <c r="S2111" s="37">
        <f>IF(B2111="","",IF(ISNUMBER(J2111),IF(J2111&lt;=10,'Configuración'!$B$23,IF(J2111&lt;=50,'Configuración'!$B$24,IF(J2111&lt;=200,'Configuración'!$B$25,0))),0))</f>
        <v>4</v>
      </c>
      <c r="T2111" s="37">
        <f>IF(B2111="","",IF(ISNUMBER(SEARCH("information technology",I2111))+ISNUMBER(SEARCH("software",I2111))+ISNUMBER(SEARCH("internet",I2111))+ISNUMBER(SEARCH("computer",I2111))+ISNUMBER(SEARCH("saas",I2111))+ISNUMBER(SEARCH("fintech",I2111))+ISNUMBER(SEARCH("information services",I2111))+ISNUMBER(SEARCH("telecommunications",I2111))&gt;0,'Configuración'!$B$27,'Configuración'!$B$28))</f>
        <v>4</v>
      </c>
      <c r="U2111" s="25">
        <f>IF(B2111="","",IF(ISNUMBER(SEARCH("CEO",C2111))+ISNUMBER(SEARCH("Founder",C2111))+ISNUMBER(SEARCH("Owner",C2111))+ISNUMBER(SEARCH("Dueño",C2111))+ISNUMBER(SEARCH("Director General",C2111))+ISNUMBER(SEARCH("Presidente",C2111))+ISNUMBER(SEARCH("President",C2111))&gt;0,'Configuración'!$B$31,IF(ISNUMBER(SEARCH("CMO",C2111))+ISNUMBER(SEARCH("Chief Marketing",C2111))+ISNUMBER(SEARCH("VP Marketing",C2111))+ISNUMBER(SEARCH("Director de Marketing",C2111))+ISNUMBER(SEARCH("Director Marketing",C2111))+ISNUMBER(SEARCH("Head of Marketing",C2111))+ISNUMBER(SEARCH("Head Marketing",C2111))&gt;0,'Configuración'!$B$32,IF(ISNUMBER(SEARCH("Marketing Manager",C2111))+ISNUMBER(SEARCH("Gerente de Marketing",C2111))+ISNUMBER(SEARCH("Growth Manager",C2111))+ISNUMBER(SEARCH("Demand Gen",C2111))+ISNUMBER(SEARCH("Marketing Lead",C2111))&gt;0,'Configuración'!$B$33,IF(ISNUMBER(SEARCH("COO",C2111))+ISNUMBER(SEARCH("CFO",C2111))+ISNUMBER(SEARCH("CTO",C2111))+ISNUMBER(SEARCH("Chief Operating",C2111))+ISNUMBER(SEARCH("Chief Financial",C2111))+ISNUMBER(SEARCH("Gerente General",C2111))+ISNUMBER(SEARCH("General Manager",C2111))&gt;0,'Configuración'!$B$34,'Configuración'!$B$35)))))</f>
        <v>12</v>
      </c>
      <c r="V2111" s="20"/>
      <c r="W2111" s="20"/>
    </row>
    <row r="2112" ht="15.75" customHeight="1">
      <c r="A2112" s="34"/>
      <c r="B2112" s="29" t="s">
        <v>236</v>
      </c>
      <c r="C2112" s="29" t="s">
        <v>11589</v>
      </c>
      <c r="D2112" s="29" t="s">
        <v>11590</v>
      </c>
      <c r="E2112" s="29" t="s">
        <v>11591</v>
      </c>
      <c r="F2112" s="30" t="s">
        <v>11592</v>
      </c>
      <c r="G2112" s="30" t="s">
        <v>11593</v>
      </c>
      <c r="H2112" s="43" t="s">
        <v>11594</v>
      </c>
      <c r="I2112" s="29" t="s">
        <v>1356</v>
      </c>
      <c r="J2112" s="31">
        <v>4.0</v>
      </c>
      <c r="K2112" s="44"/>
      <c r="L2112" s="44"/>
      <c r="M2112" s="44"/>
      <c r="N2112" s="44"/>
      <c r="O2112" s="44"/>
      <c r="P2112" s="44"/>
      <c r="Q2112" s="44"/>
      <c r="R2112" s="44"/>
      <c r="S2112" s="37">
        <f>IF(B2112="","",IF(ISNUMBER(J2112),IF(J2112&lt;=10,'Configuración'!$B$23,IF(J2112&lt;=50,'Configuración'!$B$24,IF(J2112&lt;=200,'Configuración'!$B$25,0))),0))</f>
        <v>12</v>
      </c>
      <c r="T2112" s="37">
        <f>IF(B2112="","",IF(ISNUMBER(SEARCH("information technology",I2112))+ISNUMBER(SEARCH("software",I2112))+ISNUMBER(SEARCH("internet",I2112))+ISNUMBER(SEARCH("computer",I2112))+ISNUMBER(SEARCH("saas",I2112))+ISNUMBER(SEARCH("fintech",I2112))+ISNUMBER(SEARCH("information services",I2112))+ISNUMBER(SEARCH("telecommunications",I2112))&gt;0,'Configuración'!$B$27,'Configuración'!$B$28))</f>
        <v>4</v>
      </c>
      <c r="U2112" s="25">
        <f>IF(B2112="","",IF(ISNUMBER(SEARCH("CEO",C2112))+ISNUMBER(SEARCH("Founder",C2112))+ISNUMBER(SEARCH("Owner",C2112))+ISNUMBER(SEARCH("Dueño",C2112))+ISNUMBER(SEARCH("Director General",C2112))+ISNUMBER(SEARCH("Presidente",C2112))+ISNUMBER(SEARCH("President",C2112))&gt;0,'Configuración'!$B$31,IF(ISNUMBER(SEARCH("CMO",C2112))+ISNUMBER(SEARCH("Chief Marketing",C2112))+ISNUMBER(SEARCH("VP Marketing",C2112))+ISNUMBER(SEARCH("Director de Marketing",C2112))+ISNUMBER(SEARCH("Director Marketing",C2112))+ISNUMBER(SEARCH("Head of Marketing",C2112))+ISNUMBER(SEARCH("Head Marketing",C2112))&gt;0,'Configuración'!$B$32,IF(ISNUMBER(SEARCH("Marketing Manager",C2112))+ISNUMBER(SEARCH("Gerente de Marketing",C2112))+ISNUMBER(SEARCH("Growth Manager",C2112))+ISNUMBER(SEARCH("Demand Gen",C2112))+ISNUMBER(SEARCH("Marketing Lead",C2112))&gt;0,'Configuración'!$B$33,IF(ISNUMBER(SEARCH("COO",C2112))+ISNUMBER(SEARCH("CFO",C2112))+ISNUMBER(SEARCH("CTO",C2112))+ISNUMBER(SEARCH("Chief Operating",C2112))+ISNUMBER(SEARCH("Chief Financial",C2112))+ISNUMBER(SEARCH("Gerente General",C2112))+ISNUMBER(SEARCH("General Manager",C2112))&gt;0,'Configuración'!$B$34,'Configuración'!$B$35)))))</f>
        <v>12</v>
      </c>
      <c r="V2112" s="20"/>
      <c r="W2112" s="20"/>
    </row>
    <row r="2113" ht="15.75" customHeight="1">
      <c r="A2113" s="34"/>
      <c r="B2113" s="29" t="s">
        <v>138</v>
      </c>
      <c r="C2113" s="29" t="s">
        <v>175</v>
      </c>
      <c r="D2113" s="29" t="s">
        <v>11595</v>
      </c>
      <c r="E2113" s="29" t="s">
        <v>11596</v>
      </c>
      <c r="F2113" s="30" t="s">
        <v>11597</v>
      </c>
      <c r="G2113" s="30" t="s">
        <v>11598</v>
      </c>
      <c r="H2113" s="43" t="s">
        <v>11599</v>
      </c>
      <c r="I2113" s="29" t="s">
        <v>310</v>
      </c>
      <c r="J2113" s="31">
        <v>2.0</v>
      </c>
      <c r="K2113" s="44"/>
      <c r="L2113" s="44"/>
      <c r="M2113" s="44"/>
      <c r="N2113" s="44"/>
      <c r="O2113" s="44"/>
      <c r="P2113" s="44"/>
      <c r="Q2113" s="44"/>
      <c r="R2113" s="44"/>
      <c r="S2113" s="37">
        <f>IF(B2113="","",IF(ISNUMBER(J2113),IF(J2113&lt;=10,'Configuración'!$B$23,IF(J2113&lt;=50,'Configuración'!$B$24,IF(J2113&lt;=200,'Configuración'!$B$25,0))),0))</f>
        <v>12</v>
      </c>
      <c r="T2113" s="37">
        <f>IF(B2113="","",IF(ISNUMBER(SEARCH("information technology",I2113))+ISNUMBER(SEARCH("software",I2113))+ISNUMBER(SEARCH("internet",I2113))+ISNUMBER(SEARCH("computer",I2113))+ISNUMBER(SEARCH("saas",I2113))+ISNUMBER(SEARCH("fintech",I2113))+ISNUMBER(SEARCH("information services",I2113))+ISNUMBER(SEARCH("telecommunications",I2113))&gt;0,'Configuración'!$B$27,'Configuración'!$B$28))</f>
        <v>4</v>
      </c>
      <c r="U2113" s="25">
        <f>IF(B2113="","",IF(ISNUMBER(SEARCH("CEO",C2113))+ISNUMBER(SEARCH("Founder",C2113))+ISNUMBER(SEARCH("Owner",C2113))+ISNUMBER(SEARCH("Dueño",C2113))+ISNUMBER(SEARCH("Director General",C2113))+ISNUMBER(SEARCH("Presidente",C2113))+ISNUMBER(SEARCH("President",C2113))&gt;0,'Configuración'!$B$31,IF(ISNUMBER(SEARCH("CMO",C2113))+ISNUMBER(SEARCH("Chief Marketing",C2113))+ISNUMBER(SEARCH("VP Marketing",C2113))+ISNUMBER(SEARCH("Director de Marketing",C2113))+ISNUMBER(SEARCH("Director Marketing",C2113))+ISNUMBER(SEARCH("Head of Marketing",C2113))+ISNUMBER(SEARCH("Head Marketing",C2113))&gt;0,'Configuración'!$B$32,IF(ISNUMBER(SEARCH("Marketing Manager",C2113))+ISNUMBER(SEARCH("Gerente de Marketing",C2113))+ISNUMBER(SEARCH("Growth Manager",C2113))+ISNUMBER(SEARCH("Demand Gen",C2113))+ISNUMBER(SEARCH("Marketing Lead",C2113))&gt;0,'Configuración'!$B$33,IF(ISNUMBER(SEARCH("COO",C2113))+ISNUMBER(SEARCH("CFO",C2113))+ISNUMBER(SEARCH("CTO",C2113))+ISNUMBER(SEARCH("Chief Operating",C2113))+ISNUMBER(SEARCH("Chief Financial",C2113))+ISNUMBER(SEARCH("Gerente General",C2113))+ISNUMBER(SEARCH("General Manager",C2113))&gt;0,'Configuración'!$B$34,'Configuración'!$B$35)))))</f>
        <v>12</v>
      </c>
      <c r="V2113" s="20"/>
      <c r="W2113" s="20"/>
    </row>
    <row r="2114" ht="15.75" customHeight="1">
      <c r="A2114" s="34"/>
      <c r="B2114" s="29" t="s">
        <v>223</v>
      </c>
      <c r="C2114" s="29" t="s">
        <v>11600</v>
      </c>
      <c r="D2114" s="29" t="s">
        <v>2835</v>
      </c>
      <c r="E2114" s="29" t="s">
        <v>11601</v>
      </c>
      <c r="F2114" s="30" t="s">
        <v>11602</v>
      </c>
      <c r="G2114" s="30" t="s">
        <v>2838</v>
      </c>
      <c r="H2114" s="43" t="s">
        <v>2839</v>
      </c>
      <c r="I2114" s="29" t="s">
        <v>188</v>
      </c>
      <c r="J2114" s="31">
        <v>9.0</v>
      </c>
      <c r="K2114" s="44"/>
      <c r="L2114" s="44"/>
      <c r="M2114" s="44"/>
      <c r="N2114" s="44"/>
      <c r="O2114" s="44"/>
      <c r="P2114" s="44"/>
      <c r="Q2114" s="44"/>
      <c r="R2114" s="44"/>
      <c r="S2114" s="37">
        <f>IF(B2114="","",IF(ISNUMBER(J2114),IF(J2114&lt;=10,'Configuración'!$B$23,IF(J2114&lt;=50,'Configuración'!$B$24,IF(J2114&lt;=200,'Configuración'!$B$25,0))),0))</f>
        <v>12</v>
      </c>
      <c r="T2114" s="37">
        <f>IF(B2114="","",IF(ISNUMBER(SEARCH("information technology",I2114))+ISNUMBER(SEARCH("software",I2114))+ISNUMBER(SEARCH("internet",I2114))+ISNUMBER(SEARCH("computer",I2114))+ISNUMBER(SEARCH("saas",I2114))+ISNUMBER(SEARCH("fintech",I2114))+ISNUMBER(SEARCH("information services",I2114))+ISNUMBER(SEARCH("telecommunications",I2114))&gt;0,'Configuración'!$B$27,'Configuración'!$B$28))</f>
        <v>4</v>
      </c>
      <c r="U2114" s="25">
        <f>IF(B2114="","",IF(ISNUMBER(SEARCH("CEO",C2114))+ISNUMBER(SEARCH("Founder",C2114))+ISNUMBER(SEARCH("Owner",C2114))+ISNUMBER(SEARCH("Dueño",C2114))+ISNUMBER(SEARCH("Director General",C2114))+ISNUMBER(SEARCH("Presidente",C2114))+ISNUMBER(SEARCH("President",C2114))&gt;0,'Configuración'!$B$31,IF(ISNUMBER(SEARCH("CMO",C2114))+ISNUMBER(SEARCH("Chief Marketing",C2114))+ISNUMBER(SEARCH("VP Marketing",C2114))+ISNUMBER(SEARCH("Director de Marketing",C2114))+ISNUMBER(SEARCH("Director Marketing",C2114))+ISNUMBER(SEARCH("Head of Marketing",C2114))+ISNUMBER(SEARCH("Head Marketing",C2114))&gt;0,'Configuración'!$B$32,IF(ISNUMBER(SEARCH("Marketing Manager",C2114))+ISNUMBER(SEARCH("Gerente de Marketing",C2114))+ISNUMBER(SEARCH("Growth Manager",C2114))+ISNUMBER(SEARCH("Demand Gen",C2114))+ISNUMBER(SEARCH("Marketing Lead",C2114))&gt;0,'Configuración'!$B$33,IF(ISNUMBER(SEARCH("COO",C2114))+ISNUMBER(SEARCH("CFO",C2114))+ISNUMBER(SEARCH("CTO",C2114))+ISNUMBER(SEARCH("Chief Operating",C2114))+ISNUMBER(SEARCH("Chief Financial",C2114))+ISNUMBER(SEARCH("Gerente General",C2114))+ISNUMBER(SEARCH("General Manager",C2114))&gt;0,'Configuración'!$B$34,'Configuración'!$B$35)))))</f>
        <v>12</v>
      </c>
      <c r="V2114" s="20"/>
      <c r="W2114" s="20"/>
    </row>
    <row r="2115" ht="15.75" customHeight="1">
      <c r="A2115" s="34"/>
      <c r="B2115" s="29" t="s">
        <v>2740</v>
      </c>
      <c r="C2115" s="29" t="s">
        <v>11603</v>
      </c>
      <c r="D2115" s="29" t="s">
        <v>11604</v>
      </c>
      <c r="E2115" s="29" t="s">
        <v>11605</v>
      </c>
      <c r="F2115" s="30" t="s">
        <v>11606</v>
      </c>
      <c r="G2115" s="30" t="s">
        <v>11607</v>
      </c>
      <c r="H2115" s="43" t="s">
        <v>11608</v>
      </c>
      <c r="I2115" s="29" t="s">
        <v>188</v>
      </c>
      <c r="J2115" s="31">
        <v>10.0</v>
      </c>
      <c r="K2115" s="44"/>
      <c r="L2115" s="44"/>
      <c r="M2115" s="44"/>
      <c r="N2115" s="44"/>
      <c r="O2115" s="44"/>
      <c r="P2115" s="44"/>
      <c r="Q2115" s="44"/>
      <c r="R2115" s="44"/>
      <c r="S2115" s="37">
        <f>IF(B2115="","",IF(ISNUMBER(J2115),IF(J2115&lt;=10,'Configuración'!$B$23,IF(J2115&lt;=50,'Configuración'!$B$24,IF(J2115&lt;=200,'Configuración'!$B$25,0))),0))</f>
        <v>12</v>
      </c>
      <c r="T2115" s="37">
        <f>IF(B2115="","",IF(ISNUMBER(SEARCH("information technology",I2115))+ISNUMBER(SEARCH("software",I2115))+ISNUMBER(SEARCH("internet",I2115))+ISNUMBER(SEARCH("computer",I2115))+ISNUMBER(SEARCH("saas",I2115))+ISNUMBER(SEARCH("fintech",I2115))+ISNUMBER(SEARCH("information services",I2115))+ISNUMBER(SEARCH("telecommunications",I2115))&gt;0,'Configuración'!$B$27,'Configuración'!$B$28))</f>
        <v>4</v>
      </c>
      <c r="U2115" s="25">
        <f>IF(B2115="","",IF(ISNUMBER(SEARCH("CEO",C2115))+ISNUMBER(SEARCH("Founder",C2115))+ISNUMBER(SEARCH("Owner",C2115))+ISNUMBER(SEARCH("Dueño",C2115))+ISNUMBER(SEARCH("Director General",C2115))+ISNUMBER(SEARCH("Presidente",C2115))+ISNUMBER(SEARCH("President",C2115))&gt;0,'Configuración'!$B$31,IF(ISNUMBER(SEARCH("CMO",C2115))+ISNUMBER(SEARCH("Chief Marketing",C2115))+ISNUMBER(SEARCH("VP Marketing",C2115))+ISNUMBER(SEARCH("Director de Marketing",C2115))+ISNUMBER(SEARCH("Director Marketing",C2115))+ISNUMBER(SEARCH("Head of Marketing",C2115))+ISNUMBER(SEARCH("Head Marketing",C2115))&gt;0,'Configuración'!$B$32,IF(ISNUMBER(SEARCH("Marketing Manager",C2115))+ISNUMBER(SEARCH("Gerente de Marketing",C2115))+ISNUMBER(SEARCH("Growth Manager",C2115))+ISNUMBER(SEARCH("Demand Gen",C2115))+ISNUMBER(SEARCH("Marketing Lead",C2115))&gt;0,'Configuración'!$B$33,IF(ISNUMBER(SEARCH("COO",C2115))+ISNUMBER(SEARCH("CFO",C2115))+ISNUMBER(SEARCH("CTO",C2115))+ISNUMBER(SEARCH("Chief Operating",C2115))+ISNUMBER(SEARCH("Chief Financial",C2115))+ISNUMBER(SEARCH("Gerente General",C2115))+ISNUMBER(SEARCH("General Manager",C2115))&gt;0,'Configuración'!$B$34,'Configuración'!$B$35)))))</f>
        <v>12</v>
      </c>
      <c r="V2115" s="20"/>
      <c r="W2115" s="20"/>
    </row>
    <row r="2116" ht="15.75" customHeight="1">
      <c r="A2116" s="34"/>
      <c r="B2116" s="29" t="s">
        <v>11609</v>
      </c>
      <c r="C2116" s="29" t="s">
        <v>146</v>
      </c>
      <c r="D2116" s="29" t="s">
        <v>11610</v>
      </c>
      <c r="E2116" s="29" t="s">
        <v>11611</v>
      </c>
      <c r="F2116" s="30" t="s">
        <v>11612</v>
      </c>
      <c r="G2116" s="30" t="s">
        <v>11613</v>
      </c>
      <c r="H2116" s="43" t="s">
        <v>11614</v>
      </c>
      <c r="I2116" s="29" t="s">
        <v>127</v>
      </c>
      <c r="J2116" s="31">
        <v>17.0</v>
      </c>
      <c r="K2116" s="44"/>
      <c r="L2116" s="44"/>
      <c r="M2116" s="44"/>
      <c r="N2116" s="44"/>
      <c r="O2116" s="44"/>
      <c r="P2116" s="44"/>
      <c r="Q2116" s="44"/>
      <c r="R2116" s="44"/>
      <c r="S2116" s="37">
        <f>IF(B2116="","",IF(ISNUMBER(J2116),IF(J2116&lt;=10,'Configuración'!$B$23,IF(J2116&lt;=50,'Configuración'!$B$24,IF(J2116&lt;=200,'Configuración'!$B$25,0))),0))</f>
        <v>4</v>
      </c>
      <c r="T2116" s="37">
        <f>IF(B2116="","",IF(ISNUMBER(SEARCH("information technology",I2116))+ISNUMBER(SEARCH("software",I2116))+ISNUMBER(SEARCH("internet",I2116))+ISNUMBER(SEARCH("computer",I2116))+ISNUMBER(SEARCH("saas",I2116))+ISNUMBER(SEARCH("fintech",I2116))+ISNUMBER(SEARCH("information services",I2116))+ISNUMBER(SEARCH("telecommunications",I2116))&gt;0,'Configuración'!$B$27,'Configuración'!$B$28))</f>
        <v>12</v>
      </c>
      <c r="U2116" s="25">
        <f>IF(B2116="","",IF(ISNUMBER(SEARCH("CEO",C2116))+ISNUMBER(SEARCH("Founder",C2116))+ISNUMBER(SEARCH("Owner",C2116))+ISNUMBER(SEARCH("Dueño",C2116))+ISNUMBER(SEARCH("Director General",C2116))+ISNUMBER(SEARCH("Presidente",C2116))+ISNUMBER(SEARCH("President",C2116))&gt;0,'Configuración'!$B$31,IF(ISNUMBER(SEARCH("CMO",C2116))+ISNUMBER(SEARCH("Chief Marketing",C2116))+ISNUMBER(SEARCH("VP Marketing",C2116))+ISNUMBER(SEARCH("Director de Marketing",C2116))+ISNUMBER(SEARCH("Director Marketing",C2116))+ISNUMBER(SEARCH("Head of Marketing",C2116))+ISNUMBER(SEARCH("Head Marketing",C2116))&gt;0,'Configuración'!$B$32,IF(ISNUMBER(SEARCH("Marketing Manager",C2116))+ISNUMBER(SEARCH("Gerente de Marketing",C2116))+ISNUMBER(SEARCH("Growth Manager",C2116))+ISNUMBER(SEARCH("Demand Gen",C2116))+ISNUMBER(SEARCH("Marketing Lead",C2116))&gt;0,'Configuración'!$B$33,IF(ISNUMBER(SEARCH("COO",C2116))+ISNUMBER(SEARCH("CFO",C2116))+ISNUMBER(SEARCH("CTO",C2116))+ISNUMBER(SEARCH("Chief Operating",C2116))+ISNUMBER(SEARCH("Chief Financial",C2116))+ISNUMBER(SEARCH("Gerente General",C2116))+ISNUMBER(SEARCH("General Manager",C2116))&gt;0,'Configuración'!$B$34,'Configuración'!$B$35)))))</f>
        <v>0</v>
      </c>
      <c r="V2116" s="20"/>
      <c r="W2116" s="20"/>
    </row>
    <row r="2117" ht="15.75" customHeight="1">
      <c r="A2117" s="34"/>
      <c r="B2117" s="29" t="s">
        <v>1623</v>
      </c>
      <c r="C2117" s="29" t="s">
        <v>11615</v>
      </c>
      <c r="D2117" s="29" t="s">
        <v>11616</v>
      </c>
      <c r="E2117" s="29" t="s">
        <v>11617</v>
      </c>
      <c r="F2117" s="30" t="s">
        <v>11618</v>
      </c>
      <c r="G2117" s="30" t="s">
        <v>11619</v>
      </c>
      <c r="H2117" s="43" t="s">
        <v>11620</v>
      </c>
      <c r="I2117" s="29" t="s">
        <v>127</v>
      </c>
      <c r="J2117" s="31">
        <v>6.0</v>
      </c>
      <c r="K2117" s="44"/>
      <c r="L2117" s="44"/>
      <c r="M2117" s="44"/>
      <c r="N2117" s="44"/>
      <c r="O2117" s="44"/>
      <c r="P2117" s="44"/>
      <c r="Q2117" s="44"/>
      <c r="R2117" s="44"/>
      <c r="S2117" s="37">
        <f>IF(B2117="","",IF(ISNUMBER(J2117),IF(J2117&lt;=10,'Configuración'!$B$23,IF(J2117&lt;=50,'Configuración'!$B$24,IF(J2117&lt;=200,'Configuración'!$B$25,0))),0))</f>
        <v>12</v>
      </c>
      <c r="T2117" s="37">
        <f>IF(B2117="","",IF(ISNUMBER(SEARCH("information technology",I2117))+ISNUMBER(SEARCH("software",I2117))+ISNUMBER(SEARCH("internet",I2117))+ISNUMBER(SEARCH("computer",I2117))+ISNUMBER(SEARCH("saas",I2117))+ISNUMBER(SEARCH("fintech",I2117))+ISNUMBER(SEARCH("information services",I2117))+ISNUMBER(SEARCH("telecommunications",I2117))&gt;0,'Configuración'!$B$27,'Configuración'!$B$28))</f>
        <v>12</v>
      </c>
      <c r="U2117" s="25">
        <f>IF(B2117="","",IF(ISNUMBER(SEARCH("CEO",C2117))+ISNUMBER(SEARCH("Founder",C2117))+ISNUMBER(SEARCH("Owner",C2117))+ISNUMBER(SEARCH("Dueño",C2117))+ISNUMBER(SEARCH("Director General",C2117))+ISNUMBER(SEARCH("Presidente",C2117))+ISNUMBER(SEARCH("President",C2117))&gt;0,'Configuración'!$B$31,IF(ISNUMBER(SEARCH("CMO",C2117))+ISNUMBER(SEARCH("Chief Marketing",C2117))+ISNUMBER(SEARCH("VP Marketing",C2117))+ISNUMBER(SEARCH("Director de Marketing",C2117))+ISNUMBER(SEARCH("Director Marketing",C2117))+ISNUMBER(SEARCH("Head of Marketing",C2117))+ISNUMBER(SEARCH("Head Marketing",C2117))&gt;0,'Configuración'!$B$32,IF(ISNUMBER(SEARCH("Marketing Manager",C2117))+ISNUMBER(SEARCH("Gerente de Marketing",C2117))+ISNUMBER(SEARCH("Growth Manager",C2117))+ISNUMBER(SEARCH("Demand Gen",C2117))+ISNUMBER(SEARCH("Marketing Lead",C2117))&gt;0,'Configuración'!$B$33,IF(ISNUMBER(SEARCH("COO",C2117))+ISNUMBER(SEARCH("CFO",C2117))+ISNUMBER(SEARCH("CTO",C2117))+ISNUMBER(SEARCH("Chief Operating",C2117))+ISNUMBER(SEARCH("Chief Financial",C2117))+ISNUMBER(SEARCH("Gerente General",C2117))+ISNUMBER(SEARCH("General Manager",C2117))&gt;0,'Configuración'!$B$34,'Configuración'!$B$35)))))</f>
        <v>12</v>
      </c>
      <c r="V2117" s="20"/>
      <c r="W2117" s="20"/>
    </row>
    <row r="2118" ht="15.75" customHeight="1">
      <c r="A2118" s="34"/>
      <c r="B2118" s="29" t="s">
        <v>201</v>
      </c>
      <c r="C2118" s="29" t="s">
        <v>121</v>
      </c>
      <c r="D2118" s="29" t="s">
        <v>11621</v>
      </c>
      <c r="E2118" s="29" t="s">
        <v>11622</v>
      </c>
      <c r="F2118" s="30" t="s">
        <v>11623</v>
      </c>
      <c r="G2118" s="30" t="s">
        <v>11624</v>
      </c>
      <c r="H2118" s="43" t="s">
        <v>11625</v>
      </c>
      <c r="I2118" s="29" t="s">
        <v>1446</v>
      </c>
      <c r="J2118" s="31">
        <v>11.0</v>
      </c>
      <c r="K2118" s="44"/>
      <c r="L2118" s="44"/>
      <c r="M2118" s="44"/>
      <c r="N2118" s="44"/>
      <c r="O2118" s="44"/>
      <c r="P2118" s="44"/>
      <c r="Q2118" s="44"/>
      <c r="R2118" s="44"/>
      <c r="S2118" s="37">
        <f>IF(B2118="","",IF(ISNUMBER(J2118),IF(J2118&lt;=10,'Configuración'!$B$23,IF(J2118&lt;=50,'Configuración'!$B$24,IF(J2118&lt;=200,'Configuración'!$B$25,0))),0))</f>
        <v>4</v>
      </c>
      <c r="T2118" s="37">
        <f>IF(B2118="","",IF(ISNUMBER(SEARCH("information technology",I2118))+ISNUMBER(SEARCH("software",I2118))+ISNUMBER(SEARCH("internet",I2118))+ISNUMBER(SEARCH("computer",I2118))+ISNUMBER(SEARCH("saas",I2118))+ISNUMBER(SEARCH("fintech",I2118))+ISNUMBER(SEARCH("information services",I2118))+ISNUMBER(SEARCH("telecommunications",I2118))&gt;0,'Configuración'!$B$27,'Configuración'!$B$28))</f>
        <v>4</v>
      </c>
      <c r="U2118" s="25">
        <f>IF(B2118="","",IF(ISNUMBER(SEARCH("CEO",C2118))+ISNUMBER(SEARCH("Founder",C2118))+ISNUMBER(SEARCH("Owner",C2118))+ISNUMBER(SEARCH("Dueño",C2118))+ISNUMBER(SEARCH("Director General",C2118))+ISNUMBER(SEARCH("Presidente",C2118))+ISNUMBER(SEARCH("President",C2118))&gt;0,'Configuración'!$B$31,IF(ISNUMBER(SEARCH("CMO",C2118))+ISNUMBER(SEARCH("Chief Marketing",C2118))+ISNUMBER(SEARCH("VP Marketing",C2118))+ISNUMBER(SEARCH("Director de Marketing",C2118))+ISNUMBER(SEARCH("Director Marketing",C2118))+ISNUMBER(SEARCH("Head of Marketing",C2118))+ISNUMBER(SEARCH("Head Marketing",C2118))&gt;0,'Configuración'!$B$32,IF(ISNUMBER(SEARCH("Marketing Manager",C2118))+ISNUMBER(SEARCH("Gerente de Marketing",C2118))+ISNUMBER(SEARCH("Growth Manager",C2118))+ISNUMBER(SEARCH("Demand Gen",C2118))+ISNUMBER(SEARCH("Marketing Lead",C2118))&gt;0,'Configuración'!$B$33,IF(ISNUMBER(SEARCH("COO",C2118))+ISNUMBER(SEARCH("CFO",C2118))+ISNUMBER(SEARCH("CTO",C2118))+ISNUMBER(SEARCH("Chief Operating",C2118))+ISNUMBER(SEARCH("Chief Financial",C2118))+ISNUMBER(SEARCH("Gerente General",C2118))+ISNUMBER(SEARCH("General Manager",C2118))&gt;0,'Configuración'!$B$34,'Configuración'!$B$35)))))</f>
        <v>12</v>
      </c>
      <c r="V2118" s="20"/>
      <c r="W2118" s="20"/>
    </row>
    <row r="2119" ht="15.75" customHeight="1">
      <c r="A2119" s="34"/>
      <c r="B2119" s="29" t="s">
        <v>536</v>
      </c>
      <c r="C2119" s="29" t="s">
        <v>11626</v>
      </c>
      <c r="D2119" s="29" t="s">
        <v>11627</v>
      </c>
      <c r="E2119" s="29" t="s">
        <v>11628</v>
      </c>
      <c r="F2119" s="30" t="s">
        <v>11629</v>
      </c>
      <c r="G2119" s="30" t="s">
        <v>11630</v>
      </c>
      <c r="H2119" s="43" t="s">
        <v>11631</v>
      </c>
      <c r="I2119" s="29" t="s">
        <v>542</v>
      </c>
      <c r="J2119" s="31">
        <v>1.0</v>
      </c>
      <c r="K2119" s="44"/>
      <c r="L2119" s="44"/>
      <c r="M2119" s="44"/>
      <c r="N2119" s="44"/>
      <c r="O2119" s="44"/>
      <c r="P2119" s="44"/>
      <c r="Q2119" s="44"/>
      <c r="R2119" s="44"/>
      <c r="S2119" s="37">
        <f>IF(B2119="","",IF(ISNUMBER(J2119),IF(J2119&lt;=10,'Configuración'!$B$23,IF(J2119&lt;=50,'Configuración'!$B$24,IF(J2119&lt;=200,'Configuración'!$B$25,0))),0))</f>
        <v>12</v>
      </c>
      <c r="T2119" s="37">
        <f>IF(B2119="","",IF(ISNUMBER(SEARCH("information technology",I2119))+ISNUMBER(SEARCH("software",I2119))+ISNUMBER(SEARCH("internet",I2119))+ISNUMBER(SEARCH("computer",I2119))+ISNUMBER(SEARCH("saas",I2119))+ISNUMBER(SEARCH("fintech",I2119))+ISNUMBER(SEARCH("information services",I2119))+ISNUMBER(SEARCH("telecommunications",I2119))&gt;0,'Configuración'!$B$27,'Configuración'!$B$28))</f>
        <v>4</v>
      </c>
      <c r="U2119" s="25">
        <f>IF(B2119="","",IF(ISNUMBER(SEARCH("CEO",C2119))+ISNUMBER(SEARCH("Founder",C2119))+ISNUMBER(SEARCH("Owner",C2119))+ISNUMBER(SEARCH("Dueño",C2119))+ISNUMBER(SEARCH("Director General",C2119))+ISNUMBER(SEARCH("Presidente",C2119))+ISNUMBER(SEARCH("President",C2119))&gt;0,'Configuración'!$B$31,IF(ISNUMBER(SEARCH("CMO",C2119))+ISNUMBER(SEARCH("Chief Marketing",C2119))+ISNUMBER(SEARCH("VP Marketing",C2119))+ISNUMBER(SEARCH("Director de Marketing",C2119))+ISNUMBER(SEARCH("Director Marketing",C2119))+ISNUMBER(SEARCH("Head of Marketing",C2119))+ISNUMBER(SEARCH("Head Marketing",C2119))&gt;0,'Configuración'!$B$32,IF(ISNUMBER(SEARCH("Marketing Manager",C2119))+ISNUMBER(SEARCH("Gerente de Marketing",C2119))+ISNUMBER(SEARCH("Growth Manager",C2119))+ISNUMBER(SEARCH("Demand Gen",C2119))+ISNUMBER(SEARCH("Marketing Lead",C2119))&gt;0,'Configuración'!$B$33,IF(ISNUMBER(SEARCH("COO",C2119))+ISNUMBER(SEARCH("CFO",C2119))+ISNUMBER(SEARCH("CTO",C2119))+ISNUMBER(SEARCH("Chief Operating",C2119))+ISNUMBER(SEARCH("Chief Financial",C2119))+ISNUMBER(SEARCH("Gerente General",C2119))+ISNUMBER(SEARCH("General Manager",C2119))&gt;0,'Configuración'!$B$34,'Configuración'!$B$35)))))</f>
        <v>12</v>
      </c>
      <c r="V2119" s="20"/>
      <c r="W2119" s="20"/>
    </row>
    <row r="2120" ht="15.75" customHeight="1">
      <c r="A2120" s="34"/>
      <c r="B2120" s="29" t="s">
        <v>11632</v>
      </c>
      <c r="C2120" s="29" t="s">
        <v>11633</v>
      </c>
      <c r="D2120" s="29" t="s">
        <v>11634</v>
      </c>
      <c r="E2120" s="29" t="s">
        <v>11635</v>
      </c>
      <c r="F2120" s="30" t="s">
        <v>11636</v>
      </c>
      <c r="G2120" s="30" t="s">
        <v>11637</v>
      </c>
      <c r="H2120" s="43" t="s">
        <v>11638</v>
      </c>
      <c r="I2120" s="29" t="s">
        <v>127</v>
      </c>
      <c r="J2120" s="31">
        <v>1.0</v>
      </c>
      <c r="K2120" s="44"/>
      <c r="L2120" s="44"/>
      <c r="M2120" s="44"/>
      <c r="N2120" s="44"/>
      <c r="O2120" s="44"/>
      <c r="P2120" s="44"/>
      <c r="Q2120" s="44"/>
      <c r="R2120" s="44"/>
      <c r="S2120" s="37">
        <f>IF(B2120="","",IF(ISNUMBER(J2120),IF(J2120&lt;=10,'Configuración'!$B$23,IF(J2120&lt;=50,'Configuración'!$B$24,IF(J2120&lt;=200,'Configuración'!$B$25,0))),0))</f>
        <v>12</v>
      </c>
      <c r="T2120" s="37">
        <f>IF(B2120="","",IF(ISNUMBER(SEARCH("information technology",I2120))+ISNUMBER(SEARCH("software",I2120))+ISNUMBER(SEARCH("internet",I2120))+ISNUMBER(SEARCH("computer",I2120))+ISNUMBER(SEARCH("saas",I2120))+ISNUMBER(SEARCH("fintech",I2120))+ISNUMBER(SEARCH("information services",I2120))+ISNUMBER(SEARCH("telecommunications",I2120))&gt;0,'Configuración'!$B$27,'Configuración'!$B$28))</f>
        <v>12</v>
      </c>
      <c r="U2120" s="25">
        <f>IF(B2120="","",IF(ISNUMBER(SEARCH("CEO",C2120))+ISNUMBER(SEARCH("Founder",C2120))+ISNUMBER(SEARCH("Owner",C2120))+ISNUMBER(SEARCH("Dueño",C2120))+ISNUMBER(SEARCH("Director General",C2120))+ISNUMBER(SEARCH("Presidente",C2120))+ISNUMBER(SEARCH("President",C2120))&gt;0,'Configuración'!$B$31,IF(ISNUMBER(SEARCH("CMO",C2120))+ISNUMBER(SEARCH("Chief Marketing",C2120))+ISNUMBER(SEARCH("VP Marketing",C2120))+ISNUMBER(SEARCH("Director de Marketing",C2120))+ISNUMBER(SEARCH("Director Marketing",C2120))+ISNUMBER(SEARCH("Head of Marketing",C2120))+ISNUMBER(SEARCH("Head Marketing",C2120))&gt;0,'Configuración'!$B$32,IF(ISNUMBER(SEARCH("Marketing Manager",C2120))+ISNUMBER(SEARCH("Gerente de Marketing",C2120))+ISNUMBER(SEARCH("Growth Manager",C2120))+ISNUMBER(SEARCH("Demand Gen",C2120))+ISNUMBER(SEARCH("Marketing Lead",C2120))&gt;0,'Configuración'!$B$33,IF(ISNUMBER(SEARCH("COO",C2120))+ISNUMBER(SEARCH("CFO",C2120))+ISNUMBER(SEARCH("CTO",C2120))+ISNUMBER(SEARCH("Chief Operating",C2120))+ISNUMBER(SEARCH("Chief Financial",C2120))+ISNUMBER(SEARCH("Gerente General",C2120))+ISNUMBER(SEARCH("General Manager",C2120))&gt;0,'Configuración'!$B$34,'Configuración'!$B$35)))))</f>
        <v>12</v>
      </c>
      <c r="V2120" s="20"/>
      <c r="W2120" s="20"/>
    </row>
    <row r="2121" ht="15.75" customHeight="1">
      <c r="A2121" s="34"/>
      <c r="B2121" s="29" t="s">
        <v>159</v>
      </c>
      <c r="C2121" s="29" t="s">
        <v>121</v>
      </c>
      <c r="D2121" s="29" t="s">
        <v>11639</v>
      </c>
      <c r="E2121" s="29" t="s">
        <v>11640</v>
      </c>
      <c r="F2121" s="30" t="s">
        <v>11641</v>
      </c>
      <c r="G2121" s="30" t="s">
        <v>11642</v>
      </c>
      <c r="H2121" s="43" t="s">
        <v>11643</v>
      </c>
      <c r="I2121" s="29" t="s">
        <v>1922</v>
      </c>
      <c r="J2121" s="31">
        <v>14.0</v>
      </c>
      <c r="K2121" s="44"/>
      <c r="L2121" s="44"/>
      <c r="M2121" s="44"/>
      <c r="N2121" s="44"/>
      <c r="O2121" s="44"/>
      <c r="P2121" s="44"/>
      <c r="Q2121" s="44"/>
      <c r="R2121" s="44"/>
      <c r="S2121" s="37">
        <f>IF(B2121="","",IF(ISNUMBER(J2121),IF(J2121&lt;=10,'Configuración'!$B$23,IF(J2121&lt;=50,'Configuración'!$B$24,IF(J2121&lt;=200,'Configuración'!$B$25,0))),0))</f>
        <v>4</v>
      </c>
      <c r="T2121" s="37">
        <f>IF(B2121="","",IF(ISNUMBER(SEARCH("information technology",I2121))+ISNUMBER(SEARCH("software",I2121))+ISNUMBER(SEARCH("internet",I2121))+ISNUMBER(SEARCH("computer",I2121))+ISNUMBER(SEARCH("saas",I2121))+ISNUMBER(SEARCH("fintech",I2121))+ISNUMBER(SEARCH("information services",I2121))+ISNUMBER(SEARCH("telecommunications",I2121))&gt;0,'Configuración'!$B$27,'Configuración'!$B$28))</f>
        <v>4</v>
      </c>
      <c r="U2121" s="25">
        <f>IF(B2121="","",IF(ISNUMBER(SEARCH("CEO",C2121))+ISNUMBER(SEARCH("Founder",C2121))+ISNUMBER(SEARCH("Owner",C2121))+ISNUMBER(SEARCH("Dueño",C2121))+ISNUMBER(SEARCH("Director General",C2121))+ISNUMBER(SEARCH("Presidente",C2121))+ISNUMBER(SEARCH("President",C2121))&gt;0,'Configuración'!$B$31,IF(ISNUMBER(SEARCH("CMO",C2121))+ISNUMBER(SEARCH("Chief Marketing",C2121))+ISNUMBER(SEARCH("VP Marketing",C2121))+ISNUMBER(SEARCH("Director de Marketing",C2121))+ISNUMBER(SEARCH("Director Marketing",C2121))+ISNUMBER(SEARCH("Head of Marketing",C2121))+ISNUMBER(SEARCH("Head Marketing",C2121))&gt;0,'Configuración'!$B$32,IF(ISNUMBER(SEARCH("Marketing Manager",C2121))+ISNUMBER(SEARCH("Gerente de Marketing",C2121))+ISNUMBER(SEARCH("Growth Manager",C2121))+ISNUMBER(SEARCH("Demand Gen",C2121))+ISNUMBER(SEARCH("Marketing Lead",C2121))&gt;0,'Configuración'!$B$33,IF(ISNUMBER(SEARCH("COO",C2121))+ISNUMBER(SEARCH("CFO",C2121))+ISNUMBER(SEARCH("CTO",C2121))+ISNUMBER(SEARCH("Chief Operating",C2121))+ISNUMBER(SEARCH("Chief Financial",C2121))+ISNUMBER(SEARCH("Gerente General",C2121))+ISNUMBER(SEARCH("General Manager",C2121))&gt;0,'Configuración'!$B$34,'Configuración'!$B$35)))))</f>
        <v>12</v>
      </c>
      <c r="V2121" s="20"/>
      <c r="W2121" s="20"/>
    </row>
    <row r="2122" ht="15.75" customHeight="1">
      <c r="A2122" s="34"/>
      <c r="B2122" s="29" t="s">
        <v>138</v>
      </c>
      <c r="C2122" s="29" t="s">
        <v>11644</v>
      </c>
      <c r="D2122" s="29" t="s">
        <v>11645</v>
      </c>
      <c r="E2122" s="29" t="s">
        <v>11646</v>
      </c>
      <c r="F2122" s="30" t="s">
        <v>11647</v>
      </c>
      <c r="G2122" s="30" t="s">
        <v>11648</v>
      </c>
      <c r="H2122" s="43" t="s">
        <v>11649</v>
      </c>
      <c r="I2122" s="29" t="s">
        <v>946</v>
      </c>
      <c r="J2122" s="31">
        <v>47.0</v>
      </c>
      <c r="K2122" s="44"/>
      <c r="L2122" s="44"/>
      <c r="M2122" s="44"/>
      <c r="N2122" s="44"/>
      <c r="O2122" s="44"/>
      <c r="P2122" s="44"/>
      <c r="Q2122" s="44"/>
      <c r="R2122" s="44"/>
      <c r="S2122" s="37">
        <f>IF(B2122="","",IF(ISNUMBER(J2122),IF(J2122&lt;=10,'Configuración'!$B$23,IF(J2122&lt;=50,'Configuración'!$B$24,IF(J2122&lt;=200,'Configuración'!$B$25,0))),0))</f>
        <v>4</v>
      </c>
      <c r="T2122" s="37">
        <f>IF(B2122="","",IF(ISNUMBER(SEARCH("information technology",I2122))+ISNUMBER(SEARCH("software",I2122))+ISNUMBER(SEARCH("internet",I2122))+ISNUMBER(SEARCH("computer",I2122))+ISNUMBER(SEARCH("saas",I2122))+ISNUMBER(SEARCH("fintech",I2122))+ISNUMBER(SEARCH("information services",I2122))+ISNUMBER(SEARCH("telecommunications",I2122))&gt;0,'Configuración'!$B$27,'Configuración'!$B$28))</f>
        <v>4</v>
      </c>
      <c r="U2122" s="25">
        <f>IF(B2122="","",IF(ISNUMBER(SEARCH("CEO",C2122))+ISNUMBER(SEARCH("Founder",C2122))+ISNUMBER(SEARCH("Owner",C2122))+ISNUMBER(SEARCH("Dueño",C2122))+ISNUMBER(SEARCH("Director General",C2122))+ISNUMBER(SEARCH("Presidente",C2122))+ISNUMBER(SEARCH("President",C2122))&gt;0,'Configuración'!$B$31,IF(ISNUMBER(SEARCH("CMO",C2122))+ISNUMBER(SEARCH("Chief Marketing",C2122))+ISNUMBER(SEARCH("VP Marketing",C2122))+ISNUMBER(SEARCH("Director de Marketing",C2122))+ISNUMBER(SEARCH("Director Marketing",C2122))+ISNUMBER(SEARCH("Head of Marketing",C2122))+ISNUMBER(SEARCH("Head Marketing",C2122))&gt;0,'Configuración'!$B$32,IF(ISNUMBER(SEARCH("Marketing Manager",C2122))+ISNUMBER(SEARCH("Gerente de Marketing",C2122))+ISNUMBER(SEARCH("Growth Manager",C2122))+ISNUMBER(SEARCH("Demand Gen",C2122))+ISNUMBER(SEARCH("Marketing Lead",C2122))&gt;0,'Configuración'!$B$33,IF(ISNUMBER(SEARCH("COO",C2122))+ISNUMBER(SEARCH("CFO",C2122))+ISNUMBER(SEARCH("CTO",C2122))+ISNUMBER(SEARCH("Chief Operating",C2122))+ISNUMBER(SEARCH("Chief Financial",C2122))+ISNUMBER(SEARCH("Gerente General",C2122))+ISNUMBER(SEARCH("General Manager",C2122))&gt;0,'Configuración'!$B$34,'Configuración'!$B$35)))))</f>
        <v>12</v>
      </c>
      <c r="V2122" s="20"/>
      <c r="W2122" s="20"/>
    </row>
    <row r="2123" ht="15.75" customHeight="1">
      <c r="A2123" s="34"/>
      <c r="B2123" s="29" t="s">
        <v>2042</v>
      </c>
      <c r="C2123" s="29" t="s">
        <v>622</v>
      </c>
      <c r="D2123" s="29" t="s">
        <v>11650</v>
      </c>
      <c r="E2123" s="29" t="s">
        <v>11651</v>
      </c>
      <c r="F2123" s="30" t="s">
        <v>11652</v>
      </c>
      <c r="G2123" s="30" t="s">
        <v>11653</v>
      </c>
      <c r="H2123" s="43" t="s">
        <v>11654</v>
      </c>
      <c r="I2123" s="29" t="s">
        <v>188</v>
      </c>
      <c r="J2123" s="31">
        <v>6.0</v>
      </c>
      <c r="K2123" s="44"/>
      <c r="L2123" s="44"/>
      <c r="M2123" s="44"/>
      <c r="N2123" s="44"/>
      <c r="O2123" s="44"/>
      <c r="P2123" s="44"/>
      <c r="Q2123" s="44"/>
      <c r="R2123" s="44"/>
      <c r="S2123" s="37">
        <f>IF(B2123="","",IF(ISNUMBER(J2123),IF(J2123&lt;=10,'Configuración'!$B$23,IF(J2123&lt;=50,'Configuración'!$B$24,IF(J2123&lt;=200,'Configuración'!$B$25,0))),0))</f>
        <v>12</v>
      </c>
      <c r="T2123" s="37">
        <f>IF(B2123="","",IF(ISNUMBER(SEARCH("information technology",I2123))+ISNUMBER(SEARCH("software",I2123))+ISNUMBER(SEARCH("internet",I2123))+ISNUMBER(SEARCH("computer",I2123))+ISNUMBER(SEARCH("saas",I2123))+ISNUMBER(SEARCH("fintech",I2123))+ISNUMBER(SEARCH("information services",I2123))+ISNUMBER(SEARCH("telecommunications",I2123))&gt;0,'Configuración'!$B$27,'Configuración'!$B$28))</f>
        <v>4</v>
      </c>
      <c r="U2123" s="25">
        <f>IF(B2123="","",IF(ISNUMBER(SEARCH("CEO",C2123))+ISNUMBER(SEARCH("Founder",C2123))+ISNUMBER(SEARCH("Owner",C2123))+ISNUMBER(SEARCH("Dueño",C2123))+ISNUMBER(SEARCH("Director General",C2123))+ISNUMBER(SEARCH("Presidente",C2123))+ISNUMBER(SEARCH("President",C2123))&gt;0,'Configuración'!$B$31,IF(ISNUMBER(SEARCH("CMO",C2123))+ISNUMBER(SEARCH("Chief Marketing",C2123))+ISNUMBER(SEARCH("VP Marketing",C2123))+ISNUMBER(SEARCH("Director de Marketing",C2123))+ISNUMBER(SEARCH("Director Marketing",C2123))+ISNUMBER(SEARCH("Head of Marketing",C2123))+ISNUMBER(SEARCH("Head Marketing",C2123))&gt;0,'Configuración'!$B$32,IF(ISNUMBER(SEARCH("Marketing Manager",C2123))+ISNUMBER(SEARCH("Gerente de Marketing",C2123))+ISNUMBER(SEARCH("Growth Manager",C2123))+ISNUMBER(SEARCH("Demand Gen",C2123))+ISNUMBER(SEARCH("Marketing Lead",C2123))&gt;0,'Configuración'!$B$33,IF(ISNUMBER(SEARCH("COO",C2123))+ISNUMBER(SEARCH("CFO",C2123))+ISNUMBER(SEARCH("CTO",C2123))+ISNUMBER(SEARCH("Chief Operating",C2123))+ISNUMBER(SEARCH("Chief Financial",C2123))+ISNUMBER(SEARCH("Gerente General",C2123))+ISNUMBER(SEARCH("General Manager",C2123))&gt;0,'Configuración'!$B$34,'Configuración'!$B$35)))))</f>
        <v>12</v>
      </c>
      <c r="V2123" s="20"/>
      <c r="W2123" s="20"/>
    </row>
    <row r="2124" ht="15.75" customHeight="1">
      <c r="A2124" s="34"/>
      <c r="B2124" s="29" t="s">
        <v>556</v>
      </c>
      <c r="C2124" s="29" t="s">
        <v>11655</v>
      </c>
      <c r="D2124" s="29" t="s">
        <v>11656</v>
      </c>
      <c r="E2124" s="29" t="s">
        <v>11657</v>
      </c>
      <c r="F2124" s="30" t="s">
        <v>11658</v>
      </c>
      <c r="G2124" s="30" t="s">
        <v>11659</v>
      </c>
      <c r="H2124" s="43" t="s">
        <v>11660</v>
      </c>
      <c r="I2124" s="29" t="s">
        <v>337</v>
      </c>
      <c r="J2124" s="31">
        <v>1.0</v>
      </c>
      <c r="K2124" s="44"/>
      <c r="L2124" s="44"/>
      <c r="M2124" s="44"/>
      <c r="N2124" s="44"/>
      <c r="O2124" s="44"/>
      <c r="P2124" s="44"/>
      <c r="Q2124" s="44"/>
      <c r="R2124" s="44"/>
      <c r="S2124" s="37">
        <f>IF(B2124="","",IF(ISNUMBER(J2124),IF(J2124&lt;=10,'Configuración'!$B$23,IF(J2124&lt;=50,'Configuración'!$B$24,IF(J2124&lt;=200,'Configuración'!$B$25,0))),0))</f>
        <v>12</v>
      </c>
      <c r="T2124" s="37">
        <f>IF(B2124="","",IF(ISNUMBER(SEARCH("information technology",I2124))+ISNUMBER(SEARCH("software",I2124))+ISNUMBER(SEARCH("internet",I2124))+ISNUMBER(SEARCH("computer",I2124))+ISNUMBER(SEARCH("saas",I2124))+ISNUMBER(SEARCH("fintech",I2124))+ISNUMBER(SEARCH("information services",I2124))+ISNUMBER(SEARCH("telecommunications",I2124))&gt;0,'Configuración'!$B$27,'Configuración'!$B$28))</f>
        <v>4</v>
      </c>
      <c r="U2124" s="25">
        <f>IF(B2124="","",IF(ISNUMBER(SEARCH("CEO",C2124))+ISNUMBER(SEARCH("Founder",C2124))+ISNUMBER(SEARCH("Owner",C2124))+ISNUMBER(SEARCH("Dueño",C2124))+ISNUMBER(SEARCH("Director General",C2124))+ISNUMBER(SEARCH("Presidente",C2124))+ISNUMBER(SEARCH("President",C2124))&gt;0,'Configuración'!$B$31,IF(ISNUMBER(SEARCH("CMO",C2124))+ISNUMBER(SEARCH("Chief Marketing",C2124))+ISNUMBER(SEARCH("VP Marketing",C2124))+ISNUMBER(SEARCH("Director de Marketing",C2124))+ISNUMBER(SEARCH("Director Marketing",C2124))+ISNUMBER(SEARCH("Head of Marketing",C2124))+ISNUMBER(SEARCH("Head Marketing",C2124))&gt;0,'Configuración'!$B$32,IF(ISNUMBER(SEARCH("Marketing Manager",C2124))+ISNUMBER(SEARCH("Gerente de Marketing",C2124))+ISNUMBER(SEARCH("Growth Manager",C2124))+ISNUMBER(SEARCH("Demand Gen",C2124))+ISNUMBER(SEARCH("Marketing Lead",C2124))&gt;0,'Configuración'!$B$33,IF(ISNUMBER(SEARCH("COO",C2124))+ISNUMBER(SEARCH("CFO",C2124))+ISNUMBER(SEARCH("CTO",C2124))+ISNUMBER(SEARCH("Chief Operating",C2124))+ISNUMBER(SEARCH("Chief Financial",C2124))+ISNUMBER(SEARCH("Gerente General",C2124))+ISNUMBER(SEARCH("General Manager",C2124))&gt;0,'Configuración'!$B$34,'Configuración'!$B$35)))))</f>
        <v>12</v>
      </c>
      <c r="V2124" s="20"/>
      <c r="W2124" s="20"/>
    </row>
    <row r="2125" ht="15.75" customHeight="1">
      <c r="A2125" s="34"/>
      <c r="B2125" s="29" t="s">
        <v>501</v>
      </c>
      <c r="C2125" s="29" t="s">
        <v>10393</v>
      </c>
      <c r="D2125" s="29" t="s">
        <v>11661</v>
      </c>
      <c r="E2125" s="29" t="s">
        <v>11662</v>
      </c>
      <c r="F2125" s="30" t="s">
        <v>11663</v>
      </c>
      <c r="G2125" s="30" t="s">
        <v>11664</v>
      </c>
      <c r="H2125" s="43" t="s">
        <v>11665</v>
      </c>
      <c r="I2125" s="29" t="s">
        <v>317</v>
      </c>
      <c r="J2125" s="31">
        <v>23.0</v>
      </c>
      <c r="K2125" s="44"/>
      <c r="L2125" s="44"/>
      <c r="M2125" s="44"/>
      <c r="N2125" s="44"/>
      <c r="O2125" s="44"/>
      <c r="P2125" s="44"/>
      <c r="Q2125" s="44"/>
      <c r="R2125" s="44"/>
      <c r="S2125" s="37">
        <f>IF(B2125="","",IF(ISNUMBER(J2125),IF(J2125&lt;=10,'Configuración'!$B$23,IF(J2125&lt;=50,'Configuración'!$B$24,IF(J2125&lt;=200,'Configuración'!$B$25,0))),0))</f>
        <v>4</v>
      </c>
      <c r="T2125" s="37">
        <f>IF(B2125="","",IF(ISNUMBER(SEARCH("information technology",I2125))+ISNUMBER(SEARCH("software",I2125))+ISNUMBER(SEARCH("internet",I2125))+ISNUMBER(SEARCH("computer",I2125))+ISNUMBER(SEARCH("saas",I2125))+ISNUMBER(SEARCH("fintech",I2125))+ISNUMBER(SEARCH("information services",I2125))+ISNUMBER(SEARCH("telecommunications",I2125))&gt;0,'Configuración'!$B$27,'Configuración'!$B$28))</f>
        <v>4</v>
      </c>
      <c r="U2125" s="25">
        <f>IF(B2125="","",IF(ISNUMBER(SEARCH("CEO",C2125))+ISNUMBER(SEARCH("Founder",C2125))+ISNUMBER(SEARCH("Owner",C2125))+ISNUMBER(SEARCH("Dueño",C2125))+ISNUMBER(SEARCH("Director General",C2125))+ISNUMBER(SEARCH("Presidente",C2125))+ISNUMBER(SEARCH("President",C2125))&gt;0,'Configuración'!$B$31,IF(ISNUMBER(SEARCH("CMO",C2125))+ISNUMBER(SEARCH("Chief Marketing",C2125))+ISNUMBER(SEARCH("VP Marketing",C2125))+ISNUMBER(SEARCH("Director de Marketing",C2125))+ISNUMBER(SEARCH("Director Marketing",C2125))+ISNUMBER(SEARCH("Head of Marketing",C2125))+ISNUMBER(SEARCH("Head Marketing",C2125))&gt;0,'Configuración'!$B$32,IF(ISNUMBER(SEARCH("Marketing Manager",C2125))+ISNUMBER(SEARCH("Gerente de Marketing",C2125))+ISNUMBER(SEARCH("Growth Manager",C2125))+ISNUMBER(SEARCH("Demand Gen",C2125))+ISNUMBER(SEARCH("Marketing Lead",C2125))&gt;0,'Configuración'!$B$33,IF(ISNUMBER(SEARCH("COO",C2125))+ISNUMBER(SEARCH("CFO",C2125))+ISNUMBER(SEARCH("CTO",C2125))+ISNUMBER(SEARCH("Chief Operating",C2125))+ISNUMBER(SEARCH("Chief Financial",C2125))+ISNUMBER(SEARCH("Gerente General",C2125))+ISNUMBER(SEARCH("General Manager",C2125))&gt;0,'Configuración'!$B$34,'Configuración'!$B$35)))))</f>
        <v>12</v>
      </c>
      <c r="V2125" s="20"/>
      <c r="W2125" s="20"/>
    </row>
    <row r="2126" ht="15.75" customHeight="1">
      <c r="A2126" s="34"/>
      <c r="B2126" s="29" t="s">
        <v>2776</v>
      </c>
      <c r="C2126" s="29" t="s">
        <v>622</v>
      </c>
      <c r="D2126" s="29" t="s">
        <v>11666</v>
      </c>
      <c r="E2126" s="29" t="s">
        <v>11667</v>
      </c>
      <c r="F2126" s="30" t="s">
        <v>11668</v>
      </c>
      <c r="G2126" s="30" t="s">
        <v>11669</v>
      </c>
      <c r="H2126" s="43" t="s">
        <v>11670</v>
      </c>
      <c r="I2126" s="29" t="s">
        <v>145</v>
      </c>
      <c r="J2126" s="31">
        <v>1.0</v>
      </c>
      <c r="K2126" s="44"/>
      <c r="L2126" s="44"/>
      <c r="M2126" s="44"/>
      <c r="N2126" s="44"/>
      <c r="O2126" s="44"/>
      <c r="P2126" s="44"/>
      <c r="Q2126" s="44"/>
      <c r="R2126" s="44"/>
      <c r="S2126" s="37">
        <f>IF(B2126="","",IF(ISNUMBER(J2126),IF(J2126&lt;=10,'Configuración'!$B$23,IF(J2126&lt;=50,'Configuración'!$B$24,IF(J2126&lt;=200,'Configuración'!$B$25,0))),0))</f>
        <v>12</v>
      </c>
      <c r="T2126" s="37">
        <f>IF(B2126="","",IF(ISNUMBER(SEARCH("information technology",I2126))+ISNUMBER(SEARCH("software",I2126))+ISNUMBER(SEARCH("internet",I2126))+ISNUMBER(SEARCH("computer",I2126))+ISNUMBER(SEARCH("saas",I2126))+ISNUMBER(SEARCH("fintech",I2126))+ISNUMBER(SEARCH("information services",I2126))+ISNUMBER(SEARCH("telecommunications",I2126))&gt;0,'Configuración'!$B$27,'Configuración'!$B$28))</f>
        <v>4</v>
      </c>
      <c r="U2126" s="25">
        <f>IF(B2126="","",IF(ISNUMBER(SEARCH("CEO",C2126))+ISNUMBER(SEARCH("Founder",C2126))+ISNUMBER(SEARCH("Owner",C2126))+ISNUMBER(SEARCH("Dueño",C2126))+ISNUMBER(SEARCH("Director General",C2126))+ISNUMBER(SEARCH("Presidente",C2126))+ISNUMBER(SEARCH("President",C2126))&gt;0,'Configuración'!$B$31,IF(ISNUMBER(SEARCH("CMO",C2126))+ISNUMBER(SEARCH("Chief Marketing",C2126))+ISNUMBER(SEARCH("VP Marketing",C2126))+ISNUMBER(SEARCH("Director de Marketing",C2126))+ISNUMBER(SEARCH("Director Marketing",C2126))+ISNUMBER(SEARCH("Head of Marketing",C2126))+ISNUMBER(SEARCH("Head Marketing",C2126))&gt;0,'Configuración'!$B$32,IF(ISNUMBER(SEARCH("Marketing Manager",C2126))+ISNUMBER(SEARCH("Gerente de Marketing",C2126))+ISNUMBER(SEARCH("Growth Manager",C2126))+ISNUMBER(SEARCH("Demand Gen",C2126))+ISNUMBER(SEARCH("Marketing Lead",C2126))&gt;0,'Configuración'!$B$33,IF(ISNUMBER(SEARCH("COO",C2126))+ISNUMBER(SEARCH("CFO",C2126))+ISNUMBER(SEARCH("CTO",C2126))+ISNUMBER(SEARCH("Chief Operating",C2126))+ISNUMBER(SEARCH("Chief Financial",C2126))+ISNUMBER(SEARCH("Gerente General",C2126))+ISNUMBER(SEARCH("General Manager",C2126))&gt;0,'Configuración'!$B$34,'Configuración'!$B$35)))))</f>
        <v>12</v>
      </c>
      <c r="V2126" s="20"/>
      <c r="W2126" s="20"/>
    </row>
    <row r="2127" ht="15.75" customHeight="1">
      <c r="A2127" s="34"/>
      <c r="B2127" s="29" t="s">
        <v>1028</v>
      </c>
      <c r="C2127" s="29" t="s">
        <v>304</v>
      </c>
      <c r="D2127" s="40" t="s">
        <v>5119</v>
      </c>
      <c r="E2127" s="29" t="s">
        <v>11671</v>
      </c>
      <c r="F2127" s="30" t="s">
        <v>11672</v>
      </c>
      <c r="G2127" s="30" t="s">
        <v>5122</v>
      </c>
      <c r="H2127" s="43" t="s">
        <v>5123</v>
      </c>
      <c r="I2127" s="29" t="s">
        <v>769</v>
      </c>
      <c r="J2127" s="31">
        <v>24.0</v>
      </c>
      <c r="K2127" s="44"/>
      <c r="L2127" s="44"/>
      <c r="M2127" s="44"/>
      <c r="N2127" s="44"/>
      <c r="O2127" s="44"/>
      <c r="P2127" s="44"/>
      <c r="Q2127" s="44"/>
      <c r="R2127" s="44"/>
      <c r="S2127" s="37">
        <f>IF(B2127="","",IF(ISNUMBER(J2127),IF(J2127&lt;=10,'Configuración'!$B$23,IF(J2127&lt;=50,'Configuración'!$B$24,IF(J2127&lt;=200,'Configuración'!$B$25,0))),0))</f>
        <v>4</v>
      </c>
      <c r="T2127" s="37">
        <f>IF(B2127="","",IF(ISNUMBER(SEARCH("information technology",I2127))+ISNUMBER(SEARCH("software",I2127))+ISNUMBER(SEARCH("internet",I2127))+ISNUMBER(SEARCH("computer",I2127))+ISNUMBER(SEARCH("saas",I2127))+ISNUMBER(SEARCH("fintech",I2127))+ISNUMBER(SEARCH("information services",I2127))+ISNUMBER(SEARCH("telecommunications",I2127))&gt;0,'Configuración'!$B$27,'Configuración'!$B$28))</f>
        <v>4</v>
      </c>
      <c r="U2127" s="25">
        <f>IF(B2127="","",IF(ISNUMBER(SEARCH("CEO",C2127))+ISNUMBER(SEARCH("Founder",C2127))+ISNUMBER(SEARCH("Owner",C2127))+ISNUMBER(SEARCH("Dueño",C2127))+ISNUMBER(SEARCH("Director General",C2127))+ISNUMBER(SEARCH("Presidente",C2127))+ISNUMBER(SEARCH("President",C2127))&gt;0,'Configuración'!$B$31,IF(ISNUMBER(SEARCH("CMO",C2127))+ISNUMBER(SEARCH("Chief Marketing",C2127))+ISNUMBER(SEARCH("VP Marketing",C2127))+ISNUMBER(SEARCH("Director de Marketing",C2127))+ISNUMBER(SEARCH("Director Marketing",C2127))+ISNUMBER(SEARCH("Head of Marketing",C2127))+ISNUMBER(SEARCH("Head Marketing",C2127))&gt;0,'Configuración'!$B$32,IF(ISNUMBER(SEARCH("Marketing Manager",C2127))+ISNUMBER(SEARCH("Gerente de Marketing",C2127))+ISNUMBER(SEARCH("Growth Manager",C2127))+ISNUMBER(SEARCH("Demand Gen",C2127))+ISNUMBER(SEARCH("Marketing Lead",C2127))&gt;0,'Configuración'!$B$33,IF(ISNUMBER(SEARCH("COO",C2127))+ISNUMBER(SEARCH("CFO",C2127))+ISNUMBER(SEARCH("CTO",C2127))+ISNUMBER(SEARCH("Chief Operating",C2127))+ISNUMBER(SEARCH("Chief Financial",C2127))+ISNUMBER(SEARCH("Gerente General",C2127))+ISNUMBER(SEARCH("General Manager",C2127))&gt;0,'Configuración'!$B$34,'Configuración'!$B$35)))))</f>
        <v>4</v>
      </c>
      <c r="V2127" s="20"/>
      <c r="W2127" s="20"/>
    </row>
    <row r="2128" ht="15.75" customHeight="1">
      <c r="A2128" s="34"/>
      <c r="B2128" s="29" t="s">
        <v>209</v>
      </c>
      <c r="C2128" s="29" t="s">
        <v>11673</v>
      </c>
      <c r="D2128" s="30" t="s">
        <v>11674</v>
      </c>
      <c r="E2128" s="29" t="s">
        <v>11675</v>
      </c>
      <c r="F2128" s="30" t="s">
        <v>11676</v>
      </c>
      <c r="G2128" s="30" t="s">
        <v>11677</v>
      </c>
      <c r="H2128" s="43" t="s">
        <v>11678</v>
      </c>
      <c r="I2128" s="29" t="s">
        <v>1845</v>
      </c>
      <c r="J2128" s="31">
        <v>4.0</v>
      </c>
      <c r="K2128" s="44"/>
      <c r="L2128" s="44"/>
      <c r="M2128" s="44"/>
      <c r="N2128" s="44"/>
      <c r="O2128" s="44"/>
      <c r="P2128" s="44"/>
      <c r="Q2128" s="44"/>
      <c r="R2128" s="44"/>
      <c r="S2128" s="37">
        <f>IF(B2128="","",IF(ISNUMBER(J2128),IF(J2128&lt;=10,'Configuración'!$B$23,IF(J2128&lt;=50,'Configuración'!$B$24,IF(J2128&lt;=200,'Configuración'!$B$25,0))),0))</f>
        <v>12</v>
      </c>
      <c r="T2128" s="37">
        <f>IF(B2128="","",IF(ISNUMBER(SEARCH("information technology",I2128))+ISNUMBER(SEARCH("software",I2128))+ISNUMBER(SEARCH("internet",I2128))+ISNUMBER(SEARCH("computer",I2128))+ISNUMBER(SEARCH("saas",I2128))+ISNUMBER(SEARCH("fintech",I2128))+ISNUMBER(SEARCH("information services",I2128))+ISNUMBER(SEARCH("telecommunications",I2128))&gt;0,'Configuración'!$B$27,'Configuración'!$B$28))</f>
        <v>4</v>
      </c>
      <c r="U2128" s="25">
        <f>IF(B2128="","",IF(ISNUMBER(SEARCH("CEO",C2128))+ISNUMBER(SEARCH("Founder",C2128))+ISNUMBER(SEARCH("Owner",C2128))+ISNUMBER(SEARCH("Dueño",C2128))+ISNUMBER(SEARCH("Director General",C2128))+ISNUMBER(SEARCH("Presidente",C2128))+ISNUMBER(SEARCH("President",C2128))&gt;0,'Configuración'!$B$31,IF(ISNUMBER(SEARCH("CMO",C2128))+ISNUMBER(SEARCH("Chief Marketing",C2128))+ISNUMBER(SEARCH("VP Marketing",C2128))+ISNUMBER(SEARCH("Director de Marketing",C2128))+ISNUMBER(SEARCH("Director Marketing",C2128))+ISNUMBER(SEARCH("Head of Marketing",C2128))+ISNUMBER(SEARCH("Head Marketing",C2128))&gt;0,'Configuración'!$B$32,IF(ISNUMBER(SEARCH("Marketing Manager",C2128))+ISNUMBER(SEARCH("Gerente de Marketing",C2128))+ISNUMBER(SEARCH("Growth Manager",C2128))+ISNUMBER(SEARCH("Demand Gen",C2128))+ISNUMBER(SEARCH("Marketing Lead",C2128))&gt;0,'Configuración'!$B$33,IF(ISNUMBER(SEARCH("COO",C2128))+ISNUMBER(SEARCH("CFO",C2128))+ISNUMBER(SEARCH("CTO",C2128))+ISNUMBER(SEARCH("Chief Operating",C2128))+ISNUMBER(SEARCH("Chief Financial",C2128))+ISNUMBER(SEARCH("Gerente General",C2128))+ISNUMBER(SEARCH("General Manager",C2128))&gt;0,'Configuración'!$B$34,'Configuración'!$B$35)))))</f>
        <v>4</v>
      </c>
      <c r="V2128" s="20"/>
      <c r="W2128" s="20"/>
    </row>
    <row r="2129" ht="15.75" customHeight="1">
      <c r="A2129" s="34"/>
      <c r="B2129" s="29" t="s">
        <v>209</v>
      </c>
      <c r="C2129" s="29" t="s">
        <v>11679</v>
      </c>
      <c r="D2129" s="29" t="s">
        <v>11680</v>
      </c>
      <c r="E2129" s="29" t="s">
        <v>11681</v>
      </c>
      <c r="F2129" s="30" t="s">
        <v>11682</v>
      </c>
      <c r="G2129" s="30" t="s">
        <v>11683</v>
      </c>
      <c r="H2129" s="43" t="s">
        <v>11684</v>
      </c>
      <c r="I2129" s="29" t="s">
        <v>127</v>
      </c>
      <c r="J2129" s="31">
        <v>1.0</v>
      </c>
      <c r="K2129" s="44"/>
      <c r="L2129" s="44"/>
      <c r="M2129" s="44"/>
      <c r="N2129" s="44"/>
      <c r="O2129" s="44"/>
      <c r="P2129" s="44"/>
      <c r="Q2129" s="44"/>
      <c r="R2129" s="44"/>
      <c r="S2129" s="37">
        <f>IF(B2129="","",IF(ISNUMBER(J2129),IF(J2129&lt;=10,'Configuración'!$B$23,IF(J2129&lt;=50,'Configuración'!$B$24,IF(J2129&lt;=200,'Configuración'!$B$25,0))),0))</f>
        <v>12</v>
      </c>
      <c r="T2129" s="37">
        <f>IF(B2129="","",IF(ISNUMBER(SEARCH("information technology",I2129))+ISNUMBER(SEARCH("software",I2129))+ISNUMBER(SEARCH("internet",I2129))+ISNUMBER(SEARCH("computer",I2129))+ISNUMBER(SEARCH("saas",I2129))+ISNUMBER(SEARCH("fintech",I2129))+ISNUMBER(SEARCH("information services",I2129))+ISNUMBER(SEARCH("telecommunications",I2129))&gt;0,'Configuración'!$B$27,'Configuración'!$B$28))</f>
        <v>12</v>
      </c>
      <c r="U2129" s="25">
        <f>IF(B2129="","",IF(ISNUMBER(SEARCH("CEO",C2129))+ISNUMBER(SEARCH("Founder",C2129))+ISNUMBER(SEARCH("Owner",C2129))+ISNUMBER(SEARCH("Dueño",C2129))+ISNUMBER(SEARCH("Director General",C2129))+ISNUMBER(SEARCH("Presidente",C2129))+ISNUMBER(SEARCH("President",C2129))&gt;0,'Configuración'!$B$31,IF(ISNUMBER(SEARCH("CMO",C2129))+ISNUMBER(SEARCH("Chief Marketing",C2129))+ISNUMBER(SEARCH("VP Marketing",C2129))+ISNUMBER(SEARCH("Director de Marketing",C2129))+ISNUMBER(SEARCH("Director Marketing",C2129))+ISNUMBER(SEARCH("Head of Marketing",C2129))+ISNUMBER(SEARCH("Head Marketing",C2129))&gt;0,'Configuración'!$B$32,IF(ISNUMBER(SEARCH("Marketing Manager",C2129))+ISNUMBER(SEARCH("Gerente de Marketing",C2129))+ISNUMBER(SEARCH("Growth Manager",C2129))+ISNUMBER(SEARCH("Demand Gen",C2129))+ISNUMBER(SEARCH("Marketing Lead",C2129))&gt;0,'Configuración'!$B$33,IF(ISNUMBER(SEARCH("COO",C2129))+ISNUMBER(SEARCH("CFO",C2129))+ISNUMBER(SEARCH("CTO",C2129))+ISNUMBER(SEARCH("Chief Operating",C2129))+ISNUMBER(SEARCH("Chief Financial",C2129))+ISNUMBER(SEARCH("Gerente General",C2129))+ISNUMBER(SEARCH("General Manager",C2129))&gt;0,'Configuración'!$B$34,'Configuración'!$B$35)))))</f>
        <v>12</v>
      </c>
      <c r="V2129" s="20"/>
      <c r="W2129" s="20"/>
    </row>
    <row r="2130" ht="15.75" customHeight="1">
      <c r="A2130" s="34"/>
      <c r="B2130" s="29" t="s">
        <v>4009</v>
      </c>
      <c r="C2130" s="29" t="s">
        <v>11685</v>
      </c>
      <c r="D2130" s="29" t="s">
        <v>11686</v>
      </c>
      <c r="E2130" s="29" t="s">
        <v>11687</v>
      </c>
      <c r="F2130" s="30" t="s">
        <v>11688</v>
      </c>
      <c r="G2130" s="30" t="s">
        <v>11689</v>
      </c>
      <c r="H2130" s="43" t="s">
        <v>11690</v>
      </c>
      <c r="I2130" s="29" t="s">
        <v>127</v>
      </c>
      <c r="J2130" s="31">
        <v>25.0</v>
      </c>
      <c r="K2130" s="44"/>
      <c r="L2130" s="44"/>
      <c r="M2130" s="44"/>
      <c r="N2130" s="44"/>
      <c r="O2130" s="44"/>
      <c r="P2130" s="44"/>
      <c r="Q2130" s="44"/>
      <c r="R2130" s="44"/>
      <c r="S2130" s="37">
        <f>IF(B2130="","",IF(ISNUMBER(J2130),IF(J2130&lt;=10,'Configuración'!$B$23,IF(J2130&lt;=50,'Configuración'!$B$24,IF(J2130&lt;=200,'Configuración'!$B$25,0))),0))</f>
        <v>4</v>
      </c>
      <c r="T2130" s="37">
        <f>IF(B2130="","",IF(ISNUMBER(SEARCH("information technology",I2130))+ISNUMBER(SEARCH("software",I2130))+ISNUMBER(SEARCH("internet",I2130))+ISNUMBER(SEARCH("computer",I2130))+ISNUMBER(SEARCH("saas",I2130))+ISNUMBER(SEARCH("fintech",I2130))+ISNUMBER(SEARCH("information services",I2130))+ISNUMBER(SEARCH("telecommunications",I2130))&gt;0,'Configuración'!$B$27,'Configuración'!$B$28))</f>
        <v>12</v>
      </c>
      <c r="U2130" s="25">
        <f>IF(B2130="","",IF(ISNUMBER(SEARCH("CEO",C2130))+ISNUMBER(SEARCH("Founder",C2130))+ISNUMBER(SEARCH("Owner",C2130))+ISNUMBER(SEARCH("Dueño",C2130))+ISNUMBER(SEARCH("Director General",C2130))+ISNUMBER(SEARCH("Presidente",C2130))+ISNUMBER(SEARCH("President",C2130))&gt;0,'Configuración'!$B$31,IF(ISNUMBER(SEARCH("CMO",C2130))+ISNUMBER(SEARCH("Chief Marketing",C2130))+ISNUMBER(SEARCH("VP Marketing",C2130))+ISNUMBER(SEARCH("Director de Marketing",C2130))+ISNUMBER(SEARCH("Director Marketing",C2130))+ISNUMBER(SEARCH("Head of Marketing",C2130))+ISNUMBER(SEARCH("Head Marketing",C2130))&gt;0,'Configuración'!$B$32,IF(ISNUMBER(SEARCH("Marketing Manager",C2130))+ISNUMBER(SEARCH("Gerente de Marketing",C2130))+ISNUMBER(SEARCH("Growth Manager",C2130))+ISNUMBER(SEARCH("Demand Gen",C2130))+ISNUMBER(SEARCH("Marketing Lead",C2130))&gt;0,'Configuración'!$B$33,IF(ISNUMBER(SEARCH("COO",C2130))+ISNUMBER(SEARCH("CFO",C2130))+ISNUMBER(SEARCH("CTO",C2130))+ISNUMBER(SEARCH("Chief Operating",C2130))+ISNUMBER(SEARCH("Chief Financial",C2130))+ISNUMBER(SEARCH("Gerente General",C2130))+ISNUMBER(SEARCH("General Manager",C2130))&gt;0,'Configuración'!$B$34,'Configuración'!$B$35)))))</f>
        <v>12</v>
      </c>
      <c r="V2130" s="20"/>
      <c r="W2130" s="20"/>
    </row>
    <row r="2131" ht="15.75" customHeight="1">
      <c r="A2131" s="34"/>
      <c r="B2131" s="29" t="s">
        <v>1686</v>
      </c>
      <c r="C2131" s="29" t="s">
        <v>121</v>
      </c>
      <c r="D2131" s="29" t="s">
        <v>11691</v>
      </c>
      <c r="E2131" s="29" t="s">
        <v>11692</v>
      </c>
      <c r="F2131" s="30" t="s">
        <v>11693</v>
      </c>
      <c r="G2131" s="30" t="s">
        <v>11694</v>
      </c>
      <c r="H2131" s="43" t="s">
        <v>11695</v>
      </c>
      <c r="I2131" s="29" t="s">
        <v>188</v>
      </c>
      <c r="J2131" s="31">
        <v>36.0</v>
      </c>
      <c r="K2131" s="44"/>
      <c r="L2131" s="44"/>
      <c r="M2131" s="44"/>
      <c r="N2131" s="44"/>
      <c r="O2131" s="44"/>
      <c r="P2131" s="44"/>
      <c r="Q2131" s="44"/>
      <c r="R2131" s="44"/>
      <c r="S2131" s="37">
        <f>IF(B2131="","",IF(ISNUMBER(J2131),IF(J2131&lt;=10,'Configuración'!$B$23,IF(J2131&lt;=50,'Configuración'!$B$24,IF(J2131&lt;=200,'Configuración'!$B$25,0))),0))</f>
        <v>4</v>
      </c>
      <c r="T2131" s="37">
        <f>IF(B2131="","",IF(ISNUMBER(SEARCH("information technology",I2131))+ISNUMBER(SEARCH("software",I2131))+ISNUMBER(SEARCH("internet",I2131))+ISNUMBER(SEARCH("computer",I2131))+ISNUMBER(SEARCH("saas",I2131))+ISNUMBER(SEARCH("fintech",I2131))+ISNUMBER(SEARCH("information services",I2131))+ISNUMBER(SEARCH("telecommunications",I2131))&gt;0,'Configuración'!$B$27,'Configuración'!$B$28))</f>
        <v>4</v>
      </c>
      <c r="U2131" s="25">
        <f>IF(B2131="","",IF(ISNUMBER(SEARCH("CEO",C2131))+ISNUMBER(SEARCH("Founder",C2131))+ISNUMBER(SEARCH("Owner",C2131))+ISNUMBER(SEARCH("Dueño",C2131))+ISNUMBER(SEARCH("Director General",C2131))+ISNUMBER(SEARCH("Presidente",C2131))+ISNUMBER(SEARCH("President",C2131))&gt;0,'Configuración'!$B$31,IF(ISNUMBER(SEARCH("CMO",C2131))+ISNUMBER(SEARCH("Chief Marketing",C2131))+ISNUMBER(SEARCH("VP Marketing",C2131))+ISNUMBER(SEARCH("Director de Marketing",C2131))+ISNUMBER(SEARCH("Director Marketing",C2131))+ISNUMBER(SEARCH("Head of Marketing",C2131))+ISNUMBER(SEARCH("Head Marketing",C2131))&gt;0,'Configuración'!$B$32,IF(ISNUMBER(SEARCH("Marketing Manager",C2131))+ISNUMBER(SEARCH("Gerente de Marketing",C2131))+ISNUMBER(SEARCH("Growth Manager",C2131))+ISNUMBER(SEARCH("Demand Gen",C2131))+ISNUMBER(SEARCH("Marketing Lead",C2131))&gt;0,'Configuración'!$B$33,IF(ISNUMBER(SEARCH("COO",C2131))+ISNUMBER(SEARCH("CFO",C2131))+ISNUMBER(SEARCH("CTO",C2131))+ISNUMBER(SEARCH("Chief Operating",C2131))+ISNUMBER(SEARCH("Chief Financial",C2131))+ISNUMBER(SEARCH("Gerente General",C2131))+ISNUMBER(SEARCH("General Manager",C2131))&gt;0,'Configuración'!$B$34,'Configuración'!$B$35)))))</f>
        <v>12</v>
      </c>
      <c r="V2131" s="20"/>
      <c r="W2131" s="20"/>
    </row>
    <row r="2132" ht="15.75" customHeight="1">
      <c r="A2132" s="34"/>
      <c r="B2132" s="29" t="s">
        <v>11696</v>
      </c>
      <c r="C2132" s="29" t="s">
        <v>11697</v>
      </c>
      <c r="D2132" s="29" t="s">
        <v>11698</v>
      </c>
      <c r="E2132" s="29" t="s">
        <v>11699</v>
      </c>
      <c r="F2132" s="30" t="s">
        <v>11700</v>
      </c>
      <c r="G2132" s="30" t="s">
        <v>11701</v>
      </c>
      <c r="H2132" s="43" t="s">
        <v>11702</v>
      </c>
      <c r="I2132" s="29" t="s">
        <v>4697</v>
      </c>
      <c r="J2132" s="31">
        <v>13.0</v>
      </c>
      <c r="K2132" s="44"/>
      <c r="L2132" s="44"/>
      <c r="M2132" s="44"/>
      <c r="N2132" s="44"/>
      <c r="O2132" s="44"/>
      <c r="P2132" s="44"/>
      <c r="Q2132" s="44"/>
      <c r="R2132" s="44"/>
      <c r="S2132" s="37">
        <f>IF(B2132="","",IF(ISNUMBER(J2132),IF(J2132&lt;=10,'Configuración'!$B$23,IF(J2132&lt;=50,'Configuración'!$B$24,IF(J2132&lt;=200,'Configuración'!$B$25,0))),0))</f>
        <v>4</v>
      </c>
      <c r="T2132" s="37">
        <f>IF(B2132="","",IF(ISNUMBER(SEARCH("information technology",I2132))+ISNUMBER(SEARCH("software",I2132))+ISNUMBER(SEARCH("internet",I2132))+ISNUMBER(SEARCH("computer",I2132))+ISNUMBER(SEARCH("saas",I2132))+ISNUMBER(SEARCH("fintech",I2132))+ISNUMBER(SEARCH("information services",I2132))+ISNUMBER(SEARCH("telecommunications",I2132))&gt;0,'Configuración'!$B$27,'Configuración'!$B$28))</f>
        <v>4</v>
      </c>
      <c r="U2132" s="25">
        <f>IF(B2132="","",IF(ISNUMBER(SEARCH("CEO",C2132))+ISNUMBER(SEARCH("Founder",C2132))+ISNUMBER(SEARCH("Owner",C2132))+ISNUMBER(SEARCH("Dueño",C2132))+ISNUMBER(SEARCH("Director General",C2132))+ISNUMBER(SEARCH("Presidente",C2132))+ISNUMBER(SEARCH("President",C2132))&gt;0,'Configuración'!$B$31,IF(ISNUMBER(SEARCH("CMO",C2132))+ISNUMBER(SEARCH("Chief Marketing",C2132))+ISNUMBER(SEARCH("VP Marketing",C2132))+ISNUMBER(SEARCH("Director de Marketing",C2132))+ISNUMBER(SEARCH("Director Marketing",C2132))+ISNUMBER(SEARCH("Head of Marketing",C2132))+ISNUMBER(SEARCH("Head Marketing",C2132))&gt;0,'Configuración'!$B$32,IF(ISNUMBER(SEARCH("Marketing Manager",C2132))+ISNUMBER(SEARCH("Gerente de Marketing",C2132))+ISNUMBER(SEARCH("Growth Manager",C2132))+ISNUMBER(SEARCH("Demand Gen",C2132))+ISNUMBER(SEARCH("Marketing Lead",C2132))&gt;0,'Configuración'!$B$33,IF(ISNUMBER(SEARCH("COO",C2132))+ISNUMBER(SEARCH("CFO",C2132))+ISNUMBER(SEARCH("CTO",C2132))+ISNUMBER(SEARCH("Chief Operating",C2132))+ISNUMBER(SEARCH("Chief Financial",C2132))+ISNUMBER(SEARCH("Gerente General",C2132))+ISNUMBER(SEARCH("General Manager",C2132))&gt;0,'Configuración'!$B$34,'Configuración'!$B$35)))))</f>
        <v>12</v>
      </c>
      <c r="V2132" s="20"/>
      <c r="W2132" s="20"/>
    </row>
    <row r="2133" ht="15.75" customHeight="1">
      <c r="A2133" s="34"/>
      <c r="B2133" s="29" t="s">
        <v>5448</v>
      </c>
      <c r="C2133" s="29" t="s">
        <v>11703</v>
      </c>
      <c r="D2133" s="29" t="s">
        <v>11704</v>
      </c>
      <c r="E2133" s="29" t="s">
        <v>11705</v>
      </c>
      <c r="F2133" s="30" t="s">
        <v>11706</v>
      </c>
      <c r="G2133" s="30" t="s">
        <v>11707</v>
      </c>
      <c r="H2133" s="43" t="s">
        <v>11708</v>
      </c>
      <c r="I2133" s="29" t="s">
        <v>1245</v>
      </c>
      <c r="J2133" s="31">
        <v>36.0</v>
      </c>
      <c r="K2133" s="44"/>
      <c r="L2133" s="44"/>
      <c r="M2133" s="44"/>
      <c r="N2133" s="44"/>
      <c r="O2133" s="44"/>
      <c r="P2133" s="44"/>
      <c r="Q2133" s="44"/>
      <c r="R2133" s="44"/>
      <c r="S2133" s="37">
        <f>IF(B2133="","",IF(ISNUMBER(J2133),IF(J2133&lt;=10,'Configuración'!$B$23,IF(J2133&lt;=50,'Configuración'!$B$24,IF(J2133&lt;=200,'Configuración'!$B$25,0))),0))</f>
        <v>4</v>
      </c>
      <c r="T2133" s="37">
        <f>IF(B2133="","",IF(ISNUMBER(SEARCH("information technology",I2133))+ISNUMBER(SEARCH("software",I2133))+ISNUMBER(SEARCH("internet",I2133))+ISNUMBER(SEARCH("computer",I2133))+ISNUMBER(SEARCH("saas",I2133))+ISNUMBER(SEARCH("fintech",I2133))+ISNUMBER(SEARCH("information services",I2133))+ISNUMBER(SEARCH("telecommunications",I2133))&gt;0,'Configuración'!$B$27,'Configuración'!$B$28))</f>
        <v>4</v>
      </c>
      <c r="U2133" s="25">
        <f>IF(B2133="","",IF(ISNUMBER(SEARCH("CEO",C2133))+ISNUMBER(SEARCH("Founder",C2133))+ISNUMBER(SEARCH("Owner",C2133))+ISNUMBER(SEARCH("Dueño",C2133))+ISNUMBER(SEARCH("Director General",C2133))+ISNUMBER(SEARCH("Presidente",C2133))+ISNUMBER(SEARCH("President",C2133))&gt;0,'Configuración'!$B$31,IF(ISNUMBER(SEARCH("CMO",C2133))+ISNUMBER(SEARCH("Chief Marketing",C2133))+ISNUMBER(SEARCH("VP Marketing",C2133))+ISNUMBER(SEARCH("Director de Marketing",C2133))+ISNUMBER(SEARCH("Director Marketing",C2133))+ISNUMBER(SEARCH("Head of Marketing",C2133))+ISNUMBER(SEARCH("Head Marketing",C2133))&gt;0,'Configuración'!$B$32,IF(ISNUMBER(SEARCH("Marketing Manager",C2133))+ISNUMBER(SEARCH("Gerente de Marketing",C2133))+ISNUMBER(SEARCH("Growth Manager",C2133))+ISNUMBER(SEARCH("Demand Gen",C2133))+ISNUMBER(SEARCH("Marketing Lead",C2133))&gt;0,'Configuración'!$B$33,IF(ISNUMBER(SEARCH("COO",C2133))+ISNUMBER(SEARCH("CFO",C2133))+ISNUMBER(SEARCH("CTO",C2133))+ISNUMBER(SEARCH("Chief Operating",C2133))+ISNUMBER(SEARCH("Chief Financial",C2133))+ISNUMBER(SEARCH("Gerente General",C2133))+ISNUMBER(SEARCH("General Manager",C2133))&gt;0,'Configuración'!$B$34,'Configuración'!$B$35)))))</f>
        <v>12</v>
      </c>
      <c r="V2133" s="20"/>
      <c r="W2133" s="20"/>
    </row>
    <row r="2134" ht="15.75" customHeight="1">
      <c r="A2134" s="34"/>
      <c r="B2134" s="29" t="s">
        <v>174</v>
      </c>
      <c r="C2134" s="29" t="s">
        <v>175</v>
      </c>
      <c r="D2134" s="29" t="s">
        <v>11709</v>
      </c>
      <c r="E2134" s="29" t="s">
        <v>11710</v>
      </c>
      <c r="F2134" s="30" t="s">
        <v>11711</v>
      </c>
      <c r="G2134" s="30" t="s">
        <v>11712</v>
      </c>
      <c r="H2134" s="43" t="s">
        <v>11713</v>
      </c>
      <c r="I2134" s="29" t="s">
        <v>127</v>
      </c>
      <c r="J2134" s="31">
        <v>10.0</v>
      </c>
      <c r="K2134" s="44"/>
      <c r="L2134" s="44"/>
      <c r="M2134" s="44"/>
      <c r="N2134" s="44"/>
      <c r="O2134" s="44"/>
      <c r="P2134" s="44"/>
      <c r="Q2134" s="44"/>
      <c r="R2134" s="44"/>
      <c r="S2134" s="37">
        <f>IF(B2134="","",IF(ISNUMBER(J2134),IF(J2134&lt;=10,'Configuración'!$B$23,IF(J2134&lt;=50,'Configuración'!$B$24,IF(J2134&lt;=200,'Configuración'!$B$25,0))),0))</f>
        <v>12</v>
      </c>
      <c r="T2134" s="37">
        <f>IF(B2134="","",IF(ISNUMBER(SEARCH("information technology",I2134))+ISNUMBER(SEARCH("software",I2134))+ISNUMBER(SEARCH("internet",I2134))+ISNUMBER(SEARCH("computer",I2134))+ISNUMBER(SEARCH("saas",I2134))+ISNUMBER(SEARCH("fintech",I2134))+ISNUMBER(SEARCH("information services",I2134))+ISNUMBER(SEARCH("telecommunications",I2134))&gt;0,'Configuración'!$B$27,'Configuración'!$B$28))</f>
        <v>12</v>
      </c>
      <c r="U2134" s="25">
        <f>IF(B2134="","",IF(ISNUMBER(SEARCH("CEO",C2134))+ISNUMBER(SEARCH("Founder",C2134))+ISNUMBER(SEARCH("Owner",C2134))+ISNUMBER(SEARCH("Dueño",C2134))+ISNUMBER(SEARCH("Director General",C2134))+ISNUMBER(SEARCH("Presidente",C2134))+ISNUMBER(SEARCH("President",C2134))&gt;0,'Configuración'!$B$31,IF(ISNUMBER(SEARCH("CMO",C2134))+ISNUMBER(SEARCH("Chief Marketing",C2134))+ISNUMBER(SEARCH("VP Marketing",C2134))+ISNUMBER(SEARCH("Director de Marketing",C2134))+ISNUMBER(SEARCH("Director Marketing",C2134))+ISNUMBER(SEARCH("Head of Marketing",C2134))+ISNUMBER(SEARCH("Head Marketing",C2134))&gt;0,'Configuración'!$B$32,IF(ISNUMBER(SEARCH("Marketing Manager",C2134))+ISNUMBER(SEARCH("Gerente de Marketing",C2134))+ISNUMBER(SEARCH("Growth Manager",C2134))+ISNUMBER(SEARCH("Demand Gen",C2134))+ISNUMBER(SEARCH("Marketing Lead",C2134))&gt;0,'Configuración'!$B$33,IF(ISNUMBER(SEARCH("COO",C2134))+ISNUMBER(SEARCH("CFO",C2134))+ISNUMBER(SEARCH("CTO",C2134))+ISNUMBER(SEARCH("Chief Operating",C2134))+ISNUMBER(SEARCH("Chief Financial",C2134))+ISNUMBER(SEARCH("Gerente General",C2134))+ISNUMBER(SEARCH("General Manager",C2134))&gt;0,'Configuración'!$B$34,'Configuración'!$B$35)))))</f>
        <v>12</v>
      </c>
      <c r="V2134" s="20"/>
      <c r="W2134" s="20"/>
    </row>
    <row r="2135" ht="15.75" customHeight="1">
      <c r="A2135" s="34"/>
      <c r="B2135" s="29" t="s">
        <v>1048</v>
      </c>
      <c r="C2135" s="29" t="s">
        <v>318</v>
      </c>
      <c r="D2135" s="29" t="s">
        <v>11714</v>
      </c>
      <c r="E2135" s="29" t="s">
        <v>11715</v>
      </c>
      <c r="F2135" s="30" t="s">
        <v>11716</v>
      </c>
      <c r="G2135" s="30" t="s">
        <v>11717</v>
      </c>
      <c r="H2135" s="43" t="s">
        <v>11718</v>
      </c>
      <c r="I2135" s="29" t="s">
        <v>116</v>
      </c>
      <c r="J2135" s="31">
        <v>47.0</v>
      </c>
      <c r="K2135" s="44"/>
      <c r="L2135" s="44"/>
      <c r="M2135" s="44"/>
      <c r="N2135" s="44"/>
      <c r="O2135" s="44"/>
      <c r="P2135" s="44"/>
      <c r="Q2135" s="44"/>
      <c r="R2135" s="44"/>
      <c r="S2135" s="37">
        <f>IF(B2135="","",IF(ISNUMBER(J2135),IF(J2135&lt;=10,'Configuración'!$B$23,IF(J2135&lt;=50,'Configuración'!$B$24,IF(J2135&lt;=200,'Configuración'!$B$25,0))),0))</f>
        <v>4</v>
      </c>
      <c r="T2135" s="37">
        <f>IF(B2135="","",IF(ISNUMBER(SEARCH("information technology",I2135))+ISNUMBER(SEARCH("software",I2135))+ISNUMBER(SEARCH("internet",I2135))+ISNUMBER(SEARCH("computer",I2135))+ISNUMBER(SEARCH("saas",I2135))+ISNUMBER(SEARCH("fintech",I2135))+ISNUMBER(SEARCH("information services",I2135))+ISNUMBER(SEARCH("telecommunications",I2135))&gt;0,'Configuración'!$B$27,'Configuración'!$B$28))</f>
        <v>4</v>
      </c>
      <c r="U2135" s="25">
        <f>IF(B2135="","",IF(ISNUMBER(SEARCH("CEO",C2135))+ISNUMBER(SEARCH("Founder",C2135))+ISNUMBER(SEARCH("Owner",C2135))+ISNUMBER(SEARCH("Dueño",C2135))+ISNUMBER(SEARCH("Director General",C2135))+ISNUMBER(SEARCH("Presidente",C2135))+ISNUMBER(SEARCH("President",C2135))&gt;0,'Configuración'!$B$31,IF(ISNUMBER(SEARCH("CMO",C2135))+ISNUMBER(SEARCH("Chief Marketing",C2135))+ISNUMBER(SEARCH("VP Marketing",C2135))+ISNUMBER(SEARCH("Director de Marketing",C2135))+ISNUMBER(SEARCH("Director Marketing",C2135))+ISNUMBER(SEARCH("Head of Marketing",C2135))+ISNUMBER(SEARCH("Head Marketing",C2135))&gt;0,'Configuración'!$B$32,IF(ISNUMBER(SEARCH("Marketing Manager",C2135))+ISNUMBER(SEARCH("Gerente de Marketing",C2135))+ISNUMBER(SEARCH("Growth Manager",C2135))+ISNUMBER(SEARCH("Demand Gen",C2135))+ISNUMBER(SEARCH("Marketing Lead",C2135))&gt;0,'Configuración'!$B$33,IF(ISNUMBER(SEARCH("COO",C2135))+ISNUMBER(SEARCH("CFO",C2135))+ISNUMBER(SEARCH("CTO",C2135))+ISNUMBER(SEARCH("Chief Operating",C2135))+ISNUMBER(SEARCH("Chief Financial",C2135))+ISNUMBER(SEARCH("Gerente General",C2135))+ISNUMBER(SEARCH("General Manager",C2135))&gt;0,'Configuración'!$B$34,'Configuración'!$B$35)))))</f>
        <v>4</v>
      </c>
      <c r="V2135" s="20"/>
      <c r="W2135" s="20"/>
    </row>
    <row r="2136" ht="15.75" customHeight="1">
      <c r="A2136" s="34"/>
      <c r="B2136" s="29" t="s">
        <v>4009</v>
      </c>
      <c r="C2136" s="29" t="s">
        <v>202</v>
      </c>
      <c r="D2136" s="29" t="s">
        <v>11719</v>
      </c>
      <c r="E2136" s="29" t="s">
        <v>11720</v>
      </c>
      <c r="F2136" s="30" t="s">
        <v>11721</v>
      </c>
      <c r="G2136" s="30" t="s">
        <v>11722</v>
      </c>
      <c r="H2136" s="43" t="s">
        <v>11723</v>
      </c>
      <c r="I2136" s="29" t="s">
        <v>310</v>
      </c>
      <c r="J2136" s="31">
        <v>9.0</v>
      </c>
      <c r="K2136" s="44"/>
      <c r="L2136" s="44"/>
      <c r="M2136" s="44"/>
      <c r="N2136" s="44"/>
      <c r="O2136" s="44"/>
      <c r="P2136" s="44"/>
      <c r="Q2136" s="44"/>
      <c r="R2136" s="44"/>
      <c r="S2136" s="37">
        <f>IF(B2136="","",IF(ISNUMBER(J2136),IF(J2136&lt;=10,'Configuración'!$B$23,IF(J2136&lt;=50,'Configuración'!$B$24,IF(J2136&lt;=200,'Configuración'!$B$25,0))),0))</f>
        <v>12</v>
      </c>
      <c r="T2136" s="37">
        <f>IF(B2136="","",IF(ISNUMBER(SEARCH("information technology",I2136))+ISNUMBER(SEARCH("software",I2136))+ISNUMBER(SEARCH("internet",I2136))+ISNUMBER(SEARCH("computer",I2136))+ISNUMBER(SEARCH("saas",I2136))+ISNUMBER(SEARCH("fintech",I2136))+ISNUMBER(SEARCH("information services",I2136))+ISNUMBER(SEARCH("telecommunications",I2136))&gt;0,'Configuración'!$B$27,'Configuración'!$B$28))</f>
        <v>4</v>
      </c>
      <c r="U2136" s="25">
        <f>IF(B2136="","",IF(ISNUMBER(SEARCH("CEO",C2136))+ISNUMBER(SEARCH("Founder",C2136))+ISNUMBER(SEARCH("Owner",C2136))+ISNUMBER(SEARCH("Dueño",C2136))+ISNUMBER(SEARCH("Director General",C2136))+ISNUMBER(SEARCH("Presidente",C2136))+ISNUMBER(SEARCH("President",C2136))&gt;0,'Configuración'!$B$31,IF(ISNUMBER(SEARCH("CMO",C2136))+ISNUMBER(SEARCH("Chief Marketing",C2136))+ISNUMBER(SEARCH("VP Marketing",C2136))+ISNUMBER(SEARCH("Director de Marketing",C2136))+ISNUMBER(SEARCH("Director Marketing",C2136))+ISNUMBER(SEARCH("Head of Marketing",C2136))+ISNUMBER(SEARCH("Head Marketing",C2136))&gt;0,'Configuración'!$B$32,IF(ISNUMBER(SEARCH("Marketing Manager",C2136))+ISNUMBER(SEARCH("Gerente de Marketing",C2136))+ISNUMBER(SEARCH("Growth Manager",C2136))+ISNUMBER(SEARCH("Demand Gen",C2136))+ISNUMBER(SEARCH("Marketing Lead",C2136))&gt;0,'Configuración'!$B$33,IF(ISNUMBER(SEARCH("COO",C2136))+ISNUMBER(SEARCH("CFO",C2136))+ISNUMBER(SEARCH("CTO",C2136))+ISNUMBER(SEARCH("Chief Operating",C2136))+ISNUMBER(SEARCH("Chief Financial",C2136))+ISNUMBER(SEARCH("Gerente General",C2136))+ISNUMBER(SEARCH("General Manager",C2136))&gt;0,'Configuración'!$B$34,'Configuración'!$B$35)))))</f>
        <v>12</v>
      </c>
      <c r="V2136" s="20"/>
      <c r="W2136" s="20"/>
    </row>
    <row r="2137" ht="15.75" customHeight="1">
      <c r="A2137" s="34"/>
      <c r="B2137" s="29" t="s">
        <v>564</v>
      </c>
      <c r="C2137" s="29" t="s">
        <v>2129</v>
      </c>
      <c r="D2137" s="29" t="s">
        <v>11724</v>
      </c>
      <c r="E2137" s="29" t="s">
        <v>11725</v>
      </c>
      <c r="F2137" s="30" t="s">
        <v>11726</v>
      </c>
      <c r="G2137" s="30" t="s">
        <v>11727</v>
      </c>
      <c r="H2137" s="43" t="s">
        <v>11728</v>
      </c>
      <c r="I2137" s="29" t="s">
        <v>127</v>
      </c>
      <c r="J2137" s="31">
        <v>11.0</v>
      </c>
      <c r="K2137" s="44"/>
      <c r="L2137" s="44"/>
      <c r="M2137" s="44"/>
      <c r="N2137" s="44"/>
      <c r="O2137" s="44"/>
      <c r="P2137" s="44"/>
      <c r="Q2137" s="44"/>
      <c r="R2137" s="44"/>
      <c r="S2137" s="37">
        <f>IF(B2137="","",IF(ISNUMBER(J2137),IF(J2137&lt;=10,'Configuración'!$B$23,IF(J2137&lt;=50,'Configuración'!$B$24,IF(J2137&lt;=200,'Configuración'!$B$25,0))),0))</f>
        <v>4</v>
      </c>
      <c r="T2137" s="37">
        <f>IF(B2137="","",IF(ISNUMBER(SEARCH("information technology",I2137))+ISNUMBER(SEARCH("software",I2137))+ISNUMBER(SEARCH("internet",I2137))+ISNUMBER(SEARCH("computer",I2137))+ISNUMBER(SEARCH("saas",I2137))+ISNUMBER(SEARCH("fintech",I2137))+ISNUMBER(SEARCH("information services",I2137))+ISNUMBER(SEARCH("telecommunications",I2137))&gt;0,'Configuración'!$B$27,'Configuración'!$B$28))</f>
        <v>12</v>
      </c>
      <c r="U2137" s="25">
        <f>IF(B2137="","",IF(ISNUMBER(SEARCH("CEO",C2137))+ISNUMBER(SEARCH("Founder",C2137))+ISNUMBER(SEARCH("Owner",C2137))+ISNUMBER(SEARCH("Dueño",C2137))+ISNUMBER(SEARCH("Director General",C2137))+ISNUMBER(SEARCH("Presidente",C2137))+ISNUMBER(SEARCH("President",C2137))&gt;0,'Configuración'!$B$31,IF(ISNUMBER(SEARCH("CMO",C2137))+ISNUMBER(SEARCH("Chief Marketing",C2137))+ISNUMBER(SEARCH("VP Marketing",C2137))+ISNUMBER(SEARCH("Director de Marketing",C2137))+ISNUMBER(SEARCH("Director Marketing",C2137))+ISNUMBER(SEARCH("Head of Marketing",C2137))+ISNUMBER(SEARCH("Head Marketing",C2137))&gt;0,'Configuración'!$B$32,IF(ISNUMBER(SEARCH("Marketing Manager",C2137))+ISNUMBER(SEARCH("Gerente de Marketing",C2137))+ISNUMBER(SEARCH("Growth Manager",C2137))+ISNUMBER(SEARCH("Demand Gen",C2137))+ISNUMBER(SEARCH("Marketing Lead",C2137))&gt;0,'Configuración'!$B$33,IF(ISNUMBER(SEARCH("COO",C2137))+ISNUMBER(SEARCH("CFO",C2137))+ISNUMBER(SEARCH("CTO",C2137))+ISNUMBER(SEARCH("Chief Operating",C2137))+ISNUMBER(SEARCH("Chief Financial",C2137))+ISNUMBER(SEARCH("Gerente General",C2137))+ISNUMBER(SEARCH("General Manager",C2137))&gt;0,'Configuración'!$B$34,'Configuración'!$B$35)))))</f>
        <v>12</v>
      </c>
      <c r="V2137" s="20"/>
      <c r="W2137" s="20"/>
    </row>
    <row r="2138" ht="15.75" customHeight="1">
      <c r="A2138" s="34"/>
      <c r="B2138" s="29" t="s">
        <v>223</v>
      </c>
      <c r="C2138" s="29" t="s">
        <v>4259</v>
      </c>
      <c r="D2138" s="29" t="s">
        <v>11729</v>
      </c>
      <c r="E2138" s="29" t="s">
        <v>11730</v>
      </c>
      <c r="F2138" s="30" t="s">
        <v>11731</v>
      </c>
      <c r="G2138" s="30" t="s">
        <v>11732</v>
      </c>
      <c r="H2138" s="43" t="s">
        <v>11733</v>
      </c>
      <c r="I2138" s="29" t="s">
        <v>769</v>
      </c>
      <c r="J2138" s="31">
        <v>39.0</v>
      </c>
      <c r="K2138" s="44"/>
      <c r="L2138" s="44"/>
      <c r="M2138" s="44"/>
      <c r="N2138" s="44"/>
      <c r="O2138" s="44"/>
      <c r="P2138" s="44"/>
      <c r="Q2138" s="44"/>
      <c r="R2138" s="44"/>
      <c r="S2138" s="37">
        <f>IF(B2138="","",IF(ISNUMBER(J2138),IF(J2138&lt;=10,'Configuración'!$B$23,IF(J2138&lt;=50,'Configuración'!$B$24,IF(J2138&lt;=200,'Configuración'!$B$25,0))),0))</f>
        <v>4</v>
      </c>
      <c r="T2138" s="37">
        <f>IF(B2138="","",IF(ISNUMBER(SEARCH("information technology",I2138))+ISNUMBER(SEARCH("software",I2138))+ISNUMBER(SEARCH("internet",I2138))+ISNUMBER(SEARCH("computer",I2138))+ISNUMBER(SEARCH("saas",I2138))+ISNUMBER(SEARCH("fintech",I2138))+ISNUMBER(SEARCH("information services",I2138))+ISNUMBER(SEARCH("telecommunications",I2138))&gt;0,'Configuración'!$B$27,'Configuración'!$B$28))</f>
        <v>4</v>
      </c>
      <c r="U2138" s="25">
        <f>IF(B2138="","",IF(ISNUMBER(SEARCH("CEO",C2138))+ISNUMBER(SEARCH("Founder",C2138))+ISNUMBER(SEARCH("Owner",C2138))+ISNUMBER(SEARCH("Dueño",C2138))+ISNUMBER(SEARCH("Director General",C2138))+ISNUMBER(SEARCH("Presidente",C2138))+ISNUMBER(SEARCH("President",C2138))&gt;0,'Configuración'!$B$31,IF(ISNUMBER(SEARCH("CMO",C2138))+ISNUMBER(SEARCH("Chief Marketing",C2138))+ISNUMBER(SEARCH("VP Marketing",C2138))+ISNUMBER(SEARCH("Director de Marketing",C2138))+ISNUMBER(SEARCH("Director Marketing",C2138))+ISNUMBER(SEARCH("Head of Marketing",C2138))+ISNUMBER(SEARCH("Head Marketing",C2138))&gt;0,'Configuración'!$B$32,IF(ISNUMBER(SEARCH("Marketing Manager",C2138))+ISNUMBER(SEARCH("Gerente de Marketing",C2138))+ISNUMBER(SEARCH("Growth Manager",C2138))+ISNUMBER(SEARCH("Demand Gen",C2138))+ISNUMBER(SEARCH("Marketing Lead",C2138))&gt;0,'Configuración'!$B$33,IF(ISNUMBER(SEARCH("COO",C2138))+ISNUMBER(SEARCH("CFO",C2138))+ISNUMBER(SEARCH("CTO",C2138))+ISNUMBER(SEARCH("Chief Operating",C2138))+ISNUMBER(SEARCH("Chief Financial",C2138))+ISNUMBER(SEARCH("Gerente General",C2138))+ISNUMBER(SEARCH("General Manager",C2138))&gt;0,'Configuración'!$B$34,'Configuración'!$B$35)))))</f>
        <v>4</v>
      </c>
      <c r="V2138" s="20"/>
      <c r="W2138" s="20"/>
    </row>
    <row r="2139" ht="15.75" customHeight="1">
      <c r="A2139" s="34"/>
      <c r="B2139" s="29" t="s">
        <v>1534</v>
      </c>
      <c r="C2139" s="29" t="s">
        <v>11734</v>
      </c>
      <c r="D2139" s="29" t="s">
        <v>5880</v>
      </c>
      <c r="E2139" s="29" t="s">
        <v>11735</v>
      </c>
      <c r="F2139" s="30" t="s">
        <v>11736</v>
      </c>
      <c r="G2139" s="30" t="s">
        <v>5883</v>
      </c>
      <c r="H2139" s="43" t="s">
        <v>5884</v>
      </c>
      <c r="I2139" s="29" t="s">
        <v>188</v>
      </c>
      <c r="J2139" s="31">
        <v>18.0</v>
      </c>
      <c r="K2139" s="44"/>
      <c r="L2139" s="44"/>
      <c r="M2139" s="44"/>
      <c r="N2139" s="44"/>
      <c r="O2139" s="44"/>
      <c r="P2139" s="44"/>
      <c r="Q2139" s="44"/>
      <c r="R2139" s="44"/>
      <c r="S2139" s="37">
        <f>IF(B2139="","",IF(ISNUMBER(J2139),IF(J2139&lt;=10,'Configuración'!$B$23,IF(J2139&lt;=50,'Configuración'!$B$24,IF(J2139&lt;=200,'Configuración'!$B$25,0))),0))</f>
        <v>4</v>
      </c>
      <c r="T2139" s="37">
        <f>IF(B2139="","",IF(ISNUMBER(SEARCH("information technology",I2139))+ISNUMBER(SEARCH("software",I2139))+ISNUMBER(SEARCH("internet",I2139))+ISNUMBER(SEARCH("computer",I2139))+ISNUMBER(SEARCH("saas",I2139))+ISNUMBER(SEARCH("fintech",I2139))+ISNUMBER(SEARCH("information services",I2139))+ISNUMBER(SEARCH("telecommunications",I2139))&gt;0,'Configuración'!$B$27,'Configuración'!$B$28))</f>
        <v>4</v>
      </c>
      <c r="U2139" s="25">
        <f>IF(B2139="","",IF(ISNUMBER(SEARCH("CEO",C2139))+ISNUMBER(SEARCH("Founder",C2139))+ISNUMBER(SEARCH("Owner",C2139))+ISNUMBER(SEARCH("Dueño",C2139))+ISNUMBER(SEARCH("Director General",C2139))+ISNUMBER(SEARCH("Presidente",C2139))+ISNUMBER(SEARCH("President",C2139))&gt;0,'Configuración'!$B$31,IF(ISNUMBER(SEARCH("CMO",C2139))+ISNUMBER(SEARCH("Chief Marketing",C2139))+ISNUMBER(SEARCH("VP Marketing",C2139))+ISNUMBER(SEARCH("Director de Marketing",C2139))+ISNUMBER(SEARCH("Director Marketing",C2139))+ISNUMBER(SEARCH("Head of Marketing",C2139))+ISNUMBER(SEARCH("Head Marketing",C2139))&gt;0,'Configuración'!$B$32,IF(ISNUMBER(SEARCH("Marketing Manager",C2139))+ISNUMBER(SEARCH("Gerente de Marketing",C2139))+ISNUMBER(SEARCH("Growth Manager",C2139))+ISNUMBER(SEARCH("Demand Gen",C2139))+ISNUMBER(SEARCH("Marketing Lead",C2139))&gt;0,'Configuración'!$B$33,IF(ISNUMBER(SEARCH("COO",C2139))+ISNUMBER(SEARCH("CFO",C2139))+ISNUMBER(SEARCH("CTO",C2139))+ISNUMBER(SEARCH("Chief Operating",C2139))+ISNUMBER(SEARCH("Chief Financial",C2139))+ISNUMBER(SEARCH("Gerente General",C2139))+ISNUMBER(SEARCH("General Manager",C2139))&gt;0,'Configuración'!$B$34,'Configuración'!$B$35)))))</f>
        <v>4</v>
      </c>
      <c r="V2139" s="20"/>
      <c r="W2139" s="20"/>
    </row>
    <row r="2140" ht="15.75" customHeight="1">
      <c r="A2140" s="34"/>
      <c r="B2140" s="29" t="s">
        <v>11737</v>
      </c>
      <c r="C2140" s="29" t="s">
        <v>121</v>
      </c>
      <c r="D2140" s="29" t="s">
        <v>11738</v>
      </c>
      <c r="E2140" s="29" t="s">
        <v>11739</v>
      </c>
      <c r="F2140" s="30" t="s">
        <v>11740</v>
      </c>
      <c r="G2140" s="30" t="s">
        <v>11741</v>
      </c>
      <c r="H2140" s="43" t="s">
        <v>11742</v>
      </c>
      <c r="I2140" s="29" t="s">
        <v>946</v>
      </c>
      <c r="J2140" s="31">
        <v>2.0</v>
      </c>
      <c r="K2140" s="44"/>
      <c r="L2140" s="44"/>
      <c r="M2140" s="44"/>
      <c r="N2140" s="44"/>
      <c r="O2140" s="44"/>
      <c r="P2140" s="44"/>
      <c r="Q2140" s="44"/>
      <c r="R2140" s="44"/>
      <c r="S2140" s="37">
        <f>IF(B2140="","",IF(ISNUMBER(J2140),IF(J2140&lt;=10,'Configuración'!$B$23,IF(J2140&lt;=50,'Configuración'!$B$24,IF(J2140&lt;=200,'Configuración'!$B$25,0))),0))</f>
        <v>12</v>
      </c>
      <c r="T2140" s="37">
        <f>IF(B2140="","",IF(ISNUMBER(SEARCH("information technology",I2140))+ISNUMBER(SEARCH("software",I2140))+ISNUMBER(SEARCH("internet",I2140))+ISNUMBER(SEARCH("computer",I2140))+ISNUMBER(SEARCH("saas",I2140))+ISNUMBER(SEARCH("fintech",I2140))+ISNUMBER(SEARCH("information services",I2140))+ISNUMBER(SEARCH("telecommunications",I2140))&gt;0,'Configuración'!$B$27,'Configuración'!$B$28))</f>
        <v>4</v>
      </c>
      <c r="U2140" s="25">
        <f>IF(B2140="","",IF(ISNUMBER(SEARCH("CEO",C2140))+ISNUMBER(SEARCH("Founder",C2140))+ISNUMBER(SEARCH("Owner",C2140))+ISNUMBER(SEARCH("Dueño",C2140))+ISNUMBER(SEARCH("Director General",C2140))+ISNUMBER(SEARCH("Presidente",C2140))+ISNUMBER(SEARCH("President",C2140))&gt;0,'Configuración'!$B$31,IF(ISNUMBER(SEARCH("CMO",C2140))+ISNUMBER(SEARCH("Chief Marketing",C2140))+ISNUMBER(SEARCH("VP Marketing",C2140))+ISNUMBER(SEARCH("Director de Marketing",C2140))+ISNUMBER(SEARCH("Director Marketing",C2140))+ISNUMBER(SEARCH("Head of Marketing",C2140))+ISNUMBER(SEARCH("Head Marketing",C2140))&gt;0,'Configuración'!$B$32,IF(ISNUMBER(SEARCH("Marketing Manager",C2140))+ISNUMBER(SEARCH("Gerente de Marketing",C2140))+ISNUMBER(SEARCH("Growth Manager",C2140))+ISNUMBER(SEARCH("Demand Gen",C2140))+ISNUMBER(SEARCH("Marketing Lead",C2140))&gt;0,'Configuración'!$B$33,IF(ISNUMBER(SEARCH("COO",C2140))+ISNUMBER(SEARCH("CFO",C2140))+ISNUMBER(SEARCH("CTO",C2140))+ISNUMBER(SEARCH("Chief Operating",C2140))+ISNUMBER(SEARCH("Chief Financial",C2140))+ISNUMBER(SEARCH("Gerente General",C2140))+ISNUMBER(SEARCH("General Manager",C2140))&gt;0,'Configuración'!$B$34,'Configuración'!$B$35)))))</f>
        <v>12</v>
      </c>
      <c r="V2140" s="20"/>
      <c r="W2140" s="20"/>
    </row>
    <row r="2141" ht="15.75" customHeight="1">
      <c r="A2141" s="34"/>
      <c r="B2141" s="29" t="s">
        <v>11743</v>
      </c>
      <c r="C2141" s="29" t="s">
        <v>304</v>
      </c>
      <c r="D2141" s="29" t="s">
        <v>11744</v>
      </c>
      <c r="E2141" s="29" t="s">
        <v>11745</v>
      </c>
      <c r="F2141" s="30" t="s">
        <v>11746</v>
      </c>
      <c r="G2141" s="30" t="s">
        <v>11747</v>
      </c>
      <c r="H2141" s="43" t="s">
        <v>11748</v>
      </c>
      <c r="I2141" s="29" t="s">
        <v>288</v>
      </c>
      <c r="J2141" s="31">
        <v>19.0</v>
      </c>
      <c r="K2141" s="44"/>
      <c r="L2141" s="44"/>
      <c r="M2141" s="44"/>
      <c r="N2141" s="44"/>
      <c r="O2141" s="44"/>
      <c r="P2141" s="44"/>
      <c r="Q2141" s="44"/>
      <c r="R2141" s="44"/>
      <c r="S2141" s="37">
        <f>IF(B2141="","",IF(ISNUMBER(J2141),IF(J2141&lt;=10,'Configuración'!$B$23,IF(J2141&lt;=50,'Configuración'!$B$24,IF(J2141&lt;=200,'Configuración'!$B$25,0))),0))</f>
        <v>4</v>
      </c>
      <c r="T2141" s="37">
        <f>IF(B2141="","",IF(ISNUMBER(SEARCH("information technology",I2141))+ISNUMBER(SEARCH("software",I2141))+ISNUMBER(SEARCH("internet",I2141))+ISNUMBER(SEARCH("computer",I2141))+ISNUMBER(SEARCH("saas",I2141))+ISNUMBER(SEARCH("fintech",I2141))+ISNUMBER(SEARCH("information services",I2141))+ISNUMBER(SEARCH("telecommunications",I2141))&gt;0,'Configuración'!$B$27,'Configuración'!$B$28))</f>
        <v>4</v>
      </c>
      <c r="U2141" s="25">
        <f>IF(B2141="","",IF(ISNUMBER(SEARCH("CEO",C2141))+ISNUMBER(SEARCH("Founder",C2141))+ISNUMBER(SEARCH("Owner",C2141))+ISNUMBER(SEARCH("Dueño",C2141))+ISNUMBER(SEARCH("Director General",C2141))+ISNUMBER(SEARCH("Presidente",C2141))+ISNUMBER(SEARCH("President",C2141))&gt;0,'Configuración'!$B$31,IF(ISNUMBER(SEARCH("CMO",C2141))+ISNUMBER(SEARCH("Chief Marketing",C2141))+ISNUMBER(SEARCH("VP Marketing",C2141))+ISNUMBER(SEARCH("Director de Marketing",C2141))+ISNUMBER(SEARCH("Director Marketing",C2141))+ISNUMBER(SEARCH("Head of Marketing",C2141))+ISNUMBER(SEARCH("Head Marketing",C2141))&gt;0,'Configuración'!$B$32,IF(ISNUMBER(SEARCH("Marketing Manager",C2141))+ISNUMBER(SEARCH("Gerente de Marketing",C2141))+ISNUMBER(SEARCH("Growth Manager",C2141))+ISNUMBER(SEARCH("Demand Gen",C2141))+ISNUMBER(SEARCH("Marketing Lead",C2141))&gt;0,'Configuración'!$B$33,IF(ISNUMBER(SEARCH("COO",C2141))+ISNUMBER(SEARCH("CFO",C2141))+ISNUMBER(SEARCH("CTO",C2141))+ISNUMBER(SEARCH("Chief Operating",C2141))+ISNUMBER(SEARCH("Chief Financial",C2141))+ISNUMBER(SEARCH("Gerente General",C2141))+ISNUMBER(SEARCH("General Manager",C2141))&gt;0,'Configuración'!$B$34,'Configuración'!$B$35)))))</f>
        <v>4</v>
      </c>
      <c r="V2141" s="20"/>
      <c r="W2141" s="20"/>
    </row>
    <row r="2142" ht="15.75" customHeight="1">
      <c r="A2142" s="34"/>
      <c r="B2142" s="29" t="s">
        <v>11749</v>
      </c>
      <c r="C2142" s="29" t="s">
        <v>311</v>
      </c>
      <c r="D2142" s="29" t="s">
        <v>11750</v>
      </c>
      <c r="E2142" s="29" t="s">
        <v>11751</v>
      </c>
      <c r="F2142" s="30" t="s">
        <v>11752</v>
      </c>
      <c r="G2142" s="30" t="s">
        <v>11753</v>
      </c>
      <c r="H2142" s="43" t="s">
        <v>11754</v>
      </c>
      <c r="I2142" s="29" t="s">
        <v>337</v>
      </c>
      <c r="J2142" s="31">
        <v>9.0</v>
      </c>
      <c r="K2142" s="44"/>
      <c r="L2142" s="44"/>
      <c r="M2142" s="44"/>
      <c r="N2142" s="44"/>
      <c r="O2142" s="44"/>
      <c r="P2142" s="44"/>
      <c r="Q2142" s="44"/>
      <c r="R2142" s="44"/>
      <c r="S2142" s="37">
        <f>IF(B2142="","",IF(ISNUMBER(J2142),IF(J2142&lt;=10,'Configuración'!$B$23,IF(J2142&lt;=50,'Configuración'!$B$24,IF(J2142&lt;=200,'Configuración'!$B$25,0))),0))</f>
        <v>12</v>
      </c>
      <c r="T2142" s="37">
        <f>IF(B2142="","",IF(ISNUMBER(SEARCH("information technology",I2142))+ISNUMBER(SEARCH("software",I2142))+ISNUMBER(SEARCH("internet",I2142))+ISNUMBER(SEARCH("computer",I2142))+ISNUMBER(SEARCH("saas",I2142))+ISNUMBER(SEARCH("fintech",I2142))+ISNUMBER(SEARCH("information services",I2142))+ISNUMBER(SEARCH("telecommunications",I2142))&gt;0,'Configuración'!$B$27,'Configuración'!$B$28))</f>
        <v>4</v>
      </c>
      <c r="U2142" s="25">
        <f>IF(B2142="","",IF(ISNUMBER(SEARCH("CEO",C2142))+ISNUMBER(SEARCH("Founder",C2142))+ISNUMBER(SEARCH("Owner",C2142))+ISNUMBER(SEARCH("Dueño",C2142))+ISNUMBER(SEARCH("Director General",C2142))+ISNUMBER(SEARCH("Presidente",C2142))+ISNUMBER(SEARCH("President",C2142))&gt;0,'Configuración'!$B$31,IF(ISNUMBER(SEARCH("CMO",C2142))+ISNUMBER(SEARCH("Chief Marketing",C2142))+ISNUMBER(SEARCH("VP Marketing",C2142))+ISNUMBER(SEARCH("Director de Marketing",C2142))+ISNUMBER(SEARCH("Director Marketing",C2142))+ISNUMBER(SEARCH("Head of Marketing",C2142))+ISNUMBER(SEARCH("Head Marketing",C2142))&gt;0,'Configuración'!$B$32,IF(ISNUMBER(SEARCH("Marketing Manager",C2142))+ISNUMBER(SEARCH("Gerente de Marketing",C2142))+ISNUMBER(SEARCH("Growth Manager",C2142))+ISNUMBER(SEARCH("Demand Gen",C2142))+ISNUMBER(SEARCH("Marketing Lead",C2142))&gt;0,'Configuración'!$B$33,IF(ISNUMBER(SEARCH("COO",C2142))+ISNUMBER(SEARCH("CFO",C2142))+ISNUMBER(SEARCH("CTO",C2142))+ISNUMBER(SEARCH("Chief Operating",C2142))+ISNUMBER(SEARCH("Chief Financial",C2142))+ISNUMBER(SEARCH("Gerente General",C2142))+ISNUMBER(SEARCH("General Manager",C2142))&gt;0,'Configuración'!$B$34,'Configuración'!$B$35)))))</f>
        <v>12</v>
      </c>
      <c r="V2142" s="20"/>
      <c r="W2142" s="20"/>
    </row>
    <row r="2143" ht="15.75" customHeight="1">
      <c r="A2143" s="34"/>
      <c r="B2143" s="29" t="s">
        <v>159</v>
      </c>
      <c r="C2143" s="29" t="s">
        <v>11755</v>
      </c>
      <c r="D2143" s="29" t="s">
        <v>11756</v>
      </c>
      <c r="E2143" s="29" t="s">
        <v>11757</v>
      </c>
      <c r="F2143" s="30" t="s">
        <v>11758</v>
      </c>
      <c r="G2143" s="30" t="s">
        <v>11759</v>
      </c>
      <c r="H2143" s="43" t="s">
        <v>11760</v>
      </c>
      <c r="I2143" s="29" t="s">
        <v>127</v>
      </c>
      <c r="J2143" s="31">
        <v>24.0</v>
      </c>
      <c r="K2143" s="44"/>
      <c r="L2143" s="44"/>
      <c r="M2143" s="44"/>
      <c r="N2143" s="44"/>
      <c r="O2143" s="44"/>
      <c r="P2143" s="44"/>
      <c r="Q2143" s="44"/>
      <c r="R2143" s="44"/>
      <c r="S2143" s="37">
        <f>IF(B2143="","",IF(ISNUMBER(J2143),IF(J2143&lt;=10,'Configuración'!$B$23,IF(J2143&lt;=50,'Configuración'!$B$24,IF(J2143&lt;=200,'Configuración'!$B$25,0))),0))</f>
        <v>4</v>
      </c>
      <c r="T2143" s="37">
        <f>IF(B2143="","",IF(ISNUMBER(SEARCH("information technology",I2143))+ISNUMBER(SEARCH("software",I2143))+ISNUMBER(SEARCH("internet",I2143))+ISNUMBER(SEARCH("computer",I2143))+ISNUMBER(SEARCH("saas",I2143))+ISNUMBER(SEARCH("fintech",I2143))+ISNUMBER(SEARCH("information services",I2143))+ISNUMBER(SEARCH("telecommunications",I2143))&gt;0,'Configuración'!$B$27,'Configuración'!$B$28))</f>
        <v>12</v>
      </c>
      <c r="U2143" s="25">
        <f>IF(B2143="","",IF(ISNUMBER(SEARCH("CEO",C2143))+ISNUMBER(SEARCH("Founder",C2143))+ISNUMBER(SEARCH("Owner",C2143))+ISNUMBER(SEARCH("Dueño",C2143))+ISNUMBER(SEARCH("Director General",C2143))+ISNUMBER(SEARCH("Presidente",C2143))+ISNUMBER(SEARCH("President",C2143))&gt;0,'Configuración'!$B$31,IF(ISNUMBER(SEARCH("CMO",C2143))+ISNUMBER(SEARCH("Chief Marketing",C2143))+ISNUMBER(SEARCH("VP Marketing",C2143))+ISNUMBER(SEARCH("Director de Marketing",C2143))+ISNUMBER(SEARCH("Director Marketing",C2143))+ISNUMBER(SEARCH("Head of Marketing",C2143))+ISNUMBER(SEARCH("Head Marketing",C2143))&gt;0,'Configuración'!$B$32,IF(ISNUMBER(SEARCH("Marketing Manager",C2143))+ISNUMBER(SEARCH("Gerente de Marketing",C2143))+ISNUMBER(SEARCH("Growth Manager",C2143))+ISNUMBER(SEARCH("Demand Gen",C2143))+ISNUMBER(SEARCH("Marketing Lead",C2143))&gt;0,'Configuración'!$B$33,IF(ISNUMBER(SEARCH("COO",C2143))+ISNUMBER(SEARCH("CFO",C2143))+ISNUMBER(SEARCH("CTO",C2143))+ISNUMBER(SEARCH("Chief Operating",C2143))+ISNUMBER(SEARCH("Chief Financial",C2143))+ISNUMBER(SEARCH("Gerente General",C2143))+ISNUMBER(SEARCH("General Manager",C2143))&gt;0,'Configuración'!$B$34,'Configuración'!$B$35)))))</f>
        <v>0</v>
      </c>
      <c r="V2143" s="20"/>
      <c r="W2143" s="20"/>
    </row>
    <row r="2144" ht="15.75" customHeight="1">
      <c r="A2144" s="34"/>
      <c r="B2144" s="29" t="s">
        <v>2042</v>
      </c>
      <c r="C2144" s="29" t="s">
        <v>11761</v>
      </c>
      <c r="D2144" s="29" t="s">
        <v>11762</v>
      </c>
      <c r="E2144" s="29" t="s">
        <v>11763</v>
      </c>
      <c r="F2144" s="30" t="s">
        <v>11764</v>
      </c>
      <c r="G2144" s="30" t="s">
        <v>11765</v>
      </c>
      <c r="H2144" s="43" t="s">
        <v>11766</v>
      </c>
      <c r="I2144" s="29" t="s">
        <v>1245</v>
      </c>
      <c r="J2144" s="31">
        <v>6.0</v>
      </c>
      <c r="K2144" s="44"/>
      <c r="L2144" s="44"/>
      <c r="M2144" s="44"/>
      <c r="N2144" s="44"/>
      <c r="O2144" s="44"/>
      <c r="P2144" s="44"/>
      <c r="Q2144" s="44"/>
      <c r="R2144" s="44"/>
      <c r="S2144" s="37">
        <f>IF(B2144="","",IF(ISNUMBER(J2144),IF(J2144&lt;=10,'Configuración'!$B$23,IF(J2144&lt;=50,'Configuración'!$B$24,IF(J2144&lt;=200,'Configuración'!$B$25,0))),0))</f>
        <v>12</v>
      </c>
      <c r="T2144" s="37">
        <f>IF(B2144="","",IF(ISNUMBER(SEARCH("information technology",I2144))+ISNUMBER(SEARCH("software",I2144))+ISNUMBER(SEARCH("internet",I2144))+ISNUMBER(SEARCH("computer",I2144))+ISNUMBER(SEARCH("saas",I2144))+ISNUMBER(SEARCH("fintech",I2144))+ISNUMBER(SEARCH("information services",I2144))+ISNUMBER(SEARCH("telecommunications",I2144))&gt;0,'Configuración'!$B$27,'Configuración'!$B$28))</f>
        <v>4</v>
      </c>
      <c r="U2144" s="25">
        <f>IF(B2144="","",IF(ISNUMBER(SEARCH("CEO",C2144))+ISNUMBER(SEARCH("Founder",C2144))+ISNUMBER(SEARCH("Owner",C2144))+ISNUMBER(SEARCH("Dueño",C2144))+ISNUMBER(SEARCH("Director General",C2144))+ISNUMBER(SEARCH("Presidente",C2144))+ISNUMBER(SEARCH("President",C2144))&gt;0,'Configuración'!$B$31,IF(ISNUMBER(SEARCH("CMO",C2144))+ISNUMBER(SEARCH("Chief Marketing",C2144))+ISNUMBER(SEARCH("VP Marketing",C2144))+ISNUMBER(SEARCH("Director de Marketing",C2144))+ISNUMBER(SEARCH("Director Marketing",C2144))+ISNUMBER(SEARCH("Head of Marketing",C2144))+ISNUMBER(SEARCH("Head Marketing",C2144))&gt;0,'Configuración'!$B$32,IF(ISNUMBER(SEARCH("Marketing Manager",C2144))+ISNUMBER(SEARCH("Gerente de Marketing",C2144))+ISNUMBER(SEARCH("Growth Manager",C2144))+ISNUMBER(SEARCH("Demand Gen",C2144))+ISNUMBER(SEARCH("Marketing Lead",C2144))&gt;0,'Configuración'!$B$33,IF(ISNUMBER(SEARCH("COO",C2144))+ISNUMBER(SEARCH("CFO",C2144))+ISNUMBER(SEARCH("CTO",C2144))+ISNUMBER(SEARCH("Chief Operating",C2144))+ISNUMBER(SEARCH("Chief Financial",C2144))+ISNUMBER(SEARCH("Gerente General",C2144))+ISNUMBER(SEARCH("General Manager",C2144))&gt;0,'Configuración'!$B$34,'Configuración'!$B$35)))))</f>
        <v>0</v>
      </c>
      <c r="V2144" s="20"/>
      <c r="W2144" s="20"/>
    </row>
    <row r="2145" ht="15.75" customHeight="1">
      <c r="A2145" s="34"/>
      <c r="B2145" s="29" t="s">
        <v>1137</v>
      </c>
      <c r="C2145" s="29" t="s">
        <v>622</v>
      </c>
      <c r="D2145" s="29" t="s">
        <v>11767</v>
      </c>
      <c r="E2145" s="29" t="s">
        <v>11768</v>
      </c>
      <c r="F2145" s="30" t="s">
        <v>11769</v>
      </c>
      <c r="G2145" s="30" t="s">
        <v>11770</v>
      </c>
      <c r="H2145" s="43" t="s">
        <v>11771</v>
      </c>
      <c r="I2145" s="29" t="s">
        <v>2904</v>
      </c>
      <c r="J2145" s="31">
        <v>1.0</v>
      </c>
      <c r="K2145" s="44"/>
      <c r="L2145" s="44"/>
      <c r="M2145" s="44"/>
      <c r="N2145" s="44"/>
      <c r="O2145" s="44"/>
      <c r="P2145" s="44"/>
      <c r="Q2145" s="44"/>
      <c r="R2145" s="44"/>
      <c r="S2145" s="37">
        <f>IF(B2145="","",IF(ISNUMBER(J2145),IF(J2145&lt;=10,'Configuración'!$B$23,IF(J2145&lt;=50,'Configuración'!$B$24,IF(J2145&lt;=200,'Configuración'!$B$25,0))),0))</f>
        <v>12</v>
      </c>
      <c r="T2145" s="37">
        <f>IF(B2145="","",IF(ISNUMBER(SEARCH("information technology",I2145))+ISNUMBER(SEARCH("software",I2145))+ISNUMBER(SEARCH("internet",I2145))+ISNUMBER(SEARCH("computer",I2145))+ISNUMBER(SEARCH("saas",I2145))+ISNUMBER(SEARCH("fintech",I2145))+ISNUMBER(SEARCH("information services",I2145))+ISNUMBER(SEARCH("telecommunications",I2145))&gt;0,'Configuración'!$B$27,'Configuración'!$B$28))</f>
        <v>4</v>
      </c>
      <c r="U2145" s="25">
        <f>IF(B2145="","",IF(ISNUMBER(SEARCH("CEO",C2145))+ISNUMBER(SEARCH("Founder",C2145))+ISNUMBER(SEARCH("Owner",C2145))+ISNUMBER(SEARCH("Dueño",C2145))+ISNUMBER(SEARCH("Director General",C2145))+ISNUMBER(SEARCH("Presidente",C2145))+ISNUMBER(SEARCH("President",C2145))&gt;0,'Configuración'!$B$31,IF(ISNUMBER(SEARCH("CMO",C2145))+ISNUMBER(SEARCH("Chief Marketing",C2145))+ISNUMBER(SEARCH("VP Marketing",C2145))+ISNUMBER(SEARCH("Director de Marketing",C2145))+ISNUMBER(SEARCH("Director Marketing",C2145))+ISNUMBER(SEARCH("Head of Marketing",C2145))+ISNUMBER(SEARCH("Head Marketing",C2145))&gt;0,'Configuración'!$B$32,IF(ISNUMBER(SEARCH("Marketing Manager",C2145))+ISNUMBER(SEARCH("Gerente de Marketing",C2145))+ISNUMBER(SEARCH("Growth Manager",C2145))+ISNUMBER(SEARCH("Demand Gen",C2145))+ISNUMBER(SEARCH("Marketing Lead",C2145))&gt;0,'Configuración'!$B$33,IF(ISNUMBER(SEARCH("COO",C2145))+ISNUMBER(SEARCH("CFO",C2145))+ISNUMBER(SEARCH("CTO",C2145))+ISNUMBER(SEARCH("Chief Operating",C2145))+ISNUMBER(SEARCH("Chief Financial",C2145))+ISNUMBER(SEARCH("Gerente General",C2145))+ISNUMBER(SEARCH("General Manager",C2145))&gt;0,'Configuración'!$B$34,'Configuración'!$B$35)))))</f>
        <v>12</v>
      </c>
      <c r="V2145" s="20"/>
      <c r="W2145" s="20"/>
    </row>
    <row r="2146" ht="15.75" customHeight="1">
      <c r="A2146" s="34"/>
      <c r="B2146" s="29" t="s">
        <v>262</v>
      </c>
      <c r="C2146" s="29" t="s">
        <v>202</v>
      </c>
      <c r="D2146" s="29" t="s">
        <v>6576</v>
      </c>
      <c r="E2146" s="29" t="s">
        <v>11772</v>
      </c>
      <c r="F2146" s="30" t="s">
        <v>11773</v>
      </c>
      <c r="G2146" s="30" t="s">
        <v>6579</v>
      </c>
      <c r="H2146" s="43" t="s">
        <v>6580</v>
      </c>
      <c r="I2146" s="29" t="s">
        <v>127</v>
      </c>
      <c r="J2146" s="31">
        <v>14.0</v>
      </c>
      <c r="K2146" s="44"/>
      <c r="L2146" s="44"/>
      <c r="M2146" s="44"/>
      <c r="N2146" s="44"/>
      <c r="O2146" s="44"/>
      <c r="P2146" s="44"/>
      <c r="Q2146" s="44"/>
      <c r="R2146" s="44"/>
      <c r="S2146" s="37">
        <f>IF(B2146="","",IF(ISNUMBER(J2146),IF(J2146&lt;=10,'Configuración'!$B$23,IF(J2146&lt;=50,'Configuración'!$B$24,IF(J2146&lt;=200,'Configuración'!$B$25,0))),0))</f>
        <v>4</v>
      </c>
      <c r="T2146" s="37">
        <f>IF(B2146="","",IF(ISNUMBER(SEARCH("information technology",I2146))+ISNUMBER(SEARCH("software",I2146))+ISNUMBER(SEARCH("internet",I2146))+ISNUMBER(SEARCH("computer",I2146))+ISNUMBER(SEARCH("saas",I2146))+ISNUMBER(SEARCH("fintech",I2146))+ISNUMBER(SEARCH("information services",I2146))+ISNUMBER(SEARCH("telecommunications",I2146))&gt;0,'Configuración'!$B$27,'Configuración'!$B$28))</f>
        <v>12</v>
      </c>
      <c r="U2146" s="25">
        <f>IF(B2146="","",IF(ISNUMBER(SEARCH("CEO",C2146))+ISNUMBER(SEARCH("Founder",C2146))+ISNUMBER(SEARCH("Owner",C2146))+ISNUMBER(SEARCH("Dueño",C2146))+ISNUMBER(SEARCH("Director General",C2146))+ISNUMBER(SEARCH("Presidente",C2146))+ISNUMBER(SEARCH("President",C2146))&gt;0,'Configuración'!$B$31,IF(ISNUMBER(SEARCH("CMO",C2146))+ISNUMBER(SEARCH("Chief Marketing",C2146))+ISNUMBER(SEARCH("VP Marketing",C2146))+ISNUMBER(SEARCH("Director de Marketing",C2146))+ISNUMBER(SEARCH("Director Marketing",C2146))+ISNUMBER(SEARCH("Head of Marketing",C2146))+ISNUMBER(SEARCH("Head Marketing",C2146))&gt;0,'Configuración'!$B$32,IF(ISNUMBER(SEARCH("Marketing Manager",C2146))+ISNUMBER(SEARCH("Gerente de Marketing",C2146))+ISNUMBER(SEARCH("Growth Manager",C2146))+ISNUMBER(SEARCH("Demand Gen",C2146))+ISNUMBER(SEARCH("Marketing Lead",C2146))&gt;0,'Configuración'!$B$33,IF(ISNUMBER(SEARCH("COO",C2146))+ISNUMBER(SEARCH("CFO",C2146))+ISNUMBER(SEARCH("CTO",C2146))+ISNUMBER(SEARCH("Chief Operating",C2146))+ISNUMBER(SEARCH("Chief Financial",C2146))+ISNUMBER(SEARCH("Gerente General",C2146))+ISNUMBER(SEARCH("General Manager",C2146))&gt;0,'Configuración'!$B$34,'Configuración'!$B$35)))))</f>
        <v>12</v>
      </c>
      <c r="V2146" s="20"/>
      <c r="W2146" s="20"/>
    </row>
    <row r="2147" ht="15.75" customHeight="1">
      <c r="A2147" s="34"/>
      <c r="B2147" s="29" t="s">
        <v>138</v>
      </c>
      <c r="C2147" s="29" t="s">
        <v>11774</v>
      </c>
      <c r="D2147" s="29" t="s">
        <v>11775</v>
      </c>
      <c r="E2147" s="29" t="s">
        <v>11776</v>
      </c>
      <c r="F2147" s="30" t="s">
        <v>11777</v>
      </c>
      <c r="G2147" s="30" t="s">
        <v>11778</v>
      </c>
      <c r="H2147" s="43" t="s">
        <v>11779</v>
      </c>
      <c r="I2147" s="29" t="s">
        <v>847</v>
      </c>
      <c r="J2147" s="31">
        <v>1.0</v>
      </c>
      <c r="K2147" s="44"/>
      <c r="L2147" s="44"/>
      <c r="M2147" s="44"/>
      <c r="N2147" s="44"/>
      <c r="O2147" s="44"/>
      <c r="P2147" s="44"/>
      <c r="Q2147" s="44"/>
      <c r="R2147" s="44"/>
      <c r="S2147" s="37">
        <f>IF(B2147="","",IF(ISNUMBER(J2147),IF(J2147&lt;=10,'Configuración'!$B$23,IF(J2147&lt;=50,'Configuración'!$B$24,IF(J2147&lt;=200,'Configuración'!$B$25,0))),0))</f>
        <v>12</v>
      </c>
      <c r="T2147" s="37">
        <f>IF(B2147="","",IF(ISNUMBER(SEARCH("information technology",I2147))+ISNUMBER(SEARCH("software",I2147))+ISNUMBER(SEARCH("internet",I2147))+ISNUMBER(SEARCH("computer",I2147))+ISNUMBER(SEARCH("saas",I2147))+ISNUMBER(SEARCH("fintech",I2147))+ISNUMBER(SEARCH("information services",I2147))+ISNUMBER(SEARCH("telecommunications",I2147))&gt;0,'Configuración'!$B$27,'Configuración'!$B$28))</f>
        <v>4</v>
      </c>
      <c r="U2147" s="25">
        <f>IF(B2147="","",IF(ISNUMBER(SEARCH("CEO",C2147))+ISNUMBER(SEARCH("Founder",C2147))+ISNUMBER(SEARCH("Owner",C2147))+ISNUMBER(SEARCH("Dueño",C2147))+ISNUMBER(SEARCH("Director General",C2147))+ISNUMBER(SEARCH("Presidente",C2147))+ISNUMBER(SEARCH("President",C2147))&gt;0,'Configuración'!$B$31,IF(ISNUMBER(SEARCH("CMO",C2147))+ISNUMBER(SEARCH("Chief Marketing",C2147))+ISNUMBER(SEARCH("VP Marketing",C2147))+ISNUMBER(SEARCH("Director de Marketing",C2147))+ISNUMBER(SEARCH("Director Marketing",C2147))+ISNUMBER(SEARCH("Head of Marketing",C2147))+ISNUMBER(SEARCH("Head Marketing",C2147))&gt;0,'Configuración'!$B$32,IF(ISNUMBER(SEARCH("Marketing Manager",C2147))+ISNUMBER(SEARCH("Gerente de Marketing",C2147))+ISNUMBER(SEARCH("Growth Manager",C2147))+ISNUMBER(SEARCH("Demand Gen",C2147))+ISNUMBER(SEARCH("Marketing Lead",C2147))&gt;0,'Configuración'!$B$33,IF(ISNUMBER(SEARCH("COO",C2147))+ISNUMBER(SEARCH("CFO",C2147))+ISNUMBER(SEARCH("CTO",C2147))+ISNUMBER(SEARCH("Chief Operating",C2147))+ISNUMBER(SEARCH("Chief Financial",C2147))+ISNUMBER(SEARCH("Gerente General",C2147))+ISNUMBER(SEARCH("General Manager",C2147))&gt;0,'Configuración'!$B$34,'Configuración'!$B$35)))))</f>
        <v>12</v>
      </c>
      <c r="V2147" s="20"/>
      <c r="W2147" s="20"/>
    </row>
    <row r="2148" ht="15.75" customHeight="1">
      <c r="A2148" s="34"/>
      <c r="B2148" s="29" t="s">
        <v>296</v>
      </c>
      <c r="C2148" s="29" t="s">
        <v>11780</v>
      </c>
      <c r="D2148" s="29" t="s">
        <v>11781</v>
      </c>
      <c r="E2148" s="29" t="s">
        <v>11782</v>
      </c>
      <c r="F2148" s="30" t="s">
        <v>11783</v>
      </c>
      <c r="G2148" s="30" t="s">
        <v>11784</v>
      </c>
      <c r="H2148" s="43" t="s">
        <v>11785</v>
      </c>
      <c r="I2148" s="29" t="s">
        <v>528</v>
      </c>
      <c r="J2148" s="31">
        <v>15.0</v>
      </c>
      <c r="K2148" s="44"/>
      <c r="L2148" s="44"/>
      <c r="M2148" s="44"/>
      <c r="N2148" s="44"/>
      <c r="O2148" s="44"/>
      <c r="P2148" s="44"/>
      <c r="Q2148" s="44"/>
      <c r="R2148" s="44"/>
      <c r="S2148" s="37">
        <f>IF(B2148="","",IF(ISNUMBER(J2148),IF(J2148&lt;=10,'Configuración'!$B$23,IF(J2148&lt;=50,'Configuración'!$B$24,IF(J2148&lt;=200,'Configuración'!$B$25,0))),0))</f>
        <v>4</v>
      </c>
      <c r="T2148" s="37">
        <f>IF(B2148="","",IF(ISNUMBER(SEARCH("information technology",I2148))+ISNUMBER(SEARCH("software",I2148))+ISNUMBER(SEARCH("internet",I2148))+ISNUMBER(SEARCH("computer",I2148))+ISNUMBER(SEARCH("saas",I2148))+ISNUMBER(SEARCH("fintech",I2148))+ISNUMBER(SEARCH("information services",I2148))+ISNUMBER(SEARCH("telecommunications",I2148))&gt;0,'Configuración'!$B$27,'Configuración'!$B$28))</f>
        <v>4</v>
      </c>
      <c r="U2148" s="25">
        <f>IF(B2148="","",IF(ISNUMBER(SEARCH("CEO",C2148))+ISNUMBER(SEARCH("Founder",C2148))+ISNUMBER(SEARCH("Owner",C2148))+ISNUMBER(SEARCH("Dueño",C2148))+ISNUMBER(SEARCH("Director General",C2148))+ISNUMBER(SEARCH("Presidente",C2148))+ISNUMBER(SEARCH("President",C2148))&gt;0,'Configuración'!$B$31,IF(ISNUMBER(SEARCH("CMO",C2148))+ISNUMBER(SEARCH("Chief Marketing",C2148))+ISNUMBER(SEARCH("VP Marketing",C2148))+ISNUMBER(SEARCH("Director de Marketing",C2148))+ISNUMBER(SEARCH("Director Marketing",C2148))+ISNUMBER(SEARCH("Head of Marketing",C2148))+ISNUMBER(SEARCH("Head Marketing",C2148))&gt;0,'Configuración'!$B$32,IF(ISNUMBER(SEARCH("Marketing Manager",C2148))+ISNUMBER(SEARCH("Gerente de Marketing",C2148))+ISNUMBER(SEARCH("Growth Manager",C2148))+ISNUMBER(SEARCH("Demand Gen",C2148))+ISNUMBER(SEARCH("Marketing Lead",C2148))&gt;0,'Configuración'!$B$33,IF(ISNUMBER(SEARCH("COO",C2148))+ISNUMBER(SEARCH("CFO",C2148))+ISNUMBER(SEARCH("CTO",C2148))+ISNUMBER(SEARCH("Chief Operating",C2148))+ISNUMBER(SEARCH("Chief Financial",C2148))+ISNUMBER(SEARCH("Gerente General",C2148))+ISNUMBER(SEARCH("General Manager",C2148))&gt;0,'Configuración'!$B$34,'Configuración'!$B$35)))))</f>
        <v>12</v>
      </c>
      <c r="V2148" s="20"/>
      <c r="W2148" s="20"/>
    </row>
    <row r="2149" ht="15.75" customHeight="1">
      <c r="A2149" s="34"/>
      <c r="B2149" s="29" t="s">
        <v>11786</v>
      </c>
      <c r="C2149" s="29" t="s">
        <v>175</v>
      </c>
      <c r="D2149" s="29" t="s">
        <v>11787</v>
      </c>
      <c r="E2149" s="29" t="s">
        <v>11788</v>
      </c>
      <c r="F2149" s="30" t="s">
        <v>11789</v>
      </c>
      <c r="G2149" s="30" t="s">
        <v>11790</v>
      </c>
      <c r="H2149" s="43" t="s">
        <v>11791</v>
      </c>
      <c r="I2149" s="29" t="s">
        <v>127</v>
      </c>
      <c r="J2149" s="31">
        <v>12.0</v>
      </c>
      <c r="K2149" s="44"/>
      <c r="L2149" s="44"/>
      <c r="M2149" s="44"/>
      <c r="N2149" s="44"/>
      <c r="O2149" s="44"/>
      <c r="P2149" s="44"/>
      <c r="Q2149" s="44"/>
      <c r="R2149" s="44"/>
      <c r="S2149" s="37">
        <f>IF(B2149="","",IF(ISNUMBER(J2149),IF(J2149&lt;=10,'Configuración'!$B$23,IF(J2149&lt;=50,'Configuración'!$B$24,IF(J2149&lt;=200,'Configuración'!$B$25,0))),0))</f>
        <v>4</v>
      </c>
      <c r="T2149" s="37">
        <f>IF(B2149="","",IF(ISNUMBER(SEARCH("information technology",I2149))+ISNUMBER(SEARCH("software",I2149))+ISNUMBER(SEARCH("internet",I2149))+ISNUMBER(SEARCH("computer",I2149))+ISNUMBER(SEARCH("saas",I2149))+ISNUMBER(SEARCH("fintech",I2149))+ISNUMBER(SEARCH("information services",I2149))+ISNUMBER(SEARCH("telecommunications",I2149))&gt;0,'Configuración'!$B$27,'Configuración'!$B$28))</f>
        <v>12</v>
      </c>
      <c r="U2149" s="25">
        <f>IF(B2149="","",IF(ISNUMBER(SEARCH("CEO",C2149))+ISNUMBER(SEARCH("Founder",C2149))+ISNUMBER(SEARCH("Owner",C2149))+ISNUMBER(SEARCH("Dueño",C2149))+ISNUMBER(SEARCH("Director General",C2149))+ISNUMBER(SEARCH("Presidente",C2149))+ISNUMBER(SEARCH("President",C2149))&gt;0,'Configuración'!$B$31,IF(ISNUMBER(SEARCH("CMO",C2149))+ISNUMBER(SEARCH("Chief Marketing",C2149))+ISNUMBER(SEARCH("VP Marketing",C2149))+ISNUMBER(SEARCH("Director de Marketing",C2149))+ISNUMBER(SEARCH("Director Marketing",C2149))+ISNUMBER(SEARCH("Head of Marketing",C2149))+ISNUMBER(SEARCH("Head Marketing",C2149))&gt;0,'Configuración'!$B$32,IF(ISNUMBER(SEARCH("Marketing Manager",C2149))+ISNUMBER(SEARCH("Gerente de Marketing",C2149))+ISNUMBER(SEARCH("Growth Manager",C2149))+ISNUMBER(SEARCH("Demand Gen",C2149))+ISNUMBER(SEARCH("Marketing Lead",C2149))&gt;0,'Configuración'!$B$33,IF(ISNUMBER(SEARCH("COO",C2149))+ISNUMBER(SEARCH("CFO",C2149))+ISNUMBER(SEARCH("CTO",C2149))+ISNUMBER(SEARCH("Chief Operating",C2149))+ISNUMBER(SEARCH("Chief Financial",C2149))+ISNUMBER(SEARCH("Gerente General",C2149))+ISNUMBER(SEARCH("General Manager",C2149))&gt;0,'Configuración'!$B$34,'Configuración'!$B$35)))))</f>
        <v>12</v>
      </c>
      <c r="V2149" s="20"/>
      <c r="W2149" s="20"/>
    </row>
    <row r="2150" ht="15.75" customHeight="1">
      <c r="A2150" s="34"/>
      <c r="B2150" s="29" t="s">
        <v>610</v>
      </c>
      <c r="C2150" s="29" t="s">
        <v>11792</v>
      </c>
      <c r="D2150" s="29" t="s">
        <v>11793</v>
      </c>
      <c r="E2150" s="29" t="s">
        <v>11794</v>
      </c>
      <c r="F2150" s="30" t="s">
        <v>11795</v>
      </c>
      <c r="G2150" s="30" t="s">
        <v>11796</v>
      </c>
      <c r="H2150" s="43" t="s">
        <v>11797</v>
      </c>
      <c r="I2150" s="29" t="s">
        <v>127</v>
      </c>
      <c r="J2150" s="31">
        <v>24.0</v>
      </c>
      <c r="K2150" s="44"/>
      <c r="L2150" s="44"/>
      <c r="M2150" s="44"/>
      <c r="N2150" s="44"/>
      <c r="O2150" s="44"/>
      <c r="P2150" s="44"/>
      <c r="Q2150" s="44"/>
      <c r="R2150" s="44"/>
      <c r="S2150" s="37">
        <f>IF(B2150="","",IF(ISNUMBER(J2150),IF(J2150&lt;=10,'Configuración'!$B$23,IF(J2150&lt;=50,'Configuración'!$B$24,IF(J2150&lt;=200,'Configuración'!$B$25,0))),0))</f>
        <v>4</v>
      </c>
      <c r="T2150" s="37">
        <f>IF(B2150="","",IF(ISNUMBER(SEARCH("information technology",I2150))+ISNUMBER(SEARCH("software",I2150))+ISNUMBER(SEARCH("internet",I2150))+ISNUMBER(SEARCH("computer",I2150))+ISNUMBER(SEARCH("saas",I2150))+ISNUMBER(SEARCH("fintech",I2150))+ISNUMBER(SEARCH("information services",I2150))+ISNUMBER(SEARCH("telecommunications",I2150))&gt;0,'Configuración'!$B$27,'Configuración'!$B$28))</f>
        <v>12</v>
      </c>
      <c r="U2150" s="25">
        <f>IF(B2150="","",IF(ISNUMBER(SEARCH("CEO",C2150))+ISNUMBER(SEARCH("Founder",C2150))+ISNUMBER(SEARCH("Owner",C2150))+ISNUMBER(SEARCH("Dueño",C2150))+ISNUMBER(SEARCH("Director General",C2150))+ISNUMBER(SEARCH("Presidente",C2150))+ISNUMBER(SEARCH("President",C2150))&gt;0,'Configuración'!$B$31,IF(ISNUMBER(SEARCH("CMO",C2150))+ISNUMBER(SEARCH("Chief Marketing",C2150))+ISNUMBER(SEARCH("VP Marketing",C2150))+ISNUMBER(SEARCH("Director de Marketing",C2150))+ISNUMBER(SEARCH("Director Marketing",C2150))+ISNUMBER(SEARCH("Head of Marketing",C2150))+ISNUMBER(SEARCH("Head Marketing",C2150))&gt;0,'Configuración'!$B$32,IF(ISNUMBER(SEARCH("Marketing Manager",C2150))+ISNUMBER(SEARCH("Gerente de Marketing",C2150))+ISNUMBER(SEARCH("Growth Manager",C2150))+ISNUMBER(SEARCH("Demand Gen",C2150))+ISNUMBER(SEARCH("Marketing Lead",C2150))&gt;0,'Configuración'!$B$33,IF(ISNUMBER(SEARCH("COO",C2150))+ISNUMBER(SEARCH("CFO",C2150))+ISNUMBER(SEARCH("CTO",C2150))+ISNUMBER(SEARCH("Chief Operating",C2150))+ISNUMBER(SEARCH("Chief Financial",C2150))+ISNUMBER(SEARCH("Gerente General",C2150))+ISNUMBER(SEARCH("General Manager",C2150))&gt;0,'Configuración'!$B$34,'Configuración'!$B$35)))))</f>
        <v>12</v>
      </c>
      <c r="V2150" s="20"/>
      <c r="W2150" s="20"/>
    </row>
    <row r="2151" ht="15.75" customHeight="1">
      <c r="A2151" s="34"/>
      <c r="B2151" s="29" t="s">
        <v>138</v>
      </c>
      <c r="C2151" s="29" t="s">
        <v>487</v>
      </c>
      <c r="D2151" s="29" t="s">
        <v>11798</v>
      </c>
      <c r="E2151" s="29" t="s">
        <v>11799</v>
      </c>
      <c r="F2151" s="30" t="s">
        <v>11800</v>
      </c>
      <c r="G2151" s="30" t="s">
        <v>11801</v>
      </c>
      <c r="H2151" s="43" t="s">
        <v>11802</v>
      </c>
      <c r="I2151" s="29" t="s">
        <v>310</v>
      </c>
      <c r="J2151" s="31">
        <v>35.0</v>
      </c>
      <c r="K2151" s="44"/>
      <c r="L2151" s="44"/>
      <c r="M2151" s="44"/>
      <c r="N2151" s="44"/>
      <c r="O2151" s="44"/>
      <c r="P2151" s="44"/>
      <c r="Q2151" s="44"/>
      <c r="R2151" s="44"/>
      <c r="S2151" s="37">
        <f>IF(B2151="","",IF(ISNUMBER(J2151),IF(J2151&lt;=10,'Configuración'!$B$23,IF(J2151&lt;=50,'Configuración'!$B$24,IF(J2151&lt;=200,'Configuración'!$B$25,0))),0))</f>
        <v>4</v>
      </c>
      <c r="T2151" s="37">
        <f>IF(B2151="","",IF(ISNUMBER(SEARCH("information technology",I2151))+ISNUMBER(SEARCH("software",I2151))+ISNUMBER(SEARCH("internet",I2151))+ISNUMBER(SEARCH("computer",I2151))+ISNUMBER(SEARCH("saas",I2151))+ISNUMBER(SEARCH("fintech",I2151))+ISNUMBER(SEARCH("information services",I2151))+ISNUMBER(SEARCH("telecommunications",I2151))&gt;0,'Configuración'!$B$27,'Configuración'!$B$28))</f>
        <v>4</v>
      </c>
      <c r="U2151" s="25">
        <f>IF(B2151="","",IF(ISNUMBER(SEARCH("CEO",C2151))+ISNUMBER(SEARCH("Founder",C2151))+ISNUMBER(SEARCH("Owner",C2151))+ISNUMBER(SEARCH("Dueño",C2151))+ISNUMBER(SEARCH("Director General",C2151))+ISNUMBER(SEARCH("Presidente",C2151))+ISNUMBER(SEARCH("President",C2151))&gt;0,'Configuración'!$B$31,IF(ISNUMBER(SEARCH("CMO",C2151))+ISNUMBER(SEARCH("Chief Marketing",C2151))+ISNUMBER(SEARCH("VP Marketing",C2151))+ISNUMBER(SEARCH("Director de Marketing",C2151))+ISNUMBER(SEARCH("Director Marketing",C2151))+ISNUMBER(SEARCH("Head of Marketing",C2151))+ISNUMBER(SEARCH("Head Marketing",C2151))&gt;0,'Configuración'!$B$32,IF(ISNUMBER(SEARCH("Marketing Manager",C2151))+ISNUMBER(SEARCH("Gerente de Marketing",C2151))+ISNUMBER(SEARCH("Growth Manager",C2151))+ISNUMBER(SEARCH("Demand Gen",C2151))+ISNUMBER(SEARCH("Marketing Lead",C2151))&gt;0,'Configuración'!$B$33,IF(ISNUMBER(SEARCH("COO",C2151))+ISNUMBER(SEARCH("CFO",C2151))+ISNUMBER(SEARCH("CTO",C2151))+ISNUMBER(SEARCH("Chief Operating",C2151))+ISNUMBER(SEARCH("Chief Financial",C2151))+ISNUMBER(SEARCH("Gerente General",C2151))+ISNUMBER(SEARCH("General Manager",C2151))&gt;0,'Configuración'!$B$34,'Configuración'!$B$35)))))</f>
        <v>12</v>
      </c>
      <c r="V2151" s="20"/>
      <c r="W2151" s="20"/>
    </row>
    <row r="2152" ht="15.75" customHeight="1">
      <c r="A2152" s="34"/>
      <c r="B2152" s="29" t="s">
        <v>2042</v>
      </c>
      <c r="C2152" s="29" t="s">
        <v>110</v>
      </c>
      <c r="D2152" s="29" t="s">
        <v>8587</v>
      </c>
      <c r="E2152" s="29" t="s">
        <v>11803</v>
      </c>
      <c r="F2152" s="30" t="s">
        <v>11804</v>
      </c>
      <c r="G2152" s="30" t="s">
        <v>8590</v>
      </c>
      <c r="H2152" s="43" t="s">
        <v>8591</v>
      </c>
      <c r="I2152" s="29" t="s">
        <v>542</v>
      </c>
      <c r="J2152" s="31">
        <v>4.0</v>
      </c>
      <c r="K2152" s="44"/>
      <c r="L2152" s="44"/>
      <c r="M2152" s="44"/>
      <c r="N2152" s="44"/>
      <c r="O2152" s="44"/>
      <c r="P2152" s="44"/>
      <c r="Q2152" s="44"/>
      <c r="R2152" s="44"/>
      <c r="S2152" s="37">
        <f>IF(B2152="","",IF(ISNUMBER(J2152),IF(J2152&lt;=10,'Configuración'!$B$23,IF(J2152&lt;=50,'Configuración'!$B$24,IF(J2152&lt;=200,'Configuración'!$B$25,0))),0))</f>
        <v>12</v>
      </c>
      <c r="T2152" s="37">
        <f>IF(B2152="","",IF(ISNUMBER(SEARCH("information technology",I2152))+ISNUMBER(SEARCH("software",I2152))+ISNUMBER(SEARCH("internet",I2152))+ISNUMBER(SEARCH("computer",I2152))+ISNUMBER(SEARCH("saas",I2152))+ISNUMBER(SEARCH("fintech",I2152))+ISNUMBER(SEARCH("information services",I2152))+ISNUMBER(SEARCH("telecommunications",I2152))&gt;0,'Configuración'!$B$27,'Configuración'!$B$28))</f>
        <v>4</v>
      </c>
      <c r="U2152" s="25">
        <f>IF(B2152="","",IF(ISNUMBER(SEARCH("CEO",C2152))+ISNUMBER(SEARCH("Founder",C2152))+ISNUMBER(SEARCH("Owner",C2152))+ISNUMBER(SEARCH("Dueño",C2152))+ISNUMBER(SEARCH("Director General",C2152))+ISNUMBER(SEARCH("Presidente",C2152))+ISNUMBER(SEARCH("President",C2152))&gt;0,'Configuración'!$B$31,IF(ISNUMBER(SEARCH("CMO",C2152))+ISNUMBER(SEARCH("Chief Marketing",C2152))+ISNUMBER(SEARCH("VP Marketing",C2152))+ISNUMBER(SEARCH("Director de Marketing",C2152))+ISNUMBER(SEARCH("Director Marketing",C2152))+ISNUMBER(SEARCH("Head of Marketing",C2152))+ISNUMBER(SEARCH("Head Marketing",C2152))&gt;0,'Configuración'!$B$32,IF(ISNUMBER(SEARCH("Marketing Manager",C2152))+ISNUMBER(SEARCH("Gerente de Marketing",C2152))+ISNUMBER(SEARCH("Growth Manager",C2152))+ISNUMBER(SEARCH("Demand Gen",C2152))+ISNUMBER(SEARCH("Marketing Lead",C2152))&gt;0,'Configuración'!$B$33,IF(ISNUMBER(SEARCH("COO",C2152))+ISNUMBER(SEARCH("CFO",C2152))+ISNUMBER(SEARCH("CTO",C2152))+ISNUMBER(SEARCH("Chief Operating",C2152))+ISNUMBER(SEARCH("Chief Financial",C2152))+ISNUMBER(SEARCH("Gerente General",C2152))+ISNUMBER(SEARCH("General Manager",C2152))&gt;0,'Configuración'!$B$34,'Configuración'!$B$35)))))</f>
        <v>12</v>
      </c>
      <c r="V2152" s="20"/>
      <c r="W2152" s="20"/>
    </row>
  </sheetData>
  <conditionalFormatting sqref="U3:U2151">
    <cfRule type="cellIs" dxfId="0" priority="1" operator="equal">
      <formula>"A"</formula>
    </cfRule>
  </conditionalFormatting>
  <conditionalFormatting sqref="U3:U2151">
    <cfRule type="cellIs" dxfId="1" priority="2" operator="equal">
      <formula>"B"</formula>
    </cfRule>
  </conditionalFormatting>
  <conditionalFormatting sqref="U3:U2151">
    <cfRule type="cellIs" dxfId="2" priority="3" operator="equal">
      <formula>"C"</formula>
    </cfRule>
  </conditionalFormatting>
  <conditionalFormatting sqref="U3:U2151">
    <cfRule type="cellIs" dxfId="3" priority="4" operator="equal">
      <formula>"Descarte"</formula>
    </cfRule>
  </conditionalFormatting>
  <dataValidations>
    <dataValidation type="list" allowBlank="1" sqref="L3:L2151">
      <formula1>"Semanal,Mensual,Inactivo"</formula1>
    </dataValidation>
    <dataValidation type="list" allowBlank="1" sqref="K3:K2151 M3:Q2151">
      <formula1>"Sí,No"</formula1>
    </dataValidation>
  </dataValidations>
  <hyperlinks>
    <hyperlink r:id="rId1" ref="F3"/>
    <hyperlink r:id="rId2" ref="G3"/>
    <hyperlink r:id="rId3" ref="H3"/>
    <hyperlink r:id="rId4" ref="F4"/>
    <hyperlink r:id="rId5" ref="G4"/>
    <hyperlink r:id="rId6" ref="H4"/>
    <hyperlink r:id="rId7" ref="F5"/>
    <hyperlink r:id="rId8" ref="G5"/>
    <hyperlink r:id="rId9" ref="H5"/>
    <hyperlink r:id="rId10" ref="F6"/>
    <hyperlink r:id="rId11" ref="G6"/>
    <hyperlink r:id="rId12" ref="H6"/>
    <hyperlink r:id="rId13" ref="F7"/>
    <hyperlink r:id="rId14" ref="G7"/>
    <hyperlink r:id="rId15" ref="H7"/>
    <hyperlink r:id="rId16" ref="F8"/>
    <hyperlink r:id="rId17" ref="G8"/>
    <hyperlink r:id="rId18" ref="H8"/>
    <hyperlink r:id="rId19" ref="F9"/>
    <hyperlink r:id="rId20" ref="G9"/>
    <hyperlink r:id="rId21" ref="H9"/>
    <hyperlink r:id="rId22" ref="F10"/>
    <hyperlink r:id="rId23" ref="G10"/>
    <hyperlink r:id="rId24" ref="H10"/>
    <hyperlink r:id="rId25" ref="F11"/>
    <hyperlink r:id="rId26" ref="G11"/>
    <hyperlink r:id="rId27" ref="H11"/>
    <hyperlink r:id="rId28" ref="F12"/>
    <hyperlink r:id="rId29" ref="G12"/>
    <hyperlink r:id="rId30" ref="H12"/>
    <hyperlink r:id="rId31" ref="F13"/>
    <hyperlink r:id="rId32" ref="G13"/>
    <hyperlink r:id="rId33" ref="H13"/>
    <hyperlink r:id="rId34" ref="F14"/>
    <hyperlink r:id="rId35" ref="G14"/>
    <hyperlink r:id="rId36" ref="H14"/>
    <hyperlink r:id="rId37" ref="F15"/>
    <hyperlink r:id="rId38" ref="G15"/>
    <hyperlink r:id="rId39" ref="H15"/>
    <hyperlink r:id="rId40" ref="F16"/>
    <hyperlink r:id="rId41" ref="G16"/>
    <hyperlink r:id="rId42" ref="H16"/>
    <hyperlink r:id="rId43" ref="F17"/>
    <hyperlink r:id="rId44" ref="G17"/>
    <hyperlink r:id="rId45" ref="H17"/>
    <hyperlink r:id="rId46" ref="F18"/>
    <hyperlink r:id="rId47" ref="G18"/>
    <hyperlink r:id="rId48" ref="H18"/>
    <hyperlink r:id="rId49" ref="F19"/>
    <hyperlink r:id="rId50" ref="G19"/>
    <hyperlink r:id="rId51" ref="H19"/>
    <hyperlink r:id="rId52" ref="F20"/>
    <hyperlink r:id="rId53" ref="G20"/>
    <hyperlink r:id="rId54" ref="H20"/>
    <hyperlink r:id="rId55" ref="D21"/>
    <hyperlink r:id="rId56" ref="F21"/>
    <hyperlink r:id="rId57" ref="G21"/>
    <hyperlink r:id="rId58" ref="H21"/>
    <hyperlink r:id="rId59" ref="F22"/>
    <hyperlink r:id="rId60" ref="G22"/>
    <hyperlink r:id="rId61" ref="H22"/>
    <hyperlink r:id="rId62" ref="F23"/>
    <hyperlink r:id="rId63" ref="G23"/>
    <hyperlink r:id="rId64" ref="H23"/>
    <hyperlink r:id="rId65" ref="F24"/>
    <hyperlink r:id="rId66" ref="G24"/>
    <hyperlink r:id="rId67" ref="H24"/>
    <hyperlink r:id="rId68" ref="F25"/>
    <hyperlink r:id="rId69" ref="G25"/>
    <hyperlink r:id="rId70" ref="H25"/>
    <hyperlink r:id="rId71" ref="F26"/>
    <hyperlink r:id="rId72" ref="G26"/>
    <hyperlink r:id="rId73" ref="H26"/>
    <hyperlink r:id="rId74" ref="F27"/>
    <hyperlink r:id="rId75" ref="G27"/>
    <hyperlink r:id="rId76" ref="H27"/>
    <hyperlink r:id="rId77" ref="F28"/>
    <hyperlink r:id="rId78" ref="G28"/>
    <hyperlink r:id="rId79" ref="H28"/>
    <hyperlink r:id="rId80" ref="F29"/>
    <hyperlink r:id="rId81" ref="G29"/>
    <hyperlink r:id="rId82" ref="H29"/>
    <hyperlink r:id="rId83" ref="F30"/>
    <hyperlink r:id="rId84" ref="G30"/>
    <hyperlink r:id="rId85" ref="H30"/>
    <hyperlink r:id="rId86" ref="F31"/>
    <hyperlink r:id="rId87" ref="G31"/>
    <hyperlink r:id="rId88" ref="H31"/>
    <hyperlink r:id="rId89" ref="F32"/>
    <hyperlink r:id="rId90" ref="G32"/>
    <hyperlink r:id="rId91" ref="H32"/>
    <hyperlink r:id="rId92" ref="F33"/>
    <hyperlink r:id="rId93" ref="G33"/>
    <hyperlink r:id="rId94" ref="H33"/>
    <hyperlink r:id="rId95" ref="F34"/>
    <hyperlink r:id="rId96" ref="G34"/>
    <hyperlink r:id="rId97" ref="H34"/>
    <hyperlink r:id="rId98" ref="F35"/>
    <hyperlink r:id="rId99" ref="G35"/>
    <hyperlink r:id="rId100" ref="H35"/>
    <hyperlink r:id="rId101" ref="F36"/>
    <hyperlink r:id="rId102" ref="G36"/>
    <hyperlink r:id="rId103" ref="H36"/>
    <hyperlink r:id="rId104" ref="F37"/>
    <hyperlink r:id="rId105" ref="G37"/>
    <hyperlink r:id="rId106" ref="H37"/>
    <hyperlink r:id="rId107" ref="F38"/>
    <hyperlink r:id="rId108" ref="G38"/>
    <hyperlink r:id="rId109" ref="H38"/>
    <hyperlink r:id="rId110" ref="F39"/>
    <hyperlink r:id="rId111" ref="G39"/>
    <hyperlink r:id="rId112" ref="H39"/>
    <hyperlink r:id="rId113" ref="F40"/>
    <hyperlink r:id="rId114" ref="G40"/>
    <hyperlink r:id="rId115" ref="H40"/>
    <hyperlink r:id="rId116" ref="F41"/>
    <hyperlink r:id="rId117" ref="G41"/>
    <hyperlink r:id="rId118" ref="H41"/>
    <hyperlink r:id="rId119" ref="F42"/>
    <hyperlink r:id="rId120" ref="G42"/>
    <hyperlink r:id="rId121" ref="H42"/>
    <hyperlink r:id="rId122" ref="F43"/>
    <hyperlink r:id="rId123" ref="G43"/>
    <hyperlink r:id="rId124" ref="H43"/>
    <hyperlink r:id="rId125" ref="F44"/>
    <hyperlink r:id="rId126" ref="G44"/>
    <hyperlink r:id="rId127" ref="H44"/>
    <hyperlink r:id="rId128" ref="F45"/>
    <hyperlink r:id="rId129" ref="G45"/>
    <hyperlink r:id="rId130" ref="H45"/>
    <hyperlink r:id="rId131" ref="F46"/>
    <hyperlink r:id="rId132" ref="G46"/>
    <hyperlink r:id="rId133" ref="H46"/>
    <hyperlink r:id="rId134" ref="F47"/>
    <hyperlink r:id="rId135" ref="G47"/>
    <hyperlink r:id="rId136" ref="H47"/>
    <hyperlink r:id="rId137" ref="F48"/>
    <hyperlink r:id="rId138" ref="G48"/>
    <hyperlink r:id="rId139" ref="H48"/>
    <hyperlink r:id="rId140" ref="F49"/>
    <hyperlink r:id="rId141" ref="G49"/>
    <hyperlink r:id="rId142" ref="H49"/>
    <hyperlink r:id="rId143" ref="F50"/>
    <hyperlink r:id="rId144" ref="G50"/>
    <hyperlink r:id="rId145" ref="H50"/>
    <hyperlink r:id="rId146" ref="F51"/>
    <hyperlink r:id="rId147" ref="G51"/>
    <hyperlink r:id="rId148" ref="H51"/>
    <hyperlink r:id="rId149" ref="F52"/>
    <hyperlink r:id="rId150" ref="G52"/>
    <hyperlink r:id="rId151" ref="H52"/>
    <hyperlink r:id="rId152" ref="F53"/>
    <hyperlink r:id="rId153" ref="G53"/>
    <hyperlink r:id="rId154" ref="H53"/>
    <hyperlink r:id="rId155" ref="F54"/>
    <hyperlink r:id="rId156" ref="G54"/>
    <hyperlink r:id="rId157" ref="H54"/>
    <hyperlink r:id="rId158" ref="F55"/>
    <hyperlink r:id="rId159" ref="G55"/>
    <hyperlink r:id="rId160" ref="H55"/>
    <hyperlink r:id="rId161" ref="F56"/>
    <hyperlink r:id="rId162" ref="G56"/>
    <hyperlink r:id="rId163" ref="H56"/>
    <hyperlink r:id="rId164" ref="F57"/>
    <hyperlink r:id="rId165" ref="G57"/>
    <hyperlink r:id="rId166" ref="H57"/>
    <hyperlink r:id="rId167" ref="F58"/>
    <hyperlink r:id="rId168" ref="G58"/>
    <hyperlink r:id="rId169" ref="H58"/>
    <hyperlink r:id="rId170" ref="F59"/>
    <hyperlink r:id="rId171" ref="G59"/>
    <hyperlink r:id="rId172" ref="H59"/>
    <hyperlink r:id="rId173" ref="F60"/>
    <hyperlink r:id="rId174" ref="G60"/>
    <hyperlink r:id="rId175" ref="H60"/>
    <hyperlink r:id="rId176" ref="F61"/>
    <hyperlink r:id="rId177" ref="G61"/>
    <hyperlink r:id="rId178" ref="H61"/>
    <hyperlink r:id="rId179" ref="F62"/>
    <hyperlink r:id="rId180" ref="G62"/>
    <hyperlink r:id="rId181" ref="H62"/>
    <hyperlink r:id="rId182" ref="F63"/>
    <hyperlink r:id="rId183" ref="G63"/>
    <hyperlink r:id="rId184" ref="H63"/>
    <hyperlink r:id="rId185" ref="F64"/>
    <hyperlink r:id="rId186" ref="G64"/>
    <hyperlink r:id="rId187" ref="H64"/>
    <hyperlink r:id="rId188" ref="F65"/>
    <hyperlink r:id="rId189" ref="G65"/>
    <hyperlink r:id="rId190" ref="H65"/>
    <hyperlink r:id="rId191" ref="F66"/>
    <hyperlink r:id="rId192" ref="G66"/>
    <hyperlink r:id="rId193" ref="H66"/>
    <hyperlink r:id="rId194" ref="F67"/>
    <hyperlink r:id="rId195" ref="G67"/>
    <hyperlink r:id="rId196" ref="H67"/>
    <hyperlink r:id="rId197" ref="F68"/>
    <hyperlink r:id="rId198" ref="G68"/>
    <hyperlink r:id="rId199" ref="H68"/>
    <hyperlink r:id="rId200" ref="F69"/>
    <hyperlink r:id="rId201" ref="G69"/>
    <hyperlink r:id="rId202" ref="H69"/>
    <hyperlink r:id="rId203" ref="F70"/>
    <hyperlink r:id="rId204" ref="G70"/>
    <hyperlink r:id="rId205" ref="H70"/>
    <hyperlink r:id="rId206" ref="F71"/>
    <hyperlink r:id="rId207" ref="G71"/>
    <hyperlink r:id="rId208" ref="H71"/>
    <hyperlink r:id="rId209" ref="F72"/>
    <hyperlink r:id="rId210" ref="G72"/>
    <hyperlink r:id="rId211" ref="H72"/>
    <hyperlink r:id="rId212" ref="F73"/>
    <hyperlink r:id="rId213" ref="G73"/>
    <hyperlink r:id="rId214" ref="H73"/>
    <hyperlink r:id="rId215" ref="F74"/>
    <hyperlink r:id="rId216" ref="G74"/>
    <hyperlink r:id="rId217" ref="H74"/>
    <hyperlink r:id="rId218" ref="F75"/>
    <hyperlink r:id="rId219" ref="G75"/>
    <hyperlink r:id="rId220" ref="H75"/>
    <hyperlink r:id="rId221" ref="F76"/>
    <hyperlink r:id="rId222" ref="G76"/>
    <hyperlink r:id="rId223" ref="H76"/>
    <hyperlink r:id="rId224" ref="F77"/>
    <hyperlink r:id="rId225" ref="G77"/>
    <hyperlink r:id="rId226" ref="H77"/>
    <hyperlink r:id="rId227" ref="F78"/>
    <hyperlink r:id="rId228" ref="G78"/>
    <hyperlink r:id="rId229" ref="H78"/>
    <hyperlink r:id="rId230" ref="F79"/>
    <hyperlink r:id="rId231" ref="G79"/>
    <hyperlink r:id="rId232" ref="H79"/>
    <hyperlink r:id="rId233" ref="F80"/>
    <hyperlink r:id="rId234" ref="G80"/>
    <hyperlink r:id="rId235" ref="H80"/>
    <hyperlink r:id="rId236" ref="F81"/>
    <hyperlink r:id="rId237" ref="G81"/>
    <hyperlink r:id="rId238" ref="H81"/>
    <hyperlink r:id="rId239" ref="F82"/>
    <hyperlink r:id="rId240" ref="G82"/>
    <hyperlink r:id="rId241" ref="H82"/>
    <hyperlink r:id="rId242" ref="F83"/>
    <hyperlink r:id="rId243" ref="G83"/>
    <hyperlink r:id="rId244" ref="H83"/>
    <hyperlink r:id="rId245" ref="F84"/>
    <hyperlink r:id="rId246" ref="G84"/>
    <hyperlink r:id="rId247" ref="H84"/>
    <hyperlink r:id="rId248" ref="F85"/>
    <hyperlink r:id="rId249" ref="G85"/>
    <hyperlink r:id="rId250" ref="H85"/>
    <hyperlink r:id="rId251" ref="F86"/>
    <hyperlink r:id="rId252" ref="G86"/>
    <hyperlink r:id="rId253" ref="H86"/>
    <hyperlink r:id="rId254" ref="F87"/>
    <hyperlink r:id="rId255" ref="G87"/>
    <hyperlink r:id="rId256" ref="H87"/>
    <hyperlink r:id="rId257" ref="F88"/>
    <hyperlink r:id="rId258" ref="G88"/>
    <hyperlink r:id="rId259" ref="H88"/>
    <hyperlink r:id="rId260" ref="F89"/>
    <hyperlink r:id="rId261" ref="G89"/>
    <hyperlink r:id="rId262" ref="H89"/>
    <hyperlink r:id="rId263" ref="F90"/>
    <hyperlink r:id="rId264" ref="G90"/>
    <hyperlink r:id="rId265" ref="H90"/>
    <hyperlink r:id="rId266" ref="F91"/>
    <hyperlink r:id="rId267" ref="G91"/>
    <hyperlink r:id="rId268" ref="H91"/>
    <hyperlink r:id="rId269" ref="F92"/>
    <hyperlink r:id="rId270" ref="G92"/>
    <hyperlink r:id="rId271" ref="H92"/>
    <hyperlink r:id="rId272" ref="F93"/>
    <hyperlink r:id="rId273" ref="G93"/>
    <hyperlink r:id="rId274" ref="H93"/>
    <hyperlink r:id="rId275" ref="F94"/>
    <hyperlink r:id="rId276" ref="G94"/>
    <hyperlink r:id="rId277" ref="H94"/>
    <hyperlink r:id="rId278" ref="F95"/>
    <hyperlink r:id="rId279" ref="G95"/>
    <hyperlink r:id="rId280" ref="H95"/>
    <hyperlink r:id="rId281" ref="F96"/>
    <hyperlink r:id="rId282" ref="G96"/>
    <hyperlink r:id="rId283" ref="H96"/>
    <hyperlink r:id="rId284" ref="F97"/>
    <hyperlink r:id="rId285" ref="G97"/>
    <hyperlink r:id="rId286" ref="H97"/>
    <hyperlink r:id="rId287" ref="F98"/>
    <hyperlink r:id="rId288" ref="G98"/>
    <hyperlink r:id="rId289" ref="H98"/>
    <hyperlink r:id="rId290" ref="F99"/>
    <hyperlink r:id="rId291" ref="G99"/>
    <hyperlink r:id="rId292" ref="H99"/>
    <hyperlink r:id="rId293" ref="F100"/>
    <hyperlink r:id="rId294" ref="G100"/>
    <hyperlink r:id="rId295" ref="H100"/>
    <hyperlink r:id="rId296" ref="F101"/>
    <hyperlink r:id="rId297" ref="G101"/>
    <hyperlink r:id="rId298" ref="H101"/>
    <hyperlink r:id="rId299" ref="F102"/>
    <hyperlink r:id="rId300" ref="G102"/>
    <hyperlink r:id="rId301" ref="H102"/>
    <hyperlink r:id="rId302" ref="F103"/>
    <hyperlink r:id="rId303" ref="G103"/>
    <hyperlink r:id="rId304" ref="H103"/>
    <hyperlink r:id="rId305" ref="F104"/>
    <hyperlink r:id="rId306" ref="G104"/>
    <hyperlink r:id="rId307" ref="H104"/>
    <hyperlink r:id="rId308" ref="F105"/>
    <hyperlink r:id="rId309" ref="G105"/>
    <hyperlink r:id="rId310" ref="H105"/>
    <hyperlink r:id="rId311" ref="F106"/>
    <hyperlink r:id="rId312" ref="G106"/>
    <hyperlink r:id="rId313" ref="H106"/>
    <hyperlink r:id="rId314" ref="F107"/>
    <hyperlink r:id="rId315" ref="G107"/>
    <hyperlink r:id="rId316" ref="H107"/>
    <hyperlink r:id="rId317" ref="F108"/>
    <hyperlink r:id="rId318" ref="G108"/>
    <hyperlink r:id="rId319" ref="H108"/>
    <hyperlink r:id="rId320" ref="F109"/>
    <hyperlink r:id="rId321" ref="G109"/>
    <hyperlink r:id="rId322" ref="H109"/>
    <hyperlink r:id="rId323" ref="F110"/>
    <hyperlink r:id="rId324" ref="G110"/>
    <hyperlink r:id="rId325" ref="H110"/>
    <hyperlink r:id="rId326" ref="F111"/>
    <hyperlink r:id="rId327" ref="G111"/>
    <hyperlink r:id="rId328" ref="H111"/>
    <hyperlink r:id="rId329" ref="F112"/>
    <hyperlink r:id="rId330" ref="G112"/>
    <hyperlink r:id="rId331" ref="H112"/>
    <hyperlink r:id="rId332" ref="F113"/>
    <hyperlink r:id="rId333" ref="G113"/>
    <hyperlink r:id="rId334" ref="H113"/>
    <hyperlink r:id="rId335" ref="F114"/>
    <hyperlink r:id="rId336" ref="G114"/>
    <hyperlink r:id="rId337" ref="H114"/>
    <hyperlink r:id="rId338" ref="F115"/>
    <hyperlink r:id="rId339" ref="G115"/>
    <hyperlink r:id="rId340" ref="H115"/>
    <hyperlink r:id="rId341" ref="F116"/>
    <hyperlink r:id="rId342" ref="G116"/>
    <hyperlink r:id="rId343" ref="H116"/>
    <hyperlink r:id="rId344" ref="F117"/>
    <hyperlink r:id="rId345" ref="G117"/>
    <hyperlink r:id="rId346" ref="H117"/>
    <hyperlink r:id="rId347" ref="F118"/>
    <hyperlink r:id="rId348" ref="G118"/>
    <hyperlink r:id="rId349" ref="H118"/>
    <hyperlink r:id="rId350" ref="F119"/>
    <hyperlink r:id="rId351" ref="G119"/>
    <hyperlink r:id="rId352" ref="H119"/>
    <hyperlink r:id="rId353" ref="F120"/>
    <hyperlink r:id="rId354" ref="G120"/>
    <hyperlink r:id="rId355" ref="H120"/>
    <hyperlink r:id="rId356" ref="F121"/>
    <hyperlink r:id="rId357" ref="G121"/>
    <hyperlink r:id="rId358" ref="H121"/>
    <hyperlink r:id="rId359" ref="F122"/>
    <hyperlink r:id="rId360" ref="G122"/>
    <hyperlink r:id="rId361" ref="H122"/>
    <hyperlink r:id="rId362" ref="F123"/>
    <hyperlink r:id="rId363" ref="G123"/>
    <hyperlink r:id="rId364" ref="H123"/>
    <hyperlink r:id="rId365" ref="F124"/>
    <hyperlink r:id="rId366" ref="G124"/>
    <hyperlink r:id="rId367" ref="H124"/>
    <hyperlink r:id="rId368" ref="F125"/>
    <hyperlink r:id="rId369" ref="G125"/>
    <hyperlink r:id="rId370" ref="H125"/>
    <hyperlink r:id="rId371" ref="F126"/>
    <hyperlink r:id="rId372" ref="G126"/>
    <hyperlink r:id="rId373" ref="H126"/>
    <hyperlink r:id="rId374" ref="F127"/>
    <hyperlink r:id="rId375" ref="G127"/>
    <hyperlink r:id="rId376" ref="H127"/>
    <hyperlink r:id="rId377" ref="F128"/>
    <hyperlink r:id="rId378" ref="G128"/>
    <hyperlink r:id="rId379" ref="H128"/>
    <hyperlink r:id="rId380" ref="F129"/>
    <hyperlink r:id="rId381" ref="G129"/>
    <hyperlink r:id="rId382" ref="H129"/>
    <hyperlink r:id="rId383" ref="F130"/>
    <hyperlink r:id="rId384" ref="G130"/>
    <hyperlink r:id="rId385" ref="H130"/>
    <hyperlink r:id="rId386" ref="F131"/>
    <hyperlink r:id="rId387" ref="G131"/>
    <hyperlink r:id="rId388" ref="H131"/>
    <hyperlink r:id="rId389" ref="F132"/>
    <hyperlink r:id="rId390" ref="G132"/>
    <hyperlink r:id="rId391" ref="H132"/>
    <hyperlink r:id="rId392" ref="F133"/>
    <hyperlink r:id="rId393" ref="G133"/>
    <hyperlink r:id="rId394" ref="H133"/>
    <hyperlink r:id="rId395" ref="F134"/>
    <hyperlink r:id="rId396" ref="G134"/>
    <hyperlink r:id="rId397" ref="H134"/>
    <hyperlink r:id="rId398" ref="F135"/>
    <hyperlink r:id="rId399" ref="G135"/>
    <hyperlink r:id="rId400" ref="H135"/>
    <hyperlink r:id="rId401" ref="F136"/>
    <hyperlink r:id="rId402" ref="G136"/>
    <hyperlink r:id="rId403" ref="H136"/>
    <hyperlink r:id="rId404" ref="F137"/>
    <hyperlink r:id="rId405" ref="G137"/>
    <hyperlink r:id="rId406" ref="H137"/>
    <hyperlink r:id="rId407" ref="F138"/>
    <hyperlink r:id="rId408" ref="G138"/>
    <hyperlink r:id="rId409" ref="H138"/>
    <hyperlink r:id="rId410" ref="F139"/>
    <hyperlink r:id="rId411" ref="G139"/>
    <hyperlink r:id="rId412" ref="H139"/>
    <hyperlink r:id="rId413" ref="F140"/>
    <hyperlink r:id="rId414" ref="G140"/>
    <hyperlink r:id="rId415" ref="H140"/>
    <hyperlink r:id="rId416" ref="F141"/>
    <hyperlink r:id="rId417" ref="G141"/>
    <hyperlink r:id="rId418" ref="H141"/>
    <hyperlink r:id="rId419" ref="F142"/>
    <hyperlink r:id="rId420" ref="G142"/>
    <hyperlink r:id="rId421" ref="H142"/>
    <hyperlink r:id="rId422" ref="F143"/>
    <hyperlink r:id="rId423" ref="G143"/>
    <hyperlink r:id="rId424" ref="H143"/>
    <hyperlink r:id="rId425" ref="F144"/>
    <hyperlink r:id="rId426" ref="G144"/>
    <hyperlink r:id="rId427" ref="H144"/>
    <hyperlink r:id="rId428" ref="F145"/>
    <hyperlink r:id="rId429" ref="G145"/>
    <hyperlink r:id="rId430" ref="H145"/>
    <hyperlink r:id="rId431" ref="F146"/>
    <hyperlink r:id="rId432" ref="G146"/>
    <hyperlink r:id="rId433" ref="H146"/>
    <hyperlink r:id="rId434" ref="F147"/>
    <hyperlink r:id="rId435" ref="G147"/>
    <hyperlink r:id="rId436" ref="H147"/>
    <hyperlink r:id="rId437" ref="F148"/>
    <hyperlink r:id="rId438" ref="G148"/>
    <hyperlink r:id="rId439" ref="H148"/>
    <hyperlink r:id="rId440" ref="F149"/>
    <hyperlink r:id="rId441" ref="G149"/>
    <hyperlink r:id="rId442" ref="H149"/>
    <hyperlink r:id="rId443" ref="F150"/>
    <hyperlink r:id="rId444" ref="G150"/>
    <hyperlink r:id="rId445" ref="H150"/>
    <hyperlink r:id="rId446" ref="F151"/>
    <hyperlink r:id="rId447" ref="G151"/>
    <hyperlink r:id="rId448" ref="H151"/>
    <hyperlink r:id="rId449" ref="F152"/>
    <hyperlink r:id="rId450" ref="G152"/>
    <hyperlink r:id="rId451" ref="H152"/>
    <hyperlink r:id="rId452" ref="F153"/>
    <hyperlink r:id="rId453" ref="G153"/>
    <hyperlink r:id="rId454" ref="H153"/>
    <hyperlink r:id="rId455" ref="F154"/>
    <hyperlink r:id="rId456" ref="G154"/>
    <hyperlink r:id="rId457" ref="H154"/>
    <hyperlink r:id="rId458" ref="F155"/>
    <hyperlink r:id="rId459" ref="G155"/>
    <hyperlink r:id="rId460" ref="H155"/>
    <hyperlink r:id="rId461" ref="F156"/>
    <hyperlink r:id="rId462" ref="G156"/>
    <hyperlink r:id="rId463" ref="H156"/>
    <hyperlink r:id="rId464" ref="D157"/>
    <hyperlink r:id="rId465" ref="F157"/>
    <hyperlink r:id="rId466" ref="G157"/>
    <hyperlink r:id="rId467" ref="H157"/>
    <hyperlink r:id="rId468" ref="F158"/>
    <hyperlink r:id="rId469" ref="G158"/>
    <hyperlink r:id="rId470" ref="H158"/>
    <hyperlink r:id="rId471" ref="F159"/>
    <hyperlink r:id="rId472" ref="G159"/>
    <hyperlink r:id="rId473" ref="H159"/>
    <hyperlink r:id="rId474" ref="F160"/>
    <hyperlink r:id="rId475" ref="G160"/>
    <hyperlink r:id="rId476" ref="H160"/>
    <hyperlink r:id="rId477" ref="F161"/>
    <hyperlink r:id="rId478" ref="G161"/>
    <hyperlink r:id="rId479" ref="H161"/>
    <hyperlink r:id="rId480" ref="F162"/>
    <hyperlink r:id="rId481" ref="G162"/>
    <hyperlink r:id="rId482" ref="H162"/>
    <hyperlink r:id="rId483" ref="F163"/>
    <hyperlink r:id="rId484" ref="G163"/>
    <hyperlink r:id="rId485" ref="H163"/>
    <hyperlink r:id="rId486" ref="F164"/>
    <hyperlink r:id="rId487" ref="G164"/>
    <hyperlink r:id="rId488" ref="H164"/>
    <hyperlink r:id="rId489" ref="F165"/>
    <hyperlink r:id="rId490" ref="G165"/>
    <hyperlink r:id="rId491" ref="H165"/>
    <hyperlink r:id="rId492" ref="D166"/>
    <hyperlink r:id="rId493" ref="F166"/>
    <hyperlink r:id="rId494" ref="G166"/>
    <hyperlink r:id="rId495" ref="H166"/>
    <hyperlink r:id="rId496" ref="F167"/>
    <hyperlink r:id="rId497" ref="G167"/>
    <hyperlink r:id="rId498" ref="H167"/>
    <hyperlink r:id="rId499" ref="F168"/>
    <hyperlink r:id="rId500" ref="G168"/>
    <hyperlink r:id="rId501" ref="H168"/>
    <hyperlink r:id="rId502" ref="F169"/>
    <hyperlink r:id="rId503" ref="G169"/>
    <hyperlink r:id="rId504" ref="H169"/>
    <hyperlink r:id="rId505" ref="F170"/>
    <hyperlink r:id="rId506" ref="G170"/>
    <hyperlink r:id="rId507" ref="H170"/>
    <hyperlink r:id="rId508" ref="F171"/>
    <hyperlink r:id="rId509" ref="G171"/>
    <hyperlink r:id="rId510" ref="H171"/>
    <hyperlink r:id="rId511" ref="F172"/>
    <hyperlink r:id="rId512" ref="G172"/>
    <hyperlink r:id="rId513" ref="H172"/>
    <hyperlink r:id="rId514" ref="F173"/>
    <hyperlink r:id="rId515" ref="G173"/>
    <hyperlink r:id="rId516" ref="H173"/>
    <hyperlink r:id="rId517" ref="F174"/>
    <hyperlink r:id="rId518" ref="G174"/>
    <hyperlink r:id="rId519" ref="H174"/>
    <hyperlink r:id="rId520" ref="F175"/>
    <hyperlink r:id="rId521" ref="G175"/>
    <hyperlink r:id="rId522" ref="H175"/>
    <hyperlink r:id="rId523" ref="F176"/>
    <hyperlink r:id="rId524" ref="G176"/>
    <hyperlink r:id="rId525" ref="H176"/>
    <hyperlink r:id="rId526" ref="F177"/>
    <hyperlink r:id="rId527" ref="G177"/>
    <hyperlink r:id="rId528" ref="H177"/>
    <hyperlink r:id="rId529" ref="F178"/>
    <hyperlink r:id="rId530" ref="G178"/>
    <hyperlink r:id="rId531" ref="H178"/>
    <hyperlink r:id="rId532" ref="F179"/>
    <hyperlink r:id="rId533" ref="G179"/>
    <hyperlink r:id="rId534" ref="H179"/>
    <hyperlink r:id="rId535" ref="F180"/>
    <hyperlink r:id="rId536" ref="G180"/>
    <hyperlink r:id="rId537" ref="H180"/>
    <hyperlink r:id="rId538" ref="F181"/>
    <hyperlink r:id="rId539" ref="G181"/>
    <hyperlink r:id="rId540" ref="H181"/>
    <hyperlink r:id="rId541" ref="F182"/>
    <hyperlink r:id="rId542" ref="G182"/>
    <hyperlink r:id="rId543" ref="H182"/>
    <hyperlink r:id="rId544" ref="F183"/>
    <hyperlink r:id="rId545" ref="G183"/>
    <hyperlink r:id="rId546" ref="H183"/>
    <hyperlink r:id="rId547" ref="F184"/>
    <hyperlink r:id="rId548" ref="G184"/>
    <hyperlink r:id="rId549" ref="H184"/>
    <hyperlink r:id="rId550" ref="D185"/>
    <hyperlink r:id="rId551" ref="F185"/>
    <hyperlink r:id="rId552" ref="G185"/>
    <hyperlink r:id="rId553" ref="H185"/>
    <hyperlink r:id="rId554" ref="F186"/>
    <hyperlink r:id="rId555" ref="G186"/>
    <hyperlink r:id="rId556" ref="H186"/>
    <hyperlink r:id="rId557" ref="F187"/>
    <hyperlink r:id="rId558" ref="G187"/>
    <hyperlink r:id="rId559" ref="H187"/>
    <hyperlink r:id="rId560" ref="F188"/>
    <hyperlink r:id="rId561" ref="G188"/>
    <hyperlink r:id="rId562" ref="H188"/>
    <hyperlink r:id="rId563" ref="F189"/>
    <hyperlink r:id="rId564" ref="G189"/>
    <hyperlink r:id="rId565" ref="H189"/>
    <hyperlink r:id="rId566" ref="F190"/>
    <hyperlink r:id="rId567" ref="G190"/>
    <hyperlink r:id="rId568" ref="H190"/>
    <hyperlink r:id="rId569" ref="F191"/>
    <hyperlink r:id="rId570" ref="G191"/>
    <hyperlink r:id="rId571" ref="H191"/>
    <hyperlink r:id="rId572" ref="F192"/>
    <hyperlink r:id="rId573" ref="G192"/>
    <hyperlink r:id="rId574" ref="H192"/>
    <hyperlink r:id="rId575" ref="F193"/>
    <hyperlink r:id="rId576" ref="G193"/>
    <hyperlink r:id="rId577" ref="H193"/>
    <hyperlink r:id="rId578" ref="F194"/>
    <hyperlink r:id="rId579" ref="G194"/>
    <hyperlink r:id="rId580" ref="H194"/>
    <hyperlink r:id="rId581" ref="F195"/>
    <hyperlink r:id="rId582" ref="G195"/>
    <hyperlink r:id="rId583" ref="H195"/>
    <hyperlink r:id="rId584" ref="F196"/>
    <hyperlink r:id="rId585" ref="G196"/>
    <hyperlink r:id="rId586" ref="H196"/>
    <hyperlink r:id="rId587" ref="F197"/>
    <hyperlink r:id="rId588" ref="G197"/>
    <hyperlink r:id="rId589" ref="H197"/>
    <hyperlink r:id="rId590" ref="F198"/>
    <hyperlink r:id="rId591" ref="G198"/>
    <hyperlink r:id="rId592" ref="H198"/>
    <hyperlink r:id="rId593" ref="F199"/>
    <hyperlink r:id="rId594" ref="G199"/>
    <hyperlink r:id="rId595" ref="H199"/>
    <hyperlink r:id="rId596" ref="F200"/>
    <hyperlink r:id="rId597" ref="G200"/>
    <hyperlink r:id="rId598" ref="H200"/>
    <hyperlink r:id="rId599" ref="F201"/>
    <hyperlink r:id="rId600" ref="G201"/>
    <hyperlink r:id="rId601" ref="H201"/>
    <hyperlink r:id="rId602" ref="F202"/>
    <hyperlink r:id="rId603" ref="G202"/>
    <hyperlink r:id="rId604" ref="H202"/>
    <hyperlink r:id="rId605" ref="F203"/>
    <hyperlink r:id="rId606" ref="G203"/>
    <hyperlink r:id="rId607" ref="H203"/>
    <hyperlink r:id="rId608" ref="F204"/>
    <hyperlink r:id="rId609" ref="G204"/>
    <hyperlink r:id="rId610" ref="H204"/>
    <hyperlink r:id="rId611" ref="F205"/>
    <hyperlink r:id="rId612" ref="G205"/>
    <hyperlink r:id="rId613" ref="H205"/>
    <hyperlink r:id="rId614" ref="F206"/>
    <hyperlink r:id="rId615" ref="G206"/>
    <hyperlink r:id="rId616" ref="H206"/>
    <hyperlink r:id="rId617" ref="F207"/>
    <hyperlink r:id="rId618" ref="G207"/>
    <hyperlink r:id="rId619" ref="H207"/>
    <hyperlink r:id="rId620" ref="F208"/>
    <hyperlink r:id="rId621" ref="G208"/>
    <hyperlink r:id="rId622" ref="H208"/>
    <hyperlink r:id="rId623" ref="F209"/>
    <hyperlink r:id="rId624" ref="G209"/>
    <hyperlink r:id="rId625" ref="H209"/>
    <hyperlink r:id="rId626" ref="F210"/>
    <hyperlink r:id="rId627" ref="G210"/>
    <hyperlink r:id="rId628" ref="H210"/>
    <hyperlink r:id="rId629" ref="F211"/>
    <hyperlink r:id="rId630" ref="G211"/>
    <hyperlink r:id="rId631" ref="H211"/>
    <hyperlink r:id="rId632" ref="F212"/>
    <hyperlink r:id="rId633" ref="G212"/>
    <hyperlink r:id="rId634" ref="H212"/>
    <hyperlink r:id="rId635" ref="F213"/>
    <hyperlink r:id="rId636" ref="G213"/>
    <hyperlink r:id="rId637" ref="H213"/>
    <hyperlink r:id="rId638" ref="F214"/>
    <hyperlink r:id="rId639" ref="G214"/>
    <hyperlink r:id="rId640" ref="H214"/>
    <hyperlink r:id="rId641" ref="F215"/>
    <hyperlink r:id="rId642" ref="G215"/>
    <hyperlink r:id="rId643" ref="H215"/>
    <hyperlink r:id="rId644" ref="F216"/>
    <hyperlink r:id="rId645" ref="G216"/>
    <hyperlink r:id="rId646" ref="H216"/>
    <hyperlink r:id="rId647" ref="F217"/>
    <hyperlink r:id="rId648" ref="G217"/>
    <hyperlink r:id="rId649" ref="H217"/>
    <hyperlink r:id="rId650" ref="F218"/>
    <hyperlink r:id="rId651" ref="G218"/>
    <hyperlink r:id="rId652" ref="H218"/>
    <hyperlink r:id="rId653" ref="F219"/>
    <hyperlink r:id="rId654" ref="G219"/>
    <hyperlink r:id="rId655" ref="H219"/>
    <hyperlink r:id="rId656" ref="F220"/>
    <hyperlink r:id="rId657" ref="G220"/>
    <hyperlink r:id="rId658" ref="H220"/>
    <hyperlink r:id="rId659" ref="F221"/>
    <hyperlink r:id="rId660" ref="G221"/>
    <hyperlink r:id="rId661" ref="H221"/>
    <hyperlink r:id="rId662" ref="F222"/>
    <hyperlink r:id="rId663" ref="G222"/>
    <hyperlink r:id="rId664" ref="H222"/>
    <hyperlink r:id="rId665" ref="F223"/>
    <hyperlink r:id="rId666" ref="G223"/>
    <hyperlink r:id="rId667" ref="H223"/>
    <hyperlink r:id="rId668" ref="F224"/>
    <hyperlink r:id="rId669" ref="G224"/>
    <hyperlink r:id="rId670" ref="H224"/>
    <hyperlink r:id="rId671" ref="F225"/>
    <hyperlink r:id="rId672" ref="G225"/>
    <hyperlink r:id="rId673" ref="H225"/>
    <hyperlink r:id="rId674" ref="F226"/>
    <hyperlink r:id="rId675" ref="G226"/>
    <hyperlink r:id="rId676" ref="H226"/>
    <hyperlink r:id="rId677" ref="F227"/>
    <hyperlink r:id="rId678" ref="G227"/>
    <hyperlink r:id="rId679" ref="H227"/>
    <hyperlink r:id="rId680" ref="F228"/>
    <hyperlink r:id="rId681" ref="G228"/>
    <hyperlink r:id="rId682" ref="H228"/>
    <hyperlink r:id="rId683" ref="F229"/>
    <hyperlink r:id="rId684" ref="G229"/>
    <hyperlink r:id="rId685" ref="H229"/>
    <hyperlink r:id="rId686" ref="F230"/>
    <hyperlink r:id="rId687" ref="G230"/>
    <hyperlink r:id="rId688" ref="H230"/>
    <hyperlink r:id="rId689" ref="F231"/>
    <hyperlink r:id="rId690" ref="G231"/>
    <hyperlink r:id="rId691" ref="H231"/>
    <hyperlink r:id="rId692" ref="F232"/>
    <hyperlink r:id="rId693" ref="G232"/>
    <hyperlink r:id="rId694" ref="H232"/>
    <hyperlink r:id="rId695" ref="F233"/>
    <hyperlink r:id="rId696" ref="G233"/>
    <hyperlink r:id="rId697" ref="H233"/>
    <hyperlink r:id="rId698" ref="F234"/>
    <hyperlink r:id="rId699" ref="G234"/>
    <hyperlink r:id="rId700" ref="H234"/>
    <hyperlink r:id="rId701" ref="F235"/>
    <hyperlink r:id="rId702" ref="G235"/>
    <hyperlink r:id="rId703" ref="H235"/>
    <hyperlink r:id="rId704" ref="F236"/>
    <hyperlink r:id="rId705" ref="G236"/>
    <hyperlink r:id="rId706" ref="H236"/>
    <hyperlink r:id="rId707" ref="F237"/>
    <hyperlink r:id="rId708" ref="G237"/>
    <hyperlink r:id="rId709" ref="H237"/>
    <hyperlink r:id="rId710" ref="F238"/>
    <hyperlink r:id="rId711" ref="G238"/>
    <hyperlink r:id="rId712" ref="H238"/>
    <hyperlink r:id="rId713" ref="F239"/>
    <hyperlink r:id="rId714" ref="G239"/>
    <hyperlink r:id="rId715" ref="H239"/>
    <hyperlink r:id="rId716" ref="F240"/>
    <hyperlink r:id="rId717" ref="G240"/>
    <hyperlink r:id="rId718" ref="H240"/>
    <hyperlink r:id="rId719" ref="F241"/>
    <hyperlink r:id="rId720" ref="G241"/>
    <hyperlink r:id="rId721" ref="H241"/>
    <hyperlink r:id="rId722" ref="F242"/>
    <hyperlink r:id="rId723" ref="G242"/>
    <hyperlink r:id="rId724" ref="H242"/>
    <hyperlink r:id="rId725" ref="F243"/>
    <hyperlink r:id="rId726" ref="G243"/>
    <hyperlink r:id="rId727" ref="H243"/>
    <hyperlink r:id="rId728" ref="F244"/>
    <hyperlink r:id="rId729" ref="G244"/>
    <hyperlink r:id="rId730" ref="H244"/>
    <hyperlink r:id="rId731" ref="F245"/>
    <hyperlink r:id="rId732" ref="G245"/>
    <hyperlink r:id="rId733" ref="H245"/>
    <hyperlink r:id="rId734" ref="F246"/>
    <hyperlink r:id="rId735" ref="G246"/>
    <hyperlink r:id="rId736" ref="H246"/>
    <hyperlink r:id="rId737" ref="F247"/>
    <hyperlink r:id="rId738" ref="G247"/>
    <hyperlink r:id="rId739" ref="H247"/>
    <hyperlink r:id="rId740" ref="F248"/>
    <hyperlink r:id="rId741" ref="G248"/>
    <hyperlink r:id="rId742" ref="H248"/>
    <hyperlink r:id="rId743" ref="F249"/>
    <hyperlink r:id="rId744" ref="G249"/>
    <hyperlink r:id="rId745" ref="H249"/>
    <hyperlink r:id="rId746" ref="F250"/>
    <hyperlink r:id="rId747" ref="G250"/>
    <hyperlink r:id="rId748" ref="H250"/>
    <hyperlink r:id="rId749" ref="F251"/>
    <hyperlink r:id="rId750" ref="G251"/>
    <hyperlink r:id="rId751" ref="H251"/>
    <hyperlink r:id="rId752" ref="F252"/>
    <hyperlink r:id="rId753" ref="G252"/>
    <hyperlink r:id="rId754" ref="H252"/>
    <hyperlink r:id="rId755" ref="F253"/>
    <hyperlink r:id="rId756" ref="G253"/>
    <hyperlink r:id="rId757" ref="H253"/>
    <hyperlink r:id="rId758" ref="F254"/>
    <hyperlink r:id="rId759" ref="G254"/>
    <hyperlink r:id="rId760" ref="H254"/>
    <hyperlink r:id="rId761" ref="F255"/>
    <hyperlink r:id="rId762" ref="G255"/>
    <hyperlink r:id="rId763" ref="H255"/>
    <hyperlink r:id="rId764" ref="F256"/>
    <hyperlink r:id="rId765" ref="G256"/>
    <hyperlink r:id="rId766" ref="H256"/>
    <hyperlink r:id="rId767" ref="D257"/>
    <hyperlink r:id="rId768" ref="F257"/>
    <hyperlink r:id="rId769" ref="G257"/>
    <hyperlink r:id="rId770" ref="H257"/>
    <hyperlink r:id="rId771" ref="F258"/>
    <hyperlink r:id="rId772" ref="G258"/>
    <hyperlink r:id="rId773" ref="H258"/>
    <hyperlink r:id="rId774" ref="F259"/>
    <hyperlink r:id="rId775" ref="G259"/>
    <hyperlink r:id="rId776" ref="H259"/>
    <hyperlink r:id="rId777" ref="F260"/>
    <hyperlink r:id="rId778" ref="G260"/>
    <hyperlink r:id="rId779" ref="H260"/>
    <hyperlink r:id="rId780" ref="F261"/>
    <hyperlink r:id="rId781" ref="G261"/>
    <hyperlink r:id="rId782" ref="H261"/>
    <hyperlink r:id="rId783" ref="F262"/>
    <hyperlink r:id="rId784" ref="G262"/>
    <hyperlink r:id="rId785" ref="H262"/>
    <hyperlink r:id="rId786" ref="F263"/>
    <hyperlink r:id="rId787" ref="G263"/>
    <hyperlink r:id="rId788" ref="H263"/>
    <hyperlink r:id="rId789" ref="F264"/>
    <hyperlink r:id="rId790" ref="G264"/>
    <hyperlink r:id="rId791" ref="H264"/>
    <hyperlink r:id="rId792" ref="F265"/>
    <hyperlink r:id="rId793" ref="G265"/>
    <hyperlink r:id="rId794" ref="H265"/>
    <hyperlink r:id="rId795" ref="F266"/>
    <hyperlink r:id="rId796" ref="G266"/>
    <hyperlink r:id="rId797" ref="H266"/>
    <hyperlink r:id="rId798" ref="F267"/>
    <hyperlink r:id="rId799" ref="G267"/>
    <hyperlink r:id="rId800" ref="H267"/>
    <hyperlink r:id="rId801" ref="F268"/>
    <hyperlink r:id="rId802" ref="G268"/>
    <hyperlink r:id="rId803" ref="H268"/>
    <hyperlink r:id="rId804" ref="F269"/>
    <hyperlink r:id="rId805" ref="G269"/>
    <hyperlink r:id="rId806" ref="H269"/>
    <hyperlink r:id="rId807" ref="F270"/>
    <hyperlink r:id="rId808" ref="G270"/>
    <hyperlink r:id="rId809" ref="H270"/>
    <hyperlink r:id="rId810" ref="F271"/>
    <hyperlink r:id="rId811" ref="G271"/>
    <hyperlink r:id="rId812" ref="H271"/>
    <hyperlink r:id="rId813" ref="F272"/>
    <hyperlink r:id="rId814" ref="G272"/>
    <hyperlink r:id="rId815" ref="H272"/>
    <hyperlink r:id="rId816" ref="F273"/>
    <hyperlink r:id="rId817" ref="G273"/>
    <hyperlink r:id="rId818" ref="H273"/>
    <hyperlink r:id="rId819" ref="F274"/>
    <hyperlink r:id="rId820" ref="G274"/>
    <hyperlink r:id="rId821" ref="H274"/>
    <hyperlink r:id="rId822" ref="F275"/>
    <hyperlink r:id="rId823" ref="G275"/>
    <hyperlink r:id="rId824" ref="H275"/>
    <hyperlink r:id="rId825" ref="F276"/>
    <hyperlink r:id="rId826" ref="G276"/>
    <hyperlink r:id="rId827" ref="H276"/>
    <hyperlink r:id="rId828" ref="F277"/>
    <hyperlink r:id="rId829" ref="G277"/>
    <hyperlink r:id="rId830" ref="H277"/>
    <hyperlink r:id="rId831" ref="F278"/>
    <hyperlink r:id="rId832" ref="G278"/>
    <hyperlink r:id="rId833" ref="H278"/>
    <hyperlink r:id="rId834" ref="F279"/>
    <hyperlink r:id="rId835" ref="G279"/>
    <hyperlink r:id="rId836" ref="H279"/>
    <hyperlink r:id="rId837" ref="F280"/>
    <hyperlink r:id="rId838" ref="G280"/>
    <hyperlink r:id="rId839" ref="H280"/>
    <hyperlink r:id="rId840" ref="F281"/>
    <hyperlink r:id="rId841" ref="G281"/>
    <hyperlink r:id="rId842" ref="H281"/>
    <hyperlink r:id="rId843" ref="F282"/>
    <hyperlink r:id="rId844" ref="G282"/>
    <hyperlink r:id="rId845" ref="H282"/>
    <hyperlink r:id="rId846" ref="F283"/>
    <hyperlink r:id="rId847" ref="G283"/>
    <hyperlink r:id="rId848" ref="H283"/>
    <hyperlink r:id="rId849" ref="F284"/>
    <hyperlink r:id="rId850" ref="G284"/>
    <hyperlink r:id="rId851" ref="H284"/>
    <hyperlink r:id="rId852" ref="F285"/>
    <hyperlink r:id="rId853" ref="G285"/>
    <hyperlink r:id="rId854" ref="H285"/>
    <hyperlink r:id="rId855" ref="D286"/>
    <hyperlink r:id="rId856" ref="F286"/>
    <hyperlink r:id="rId857" ref="G286"/>
    <hyperlink r:id="rId858" ref="H286"/>
    <hyperlink r:id="rId859" ref="F287"/>
    <hyperlink r:id="rId860" ref="G287"/>
    <hyperlink r:id="rId861" ref="H287"/>
    <hyperlink r:id="rId862" ref="F288"/>
    <hyperlink r:id="rId863" ref="G288"/>
    <hyperlink r:id="rId864" ref="H288"/>
    <hyperlink r:id="rId865" ref="F289"/>
    <hyperlink r:id="rId866" ref="G289"/>
    <hyperlink r:id="rId867" ref="H289"/>
    <hyperlink r:id="rId868" ref="F290"/>
    <hyperlink r:id="rId869" ref="G290"/>
    <hyperlink r:id="rId870" ref="H290"/>
    <hyperlink r:id="rId871" ref="F291"/>
    <hyperlink r:id="rId872" ref="G291"/>
    <hyperlink r:id="rId873" ref="H291"/>
    <hyperlink r:id="rId874" ref="F292"/>
    <hyperlink r:id="rId875" ref="G292"/>
    <hyperlink r:id="rId876" ref="H292"/>
    <hyperlink r:id="rId877" ref="F293"/>
    <hyperlink r:id="rId878" ref="G293"/>
    <hyperlink r:id="rId879" ref="H293"/>
    <hyperlink r:id="rId880" ref="F294"/>
    <hyperlink r:id="rId881" ref="G294"/>
    <hyperlink r:id="rId882" ref="H294"/>
    <hyperlink r:id="rId883" ref="F295"/>
    <hyperlink r:id="rId884" ref="G295"/>
    <hyperlink r:id="rId885" ref="H295"/>
    <hyperlink r:id="rId886" ref="F296"/>
    <hyperlink r:id="rId887" ref="G296"/>
    <hyperlink r:id="rId888" ref="H296"/>
    <hyperlink r:id="rId889" ref="F297"/>
    <hyperlink r:id="rId890" ref="G297"/>
    <hyperlink r:id="rId891" ref="H297"/>
    <hyperlink r:id="rId892" ref="F298"/>
    <hyperlink r:id="rId893" ref="G298"/>
    <hyperlink r:id="rId894" ref="H298"/>
    <hyperlink r:id="rId895" ref="F299"/>
    <hyperlink r:id="rId896" ref="G299"/>
    <hyperlink r:id="rId897" ref="H299"/>
    <hyperlink r:id="rId898" ref="F300"/>
    <hyperlink r:id="rId899" ref="G300"/>
    <hyperlink r:id="rId900" ref="H300"/>
    <hyperlink r:id="rId901" ref="F301"/>
    <hyperlink r:id="rId902" ref="G301"/>
    <hyperlink r:id="rId903" ref="H301"/>
    <hyperlink r:id="rId904" ref="F302"/>
    <hyperlink r:id="rId905" ref="G302"/>
    <hyperlink r:id="rId906" ref="H302"/>
    <hyperlink r:id="rId907" ref="F303"/>
    <hyperlink r:id="rId908" ref="G303"/>
    <hyperlink r:id="rId909" ref="H303"/>
    <hyperlink r:id="rId910" ref="F304"/>
    <hyperlink r:id="rId911" ref="G304"/>
    <hyperlink r:id="rId912" ref="H304"/>
    <hyperlink r:id="rId913" ref="F305"/>
    <hyperlink r:id="rId914" ref="G305"/>
    <hyperlink r:id="rId915" ref="H305"/>
    <hyperlink r:id="rId916" ref="F306"/>
    <hyperlink r:id="rId917" ref="G306"/>
    <hyperlink r:id="rId918" ref="H306"/>
    <hyperlink r:id="rId919" ref="F307"/>
    <hyperlink r:id="rId920" ref="G307"/>
    <hyperlink r:id="rId921" ref="H307"/>
    <hyperlink r:id="rId922" ref="F308"/>
    <hyperlink r:id="rId923" ref="G308"/>
    <hyperlink r:id="rId924" ref="H308"/>
    <hyperlink r:id="rId925" ref="F309"/>
    <hyperlink r:id="rId926" ref="G309"/>
    <hyperlink r:id="rId927" ref="H309"/>
    <hyperlink r:id="rId928" ref="F310"/>
    <hyperlink r:id="rId929" ref="G310"/>
    <hyperlink r:id="rId930" ref="H310"/>
    <hyperlink r:id="rId931" ref="F311"/>
    <hyperlink r:id="rId932" ref="G311"/>
    <hyperlink r:id="rId933" ref="H311"/>
    <hyperlink r:id="rId934" ref="F312"/>
    <hyperlink r:id="rId935" ref="G312"/>
    <hyperlink r:id="rId936" ref="H312"/>
    <hyperlink r:id="rId937" ref="F313"/>
    <hyperlink r:id="rId938" ref="G313"/>
    <hyperlink r:id="rId939" ref="H313"/>
    <hyperlink r:id="rId940" ref="F314"/>
    <hyperlink r:id="rId941" ref="G314"/>
    <hyperlink r:id="rId942" ref="H314"/>
    <hyperlink r:id="rId943" ref="F315"/>
    <hyperlink r:id="rId944" ref="G315"/>
    <hyperlink r:id="rId945" ref="H315"/>
    <hyperlink r:id="rId946" ref="F316"/>
    <hyperlink r:id="rId947" ref="G316"/>
    <hyperlink r:id="rId948" ref="H316"/>
    <hyperlink r:id="rId949" ref="F317"/>
    <hyperlink r:id="rId950" ref="G317"/>
    <hyperlink r:id="rId951" ref="H317"/>
    <hyperlink r:id="rId952" ref="F318"/>
    <hyperlink r:id="rId953" ref="G318"/>
    <hyperlink r:id="rId954" ref="H318"/>
    <hyperlink r:id="rId955" ref="F319"/>
    <hyperlink r:id="rId956" ref="G319"/>
    <hyperlink r:id="rId957" ref="H319"/>
    <hyperlink r:id="rId958" ref="F320"/>
    <hyperlink r:id="rId959" ref="G320"/>
    <hyperlink r:id="rId960" ref="H320"/>
    <hyperlink r:id="rId961" ref="F321"/>
    <hyperlink r:id="rId962" ref="G321"/>
    <hyperlink r:id="rId963" ref="H321"/>
    <hyperlink r:id="rId964" ref="F322"/>
    <hyperlink r:id="rId965" ref="G322"/>
    <hyperlink r:id="rId966" ref="H322"/>
    <hyperlink r:id="rId967" ref="F323"/>
    <hyperlink r:id="rId968" ref="G323"/>
    <hyperlink r:id="rId969" ref="H323"/>
    <hyperlink r:id="rId970" ref="F324"/>
    <hyperlink r:id="rId971" ref="G324"/>
    <hyperlink r:id="rId972" ref="H324"/>
    <hyperlink r:id="rId973" ref="F325"/>
    <hyperlink r:id="rId974" ref="G325"/>
    <hyperlink r:id="rId975" ref="H325"/>
    <hyperlink r:id="rId976" ref="F326"/>
    <hyperlink r:id="rId977" ref="G326"/>
    <hyperlink r:id="rId978" ref="H326"/>
    <hyperlink r:id="rId979" ref="F327"/>
    <hyperlink r:id="rId980" ref="G327"/>
    <hyperlink r:id="rId981" ref="H327"/>
    <hyperlink r:id="rId982" ref="F328"/>
    <hyperlink r:id="rId983" ref="G328"/>
    <hyperlink r:id="rId984" ref="H328"/>
    <hyperlink r:id="rId985" ref="F329"/>
    <hyperlink r:id="rId986" ref="G329"/>
    <hyperlink r:id="rId987" ref="H329"/>
    <hyperlink r:id="rId988" ref="F330"/>
    <hyperlink r:id="rId989" ref="G330"/>
    <hyperlink r:id="rId990" ref="H330"/>
    <hyperlink r:id="rId991" ref="F331"/>
    <hyperlink r:id="rId992" ref="G331"/>
    <hyperlink r:id="rId993" ref="H331"/>
    <hyperlink r:id="rId994" ref="F332"/>
    <hyperlink r:id="rId995" ref="G332"/>
    <hyperlink r:id="rId996" ref="H332"/>
    <hyperlink r:id="rId997" ref="F333"/>
    <hyperlink r:id="rId998" ref="G333"/>
    <hyperlink r:id="rId999" ref="H333"/>
    <hyperlink r:id="rId1000" ref="F334"/>
    <hyperlink r:id="rId1001" ref="G334"/>
    <hyperlink r:id="rId1002" ref="H334"/>
    <hyperlink r:id="rId1003" ref="F335"/>
    <hyperlink r:id="rId1004" ref="G335"/>
    <hyperlink r:id="rId1005" ref="H335"/>
    <hyperlink r:id="rId1006" ref="F336"/>
    <hyperlink r:id="rId1007" ref="G336"/>
    <hyperlink r:id="rId1008" ref="H336"/>
    <hyperlink r:id="rId1009" ref="F337"/>
    <hyperlink r:id="rId1010" ref="G337"/>
    <hyperlink r:id="rId1011" ref="H337"/>
    <hyperlink r:id="rId1012" ref="F338"/>
    <hyperlink r:id="rId1013" ref="G338"/>
    <hyperlink r:id="rId1014" ref="H338"/>
    <hyperlink r:id="rId1015" ref="F339"/>
    <hyperlink r:id="rId1016" ref="G339"/>
    <hyperlink r:id="rId1017" ref="H339"/>
    <hyperlink r:id="rId1018" ref="F340"/>
    <hyperlink r:id="rId1019" ref="G340"/>
    <hyperlink r:id="rId1020" ref="H340"/>
    <hyperlink r:id="rId1021" ref="F341"/>
    <hyperlink r:id="rId1022" ref="G341"/>
    <hyperlink r:id="rId1023" ref="H341"/>
    <hyperlink r:id="rId1024" ref="F342"/>
    <hyperlink r:id="rId1025" ref="G342"/>
    <hyperlink r:id="rId1026" ref="H342"/>
    <hyperlink r:id="rId1027" ref="F343"/>
    <hyperlink r:id="rId1028" ref="G343"/>
    <hyperlink r:id="rId1029" ref="H343"/>
    <hyperlink r:id="rId1030" ref="F344"/>
    <hyperlink r:id="rId1031" ref="G344"/>
    <hyperlink r:id="rId1032" ref="H344"/>
    <hyperlink r:id="rId1033" ref="F345"/>
    <hyperlink r:id="rId1034" ref="G345"/>
    <hyperlink r:id="rId1035" ref="H345"/>
    <hyperlink r:id="rId1036" ref="F346"/>
    <hyperlink r:id="rId1037" ref="G346"/>
    <hyperlink r:id="rId1038" ref="H346"/>
    <hyperlink r:id="rId1039" ref="F347"/>
    <hyperlink r:id="rId1040" ref="G347"/>
    <hyperlink r:id="rId1041" ref="H347"/>
    <hyperlink r:id="rId1042" ref="F348"/>
    <hyperlink r:id="rId1043" ref="G348"/>
    <hyperlink r:id="rId1044" ref="H348"/>
    <hyperlink r:id="rId1045" ref="F349"/>
    <hyperlink r:id="rId1046" ref="G349"/>
    <hyperlink r:id="rId1047" ref="H349"/>
    <hyperlink r:id="rId1048" ref="F350"/>
    <hyperlink r:id="rId1049" ref="G350"/>
    <hyperlink r:id="rId1050" ref="H350"/>
    <hyperlink r:id="rId1051" ref="F351"/>
    <hyperlink r:id="rId1052" ref="G351"/>
    <hyperlink r:id="rId1053" ref="H351"/>
    <hyperlink r:id="rId1054" ref="F352"/>
    <hyperlink r:id="rId1055" ref="G352"/>
    <hyperlink r:id="rId1056" ref="H352"/>
    <hyperlink r:id="rId1057" ref="F353"/>
    <hyperlink r:id="rId1058" ref="G353"/>
    <hyperlink r:id="rId1059" ref="H353"/>
    <hyperlink r:id="rId1060" ref="F354"/>
    <hyperlink r:id="rId1061" ref="G354"/>
    <hyperlink r:id="rId1062" ref="H354"/>
    <hyperlink r:id="rId1063" ref="F355"/>
    <hyperlink r:id="rId1064" ref="G355"/>
    <hyperlink r:id="rId1065" ref="H355"/>
    <hyperlink r:id="rId1066" ref="F356"/>
    <hyperlink r:id="rId1067" ref="G356"/>
    <hyperlink r:id="rId1068" ref="H356"/>
    <hyperlink r:id="rId1069" ref="F357"/>
    <hyperlink r:id="rId1070" ref="G357"/>
    <hyperlink r:id="rId1071" ref="H357"/>
    <hyperlink r:id="rId1072" ref="F358"/>
    <hyperlink r:id="rId1073" ref="G358"/>
    <hyperlink r:id="rId1074" ref="H358"/>
    <hyperlink r:id="rId1075" ref="F359"/>
    <hyperlink r:id="rId1076" ref="G359"/>
    <hyperlink r:id="rId1077" ref="H359"/>
    <hyperlink r:id="rId1078" ref="F360"/>
    <hyperlink r:id="rId1079" ref="G360"/>
    <hyperlink r:id="rId1080" ref="H360"/>
    <hyperlink r:id="rId1081" ref="F361"/>
    <hyperlink r:id="rId1082" ref="G361"/>
    <hyperlink r:id="rId1083" ref="H361"/>
    <hyperlink r:id="rId1084" ref="F362"/>
    <hyperlink r:id="rId1085" ref="G362"/>
    <hyperlink r:id="rId1086" ref="H362"/>
    <hyperlink r:id="rId1087" ref="F363"/>
    <hyperlink r:id="rId1088" ref="G363"/>
    <hyperlink r:id="rId1089" ref="H363"/>
    <hyperlink r:id="rId1090" ref="F364"/>
    <hyperlink r:id="rId1091" ref="G364"/>
    <hyperlink r:id="rId1092" ref="H364"/>
    <hyperlink r:id="rId1093" ref="F365"/>
    <hyperlink r:id="rId1094" ref="G365"/>
    <hyperlink r:id="rId1095" ref="H365"/>
    <hyperlink r:id="rId1096" ref="F366"/>
    <hyperlink r:id="rId1097" ref="G366"/>
    <hyperlink r:id="rId1098" ref="H366"/>
    <hyperlink r:id="rId1099" ref="F367"/>
    <hyperlink r:id="rId1100" ref="G367"/>
    <hyperlink r:id="rId1101" ref="H367"/>
    <hyperlink r:id="rId1102" ref="D368"/>
    <hyperlink r:id="rId1103" ref="F368"/>
    <hyperlink r:id="rId1104" ref="G368"/>
    <hyperlink r:id="rId1105" ref="H368"/>
    <hyperlink r:id="rId1106" ref="F369"/>
    <hyperlink r:id="rId1107" ref="G369"/>
    <hyperlink r:id="rId1108" ref="H369"/>
    <hyperlink r:id="rId1109" ref="F370"/>
    <hyperlink r:id="rId1110" ref="G370"/>
    <hyperlink r:id="rId1111" ref="H370"/>
    <hyperlink r:id="rId1112" ref="F371"/>
    <hyperlink r:id="rId1113" ref="G371"/>
    <hyperlink r:id="rId1114" ref="H371"/>
    <hyperlink r:id="rId1115" ref="F372"/>
    <hyperlink r:id="rId1116" ref="G372"/>
    <hyperlink r:id="rId1117" ref="H372"/>
    <hyperlink r:id="rId1118" ref="F373"/>
    <hyperlink r:id="rId1119" ref="G373"/>
    <hyperlink r:id="rId1120" ref="H373"/>
    <hyperlink r:id="rId1121" ref="F374"/>
    <hyperlink r:id="rId1122" ref="G374"/>
    <hyperlink r:id="rId1123" ref="H374"/>
    <hyperlink r:id="rId1124" ref="F375"/>
    <hyperlink r:id="rId1125" ref="G375"/>
    <hyperlink r:id="rId1126" ref="H375"/>
    <hyperlink r:id="rId1127" ref="F376"/>
    <hyperlink r:id="rId1128" ref="G376"/>
    <hyperlink r:id="rId1129" ref="H376"/>
    <hyperlink r:id="rId1130" ref="F377"/>
    <hyperlink r:id="rId1131" ref="G377"/>
    <hyperlink r:id="rId1132" ref="H377"/>
    <hyperlink r:id="rId1133" ref="F378"/>
    <hyperlink r:id="rId1134" ref="G378"/>
    <hyperlink r:id="rId1135" ref="H378"/>
    <hyperlink r:id="rId1136" ref="F379"/>
    <hyperlink r:id="rId1137" ref="G379"/>
    <hyperlink r:id="rId1138" ref="H379"/>
    <hyperlink r:id="rId1139" ref="F380"/>
    <hyperlink r:id="rId1140" ref="G380"/>
    <hyperlink r:id="rId1141" ref="H380"/>
    <hyperlink r:id="rId1142" ref="F381"/>
    <hyperlink r:id="rId1143" ref="G381"/>
    <hyperlink r:id="rId1144" ref="H381"/>
    <hyperlink r:id="rId1145" ref="F382"/>
    <hyperlink r:id="rId1146" ref="G382"/>
    <hyperlink r:id="rId1147" ref="H382"/>
    <hyperlink r:id="rId1148" ref="F383"/>
    <hyperlink r:id="rId1149" ref="G383"/>
    <hyperlink r:id="rId1150" ref="H383"/>
    <hyperlink r:id="rId1151" ref="F384"/>
    <hyperlink r:id="rId1152" ref="G384"/>
    <hyperlink r:id="rId1153" ref="H384"/>
    <hyperlink r:id="rId1154" ref="F385"/>
    <hyperlink r:id="rId1155" ref="G385"/>
    <hyperlink r:id="rId1156" ref="H385"/>
    <hyperlink r:id="rId1157" ref="F386"/>
    <hyperlink r:id="rId1158" ref="G386"/>
    <hyperlink r:id="rId1159" ref="H386"/>
    <hyperlink r:id="rId1160" ref="F387"/>
    <hyperlink r:id="rId1161" ref="G387"/>
    <hyperlink r:id="rId1162" ref="H387"/>
    <hyperlink r:id="rId1163" ref="F388"/>
    <hyperlink r:id="rId1164" ref="G388"/>
    <hyperlink r:id="rId1165" ref="H388"/>
    <hyperlink r:id="rId1166" ref="F389"/>
    <hyperlink r:id="rId1167" ref="G389"/>
    <hyperlink r:id="rId1168" ref="H389"/>
    <hyperlink r:id="rId1169" ref="F390"/>
    <hyperlink r:id="rId1170" ref="G390"/>
    <hyperlink r:id="rId1171" ref="H390"/>
    <hyperlink r:id="rId1172" ref="F391"/>
    <hyperlink r:id="rId1173" ref="G391"/>
    <hyperlink r:id="rId1174" ref="H391"/>
    <hyperlink r:id="rId1175" ref="F392"/>
    <hyperlink r:id="rId1176" ref="G392"/>
    <hyperlink r:id="rId1177" ref="H392"/>
    <hyperlink r:id="rId1178" ref="F393"/>
    <hyperlink r:id="rId1179" ref="G393"/>
    <hyperlink r:id="rId1180" ref="H393"/>
    <hyperlink r:id="rId1181" ref="F394"/>
    <hyperlink r:id="rId1182" ref="G394"/>
    <hyperlink r:id="rId1183" ref="H394"/>
    <hyperlink r:id="rId1184" ref="F395"/>
    <hyperlink r:id="rId1185" ref="G395"/>
    <hyperlink r:id="rId1186" ref="H395"/>
    <hyperlink r:id="rId1187" ref="F396"/>
    <hyperlink r:id="rId1188" ref="G396"/>
    <hyperlink r:id="rId1189" ref="H396"/>
    <hyperlink r:id="rId1190" ref="F397"/>
    <hyperlink r:id="rId1191" ref="G397"/>
    <hyperlink r:id="rId1192" ref="H397"/>
    <hyperlink r:id="rId1193" ref="F398"/>
    <hyperlink r:id="rId1194" ref="G398"/>
    <hyperlink r:id="rId1195" ref="H398"/>
    <hyperlink r:id="rId1196" ref="F399"/>
    <hyperlink r:id="rId1197" ref="G399"/>
    <hyperlink r:id="rId1198" ref="H399"/>
    <hyperlink r:id="rId1199" ref="F400"/>
    <hyperlink r:id="rId1200" ref="G400"/>
    <hyperlink r:id="rId1201" ref="H400"/>
    <hyperlink r:id="rId1202" ref="F401"/>
    <hyperlink r:id="rId1203" ref="G401"/>
    <hyperlink r:id="rId1204" ref="H401"/>
    <hyperlink r:id="rId1205" ref="F402"/>
    <hyperlink r:id="rId1206" ref="G402"/>
    <hyperlink r:id="rId1207" ref="H402"/>
    <hyperlink r:id="rId1208" ref="F403"/>
    <hyperlink r:id="rId1209" ref="G403"/>
    <hyperlink r:id="rId1210" ref="H403"/>
    <hyperlink r:id="rId1211" ref="D404"/>
    <hyperlink r:id="rId1212" ref="F404"/>
    <hyperlink r:id="rId1213" ref="G404"/>
    <hyperlink r:id="rId1214" ref="H404"/>
    <hyperlink r:id="rId1215" ref="F405"/>
    <hyperlink r:id="rId1216" ref="G405"/>
    <hyperlink r:id="rId1217" ref="H405"/>
    <hyperlink r:id="rId1218" ref="F406"/>
    <hyperlink r:id="rId1219" ref="G406"/>
    <hyperlink r:id="rId1220" ref="H406"/>
    <hyperlink r:id="rId1221" ref="F407"/>
    <hyperlink r:id="rId1222" ref="G407"/>
    <hyperlink r:id="rId1223" ref="H407"/>
    <hyperlink r:id="rId1224" ref="F408"/>
    <hyperlink r:id="rId1225" ref="G408"/>
    <hyperlink r:id="rId1226" ref="H408"/>
    <hyperlink r:id="rId1227" ref="F409"/>
    <hyperlink r:id="rId1228" ref="G409"/>
    <hyperlink r:id="rId1229" ref="H409"/>
    <hyperlink r:id="rId1230" ref="F410"/>
    <hyperlink r:id="rId1231" ref="G410"/>
    <hyperlink r:id="rId1232" ref="H410"/>
    <hyperlink r:id="rId1233" ref="F411"/>
    <hyperlink r:id="rId1234" ref="G411"/>
    <hyperlink r:id="rId1235" ref="H411"/>
    <hyperlink r:id="rId1236" ref="F412"/>
    <hyperlink r:id="rId1237" ref="G412"/>
    <hyperlink r:id="rId1238" ref="H412"/>
    <hyperlink r:id="rId1239" ref="F413"/>
    <hyperlink r:id="rId1240" ref="G413"/>
    <hyperlink r:id="rId1241" ref="H413"/>
    <hyperlink r:id="rId1242" ref="F414"/>
    <hyperlink r:id="rId1243" ref="G414"/>
    <hyperlink r:id="rId1244" ref="H414"/>
    <hyperlink r:id="rId1245" ref="F415"/>
    <hyperlink r:id="rId1246" ref="G415"/>
    <hyperlink r:id="rId1247" ref="H415"/>
    <hyperlink r:id="rId1248" ref="F416"/>
    <hyperlink r:id="rId1249" ref="G416"/>
    <hyperlink r:id="rId1250" ref="H416"/>
    <hyperlink r:id="rId1251" ref="F417"/>
    <hyperlink r:id="rId1252" ref="G417"/>
    <hyperlink r:id="rId1253" ref="H417"/>
    <hyperlink r:id="rId1254" ref="F418"/>
    <hyperlink r:id="rId1255" ref="G418"/>
    <hyperlink r:id="rId1256" ref="H418"/>
    <hyperlink r:id="rId1257" ref="F419"/>
    <hyperlink r:id="rId1258" ref="G419"/>
    <hyperlink r:id="rId1259" ref="H419"/>
    <hyperlink r:id="rId1260" ref="F420"/>
    <hyperlink r:id="rId1261" ref="G420"/>
    <hyperlink r:id="rId1262" ref="H420"/>
    <hyperlink r:id="rId1263" ref="F421"/>
    <hyperlink r:id="rId1264" ref="G421"/>
    <hyperlink r:id="rId1265" ref="H421"/>
    <hyperlink r:id="rId1266" ref="F422"/>
    <hyperlink r:id="rId1267" ref="G422"/>
    <hyperlink r:id="rId1268" ref="H422"/>
    <hyperlink r:id="rId1269" ref="F423"/>
    <hyperlink r:id="rId1270" ref="G423"/>
    <hyperlink r:id="rId1271" ref="H423"/>
    <hyperlink r:id="rId1272" ref="F424"/>
    <hyperlink r:id="rId1273" ref="G424"/>
    <hyperlink r:id="rId1274" ref="H424"/>
    <hyperlink r:id="rId1275" ref="F425"/>
    <hyperlink r:id="rId1276" ref="G425"/>
    <hyperlink r:id="rId1277" ref="H425"/>
    <hyperlink r:id="rId1278" ref="F426"/>
    <hyperlink r:id="rId1279" ref="G426"/>
    <hyperlink r:id="rId1280" ref="H426"/>
    <hyperlink r:id="rId1281" ref="F427"/>
    <hyperlink r:id="rId1282" ref="G427"/>
    <hyperlink r:id="rId1283" ref="H427"/>
    <hyperlink r:id="rId1284" ref="F428"/>
    <hyperlink r:id="rId1285" ref="G428"/>
    <hyperlink r:id="rId1286" ref="H428"/>
    <hyperlink r:id="rId1287" ref="F429"/>
    <hyperlink r:id="rId1288" ref="G429"/>
    <hyperlink r:id="rId1289" ref="H429"/>
    <hyperlink r:id="rId1290" ref="F430"/>
    <hyperlink r:id="rId1291" ref="G430"/>
    <hyperlink r:id="rId1292" ref="H430"/>
    <hyperlink r:id="rId1293" ref="F431"/>
    <hyperlink r:id="rId1294" ref="G431"/>
    <hyperlink r:id="rId1295" ref="H431"/>
    <hyperlink r:id="rId1296" ref="F432"/>
    <hyperlink r:id="rId1297" ref="G432"/>
    <hyperlink r:id="rId1298" ref="H432"/>
    <hyperlink r:id="rId1299" ref="D433"/>
    <hyperlink r:id="rId1300" ref="F433"/>
    <hyperlink r:id="rId1301" ref="G433"/>
    <hyperlink r:id="rId1302" ref="H433"/>
    <hyperlink r:id="rId1303" ref="F434"/>
    <hyperlink r:id="rId1304" ref="G434"/>
    <hyperlink r:id="rId1305" ref="H434"/>
    <hyperlink r:id="rId1306" ref="F435"/>
    <hyperlink r:id="rId1307" ref="G435"/>
    <hyperlink r:id="rId1308" ref="H435"/>
    <hyperlink r:id="rId1309" ref="F436"/>
    <hyperlink r:id="rId1310" ref="G436"/>
    <hyperlink r:id="rId1311" ref="H436"/>
    <hyperlink r:id="rId1312" ref="F437"/>
    <hyperlink r:id="rId1313" ref="G437"/>
    <hyperlink r:id="rId1314" ref="H437"/>
    <hyperlink r:id="rId1315" ref="F438"/>
    <hyperlink r:id="rId1316" ref="G438"/>
    <hyperlink r:id="rId1317" ref="H438"/>
    <hyperlink r:id="rId1318" ref="F439"/>
    <hyperlink r:id="rId1319" ref="G439"/>
    <hyperlink r:id="rId1320" ref="H439"/>
    <hyperlink r:id="rId1321" ref="F440"/>
    <hyperlink r:id="rId1322" ref="G440"/>
    <hyperlink r:id="rId1323" ref="H440"/>
    <hyperlink r:id="rId1324" ref="F441"/>
    <hyperlink r:id="rId1325" ref="G441"/>
    <hyperlink r:id="rId1326" ref="H441"/>
    <hyperlink r:id="rId1327" ref="F442"/>
    <hyperlink r:id="rId1328" ref="G442"/>
    <hyperlink r:id="rId1329" ref="H442"/>
    <hyperlink r:id="rId1330" ref="F443"/>
    <hyperlink r:id="rId1331" ref="G443"/>
    <hyperlink r:id="rId1332" ref="H443"/>
    <hyperlink r:id="rId1333" ref="F444"/>
    <hyperlink r:id="rId1334" ref="G444"/>
    <hyperlink r:id="rId1335" ref="H444"/>
    <hyperlink r:id="rId1336" ref="F445"/>
    <hyperlink r:id="rId1337" ref="G445"/>
    <hyperlink r:id="rId1338" ref="H445"/>
    <hyperlink r:id="rId1339" ref="F446"/>
    <hyperlink r:id="rId1340" ref="G446"/>
    <hyperlink r:id="rId1341" ref="H446"/>
    <hyperlink r:id="rId1342" ref="F447"/>
    <hyperlink r:id="rId1343" ref="G447"/>
    <hyperlink r:id="rId1344" ref="H447"/>
    <hyperlink r:id="rId1345" ref="F448"/>
    <hyperlink r:id="rId1346" ref="G448"/>
    <hyperlink r:id="rId1347" ref="H448"/>
    <hyperlink r:id="rId1348" ref="F449"/>
    <hyperlink r:id="rId1349" ref="G449"/>
    <hyperlink r:id="rId1350" ref="H449"/>
    <hyperlink r:id="rId1351" ref="F450"/>
    <hyperlink r:id="rId1352" ref="G450"/>
    <hyperlink r:id="rId1353" ref="H450"/>
    <hyperlink r:id="rId1354" ref="F451"/>
    <hyperlink r:id="rId1355" ref="G451"/>
    <hyperlink r:id="rId1356" ref="H451"/>
    <hyperlink r:id="rId1357" ref="F452"/>
    <hyperlink r:id="rId1358" ref="G452"/>
    <hyperlink r:id="rId1359" ref="H452"/>
    <hyperlink r:id="rId1360" ref="F453"/>
    <hyperlink r:id="rId1361" ref="G453"/>
    <hyperlink r:id="rId1362" ref="H453"/>
    <hyperlink r:id="rId1363" ref="F454"/>
    <hyperlink r:id="rId1364" ref="G454"/>
    <hyperlink r:id="rId1365" ref="H454"/>
    <hyperlink r:id="rId1366" ref="F455"/>
    <hyperlink r:id="rId1367" ref="G455"/>
    <hyperlink r:id="rId1368" ref="H455"/>
    <hyperlink r:id="rId1369" ref="F456"/>
    <hyperlink r:id="rId1370" ref="G456"/>
    <hyperlink r:id="rId1371" ref="H456"/>
    <hyperlink r:id="rId1372" ref="F457"/>
    <hyperlink r:id="rId1373" ref="G457"/>
    <hyperlink r:id="rId1374" ref="H457"/>
    <hyperlink r:id="rId1375" ref="F458"/>
    <hyperlink r:id="rId1376" ref="G458"/>
    <hyperlink r:id="rId1377" ref="H458"/>
    <hyperlink r:id="rId1378" ref="F459"/>
    <hyperlink r:id="rId1379" ref="G459"/>
    <hyperlink r:id="rId1380" ref="H459"/>
    <hyperlink r:id="rId1381" ref="F460"/>
    <hyperlink r:id="rId1382" ref="G460"/>
    <hyperlink r:id="rId1383" ref="H460"/>
    <hyperlink r:id="rId1384" ref="F461"/>
    <hyperlink r:id="rId1385" ref="G461"/>
    <hyperlink r:id="rId1386" ref="H461"/>
    <hyperlink r:id="rId1387" ref="F462"/>
    <hyperlink r:id="rId1388" ref="G462"/>
    <hyperlink r:id="rId1389" ref="H462"/>
    <hyperlink r:id="rId1390" ref="F463"/>
    <hyperlink r:id="rId1391" ref="G463"/>
    <hyperlink r:id="rId1392" ref="H463"/>
    <hyperlink r:id="rId1393" ref="F464"/>
    <hyperlink r:id="rId1394" ref="G464"/>
    <hyperlink r:id="rId1395" ref="H464"/>
    <hyperlink r:id="rId1396" ref="F465"/>
    <hyperlink r:id="rId1397" ref="G465"/>
    <hyperlink r:id="rId1398" ref="H465"/>
    <hyperlink r:id="rId1399" ref="F466"/>
    <hyperlink r:id="rId1400" ref="G466"/>
    <hyperlink r:id="rId1401" ref="H466"/>
    <hyperlink r:id="rId1402" ref="F467"/>
    <hyperlink r:id="rId1403" ref="G467"/>
    <hyperlink r:id="rId1404" ref="H467"/>
    <hyperlink r:id="rId1405" ref="F468"/>
    <hyperlink r:id="rId1406" ref="G468"/>
    <hyperlink r:id="rId1407" ref="H468"/>
    <hyperlink r:id="rId1408" ref="F469"/>
    <hyperlink r:id="rId1409" ref="G469"/>
    <hyperlink r:id="rId1410" ref="H469"/>
    <hyperlink r:id="rId1411" ref="F470"/>
    <hyperlink r:id="rId1412" ref="G470"/>
    <hyperlink r:id="rId1413" ref="H470"/>
    <hyperlink r:id="rId1414" ref="F471"/>
    <hyperlink r:id="rId1415" ref="G471"/>
    <hyperlink r:id="rId1416" ref="H471"/>
    <hyperlink r:id="rId1417" ref="F472"/>
    <hyperlink r:id="rId1418" ref="G472"/>
    <hyperlink r:id="rId1419" ref="H472"/>
    <hyperlink r:id="rId1420" ref="F473"/>
    <hyperlink r:id="rId1421" ref="G473"/>
    <hyperlink r:id="rId1422" ref="H473"/>
    <hyperlink r:id="rId1423" ref="F474"/>
    <hyperlink r:id="rId1424" ref="G474"/>
    <hyperlink r:id="rId1425" ref="H474"/>
    <hyperlink r:id="rId1426" ref="F475"/>
    <hyperlink r:id="rId1427" ref="G475"/>
    <hyperlink r:id="rId1428" ref="H475"/>
    <hyperlink r:id="rId1429" ref="F476"/>
    <hyperlink r:id="rId1430" ref="G476"/>
    <hyperlink r:id="rId1431" ref="H476"/>
    <hyperlink r:id="rId1432" ref="F477"/>
    <hyperlink r:id="rId1433" ref="G477"/>
    <hyperlink r:id="rId1434" ref="H477"/>
    <hyperlink r:id="rId1435" ref="F478"/>
    <hyperlink r:id="rId1436" ref="G478"/>
    <hyperlink r:id="rId1437" ref="H478"/>
    <hyperlink r:id="rId1438" ref="F479"/>
    <hyperlink r:id="rId1439" ref="G479"/>
    <hyperlink r:id="rId1440" ref="H479"/>
    <hyperlink r:id="rId1441" ref="F480"/>
    <hyperlink r:id="rId1442" ref="G480"/>
    <hyperlink r:id="rId1443" ref="H480"/>
    <hyperlink r:id="rId1444" ref="F481"/>
    <hyperlink r:id="rId1445" ref="G481"/>
    <hyperlink r:id="rId1446" ref="H481"/>
    <hyperlink r:id="rId1447" ref="F482"/>
    <hyperlink r:id="rId1448" ref="G482"/>
    <hyperlink r:id="rId1449" ref="H482"/>
    <hyperlink r:id="rId1450" ref="F483"/>
    <hyperlink r:id="rId1451" ref="G483"/>
    <hyperlink r:id="rId1452" ref="H483"/>
    <hyperlink r:id="rId1453" ref="F484"/>
    <hyperlink r:id="rId1454" ref="G484"/>
    <hyperlink r:id="rId1455" ref="H484"/>
    <hyperlink r:id="rId1456" ref="F485"/>
    <hyperlink r:id="rId1457" ref="G485"/>
    <hyperlink r:id="rId1458" ref="H485"/>
    <hyperlink r:id="rId1459" ref="F486"/>
    <hyperlink r:id="rId1460" ref="G486"/>
    <hyperlink r:id="rId1461" ref="H486"/>
    <hyperlink r:id="rId1462" ref="F487"/>
    <hyperlink r:id="rId1463" ref="G487"/>
    <hyperlink r:id="rId1464" ref="H487"/>
    <hyperlink r:id="rId1465" ref="F488"/>
    <hyperlink r:id="rId1466" ref="G488"/>
    <hyperlink r:id="rId1467" ref="H488"/>
    <hyperlink r:id="rId1468" ref="F489"/>
    <hyperlink r:id="rId1469" ref="G489"/>
    <hyperlink r:id="rId1470" ref="H489"/>
    <hyperlink r:id="rId1471" ref="D490"/>
    <hyperlink r:id="rId1472" ref="F490"/>
    <hyperlink r:id="rId1473" ref="G490"/>
    <hyperlink r:id="rId1474" ref="H490"/>
    <hyperlink r:id="rId1475" ref="F491"/>
    <hyperlink r:id="rId1476" ref="G491"/>
    <hyperlink r:id="rId1477" ref="H491"/>
    <hyperlink r:id="rId1478" ref="F492"/>
    <hyperlink r:id="rId1479" ref="G492"/>
    <hyperlink r:id="rId1480" ref="H492"/>
    <hyperlink r:id="rId1481" ref="F493"/>
    <hyperlink r:id="rId1482" ref="G493"/>
    <hyperlink r:id="rId1483" ref="H493"/>
    <hyperlink r:id="rId1484" ref="F494"/>
    <hyperlink r:id="rId1485" ref="G494"/>
    <hyperlink r:id="rId1486" ref="H494"/>
    <hyperlink r:id="rId1487" ref="F495"/>
    <hyperlink r:id="rId1488" ref="G495"/>
    <hyperlink r:id="rId1489" ref="H495"/>
    <hyperlink r:id="rId1490" ref="F496"/>
    <hyperlink r:id="rId1491" ref="G496"/>
    <hyperlink r:id="rId1492" ref="H496"/>
    <hyperlink r:id="rId1493" ref="F497"/>
    <hyperlink r:id="rId1494" ref="G497"/>
    <hyperlink r:id="rId1495" ref="H497"/>
    <hyperlink r:id="rId1496" ref="F498"/>
    <hyperlink r:id="rId1497" ref="G498"/>
    <hyperlink r:id="rId1498" ref="H498"/>
    <hyperlink r:id="rId1499" ref="F499"/>
    <hyperlink r:id="rId1500" ref="G499"/>
    <hyperlink r:id="rId1501" ref="H499"/>
    <hyperlink r:id="rId1502" ref="F500"/>
    <hyperlink r:id="rId1503" ref="G500"/>
    <hyperlink r:id="rId1504" ref="H500"/>
    <hyperlink r:id="rId1505" ref="F501"/>
    <hyperlink r:id="rId1506" ref="G501"/>
    <hyperlink r:id="rId1507" ref="H501"/>
    <hyperlink r:id="rId1508" ref="F502"/>
    <hyperlink r:id="rId1509" ref="G502"/>
    <hyperlink r:id="rId1510" ref="H502"/>
    <hyperlink r:id="rId1511" ref="F503"/>
    <hyperlink r:id="rId1512" ref="G503"/>
    <hyperlink r:id="rId1513" ref="H503"/>
    <hyperlink r:id="rId1514" ref="F504"/>
    <hyperlink r:id="rId1515" ref="G504"/>
    <hyperlink r:id="rId1516" ref="H504"/>
    <hyperlink r:id="rId1517" ref="F505"/>
    <hyperlink r:id="rId1518" ref="G505"/>
    <hyperlink r:id="rId1519" ref="H505"/>
    <hyperlink r:id="rId1520" ref="F506"/>
    <hyperlink r:id="rId1521" ref="G506"/>
    <hyperlink r:id="rId1522" ref="H506"/>
    <hyperlink r:id="rId1523" ref="F507"/>
    <hyperlink r:id="rId1524" ref="G507"/>
    <hyperlink r:id="rId1525" ref="H507"/>
    <hyperlink r:id="rId1526" ref="F508"/>
    <hyperlink r:id="rId1527" ref="G508"/>
    <hyperlink r:id="rId1528" ref="H508"/>
    <hyperlink r:id="rId1529" ref="F509"/>
    <hyperlink r:id="rId1530" ref="G509"/>
    <hyperlink r:id="rId1531" ref="H509"/>
    <hyperlink r:id="rId1532" ref="F510"/>
    <hyperlink r:id="rId1533" ref="G510"/>
    <hyperlink r:id="rId1534" ref="H510"/>
    <hyperlink r:id="rId1535" ref="F511"/>
    <hyperlink r:id="rId1536" ref="G511"/>
    <hyperlink r:id="rId1537" ref="H511"/>
    <hyperlink r:id="rId1538" ref="F512"/>
    <hyperlink r:id="rId1539" ref="G512"/>
    <hyperlink r:id="rId1540" ref="H512"/>
    <hyperlink r:id="rId1541" ref="F513"/>
    <hyperlink r:id="rId1542" ref="G513"/>
    <hyperlink r:id="rId1543" ref="H513"/>
    <hyperlink r:id="rId1544" ref="F514"/>
    <hyperlink r:id="rId1545" ref="G514"/>
    <hyperlink r:id="rId1546" ref="H514"/>
    <hyperlink r:id="rId1547" ref="F515"/>
    <hyperlink r:id="rId1548" ref="G515"/>
    <hyperlink r:id="rId1549" ref="H515"/>
    <hyperlink r:id="rId1550" ref="F516"/>
    <hyperlink r:id="rId1551" ref="G516"/>
    <hyperlink r:id="rId1552" ref="H516"/>
    <hyperlink r:id="rId1553" ref="F517"/>
    <hyperlink r:id="rId1554" ref="G517"/>
    <hyperlink r:id="rId1555" ref="H517"/>
    <hyperlink r:id="rId1556" ref="F518"/>
    <hyperlink r:id="rId1557" ref="G518"/>
    <hyperlink r:id="rId1558" ref="H518"/>
    <hyperlink r:id="rId1559" ref="F519"/>
    <hyperlink r:id="rId1560" ref="G519"/>
    <hyperlink r:id="rId1561" ref="H519"/>
    <hyperlink r:id="rId1562" ref="F520"/>
    <hyperlink r:id="rId1563" ref="G520"/>
    <hyperlink r:id="rId1564" ref="H520"/>
    <hyperlink r:id="rId1565" ref="F521"/>
    <hyperlink r:id="rId1566" ref="G521"/>
    <hyperlink r:id="rId1567" ref="H521"/>
    <hyperlink r:id="rId1568" ref="F522"/>
    <hyperlink r:id="rId1569" ref="G522"/>
    <hyperlink r:id="rId1570" ref="H522"/>
    <hyperlink r:id="rId1571" ref="F523"/>
    <hyperlink r:id="rId1572" ref="G523"/>
    <hyperlink r:id="rId1573" ref="H523"/>
    <hyperlink r:id="rId1574" ref="F524"/>
    <hyperlink r:id="rId1575" ref="G524"/>
    <hyperlink r:id="rId1576" ref="H524"/>
    <hyperlink r:id="rId1577" ref="F525"/>
    <hyperlink r:id="rId1578" ref="G525"/>
    <hyperlink r:id="rId1579" ref="H525"/>
    <hyperlink r:id="rId1580" ref="F526"/>
    <hyperlink r:id="rId1581" ref="G526"/>
    <hyperlink r:id="rId1582" ref="H526"/>
    <hyperlink r:id="rId1583" ref="F527"/>
    <hyperlink r:id="rId1584" ref="G527"/>
    <hyperlink r:id="rId1585" ref="H527"/>
    <hyperlink r:id="rId1586" ref="F528"/>
    <hyperlink r:id="rId1587" ref="G528"/>
    <hyperlink r:id="rId1588" ref="H528"/>
    <hyperlink r:id="rId1589" ref="F529"/>
    <hyperlink r:id="rId1590" ref="G529"/>
    <hyperlink r:id="rId1591" ref="H529"/>
    <hyperlink r:id="rId1592" ref="F530"/>
    <hyperlink r:id="rId1593" ref="G530"/>
    <hyperlink r:id="rId1594" ref="H530"/>
    <hyperlink r:id="rId1595" ref="F531"/>
    <hyperlink r:id="rId1596" ref="G531"/>
    <hyperlink r:id="rId1597" ref="H531"/>
    <hyperlink r:id="rId1598" ref="F532"/>
    <hyperlink r:id="rId1599" ref="G532"/>
    <hyperlink r:id="rId1600" ref="H532"/>
    <hyperlink r:id="rId1601" ref="F533"/>
    <hyperlink r:id="rId1602" ref="G533"/>
    <hyperlink r:id="rId1603" ref="H533"/>
    <hyperlink r:id="rId1604" ref="F534"/>
    <hyperlink r:id="rId1605" ref="G534"/>
    <hyperlink r:id="rId1606" ref="H534"/>
    <hyperlink r:id="rId1607" ref="F535"/>
    <hyperlink r:id="rId1608" ref="G535"/>
    <hyperlink r:id="rId1609" ref="H535"/>
    <hyperlink r:id="rId1610" ref="F536"/>
    <hyperlink r:id="rId1611" ref="G536"/>
    <hyperlink r:id="rId1612" ref="H536"/>
    <hyperlink r:id="rId1613" ref="F537"/>
    <hyperlink r:id="rId1614" ref="G537"/>
    <hyperlink r:id="rId1615" ref="H537"/>
    <hyperlink r:id="rId1616" ref="F538"/>
    <hyperlink r:id="rId1617" ref="G538"/>
    <hyperlink r:id="rId1618" ref="H538"/>
    <hyperlink r:id="rId1619" ref="F539"/>
    <hyperlink r:id="rId1620" ref="G539"/>
    <hyperlink r:id="rId1621" ref="H539"/>
    <hyperlink r:id="rId1622" ref="F540"/>
    <hyperlink r:id="rId1623" ref="G540"/>
    <hyperlink r:id="rId1624" ref="H540"/>
    <hyperlink r:id="rId1625" ref="F541"/>
    <hyperlink r:id="rId1626" ref="G541"/>
    <hyperlink r:id="rId1627" ref="H541"/>
    <hyperlink r:id="rId1628" ref="F542"/>
    <hyperlink r:id="rId1629" ref="G542"/>
    <hyperlink r:id="rId1630" ref="H542"/>
    <hyperlink r:id="rId1631" ref="F543"/>
    <hyperlink r:id="rId1632" ref="G543"/>
    <hyperlink r:id="rId1633" ref="H543"/>
    <hyperlink r:id="rId1634" ref="D544"/>
    <hyperlink r:id="rId1635" ref="F544"/>
    <hyperlink r:id="rId1636" ref="G544"/>
    <hyperlink r:id="rId1637" ref="H544"/>
    <hyperlink r:id="rId1638" ref="F545"/>
    <hyperlink r:id="rId1639" ref="G545"/>
    <hyperlink r:id="rId1640" ref="H545"/>
    <hyperlink r:id="rId1641" ref="F546"/>
    <hyperlink r:id="rId1642" ref="G546"/>
    <hyperlink r:id="rId1643" ref="H546"/>
    <hyperlink r:id="rId1644" ref="F547"/>
    <hyperlink r:id="rId1645" ref="G547"/>
    <hyperlink r:id="rId1646" ref="H547"/>
    <hyperlink r:id="rId1647" ref="F548"/>
    <hyperlink r:id="rId1648" ref="G548"/>
    <hyperlink r:id="rId1649" ref="H548"/>
    <hyperlink r:id="rId1650" ref="D549"/>
    <hyperlink r:id="rId1651" ref="F549"/>
    <hyperlink r:id="rId1652" ref="G549"/>
    <hyperlink r:id="rId1653" ref="H549"/>
    <hyperlink r:id="rId1654" ref="F550"/>
    <hyperlink r:id="rId1655" ref="G550"/>
    <hyperlink r:id="rId1656" ref="H550"/>
    <hyperlink r:id="rId1657" ref="F551"/>
    <hyperlink r:id="rId1658" ref="G551"/>
    <hyperlink r:id="rId1659" ref="H551"/>
    <hyperlink r:id="rId1660" ref="F552"/>
    <hyperlink r:id="rId1661" ref="G552"/>
    <hyperlink r:id="rId1662" ref="H552"/>
    <hyperlink r:id="rId1663" ref="F553"/>
    <hyperlink r:id="rId1664" ref="G553"/>
    <hyperlink r:id="rId1665" ref="H553"/>
    <hyperlink r:id="rId1666" ref="F554"/>
    <hyperlink r:id="rId1667" ref="G554"/>
    <hyperlink r:id="rId1668" ref="H554"/>
    <hyperlink r:id="rId1669" ref="F555"/>
    <hyperlink r:id="rId1670" ref="G555"/>
    <hyperlink r:id="rId1671" ref="H555"/>
    <hyperlink r:id="rId1672" ref="F556"/>
    <hyperlink r:id="rId1673" ref="G556"/>
    <hyperlink r:id="rId1674" ref="H556"/>
    <hyperlink r:id="rId1675" ref="F557"/>
    <hyperlink r:id="rId1676" ref="G557"/>
    <hyperlink r:id="rId1677" ref="H557"/>
    <hyperlink r:id="rId1678" ref="F558"/>
    <hyperlink r:id="rId1679" ref="G558"/>
    <hyperlink r:id="rId1680" ref="H558"/>
    <hyperlink r:id="rId1681" ref="F559"/>
    <hyperlink r:id="rId1682" ref="G559"/>
    <hyperlink r:id="rId1683" ref="H559"/>
    <hyperlink r:id="rId1684" ref="F560"/>
    <hyperlink r:id="rId1685" ref="G560"/>
    <hyperlink r:id="rId1686" ref="H560"/>
    <hyperlink r:id="rId1687" ref="F561"/>
    <hyperlink r:id="rId1688" ref="G561"/>
    <hyperlink r:id="rId1689" ref="H561"/>
    <hyperlink r:id="rId1690" ref="F562"/>
    <hyperlink r:id="rId1691" ref="G562"/>
    <hyperlink r:id="rId1692" ref="H562"/>
    <hyperlink r:id="rId1693" ref="F563"/>
    <hyperlink r:id="rId1694" ref="G563"/>
    <hyperlink r:id="rId1695" ref="H563"/>
    <hyperlink r:id="rId1696" ref="F564"/>
    <hyperlink r:id="rId1697" ref="G564"/>
    <hyperlink r:id="rId1698" ref="H564"/>
    <hyperlink r:id="rId1699" ref="F565"/>
    <hyperlink r:id="rId1700" ref="G565"/>
    <hyperlink r:id="rId1701" ref="H565"/>
    <hyperlink r:id="rId1702" ref="F566"/>
    <hyperlink r:id="rId1703" ref="G566"/>
    <hyperlink r:id="rId1704" ref="H566"/>
    <hyperlink r:id="rId1705" ref="F567"/>
    <hyperlink r:id="rId1706" ref="G567"/>
    <hyperlink r:id="rId1707" ref="H567"/>
    <hyperlink r:id="rId1708" ref="F568"/>
    <hyperlink r:id="rId1709" ref="G568"/>
    <hyperlink r:id="rId1710" ref="H568"/>
    <hyperlink r:id="rId1711" ref="F569"/>
    <hyperlink r:id="rId1712" ref="G569"/>
    <hyperlink r:id="rId1713" ref="H569"/>
    <hyperlink r:id="rId1714" ref="F570"/>
    <hyperlink r:id="rId1715" ref="G570"/>
    <hyperlink r:id="rId1716" ref="H570"/>
    <hyperlink r:id="rId1717" ref="F571"/>
    <hyperlink r:id="rId1718" ref="G571"/>
    <hyperlink r:id="rId1719" ref="H571"/>
    <hyperlink r:id="rId1720" ref="F572"/>
    <hyperlink r:id="rId1721" ref="G572"/>
    <hyperlink r:id="rId1722" ref="H572"/>
    <hyperlink r:id="rId1723" ref="F573"/>
    <hyperlink r:id="rId1724" ref="G573"/>
    <hyperlink r:id="rId1725" ref="H573"/>
    <hyperlink r:id="rId1726" ref="F574"/>
    <hyperlink r:id="rId1727" ref="G574"/>
    <hyperlink r:id="rId1728" ref="H574"/>
    <hyperlink r:id="rId1729" ref="F575"/>
    <hyperlink r:id="rId1730" ref="G575"/>
    <hyperlink r:id="rId1731" ref="H575"/>
    <hyperlink r:id="rId1732" ref="F576"/>
    <hyperlink r:id="rId1733" ref="G576"/>
    <hyperlink r:id="rId1734" ref="H576"/>
    <hyperlink r:id="rId1735" ref="F577"/>
    <hyperlink r:id="rId1736" ref="G577"/>
    <hyperlink r:id="rId1737" ref="H577"/>
    <hyperlink r:id="rId1738" ref="F578"/>
    <hyperlink r:id="rId1739" ref="G578"/>
    <hyperlink r:id="rId1740" ref="H578"/>
    <hyperlink r:id="rId1741" ref="F579"/>
    <hyperlink r:id="rId1742" ref="G579"/>
    <hyperlink r:id="rId1743" ref="H579"/>
    <hyperlink r:id="rId1744" ref="F580"/>
    <hyperlink r:id="rId1745" ref="G580"/>
    <hyperlink r:id="rId1746" ref="H580"/>
    <hyperlink r:id="rId1747" ref="F581"/>
    <hyperlink r:id="rId1748" ref="G581"/>
    <hyperlink r:id="rId1749" ref="H581"/>
    <hyperlink r:id="rId1750" ref="F582"/>
    <hyperlink r:id="rId1751" ref="G582"/>
    <hyperlink r:id="rId1752" ref="H582"/>
    <hyperlink r:id="rId1753" ref="F583"/>
    <hyperlink r:id="rId1754" ref="G583"/>
    <hyperlink r:id="rId1755" ref="H583"/>
    <hyperlink r:id="rId1756" ref="F584"/>
    <hyperlink r:id="rId1757" ref="G584"/>
    <hyperlink r:id="rId1758" ref="H584"/>
    <hyperlink r:id="rId1759" ref="F585"/>
    <hyperlink r:id="rId1760" ref="G585"/>
    <hyperlink r:id="rId1761" ref="H585"/>
    <hyperlink r:id="rId1762" ref="F586"/>
    <hyperlink r:id="rId1763" ref="G586"/>
    <hyperlink r:id="rId1764" ref="H586"/>
    <hyperlink r:id="rId1765" ref="F587"/>
    <hyperlink r:id="rId1766" ref="G587"/>
    <hyperlink r:id="rId1767" ref="H587"/>
    <hyperlink r:id="rId1768" ref="F588"/>
    <hyperlink r:id="rId1769" ref="G588"/>
    <hyperlink r:id="rId1770" ref="H588"/>
    <hyperlink r:id="rId1771" ref="F589"/>
    <hyperlink r:id="rId1772" ref="G589"/>
    <hyperlink r:id="rId1773" ref="H589"/>
    <hyperlink r:id="rId1774" ref="F590"/>
    <hyperlink r:id="rId1775" ref="G590"/>
    <hyperlink r:id="rId1776" ref="H590"/>
    <hyperlink r:id="rId1777" ref="F591"/>
    <hyperlink r:id="rId1778" ref="G591"/>
    <hyperlink r:id="rId1779" ref="H591"/>
    <hyperlink r:id="rId1780" ref="F592"/>
    <hyperlink r:id="rId1781" ref="G592"/>
    <hyperlink r:id="rId1782" ref="H592"/>
    <hyperlink r:id="rId1783" ref="F593"/>
    <hyperlink r:id="rId1784" ref="G593"/>
    <hyperlink r:id="rId1785" ref="H593"/>
    <hyperlink r:id="rId1786" ref="F594"/>
    <hyperlink r:id="rId1787" ref="G594"/>
    <hyperlink r:id="rId1788" ref="H594"/>
    <hyperlink r:id="rId1789" ref="F595"/>
    <hyperlink r:id="rId1790" ref="G595"/>
    <hyperlink r:id="rId1791" ref="H595"/>
    <hyperlink r:id="rId1792" ref="F596"/>
    <hyperlink r:id="rId1793" ref="G596"/>
    <hyperlink r:id="rId1794" ref="H596"/>
    <hyperlink r:id="rId1795" ref="F597"/>
    <hyperlink r:id="rId1796" ref="G597"/>
    <hyperlink r:id="rId1797" ref="H597"/>
    <hyperlink r:id="rId1798" ref="F598"/>
    <hyperlink r:id="rId1799" ref="G598"/>
    <hyperlink r:id="rId1800" ref="H598"/>
    <hyperlink r:id="rId1801" ref="F599"/>
    <hyperlink r:id="rId1802" ref="G599"/>
    <hyperlink r:id="rId1803" ref="H599"/>
    <hyperlink r:id="rId1804" ref="F600"/>
    <hyperlink r:id="rId1805" ref="G600"/>
    <hyperlink r:id="rId1806" ref="H600"/>
    <hyperlink r:id="rId1807" ref="F601"/>
    <hyperlink r:id="rId1808" ref="G601"/>
    <hyperlink r:id="rId1809" ref="H601"/>
    <hyperlink r:id="rId1810" ref="F602"/>
    <hyperlink r:id="rId1811" ref="G602"/>
    <hyperlink r:id="rId1812" ref="H602"/>
    <hyperlink r:id="rId1813" ref="F603"/>
    <hyperlink r:id="rId1814" ref="G603"/>
    <hyperlink r:id="rId1815" ref="H603"/>
    <hyperlink r:id="rId1816" ref="F604"/>
    <hyperlink r:id="rId1817" ref="G604"/>
    <hyperlink r:id="rId1818" ref="H604"/>
    <hyperlink r:id="rId1819" ref="F605"/>
    <hyperlink r:id="rId1820" ref="G605"/>
    <hyperlink r:id="rId1821" ref="H605"/>
    <hyperlink r:id="rId1822" ref="F606"/>
    <hyperlink r:id="rId1823" ref="G606"/>
    <hyperlink r:id="rId1824" ref="H606"/>
    <hyperlink r:id="rId1825" ref="F607"/>
    <hyperlink r:id="rId1826" ref="G607"/>
    <hyperlink r:id="rId1827" ref="H607"/>
    <hyperlink r:id="rId1828" ref="F608"/>
    <hyperlink r:id="rId1829" ref="G608"/>
    <hyperlink r:id="rId1830" ref="H608"/>
    <hyperlink r:id="rId1831" ref="F609"/>
    <hyperlink r:id="rId1832" ref="G609"/>
    <hyperlink r:id="rId1833" ref="H609"/>
    <hyperlink r:id="rId1834" ref="F610"/>
    <hyperlink r:id="rId1835" ref="G610"/>
    <hyperlink r:id="rId1836" ref="H610"/>
    <hyperlink r:id="rId1837" ref="F611"/>
    <hyperlink r:id="rId1838" ref="G611"/>
    <hyperlink r:id="rId1839" ref="H611"/>
    <hyperlink r:id="rId1840" ref="F612"/>
    <hyperlink r:id="rId1841" ref="G612"/>
    <hyperlink r:id="rId1842" ref="H612"/>
    <hyperlink r:id="rId1843" ref="F613"/>
    <hyperlink r:id="rId1844" ref="G613"/>
    <hyperlink r:id="rId1845" ref="H613"/>
    <hyperlink r:id="rId1846" ref="F614"/>
    <hyperlink r:id="rId1847" ref="G614"/>
    <hyperlink r:id="rId1848" ref="H614"/>
    <hyperlink r:id="rId1849" ref="F615"/>
    <hyperlink r:id="rId1850" ref="G615"/>
    <hyperlink r:id="rId1851" ref="H615"/>
    <hyperlink r:id="rId1852" ref="F616"/>
    <hyperlink r:id="rId1853" ref="G616"/>
    <hyperlink r:id="rId1854" ref="H616"/>
    <hyperlink r:id="rId1855" ref="F617"/>
    <hyperlink r:id="rId1856" ref="G617"/>
    <hyperlink r:id="rId1857" ref="H617"/>
    <hyperlink r:id="rId1858" ref="F618"/>
    <hyperlink r:id="rId1859" ref="G618"/>
    <hyperlink r:id="rId1860" ref="H618"/>
    <hyperlink r:id="rId1861" ref="F619"/>
    <hyperlink r:id="rId1862" ref="G619"/>
    <hyperlink r:id="rId1863" ref="H619"/>
    <hyperlink r:id="rId1864" ref="F620"/>
    <hyperlink r:id="rId1865" ref="G620"/>
    <hyperlink r:id="rId1866" ref="H620"/>
    <hyperlink r:id="rId1867" ref="F621"/>
    <hyperlink r:id="rId1868" ref="G621"/>
    <hyperlink r:id="rId1869" ref="H621"/>
    <hyperlink r:id="rId1870" ref="F622"/>
    <hyperlink r:id="rId1871" ref="G622"/>
    <hyperlink r:id="rId1872" ref="H622"/>
    <hyperlink r:id="rId1873" ref="F623"/>
    <hyperlink r:id="rId1874" ref="G623"/>
    <hyperlink r:id="rId1875" ref="H623"/>
    <hyperlink r:id="rId1876" ref="F624"/>
    <hyperlink r:id="rId1877" ref="G624"/>
    <hyperlink r:id="rId1878" ref="H624"/>
    <hyperlink r:id="rId1879" ref="F625"/>
    <hyperlink r:id="rId1880" ref="G625"/>
    <hyperlink r:id="rId1881" ref="H625"/>
    <hyperlink r:id="rId1882" ref="F626"/>
    <hyperlink r:id="rId1883" ref="G626"/>
    <hyperlink r:id="rId1884" ref="H626"/>
    <hyperlink r:id="rId1885" ref="F627"/>
    <hyperlink r:id="rId1886" ref="G627"/>
    <hyperlink r:id="rId1887" ref="H627"/>
    <hyperlink r:id="rId1888" ref="F628"/>
    <hyperlink r:id="rId1889" ref="G628"/>
    <hyperlink r:id="rId1890" ref="H628"/>
    <hyperlink r:id="rId1891" ref="F629"/>
    <hyperlink r:id="rId1892" ref="G629"/>
    <hyperlink r:id="rId1893" ref="H629"/>
    <hyperlink r:id="rId1894" ref="F630"/>
    <hyperlink r:id="rId1895" ref="G630"/>
    <hyperlink r:id="rId1896" ref="H630"/>
    <hyperlink r:id="rId1897" ref="F631"/>
    <hyperlink r:id="rId1898" ref="G631"/>
    <hyperlink r:id="rId1899" ref="H631"/>
    <hyperlink r:id="rId1900" ref="F632"/>
    <hyperlink r:id="rId1901" ref="G632"/>
    <hyperlink r:id="rId1902" ref="H632"/>
    <hyperlink r:id="rId1903" ref="F633"/>
    <hyperlink r:id="rId1904" ref="G633"/>
    <hyperlink r:id="rId1905" ref="H633"/>
    <hyperlink r:id="rId1906" ref="F634"/>
    <hyperlink r:id="rId1907" ref="G634"/>
    <hyperlink r:id="rId1908" ref="H634"/>
    <hyperlink r:id="rId1909" ref="F635"/>
    <hyperlink r:id="rId1910" ref="G635"/>
    <hyperlink r:id="rId1911" ref="H635"/>
    <hyperlink r:id="rId1912" ref="F636"/>
    <hyperlink r:id="rId1913" ref="G636"/>
    <hyperlink r:id="rId1914" ref="H636"/>
    <hyperlink r:id="rId1915" ref="F637"/>
    <hyperlink r:id="rId1916" ref="G637"/>
    <hyperlink r:id="rId1917" ref="H637"/>
    <hyperlink r:id="rId1918" ref="F638"/>
    <hyperlink r:id="rId1919" ref="G638"/>
    <hyperlink r:id="rId1920" ref="H638"/>
    <hyperlink r:id="rId1921" ref="F639"/>
    <hyperlink r:id="rId1922" ref="G639"/>
    <hyperlink r:id="rId1923" ref="H639"/>
    <hyperlink r:id="rId1924" ref="F640"/>
    <hyperlink r:id="rId1925" ref="G640"/>
    <hyperlink r:id="rId1926" ref="H640"/>
    <hyperlink r:id="rId1927" ref="F641"/>
    <hyperlink r:id="rId1928" ref="G641"/>
    <hyperlink r:id="rId1929" ref="H641"/>
    <hyperlink r:id="rId1930" ref="F642"/>
    <hyperlink r:id="rId1931" ref="G642"/>
    <hyperlink r:id="rId1932" ref="H642"/>
    <hyperlink r:id="rId1933" ref="F643"/>
    <hyperlink r:id="rId1934" ref="G643"/>
    <hyperlink r:id="rId1935" ref="H643"/>
    <hyperlink r:id="rId1936" ref="F644"/>
    <hyperlink r:id="rId1937" ref="G644"/>
    <hyperlink r:id="rId1938" ref="H644"/>
    <hyperlink r:id="rId1939" ref="F645"/>
    <hyperlink r:id="rId1940" ref="G645"/>
    <hyperlink r:id="rId1941" ref="H645"/>
    <hyperlink r:id="rId1942" ref="F646"/>
    <hyperlink r:id="rId1943" ref="G646"/>
    <hyperlink r:id="rId1944" ref="H646"/>
    <hyperlink r:id="rId1945" ref="F647"/>
    <hyperlink r:id="rId1946" ref="G647"/>
    <hyperlink r:id="rId1947" ref="H647"/>
    <hyperlink r:id="rId1948" ref="F648"/>
    <hyperlink r:id="rId1949" ref="G648"/>
    <hyperlink r:id="rId1950" ref="H648"/>
    <hyperlink r:id="rId1951" ref="F649"/>
    <hyperlink r:id="rId1952" ref="G649"/>
    <hyperlink r:id="rId1953" ref="H649"/>
    <hyperlink r:id="rId1954" ref="F650"/>
    <hyperlink r:id="rId1955" ref="G650"/>
    <hyperlink r:id="rId1956" ref="H650"/>
    <hyperlink r:id="rId1957" ref="F651"/>
    <hyperlink r:id="rId1958" ref="G651"/>
    <hyperlink r:id="rId1959" ref="H651"/>
    <hyperlink r:id="rId1960" ref="F652"/>
    <hyperlink r:id="rId1961" ref="G652"/>
    <hyperlink r:id="rId1962" ref="H652"/>
    <hyperlink r:id="rId1963" ref="F653"/>
    <hyperlink r:id="rId1964" ref="G653"/>
    <hyperlink r:id="rId1965" ref="H653"/>
    <hyperlink r:id="rId1966" ref="F654"/>
    <hyperlink r:id="rId1967" ref="G654"/>
    <hyperlink r:id="rId1968" ref="H654"/>
    <hyperlink r:id="rId1969" ref="F655"/>
    <hyperlink r:id="rId1970" ref="G655"/>
    <hyperlink r:id="rId1971" ref="H655"/>
    <hyperlink r:id="rId1972" ref="F656"/>
    <hyperlink r:id="rId1973" ref="G656"/>
    <hyperlink r:id="rId1974" ref="H656"/>
    <hyperlink r:id="rId1975" ref="F657"/>
    <hyperlink r:id="rId1976" ref="G657"/>
    <hyperlink r:id="rId1977" ref="H657"/>
    <hyperlink r:id="rId1978" ref="F658"/>
    <hyperlink r:id="rId1979" ref="G658"/>
    <hyperlink r:id="rId1980" ref="H658"/>
    <hyperlink r:id="rId1981" ref="F659"/>
    <hyperlink r:id="rId1982" ref="G659"/>
    <hyperlink r:id="rId1983" ref="H659"/>
    <hyperlink r:id="rId1984" ref="F660"/>
    <hyperlink r:id="rId1985" ref="G660"/>
    <hyperlink r:id="rId1986" ref="H660"/>
    <hyperlink r:id="rId1987" ref="F661"/>
    <hyperlink r:id="rId1988" ref="G661"/>
    <hyperlink r:id="rId1989" ref="H661"/>
    <hyperlink r:id="rId1990" ref="F662"/>
    <hyperlink r:id="rId1991" ref="G662"/>
    <hyperlink r:id="rId1992" ref="H662"/>
    <hyperlink r:id="rId1993" ref="F663"/>
    <hyperlink r:id="rId1994" ref="G663"/>
    <hyperlink r:id="rId1995" ref="H663"/>
    <hyperlink r:id="rId1996" ref="D664"/>
    <hyperlink r:id="rId1997" ref="F664"/>
    <hyperlink r:id="rId1998" ref="G664"/>
    <hyperlink r:id="rId1999" ref="H664"/>
    <hyperlink r:id="rId2000" ref="F665"/>
    <hyperlink r:id="rId2001" ref="G665"/>
    <hyperlink r:id="rId2002" ref="H665"/>
    <hyperlink r:id="rId2003" ref="F666"/>
    <hyperlink r:id="rId2004" ref="G666"/>
    <hyperlink r:id="rId2005" ref="H666"/>
    <hyperlink r:id="rId2006" ref="F667"/>
    <hyperlink r:id="rId2007" ref="G667"/>
    <hyperlink r:id="rId2008" ref="H667"/>
    <hyperlink r:id="rId2009" ref="F668"/>
    <hyperlink r:id="rId2010" ref="G668"/>
    <hyperlink r:id="rId2011" ref="H668"/>
    <hyperlink r:id="rId2012" ref="F669"/>
    <hyperlink r:id="rId2013" ref="G669"/>
    <hyperlink r:id="rId2014" ref="H669"/>
    <hyperlink r:id="rId2015" ref="F670"/>
    <hyperlink r:id="rId2016" ref="G670"/>
    <hyperlink r:id="rId2017" ref="H670"/>
    <hyperlink r:id="rId2018" ref="F671"/>
    <hyperlink r:id="rId2019" ref="G671"/>
    <hyperlink r:id="rId2020" ref="H671"/>
    <hyperlink r:id="rId2021" ref="D672"/>
    <hyperlink r:id="rId2022" ref="F672"/>
    <hyperlink r:id="rId2023" ref="G672"/>
    <hyperlink r:id="rId2024" ref="H672"/>
    <hyperlink r:id="rId2025" ref="F673"/>
    <hyperlink r:id="rId2026" ref="G673"/>
    <hyperlink r:id="rId2027" ref="H673"/>
    <hyperlink r:id="rId2028" ref="F674"/>
    <hyperlink r:id="rId2029" ref="G674"/>
    <hyperlink r:id="rId2030" ref="H674"/>
    <hyperlink r:id="rId2031" ref="F675"/>
    <hyperlink r:id="rId2032" ref="G675"/>
    <hyperlink r:id="rId2033" ref="H675"/>
    <hyperlink r:id="rId2034" ref="F676"/>
    <hyperlink r:id="rId2035" ref="G676"/>
    <hyperlink r:id="rId2036" ref="H676"/>
    <hyperlink r:id="rId2037" ref="F677"/>
    <hyperlink r:id="rId2038" ref="G677"/>
    <hyperlink r:id="rId2039" ref="H677"/>
    <hyperlink r:id="rId2040" ref="F678"/>
    <hyperlink r:id="rId2041" ref="G678"/>
    <hyperlink r:id="rId2042" ref="H678"/>
    <hyperlink r:id="rId2043" ref="F679"/>
    <hyperlink r:id="rId2044" ref="G679"/>
    <hyperlink r:id="rId2045" ref="H679"/>
    <hyperlink r:id="rId2046" ref="F680"/>
    <hyperlink r:id="rId2047" ref="G680"/>
    <hyperlink r:id="rId2048" ref="H680"/>
    <hyperlink r:id="rId2049" ref="F681"/>
    <hyperlink r:id="rId2050" ref="G681"/>
    <hyperlink r:id="rId2051" ref="H681"/>
    <hyperlink r:id="rId2052" ref="F682"/>
    <hyperlink r:id="rId2053" ref="G682"/>
    <hyperlink r:id="rId2054" ref="H682"/>
    <hyperlink r:id="rId2055" ref="F683"/>
    <hyperlink r:id="rId2056" ref="G683"/>
    <hyperlink r:id="rId2057" ref="H683"/>
    <hyperlink r:id="rId2058" ref="F684"/>
    <hyperlink r:id="rId2059" ref="G684"/>
    <hyperlink r:id="rId2060" ref="H684"/>
    <hyperlink r:id="rId2061" ref="F685"/>
    <hyperlink r:id="rId2062" ref="G685"/>
    <hyperlink r:id="rId2063" ref="H685"/>
    <hyperlink r:id="rId2064" ref="F686"/>
    <hyperlink r:id="rId2065" ref="G686"/>
    <hyperlink r:id="rId2066" ref="H686"/>
    <hyperlink r:id="rId2067" ref="F687"/>
    <hyperlink r:id="rId2068" ref="G687"/>
    <hyperlink r:id="rId2069" ref="H687"/>
    <hyperlink r:id="rId2070" ref="F688"/>
    <hyperlink r:id="rId2071" ref="G688"/>
    <hyperlink r:id="rId2072" ref="H688"/>
    <hyperlink r:id="rId2073" ref="F689"/>
    <hyperlink r:id="rId2074" ref="G689"/>
    <hyperlink r:id="rId2075" ref="H689"/>
    <hyperlink r:id="rId2076" ref="F690"/>
    <hyperlink r:id="rId2077" ref="G690"/>
    <hyperlink r:id="rId2078" ref="H690"/>
    <hyperlink r:id="rId2079" ref="F691"/>
    <hyperlink r:id="rId2080" ref="G691"/>
    <hyperlink r:id="rId2081" ref="H691"/>
    <hyperlink r:id="rId2082" ref="F692"/>
    <hyperlink r:id="rId2083" ref="G692"/>
    <hyperlink r:id="rId2084" ref="H692"/>
    <hyperlink r:id="rId2085" ref="F693"/>
    <hyperlink r:id="rId2086" ref="G693"/>
    <hyperlink r:id="rId2087" ref="H693"/>
    <hyperlink r:id="rId2088" ref="F694"/>
    <hyperlink r:id="rId2089" ref="G694"/>
    <hyperlink r:id="rId2090" ref="H694"/>
    <hyperlink r:id="rId2091" ref="F695"/>
    <hyperlink r:id="rId2092" ref="G695"/>
    <hyperlink r:id="rId2093" ref="H695"/>
    <hyperlink r:id="rId2094" ref="F696"/>
    <hyperlink r:id="rId2095" ref="G696"/>
    <hyperlink r:id="rId2096" ref="H696"/>
    <hyperlink r:id="rId2097" ref="F697"/>
    <hyperlink r:id="rId2098" ref="G697"/>
    <hyperlink r:id="rId2099" ref="H697"/>
    <hyperlink r:id="rId2100" ref="F698"/>
    <hyperlink r:id="rId2101" ref="G698"/>
    <hyperlink r:id="rId2102" ref="H698"/>
    <hyperlink r:id="rId2103" ref="F699"/>
    <hyperlink r:id="rId2104" ref="G699"/>
    <hyperlink r:id="rId2105" ref="H699"/>
    <hyperlink r:id="rId2106" ref="F700"/>
    <hyperlink r:id="rId2107" ref="G700"/>
    <hyperlink r:id="rId2108" ref="H700"/>
    <hyperlink r:id="rId2109" ref="F701"/>
    <hyperlink r:id="rId2110" ref="G701"/>
    <hyperlink r:id="rId2111" ref="H701"/>
    <hyperlink r:id="rId2112" ref="F702"/>
    <hyperlink r:id="rId2113" ref="G702"/>
    <hyperlink r:id="rId2114" ref="H702"/>
    <hyperlink r:id="rId2115" ref="F703"/>
    <hyperlink r:id="rId2116" ref="G703"/>
    <hyperlink r:id="rId2117" ref="H703"/>
    <hyperlink r:id="rId2118" ref="D704"/>
    <hyperlink r:id="rId2119" ref="F704"/>
    <hyperlink r:id="rId2120" ref="G704"/>
    <hyperlink r:id="rId2121" ref="H704"/>
    <hyperlink r:id="rId2122" ref="F705"/>
    <hyperlink r:id="rId2123" ref="G705"/>
    <hyperlink r:id="rId2124" ref="H705"/>
    <hyperlink r:id="rId2125" ref="F706"/>
    <hyperlink r:id="rId2126" ref="G706"/>
    <hyperlink r:id="rId2127" ref="H706"/>
    <hyperlink r:id="rId2128" ref="F707"/>
    <hyperlink r:id="rId2129" ref="G707"/>
    <hyperlink r:id="rId2130" ref="H707"/>
    <hyperlink r:id="rId2131" ref="F708"/>
    <hyperlink r:id="rId2132" ref="G708"/>
    <hyperlink r:id="rId2133" ref="H708"/>
    <hyperlink r:id="rId2134" ref="F709"/>
    <hyperlink r:id="rId2135" ref="G709"/>
    <hyperlink r:id="rId2136" ref="H709"/>
    <hyperlink r:id="rId2137" ref="F710"/>
    <hyperlink r:id="rId2138" ref="G710"/>
    <hyperlink r:id="rId2139" ref="H710"/>
    <hyperlink r:id="rId2140" ref="F711"/>
    <hyperlink r:id="rId2141" ref="G711"/>
    <hyperlink r:id="rId2142" ref="H711"/>
    <hyperlink r:id="rId2143" ref="F712"/>
    <hyperlink r:id="rId2144" ref="G712"/>
    <hyperlink r:id="rId2145" ref="H712"/>
    <hyperlink r:id="rId2146" ref="F713"/>
    <hyperlink r:id="rId2147" ref="G713"/>
    <hyperlink r:id="rId2148" ref="H713"/>
    <hyperlink r:id="rId2149" ref="F714"/>
    <hyperlink r:id="rId2150" ref="G714"/>
    <hyperlink r:id="rId2151" ref="H714"/>
    <hyperlink r:id="rId2152" ref="F715"/>
    <hyperlink r:id="rId2153" ref="G715"/>
    <hyperlink r:id="rId2154" ref="H715"/>
    <hyperlink r:id="rId2155" ref="F716"/>
    <hyperlink r:id="rId2156" ref="G716"/>
    <hyperlink r:id="rId2157" ref="H716"/>
    <hyperlink r:id="rId2158" ref="F717"/>
    <hyperlink r:id="rId2159" ref="G717"/>
    <hyperlink r:id="rId2160" ref="H717"/>
    <hyperlink r:id="rId2161" ref="F718"/>
    <hyperlink r:id="rId2162" ref="G718"/>
    <hyperlink r:id="rId2163" ref="H718"/>
    <hyperlink r:id="rId2164" ref="F719"/>
    <hyperlink r:id="rId2165" ref="G719"/>
    <hyperlink r:id="rId2166" ref="H719"/>
    <hyperlink r:id="rId2167" ref="F720"/>
    <hyperlink r:id="rId2168" ref="G720"/>
    <hyperlink r:id="rId2169" ref="H720"/>
    <hyperlink r:id="rId2170" ref="F721"/>
    <hyperlink r:id="rId2171" ref="G721"/>
    <hyperlink r:id="rId2172" ref="H721"/>
    <hyperlink r:id="rId2173" ref="F722"/>
    <hyperlink r:id="rId2174" ref="G722"/>
    <hyperlink r:id="rId2175" ref="H722"/>
    <hyperlink r:id="rId2176" ref="F723"/>
    <hyperlink r:id="rId2177" ref="G723"/>
    <hyperlink r:id="rId2178" ref="H723"/>
    <hyperlink r:id="rId2179" ref="F724"/>
    <hyperlink r:id="rId2180" ref="G724"/>
    <hyperlink r:id="rId2181" ref="H724"/>
    <hyperlink r:id="rId2182" ref="F725"/>
    <hyperlink r:id="rId2183" ref="G725"/>
    <hyperlink r:id="rId2184" ref="H725"/>
    <hyperlink r:id="rId2185" ref="F726"/>
    <hyperlink r:id="rId2186" ref="G726"/>
    <hyperlink r:id="rId2187" ref="H726"/>
    <hyperlink r:id="rId2188" ref="F727"/>
    <hyperlink r:id="rId2189" ref="G727"/>
    <hyperlink r:id="rId2190" ref="H727"/>
    <hyperlink r:id="rId2191" ref="F728"/>
    <hyperlink r:id="rId2192" ref="G728"/>
    <hyperlink r:id="rId2193" ref="H728"/>
    <hyperlink r:id="rId2194" ref="F729"/>
    <hyperlink r:id="rId2195" ref="G729"/>
    <hyperlink r:id="rId2196" ref="H729"/>
    <hyperlink r:id="rId2197" ref="F730"/>
    <hyperlink r:id="rId2198" ref="G730"/>
    <hyperlink r:id="rId2199" ref="H730"/>
    <hyperlink r:id="rId2200" ref="F731"/>
    <hyperlink r:id="rId2201" ref="G731"/>
    <hyperlink r:id="rId2202" ref="H731"/>
    <hyperlink r:id="rId2203" ref="F732"/>
    <hyperlink r:id="rId2204" ref="G732"/>
    <hyperlink r:id="rId2205" ref="H732"/>
    <hyperlink r:id="rId2206" ref="F733"/>
    <hyperlink r:id="rId2207" ref="G733"/>
    <hyperlink r:id="rId2208" ref="H733"/>
    <hyperlink r:id="rId2209" ref="F734"/>
    <hyperlink r:id="rId2210" ref="G734"/>
    <hyperlink r:id="rId2211" ref="H734"/>
    <hyperlink r:id="rId2212" ref="F735"/>
    <hyperlink r:id="rId2213" ref="G735"/>
    <hyperlink r:id="rId2214" ref="H735"/>
    <hyperlink r:id="rId2215" ref="F736"/>
    <hyperlink r:id="rId2216" ref="G736"/>
    <hyperlink r:id="rId2217" ref="H736"/>
    <hyperlink r:id="rId2218" ref="F737"/>
    <hyperlink r:id="rId2219" ref="G737"/>
    <hyperlink r:id="rId2220" ref="H737"/>
    <hyperlink r:id="rId2221" ref="F738"/>
    <hyperlink r:id="rId2222" ref="G738"/>
    <hyperlink r:id="rId2223" ref="H738"/>
    <hyperlink r:id="rId2224" ref="F739"/>
    <hyperlink r:id="rId2225" ref="G739"/>
    <hyperlink r:id="rId2226" ref="H739"/>
    <hyperlink r:id="rId2227" ref="F740"/>
    <hyperlink r:id="rId2228" ref="G740"/>
    <hyperlink r:id="rId2229" ref="H740"/>
    <hyperlink r:id="rId2230" ref="F741"/>
    <hyperlink r:id="rId2231" ref="G741"/>
    <hyperlink r:id="rId2232" ref="H741"/>
    <hyperlink r:id="rId2233" ref="F742"/>
    <hyperlink r:id="rId2234" ref="G742"/>
    <hyperlink r:id="rId2235" ref="H742"/>
    <hyperlink r:id="rId2236" ref="F743"/>
    <hyperlink r:id="rId2237" ref="G743"/>
    <hyperlink r:id="rId2238" ref="H743"/>
    <hyperlink r:id="rId2239" ref="F744"/>
    <hyperlink r:id="rId2240" ref="G744"/>
    <hyperlink r:id="rId2241" ref="H744"/>
    <hyperlink r:id="rId2242" ref="F745"/>
    <hyperlink r:id="rId2243" ref="G745"/>
    <hyperlink r:id="rId2244" ref="H745"/>
    <hyperlink r:id="rId2245" ref="F746"/>
    <hyperlink r:id="rId2246" ref="G746"/>
    <hyperlink r:id="rId2247" ref="H746"/>
    <hyperlink r:id="rId2248" ref="F747"/>
    <hyperlink r:id="rId2249" ref="G747"/>
    <hyperlink r:id="rId2250" ref="H747"/>
    <hyperlink r:id="rId2251" ref="F748"/>
    <hyperlink r:id="rId2252" ref="G748"/>
    <hyperlink r:id="rId2253" ref="H748"/>
    <hyperlink r:id="rId2254" ref="F749"/>
    <hyperlink r:id="rId2255" ref="G749"/>
    <hyperlink r:id="rId2256" ref="H749"/>
    <hyperlink r:id="rId2257" ref="F750"/>
    <hyperlink r:id="rId2258" ref="G750"/>
    <hyperlink r:id="rId2259" ref="H750"/>
    <hyperlink r:id="rId2260" ref="F751"/>
    <hyperlink r:id="rId2261" ref="G751"/>
    <hyperlink r:id="rId2262" ref="H751"/>
    <hyperlink r:id="rId2263" ref="F752"/>
    <hyperlink r:id="rId2264" ref="G752"/>
    <hyperlink r:id="rId2265" ref="H752"/>
    <hyperlink r:id="rId2266" ref="F753"/>
    <hyperlink r:id="rId2267" ref="G753"/>
    <hyperlink r:id="rId2268" ref="H753"/>
    <hyperlink r:id="rId2269" ref="F754"/>
    <hyperlink r:id="rId2270" ref="G754"/>
    <hyperlink r:id="rId2271" ref="H754"/>
    <hyperlink r:id="rId2272" ref="F755"/>
    <hyperlink r:id="rId2273" ref="G755"/>
    <hyperlink r:id="rId2274" ref="H755"/>
    <hyperlink r:id="rId2275" ref="F756"/>
    <hyperlink r:id="rId2276" ref="G756"/>
    <hyperlink r:id="rId2277" ref="H756"/>
    <hyperlink r:id="rId2278" ref="F757"/>
    <hyperlink r:id="rId2279" ref="G757"/>
    <hyperlink r:id="rId2280" ref="H757"/>
    <hyperlink r:id="rId2281" ref="F758"/>
    <hyperlink r:id="rId2282" ref="G758"/>
    <hyperlink r:id="rId2283" ref="H758"/>
    <hyperlink r:id="rId2284" ref="F759"/>
    <hyperlink r:id="rId2285" ref="G759"/>
    <hyperlink r:id="rId2286" ref="H759"/>
    <hyperlink r:id="rId2287" ref="F760"/>
    <hyperlink r:id="rId2288" ref="G760"/>
    <hyperlink r:id="rId2289" ref="H760"/>
    <hyperlink r:id="rId2290" ref="F761"/>
    <hyperlink r:id="rId2291" ref="G761"/>
    <hyperlink r:id="rId2292" ref="H761"/>
    <hyperlink r:id="rId2293" ref="F762"/>
    <hyperlink r:id="rId2294" ref="G762"/>
    <hyperlink r:id="rId2295" ref="H762"/>
    <hyperlink r:id="rId2296" ref="F763"/>
    <hyperlink r:id="rId2297" ref="G763"/>
    <hyperlink r:id="rId2298" ref="H763"/>
    <hyperlink r:id="rId2299" ref="F764"/>
    <hyperlink r:id="rId2300" ref="G764"/>
    <hyperlink r:id="rId2301" ref="H764"/>
    <hyperlink r:id="rId2302" ref="F765"/>
    <hyperlink r:id="rId2303" ref="G765"/>
    <hyperlink r:id="rId2304" ref="H765"/>
    <hyperlink r:id="rId2305" ref="F766"/>
    <hyperlink r:id="rId2306" ref="G766"/>
    <hyperlink r:id="rId2307" ref="H766"/>
    <hyperlink r:id="rId2308" ref="F767"/>
    <hyperlink r:id="rId2309" ref="G767"/>
    <hyperlink r:id="rId2310" ref="H767"/>
    <hyperlink r:id="rId2311" ref="F768"/>
    <hyperlink r:id="rId2312" ref="G768"/>
    <hyperlink r:id="rId2313" ref="H768"/>
    <hyperlink r:id="rId2314" ref="F769"/>
    <hyperlink r:id="rId2315" ref="G769"/>
    <hyperlink r:id="rId2316" ref="H769"/>
    <hyperlink r:id="rId2317" ref="F770"/>
    <hyperlink r:id="rId2318" ref="G770"/>
    <hyperlink r:id="rId2319" ref="H770"/>
    <hyperlink r:id="rId2320" ref="F771"/>
    <hyperlink r:id="rId2321" ref="G771"/>
    <hyperlink r:id="rId2322" ref="H771"/>
    <hyperlink r:id="rId2323" ref="F772"/>
    <hyperlink r:id="rId2324" ref="G772"/>
    <hyperlink r:id="rId2325" ref="H772"/>
    <hyperlink r:id="rId2326" ref="F773"/>
    <hyperlink r:id="rId2327" ref="G773"/>
    <hyperlink r:id="rId2328" ref="H773"/>
    <hyperlink r:id="rId2329" ref="F774"/>
    <hyperlink r:id="rId2330" ref="G774"/>
    <hyperlink r:id="rId2331" ref="H774"/>
    <hyperlink r:id="rId2332" ref="F775"/>
    <hyperlink r:id="rId2333" ref="G775"/>
    <hyperlink r:id="rId2334" ref="H775"/>
    <hyperlink r:id="rId2335" ref="F776"/>
    <hyperlink r:id="rId2336" ref="G776"/>
    <hyperlink r:id="rId2337" ref="H776"/>
    <hyperlink r:id="rId2338" ref="F777"/>
    <hyperlink r:id="rId2339" ref="G777"/>
    <hyperlink r:id="rId2340" ref="H777"/>
    <hyperlink r:id="rId2341" ref="F778"/>
    <hyperlink r:id="rId2342" ref="G778"/>
    <hyperlink r:id="rId2343" ref="H778"/>
    <hyperlink r:id="rId2344" ref="D779"/>
    <hyperlink r:id="rId2345" ref="F779"/>
    <hyperlink r:id="rId2346" ref="G779"/>
    <hyperlink r:id="rId2347" ref="H779"/>
    <hyperlink r:id="rId2348" ref="F780"/>
    <hyperlink r:id="rId2349" ref="G780"/>
    <hyperlink r:id="rId2350" ref="H780"/>
    <hyperlink r:id="rId2351" ref="F781"/>
    <hyperlink r:id="rId2352" ref="G781"/>
    <hyperlink r:id="rId2353" ref="H781"/>
    <hyperlink r:id="rId2354" ref="F782"/>
    <hyperlink r:id="rId2355" ref="G782"/>
    <hyperlink r:id="rId2356" ref="H782"/>
    <hyperlink r:id="rId2357" ref="F783"/>
    <hyperlink r:id="rId2358" ref="G783"/>
    <hyperlink r:id="rId2359" ref="H783"/>
    <hyperlink r:id="rId2360" ref="F784"/>
    <hyperlink r:id="rId2361" ref="G784"/>
    <hyperlink r:id="rId2362" ref="H784"/>
    <hyperlink r:id="rId2363" ref="D785"/>
    <hyperlink r:id="rId2364" ref="F785"/>
    <hyperlink r:id="rId2365" ref="G785"/>
    <hyperlink r:id="rId2366" ref="H785"/>
    <hyperlink r:id="rId2367" ref="F786"/>
    <hyperlink r:id="rId2368" ref="G786"/>
    <hyperlink r:id="rId2369" ref="H786"/>
    <hyperlink r:id="rId2370" ref="F787"/>
    <hyperlink r:id="rId2371" ref="G787"/>
    <hyperlink r:id="rId2372" ref="H787"/>
    <hyperlink r:id="rId2373" ref="F788"/>
    <hyperlink r:id="rId2374" ref="G788"/>
    <hyperlink r:id="rId2375" ref="H788"/>
    <hyperlink r:id="rId2376" ref="F789"/>
    <hyperlink r:id="rId2377" ref="G789"/>
    <hyperlink r:id="rId2378" ref="H789"/>
    <hyperlink r:id="rId2379" ref="F790"/>
    <hyperlink r:id="rId2380" ref="G790"/>
    <hyperlink r:id="rId2381" ref="H790"/>
    <hyperlink r:id="rId2382" ref="F791"/>
    <hyperlink r:id="rId2383" ref="G791"/>
    <hyperlink r:id="rId2384" ref="H791"/>
    <hyperlink r:id="rId2385" ref="F792"/>
    <hyperlink r:id="rId2386" ref="G792"/>
    <hyperlink r:id="rId2387" ref="H792"/>
    <hyperlink r:id="rId2388" ref="F793"/>
    <hyperlink r:id="rId2389" ref="G793"/>
    <hyperlink r:id="rId2390" ref="H793"/>
    <hyperlink r:id="rId2391" ref="F794"/>
    <hyperlink r:id="rId2392" ref="G794"/>
    <hyperlink r:id="rId2393" ref="H794"/>
    <hyperlink r:id="rId2394" ref="F795"/>
    <hyperlink r:id="rId2395" ref="G795"/>
    <hyperlink r:id="rId2396" ref="H795"/>
    <hyperlink r:id="rId2397" ref="F796"/>
    <hyperlink r:id="rId2398" ref="G796"/>
    <hyperlink r:id="rId2399" ref="H796"/>
    <hyperlink r:id="rId2400" ref="F797"/>
    <hyperlink r:id="rId2401" ref="G797"/>
    <hyperlink r:id="rId2402" ref="H797"/>
    <hyperlink r:id="rId2403" ref="F798"/>
    <hyperlink r:id="rId2404" ref="G798"/>
    <hyperlink r:id="rId2405" ref="H798"/>
    <hyperlink r:id="rId2406" ref="F799"/>
    <hyperlink r:id="rId2407" ref="G799"/>
    <hyperlink r:id="rId2408" ref="H799"/>
    <hyperlink r:id="rId2409" ref="F800"/>
    <hyperlink r:id="rId2410" ref="G800"/>
    <hyperlink r:id="rId2411" ref="H800"/>
    <hyperlink r:id="rId2412" ref="F801"/>
    <hyperlink r:id="rId2413" ref="G801"/>
    <hyperlink r:id="rId2414" ref="H801"/>
    <hyperlink r:id="rId2415" ref="F802"/>
    <hyperlink r:id="rId2416" ref="G802"/>
    <hyperlink r:id="rId2417" ref="H802"/>
    <hyperlink r:id="rId2418" ref="F803"/>
    <hyperlink r:id="rId2419" ref="G803"/>
    <hyperlink r:id="rId2420" ref="H803"/>
    <hyperlink r:id="rId2421" ref="F804"/>
    <hyperlink r:id="rId2422" ref="G804"/>
    <hyperlink r:id="rId2423" ref="H804"/>
    <hyperlink r:id="rId2424" ref="F805"/>
    <hyperlink r:id="rId2425" ref="G805"/>
    <hyperlink r:id="rId2426" ref="H805"/>
    <hyperlink r:id="rId2427" ref="F806"/>
    <hyperlink r:id="rId2428" ref="G806"/>
    <hyperlink r:id="rId2429" ref="H806"/>
    <hyperlink r:id="rId2430" ref="F807"/>
    <hyperlink r:id="rId2431" ref="G807"/>
    <hyperlink r:id="rId2432" ref="H807"/>
    <hyperlink r:id="rId2433" ref="F808"/>
    <hyperlink r:id="rId2434" ref="G808"/>
    <hyperlink r:id="rId2435" ref="H808"/>
    <hyperlink r:id="rId2436" ref="F809"/>
    <hyperlink r:id="rId2437" ref="G809"/>
    <hyperlink r:id="rId2438" ref="H809"/>
    <hyperlink r:id="rId2439" ref="F810"/>
    <hyperlink r:id="rId2440" ref="G810"/>
    <hyperlink r:id="rId2441" ref="H810"/>
    <hyperlink r:id="rId2442" ref="F811"/>
    <hyperlink r:id="rId2443" ref="G811"/>
    <hyperlink r:id="rId2444" ref="H811"/>
    <hyperlink r:id="rId2445" ref="F812"/>
    <hyperlink r:id="rId2446" ref="G812"/>
    <hyperlink r:id="rId2447" ref="H812"/>
    <hyperlink r:id="rId2448" ref="F813"/>
    <hyperlink r:id="rId2449" ref="G813"/>
    <hyperlink r:id="rId2450" ref="H813"/>
    <hyperlink r:id="rId2451" ref="F814"/>
    <hyperlink r:id="rId2452" ref="G814"/>
    <hyperlink r:id="rId2453" ref="H814"/>
    <hyperlink r:id="rId2454" ref="F815"/>
    <hyperlink r:id="rId2455" ref="G815"/>
    <hyperlink r:id="rId2456" ref="H815"/>
    <hyperlink r:id="rId2457" ref="F816"/>
    <hyperlink r:id="rId2458" ref="G816"/>
    <hyperlink r:id="rId2459" ref="H816"/>
    <hyperlink r:id="rId2460" ref="F817"/>
    <hyperlink r:id="rId2461" ref="G817"/>
    <hyperlink r:id="rId2462" ref="H817"/>
    <hyperlink r:id="rId2463" ref="F818"/>
    <hyperlink r:id="rId2464" ref="G818"/>
    <hyperlink r:id="rId2465" ref="H818"/>
    <hyperlink r:id="rId2466" ref="F819"/>
    <hyperlink r:id="rId2467" ref="G819"/>
    <hyperlink r:id="rId2468" ref="H819"/>
    <hyperlink r:id="rId2469" ref="F820"/>
    <hyperlink r:id="rId2470" ref="G820"/>
    <hyperlink r:id="rId2471" ref="H820"/>
    <hyperlink r:id="rId2472" ref="F821"/>
    <hyperlink r:id="rId2473" ref="G821"/>
    <hyperlink r:id="rId2474" ref="H821"/>
    <hyperlink r:id="rId2475" ref="F822"/>
    <hyperlink r:id="rId2476" ref="G822"/>
    <hyperlink r:id="rId2477" ref="H822"/>
    <hyperlink r:id="rId2478" ref="F823"/>
    <hyperlink r:id="rId2479" ref="G823"/>
    <hyperlink r:id="rId2480" ref="H823"/>
    <hyperlink r:id="rId2481" ref="F824"/>
    <hyperlink r:id="rId2482" ref="G824"/>
    <hyperlink r:id="rId2483" ref="H824"/>
    <hyperlink r:id="rId2484" ref="F825"/>
    <hyperlink r:id="rId2485" ref="G825"/>
    <hyperlink r:id="rId2486" ref="H825"/>
    <hyperlink r:id="rId2487" ref="F826"/>
    <hyperlink r:id="rId2488" ref="G826"/>
    <hyperlink r:id="rId2489" ref="H826"/>
    <hyperlink r:id="rId2490" ref="F827"/>
    <hyperlink r:id="rId2491" ref="G827"/>
    <hyperlink r:id="rId2492" ref="H827"/>
    <hyperlink r:id="rId2493" ref="F828"/>
    <hyperlink r:id="rId2494" ref="G828"/>
    <hyperlink r:id="rId2495" ref="H828"/>
    <hyperlink r:id="rId2496" ref="F829"/>
    <hyperlink r:id="rId2497" ref="G829"/>
    <hyperlink r:id="rId2498" ref="H829"/>
    <hyperlink r:id="rId2499" ref="F830"/>
    <hyperlink r:id="rId2500" ref="G830"/>
    <hyperlink r:id="rId2501" ref="H830"/>
    <hyperlink r:id="rId2502" ref="F831"/>
    <hyperlink r:id="rId2503" ref="G831"/>
    <hyperlink r:id="rId2504" ref="H831"/>
    <hyperlink r:id="rId2505" ref="D832"/>
    <hyperlink r:id="rId2506" ref="F832"/>
    <hyperlink r:id="rId2507" ref="G832"/>
    <hyperlink r:id="rId2508" ref="H832"/>
    <hyperlink r:id="rId2509" ref="F833"/>
    <hyperlink r:id="rId2510" ref="G833"/>
    <hyperlink r:id="rId2511" ref="H833"/>
    <hyperlink r:id="rId2512" ref="F834"/>
    <hyperlink r:id="rId2513" ref="G834"/>
    <hyperlink r:id="rId2514" ref="H834"/>
    <hyperlink r:id="rId2515" ref="F835"/>
    <hyperlink r:id="rId2516" ref="G835"/>
    <hyperlink r:id="rId2517" ref="H835"/>
    <hyperlink r:id="rId2518" ref="F836"/>
    <hyperlink r:id="rId2519" ref="G836"/>
    <hyperlink r:id="rId2520" ref="H836"/>
    <hyperlink r:id="rId2521" ref="F837"/>
    <hyperlink r:id="rId2522" ref="G837"/>
    <hyperlink r:id="rId2523" ref="H837"/>
    <hyperlink r:id="rId2524" ref="F838"/>
    <hyperlink r:id="rId2525" ref="G838"/>
    <hyperlink r:id="rId2526" ref="H838"/>
    <hyperlink r:id="rId2527" ref="F839"/>
    <hyperlink r:id="rId2528" ref="G839"/>
    <hyperlink r:id="rId2529" ref="H839"/>
    <hyperlink r:id="rId2530" ref="F840"/>
    <hyperlink r:id="rId2531" ref="G840"/>
    <hyperlink r:id="rId2532" ref="H840"/>
    <hyperlink r:id="rId2533" ref="F841"/>
    <hyperlink r:id="rId2534" ref="G841"/>
    <hyperlink r:id="rId2535" ref="H841"/>
    <hyperlink r:id="rId2536" ref="F842"/>
    <hyperlink r:id="rId2537" ref="G842"/>
    <hyperlink r:id="rId2538" ref="H842"/>
    <hyperlink r:id="rId2539" ref="F843"/>
    <hyperlink r:id="rId2540" ref="G843"/>
    <hyperlink r:id="rId2541" ref="H843"/>
    <hyperlink r:id="rId2542" ref="F844"/>
    <hyperlink r:id="rId2543" ref="G844"/>
    <hyperlink r:id="rId2544" ref="H844"/>
    <hyperlink r:id="rId2545" ref="F845"/>
    <hyperlink r:id="rId2546" ref="G845"/>
    <hyperlink r:id="rId2547" ref="H845"/>
    <hyperlink r:id="rId2548" ref="F846"/>
    <hyperlink r:id="rId2549" ref="G846"/>
    <hyperlink r:id="rId2550" ref="H846"/>
    <hyperlink r:id="rId2551" ref="F847"/>
    <hyperlink r:id="rId2552" ref="G847"/>
    <hyperlink r:id="rId2553" ref="H847"/>
    <hyperlink r:id="rId2554" ref="F848"/>
    <hyperlink r:id="rId2555" ref="G848"/>
    <hyperlink r:id="rId2556" ref="H848"/>
    <hyperlink r:id="rId2557" ref="F849"/>
    <hyperlink r:id="rId2558" ref="G849"/>
    <hyperlink r:id="rId2559" ref="H849"/>
    <hyperlink r:id="rId2560" ref="F850"/>
    <hyperlink r:id="rId2561" ref="G850"/>
    <hyperlink r:id="rId2562" ref="H850"/>
    <hyperlink r:id="rId2563" ref="F851"/>
    <hyperlink r:id="rId2564" ref="G851"/>
    <hyperlink r:id="rId2565" ref="H851"/>
    <hyperlink r:id="rId2566" ref="F852"/>
    <hyperlink r:id="rId2567" ref="G852"/>
    <hyperlink r:id="rId2568" ref="H852"/>
    <hyperlink r:id="rId2569" ref="F853"/>
    <hyperlink r:id="rId2570" ref="G853"/>
    <hyperlink r:id="rId2571" ref="H853"/>
    <hyperlink r:id="rId2572" ref="F854"/>
    <hyperlink r:id="rId2573" ref="G854"/>
    <hyperlink r:id="rId2574" ref="H854"/>
    <hyperlink r:id="rId2575" ref="F855"/>
    <hyperlink r:id="rId2576" ref="G855"/>
    <hyperlink r:id="rId2577" ref="H855"/>
    <hyperlink r:id="rId2578" ref="F856"/>
    <hyperlink r:id="rId2579" ref="G856"/>
    <hyperlink r:id="rId2580" ref="H856"/>
    <hyperlink r:id="rId2581" ref="F857"/>
    <hyperlink r:id="rId2582" ref="G857"/>
    <hyperlink r:id="rId2583" ref="H857"/>
    <hyperlink r:id="rId2584" ref="F858"/>
    <hyperlink r:id="rId2585" ref="G858"/>
    <hyperlink r:id="rId2586" ref="H858"/>
    <hyperlink r:id="rId2587" ref="F859"/>
    <hyperlink r:id="rId2588" ref="G859"/>
    <hyperlink r:id="rId2589" ref="H859"/>
    <hyperlink r:id="rId2590" ref="F860"/>
    <hyperlink r:id="rId2591" ref="G860"/>
    <hyperlink r:id="rId2592" ref="H860"/>
    <hyperlink r:id="rId2593" ref="F861"/>
    <hyperlink r:id="rId2594" ref="G861"/>
    <hyperlink r:id="rId2595" ref="H861"/>
    <hyperlink r:id="rId2596" ref="F862"/>
    <hyperlink r:id="rId2597" ref="G862"/>
    <hyperlink r:id="rId2598" ref="H862"/>
    <hyperlink r:id="rId2599" ref="F863"/>
    <hyperlink r:id="rId2600" ref="G863"/>
    <hyperlink r:id="rId2601" ref="H863"/>
    <hyperlink r:id="rId2602" ref="F864"/>
    <hyperlink r:id="rId2603" ref="G864"/>
    <hyperlink r:id="rId2604" ref="H864"/>
    <hyperlink r:id="rId2605" ref="F865"/>
    <hyperlink r:id="rId2606" ref="G865"/>
    <hyperlink r:id="rId2607" ref="H865"/>
    <hyperlink r:id="rId2608" ref="F866"/>
    <hyperlink r:id="rId2609" ref="G866"/>
    <hyperlink r:id="rId2610" ref="H866"/>
    <hyperlink r:id="rId2611" ref="F867"/>
    <hyperlink r:id="rId2612" ref="G867"/>
    <hyperlink r:id="rId2613" ref="H867"/>
    <hyperlink r:id="rId2614" ref="F868"/>
    <hyperlink r:id="rId2615" ref="G868"/>
    <hyperlink r:id="rId2616" ref="H868"/>
    <hyperlink r:id="rId2617" ref="F869"/>
    <hyperlink r:id="rId2618" ref="G869"/>
    <hyperlink r:id="rId2619" ref="H869"/>
    <hyperlink r:id="rId2620" ref="F870"/>
    <hyperlink r:id="rId2621" ref="G870"/>
    <hyperlink r:id="rId2622" ref="H870"/>
    <hyperlink r:id="rId2623" ref="F871"/>
    <hyperlink r:id="rId2624" ref="G871"/>
    <hyperlink r:id="rId2625" ref="H871"/>
    <hyperlink r:id="rId2626" ref="F872"/>
    <hyperlink r:id="rId2627" ref="G872"/>
    <hyperlink r:id="rId2628" ref="H872"/>
    <hyperlink r:id="rId2629" ref="F873"/>
    <hyperlink r:id="rId2630" ref="G873"/>
    <hyperlink r:id="rId2631" ref="H873"/>
    <hyperlink r:id="rId2632" ref="F874"/>
    <hyperlink r:id="rId2633" ref="G874"/>
    <hyperlink r:id="rId2634" ref="H874"/>
    <hyperlink r:id="rId2635" ref="F875"/>
    <hyperlink r:id="rId2636" ref="G875"/>
    <hyperlink r:id="rId2637" ref="H875"/>
    <hyperlink r:id="rId2638" ref="F876"/>
    <hyperlink r:id="rId2639" ref="G876"/>
    <hyperlink r:id="rId2640" ref="H876"/>
    <hyperlink r:id="rId2641" ref="F877"/>
    <hyperlink r:id="rId2642" ref="G877"/>
    <hyperlink r:id="rId2643" ref="H877"/>
    <hyperlink r:id="rId2644" ref="F878"/>
    <hyperlink r:id="rId2645" ref="G878"/>
    <hyperlink r:id="rId2646" ref="H878"/>
    <hyperlink r:id="rId2647" ref="F879"/>
    <hyperlink r:id="rId2648" ref="G879"/>
    <hyperlink r:id="rId2649" ref="H879"/>
    <hyperlink r:id="rId2650" ref="F880"/>
    <hyperlink r:id="rId2651" ref="G880"/>
    <hyperlink r:id="rId2652" ref="H880"/>
    <hyperlink r:id="rId2653" ref="F881"/>
    <hyperlink r:id="rId2654" ref="G881"/>
    <hyperlink r:id="rId2655" ref="H881"/>
    <hyperlink r:id="rId2656" ref="F882"/>
    <hyperlink r:id="rId2657" ref="G882"/>
    <hyperlink r:id="rId2658" ref="H882"/>
    <hyperlink r:id="rId2659" ref="F883"/>
    <hyperlink r:id="rId2660" ref="G883"/>
    <hyperlink r:id="rId2661" ref="H883"/>
    <hyperlink r:id="rId2662" ref="F884"/>
    <hyperlink r:id="rId2663" ref="G884"/>
    <hyperlink r:id="rId2664" ref="H884"/>
    <hyperlink r:id="rId2665" ref="F885"/>
    <hyperlink r:id="rId2666" ref="G885"/>
    <hyperlink r:id="rId2667" ref="H885"/>
    <hyperlink r:id="rId2668" ref="F886"/>
    <hyperlink r:id="rId2669" ref="G886"/>
    <hyperlink r:id="rId2670" ref="H886"/>
    <hyperlink r:id="rId2671" ref="F887"/>
    <hyperlink r:id="rId2672" ref="G887"/>
    <hyperlink r:id="rId2673" ref="H887"/>
    <hyperlink r:id="rId2674" ref="F888"/>
    <hyperlink r:id="rId2675" ref="G888"/>
    <hyperlink r:id="rId2676" ref="H888"/>
    <hyperlink r:id="rId2677" ref="F889"/>
    <hyperlink r:id="rId2678" ref="G889"/>
    <hyperlink r:id="rId2679" ref="H889"/>
    <hyperlink r:id="rId2680" ref="F890"/>
    <hyperlink r:id="rId2681" ref="G890"/>
    <hyperlink r:id="rId2682" ref="H890"/>
    <hyperlink r:id="rId2683" ref="F891"/>
    <hyperlink r:id="rId2684" ref="G891"/>
    <hyperlink r:id="rId2685" ref="H891"/>
    <hyperlink r:id="rId2686" ref="F892"/>
    <hyperlink r:id="rId2687" ref="G892"/>
    <hyperlink r:id="rId2688" ref="H892"/>
    <hyperlink r:id="rId2689" ref="F893"/>
    <hyperlink r:id="rId2690" ref="G893"/>
    <hyperlink r:id="rId2691" ref="H893"/>
    <hyperlink r:id="rId2692" ref="F894"/>
    <hyperlink r:id="rId2693" ref="G894"/>
    <hyperlink r:id="rId2694" ref="H894"/>
    <hyperlink r:id="rId2695" ref="F895"/>
    <hyperlink r:id="rId2696" ref="G895"/>
    <hyperlink r:id="rId2697" ref="H895"/>
    <hyperlink r:id="rId2698" ref="F896"/>
    <hyperlink r:id="rId2699" ref="G896"/>
    <hyperlink r:id="rId2700" ref="H896"/>
    <hyperlink r:id="rId2701" ref="F897"/>
    <hyperlink r:id="rId2702" ref="G897"/>
    <hyperlink r:id="rId2703" ref="H897"/>
    <hyperlink r:id="rId2704" ref="F898"/>
    <hyperlink r:id="rId2705" ref="G898"/>
    <hyperlink r:id="rId2706" ref="H898"/>
    <hyperlink r:id="rId2707" ref="F899"/>
    <hyperlink r:id="rId2708" ref="G899"/>
    <hyperlink r:id="rId2709" ref="H899"/>
    <hyperlink r:id="rId2710" ref="F900"/>
    <hyperlink r:id="rId2711" ref="G900"/>
    <hyperlink r:id="rId2712" ref="H900"/>
    <hyperlink r:id="rId2713" ref="F901"/>
    <hyperlink r:id="rId2714" ref="G901"/>
    <hyperlink r:id="rId2715" ref="H901"/>
    <hyperlink r:id="rId2716" ref="F902"/>
    <hyperlink r:id="rId2717" ref="G902"/>
    <hyperlink r:id="rId2718" ref="H902"/>
    <hyperlink r:id="rId2719" ref="F903"/>
    <hyperlink r:id="rId2720" ref="G903"/>
    <hyperlink r:id="rId2721" ref="H903"/>
    <hyperlink r:id="rId2722" ref="F904"/>
    <hyperlink r:id="rId2723" ref="G904"/>
    <hyperlink r:id="rId2724" ref="H904"/>
    <hyperlink r:id="rId2725" ref="F905"/>
    <hyperlink r:id="rId2726" ref="G905"/>
    <hyperlink r:id="rId2727" ref="H905"/>
    <hyperlink r:id="rId2728" ref="F906"/>
    <hyperlink r:id="rId2729" ref="G906"/>
    <hyperlink r:id="rId2730" ref="H906"/>
    <hyperlink r:id="rId2731" ref="F907"/>
    <hyperlink r:id="rId2732" ref="G907"/>
    <hyperlink r:id="rId2733" ref="H907"/>
    <hyperlink r:id="rId2734" ref="F908"/>
    <hyperlink r:id="rId2735" ref="G908"/>
    <hyperlink r:id="rId2736" ref="H908"/>
    <hyperlink r:id="rId2737" ref="F909"/>
    <hyperlink r:id="rId2738" ref="G909"/>
    <hyperlink r:id="rId2739" ref="H909"/>
    <hyperlink r:id="rId2740" ref="F910"/>
    <hyperlink r:id="rId2741" ref="G910"/>
    <hyperlink r:id="rId2742" ref="H910"/>
    <hyperlink r:id="rId2743" ref="F911"/>
    <hyperlink r:id="rId2744" ref="G911"/>
    <hyperlink r:id="rId2745" ref="H911"/>
    <hyperlink r:id="rId2746" ref="F912"/>
    <hyperlink r:id="rId2747" ref="G912"/>
    <hyperlink r:id="rId2748" ref="H912"/>
    <hyperlink r:id="rId2749" ref="F913"/>
    <hyperlink r:id="rId2750" ref="G913"/>
    <hyperlink r:id="rId2751" ref="H913"/>
    <hyperlink r:id="rId2752" ref="F914"/>
    <hyperlink r:id="rId2753" ref="G914"/>
    <hyperlink r:id="rId2754" ref="H914"/>
    <hyperlink r:id="rId2755" ref="F915"/>
    <hyperlink r:id="rId2756" ref="G915"/>
    <hyperlink r:id="rId2757" ref="H915"/>
    <hyperlink r:id="rId2758" ref="F916"/>
    <hyperlink r:id="rId2759" ref="G916"/>
    <hyperlink r:id="rId2760" ref="H916"/>
    <hyperlink r:id="rId2761" ref="F917"/>
    <hyperlink r:id="rId2762" ref="G917"/>
    <hyperlink r:id="rId2763" ref="H917"/>
    <hyperlink r:id="rId2764" ref="F918"/>
    <hyperlink r:id="rId2765" ref="G918"/>
    <hyperlink r:id="rId2766" ref="H918"/>
    <hyperlink r:id="rId2767" ref="F919"/>
    <hyperlink r:id="rId2768" ref="G919"/>
    <hyperlink r:id="rId2769" ref="H919"/>
    <hyperlink r:id="rId2770" ref="F920"/>
    <hyperlink r:id="rId2771" ref="G920"/>
    <hyperlink r:id="rId2772" ref="H920"/>
    <hyperlink r:id="rId2773" ref="F921"/>
    <hyperlink r:id="rId2774" ref="G921"/>
    <hyperlink r:id="rId2775" ref="H921"/>
    <hyperlink r:id="rId2776" ref="F922"/>
    <hyperlink r:id="rId2777" ref="G922"/>
    <hyperlink r:id="rId2778" ref="H922"/>
    <hyperlink r:id="rId2779" ref="F923"/>
    <hyperlink r:id="rId2780" ref="G923"/>
    <hyperlink r:id="rId2781" ref="H923"/>
    <hyperlink r:id="rId2782" ref="F924"/>
    <hyperlink r:id="rId2783" ref="G924"/>
    <hyperlink r:id="rId2784" ref="H924"/>
    <hyperlink r:id="rId2785" ref="F925"/>
    <hyperlink r:id="rId2786" ref="G925"/>
    <hyperlink r:id="rId2787" ref="H925"/>
    <hyperlink r:id="rId2788" ref="F926"/>
    <hyperlink r:id="rId2789" ref="G926"/>
    <hyperlink r:id="rId2790" ref="H926"/>
    <hyperlink r:id="rId2791" ref="F927"/>
    <hyperlink r:id="rId2792" ref="G927"/>
    <hyperlink r:id="rId2793" ref="H927"/>
    <hyperlink r:id="rId2794" ref="F928"/>
    <hyperlink r:id="rId2795" ref="G928"/>
    <hyperlink r:id="rId2796" ref="H928"/>
    <hyperlink r:id="rId2797" ref="F929"/>
    <hyperlink r:id="rId2798" ref="G929"/>
    <hyperlink r:id="rId2799" ref="H929"/>
    <hyperlink r:id="rId2800" ref="F930"/>
    <hyperlink r:id="rId2801" ref="G930"/>
    <hyperlink r:id="rId2802" ref="H930"/>
    <hyperlink r:id="rId2803" ref="F931"/>
    <hyperlink r:id="rId2804" ref="G931"/>
    <hyperlink r:id="rId2805" ref="H931"/>
    <hyperlink r:id="rId2806" ref="F932"/>
    <hyperlink r:id="rId2807" ref="G932"/>
    <hyperlink r:id="rId2808" ref="H932"/>
    <hyperlink r:id="rId2809" ref="F933"/>
    <hyperlink r:id="rId2810" ref="G933"/>
    <hyperlink r:id="rId2811" ref="H933"/>
    <hyperlink r:id="rId2812" ref="F934"/>
    <hyperlink r:id="rId2813" ref="G934"/>
    <hyperlink r:id="rId2814" ref="H934"/>
    <hyperlink r:id="rId2815" ref="F935"/>
    <hyperlink r:id="rId2816" ref="G935"/>
    <hyperlink r:id="rId2817" ref="H935"/>
    <hyperlink r:id="rId2818" ref="F936"/>
    <hyperlink r:id="rId2819" ref="G936"/>
    <hyperlink r:id="rId2820" ref="H936"/>
    <hyperlink r:id="rId2821" ref="F937"/>
    <hyperlink r:id="rId2822" ref="G937"/>
    <hyperlink r:id="rId2823" ref="H937"/>
    <hyperlink r:id="rId2824" ref="F938"/>
    <hyperlink r:id="rId2825" ref="G938"/>
    <hyperlink r:id="rId2826" ref="H938"/>
    <hyperlink r:id="rId2827" ref="F939"/>
    <hyperlink r:id="rId2828" ref="G939"/>
    <hyperlink r:id="rId2829" ref="H939"/>
    <hyperlink r:id="rId2830" ref="F940"/>
    <hyperlink r:id="rId2831" ref="G940"/>
    <hyperlink r:id="rId2832" ref="H940"/>
    <hyperlink r:id="rId2833" ref="F941"/>
    <hyperlink r:id="rId2834" ref="G941"/>
    <hyperlink r:id="rId2835" ref="H941"/>
    <hyperlink r:id="rId2836" ref="F942"/>
    <hyperlink r:id="rId2837" ref="G942"/>
    <hyperlink r:id="rId2838" ref="H942"/>
    <hyperlink r:id="rId2839" ref="F943"/>
    <hyperlink r:id="rId2840" ref="G943"/>
    <hyperlink r:id="rId2841" ref="H943"/>
    <hyperlink r:id="rId2842" ref="F944"/>
    <hyperlink r:id="rId2843" ref="G944"/>
    <hyperlink r:id="rId2844" ref="H944"/>
    <hyperlink r:id="rId2845" ref="F945"/>
    <hyperlink r:id="rId2846" ref="G945"/>
    <hyperlink r:id="rId2847" ref="H945"/>
    <hyperlink r:id="rId2848" ref="F946"/>
    <hyperlink r:id="rId2849" ref="G946"/>
    <hyperlink r:id="rId2850" ref="H946"/>
    <hyperlink r:id="rId2851" ref="F947"/>
    <hyperlink r:id="rId2852" ref="G947"/>
    <hyperlink r:id="rId2853" ref="H947"/>
    <hyperlink r:id="rId2854" ref="F948"/>
    <hyperlink r:id="rId2855" ref="G948"/>
    <hyperlink r:id="rId2856" ref="H948"/>
    <hyperlink r:id="rId2857" ref="F949"/>
    <hyperlink r:id="rId2858" ref="G949"/>
    <hyperlink r:id="rId2859" ref="H949"/>
    <hyperlink r:id="rId2860" ref="F950"/>
    <hyperlink r:id="rId2861" ref="G950"/>
    <hyperlink r:id="rId2862" ref="H950"/>
    <hyperlink r:id="rId2863" ref="F951"/>
    <hyperlink r:id="rId2864" ref="G951"/>
    <hyperlink r:id="rId2865" ref="H951"/>
    <hyperlink r:id="rId2866" ref="F952"/>
    <hyperlink r:id="rId2867" ref="G952"/>
    <hyperlink r:id="rId2868" ref="H952"/>
    <hyperlink r:id="rId2869" ref="F953"/>
    <hyperlink r:id="rId2870" ref="G953"/>
    <hyperlink r:id="rId2871" ref="H953"/>
    <hyperlink r:id="rId2872" ref="F954"/>
    <hyperlink r:id="rId2873" ref="G954"/>
    <hyperlink r:id="rId2874" ref="H954"/>
    <hyperlink r:id="rId2875" ref="F955"/>
    <hyperlink r:id="rId2876" ref="G955"/>
    <hyperlink r:id="rId2877" ref="H955"/>
    <hyperlink r:id="rId2878" ref="F956"/>
    <hyperlink r:id="rId2879" ref="G956"/>
    <hyperlink r:id="rId2880" ref="H956"/>
    <hyperlink r:id="rId2881" ref="F957"/>
    <hyperlink r:id="rId2882" ref="G957"/>
    <hyperlink r:id="rId2883" ref="H957"/>
    <hyperlink r:id="rId2884" ref="F958"/>
    <hyperlink r:id="rId2885" ref="G958"/>
    <hyperlink r:id="rId2886" ref="H958"/>
    <hyperlink r:id="rId2887" ref="F959"/>
    <hyperlink r:id="rId2888" ref="G959"/>
    <hyperlink r:id="rId2889" ref="H959"/>
    <hyperlink r:id="rId2890" ref="F960"/>
    <hyperlink r:id="rId2891" ref="G960"/>
    <hyperlink r:id="rId2892" ref="H960"/>
    <hyperlink r:id="rId2893" ref="F961"/>
    <hyperlink r:id="rId2894" ref="G961"/>
    <hyperlink r:id="rId2895" ref="H961"/>
    <hyperlink r:id="rId2896" ref="F962"/>
    <hyperlink r:id="rId2897" ref="G962"/>
    <hyperlink r:id="rId2898" ref="H962"/>
    <hyperlink r:id="rId2899" ref="F963"/>
    <hyperlink r:id="rId2900" ref="G963"/>
    <hyperlink r:id="rId2901" ref="H963"/>
    <hyperlink r:id="rId2902" ref="F964"/>
    <hyperlink r:id="rId2903" ref="G964"/>
    <hyperlink r:id="rId2904" ref="H964"/>
    <hyperlink r:id="rId2905" ref="F965"/>
    <hyperlink r:id="rId2906" ref="G965"/>
    <hyperlink r:id="rId2907" ref="H965"/>
    <hyperlink r:id="rId2908" ref="F966"/>
    <hyperlink r:id="rId2909" ref="G966"/>
    <hyperlink r:id="rId2910" ref="H966"/>
    <hyperlink r:id="rId2911" ref="F967"/>
    <hyperlink r:id="rId2912" ref="G967"/>
    <hyperlink r:id="rId2913" ref="H967"/>
    <hyperlink r:id="rId2914" ref="F968"/>
    <hyperlink r:id="rId2915" ref="G968"/>
    <hyperlink r:id="rId2916" ref="H968"/>
    <hyperlink r:id="rId2917" ref="F969"/>
    <hyperlink r:id="rId2918" ref="G969"/>
    <hyperlink r:id="rId2919" ref="H969"/>
    <hyperlink r:id="rId2920" ref="F970"/>
    <hyperlink r:id="rId2921" ref="G970"/>
    <hyperlink r:id="rId2922" ref="H970"/>
    <hyperlink r:id="rId2923" ref="F971"/>
    <hyperlink r:id="rId2924" ref="G971"/>
    <hyperlink r:id="rId2925" ref="H971"/>
    <hyperlink r:id="rId2926" ref="F972"/>
    <hyperlink r:id="rId2927" ref="G972"/>
    <hyperlink r:id="rId2928" ref="H972"/>
    <hyperlink r:id="rId2929" ref="F973"/>
    <hyperlink r:id="rId2930" ref="G973"/>
    <hyperlink r:id="rId2931" ref="H973"/>
    <hyperlink r:id="rId2932" ref="F974"/>
    <hyperlink r:id="rId2933" ref="G974"/>
    <hyperlink r:id="rId2934" ref="H974"/>
    <hyperlink r:id="rId2935" ref="F975"/>
    <hyperlink r:id="rId2936" ref="G975"/>
    <hyperlink r:id="rId2937" ref="H975"/>
    <hyperlink r:id="rId2938" ref="F976"/>
    <hyperlink r:id="rId2939" ref="G976"/>
    <hyperlink r:id="rId2940" ref="H976"/>
    <hyperlink r:id="rId2941" ref="F977"/>
    <hyperlink r:id="rId2942" ref="G977"/>
    <hyperlink r:id="rId2943" ref="H977"/>
    <hyperlink r:id="rId2944" ref="F978"/>
    <hyperlink r:id="rId2945" ref="G978"/>
    <hyperlink r:id="rId2946" ref="H978"/>
    <hyperlink r:id="rId2947" ref="F979"/>
    <hyperlink r:id="rId2948" ref="G979"/>
    <hyperlink r:id="rId2949" ref="H979"/>
    <hyperlink r:id="rId2950" ref="F980"/>
    <hyperlink r:id="rId2951" ref="G980"/>
    <hyperlink r:id="rId2952" ref="H980"/>
    <hyperlink r:id="rId2953" ref="F981"/>
    <hyperlink r:id="rId2954" ref="G981"/>
    <hyperlink r:id="rId2955" ref="H981"/>
    <hyperlink r:id="rId2956" ref="F982"/>
    <hyperlink r:id="rId2957" ref="G982"/>
    <hyperlink r:id="rId2958" ref="H982"/>
    <hyperlink r:id="rId2959" ref="F983"/>
    <hyperlink r:id="rId2960" ref="G983"/>
    <hyperlink r:id="rId2961" ref="H983"/>
    <hyperlink r:id="rId2962" ref="F984"/>
    <hyperlink r:id="rId2963" ref="G984"/>
    <hyperlink r:id="rId2964" ref="H984"/>
    <hyperlink r:id="rId2965" ref="F985"/>
    <hyperlink r:id="rId2966" ref="G985"/>
    <hyperlink r:id="rId2967" ref="H985"/>
    <hyperlink r:id="rId2968" ref="F986"/>
    <hyperlink r:id="rId2969" ref="G986"/>
    <hyperlink r:id="rId2970" ref="H986"/>
    <hyperlink r:id="rId2971" ref="F987"/>
    <hyperlink r:id="rId2972" ref="G987"/>
    <hyperlink r:id="rId2973" ref="H987"/>
    <hyperlink r:id="rId2974" ref="F988"/>
    <hyperlink r:id="rId2975" ref="G988"/>
    <hyperlink r:id="rId2976" ref="H988"/>
    <hyperlink r:id="rId2977" ref="F989"/>
    <hyperlink r:id="rId2978" ref="G989"/>
    <hyperlink r:id="rId2979" ref="H989"/>
    <hyperlink r:id="rId2980" ref="F990"/>
    <hyperlink r:id="rId2981" ref="G990"/>
    <hyperlink r:id="rId2982" ref="H990"/>
    <hyperlink r:id="rId2983" ref="F991"/>
    <hyperlink r:id="rId2984" ref="G991"/>
    <hyperlink r:id="rId2985" ref="H991"/>
    <hyperlink r:id="rId2986" ref="F992"/>
    <hyperlink r:id="rId2987" ref="G992"/>
    <hyperlink r:id="rId2988" ref="H992"/>
    <hyperlink r:id="rId2989" ref="F993"/>
    <hyperlink r:id="rId2990" ref="G993"/>
    <hyperlink r:id="rId2991" ref="H993"/>
    <hyperlink r:id="rId2992" ref="F994"/>
    <hyperlink r:id="rId2993" ref="G994"/>
    <hyperlink r:id="rId2994" ref="H994"/>
    <hyperlink r:id="rId2995" ref="F995"/>
    <hyperlink r:id="rId2996" ref="G995"/>
    <hyperlink r:id="rId2997" ref="H995"/>
    <hyperlink r:id="rId2998" ref="F996"/>
    <hyperlink r:id="rId2999" ref="G996"/>
    <hyperlink r:id="rId3000" ref="H996"/>
    <hyperlink r:id="rId3001" ref="F997"/>
    <hyperlink r:id="rId3002" ref="G997"/>
    <hyperlink r:id="rId3003" ref="H997"/>
    <hyperlink r:id="rId3004" ref="F998"/>
    <hyperlink r:id="rId3005" ref="G998"/>
    <hyperlink r:id="rId3006" ref="H998"/>
    <hyperlink r:id="rId3007" ref="F999"/>
    <hyperlink r:id="rId3008" ref="G999"/>
    <hyperlink r:id="rId3009" ref="H999"/>
    <hyperlink r:id="rId3010" ref="F1000"/>
    <hyperlink r:id="rId3011" ref="G1000"/>
    <hyperlink r:id="rId3012" ref="H1000"/>
    <hyperlink r:id="rId3013" ref="F1001"/>
    <hyperlink r:id="rId3014" ref="G1001"/>
    <hyperlink r:id="rId3015" ref="H1001"/>
    <hyperlink r:id="rId3016" ref="F1002"/>
    <hyperlink r:id="rId3017" ref="G1002"/>
    <hyperlink r:id="rId3018" ref="H1002"/>
    <hyperlink r:id="rId3019" ref="F1003"/>
    <hyperlink r:id="rId3020" ref="G1003"/>
    <hyperlink r:id="rId3021" ref="H1003"/>
    <hyperlink r:id="rId3022" ref="F1004"/>
    <hyperlink r:id="rId3023" ref="G1004"/>
    <hyperlink r:id="rId3024" ref="H1004"/>
    <hyperlink r:id="rId3025" ref="F1005"/>
    <hyperlink r:id="rId3026" ref="G1005"/>
    <hyperlink r:id="rId3027" ref="H1005"/>
    <hyperlink r:id="rId3028" ref="F1006"/>
    <hyperlink r:id="rId3029" ref="G1006"/>
    <hyperlink r:id="rId3030" ref="H1006"/>
    <hyperlink r:id="rId3031" ref="F1007"/>
    <hyperlink r:id="rId3032" ref="G1007"/>
    <hyperlink r:id="rId3033" ref="H1007"/>
    <hyperlink r:id="rId3034" ref="F1008"/>
    <hyperlink r:id="rId3035" ref="G1008"/>
    <hyperlink r:id="rId3036" ref="H1008"/>
    <hyperlink r:id="rId3037" ref="F1009"/>
    <hyperlink r:id="rId3038" ref="G1009"/>
    <hyperlink r:id="rId3039" ref="H1009"/>
    <hyperlink r:id="rId3040" ref="F1010"/>
    <hyperlink r:id="rId3041" ref="G1010"/>
    <hyperlink r:id="rId3042" ref="H1010"/>
    <hyperlink r:id="rId3043" ref="F1011"/>
    <hyperlink r:id="rId3044" ref="G1011"/>
    <hyperlink r:id="rId3045" ref="H1011"/>
    <hyperlink r:id="rId3046" ref="F1012"/>
    <hyperlink r:id="rId3047" ref="G1012"/>
    <hyperlink r:id="rId3048" ref="H1012"/>
    <hyperlink r:id="rId3049" ref="D1013"/>
    <hyperlink r:id="rId3050" ref="F1013"/>
    <hyperlink r:id="rId3051" ref="G1013"/>
    <hyperlink r:id="rId3052" ref="H1013"/>
    <hyperlink r:id="rId3053" ref="F1014"/>
    <hyperlink r:id="rId3054" ref="G1014"/>
    <hyperlink r:id="rId3055" ref="H1014"/>
    <hyperlink r:id="rId3056" ref="F1015"/>
    <hyperlink r:id="rId3057" ref="G1015"/>
    <hyperlink r:id="rId3058" ref="H1015"/>
    <hyperlink r:id="rId3059" ref="F1016"/>
    <hyperlink r:id="rId3060" ref="G1016"/>
    <hyperlink r:id="rId3061" ref="H1016"/>
    <hyperlink r:id="rId3062" ref="F1017"/>
    <hyperlink r:id="rId3063" ref="G1017"/>
    <hyperlink r:id="rId3064" ref="H1017"/>
    <hyperlink r:id="rId3065" ref="F1018"/>
    <hyperlink r:id="rId3066" ref="G1018"/>
    <hyperlink r:id="rId3067" ref="H1018"/>
    <hyperlink r:id="rId3068" ref="F1019"/>
    <hyperlink r:id="rId3069" ref="G1019"/>
    <hyperlink r:id="rId3070" ref="H1019"/>
    <hyperlink r:id="rId3071" ref="D1020"/>
    <hyperlink r:id="rId3072" ref="F1020"/>
    <hyperlink r:id="rId3073" ref="G1020"/>
    <hyperlink r:id="rId3074" ref="H1020"/>
    <hyperlink r:id="rId3075" ref="F1021"/>
    <hyperlink r:id="rId3076" ref="G1021"/>
    <hyperlink r:id="rId3077" ref="H1021"/>
    <hyperlink r:id="rId3078" ref="F1022"/>
    <hyperlink r:id="rId3079" ref="G1022"/>
    <hyperlink r:id="rId3080" ref="H1022"/>
    <hyperlink r:id="rId3081" ref="F1023"/>
    <hyperlink r:id="rId3082" ref="G1023"/>
    <hyperlink r:id="rId3083" ref="H1023"/>
    <hyperlink r:id="rId3084" ref="F1024"/>
    <hyperlink r:id="rId3085" ref="G1024"/>
    <hyperlink r:id="rId3086" ref="H1024"/>
    <hyperlink r:id="rId3087" ref="F1025"/>
    <hyperlink r:id="rId3088" ref="G1025"/>
    <hyperlink r:id="rId3089" ref="H1025"/>
    <hyperlink r:id="rId3090" ref="F1026"/>
    <hyperlink r:id="rId3091" ref="G1026"/>
    <hyperlink r:id="rId3092" ref="H1026"/>
    <hyperlink r:id="rId3093" ref="F1027"/>
    <hyperlink r:id="rId3094" ref="G1027"/>
    <hyperlink r:id="rId3095" ref="H1027"/>
    <hyperlink r:id="rId3096" ref="F1028"/>
    <hyperlink r:id="rId3097" ref="G1028"/>
    <hyperlink r:id="rId3098" ref="H1028"/>
    <hyperlink r:id="rId3099" ref="F1029"/>
    <hyperlink r:id="rId3100" ref="G1029"/>
    <hyperlink r:id="rId3101" ref="H1029"/>
    <hyperlink r:id="rId3102" ref="F1030"/>
    <hyperlink r:id="rId3103" ref="G1030"/>
    <hyperlink r:id="rId3104" ref="H1030"/>
    <hyperlink r:id="rId3105" ref="F1031"/>
    <hyperlink r:id="rId3106" ref="G1031"/>
    <hyperlink r:id="rId3107" ref="H1031"/>
    <hyperlink r:id="rId3108" ref="F1032"/>
    <hyperlink r:id="rId3109" ref="G1032"/>
    <hyperlink r:id="rId3110" ref="H1032"/>
    <hyperlink r:id="rId3111" ref="F1033"/>
    <hyperlink r:id="rId3112" ref="G1033"/>
    <hyperlink r:id="rId3113" ref="H1033"/>
    <hyperlink r:id="rId3114" ref="F1034"/>
    <hyperlink r:id="rId3115" ref="G1034"/>
    <hyperlink r:id="rId3116" ref="H1034"/>
    <hyperlink r:id="rId3117" ref="F1035"/>
    <hyperlink r:id="rId3118" ref="G1035"/>
    <hyperlink r:id="rId3119" ref="H1035"/>
    <hyperlink r:id="rId3120" ref="F1036"/>
    <hyperlink r:id="rId3121" ref="G1036"/>
    <hyperlink r:id="rId3122" ref="H1036"/>
    <hyperlink r:id="rId3123" ref="F1037"/>
    <hyperlink r:id="rId3124" ref="G1037"/>
    <hyperlink r:id="rId3125" ref="H1037"/>
    <hyperlink r:id="rId3126" ref="F1038"/>
    <hyperlink r:id="rId3127" ref="G1038"/>
    <hyperlink r:id="rId3128" ref="H1038"/>
    <hyperlink r:id="rId3129" ref="F1039"/>
    <hyperlink r:id="rId3130" ref="G1039"/>
    <hyperlink r:id="rId3131" ref="H1039"/>
    <hyperlink r:id="rId3132" ref="F1040"/>
    <hyperlink r:id="rId3133" ref="G1040"/>
    <hyperlink r:id="rId3134" ref="H1040"/>
    <hyperlink r:id="rId3135" ref="F1041"/>
    <hyperlink r:id="rId3136" ref="G1041"/>
    <hyperlink r:id="rId3137" ref="H1041"/>
    <hyperlink r:id="rId3138" ref="F1042"/>
    <hyperlink r:id="rId3139" ref="G1042"/>
    <hyperlink r:id="rId3140" ref="H1042"/>
    <hyperlink r:id="rId3141" ref="F1043"/>
    <hyperlink r:id="rId3142" ref="G1043"/>
    <hyperlink r:id="rId3143" ref="H1043"/>
    <hyperlink r:id="rId3144" ref="F1044"/>
    <hyperlink r:id="rId3145" ref="G1044"/>
    <hyperlink r:id="rId3146" ref="H1044"/>
    <hyperlink r:id="rId3147" ref="F1045"/>
    <hyperlink r:id="rId3148" ref="G1045"/>
    <hyperlink r:id="rId3149" ref="H1045"/>
    <hyperlink r:id="rId3150" ref="F1046"/>
    <hyperlink r:id="rId3151" ref="G1046"/>
    <hyperlink r:id="rId3152" ref="H1046"/>
    <hyperlink r:id="rId3153" ref="F1047"/>
    <hyperlink r:id="rId3154" ref="G1047"/>
    <hyperlink r:id="rId3155" ref="H1047"/>
    <hyperlink r:id="rId3156" ref="F1048"/>
    <hyperlink r:id="rId3157" ref="G1048"/>
    <hyperlink r:id="rId3158" ref="H1048"/>
    <hyperlink r:id="rId3159" ref="F1049"/>
    <hyperlink r:id="rId3160" ref="G1049"/>
    <hyperlink r:id="rId3161" ref="H1049"/>
    <hyperlink r:id="rId3162" ref="F1050"/>
    <hyperlink r:id="rId3163" ref="G1050"/>
    <hyperlink r:id="rId3164" ref="H1050"/>
    <hyperlink r:id="rId3165" ref="F1051"/>
    <hyperlink r:id="rId3166" ref="G1051"/>
    <hyperlink r:id="rId3167" ref="H1051"/>
    <hyperlink r:id="rId3168" ref="F1052"/>
    <hyperlink r:id="rId3169" ref="G1052"/>
    <hyperlink r:id="rId3170" ref="H1052"/>
    <hyperlink r:id="rId3171" ref="F1053"/>
    <hyperlink r:id="rId3172" ref="G1053"/>
    <hyperlink r:id="rId3173" ref="H1053"/>
    <hyperlink r:id="rId3174" ref="F1054"/>
    <hyperlink r:id="rId3175" ref="G1054"/>
    <hyperlink r:id="rId3176" ref="H1054"/>
    <hyperlink r:id="rId3177" ref="F1055"/>
    <hyperlink r:id="rId3178" ref="G1055"/>
    <hyperlink r:id="rId3179" ref="H1055"/>
    <hyperlink r:id="rId3180" ref="F1056"/>
    <hyperlink r:id="rId3181" ref="G1056"/>
    <hyperlink r:id="rId3182" ref="H1056"/>
    <hyperlink r:id="rId3183" ref="F1057"/>
    <hyperlink r:id="rId3184" ref="G1057"/>
    <hyperlink r:id="rId3185" ref="H1057"/>
    <hyperlink r:id="rId3186" ref="F1058"/>
    <hyperlink r:id="rId3187" ref="G1058"/>
    <hyperlink r:id="rId3188" ref="H1058"/>
    <hyperlink r:id="rId3189" ref="F1059"/>
    <hyperlink r:id="rId3190" ref="G1059"/>
    <hyperlink r:id="rId3191" ref="H1059"/>
    <hyperlink r:id="rId3192" ref="F1060"/>
    <hyperlink r:id="rId3193" ref="G1060"/>
    <hyperlink r:id="rId3194" ref="H1060"/>
    <hyperlink r:id="rId3195" ref="F1061"/>
    <hyperlink r:id="rId3196" ref="G1061"/>
    <hyperlink r:id="rId3197" ref="H1061"/>
    <hyperlink r:id="rId3198" ref="F1062"/>
    <hyperlink r:id="rId3199" ref="G1062"/>
    <hyperlink r:id="rId3200" ref="H1062"/>
    <hyperlink r:id="rId3201" ref="F1063"/>
    <hyperlink r:id="rId3202" ref="G1063"/>
    <hyperlink r:id="rId3203" ref="H1063"/>
    <hyperlink r:id="rId3204" ref="F1064"/>
    <hyperlink r:id="rId3205" ref="G1064"/>
    <hyperlink r:id="rId3206" ref="H1064"/>
    <hyperlink r:id="rId3207" ref="F1065"/>
    <hyperlink r:id="rId3208" ref="G1065"/>
    <hyperlink r:id="rId3209" ref="H1065"/>
    <hyperlink r:id="rId3210" ref="F1066"/>
    <hyperlink r:id="rId3211" ref="G1066"/>
    <hyperlink r:id="rId3212" ref="H1066"/>
    <hyperlink r:id="rId3213" ref="F1067"/>
    <hyperlink r:id="rId3214" ref="G1067"/>
    <hyperlink r:id="rId3215" ref="H1067"/>
    <hyperlink r:id="rId3216" ref="F1068"/>
    <hyperlink r:id="rId3217" ref="G1068"/>
    <hyperlink r:id="rId3218" ref="H1068"/>
    <hyperlink r:id="rId3219" ref="F1069"/>
    <hyperlink r:id="rId3220" ref="G1069"/>
    <hyperlink r:id="rId3221" ref="H1069"/>
    <hyperlink r:id="rId3222" ref="F1070"/>
    <hyperlink r:id="rId3223" ref="G1070"/>
    <hyperlink r:id="rId3224" ref="H1070"/>
    <hyperlink r:id="rId3225" ref="F1071"/>
    <hyperlink r:id="rId3226" ref="G1071"/>
    <hyperlink r:id="rId3227" ref="H1071"/>
    <hyperlink r:id="rId3228" ref="F1072"/>
    <hyperlink r:id="rId3229" ref="G1072"/>
    <hyperlink r:id="rId3230" ref="H1072"/>
    <hyperlink r:id="rId3231" ref="F1073"/>
    <hyperlink r:id="rId3232" ref="G1073"/>
    <hyperlink r:id="rId3233" ref="H1073"/>
    <hyperlink r:id="rId3234" ref="F1074"/>
    <hyperlink r:id="rId3235" ref="G1074"/>
    <hyperlink r:id="rId3236" ref="H1074"/>
    <hyperlink r:id="rId3237" ref="F1075"/>
    <hyperlink r:id="rId3238" ref="G1075"/>
    <hyperlink r:id="rId3239" ref="H1075"/>
    <hyperlink r:id="rId3240" ref="F1076"/>
    <hyperlink r:id="rId3241" ref="G1076"/>
    <hyperlink r:id="rId3242" ref="H1076"/>
    <hyperlink r:id="rId3243" ref="F1077"/>
    <hyperlink r:id="rId3244" ref="G1077"/>
    <hyperlink r:id="rId3245" ref="H1077"/>
    <hyperlink r:id="rId3246" ref="F1078"/>
    <hyperlink r:id="rId3247" ref="G1078"/>
    <hyperlink r:id="rId3248" ref="H1078"/>
    <hyperlink r:id="rId3249" ref="F1079"/>
    <hyperlink r:id="rId3250" ref="G1079"/>
    <hyperlink r:id="rId3251" ref="H1079"/>
    <hyperlink r:id="rId3252" ref="F1080"/>
    <hyperlink r:id="rId3253" ref="G1080"/>
    <hyperlink r:id="rId3254" ref="H1080"/>
    <hyperlink r:id="rId3255" ref="F1081"/>
    <hyperlink r:id="rId3256" ref="G1081"/>
    <hyperlink r:id="rId3257" ref="H1081"/>
    <hyperlink r:id="rId3258" ref="F1082"/>
    <hyperlink r:id="rId3259" ref="G1082"/>
    <hyperlink r:id="rId3260" ref="H1082"/>
    <hyperlink r:id="rId3261" ref="F1083"/>
    <hyperlink r:id="rId3262" ref="G1083"/>
    <hyperlink r:id="rId3263" ref="H1083"/>
    <hyperlink r:id="rId3264" ref="F1084"/>
    <hyperlink r:id="rId3265" ref="G1084"/>
    <hyperlink r:id="rId3266" ref="H1084"/>
    <hyperlink r:id="rId3267" ref="F1085"/>
    <hyperlink r:id="rId3268" ref="G1085"/>
    <hyperlink r:id="rId3269" ref="H1085"/>
    <hyperlink r:id="rId3270" ref="F1086"/>
    <hyperlink r:id="rId3271" ref="G1086"/>
    <hyperlink r:id="rId3272" ref="H1086"/>
    <hyperlink r:id="rId3273" ref="F1087"/>
    <hyperlink r:id="rId3274" ref="G1087"/>
    <hyperlink r:id="rId3275" ref="H1087"/>
    <hyperlink r:id="rId3276" ref="F1088"/>
    <hyperlink r:id="rId3277" ref="G1088"/>
    <hyperlink r:id="rId3278" ref="H1088"/>
    <hyperlink r:id="rId3279" ref="F1089"/>
    <hyperlink r:id="rId3280" ref="G1089"/>
    <hyperlink r:id="rId3281" ref="H1089"/>
    <hyperlink r:id="rId3282" ref="F1090"/>
    <hyperlink r:id="rId3283" ref="G1090"/>
    <hyperlink r:id="rId3284" ref="H1090"/>
    <hyperlink r:id="rId3285" ref="F1091"/>
    <hyperlink r:id="rId3286" ref="G1091"/>
    <hyperlink r:id="rId3287" ref="H1091"/>
    <hyperlink r:id="rId3288" ref="F1092"/>
    <hyperlink r:id="rId3289" ref="G1092"/>
    <hyperlink r:id="rId3290" ref="H1092"/>
    <hyperlink r:id="rId3291" ref="F1093"/>
    <hyperlink r:id="rId3292" ref="G1093"/>
    <hyperlink r:id="rId3293" ref="H1093"/>
    <hyperlink r:id="rId3294" ref="F1094"/>
    <hyperlink r:id="rId3295" ref="G1094"/>
    <hyperlink r:id="rId3296" ref="H1094"/>
    <hyperlink r:id="rId3297" ref="F1095"/>
    <hyperlink r:id="rId3298" ref="G1095"/>
    <hyperlink r:id="rId3299" ref="H1095"/>
    <hyperlink r:id="rId3300" ref="F1096"/>
    <hyperlink r:id="rId3301" ref="G1096"/>
    <hyperlink r:id="rId3302" ref="H1096"/>
    <hyperlink r:id="rId3303" ref="F1097"/>
    <hyperlink r:id="rId3304" ref="G1097"/>
    <hyperlink r:id="rId3305" ref="H1097"/>
    <hyperlink r:id="rId3306" ref="F1098"/>
    <hyperlink r:id="rId3307" ref="G1098"/>
    <hyperlink r:id="rId3308" ref="H1098"/>
    <hyperlink r:id="rId3309" ref="F1099"/>
    <hyperlink r:id="rId3310" ref="G1099"/>
    <hyperlink r:id="rId3311" ref="H1099"/>
    <hyperlink r:id="rId3312" ref="F1100"/>
    <hyperlink r:id="rId3313" ref="G1100"/>
    <hyperlink r:id="rId3314" ref="H1100"/>
    <hyperlink r:id="rId3315" ref="F1101"/>
    <hyperlink r:id="rId3316" ref="G1101"/>
    <hyperlink r:id="rId3317" ref="H1101"/>
    <hyperlink r:id="rId3318" ref="F1102"/>
    <hyperlink r:id="rId3319" ref="G1102"/>
    <hyperlink r:id="rId3320" ref="H1102"/>
    <hyperlink r:id="rId3321" ref="F1103"/>
    <hyperlink r:id="rId3322" ref="G1103"/>
    <hyperlink r:id="rId3323" ref="H1103"/>
    <hyperlink r:id="rId3324" ref="F1104"/>
    <hyperlink r:id="rId3325" ref="G1104"/>
    <hyperlink r:id="rId3326" ref="H1104"/>
    <hyperlink r:id="rId3327" ref="F1105"/>
    <hyperlink r:id="rId3328" ref="G1105"/>
    <hyperlink r:id="rId3329" ref="H1105"/>
    <hyperlink r:id="rId3330" ref="F1106"/>
    <hyperlink r:id="rId3331" ref="G1106"/>
    <hyperlink r:id="rId3332" ref="H1106"/>
    <hyperlink r:id="rId3333" ref="F1107"/>
    <hyperlink r:id="rId3334" ref="G1107"/>
    <hyperlink r:id="rId3335" ref="H1107"/>
    <hyperlink r:id="rId3336" ref="F1108"/>
    <hyperlink r:id="rId3337" ref="G1108"/>
    <hyperlink r:id="rId3338" ref="H1108"/>
    <hyperlink r:id="rId3339" ref="F1109"/>
    <hyperlink r:id="rId3340" ref="G1109"/>
    <hyperlink r:id="rId3341" ref="H1109"/>
    <hyperlink r:id="rId3342" ref="F1110"/>
    <hyperlink r:id="rId3343" ref="G1110"/>
    <hyperlink r:id="rId3344" ref="H1110"/>
    <hyperlink r:id="rId3345" ref="F1111"/>
    <hyperlink r:id="rId3346" ref="G1111"/>
    <hyperlink r:id="rId3347" ref="H1111"/>
    <hyperlink r:id="rId3348" ref="F1112"/>
    <hyperlink r:id="rId3349" ref="G1112"/>
    <hyperlink r:id="rId3350" ref="H1112"/>
    <hyperlink r:id="rId3351" ref="F1113"/>
    <hyperlink r:id="rId3352" ref="G1113"/>
    <hyperlink r:id="rId3353" ref="H1113"/>
    <hyperlink r:id="rId3354" ref="F1114"/>
    <hyperlink r:id="rId3355" ref="G1114"/>
    <hyperlink r:id="rId3356" ref="H1114"/>
    <hyperlink r:id="rId3357" ref="F1115"/>
    <hyperlink r:id="rId3358" ref="G1115"/>
    <hyperlink r:id="rId3359" ref="H1115"/>
    <hyperlink r:id="rId3360" ref="F1116"/>
    <hyperlink r:id="rId3361" ref="G1116"/>
    <hyperlink r:id="rId3362" ref="H1116"/>
    <hyperlink r:id="rId3363" ref="F1117"/>
    <hyperlink r:id="rId3364" ref="G1117"/>
    <hyperlink r:id="rId3365" ref="H1117"/>
    <hyperlink r:id="rId3366" ref="F1118"/>
    <hyperlink r:id="rId3367" ref="G1118"/>
    <hyperlink r:id="rId3368" ref="H1118"/>
    <hyperlink r:id="rId3369" ref="F1119"/>
    <hyperlink r:id="rId3370" ref="G1119"/>
    <hyperlink r:id="rId3371" ref="H1119"/>
    <hyperlink r:id="rId3372" ref="F1120"/>
    <hyperlink r:id="rId3373" ref="G1120"/>
    <hyperlink r:id="rId3374" ref="H1120"/>
    <hyperlink r:id="rId3375" ref="F1121"/>
    <hyperlink r:id="rId3376" ref="G1121"/>
    <hyperlink r:id="rId3377" ref="H1121"/>
    <hyperlink r:id="rId3378" ref="F1122"/>
    <hyperlink r:id="rId3379" ref="G1122"/>
    <hyperlink r:id="rId3380" ref="H1122"/>
    <hyperlink r:id="rId3381" ref="F1123"/>
    <hyperlink r:id="rId3382" ref="G1123"/>
    <hyperlink r:id="rId3383" ref="H1123"/>
    <hyperlink r:id="rId3384" ref="F1124"/>
    <hyperlink r:id="rId3385" ref="G1124"/>
    <hyperlink r:id="rId3386" ref="H1124"/>
    <hyperlink r:id="rId3387" ref="F1125"/>
    <hyperlink r:id="rId3388" ref="G1125"/>
    <hyperlink r:id="rId3389" ref="H1125"/>
    <hyperlink r:id="rId3390" ref="F1126"/>
    <hyperlink r:id="rId3391" ref="G1126"/>
    <hyperlink r:id="rId3392" ref="H1126"/>
    <hyperlink r:id="rId3393" ref="F1127"/>
    <hyperlink r:id="rId3394" ref="G1127"/>
    <hyperlink r:id="rId3395" ref="H1127"/>
    <hyperlink r:id="rId3396" ref="F1128"/>
    <hyperlink r:id="rId3397" ref="G1128"/>
    <hyperlink r:id="rId3398" ref="H1128"/>
    <hyperlink r:id="rId3399" ref="F1129"/>
    <hyperlink r:id="rId3400" ref="G1129"/>
    <hyperlink r:id="rId3401" ref="H1129"/>
    <hyperlink r:id="rId3402" ref="F1130"/>
    <hyperlink r:id="rId3403" ref="G1130"/>
    <hyperlink r:id="rId3404" ref="H1130"/>
    <hyperlink r:id="rId3405" ref="F1131"/>
    <hyperlink r:id="rId3406" ref="G1131"/>
    <hyperlink r:id="rId3407" ref="H1131"/>
    <hyperlink r:id="rId3408" ref="F1132"/>
    <hyperlink r:id="rId3409" ref="G1132"/>
    <hyperlink r:id="rId3410" ref="H1132"/>
    <hyperlink r:id="rId3411" ref="F1133"/>
    <hyperlink r:id="rId3412" ref="G1133"/>
    <hyperlink r:id="rId3413" ref="H1133"/>
    <hyperlink r:id="rId3414" ref="F1134"/>
    <hyperlink r:id="rId3415" ref="G1134"/>
    <hyperlink r:id="rId3416" ref="H1134"/>
    <hyperlink r:id="rId3417" ref="F1135"/>
    <hyperlink r:id="rId3418" ref="G1135"/>
    <hyperlink r:id="rId3419" ref="H1135"/>
    <hyperlink r:id="rId3420" ref="F1136"/>
    <hyperlink r:id="rId3421" ref="G1136"/>
    <hyperlink r:id="rId3422" ref="H1136"/>
    <hyperlink r:id="rId3423" ref="F1137"/>
    <hyperlink r:id="rId3424" ref="G1137"/>
    <hyperlink r:id="rId3425" ref="H1137"/>
    <hyperlink r:id="rId3426" ref="F1138"/>
    <hyperlink r:id="rId3427" ref="G1138"/>
    <hyperlink r:id="rId3428" ref="H1138"/>
    <hyperlink r:id="rId3429" ref="F1139"/>
    <hyperlink r:id="rId3430" ref="G1139"/>
    <hyperlink r:id="rId3431" ref="H1139"/>
    <hyperlink r:id="rId3432" ref="F1140"/>
    <hyperlink r:id="rId3433" ref="G1140"/>
    <hyperlink r:id="rId3434" ref="H1140"/>
    <hyperlink r:id="rId3435" ref="F1141"/>
    <hyperlink r:id="rId3436" ref="G1141"/>
    <hyperlink r:id="rId3437" ref="H1141"/>
    <hyperlink r:id="rId3438" ref="F1142"/>
    <hyperlink r:id="rId3439" ref="G1142"/>
    <hyperlink r:id="rId3440" ref="H1142"/>
    <hyperlink r:id="rId3441" ref="F1143"/>
    <hyperlink r:id="rId3442" ref="G1143"/>
    <hyperlink r:id="rId3443" ref="H1143"/>
    <hyperlink r:id="rId3444" ref="F1144"/>
    <hyperlink r:id="rId3445" ref="G1144"/>
    <hyperlink r:id="rId3446" ref="H1144"/>
    <hyperlink r:id="rId3447" ref="F1145"/>
    <hyperlink r:id="rId3448" ref="G1145"/>
    <hyperlink r:id="rId3449" ref="H1145"/>
    <hyperlink r:id="rId3450" ref="F1146"/>
    <hyperlink r:id="rId3451" ref="G1146"/>
    <hyperlink r:id="rId3452" ref="H1146"/>
    <hyperlink r:id="rId3453" ref="F1147"/>
    <hyperlink r:id="rId3454" ref="G1147"/>
    <hyperlink r:id="rId3455" ref="H1147"/>
    <hyperlink r:id="rId3456" ref="F1148"/>
    <hyperlink r:id="rId3457" ref="G1148"/>
    <hyperlink r:id="rId3458" ref="H1148"/>
    <hyperlink r:id="rId3459" ref="F1149"/>
    <hyperlink r:id="rId3460" ref="G1149"/>
    <hyperlink r:id="rId3461" ref="H1149"/>
    <hyperlink r:id="rId3462" ref="F1150"/>
    <hyperlink r:id="rId3463" ref="G1150"/>
    <hyperlink r:id="rId3464" ref="H1150"/>
    <hyperlink r:id="rId3465" ref="F1151"/>
    <hyperlink r:id="rId3466" ref="G1151"/>
    <hyperlink r:id="rId3467" ref="H1151"/>
    <hyperlink r:id="rId3468" ref="F1152"/>
    <hyperlink r:id="rId3469" ref="G1152"/>
    <hyperlink r:id="rId3470" ref="H1152"/>
    <hyperlink r:id="rId3471" ref="F1153"/>
    <hyperlink r:id="rId3472" ref="G1153"/>
    <hyperlink r:id="rId3473" ref="H1153"/>
    <hyperlink r:id="rId3474" ref="F1154"/>
    <hyperlink r:id="rId3475" ref="G1154"/>
    <hyperlink r:id="rId3476" ref="H1154"/>
    <hyperlink r:id="rId3477" ref="F1155"/>
    <hyperlink r:id="rId3478" ref="G1155"/>
    <hyperlink r:id="rId3479" ref="H1155"/>
    <hyperlink r:id="rId3480" ref="F1156"/>
    <hyperlink r:id="rId3481" ref="G1156"/>
    <hyperlink r:id="rId3482" ref="H1156"/>
    <hyperlink r:id="rId3483" ref="F1157"/>
    <hyperlink r:id="rId3484" ref="G1157"/>
    <hyperlink r:id="rId3485" ref="H1157"/>
    <hyperlink r:id="rId3486" ref="F1158"/>
    <hyperlink r:id="rId3487" ref="G1158"/>
    <hyperlink r:id="rId3488" ref="H1158"/>
    <hyperlink r:id="rId3489" ref="F1159"/>
    <hyperlink r:id="rId3490" ref="G1159"/>
    <hyperlink r:id="rId3491" ref="H1159"/>
    <hyperlink r:id="rId3492" ref="F1160"/>
    <hyperlink r:id="rId3493" ref="G1160"/>
    <hyperlink r:id="rId3494" ref="H1160"/>
    <hyperlink r:id="rId3495" ref="F1161"/>
    <hyperlink r:id="rId3496" ref="G1161"/>
    <hyperlink r:id="rId3497" ref="H1161"/>
    <hyperlink r:id="rId3498" ref="F1162"/>
    <hyperlink r:id="rId3499" ref="G1162"/>
    <hyperlink r:id="rId3500" ref="H1162"/>
    <hyperlink r:id="rId3501" ref="F1163"/>
    <hyperlink r:id="rId3502" ref="G1163"/>
    <hyperlink r:id="rId3503" ref="H1163"/>
    <hyperlink r:id="rId3504" ref="F1164"/>
    <hyperlink r:id="rId3505" ref="G1164"/>
    <hyperlink r:id="rId3506" ref="H1164"/>
    <hyperlink r:id="rId3507" ref="F1165"/>
    <hyperlink r:id="rId3508" ref="G1165"/>
    <hyperlink r:id="rId3509" ref="H1165"/>
    <hyperlink r:id="rId3510" ref="F1166"/>
    <hyperlink r:id="rId3511" ref="G1166"/>
    <hyperlink r:id="rId3512" ref="H1166"/>
    <hyperlink r:id="rId3513" ref="F1167"/>
    <hyperlink r:id="rId3514" ref="G1167"/>
    <hyperlink r:id="rId3515" ref="H1167"/>
    <hyperlink r:id="rId3516" ref="F1168"/>
    <hyperlink r:id="rId3517" ref="G1168"/>
    <hyperlink r:id="rId3518" ref="H1168"/>
    <hyperlink r:id="rId3519" ref="F1169"/>
    <hyperlink r:id="rId3520" ref="G1169"/>
    <hyperlink r:id="rId3521" ref="H1169"/>
    <hyperlink r:id="rId3522" ref="F1170"/>
    <hyperlink r:id="rId3523" ref="G1170"/>
    <hyperlink r:id="rId3524" ref="H1170"/>
    <hyperlink r:id="rId3525" ref="F1171"/>
    <hyperlink r:id="rId3526" ref="G1171"/>
    <hyperlink r:id="rId3527" ref="H1171"/>
    <hyperlink r:id="rId3528" ref="F1172"/>
    <hyperlink r:id="rId3529" ref="G1172"/>
    <hyperlink r:id="rId3530" ref="H1172"/>
    <hyperlink r:id="rId3531" ref="F1173"/>
    <hyperlink r:id="rId3532" ref="G1173"/>
    <hyperlink r:id="rId3533" ref="H1173"/>
    <hyperlink r:id="rId3534" ref="F1174"/>
    <hyperlink r:id="rId3535" ref="G1174"/>
    <hyperlink r:id="rId3536" ref="H1174"/>
    <hyperlink r:id="rId3537" ref="F1175"/>
    <hyperlink r:id="rId3538" ref="G1175"/>
    <hyperlink r:id="rId3539" ref="H1175"/>
    <hyperlink r:id="rId3540" ref="F1176"/>
    <hyperlink r:id="rId3541" ref="G1176"/>
    <hyperlink r:id="rId3542" ref="H1176"/>
    <hyperlink r:id="rId3543" ref="F1177"/>
    <hyperlink r:id="rId3544" ref="G1177"/>
    <hyperlink r:id="rId3545" ref="H1177"/>
    <hyperlink r:id="rId3546" ref="F1178"/>
    <hyperlink r:id="rId3547" ref="G1178"/>
    <hyperlink r:id="rId3548" ref="H1178"/>
    <hyperlink r:id="rId3549" ref="F1179"/>
    <hyperlink r:id="rId3550" ref="G1179"/>
    <hyperlink r:id="rId3551" ref="H1179"/>
    <hyperlink r:id="rId3552" ref="F1180"/>
    <hyperlink r:id="rId3553" ref="G1180"/>
    <hyperlink r:id="rId3554" ref="H1180"/>
    <hyperlink r:id="rId3555" ref="F1181"/>
    <hyperlink r:id="rId3556" ref="G1181"/>
    <hyperlink r:id="rId3557" ref="H1181"/>
    <hyperlink r:id="rId3558" ref="F1182"/>
    <hyperlink r:id="rId3559" ref="G1182"/>
    <hyperlink r:id="rId3560" ref="H1182"/>
    <hyperlink r:id="rId3561" ref="F1183"/>
    <hyperlink r:id="rId3562" ref="G1183"/>
    <hyperlink r:id="rId3563" ref="H1183"/>
    <hyperlink r:id="rId3564" ref="D1184"/>
    <hyperlink r:id="rId3565" ref="F1184"/>
    <hyperlink r:id="rId3566" ref="G1184"/>
    <hyperlink r:id="rId3567" ref="H1184"/>
    <hyperlink r:id="rId3568" ref="F1185"/>
    <hyperlink r:id="rId3569" ref="G1185"/>
    <hyperlink r:id="rId3570" ref="H1185"/>
    <hyperlink r:id="rId3571" ref="F1186"/>
    <hyperlink r:id="rId3572" ref="G1186"/>
    <hyperlink r:id="rId3573" ref="H1186"/>
    <hyperlink r:id="rId3574" ref="F1187"/>
    <hyperlink r:id="rId3575" ref="G1187"/>
    <hyperlink r:id="rId3576" ref="H1187"/>
    <hyperlink r:id="rId3577" ref="F1188"/>
    <hyperlink r:id="rId3578" ref="G1188"/>
    <hyperlink r:id="rId3579" ref="H1188"/>
    <hyperlink r:id="rId3580" ref="F1189"/>
    <hyperlink r:id="rId3581" ref="G1189"/>
    <hyperlink r:id="rId3582" ref="H1189"/>
    <hyperlink r:id="rId3583" ref="F1190"/>
    <hyperlink r:id="rId3584" ref="G1190"/>
    <hyperlink r:id="rId3585" ref="H1190"/>
    <hyperlink r:id="rId3586" ref="F1191"/>
    <hyperlink r:id="rId3587" ref="G1191"/>
    <hyperlink r:id="rId3588" ref="H1191"/>
    <hyperlink r:id="rId3589" ref="F1192"/>
    <hyperlink r:id="rId3590" ref="G1192"/>
    <hyperlink r:id="rId3591" ref="H1192"/>
    <hyperlink r:id="rId3592" ref="F1193"/>
    <hyperlink r:id="rId3593" ref="G1193"/>
    <hyperlink r:id="rId3594" ref="H1193"/>
    <hyperlink r:id="rId3595" ref="F1194"/>
    <hyperlink r:id="rId3596" ref="G1194"/>
    <hyperlink r:id="rId3597" ref="H1194"/>
    <hyperlink r:id="rId3598" ref="F1195"/>
    <hyperlink r:id="rId3599" ref="G1195"/>
    <hyperlink r:id="rId3600" ref="H1195"/>
    <hyperlink r:id="rId3601" ref="F1196"/>
    <hyperlink r:id="rId3602" ref="G1196"/>
    <hyperlink r:id="rId3603" ref="H1196"/>
    <hyperlink r:id="rId3604" ref="F1197"/>
    <hyperlink r:id="rId3605" ref="G1197"/>
    <hyperlink r:id="rId3606" ref="H1197"/>
    <hyperlink r:id="rId3607" ref="F1198"/>
    <hyperlink r:id="rId3608" ref="G1198"/>
    <hyperlink r:id="rId3609" ref="H1198"/>
    <hyperlink r:id="rId3610" ref="F1199"/>
    <hyperlink r:id="rId3611" ref="G1199"/>
    <hyperlink r:id="rId3612" ref="H1199"/>
    <hyperlink r:id="rId3613" ref="F1200"/>
    <hyperlink r:id="rId3614" ref="G1200"/>
    <hyperlink r:id="rId3615" ref="H1200"/>
    <hyperlink r:id="rId3616" ref="F1201"/>
    <hyperlink r:id="rId3617" ref="G1201"/>
    <hyperlink r:id="rId3618" ref="H1201"/>
    <hyperlink r:id="rId3619" ref="F1202"/>
    <hyperlink r:id="rId3620" ref="G1202"/>
    <hyperlink r:id="rId3621" ref="H1202"/>
    <hyperlink r:id="rId3622" ref="F1203"/>
    <hyperlink r:id="rId3623" ref="G1203"/>
    <hyperlink r:id="rId3624" ref="H1203"/>
    <hyperlink r:id="rId3625" ref="D1204"/>
    <hyperlink r:id="rId3626" ref="F1204"/>
    <hyperlink r:id="rId3627" ref="G1204"/>
    <hyperlink r:id="rId3628" ref="H1204"/>
    <hyperlink r:id="rId3629" ref="F1205"/>
    <hyperlink r:id="rId3630" ref="G1205"/>
    <hyperlink r:id="rId3631" ref="H1205"/>
    <hyperlink r:id="rId3632" ref="F1206"/>
    <hyperlink r:id="rId3633" ref="G1206"/>
    <hyperlink r:id="rId3634" ref="H1206"/>
    <hyperlink r:id="rId3635" ref="F1207"/>
    <hyperlink r:id="rId3636" ref="G1207"/>
    <hyperlink r:id="rId3637" ref="H1207"/>
    <hyperlink r:id="rId3638" ref="F1208"/>
    <hyperlink r:id="rId3639" ref="G1208"/>
    <hyperlink r:id="rId3640" ref="H1208"/>
    <hyperlink r:id="rId3641" ref="F1209"/>
    <hyperlink r:id="rId3642" ref="G1209"/>
    <hyperlink r:id="rId3643" ref="H1209"/>
    <hyperlink r:id="rId3644" ref="F1210"/>
    <hyperlink r:id="rId3645" ref="G1210"/>
    <hyperlink r:id="rId3646" ref="H1210"/>
    <hyperlink r:id="rId3647" ref="F1211"/>
    <hyperlink r:id="rId3648" ref="G1211"/>
    <hyperlink r:id="rId3649" ref="H1211"/>
    <hyperlink r:id="rId3650" ref="F1212"/>
    <hyperlink r:id="rId3651" ref="G1212"/>
    <hyperlink r:id="rId3652" ref="H1212"/>
    <hyperlink r:id="rId3653" ref="F1213"/>
    <hyperlink r:id="rId3654" ref="G1213"/>
    <hyperlink r:id="rId3655" ref="H1213"/>
    <hyperlink r:id="rId3656" ref="F1214"/>
    <hyperlink r:id="rId3657" ref="G1214"/>
    <hyperlink r:id="rId3658" ref="H1214"/>
    <hyperlink r:id="rId3659" ref="F1215"/>
    <hyperlink r:id="rId3660" ref="G1215"/>
    <hyperlink r:id="rId3661" ref="H1215"/>
    <hyperlink r:id="rId3662" ref="F1216"/>
    <hyperlink r:id="rId3663" ref="G1216"/>
    <hyperlink r:id="rId3664" ref="H1216"/>
    <hyperlink r:id="rId3665" ref="F1217"/>
    <hyperlink r:id="rId3666" ref="G1217"/>
    <hyperlink r:id="rId3667" ref="H1217"/>
    <hyperlink r:id="rId3668" ref="F1218"/>
    <hyperlink r:id="rId3669" ref="G1218"/>
    <hyperlink r:id="rId3670" ref="H1218"/>
    <hyperlink r:id="rId3671" ref="F1219"/>
    <hyperlink r:id="rId3672" ref="G1219"/>
    <hyperlink r:id="rId3673" ref="H1219"/>
    <hyperlink r:id="rId3674" ref="F1220"/>
    <hyperlink r:id="rId3675" ref="G1220"/>
    <hyperlink r:id="rId3676" ref="H1220"/>
    <hyperlink r:id="rId3677" ref="F1221"/>
    <hyperlink r:id="rId3678" ref="G1221"/>
    <hyperlink r:id="rId3679" ref="H1221"/>
    <hyperlink r:id="rId3680" ref="F1222"/>
    <hyperlink r:id="rId3681" ref="G1222"/>
    <hyperlink r:id="rId3682" ref="H1222"/>
    <hyperlink r:id="rId3683" ref="F1223"/>
    <hyperlink r:id="rId3684" ref="G1223"/>
    <hyperlink r:id="rId3685" ref="H1223"/>
    <hyperlink r:id="rId3686" ref="F1224"/>
    <hyperlink r:id="rId3687" ref="G1224"/>
    <hyperlink r:id="rId3688" ref="H1224"/>
    <hyperlink r:id="rId3689" ref="F1225"/>
    <hyperlink r:id="rId3690" ref="G1225"/>
    <hyperlink r:id="rId3691" ref="H1225"/>
    <hyperlink r:id="rId3692" ref="F1226"/>
    <hyperlink r:id="rId3693" ref="G1226"/>
    <hyperlink r:id="rId3694" ref="H1226"/>
    <hyperlink r:id="rId3695" ref="F1227"/>
    <hyperlink r:id="rId3696" ref="G1227"/>
    <hyperlink r:id="rId3697" ref="H1227"/>
    <hyperlink r:id="rId3698" ref="F1228"/>
    <hyperlink r:id="rId3699" ref="G1228"/>
    <hyperlink r:id="rId3700" ref="H1228"/>
    <hyperlink r:id="rId3701" ref="F1229"/>
    <hyperlink r:id="rId3702" ref="G1229"/>
    <hyperlink r:id="rId3703" ref="H1229"/>
    <hyperlink r:id="rId3704" ref="F1230"/>
    <hyperlink r:id="rId3705" ref="G1230"/>
    <hyperlink r:id="rId3706" ref="H1230"/>
    <hyperlink r:id="rId3707" ref="F1231"/>
    <hyperlink r:id="rId3708" ref="G1231"/>
    <hyperlink r:id="rId3709" ref="H1231"/>
    <hyperlink r:id="rId3710" ref="F1232"/>
    <hyperlink r:id="rId3711" ref="G1232"/>
    <hyperlink r:id="rId3712" ref="H1232"/>
    <hyperlink r:id="rId3713" ref="F1233"/>
    <hyperlink r:id="rId3714" ref="G1233"/>
    <hyperlink r:id="rId3715" ref="H1233"/>
    <hyperlink r:id="rId3716" ref="F1234"/>
    <hyperlink r:id="rId3717" ref="G1234"/>
    <hyperlink r:id="rId3718" ref="H1234"/>
    <hyperlink r:id="rId3719" ref="F1235"/>
    <hyperlink r:id="rId3720" ref="G1235"/>
    <hyperlink r:id="rId3721" ref="H1235"/>
    <hyperlink r:id="rId3722" ref="F1236"/>
    <hyperlink r:id="rId3723" ref="G1236"/>
    <hyperlink r:id="rId3724" ref="H1236"/>
    <hyperlink r:id="rId3725" ref="F1237"/>
    <hyperlink r:id="rId3726" ref="G1237"/>
    <hyperlink r:id="rId3727" ref="H1237"/>
    <hyperlink r:id="rId3728" ref="F1238"/>
    <hyperlink r:id="rId3729" ref="G1238"/>
    <hyperlink r:id="rId3730" ref="H1238"/>
    <hyperlink r:id="rId3731" ref="F1239"/>
    <hyperlink r:id="rId3732" ref="G1239"/>
    <hyperlink r:id="rId3733" ref="H1239"/>
    <hyperlink r:id="rId3734" ref="D1240"/>
    <hyperlink r:id="rId3735" ref="F1240"/>
    <hyperlink r:id="rId3736" ref="G1240"/>
    <hyperlink r:id="rId3737" ref="H1240"/>
    <hyperlink r:id="rId3738" ref="F1241"/>
    <hyperlink r:id="rId3739" ref="G1241"/>
    <hyperlink r:id="rId3740" ref="H1241"/>
    <hyperlink r:id="rId3741" ref="F1242"/>
    <hyperlink r:id="rId3742" ref="G1242"/>
    <hyperlink r:id="rId3743" ref="H1242"/>
    <hyperlink r:id="rId3744" ref="F1243"/>
    <hyperlink r:id="rId3745" ref="G1243"/>
    <hyperlink r:id="rId3746" ref="H1243"/>
    <hyperlink r:id="rId3747" ref="F1244"/>
    <hyperlink r:id="rId3748" ref="G1244"/>
    <hyperlink r:id="rId3749" ref="H1244"/>
    <hyperlink r:id="rId3750" ref="F1245"/>
    <hyperlink r:id="rId3751" ref="G1245"/>
    <hyperlink r:id="rId3752" ref="H1245"/>
    <hyperlink r:id="rId3753" ref="F1246"/>
    <hyperlink r:id="rId3754" ref="G1246"/>
    <hyperlink r:id="rId3755" ref="H1246"/>
    <hyperlink r:id="rId3756" ref="F1247"/>
    <hyperlink r:id="rId3757" ref="G1247"/>
    <hyperlink r:id="rId3758" ref="H1247"/>
    <hyperlink r:id="rId3759" ref="F1248"/>
    <hyperlink r:id="rId3760" ref="G1248"/>
    <hyperlink r:id="rId3761" ref="H1248"/>
    <hyperlink r:id="rId3762" ref="F1249"/>
    <hyperlink r:id="rId3763" ref="G1249"/>
    <hyperlink r:id="rId3764" ref="H1249"/>
    <hyperlink r:id="rId3765" ref="F1250"/>
    <hyperlink r:id="rId3766" ref="G1250"/>
    <hyperlink r:id="rId3767" ref="H1250"/>
    <hyperlink r:id="rId3768" ref="F1251"/>
    <hyperlink r:id="rId3769" ref="G1251"/>
    <hyperlink r:id="rId3770" ref="H1251"/>
    <hyperlink r:id="rId3771" ref="F1252"/>
    <hyperlink r:id="rId3772" ref="G1252"/>
    <hyperlink r:id="rId3773" ref="H1252"/>
    <hyperlink r:id="rId3774" ref="F1253"/>
    <hyperlink r:id="rId3775" ref="G1253"/>
    <hyperlink r:id="rId3776" ref="H1253"/>
    <hyperlink r:id="rId3777" ref="F1254"/>
    <hyperlink r:id="rId3778" ref="G1254"/>
    <hyperlink r:id="rId3779" ref="H1254"/>
    <hyperlink r:id="rId3780" ref="F1255"/>
    <hyperlink r:id="rId3781" ref="G1255"/>
    <hyperlink r:id="rId3782" ref="H1255"/>
    <hyperlink r:id="rId3783" ref="F1256"/>
    <hyperlink r:id="rId3784" ref="G1256"/>
    <hyperlink r:id="rId3785" ref="H1256"/>
    <hyperlink r:id="rId3786" ref="F1257"/>
    <hyperlink r:id="rId3787" ref="G1257"/>
    <hyperlink r:id="rId3788" ref="H1257"/>
    <hyperlink r:id="rId3789" ref="F1258"/>
    <hyperlink r:id="rId3790" ref="G1258"/>
    <hyperlink r:id="rId3791" ref="H1258"/>
    <hyperlink r:id="rId3792" ref="F1259"/>
    <hyperlink r:id="rId3793" ref="G1259"/>
    <hyperlink r:id="rId3794" ref="H1259"/>
    <hyperlink r:id="rId3795" ref="F1260"/>
    <hyperlink r:id="rId3796" ref="G1260"/>
    <hyperlink r:id="rId3797" ref="H1260"/>
    <hyperlink r:id="rId3798" ref="F1261"/>
    <hyperlink r:id="rId3799" ref="G1261"/>
    <hyperlink r:id="rId3800" ref="H1261"/>
    <hyperlink r:id="rId3801" ref="F1262"/>
    <hyperlink r:id="rId3802" ref="G1262"/>
    <hyperlink r:id="rId3803" ref="H1262"/>
    <hyperlink r:id="rId3804" ref="F1263"/>
    <hyperlink r:id="rId3805" ref="G1263"/>
    <hyperlink r:id="rId3806" ref="H1263"/>
    <hyperlink r:id="rId3807" ref="F1264"/>
    <hyperlink r:id="rId3808" ref="G1264"/>
    <hyperlink r:id="rId3809" ref="H1264"/>
    <hyperlink r:id="rId3810" ref="F1265"/>
    <hyperlink r:id="rId3811" ref="G1265"/>
    <hyperlink r:id="rId3812" ref="H1265"/>
    <hyperlink r:id="rId3813" ref="F1266"/>
    <hyperlink r:id="rId3814" ref="G1266"/>
    <hyperlink r:id="rId3815" ref="H1266"/>
    <hyperlink r:id="rId3816" ref="F1267"/>
    <hyperlink r:id="rId3817" ref="G1267"/>
    <hyperlink r:id="rId3818" ref="H1267"/>
    <hyperlink r:id="rId3819" ref="F1268"/>
    <hyperlink r:id="rId3820" ref="G1268"/>
    <hyperlink r:id="rId3821" ref="H1268"/>
    <hyperlink r:id="rId3822" ref="F1269"/>
    <hyperlink r:id="rId3823" ref="G1269"/>
    <hyperlink r:id="rId3824" ref="H1269"/>
    <hyperlink r:id="rId3825" ref="F1270"/>
    <hyperlink r:id="rId3826" ref="G1270"/>
    <hyperlink r:id="rId3827" ref="H1270"/>
    <hyperlink r:id="rId3828" ref="F1271"/>
    <hyperlink r:id="rId3829" ref="G1271"/>
    <hyperlink r:id="rId3830" ref="H1271"/>
    <hyperlink r:id="rId3831" ref="F1272"/>
    <hyperlink r:id="rId3832" ref="G1272"/>
    <hyperlink r:id="rId3833" ref="H1272"/>
    <hyperlink r:id="rId3834" ref="F1273"/>
    <hyperlink r:id="rId3835" ref="G1273"/>
    <hyperlink r:id="rId3836" ref="H1273"/>
    <hyperlink r:id="rId3837" ref="F1274"/>
    <hyperlink r:id="rId3838" ref="G1274"/>
    <hyperlink r:id="rId3839" ref="H1274"/>
    <hyperlink r:id="rId3840" ref="F1275"/>
    <hyperlink r:id="rId3841" ref="G1275"/>
    <hyperlink r:id="rId3842" ref="H1275"/>
    <hyperlink r:id="rId3843" ref="F1276"/>
    <hyperlink r:id="rId3844" ref="G1276"/>
    <hyperlink r:id="rId3845" ref="H1276"/>
    <hyperlink r:id="rId3846" ref="D1277"/>
    <hyperlink r:id="rId3847" ref="F1277"/>
    <hyperlink r:id="rId3848" ref="G1277"/>
    <hyperlink r:id="rId3849" ref="H1277"/>
    <hyperlink r:id="rId3850" ref="F1278"/>
    <hyperlink r:id="rId3851" ref="G1278"/>
    <hyperlink r:id="rId3852" ref="H1278"/>
    <hyperlink r:id="rId3853" ref="F1279"/>
    <hyperlink r:id="rId3854" ref="G1279"/>
    <hyperlink r:id="rId3855" ref="H1279"/>
    <hyperlink r:id="rId3856" ref="F1280"/>
    <hyperlink r:id="rId3857" ref="G1280"/>
    <hyperlink r:id="rId3858" ref="H1280"/>
    <hyperlink r:id="rId3859" ref="F1281"/>
    <hyperlink r:id="rId3860" ref="G1281"/>
    <hyperlink r:id="rId3861" ref="H1281"/>
    <hyperlink r:id="rId3862" ref="D1282"/>
    <hyperlink r:id="rId3863" ref="F1282"/>
    <hyperlink r:id="rId3864" ref="G1282"/>
    <hyperlink r:id="rId3865" ref="H1282"/>
    <hyperlink r:id="rId3866" ref="F1283"/>
    <hyperlink r:id="rId3867" ref="G1283"/>
    <hyperlink r:id="rId3868" ref="H1283"/>
    <hyperlink r:id="rId3869" ref="F1284"/>
    <hyperlink r:id="rId3870" ref="G1284"/>
    <hyperlink r:id="rId3871" ref="H1284"/>
    <hyperlink r:id="rId3872" ref="F1285"/>
    <hyperlink r:id="rId3873" ref="G1285"/>
    <hyperlink r:id="rId3874" ref="H1285"/>
    <hyperlink r:id="rId3875" ref="F1286"/>
    <hyperlink r:id="rId3876" ref="G1286"/>
    <hyperlink r:id="rId3877" ref="H1286"/>
    <hyperlink r:id="rId3878" ref="F1287"/>
    <hyperlink r:id="rId3879" ref="G1287"/>
    <hyperlink r:id="rId3880" ref="H1287"/>
    <hyperlink r:id="rId3881" ref="F1288"/>
    <hyperlink r:id="rId3882" ref="G1288"/>
    <hyperlink r:id="rId3883" ref="H1288"/>
    <hyperlink r:id="rId3884" ref="F1289"/>
    <hyperlink r:id="rId3885" ref="G1289"/>
    <hyperlink r:id="rId3886" ref="H1289"/>
    <hyperlink r:id="rId3887" ref="F1290"/>
    <hyperlink r:id="rId3888" ref="G1290"/>
    <hyperlink r:id="rId3889" ref="H1290"/>
    <hyperlink r:id="rId3890" ref="F1291"/>
    <hyperlink r:id="rId3891" ref="G1291"/>
    <hyperlink r:id="rId3892" ref="H1291"/>
    <hyperlink r:id="rId3893" ref="F1292"/>
    <hyperlink r:id="rId3894" ref="G1292"/>
    <hyperlink r:id="rId3895" ref="H1292"/>
    <hyperlink r:id="rId3896" ref="F1293"/>
    <hyperlink r:id="rId3897" ref="G1293"/>
    <hyperlink r:id="rId3898" ref="H1293"/>
    <hyperlink r:id="rId3899" ref="F1294"/>
    <hyperlink r:id="rId3900" ref="G1294"/>
    <hyperlink r:id="rId3901" ref="H1294"/>
    <hyperlink r:id="rId3902" ref="F1295"/>
    <hyperlink r:id="rId3903" ref="G1295"/>
    <hyperlink r:id="rId3904" ref="H1295"/>
    <hyperlink r:id="rId3905" ref="F1296"/>
    <hyperlink r:id="rId3906" ref="G1296"/>
    <hyperlink r:id="rId3907" ref="H1296"/>
    <hyperlink r:id="rId3908" ref="F1297"/>
    <hyperlink r:id="rId3909" ref="G1297"/>
    <hyperlink r:id="rId3910" ref="H1297"/>
    <hyperlink r:id="rId3911" ref="F1298"/>
    <hyperlink r:id="rId3912" ref="G1298"/>
    <hyperlink r:id="rId3913" ref="H1298"/>
    <hyperlink r:id="rId3914" ref="F1299"/>
    <hyperlink r:id="rId3915" ref="G1299"/>
    <hyperlink r:id="rId3916" ref="H1299"/>
    <hyperlink r:id="rId3917" ref="F1300"/>
    <hyperlink r:id="rId3918" ref="G1300"/>
    <hyperlink r:id="rId3919" ref="H1300"/>
    <hyperlink r:id="rId3920" ref="F1301"/>
    <hyperlink r:id="rId3921" ref="G1301"/>
    <hyperlink r:id="rId3922" ref="H1301"/>
    <hyperlink r:id="rId3923" ref="F1302"/>
    <hyperlink r:id="rId3924" ref="G1302"/>
    <hyperlink r:id="rId3925" ref="H1302"/>
    <hyperlink r:id="rId3926" ref="F1303"/>
    <hyperlink r:id="rId3927" ref="G1303"/>
    <hyperlink r:id="rId3928" ref="H1303"/>
    <hyperlink r:id="rId3929" ref="F1304"/>
    <hyperlink r:id="rId3930" ref="G1304"/>
    <hyperlink r:id="rId3931" ref="H1304"/>
    <hyperlink r:id="rId3932" ref="F1305"/>
    <hyperlink r:id="rId3933" ref="G1305"/>
    <hyperlink r:id="rId3934" ref="H1305"/>
    <hyperlink r:id="rId3935" ref="F1306"/>
    <hyperlink r:id="rId3936" ref="G1306"/>
    <hyperlink r:id="rId3937" ref="H1306"/>
    <hyperlink r:id="rId3938" ref="F1307"/>
    <hyperlink r:id="rId3939" ref="G1307"/>
    <hyperlink r:id="rId3940" ref="H1307"/>
    <hyperlink r:id="rId3941" ref="F1308"/>
    <hyperlink r:id="rId3942" ref="G1308"/>
    <hyperlink r:id="rId3943" ref="H1308"/>
    <hyperlink r:id="rId3944" ref="F1309"/>
    <hyperlink r:id="rId3945" ref="G1309"/>
    <hyperlink r:id="rId3946" ref="H1309"/>
    <hyperlink r:id="rId3947" ref="F1310"/>
    <hyperlink r:id="rId3948" ref="G1310"/>
    <hyperlink r:id="rId3949" ref="H1310"/>
    <hyperlink r:id="rId3950" ref="F1311"/>
    <hyperlink r:id="rId3951" ref="G1311"/>
    <hyperlink r:id="rId3952" ref="H1311"/>
    <hyperlink r:id="rId3953" ref="F1312"/>
    <hyperlink r:id="rId3954" ref="G1312"/>
    <hyperlink r:id="rId3955" ref="H1312"/>
    <hyperlink r:id="rId3956" ref="F1313"/>
    <hyperlink r:id="rId3957" ref="G1313"/>
    <hyperlink r:id="rId3958" ref="H1313"/>
    <hyperlink r:id="rId3959" ref="F1314"/>
    <hyperlink r:id="rId3960" ref="G1314"/>
    <hyperlink r:id="rId3961" ref="H1314"/>
    <hyperlink r:id="rId3962" ref="F1315"/>
    <hyperlink r:id="rId3963" ref="G1315"/>
    <hyperlink r:id="rId3964" ref="H1315"/>
    <hyperlink r:id="rId3965" ref="F1316"/>
    <hyperlink r:id="rId3966" ref="G1316"/>
    <hyperlink r:id="rId3967" ref="H1316"/>
    <hyperlink r:id="rId3968" ref="F1317"/>
    <hyperlink r:id="rId3969" ref="G1317"/>
    <hyperlink r:id="rId3970" ref="H1317"/>
    <hyperlink r:id="rId3971" ref="F1318"/>
    <hyperlink r:id="rId3972" ref="G1318"/>
    <hyperlink r:id="rId3973" ref="H1318"/>
    <hyperlink r:id="rId3974" ref="F1319"/>
    <hyperlink r:id="rId3975" ref="G1319"/>
    <hyperlink r:id="rId3976" ref="H1319"/>
    <hyperlink r:id="rId3977" ref="F1320"/>
    <hyperlink r:id="rId3978" ref="G1320"/>
    <hyperlink r:id="rId3979" ref="H1320"/>
    <hyperlink r:id="rId3980" ref="F1321"/>
    <hyperlink r:id="rId3981" ref="G1321"/>
    <hyperlink r:id="rId3982" ref="H1321"/>
    <hyperlink r:id="rId3983" ref="F1322"/>
    <hyperlink r:id="rId3984" ref="G1322"/>
    <hyperlink r:id="rId3985" ref="H1322"/>
    <hyperlink r:id="rId3986" ref="F1323"/>
    <hyperlink r:id="rId3987" ref="G1323"/>
    <hyperlink r:id="rId3988" ref="H1323"/>
    <hyperlink r:id="rId3989" ref="F1324"/>
    <hyperlink r:id="rId3990" ref="G1324"/>
    <hyperlink r:id="rId3991" ref="H1324"/>
    <hyperlink r:id="rId3992" ref="F1325"/>
    <hyperlink r:id="rId3993" ref="G1325"/>
    <hyperlink r:id="rId3994" ref="H1325"/>
    <hyperlink r:id="rId3995" ref="F1326"/>
    <hyperlink r:id="rId3996" ref="G1326"/>
    <hyperlink r:id="rId3997" ref="H1326"/>
    <hyperlink r:id="rId3998" ref="F1327"/>
    <hyperlink r:id="rId3999" ref="G1327"/>
    <hyperlink r:id="rId4000" ref="H1327"/>
    <hyperlink r:id="rId4001" ref="F1328"/>
    <hyperlink r:id="rId4002" ref="G1328"/>
    <hyperlink r:id="rId4003" ref="H1328"/>
    <hyperlink r:id="rId4004" ref="F1329"/>
    <hyperlink r:id="rId4005" ref="G1329"/>
    <hyperlink r:id="rId4006" ref="H1329"/>
    <hyperlink r:id="rId4007" ref="F1330"/>
    <hyperlink r:id="rId4008" ref="G1330"/>
    <hyperlink r:id="rId4009" ref="H1330"/>
    <hyperlink r:id="rId4010" ref="F1331"/>
    <hyperlink r:id="rId4011" ref="G1331"/>
    <hyperlink r:id="rId4012" ref="H1331"/>
    <hyperlink r:id="rId4013" ref="F1332"/>
    <hyperlink r:id="rId4014" ref="G1332"/>
    <hyperlink r:id="rId4015" ref="H1332"/>
    <hyperlink r:id="rId4016" ref="F1333"/>
    <hyperlink r:id="rId4017" ref="G1333"/>
    <hyperlink r:id="rId4018" ref="H1333"/>
    <hyperlink r:id="rId4019" ref="F1334"/>
    <hyperlink r:id="rId4020" ref="G1334"/>
    <hyperlink r:id="rId4021" ref="H1334"/>
    <hyperlink r:id="rId4022" ref="F1335"/>
    <hyperlink r:id="rId4023" ref="G1335"/>
    <hyperlink r:id="rId4024" ref="H1335"/>
    <hyperlink r:id="rId4025" ref="F1336"/>
    <hyperlink r:id="rId4026" ref="G1336"/>
    <hyperlink r:id="rId4027" ref="H1336"/>
    <hyperlink r:id="rId4028" ref="F1337"/>
    <hyperlink r:id="rId4029" ref="G1337"/>
    <hyperlink r:id="rId4030" ref="H1337"/>
    <hyperlink r:id="rId4031" ref="F1338"/>
    <hyperlink r:id="rId4032" ref="G1338"/>
    <hyperlink r:id="rId4033" ref="H1338"/>
    <hyperlink r:id="rId4034" ref="F1339"/>
    <hyperlink r:id="rId4035" ref="G1339"/>
    <hyperlink r:id="rId4036" ref="H1339"/>
    <hyperlink r:id="rId4037" ref="F1340"/>
    <hyperlink r:id="rId4038" ref="G1340"/>
    <hyperlink r:id="rId4039" ref="H1340"/>
    <hyperlink r:id="rId4040" ref="F1341"/>
    <hyperlink r:id="rId4041" ref="G1341"/>
    <hyperlink r:id="rId4042" ref="H1341"/>
    <hyperlink r:id="rId4043" ref="F1342"/>
    <hyperlink r:id="rId4044" ref="G1342"/>
    <hyperlink r:id="rId4045" ref="H1342"/>
    <hyperlink r:id="rId4046" ref="F1343"/>
    <hyperlink r:id="rId4047" ref="G1343"/>
    <hyperlink r:id="rId4048" ref="H1343"/>
    <hyperlink r:id="rId4049" ref="F1344"/>
    <hyperlink r:id="rId4050" ref="G1344"/>
    <hyperlink r:id="rId4051" ref="H1344"/>
    <hyperlink r:id="rId4052" ref="F1345"/>
    <hyperlink r:id="rId4053" ref="G1345"/>
    <hyperlink r:id="rId4054" ref="H1345"/>
    <hyperlink r:id="rId4055" ref="F1346"/>
    <hyperlink r:id="rId4056" ref="G1346"/>
    <hyperlink r:id="rId4057" ref="H1346"/>
    <hyperlink r:id="rId4058" ref="F1347"/>
    <hyperlink r:id="rId4059" ref="G1347"/>
    <hyperlink r:id="rId4060" ref="H1347"/>
    <hyperlink r:id="rId4061" ref="F1348"/>
    <hyperlink r:id="rId4062" ref="G1348"/>
    <hyperlink r:id="rId4063" ref="H1348"/>
    <hyperlink r:id="rId4064" ref="F1349"/>
    <hyperlink r:id="rId4065" ref="G1349"/>
    <hyperlink r:id="rId4066" ref="H1349"/>
    <hyperlink r:id="rId4067" ref="F1350"/>
    <hyperlink r:id="rId4068" ref="G1350"/>
    <hyperlink r:id="rId4069" ref="H1350"/>
    <hyperlink r:id="rId4070" ref="F1351"/>
    <hyperlink r:id="rId4071" ref="G1351"/>
    <hyperlink r:id="rId4072" ref="H1351"/>
    <hyperlink r:id="rId4073" ref="F1352"/>
    <hyperlink r:id="rId4074" ref="G1352"/>
    <hyperlink r:id="rId4075" ref="H1352"/>
    <hyperlink r:id="rId4076" ref="F1353"/>
    <hyperlink r:id="rId4077" ref="G1353"/>
    <hyperlink r:id="rId4078" ref="H1353"/>
    <hyperlink r:id="rId4079" ref="F1354"/>
    <hyperlink r:id="rId4080" ref="G1354"/>
    <hyperlink r:id="rId4081" ref="H1354"/>
    <hyperlink r:id="rId4082" ref="F1355"/>
    <hyperlink r:id="rId4083" ref="G1355"/>
    <hyperlink r:id="rId4084" ref="H1355"/>
    <hyperlink r:id="rId4085" ref="F1356"/>
    <hyperlink r:id="rId4086" ref="G1356"/>
    <hyperlink r:id="rId4087" ref="H1356"/>
    <hyperlink r:id="rId4088" ref="F1357"/>
    <hyperlink r:id="rId4089" ref="G1357"/>
    <hyperlink r:id="rId4090" ref="H1357"/>
    <hyperlink r:id="rId4091" ref="F1358"/>
    <hyperlink r:id="rId4092" ref="G1358"/>
    <hyperlink r:id="rId4093" ref="H1358"/>
    <hyperlink r:id="rId4094" ref="F1359"/>
    <hyperlink r:id="rId4095" ref="G1359"/>
    <hyperlink r:id="rId4096" ref="H1359"/>
    <hyperlink r:id="rId4097" ref="F1360"/>
    <hyperlink r:id="rId4098" ref="G1360"/>
    <hyperlink r:id="rId4099" ref="H1360"/>
    <hyperlink r:id="rId4100" ref="F1361"/>
    <hyperlink r:id="rId4101" ref="G1361"/>
    <hyperlink r:id="rId4102" ref="H1361"/>
    <hyperlink r:id="rId4103" ref="D1362"/>
    <hyperlink r:id="rId4104" ref="F1362"/>
    <hyperlink r:id="rId4105" ref="G1362"/>
    <hyperlink r:id="rId4106" ref="H1362"/>
    <hyperlink r:id="rId4107" ref="F1363"/>
    <hyperlink r:id="rId4108" ref="G1363"/>
    <hyperlink r:id="rId4109" ref="H1363"/>
    <hyperlink r:id="rId4110" ref="F1364"/>
    <hyperlink r:id="rId4111" ref="G1364"/>
    <hyperlink r:id="rId4112" ref="H1364"/>
    <hyperlink r:id="rId4113" ref="F1365"/>
    <hyperlink r:id="rId4114" ref="G1365"/>
    <hyperlink r:id="rId4115" ref="H1365"/>
    <hyperlink r:id="rId4116" ref="F1366"/>
    <hyperlink r:id="rId4117" ref="G1366"/>
    <hyperlink r:id="rId4118" ref="H1366"/>
    <hyperlink r:id="rId4119" ref="F1367"/>
    <hyperlink r:id="rId4120" ref="G1367"/>
    <hyperlink r:id="rId4121" ref="H1367"/>
    <hyperlink r:id="rId4122" ref="F1368"/>
    <hyperlink r:id="rId4123" ref="G1368"/>
    <hyperlink r:id="rId4124" ref="H1368"/>
    <hyperlink r:id="rId4125" ref="F1369"/>
    <hyperlink r:id="rId4126" ref="G1369"/>
    <hyperlink r:id="rId4127" ref="H1369"/>
    <hyperlink r:id="rId4128" ref="F1370"/>
    <hyperlink r:id="rId4129" ref="G1370"/>
    <hyperlink r:id="rId4130" ref="H1370"/>
    <hyperlink r:id="rId4131" ref="F1371"/>
    <hyperlink r:id="rId4132" ref="G1371"/>
    <hyperlink r:id="rId4133" ref="H1371"/>
    <hyperlink r:id="rId4134" ref="F1372"/>
    <hyperlink r:id="rId4135" ref="G1372"/>
    <hyperlink r:id="rId4136" ref="H1372"/>
    <hyperlink r:id="rId4137" ref="F1373"/>
    <hyperlink r:id="rId4138" ref="G1373"/>
    <hyperlink r:id="rId4139" ref="H1373"/>
    <hyperlink r:id="rId4140" ref="F1374"/>
    <hyperlink r:id="rId4141" ref="G1374"/>
    <hyperlink r:id="rId4142" ref="F1375"/>
    <hyperlink r:id="rId4143" ref="G1375"/>
    <hyperlink r:id="rId4144" ref="F1376"/>
    <hyperlink r:id="rId4145" ref="G1376"/>
    <hyperlink r:id="rId4146" ref="F1377"/>
    <hyperlink r:id="rId4147" ref="G1377"/>
    <hyperlink r:id="rId4148" ref="F1378"/>
    <hyperlink r:id="rId4149" ref="G1378"/>
    <hyperlink r:id="rId4150" ref="F1379"/>
    <hyperlink r:id="rId4151" ref="G1379"/>
    <hyperlink r:id="rId4152" ref="F1380"/>
    <hyperlink r:id="rId4153" ref="G1380"/>
    <hyperlink r:id="rId4154" ref="F1381"/>
    <hyperlink r:id="rId4155" ref="G1381"/>
    <hyperlink r:id="rId4156" ref="F1382"/>
    <hyperlink r:id="rId4157" ref="G1382"/>
    <hyperlink r:id="rId4158" ref="F1383"/>
    <hyperlink r:id="rId4159" ref="G1383"/>
    <hyperlink r:id="rId4160" ref="F1384"/>
    <hyperlink r:id="rId4161" ref="G1384"/>
    <hyperlink r:id="rId4162" ref="F1385"/>
    <hyperlink r:id="rId4163" ref="G1385"/>
    <hyperlink r:id="rId4164" ref="F1386"/>
    <hyperlink r:id="rId4165" ref="G1386"/>
    <hyperlink r:id="rId4166" ref="F1387"/>
    <hyperlink r:id="rId4167" ref="G1387"/>
    <hyperlink r:id="rId4168" ref="F1388"/>
    <hyperlink r:id="rId4169" ref="G1388"/>
    <hyperlink r:id="rId4170" ref="F1389"/>
    <hyperlink r:id="rId4171" ref="G1389"/>
    <hyperlink r:id="rId4172" ref="F1390"/>
    <hyperlink r:id="rId4173" ref="G1390"/>
    <hyperlink r:id="rId4174" ref="F1391"/>
    <hyperlink r:id="rId4175" ref="G1391"/>
    <hyperlink r:id="rId4176" ref="F1392"/>
    <hyperlink r:id="rId4177" ref="G1392"/>
    <hyperlink r:id="rId4178" ref="F1393"/>
    <hyperlink r:id="rId4179" ref="G1393"/>
    <hyperlink r:id="rId4180" ref="F1394"/>
    <hyperlink r:id="rId4181" ref="G1394"/>
    <hyperlink r:id="rId4182" ref="F1395"/>
    <hyperlink r:id="rId4183" ref="G1395"/>
    <hyperlink r:id="rId4184" ref="F1396"/>
    <hyperlink r:id="rId4185" ref="G1396"/>
    <hyperlink r:id="rId4186" ref="F1397"/>
    <hyperlink r:id="rId4187" ref="G1397"/>
    <hyperlink r:id="rId4188" ref="F1398"/>
    <hyperlink r:id="rId4189" ref="G1398"/>
    <hyperlink r:id="rId4190" ref="F1399"/>
    <hyperlink r:id="rId4191" ref="G1399"/>
    <hyperlink r:id="rId4192" ref="F1400"/>
    <hyperlink r:id="rId4193" ref="G1400"/>
    <hyperlink r:id="rId4194" ref="F1401"/>
    <hyperlink r:id="rId4195" ref="G1401"/>
    <hyperlink r:id="rId4196" ref="F1402"/>
    <hyperlink r:id="rId4197" ref="G1402"/>
    <hyperlink r:id="rId4198" ref="F1403"/>
    <hyperlink r:id="rId4199" ref="G1403"/>
    <hyperlink r:id="rId4200" ref="F1404"/>
    <hyperlink r:id="rId4201" ref="G1404"/>
    <hyperlink r:id="rId4202" ref="F1405"/>
    <hyperlink r:id="rId4203" ref="G1405"/>
    <hyperlink r:id="rId4204" ref="F1406"/>
    <hyperlink r:id="rId4205" ref="G1406"/>
    <hyperlink r:id="rId4206" ref="F1407"/>
    <hyperlink r:id="rId4207" ref="G1407"/>
    <hyperlink r:id="rId4208" ref="F1408"/>
    <hyperlink r:id="rId4209" ref="G1408"/>
    <hyperlink r:id="rId4210" ref="F1409"/>
    <hyperlink r:id="rId4211" ref="G1409"/>
    <hyperlink r:id="rId4212" ref="F1410"/>
    <hyperlink r:id="rId4213" ref="G1410"/>
    <hyperlink r:id="rId4214" ref="F1411"/>
    <hyperlink r:id="rId4215" ref="G1411"/>
    <hyperlink r:id="rId4216" ref="F1412"/>
    <hyperlink r:id="rId4217" ref="G1412"/>
    <hyperlink r:id="rId4218" ref="F1413"/>
    <hyperlink r:id="rId4219" ref="G1413"/>
    <hyperlink r:id="rId4220" ref="F1414"/>
    <hyperlink r:id="rId4221" ref="G1414"/>
    <hyperlink r:id="rId4222" ref="F1415"/>
    <hyperlink r:id="rId4223" ref="G1415"/>
    <hyperlink r:id="rId4224" ref="F1416"/>
    <hyperlink r:id="rId4225" ref="G1416"/>
    <hyperlink r:id="rId4226" ref="F1417"/>
    <hyperlink r:id="rId4227" ref="G1417"/>
    <hyperlink r:id="rId4228" ref="F1418"/>
    <hyperlink r:id="rId4229" ref="G1418"/>
    <hyperlink r:id="rId4230" ref="F1419"/>
    <hyperlink r:id="rId4231" ref="G1419"/>
    <hyperlink r:id="rId4232" ref="F1420"/>
    <hyperlink r:id="rId4233" ref="G1420"/>
    <hyperlink r:id="rId4234" ref="F1421"/>
    <hyperlink r:id="rId4235" ref="G1421"/>
    <hyperlink r:id="rId4236" ref="F1422"/>
    <hyperlink r:id="rId4237" ref="G1422"/>
    <hyperlink r:id="rId4238" ref="F1423"/>
    <hyperlink r:id="rId4239" ref="G1423"/>
    <hyperlink r:id="rId4240" ref="F1424"/>
    <hyperlink r:id="rId4241" ref="G1424"/>
    <hyperlink r:id="rId4242" ref="F1425"/>
    <hyperlink r:id="rId4243" ref="G1425"/>
    <hyperlink r:id="rId4244" ref="F1426"/>
    <hyperlink r:id="rId4245" ref="G1426"/>
    <hyperlink r:id="rId4246" ref="F1427"/>
    <hyperlink r:id="rId4247" ref="G1427"/>
    <hyperlink r:id="rId4248" ref="F1428"/>
    <hyperlink r:id="rId4249" ref="G1428"/>
    <hyperlink r:id="rId4250" ref="F1429"/>
    <hyperlink r:id="rId4251" ref="G1429"/>
    <hyperlink r:id="rId4252" ref="F1430"/>
    <hyperlink r:id="rId4253" ref="G1430"/>
    <hyperlink r:id="rId4254" ref="F1431"/>
    <hyperlink r:id="rId4255" ref="G1431"/>
    <hyperlink r:id="rId4256" ref="F1432"/>
    <hyperlink r:id="rId4257" ref="G1432"/>
    <hyperlink r:id="rId4258" ref="F1433"/>
    <hyperlink r:id="rId4259" ref="G1433"/>
    <hyperlink r:id="rId4260" ref="F1434"/>
    <hyperlink r:id="rId4261" ref="G1434"/>
    <hyperlink r:id="rId4262" ref="F1435"/>
    <hyperlink r:id="rId4263" ref="G1435"/>
    <hyperlink r:id="rId4264" ref="F1436"/>
    <hyperlink r:id="rId4265" ref="G1436"/>
    <hyperlink r:id="rId4266" ref="F1437"/>
    <hyperlink r:id="rId4267" ref="G1437"/>
    <hyperlink r:id="rId4268" ref="F1438"/>
    <hyperlink r:id="rId4269" ref="G1438"/>
    <hyperlink r:id="rId4270" ref="F1439"/>
    <hyperlink r:id="rId4271" ref="G1439"/>
    <hyperlink r:id="rId4272" ref="F1440"/>
    <hyperlink r:id="rId4273" ref="G1440"/>
    <hyperlink r:id="rId4274" ref="F1441"/>
    <hyperlink r:id="rId4275" ref="G1441"/>
    <hyperlink r:id="rId4276" ref="F1442"/>
    <hyperlink r:id="rId4277" ref="G1442"/>
    <hyperlink r:id="rId4278" ref="F1443"/>
    <hyperlink r:id="rId4279" ref="G1443"/>
    <hyperlink r:id="rId4280" ref="F1444"/>
    <hyperlink r:id="rId4281" ref="G1444"/>
    <hyperlink r:id="rId4282" ref="F1445"/>
    <hyperlink r:id="rId4283" ref="G1445"/>
    <hyperlink r:id="rId4284" ref="F1446"/>
    <hyperlink r:id="rId4285" ref="G1446"/>
    <hyperlink r:id="rId4286" ref="F1447"/>
    <hyperlink r:id="rId4287" ref="G1447"/>
    <hyperlink r:id="rId4288" ref="F1448"/>
    <hyperlink r:id="rId4289" ref="G1448"/>
    <hyperlink r:id="rId4290" ref="F1449"/>
    <hyperlink r:id="rId4291" ref="G1449"/>
    <hyperlink r:id="rId4292" ref="F1450"/>
    <hyperlink r:id="rId4293" ref="G1450"/>
    <hyperlink r:id="rId4294" ref="F1451"/>
    <hyperlink r:id="rId4295" ref="G1451"/>
    <hyperlink r:id="rId4296" ref="F1452"/>
    <hyperlink r:id="rId4297" ref="G1452"/>
    <hyperlink r:id="rId4298" ref="F1453"/>
    <hyperlink r:id="rId4299" ref="G1453"/>
    <hyperlink r:id="rId4300" ref="F1454"/>
    <hyperlink r:id="rId4301" ref="G1454"/>
    <hyperlink r:id="rId4302" ref="F1455"/>
    <hyperlink r:id="rId4303" ref="G1455"/>
    <hyperlink r:id="rId4304" ref="F1456"/>
    <hyperlink r:id="rId4305" ref="G1456"/>
    <hyperlink r:id="rId4306" ref="F1457"/>
    <hyperlink r:id="rId4307" ref="G1457"/>
    <hyperlink r:id="rId4308" ref="F1458"/>
    <hyperlink r:id="rId4309" ref="G1458"/>
    <hyperlink r:id="rId4310" ref="F1459"/>
    <hyperlink r:id="rId4311" ref="G1459"/>
    <hyperlink r:id="rId4312" ref="F1460"/>
    <hyperlink r:id="rId4313" ref="G1460"/>
    <hyperlink r:id="rId4314" ref="F1461"/>
    <hyperlink r:id="rId4315" ref="G1461"/>
    <hyperlink r:id="rId4316" ref="F1462"/>
    <hyperlink r:id="rId4317" ref="G1462"/>
    <hyperlink r:id="rId4318" ref="F1463"/>
    <hyperlink r:id="rId4319" ref="G1463"/>
    <hyperlink r:id="rId4320" ref="F1464"/>
    <hyperlink r:id="rId4321" ref="G1464"/>
    <hyperlink r:id="rId4322" ref="F1465"/>
    <hyperlink r:id="rId4323" ref="G1465"/>
    <hyperlink r:id="rId4324" ref="F1466"/>
    <hyperlink r:id="rId4325" ref="G1466"/>
    <hyperlink r:id="rId4326" ref="F1467"/>
    <hyperlink r:id="rId4327" ref="G1467"/>
    <hyperlink r:id="rId4328" ref="F1468"/>
    <hyperlink r:id="rId4329" ref="G1468"/>
    <hyperlink r:id="rId4330" ref="F1469"/>
    <hyperlink r:id="rId4331" ref="G1469"/>
    <hyperlink r:id="rId4332" ref="F1470"/>
    <hyperlink r:id="rId4333" ref="G1470"/>
    <hyperlink r:id="rId4334" ref="F1471"/>
    <hyperlink r:id="rId4335" ref="G1471"/>
    <hyperlink r:id="rId4336" ref="F1472"/>
    <hyperlink r:id="rId4337" ref="G1472"/>
    <hyperlink r:id="rId4338" ref="F1473"/>
    <hyperlink r:id="rId4339" ref="G1473"/>
    <hyperlink r:id="rId4340" ref="F1474"/>
    <hyperlink r:id="rId4341" ref="G1474"/>
    <hyperlink r:id="rId4342" ref="F1475"/>
    <hyperlink r:id="rId4343" ref="G1475"/>
    <hyperlink r:id="rId4344" ref="F1476"/>
    <hyperlink r:id="rId4345" ref="G1476"/>
    <hyperlink r:id="rId4346" ref="F1477"/>
    <hyperlink r:id="rId4347" ref="G1477"/>
    <hyperlink r:id="rId4348" ref="F1478"/>
    <hyperlink r:id="rId4349" ref="G1478"/>
    <hyperlink r:id="rId4350" ref="F1479"/>
    <hyperlink r:id="rId4351" ref="G1479"/>
    <hyperlink r:id="rId4352" ref="F1480"/>
    <hyperlink r:id="rId4353" ref="G1480"/>
    <hyperlink r:id="rId4354" ref="F1481"/>
    <hyperlink r:id="rId4355" ref="G1481"/>
    <hyperlink r:id="rId4356" ref="F1482"/>
    <hyperlink r:id="rId4357" ref="G1482"/>
    <hyperlink r:id="rId4358" ref="F1483"/>
    <hyperlink r:id="rId4359" ref="G1483"/>
    <hyperlink r:id="rId4360" ref="F1484"/>
    <hyperlink r:id="rId4361" ref="G1484"/>
    <hyperlink r:id="rId4362" ref="F1485"/>
    <hyperlink r:id="rId4363" ref="G1485"/>
    <hyperlink r:id="rId4364" ref="F1486"/>
    <hyperlink r:id="rId4365" ref="G1486"/>
    <hyperlink r:id="rId4366" ref="F1487"/>
    <hyperlink r:id="rId4367" ref="G1487"/>
    <hyperlink r:id="rId4368" ref="F1488"/>
    <hyperlink r:id="rId4369" ref="G1488"/>
    <hyperlink r:id="rId4370" ref="F1489"/>
    <hyperlink r:id="rId4371" ref="G1489"/>
    <hyperlink r:id="rId4372" ref="F1490"/>
    <hyperlink r:id="rId4373" ref="G1490"/>
    <hyperlink r:id="rId4374" ref="F1491"/>
    <hyperlink r:id="rId4375" ref="G1491"/>
    <hyperlink r:id="rId4376" ref="F1492"/>
    <hyperlink r:id="rId4377" ref="G1492"/>
    <hyperlink r:id="rId4378" ref="F1493"/>
    <hyperlink r:id="rId4379" ref="G1493"/>
    <hyperlink r:id="rId4380" ref="F1494"/>
    <hyperlink r:id="rId4381" ref="G1494"/>
    <hyperlink r:id="rId4382" ref="F1495"/>
    <hyperlink r:id="rId4383" ref="G1495"/>
    <hyperlink r:id="rId4384" ref="F1496"/>
    <hyperlink r:id="rId4385" ref="G1496"/>
    <hyperlink r:id="rId4386" ref="F1497"/>
    <hyperlink r:id="rId4387" ref="G1497"/>
    <hyperlink r:id="rId4388" ref="F1498"/>
    <hyperlink r:id="rId4389" ref="G1498"/>
    <hyperlink r:id="rId4390" ref="D1499"/>
    <hyperlink r:id="rId4391" ref="F1499"/>
    <hyperlink r:id="rId4392" ref="G1499"/>
    <hyperlink r:id="rId4393" ref="F1500"/>
    <hyperlink r:id="rId4394" ref="G1500"/>
    <hyperlink r:id="rId4395" ref="F1501"/>
    <hyperlink r:id="rId4396" ref="G1501"/>
    <hyperlink r:id="rId4397" ref="F1502"/>
    <hyperlink r:id="rId4398" ref="G1502"/>
    <hyperlink r:id="rId4399" ref="F1503"/>
    <hyperlink r:id="rId4400" ref="G1503"/>
    <hyperlink r:id="rId4401" ref="F1504"/>
    <hyperlink r:id="rId4402" ref="G1504"/>
    <hyperlink r:id="rId4403" ref="F1505"/>
    <hyperlink r:id="rId4404" ref="G1505"/>
    <hyperlink r:id="rId4405" ref="F1506"/>
    <hyperlink r:id="rId4406" ref="G1506"/>
    <hyperlink r:id="rId4407" ref="F1507"/>
    <hyperlink r:id="rId4408" ref="G1507"/>
    <hyperlink r:id="rId4409" ref="F1508"/>
    <hyperlink r:id="rId4410" ref="G1508"/>
    <hyperlink r:id="rId4411" ref="F1509"/>
    <hyperlink r:id="rId4412" ref="G1509"/>
    <hyperlink r:id="rId4413" ref="F1510"/>
    <hyperlink r:id="rId4414" ref="G1510"/>
    <hyperlink r:id="rId4415" ref="F1511"/>
    <hyperlink r:id="rId4416" ref="G1511"/>
    <hyperlink r:id="rId4417" ref="F1512"/>
    <hyperlink r:id="rId4418" ref="G1512"/>
    <hyperlink r:id="rId4419" ref="F1513"/>
    <hyperlink r:id="rId4420" ref="G1513"/>
    <hyperlink r:id="rId4421" ref="F1514"/>
    <hyperlink r:id="rId4422" ref="G1514"/>
    <hyperlink r:id="rId4423" ref="F1515"/>
    <hyperlink r:id="rId4424" ref="G1515"/>
    <hyperlink r:id="rId4425" ref="F1516"/>
    <hyperlink r:id="rId4426" ref="G1516"/>
    <hyperlink r:id="rId4427" ref="F1517"/>
    <hyperlink r:id="rId4428" ref="G1517"/>
    <hyperlink r:id="rId4429" ref="F1518"/>
    <hyperlink r:id="rId4430" ref="G1518"/>
    <hyperlink r:id="rId4431" ref="F1519"/>
    <hyperlink r:id="rId4432" ref="G1519"/>
    <hyperlink r:id="rId4433" ref="F1520"/>
    <hyperlink r:id="rId4434" ref="G1520"/>
    <hyperlink r:id="rId4435" ref="F1521"/>
    <hyperlink r:id="rId4436" ref="G1521"/>
    <hyperlink r:id="rId4437" ref="F1522"/>
    <hyperlink r:id="rId4438" ref="G1522"/>
    <hyperlink r:id="rId4439" ref="F1523"/>
    <hyperlink r:id="rId4440" ref="G1523"/>
    <hyperlink r:id="rId4441" ref="F1524"/>
    <hyperlink r:id="rId4442" ref="G1524"/>
    <hyperlink r:id="rId4443" ref="F1525"/>
    <hyperlink r:id="rId4444" ref="G1525"/>
    <hyperlink r:id="rId4445" ref="F1526"/>
    <hyperlink r:id="rId4446" ref="G1526"/>
    <hyperlink r:id="rId4447" ref="F1527"/>
    <hyperlink r:id="rId4448" ref="G1527"/>
    <hyperlink r:id="rId4449" ref="F1528"/>
    <hyperlink r:id="rId4450" ref="G1528"/>
    <hyperlink r:id="rId4451" ref="F1529"/>
    <hyperlink r:id="rId4452" ref="G1529"/>
    <hyperlink r:id="rId4453" ref="F1530"/>
    <hyperlink r:id="rId4454" ref="G1530"/>
    <hyperlink r:id="rId4455" ref="F1531"/>
    <hyperlink r:id="rId4456" ref="G1531"/>
    <hyperlink r:id="rId4457" ref="F1532"/>
    <hyperlink r:id="rId4458" ref="G1532"/>
    <hyperlink r:id="rId4459" ref="F1533"/>
    <hyperlink r:id="rId4460" ref="G1533"/>
    <hyperlink r:id="rId4461" ref="F1534"/>
    <hyperlink r:id="rId4462" ref="G1534"/>
    <hyperlink r:id="rId4463" ref="F1535"/>
    <hyperlink r:id="rId4464" ref="G1535"/>
    <hyperlink r:id="rId4465" ref="F1536"/>
    <hyperlink r:id="rId4466" ref="G1536"/>
    <hyperlink r:id="rId4467" ref="F1537"/>
    <hyperlink r:id="rId4468" ref="G1537"/>
    <hyperlink r:id="rId4469" ref="F1538"/>
    <hyperlink r:id="rId4470" ref="G1538"/>
    <hyperlink r:id="rId4471" ref="F1539"/>
    <hyperlink r:id="rId4472" ref="G1539"/>
    <hyperlink r:id="rId4473" ref="F1540"/>
    <hyperlink r:id="rId4474" ref="G1540"/>
    <hyperlink r:id="rId4475" ref="F1541"/>
    <hyperlink r:id="rId4476" ref="G1541"/>
    <hyperlink r:id="rId4477" ref="F1542"/>
    <hyperlink r:id="rId4478" ref="G1542"/>
    <hyperlink r:id="rId4479" ref="F1543"/>
    <hyperlink r:id="rId4480" ref="G1543"/>
    <hyperlink r:id="rId4481" ref="F1544"/>
    <hyperlink r:id="rId4482" ref="G1544"/>
    <hyperlink r:id="rId4483" ref="F1545"/>
    <hyperlink r:id="rId4484" ref="G1545"/>
    <hyperlink r:id="rId4485" ref="F1546"/>
    <hyperlink r:id="rId4486" ref="G1546"/>
    <hyperlink r:id="rId4487" ref="F1547"/>
    <hyperlink r:id="rId4488" ref="G1547"/>
    <hyperlink r:id="rId4489" ref="F1548"/>
    <hyperlink r:id="rId4490" ref="G1548"/>
    <hyperlink r:id="rId4491" ref="F1549"/>
    <hyperlink r:id="rId4492" ref="G1549"/>
    <hyperlink r:id="rId4493" ref="F1550"/>
    <hyperlink r:id="rId4494" ref="G1550"/>
    <hyperlink r:id="rId4495" ref="F1551"/>
    <hyperlink r:id="rId4496" ref="G1551"/>
    <hyperlink r:id="rId4497" ref="F1552"/>
    <hyperlink r:id="rId4498" ref="G1552"/>
    <hyperlink r:id="rId4499" ref="F1553"/>
    <hyperlink r:id="rId4500" ref="G1553"/>
    <hyperlink r:id="rId4501" ref="F1554"/>
    <hyperlink r:id="rId4502" ref="G1554"/>
    <hyperlink r:id="rId4503" ref="F1555"/>
    <hyperlink r:id="rId4504" ref="G1555"/>
    <hyperlink r:id="rId4505" ref="F1556"/>
    <hyperlink r:id="rId4506" ref="G1556"/>
    <hyperlink r:id="rId4507" ref="F1557"/>
    <hyperlink r:id="rId4508" ref="G1557"/>
    <hyperlink r:id="rId4509" ref="F1558"/>
    <hyperlink r:id="rId4510" ref="G1558"/>
    <hyperlink r:id="rId4511" ref="D1559"/>
    <hyperlink r:id="rId4512" ref="F1559"/>
    <hyperlink r:id="rId4513" ref="G1559"/>
    <hyperlink r:id="rId4514" ref="F1560"/>
    <hyperlink r:id="rId4515" ref="G1560"/>
    <hyperlink r:id="rId4516" ref="F1561"/>
    <hyperlink r:id="rId4517" ref="G1561"/>
    <hyperlink r:id="rId4518" ref="F1562"/>
    <hyperlink r:id="rId4519" ref="G1562"/>
    <hyperlink r:id="rId4520" ref="F1563"/>
    <hyperlink r:id="rId4521" ref="G1563"/>
    <hyperlink r:id="rId4522" ref="F1564"/>
    <hyperlink r:id="rId4523" ref="G1564"/>
    <hyperlink r:id="rId4524" ref="F1565"/>
    <hyperlink r:id="rId4525" ref="G1565"/>
    <hyperlink r:id="rId4526" ref="F1566"/>
    <hyperlink r:id="rId4527" ref="G1566"/>
    <hyperlink r:id="rId4528" ref="F1567"/>
    <hyperlink r:id="rId4529" ref="G1567"/>
    <hyperlink r:id="rId4530" ref="F1568"/>
    <hyperlink r:id="rId4531" ref="G1568"/>
    <hyperlink r:id="rId4532" ref="F1569"/>
    <hyperlink r:id="rId4533" ref="G1569"/>
    <hyperlink r:id="rId4534" ref="F1570"/>
    <hyperlink r:id="rId4535" ref="G1570"/>
    <hyperlink r:id="rId4536" ref="F1571"/>
    <hyperlink r:id="rId4537" ref="G1571"/>
    <hyperlink r:id="rId4538" ref="F1572"/>
    <hyperlink r:id="rId4539" ref="G1572"/>
    <hyperlink r:id="rId4540" ref="F1573"/>
    <hyperlink r:id="rId4541" ref="G1573"/>
    <hyperlink r:id="rId4542" ref="F1574"/>
    <hyperlink r:id="rId4543" ref="G1574"/>
    <hyperlink r:id="rId4544" ref="F1575"/>
    <hyperlink r:id="rId4545" ref="G1575"/>
    <hyperlink r:id="rId4546" ref="F1576"/>
    <hyperlink r:id="rId4547" ref="G1576"/>
    <hyperlink r:id="rId4548" ref="F1577"/>
    <hyperlink r:id="rId4549" ref="G1577"/>
    <hyperlink r:id="rId4550" ref="F1578"/>
    <hyperlink r:id="rId4551" ref="G1578"/>
    <hyperlink r:id="rId4552" ref="F1579"/>
    <hyperlink r:id="rId4553" ref="G1579"/>
    <hyperlink r:id="rId4554" ref="F1580"/>
    <hyperlink r:id="rId4555" ref="G1580"/>
    <hyperlink r:id="rId4556" ref="F1581"/>
    <hyperlink r:id="rId4557" ref="G1581"/>
    <hyperlink r:id="rId4558" ref="F1582"/>
    <hyperlink r:id="rId4559" ref="G1582"/>
    <hyperlink r:id="rId4560" ref="F1583"/>
    <hyperlink r:id="rId4561" ref="G1583"/>
    <hyperlink r:id="rId4562" ref="F1584"/>
    <hyperlink r:id="rId4563" ref="G1584"/>
    <hyperlink r:id="rId4564" ref="F1585"/>
    <hyperlink r:id="rId4565" ref="G1585"/>
    <hyperlink r:id="rId4566" ref="F1586"/>
    <hyperlink r:id="rId4567" ref="G1586"/>
    <hyperlink r:id="rId4568" ref="F1587"/>
    <hyperlink r:id="rId4569" ref="G1587"/>
    <hyperlink r:id="rId4570" ref="F1588"/>
    <hyperlink r:id="rId4571" ref="G1588"/>
    <hyperlink r:id="rId4572" ref="F1589"/>
    <hyperlink r:id="rId4573" ref="G1589"/>
    <hyperlink r:id="rId4574" ref="F1590"/>
    <hyperlink r:id="rId4575" ref="G1590"/>
    <hyperlink r:id="rId4576" ref="F1591"/>
    <hyperlink r:id="rId4577" ref="G1591"/>
    <hyperlink r:id="rId4578" ref="F1592"/>
    <hyperlink r:id="rId4579" ref="G1592"/>
    <hyperlink r:id="rId4580" ref="F1593"/>
    <hyperlink r:id="rId4581" ref="G1593"/>
    <hyperlink r:id="rId4582" ref="F1594"/>
    <hyperlink r:id="rId4583" ref="G1594"/>
    <hyperlink r:id="rId4584" ref="F1595"/>
    <hyperlink r:id="rId4585" ref="G1595"/>
    <hyperlink r:id="rId4586" ref="F1596"/>
    <hyperlink r:id="rId4587" ref="G1596"/>
    <hyperlink r:id="rId4588" ref="F1597"/>
    <hyperlink r:id="rId4589" ref="G1597"/>
    <hyperlink r:id="rId4590" ref="F1598"/>
    <hyperlink r:id="rId4591" ref="G1598"/>
    <hyperlink r:id="rId4592" ref="F1599"/>
    <hyperlink r:id="rId4593" ref="G1599"/>
    <hyperlink r:id="rId4594" ref="F1600"/>
    <hyperlink r:id="rId4595" ref="G1600"/>
    <hyperlink r:id="rId4596" ref="F1601"/>
    <hyperlink r:id="rId4597" ref="G1601"/>
    <hyperlink r:id="rId4598" ref="F1602"/>
    <hyperlink r:id="rId4599" ref="G1602"/>
    <hyperlink r:id="rId4600" ref="F1603"/>
    <hyperlink r:id="rId4601" ref="G1603"/>
    <hyperlink r:id="rId4602" ref="F1604"/>
    <hyperlink r:id="rId4603" ref="G1604"/>
    <hyperlink r:id="rId4604" ref="F1605"/>
    <hyperlink r:id="rId4605" ref="G1605"/>
    <hyperlink r:id="rId4606" ref="F1606"/>
    <hyperlink r:id="rId4607" ref="G1606"/>
    <hyperlink r:id="rId4608" ref="F1607"/>
    <hyperlink r:id="rId4609" ref="G1607"/>
    <hyperlink r:id="rId4610" ref="F1608"/>
    <hyperlink r:id="rId4611" ref="G1608"/>
    <hyperlink r:id="rId4612" ref="F1609"/>
    <hyperlink r:id="rId4613" ref="G1609"/>
    <hyperlink r:id="rId4614" ref="F1610"/>
    <hyperlink r:id="rId4615" ref="G1610"/>
    <hyperlink r:id="rId4616" ref="F1611"/>
    <hyperlink r:id="rId4617" ref="G1611"/>
    <hyperlink r:id="rId4618" ref="F1612"/>
    <hyperlink r:id="rId4619" ref="G1612"/>
    <hyperlink r:id="rId4620" ref="F1613"/>
    <hyperlink r:id="rId4621" ref="G1613"/>
    <hyperlink r:id="rId4622" ref="F1614"/>
    <hyperlink r:id="rId4623" ref="G1614"/>
    <hyperlink r:id="rId4624" ref="F1615"/>
    <hyperlink r:id="rId4625" ref="G1615"/>
    <hyperlink r:id="rId4626" ref="F1616"/>
    <hyperlink r:id="rId4627" ref="G1616"/>
    <hyperlink r:id="rId4628" ref="F1617"/>
    <hyperlink r:id="rId4629" ref="G1617"/>
    <hyperlink r:id="rId4630" ref="F1618"/>
    <hyperlink r:id="rId4631" ref="G1618"/>
    <hyperlink r:id="rId4632" ref="F1619"/>
    <hyperlink r:id="rId4633" ref="G1619"/>
    <hyperlink r:id="rId4634" ref="F1620"/>
    <hyperlink r:id="rId4635" ref="G1620"/>
    <hyperlink r:id="rId4636" ref="F1621"/>
    <hyperlink r:id="rId4637" ref="G1621"/>
    <hyperlink r:id="rId4638" ref="F1622"/>
    <hyperlink r:id="rId4639" ref="G1622"/>
    <hyperlink r:id="rId4640" ref="F1623"/>
    <hyperlink r:id="rId4641" ref="G1623"/>
    <hyperlink r:id="rId4642" ref="D1624"/>
    <hyperlink r:id="rId4643" ref="F1624"/>
    <hyperlink r:id="rId4644" ref="G1624"/>
    <hyperlink r:id="rId4645" ref="F1625"/>
    <hyperlink r:id="rId4646" ref="G1625"/>
    <hyperlink r:id="rId4647" ref="F1626"/>
    <hyperlink r:id="rId4648" ref="G1626"/>
    <hyperlink r:id="rId4649" ref="F1627"/>
    <hyperlink r:id="rId4650" ref="G1627"/>
    <hyperlink r:id="rId4651" ref="F1628"/>
    <hyperlink r:id="rId4652" ref="G1628"/>
    <hyperlink r:id="rId4653" ref="F1629"/>
    <hyperlink r:id="rId4654" ref="G1629"/>
    <hyperlink r:id="rId4655" ref="F1630"/>
    <hyperlink r:id="rId4656" ref="G1630"/>
    <hyperlink r:id="rId4657" ref="F1631"/>
    <hyperlink r:id="rId4658" ref="G1631"/>
    <hyperlink r:id="rId4659" ref="F1632"/>
    <hyperlink r:id="rId4660" ref="G1632"/>
    <hyperlink r:id="rId4661" ref="F1633"/>
    <hyperlink r:id="rId4662" ref="G1633"/>
    <hyperlink r:id="rId4663" ref="F1634"/>
    <hyperlink r:id="rId4664" ref="G1634"/>
    <hyperlink r:id="rId4665" ref="F1635"/>
    <hyperlink r:id="rId4666" ref="G1635"/>
    <hyperlink r:id="rId4667" ref="F1636"/>
    <hyperlink r:id="rId4668" ref="G1636"/>
    <hyperlink r:id="rId4669" ref="F1637"/>
    <hyperlink r:id="rId4670" ref="G1637"/>
    <hyperlink r:id="rId4671" ref="F1638"/>
    <hyperlink r:id="rId4672" ref="G1638"/>
    <hyperlink r:id="rId4673" ref="F1639"/>
    <hyperlink r:id="rId4674" ref="G1639"/>
    <hyperlink r:id="rId4675" ref="F1640"/>
    <hyperlink r:id="rId4676" ref="G1640"/>
    <hyperlink r:id="rId4677" ref="F1641"/>
    <hyperlink r:id="rId4678" ref="G1641"/>
    <hyperlink r:id="rId4679" ref="F1642"/>
    <hyperlink r:id="rId4680" ref="G1642"/>
    <hyperlink r:id="rId4681" ref="F1643"/>
    <hyperlink r:id="rId4682" ref="G1643"/>
    <hyperlink r:id="rId4683" ref="F1644"/>
    <hyperlink r:id="rId4684" ref="G1644"/>
    <hyperlink r:id="rId4685" ref="F1645"/>
    <hyperlink r:id="rId4686" ref="G1645"/>
    <hyperlink r:id="rId4687" ref="F1646"/>
    <hyperlink r:id="rId4688" ref="G1646"/>
    <hyperlink r:id="rId4689" ref="F1647"/>
    <hyperlink r:id="rId4690" ref="G1647"/>
    <hyperlink r:id="rId4691" ref="F1648"/>
    <hyperlink r:id="rId4692" ref="G1648"/>
    <hyperlink r:id="rId4693" ref="F1649"/>
    <hyperlink r:id="rId4694" ref="G1649"/>
    <hyperlink r:id="rId4695" ref="F1650"/>
    <hyperlink r:id="rId4696" ref="G1650"/>
    <hyperlink r:id="rId4697" ref="F1651"/>
    <hyperlink r:id="rId4698" ref="G1651"/>
    <hyperlink r:id="rId4699" ref="F1652"/>
    <hyperlink r:id="rId4700" ref="G1652"/>
    <hyperlink r:id="rId4701" ref="F1653"/>
    <hyperlink r:id="rId4702" ref="G1653"/>
    <hyperlink r:id="rId4703" ref="F1654"/>
    <hyperlink r:id="rId4704" ref="G1654"/>
    <hyperlink r:id="rId4705" ref="F1655"/>
    <hyperlink r:id="rId4706" ref="G1655"/>
    <hyperlink r:id="rId4707" ref="F1656"/>
    <hyperlink r:id="rId4708" ref="G1656"/>
    <hyperlink r:id="rId4709" ref="F1657"/>
    <hyperlink r:id="rId4710" ref="G1657"/>
    <hyperlink r:id="rId4711" ref="F1658"/>
    <hyperlink r:id="rId4712" ref="G1658"/>
    <hyperlink r:id="rId4713" ref="F1659"/>
    <hyperlink r:id="rId4714" ref="G1659"/>
    <hyperlink r:id="rId4715" ref="F1660"/>
    <hyperlink r:id="rId4716" ref="G1660"/>
    <hyperlink r:id="rId4717" ref="F1661"/>
    <hyperlink r:id="rId4718" ref="G1661"/>
    <hyperlink r:id="rId4719" ref="F1662"/>
    <hyperlink r:id="rId4720" ref="G1662"/>
    <hyperlink r:id="rId4721" ref="F1663"/>
    <hyperlink r:id="rId4722" ref="G1663"/>
    <hyperlink r:id="rId4723" ref="F1664"/>
    <hyperlink r:id="rId4724" ref="G1664"/>
    <hyperlink r:id="rId4725" ref="F1665"/>
    <hyperlink r:id="rId4726" ref="G1665"/>
    <hyperlink r:id="rId4727" ref="F1666"/>
    <hyperlink r:id="rId4728" ref="G1666"/>
    <hyperlink r:id="rId4729" ref="F1667"/>
    <hyperlink r:id="rId4730" ref="G1667"/>
    <hyperlink r:id="rId4731" ref="F1668"/>
    <hyperlink r:id="rId4732" ref="G1668"/>
    <hyperlink r:id="rId4733" ref="F1669"/>
    <hyperlink r:id="rId4734" ref="G1669"/>
    <hyperlink r:id="rId4735" ref="F1670"/>
    <hyperlink r:id="rId4736" ref="G1670"/>
    <hyperlink r:id="rId4737" ref="F1671"/>
    <hyperlink r:id="rId4738" ref="G1671"/>
    <hyperlink r:id="rId4739" ref="F1672"/>
    <hyperlink r:id="rId4740" ref="G1672"/>
    <hyperlink r:id="rId4741" ref="F1673"/>
    <hyperlink r:id="rId4742" ref="G1673"/>
    <hyperlink r:id="rId4743" ref="F1674"/>
    <hyperlink r:id="rId4744" ref="G1674"/>
    <hyperlink r:id="rId4745" ref="F1675"/>
    <hyperlink r:id="rId4746" ref="G1675"/>
    <hyperlink r:id="rId4747" ref="F1676"/>
    <hyperlink r:id="rId4748" ref="G1676"/>
    <hyperlink r:id="rId4749" ref="F1677"/>
    <hyperlink r:id="rId4750" ref="G1677"/>
    <hyperlink r:id="rId4751" ref="F1678"/>
    <hyperlink r:id="rId4752" ref="G1678"/>
    <hyperlink r:id="rId4753" ref="F1679"/>
    <hyperlink r:id="rId4754" ref="G1679"/>
    <hyperlink r:id="rId4755" ref="F1680"/>
    <hyperlink r:id="rId4756" ref="G1680"/>
    <hyperlink r:id="rId4757" ref="F1681"/>
    <hyperlink r:id="rId4758" ref="G1681"/>
    <hyperlink r:id="rId4759" ref="F1682"/>
    <hyperlink r:id="rId4760" ref="G1682"/>
    <hyperlink r:id="rId4761" ref="F1683"/>
    <hyperlink r:id="rId4762" ref="G1683"/>
    <hyperlink r:id="rId4763" ref="F1684"/>
    <hyperlink r:id="rId4764" ref="G1684"/>
    <hyperlink r:id="rId4765" ref="F1685"/>
    <hyperlink r:id="rId4766" ref="G1685"/>
    <hyperlink r:id="rId4767" ref="F1686"/>
    <hyperlink r:id="rId4768" ref="G1686"/>
    <hyperlink r:id="rId4769" ref="F1687"/>
    <hyperlink r:id="rId4770" ref="G1687"/>
    <hyperlink r:id="rId4771" ref="F1688"/>
    <hyperlink r:id="rId4772" ref="G1688"/>
    <hyperlink r:id="rId4773" ref="F1689"/>
    <hyperlink r:id="rId4774" ref="G1689"/>
    <hyperlink r:id="rId4775" ref="F1690"/>
    <hyperlink r:id="rId4776" ref="G1690"/>
    <hyperlink r:id="rId4777" ref="F1691"/>
    <hyperlink r:id="rId4778" ref="G1691"/>
    <hyperlink r:id="rId4779" ref="F1692"/>
    <hyperlink r:id="rId4780" ref="G1692"/>
    <hyperlink r:id="rId4781" ref="F1693"/>
    <hyperlink r:id="rId4782" ref="G1693"/>
    <hyperlink r:id="rId4783" ref="F1694"/>
    <hyperlink r:id="rId4784" ref="G1694"/>
    <hyperlink r:id="rId4785" ref="F1695"/>
    <hyperlink r:id="rId4786" ref="G1695"/>
    <hyperlink r:id="rId4787" ref="F1696"/>
    <hyperlink r:id="rId4788" ref="G1696"/>
    <hyperlink r:id="rId4789" ref="F1697"/>
    <hyperlink r:id="rId4790" ref="G1697"/>
    <hyperlink r:id="rId4791" ref="F1698"/>
    <hyperlink r:id="rId4792" ref="G1698"/>
    <hyperlink r:id="rId4793" ref="F1699"/>
    <hyperlink r:id="rId4794" ref="G1699"/>
    <hyperlink r:id="rId4795" ref="F1700"/>
    <hyperlink r:id="rId4796" ref="G1700"/>
    <hyperlink r:id="rId4797" ref="F1701"/>
    <hyperlink r:id="rId4798" ref="G1701"/>
    <hyperlink r:id="rId4799" ref="F1702"/>
    <hyperlink r:id="rId4800" ref="G1702"/>
    <hyperlink r:id="rId4801" ref="F1703"/>
    <hyperlink r:id="rId4802" ref="G1703"/>
    <hyperlink r:id="rId4803" ref="F1704"/>
    <hyperlink r:id="rId4804" ref="G1704"/>
    <hyperlink r:id="rId4805" ref="F1705"/>
    <hyperlink r:id="rId4806" ref="G1705"/>
    <hyperlink r:id="rId4807" ref="D1706"/>
    <hyperlink r:id="rId4808" ref="F1706"/>
    <hyperlink r:id="rId4809" ref="G1706"/>
    <hyperlink r:id="rId4810" ref="F1707"/>
    <hyperlink r:id="rId4811" ref="G1707"/>
    <hyperlink r:id="rId4812" ref="F1708"/>
    <hyperlink r:id="rId4813" ref="G1708"/>
    <hyperlink r:id="rId4814" ref="F1709"/>
    <hyperlink r:id="rId4815" ref="G1709"/>
    <hyperlink r:id="rId4816" ref="F1710"/>
    <hyperlink r:id="rId4817" ref="G1710"/>
    <hyperlink r:id="rId4818" ref="F1711"/>
    <hyperlink r:id="rId4819" ref="G1711"/>
    <hyperlink r:id="rId4820" ref="F1712"/>
    <hyperlink r:id="rId4821" ref="G1712"/>
    <hyperlink r:id="rId4822" ref="D1713"/>
    <hyperlink r:id="rId4823" ref="F1713"/>
    <hyperlink r:id="rId4824" ref="G1713"/>
    <hyperlink r:id="rId4825" ref="F1714"/>
    <hyperlink r:id="rId4826" ref="G1714"/>
    <hyperlink r:id="rId4827" ref="F1715"/>
    <hyperlink r:id="rId4828" ref="G1715"/>
    <hyperlink r:id="rId4829" ref="F1716"/>
    <hyperlink r:id="rId4830" ref="G1716"/>
    <hyperlink r:id="rId4831" ref="F1717"/>
    <hyperlink r:id="rId4832" ref="G1717"/>
    <hyperlink r:id="rId4833" ref="F1718"/>
    <hyperlink r:id="rId4834" ref="G1718"/>
    <hyperlink r:id="rId4835" ref="F1719"/>
    <hyperlink r:id="rId4836" ref="G1719"/>
    <hyperlink r:id="rId4837" ref="F1720"/>
    <hyperlink r:id="rId4838" ref="G1720"/>
    <hyperlink r:id="rId4839" ref="F1721"/>
    <hyperlink r:id="rId4840" ref="G1721"/>
    <hyperlink r:id="rId4841" ref="D1722"/>
    <hyperlink r:id="rId4842" ref="F1722"/>
    <hyperlink r:id="rId4843" ref="G1722"/>
    <hyperlink r:id="rId4844" ref="F1723"/>
    <hyperlink r:id="rId4845" ref="G1723"/>
    <hyperlink r:id="rId4846" ref="F1724"/>
    <hyperlink r:id="rId4847" ref="G1724"/>
    <hyperlink r:id="rId4848" ref="F1725"/>
    <hyperlink r:id="rId4849" ref="G1725"/>
    <hyperlink r:id="rId4850" ref="F1726"/>
    <hyperlink r:id="rId4851" ref="G1726"/>
    <hyperlink r:id="rId4852" ref="F1727"/>
    <hyperlink r:id="rId4853" ref="G1727"/>
    <hyperlink r:id="rId4854" ref="F1728"/>
    <hyperlink r:id="rId4855" ref="G1728"/>
    <hyperlink r:id="rId4856" ref="F1729"/>
    <hyperlink r:id="rId4857" ref="G1729"/>
    <hyperlink r:id="rId4858" ref="F1730"/>
    <hyperlink r:id="rId4859" ref="G1730"/>
    <hyperlink r:id="rId4860" ref="F1731"/>
    <hyperlink r:id="rId4861" ref="G1731"/>
    <hyperlink r:id="rId4862" ref="F1732"/>
    <hyperlink r:id="rId4863" ref="G1732"/>
    <hyperlink r:id="rId4864" ref="F1733"/>
    <hyperlink r:id="rId4865" ref="G1733"/>
    <hyperlink r:id="rId4866" ref="F1734"/>
    <hyperlink r:id="rId4867" ref="G1734"/>
    <hyperlink r:id="rId4868" ref="F1735"/>
    <hyperlink r:id="rId4869" ref="G1735"/>
    <hyperlink r:id="rId4870" ref="F1736"/>
    <hyperlink r:id="rId4871" ref="G1736"/>
    <hyperlink r:id="rId4872" ref="F1737"/>
    <hyperlink r:id="rId4873" ref="G1737"/>
    <hyperlink r:id="rId4874" ref="F1738"/>
    <hyperlink r:id="rId4875" ref="G1738"/>
    <hyperlink r:id="rId4876" ref="F1739"/>
    <hyperlink r:id="rId4877" ref="G1739"/>
    <hyperlink r:id="rId4878" ref="F1740"/>
    <hyperlink r:id="rId4879" ref="G1740"/>
    <hyperlink r:id="rId4880" ref="F1741"/>
    <hyperlink r:id="rId4881" ref="G1741"/>
    <hyperlink r:id="rId4882" ref="F1742"/>
    <hyperlink r:id="rId4883" ref="G1742"/>
    <hyperlink r:id="rId4884" ref="F1743"/>
    <hyperlink r:id="rId4885" ref="G1743"/>
    <hyperlink r:id="rId4886" ref="F1744"/>
    <hyperlink r:id="rId4887" ref="G1744"/>
    <hyperlink r:id="rId4888" ref="F1745"/>
    <hyperlink r:id="rId4889" ref="G1745"/>
    <hyperlink r:id="rId4890" ref="F1746"/>
    <hyperlink r:id="rId4891" ref="G1746"/>
    <hyperlink r:id="rId4892" ref="F1747"/>
    <hyperlink r:id="rId4893" ref="G1747"/>
    <hyperlink r:id="rId4894" ref="F1748"/>
    <hyperlink r:id="rId4895" ref="G1748"/>
    <hyperlink r:id="rId4896" ref="F1749"/>
    <hyperlink r:id="rId4897" ref="G1749"/>
    <hyperlink r:id="rId4898" ref="F1750"/>
    <hyperlink r:id="rId4899" ref="G1750"/>
    <hyperlink r:id="rId4900" ref="F1751"/>
    <hyperlink r:id="rId4901" ref="G1751"/>
    <hyperlink r:id="rId4902" ref="F1752"/>
    <hyperlink r:id="rId4903" ref="G1752"/>
    <hyperlink r:id="rId4904" ref="F1753"/>
    <hyperlink r:id="rId4905" ref="G1753"/>
    <hyperlink r:id="rId4906" ref="F1754"/>
    <hyperlink r:id="rId4907" ref="G1754"/>
    <hyperlink r:id="rId4908" ref="F1755"/>
    <hyperlink r:id="rId4909" ref="G1755"/>
    <hyperlink r:id="rId4910" ref="F1756"/>
    <hyperlink r:id="rId4911" ref="G1756"/>
    <hyperlink r:id="rId4912" ref="F1757"/>
    <hyperlink r:id="rId4913" ref="G1757"/>
    <hyperlink r:id="rId4914" ref="F1758"/>
    <hyperlink r:id="rId4915" ref="G1758"/>
    <hyperlink r:id="rId4916" ref="F1759"/>
    <hyperlink r:id="rId4917" ref="G1759"/>
    <hyperlink r:id="rId4918" ref="F1760"/>
    <hyperlink r:id="rId4919" ref="G1760"/>
    <hyperlink r:id="rId4920" ref="F1761"/>
    <hyperlink r:id="rId4921" ref="G1761"/>
    <hyperlink r:id="rId4922" ref="F1762"/>
    <hyperlink r:id="rId4923" ref="G1762"/>
    <hyperlink r:id="rId4924" ref="F1763"/>
    <hyperlink r:id="rId4925" ref="G1763"/>
    <hyperlink r:id="rId4926" ref="F1764"/>
    <hyperlink r:id="rId4927" ref="G1764"/>
    <hyperlink r:id="rId4928" ref="F1765"/>
    <hyperlink r:id="rId4929" ref="G1765"/>
    <hyperlink r:id="rId4930" ref="F1766"/>
    <hyperlink r:id="rId4931" ref="G1766"/>
    <hyperlink r:id="rId4932" ref="F1767"/>
    <hyperlink r:id="rId4933" ref="G1767"/>
    <hyperlink r:id="rId4934" ref="F1768"/>
    <hyperlink r:id="rId4935" ref="G1768"/>
    <hyperlink r:id="rId4936" ref="F1769"/>
    <hyperlink r:id="rId4937" ref="G1769"/>
    <hyperlink r:id="rId4938" ref="F1770"/>
    <hyperlink r:id="rId4939" ref="G1770"/>
    <hyperlink r:id="rId4940" ref="F1771"/>
    <hyperlink r:id="rId4941" ref="G1771"/>
    <hyperlink r:id="rId4942" ref="F1772"/>
    <hyperlink r:id="rId4943" ref="G1772"/>
    <hyperlink r:id="rId4944" ref="F1773"/>
    <hyperlink r:id="rId4945" ref="G1773"/>
    <hyperlink r:id="rId4946" ref="F1774"/>
    <hyperlink r:id="rId4947" ref="G1774"/>
    <hyperlink r:id="rId4948" ref="F1775"/>
    <hyperlink r:id="rId4949" ref="G1775"/>
    <hyperlink r:id="rId4950" ref="F1776"/>
    <hyperlink r:id="rId4951" ref="G1776"/>
    <hyperlink r:id="rId4952" ref="F1777"/>
    <hyperlink r:id="rId4953" ref="G1777"/>
    <hyperlink r:id="rId4954" ref="F1778"/>
    <hyperlink r:id="rId4955" ref="G1778"/>
    <hyperlink r:id="rId4956" ref="F1779"/>
    <hyperlink r:id="rId4957" ref="G1779"/>
    <hyperlink r:id="rId4958" ref="F1780"/>
    <hyperlink r:id="rId4959" ref="G1780"/>
    <hyperlink r:id="rId4960" ref="F1781"/>
    <hyperlink r:id="rId4961" ref="G1781"/>
    <hyperlink r:id="rId4962" ref="F1782"/>
    <hyperlink r:id="rId4963" ref="G1782"/>
    <hyperlink r:id="rId4964" ref="F1783"/>
    <hyperlink r:id="rId4965" ref="G1783"/>
    <hyperlink r:id="rId4966" ref="F1784"/>
    <hyperlink r:id="rId4967" ref="G1784"/>
    <hyperlink r:id="rId4968" ref="F1785"/>
    <hyperlink r:id="rId4969" ref="G1785"/>
    <hyperlink r:id="rId4970" ref="F1786"/>
    <hyperlink r:id="rId4971" ref="G1786"/>
    <hyperlink r:id="rId4972" ref="F1787"/>
    <hyperlink r:id="rId4973" ref="G1787"/>
    <hyperlink r:id="rId4974" ref="F1788"/>
    <hyperlink r:id="rId4975" ref="G1788"/>
    <hyperlink r:id="rId4976" ref="F1789"/>
    <hyperlink r:id="rId4977" ref="G1789"/>
    <hyperlink r:id="rId4978" ref="F1790"/>
    <hyperlink r:id="rId4979" ref="G1790"/>
    <hyperlink r:id="rId4980" ref="F1791"/>
    <hyperlink r:id="rId4981" ref="G1791"/>
    <hyperlink r:id="rId4982" ref="F1792"/>
    <hyperlink r:id="rId4983" ref="G1792"/>
    <hyperlink r:id="rId4984" ref="F1793"/>
    <hyperlink r:id="rId4985" ref="G1793"/>
    <hyperlink r:id="rId4986" ref="F1794"/>
    <hyperlink r:id="rId4987" ref="G1794"/>
    <hyperlink r:id="rId4988" ref="F1795"/>
    <hyperlink r:id="rId4989" ref="G1795"/>
    <hyperlink r:id="rId4990" ref="F1796"/>
    <hyperlink r:id="rId4991" ref="G1796"/>
    <hyperlink r:id="rId4992" ref="F1797"/>
    <hyperlink r:id="rId4993" ref="G1797"/>
    <hyperlink r:id="rId4994" ref="F1798"/>
    <hyperlink r:id="rId4995" ref="G1798"/>
    <hyperlink r:id="rId4996" ref="F1799"/>
    <hyperlink r:id="rId4997" ref="G1799"/>
    <hyperlink r:id="rId4998" ref="F1800"/>
    <hyperlink r:id="rId4999" ref="G1800"/>
    <hyperlink r:id="rId5000" ref="F1801"/>
    <hyperlink r:id="rId5001" ref="G1801"/>
    <hyperlink r:id="rId5002" ref="F1802"/>
    <hyperlink r:id="rId5003" ref="G1802"/>
    <hyperlink r:id="rId5004" ref="F1803"/>
    <hyperlink r:id="rId5005" ref="G1803"/>
    <hyperlink r:id="rId5006" ref="F1804"/>
    <hyperlink r:id="rId5007" ref="G1804"/>
    <hyperlink r:id="rId5008" ref="F1805"/>
    <hyperlink r:id="rId5009" ref="G1805"/>
    <hyperlink r:id="rId5010" ref="D1806"/>
    <hyperlink r:id="rId5011" ref="F1806"/>
    <hyperlink r:id="rId5012" ref="G1806"/>
    <hyperlink r:id="rId5013" ref="F1807"/>
    <hyperlink r:id="rId5014" ref="G1807"/>
    <hyperlink r:id="rId5015" ref="F1808"/>
    <hyperlink r:id="rId5016" ref="G1808"/>
    <hyperlink r:id="rId5017" ref="F1809"/>
    <hyperlink r:id="rId5018" ref="G1809"/>
    <hyperlink r:id="rId5019" ref="F1810"/>
    <hyperlink r:id="rId5020" ref="G1810"/>
    <hyperlink r:id="rId5021" ref="F1811"/>
    <hyperlink r:id="rId5022" ref="G1811"/>
    <hyperlink r:id="rId5023" ref="F1812"/>
    <hyperlink r:id="rId5024" ref="G1812"/>
    <hyperlink r:id="rId5025" ref="F1813"/>
    <hyperlink r:id="rId5026" ref="G1813"/>
    <hyperlink r:id="rId5027" ref="F1814"/>
    <hyperlink r:id="rId5028" ref="G1814"/>
    <hyperlink r:id="rId5029" ref="F1815"/>
    <hyperlink r:id="rId5030" ref="G1815"/>
    <hyperlink r:id="rId5031" ref="F1816"/>
    <hyperlink r:id="rId5032" ref="G1816"/>
    <hyperlink r:id="rId5033" ref="F1817"/>
    <hyperlink r:id="rId5034" ref="G1817"/>
    <hyperlink r:id="rId5035" ref="F1818"/>
    <hyperlink r:id="rId5036" ref="G1818"/>
    <hyperlink r:id="rId5037" ref="D1819"/>
    <hyperlink r:id="rId5038" ref="F1819"/>
    <hyperlink r:id="rId5039" ref="G1819"/>
    <hyperlink r:id="rId5040" ref="F1820"/>
    <hyperlink r:id="rId5041" ref="G1820"/>
    <hyperlink r:id="rId5042" ref="F1821"/>
    <hyperlink r:id="rId5043" ref="G1821"/>
    <hyperlink r:id="rId5044" ref="F1822"/>
    <hyperlink r:id="rId5045" ref="G1822"/>
    <hyperlink r:id="rId5046" ref="D1823"/>
    <hyperlink r:id="rId5047" ref="F1823"/>
    <hyperlink r:id="rId5048" ref="G1823"/>
    <hyperlink r:id="rId5049" ref="F1824"/>
    <hyperlink r:id="rId5050" ref="G1824"/>
    <hyperlink r:id="rId5051" ref="F1825"/>
    <hyperlink r:id="rId5052" ref="G1825"/>
    <hyperlink r:id="rId5053" ref="F1826"/>
    <hyperlink r:id="rId5054" ref="G1826"/>
    <hyperlink r:id="rId5055" ref="F1827"/>
    <hyperlink r:id="rId5056" ref="G1827"/>
    <hyperlink r:id="rId5057" ref="F1828"/>
    <hyperlink r:id="rId5058" ref="G1828"/>
    <hyperlink r:id="rId5059" ref="F1829"/>
    <hyperlink r:id="rId5060" ref="G1829"/>
    <hyperlink r:id="rId5061" ref="F1830"/>
    <hyperlink r:id="rId5062" ref="G1830"/>
    <hyperlink r:id="rId5063" ref="F1831"/>
    <hyperlink r:id="rId5064" ref="G1831"/>
    <hyperlink r:id="rId5065" ref="F1832"/>
    <hyperlink r:id="rId5066" ref="G1832"/>
    <hyperlink r:id="rId5067" ref="F1833"/>
    <hyperlink r:id="rId5068" ref="G1833"/>
    <hyperlink r:id="rId5069" ref="F1834"/>
    <hyperlink r:id="rId5070" ref="G1834"/>
    <hyperlink r:id="rId5071" ref="F1835"/>
    <hyperlink r:id="rId5072" ref="G1835"/>
    <hyperlink r:id="rId5073" ref="F1836"/>
    <hyperlink r:id="rId5074" ref="G1836"/>
    <hyperlink r:id="rId5075" ref="F1837"/>
    <hyperlink r:id="rId5076" ref="G1837"/>
    <hyperlink r:id="rId5077" ref="F1838"/>
    <hyperlink r:id="rId5078" ref="G1838"/>
    <hyperlink r:id="rId5079" ref="F1839"/>
    <hyperlink r:id="rId5080" ref="G1839"/>
    <hyperlink r:id="rId5081" ref="F1840"/>
    <hyperlink r:id="rId5082" ref="G1840"/>
    <hyperlink r:id="rId5083" ref="F1841"/>
    <hyperlink r:id="rId5084" ref="G1841"/>
    <hyperlink r:id="rId5085" ref="F1842"/>
    <hyperlink r:id="rId5086" ref="G1842"/>
    <hyperlink r:id="rId5087" ref="F1843"/>
    <hyperlink r:id="rId5088" ref="G1843"/>
    <hyperlink r:id="rId5089" ref="F1844"/>
    <hyperlink r:id="rId5090" ref="G1844"/>
    <hyperlink r:id="rId5091" ref="F1845"/>
    <hyperlink r:id="rId5092" ref="G1845"/>
    <hyperlink r:id="rId5093" ref="F1846"/>
    <hyperlink r:id="rId5094" ref="G1846"/>
    <hyperlink r:id="rId5095" ref="F1847"/>
    <hyperlink r:id="rId5096" ref="G1847"/>
    <hyperlink r:id="rId5097" ref="F1848"/>
    <hyperlink r:id="rId5098" ref="G1848"/>
    <hyperlink r:id="rId5099" ref="F1849"/>
    <hyperlink r:id="rId5100" ref="G1849"/>
    <hyperlink r:id="rId5101" ref="F1850"/>
    <hyperlink r:id="rId5102" ref="G1850"/>
    <hyperlink r:id="rId5103" ref="F1851"/>
    <hyperlink r:id="rId5104" ref="G1851"/>
    <hyperlink r:id="rId5105" ref="F1852"/>
    <hyperlink r:id="rId5106" ref="G1852"/>
    <hyperlink r:id="rId5107" ref="F1853"/>
    <hyperlink r:id="rId5108" ref="G1853"/>
    <hyperlink r:id="rId5109" ref="F1854"/>
    <hyperlink r:id="rId5110" ref="G1854"/>
    <hyperlink r:id="rId5111" ref="F1855"/>
    <hyperlink r:id="rId5112" ref="G1855"/>
    <hyperlink r:id="rId5113" ref="F1856"/>
    <hyperlink r:id="rId5114" ref="G1856"/>
    <hyperlink r:id="rId5115" ref="F1857"/>
    <hyperlink r:id="rId5116" ref="G1857"/>
    <hyperlink r:id="rId5117" ref="F1858"/>
    <hyperlink r:id="rId5118" ref="G1858"/>
    <hyperlink r:id="rId5119" ref="F1859"/>
    <hyperlink r:id="rId5120" ref="G1859"/>
    <hyperlink r:id="rId5121" ref="F1860"/>
    <hyperlink r:id="rId5122" ref="G1860"/>
    <hyperlink r:id="rId5123" ref="F1861"/>
    <hyperlink r:id="rId5124" ref="G1861"/>
    <hyperlink r:id="rId5125" ref="F1862"/>
    <hyperlink r:id="rId5126" ref="G1862"/>
    <hyperlink r:id="rId5127" ref="F1863"/>
    <hyperlink r:id="rId5128" ref="G1863"/>
    <hyperlink r:id="rId5129" ref="F1864"/>
    <hyperlink r:id="rId5130" ref="G1864"/>
    <hyperlink r:id="rId5131" ref="F1865"/>
    <hyperlink r:id="rId5132" ref="G1865"/>
    <hyperlink r:id="rId5133" ref="F1866"/>
    <hyperlink r:id="rId5134" ref="G1866"/>
    <hyperlink r:id="rId5135" ref="F1867"/>
    <hyperlink r:id="rId5136" ref="G1867"/>
    <hyperlink r:id="rId5137" ref="F1868"/>
    <hyperlink r:id="rId5138" ref="G1868"/>
    <hyperlink r:id="rId5139" ref="F1869"/>
    <hyperlink r:id="rId5140" ref="G1869"/>
    <hyperlink r:id="rId5141" ref="F1870"/>
    <hyperlink r:id="rId5142" ref="G1870"/>
    <hyperlink r:id="rId5143" ref="F1871"/>
    <hyperlink r:id="rId5144" ref="G1871"/>
    <hyperlink r:id="rId5145" ref="F1872"/>
    <hyperlink r:id="rId5146" ref="G1872"/>
    <hyperlink r:id="rId5147" ref="F1873"/>
    <hyperlink r:id="rId5148" ref="G1873"/>
    <hyperlink r:id="rId5149" ref="F1874"/>
    <hyperlink r:id="rId5150" ref="G1874"/>
    <hyperlink r:id="rId5151" ref="D1875"/>
    <hyperlink r:id="rId5152" ref="F1875"/>
    <hyperlink r:id="rId5153" ref="G1875"/>
    <hyperlink r:id="rId5154" ref="F1876"/>
    <hyperlink r:id="rId5155" ref="G1876"/>
    <hyperlink r:id="rId5156" ref="F1877"/>
    <hyperlink r:id="rId5157" ref="G1877"/>
    <hyperlink r:id="rId5158" ref="F1878"/>
    <hyperlink r:id="rId5159" ref="G1878"/>
    <hyperlink r:id="rId5160" ref="F1879"/>
    <hyperlink r:id="rId5161" ref="G1879"/>
    <hyperlink r:id="rId5162" ref="F1880"/>
    <hyperlink r:id="rId5163" ref="G1880"/>
    <hyperlink r:id="rId5164" ref="F1881"/>
    <hyperlink r:id="rId5165" ref="G1881"/>
    <hyperlink r:id="rId5166" ref="F1882"/>
    <hyperlink r:id="rId5167" ref="G1882"/>
    <hyperlink r:id="rId5168" ref="F1883"/>
    <hyperlink r:id="rId5169" ref="G1883"/>
    <hyperlink r:id="rId5170" ref="F1884"/>
    <hyperlink r:id="rId5171" ref="G1884"/>
    <hyperlink r:id="rId5172" ref="F1885"/>
    <hyperlink r:id="rId5173" ref="G1885"/>
    <hyperlink r:id="rId5174" ref="F1886"/>
    <hyperlink r:id="rId5175" ref="G1886"/>
    <hyperlink r:id="rId5176" ref="F1887"/>
    <hyperlink r:id="rId5177" ref="G1887"/>
    <hyperlink r:id="rId5178" ref="F1888"/>
    <hyperlink r:id="rId5179" ref="G1888"/>
    <hyperlink r:id="rId5180" ref="F1889"/>
    <hyperlink r:id="rId5181" ref="G1889"/>
    <hyperlink r:id="rId5182" ref="F1890"/>
    <hyperlink r:id="rId5183" ref="G1890"/>
    <hyperlink r:id="rId5184" ref="F1891"/>
    <hyperlink r:id="rId5185" ref="G1891"/>
    <hyperlink r:id="rId5186" ref="F1892"/>
    <hyperlink r:id="rId5187" ref="G1892"/>
    <hyperlink r:id="rId5188" ref="F1893"/>
    <hyperlink r:id="rId5189" ref="G1893"/>
    <hyperlink r:id="rId5190" ref="F1894"/>
    <hyperlink r:id="rId5191" ref="G1894"/>
    <hyperlink r:id="rId5192" ref="F1895"/>
    <hyperlink r:id="rId5193" ref="G1895"/>
    <hyperlink r:id="rId5194" ref="F1896"/>
    <hyperlink r:id="rId5195" ref="G1896"/>
    <hyperlink r:id="rId5196" ref="F1897"/>
    <hyperlink r:id="rId5197" ref="G1897"/>
    <hyperlink r:id="rId5198" ref="F1898"/>
    <hyperlink r:id="rId5199" ref="G1898"/>
    <hyperlink r:id="rId5200" ref="F1899"/>
    <hyperlink r:id="rId5201" ref="G1899"/>
    <hyperlink r:id="rId5202" ref="F1900"/>
    <hyperlink r:id="rId5203" ref="G1900"/>
    <hyperlink r:id="rId5204" ref="F1901"/>
    <hyperlink r:id="rId5205" ref="G1901"/>
    <hyperlink r:id="rId5206" ref="D1902"/>
    <hyperlink r:id="rId5207" ref="F1902"/>
    <hyperlink r:id="rId5208" ref="G1902"/>
    <hyperlink r:id="rId5209" ref="F1903"/>
    <hyperlink r:id="rId5210" ref="G1903"/>
    <hyperlink r:id="rId5211" ref="F1904"/>
    <hyperlink r:id="rId5212" ref="G1904"/>
    <hyperlink r:id="rId5213" ref="F1905"/>
    <hyperlink r:id="rId5214" ref="G1905"/>
    <hyperlink r:id="rId5215" ref="F1906"/>
    <hyperlink r:id="rId5216" ref="G1906"/>
    <hyperlink r:id="rId5217" ref="F1907"/>
    <hyperlink r:id="rId5218" ref="G1907"/>
    <hyperlink r:id="rId5219" ref="F1908"/>
    <hyperlink r:id="rId5220" ref="G1908"/>
    <hyperlink r:id="rId5221" ref="F1909"/>
    <hyperlink r:id="rId5222" ref="G1909"/>
    <hyperlink r:id="rId5223" ref="F1910"/>
    <hyperlink r:id="rId5224" ref="G1910"/>
    <hyperlink r:id="rId5225" ref="F1911"/>
    <hyperlink r:id="rId5226" ref="G1911"/>
    <hyperlink r:id="rId5227" ref="F1912"/>
    <hyperlink r:id="rId5228" ref="G1912"/>
    <hyperlink r:id="rId5229" ref="F1913"/>
    <hyperlink r:id="rId5230" ref="G1913"/>
    <hyperlink r:id="rId5231" ref="F1914"/>
    <hyperlink r:id="rId5232" ref="G1914"/>
    <hyperlink r:id="rId5233" ref="F1915"/>
    <hyperlink r:id="rId5234" ref="G1915"/>
    <hyperlink r:id="rId5235" ref="F1916"/>
    <hyperlink r:id="rId5236" ref="G1916"/>
    <hyperlink r:id="rId5237" ref="F1917"/>
    <hyperlink r:id="rId5238" ref="G1917"/>
    <hyperlink r:id="rId5239" ref="F1918"/>
    <hyperlink r:id="rId5240" ref="G1918"/>
    <hyperlink r:id="rId5241" ref="F1919"/>
    <hyperlink r:id="rId5242" ref="G1919"/>
    <hyperlink r:id="rId5243" ref="F1920"/>
    <hyperlink r:id="rId5244" ref="G1920"/>
    <hyperlink r:id="rId5245" ref="F1921"/>
    <hyperlink r:id="rId5246" ref="G1921"/>
    <hyperlink r:id="rId5247" ref="F1922"/>
    <hyperlink r:id="rId5248" ref="G1922"/>
    <hyperlink r:id="rId5249" ref="F1923"/>
    <hyperlink r:id="rId5250" ref="G1923"/>
    <hyperlink r:id="rId5251" ref="F1924"/>
    <hyperlink r:id="rId5252" ref="G1924"/>
    <hyperlink r:id="rId5253" ref="F1925"/>
    <hyperlink r:id="rId5254" ref="G1925"/>
    <hyperlink r:id="rId5255" ref="F1926"/>
    <hyperlink r:id="rId5256" ref="G1926"/>
    <hyperlink r:id="rId5257" ref="F1927"/>
    <hyperlink r:id="rId5258" ref="G1927"/>
    <hyperlink r:id="rId5259" ref="F1928"/>
    <hyperlink r:id="rId5260" ref="G1928"/>
    <hyperlink r:id="rId5261" ref="F1929"/>
    <hyperlink r:id="rId5262" ref="G1929"/>
    <hyperlink r:id="rId5263" ref="F1930"/>
    <hyperlink r:id="rId5264" ref="G1930"/>
    <hyperlink r:id="rId5265" ref="F1931"/>
    <hyperlink r:id="rId5266" ref="G1931"/>
    <hyperlink r:id="rId5267" ref="F1932"/>
    <hyperlink r:id="rId5268" ref="G1932"/>
    <hyperlink r:id="rId5269" ref="F1933"/>
    <hyperlink r:id="rId5270" ref="G1933"/>
    <hyperlink r:id="rId5271" ref="F1934"/>
    <hyperlink r:id="rId5272" ref="G1934"/>
    <hyperlink r:id="rId5273" ref="F1935"/>
    <hyperlink r:id="rId5274" ref="G1935"/>
    <hyperlink r:id="rId5275" ref="F1936"/>
    <hyperlink r:id="rId5276" ref="G1936"/>
    <hyperlink r:id="rId5277" ref="F1937"/>
    <hyperlink r:id="rId5278" ref="G1937"/>
    <hyperlink r:id="rId5279" ref="F1938"/>
    <hyperlink r:id="rId5280" ref="G1938"/>
    <hyperlink r:id="rId5281" ref="F1939"/>
    <hyperlink r:id="rId5282" ref="G1939"/>
    <hyperlink r:id="rId5283" ref="F1940"/>
    <hyperlink r:id="rId5284" ref="G1940"/>
    <hyperlink r:id="rId5285" ref="F1941"/>
    <hyperlink r:id="rId5286" ref="G1941"/>
    <hyperlink r:id="rId5287" ref="F1942"/>
    <hyperlink r:id="rId5288" ref="G1942"/>
    <hyperlink r:id="rId5289" ref="F1943"/>
    <hyperlink r:id="rId5290" ref="G1943"/>
    <hyperlink r:id="rId5291" ref="F1944"/>
    <hyperlink r:id="rId5292" ref="G1944"/>
    <hyperlink r:id="rId5293" ref="F1945"/>
    <hyperlink r:id="rId5294" ref="G1945"/>
    <hyperlink r:id="rId5295" ref="F1946"/>
    <hyperlink r:id="rId5296" ref="G1946"/>
    <hyperlink r:id="rId5297" ref="F1947"/>
    <hyperlink r:id="rId5298" ref="G1947"/>
    <hyperlink r:id="rId5299" ref="F1948"/>
    <hyperlink r:id="rId5300" ref="G1948"/>
    <hyperlink r:id="rId5301" ref="F1949"/>
    <hyperlink r:id="rId5302" ref="G1949"/>
    <hyperlink r:id="rId5303" ref="F1950"/>
    <hyperlink r:id="rId5304" ref="G1950"/>
    <hyperlink r:id="rId5305" ref="F1951"/>
    <hyperlink r:id="rId5306" ref="G1951"/>
    <hyperlink r:id="rId5307" ref="F1952"/>
    <hyperlink r:id="rId5308" ref="G1952"/>
    <hyperlink r:id="rId5309" ref="F1953"/>
    <hyperlink r:id="rId5310" ref="G1953"/>
    <hyperlink r:id="rId5311" ref="F1954"/>
    <hyperlink r:id="rId5312" ref="G1954"/>
    <hyperlink r:id="rId5313" ref="F1955"/>
    <hyperlink r:id="rId5314" ref="G1955"/>
    <hyperlink r:id="rId5315" ref="F1956"/>
    <hyperlink r:id="rId5316" ref="G1956"/>
    <hyperlink r:id="rId5317" ref="F1957"/>
    <hyperlink r:id="rId5318" ref="G1957"/>
    <hyperlink r:id="rId5319" ref="F1958"/>
    <hyperlink r:id="rId5320" ref="G1958"/>
    <hyperlink r:id="rId5321" ref="F1959"/>
    <hyperlink r:id="rId5322" ref="G1959"/>
    <hyperlink r:id="rId5323" ref="F1960"/>
    <hyperlink r:id="rId5324" ref="G1960"/>
    <hyperlink r:id="rId5325" ref="F1961"/>
    <hyperlink r:id="rId5326" ref="G1961"/>
    <hyperlink r:id="rId5327" ref="F1962"/>
    <hyperlink r:id="rId5328" ref="G1962"/>
    <hyperlink r:id="rId5329" ref="D1963"/>
    <hyperlink r:id="rId5330" ref="F1963"/>
    <hyperlink r:id="rId5331" ref="G1963"/>
    <hyperlink r:id="rId5332" ref="F1964"/>
    <hyperlink r:id="rId5333" ref="G1964"/>
    <hyperlink r:id="rId5334" ref="F1965"/>
    <hyperlink r:id="rId5335" ref="G1965"/>
    <hyperlink r:id="rId5336" ref="F1966"/>
    <hyperlink r:id="rId5337" ref="G1966"/>
    <hyperlink r:id="rId5338" ref="F1967"/>
    <hyperlink r:id="rId5339" ref="G1967"/>
    <hyperlink r:id="rId5340" ref="F1968"/>
    <hyperlink r:id="rId5341" ref="G1968"/>
    <hyperlink r:id="rId5342" ref="F1969"/>
    <hyperlink r:id="rId5343" ref="G1969"/>
    <hyperlink r:id="rId5344" ref="F1970"/>
    <hyperlink r:id="rId5345" ref="G1970"/>
    <hyperlink r:id="rId5346" ref="F1971"/>
    <hyperlink r:id="rId5347" ref="G1971"/>
    <hyperlink r:id="rId5348" ref="F1972"/>
    <hyperlink r:id="rId5349" ref="G1972"/>
    <hyperlink r:id="rId5350" ref="F1973"/>
    <hyperlink r:id="rId5351" ref="G1973"/>
    <hyperlink r:id="rId5352" ref="F1974"/>
    <hyperlink r:id="rId5353" ref="G1974"/>
    <hyperlink r:id="rId5354" ref="F1975"/>
    <hyperlink r:id="rId5355" ref="G1975"/>
    <hyperlink r:id="rId5356" ref="F1976"/>
    <hyperlink r:id="rId5357" ref="G1976"/>
    <hyperlink r:id="rId5358" ref="F1977"/>
    <hyperlink r:id="rId5359" ref="G1977"/>
    <hyperlink r:id="rId5360" ref="F1978"/>
    <hyperlink r:id="rId5361" ref="G1978"/>
    <hyperlink r:id="rId5362" ref="F1979"/>
    <hyperlink r:id="rId5363" ref="G1979"/>
    <hyperlink r:id="rId5364" ref="F1980"/>
    <hyperlink r:id="rId5365" ref="G1980"/>
    <hyperlink r:id="rId5366" ref="F1981"/>
    <hyperlink r:id="rId5367" ref="G1981"/>
    <hyperlink r:id="rId5368" ref="F1982"/>
    <hyperlink r:id="rId5369" ref="G1982"/>
    <hyperlink r:id="rId5370" ref="F1983"/>
    <hyperlink r:id="rId5371" ref="G1983"/>
    <hyperlink r:id="rId5372" ref="F1984"/>
    <hyperlink r:id="rId5373" ref="G1984"/>
    <hyperlink r:id="rId5374" ref="F1985"/>
    <hyperlink r:id="rId5375" ref="G1985"/>
    <hyperlink r:id="rId5376" ref="F1986"/>
    <hyperlink r:id="rId5377" ref="G1986"/>
    <hyperlink r:id="rId5378" ref="F1987"/>
    <hyperlink r:id="rId5379" ref="G1987"/>
    <hyperlink r:id="rId5380" ref="F1988"/>
    <hyperlink r:id="rId5381" ref="G1988"/>
    <hyperlink r:id="rId5382" ref="F1989"/>
    <hyperlink r:id="rId5383" ref="G1989"/>
    <hyperlink r:id="rId5384" ref="F1990"/>
    <hyperlink r:id="rId5385" ref="G1990"/>
    <hyperlink r:id="rId5386" ref="F1991"/>
    <hyperlink r:id="rId5387" ref="G1991"/>
    <hyperlink r:id="rId5388" ref="F1992"/>
    <hyperlink r:id="rId5389" ref="G1992"/>
    <hyperlink r:id="rId5390" ref="F1993"/>
    <hyperlink r:id="rId5391" ref="G1993"/>
    <hyperlink r:id="rId5392" ref="F1994"/>
    <hyperlink r:id="rId5393" ref="G1994"/>
    <hyperlink r:id="rId5394" ref="F1995"/>
    <hyperlink r:id="rId5395" ref="G1995"/>
    <hyperlink r:id="rId5396" ref="F1996"/>
    <hyperlink r:id="rId5397" ref="G1996"/>
    <hyperlink r:id="rId5398" ref="F1997"/>
    <hyperlink r:id="rId5399" ref="G1997"/>
    <hyperlink r:id="rId5400" ref="F1998"/>
    <hyperlink r:id="rId5401" ref="G1998"/>
    <hyperlink r:id="rId5402" ref="F1999"/>
    <hyperlink r:id="rId5403" ref="G1999"/>
    <hyperlink r:id="rId5404" ref="F2000"/>
    <hyperlink r:id="rId5405" ref="G2000"/>
    <hyperlink r:id="rId5406" ref="F2001"/>
    <hyperlink r:id="rId5407" ref="G2001"/>
    <hyperlink r:id="rId5408" ref="F2002"/>
    <hyperlink r:id="rId5409" ref="G2002"/>
    <hyperlink r:id="rId5410" ref="F2003"/>
    <hyperlink r:id="rId5411" ref="G2003"/>
    <hyperlink r:id="rId5412" ref="F2004"/>
    <hyperlink r:id="rId5413" ref="G2004"/>
    <hyperlink r:id="rId5414" ref="F2005"/>
    <hyperlink r:id="rId5415" ref="G2005"/>
    <hyperlink r:id="rId5416" ref="F2006"/>
    <hyperlink r:id="rId5417" ref="G2006"/>
    <hyperlink r:id="rId5418" ref="F2007"/>
    <hyperlink r:id="rId5419" ref="G2007"/>
    <hyperlink r:id="rId5420" ref="F2008"/>
    <hyperlink r:id="rId5421" ref="G2008"/>
    <hyperlink r:id="rId5422" ref="F2009"/>
    <hyperlink r:id="rId5423" ref="G2009"/>
    <hyperlink r:id="rId5424" ref="F2010"/>
    <hyperlink r:id="rId5425" ref="G2010"/>
    <hyperlink r:id="rId5426" ref="F2011"/>
    <hyperlink r:id="rId5427" ref="G2011"/>
    <hyperlink r:id="rId5428" ref="F2012"/>
    <hyperlink r:id="rId5429" ref="G2012"/>
    <hyperlink r:id="rId5430" ref="F2013"/>
    <hyperlink r:id="rId5431" ref="G2013"/>
    <hyperlink r:id="rId5432" ref="F2014"/>
    <hyperlink r:id="rId5433" ref="G2014"/>
    <hyperlink r:id="rId5434" ref="F2015"/>
    <hyperlink r:id="rId5435" ref="G2015"/>
    <hyperlink r:id="rId5436" ref="F2016"/>
    <hyperlink r:id="rId5437" ref="G2016"/>
    <hyperlink r:id="rId5438" ref="F2017"/>
    <hyperlink r:id="rId5439" ref="G2017"/>
    <hyperlink r:id="rId5440" ref="F2018"/>
    <hyperlink r:id="rId5441" ref="G2018"/>
    <hyperlink r:id="rId5442" ref="F2019"/>
    <hyperlink r:id="rId5443" ref="G2019"/>
    <hyperlink r:id="rId5444" ref="F2020"/>
    <hyperlink r:id="rId5445" ref="G2020"/>
    <hyperlink r:id="rId5446" ref="F2021"/>
    <hyperlink r:id="rId5447" ref="G2021"/>
    <hyperlink r:id="rId5448" ref="F2022"/>
    <hyperlink r:id="rId5449" ref="G2022"/>
    <hyperlink r:id="rId5450" ref="F2023"/>
    <hyperlink r:id="rId5451" ref="G2023"/>
    <hyperlink r:id="rId5452" ref="F2024"/>
    <hyperlink r:id="rId5453" ref="G2024"/>
    <hyperlink r:id="rId5454" ref="F2025"/>
    <hyperlink r:id="rId5455" ref="G2025"/>
    <hyperlink r:id="rId5456" ref="F2026"/>
    <hyperlink r:id="rId5457" ref="G2026"/>
    <hyperlink r:id="rId5458" ref="F2027"/>
    <hyperlink r:id="rId5459" ref="G2027"/>
    <hyperlink r:id="rId5460" ref="F2028"/>
    <hyperlink r:id="rId5461" ref="G2028"/>
    <hyperlink r:id="rId5462" ref="F2029"/>
    <hyperlink r:id="rId5463" ref="G2029"/>
    <hyperlink r:id="rId5464" ref="F2030"/>
    <hyperlink r:id="rId5465" ref="G2030"/>
    <hyperlink r:id="rId5466" ref="F2031"/>
    <hyperlink r:id="rId5467" ref="G2031"/>
    <hyperlink r:id="rId5468" ref="F2032"/>
    <hyperlink r:id="rId5469" ref="G2032"/>
    <hyperlink r:id="rId5470" ref="F2033"/>
    <hyperlink r:id="rId5471" ref="G2033"/>
    <hyperlink r:id="rId5472" ref="F2034"/>
    <hyperlink r:id="rId5473" ref="G2034"/>
    <hyperlink r:id="rId5474" ref="F2035"/>
    <hyperlink r:id="rId5475" ref="G2035"/>
    <hyperlink r:id="rId5476" ref="F2036"/>
    <hyperlink r:id="rId5477" ref="G2036"/>
    <hyperlink r:id="rId5478" ref="F2037"/>
    <hyperlink r:id="rId5479" ref="G2037"/>
    <hyperlink r:id="rId5480" ref="F2038"/>
    <hyperlink r:id="rId5481" ref="G2038"/>
    <hyperlink r:id="rId5482" ref="F2039"/>
    <hyperlink r:id="rId5483" ref="G2039"/>
    <hyperlink r:id="rId5484" ref="F2040"/>
    <hyperlink r:id="rId5485" ref="G2040"/>
    <hyperlink r:id="rId5486" ref="F2041"/>
    <hyperlink r:id="rId5487" ref="G2041"/>
    <hyperlink r:id="rId5488" ref="F2042"/>
    <hyperlink r:id="rId5489" ref="G2042"/>
    <hyperlink r:id="rId5490" ref="F2043"/>
    <hyperlink r:id="rId5491" ref="G2043"/>
    <hyperlink r:id="rId5492" ref="F2044"/>
    <hyperlink r:id="rId5493" ref="G2044"/>
    <hyperlink r:id="rId5494" ref="D2045"/>
    <hyperlink r:id="rId5495" ref="F2045"/>
    <hyperlink r:id="rId5496" ref="G2045"/>
    <hyperlink r:id="rId5497" ref="F2046"/>
    <hyperlink r:id="rId5498" ref="G2046"/>
    <hyperlink r:id="rId5499" ref="F2047"/>
    <hyperlink r:id="rId5500" ref="G2047"/>
    <hyperlink r:id="rId5501" ref="F2048"/>
    <hyperlink r:id="rId5502" ref="G2048"/>
    <hyperlink r:id="rId5503" ref="D2049"/>
    <hyperlink r:id="rId5504" ref="F2049"/>
    <hyperlink r:id="rId5505" ref="G2049"/>
    <hyperlink r:id="rId5506" ref="F2050"/>
    <hyperlink r:id="rId5507" ref="G2050"/>
    <hyperlink r:id="rId5508" ref="F2051"/>
    <hyperlink r:id="rId5509" ref="G2051"/>
    <hyperlink r:id="rId5510" ref="F2052"/>
    <hyperlink r:id="rId5511" ref="G2052"/>
    <hyperlink r:id="rId5512" ref="F2053"/>
    <hyperlink r:id="rId5513" ref="G2053"/>
    <hyperlink r:id="rId5514" ref="F2054"/>
    <hyperlink r:id="rId5515" ref="G2054"/>
    <hyperlink r:id="rId5516" ref="F2055"/>
    <hyperlink r:id="rId5517" ref="G2055"/>
    <hyperlink r:id="rId5518" ref="F2056"/>
    <hyperlink r:id="rId5519" ref="G2056"/>
    <hyperlink r:id="rId5520" ref="F2057"/>
    <hyperlink r:id="rId5521" ref="G2057"/>
    <hyperlink r:id="rId5522" ref="F2058"/>
    <hyperlink r:id="rId5523" ref="G2058"/>
    <hyperlink r:id="rId5524" ref="F2059"/>
    <hyperlink r:id="rId5525" ref="G2059"/>
    <hyperlink r:id="rId5526" ref="F2060"/>
    <hyperlink r:id="rId5527" ref="G2060"/>
    <hyperlink r:id="rId5528" ref="D2061"/>
    <hyperlink r:id="rId5529" ref="F2061"/>
    <hyperlink r:id="rId5530" ref="G2061"/>
    <hyperlink r:id="rId5531" ref="F2062"/>
    <hyperlink r:id="rId5532" ref="G2062"/>
    <hyperlink r:id="rId5533" ref="F2063"/>
    <hyperlink r:id="rId5534" ref="G2063"/>
    <hyperlink r:id="rId5535" ref="F2064"/>
    <hyperlink r:id="rId5536" ref="G2064"/>
    <hyperlink r:id="rId5537" ref="F2065"/>
    <hyperlink r:id="rId5538" ref="G2065"/>
    <hyperlink r:id="rId5539" ref="F2066"/>
    <hyperlink r:id="rId5540" ref="G2066"/>
    <hyperlink r:id="rId5541" ref="F2067"/>
    <hyperlink r:id="rId5542" ref="G2067"/>
    <hyperlink r:id="rId5543" ref="F2068"/>
    <hyperlink r:id="rId5544" ref="G2068"/>
    <hyperlink r:id="rId5545" ref="F2069"/>
    <hyperlink r:id="rId5546" ref="G2069"/>
    <hyperlink r:id="rId5547" ref="F2070"/>
    <hyperlink r:id="rId5548" ref="G2070"/>
    <hyperlink r:id="rId5549" ref="F2071"/>
    <hyperlink r:id="rId5550" ref="G2071"/>
    <hyperlink r:id="rId5551" ref="F2072"/>
    <hyperlink r:id="rId5552" ref="G2072"/>
    <hyperlink r:id="rId5553" ref="F2073"/>
    <hyperlink r:id="rId5554" ref="G2073"/>
    <hyperlink r:id="rId5555" ref="F2074"/>
    <hyperlink r:id="rId5556" ref="G2074"/>
    <hyperlink r:id="rId5557" ref="F2075"/>
    <hyperlink r:id="rId5558" ref="G2075"/>
    <hyperlink r:id="rId5559" ref="F2076"/>
    <hyperlink r:id="rId5560" ref="G2076"/>
    <hyperlink r:id="rId5561" ref="F2077"/>
    <hyperlink r:id="rId5562" ref="G2077"/>
    <hyperlink r:id="rId5563" ref="F2078"/>
    <hyperlink r:id="rId5564" ref="G2078"/>
    <hyperlink r:id="rId5565" ref="F2079"/>
    <hyperlink r:id="rId5566" ref="G2079"/>
    <hyperlink r:id="rId5567" ref="F2080"/>
    <hyperlink r:id="rId5568" ref="G2080"/>
    <hyperlink r:id="rId5569" ref="F2081"/>
    <hyperlink r:id="rId5570" ref="G2081"/>
    <hyperlink r:id="rId5571" ref="F2082"/>
    <hyperlink r:id="rId5572" ref="G2082"/>
    <hyperlink r:id="rId5573" ref="F2083"/>
    <hyperlink r:id="rId5574" ref="G2083"/>
    <hyperlink r:id="rId5575" ref="F2084"/>
    <hyperlink r:id="rId5576" ref="G2084"/>
    <hyperlink r:id="rId5577" ref="F2085"/>
    <hyperlink r:id="rId5578" ref="G2085"/>
    <hyperlink r:id="rId5579" ref="F2086"/>
    <hyperlink r:id="rId5580" ref="G2086"/>
    <hyperlink r:id="rId5581" ref="F2087"/>
    <hyperlink r:id="rId5582" ref="G2087"/>
    <hyperlink r:id="rId5583" ref="F2088"/>
    <hyperlink r:id="rId5584" ref="G2088"/>
    <hyperlink r:id="rId5585" ref="F2089"/>
    <hyperlink r:id="rId5586" ref="G2089"/>
    <hyperlink r:id="rId5587" ref="F2090"/>
    <hyperlink r:id="rId5588" ref="G2090"/>
    <hyperlink r:id="rId5589" ref="F2091"/>
    <hyperlink r:id="rId5590" ref="G2091"/>
    <hyperlink r:id="rId5591" ref="F2092"/>
    <hyperlink r:id="rId5592" ref="G2092"/>
    <hyperlink r:id="rId5593" ref="F2093"/>
    <hyperlink r:id="rId5594" ref="G2093"/>
    <hyperlink r:id="rId5595" ref="F2094"/>
    <hyperlink r:id="rId5596" ref="G2094"/>
    <hyperlink r:id="rId5597" ref="F2095"/>
    <hyperlink r:id="rId5598" ref="G2095"/>
    <hyperlink r:id="rId5599" ref="F2096"/>
    <hyperlink r:id="rId5600" ref="G2096"/>
    <hyperlink r:id="rId5601" ref="F2097"/>
    <hyperlink r:id="rId5602" ref="G2097"/>
    <hyperlink r:id="rId5603" ref="F2098"/>
    <hyperlink r:id="rId5604" ref="G2098"/>
    <hyperlink r:id="rId5605" ref="F2099"/>
    <hyperlink r:id="rId5606" ref="G2099"/>
    <hyperlink r:id="rId5607" ref="F2100"/>
    <hyperlink r:id="rId5608" ref="G2100"/>
    <hyperlink r:id="rId5609" ref="F2101"/>
    <hyperlink r:id="rId5610" ref="G2101"/>
    <hyperlink r:id="rId5611" ref="F2102"/>
    <hyperlink r:id="rId5612" ref="G2102"/>
    <hyperlink r:id="rId5613" ref="F2103"/>
    <hyperlink r:id="rId5614" ref="G2103"/>
    <hyperlink r:id="rId5615" ref="F2104"/>
    <hyperlink r:id="rId5616" ref="G2104"/>
    <hyperlink r:id="rId5617" ref="F2105"/>
    <hyperlink r:id="rId5618" ref="G2105"/>
    <hyperlink r:id="rId5619" ref="F2106"/>
    <hyperlink r:id="rId5620" ref="G2106"/>
    <hyperlink r:id="rId5621" ref="F2107"/>
    <hyperlink r:id="rId5622" ref="G2107"/>
    <hyperlink r:id="rId5623" ref="F2108"/>
    <hyperlink r:id="rId5624" ref="G2108"/>
    <hyperlink r:id="rId5625" ref="F2109"/>
    <hyperlink r:id="rId5626" ref="G2109"/>
    <hyperlink r:id="rId5627" ref="F2110"/>
    <hyperlink r:id="rId5628" ref="G2110"/>
    <hyperlink r:id="rId5629" ref="F2111"/>
    <hyperlink r:id="rId5630" ref="G2111"/>
    <hyperlink r:id="rId5631" ref="F2112"/>
    <hyperlink r:id="rId5632" ref="G2112"/>
    <hyperlink r:id="rId5633" ref="F2113"/>
    <hyperlink r:id="rId5634" ref="G2113"/>
    <hyperlink r:id="rId5635" ref="F2114"/>
    <hyperlink r:id="rId5636" ref="G2114"/>
    <hyperlink r:id="rId5637" ref="F2115"/>
    <hyperlink r:id="rId5638" ref="G2115"/>
    <hyperlink r:id="rId5639" ref="F2116"/>
    <hyperlink r:id="rId5640" ref="G2116"/>
    <hyperlink r:id="rId5641" ref="F2117"/>
    <hyperlink r:id="rId5642" ref="G2117"/>
    <hyperlink r:id="rId5643" ref="F2118"/>
    <hyperlink r:id="rId5644" ref="G2118"/>
    <hyperlink r:id="rId5645" ref="F2119"/>
    <hyperlink r:id="rId5646" ref="G2119"/>
    <hyperlink r:id="rId5647" ref="F2120"/>
    <hyperlink r:id="rId5648" ref="G2120"/>
    <hyperlink r:id="rId5649" ref="F2121"/>
    <hyperlink r:id="rId5650" ref="G2121"/>
    <hyperlink r:id="rId5651" ref="F2122"/>
    <hyperlink r:id="rId5652" ref="G2122"/>
    <hyperlink r:id="rId5653" ref="F2123"/>
    <hyperlink r:id="rId5654" ref="G2123"/>
    <hyperlink r:id="rId5655" ref="F2124"/>
    <hyperlink r:id="rId5656" ref="G2124"/>
    <hyperlink r:id="rId5657" ref="F2125"/>
    <hyperlink r:id="rId5658" ref="G2125"/>
    <hyperlink r:id="rId5659" ref="F2126"/>
    <hyperlink r:id="rId5660" ref="G2126"/>
    <hyperlink r:id="rId5661" ref="D2127"/>
    <hyperlink r:id="rId5662" ref="F2127"/>
    <hyperlink r:id="rId5663" ref="G2127"/>
    <hyperlink r:id="rId5664" ref="F2128"/>
    <hyperlink r:id="rId5665" ref="G2128"/>
    <hyperlink r:id="rId5666" ref="F2129"/>
    <hyperlink r:id="rId5667" ref="G2129"/>
    <hyperlink r:id="rId5668" ref="F2130"/>
    <hyperlink r:id="rId5669" ref="G2130"/>
    <hyperlink r:id="rId5670" ref="F2131"/>
    <hyperlink r:id="rId5671" ref="G2131"/>
    <hyperlink r:id="rId5672" ref="F2132"/>
    <hyperlink r:id="rId5673" ref="G2132"/>
    <hyperlink r:id="rId5674" ref="F2133"/>
    <hyperlink r:id="rId5675" ref="G2133"/>
    <hyperlink r:id="rId5676" ref="F2134"/>
    <hyperlink r:id="rId5677" ref="G2134"/>
    <hyperlink r:id="rId5678" ref="F2135"/>
    <hyperlink r:id="rId5679" ref="G2135"/>
    <hyperlink r:id="rId5680" ref="F2136"/>
    <hyperlink r:id="rId5681" ref="G2136"/>
    <hyperlink r:id="rId5682" ref="F2137"/>
    <hyperlink r:id="rId5683" ref="G2137"/>
    <hyperlink r:id="rId5684" ref="F2138"/>
    <hyperlink r:id="rId5685" ref="G2138"/>
    <hyperlink r:id="rId5686" ref="F2139"/>
    <hyperlink r:id="rId5687" ref="G2139"/>
    <hyperlink r:id="rId5688" ref="F2140"/>
    <hyperlink r:id="rId5689" ref="G2140"/>
    <hyperlink r:id="rId5690" ref="F2141"/>
    <hyperlink r:id="rId5691" ref="G2141"/>
    <hyperlink r:id="rId5692" ref="F2142"/>
    <hyperlink r:id="rId5693" ref="G2142"/>
    <hyperlink r:id="rId5694" ref="F2143"/>
    <hyperlink r:id="rId5695" ref="G2143"/>
    <hyperlink r:id="rId5696" ref="F2144"/>
    <hyperlink r:id="rId5697" ref="G2144"/>
    <hyperlink r:id="rId5698" ref="F2145"/>
    <hyperlink r:id="rId5699" ref="G2145"/>
    <hyperlink r:id="rId5700" ref="F2146"/>
    <hyperlink r:id="rId5701" ref="G2146"/>
    <hyperlink r:id="rId5702" ref="F2147"/>
    <hyperlink r:id="rId5703" ref="G2147"/>
    <hyperlink r:id="rId5704" ref="F2148"/>
    <hyperlink r:id="rId5705" ref="G2148"/>
    <hyperlink r:id="rId5706" ref="F2149"/>
    <hyperlink r:id="rId5707" ref="G2149"/>
    <hyperlink r:id="rId5708" ref="F2150"/>
    <hyperlink r:id="rId5709" ref="G2150"/>
    <hyperlink r:id="rId5710" ref="F2151"/>
    <hyperlink r:id="rId5711" ref="G2151"/>
  </hyperlinks>
  <printOptions/>
  <pageMargins bottom="1.0" footer="0.0" header="0.0" left="0.75" right="0.75" top="1.0"/>
  <pageSetup paperSize="9" orientation="portrait"/>
  <drawing r:id="rId57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4" width="18.0"/>
    <col customWidth="1" min="5" max="6" width="8.71"/>
  </cols>
  <sheetData>
    <row r="1">
      <c r="A1" s="1" t="s">
        <v>11805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11806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11807</v>
      </c>
      <c r="B4" s="10" t="s">
        <v>11808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11809</v>
      </c>
      <c r="B5" s="45">
        <f>COUNTA(Contactos!B3:B2012)</f>
        <v>2010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11810</v>
      </c>
      <c r="B6" s="45">
        <f>COUNTIF(Contactos!T3:T2012,"&gt;0")</f>
        <v>2010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11811</v>
      </c>
      <c r="B8" s="45">
        <f>COUNTIF(Contactos!U3:U2012,"A")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11812</v>
      </c>
      <c r="B9" s="45">
        <f>COUNTIF(Contactos!U3:U2012,"B")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11813</v>
      </c>
      <c r="B10" s="45">
        <f>COUNTIF(Contactos!U3:U2012,"C")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11814</v>
      </c>
      <c r="B11" s="45">
        <f>COUNTIF(Contactos!U3:U2012,"Descarte")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 t="s">
        <v>11815</v>
      </c>
      <c r="B13" s="45">
        <f>COUNTIF(Contactos!U3:U2012,"A")+COUNTIF(Contactos!U3:U2012,"B")+COUNTIF(Contactos!U3:U2012,"C")</f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11816</v>
      </c>
      <c r="B14" s="45">
        <f>IFERROR(AVERAGEIF(Contactos!T3:T2012,"&gt;0"),0)</f>
        <v>6.666666667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">
        <v>11817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8" t="s">
        <v>11818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8" t="s">
        <v>11819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8" t="s">
        <v>11820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8" t="s">
        <v>11821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8" t="s">
        <v>11822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8" t="s">
        <v>11823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8" t="s">
        <v>11824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10">
    <mergeCell ref="A22:D22"/>
    <mergeCell ref="A23:D23"/>
    <mergeCell ref="A24:D24"/>
    <mergeCell ref="A1:D1"/>
    <mergeCell ref="A2:D2"/>
    <mergeCell ref="A17:D17"/>
    <mergeCell ref="A18:D18"/>
    <mergeCell ref="A19:D19"/>
    <mergeCell ref="A20:D20"/>
    <mergeCell ref="A21:D2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50.0"/>
    <col customWidth="1" min="3" max="3" width="30.0"/>
    <col customWidth="1" min="4" max="6" width="8.71"/>
  </cols>
  <sheetData>
    <row r="1">
      <c r="A1" s="1" t="s">
        <v>11825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11826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11827</v>
      </c>
      <c r="B4" s="5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7" t="s">
        <v>11828</v>
      </c>
      <c r="B6" s="8" t="s">
        <v>11829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7" t="s">
        <v>11830</v>
      </c>
      <c r="B7" s="8" t="s">
        <v>11831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7" t="s">
        <v>11832</v>
      </c>
      <c r="B8" s="8" t="s">
        <v>11833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7" t="s">
        <v>11834</v>
      </c>
      <c r="B9" s="8" t="s">
        <v>11835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11836</v>
      </c>
      <c r="B11" s="5"/>
      <c r="C11" s="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7" t="s">
        <v>11837</v>
      </c>
      <c r="B13" s="8" t="s">
        <v>11838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7" t="s">
        <v>11839</v>
      </c>
      <c r="B14" s="8" t="s">
        <v>11840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7" t="s">
        <v>11841</v>
      </c>
      <c r="B15" s="8" t="s">
        <v>11842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7" t="s">
        <v>11843</v>
      </c>
      <c r="B16" s="8" t="s">
        <v>11844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11845</v>
      </c>
      <c r="B18" s="5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11846</v>
      </c>
      <c r="B20" s="5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7" t="s">
        <v>11847</v>
      </c>
      <c r="B21" s="8" t="s">
        <v>11848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7" t="s">
        <v>11849</v>
      </c>
      <c r="B22" s="8" t="s">
        <v>11850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7" t="s">
        <v>11851</v>
      </c>
      <c r="B23" s="8" t="s">
        <v>11852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11853</v>
      </c>
      <c r="B25" s="5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7" t="s">
        <v>11847</v>
      </c>
      <c r="B26" s="8" t="s">
        <v>11854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7" t="s">
        <v>11855</v>
      </c>
      <c r="B27" s="8" t="s">
        <v>11856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7" t="s">
        <v>11857</v>
      </c>
      <c r="B28" s="8" t="s">
        <v>11858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7" t="s">
        <v>11859</v>
      </c>
      <c r="B29" s="8" t="s">
        <v>11860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11861</v>
      </c>
      <c r="B31" s="5"/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7" t="s">
        <v>11847</v>
      </c>
      <c r="B32" s="8" t="s">
        <v>11862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7" t="s">
        <v>11863</v>
      </c>
      <c r="B33" s="8" t="s">
        <v>11850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7" t="s">
        <v>11864</v>
      </c>
      <c r="B34" s="8" t="s">
        <v>11852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11865</v>
      </c>
      <c r="B36" s="5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7" t="s">
        <v>11847</v>
      </c>
      <c r="B37" s="8" t="s">
        <v>11866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7" t="s">
        <v>11867</v>
      </c>
      <c r="B38" s="8" t="s">
        <v>11850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7" t="s">
        <v>11868</v>
      </c>
      <c r="B39" s="8" t="s">
        <v>11852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11869</v>
      </c>
      <c r="B41" s="5"/>
      <c r="C41" s="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7" t="s">
        <v>11847</v>
      </c>
      <c r="B42" s="8" t="s">
        <v>11870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7" t="s">
        <v>11871</v>
      </c>
      <c r="B43" s="8" t="s">
        <v>11850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7" t="s">
        <v>11868</v>
      </c>
      <c r="B44" s="8" t="s">
        <v>11852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11872</v>
      </c>
      <c r="B46" s="5"/>
      <c r="C46" s="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7" t="s">
        <v>11847</v>
      </c>
      <c r="B47" s="8" t="s">
        <v>11873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5.75" customHeight="1">
      <c r="A48" s="7" t="s">
        <v>11874</v>
      </c>
      <c r="B48" s="8" t="s">
        <v>11850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7" t="s">
        <v>11875</v>
      </c>
      <c r="B49" s="8" t="s">
        <v>11852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11876</v>
      </c>
      <c r="B51" s="5"/>
      <c r="C51" s="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7" t="s">
        <v>11847</v>
      </c>
      <c r="B52" s="8" t="s">
        <v>11877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4.5" customHeight="1">
      <c r="A53" s="7" t="s">
        <v>11878</v>
      </c>
      <c r="B53" s="8" t="s">
        <v>11850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7" t="s">
        <v>11879</v>
      </c>
      <c r="B54" s="8" t="s">
        <v>11852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11880</v>
      </c>
      <c r="B56" s="5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7" t="s">
        <v>11847</v>
      </c>
      <c r="B57" s="8" t="s">
        <v>11881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7" t="s">
        <v>11882</v>
      </c>
      <c r="B58" s="8" t="s">
        <v>11883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11884</v>
      </c>
      <c r="B60" s="5"/>
      <c r="C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7" t="s">
        <v>11885</v>
      </c>
      <c r="B61" s="8" t="s">
        <v>11886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11887</v>
      </c>
      <c r="B63" s="5"/>
      <c r="C63" s="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7" t="s">
        <v>11888</v>
      </c>
      <c r="B65" s="8" t="s">
        <v>11889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7" t="s">
        <v>11890</v>
      </c>
      <c r="B66" s="8" t="s">
        <v>11891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50">
    <mergeCell ref="A1:C1"/>
    <mergeCell ref="A2:C2"/>
    <mergeCell ref="A4:C4"/>
    <mergeCell ref="B6:C6"/>
    <mergeCell ref="B7:C7"/>
    <mergeCell ref="B8:C8"/>
    <mergeCell ref="B9:C9"/>
    <mergeCell ref="A11:C11"/>
    <mergeCell ref="B13:C13"/>
    <mergeCell ref="B14:C14"/>
    <mergeCell ref="B15:C15"/>
    <mergeCell ref="B16:C16"/>
    <mergeCell ref="A18:C18"/>
    <mergeCell ref="A20:C20"/>
    <mergeCell ref="B21:C21"/>
    <mergeCell ref="B22:C22"/>
    <mergeCell ref="B23:C23"/>
    <mergeCell ref="A25:C25"/>
    <mergeCell ref="B26:C26"/>
    <mergeCell ref="B27:C27"/>
    <mergeCell ref="B28:C28"/>
    <mergeCell ref="B29:C29"/>
    <mergeCell ref="A31:C31"/>
    <mergeCell ref="B32:C32"/>
    <mergeCell ref="B33:C33"/>
    <mergeCell ref="B34:C34"/>
    <mergeCell ref="A36:C36"/>
    <mergeCell ref="B37:C37"/>
    <mergeCell ref="B38:C38"/>
    <mergeCell ref="B39:C39"/>
    <mergeCell ref="A41:C41"/>
    <mergeCell ref="B42:C42"/>
    <mergeCell ref="B43:C43"/>
    <mergeCell ref="B44:C44"/>
    <mergeCell ref="A46:C46"/>
    <mergeCell ref="A56:C56"/>
    <mergeCell ref="B57:C57"/>
    <mergeCell ref="B58:C58"/>
    <mergeCell ref="A60:C60"/>
    <mergeCell ref="B61:C61"/>
    <mergeCell ref="A63:C63"/>
    <mergeCell ref="B65:C65"/>
    <mergeCell ref="B66:C66"/>
    <mergeCell ref="B47:C47"/>
    <mergeCell ref="B48:C48"/>
    <mergeCell ref="B49:C49"/>
    <mergeCell ref="A51:C51"/>
    <mergeCell ref="B52:C52"/>
    <mergeCell ref="B53:C53"/>
    <mergeCell ref="B54:C5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2026-05-06T15:43:44Z</dcterms:created>
  <dc:creator>openpyxl</dc:creator>
</cp:coreProperties>
</file>